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845" windowWidth="19095" windowHeight="9480" activeTab="3"/>
  </bookViews>
  <sheets>
    <sheet name="Harvest" sheetId="1" r:id="rId1"/>
    <sheet name="Effort" sheetId="3" r:id="rId2"/>
    <sheet name="CPUE" sheetId="2" r:id="rId3"/>
    <sheet name="Summary Table" sheetId="4" r:id="rId4"/>
    <sheet name="Copy Sheet" sheetId="5" r:id="rId5"/>
    <sheet name="Sheet1" sheetId="14" r:id="rId6"/>
    <sheet name="Tide Info" sheetId="13" r:id="rId7"/>
    <sheet name="Tribal update" sheetId="12" r:id="rId8"/>
    <sheet name="TAC" sheetId="6" r:id="rId9"/>
    <sheet name="TH Wastage" sheetId="8" r:id="rId10"/>
    <sheet name="LB Wastage" sheetId="9" r:id="rId11"/>
    <sheet name="Cop Wastage" sheetId="10" r:id="rId12"/>
    <sheet name="Moc Wastage" sheetId="11" r:id="rId13"/>
  </sheets>
  <definedNames>
    <definedName name="_xlnm.Print_Area" localSheetId="3">'Summary Table'!$A$1:$U$124</definedName>
    <definedName name="_xlnm.Print_Area" localSheetId="7">'Tribal update'!$A$1:$R$51</definedName>
    <definedName name="_xlnm.Print_Titles" localSheetId="3">'Summary Table'!$1:$1</definedName>
  </definedNames>
  <calcPr calcId="145621"/>
</workbook>
</file>

<file path=xl/calcChain.xml><?xml version="1.0" encoding="utf-8"?>
<calcChain xmlns="http://schemas.openxmlformats.org/spreadsheetml/2006/main">
  <c r="F48" i="12" l="1"/>
  <c r="R48" i="12"/>
  <c r="Q48" i="12"/>
  <c r="J48" i="12"/>
  <c r="I48" i="12"/>
  <c r="E48" i="12"/>
  <c r="G47" i="12"/>
  <c r="E47" i="12"/>
  <c r="F47" i="12"/>
  <c r="Q47" i="12"/>
  <c r="R47" i="12"/>
  <c r="R46" i="12"/>
  <c r="R45" i="12"/>
  <c r="R44" i="12"/>
  <c r="Q46" i="12"/>
  <c r="Q45" i="12"/>
  <c r="Q44" i="12"/>
  <c r="Q43" i="12"/>
  <c r="R43" i="12"/>
  <c r="R42" i="12"/>
  <c r="R41" i="12"/>
  <c r="R40" i="12"/>
  <c r="R39" i="12"/>
  <c r="Q42" i="12"/>
  <c r="Q41" i="12"/>
  <c r="Q40" i="12"/>
  <c r="Q39" i="12"/>
  <c r="K47" i="12"/>
  <c r="I47" i="12"/>
  <c r="J47" i="12"/>
  <c r="K43" i="12"/>
  <c r="I43" i="12"/>
  <c r="J43" i="12"/>
  <c r="P120" i="4" l="1"/>
  <c r="L117" i="2"/>
  <c r="L116" i="2" l="1"/>
  <c r="J116" i="2"/>
  <c r="L121" i="4"/>
  <c r="K120" i="4"/>
  <c r="K121" i="4" s="1"/>
  <c r="L120" i="4"/>
  <c r="O117" i="1"/>
  <c r="O116" i="1"/>
  <c r="O115" i="1"/>
  <c r="O117" i="3"/>
  <c r="O116" i="3"/>
  <c r="O115" i="3"/>
  <c r="L115" i="2" l="1"/>
  <c r="J115" i="2"/>
  <c r="S119" i="4" l="1"/>
  <c r="R119" i="4"/>
  <c r="Q119" i="4"/>
  <c r="P119" i="4"/>
  <c r="O119" i="4"/>
  <c r="O120" i="4" s="1"/>
  <c r="O121" i="4" s="1"/>
  <c r="N119" i="4"/>
  <c r="N120" i="4" s="1"/>
  <c r="N121" i="4" s="1"/>
  <c r="M119" i="4"/>
  <c r="L119" i="4"/>
  <c r="K119" i="4"/>
  <c r="J119" i="4"/>
  <c r="I119" i="4"/>
  <c r="H119" i="4"/>
  <c r="G119" i="4"/>
  <c r="F119" i="4"/>
  <c r="E119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U119" i="4" l="1"/>
  <c r="U118" i="4"/>
  <c r="U117" i="4"/>
  <c r="U120" i="4" s="1"/>
  <c r="U121" i="4" s="1"/>
  <c r="T119" i="4"/>
  <c r="T118" i="4"/>
  <c r="T117" i="4"/>
  <c r="B119" i="4"/>
  <c r="B118" i="4"/>
  <c r="B117" i="4"/>
  <c r="B115" i="4"/>
  <c r="B114" i="4"/>
  <c r="B113" i="4"/>
  <c r="B112" i="4"/>
  <c r="B111" i="4"/>
  <c r="B110" i="4"/>
  <c r="B109" i="4"/>
  <c r="B107" i="4"/>
  <c r="B106" i="4"/>
  <c r="B105" i="4"/>
  <c r="B104" i="4"/>
  <c r="B103" i="4"/>
  <c r="B102" i="4"/>
  <c r="B101" i="4"/>
  <c r="B100" i="4"/>
  <c r="B97" i="4"/>
  <c r="B96" i="4"/>
  <c r="B95" i="4"/>
  <c r="B94" i="4"/>
  <c r="B93" i="4"/>
  <c r="B92" i="4"/>
  <c r="B91" i="4"/>
  <c r="B90" i="4"/>
  <c r="B89" i="4"/>
  <c r="B88" i="4"/>
  <c r="B86" i="4"/>
  <c r="B85" i="4"/>
  <c r="B84" i="4"/>
  <c r="B83" i="4"/>
  <c r="B82" i="4"/>
  <c r="B81" i="4"/>
  <c r="B80" i="4"/>
  <c r="B79" i="4"/>
  <c r="B77" i="4"/>
  <c r="B76" i="4"/>
  <c r="B75" i="4"/>
  <c r="B74" i="4"/>
  <c r="B73" i="4"/>
  <c r="B72" i="4"/>
  <c r="T120" i="4" l="1"/>
  <c r="T121" i="4" s="1"/>
  <c r="O69" i="1"/>
  <c r="O68" i="1"/>
  <c r="U111" i="4"/>
  <c r="T111" i="4"/>
  <c r="U109" i="4"/>
  <c r="T109" i="4"/>
  <c r="O113" i="1"/>
  <c r="O112" i="1"/>
  <c r="O111" i="1"/>
  <c r="O110" i="1"/>
  <c r="O109" i="1"/>
  <c r="O108" i="1"/>
  <c r="O107" i="1"/>
  <c r="O113" i="3"/>
  <c r="O112" i="3"/>
  <c r="O111" i="3"/>
  <c r="O110" i="3"/>
  <c r="O109" i="3"/>
  <c r="O108" i="3"/>
  <c r="O107" i="3"/>
  <c r="F109" i="2"/>
  <c r="F108" i="2"/>
  <c r="G110" i="4" s="1"/>
  <c r="F107" i="2"/>
  <c r="G109" i="4" s="1"/>
  <c r="B109" i="2"/>
  <c r="B108" i="2"/>
  <c r="B107" i="2"/>
  <c r="B109" i="3"/>
  <c r="B108" i="3"/>
  <c r="B107" i="3"/>
  <c r="B109" i="1"/>
  <c r="B108" i="1"/>
  <c r="B107" i="1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F110" i="4"/>
  <c r="U110" i="4" s="1"/>
  <c r="E110" i="4"/>
  <c r="T110" i="4" s="1"/>
  <c r="S109" i="4"/>
  <c r="R109" i="4"/>
  <c r="Q109" i="4"/>
  <c r="P109" i="4"/>
  <c r="O109" i="4"/>
  <c r="N109" i="4"/>
  <c r="M109" i="4"/>
  <c r="L109" i="4"/>
  <c r="K109" i="4"/>
  <c r="J109" i="4"/>
  <c r="I109" i="4"/>
  <c r="H109" i="4"/>
  <c r="F109" i="4"/>
  <c r="E109" i="4"/>
  <c r="L113" i="2" l="1"/>
  <c r="P115" i="4" s="1"/>
  <c r="L112" i="2"/>
  <c r="P114" i="4" s="1"/>
  <c r="L111" i="2"/>
  <c r="P113" i="4" s="1"/>
  <c r="L110" i="2"/>
  <c r="P112" i="4" s="1"/>
  <c r="S115" i="4"/>
  <c r="R115" i="4"/>
  <c r="Q115" i="4"/>
  <c r="O115" i="4"/>
  <c r="U115" i="4" s="1"/>
  <c r="N115" i="4"/>
  <c r="T115" i="4" s="1"/>
  <c r="M115" i="4"/>
  <c r="L115" i="4"/>
  <c r="K115" i="4"/>
  <c r="J115" i="4"/>
  <c r="I115" i="4"/>
  <c r="H115" i="4"/>
  <c r="G115" i="4"/>
  <c r="F115" i="4"/>
  <c r="E115" i="4"/>
  <c r="S114" i="4"/>
  <c r="R114" i="4"/>
  <c r="Q114" i="4"/>
  <c r="O114" i="4"/>
  <c r="U114" i="4" s="1"/>
  <c r="N114" i="4"/>
  <c r="T114" i="4" s="1"/>
  <c r="T116" i="4" s="1"/>
  <c r="M114" i="4"/>
  <c r="L114" i="4"/>
  <c r="K114" i="4"/>
  <c r="J114" i="4"/>
  <c r="I114" i="4"/>
  <c r="H114" i="4"/>
  <c r="G114" i="4"/>
  <c r="F114" i="4"/>
  <c r="E114" i="4"/>
  <c r="E116" i="4" s="1"/>
  <c r="S113" i="4"/>
  <c r="R113" i="4"/>
  <c r="Q113" i="4"/>
  <c r="O113" i="4"/>
  <c r="U113" i="4" s="1"/>
  <c r="N113" i="4"/>
  <c r="T113" i="4" s="1"/>
  <c r="M113" i="4"/>
  <c r="L113" i="4"/>
  <c r="K113" i="4"/>
  <c r="J113" i="4"/>
  <c r="I113" i="4"/>
  <c r="H113" i="4"/>
  <c r="G113" i="4"/>
  <c r="F113" i="4"/>
  <c r="F116" i="4" s="1"/>
  <c r="G116" i="4" s="1"/>
  <c r="E113" i="4"/>
  <c r="S112" i="4"/>
  <c r="R112" i="4"/>
  <c r="Q112" i="4"/>
  <c r="O112" i="4"/>
  <c r="U112" i="4" s="1"/>
  <c r="U116" i="4" s="1"/>
  <c r="N112" i="4"/>
  <c r="T112" i="4" s="1"/>
  <c r="M112" i="4"/>
  <c r="L112" i="4"/>
  <c r="K112" i="4"/>
  <c r="J112" i="4"/>
  <c r="I112" i="4"/>
  <c r="H112" i="4"/>
  <c r="G112" i="4"/>
  <c r="F112" i="4"/>
  <c r="E112" i="4"/>
  <c r="B113" i="3"/>
  <c r="B112" i="3"/>
  <c r="B111" i="3"/>
  <c r="B110" i="3"/>
  <c r="B113" i="1"/>
  <c r="B112" i="1"/>
  <c r="B111" i="1"/>
  <c r="B110" i="1"/>
  <c r="O116" i="4" l="1"/>
  <c r="N116" i="4"/>
  <c r="F105" i="1"/>
  <c r="F105" i="3"/>
  <c r="P116" i="4" l="1"/>
  <c r="K38" i="12"/>
  <c r="G38" i="12"/>
  <c r="Q38" i="12"/>
  <c r="R38" i="12"/>
  <c r="R37" i="12"/>
  <c r="R36" i="12"/>
  <c r="Q37" i="12"/>
  <c r="Q36" i="12"/>
  <c r="R35" i="12"/>
  <c r="Q35" i="12"/>
  <c r="I38" i="12"/>
  <c r="J38" i="12"/>
  <c r="E38" i="12"/>
  <c r="F38" i="12"/>
  <c r="L103" i="2"/>
  <c r="P105" i="4" s="1"/>
  <c r="L102" i="2"/>
  <c r="P104" i="4" s="1"/>
  <c r="L100" i="2"/>
  <c r="P102" i="4" s="1"/>
  <c r="F105" i="2"/>
  <c r="G107" i="4" s="1"/>
  <c r="F104" i="2"/>
  <c r="G106" i="4" s="1"/>
  <c r="F103" i="2"/>
  <c r="G105" i="4" s="1"/>
  <c r="F102" i="2"/>
  <c r="G104" i="4" s="1"/>
  <c r="F101" i="2"/>
  <c r="G103" i="4" s="1"/>
  <c r="F100" i="2"/>
  <c r="G102" i="4" s="1"/>
  <c r="F99" i="2"/>
  <c r="G101" i="4" s="1"/>
  <c r="F98" i="2"/>
  <c r="G100" i="4" s="1"/>
  <c r="F97" i="2"/>
  <c r="G99" i="4" s="1"/>
  <c r="J103" i="2"/>
  <c r="M105" i="4" s="1"/>
  <c r="J102" i="2"/>
  <c r="M104" i="4" s="1"/>
  <c r="O95" i="3"/>
  <c r="O94" i="3"/>
  <c r="O93" i="3"/>
  <c r="O92" i="3"/>
  <c r="O91" i="3"/>
  <c r="O90" i="3"/>
  <c r="O89" i="3"/>
  <c r="O88" i="3"/>
  <c r="O87" i="3"/>
  <c r="O86" i="3"/>
  <c r="O105" i="3"/>
  <c r="O104" i="3"/>
  <c r="O103" i="3"/>
  <c r="O102" i="3"/>
  <c r="O101" i="3"/>
  <c r="O100" i="3"/>
  <c r="O99" i="3"/>
  <c r="O98" i="3"/>
  <c r="O97" i="3"/>
  <c r="O104" i="1"/>
  <c r="O103" i="1"/>
  <c r="O102" i="1"/>
  <c r="O100" i="1"/>
  <c r="O105" i="1"/>
  <c r="O101" i="1"/>
  <c r="O99" i="1"/>
  <c r="O98" i="1"/>
  <c r="O97" i="1"/>
  <c r="S107" i="4"/>
  <c r="R107" i="4"/>
  <c r="Q107" i="4"/>
  <c r="P107" i="4"/>
  <c r="O107" i="4"/>
  <c r="N107" i="4"/>
  <c r="M107" i="4"/>
  <c r="L107" i="4"/>
  <c r="K107" i="4"/>
  <c r="J107" i="4"/>
  <c r="I107" i="4"/>
  <c r="H107" i="4"/>
  <c r="F107" i="4"/>
  <c r="U107" i="4" s="1"/>
  <c r="E107" i="4"/>
  <c r="T107" i="4" s="1"/>
  <c r="S106" i="4"/>
  <c r="R106" i="4"/>
  <c r="Q106" i="4"/>
  <c r="P106" i="4"/>
  <c r="O106" i="4"/>
  <c r="N106" i="4"/>
  <c r="M106" i="4"/>
  <c r="L106" i="4"/>
  <c r="K106" i="4"/>
  <c r="J106" i="4"/>
  <c r="I106" i="4"/>
  <c r="H106" i="4"/>
  <c r="F106" i="4"/>
  <c r="U106" i="4" s="1"/>
  <c r="E106" i="4"/>
  <c r="T106" i="4" s="1"/>
  <c r="S105" i="4"/>
  <c r="R105" i="4"/>
  <c r="Q105" i="4"/>
  <c r="O105" i="4"/>
  <c r="N105" i="4"/>
  <c r="L105" i="4"/>
  <c r="K105" i="4"/>
  <c r="J105" i="4"/>
  <c r="I105" i="4"/>
  <c r="H105" i="4"/>
  <c r="F105" i="4"/>
  <c r="E105" i="4"/>
  <c r="S104" i="4"/>
  <c r="R104" i="4"/>
  <c r="Q104" i="4"/>
  <c r="O104" i="4"/>
  <c r="N104" i="4"/>
  <c r="L104" i="4"/>
  <c r="K104" i="4"/>
  <c r="J104" i="4"/>
  <c r="I104" i="4"/>
  <c r="H104" i="4"/>
  <c r="F104" i="4"/>
  <c r="E104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F103" i="4"/>
  <c r="U103" i="4" s="1"/>
  <c r="E103" i="4"/>
  <c r="T103" i="4" s="1"/>
  <c r="S102" i="4"/>
  <c r="R102" i="4"/>
  <c r="Q102" i="4"/>
  <c r="O102" i="4"/>
  <c r="N102" i="4"/>
  <c r="M102" i="4"/>
  <c r="L102" i="4"/>
  <c r="K102" i="4"/>
  <c r="J102" i="4"/>
  <c r="I102" i="4"/>
  <c r="H102" i="4"/>
  <c r="F102" i="4"/>
  <c r="U102" i="4" s="1"/>
  <c r="E102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F101" i="4"/>
  <c r="U101" i="4" s="1"/>
  <c r="E101" i="4"/>
  <c r="T101" i="4" s="1"/>
  <c r="S100" i="4"/>
  <c r="R100" i="4"/>
  <c r="Q100" i="4"/>
  <c r="P100" i="4"/>
  <c r="O100" i="4"/>
  <c r="N100" i="4"/>
  <c r="M100" i="4"/>
  <c r="L100" i="4"/>
  <c r="K100" i="4"/>
  <c r="J100" i="4"/>
  <c r="I100" i="4"/>
  <c r="H100" i="4"/>
  <c r="F100" i="4"/>
  <c r="U100" i="4" s="1"/>
  <c r="E100" i="4"/>
  <c r="T100" i="4" s="1"/>
  <c r="S99" i="4"/>
  <c r="R99" i="4"/>
  <c r="Q99" i="4"/>
  <c r="P99" i="4"/>
  <c r="O99" i="4"/>
  <c r="N99" i="4"/>
  <c r="M99" i="4"/>
  <c r="L99" i="4"/>
  <c r="K99" i="4"/>
  <c r="J99" i="4"/>
  <c r="I99" i="4"/>
  <c r="H99" i="4"/>
  <c r="F99" i="4"/>
  <c r="U99" i="4" s="1"/>
  <c r="E99" i="4"/>
  <c r="T99" i="4" s="1"/>
  <c r="B105" i="2"/>
  <c r="B104" i="2"/>
  <c r="B103" i="2"/>
  <c r="B102" i="2"/>
  <c r="B101" i="2"/>
  <c r="B100" i="2"/>
  <c r="B99" i="2"/>
  <c r="B98" i="2"/>
  <c r="B97" i="2"/>
  <c r="B105" i="3"/>
  <c r="B104" i="3"/>
  <c r="B103" i="3"/>
  <c r="B102" i="3"/>
  <c r="B101" i="3"/>
  <c r="B100" i="3"/>
  <c r="B99" i="3"/>
  <c r="B98" i="3"/>
  <c r="B97" i="3"/>
  <c r="B105" i="1"/>
  <c r="B104" i="1"/>
  <c r="B103" i="1"/>
  <c r="B102" i="1"/>
  <c r="B101" i="1"/>
  <c r="B100" i="1"/>
  <c r="B99" i="1"/>
  <c r="B98" i="1"/>
  <c r="B97" i="1"/>
  <c r="U105" i="4" l="1"/>
  <c r="K108" i="4"/>
  <c r="T105" i="4"/>
  <c r="U104" i="4"/>
  <c r="T102" i="4"/>
  <c r="T104" i="4"/>
  <c r="L108" i="4"/>
  <c r="O108" i="4"/>
  <c r="F108" i="4"/>
  <c r="N108" i="4"/>
  <c r="E108" i="4"/>
  <c r="F121" i="1"/>
  <c r="H100" i="9"/>
  <c r="E100" i="9"/>
  <c r="F100" i="9"/>
  <c r="G100" i="9"/>
  <c r="F80" i="1"/>
  <c r="F79" i="1"/>
  <c r="F80" i="3"/>
  <c r="F79" i="3"/>
  <c r="P108" i="4" l="1"/>
  <c r="T108" i="4"/>
  <c r="U108" i="4"/>
  <c r="G108" i="4"/>
  <c r="F86" i="4"/>
  <c r="U86" i="4" s="1"/>
  <c r="E86" i="4"/>
  <c r="T86" i="4" s="1"/>
  <c r="F85" i="4"/>
  <c r="U85" i="4" s="1"/>
  <c r="E85" i="4"/>
  <c r="T85" i="4" s="1"/>
  <c r="F84" i="4"/>
  <c r="U84" i="4" s="1"/>
  <c r="E84" i="4"/>
  <c r="T84" i="4" s="1"/>
  <c r="F83" i="4"/>
  <c r="U83" i="4" s="1"/>
  <c r="E83" i="4"/>
  <c r="T83" i="4" s="1"/>
  <c r="F82" i="4"/>
  <c r="E82" i="4"/>
  <c r="F81" i="4"/>
  <c r="E81" i="4"/>
  <c r="O93" i="1"/>
  <c r="O92" i="1"/>
  <c r="O91" i="1"/>
  <c r="O90" i="1"/>
  <c r="O80" i="1"/>
  <c r="O79" i="1"/>
  <c r="O78" i="1"/>
  <c r="O95" i="1"/>
  <c r="O94" i="1"/>
  <c r="O89" i="1"/>
  <c r="O88" i="1"/>
  <c r="O87" i="1"/>
  <c r="O86" i="1"/>
  <c r="O84" i="1"/>
  <c r="O83" i="1"/>
  <c r="O82" i="1"/>
  <c r="O81" i="1"/>
  <c r="O77" i="1"/>
  <c r="O75" i="1"/>
  <c r="O74" i="1"/>
  <c r="O73" i="1"/>
  <c r="F95" i="2"/>
  <c r="F94" i="2"/>
  <c r="F93" i="2"/>
  <c r="F92" i="2"/>
  <c r="F91" i="2"/>
  <c r="F90" i="2"/>
  <c r="F89" i="2"/>
  <c r="F88" i="2"/>
  <c r="F87" i="2"/>
  <c r="F86" i="2"/>
  <c r="F84" i="2"/>
  <c r="G86" i="4" s="1"/>
  <c r="F83" i="2"/>
  <c r="G85" i="4" s="1"/>
  <c r="F82" i="2"/>
  <c r="G84" i="4" s="1"/>
  <c r="F81" i="2"/>
  <c r="G83" i="4" s="1"/>
  <c r="F80" i="2"/>
  <c r="G82" i="4" s="1"/>
  <c r="F79" i="2"/>
  <c r="G81" i="4" s="1"/>
  <c r="R24" i="12" l="1"/>
  <c r="R23" i="12"/>
  <c r="R22" i="12"/>
  <c r="Q24" i="12"/>
  <c r="Q23" i="12"/>
  <c r="Q22" i="12"/>
  <c r="E100" i="11"/>
  <c r="F100" i="11"/>
  <c r="G100" i="11"/>
  <c r="H100" i="11" s="1"/>
  <c r="L121" i="1" s="1"/>
  <c r="E100" i="10"/>
  <c r="F100" i="10"/>
  <c r="G100" i="10"/>
  <c r="T10" i="10"/>
  <c r="S10" i="10"/>
  <c r="Q10" i="10"/>
  <c r="G34" i="12"/>
  <c r="K34" i="12"/>
  <c r="I34" i="12"/>
  <c r="J34" i="12"/>
  <c r="E34" i="12"/>
  <c r="F34" i="12"/>
  <c r="R33" i="12"/>
  <c r="R32" i="12"/>
  <c r="Q33" i="12"/>
  <c r="Q32" i="12"/>
  <c r="R31" i="12"/>
  <c r="Q31" i="12"/>
  <c r="R30" i="12"/>
  <c r="Q30" i="12"/>
  <c r="H100" i="10" l="1"/>
  <c r="J121" i="1" s="1"/>
  <c r="Q34" i="12"/>
  <c r="R34" i="12"/>
  <c r="J92" i="2"/>
  <c r="M94" i="4" s="1"/>
  <c r="J91" i="2"/>
  <c r="M93" i="4" s="1"/>
  <c r="J90" i="2"/>
  <c r="M92" i="4" s="1"/>
  <c r="L93" i="2"/>
  <c r="P95" i="4" s="1"/>
  <c r="L91" i="2"/>
  <c r="L90" i="2"/>
  <c r="P92" i="4" s="1"/>
  <c r="G97" i="4"/>
  <c r="F97" i="4"/>
  <c r="U97" i="4" s="1"/>
  <c r="E97" i="4"/>
  <c r="T97" i="4" s="1"/>
  <c r="G96" i="4"/>
  <c r="F96" i="4"/>
  <c r="U96" i="4" s="1"/>
  <c r="E96" i="4"/>
  <c r="T96" i="4" s="1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U91" i="4" s="1"/>
  <c r="E91" i="4"/>
  <c r="T91" i="4" s="1"/>
  <c r="G90" i="4"/>
  <c r="F90" i="4"/>
  <c r="U90" i="4" s="1"/>
  <c r="E90" i="4"/>
  <c r="T90" i="4" s="1"/>
  <c r="G89" i="4"/>
  <c r="F89" i="4"/>
  <c r="U89" i="4" s="1"/>
  <c r="E89" i="4"/>
  <c r="T89" i="4" s="1"/>
  <c r="G88" i="4"/>
  <c r="F88" i="4"/>
  <c r="U88" i="4" s="1"/>
  <c r="E88" i="4"/>
  <c r="T88" i="4" s="1"/>
  <c r="S97" i="4"/>
  <c r="R97" i="4"/>
  <c r="Q97" i="4"/>
  <c r="P97" i="4"/>
  <c r="O97" i="4"/>
  <c r="N97" i="4"/>
  <c r="M97" i="4"/>
  <c r="L97" i="4"/>
  <c r="K97" i="4"/>
  <c r="J97" i="4"/>
  <c r="I97" i="4"/>
  <c r="H97" i="4"/>
  <c r="S96" i="4"/>
  <c r="R96" i="4"/>
  <c r="Q96" i="4"/>
  <c r="P96" i="4"/>
  <c r="O96" i="4"/>
  <c r="N96" i="4"/>
  <c r="M96" i="4"/>
  <c r="L96" i="4"/>
  <c r="K96" i="4"/>
  <c r="J96" i="4"/>
  <c r="I96" i="4"/>
  <c r="H96" i="4"/>
  <c r="S95" i="4"/>
  <c r="R95" i="4"/>
  <c r="Q95" i="4"/>
  <c r="O95" i="4"/>
  <c r="N95" i="4"/>
  <c r="M95" i="4"/>
  <c r="L95" i="4"/>
  <c r="K95" i="4"/>
  <c r="J95" i="4"/>
  <c r="I95" i="4"/>
  <c r="H95" i="4"/>
  <c r="S94" i="4"/>
  <c r="R94" i="4"/>
  <c r="Q94" i="4"/>
  <c r="P94" i="4"/>
  <c r="O94" i="4"/>
  <c r="N94" i="4"/>
  <c r="L94" i="4"/>
  <c r="K94" i="4"/>
  <c r="J94" i="4"/>
  <c r="I94" i="4"/>
  <c r="H94" i="4"/>
  <c r="S93" i="4"/>
  <c r="R93" i="4"/>
  <c r="Q93" i="4"/>
  <c r="P93" i="4"/>
  <c r="O93" i="4"/>
  <c r="N93" i="4"/>
  <c r="L93" i="4"/>
  <c r="K93" i="4"/>
  <c r="J93" i="4"/>
  <c r="I93" i="4"/>
  <c r="H93" i="4"/>
  <c r="S92" i="4"/>
  <c r="R92" i="4"/>
  <c r="Q92" i="4"/>
  <c r="O92" i="4"/>
  <c r="N92" i="4"/>
  <c r="L92" i="4"/>
  <c r="K92" i="4"/>
  <c r="J92" i="4"/>
  <c r="I92" i="4"/>
  <c r="H92" i="4"/>
  <c r="S91" i="4"/>
  <c r="R91" i="4"/>
  <c r="Q91" i="4"/>
  <c r="P91" i="4"/>
  <c r="O91" i="4"/>
  <c r="N91" i="4"/>
  <c r="M91" i="4"/>
  <c r="L91" i="4"/>
  <c r="K91" i="4"/>
  <c r="J91" i="4"/>
  <c r="I91" i="4"/>
  <c r="H91" i="4"/>
  <c r="S90" i="4"/>
  <c r="R90" i="4"/>
  <c r="Q90" i="4"/>
  <c r="P90" i="4"/>
  <c r="O90" i="4"/>
  <c r="N90" i="4"/>
  <c r="M90" i="4"/>
  <c r="L90" i="4"/>
  <c r="K90" i="4"/>
  <c r="J90" i="4"/>
  <c r="I90" i="4"/>
  <c r="H90" i="4"/>
  <c r="S89" i="4"/>
  <c r="R89" i="4"/>
  <c r="Q89" i="4"/>
  <c r="P89" i="4"/>
  <c r="O89" i="4"/>
  <c r="N89" i="4"/>
  <c r="M89" i="4"/>
  <c r="L89" i="4"/>
  <c r="K89" i="4"/>
  <c r="J89" i="4"/>
  <c r="I89" i="4"/>
  <c r="H89" i="4"/>
  <c r="S88" i="4"/>
  <c r="R88" i="4"/>
  <c r="Q88" i="4"/>
  <c r="P88" i="4"/>
  <c r="O88" i="4"/>
  <c r="N88" i="4"/>
  <c r="M88" i="4"/>
  <c r="L88" i="4"/>
  <c r="K88" i="4"/>
  <c r="J88" i="4"/>
  <c r="I88" i="4"/>
  <c r="H88" i="4"/>
  <c r="B95" i="2"/>
  <c r="B94" i="2"/>
  <c r="B93" i="2"/>
  <c r="B92" i="2"/>
  <c r="B91" i="2"/>
  <c r="B90" i="2"/>
  <c r="B89" i="2"/>
  <c r="B88" i="2"/>
  <c r="B87" i="2"/>
  <c r="B86" i="2"/>
  <c r="B95" i="3"/>
  <c r="B94" i="3"/>
  <c r="B93" i="3"/>
  <c r="B92" i="3"/>
  <c r="B91" i="3"/>
  <c r="B90" i="3"/>
  <c r="B89" i="3"/>
  <c r="B88" i="3"/>
  <c r="B87" i="3"/>
  <c r="B86" i="3"/>
  <c r="B95" i="1"/>
  <c r="B94" i="1"/>
  <c r="B93" i="1"/>
  <c r="B92" i="1"/>
  <c r="B91" i="1"/>
  <c r="B90" i="1"/>
  <c r="B89" i="1"/>
  <c r="B88" i="1"/>
  <c r="B87" i="1"/>
  <c r="B86" i="1"/>
  <c r="N98" i="4" l="1"/>
  <c r="K98" i="4"/>
  <c r="T94" i="4"/>
  <c r="O98" i="4"/>
  <c r="L98" i="4"/>
  <c r="T95" i="4"/>
  <c r="U94" i="4"/>
  <c r="U93" i="4"/>
  <c r="T92" i="4"/>
  <c r="U95" i="4"/>
  <c r="T93" i="4"/>
  <c r="F98" i="4"/>
  <c r="E98" i="4"/>
  <c r="U92" i="4"/>
  <c r="E25" i="12"/>
  <c r="F25" i="12"/>
  <c r="G25" i="12" s="1"/>
  <c r="K29" i="12"/>
  <c r="J29" i="12"/>
  <c r="I29" i="12"/>
  <c r="R28" i="12"/>
  <c r="Q28" i="12"/>
  <c r="R27" i="12"/>
  <c r="Q27" i="12"/>
  <c r="R26" i="12"/>
  <c r="R29" i="12" s="1"/>
  <c r="Q26" i="12"/>
  <c r="Q29" i="12" s="1"/>
  <c r="I25" i="12"/>
  <c r="J25" i="12"/>
  <c r="K25" i="12" s="1"/>
  <c r="M98" i="4" l="1"/>
  <c r="P98" i="4"/>
  <c r="U98" i="4"/>
  <c r="T98" i="4"/>
  <c r="G98" i="4"/>
  <c r="Q25" i="12"/>
  <c r="R25" i="12"/>
  <c r="S86" i="4"/>
  <c r="R86" i="4"/>
  <c r="Q86" i="4"/>
  <c r="P86" i="4"/>
  <c r="O86" i="4"/>
  <c r="N86" i="4"/>
  <c r="M86" i="4"/>
  <c r="L86" i="4"/>
  <c r="K86" i="4"/>
  <c r="S85" i="4"/>
  <c r="R85" i="4"/>
  <c r="Q85" i="4"/>
  <c r="P85" i="4"/>
  <c r="O85" i="4"/>
  <c r="N85" i="4"/>
  <c r="M85" i="4"/>
  <c r="L85" i="4"/>
  <c r="K85" i="4"/>
  <c r="S84" i="4"/>
  <c r="R84" i="4"/>
  <c r="Q84" i="4"/>
  <c r="P84" i="4"/>
  <c r="O84" i="4"/>
  <c r="N84" i="4"/>
  <c r="M84" i="4"/>
  <c r="L84" i="4"/>
  <c r="K84" i="4"/>
  <c r="S83" i="4"/>
  <c r="R83" i="4"/>
  <c r="Q83" i="4"/>
  <c r="P83" i="4"/>
  <c r="O83" i="4"/>
  <c r="N83" i="4"/>
  <c r="M83" i="4"/>
  <c r="L83" i="4"/>
  <c r="K83" i="4"/>
  <c r="S82" i="4"/>
  <c r="R82" i="4"/>
  <c r="Q82" i="4"/>
  <c r="O82" i="4"/>
  <c r="U82" i="4" s="1"/>
  <c r="N82" i="4"/>
  <c r="T82" i="4" s="1"/>
  <c r="M82" i="4"/>
  <c r="L82" i="4"/>
  <c r="K82" i="4"/>
  <c r="S81" i="4"/>
  <c r="R81" i="4"/>
  <c r="Q81" i="4"/>
  <c r="O81" i="4"/>
  <c r="U81" i="4" s="1"/>
  <c r="N81" i="4"/>
  <c r="T81" i="4" s="1"/>
  <c r="M81" i="4"/>
  <c r="L81" i="4"/>
  <c r="K81" i="4"/>
  <c r="S80" i="4"/>
  <c r="R80" i="4"/>
  <c r="Q80" i="4"/>
  <c r="O80" i="4"/>
  <c r="N80" i="4"/>
  <c r="M80" i="4"/>
  <c r="L80" i="4"/>
  <c r="K80" i="4"/>
  <c r="S79" i="4"/>
  <c r="R79" i="4"/>
  <c r="Q79" i="4"/>
  <c r="P79" i="4"/>
  <c r="O79" i="4"/>
  <c r="N79" i="4"/>
  <c r="M79" i="4"/>
  <c r="L79" i="4"/>
  <c r="K79" i="4"/>
  <c r="L80" i="2"/>
  <c r="P82" i="4" s="1"/>
  <c r="L79" i="2"/>
  <c r="P81" i="4" s="1"/>
  <c r="L78" i="2"/>
  <c r="P80" i="4" s="1"/>
  <c r="N87" i="4" l="1"/>
  <c r="O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F80" i="4"/>
  <c r="U80" i="4" s="1"/>
  <c r="E80" i="4"/>
  <c r="T80" i="4" s="1"/>
  <c r="F79" i="4"/>
  <c r="U79" i="4" s="1"/>
  <c r="E79" i="4"/>
  <c r="T79" i="4" s="1"/>
  <c r="F78" i="2"/>
  <c r="G80" i="4" s="1"/>
  <c r="F77" i="2"/>
  <c r="G79" i="4" s="1"/>
  <c r="P87" i="4" l="1"/>
  <c r="E87" i="4"/>
  <c r="T87" i="4"/>
  <c r="U87" i="4"/>
  <c r="F87" i="4"/>
  <c r="F75" i="2"/>
  <c r="F74" i="2"/>
  <c r="F73" i="2"/>
  <c r="F71" i="2"/>
  <c r="F70" i="2"/>
  <c r="F69" i="2"/>
  <c r="F68" i="2"/>
  <c r="G87" i="4" l="1"/>
  <c r="F72" i="3"/>
  <c r="F72" i="1"/>
  <c r="O72" i="1"/>
  <c r="O71" i="1"/>
  <c r="O70" i="1"/>
  <c r="O72" i="3"/>
  <c r="O71" i="3"/>
  <c r="O70" i="3"/>
  <c r="L72" i="2"/>
  <c r="L71" i="2"/>
  <c r="L70" i="2"/>
  <c r="J72" i="2"/>
  <c r="J71" i="2"/>
  <c r="J70" i="2"/>
  <c r="F72" i="2" l="1"/>
  <c r="G74" i="4" s="1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U77" i="4" s="1"/>
  <c r="E77" i="4"/>
  <c r="T77" i="4" s="1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U76" i="4" s="1"/>
  <c r="E76" i="4"/>
  <c r="T76" i="4" s="1"/>
  <c r="B70" i="4"/>
  <c r="B71" i="4"/>
  <c r="O67" i="1"/>
  <c r="S75" i="4"/>
  <c r="R75" i="4"/>
  <c r="Q75" i="4"/>
  <c r="P75" i="4"/>
  <c r="O75" i="4"/>
  <c r="N75" i="4"/>
  <c r="M75" i="4"/>
  <c r="L75" i="4"/>
  <c r="K75" i="4"/>
  <c r="J75" i="4"/>
  <c r="I75" i="4"/>
  <c r="H75" i="4"/>
  <c r="S74" i="4"/>
  <c r="R74" i="4"/>
  <c r="Q74" i="4"/>
  <c r="P74" i="4"/>
  <c r="O74" i="4"/>
  <c r="N74" i="4"/>
  <c r="M74" i="4"/>
  <c r="L74" i="4"/>
  <c r="K74" i="4"/>
  <c r="J74" i="4"/>
  <c r="I74" i="4"/>
  <c r="H74" i="4"/>
  <c r="S73" i="4"/>
  <c r="R73" i="4"/>
  <c r="Q73" i="4"/>
  <c r="P73" i="4"/>
  <c r="O73" i="4"/>
  <c r="N73" i="4"/>
  <c r="M73" i="4"/>
  <c r="L73" i="4"/>
  <c r="K73" i="4"/>
  <c r="J73" i="4"/>
  <c r="I73" i="4"/>
  <c r="H73" i="4"/>
  <c r="S72" i="4"/>
  <c r="R72" i="4"/>
  <c r="Q72" i="4"/>
  <c r="P72" i="4"/>
  <c r="O72" i="4"/>
  <c r="N72" i="4"/>
  <c r="M72" i="4"/>
  <c r="L72" i="4"/>
  <c r="K72" i="4"/>
  <c r="J72" i="4"/>
  <c r="I72" i="4"/>
  <c r="H72" i="4"/>
  <c r="S71" i="4"/>
  <c r="R71" i="4"/>
  <c r="Q71" i="4"/>
  <c r="P71" i="4"/>
  <c r="O71" i="4"/>
  <c r="N71" i="4"/>
  <c r="M71" i="4"/>
  <c r="L71" i="4"/>
  <c r="K71" i="4"/>
  <c r="J71" i="4"/>
  <c r="I71" i="4"/>
  <c r="H71" i="4"/>
  <c r="S70" i="4"/>
  <c r="R70" i="4"/>
  <c r="Q70" i="4"/>
  <c r="P70" i="4"/>
  <c r="O70" i="4"/>
  <c r="N70" i="4"/>
  <c r="M70" i="4"/>
  <c r="L70" i="4"/>
  <c r="K70" i="4"/>
  <c r="J70" i="4"/>
  <c r="I70" i="4"/>
  <c r="H70" i="4"/>
  <c r="S69" i="4"/>
  <c r="R69" i="4"/>
  <c r="Q69" i="4"/>
  <c r="P69" i="4"/>
  <c r="O69" i="4"/>
  <c r="N69" i="4"/>
  <c r="M69" i="4"/>
  <c r="L69" i="4"/>
  <c r="K69" i="4"/>
  <c r="J69" i="4"/>
  <c r="I69" i="4"/>
  <c r="H69" i="4"/>
  <c r="G75" i="4"/>
  <c r="F75" i="4"/>
  <c r="U75" i="4" s="1"/>
  <c r="E75" i="4"/>
  <c r="T75" i="4" s="1"/>
  <c r="F74" i="4"/>
  <c r="E74" i="4"/>
  <c r="G73" i="4"/>
  <c r="F73" i="4"/>
  <c r="E73" i="4"/>
  <c r="G72" i="4"/>
  <c r="F72" i="4"/>
  <c r="E72" i="4"/>
  <c r="G71" i="4"/>
  <c r="F71" i="4"/>
  <c r="U71" i="4" s="1"/>
  <c r="E71" i="4"/>
  <c r="T71" i="4" s="1"/>
  <c r="G70" i="4"/>
  <c r="F70" i="4"/>
  <c r="U70" i="4" s="1"/>
  <c r="E70" i="4"/>
  <c r="F69" i="4"/>
  <c r="E69" i="4"/>
  <c r="T69" i="4" s="1"/>
  <c r="F67" i="2"/>
  <c r="G69" i="4" s="1"/>
  <c r="K78" i="4" l="1"/>
  <c r="L78" i="4"/>
  <c r="U73" i="4"/>
  <c r="T73" i="4"/>
  <c r="N78" i="4"/>
  <c r="U72" i="4"/>
  <c r="O78" i="4"/>
  <c r="T72" i="4"/>
  <c r="T74" i="4"/>
  <c r="U74" i="4"/>
  <c r="F78" i="4"/>
  <c r="E78" i="4"/>
  <c r="U69" i="4"/>
  <c r="T70" i="4"/>
  <c r="S67" i="4"/>
  <c r="R67" i="4"/>
  <c r="Q67" i="4"/>
  <c r="P67" i="4"/>
  <c r="O67" i="4"/>
  <c r="N67" i="4"/>
  <c r="M67" i="4"/>
  <c r="L67" i="4"/>
  <c r="K67" i="4"/>
  <c r="J67" i="4"/>
  <c r="I67" i="4"/>
  <c r="H67" i="4"/>
  <c r="S66" i="4"/>
  <c r="R66" i="4"/>
  <c r="Q66" i="4"/>
  <c r="P66" i="4"/>
  <c r="O66" i="4"/>
  <c r="N66" i="4"/>
  <c r="M66" i="4"/>
  <c r="L66" i="4"/>
  <c r="K66" i="4"/>
  <c r="J66" i="4"/>
  <c r="I66" i="4"/>
  <c r="H66" i="4"/>
  <c r="S65" i="4"/>
  <c r="R65" i="4"/>
  <c r="Q65" i="4"/>
  <c r="P65" i="4"/>
  <c r="O65" i="4"/>
  <c r="N65" i="4"/>
  <c r="M65" i="4"/>
  <c r="L65" i="4"/>
  <c r="K65" i="4"/>
  <c r="J65" i="4"/>
  <c r="I65" i="4"/>
  <c r="H65" i="4"/>
  <c r="S64" i="4"/>
  <c r="R64" i="4"/>
  <c r="Q64" i="4"/>
  <c r="P64" i="4"/>
  <c r="O64" i="4"/>
  <c r="N64" i="4"/>
  <c r="M64" i="4"/>
  <c r="L64" i="4"/>
  <c r="K64" i="4"/>
  <c r="J64" i="4"/>
  <c r="I64" i="4"/>
  <c r="H64" i="4"/>
  <c r="F67" i="4"/>
  <c r="U67" i="4" s="1"/>
  <c r="E67" i="4"/>
  <c r="T67" i="4" s="1"/>
  <c r="G66" i="4"/>
  <c r="F66" i="4"/>
  <c r="U66" i="4" s="1"/>
  <c r="E66" i="4"/>
  <c r="T66" i="4" s="1"/>
  <c r="F65" i="4"/>
  <c r="U65" i="4" s="1"/>
  <c r="E65" i="4"/>
  <c r="T65" i="4" s="1"/>
  <c r="F64" i="4"/>
  <c r="E64" i="4"/>
  <c r="T64" i="4" s="1"/>
  <c r="B67" i="4"/>
  <c r="B66" i="4"/>
  <c r="B65" i="4"/>
  <c r="B64" i="4"/>
  <c r="B62" i="4"/>
  <c r="B61" i="4"/>
  <c r="B60" i="4"/>
  <c r="B59" i="4"/>
  <c r="B58" i="4"/>
  <c r="B57" i="4"/>
  <c r="B56" i="4"/>
  <c r="B55" i="4"/>
  <c r="F57" i="1"/>
  <c r="F57" i="3"/>
  <c r="M78" i="4" l="1"/>
  <c r="P78" i="4"/>
  <c r="F68" i="4"/>
  <c r="U78" i="4"/>
  <c r="T78" i="4"/>
  <c r="G78" i="4"/>
  <c r="T68" i="4"/>
  <c r="U64" i="4"/>
  <c r="U68" i="4" s="1"/>
  <c r="E68" i="4"/>
  <c r="F65" i="2"/>
  <c r="G67" i="4" s="1"/>
  <c r="F63" i="2"/>
  <c r="G65" i="4" s="1"/>
  <c r="F62" i="2"/>
  <c r="G64" i="4" s="1"/>
  <c r="G68" i="4" l="1"/>
  <c r="F60" i="2"/>
  <c r="F59" i="2"/>
  <c r="F58" i="2"/>
  <c r="F57" i="2"/>
  <c r="O55" i="3" l="1"/>
  <c r="O58" i="3"/>
  <c r="O57" i="3"/>
  <c r="O56" i="3"/>
  <c r="O41" i="3"/>
  <c r="O40" i="3"/>
  <c r="O39" i="3"/>
  <c r="O58" i="1"/>
  <c r="O57" i="1"/>
  <c r="O56" i="1"/>
  <c r="O55" i="1"/>
  <c r="O65" i="1"/>
  <c r="O64" i="1"/>
  <c r="O63" i="1"/>
  <c r="O62" i="1"/>
  <c r="O60" i="1"/>
  <c r="O59" i="1"/>
  <c r="O54" i="1"/>
  <c r="O53" i="1"/>
  <c r="O52" i="1"/>
  <c r="O51" i="1"/>
  <c r="O41" i="1"/>
  <c r="O40" i="1"/>
  <c r="O39" i="1"/>
  <c r="O49" i="1"/>
  <c r="O48" i="1"/>
  <c r="O47" i="1"/>
  <c r="O46" i="1"/>
  <c r="O45" i="1"/>
  <c r="O44" i="1"/>
  <c r="O43" i="1"/>
  <c r="O42" i="1"/>
  <c r="O38" i="1"/>
  <c r="O37" i="1"/>
  <c r="O36" i="1"/>
  <c r="O35" i="1"/>
  <c r="F120" i="1"/>
  <c r="F122" i="1" s="1"/>
  <c r="F122" i="4" s="1"/>
  <c r="J120" i="1"/>
  <c r="L120" i="1"/>
  <c r="R20" i="12"/>
  <c r="Q20" i="12"/>
  <c r="R19" i="12"/>
  <c r="Q19" i="12"/>
  <c r="R18" i="12"/>
  <c r="Q18" i="12"/>
  <c r="R17" i="12"/>
  <c r="Q17" i="12"/>
  <c r="I21" i="12"/>
  <c r="J21" i="12"/>
  <c r="K21" i="12" l="1"/>
  <c r="R21" i="12"/>
  <c r="Q21" i="12"/>
  <c r="F56" i="2"/>
  <c r="F55" i="2"/>
  <c r="F54" i="2"/>
  <c r="F53" i="2"/>
  <c r="F52" i="2"/>
  <c r="F51" i="2"/>
  <c r="L58" i="2" l="1"/>
  <c r="P60" i="4" s="1"/>
  <c r="L57" i="2"/>
  <c r="P59" i="4" s="1"/>
  <c r="L56" i="2"/>
  <c r="P58" i="4" s="1"/>
  <c r="L55" i="2"/>
  <c r="P57" i="4" s="1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U62" i="4" s="1"/>
  <c r="E62" i="4"/>
  <c r="T62" i="4" s="1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U61" i="4" s="1"/>
  <c r="E61" i="4"/>
  <c r="T61" i="4" s="1"/>
  <c r="S60" i="4"/>
  <c r="R60" i="4"/>
  <c r="Q60" i="4"/>
  <c r="O60" i="4"/>
  <c r="N60" i="4"/>
  <c r="M60" i="4"/>
  <c r="L60" i="4"/>
  <c r="K60" i="4"/>
  <c r="J60" i="4"/>
  <c r="I60" i="4"/>
  <c r="H60" i="4"/>
  <c r="G60" i="4"/>
  <c r="F60" i="4"/>
  <c r="E60" i="4"/>
  <c r="S59" i="4"/>
  <c r="R59" i="4"/>
  <c r="Q59" i="4"/>
  <c r="O59" i="4"/>
  <c r="N59" i="4"/>
  <c r="M59" i="4"/>
  <c r="L59" i="4"/>
  <c r="K59" i="4"/>
  <c r="J59" i="4"/>
  <c r="I59" i="4"/>
  <c r="H59" i="4"/>
  <c r="G59" i="4"/>
  <c r="F59" i="4"/>
  <c r="E59" i="4"/>
  <c r="S58" i="4"/>
  <c r="R58" i="4"/>
  <c r="Q58" i="4"/>
  <c r="O58" i="4"/>
  <c r="N58" i="4"/>
  <c r="M58" i="4"/>
  <c r="L58" i="4"/>
  <c r="K58" i="4"/>
  <c r="J58" i="4"/>
  <c r="I58" i="4"/>
  <c r="H58" i="4"/>
  <c r="G58" i="4"/>
  <c r="F58" i="4"/>
  <c r="E58" i="4"/>
  <c r="S57" i="4"/>
  <c r="R57" i="4"/>
  <c r="Q57" i="4"/>
  <c r="O57" i="4"/>
  <c r="N57" i="4"/>
  <c r="M57" i="4"/>
  <c r="L57" i="4"/>
  <c r="K57" i="4"/>
  <c r="J57" i="4"/>
  <c r="I57" i="4"/>
  <c r="H57" i="4"/>
  <c r="G57" i="4"/>
  <c r="F57" i="4"/>
  <c r="E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U56" i="4" s="1"/>
  <c r="E56" i="4"/>
  <c r="T56" i="4" s="1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U55" i="4" s="1"/>
  <c r="E55" i="4"/>
  <c r="T55" i="4" s="1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U54" i="4" s="1"/>
  <c r="E54" i="4"/>
  <c r="T54" i="4" s="1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U53" i="4" s="1"/>
  <c r="E53" i="4"/>
  <c r="T53" i="4" s="1"/>
  <c r="B54" i="4"/>
  <c r="B53" i="4"/>
  <c r="S51" i="4"/>
  <c r="R51" i="4"/>
  <c r="Q51" i="4"/>
  <c r="P51" i="4"/>
  <c r="O51" i="4"/>
  <c r="N51" i="4"/>
  <c r="M51" i="4"/>
  <c r="L51" i="4"/>
  <c r="K51" i="4"/>
  <c r="J51" i="4"/>
  <c r="I51" i="4"/>
  <c r="H51" i="4"/>
  <c r="F51" i="4"/>
  <c r="U51" i="4" s="1"/>
  <c r="E51" i="4"/>
  <c r="T51" i="4" s="1"/>
  <c r="S50" i="4"/>
  <c r="R50" i="4"/>
  <c r="Q50" i="4"/>
  <c r="P50" i="4"/>
  <c r="O50" i="4"/>
  <c r="N50" i="4"/>
  <c r="M50" i="4"/>
  <c r="L50" i="4"/>
  <c r="K50" i="4"/>
  <c r="J50" i="4"/>
  <c r="I50" i="4"/>
  <c r="H50" i="4"/>
  <c r="F50" i="4"/>
  <c r="U50" i="4" s="1"/>
  <c r="E50" i="4"/>
  <c r="T50" i="4" s="1"/>
  <c r="S49" i="4"/>
  <c r="R49" i="4"/>
  <c r="Q49" i="4"/>
  <c r="P49" i="4"/>
  <c r="O49" i="4"/>
  <c r="N49" i="4"/>
  <c r="M49" i="4"/>
  <c r="L49" i="4"/>
  <c r="K49" i="4"/>
  <c r="J49" i="4"/>
  <c r="I49" i="4"/>
  <c r="H49" i="4"/>
  <c r="F49" i="4"/>
  <c r="U49" i="4" s="1"/>
  <c r="E49" i="4"/>
  <c r="T49" i="4" s="1"/>
  <c r="S48" i="4"/>
  <c r="R48" i="4"/>
  <c r="Q48" i="4"/>
  <c r="P48" i="4"/>
  <c r="O48" i="4"/>
  <c r="N48" i="4"/>
  <c r="M48" i="4"/>
  <c r="L48" i="4"/>
  <c r="K48" i="4"/>
  <c r="J48" i="4"/>
  <c r="I48" i="4"/>
  <c r="H48" i="4"/>
  <c r="F48" i="4"/>
  <c r="U48" i="4" s="1"/>
  <c r="E48" i="4"/>
  <c r="T48" i="4" s="1"/>
  <c r="S47" i="4"/>
  <c r="R47" i="4"/>
  <c r="Q47" i="4"/>
  <c r="P47" i="4"/>
  <c r="O47" i="4"/>
  <c r="N47" i="4"/>
  <c r="M47" i="4"/>
  <c r="L47" i="4"/>
  <c r="K47" i="4"/>
  <c r="J47" i="4"/>
  <c r="I47" i="4"/>
  <c r="H47" i="4"/>
  <c r="F47" i="4"/>
  <c r="U47" i="4" s="1"/>
  <c r="E47" i="4"/>
  <c r="T47" i="4" s="1"/>
  <c r="S46" i="4"/>
  <c r="R46" i="4"/>
  <c r="Q46" i="4"/>
  <c r="P46" i="4"/>
  <c r="O46" i="4"/>
  <c r="N46" i="4"/>
  <c r="M46" i="4"/>
  <c r="L46" i="4"/>
  <c r="K46" i="4"/>
  <c r="J46" i="4"/>
  <c r="I46" i="4"/>
  <c r="H46" i="4"/>
  <c r="F46" i="4"/>
  <c r="U46" i="4" s="1"/>
  <c r="E46" i="4"/>
  <c r="T46" i="4" s="1"/>
  <c r="S45" i="4"/>
  <c r="R45" i="4"/>
  <c r="Q45" i="4"/>
  <c r="P45" i="4"/>
  <c r="O45" i="4"/>
  <c r="N45" i="4"/>
  <c r="M45" i="4"/>
  <c r="L45" i="4"/>
  <c r="K45" i="4"/>
  <c r="J45" i="4"/>
  <c r="I45" i="4"/>
  <c r="H45" i="4"/>
  <c r="F45" i="4"/>
  <c r="U45" i="4" s="1"/>
  <c r="E45" i="4"/>
  <c r="T45" i="4" s="1"/>
  <c r="U60" i="4" l="1"/>
  <c r="U59" i="4"/>
  <c r="U58" i="4"/>
  <c r="T60" i="4"/>
  <c r="T58" i="4"/>
  <c r="T57" i="4"/>
  <c r="T59" i="4"/>
  <c r="U57" i="4"/>
  <c r="O63" i="4"/>
  <c r="E63" i="4"/>
  <c r="F63" i="4"/>
  <c r="N63" i="4"/>
  <c r="B84" i="2"/>
  <c r="B83" i="2"/>
  <c r="B82" i="2"/>
  <c r="B81" i="2"/>
  <c r="B80" i="2"/>
  <c r="B79" i="2"/>
  <c r="B78" i="2"/>
  <c r="B77" i="2"/>
  <c r="B75" i="2"/>
  <c r="B74" i="2"/>
  <c r="B73" i="2"/>
  <c r="B72" i="2"/>
  <c r="B71" i="2"/>
  <c r="B70" i="2"/>
  <c r="B69" i="2"/>
  <c r="B68" i="2"/>
  <c r="B67" i="2"/>
  <c r="B65" i="2"/>
  <c r="B64" i="2"/>
  <c r="B63" i="2"/>
  <c r="B62" i="2"/>
  <c r="B60" i="2"/>
  <c r="B59" i="2"/>
  <c r="B58" i="2"/>
  <c r="B57" i="2"/>
  <c r="B56" i="2"/>
  <c r="B55" i="2"/>
  <c r="B54" i="2"/>
  <c r="B53" i="2"/>
  <c r="B52" i="2"/>
  <c r="B51" i="2"/>
  <c r="U63" i="4" l="1"/>
  <c r="P63" i="4"/>
  <c r="T63" i="4"/>
  <c r="G63" i="4"/>
  <c r="B84" i="1"/>
  <c r="B83" i="1"/>
  <c r="B82" i="1"/>
  <c r="B81" i="1"/>
  <c r="B80" i="1"/>
  <c r="B79" i="1"/>
  <c r="B78" i="1"/>
  <c r="B77" i="1"/>
  <c r="B75" i="1"/>
  <c r="B74" i="1"/>
  <c r="B73" i="1"/>
  <c r="B72" i="1"/>
  <c r="B71" i="1"/>
  <c r="B70" i="1"/>
  <c r="B69" i="1"/>
  <c r="B68" i="1"/>
  <c r="B67" i="1"/>
  <c r="B65" i="1"/>
  <c r="B64" i="1"/>
  <c r="B63" i="1"/>
  <c r="B62" i="1"/>
  <c r="B60" i="1"/>
  <c r="B59" i="1"/>
  <c r="B58" i="1"/>
  <c r="B57" i="1"/>
  <c r="B56" i="1"/>
  <c r="B55" i="1"/>
  <c r="B54" i="1"/>
  <c r="B53" i="1"/>
  <c r="B52" i="1"/>
  <c r="B51" i="1"/>
  <c r="O84" i="3"/>
  <c r="O83" i="3"/>
  <c r="O82" i="3"/>
  <c r="O81" i="3"/>
  <c r="O80" i="3"/>
  <c r="O79" i="3"/>
  <c r="O78" i="3"/>
  <c r="O77" i="3"/>
  <c r="O75" i="3"/>
  <c r="O74" i="3"/>
  <c r="O73" i="3"/>
  <c r="O69" i="3"/>
  <c r="O68" i="3"/>
  <c r="O67" i="3"/>
  <c r="O65" i="3"/>
  <c r="O64" i="3"/>
  <c r="O63" i="3"/>
  <c r="O62" i="3"/>
  <c r="O60" i="3"/>
  <c r="O59" i="3"/>
  <c r="O54" i="3"/>
  <c r="O53" i="3"/>
  <c r="O52" i="3"/>
  <c r="O51" i="3"/>
  <c r="O49" i="3"/>
  <c r="O48" i="3"/>
  <c r="O47" i="3"/>
  <c r="O46" i="3"/>
  <c r="O45" i="3"/>
  <c r="O44" i="3"/>
  <c r="O43" i="3"/>
  <c r="O42" i="3"/>
  <c r="O38" i="3"/>
  <c r="O37" i="3"/>
  <c r="O36" i="3"/>
  <c r="B84" i="3"/>
  <c r="B83" i="3"/>
  <c r="B82" i="3"/>
  <c r="B81" i="3"/>
  <c r="B80" i="3"/>
  <c r="B79" i="3"/>
  <c r="B78" i="3"/>
  <c r="B77" i="3"/>
  <c r="B75" i="3"/>
  <c r="B74" i="3"/>
  <c r="B73" i="3"/>
  <c r="B72" i="3"/>
  <c r="B71" i="3"/>
  <c r="B70" i="3"/>
  <c r="B69" i="3"/>
  <c r="B68" i="3"/>
  <c r="B67" i="3"/>
  <c r="B65" i="3"/>
  <c r="B64" i="3"/>
  <c r="B63" i="3"/>
  <c r="B62" i="3"/>
  <c r="B60" i="3"/>
  <c r="B59" i="3"/>
  <c r="B58" i="3"/>
  <c r="B57" i="3"/>
  <c r="B56" i="3"/>
  <c r="B55" i="3"/>
  <c r="B54" i="3"/>
  <c r="B53" i="3"/>
  <c r="B52" i="3"/>
  <c r="B51" i="3"/>
  <c r="O35" i="3" l="1"/>
  <c r="F33" i="2"/>
  <c r="F32" i="2"/>
  <c r="O33" i="1"/>
  <c r="O32" i="1"/>
  <c r="F33" i="4"/>
  <c r="U33" i="4" s="1"/>
  <c r="E33" i="4"/>
  <c r="T33" i="4" s="1"/>
  <c r="O33" i="3"/>
  <c r="O32" i="3"/>
  <c r="S44" i="4"/>
  <c r="R44" i="4"/>
  <c r="Q44" i="4"/>
  <c r="P44" i="4"/>
  <c r="O44" i="4"/>
  <c r="N44" i="4"/>
  <c r="M44" i="4"/>
  <c r="L44" i="4"/>
  <c r="K44" i="4"/>
  <c r="J44" i="4"/>
  <c r="I44" i="4"/>
  <c r="H44" i="4"/>
  <c r="F44" i="4"/>
  <c r="U44" i="4" s="1"/>
  <c r="E44" i="4"/>
  <c r="T44" i="4" s="1"/>
  <c r="G51" i="4"/>
  <c r="G50" i="4"/>
  <c r="F47" i="2"/>
  <c r="G49" i="4" s="1"/>
  <c r="F46" i="2"/>
  <c r="G48" i="4" s="1"/>
  <c r="F45" i="2"/>
  <c r="G47" i="4" s="1"/>
  <c r="F44" i="2"/>
  <c r="G46" i="4" s="1"/>
  <c r="F43" i="2"/>
  <c r="G45" i="4" s="1"/>
  <c r="F42" i="2"/>
  <c r="G44" i="4" s="1"/>
  <c r="F41" i="2"/>
  <c r="F40" i="2"/>
  <c r="F39" i="2"/>
  <c r="F38" i="2"/>
  <c r="F37" i="2"/>
  <c r="F36" i="2"/>
  <c r="F35" i="2" l="1"/>
  <c r="G37" i="4" s="1"/>
  <c r="L41" i="2"/>
  <c r="P43" i="4" s="1"/>
  <c r="L40" i="2"/>
  <c r="P42" i="4" s="1"/>
  <c r="L39" i="2"/>
  <c r="P41" i="4" s="1"/>
  <c r="J40" i="2"/>
  <c r="M42" i="4" s="1"/>
  <c r="J39" i="2"/>
  <c r="M41" i="4" s="1"/>
  <c r="R15" i="12"/>
  <c r="R14" i="12"/>
  <c r="R13" i="12"/>
  <c r="Q15" i="12"/>
  <c r="Q14" i="12"/>
  <c r="Q13" i="12"/>
  <c r="I16" i="12"/>
  <c r="J16" i="12"/>
  <c r="E16" i="12"/>
  <c r="F16" i="12"/>
  <c r="S43" i="4"/>
  <c r="R43" i="4"/>
  <c r="Q43" i="4"/>
  <c r="O43" i="4"/>
  <c r="N43" i="4"/>
  <c r="M43" i="4"/>
  <c r="L43" i="4"/>
  <c r="K43" i="4"/>
  <c r="J43" i="4"/>
  <c r="I43" i="4"/>
  <c r="H43" i="4"/>
  <c r="G43" i="4"/>
  <c r="F43" i="4"/>
  <c r="E43" i="4"/>
  <c r="S42" i="4"/>
  <c r="R42" i="4"/>
  <c r="Q42" i="4"/>
  <c r="O42" i="4"/>
  <c r="N42" i="4"/>
  <c r="L42" i="4"/>
  <c r="K42" i="4"/>
  <c r="J42" i="4"/>
  <c r="I42" i="4"/>
  <c r="H42" i="4"/>
  <c r="G42" i="4"/>
  <c r="F42" i="4"/>
  <c r="E42" i="4"/>
  <c r="S41" i="4"/>
  <c r="R41" i="4"/>
  <c r="Q41" i="4"/>
  <c r="O41" i="4"/>
  <c r="N41" i="4"/>
  <c r="L41" i="4"/>
  <c r="K41" i="4"/>
  <c r="J41" i="4"/>
  <c r="I41" i="4"/>
  <c r="H41" i="4"/>
  <c r="G41" i="4"/>
  <c r="F41" i="4"/>
  <c r="E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U40" i="4" s="1"/>
  <c r="E40" i="4"/>
  <c r="T40" i="4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U39" i="4" s="1"/>
  <c r="E39" i="4"/>
  <c r="T39" i="4" s="1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U38" i="4" s="1"/>
  <c r="E38" i="4"/>
  <c r="T38" i="4" s="1"/>
  <c r="S37" i="4"/>
  <c r="R37" i="4"/>
  <c r="Q37" i="4"/>
  <c r="P37" i="4"/>
  <c r="O37" i="4"/>
  <c r="N37" i="4"/>
  <c r="M37" i="4"/>
  <c r="L37" i="4"/>
  <c r="K37" i="4"/>
  <c r="J37" i="4"/>
  <c r="I37" i="4"/>
  <c r="H37" i="4"/>
  <c r="F37" i="4"/>
  <c r="E37" i="4"/>
  <c r="S35" i="4"/>
  <c r="R35" i="4"/>
  <c r="Q35" i="4"/>
  <c r="P35" i="4"/>
  <c r="O35" i="4"/>
  <c r="N35" i="4"/>
  <c r="L35" i="4"/>
  <c r="K35" i="4"/>
  <c r="J35" i="4"/>
  <c r="I35" i="4"/>
  <c r="H35" i="4"/>
  <c r="S34" i="4"/>
  <c r="R34" i="4"/>
  <c r="Q34" i="4"/>
  <c r="O34" i="4"/>
  <c r="N34" i="4"/>
  <c r="L34" i="4"/>
  <c r="K34" i="4"/>
  <c r="J34" i="4"/>
  <c r="I34" i="4"/>
  <c r="H34" i="4"/>
  <c r="B37" i="4"/>
  <c r="B38" i="4"/>
  <c r="B39" i="4"/>
  <c r="B40" i="4"/>
  <c r="B41" i="4"/>
  <c r="B42" i="4"/>
  <c r="B43" i="4"/>
  <c r="G35" i="4"/>
  <c r="F35" i="4"/>
  <c r="U35" i="4" s="1"/>
  <c r="E35" i="4"/>
  <c r="T35" i="4" s="1"/>
  <c r="G34" i="4"/>
  <c r="F34" i="4"/>
  <c r="U34" i="4" s="1"/>
  <c r="E34" i="4"/>
  <c r="T34" i="4" s="1"/>
  <c r="S33" i="4"/>
  <c r="R33" i="4"/>
  <c r="Q33" i="4"/>
  <c r="P33" i="4"/>
  <c r="O33" i="4"/>
  <c r="N33" i="4"/>
  <c r="M33" i="4"/>
  <c r="L33" i="4"/>
  <c r="K33" i="4"/>
  <c r="J33" i="4"/>
  <c r="I33" i="4"/>
  <c r="H33" i="4"/>
  <c r="P34" i="4"/>
  <c r="M35" i="4"/>
  <c r="M34" i="4"/>
  <c r="K16" i="12" l="1"/>
  <c r="Q16" i="12"/>
  <c r="R16" i="12"/>
  <c r="K48" i="12"/>
  <c r="E52" i="4"/>
  <c r="F52" i="4"/>
  <c r="T43" i="4"/>
  <c r="T41" i="4"/>
  <c r="L52" i="4"/>
  <c r="K52" i="4"/>
  <c r="N52" i="4"/>
  <c r="U41" i="4"/>
  <c r="O52" i="4"/>
  <c r="U43" i="4"/>
  <c r="T42" i="4"/>
  <c r="U42" i="4"/>
  <c r="T37" i="4"/>
  <c r="U37" i="4"/>
  <c r="G16" i="12"/>
  <c r="P121" i="4" l="1"/>
  <c r="T52" i="4"/>
  <c r="M52" i="4"/>
  <c r="U52" i="4"/>
  <c r="P52" i="4"/>
  <c r="G52" i="4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3" i="2"/>
  <c r="B32" i="2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3" i="3"/>
  <c r="B32" i="3"/>
  <c r="B49" i="1"/>
  <c r="B48" i="1"/>
  <c r="B47" i="1"/>
  <c r="B46" i="1"/>
  <c r="B45" i="1"/>
  <c r="B44" i="1" l="1"/>
  <c r="B43" i="1"/>
  <c r="B42" i="1"/>
  <c r="B41" i="1"/>
  <c r="B40" i="1"/>
  <c r="B39" i="1"/>
  <c r="B38" i="1"/>
  <c r="B37" i="1"/>
  <c r="B36" i="1"/>
  <c r="B35" i="1"/>
  <c r="B33" i="1"/>
  <c r="B32" i="1"/>
  <c r="B35" i="4"/>
  <c r="B34" i="4"/>
  <c r="B33" i="4"/>
  <c r="F32" i="4"/>
  <c r="E32" i="4"/>
  <c r="F31" i="4"/>
  <c r="E31" i="4"/>
  <c r="F30" i="4"/>
  <c r="E30" i="4"/>
  <c r="F31" i="2" l="1"/>
  <c r="G33" i="4" s="1"/>
  <c r="F30" i="2"/>
  <c r="G32" i="4" s="1"/>
  <c r="F29" i="2"/>
  <c r="G31" i="4" s="1"/>
  <c r="F28" i="2"/>
  <c r="G30" i="4" s="1"/>
  <c r="F27" i="2"/>
  <c r="G29" i="4" s="1"/>
  <c r="B31" i="2"/>
  <c r="B30" i="2"/>
  <c r="B29" i="2"/>
  <c r="B28" i="2"/>
  <c r="B27" i="2"/>
  <c r="F29" i="4"/>
  <c r="E29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B32" i="4"/>
  <c r="B31" i="4"/>
  <c r="B30" i="4"/>
  <c r="B29" i="4"/>
  <c r="O31" i="3"/>
  <c r="O30" i="3"/>
  <c r="O29" i="3"/>
  <c r="O28" i="3"/>
  <c r="O27" i="3"/>
  <c r="O26" i="3"/>
  <c r="O25" i="3"/>
  <c r="O24" i="3"/>
  <c r="O23" i="3"/>
  <c r="O31" i="1"/>
  <c r="O30" i="1"/>
  <c r="O29" i="1"/>
  <c r="O28" i="1"/>
  <c r="O27" i="1"/>
  <c r="O26" i="1"/>
  <c r="O25" i="1"/>
  <c r="O24" i="1"/>
  <c r="O23" i="1"/>
  <c r="B31" i="3"/>
  <c r="B30" i="3"/>
  <c r="B29" i="3"/>
  <c r="B28" i="3"/>
  <c r="B31" i="1"/>
  <c r="B30" i="1"/>
  <c r="B29" i="1"/>
  <c r="B28" i="1"/>
  <c r="B27" i="1"/>
  <c r="B27" i="3"/>
  <c r="U31" i="4" l="1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S28" i="4"/>
  <c r="R28" i="4"/>
  <c r="Q28" i="4"/>
  <c r="P28" i="4"/>
  <c r="O28" i="4"/>
  <c r="N28" i="4"/>
  <c r="M28" i="4"/>
  <c r="L28" i="4"/>
  <c r="K28" i="4"/>
  <c r="J28" i="4"/>
  <c r="I28" i="4"/>
  <c r="H28" i="4"/>
  <c r="S27" i="4"/>
  <c r="R27" i="4"/>
  <c r="Q27" i="4"/>
  <c r="P27" i="4"/>
  <c r="O27" i="4"/>
  <c r="N27" i="4"/>
  <c r="M27" i="4"/>
  <c r="L27" i="4"/>
  <c r="K27" i="4"/>
  <c r="J27" i="4"/>
  <c r="I27" i="4"/>
  <c r="H27" i="4"/>
  <c r="S26" i="4"/>
  <c r="R26" i="4"/>
  <c r="Q26" i="4"/>
  <c r="P26" i="4"/>
  <c r="O26" i="4"/>
  <c r="N26" i="4"/>
  <c r="M26" i="4"/>
  <c r="L26" i="4"/>
  <c r="K26" i="4"/>
  <c r="J26" i="4"/>
  <c r="I26" i="4"/>
  <c r="H26" i="4"/>
  <c r="S25" i="4"/>
  <c r="R25" i="4"/>
  <c r="Q25" i="4"/>
  <c r="P25" i="4"/>
  <c r="O25" i="4"/>
  <c r="N25" i="4"/>
  <c r="M25" i="4"/>
  <c r="L25" i="4"/>
  <c r="K25" i="4"/>
  <c r="J25" i="4"/>
  <c r="I25" i="4"/>
  <c r="H25" i="4"/>
  <c r="F26" i="2"/>
  <c r="G28" i="4" s="1"/>
  <c r="F25" i="2"/>
  <c r="G27" i="4" s="1"/>
  <c r="F24" i="2"/>
  <c r="G26" i="4" s="1"/>
  <c r="F23" i="2"/>
  <c r="G25" i="4" s="1"/>
  <c r="F28" i="4"/>
  <c r="U28" i="4" s="1"/>
  <c r="E28" i="4"/>
  <c r="T28" i="4" s="1"/>
  <c r="F27" i="4"/>
  <c r="U27" i="4" s="1"/>
  <c r="E27" i="4"/>
  <c r="T27" i="4" s="1"/>
  <c r="F26" i="4"/>
  <c r="U26" i="4" s="1"/>
  <c r="E26" i="4"/>
  <c r="T26" i="4" s="1"/>
  <c r="F25" i="4"/>
  <c r="U25" i="4" s="1"/>
  <c r="E25" i="4"/>
  <c r="B26" i="2"/>
  <c r="B25" i="2"/>
  <c r="B24" i="2"/>
  <c r="B23" i="2"/>
  <c r="B26" i="3"/>
  <c r="B25" i="3"/>
  <c r="B24" i="3"/>
  <c r="B23" i="3"/>
  <c r="B26" i="1"/>
  <c r="B25" i="1"/>
  <c r="B24" i="1"/>
  <c r="B23" i="1"/>
  <c r="U36" i="4" l="1"/>
  <c r="E36" i="4"/>
  <c r="F36" i="4"/>
  <c r="T25" i="4"/>
  <c r="T36" i="4" s="1"/>
  <c r="R11" i="12"/>
  <c r="R12" i="12" s="1"/>
  <c r="Q11" i="12"/>
  <c r="Q12" i="12" s="1"/>
  <c r="E12" i="12"/>
  <c r="F12" i="12"/>
  <c r="G12" i="12" s="1"/>
  <c r="G36" i="4" l="1"/>
  <c r="E10" i="12"/>
  <c r="F10" i="12"/>
  <c r="G10" i="12" s="1"/>
  <c r="R9" i="12"/>
  <c r="R8" i="12"/>
  <c r="R10" i="12" s="1"/>
  <c r="Q9" i="12"/>
  <c r="Q8" i="12"/>
  <c r="Q10" i="12" l="1"/>
  <c r="S23" i="4"/>
  <c r="R23" i="4"/>
  <c r="Q23" i="4"/>
  <c r="P23" i="4"/>
  <c r="O23" i="4"/>
  <c r="N23" i="4"/>
  <c r="M23" i="4"/>
  <c r="L23" i="4"/>
  <c r="K23" i="4"/>
  <c r="J23" i="4"/>
  <c r="I23" i="4"/>
  <c r="H23" i="4"/>
  <c r="S22" i="4"/>
  <c r="R22" i="4"/>
  <c r="Q22" i="4"/>
  <c r="P22" i="4"/>
  <c r="O22" i="4"/>
  <c r="N22" i="4"/>
  <c r="M22" i="4"/>
  <c r="L22" i="4"/>
  <c r="K22" i="4"/>
  <c r="J22" i="4"/>
  <c r="I22" i="4"/>
  <c r="H22" i="4"/>
  <c r="S21" i="4"/>
  <c r="R21" i="4"/>
  <c r="Q21" i="4"/>
  <c r="P21" i="4"/>
  <c r="O21" i="4"/>
  <c r="N21" i="4"/>
  <c r="M21" i="4"/>
  <c r="L21" i="4"/>
  <c r="K21" i="4"/>
  <c r="J21" i="4"/>
  <c r="I21" i="4"/>
  <c r="H21" i="4"/>
  <c r="S20" i="4"/>
  <c r="R20" i="4"/>
  <c r="Q20" i="4"/>
  <c r="P20" i="4"/>
  <c r="O20" i="4"/>
  <c r="N20" i="4"/>
  <c r="M20" i="4"/>
  <c r="L20" i="4"/>
  <c r="K20" i="4"/>
  <c r="J20" i="4"/>
  <c r="I20" i="4"/>
  <c r="H20" i="4"/>
  <c r="S19" i="4"/>
  <c r="R19" i="4"/>
  <c r="Q19" i="4"/>
  <c r="P19" i="4"/>
  <c r="O19" i="4"/>
  <c r="N19" i="4"/>
  <c r="M19" i="4"/>
  <c r="L19" i="4"/>
  <c r="K19" i="4"/>
  <c r="J19" i="4"/>
  <c r="I19" i="4"/>
  <c r="H19" i="4"/>
  <c r="S18" i="4"/>
  <c r="R18" i="4"/>
  <c r="Q18" i="4"/>
  <c r="P18" i="4"/>
  <c r="O18" i="4"/>
  <c r="N18" i="4"/>
  <c r="L18" i="4"/>
  <c r="K18" i="4"/>
  <c r="J18" i="4"/>
  <c r="I18" i="4"/>
  <c r="H18" i="4"/>
  <c r="S17" i="4"/>
  <c r="R17" i="4"/>
  <c r="Q17" i="4"/>
  <c r="P17" i="4"/>
  <c r="O17" i="4"/>
  <c r="N17" i="4"/>
  <c r="M17" i="4"/>
  <c r="L17" i="4"/>
  <c r="K17" i="4"/>
  <c r="J17" i="4"/>
  <c r="I17" i="4"/>
  <c r="H17" i="4"/>
  <c r="F23" i="4"/>
  <c r="U23" i="4" s="1"/>
  <c r="E23" i="4"/>
  <c r="T23" i="4" s="1"/>
  <c r="F22" i="4"/>
  <c r="U22" i="4" s="1"/>
  <c r="E22" i="4"/>
  <c r="T22" i="4" s="1"/>
  <c r="F21" i="4"/>
  <c r="U21" i="4" s="1"/>
  <c r="E21" i="4"/>
  <c r="T21" i="4" s="1"/>
  <c r="F20" i="4"/>
  <c r="U20" i="4" s="1"/>
  <c r="E20" i="4"/>
  <c r="T20" i="4" s="1"/>
  <c r="F19" i="4"/>
  <c r="U19" i="4" s="1"/>
  <c r="E19" i="4"/>
  <c r="T19" i="4" s="1"/>
  <c r="F18" i="4"/>
  <c r="E18" i="4"/>
  <c r="F17" i="4"/>
  <c r="U17" i="4" s="1"/>
  <c r="E17" i="4"/>
  <c r="T17" i="4" s="1"/>
  <c r="F21" i="2"/>
  <c r="G23" i="4" s="1"/>
  <c r="F20" i="2"/>
  <c r="G22" i="4" s="1"/>
  <c r="F19" i="2"/>
  <c r="G21" i="4" s="1"/>
  <c r="F18" i="2"/>
  <c r="G20" i="4" s="1"/>
  <c r="F17" i="2"/>
  <c r="G19" i="4" s="1"/>
  <c r="F16" i="2"/>
  <c r="G18" i="4" s="1"/>
  <c r="F15" i="2"/>
  <c r="G17" i="4" s="1"/>
  <c r="J16" i="2"/>
  <c r="M18" i="4" s="1"/>
  <c r="O16" i="3"/>
  <c r="O21" i="3"/>
  <c r="O20" i="3"/>
  <c r="O19" i="3"/>
  <c r="O18" i="3"/>
  <c r="O17" i="3"/>
  <c r="O15" i="3"/>
  <c r="O21" i="1"/>
  <c r="O20" i="1"/>
  <c r="O19" i="1"/>
  <c r="O18" i="1"/>
  <c r="O17" i="1"/>
  <c r="O16" i="1"/>
  <c r="O15" i="1"/>
  <c r="B21" i="2"/>
  <c r="B20" i="2"/>
  <c r="B19" i="2"/>
  <c r="B18" i="2"/>
  <c r="B17" i="2"/>
  <c r="B16" i="2"/>
  <c r="B15" i="2"/>
  <c r="B21" i="1"/>
  <c r="B20" i="1"/>
  <c r="B19" i="1"/>
  <c r="B18" i="1"/>
  <c r="B17" i="1"/>
  <c r="B16" i="1"/>
  <c r="B15" i="1"/>
  <c r="B21" i="3"/>
  <c r="B20" i="3"/>
  <c r="B19" i="3"/>
  <c r="B18" i="3"/>
  <c r="B17" i="3"/>
  <c r="B16" i="3"/>
  <c r="B15" i="3"/>
  <c r="K24" i="4" l="1"/>
  <c r="L24" i="4"/>
  <c r="E24" i="4"/>
  <c r="F24" i="4"/>
  <c r="T18" i="4"/>
  <c r="T24" i="4" s="1"/>
  <c r="U18" i="4"/>
  <c r="U24" i="4" s="1"/>
  <c r="F13" i="2"/>
  <c r="F12" i="2"/>
  <c r="F11" i="2"/>
  <c r="F10" i="2"/>
  <c r="F9" i="2"/>
  <c r="F8" i="2"/>
  <c r="F7" i="2"/>
  <c r="F6" i="2"/>
  <c r="M24" i="4" l="1"/>
  <c r="G24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U15" i="4" s="1"/>
  <c r="E15" i="4"/>
  <c r="T15" i="4" s="1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U14" i="4" s="1"/>
  <c r="E14" i="4"/>
  <c r="T14" i="4" s="1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U13" i="4" s="1"/>
  <c r="E13" i="4"/>
  <c r="T13" i="4" s="1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U12" i="4" s="1"/>
  <c r="E12" i="4"/>
  <c r="T12" i="4" s="1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U11" i="4" s="1"/>
  <c r="E11" i="4"/>
  <c r="T11" i="4" s="1"/>
  <c r="S10" i="4"/>
  <c r="R10" i="4"/>
  <c r="Q10" i="4"/>
  <c r="P10" i="4"/>
  <c r="O10" i="4"/>
  <c r="N10" i="4"/>
  <c r="L10" i="4"/>
  <c r="K10" i="4"/>
  <c r="J10" i="4"/>
  <c r="I10" i="4"/>
  <c r="H10" i="4"/>
  <c r="G10" i="4"/>
  <c r="F10" i="4"/>
  <c r="E10" i="4"/>
  <c r="S9" i="4"/>
  <c r="R9" i="4"/>
  <c r="Q9" i="4"/>
  <c r="P9" i="4"/>
  <c r="O9" i="4"/>
  <c r="N9" i="4"/>
  <c r="L9" i="4"/>
  <c r="K9" i="4"/>
  <c r="J9" i="4"/>
  <c r="I9" i="4"/>
  <c r="H9" i="4"/>
  <c r="G9" i="4"/>
  <c r="F9" i="4"/>
  <c r="E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U8" i="4" s="1"/>
  <c r="E8" i="4"/>
  <c r="T8" i="4" s="1"/>
  <c r="O8" i="3"/>
  <c r="O7" i="3"/>
  <c r="O13" i="3"/>
  <c r="O12" i="3"/>
  <c r="O11" i="3"/>
  <c r="O10" i="3"/>
  <c r="O9" i="3"/>
  <c r="O6" i="3"/>
  <c r="O8" i="1"/>
  <c r="O7" i="1"/>
  <c r="O13" i="1"/>
  <c r="O12" i="1"/>
  <c r="O11" i="1"/>
  <c r="O10" i="1"/>
  <c r="O9" i="1"/>
  <c r="O6" i="1"/>
  <c r="J8" i="2"/>
  <c r="M10" i="4" s="1"/>
  <c r="J7" i="2"/>
  <c r="M9" i="4" s="1"/>
  <c r="B15" i="4"/>
  <c r="B14" i="4"/>
  <c r="B13" i="4"/>
  <c r="B12" i="4"/>
  <c r="B11" i="4"/>
  <c r="B10" i="4"/>
  <c r="B9" i="4"/>
  <c r="B8" i="4"/>
  <c r="B13" i="2"/>
  <c r="B12" i="2"/>
  <c r="B11" i="2"/>
  <c r="B10" i="2"/>
  <c r="B9" i="2"/>
  <c r="B8" i="2"/>
  <c r="B7" i="2"/>
  <c r="B6" i="2"/>
  <c r="B13" i="3"/>
  <c r="B12" i="3"/>
  <c r="B11" i="3"/>
  <c r="B10" i="3"/>
  <c r="B9" i="3"/>
  <c r="B8" i="3"/>
  <c r="B7" i="3"/>
  <c r="B6" i="3"/>
  <c r="B13" i="1"/>
  <c r="B12" i="1"/>
  <c r="B11" i="1"/>
  <c r="B10" i="1"/>
  <c r="B9" i="1"/>
  <c r="B8" i="1"/>
  <c r="B7" i="1"/>
  <c r="B6" i="1"/>
  <c r="U10" i="4" l="1"/>
  <c r="K16" i="4"/>
  <c r="L16" i="4"/>
  <c r="U9" i="4"/>
  <c r="T9" i="4"/>
  <c r="T10" i="4"/>
  <c r="F16" i="4"/>
  <c r="F121" i="4" s="1"/>
  <c r="E16" i="4"/>
  <c r="E121" i="4" s="1"/>
  <c r="M16" i="4" l="1"/>
  <c r="U16" i="4"/>
  <c r="T16" i="4"/>
  <c r="G16" i="4"/>
  <c r="G121" i="4"/>
  <c r="R6" i="12" l="1"/>
  <c r="Q6" i="12"/>
  <c r="R5" i="12"/>
  <c r="Q5" i="12"/>
  <c r="R4" i="12"/>
  <c r="Q4" i="12"/>
  <c r="B9" i="6"/>
  <c r="O4" i="3"/>
  <c r="O3" i="3"/>
  <c r="O2" i="3"/>
  <c r="J4" i="2"/>
  <c r="J3" i="2"/>
  <c r="J2" i="2"/>
  <c r="B4" i="2"/>
  <c r="B3" i="2"/>
  <c r="B2" i="2"/>
  <c r="B4" i="3"/>
  <c r="B3" i="3"/>
  <c r="B2" i="3"/>
  <c r="O4" i="1"/>
  <c r="O3" i="1"/>
  <c r="O2" i="1"/>
  <c r="O120" i="1" s="1"/>
  <c r="B4" i="1"/>
  <c r="B3" i="1"/>
  <c r="B2" i="1"/>
  <c r="E4" i="4" l="1"/>
  <c r="F4" i="4"/>
  <c r="H4" i="4"/>
  <c r="I4" i="4"/>
  <c r="E5" i="4"/>
  <c r="F5" i="4"/>
  <c r="H5" i="4"/>
  <c r="I5" i="4"/>
  <c r="E6" i="4"/>
  <c r="F6" i="4"/>
  <c r="H6" i="4"/>
  <c r="I6" i="4"/>
  <c r="E123" i="4" l="1"/>
  <c r="H123" i="4" l="1"/>
  <c r="R7" i="12" l="1"/>
  <c r="Q7" i="12"/>
  <c r="E100" i="8" l="1"/>
  <c r="D100" i="8"/>
  <c r="C9" i="6"/>
  <c r="G6" i="4"/>
  <c r="G5" i="4"/>
  <c r="G4" i="4"/>
  <c r="D6" i="6" l="1"/>
  <c r="N48" i="12" l="1"/>
  <c r="N50" i="12" s="1"/>
  <c r="M48" i="12"/>
  <c r="M50" i="12" s="1"/>
  <c r="E7" i="12" l="1"/>
  <c r="F7" i="12"/>
  <c r="G7" i="12" l="1"/>
  <c r="I50" i="12" l="1"/>
  <c r="E50" i="12"/>
  <c r="Q50" i="12" l="1"/>
  <c r="K50" i="12"/>
  <c r="G48" i="12"/>
  <c r="G50" i="12" s="1"/>
  <c r="J6" i="4" l="1"/>
  <c r="J5" i="4"/>
  <c r="J4" i="4" l="1"/>
  <c r="D5" i="6" l="1"/>
  <c r="D8" i="6"/>
  <c r="E9" i="6"/>
  <c r="F9" i="6"/>
  <c r="G9" i="6"/>
  <c r="O120" i="3" l="1"/>
  <c r="S6" i="4" l="1"/>
  <c r="R6" i="4"/>
  <c r="Q6" i="4"/>
  <c r="O6" i="4"/>
  <c r="N6" i="4"/>
  <c r="L6" i="4"/>
  <c r="U6" i="4" s="1"/>
  <c r="K6" i="4"/>
  <c r="T6" i="4" s="1"/>
  <c r="P6" i="4"/>
  <c r="M6" i="4"/>
  <c r="D9" i="6"/>
  <c r="F100" i="8" l="1"/>
  <c r="L122" i="1" l="1"/>
  <c r="O122" i="4" s="1"/>
  <c r="J49" i="12" l="1"/>
  <c r="J50" i="12" s="1"/>
  <c r="H120" i="3"/>
  <c r="J120" i="3"/>
  <c r="L120" i="3"/>
  <c r="N120" i="3"/>
  <c r="R5" i="4" l="1"/>
  <c r="Q5" i="4"/>
  <c r="O5" i="4"/>
  <c r="N5" i="4"/>
  <c r="L5" i="4"/>
  <c r="U5" i="4" s="1"/>
  <c r="K5" i="4"/>
  <c r="T5" i="4" s="1"/>
  <c r="S4" i="4"/>
  <c r="R4" i="4"/>
  <c r="Q4" i="4"/>
  <c r="P4" i="4"/>
  <c r="O4" i="4"/>
  <c r="N4" i="4"/>
  <c r="L4" i="4"/>
  <c r="K4" i="4"/>
  <c r="N120" i="1"/>
  <c r="T4" i="4" l="1"/>
  <c r="K7" i="4"/>
  <c r="L7" i="4"/>
  <c r="U4" i="4"/>
  <c r="U7" i="4" s="1"/>
  <c r="V121" i="4" s="1"/>
  <c r="J122" i="1"/>
  <c r="L122" i="4" s="1"/>
  <c r="N123" i="1"/>
  <c r="N125" i="1" s="1"/>
  <c r="L123" i="1"/>
  <c r="L120" i="2"/>
  <c r="J120" i="2"/>
  <c r="L125" i="1" l="1"/>
  <c r="L124" i="1"/>
  <c r="M121" i="4"/>
  <c r="M7" i="4"/>
  <c r="N51" i="12"/>
  <c r="N126" i="1"/>
  <c r="J51" i="12"/>
  <c r="L126" i="1"/>
  <c r="F49" i="12"/>
  <c r="T7" i="4"/>
  <c r="J123" i="1"/>
  <c r="K123" i="4"/>
  <c r="R123" i="4"/>
  <c r="Q123" i="4"/>
  <c r="J126" i="1" l="1"/>
  <c r="J125" i="1"/>
  <c r="F51" i="12" s="1"/>
  <c r="R49" i="12"/>
  <c r="R50" i="12" s="1"/>
  <c r="F50" i="12"/>
  <c r="O124" i="4"/>
  <c r="R124" i="4"/>
  <c r="L123" i="4"/>
  <c r="M123" i="4" s="1"/>
  <c r="N123" i="4"/>
  <c r="O123" i="4"/>
  <c r="P123" i="4" l="1"/>
  <c r="L124" i="4"/>
  <c r="F120" i="3"/>
  <c r="S5" i="4" l="1"/>
  <c r="M5" i="4" l="1"/>
  <c r="P5" i="4"/>
  <c r="M4" i="4"/>
  <c r="T123" i="4" l="1"/>
  <c r="H120" i="1" l="1"/>
  <c r="H122" i="1" l="1"/>
  <c r="H120" i="2"/>
  <c r="O126" i="1"/>
  <c r="H123" i="1" l="1"/>
  <c r="I123" i="4"/>
  <c r="H126" i="1" l="1"/>
  <c r="H125" i="1"/>
  <c r="I124" i="4" s="1"/>
  <c r="F120" i="2" l="1"/>
  <c r="F123" i="4"/>
  <c r="G123" i="4" s="1"/>
  <c r="O122" i="1" l="1"/>
  <c r="O123" i="1" s="1"/>
  <c r="O125" i="1" s="1"/>
  <c r="F123" i="1"/>
  <c r="F126" i="1" l="1"/>
  <c r="F125" i="1"/>
  <c r="F124" i="4" s="1"/>
  <c r="U122" i="4"/>
  <c r="U123" i="4" s="1"/>
</calcChain>
</file>

<file path=xl/comments1.xml><?xml version="1.0" encoding="utf-8"?>
<comments xmlns="http://schemas.openxmlformats.org/spreadsheetml/2006/main">
  <authors>
    <author>WDFW</author>
  </authors>
  <commentList>
    <comment ref="F28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Average between January 11 and January 13.</t>
        </r>
      </text>
    </comment>
    <comment ref="F30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Called harvest similar to previous days harvest.</t>
        </r>
      </text>
    </comment>
    <comment ref="F73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8th</t>
        </r>
      </text>
    </comment>
    <comment ref="F74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8th</t>
        </r>
      </text>
    </comment>
    <comment ref="F75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8th</t>
        </r>
      </text>
    </comment>
    <comment ref="F81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11th</t>
        </r>
      </text>
    </comment>
    <comment ref="F82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12th</t>
        </r>
      </text>
    </comment>
    <comment ref="F84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30th</t>
        </r>
      </text>
    </comment>
    <comment ref="F87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April 3rd</t>
        </r>
      </text>
    </comment>
    <comment ref="F93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April 9th</t>
        </r>
      </text>
    </comment>
  </commentList>
</comments>
</file>

<file path=xl/comments2.xml><?xml version="1.0" encoding="utf-8"?>
<comments xmlns="http://schemas.openxmlformats.org/spreadsheetml/2006/main">
  <authors>
    <author>WDFW</author>
  </authors>
  <commentList>
    <comment ref="F28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Average between January 11 and January 13.</t>
        </r>
      </text>
    </comment>
    <comment ref="F30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Compared to February 10</t>
        </r>
      </text>
    </comment>
    <comment ref="F31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Compared to February 04</t>
        </r>
      </text>
    </comment>
    <comment ref="F32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Estimate based on Feb 04, Plus 200 more because it is a Saturday tide.</t>
        </r>
      </text>
    </comment>
    <comment ref="F33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Compared to March 02</t>
        </r>
      </text>
    </comment>
    <comment ref="F35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Compared to Feb. 17</t>
        </r>
      </text>
    </comment>
    <comment ref="F36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Compared to February 17</t>
        </r>
      </text>
    </comment>
    <comment ref="F43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08
</t>
        </r>
      </text>
    </comment>
    <comment ref="F45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Feb 18</t>
        </r>
      </text>
    </comment>
    <comment ref="F47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Compared to March 02</t>
        </r>
      </text>
    </comment>
    <comment ref="F51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Compared to March 02</t>
        </r>
      </text>
    </comment>
    <comment ref="F59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08</t>
        </r>
      </text>
    </comment>
    <comment ref="F60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Feb 04 and Feb 18</t>
        </r>
      </text>
    </comment>
    <comment ref="F65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feb 22
</t>
        </r>
      </text>
    </comment>
    <comment ref="F69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16</t>
        </r>
      </text>
    </comment>
    <comment ref="F73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8th.</t>
        </r>
      </text>
    </comment>
    <comment ref="F74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8th</t>
        </r>
      </text>
    </comment>
    <comment ref="F75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8th</t>
        </r>
      </text>
    </comment>
    <comment ref="F81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April 11th</t>
        </r>
      </text>
    </comment>
    <comment ref="F82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April 12th</t>
        </r>
      </text>
    </comment>
    <comment ref="F84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March 30th</t>
        </r>
      </text>
    </comment>
    <comment ref="F87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April 3rd.</t>
        </r>
      </text>
    </comment>
    <comment ref="F93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Based on April 9th</t>
        </r>
      </text>
    </comment>
    <comment ref="F105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Count is an estimate made by averaging April 27 and 28th data.</t>
        </r>
      </text>
    </comment>
  </commentList>
</comments>
</file>

<file path=xl/comments3.xml><?xml version="1.0" encoding="utf-8"?>
<comments xmlns="http://schemas.openxmlformats.org/spreadsheetml/2006/main">
  <authors>
    <author>WDFW</author>
    <author>Deibert, John R (DFW)</author>
    <author>Ayres, Daniel L (DFW)</author>
  </authors>
  <commentList>
    <comment ref="C4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D4" authorId="1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D5" authorId="1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D6" authorId="2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D7" authorId="1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D8" authorId="1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<sst xmlns="http://schemas.openxmlformats.org/spreadsheetml/2006/main" count="1861" uniqueCount="80">
  <si>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</si>
  <si>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</si>
  <si>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</si>
  <si>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</si>
  <si>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</si>
  <si>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</si>
  <si>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</si>
  <si>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</si>
  <si>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</si>
  <si>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</si>
  <si>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CPUE</t>
  </si>
  <si>
    <t>CLOSED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</si>
  <si>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</si>
  <si>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</si>
  <si>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</si>
  <si>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</si>
  <si>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</si>
  <si>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</si>
  <si>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</si>
  <si>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</si>
  <si>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</si>
  <si>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</si>
  <si>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</si>
  <si>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</si>
  <si>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</si>
  <si>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</si>
  <si>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</si>
  <si>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</si>
  <si>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</si>
  <si>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</si>
  <si>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</si>
  <si>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</si>
  <si>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</si>
  <si>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</si>
  <si>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</si>
  <si>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Size (mm)</t>
  </si>
  <si>
    <t>WASTAGE</t>
  </si>
  <si>
    <t>SEASON SUBTOTALS:</t>
  </si>
  <si>
    <t>EventID</t>
  </si>
  <si>
    <t>2010 - 2011</t>
  </si>
  <si>
    <t>2011 - 2012</t>
  </si>
  <si>
    <t>2012 - 2013</t>
  </si>
  <si>
    <t>2013 - 2014</t>
  </si>
  <si>
    <t>2014 - 2015</t>
  </si>
  <si>
    <t>TideDate</t>
  </si>
  <si>
    <t>TideTime</t>
  </si>
  <si>
    <t>TideHeight</t>
  </si>
  <si>
    <t>Sunrise</t>
  </si>
  <si>
    <t>Sunset</t>
  </si>
  <si>
    <t>CorrectionFactor</t>
  </si>
  <si>
    <t>NON-TRIBAL TOTAL ALLOWABLE CATCH (TAC)</t>
  </si>
  <si>
    <t>Fall 2014 / Spring 2015 Harvest Rate (clams/day):</t>
  </si>
  <si>
    <t xml:space="preserve">FALL 2014 - SPRING 2015 SEASON TOTALS: </t>
  </si>
  <si>
    <t>2015 - 2016</t>
  </si>
  <si>
    <t>2015-2016 State (non-Indian) Recreational Razor Clam Effort, Harvest and CPUE totals.</t>
  </si>
  <si>
    <t>LongBeach</t>
  </si>
  <si>
    <t>*</t>
  </si>
  <si>
    <t>** - No beach count. Used data from another day with similar conditions to estimate count.</t>
  </si>
  <si>
    <t>**</t>
  </si>
  <si>
    <t>+</t>
  </si>
  <si>
    <t>Subsistance</t>
  </si>
  <si>
    <t>Commercial</t>
  </si>
  <si>
    <t>#</t>
  </si>
  <si>
    <t># - Tide is not low enough for decent digging opportunity</t>
  </si>
  <si>
    <t>LocationID</t>
  </si>
  <si>
    <t>NHoles</t>
  </si>
  <si>
    <t>NClams</t>
  </si>
  <si>
    <t>NMorts</t>
  </si>
  <si>
    <t>31005</t>
  </si>
  <si>
    <t>32007</t>
  </si>
  <si>
    <t>33012</t>
  </si>
  <si>
    <t>31002</t>
  </si>
  <si>
    <t>32009</t>
  </si>
  <si>
    <t>42600</t>
  </si>
  <si>
    <t>41400</t>
  </si>
  <si>
    <t>41300</t>
  </si>
  <si>
    <t>42500</t>
  </si>
  <si>
    <t>12600</t>
  </si>
  <si>
    <t>12500</t>
  </si>
  <si>
    <t>12400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</si>
</sst>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  <numFmt numFmtId="170" formatCode="[$-409]d\-mmm\-yy;@"/>
    <numFmt numFmtId="171" formatCode="dd\-mmm\-yy"/>
    <numFmt numFmtId="172" formatCode="#,##0.0"/>
    <numFmt numFmtId="173" formatCode="[$-409]h:mm\ AM/PM;@"/>
    <numFmt numFmtId="174" formatCode="mm/dd/yyyy"/>
    <numFmt numFmtId="175" formatCode="#,##0.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 style="thick">
        <color indexed="0"/>
      </right>
      <top/>
      <bottom style="thin">
        <color indexed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21" fillId="0" borderId="0"/>
    <xf numFmtId="0" fontId="15" fillId="0" borderId="0"/>
    <xf numFmtId="0" fontId="23" fillId="0" borderId="0"/>
    <xf numFmtId="0" fontId="15" fillId="0" borderId="0"/>
    <xf numFmtId="0" fontId="25" fillId="0" borderId="0"/>
    <xf numFmtId="0" fontId="15" fillId="0" borderId="0"/>
    <xf numFmtId="0" fontId="26" fillId="0" borderId="0"/>
    <xf numFmtId="0" fontId="26" fillId="0" borderId="0"/>
    <xf numFmtId="0" fontId="26" fillId="0" borderId="0"/>
  </cellStyleXfs>
  <cellXfs count="2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6" fontId="0" fillId="0" borderId="0" xfId="1" applyNumberFormat="1" applyFon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2" fillId="0" borderId="0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165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8" fontId="6" fillId="0" borderId="0" xfId="0" applyNumberFormat="1" applyFont="1" applyAlignment="1">
      <alignment horizontal="center"/>
    </xf>
    <xf numFmtId="0" fontId="5" fillId="0" borderId="3" xfId="0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168" fontId="5" fillId="0" borderId="0" xfId="0" applyNumberFormat="1" applyFont="1" applyBorder="1" applyAlignment="1">
      <alignment horizontal="center"/>
    </xf>
    <xf numFmtId="18" fontId="5" fillId="0" borderId="0" xfId="0" applyNumberFormat="1" applyFont="1" applyBorder="1" applyAlignment="1">
      <alignment horizontal="center"/>
    </xf>
    <xf numFmtId="3" fontId="5" fillId="0" borderId="7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8" fontId="5" fillId="0" borderId="8" xfId="0" applyNumberFormat="1" applyFont="1" applyFill="1" applyBorder="1" applyAlignment="1">
      <alignment horizontal="center"/>
    </xf>
    <xf numFmtId="168" fontId="9" fillId="0" borderId="9" xfId="0" applyNumberFormat="1" applyFont="1" applyFill="1" applyBorder="1" applyAlignment="1">
      <alignment horizontal="center"/>
    </xf>
    <xf numFmtId="3" fontId="9" fillId="0" borderId="10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16" fontId="9" fillId="0" borderId="3" xfId="0" applyNumberFormat="1" applyFont="1" applyFill="1" applyBorder="1" applyAlignment="1">
      <alignment horizontal="left"/>
    </xf>
    <xf numFmtId="3" fontId="9" fillId="0" borderId="3" xfId="0" applyNumberFormat="1" applyFont="1" applyFill="1" applyBorder="1" applyAlignment="1">
      <alignment horizontal="center"/>
    </xf>
    <xf numFmtId="168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7" fillId="0" borderId="18" xfId="0" applyFont="1" applyBorder="1" applyAlignment="1"/>
    <xf numFmtId="3" fontId="0" fillId="0" borderId="19" xfId="0" applyNumberFormat="1" applyBorder="1" applyAlignment="1"/>
    <xf numFmtId="0" fontId="2" fillId="0" borderId="0" xfId="0" applyFont="1" applyBorder="1" applyAlignment="1">
      <alignment horizontal="center"/>
    </xf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37" fontId="0" fillId="0" borderId="0" xfId="0" applyNumberFormat="1" applyFont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0" fillId="0" borderId="0" xfId="0" applyFont="1" applyBorder="1" applyAlignment="1"/>
    <xf numFmtId="0" fontId="11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169" fontId="0" fillId="0" borderId="0" xfId="2" applyNumberFormat="1" applyFont="1" applyAlignment="1">
      <alignment horizontal="center"/>
    </xf>
    <xf numFmtId="16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3" fontId="9" fillId="0" borderId="21" xfId="0" applyNumberFormat="1" applyFont="1" applyFill="1" applyBorder="1" applyAlignment="1">
      <alignment horizontal="center"/>
    </xf>
    <xf numFmtId="168" fontId="9" fillId="0" borderId="21" xfId="0" applyNumberFormat="1" applyFont="1" applyFill="1" applyBorder="1" applyAlignment="1">
      <alignment horizontal="center"/>
    </xf>
    <xf numFmtId="3" fontId="9" fillId="0" borderId="22" xfId="0" applyNumberFormat="1" applyFont="1" applyFill="1" applyBorder="1" applyAlignment="1">
      <alignment horizontal="center"/>
    </xf>
    <xf numFmtId="16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/>
    <xf numFmtId="0" fontId="9" fillId="0" borderId="25" xfId="0" applyFont="1" applyBorder="1" applyAlignment="1"/>
    <xf numFmtId="16" fontId="9" fillId="0" borderId="20" xfId="0" applyNumberFormat="1" applyFont="1" applyFill="1" applyBorder="1" applyAlignment="1">
      <alignment horizontal="left"/>
    </xf>
    <xf numFmtId="0" fontId="9" fillId="0" borderId="21" xfId="0" applyFont="1" applyFill="1" applyBorder="1" applyAlignment="1"/>
    <xf numFmtId="0" fontId="8" fillId="0" borderId="23" xfId="0" applyFont="1" applyBorder="1" applyAlignment="1">
      <alignment horizontal="left"/>
    </xf>
    <xf numFmtId="168" fontId="0" fillId="0" borderId="0" xfId="0" applyNumberFormat="1" applyBorder="1" applyAlignment="1">
      <alignment horizontal="center"/>
    </xf>
    <xf numFmtId="1" fontId="0" fillId="0" borderId="0" xfId="0" applyNumberFormat="1"/>
    <xf numFmtId="37" fontId="3" fillId="0" borderId="1" xfId="1" applyNumberFormat="1" applyFont="1" applyFill="1" applyBorder="1" applyAlignment="1">
      <alignment horizontal="right"/>
    </xf>
    <xf numFmtId="37" fontId="0" fillId="0" borderId="0" xfId="1" applyNumberFormat="1" applyFont="1" applyBorder="1" applyAlignment="1">
      <alignment horizontal="right"/>
    </xf>
    <xf numFmtId="170" fontId="0" fillId="0" borderId="0" xfId="0" applyNumberFormat="1" applyAlignment="1"/>
    <xf numFmtId="170" fontId="0" fillId="0" borderId="0" xfId="0" applyNumberFormat="1"/>
    <xf numFmtId="10" fontId="0" fillId="0" borderId="0" xfId="0" applyNumberFormat="1"/>
    <xf numFmtId="3" fontId="0" fillId="0" borderId="0" xfId="0" applyNumberFormat="1" applyAlignment="1"/>
    <xf numFmtId="166" fontId="0" fillId="0" borderId="0" xfId="1" applyNumberFormat="1" applyFont="1" applyAlignment="1"/>
    <xf numFmtId="3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8" fontId="0" fillId="0" borderId="0" xfId="0" applyNumberFormat="1"/>
    <xf numFmtId="172" fontId="9" fillId="0" borderId="3" xfId="0" applyNumberFormat="1" applyFont="1" applyFill="1" applyBorder="1" applyAlignment="1">
      <alignment horizontal="center"/>
    </xf>
    <xf numFmtId="168" fontId="5" fillId="0" borderId="27" xfId="0" applyNumberFormat="1" applyFont="1" applyBorder="1" applyAlignment="1"/>
    <xf numFmtId="173" fontId="5" fillId="0" borderId="8" xfId="0" applyNumberFormat="1" applyFont="1" applyBorder="1" applyAlignment="1"/>
    <xf numFmtId="173" fontId="5" fillId="0" borderId="28" xfId="0" applyNumberFormat="1" applyFont="1" applyBorder="1" applyAlignment="1"/>
    <xf numFmtId="172" fontId="5" fillId="0" borderId="0" xfId="0" applyNumberFormat="1" applyFont="1" applyFill="1" applyBorder="1" applyAlignment="1">
      <alignment horizontal="center"/>
    </xf>
    <xf numFmtId="172" fontId="9" fillId="0" borderId="9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72" fontId="9" fillId="0" borderId="21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3" fontId="9" fillId="0" borderId="29" xfId="0" applyNumberFormat="1" applyFont="1" applyFill="1" applyBorder="1" applyAlignment="1">
      <alignment horizontal="center"/>
    </xf>
    <xf numFmtId="3" fontId="9" fillId="0" borderId="30" xfId="0" applyNumberFormat="1" applyFont="1" applyFill="1" applyBorder="1" applyAlignment="1">
      <alignment horizontal="center"/>
    </xf>
    <xf numFmtId="168" fontId="9" fillId="0" borderId="31" xfId="0" applyNumberFormat="1" applyFont="1" applyFill="1" applyBorder="1" applyAlignment="1">
      <alignment horizontal="center"/>
    </xf>
    <xf numFmtId="0" fontId="14" fillId="0" borderId="1" xfId="3" applyFont="1" applyFill="1" applyBorder="1" applyAlignment="1">
      <alignment horizontal="right" wrapText="1"/>
    </xf>
    <xf numFmtId="0" fontId="14" fillId="0" borderId="1" xfId="3" applyFont="1" applyFill="1" applyBorder="1" applyAlignment="1">
      <alignment wrapText="1"/>
    </xf>
    <xf numFmtId="171" fontId="14" fillId="0" borderId="1" xfId="3" applyNumberFormat="1" applyFont="1" applyFill="1" applyBorder="1" applyAlignment="1">
      <alignment horizontal="right" wrapText="1"/>
    </xf>
    <xf numFmtId="4" fontId="14" fillId="0" borderId="1" xfId="3" applyNumberFormat="1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wrapText="1"/>
    </xf>
    <xf numFmtId="171" fontId="14" fillId="0" borderId="0" xfId="3" applyNumberFormat="1" applyFont="1" applyFill="1" applyBorder="1" applyAlignment="1">
      <alignment horizontal="right" wrapText="1"/>
    </xf>
    <xf numFmtId="4" fontId="14" fillId="0" borderId="0" xfId="3" applyNumberFormat="1" applyFont="1" applyFill="1" applyBorder="1" applyAlignment="1">
      <alignment horizontal="right" wrapText="1"/>
    </xf>
    <xf numFmtId="0" fontId="14" fillId="0" borderId="1" xfId="4" applyFont="1" applyFill="1" applyBorder="1" applyAlignment="1">
      <alignment horizontal="right" wrapText="1"/>
    </xf>
    <xf numFmtId="0" fontId="14" fillId="0" borderId="1" xfId="4" applyFont="1" applyFill="1" applyBorder="1" applyAlignment="1">
      <alignment wrapText="1"/>
    </xf>
    <xf numFmtId="171" fontId="14" fillId="0" borderId="1" xfId="4" applyNumberFormat="1" applyFont="1" applyFill="1" applyBorder="1" applyAlignment="1">
      <alignment horizontal="right" wrapText="1"/>
    </xf>
    <xf numFmtId="4" fontId="14" fillId="0" borderId="1" xfId="4" applyNumberFormat="1" applyFont="1" applyFill="1" applyBorder="1" applyAlignment="1">
      <alignment horizontal="right" wrapText="1"/>
    </xf>
    <xf numFmtId="3" fontId="16" fillId="3" borderId="0" xfId="0" applyNumberFormat="1" applyFont="1" applyFill="1" applyAlignment="1">
      <alignment horizontal="center"/>
    </xf>
    <xf numFmtId="3" fontId="0" fillId="3" borderId="15" xfId="0" applyNumberFormat="1" applyFill="1" applyBorder="1" applyAlignment="1"/>
    <xf numFmtId="0" fontId="3" fillId="2" borderId="2" xfId="5" applyFont="1" applyFill="1" applyBorder="1" applyAlignment="1">
      <alignment horizontal="center"/>
    </xf>
    <xf numFmtId="174" fontId="3" fillId="0" borderId="1" xfId="5" applyNumberFormat="1" applyFont="1" applyFill="1" applyBorder="1" applyAlignment="1">
      <alignment horizontal="right" wrapText="1"/>
    </xf>
    <xf numFmtId="173" fontId="3" fillId="0" borderId="1" xfId="5" applyNumberFormat="1" applyFont="1" applyFill="1" applyBorder="1" applyAlignment="1">
      <alignment horizontal="right" wrapText="1"/>
    </xf>
    <xf numFmtId="168" fontId="3" fillId="0" borderId="1" xfId="5" applyNumberFormat="1" applyFont="1" applyFill="1" applyBorder="1" applyAlignment="1">
      <alignment horizontal="right" wrapText="1"/>
    </xf>
    <xf numFmtId="168" fontId="3" fillId="0" borderId="1" xfId="5" applyNumberFormat="1" applyFont="1" applyFill="1" applyBorder="1" applyAlignment="1">
      <alignment horizontal="center" wrapText="1"/>
    </xf>
    <xf numFmtId="173" fontId="3" fillId="0" borderId="1" xfId="5" applyNumberFormat="1" applyFont="1" applyFill="1" applyBorder="1" applyAlignment="1">
      <alignment horizontal="center" wrapText="1"/>
    </xf>
    <xf numFmtId="0" fontId="5" fillId="0" borderId="5" xfId="0" applyFont="1" applyBorder="1" applyAlignment="1"/>
    <xf numFmtId="168" fontId="3" fillId="0" borderId="0" xfId="5" applyNumberFormat="1" applyFont="1" applyFill="1" applyBorder="1" applyAlignment="1">
      <alignment horizontal="center" wrapText="1"/>
    </xf>
    <xf numFmtId="173" fontId="3" fillId="0" borderId="0" xfId="5" applyNumberFormat="1" applyFont="1" applyFill="1" applyBorder="1" applyAlignment="1">
      <alignment horizontal="center" wrapText="1"/>
    </xf>
    <xf numFmtId="0" fontId="0" fillId="0" borderId="0" xfId="0" applyFont="1" applyFill="1"/>
    <xf numFmtId="0" fontId="18" fillId="0" borderId="1" xfId="6" applyFont="1" applyFill="1" applyBorder="1" applyAlignment="1">
      <alignment horizontal="right" wrapText="1"/>
    </xf>
    <xf numFmtId="0" fontId="18" fillId="0" borderId="1" xfId="6" applyFont="1" applyFill="1" applyBorder="1" applyAlignment="1">
      <alignment wrapText="1"/>
    </xf>
    <xf numFmtId="171" fontId="18" fillId="0" borderId="1" xfId="6" applyNumberFormat="1" applyFont="1" applyFill="1" applyBorder="1" applyAlignment="1">
      <alignment horizontal="right" wrapText="1"/>
    </xf>
    <xf numFmtId="4" fontId="18" fillId="0" borderId="1" xfId="6" applyNumberFormat="1" applyFont="1" applyFill="1" applyBorder="1" applyAlignment="1">
      <alignment horizontal="right" wrapText="1"/>
    </xf>
    <xf numFmtId="0" fontId="18" fillId="2" borderId="2" xfId="7" applyFont="1" applyFill="1" applyBorder="1" applyAlignment="1">
      <alignment horizontal="center"/>
    </xf>
    <xf numFmtId="0" fontId="18" fillId="0" borderId="1" xfId="7" applyFont="1" applyFill="1" applyBorder="1" applyAlignment="1">
      <alignment horizontal="right" wrapText="1"/>
    </xf>
    <xf numFmtId="0" fontId="18" fillId="0" borderId="1" xfId="7" applyFont="1" applyFill="1" applyBorder="1" applyAlignment="1">
      <alignment wrapText="1"/>
    </xf>
    <xf numFmtId="171" fontId="18" fillId="0" borderId="1" xfId="7" applyNumberFormat="1" applyFont="1" applyFill="1" applyBorder="1" applyAlignment="1">
      <alignment horizontal="right" wrapText="1"/>
    </xf>
    <xf numFmtId="4" fontId="18" fillId="0" borderId="1" xfId="7" applyNumberFormat="1" applyFont="1" applyFill="1" applyBorder="1" applyAlignment="1">
      <alignment horizontal="right" wrapText="1"/>
    </xf>
    <xf numFmtId="0" fontId="20" fillId="2" borderId="2" xfId="8" applyFont="1" applyFill="1" applyBorder="1" applyAlignment="1">
      <alignment horizontal="center"/>
    </xf>
    <xf numFmtId="0" fontId="20" fillId="0" borderId="1" xfId="8" applyFont="1" applyFill="1" applyBorder="1" applyAlignment="1">
      <alignment wrapText="1"/>
    </xf>
    <xf numFmtId="171" fontId="20" fillId="0" borderId="1" xfId="8" applyNumberFormat="1" applyFont="1" applyFill="1" applyBorder="1" applyAlignment="1">
      <alignment horizontal="right" wrapText="1"/>
    </xf>
    <xf numFmtId="4" fontId="20" fillId="0" borderId="1" xfId="8" applyNumberFormat="1" applyFont="1" applyFill="1" applyBorder="1" applyAlignment="1">
      <alignment horizontal="right" wrapText="1"/>
    </xf>
    <xf numFmtId="0" fontId="20" fillId="0" borderId="1" xfId="8" applyFont="1" applyFill="1" applyBorder="1" applyAlignment="1">
      <alignment horizontal="right" wrapText="1"/>
    </xf>
    <xf numFmtId="0" fontId="2" fillId="0" borderId="0" xfId="0" applyFont="1" applyAlignment="1">
      <alignment horizontal="center"/>
    </xf>
    <xf numFmtId="164" fontId="0" fillId="0" borderId="0" xfId="0" applyNumberFormat="1" applyFill="1" applyBorder="1"/>
    <xf numFmtId="37" fontId="0" fillId="0" borderId="0" xfId="1" applyNumberFormat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right"/>
    </xf>
    <xf numFmtId="0" fontId="0" fillId="0" borderId="0" xfId="0" applyFont="1" applyFill="1" applyBorder="1"/>
    <xf numFmtId="37" fontId="0" fillId="0" borderId="0" xfId="0" applyNumberFormat="1" applyFont="1" applyFill="1"/>
    <xf numFmtId="168" fontId="0" fillId="0" borderId="0" xfId="0" applyNumberFormat="1" applyFill="1" applyAlignment="1">
      <alignment horizontal="center"/>
    </xf>
    <xf numFmtId="18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37" fontId="0" fillId="0" borderId="0" xfId="0" applyNumberFormat="1" applyFill="1"/>
    <xf numFmtId="3" fontId="0" fillId="0" borderId="0" xfId="0" applyNumberFormat="1" applyFill="1" applyAlignment="1">
      <alignment horizontal="center"/>
    </xf>
    <xf numFmtId="18" fontId="0" fillId="0" borderId="0" xfId="0" applyNumberFormat="1" applyFill="1"/>
    <xf numFmtId="0" fontId="0" fillId="0" borderId="0" xfId="0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3" fontId="0" fillId="0" borderId="0" xfId="0" applyNumberFormat="1" applyFill="1"/>
    <xf numFmtId="0" fontId="3" fillId="2" borderId="2" xfId="9" applyFont="1" applyFill="1" applyBorder="1" applyAlignment="1">
      <alignment horizontal="center"/>
    </xf>
    <xf numFmtId="0" fontId="3" fillId="0" borderId="1" xfId="9" applyFont="1" applyFill="1" applyBorder="1" applyAlignment="1">
      <alignment wrapText="1"/>
    </xf>
    <xf numFmtId="171" fontId="3" fillId="0" borderId="1" xfId="9" applyNumberFormat="1" applyFont="1" applyFill="1" applyBorder="1" applyAlignment="1">
      <alignment horizontal="right" wrapText="1"/>
    </xf>
    <xf numFmtId="4" fontId="3" fillId="0" borderId="1" xfId="9" applyNumberFormat="1" applyFont="1" applyFill="1" applyBorder="1" applyAlignment="1">
      <alignment horizontal="right" wrapText="1"/>
    </xf>
    <xf numFmtId="0" fontId="3" fillId="0" borderId="1" xfId="9" applyFont="1" applyFill="1" applyBorder="1" applyAlignment="1">
      <alignment horizontal="right" wrapText="1"/>
    </xf>
    <xf numFmtId="3" fontId="3" fillId="0" borderId="1" xfId="9" applyNumberFormat="1" applyFont="1" applyFill="1" applyBorder="1" applyAlignment="1">
      <alignment horizontal="right" wrapText="1"/>
    </xf>
    <xf numFmtId="0" fontId="22" fillId="2" borderId="2" xfId="10" applyFont="1" applyFill="1" applyBorder="1" applyAlignment="1">
      <alignment horizontal="center"/>
    </xf>
    <xf numFmtId="0" fontId="22" fillId="0" borderId="1" xfId="10" applyFont="1" applyFill="1" applyBorder="1" applyAlignment="1">
      <alignment wrapText="1"/>
    </xf>
    <xf numFmtId="171" fontId="22" fillId="0" borderId="1" xfId="10" applyNumberFormat="1" applyFont="1" applyFill="1" applyBorder="1" applyAlignment="1">
      <alignment horizontal="right" wrapText="1"/>
    </xf>
    <xf numFmtId="4" fontId="22" fillId="0" borderId="1" xfId="10" applyNumberFormat="1" applyFont="1" applyFill="1" applyBorder="1" applyAlignment="1">
      <alignment horizontal="right" wrapText="1"/>
    </xf>
    <xf numFmtId="0" fontId="22" fillId="0" borderId="1" xfId="10" applyFont="1" applyFill="1" applyBorder="1" applyAlignment="1">
      <alignment horizontal="right" wrapText="1"/>
    </xf>
    <xf numFmtId="168" fontId="6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168" fontId="0" fillId="0" borderId="0" xfId="0" applyNumberFormat="1" applyFill="1" applyBorder="1" applyAlignment="1">
      <alignment horizontal="center"/>
    </xf>
    <xf numFmtId="18" fontId="0" fillId="0" borderId="0" xfId="0" applyNumberFormat="1" applyFill="1" applyBorder="1" applyAlignment="1">
      <alignment horizontal="center"/>
    </xf>
    <xf numFmtId="18" fontId="0" fillId="0" borderId="0" xfId="0" applyNumberFormat="1" applyFill="1" applyBorder="1"/>
    <xf numFmtId="168" fontId="3" fillId="0" borderId="0" xfId="5" applyNumberFormat="1" applyFont="1" applyFill="1" applyBorder="1" applyAlignment="1">
      <alignment horizontal="right" wrapText="1"/>
    </xf>
    <xf numFmtId="173" fontId="3" fillId="0" borderId="0" xfId="5" applyNumberFormat="1" applyFont="1" applyFill="1" applyBorder="1" applyAlignment="1">
      <alignment horizontal="right" wrapText="1"/>
    </xf>
    <xf numFmtId="0" fontId="0" fillId="0" borderId="0" xfId="0" applyBorder="1" applyAlignment="1">
      <alignment horizontal="right"/>
    </xf>
    <xf numFmtId="18" fontId="0" fillId="3" borderId="0" xfId="0" applyNumberFormat="1" applyFill="1"/>
    <xf numFmtId="164" fontId="0" fillId="3" borderId="0" xfId="0" applyNumberFormat="1" applyFill="1" applyBorder="1"/>
    <xf numFmtId="168" fontId="0" fillId="3" borderId="0" xfId="0" applyNumberFormat="1" applyFill="1" applyAlignment="1">
      <alignment horizontal="center"/>
    </xf>
    <xf numFmtId="37" fontId="0" fillId="3" borderId="0" xfId="0" applyNumberFormat="1" applyFill="1"/>
    <xf numFmtId="3" fontId="0" fillId="3" borderId="0" xfId="0" applyNumberFormat="1" applyFill="1" applyAlignment="1">
      <alignment horizontal="center"/>
    </xf>
    <xf numFmtId="37" fontId="0" fillId="4" borderId="0" xfId="1" applyNumberFormat="1" applyFont="1" applyFill="1" applyBorder="1" applyAlignment="1">
      <alignment horizontal="center"/>
    </xf>
    <xf numFmtId="37" fontId="0" fillId="5" borderId="0" xfId="1" applyNumberFormat="1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Fill="1" applyAlignment="1">
      <alignment horizontal="right"/>
    </xf>
    <xf numFmtId="0" fontId="3" fillId="2" borderId="2" xfId="11" applyFont="1" applyFill="1" applyBorder="1" applyAlignment="1">
      <alignment horizontal="center"/>
    </xf>
    <xf numFmtId="0" fontId="3" fillId="0" borderId="1" xfId="11" applyFont="1" applyFill="1" applyBorder="1" applyAlignment="1">
      <alignment horizontal="right" wrapText="1"/>
    </xf>
    <xf numFmtId="0" fontId="3" fillId="0" borderId="1" xfId="11" applyFont="1" applyFill="1" applyBorder="1" applyAlignment="1">
      <alignment wrapText="1"/>
    </xf>
    <xf numFmtId="171" fontId="3" fillId="0" borderId="1" xfId="11" applyNumberFormat="1" applyFont="1" applyFill="1" applyBorder="1" applyAlignment="1">
      <alignment horizontal="right" wrapText="1"/>
    </xf>
    <xf numFmtId="0" fontId="24" fillId="2" borderId="2" xfId="12" applyFont="1" applyFill="1" applyBorder="1" applyAlignment="1">
      <alignment horizontal="center"/>
    </xf>
    <xf numFmtId="0" fontId="24" fillId="0" borderId="1" xfId="12" applyFont="1" applyFill="1" applyBorder="1" applyAlignment="1">
      <alignment wrapText="1"/>
    </xf>
    <xf numFmtId="171" fontId="24" fillId="0" borderId="1" xfId="12" applyNumberFormat="1" applyFont="1" applyFill="1" applyBorder="1" applyAlignment="1">
      <alignment horizontal="right" wrapText="1"/>
    </xf>
    <xf numFmtId="4" fontId="24" fillId="0" borderId="1" xfId="12" applyNumberFormat="1" applyFont="1" applyFill="1" applyBorder="1" applyAlignment="1">
      <alignment horizontal="right" wrapText="1"/>
    </xf>
    <xf numFmtId="0" fontId="24" fillId="0" borderId="1" xfId="12" applyFont="1" applyFill="1" applyBorder="1" applyAlignment="1">
      <alignment horizontal="right" wrapText="1"/>
    </xf>
    <xf numFmtId="10" fontId="0" fillId="0" borderId="0" xfId="2" applyNumberFormat="1" applyFont="1"/>
    <xf numFmtId="0" fontId="0" fillId="3" borderId="0" xfId="0" applyFill="1" applyAlignment="1"/>
    <xf numFmtId="170" fontId="0" fillId="3" borderId="0" xfId="0" applyNumberFormat="1" applyFill="1" applyAlignment="1"/>
    <xf numFmtId="37" fontId="3" fillId="3" borderId="1" xfId="1" applyNumberFormat="1" applyFont="1" applyFill="1" applyBorder="1" applyAlignment="1">
      <alignment horizontal="right"/>
    </xf>
    <xf numFmtId="0" fontId="3" fillId="3" borderId="1" xfId="11" applyFont="1" applyFill="1" applyBorder="1" applyAlignment="1">
      <alignment horizontal="right" wrapText="1"/>
    </xf>
    <xf numFmtId="10" fontId="0" fillId="3" borderId="0" xfId="0" applyNumberFormat="1" applyFill="1"/>
    <xf numFmtId="3" fontId="0" fillId="3" borderId="0" xfId="0" applyNumberFormat="1" applyFill="1"/>
    <xf numFmtId="0" fontId="3" fillId="2" borderId="2" xfId="13" applyFont="1" applyFill="1" applyBorder="1" applyAlignment="1">
      <alignment horizontal="center"/>
    </xf>
    <xf numFmtId="0" fontId="3" fillId="0" borderId="1" xfId="13" applyFont="1" applyFill="1" applyBorder="1" applyAlignment="1">
      <alignment horizontal="right" wrapText="1"/>
    </xf>
    <xf numFmtId="0" fontId="3" fillId="0" borderId="1" xfId="13" applyFont="1" applyFill="1" applyBorder="1" applyAlignment="1">
      <alignment wrapText="1"/>
    </xf>
    <xf numFmtId="171" fontId="3" fillId="0" borderId="1" xfId="13" applyNumberFormat="1" applyFont="1" applyFill="1" applyBorder="1" applyAlignment="1">
      <alignment horizontal="right" wrapText="1"/>
    </xf>
    <xf numFmtId="0" fontId="27" fillId="2" borderId="2" xfId="14" applyFont="1" applyFill="1" applyBorder="1" applyAlignment="1">
      <alignment horizontal="center"/>
    </xf>
    <xf numFmtId="0" fontId="27" fillId="0" borderId="1" xfId="14" applyFont="1" applyFill="1" applyBorder="1" applyAlignment="1">
      <alignment wrapText="1"/>
    </xf>
    <xf numFmtId="171" fontId="27" fillId="0" borderId="1" xfId="14" applyNumberFormat="1" applyFont="1" applyFill="1" applyBorder="1" applyAlignment="1">
      <alignment horizontal="right" wrapText="1"/>
    </xf>
    <xf numFmtId="4" fontId="27" fillId="0" borderId="1" xfId="14" applyNumberFormat="1" applyFont="1" applyFill="1" applyBorder="1" applyAlignment="1">
      <alignment horizontal="right" wrapText="1"/>
    </xf>
    <xf numFmtId="0" fontId="27" fillId="0" borderId="1" xfId="14" applyFont="1" applyFill="1" applyBorder="1" applyAlignment="1">
      <alignment horizontal="right" wrapText="1"/>
    </xf>
    <xf numFmtId="175" fontId="0" fillId="0" borderId="0" xfId="0" applyNumberFormat="1"/>
    <xf numFmtId="0" fontId="27" fillId="2" borderId="2" xfId="15" applyFont="1" applyFill="1" applyBorder="1" applyAlignment="1">
      <alignment horizontal="center"/>
    </xf>
    <xf numFmtId="0" fontId="27" fillId="0" borderId="1" xfId="15" applyFont="1" applyFill="1" applyBorder="1" applyAlignment="1">
      <alignment horizontal="right" wrapText="1"/>
    </xf>
    <xf numFmtId="0" fontId="27" fillId="0" borderId="1" xfId="15" applyFont="1" applyFill="1" applyBorder="1" applyAlignment="1">
      <alignment wrapText="1"/>
    </xf>
    <xf numFmtId="171" fontId="27" fillId="0" borderId="1" xfId="15" applyNumberFormat="1" applyFont="1" applyFill="1" applyBorder="1" applyAlignment="1">
      <alignment horizontal="right" wrapText="1"/>
    </xf>
    <xf numFmtId="10" fontId="0" fillId="0" borderId="0" xfId="2" applyNumberFormat="1" applyFont="1" applyFill="1" applyAlignment="1">
      <alignment horizontal="center"/>
    </xf>
    <xf numFmtId="0" fontId="27" fillId="2" borderId="2" xfId="16" applyFont="1" applyFill="1" applyBorder="1" applyAlignment="1">
      <alignment horizontal="center"/>
    </xf>
    <xf numFmtId="0" fontId="27" fillId="0" borderId="1" xfId="16" applyFont="1" applyFill="1" applyBorder="1" applyAlignment="1">
      <alignment horizontal="right" wrapText="1"/>
    </xf>
    <xf numFmtId="0" fontId="27" fillId="0" borderId="1" xfId="16" applyFont="1" applyFill="1" applyBorder="1" applyAlignment="1">
      <alignment wrapText="1"/>
    </xf>
    <xf numFmtId="171" fontId="27" fillId="0" borderId="1" xfId="16" applyNumberFormat="1" applyFont="1" applyFill="1" applyBorder="1" applyAlignment="1">
      <alignment horizontal="right" wrapText="1"/>
    </xf>
    <xf numFmtId="10" fontId="0" fillId="0" borderId="0" xfId="2" applyNumberFormat="1" applyFont="1" applyAlignment="1">
      <alignment horizontal="center"/>
    </xf>
    <xf numFmtId="167" fontId="0" fillId="0" borderId="0" xfId="0" applyNumberFormat="1" applyFont="1"/>
    <xf numFmtId="0" fontId="2" fillId="0" borderId="0" xfId="0" applyFont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6" fontId="9" fillId="0" borderId="26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16" fontId="5" fillId="0" borderId="4" xfId="0" applyNumberFormat="1" applyFont="1" applyFill="1" applyBorder="1" applyAlignment="1">
      <alignment horizontal="center"/>
    </xf>
    <xf numFmtId="16" fontId="5" fillId="0" borderId="3" xfId="0" applyNumberFormat="1" applyFont="1" applyFill="1" applyBorder="1" applyAlignment="1">
      <alignment horizontal="center"/>
    </xf>
    <xf numFmtId="16" fontId="5" fillId="0" borderId="11" xfId="0" applyNumberFormat="1" applyFont="1" applyFill="1" applyBorder="1" applyAlignment="1">
      <alignment horizontal="center"/>
    </xf>
  </cellXfs>
  <cellStyles count="17">
    <cellStyle name="Comma" xfId="1" builtinId="3"/>
    <cellStyle name="Normal" xfId="0" builtinId="0"/>
    <cellStyle name="Normal_Cop Wastage" xfId="11"/>
    <cellStyle name="Normal_Cop Wastage_2" xfId="16"/>
    <cellStyle name="Normal_Copy Sheet" xfId="9"/>
    <cellStyle name="Normal_Copy Sheet_1" xfId="10"/>
    <cellStyle name="Normal_Copy Sheet_2" xfId="12"/>
    <cellStyle name="Normal_Copy Sheet_3" xfId="14"/>
    <cellStyle name="Normal_Copy Sheet_6" xfId="8"/>
    <cellStyle name="Normal_LB Wastage" xfId="6"/>
    <cellStyle name="Normal_LB Wastage_1" xfId="13"/>
    <cellStyle name="Normal_Moc Wastage" xfId="4"/>
    <cellStyle name="Normal_Moc Wastage_1" xfId="15"/>
    <cellStyle name="Normal_Sheet3" xfId="5"/>
    <cellStyle name="Normal_TH Wastage" xfId="3"/>
    <cellStyle name="Normal_TH Wastage_2" xfId="7"/>
    <cellStyle name="Percent" xfId="2" builtinId="5"/>
  </cellStyles>
  <dxfs count="0"/>
  <tableStyles count="0" defaultTableStyle="TableStyleMedium9" defaultPivotStyle="PivotStyleLight16"/>
  <colors>
    <mruColors>
      <color rgb="FF99FFCC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P129"/>
  <sheetViews>
    <sheetView topLeftCell="A98" zoomScaleNormal="100" workbookViewId="0">
      <selection activeCell="L117" sqref="L117"/>
    </sheetView>
  </sheetViews>
  <sheetFormatPr defaultRowHeight="15" x14ac:dyDescent="0.25"/>
  <cols>
    <col min="1" max="1" width="18.7109375" customWidth="1"/>
    <col min="2" max="2" width="5.42578125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8.28515625" bestFit="1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6" width="17.42578125" bestFit="1" customWidth="1"/>
  </cols>
  <sheetData>
    <row r="1" spans="1:15" x14ac:dyDescent="0.25">
      <c r="A1" s="52" t="s">
        <v>8</v>
      </c>
      <c r="B1" s="52" t="s">
        <v>5</v>
      </c>
      <c r="C1" s="52" t="s">
        <v>6</v>
      </c>
      <c r="D1" s="52" t="s">
        <v>7</v>
      </c>
      <c r="E1" s="227" t="s">
        <v>0</v>
      </c>
      <c r="F1" s="227"/>
      <c r="G1" s="227" t="s">
        <v>1</v>
      </c>
      <c r="H1" s="227"/>
      <c r="I1" s="227" t="s">
        <v>2</v>
      </c>
      <c r="J1" s="227"/>
      <c r="K1" s="227" t="s">
        <v>3</v>
      </c>
      <c r="L1" s="227"/>
      <c r="M1" s="227" t="s">
        <v>4</v>
      </c>
      <c r="N1" s="227"/>
      <c r="O1" s="143" t="s">
        <v>12</v>
      </c>
    </row>
    <row r="2" spans="1:15" x14ac:dyDescent="0.25">
      <c r="A2" s="4">
        <v>42362</v>
      </c>
      <c r="B2" s="5">
        <f>+A2</f>
        <v>42362</v>
      </c>
      <c r="C2" s="81">
        <v>-1.2</v>
      </c>
      <c r="D2" s="6">
        <v>0.74097222222222225</v>
      </c>
      <c r="E2" s="54"/>
      <c r="F2" s="8" t="s">
        <v>11</v>
      </c>
      <c r="G2" s="55"/>
      <c r="H2" s="8" t="s">
        <v>11</v>
      </c>
      <c r="I2" s="55"/>
      <c r="J2" s="8">
        <v>42035.027099189363</v>
      </c>
      <c r="K2" s="7"/>
      <c r="L2" s="8" t="s">
        <v>11</v>
      </c>
      <c r="M2" s="56"/>
      <c r="N2" s="8" t="s">
        <v>11</v>
      </c>
      <c r="O2" s="57">
        <f>+J2</f>
        <v>42035.027099189363</v>
      </c>
    </row>
    <row r="3" spans="1:15" x14ac:dyDescent="0.25">
      <c r="A3" s="4">
        <v>42363</v>
      </c>
      <c r="B3" s="5">
        <f t="shared" ref="B3:B13" si="0">+A3</f>
        <v>42363</v>
      </c>
      <c r="C3" s="81">
        <v>-1.3</v>
      </c>
      <c r="D3" s="6">
        <v>0.77083333333333337</v>
      </c>
      <c r="E3" s="188"/>
      <c r="F3" s="8" t="s">
        <v>11</v>
      </c>
      <c r="G3" s="8"/>
      <c r="H3" s="8" t="s">
        <v>11</v>
      </c>
      <c r="I3" s="8"/>
      <c r="J3" s="8">
        <v>45110.098658205898</v>
      </c>
      <c r="K3" s="7"/>
      <c r="L3" s="8" t="s">
        <v>11</v>
      </c>
      <c r="M3" s="56"/>
      <c r="N3" s="8" t="s">
        <v>11</v>
      </c>
      <c r="O3" s="57">
        <f>+J3</f>
        <v>45110.098658205898</v>
      </c>
    </row>
    <row r="4" spans="1:15" x14ac:dyDescent="0.25">
      <c r="A4" s="4">
        <v>42364</v>
      </c>
      <c r="B4" s="5">
        <f t="shared" si="0"/>
        <v>42364</v>
      </c>
      <c r="C4" s="81">
        <v>-1.1000000000000001</v>
      </c>
      <c r="D4" s="6">
        <v>0.79999999999999993</v>
      </c>
      <c r="F4" s="8" t="s">
        <v>11</v>
      </c>
      <c r="G4" s="8"/>
      <c r="H4" s="8" t="s">
        <v>11</v>
      </c>
      <c r="I4" s="8"/>
      <c r="J4" s="8">
        <v>78186.260900830617</v>
      </c>
      <c r="K4" s="7"/>
      <c r="L4" s="8" t="s">
        <v>11</v>
      </c>
      <c r="M4" s="56"/>
      <c r="N4" s="8" t="s">
        <v>11</v>
      </c>
      <c r="O4" s="57">
        <f>+J4</f>
        <v>78186.260900830617</v>
      </c>
    </row>
    <row r="5" spans="1:15" x14ac:dyDescent="0.25">
      <c r="A5" s="4"/>
      <c r="B5" s="5"/>
      <c r="C5" s="13"/>
      <c r="D5" s="12"/>
      <c r="E5" s="188"/>
      <c r="F5" s="8"/>
      <c r="G5" s="8"/>
      <c r="H5" s="8"/>
      <c r="I5" s="8"/>
      <c r="J5" s="8"/>
      <c r="K5" s="7"/>
      <c r="L5" s="8"/>
      <c r="M5" s="56"/>
      <c r="N5" s="8"/>
      <c r="O5" s="57"/>
    </row>
    <row r="6" spans="1:15" x14ac:dyDescent="0.25">
      <c r="A6" s="4">
        <v>42376</v>
      </c>
      <c r="B6" s="5">
        <f t="shared" si="0"/>
        <v>42376</v>
      </c>
      <c r="C6" s="123">
        <v>0.1</v>
      </c>
      <c r="D6" s="124">
        <v>0.70625000000000004</v>
      </c>
      <c r="E6" s="188"/>
      <c r="F6" s="8">
        <v>31029.546440468403</v>
      </c>
      <c r="G6" s="8"/>
      <c r="H6" s="8" t="s">
        <v>11</v>
      </c>
      <c r="I6" s="8"/>
      <c r="J6" s="8" t="s">
        <v>11</v>
      </c>
      <c r="K6" s="7"/>
      <c r="L6" s="8" t="s">
        <v>11</v>
      </c>
      <c r="M6" s="56"/>
      <c r="N6" s="8" t="s">
        <v>11</v>
      </c>
      <c r="O6" s="57">
        <f>+F6</f>
        <v>31029.546440468403</v>
      </c>
    </row>
    <row r="7" spans="1:15" x14ac:dyDescent="0.25">
      <c r="A7" s="4">
        <v>42377</v>
      </c>
      <c r="B7" s="5">
        <f t="shared" si="0"/>
        <v>42377</v>
      </c>
      <c r="C7" s="123">
        <v>-0.4</v>
      </c>
      <c r="D7" s="124">
        <v>0.73402777777777772</v>
      </c>
      <c r="E7" s="188"/>
      <c r="F7" s="8">
        <v>32644.27064842065</v>
      </c>
      <c r="G7" s="8"/>
      <c r="H7" s="8" t="s">
        <v>11</v>
      </c>
      <c r="I7" s="8"/>
      <c r="J7" s="8">
        <v>68780.604233388134</v>
      </c>
      <c r="K7" s="7"/>
      <c r="L7" s="8" t="s">
        <v>11</v>
      </c>
      <c r="M7" s="56"/>
      <c r="N7" s="8" t="s">
        <v>11</v>
      </c>
      <c r="O7" s="57">
        <f>+F7+J7</f>
        <v>101424.87488180879</v>
      </c>
    </row>
    <row r="8" spans="1:15" x14ac:dyDescent="0.25">
      <c r="A8" s="4">
        <v>42378</v>
      </c>
      <c r="B8" s="5">
        <f t="shared" si="0"/>
        <v>42378</v>
      </c>
      <c r="C8" s="123">
        <v>-0.8</v>
      </c>
      <c r="D8" s="124">
        <v>0.76111111111111107</v>
      </c>
      <c r="E8" s="188"/>
      <c r="F8" s="8">
        <v>87418.730027520811</v>
      </c>
      <c r="G8" s="2"/>
      <c r="H8" s="8" t="s">
        <v>11</v>
      </c>
      <c r="I8" s="8"/>
      <c r="J8" s="8">
        <v>114652.09798740431</v>
      </c>
      <c r="K8" s="8"/>
      <c r="L8" s="8" t="s">
        <v>11</v>
      </c>
      <c r="M8" s="56"/>
      <c r="N8" s="8" t="s">
        <v>11</v>
      </c>
      <c r="O8" s="57">
        <f>+F8+J8</f>
        <v>202070.82801492512</v>
      </c>
    </row>
    <row r="9" spans="1:15" x14ac:dyDescent="0.25">
      <c r="A9" s="4">
        <v>42379</v>
      </c>
      <c r="B9" s="5">
        <f t="shared" si="0"/>
        <v>42379</v>
      </c>
      <c r="C9" s="123">
        <v>-1</v>
      </c>
      <c r="D9" s="124">
        <v>0.78819444444444442</v>
      </c>
      <c r="E9" s="188"/>
      <c r="F9" s="8">
        <v>34039.750765113466</v>
      </c>
      <c r="G9" s="2"/>
      <c r="H9" s="8" t="s">
        <v>11</v>
      </c>
      <c r="I9" s="8"/>
      <c r="J9" s="8" t="s">
        <v>11</v>
      </c>
      <c r="K9" s="8"/>
      <c r="L9" s="8" t="s">
        <v>11</v>
      </c>
      <c r="M9" s="56"/>
      <c r="N9" s="8" t="s">
        <v>11</v>
      </c>
      <c r="O9" s="57">
        <f>+F9</f>
        <v>34039.750765113466</v>
      </c>
    </row>
    <row r="10" spans="1:15" x14ac:dyDescent="0.25">
      <c r="A10" s="4">
        <v>42380</v>
      </c>
      <c r="B10" s="5">
        <f t="shared" si="0"/>
        <v>42380</v>
      </c>
      <c r="C10" s="123">
        <v>-1</v>
      </c>
      <c r="D10" s="124">
        <v>0.81527777777777777</v>
      </c>
      <c r="E10" s="188"/>
      <c r="F10" s="8">
        <v>7121.6394740205296</v>
      </c>
      <c r="G10" s="2"/>
      <c r="H10" s="8" t="s">
        <v>11</v>
      </c>
      <c r="I10" s="8"/>
      <c r="J10" s="8" t="s">
        <v>11</v>
      </c>
      <c r="K10" s="8"/>
      <c r="L10" s="8" t="s">
        <v>11</v>
      </c>
      <c r="M10" s="56"/>
      <c r="N10" s="8" t="s">
        <v>11</v>
      </c>
      <c r="O10" s="57">
        <f>+F10</f>
        <v>7121.6394740205296</v>
      </c>
    </row>
    <row r="11" spans="1:15" x14ac:dyDescent="0.25">
      <c r="A11" s="4">
        <v>42381</v>
      </c>
      <c r="B11" s="5">
        <f t="shared" si="0"/>
        <v>42381</v>
      </c>
      <c r="C11" s="123">
        <v>-0.8</v>
      </c>
      <c r="D11" s="124">
        <v>0.84305555555555556</v>
      </c>
      <c r="F11" s="8">
        <v>1887.287055567685</v>
      </c>
      <c r="G11" s="2"/>
      <c r="H11" s="8" t="s">
        <v>11</v>
      </c>
      <c r="J11" s="8" t="s">
        <v>11</v>
      </c>
      <c r="L11" s="8" t="s">
        <v>11</v>
      </c>
      <c r="M11" s="56"/>
      <c r="N11" s="8" t="s">
        <v>11</v>
      </c>
      <c r="O11" s="57">
        <f>+F11</f>
        <v>1887.287055567685</v>
      </c>
    </row>
    <row r="12" spans="1:15" x14ac:dyDescent="0.25">
      <c r="A12" s="4">
        <v>42382</v>
      </c>
      <c r="B12" s="5">
        <f t="shared" si="0"/>
        <v>42382</v>
      </c>
      <c r="C12" s="123">
        <v>-0.4</v>
      </c>
      <c r="D12" s="124">
        <v>0.87222222222222223</v>
      </c>
      <c r="F12" s="8">
        <v>8868.7552629540696</v>
      </c>
      <c r="H12" s="8" t="s">
        <v>11</v>
      </c>
      <c r="J12" s="8" t="s">
        <v>11</v>
      </c>
      <c r="L12" s="8" t="s">
        <v>11</v>
      </c>
      <c r="M12" s="56"/>
      <c r="N12" s="8" t="s">
        <v>11</v>
      </c>
      <c r="O12" s="57">
        <f>+F12</f>
        <v>8868.7552629540696</v>
      </c>
    </row>
    <row r="13" spans="1:15" x14ac:dyDescent="0.25">
      <c r="A13" s="4">
        <v>42383</v>
      </c>
      <c r="B13" s="5">
        <f t="shared" si="0"/>
        <v>42383</v>
      </c>
      <c r="C13" s="123">
        <v>0.2</v>
      </c>
      <c r="D13" s="124">
        <v>0.90277777777777779</v>
      </c>
      <c r="E13" s="2" t="s">
        <v>56</v>
      </c>
      <c r="F13" s="8">
        <v>8900</v>
      </c>
      <c r="G13" s="2"/>
      <c r="H13" s="8" t="s">
        <v>11</v>
      </c>
      <c r="J13" s="8" t="s">
        <v>11</v>
      </c>
      <c r="L13" s="8" t="s">
        <v>11</v>
      </c>
      <c r="M13" s="56"/>
      <c r="N13" s="8" t="s">
        <v>11</v>
      </c>
      <c r="O13" s="57">
        <f>+F13</f>
        <v>8900</v>
      </c>
    </row>
    <row r="14" spans="1:15" x14ac:dyDescent="0.25">
      <c r="A14" s="4"/>
      <c r="B14" s="5"/>
      <c r="C14" s="13"/>
      <c r="D14" s="12"/>
      <c r="F14" s="8"/>
      <c r="H14" s="91"/>
      <c r="J14" s="8"/>
      <c r="L14" s="8"/>
      <c r="N14" s="8"/>
      <c r="O14" s="57"/>
    </row>
    <row r="15" spans="1:15" x14ac:dyDescent="0.25">
      <c r="A15" s="144">
        <v>42390</v>
      </c>
      <c r="B15" s="5">
        <f t="shared" ref="B15:B49" si="1">+A15</f>
        <v>42390</v>
      </c>
      <c r="C15" s="126">
        <v>-0.4</v>
      </c>
      <c r="D15" s="127">
        <v>0.7006944444444444</v>
      </c>
      <c r="F15" s="8">
        <v>4230.7215046114361</v>
      </c>
      <c r="H15" s="8" t="s">
        <v>11</v>
      </c>
      <c r="J15" s="8" t="s">
        <v>11</v>
      </c>
      <c r="L15" s="8" t="s">
        <v>11</v>
      </c>
      <c r="N15" s="8" t="s">
        <v>11</v>
      </c>
      <c r="O15" s="57">
        <f>+F15</f>
        <v>4230.7215046114361</v>
      </c>
    </row>
    <row r="16" spans="1:15" x14ac:dyDescent="0.25">
      <c r="A16" s="144">
        <v>42391</v>
      </c>
      <c r="B16" s="5">
        <f t="shared" si="1"/>
        <v>42391</v>
      </c>
      <c r="C16" s="126">
        <v>-0.7</v>
      </c>
      <c r="D16" s="127">
        <v>0.73263888888888884</v>
      </c>
      <c r="F16" s="8">
        <v>42697.617447546261</v>
      </c>
      <c r="H16" s="8" t="s">
        <v>11</v>
      </c>
      <c r="J16" s="8">
        <v>49770.571328979</v>
      </c>
      <c r="L16" s="8" t="s">
        <v>11</v>
      </c>
      <c r="N16" s="8" t="s">
        <v>11</v>
      </c>
      <c r="O16" s="15">
        <f>+F16+J16</f>
        <v>92468.188776525261</v>
      </c>
    </row>
    <row r="17" spans="1:15" x14ac:dyDescent="0.25">
      <c r="A17" s="144">
        <v>42392</v>
      </c>
      <c r="B17" s="99">
        <f t="shared" si="1"/>
        <v>42392</v>
      </c>
      <c r="C17" s="126">
        <v>-0.8</v>
      </c>
      <c r="D17" s="127">
        <v>0.76111111111111107</v>
      </c>
      <c r="F17" s="8">
        <v>96068.744106360333</v>
      </c>
      <c r="H17" s="8" t="s">
        <v>11</v>
      </c>
      <c r="J17" s="8" t="s">
        <v>11</v>
      </c>
      <c r="L17" s="8" t="s">
        <v>11</v>
      </c>
      <c r="N17" s="8" t="s">
        <v>11</v>
      </c>
      <c r="O17" s="57">
        <f t="shared" ref="O17:O49" si="2">+F17</f>
        <v>96068.744106360333</v>
      </c>
    </row>
    <row r="18" spans="1:15" x14ac:dyDescent="0.25">
      <c r="A18" s="144">
        <v>42393</v>
      </c>
      <c r="B18" s="99">
        <f t="shared" si="1"/>
        <v>42393</v>
      </c>
      <c r="C18" s="126">
        <v>-0.7</v>
      </c>
      <c r="D18" s="127">
        <v>0.78749999999999998</v>
      </c>
      <c r="E18" s="2" t="s">
        <v>58</v>
      </c>
      <c r="F18" s="8">
        <v>34000</v>
      </c>
      <c r="H18" s="8" t="s">
        <v>11</v>
      </c>
      <c r="J18" s="8" t="s">
        <v>11</v>
      </c>
      <c r="L18" s="8" t="s">
        <v>11</v>
      </c>
      <c r="N18" s="8" t="s">
        <v>11</v>
      </c>
      <c r="O18" s="57">
        <f t="shared" si="2"/>
        <v>34000</v>
      </c>
    </row>
    <row r="19" spans="1:15" x14ac:dyDescent="0.25">
      <c r="A19" s="144">
        <v>42394</v>
      </c>
      <c r="B19" s="99">
        <f t="shared" si="1"/>
        <v>42394</v>
      </c>
      <c r="C19" s="126">
        <v>-0.4</v>
      </c>
      <c r="D19" s="127">
        <v>0.81319444444444444</v>
      </c>
      <c r="E19" s="2" t="s">
        <v>58</v>
      </c>
      <c r="F19" s="8">
        <v>7500</v>
      </c>
      <c r="H19" s="8" t="s">
        <v>11</v>
      </c>
      <c r="J19" s="8" t="s">
        <v>11</v>
      </c>
      <c r="L19" s="8" t="s">
        <v>11</v>
      </c>
      <c r="N19" s="8" t="s">
        <v>11</v>
      </c>
      <c r="O19" s="57">
        <f t="shared" si="2"/>
        <v>7500</v>
      </c>
    </row>
    <row r="20" spans="1:15" x14ac:dyDescent="0.25">
      <c r="A20" s="144">
        <v>42395</v>
      </c>
      <c r="B20" s="99">
        <f t="shared" si="1"/>
        <v>42395</v>
      </c>
      <c r="C20" s="126">
        <v>0</v>
      </c>
      <c r="D20" s="127">
        <v>0.83680555555555558</v>
      </c>
      <c r="E20" s="2" t="s">
        <v>58</v>
      </c>
      <c r="F20" s="8">
        <v>1900</v>
      </c>
      <c r="H20" s="8" t="s">
        <v>11</v>
      </c>
      <c r="J20" s="8" t="s">
        <v>11</v>
      </c>
      <c r="L20" s="8" t="s">
        <v>11</v>
      </c>
      <c r="N20" s="8" t="s">
        <v>11</v>
      </c>
      <c r="O20" s="57">
        <f t="shared" si="2"/>
        <v>1900</v>
      </c>
    </row>
    <row r="21" spans="1:15" x14ac:dyDescent="0.25">
      <c r="A21" s="144">
        <v>42396</v>
      </c>
      <c r="B21" s="99">
        <f t="shared" si="1"/>
        <v>42396</v>
      </c>
      <c r="C21" s="149">
        <v>0.5</v>
      </c>
      <c r="D21" s="150">
        <v>0.86041666666666672</v>
      </c>
      <c r="E21" s="2" t="s">
        <v>59</v>
      </c>
      <c r="F21" s="8">
        <v>0</v>
      </c>
      <c r="H21" s="8" t="s">
        <v>11</v>
      </c>
      <c r="J21" s="8" t="s">
        <v>11</v>
      </c>
      <c r="L21" s="8" t="s">
        <v>11</v>
      </c>
      <c r="N21" s="8" t="s">
        <v>11</v>
      </c>
      <c r="O21" s="57">
        <f t="shared" si="2"/>
        <v>0</v>
      </c>
    </row>
    <row r="22" spans="1:15" x14ac:dyDescent="0.25">
      <c r="A22" s="4"/>
      <c r="B22" s="5"/>
      <c r="C22" s="13"/>
      <c r="D22" s="12"/>
      <c r="F22" s="8"/>
      <c r="H22" s="91"/>
      <c r="J22" s="8"/>
      <c r="L22" s="90"/>
      <c r="N22" s="8"/>
      <c r="O22" s="15"/>
    </row>
    <row r="23" spans="1:15" x14ac:dyDescent="0.25">
      <c r="A23" s="4">
        <v>42404</v>
      </c>
      <c r="B23" s="99">
        <f t="shared" si="1"/>
        <v>42404</v>
      </c>
      <c r="C23" s="13">
        <v>0.8</v>
      </c>
      <c r="D23" s="12">
        <v>0.65347222222222223</v>
      </c>
      <c r="F23" s="8">
        <v>10622.333085094418</v>
      </c>
      <c r="G23" s="2"/>
      <c r="H23" s="8" t="s">
        <v>11</v>
      </c>
      <c r="I23" s="152"/>
      <c r="J23" s="8" t="s">
        <v>11</v>
      </c>
      <c r="K23" s="152"/>
      <c r="L23" s="8" t="s">
        <v>11</v>
      </c>
      <c r="M23" s="152"/>
      <c r="N23" s="8" t="s">
        <v>11</v>
      </c>
      <c r="O23" s="57">
        <f t="shared" si="2"/>
        <v>10622.333085094418</v>
      </c>
    </row>
    <row r="24" spans="1:15" x14ac:dyDescent="0.25">
      <c r="A24" s="4">
        <v>42405</v>
      </c>
      <c r="B24" s="99">
        <f t="shared" si="1"/>
        <v>42405</v>
      </c>
      <c r="C24" s="13">
        <v>0.2</v>
      </c>
      <c r="D24" s="12">
        <v>0.68611111111111101</v>
      </c>
      <c r="F24" s="8">
        <v>2905.4137371337492</v>
      </c>
      <c r="H24" s="8" t="s">
        <v>11</v>
      </c>
      <c r="I24" s="152"/>
      <c r="J24" s="8" t="s">
        <v>11</v>
      </c>
      <c r="K24" s="152"/>
      <c r="L24" s="8" t="s">
        <v>11</v>
      </c>
      <c r="M24" s="152"/>
      <c r="N24" s="8" t="s">
        <v>11</v>
      </c>
      <c r="O24" s="57">
        <f t="shared" si="2"/>
        <v>2905.4137371337492</v>
      </c>
    </row>
    <row r="25" spans="1:15" x14ac:dyDescent="0.25">
      <c r="A25" s="4">
        <v>42406</v>
      </c>
      <c r="B25" s="99">
        <f t="shared" si="1"/>
        <v>42406</v>
      </c>
      <c r="C25" s="13">
        <v>-0.3</v>
      </c>
      <c r="D25" s="12">
        <v>0.71597222222222223</v>
      </c>
      <c r="F25" s="8">
        <v>121224.39187321995</v>
      </c>
      <c r="H25" s="8" t="s">
        <v>11</v>
      </c>
      <c r="I25" s="152"/>
      <c r="J25" s="8" t="s">
        <v>11</v>
      </c>
      <c r="K25" s="152"/>
      <c r="L25" s="8" t="s">
        <v>11</v>
      </c>
      <c r="M25" s="152"/>
      <c r="N25" s="8" t="s">
        <v>11</v>
      </c>
      <c r="O25" s="57">
        <f t="shared" si="2"/>
        <v>121224.39187321995</v>
      </c>
    </row>
    <row r="26" spans="1:15" x14ac:dyDescent="0.25">
      <c r="A26" s="4">
        <v>42407</v>
      </c>
      <c r="B26" s="99">
        <f t="shared" si="1"/>
        <v>42407</v>
      </c>
      <c r="C26" s="13">
        <v>-0.7</v>
      </c>
      <c r="D26" s="12">
        <v>0.74444444444444446</v>
      </c>
      <c r="F26" s="8">
        <v>25403.935997007051</v>
      </c>
      <c r="H26" s="8" t="s">
        <v>11</v>
      </c>
      <c r="I26" s="152"/>
      <c r="J26" s="8" t="s">
        <v>11</v>
      </c>
      <c r="K26" s="152"/>
      <c r="L26" s="8" t="s">
        <v>11</v>
      </c>
      <c r="M26" s="152"/>
      <c r="N26" s="8" t="s">
        <v>11</v>
      </c>
      <c r="O26" s="57">
        <f t="shared" si="2"/>
        <v>25403.935997007051</v>
      </c>
    </row>
    <row r="27" spans="1:15" x14ac:dyDescent="0.25">
      <c r="A27" s="4">
        <v>42408</v>
      </c>
      <c r="B27" s="99">
        <f t="shared" si="1"/>
        <v>42408</v>
      </c>
      <c r="C27" s="13">
        <v>-1</v>
      </c>
      <c r="D27" s="12">
        <v>0.77222222222222225</v>
      </c>
      <c r="F27" s="8">
        <v>50370.948422779198</v>
      </c>
      <c r="H27" s="8" t="s">
        <v>11</v>
      </c>
      <c r="I27" s="152"/>
      <c r="J27" s="8" t="s">
        <v>11</v>
      </c>
      <c r="K27" s="152"/>
      <c r="L27" s="8" t="s">
        <v>11</v>
      </c>
      <c r="M27" s="152"/>
      <c r="N27" s="8" t="s">
        <v>11</v>
      </c>
      <c r="O27" s="57">
        <f t="shared" si="2"/>
        <v>50370.948422779198</v>
      </c>
    </row>
    <row r="28" spans="1:15" x14ac:dyDescent="0.25">
      <c r="A28" s="4">
        <v>42409</v>
      </c>
      <c r="B28" s="99">
        <f t="shared" si="1"/>
        <v>42409</v>
      </c>
      <c r="C28" s="13">
        <v>-0.9</v>
      </c>
      <c r="D28" s="12">
        <v>0.8</v>
      </c>
      <c r="E28" s="2" t="s">
        <v>58</v>
      </c>
      <c r="F28" s="8">
        <v>8000</v>
      </c>
      <c r="H28" s="8" t="s">
        <v>11</v>
      </c>
      <c r="I28" s="152"/>
      <c r="J28" s="8" t="s">
        <v>11</v>
      </c>
      <c r="K28" s="152"/>
      <c r="L28" s="8" t="s">
        <v>11</v>
      </c>
      <c r="M28" s="152"/>
      <c r="N28" s="8" t="s">
        <v>11</v>
      </c>
      <c r="O28" s="57">
        <f t="shared" si="2"/>
        <v>8000</v>
      </c>
    </row>
    <row r="29" spans="1:15" x14ac:dyDescent="0.25">
      <c r="A29" s="4">
        <v>42410</v>
      </c>
      <c r="B29" s="99">
        <f t="shared" si="1"/>
        <v>42410</v>
      </c>
      <c r="C29" s="13">
        <v>-0.7</v>
      </c>
      <c r="D29" s="12">
        <v>0.82777777777777772</v>
      </c>
      <c r="F29" s="8">
        <v>5815.2032399679283</v>
      </c>
      <c r="H29" s="8" t="s">
        <v>11</v>
      </c>
      <c r="I29" s="152"/>
      <c r="J29" s="8" t="s">
        <v>11</v>
      </c>
      <c r="K29" s="152"/>
      <c r="L29" s="8" t="s">
        <v>11</v>
      </c>
      <c r="M29" s="152"/>
      <c r="N29" s="8" t="s">
        <v>11</v>
      </c>
      <c r="O29" s="57">
        <f t="shared" si="2"/>
        <v>5815.2032399679283</v>
      </c>
    </row>
    <row r="30" spans="1:15" x14ac:dyDescent="0.25">
      <c r="A30" s="4">
        <v>42411</v>
      </c>
      <c r="B30" s="99">
        <f t="shared" si="1"/>
        <v>42411</v>
      </c>
      <c r="C30" s="13">
        <v>-0.1</v>
      </c>
      <c r="D30" s="12">
        <v>0.8569444444444444</v>
      </c>
      <c r="E30" s="151" t="s">
        <v>58</v>
      </c>
      <c r="F30" s="8">
        <v>5850</v>
      </c>
      <c r="H30" s="8" t="s">
        <v>11</v>
      </c>
      <c r="I30" s="152"/>
      <c r="J30" s="8" t="s">
        <v>11</v>
      </c>
      <c r="K30" s="152"/>
      <c r="L30" s="8" t="s">
        <v>11</v>
      </c>
      <c r="M30" s="152"/>
      <c r="N30" s="8" t="s">
        <v>11</v>
      </c>
      <c r="O30" s="57">
        <f t="shared" si="2"/>
        <v>5850</v>
      </c>
    </row>
    <row r="31" spans="1:15" x14ac:dyDescent="0.25">
      <c r="A31" s="4">
        <v>42412</v>
      </c>
      <c r="B31" s="99">
        <f t="shared" si="1"/>
        <v>42412</v>
      </c>
      <c r="C31" s="13">
        <v>0.6</v>
      </c>
      <c r="D31" s="12">
        <v>0.88680555555555551</v>
      </c>
      <c r="E31" s="151" t="s">
        <v>58</v>
      </c>
      <c r="F31" s="145">
        <v>11000</v>
      </c>
      <c r="H31" s="8" t="s">
        <v>11</v>
      </c>
      <c r="I31" s="152"/>
      <c r="J31" s="8" t="s">
        <v>11</v>
      </c>
      <c r="K31" s="152"/>
      <c r="L31" s="8" t="s">
        <v>11</v>
      </c>
      <c r="M31" s="152"/>
      <c r="N31" s="8" t="s">
        <v>11</v>
      </c>
      <c r="O31" s="57">
        <f t="shared" si="2"/>
        <v>11000</v>
      </c>
    </row>
    <row r="32" spans="1:15" x14ac:dyDescent="0.25">
      <c r="A32" s="4">
        <v>42413</v>
      </c>
      <c r="B32" s="99">
        <f t="shared" si="1"/>
        <v>42413</v>
      </c>
      <c r="C32" s="13">
        <v>1.4</v>
      </c>
      <c r="D32" s="92">
        <v>0.9194444444444444</v>
      </c>
      <c r="E32" s="151" t="s">
        <v>58</v>
      </c>
      <c r="F32" s="145">
        <v>15000</v>
      </c>
      <c r="H32" s="8" t="s">
        <v>11</v>
      </c>
      <c r="J32" s="8" t="s">
        <v>11</v>
      </c>
      <c r="K32" s="2"/>
      <c r="L32" s="8" t="s">
        <v>11</v>
      </c>
      <c r="N32" s="8" t="s">
        <v>11</v>
      </c>
      <c r="O32" s="15">
        <f t="shared" si="2"/>
        <v>15000</v>
      </c>
    </row>
    <row r="33" spans="1:15" x14ac:dyDescent="0.25">
      <c r="A33" s="4">
        <v>42414</v>
      </c>
      <c r="B33" s="99">
        <f t="shared" si="1"/>
        <v>42414</v>
      </c>
      <c r="C33" s="13">
        <v>2.2000000000000002</v>
      </c>
      <c r="D33" s="92">
        <v>0.95694444444444449</v>
      </c>
      <c r="E33" s="151" t="s">
        <v>58</v>
      </c>
      <c r="F33" s="145">
        <v>1000</v>
      </c>
      <c r="H33" s="8" t="s">
        <v>11</v>
      </c>
      <c r="J33" s="8" t="s">
        <v>11</v>
      </c>
      <c r="L33" s="8" t="s">
        <v>11</v>
      </c>
      <c r="N33" s="8" t="s">
        <v>11</v>
      </c>
      <c r="O33" s="15">
        <f t="shared" si="2"/>
        <v>1000</v>
      </c>
    </row>
    <row r="34" spans="1:15" x14ac:dyDescent="0.25">
      <c r="A34" s="4"/>
      <c r="B34" s="99"/>
      <c r="C34" s="13"/>
      <c r="D34" s="92"/>
      <c r="E34" s="151"/>
      <c r="F34" s="8"/>
      <c r="H34" s="8"/>
      <c r="J34" s="8"/>
      <c r="L34" s="8"/>
      <c r="N34" s="8"/>
      <c r="O34" s="15"/>
    </row>
    <row r="35" spans="1:15" x14ac:dyDescent="0.25">
      <c r="A35" s="4">
        <v>42415</v>
      </c>
      <c r="B35" s="99">
        <f t="shared" si="1"/>
        <v>42415</v>
      </c>
      <c r="C35" s="13">
        <v>1.1000000000000001</v>
      </c>
      <c r="D35" s="92">
        <v>0.51111111111111107</v>
      </c>
      <c r="E35" s="151" t="s">
        <v>58</v>
      </c>
      <c r="F35" s="145">
        <v>8000</v>
      </c>
      <c r="G35" s="2"/>
      <c r="H35" s="8" t="s">
        <v>11</v>
      </c>
      <c r="J35" s="8" t="s">
        <v>11</v>
      </c>
      <c r="L35" s="8" t="s">
        <v>11</v>
      </c>
      <c r="N35" s="8" t="s">
        <v>11</v>
      </c>
      <c r="O35" s="15">
        <f t="shared" si="2"/>
        <v>8000</v>
      </c>
    </row>
    <row r="36" spans="1:15" x14ac:dyDescent="0.25">
      <c r="A36" s="4">
        <v>42416</v>
      </c>
      <c r="B36" s="99">
        <f t="shared" si="1"/>
        <v>42416</v>
      </c>
      <c r="C36" s="13">
        <v>1</v>
      </c>
      <c r="D36" s="92">
        <v>0.5625</v>
      </c>
      <c r="E36" s="151" t="s">
        <v>58</v>
      </c>
      <c r="F36" s="145">
        <v>8000</v>
      </c>
      <c r="H36" s="8" t="s">
        <v>11</v>
      </c>
      <c r="J36" s="8" t="s">
        <v>11</v>
      </c>
      <c r="L36" s="8" t="s">
        <v>11</v>
      </c>
      <c r="N36" s="8" t="s">
        <v>11</v>
      </c>
      <c r="O36" s="15">
        <f t="shared" si="2"/>
        <v>8000</v>
      </c>
    </row>
    <row r="37" spans="1:15" x14ac:dyDescent="0.25">
      <c r="A37" s="4">
        <v>42417</v>
      </c>
      <c r="B37" s="99">
        <f t="shared" si="1"/>
        <v>42417</v>
      </c>
      <c r="C37" s="13">
        <v>0.7</v>
      </c>
      <c r="D37" s="92">
        <v>0.61111111111111116</v>
      </c>
      <c r="F37" s="8">
        <v>7673.8624968417498</v>
      </c>
      <c r="G37" s="2"/>
      <c r="H37" s="8" t="s">
        <v>11</v>
      </c>
      <c r="J37" s="8" t="s">
        <v>11</v>
      </c>
      <c r="L37" s="8" t="s">
        <v>11</v>
      </c>
      <c r="N37" s="8" t="s">
        <v>11</v>
      </c>
      <c r="O37" s="15">
        <f t="shared" si="2"/>
        <v>7673.8624968417498</v>
      </c>
    </row>
    <row r="38" spans="1:15" x14ac:dyDescent="0.25">
      <c r="A38" s="4">
        <v>42418</v>
      </c>
      <c r="B38" s="99">
        <f t="shared" si="1"/>
        <v>42418</v>
      </c>
      <c r="C38" s="13">
        <v>0.3</v>
      </c>
      <c r="D38" s="92">
        <v>0.65347222222222223</v>
      </c>
      <c r="F38" s="8">
        <v>8977.839767759102</v>
      </c>
      <c r="G38" s="2"/>
      <c r="H38" s="8" t="s">
        <v>11</v>
      </c>
      <c r="J38" s="8" t="s">
        <v>11</v>
      </c>
      <c r="L38" s="8" t="s">
        <v>11</v>
      </c>
      <c r="N38" s="8" t="s">
        <v>11</v>
      </c>
      <c r="O38" s="15">
        <f t="shared" si="2"/>
        <v>8977.839767759102</v>
      </c>
    </row>
    <row r="39" spans="1:15" x14ac:dyDescent="0.25">
      <c r="A39" s="4">
        <v>42419</v>
      </c>
      <c r="B39" s="99">
        <f t="shared" si="1"/>
        <v>42419</v>
      </c>
      <c r="C39" s="13">
        <v>0</v>
      </c>
      <c r="D39" s="92">
        <v>0.68958333333333333</v>
      </c>
      <c r="F39" s="8">
        <v>22831.619093167377</v>
      </c>
      <c r="G39" s="2"/>
      <c r="H39" s="8" t="s">
        <v>11</v>
      </c>
      <c r="J39" s="8">
        <v>42899.9985803729</v>
      </c>
      <c r="L39" s="8">
        <v>14975.819291004018</v>
      </c>
      <c r="N39" s="8" t="s">
        <v>11</v>
      </c>
      <c r="O39" s="15">
        <f>+F39+J39+L39</f>
        <v>80707.436964544308</v>
      </c>
    </row>
    <row r="40" spans="1:15" x14ac:dyDescent="0.25">
      <c r="A40" s="4">
        <v>42420</v>
      </c>
      <c r="B40" s="5">
        <f t="shared" si="1"/>
        <v>42420</v>
      </c>
      <c r="C40" s="13">
        <v>-0.1</v>
      </c>
      <c r="D40" s="92">
        <v>0.72013888888888888</v>
      </c>
      <c r="F40" s="8">
        <v>201114.34981202372</v>
      </c>
      <c r="G40" s="2"/>
      <c r="H40" s="8" t="s">
        <v>11</v>
      </c>
      <c r="J40" s="8">
        <v>128329.73187509234</v>
      </c>
      <c r="L40" s="8">
        <v>117314.80519212622</v>
      </c>
      <c r="N40" s="8" t="s">
        <v>11</v>
      </c>
      <c r="O40" s="15">
        <f>+F40+J40+L40</f>
        <v>446758.88687924226</v>
      </c>
    </row>
    <row r="41" spans="1:15" x14ac:dyDescent="0.25">
      <c r="A41" s="4">
        <v>42421</v>
      </c>
      <c r="B41" s="5">
        <f t="shared" si="1"/>
        <v>42421</v>
      </c>
      <c r="C41" s="13">
        <v>-0.2</v>
      </c>
      <c r="D41" s="92">
        <v>0.74722222222222223</v>
      </c>
      <c r="F41" s="8">
        <v>32313.047011182862</v>
      </c>
      <c r="H41" s="8" t="s">
        <v>11</v>
      </c>
      <c r="J41" s="8" t="s">
        <v>11</v>
      </c>
      <c r="L41" s="8">
        <v>37155.497258312971</v>
      </c>
      <c r="N41" s="8" t="s">
        <v>11</v>
      </c>
      <c r="O41" s="15">
        <f>+F41+L41</f>
        <v>69468.544269495833</v>
      </c>
    </row>
    <row r="42" spans="1:15" x14ac:dyDescent="0.25">
      <c r="A42" s="4">
        <v>42422</v>
      </c>
      <c r="B42" s="5">
        <f t="shared" si="1"/>
        <v>42422</v>
      </c>
      <c r="C42" s="13">
        <v>-0.1</v>
      </c>
      <c r="D42" s="92">
        <v>0.77152777777777781</v>
      </c>
      <c r="F42" s="8">
        <v>18961.596960882067</v>
      </c>
      <c r="G42" s="2"/>
      <c r="H42" s="8" t="s">
        <v>11</v>
      </c>
      <c r="J42" s="8" t="s">
        <v>11</v>
      </c>
      <c r="L42" s="8" t="s">
        <v>11</v>
      </c>
      <c r="N42" s="8" t="s">
        <v>11</v>
      </c>
      <c r="O42" s="15">
        <f t="shared" si="2"/>
        <v>18961.596960882067</v>
      </c>
    </row>
    <row r="43" spans="1:15" x14ac:dyDescent="0.25">
      <c r="A43" s="4">
        <v>42423</v>
      </c>
      <c r="B43" s="5">
        <f t="shared" si="1"/>
        <v>42423</v>
      </c>
      <c r="C43" s="13">
        <v>0.1</v>
      </c>
      <c r="D43" s="92">
        <v>0.7944444444444444</v>
      </c>
      <c r="E43" s="2" t="s">
        <v>58</v>
      </c>
      <c r="F43" s="8">
        <v>16050</v>
      </c>
      <c r="G43" s="2"/>
      <c r="H43" s="8" t="s">
        <v>11</v>
      </c>
      <c r="J43" s="8" t="s">
        <v>11</v>
      </c>
      <c r="L43" s="8" t="s">
        <v>11</v>
      </c>
      <c r="N43" s="8" t="s">
        <v>11</v>
      </c>
      <c r="O43" s="15">
        <f t="shared" si="2"/>
        <v>16050</v>
      </c>
    </row>
    <row r="44" spans="1:15" x14ac:dyDescent="0.25">
      <c r="A44" s="4">
        <v>42424</v>
      </c>
      <c r="B44" s="5">
        <f t="shared" si="1"/>
        <v>42424</v>
      </c>
      <c r="C44" s="13">
        <v>0.5</v>
      </c>
      <c r="D44" s="92">
        <v>0.81597222222222221</v>
      </c>
      <c r="F44" s="145">
        <v>3372.4204892428152</v>
      </c>
      <c r="G44" s="2"/>
      <c r="H44" s="8" t="s">
        <v>11</v>
      </c>
      <c r="J44" s="8" t="s">
        <v>11</v>
      </c>
      <c r="L44" s="8" t="s">
        <v>11</v>
      </c>
      <c r="N44" s="8" t="s">
        <v>11</v>
      </c>
      <c r="O44" s="15">
        <f t="shared" si="2"/>
        <v>3372.4204892428152</v>
      </c>
    </row>
    <row r="45" spans="1:15" x14ac:dyDescent="0.25">
      <c r="A45" s="4">
        <v>42425</v>
      </c>
      <c r="B45" s="5">
        <f t="shared" si="1"/>
        <v>42425</v>
      </c>
      <c r="C45" s="13">
        <v>0.9</v>
      </c>
      <c r="D45" s="92">
        <v>0.83750000000000002</v>
      </c>
      <c r="E45" s="2" t="s">
        <v>58</v>
      </c>
      <c r="F45" s="145">
        <v>9000</v>
      </c>
      <c r="G45" s="2"/>
      <c r="H45" s="8" t="s">
        <v>11</v>
      </c>
      <c r="J45" s="8" t="s">
        <v>11</v>
      </c>
      <c r="L45" s="8" t="s">
        <v>11</v>
      </c>
      <c r="N45" s="8" t="s">
        <v>11</v>
      </c>
      <c r="O45" s="15">
        <f t="shared" si="2"/>
        <v>9000</v>
      </c>
    </row>
    <row r="46" spans="1:15" x14ac:dyDescent="0.25">
      <c r="A46" s="4">
        <v>42426</v>
      </c>
      <c r="B46" s="5">
        <f t="shared" si="1"/>
        <v>42426</v>
      </c>
      <c r="C46" s="13">
        <v>1.4</v>
      </c>
      <c r="D46" s="92">
        <v>0.85902777777777772</v>
      </c>
      <c r="E46" s="2" t="s">
        <v>58</v>
      </c>
      <c r="F46" s="145">
        <v>11700</v>
      </c>
      <c r="G46" s="2"/>
      <c r="H46" s="8" t="s">
        <v>11</v>
      </c>
      <c r="J46" s="8" t="s">
        <v>11</v>
      </c>
      <c r="L46" s="8" t="s">
        <v>11</v>
      </c>
      <c r="N46" s="8" t="s">
        <v>11</v>
      </c>
      <c r="O46" s="15">
        <f t="shared" si="2"/>
        <v>11700</v>
      </c>
    </row>
    <row r="47" spans="1:15" x14ac:dyDescent="0.25">
      <c r="A47" s="4">
        <v>42427</v>
      </c>
      <c r="B47" s="5">
        <f t="shared" si="1"/>
        <v>42427</v>
      </c>
      <c r="C47" s="13">
        <v>2</v>
      </c>
      <c r="D47" s="92">
        <v>0.88124999999999998</v>
      </c>
      <c r="E47" s="2" t="s">
        <v>58</v>
      </c>
      <c r="F47" s="145">
        <v>1200</v>
      </c>
      <c r="G47" s="2"/>
      <c r="H47" s="8" t="s">
        <v>11</v>
      </c>
      <c r="J47" s="8" t="s">
        <v>11</v>
      </c>
      <c r="L47" s="8" t="s">
        <v>11</v>
      </c>
      <c r="N47" s="8" t="s">
        <v>11</v>
      </c>
      <c r="O47" s="15">
        <f t="shared" si="2"/>
        <v>1200</v>
      </c>
    </row>
    <row r="48" spans="1:15" x14ac:dyDescent="0.25">
      <c r="A48" s="4">
        <v>42428</v>
      </c>
      <c r="B48" s="99">
        <f t="shared" si="1"/>
        <v>42428</v>
      </c>
      <c r="C48" s="13">
        <v>2.5</v>
      </c>
      <c r="D48" s="92">
        <v>0.90555555555555556</v>
      </c>
      <c r="E48" s="2" t="s">
        <v>62</v>
      </c>
      <c r="F48" s="156">
        <v>0</v>
      </c>
      <c r="H48" s="8" t="s">
        <v>11</v>
      </c>
      <c r="J48" s="8" t="s">
        <v>11</v>
      </c>
      <c r="L48" s="8" t="s">
        <v>11</v>
      </c>
      <c r="N48" s="8" t="s">
        <v>11</v>
      </c>
      <c r="O48" s="15">
        <f t="shared" si="2"/>
        <v>0</v>
      </c>
    </row>
    <row r="49" spans="1:16" x14ac:dyDescent="0.25">
      <c r="A49" s="4">
        <v>42429</v>
      </c>
      <c r="B49" s="99">
        <f t="shared" si="1"/>
        <v>42429</v>
      </c>
      <c r="C49" s="13">
        <v>3.1</v>
      </c>
      <c r="D49" s="92">
        <v>0.93472222222222223</v>
      </c>
      <c r="E49" s="2" t="s">
        <v>62</v>
      </c>
      <c r="F49" s="154">
        <v>0</v>
      </c>
      <c r="H49" s="8" t="s">
        <v>11</v>
      </c>
      <c r="J49" s="8" t="s">
        <v>11</v>
      </c>
      <c r="L49" s="8" t="s">
        <v>11</v>
      </c>
      <c r="N49" s="8" t="s">
        <v>11</v>
      </c>
      <c r="O49" s="15">
        <f t="shared" si="2"/>
        <v>0</v>
      </c>
    </row>
    <row r="50" spans="1:16" x14ac:dyDescent="0.25">
      <c r="A50" s="4"/>
      <c r="B50" s="99"/>
      <c r="C50" s="13"/>
      <c r="D50" s="92"/>
      <c r="F50" s="91"/>
      <c r="H50" s="91"/>
      <c r="J50" s="91"/>
      <c r="L50" s="91"/>
      <c r="N50" s="91"/>
      <c r="O50" s="10"/>
    </row>
    <row r="51" spans="1:16" x14ac:dyDescent="0.25">
      <c r="A51" s="4">
        <v>42430</v>
      </c>
      <c r="B51" s="99">
        <f t="shared" ref="B51:B113" si="3">+A51</f>
        <v>42430</v>
      </c>
      <c r="C51" s="13">
        <v>1.9</v>
      </c>
      <c r="D51" s="92">
        <v>0.48888888888888887</v>
      </c>
      <c r="E51" s="151" t="s">
        <v>58</v>
      </c>
      <c r="F51" s="154">
        <v>935</v>
      </c>
      <c r="G51" s="152"/>
      <c r="H51" s="8" t="s">
        <v>11</v>
      </c>
      <c r="I51" s="152"/>
      <c r="J51" s="8" t="s">
        <v>11</v>
      </c>
      <c r="K51" s="152"/>
      <c r="L51" s="8" t="s">
        <v>11</v>
      </c>
      <c r="M51" s="152"/>
      <c r="N51" s="8" t="s">
        <v>11</v>
      </c>
      <c r="O51" s="10">
        <f>+F51</f>
        <v>935</v>
      </c>
    </row>
    <row r="52" spans="1:16" x14ac:dyDescent="0.25">
      <c r="A52" s="4">
        <v>42431</v>
      </c>
      <c r="B52" s="99">
        <f t="shared" si="3"/>
        <v>42431</v>
      </c>
      <c r="C52" s="13">
        <v>1.8</v>
      </c>
      <c r="D52" s="92">
        <v>0.53541666666666665</v>
      </c>
      <c r="E52" s="151"/>
      <c r="F52" s="154">
        <v>963.52373797010682</v>
      </c>
      <c r="G52" s="152"/>
      <c r="H52" s="8" t="s">
        <v>11</v>
      </c>
      <c r="I52" s="152"/>
      <c r="J52" s="8" t="s">
        <v>11</v>
      </c>
      <c r="K52" s="152"/>
      <c r="L52" s="8" t="s">
        <v>11</v>
      </c>
      <c r="M52" s="152"/>
      <c r="N52" s="8" t="s">
        <v>11</v>
      </c>
      <c r="O52" s="10">
        <f t="shared" ref="O52:O60" si="4">+F52</f>
        <v>963.52373797010682</v>
      </c>
    </row>
    <row r="53" spans="1:16" x14ac:dyDescent="0.25">
      <c r="A53" s="4">
        <v>42432</v>
      </c>
      <c r="B53" s="99">
        <f t="shared" si="3"/>
        <v>42432</v>
      </c>
      <c r="C53" s="13">
        <v>1.4</v>
      </c>
      <c r="D53" s="92">
        <v>0.58263888888888893</v>
      </c>
      <c r="E53" s="151"/>
      <c r="F53" s="154">
        <v>2253.097026556884</v>
      </c>
      <c r="G53" s="152"/>
      <c r="H53" s="8" t="s">
        <v>11</v>
      </c>
      <c r="I53" s="152"/>
      <c r="J53" s="8" t="s">
        <v>11</v>
      </c>
      <c r="K53" s="152"/>
      <c r="L53" s="8" t="s">
        <v>11</v>
      </c>
      <c r="M53" s="152"/>
      <c r="N53" s="8" t="s">
        <v>11</v>
      </c>
      <c r="O53" s="10">
        <f t="shared" si="4"/>
        <v>2253.097026556884</v>
      </c>
    </row>
    <row r="54" spans="1:16" x14ac:dyDescent="0.25">
      <c r="A54" s="4">
        <v>42433</v>
      </c>
      <c r="B54" s="99">
        <f t="shared" si="3"/>
        <v>42433</v>
      </c>
      <c r="C54" s="13">
        <v>0.9</v>
      </c>
      <c r="D54" s="92">
        <v>0.625</v>
      </c>
      <c r="E54" s="151"/>
      <c r="F54" s="154">
        <v>3738.570422072788</v>
      </c>
      <c r="G54" s="152"/>
      <c r="H54" s="8" t="s">
        <v>11</v>
      </c>
      <c r="I54" s="152"/>
      <c r="J54" s="8" t="s">
        <v>11</v>
      </c>
      <c r="K54" s="152"/>
      <c r="L54" s="8" t="s">
        <v>11</v>
      </c>
      <c r="M54" s="152"/>
      <c r="N54" s="8" t="s">
        <v>11</v>
      </c>
      <c r="O54" s="10">
        <f t="shared" si="4"/>
        <v>3738.570422072788</v>
      </c>
    </row>
    <row r="55" spans="1:16" x14ac:dyDescent="0.25">
      <c r="A55" s="4">
        <v>42434</v>
      </c>
      <c r="B55" s="99">
        <f t="shared" si="3"/>
        <v>42434</v>
      </c>
      <c r="C55" s="13">
        <v>0.3</v>
      </c>
      <c r="D55" s="92">
        <v>0.66180555555555554</v>
      </c>
      <c r="E55" s="151"/>
      <c r="F55" s="154">
        <v>26602.028447599449</v>
      </c>
      <c r="G55" s="152"/>
      <c r="H55" s="8" t="s">
        <v>11</v>
      </c>
      <c r="I55" s="152"/>
      <c r="J55" s="8" t="s">
        <v>11</v>
      </c>
      <c r="K55" s="152"/>
      <c r="L55" s="8">
        <v>16190.464974594044</v>
      </c>
      <c r="M55" s="152"/>
      <c r="N55" s="8" t="s">
        <v>11</v>
      </c>
      <c r="O55" s="10">
        <f>+F55+L55</f>
        <v>42792.493422193496</v>
      </c>
    </row>
    <row r="56" spans="1:16" x14ac:dyDescent="0.25">
      <c r="A56" s="4">
        <v>42435</v>
      </c>
      <c r="B56" s="99">
        <f t="shared" si="3"/>
        <v>42435</v>
      </c>
      <c r="C56" s="13">
        <v>-0.2</v>
      </c>
      <c r="D56" s="92">
        <v>0.69444444444444442</v>
      </c>
      <c r="E56" s="151"/>
      <c r="F56" s="154">
        <v>19027.575487288013</v>
      </c>
      <c r="G56" s="152"/>
      <c r="H56" s="8" t="s">
        <v>11</v>
      </c>
      <c r="I56" s="152"/>
      <c r="J56" s="187" t="s">
        <v>11</v>
      </c>
      <c r="K56" s="152"/>
      <c r="L56" s="8">
        <v>46672.736369342063</v>
      </c>
      <c r="M56" s="152"/>
      <c r="N56" s="8" t="s">
        <v>11</v>
      </c>
      <c r="O56" s="10">
        <f>+F56+L56</f>
        <v>65700.311856630084</v>
      </c>
    </row>
    <row r="57" spans="1:16" x14ac:dyDescent="0.25">
      <c r="A57" s="4">
        <v>42436</v>
      </c>
      <c r="B57" s="99">
        <f t="shared" si="3"/>
        <v>42436</v>
      </c>
      <c r="C57" s="13">
        <v>-0.5</v>
      </c>
      <c r="D57" s="92">
        <v>0.72430555555555554</v>
      </c>
      <c r="E57" s="151" t="s">
        <v>56</v>
      </c>
      <c r="F57" s="154">
        <f>+L57*(F56+F55+F58)/(L55+L56+L58)</f>
        <v>18040.852682220891</v>
      </c>
      <c r="G57" s="152"/>
      <c r="H57" s="8" t="s">
        <v>11</v>
      </c>
      <c r="I57" s="152"/>
      <c r="J57" s="187" t="s">
        <v>11</v>
      </c>
      <c r="K57" s="152"/>
      <c r="L57" s="8">
        <v>23014.071003063618</v>
      </c>
      <c r="M57" s="152"/>
      <c r="N57" s="8" t="s">
        <v>11</v>
      </c>
      <c r="O57" s="10">
        <f>+F57+L57</f>
        <v>41054.923685284506</v>
      </c>
    </row>
    <row r="58" spans="1:16" x14ac:dyDescent="0.25">
      <c r="A58" s="4">
        <v>42437</v>
      </c>
      <c r="B58" s="99">
        <f t="shared" si="3"/>
        <v>42437</v>
      </c>
      <c r="C58" s="13">
        <v>-0.6</v>
      </c>
      <c r="D58" s="92">
        <v>0.75347222222222221</v>
      </c>
      <c r="E58" s="151"/>
      <c r="F58" s="154">
        <v>16046.323914419594</v>
      </c>
      <c r="G58" s="152"/>
      <c r="H58" s="8" t="s">
        <v>11</v>
      </c>
      <c r="I58" s="152"/>
      <c r="J58" s="187" t="s">
        <v>11</v>
      </c>
      <c r="K58" s="152"/>
      <c r="L58" s="8">
        <v>15814.575571930076</v>
      </c>
      <c r="M58" s="152"/>
      <c r="N58" s="8" t="s">
        <v>11</v>
      </c>
      <c r="O58" s="10">
        <f>+F58+L58</f>
        <v>31860.89948634967</v>
      </c>
    </row>
    <row r="59" spans="1:16" x14ac:dyDescent="0.25">
      <c r="A59" s="4">
        <v>42438</v>
      </c>
      <c r="B59" s="99">
        <f t="shared" si="3"/>
        <v>42438</v>
      </c>
      <c r="C59" s="13">
        <v>-0.5</v>
      </c>
      <c r="D59" s="92">
        <v>0.78263888888888888</v>
      </c>
      <c r="E59" s="151" t="s">
        <v>58</v>
      </c>
      <c r="F59" s="154">
        <v>15750</v>
      </c>
      <c r="G59" s="152"/>
      <c r="H59" s="8" t="s">
        <v>11</v>
      </c>
      <c r="I59" s="152"/>
      <c r="J59" s="183" t="s">
        <v>11</v>
      </c>
      <c r="K59" s="152"/>
      <c r="L59" s="184" t="s">
        <v>11</v>
      </c>
      <c r="M59" s="152"/>
      <c r="N59" s="8" t="s">
        <v>11</v>
      </c>
      <c r="O59" s="10">
        <f t="shared" si="4"/>
        <v>15750</v>
      </c>
    </row>
    <row r="60" spans="1:16" x14ac:dyDescent="0.25">
      <c r="A60" s="4">
        <v>42439</v>
      </c>
      <c r="B60" s="99">
        <f t="shared" si="3"/>
        <v>42439</v>
      </c>
      <c r="C60" s="13">
        <v>-0.2</v>
      </c>
      <c r="D60" s="92">
        <v>0.81111111111111112</v>
      </c>
      <c r="E60" s="151" t="s">
        <v>58</v>
      </c>
      <c r="F60" s="182">
        <v>10400</v>
      </c>
      <c r="G60" s="152"/>
      <c r="H60" s="8" t="s">
        <v>11</v>
      </c>
      <c r="I60" s="152"/>
      <c r="J60" s="183" t="s">
        <v>11</v>
      </c>
      <c r="K60" s="152"/>
      <c r="L60" s="184" t="s">
        <v>11</v>
      </c>
      <c r="M60" s="152"/>
      <c r="N60" s="8" t="s">
        <v>11</v>
      </c>
      <c r="O60" s="10">
        <f t="shared" si="4"/>
        <v>10400</v>
      </c>
    </row>
    <row r="61" spans="1:16" x14ac:dyDescent="0.25">
      <c r="A61" s="4"/>
      <c r="B61" s="99"/>
      <c r="C61" s="13"/>
      <c r="D61" s="92"/>
      <c r="E61" s="151"/>
      <c r="F61" s="154"/>
      <c r="G61" s="152"/>
      <c r="H61" s="8"/>
      <c r="I61" s="152"/>
      <c r="J61" s="8"/>
      <c r="K61" s="152"/>
      <c r="L61" s="8"/>
      <c r="M61" s="152"/>
      <c r="N61" s="8"/>
    </row>
    <row r="62" spans="1:16" x14ac:dyDescent="0.25">
      <c r="A62" s="4">
        <v>42440</v>
      </c>
      <c r="B62" s="99">
        <f t="shared" si="3"/>
        <v>42440</v>
      </c>
      <c r="C62" s="13">
        <v>-0.1</v>
      </c>
      <c r="D62" s="155">
        <v>0.33263888888888887</v>
      </c>
      <c r="E62" s="151"/>
      <c r="F62" s="154">
        <v>6977.1567146703073</v>
      </c>
      <c r="G62" s="152"/>
      <c r="H62" s="8" t="s">
        <v>11</v>
      </c>
      <c r="I62" s="152"/>
      <c r="J62" s="183" t="s">
        <v>11</v>
      </c>
      <c r="K62" s="152"/>
      <c r="L62" s="184" t="s">
        <v>11</v>
      </c>
      <c r="M62" s="152"/>
      <c r="N62" s="8" t="s">
        <v>11</v>
      </c>
      <c r="O62" s="10">
        <f>+F62</f>
        <v>6977.1567146703073</v>
      </c>
      <c r="P62" s="186" t="s">
        <v>61</v>
      </c>
    </row>
    <row r="63" spans="1:16" x14ac:dyDescent="0.25">
      <c r="A63" s="4">
        <v>42441</v>
      </c>
      <c r="B63" s="99">
        <f t="shared" si="3"/>
        <v>42441</v>
      </c>
      <c r="C63" s="13">
        <v>-0.2</v>
      </c>
      <c r="D63" s="155">
        <v>0.36736111111111114</v>
      </c>
      <c r="E63" s="151"/>
      <c r="F63" s="154">
        <v>15539.313169858526</v>
      </c>
      <c r="G63" s="152"/>
      <c r="H63" s="8" t="s">
        <v>11</v>
      </c>
      <c r="I63" s="152"/>
      <c r="J63" s="183" t="s">
        <v>11</v>
      </c>
      <c r="K63" s="152"/>
      <c r="L63" s="184" t="s">
        <v>11</v>
      </c>
      <c r="M63" s="152"/>
      <c r="N63" s="8" t="s">
        <v>11</v>
      </c>
      <c r="O63" s="10">
        <f>+F63</f>
        <v>15539.313169858526</v>
      </c>
      <c r="P63" s="185" t="s">
        <v>60</v>
      </c>
    </row>
    <row r="64" spans="1:16" x14ac:dyDescent="0.25">
      <c r="A64" s="4">
        <v>42442</v>
      </c>
      <c r="B64" s="99">
        <f t="shared" si="3"/>
        <v>42442</v>
      </c>
      <c r="C64" s="13">
        <v>0</v>
      </c>
      <c r="D64" s="155">
        <v>0.4465277777777778</v>
      </c>
      <c r="E64" s="151" t="s">
        <v>59</v>
      </c>
      <c r="F64" s="154">
        <v>0</v>
      </c>
      <c r="G64" s="152"/>
      <c r="H64" s="8" t="s">
        <v>11</v>
      </c>
      <c r="I64" s="152"/>
      <c r="J64" s="183" t="s">
        <v>11</v>
      </c>
      <c r="K64" s="152"/>
      <c r="L64" s="183" t="s">
        <v>11</v>
      </c>
      <c r="M64" s="152"/>
      <c r="N64" s="8" t="s">
        <v>11</v>
      </c>
      <c r="O64" s="10">
        <f>+F64</f>
        <v>0</v>
      </c>
    </row>
    <row r="65" spans="1:15" x14ac:dyDescent="0.25">
      <c r="A65" s="4">
        <v>42443</v>
      </c>
      <c r="B65" s="99">
        <f t="shared" si="3"/>
        <v>42443</v>
      </c>
      <c r="C65" s="13">
        <v>0.3</v>
      </c>
      <c r="D65" s="155">
        <v>0.48749999999999999</v>
      </c>
      <c r="E65" s="151" t="s">
        <v>58</v>
      </c>
      <c r="F65" s="154">
        <v>14900</v>
      </c>
      <c r="G65" s="152"/>
      <c r="H65" s="8" t="s">
        <v>11</v>
      </c>
      <c r="I65" s="152"/>
      <c r="J65" s="183" t="s">
        <v>11</v>
      </c>
      <c r="K65" s="152"/>
      <c r="L65" s="183" t="s">
        <v>11</v>
      </c>
      <c r="M65" s="152"/>
      <c r="N65" s="8" t="s">
        <v>11</v>
      </c>
      <c r="O65" s="10">
        <f>+F65</f>
        <v>14900</v>
      </c>
    </row>
    <row r="66" spans="1:15" x14ac:dyDescent="0.25">
      <c r="A66" s="4"/>
      <c r="B66" s="99"/>
      <c r="C66" s="13"/>
      <c r="D66" s="92"/>
      <c r="E66" s="151"/>
      <c r="F66" s="154"/>
      <c r="G66" s="152"/>
      <c r="H66" s="8"/>
      <c r="I66" s="152"/>
      <c r="J66" s="8"/>
      <c r="K66" s="152"/>
      <c r="L66" s="8"/>
      <c r="M66" s="152"/>
      <c r="N66" s="8"/>
    </row>
    <row r="67" spans="1:15" x14ac:dyDescent="0.25">
      <c r="A67" s="4">
        <v>42444</v>
      </c>
      <c r="B67" s="99">
        <f t="shared" si="3"/>
        <v>42444</v>
      </c>
      <c r="C67" s="13">
        <v>0.6</v>
      </c>
      <c r="D67" s="92">
        <v>0.53402777777777777</v>
      </c>
      <c r="E67" s="151"/>
      <c r="F67" s="154">
        <v>1705.4524244463673</v>
      </c>
      <c r="G67" s="152"/>
      <c r="H67" s="8" t="s">
        <v>11</v>
      </c>
      <c r="I67" s="152"/>
      <c r="J67" s="8" t="s">
        <v>11</v>
      </c>
      <c r="K67" s="152"/>
      <c r="L67" s="8" t="s">
        <v>11</v>
      </c>
      <c r="M67" s="152"/>
      <c r="N67" s="8" t="s">
        <v>11</v>
      </c>
      <c r="O67" s="10">
        <f>+F67</f>
        <v>1705.4524244463673</v>
      </c>
    </row>
    <row r="68" spans="1:15" x14ac:dyDescent="0.25">
      <c r="A68" s="4">
        <v>42445</v>
      </c>
      <c r="B68" s="99">
        <f t="shared" si="3"/>
        <v>42445</v>
      </c>
      <c r="C68" s="13">
        <v>0.8</v>
      </c>
      <c r="D68" s="92">
        <v>0.58402777777777781</v>
      </c>
      <c r="E68" s="151"/>
      <c r="F68" s="154">
        <v>5771.6542640130756</v>
      </c>
      <c r="G68" s="152"/>
      <c r="H68" s="8" t="s">
        <v>11</v>
      </c>
      <c r="I68" s="152"/>
      <c r="J68" s="8" t="s">
        <v>11</v>
      </c>
      <c r="K68" s="152"/>
      <c r="L68" s="8" t="s">
        <v>11</v>
      </c>
      <c r="M68" s="152"/>
      <c r="N68" s="8" t="s">
        <v>11</v>
      </c>
      <c r="O68" s="10">
        <f>+F68</f>
        <v>5771.6542640130756</v>
      </c>
    </row>
    <row r="69" spans="1:15" x14ac:dyDescent="0.25">
      <c r="A69" s="4">
        <v>42446</v>
      </c>
      <c r="B69" s="99">
        <f t="shared" si="3"/>
        <v>42446</v>
      </c>
      <c r="C69" s="13">
        <v>0.8</v>
      </c>
      <c r="D69" s="92">
        <v>0.6333333333333333</v>
      </c>
      <c r="E69" s="151" t="s">
        <v>58</v>
      </c>
      <c r="F69" s="154">
        <v>6000</v>
      </c>
      <c r="G69" s="152"/>
      <c r="H69" s="8" t="s">
        <v>11</v>
      </c>
      <c r="I69" s="152"/>
      <c r="J69" s="8" t="s">
        <v>11</v>
      </c>
      <c r="K69" s="152"/>
      <c r="L69" s="8" t="s">
        <v>11</v>
      </c>
      <c r="M69" s="152"/>
      <c r="N69" s="8" t="s">
        <v>11</v>
      </c>
      <c r="O69" s="10">
        <f>+F69</f>
        <v>6000</v>
      </c>
    </row>
    <row r="70" spans="1:15" x14ac:dyDescent="0.25">
      <c r="A70" s="4">
        <v>42447</v>
      </c>
      <c r="B70" s="99">
        <f t="shared" si="3"/>
        <v>42447</v>
      </c>
      <c r="C70" s="13">
        <v>0.7</v>
      </c>
      <c r="D70" s="92">
        <v>0.67708333333333337</v>
      </c>
      <c r="E70" s="151"/>
      <c r="F70" s="154">
        <v>11775.292202938166</v>
      </c>
      <c r="G70" s="152"/>
      <c r="H70" s="8" t="s">
        <v>11</v>
      </c>
      <c r="I70" s="152"/>
      <c r="J70" s="8">
        <v>45488.6725022065</v>
      </c>
      <c r="K70" s="152"/>
      <c r="L70" s="8">
        <v>20860.833939704506</v>
      </c>
      <c r="M70" s="152"/>
      <c r="N70" s="8" t="s">
        <v>11</v>
      </c>
      <c r="O70" s="15">
        <f>+F70+J70+L70</f>
        <v>78124.798644849172</v>
      </c>
    </row>
    <row r="71" spans="1:15" x14ac:dyDescent="0.25">
      <c r="A71" s="4">
        <v>42448</v>
      </c>
      <c r="B71" s="99">
        <f t="shared" si="3"/>
        <v>42448</v>
      </c>
      <c r="C71" s="13">
        <v>0.5</v>
      </c>
      <c r="D71" s="92">
        <v>0.71319444444444446</v>
      </c>
      <c r="E71" s="151"/>
      <c r="F71" s="154">
        <v>16670.659111034176</v>
      </c>
      <c r="G71" s="152"/>
      <c r="H71" s="8" t="s">
        <v>11</v>
      </c>
      <c r="I71" s="152"/>
      <c r="J71" s="8">
        <v>45113.613168724274</v>
      </c>
      <c r="K71" s="152"/>
      <c r="L71" s="8">
        <v>41740.3939518103</v>
      </c>
      <c r="M71" s="152"/>
      <c r="N71" s="8" t="s">
        <v>11</v>
      </c>
      <c r="O71" s="15">
        <f t="shared" ref="O71:O72" si="5">+F71+J71+L71</f>
        <v>103524.66623156876</v>
      </c>
    </row>
    <row r="72" spans="1:15" x14ac:dyDescent="0.25">
      <c r="A72" s="4">
        <v>42449</v>
      </c>
      <c r="B72" s="99">
        <f t="shared" si="3"/>
        <v>42449</v>
      </c>
      <c r="C72" s="13">
        <v>0.4</v>
      </c>
      <c r="D72" s="92">
        <v>0.74305555555555558</v>
      </c>
      <c r="E72" s="151" t="s">
        <v>56</v>
      </c>
      <c r="F72" s="154">
        <f>+(J72+L72)*(F71+F70)/(J70+J71+L70+L71)</f>
        <v>7947.2570831768198</v>
      </c>
      <c r="G72" s="152"/>
      <c r="H72" s="8" t="s">
        <v>11</v>
      </c>
      <c r="I72" s="152"/>
      <c r="J72" s="8">
        <v>26990.748290038508</v>
      </c>
      <c r="K72" s="152"/>
      <c r="L72" s="8">
        <v>15811.395849492361</v>
      </c>
      <c r="M72" s="152"/>
      <c r="N72" s="8" t="s">
        <v>11</v>
      </c>
      <c r="O72" s="15">
        <f t="shared" si="5"/>
        <v>50749.401222707689</v>
      </c>
    </row>
    <row r="73" spans="1:15" x14ac:dyDescent="0.25">
      <c r="A73" s="4">
        <v>42450</v>
      </c>
      <c r="B73" s="99">
        <f t="shared" si="3"/>
        <v>42450</v>
      </c>
      <c r="C73" s="13">
        <v>0.5</v>
      </c>
      <c r="D73" s="92">
        <v>0.76944444444444449</v>
      </c>
      <c r="E73" s="151" t="s">
        <v>58</v>
      </c>
      <c r="F73" s="154">
        <v>16500</v>
      </c>
      <c r="G73" s="152"/>
      <c r="H73" s="8" t="s">
        <v>11</v>
      </c>
      <c r="I73" s="152"/>
      <c r="J73" s="8" t="s">
        <v>11</v>
      </c>
      <c r="K73" s="152"/>
      <c r="L73" s="8" t="s">
        <v>11</v>
      </c>
      <c r="M73" s="152"/>
      <c r="N73" s="8" t="s">
        <v>11</v>
      </c>
      <c r="O73" s="10">
        <f>+F73</f>
        <v>16500</v>
      </c>
    </row>
    <row r="74" spans="1:15" x14ac:dyDescent="0.25">
      <c r="A74" s="4">
        <v>42451</v>
      </c>
      <c r="B74" s="99">
        <f t="shared" si="3"/>
        <v>42451</v>
      </c>
      <c r="C74" s="13">
        <v>0.6</v>
      </c>
      <c r="D74" s="92">
        <v>0.79305555555555551</v>
      </c>
      <c r="E74" s="151" t="s">
        <v>58</v>
      </c>
      <c r="F74" s="154">
        <v>16500</v>
      </c>
      <c r="G74" s="152"/>
      <c r="H74" s="8" t="s">
        <v>11</v>
      </c>
      <c r="I74" s="152"/>
      <c r="J74" s="8" t="s">
        <v>11</v>
      </c>
      <c r="K74" s="152"/>
      <c r="L74" s="8" t="s">
        <v>11</v>
      </c>
      <c r="M74" s="152"/>
      <c r="N74" s="8" t="s">
        <v>11</v>
      </c>
      <c r="O74" s="10">
        <f t="shared" ref="O74:O75" si="6">+F74</f>
        <v>16500</v>
      </c>
    </row>
    <row r="75" spans="1:15" x14ac:dyDescent="0.25">
      <c r="A75" s="4">
        <v>42452</v>
      </c>
      <c r="B75" s="99">
        <f t="shared" si="3"/>
        <v>42452</v>
      </c>
      <c r="C75" s="13">
        <v>0.8</v>
      </c>
      <c r="D75" s="92">
        <v>0.81527777777777777</v>
      </c>
      <c r="E75" s="151" t="s">
        <v>58</v>
      </c>
      <c r="F75" s="154">
        <v>16500</v>
      </c>
      <c r="G75" s="152"/>
      <c r="H75" s="8" t="s">
        <v>11</v>
      </c>
      <c r="I75" s="152"/>
      <c r="J75" s="8" t="s">
        <v>11</v>
      </c>
      <c r="K75" s="152"/>
      <c r="L75" s="8" t="s">
        <v>11</v>
      </c>
      <c r="M75" s="152"/>
      <c r="N75" s="8" t="s">
        <v>11</v>
      </c>
      <c r="O75" s="10">
        <f t="shared" si="6"/>
        <v>16500</v>
      </c>
    </row>
    <row r="76" spans="1:15" x14ac:dyDescent="0.25">
      <c r="A76" s="4"/>
      <c r="B76" s="99"/>
      <c r="C76" s="13"/>
      <c r="D76" s="92"/>
      <c r="E76" s="151"/>
      <c r="F76" s="154"/>
      <c r="G76" s="152"/>
      <c r="H76" s="8"/>
      <c r="I76" s="152"/>
      <c r="J76" s="8"/>
      <c r="K76" s="152"/>
      <c r="L76" s="8"/>
      <c r="M76" s="152"/>
      <c r="N76" s="8"/>
    </row>
    <row r="77" spans="1:15" x14ac:dyDescent="0.25">
      <c r="A77" s="179">
        <v>42453</v>
      </c>
      <c r="B77" s="99">
        <f t="shared" si="3"/>
        <v>42453</v>
      </c>
      <c r="C77" s="180">
        <v>0.8</v>
      </c>
      <c r="D77" s="178">
        <v>0.33124999999999999</v>
      </c>
      <c r="E77" s="151"/>
      <c r="F77" s="154">
        <v>1796.3933372776867</v>
      </c>
      <c r="G77" s="152"/>
      <c r="H77" s="8" t="s">
        <v>11</v>
      </c>
      <c r="I77" s="152"/>
      <c r="J77" s="8" t="s">
        <v>11</v>
      </c>
      <c r="K77" s="152"/>
      <c r="L77" s="8" t="s">
        <v>11</v>
      </c>
      <c r="M77" s="152"/>
      <c r="N77" s="8" t="s">
        <v>11</v>
      </c>
      <c r="O77" s="10">
        <f t="shared" ref="O77:O84" si="7">+F77</f>
        <v>1796.3933372776867</v>
      </c>
    </row>
    <row r="78" spans="1:15" x14ac:dyDescent="0.25">
      <c r="A78" s="179">
        <v>42454</v>
      </c>
      <c r="B78" s="99">
        <f t="shared" si="3"/>
        <v>42454</v>
      </c>
      <c r="C78" s="180">
        <v>0.7</v>
      </c>
      <c r="D78" s="178">
        <v>0.35486111111111113</v>
      </c>
      <c r="E78" s="151"/>
      <c r="F78" s="154">
        <v>5622.7387400468588</v>
      </c>
      <c r="G78" s="152"/>
      <c r="H78" s="8" t="s">
        <v>11</v>
      </c>
      <c r="I78" s="152"/>
      <c r="J78" s="8" t="s">
        <v>11</v>
      </c>
      <c r="K78" s="152"/>
      <c r="L78" s="8">
        <v>14939.928305216326</v>
      </c>
      <c r="M78" s="152"/>
      <c r="N78" s="8" t="s">
        <v>11</v>
      </c>
      <c r="O78" s="10">
        <f>+F78+L78</f>
        <v>20562.667045263184</v>
      </c>
    </row>
    <row r="79" spans="1:15" x14ac:dyDescent="0.25">
      <c r="A79" s="179">
        <v>42455</v>
      </c>
      <c r="B79" s="99">
        <f t="shared" si="3"/>
        <v>42455</v>
      </c>
      <c r="C79" s="180">
        <v>0.6</v>
      </c>
      <c r="D79" s="178">
        <v>0.37916666666666665</v>
      </c>
      <c r="E79" s="151" t="s">
        <v>56</v>
      </c>
      <c r="F79" s="154">
        <f>+L79*F78/L78</f>
        <v>28046.284512122169</v>
      </c>
      <c r="G79" s="152"/>
      <c r="H79" s="8" t="s">
        <v>11</v>
      </c>
      <c r="I79" s="152"/>
      <c r="J79" s="8" t="s">
        <v>11</v>
      </c>
      <c r="K79" s="152"/>
      <c r="L79" s="8">
        <v>74520.531579120157</v>
      </c>
      <c r="M79" s="152"/>
      <c r="N79" s="8" t="s">
        <v>11</v>
      </c>
      <c r="O79" s="10">
        <f>+F79+L79</f>
        <v>102566.81609124233</v>
      </c>
    </row>
    <row r="80" spans="1:15" x14ac:dyDescent="0.25">
      <c r="A80" s="179">
        <v>42456</v>
      </c>
      <c r="B80" s="99">
        <f t="shared" si="3"/>
        <v>42456</v>
      </c>
      <c r="C80" s="180">
        <v>0.7</v>
      </c>
      <c r="D80" s="178">
        <v>0.40416666666666667</v>
      </c>
      <c r="E80" s="151" t="s">
        <v>56</v>
      </c>
      <c r="F80" s="154">
        <f>+L80*F78/L78</f>
        <v>16628.607966203621</v>
      </c>
      <c r="G80" s="152"/>
      <c r="H80" s="8" t="s">
        <v>11</v>
      </c>
      <c r="I80" s="152"/>
      <c r="J80" s="8" t="s">
        <v>11</v>
      </c>
      <c r="K80" s="152"/>
      <c r="L80" s="8">
        <v>44183.132511783893</v>
      </c>
      <c r="M80" s="152"/>
      <c r="N80" s="8" t="s">
        <v>11</v>
      </c>
      <c r="O80" s="10">
        <f>+F80+L80</f>
        <v>60811.740477987514</v>
      </c>
    </row>
    <row r="81" spans="1:15" x14ac:dyDescent="0.25">
      <c r="A81" s="179">
        <v>42457</v>
      </c>
      <c r="B81" s="99">
        <f t="shared" si="3"/>
        <v>42457</v>
      </c>
      <c r="C81" s="180">
        <v>0.8</v>
      </c>
      <c r="D81" s="178">
        <v>0.43125000000000002</v>
      </c>
      <c r="E81" s="151" t="s">
        <v>58</v>
      </c>
      <c r="F81" s="154">
        <v>28300</v>
      </c>
      <c r="G81" s="152"/>
      <c r="H81" s="8" t="s">
        <v>11</v>
      </c>
      <c r="I81" s="152"/>
      <c r="J81" s="8" t="s">
        <v>11</v>
      </c>
      <c r="K81" s="152"/>
      <c r="L81" s="8" t="s">
        <v>11</v>
      </c>
      <c r="M81" s="152"/>
      <c r="N81" s="8" t="s">
        <v>11</v>
      </c>
      <c r="O81" s="10">
        <f t="shared" si="7"/>
        <v>28300</v>
      </c>
    </row>
    <row r="82" spans="1:15" x14ac:dyDescent="0.25">
      <c r="A82" s="179">
        <v>42458</v>
      </c>
      <c r="B82" s="99">
        <f t="shared" si="3"/>
        <v>42458</v>
      </c>
      <c r="C82" s="180">
        <v>1</v>
      </c>
      <c r="D82" s="178">
        <v>0.46250000000000002</v>
      </c>
      <c r="E82" s="151" t="s">
        <v>58</v>
      </c>
      <c r="F82" s="154">
        <v>13500</v>
      </c>
      <c r="G82" s="152"/>
      <c r="H82" s="8" t="s">
        <v>11</v>
      </c>
      <c r="I82" s="152"/>
      <c r="J82" s="8" t="s">
        <v>11</v>
      </c>
      <c r="K82" s="152"/>
      <c r="L82" s="8" t="s">
        <v>11</v>
      </c>
      <c r="M82" s="152"/>
      <c r="N82" s="8" t="s">
        <v>11</v>
      </c>
      <c r="O82" s="10">
        <f t="shared" si="7"/>
        <v>13500</v>
      </c>
    </row>
    <row r="83" spans="1:15" x14ac:dyDescent="0.25">
      <c r="A83" s="179">
        <v>42459</v>
      </c>
      <c r="B83" s="99">
        <f t="shared" si="3"/>
        <v>42459</v>
      </c>
      <c r="C83" s="180">
        <v>1.2</v>
      </c>
      <c r="D83" s="178">
        <v>0.5</v>
      </c>
      <c r="E83" s="151"/>
      <c r="F83" s="154">
        <v>6249.6259336619032</v>
      </c>
      <c r="G83" s="152"/>
      <c r="H83" s="8" t="s">
        <v>11</v>
      </c>
      <c r="I83" s="152"/>
      <c r="J83" s="8" t="s">
        <v>11</v>
      </c>
      <c r="K83" s="152"/>
      <c r="L83" s="8" t="s">
        <v>11</v>
      </c>
      <c r="M83" s="152"/>
      <c r="N83" s="8" t="s">
        <v>11</v>
      </c>
      <c r="O83" s="10">
        <f t="shared" si="7"/>
        <v>6249.6259336619032</v>
      </c>
    </row>
    <row r="84" spans="1:15" x14ac:dyDescent="0.25">
      <c r="A84" s="179">
        <v>42460</v>
      </c>
      <c r="B84" s="99">
        <f t="shared" si="3"/>
        <v>42460</v>
      </c>
      <c r="C84" s="180">
        <v>1.2</v>
      </c>
      <c r="D84" s="178">
        <v>0.54305555555555551</v>
      </c>
      <c r="E84" s="151" t="s">
        <v>58</v>
      </c>
      <c r="F84" s="154">
        <v>6000</v>
      </c>
      <c r="G84" s="152"/>
      <c r="H84" s="8" t="s">
        <v>11</v>
      </c>
      <c r="I84" s="152"/>
      <c r="J84" s="8" t="s">
        <v>11</v>
      </c>
      <c r="K84" s="152"/>
      <c r="L84" s="8" t="s">
        <v>11</v>
      </c>
      <c r="M84" s="152"/>
      <c r="N84" s="8" t="s">
        <v>11</v>
      </c>
      <c r="O84" s="10">
        <f t="shared" si="7"/>
        <v>6000</v>
      </c>
    </row>
    <row r="85" spans="1:15" x14ac:dyDescent="0.25">
      <c r="A85" s="4"/>
      <c r="B85" s="99"/>
      <c r="C85" s="13"/>
      <c r="D85" s="92"/>
      <c r="E85" s="151"/>
      <c r="F85" s="154"/>
      <c r="G85" s="152"/>
      <c r="H85" s="154"/>
      <c r="I85" s="152"/>
      <c r="J85" s="156"/>
      <c r="K85" s="152"/>
      <c r="L85" s="156"/>
      <c r="M85" s="152"/>
      <c r="N85" s="156"/>
    </row>
    <row r="86" spans="1:15" x14ac:dyDescent="0.25">
      <c r="A86" s="4">
        <v>42463</v>
      </c>
      <c r="B86" s="99">
        <f t="shared" si="3"/>
        <v>42463</v>
      </c>
      <c r="C86" s="13">
        <v>0.5</v>
      </c>
      <c r="D86" s="92">
        <v>0.67569444444444438</v>
      </c>
      <c r="E86" s="151"/>
      <c r="F86" s="154">
        <v>33180.092224203268</v>
      </c>
      <c r="G86" s="152"/>
      <c r="H86" s="8" t="s">
        <v>11</v>
      </c>
      <c r="I86" s="152"/>
      <c r="J86" s="8" t="s">
        <v>11</v>
      </c>
      <c r="K86" s="152"/>
      <c r="L86" s="8" t="s">
        <v>11</v>
      </c>
      <c r="M86" s="152"/>
      <c r="N86" s="8" t="s">
        <v>11</v>
      </c>
      <c r="O86" s="10">
        <f t="shared" ref="O86:O95" si="8">+F86</f>
        <v>33180.092224203268</v>
      </c>
    </row>
    <row r="87" spans="1:15" x14ac:dyDescent="0.25">
      <c r="A87" s="4">
        <v>42464</v>
      </c>
      <c r="B87" s="99">
        <f t="shared" si="3"/>
        <v>42464</v>
      </c>
      <c r="C87" s="13">
        <v>0.1</v>
      </c>
      <c r="D87" s="92">
        <v>0.71111111111111114</v>
      </c>
      <c r="E87" s="151" t="s">
        <v>58</v>
      </c>
      <c r="F87" s="154">
        <v>33000</v>
      </c>
      <c r="G87" s="152"/>
      <c r="H87" s="8" t="s">
        <v>11</v>
      </c>
      <c r="I87" s="152"/>
      <c r="J87" s="8" t="s">
        <v>11</v>
      </c>
      <c r="K87" s="152"/>
      <c r="L87" s="8" t="s">
        <v>11</v>
      </c>
      <c r="M87" s="152"/>
      <c r="N87" s="8" t="s">
        <v>11</v>
      </c>
      <c r="O87" s="10">
        <f t="shared" si="8"/>
        <v>33000</v>
      </c>
    </row>
    <row r="88" spans="1:15" x14ac:dyDescent="0.25">
      <c r="A88" s="4">
        <v>42465</v>
      </c>
      <c r="B88" s="99">
        <f t="shared" si="3"/>
        <v>42465</v>
      </c>
      <c r="C88" s="13">
        <v>0</v>
      </c>
      <c r="D88" s="92">
        <v>0.74375000000000002</v>
      </c>
      <c r="E88" s="151"/>
      <c r="F88" s="154">
        <v>16895.291813727934</v>
      </c>
      <c r="G88" s="152"/>
      <c r="H88" s="8" t="s">
        <v>11</v>
      </c>
      <c r="I88" s="152"/>
      <c r="J88" s="8" t="s">
        <v>11</v>
      </c>
      <c r="K88" s="152"/>
      <c r="L88" s="8" t="s">
        <v>11</v>
      </c>
      <c r="M88" s="152"/>
      <c r="N88" s="8" t="s">
        <v>11</v>
      </c>
      <c r="O88" s="10">
        <f t="shared" si="8"/>
        <v>16895.291813727934</v>
      </c>
    </row>
    <row r="89" spans="1:15" x14ac:dyDescent="0.25">
      <c r="A89" s="4">
        <v>42466</v>
      </c>
      <c r="B89" s="99">
        <f t="shared" si="3"/>
        <v>42466</v>
      </c>
      <c r="C89" s="13">
        <v>0</v>
      </c>
      <c r="D89" s="92">
        <v>0.77500000000000002</v>
      </c>
      <c r="E89" s="151"/>
      <c r="F89" s="154">
        <v>34680.909989513602</v>
      </c>
      <c r="G89" s="152"/>
      <c r="H89" s="8" t="s">
        <v>11</v>
      </c>
      <c r="I89" s="152"/>
      <c r="J89" s="8" t="s">
        <v>11</v>
      </c>
      <c r="K89" s="152"/>
      <c r="L89" s="8" t="s">
        <v>11</v>
      </c>
      <c r="M89" s="152"/>
      <c r="N89" s="8" t="s">
        <v>11</v>
      </c>
      <c r="O89" s="10">
        <f t="shared" si="8"/>
        <v>34680.909989513602</v>
      </c>
    </row>
    <row r="90" spans="1:15" x14ac:dyDescent="0.25">
      <c r="A90" s="4">
        <v>42467</v>
      </c>
      <c r="B90" s="99">
        <f t="shared" si="3"/>
        <v>42467</v>
      </c>
      <c r="C90" s="13">
        <v>-0.6</v>
      </c>
      <c r="D90" s="92">
        <v>0.29652777777777778</v>
      </c>
      <c r="E90" s="151"/>
      <c r="F90" s="154">
        <v>23312.354815381466</v>
      </c>
      <c r="G90" s="152"/>
      <c r="H90" s="8" t="s">
        <v>11</v>
      </c>
      <c r="I90" s="152"/>
      <c r="J90" s="8">
        <v>18362.150201796627</v>
      </c>
      <c r="K90" s="152"/>
      <c r="L90" s="8">
        <v>13069.60454392149</v>
      </c>
      <c r="M90" s="152"/>
      <c r="N90" s="8" t="s">
        <v>11</v>
      </c>
      <c r="O90" s="10">
        <f>+F90+J90+L90</f>
        <v>54744.109561099584</v>
      </c>
    </row>
    <row r="91" spans="1:15" x14ac:dyDescent="0.25">
      <c r="A91" s="4">
        <v>42468</v>
      </c>
      <c r="B91" s="99">
        <f t="shared" si="3"/>
        <v>42468</v>
      </c>
      <c r="C91" s="13">
        <v>-1.1000000000000001</v>
      </c>
      <c r="D91" s="92">
        <v>0.32916666666666666</v>
      </c>
      <c r="E91" s="151"/>
      <c r="F91" s="154">
        <v>77919.430227002216</v>
      </c>
      <c r="G91" s="152"/>
      <c r="H91" s="8" t="s">
        <v>11</v>
      </c>
      <c r="I91" s="152"/>
      <c r="J91" s="8">
        <v>44627.04762027703</v>
      </c>
      <c r="K91" s="152"/>
      <c r="L91" s="8">
        <v>22768.481319038387</v>
      </c>
      <c r="M91" s="152"/>
      <c r="N91" s="8" t="s">
        <v>11</v>
      </c>
      <c r="O91" s="10">
        <f>+F91+J91+L91</f>
        <v>145314.95916631765</v>
      </c>
    </row>
    <row r="92" spans="1:15" x14ac:dyDescent="0.25">
      <c r="A92" s="4">
        <v>42469</v>
      </c>
      <c r="B92" s="99">
        <f t="shared" si="3"/>
        <v>42469</v>
      </c>
      <c r="C92" s="13">
        <v>-1.3</v>
      </c>
      <c r="D92" s="92">
        <v>0.36249999999999999</v>
      </c>
      <c r="E92" s="151"/>
      <c r="F92" s="154">
        <v>184370.2225037477</v>
      </c>
      <c r="G92" s="152"/>
      <c r="H92" s="8" t="s">
        <v>11</v>
      </c>
      <c r="I92" s="152"/>
      <c r="J92" s="8">
        <v>102732.5699045213</v>
      </c>
      <c r="K92" s="152"/>
      <c r="L92" s="8" t="s">
        <v>11</v>
      </c>
      <c r="M92" s="152"/>
      <c r="N92" s="8" t="s">
        <v>11</v>
      </c>
      <c r="O92" s="10">
        <f>+F92+J92</f>
        <v>287102.79240826902</v>
      </c>
    </row>
    <row r="93" spans="1:15" x14ac:dyDescent="0.25">
      <c r="A93" s="4">
        <v>42470</v>
      </c>
      <c r="B93" s="99">
        <f t="shared" si="3"/>
        <v>42470</v>
      </c>
      <c r="C93" s="13">
        <v>-1.2</v>
      </c>
      <c r="D93" s="92">
        <v>0.3972222222222222</v>
      </c>
      <c r="E93" s="151" t="s">
        <v>58</v>
      </c>
      <c r="F93" s="154">
        <v>184300</v>
      </c>
      <c r="G93" s="152"/>
      <c r="H93" s="8" t="s">
        <v>11</v>
      </c>
      <c r="I93" s="152"/>
      <c r="J93" s="8" t="s">
        <v>11</v>
      </c>
      <c r="K93" s="152"/>
      <c r="L93" s="8">
        <v>93932.772356459885</v>
      </c>
      <c r="M93" s="152"/>
      <c r="N93" s="8" t="s">
        <v>11</v>
      </c>
      <c r="O93" s="10">
        <f>+F93+L93</f>
        <v>278232.77235645987</v>
      </c>
    </row>
    <row r="94" spans="1:15" x14ac:dyDescent="0.25">
      <c r="A94" s="4">
        <v>42471</v>
      </c>
      <c r="B94" s="99">
        <f t="shared" si="3"/>
        <v>42471</v>
      </c>
      <c r="C94" s="13">
        <v>-0.9</v>
      </c>
      <c r="D94" s="92">
        <v>0.43263888888888885</v>
      </c>
      <c r="E94" s="151"/>
      <c r="F94" s="154">
        <v>28328.992981444095</v>
      </c>
      <c r="G94" s="152"/>
      <c r="H94" s="8" t="s">
        <v>11</v>
      </c>
      <c r="I94" s="152"/>
      <c r="J94" s="8" t="s">
        <v>11</v>
      </c>
      <c r="K94" s="152"/>
      <c r="L94" s="8" t="s">
        <v>11</v>
      </c>
      <c r="M94" s="152"/>
      <c r="N94" s="8" t="s">
        <v>11</v>
      </c>
      <c r="O94" s="10">
        <f t="shared" si="8"/>
        <v>28328.992981444095</v>
      </c>
    </row>
    <row r="95" spans="1:15" x14ac:dyDescent="0.25">
      <c r="A95" s="4">
        <v>42472</v>
      </c>
      <c r="B95" s="99">
        <f t="shared" si="3"/>
        <v>42472</v>
      </c>
      <c r="C95" s="13">
        <v>-0.4</v>
      </c>
      <c r="D95" s="92">
        <v>0.47152777777777777</v>
      </c>
      <c r="E95" s="151"/>
      <c r="F95" s="154">
        <v>13458.792039226995</v>
      </c>
      <c r="G95" s="152"/>
      <c r="H95" s="8" t="s">
        <v>11</v>
      </c>
      <c r="I95" s="152"/>
      <c r="J95" s="8" t="s">
        <v>11</v>
      </c>
      <c r="K95" s="152"/>
      <c r="L95" s="8" t="s">
        <v>11</v>
      </c>
      <c r="M95" s="152"/>
      <c r="N95" s="8" t="s">
        <v>11</v>
      </c>
      <c r="O95" s="10">
        <f t="shared" si="8"/>
        <v>13458.792039226995</v>
      </c>
    </row>
    <row r="96" spans="1:15" x14ac:dyDescent="0.25">
      <c r="A96" s="4"/>
      <c r="B96" s="99"/>
      <c r="C96" s="13"/>
      <c r="D96" s="92"/>
      <c r="E96" s="151"/>
      <c r="F96" s="154"/>
      <c r="G96" s="152"/>
      <c r="H96" s="154"/>
      <c r="I96" s="152"/>
      <c r="J96" s="156"/>
      <c r="K96" s="152"/>
      <c r="L96" s="156"/>
      <c r="M96" s="152"/>
      <c r="N96" s="156"/>
    </row>
    <row r="97" spans="1:15" x14ac:dyDescent="0.25">
      <c r="A97" s="4">
        <v>42480</v>
      </c>
      <c r="B97" s="99">
        <f t="shared" si="3"/>
        <v>42480</v>
      </c>
      <c r="C97" s="13">
        <v>0.6</v>
      </c>
      <c r="D97" s="92">
        <v>0.2673611111111111</v>
      </c>
      <c r="E97" s="151"/>
      <c r="F97" s="154">
        <v>5721.2468031920016</v>
      </c>
      <c r="G97" s="152"/>
      <c r="H97" s="8" t="s">
        <v>11</v>
      </c>
      <c r="I97" s="152"/>
      <c r="J97" s="8" t="s">
        <v>11</v>
      </c>
      <c r="K97" s="152"/>
      <c r="L97" s="8" t="s">
        <v>11</v>
      </c>
      <c r="M97" s="152"/>
      <c r="N97" s="8" t="s">
        <v>11</v>
      </c>
      <c r="O97" s="10">
        <f>+F97</f>
        <v>5721.2468031920016</v>
      </c>
    </row>
    <row r="98" spans="1:15" x14ac:dyDescent="0.25">
      <c r="A98" s="4">
        <v>42481</v>
      </c>
      <c r="B98" s="99">
        <f t="shared" si="3"/>
        <v>42481</v>
      </c>
      <c r="C98" s="13">
        <v>0.2</v>
      </c>
      <c r="D98" s="92">
        <v>0.29236111111111113</v>
      </c>
      <c r="E98" s="151"/>
      <c r="F98" s="154">
        <v>7661.9340448033845</v>
      </c>
      <c r="G98" s="152"/>
      <c r="H98" s="8" t="s">
        <v>11</v>
      </c>
      <c r="I98" s="152"/>
      <c r="J98" s="8" t="s">
        <v>11</v>
      </c>
      <c r="K98" s="152"/>
      <c r="L98" s="8" t="s">
        <v>11</v>
      </c>
      <c r="M98" s="152"/>
      <c r="N98" s="8" t="s">
        <v>11</v>
      </c>
      <c r="O98" s="10">
        <f t="shared" ref="O98:O105" si="9">+F98</f>
        <v>7661.9340448033845</v>
      </c>
    </row>
    <row r="99" spans="1:15" x14ac:dyDescent="0.25">
      <c r="A99" s="4">
        <v>42482</v>
      </c>
      <c r="B99" s="99">
        <f t="shared" si="3"/>
        <v>42482</v>
      </c>
      <c r="C99" s="13">
        <v>0</v>
      </c>
      <c r="D99" s="92">
        <v>0.31597222222222221</v>
      </c>
      <c r="E99" s="151"/>
      <c r="F99" s="154">
        <v>17844.241130660514</v>
      </c>
      <c r="G99" s="152"/>
      <c r="H99" s="8" t="s">
        <v>11</v>
      </c>
      <c r="I99" s="152"/>
      <c r="J99" s="8" t="s">
        <v>11</v>
      </c>
      <c r="K99" s="152"/>
      <c r="L99" s="8" t="s">
        <v>11</v>
      </c>
      <c r="M99" s="152"/>
      <c r="N99" s="8" t="s">
        <v>11</v>
      </c>
      <c r="O99" s="10">
        <f t="shared" si="9"/>
        <v>17844.241130660514</v>
      </c>
    </row>
    <row r="100" spans="1:15" x14ac:dyDescent="0.25">
      <c r="A100" s="4">
        <v>42483</v>
      </c>
      <c r="B100" s="99">
        <f t="shared" si="3"/>
        <v>42483</v>
      </c>
      <c r="C100" s="13">
        <v>-0.2</v>
      </c>
      <c r="D100" s="92">
        <v>0.33888888888888885</v>
      </c>
      <c r="E100" s="151"/>
      <c r="F100" s="154">
        <v>67419.97884818766</v>
      </c>
      <c r="G100" s="152"/>
      <c r="H100" s="8" t="s">
        <v>11</v>
      </c>
      <c r="I100" s="152"/>
      <c r="J100" s="8" t="s">
        <v>11</v>
      </c>
      <c r="K100" s="152"/>
      <c r="L100" s="8">
        <v>60334.449675868425</v>
      </c>
      <c r="M100" s="152"/>
      <c r="N100" s="8" t="s">
        <v>11</v>
      </c>
      <c r="O100" s="10">
        <f>+F100+L100</f>
        <v>127754.42852405609</v>
      </c>
    </row>
    <row r="101" spans="1:15" x14ac:dyDescent="0.25">
      <c r="A101" s="4">
        <v>42484</v>
      </c>
      <c r="B101" s="99">
        <f t="shared" si="3"/>
        <v>42484</v>
      </c>
      <c r="C101" s="13">
        <v>-0.2</v>
      </c>
      <c r="D101" s="92">
        <v>0.36249999999999999</v>
      </c>
      <c r="E101" s="151"/>
      <c r="F101" s="154">
        <v>54364.446495529279</v>
      </c>
      <c r="G101" s="152"/>
      <c r="H101" s="8" t="s">
        <v>11</v>
      </c>
      <c r="I101" s="152"/>
      <c r="J101" s="8" t="s">
        <v>11</v>
      </c>
      <c r="K101" s="152"/>
      <c r="L101" s="8" t="s">
        <v>11</v>
      </c>
      <c r="M101" s="152"/>
      <c r="N101" s="8" t="s">
        <v>11</v>
      </c>
      <c r="O101" s="10">
        <f t="shared" si="9"/>
        <v>54364.446495529279</v>
      </c>
    </row>
    <row r="102" spans="1:15" x14ac:dyDescent="0.25">
      <c r="A102" s="4">
        <v>42485</v>
      </c>
      <c r="B102" s="99">
        <f t="shared" si="3"/>
        <v>42485</v>
      </c>
      <c r="C102" s="13">
        <v>-0.2</v>
      </c>
      <c r="D102" s="92">
        <v>0.38750000000000001</v>
      </c>
      <c r="E102" s="151"/>
      <c r="F102" s="154">
        <v>23716.710316315737</v>
      </c>
      <c r="G102" s="152"/>
      <c r="H102" s="8" t="s">
        <v>11</v>
      </c>
      <c r="I102" s="152"/>
      <c r="J102" s="8">
        <v>19650.711923050389</v>
      </c>
      <c r="K102" s="152"/>
      <c r="L102" s="8">
        <v>23335.002748917297</v>
      </c>
      <c r="M102" s="152"/>
      <c r="N102" s="8" t="s">
        <v>11</v>
      </c>
      <c r="O102" s="10">
        <f>+F102+J102+L102</f>
        <v>66702.424988283427</v>
      </c>
    </row>
    <row r="103" spans="1:15" x14ac:dyDescent="0.25">
      <c r="A103" s="4">
        <v>42486</v>
      </c>
      <c r="B103" s="99">
        <f t="shared" si="3"/>
        <v>42486</v>
      </c>
      <c r="C103" s="13">
        <v>-0.1</v>
      </c>
      <c r="D103" s="92">
        <v>0.41388888888888892</v>
      </c>
      <c r="E103" s="151"/>
      <c r="F103" s="154">
        <v>14385.399774908521</v>
      </c>
      <c r="G103" s="152"/>
      <c r="H103" s="8" t="s">
        <v>11</v>
      </c>
      <c r="I103" s="152"/>
      <c r="J103" s="8">
        <v>15914.551424210847</v>
      </c>
      <c r="K103" s="152"/>
      <c r="L103" s="8">
        <v>21106.660211735281</v>
      </c>
      <c r="M103" s="152"/>
      <c r="N103" s="8" t="s">
        <v>11</v>
      </c>
      <c r="O103" s="10">
        <f>+F103+J103+L103</f>
        <v>51406.611410854646</v>
      </c>
    </row>
    <row r="104" spans="1:15" x14ac:dyDescent="0.25">
      <c r="A104" s="4">
        <v>42487</v>
      </c>
      <c r="B104" s="99">
        <f t="shared" si="3"/>
        <v>42487</v>
      </c>
      <c r="C104" s="13">
        <v>0.1</v>
      </c>
      <c r="D104" s="92">
        <v>0.44375000000000003</v>
      </c>
      <c r="E104" s="151"/>
      <c r="F104" s="154">
        <v>16483.239688491492</v>
      </c>
      <c r="G104" s="152"/>
      <c r="H104" s="8" t="s">
        <v>11</v>
      </c>
      <c r="I104" s="152"/>
      <c r="J104" s="8" t="s">
        <v>11</v>
      </c>
      <c r="K104" s="152"/>
      <c r="L104" s="8" t="s">
        <v>11</v>
      </c>
      <c r="M104" s="152"/>
      <c r="N104" s="8" t="s">
        <v>11</v>
      </c>
      <c r="O104" s="10">
        <f>+F104</f>
        <v>16483.239688491492</v>
      </c>
    </row>
    <row r="105" spans="1:15" x14ac:dyDescent="0.25">
      <c r="A105" s="4">
        <v>42488</v>
      </c>
      <c r="B105" s="99">
        <f t="shared" si="3"/>
        <v>42488</v>
      </c>
      <c r="C105" s="13">
        <v>0.3</v>
      </c>
      <c r="D105" s="92">
        <v>0.4777777777777778</v>
      </c>
      <c r="E105" s="151" t="s">
        <v>58</v>
      </c>
      <c r="F105" s="154">
        <f>+(F103+F104)/2</f>
        <v>15434.319731700007</v>
      </c>
      <c r="G105" s="152"/>
      <c r="H105" s="8" t="s">
        <v>11</v>
      </c>
      <c r="I105" s="152"/>
      <c r="J105" s="8" t="s">
        <v>11</v>
      </c>
      <c r="K105" s="152"/>
      <c r="L105" s="8" t="s">
        <v>11</v>
      </c>
      <c r="M105" s="152"/>
      <c r="N105" s="8" t="s">
        <v>11</v>
      </c>
      <c r="O105" s="10">
        <f t="shared" si="9"/>
        <v>15434.319731700007</v>
      </c>
    </row>
    <row r="106" spans="1:15" x14ac:dyDescent="0.25">
      <c r="A106" s="4"/>
      <c r="B106" s="99"/>
      <c r="C106" s="122"/>
      <c r="D106" s="121"/>
      <c r="E106" s="151"/>
      <c r="F106" s="154"/>
      <c r="G106" s="152"/>
      <c r="H106" s="154"/>
      <c r="I106" s="152"/>
      <c r="J106" s="145"/>
      <c r="K106" s="152"/>
      <c r="L106" s="145"/>
      <c r="M106" s="152"/>
      <c r="N106" s="145"/>
    </row>
    <row r="107" spans="1:15" x14ac:dyDescent="0.25">
      <c r="A107" s="4">
        <v>42496</v>
      </c>
      <c r="B107" s="99">
        <f t="shared" si="3"/>
        <v>42496</v>
      </c>
      <c r="C107" s="13">
        <v>-1.5</v>
      </c>
      <c r="D107" s="92">
        <v>0.28541666666666665</v>
      </c>
      <c r="E107" s="151"/>
      <c r="F107" s="154">
        <v>89268.949594363934</v>
      </c>
      <c r="G107" s="152"/>
      <c r="H107" s="8" t="s">
        <v>11</v>
      </c>
      <c r="I107" s="60"/>
      <c r="J107" s="8" t="s">
        <v>11</v>
      </c>
      <c r="K107" s="60"/>
      <c r="L107" s="8" t="s">
        <v>11</v>
      </c>
      <c r="M107" s="60"/>
      <c r="N107" s="8" t="s">
        <v>11</v>
      </c>
      <c r="O107" s="10">
        <f>+F107</f>
        <v>89268.949594363934</v>
      </c>
    </row>
    <row r="108" spans="1:15" x14ac:dyDescent="0.25">
      <c r="A108" s="4">
        <v>42497</v>
      </c>
      <c r="B108" s="99">
        <f t="shared" si="3"/>
        <v>42497</v>
      </c>
      <c r="C108" s="13">
        <v>-2</v>
      </c>
      <c r="D108" s="92">
        <v>0.31874999999999998</v>
      </c>
      <c r="E108" s="151"/>
      <c r="F108" s="154">
        <v>190031.43728407324</v>
      </c>
      <c r="G108" s="152"/>
      <c r="H108" s="8" t="s">
        <v>11</v>
      </c>
      <c r="I108" s="60"/>
      <c r="J108" s="8" t="s">
        <v>11</v>
      </c>
      <c r="K108" s="60"/>
      <c r="L108" s="8" t="s">
        <v>11</v>
      </c>
      <c r="M108" s="60"/>
      <c r="N108" s="8" t="s">
        <v>11</v>
      </c>
      <c r="O108" s="10">
        <f t="shared" ref="O108:O109" si="10">+F108</f>
        <v>190031.43728407324</v>
      </c>
    </row>
    <row r="109" spans="1:15" x14ac:dyDescent="0.25">
      <c r="A109" s="4">
        <v>42498</v>
      </c>
      <c r="B109" s="99">
        <f t="shared" si="3"/>
        <v>42498</v>
      </c>
      <c r="C109" s="13">
        <v>-2.1</v>
      </c>
      <c r="D109" s="92">
        <v>0.35138888888888886</v>
      </c>
      <c r="E109" s="151"/>
      <c r="F109" s="154">
        <v>121053.51716181137</v>
      </c>
      <c r="G109" s="152"/>
      <c r="H109" s="8" t="s">
        <v>11</v>
      </c>
      <c r="I109" s="60"/>
      <c r="J109" s="8" t="s">
        <v>11</v>
      </c>
      <c r="K109" s="60"/>
      <c r="L109" s="8" t="s">
        <v>11</v>
      </c>
      <c r="M109" s="60"/>
      <c r="N109" s="8" t="s">
        <v>11</v>
      </c>
      <c r="O109" s="10">
        <f t="shared" si="10"/>
        <v>121053.51716181137</v>
      </c>
    </row>
    <row r="110" spans="1:15" x14ac:dyDescent="0.25">
      <c r="A110" s="4">
        <v>42499</v>
      </c>
      <c r="B110" s="99">
        <f t="shared" si="3"/>
        <v>42499</v>
      </c>
      <c r="C110" s="13">
        <v>-1.9</v>
      </c>
      <c r="D110" s="92">
        <v>0.38472222222222219</v>
      </c>
      <c r="E110" s="151"/>
      <c r="F110" s="8" t="s">
        <v>11</v>
      </c>
      <c r="G110" s="152"/>
      <c r="H110" s="8" t="s">
        <v>11</v>
      </c>
      <c r="I110" s="152"/>
      <c r="J110" s="8" t="s">
        <v>11</v>
      </c>
      <c r="K110" s="152"/>
      <c r="L110" s="145">
        <v>41409.431655055545</v>
      </c>
      <c r="M110" s="152"/>
      <c r="N110" s="8" t="s">
        <v>11</v>
      </c>
      <c r="O110" s="15">
        <f>+L110</f>
        <v>41409.431655055545</v>
      </c>
    </row>
    <row r="111" spans="1:15" x14ac:dyDescent="0.25">
      <c r="A111" s="4">
        <v>42500</v>
      </c>
      <c r="B111" s="99">
        <f t="shared" si="3"/>
        <v>42500</v>
      </c>
      <c r="C111" s="13">
        <v>-1.5</v>
      </c>
      <c r="D111" s="92">
        <v>0.41875000000000001</v>
      </c>
      <c r="E111" s="151"/>
      <c r="F111" s="8" t="s">
        <v>11</v>
      </c>
      <c r="G111" s="152"/>
      <c r="H111" s="8" t="s">
        <v>11</v>
      </c>
      <c r="I111" s="152"/>
      <c r="J111" s="8" t="s">
        <v>11</v>
      </c>
      <c r="K111" s="152"/>
      <c r="L111" s="145">
        <v>43550.833954174508</v>
      </c>
      <c r="M111" s="152"/>
      <c r="N111" s="8" t="s">
        <v>11</v>
      </c>
      <c r="O111" s="15">
        <f t="shared" ref="O111:O113" si="11">+L111</f>
        <v>43550.833954174508</v>
      </c>
    </row>
    <row r="112" spans="1:15" x14ac:dyDescent="0.25">
      <c r="A112" s="4">
        <v>42501</v>
      </c>
      <c r="B112" s="99">
        <f t="shared" si="3"/>
        <v>42501</v>
      </c>
      <c r="C112" s="13">
        <v>-0.9</v>
      </c>
      <c r="D112" s="92">
        <v>0.4548611111111111</v>
      </c>
      <c r="E112" s="151"/>
      <c r="F112" s="8" t="s">
        <v>11</v>
      </c>
      <c r="G112" s="152"/>
      <c r="H112" s="8" t="s">
        <v>11</v>
      </c>
      <c r="I112" s="152"/>
      <c r="J112" s="8" t="s">
        <v>11</v>
      </c>
      <c r="K112" s="152"/>
      <c r="L112" s="145">
        <v>28948.726423622691</v>
      </c>
      <c r="M112" s="152"/>
      <c r="N112" s="8" t="s">
        <v>11</v>
      </c>
      <c r="O112" s="15">
        <f t="shared" si="11"/>
        <v>28948.726423622691</v>
      </c>
    </row>
    <row r="113" spans="1:16" x14ac:dyDescent="0.25">
      <c r="A113" s="4">
        <v>42502</v>
      </c>
      <c r="B113" s="99">
        <f t="shared" si="3"/>
        <v>42502</v>
      </c>
      <c r="C113" s="13">
        <v>-0.3</v>
      </c>
      <c r="D113" s="92">
        <v>0.49236111111111108</v>
      </c>
      <c r="E113" s="151"/>
      <c r="F113" s="8" t="s">
        <v>11</v>
      </c>
      <c r="G113" s="152"/>
      <c r="H113" s="8" t="s">
        <v>11</v>
      </c>
      <c r="I113" s="152"/>
      <c r="J113" s="8" t="s">
        <v>11</v>
      </c>
      <c r="K113" s="152"/>
      <c r="L113" s="145">
        <v>22171.919075760736</v>
      </c>
      <c r="M113" s="152"/>
      <c r="N113" s="8" t="s">
        <v>11</v>
      </c>
      <c r="O113" s="15">
        <f t="shared" si="11"/>
        <v>22171.919075760736</v>
      </c>
    </row>
    <row r="114" spans="1:16" x14ac:dyDescent="0.25">
      <c r="A114" s="4"/>
      <c r="B114" s="99"/>
      <c r="C114" s="175"/>
      <c r="D114" s="176"/>
      <c r="E114" s="151"/>
      <c r="F114" s="154"/>
      <c r="G114" s="152"/>
      <c r="H114" s="154"/>
      <c r="I114" s="152"/>
      <c r="J114" s="145"/>
      <c r="K114" s="152"/>
      <c r="L114" s="145"/>
      <c r="M114" s="152"/>
      <c r="N114" s="145"/>
    </row>
    <row r="115" spans="1:16" x14ac:dyDescent="0.25">
      <c r="A115" s="4">
        <v>42510</v>
      </c>
      <c r="B115" s="99">
        <v>42510</v>
      </c>
      <c r="C115" s="149">
        <v>-0.3</v>
      </c>
      <c r="D115" s="155">
        <v>0.27569444444444446</v>
      </c>
      <c r="E115" s="151"/>
      <c r="F115" s="8" t="s">
        <v>11</v>
      </c>
      <c r="G115" s="152"/>
      <c r="H115" s="8" t="s">
        <v>11</v>
      </c>
      <c r="I115" s="152"/>
      <c r="J115" s="8">
        <v>17426.816434451866</v>
      </c>
      <c r="K115" s="152"/>
      <c r="L115" s="154">
        <v>16012.145311672164</v>
      </c>
      <c r="M115" s="152"/>
      <c r="N115" s="8" t="s">
        <v>11</v>
      </c>
      <c r="O115" s="15">
        <f>+J115+L115</f>
        <v>33438.961746124027</v>
      </c>
    </row>
    <row r="116" spans="1:16" x14ac:dyDescent="0.25">
      <c r="A116" s="4">
        <v>42511</v>
      </c>
      <c r="B116" s="99">
        <v>42511</v>
      </c>
      <c r="C116" s="149">
        <v>-0.6</v>
      </c>
      <c r="D116" s="155">
        <v>0.3</v>
      </c>
      <c r="E116" s="151"/>
      <c r="F116" s="8" t="s">
        <v>11</v>
      </c>
      <c r="G116" s="152"/>
      <c r="H116" s="8" t="s">
        <v>11</v>
      </c>
      <c r="I116" s="152"/>
      <c r="J116" s="154">
        <v>45948.988152631711</v>
      </c>
      <c r="K116" s="152"/>
      <c r="L116" s="154">
        <v>42137.907395351787</v>
      </c>
      <c r="M116" s="152"/>
      <c r="N116" s="8" t="s">
        <v>11</v>
      </c>
      <c r="O116" s="15">
        <f>+J116+L116</f>
        <v>88086.895547983499</v>
      </c>
    </row>
    <row r="117" spans="1:16" x14ac:dyDescent="0.25">
      <c r="A117" s="4">
        <v>42512</v>
      </c>
      <c r="B117" s="99">
        <v>42512</v>
      </c>
      <c r="C117" s="149">
        <v>-0.8</v>
      </c>
      <c r="D117" s="155">
        <v>0.32430555555555557</v>
      </c>
      <c r="E117" s="151"/>
      <c r="F117" s="8" t="s">
        <v>11</v>
      </c>
      <c r="G117" s="152"/>
      <c r="H117" s="8" t="s">
        <v>11</v>
      </c>
      <c r="I117" s="152"/>
      <c r="J117" s="8" t="s">
        <v>11</v>
      </c>
      <c r="K117" s="152"/>
      <c r="L117" s="154">
        <v>53650.876180309977</v>
      </c>
      <c r="M117" s="152"/>
      <c r="N117" s="8" t="s">
        <v>11</v>
      </c>
      <c r="O117" s="15">
        <f>+L117</f>
        <v>53650.876180309977</v>
      </c>
    </row>
    <row r="118" spans="1:16" x14ac:dyDescent="0.25">
      <c r="A118" s="144"/>
      <c r="B118" s="99"/>
      <c r="C118" s="149"/>
      <c r="D118" s="155"/>
      <c r="E118" s="151"/>
      <c r="F118" s="154"/>
      <c r="G118" s="152"/>
      <c r="H118" s="154"/>
      <c r="I118" s="152"/>
      <c r="J118" s="154"/>
      <c r="K118" s="151"/>
      <c r="L118" s="154"/>
      <c r="M118" s="152"/>
      <c r="N118" s="156"/>
    </row>
    <row r="119" spans="1:16" x14ac:dyDescent="0.25">
      <c r="A119" s="4"/>
      <c r="B119" s="99"/>
      <c r="C119" s="13"/>
      <c r="D119" s="92"/>
    </row>
    <row r="120" spans="1:16" x14ac:dyDescent="0.25">
      <c r="A120" s="61" t="s">
        <v>52</v>
      </c>
      <c r="C120"/>
      <c r="D120" s="92"/>
      <c r="E120" s="188"/>
      <c r="F120" s="62">
        <f>SUM(F2:F118)</f>
        <v>2614212.9393647481</v>
      </c>
      <c r="G120" s="58"/>
      <c r="H120" s="62">
        <f>SUM(H2:H55)</f>
        <v>0</v>
      </c>
      <c r="I120" s="58"/>
      <c r="J120" s="62">
        <f>SUM(J2:J118)</f>
        <v>952020.26028537168</v>
      </c>
      <c r="K120" s="58"/>
      <c r="L120" s="62">
        <f>SUM(L2:L118)</f>
        <v>965622.99664938869</v>
      </c>
      <c r="M120" s="58"/>
      <c r="N120" s="62">
        <f>SUM(N3:N55)</f>
        <v>0</v>
      </c>
      <c r="O120" s="62">
        <f>SUM(O2:O118)</f>
        <v>4531856.1962995073</v>
      </c>
      <c r="P120" s="215"/>
    </row>
    <row r="121" spans="1:16" x14ac:dyDescent="0.25">
      <c r="A121" s="63" t="s">
        <v>13</v>
      </c>
      <c r="B121" s="60"/>
      <c r="C121" s="58"/>
      <c r="D121" s="58"/>
      <c r="E121" s="188"/>
      <c r="F121" s="225">
        <f>+'LB Wastage'!H100</f>
        <v>2.8888888888888888E-2</v>
      </c>
      <c r="G121" s="60"/>
      <c r="H121" s="67"/>
      <c r="I121" s="60"/>
      <c r="J121" s="220">
        <f>+'Cop Wastage'!H100</f>
        <v>3.272727272727273E-2</v>
      </c>
      <c r="K121" s="128"/>
      <c r="L121" s="220">
        <f>+'Moc Wastage'!H100</f>
        <v>2.8176795580110499E-2</v>
      </c>
      <c r="M121" s="60"/>
      <c r="N121" s="60"/>
      <c r="O121" s="60"/>
    </row>
    <row r="122" spans="1:16" x14ac:dyDescent="0.25">
      <c r="A122" s="61" t="s">
        <v>14</v>
      </c>
      <c r="B122" s="60"/>
      <c r="C122" s="58"/>
      <c r="D122" s="58"/>
      <c r="E122" s="188"/>
      <c r="F122" s="65">
        <f>+F120*F121</f>
        <v>75521.707137203834</v>
      </c>
      <c r="G122" s="60"/>
      <c r="H122" s="65">
        <f>+H120*H121</f>
        <v>0</v>
      </c>
      <c r="I122" s="60"/>
      <c r="J122" s="65">
        <f>+J120*J121</f>
        <v>31157.026700248531</v>
      </c>
      <c r="K122" s="60"/>
      <c r="L122" s="65">
        <f>+L120*L121</f>
        <v>27208.16178404355</v>
      </c>
      <c r="M122" s="60"/>
      <c r="N122" s="60"/>
      <c r="O122" s="62">
        <f>F122+H122+J122+L122+N122</f>
        <v>133886.8956214959</v>
      </c>
    </row>
    <row r="123" spans="1:16" x14ac:dyDescent="0.25">
      <c r="A123" s="63" t="s">
        <v>15</v>
      </c>
      <c r="B123" s="60"/>
      <c r="C123" s="58"/>
      <c r="D123" s="58"/>
      <c r="E123" s="188"/>
      <c r="F123" s="62">
        <f>F120+F122</f>
        <v>2689734.6465019519</v>
      </c>
      <c r="G123" s="60"/>
      <c r="H123" s="62">
        <f>H120+H122</f>
        <v>0</v>
      </c>
      <c r="I123" s="60"/>
      <c r="J123" s="62">
        <f>J120+J122</f>
        <v>983177.28698562016</v>
      </c>
      <c r="K123" s="60"/>
      <c r="L123" s="62">
        <f>L120+L122</f>
        <v>992831.15843343223</v>
      </c>
      <c r="M123" s="60"/>
      <c r="N123" s="62">
        <f>N120+N122</f>
        <v>0</v>
      </c>
      <c r="O123" s="62">
        <f>O120+O122</f>
        <v>4665743.0919210035</v>
      </c>
    </row>
    <row r="124" spans="1:16" x14ac:dyDescent="0.25">
      <c r="A124" s="64" t="s">
        <v>51</v>
      </c>
      <c r="B124" s="60"/>
      <c r="C124" s="58"/>
      <c r="D124" s="58"/>
      <c r="E124" s="188"/>
      <c r="F124" s="65"/>
      <c r="G124" s="60"/>
      <c r="H124" s="65"/>
      <c r="I124" s="60"/>
      <c r="J124" s="65"/>
      <c r="K124" s="60"/>
      <c r="L124" s="65">
        <f>+L123/22</f>
        <v>45128.689019701465</v>
      </c>
      <c r="M124" s="60"/>
      <c r="N124" s="65"/>
      <c r="O124" s="65"/>
    </row>
    <row r="125" spans="1:16" x14ac:dyDescent="0.25">
      <c r="A125" s="64" t="s">
        <v>16</v>
      </c>
      <c r="B125" s="60"/>
      <c r="C125" s="58"/>
      <c r="D125" s="58"/>
      <c r="E125" s="188"/>
      <c r="F125" s="66">
        <f>F123/TAC!B4</f>
        <v>0.5640506283288198</v>
      </c>
      <c r="G125" s="60"/>
      <c r="H125" s="66">
        <f>H123/TAC!B5</f>
        <v>0</v>
      </c>
      <c r="I125" s="60"/>
      <c r="J125" s="66">
        <f>+J123/TAC!B6</f>
        <v>0.89805841258262631</v>
      </c>
      <c r="K125" s="60"/>
      <c r="L125" s="66">
        <f>L123/TAC!B7</f>
        <v>0.58571552535961979</v>
      </c>
      <c r="M125" s="60"/>
      <c r="N125" s="66">
        <f>N123/TAC!B8</f>
        <v>0</v>
      </c>
      <c r="O125" s="66">
        <f>O123/TAC!B9</f>
        <v>0.5289478382823557</v>
      </c>
    </row>
    <row r="126" spans="1:16" x14ac:dyDescent="0.25">
      <c r="A126" s="64" t="s">
        <v>17</v>
      </c>
      <c r="B126" s="60"/>
      <c r="C126" s="58"/>
      <c r="D126" s="58"/>
      <c r="E126" s="188"/>
      <c r="F126" s="65">
        <f>+TAC!B4-Harvest!F123</f>
        <v>2078870.3534980481</v>
      </c>
      <c r="G126" s="60"/>
      <c r="H126" s="65">
        <f>TAC!C5-Harvest!H123</f>
        <v>2662860.8000000003</v>
      </c>
      <c r="I126" s="60"/>
      <c r="J126" s="65">
        <f>+TAC!B6-Harvest!J123</f>
        <v>111603.71301437984</v>
      </c>
      <c r="K126" s="60"/>
      <c r="L126" s="65">
        <f>TAC!C7-L123</f>
        <v>1247477.5894773924</v>
      </c>
      <c r="M126" s="60"/>
      <c r="N126" s="65">
        <f>TAC!C8-N123</f>
        <v>125735.12787535199</v>
      </c>
      <c r="O126" s="65">
        <f>TAC!C9-Harvest!O120</f>
        <v>5272367.4575377544</v>
      </c>
    </row>
    <row r="127" spans="1:16" x14ac:dyDescent="0.25">
      <c r="A127" s="64"/>
      <c r="B127" s="60"/>
      <c r="C127" s="58"/>
      <c r="D127" s="58"/>
      <c r="E127" s="188"/>
      <c r="F127" s="60"/>
      <c r="G127" s="60"/>
      <c r="H127" s="60"/>
      <c r="I127" s="60"/>
      <c r="J127" s="60"/>
      <c r="K127" s="60"/>
      <c r="L127" s="60"/>
      <c r="M127" s="60"/>
      <c r="N127" s="60"/>
      <c r="O127" s="60"/>
    </row>
    <row r="128" spans="1:16" x14ac:dyDescent="0.25">
      <c r="A128" s="61" t="s">
        <v>18</v>
      </c>
      <c r="B128" s="60"/>
      <c r="C128" s="58"/>
      <c r="D128" s="58"/>
      <c r="J128" s="10"/>
    </row>
    <row r="129" spans="1:1" x14ac:dyDescent="0.25">
      <c r="A129" s="101" t="s">
        <v>57</v>
      </c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paperSize="3" scale="80" fitToHeight="0" orientation="portrait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123 O100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Q123"/>
  <sheetViews>
    <sheetView topLeftCell="A85" zoomScaleNormal="100" workbookViewId="0">
      <selection activeCell="L117" sqref="L117"/>
    </sheetView>
  </sheetViews>
  <sheetFormatPr defaultRowHeight="15" x14ac:dyDescent="0.25"/>
  <cols>
    <col min="1" max="1" width="18.7109375" customWidth="1"/>
    <col min="2" max="2" width="6" bestFit="1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7.42578125" bestFit="1" customWidth="1"/>
  </cols>
  <sheetData>
    <row r="1" spans="1:17" x14ac:dyDescent="0.25">
      <c r="A1" s="11" t="s">
        <v>8</v>
      </c>
      <c r="B1" s="11" t="s">
        <v>5</v>
      </c>
      <c r="C1" s="171" t="s">
        <v>6</v>
      </c>
      <c r="D1" s="171" t="s">
        <v>7</v>
      </c>
      <c r="E1" s="227" t="s">
        <v>0</v>
      </c>
      <c r="F1" s="227"/>
      <c r="G1" s="227" t="s">
        <v>1</v>
      </c>
      <c r="H1" s="227"/>
      <c r="I1" s="227" t="s">
        <v>2</v>
      </c>
      <c r="J1" s="227"/>
      <c r="K1" s="227" t="s">
        <v>3</v>
      </c>
      <c r="L1" s="227"/>
      <c r="M1" s="227" t="s">
        <v>4</v>
      </c>
      <c r="N1" s="227"/>
      <c r="O1" s="14" t="s">
        <v>12</v>
      </c>
    </row>
    <row r="2" spans="1:17" x14ac:dyDescent="0.25">
      <c r="A2" s="4">
        <v>42362</v>
      </c>
      <c r="B2" s="5">
        <f>+A2</f>
        <v>42362</v>
      </c>
      <c r="C2" s="81">
        <v>-1.2</v>
      </c>
      <c r="D2" s="6">
        <v>0.74097222222222225</v>
      </c>
      <c r="E2" s="54"/>
      <c r="F2" s="8" t="s">
        <v>11</v>
      </c>
      <c r="G2" s="55"/>
      <c r="H2" s="8" t="s">
        <v>11</v>
      </c>
      <c r="I2" s="55"/>
      <c r="J2" s="8">
        <v>2988.2720686627513</v>
      </c>
      <c r="K2" s="7"/>
      <c r="L2" s="8" t="s">
        <v>11</v>
      </c>
      <c r="M2" s="56"/>
      <c r="N2" s="8" t="s">
        <v>11</v>
      </c>
      <c r="O2" s="148">
        <f>+J2</f>
        <v>2988.2720686627513</v>
      </c>
    </row>
    <row r="3" spans="1:17" x14ac:dyDescent="0.25">
      <c r="A3" s="4">
        <v>42363</v>
      </c>
      <c r="B3" s="5">
        <f>+A3</f>
        <v>42363</v>
      </c>
      <c r="C3" s="81">
        <v>-1.3</v>
      </c>
      <c r="D3" s="6">
        <v>0.77083333333333337</v>
      </c>
      <c r="E3" s="188"/>
      <c r="F3" s="8" t="s">
        <v>11</v>
      </c>
      <c r="G3" s="8"/>
      <c r="H3" s="8" t="s">
        <v>11</v>
      </c>
      <c r="I3" s="8"/>
      <c r="J3" s="8">
        <v>3038.5040546978062</v>
      </c>
      <c r="K3" s="7"/>
      <c r="L3" s="8" t="s">
        <v>11</v>
      </c>
      <c r="M3" s="56"/>
      <c r="N3" s="8" t="s">
        <v>11</v>
      </c>
      <c r="O3" s="148">
        <f>+J3</f>
        <v>3038.5040546978062</v>
      </c>
    </row>
    <row r="4" spans="1:17" x14ac:dyDescent="0.25">
      <c r="A4" s="4">
        <v>42364</v>
      </c>
      <c r="B4" s="5">
        <f>+A4</f>
        <v>42364</v>
      </c>
      <c r="C4" s="81">
        <v>-1.1000000000000001</v>
      </c>
      <c r="D4" s="6">
        <v>0.79999999999999993</v>
      </c>
      <c r="F4" s="8" t="s">
        <v>11</v>
      </c>
      <c r="G4" s="8"/>
      <c r="H4" s="8" t="s">
        <v>11</v>
      </c>
      <c r="I4" s="8"/>
      <c r="J4" s="8">
        <v>5373.4830347400912</v>
      </c>
      <c r="K4" s="7"/>
      <c r="L4" s="8" t="s">
        <v>11</v>
      </c>
      <c r="M4" s="56"/>
      <c r="N4" s="8" t="s">
        <v>11</v>
      </c>
      <c r="O4" s="148">
        <f>+J4</f>
        <v>5373.4830347400912</v>
      </c>
    </row>
    <row r="5" spans="1:17" x14ac:dyDescent="0.25">
      <c r="A5" s="144"/>
      <c r="B5" s="99"/>
      <c r="C5" s="172"/>
      <c r="D5" s="173"/>
      <c r="E5" s="189"/>
      <c r="F5" s="145"/>
      <c r="G5" s="145"/>
      <c r="H5" s="145"/>
      <c r="I5" s="145"/>
      <c r="J5" s="145"/>
      <c r="K5" s="146"/>
      <c r="L5" s="145"/>
      <c r="M5" s="147"/>
      <c r="N5" s="145"/>
      <c r="O5" s="148"/>
      <c r="Q5" s="15"/>
    </row>
    <row r="6" spans="1:17" x14ac:dyDescent="0.25">
      <c r="A6" s="4">
        <v>42376</v>
      </c>
      <c r="B6" s="5">
        <f t="shared" ref="B6:B15" si="0">+A6</f>
        <v>42376</v>
      </c>
      <c r="C6" s="126">
        <v>0.1</v>
      </c>
      <c r="D6" s="127">
        <v>0.70625000000000004</v>
      </c>
      <c r="E6" s="189"/>
      <c r="F6" s="145">
        <v>2173.2756261806662</v>
      </c>
      <c r="G6" s="145"/>
      <c r="H6" s="8" t="s">
        <v>11</v>
      </c>
      <c r="I6" s="145"/>
      <c r="J6" s="8" t="s">
        <v>11</v>
      </c>
      <c r="K6" s="146"/>
      <c r="L6" s="8" t="s">
        <v>11</v>
      </c>
      <c r="M6" s="56"/>
      <c r="N6" s="8" t="s">
        <v>11</v>
      </c>
      <c r="O6" s="148">
        <f>+F6</f>
        <v>2173.2756261806662</v>
      </c>
    </row>
    <row r="7" spans="1:17" x14ac:dyDescent="0.25">
      <c r="A7" s="4">
        <v>42377</v>
      </c>
      <c r="B7" s="5">
        <f t="shared" si="0"/>
        <v>42377</v>
      </c>
      <c r="C7" s="126">
        <v>-0.4</v>
      </c>
      <c r="D7" s="127">
        <v>0.73402777777777772</v>
      </c>
      <c r="E7" s="189"/>
      <c r="F7" s="145">
        <v>2178.5020147443229</v>
      </c>
      <c r="G7" s="145"/>
      <c r="H7" s="8" t="s">
        <v>11</v>
      </c>
      <c r="I7" s="145"/>
      <c r="J7" s="145">
        <v>4608.3004836370055</v>
      </c>
      <c r="K7" s="146"/>
      <c r="L7" s="8" t="s">
        <v>11</v>
      </c>
      <c r="M7" s="56"/>
      <c r="N7" s="8" t="s">
        <v>11</v>
      </c>
      <c r="O7" s="148">
        <f>+F7+J7</f>
        <v>6786.8024983813284</v>
      </c>
    </row>
    <row r="8" spans="1:17" x14ac:dyDescent="0.25">
      <c r="A8" s="4">
        <v>42378</v>
      </c>
      <c r="B8" s="5">
        <f t="shared" si="0"/>
        <v>42378</v>
      </c>
      <c r="C8" s="126">
        <v>-0.8</v>
      </c>
      <c r="D8" s="127">
        <v>0.76111111111111107</v>
      </c>
      <c r="E8" s="151"/>
      <c r="F8" s="145">
        <v>6868.6145021623506</v>
      </c>
      <c r="G8" s="151"/>
      <c r="H8" s="8" t="s">
        <v>11</v>
      </c>
      <c r="I8" s="152"/>
      <c r="J8" s="145">
        <v>8906.2351828290011</v>
      </c>
      <c r="K8" s="152"/>
      <c r="L8" s="8" t="s">
        <v>11</v>
      </c>
      <c r="M8" s="56"/>
      <c r="N8" s="8" t="s">
        <v>11</v>
      </c>
      <c r="O8" s="148">
        <f>+F8+J8</f>
        <v>15774.849684991352</v>
      </c>
    </row>
    <row r="9" spans="1:17" x14ac:dyDescent="0.25">
      <c r="A9" s="4">
        <v>42379</v>
      </c>
      <c r="B9" s="5">
        <f t="shared" si="0"/>
        <v>42379</v>
      </c>
      <c r="C9" s="126">
        <v>-1</v>
      </c>
      <c r="D9" s="127">
        <v>0.78819444444444442</v>
      </c>
      <c r="E9" s="151"/>
      <c r="F9" s="145">
        <v>2284.2464329220879</v>
      </c>
      <c r="G9" s="151"/>
      <c r="H9" s="8" t="s">
        <v>11</v>
      </c>
      <c r="I9" s="145"/>
      <c r="J9" s="8" t="s">
        <v>11</v>
      </c>
      <c r="K9" s="145"/>
      <c r="L9" s="8" t="s">
        <v>11</v>
      </c>
      <c r="M9" s="56"/>
      <c r="N9" s="8" t="s">
        <v>11</v>
      </c>
      <c r="O9" s="148">
        <f>+F9</f>
        <v>2284.2464329220879</v>
      </c>
    </row>
    <row r="10" spans="1:17" x14ac:dyDescent="0.25">
      <c r="A10" s="4">
        <v>42380</v>
      </c>
      <c r="B10" s="5">
        <f t="shared" si="0"/>
        <v>42380</v>
      </c>
      <c r="C10" s="126">
        <v>-1</v>
      </c>
      <c r="D10" s="127">
        <v>0.81527777777777777</v>
      </c>
      <c r="E10" s="151"/>
      <c r="F10" s="145">
        <v>508.68853385860922</v>
      </c>
      <c r="G10" s="151"/>
      <c r="H10" s="8" t="s">
        <v>11</v>
      </c>
      <c r="I10" s="145"/>
      <c r="J10" s="8" t="s">
        <v>11</v>
      </c>
      <c r="K10" s="145"/>
      <c r="L10" s="8" t="s">
        <v>11</v>
      </c>
      <c r="M10" s="56"/>
      <c r="N10" s="8" t="s">
        <v>11</v>
      </c>
      <c r="O10" s="148">
        <f>+F10</f>
        <v>508.68853385860922</v>
      </c>
    </row>
    <row r="11" spans="1:17" x14ac:dyDescent="0.25">
      <c r="A11" s="4">
        <v>42381</v>
      </c>
      <c r="B11" s="5">
        <f t="shared" si="0"/>
        <v>42381</v>
      </c>
      <c r="C11" s="126">
        <v>-0.8</v>
      </c>
      <c r="D11" s="127">
        <v>0.84305555555555556</v>
      </c>
      <c r="E11" s="151"/>
      <c r="F11" s="145">
        <v>125.81913703784566</v>
      </c>
      <c r="G11" s="152"/>
      <c r="H11" s="8" t="s">
        <v>11</v>
      </c>
      <c r="I11" s="152"/>
      <c r="J11" s="8" t="s">
        <v>11</v>
      </c>
      <c r="K11" s="152"/>
      <c r="L11" s="8" t="s">
        <v>11</v>
      </c>
      <c r="M11" s="56"/>
      <c r="N11" s="8" t="s">
        <v>11</v>
      </c>
      <c r="O11" s="148">
        <f>+F11</f>
        <v>125.81913703784566</v>
      </c>
    </row>
    <row r="12" spans="1:17" x14ac:dyDescent="0.25">
      <c r="A12" s="4">
        <v>42382</v>
      </c>
      <c r="B12" s="5">
        <f t="shared" si="0"/>
        <v>42382</v>
      </c>
      <c r="C12" s="126">
        <v>-0.4</v>
      </c>
      <c r="D12" s="127">
        <v>0.87222222222222223</v>
      </c>
      <c r="E12" s="151"/>
      <c r="F12" s="145">
        <v>591.25035086360469</v>
      </c>
      <c r="G12" s="151"/>
      <c r="H12" s="8" t="s">
        <v>11</v>
      </c>
      <c r="I12" s="152"/>
      <c r="J12" s="8" t="s">
        <v>11</v>
      </c>
      <c r="K12" s="152"/>
      <c r="L12" s="8" t="s">
        <v>11</v>
      </c>
      <c r="M12" s="56"/>
      <c r="N12" s="8" t="s">
        <v>11</v>
      </c>
      <c r="O12" s="148">
        <f>+F12</f>
        <v>591.25035086360469</v>
      </c>
    </row>
    <row r="13" spans="1:17" x14ac:dyDescent="0.25">
      <c r="A13" s="4">
        <v>42383</v>
      </c>
      <c r="B13" s="5">
        <f t="shared" si="0"/>
        <v>42383</v>
      </c>
      <c r="C13" s="126">
        <v>0.2</v>
      </c>
      <c r="D13" s="127">
        <v>0.90277777777777779</v>
      </c>
      <c r="E13" s="151" t="s">
        <v>58</v>
      </c>
      <c r="F13" s="145">
        <v>600</v>
      </c>
      <c r="G13" s="151"/>
      <c r="H13" s="8" t="s">
        <v>11</v>
      </c>
      <c r="I13" s="152"/>
      <c r="J13" s="8" t="s">
        <v>11</v>
      </c>
      <c r="K13" s="152"/>
      <c r="L13" s="8" t="s">
        <v>11</v>
      </c>
      <c r="M13" s="56"/>
      <c r="N13" s="8" t="s">
        <v>11</v>
      </c>
      <c r="O13" s="148">
        <f>+F13</f>
        <v>600</v>
      </c>
    </row>
    <row r="14" spans="1:17" x14ac:dyDescent="0.25">
      <c r="A14" s="144"/>
      <c r="B14" s="99"/>
      <c r="C14" s="172"/>
      <c r="D14" s="174"/>
      <c r="E14" s="151"/>
      <c r="F14" s="145"/>
      <c r="G14" s="152"/>
      <c r="H14" s="145"/>
      <c r="I14" s="152"/>
      <c r="J14" s="156"/>
      <c r="K14" s="152"/>
      <c r="L14" s="145"/>
      <c r="M14" s="152"/>
      <c r="N14" s="156"/>
      <c r="O14" s="153"/>
    </row>
    <row r="15" spans="1:17" x14ac:dyDescent="0.25">
      <c r="A15" s="144">
        <v>42390</v>
      </c>
      <c r="B15" s="5">
        <f t="shared" si="0"/>
        <v>42390</v>
      </c>
      <c r="C15" s="126">
        <v>-0.4</v>
      </c>
      <c r="D15" s="127">
        <v>0.7006944444444444</v>
      </c>
      <c r="E15" s="151"/>
      <c r="F15" s="145">
        <v>488.6185399692082</v>
      </c>
      <c r="G15" s="152"/>
      <c r="H15" s="8" t="s">
        <v>11</v>
      </c>
      <c r="I15" s="152"/>
      <c r="J15" s="8" t="s">
        <v>11</v>
      </c>
      <c r="K15" s="152"/>
      <c r="L15" s="8" t="s">
        <v>11</v>
      </c>
      <c r="M15" s="152"/>
      <c r="N15" s="8" t="s">
        <v>11</v>
      </c>
      <c r="O15" s="153">
        <f>+F15</f>
        <v>488.6185399692082</v>
      </c>
    </row>
    <row r="16" spans="1:17" x14ac:dyDescent="0.25">
      <c r="A16" s="144">
        <v>42391</v>
      </c>
      <c r="B16" s="5">
        <f t="shared" ref="B16:B21" si="1">+A16</f>
        <v>42391</v>
      </c>
      <c r="C16" s="126">
        <v>-0.7</v>
      </c>
      <c r="D16" s="127">
        <v>0.73263888888888884</v>
      </c>
      <c r="E16" s="151"/>
      <c r="F16" s="145">
        <v>2846.5078298364174</v>
      </c>
      <c r="G16" s="152"/>
      <c r="H16" s="8" t="s">
        <v>11</v>
      </c>
      <c r="I16" s="152"/>
      <c r="J16" s="145">
        <v>4454.5089657605977</v>
      </c>
      <c r="K16" s="152"/>
      <c r="L16" s="8" t="s">
        <v>11</v>
      </c>
      <c r="M16" s="152"/>
      <c r="N16" s="8" t="s">
        <v>11</v>
      </c>
      <c r="O16" s="153">
        <f>+F16+J16</f>
        <v>7301.0167955970155</v>
      </c>
    </row>
    <row r="17" spans="1:15" x14ac:dyDescent="0.25">
      <c r="A17" s="144">
        <v>42392</v>
      </c>
      <c r="B17" s="99">
        <f t="shared" si="1"/>
        <v>42392</v>
      </c>
      <c r="C17" s="126">
        <v>-0.8</v>
      </c>
      <c r="D17" s="127">
        <v>0.76111111111111107</v>
      </c>
      <c r="E17" s="151"/>
      <c r="F17" s="145">
        <v>6367.2656326866636</v>
      </c>
      <c r="G17" s="151"/>
      <c r="H17" s="8" t="s">
        <v>11</v>
      </c>
      <c r="I17" s="152"/>
      <c r="J17" s="8" t="s">
        <v>11</v>
      </c>
      <c r="K17" s="151"/>
      <c r="L17" s="8" t="s">
        <v>11</v>
      </c>
      <c r="M17" s="152"/>
      <c r="N17" s="8" t="s">
        <v>11</v>
      </c>
      <c r="O17" s="153">
        <f t="shared" ref="O17:O84" si="2">+F17</f>
        <v>6367.2656326866636</v>
      </c>
    </row>
    <row r="18" spans="1:15" x14ac:dyDescent="0.25">
      <c r="A18" s="144">
        <v>42393</v>
      </c>
      <c r="B18" s="99">
        <f t="shared" si="1"/>
        <v>42393</v>
      </c>
      <c r="C18" s="126">
        <v>-0.7</v>
      </c>
      <c r="D18" s="127">
        <v>0.78749999999999998</v>
      </c>
      <c r="E18" s="151" t="s">
        <v>58</v>
      </c>
      <c r="F18" s="145">
        <v>2300</v>
      </c>
      <c r="G18" s="152"/>
      <c r="H18" s="8" t="s">
        <v>11</v>
      </c>
      <c r="I18" s="152"/>
      <c r="J18" s="8" t="s">
        <v>11</v>
      </c>
      <c r="K18" s="152"/>
      <c r="L18" s="8" t="s">
        <v>11</v>
      </c>
      <c r="M18" s="152"/>
      <c r="N18" s="8" t="s">
        <v>11</v>
      </c>
      <c r="O18" s="153">
        <f t="shared" si="2"/>
        <v>2300</v>
      </c>
    </row>
    <row r="19" spans="1:15" x14ac:dyDescent="0.25">
      <c r="A19" s="144">
        <v>42394</v>
      </c>
      <c r="B19" s="99">
        <f t="shared" si="1"/>
        <v>42394</v>
      </c>
      <c r="C19" s="126">
        <v>-0.4</v>
      </c>
      <c r="D19" s="127">
        <v>0.81319444444444444</v>
      </c>
      <c r="E19" s="151" t="s">
        <v>58</v>
      </c>
      <c r="F19" s="145">
        <v>510</v>
      </c>
      <c r="G19" s="151"/>
      <c r="H19" s="8" t="s">
        <v>11</v>
      </c>
      <c r="I19" s="152"/>
      <c r="J19" s="8" t="s">
        <v>11</v>
      </c>
      <c r="K19" s="152"/>
      <c r="L19" s="8" t="s">
        <v>11</v>
      </c>
      <c r="M19" s="152"/>
      <c r="N19" s="8" t="s">
        <v>11</v>
      </c>
      <c r="O19" s="153">
        <f t="shared" si="2"/>
        <v>510</v>
      </c>
    </row>
    <row r="20" spans="1:15" x14ac:dyDescent="0.25">
      <c r="A20" s="144">
        <v>42395</v>
      </c>
      <c r="B20" s="99">
        <f t="shared" si="1"/>
        <v>42395</v>
      </c>
      <c r="C20" s="126">
        <v>0</v>
      </c>
      <c r="D20" s="127">
        <v>0.83680555555555558</v>
      </c>
      <c r="E20" s="151" t="s">
        <v>58</v>
      </c>
      <c r="F20" s="145">
        <v>150</v>
      </c>
      <c r="G20" s="152"/>
      <c r="H20" s="8" t="s">
        <v>11</v>
      </c>
      <c r="I20" s="152"/>
      <c r="J20" s="8" t="s">
        <v>11</v>
      </c>
      <c r="K20" s="152"/>
      <c r="L20" s="8" t="s">
        <v>11</v>
      </c>
      <c r="M20" s="152"/>
      <c r="N20" s="8" t="s">
        <v>11</v>
      </c>
      <c r="O20" s="153">
        <f t="shared" si="2"/>
        <v>150</v>
      </c>
    </row>
    <row r="21" spans="1:15" x14ac:dyDescent="0.25">
      <c r="A21" s="144">
        <v>42396</v>
      </c>
      <c r="B21" s="99">
        <f t="shared" si="1"/>
        <v>42396</v>
      </c>
      <c r="C21" s="149">
        <v>0.5</v>
      </c>
      <c r="D21" s="150">
        <v>0.86041666666666672</v>
      </c>
      <c r="E21" s="151" t="s">
        <v>59</v>
      </c>
      <c r="F21" s="145">
        <v>100</v>
      </c>
      <c r="G21" s="151"/>
      <c r="H21" s="8" t="s">
        <v>11</v>
      </c>
      <c r="I21" s="152"/>
      <c r="J21" s="8" t="s">
        <v>11</v>
      </c>
      <c r="K21" s="152"/>
      <c r="L21" s="8" t="s">
        <v>11</v>
      </c>
      <c r="M21" s="152"/>
      <c r="N21" s="8" t="s">
        <v>11</v>
      </c>
      <c r="O21" s="153">
        <f t="shared" si="2"/>
        <v>100</v>
      </c>
    </row>
    <row r="22" spans="1:15" x14ac:dyDescent="0.25">
      <c r="A22" s="157"/>
      <c r="B22" s="99"/>
      <c r="C22" s="149"/>
      <c r="D22" s="150"/>
      <c r="E22" s="151"/>
      <c r="F22" s="145"/>
      <c r="G22" s="151"/>
      <c r="H22" s="154"/>
      <c r="I22" s="152"/>
      <c r="J22" s="8"/>
      <c r="K22" s="152"/>
      <c r="L22" s="8"/>
      <c r="M22" s="152"/>
      <c r="N22" s="8"/>
      <c r="O22" s="153"/>
    </row>
    <row r="23" spans="1:15" x14ac:dyDescent="0.25">
      <c r="A23" s="4">
        <v>42404</v>
      </c>
      <c r="B23" s="99">
        <f t="shared" ref="B23:B84" si="3">+A23</f>
        <v>42404</v>
      </c>
      <c r="C23" s="13">
        <v>0.8</v>
      </c>
      <c r="D23" s="12">
        <v>0.65347222222222223</v>
      </c>
      <c r="E23" s="151"/>
      <c r="F23" s="145">
        <v>774.80547208923997</v>
      </c>
      <c r="G23" s="151"/>
      <c r="H23" s="8" t="s">
        <v>11</v>
      </c>
      <c r="I23" s="152"/>
      <c r="J23" s="8" t="s">
        <v>11</v>
      </c>
      <c r="K23" s="152"/>
      <c r="L23" s="8" t="s">
        <v>11</v>
      </c>
      <c r="M23" s="152"/>
      <c r="N23" s="8" t="s">
        <v>11</v>
      </c>
      <c r="O23" s="153">
        <f t="shared" si="2"/>
        <v>774.80547208923997</v>
      </c>
    </row>
    <row r="24" spans="1:15" x14ac:dyDescent="0.25">
      <c r="A24" s="4">
        <v>42405</v>
      </c>
      <c r="B24" s="99">
        <f t="shared" si="3"/>
        <v>42405</v>
      </c>
      <c r="C24" s="13">
        <v>0.2</v>
      </c>
      <c r="D24" s="12">
        <v>0.68611111111111101</v>
      </c>
      <c r="E24" s="151"/>
      <c r="F24" s="145">
        <v>451.95324799858327</v>
      </c>
      <c r="G24" s="152"/>
      <c r="H24" s="8" t="s">
        <v>11</v>
      </c>
      <c r="I24" s="152"/>
      <c r="J24" s="8" t="s">
        <v>11</v>
      </c>
      <c r="K24" s="152"/>
      <c r="L24" s="8" t="s">
        <v>11</v>
      </c>
      <c r="M24" s="152"/>
      <c r="N24" s="8" t="s">
        <v>11</v>
      </c>
      <c r="O24" s="153">
        <f t="shared" si="2"/>
        <v>451.95324799858327</v>
      </c>
    </row>
    <row r="25" spans="1:15" x14ac:dyDescent="0.25">
      <c r="A25" s="4">
        <v>42406</v>
      </c>
      <c r="B25" s="99">
        <f t="shared" si="3"/>
        <v>42406</v>
      </c>
      <c r="C25" s="13">
        <v>-0.3</v>
      </c>
      <c r="D25" s="12">
        <v>0.71597222222222223</v>
      </c>
      <c r="E25" s="151"/>
      <c r="F25" s="145">
        <v>8081.6261248813307</v>
      </c>
      <c r="G25" s="152"/>
      <c r="H25" s="8" t="s">
        <v>11</v>
      </c>
      <c r="I25" s="152"/>
      <c r="J25" s="8" t="s">
        <v>11</v>
      </c>
      <c r="K25" s="152"/>
      <c r="L25" s="8" t="s">
        <v>11</v>
      </c>
      <c r="M25" s="152"/>
      <c r="N25" s="8" t="s">
        <v>11</v>
      </c>
      <c r="O25" s="153">
        <f t="shared" si="2"/>
        <v>8081.6261248813307</v>
      </c>
    </row>
    <row r="26" spans="1:15" x14ac:dyDescent="0.25">
      <c r="A26" s="4">
        <v>42407</v>
      </c>
      <c r="B26" s="99">
        <f t="shared" si="3"/>
        <v>42407</v>
      </c>
      <c r="C26" s="13">
        <v>-0.7</v>
      </c>
      <c r="D26" s="12">
        <v>0.74444444444444446</v>
      </c>
      <c r="E26" s="151"/>
      <c r="F26" s="145">
        <v>1693.5957331338032</v>
      </c>
      <c r="G26" s="151"/>
      <c r="H26" s="8" t="s">
        <v>11</v>
      </c>
      <c r="I26" s="152"/>
      <c r="J26" s="8" t="s">
        <v>11</v>
      </c>
      <c r="K26" s="152"/>
      <c r="L26" s="8" t="s">
        <v>11</v>
      </c>
      <c r="M26" s="152"/>
      <c r="N26" s="8" t="s">
        <v>11</v>
      </c>
      <c r="O26" s="153">
        <f t="shared" si="2"/>
        <v>1693.5957331338032</v>
      </c>
    </row>
    <row r="27" spans="1:15" x14ac:dyDescent="0.25">
      <c r="A27" s="4">
        <v>42408</v>
      </c>
      <c r="B27" s="99">
        <f t="shared" si="3"/>
        <v>42408</v>
      </c>
      <c r="C27" s="13">
        <v>-1</v>
      </c>
      <c r="D27" s="12">
        <v>0.77222222222222225</v>
      </c>
      <c r="E27" s="151"/>
      <c r="F27" s="145">
        <v>3408.5604195865621</v>
      </c>
      <c r="G27" s="151"/>
      <c r="H27" s="8" t="s">
        <v>11</v>
      </c>
      <c r="I27" s="152"/>
      <c r="J27" s="8" t="s">
        <v>11</v>
      </c>
      <c r="K27" s="152"/>
      <c r="L27" s="8" t="s">
        <v>11</v>
      </c>
      <c r="M27" s="152"/>
      <c r="N27" s="8" t="s">
        <v>11</v>
      </c>
      <c r="O27" s="153">
        <f t="shared" si="2"/>
        <v>3408.5604195865621</v>
      </c>
    </row>
    <row r="28" spans="1:15" x14ac:dyDescent="0.25">
      <c r="A28" s="4">
        <v>42409</v>
      </c>
      <c r="B28" s="99">
        <f t="shared" si="3"/>
        <v>42409</v>
      </c>
      <c r="C28" s="13">
        <v>-0.9</v>
      </c>
      <c r="D28" s="12">
        <v>0.8</v>
      </c>
      <c r="E28" s="151" t="s">
        <v>58</v>
      </c>
      <c r="F28" s="145">
        <v>550</v>
      </c>
      <c r="G28" s="152"/>
      <c r="H28" s="8" t="s">
        <v>11</v>
      </c>
      <c r="I28" s="152"/>
      <c r="J28" s="8" t="s">
        <v>11</v>
      </c>
      <c r="K28" s="152"/>
      <c r="L28" s="8" t="s">
        <v>11</v>
      </c>
      <c r="M28" s="152"/>
      <c r="N28" s="8" t="s">
        <v>11</v>
      </c>
      <c r="O28" s="153">
        <f t="shared" si="2"/>
        <v>550</v>
      </c>
    </row>
    <row r="29" spans="1:15" x14ac:dyDescent="0.25">
      <c r="A29" s="4">
        <v>42410</v>
      </c>
      <c r="B29" s="99">
        <f t="shared" si="3"/>
        <v>42410</v>
      </c>
      <c r="C29" s="13">
        <v>-0.7</v>
      </c>
      <c r="D29" s="12">
        <v>0.82777777777777772</v>
      </c>
      <c r="E29" s="151"/>
      <c r="F29" s="145">
        <v>387.68021599786186</v>
      </c>
      <c r="G29" s="151"/>
      <c r="H29" s="8" t="s">
        <v>11</v>
      </c>
      <c r="I29" s="152"/>
      <c r="J29" s="8" t="s">
        <v>11</v>
      </c>
      <c r="K29" s="152"/>
      <c r="L29" s="8" t="s">
        <v>11</v>
      </c>
      <c r="M29" s="152"/>
      <c r="N29" s="8" t="s">
        <v>11</v>
      </c>
      <c r="O29" s="153">
        <f t="shared" si="2"/>
        <v>387.68021599786186</v>
      </c>
    </row>
    <row r="30" spans="1:15" x14ac:dyDescent="0.25">
      <c r="A30" s="4">
        <v>42411</v>
      </c>
      <c r="B30" s="99">
        <f t="shared" si="3"/>
        <v>42411</v>
      </c>
      <c r="C30" s="13">
        <v>-0.1</v>
      </c>
      <c r="D30" s="12">
        <v>0.8569444444444444</v>
      </c>
      <c r="E30" s="151" t="s">
        <v>58</v>
      </c>
      <c r="F30" s="145">
        <v>400</v>
      </c>
      <c r="G30" s="152"/>
      <c r="H30" s="8" t="s">
        <v>11</v>
      </c>
      <c r="I30" s="152"/>
      <c r="J30" s="8" t="s">
        <v>11</v>
      </c>
      <c r="K30" s="152"/>
      <c r="L30" s="8" t="s">
        <v>11</v>
      </c>
      <c r="M30" s="152"/>
      <c r="N30" s="8" t="s">
        <v>11</v>
      </c>
      <c r="O30" s="153">
        <f t="shared" si="2"/>
        <v>400</v>
      </c>
    </row>
    <row r="31" spans="1:15" x14ac:dyDescent="0.25">
      <c r="A31" s="4">
        <v>42412</v>
      </c>
      <c r="B31" s="99">
        <f t="shared" si="3"/>
        <v>42412</v>
      </c>
      <c r="C31" s="13">
        <v>0.6</v>
      </c>
      <c r="D31" s="12">
        <v>0.88680555555555551</v>
      </c>
      <c r="E31" s="151" t="s">
        <v>58</v>
      </c>
      <c r="F31" s="145">
        <v>800</v>
      </c>
      <c r="G31" s="151"/>
      <c r="H31" s="8" t="s">
        <v>11</v>
      </c>
      <c r="I31" s="152"/>
      <c r="J31" s="8" t="s">
        <v>11</v>
      </c>
      <c r="K31" s="152"/>
      <c r="L31" s="8" t="s">
        <v>11</v>
      </c>
      <c r="M31" s="152"/>
      <c r="N31" s="8" t="s">
        <v>11</v>
      </c>
      <c r="O31" s="153">
        <f t="shared" si="2"/>
        <v>800</v>
      </c>
    </row>
    <row r="32" spans="1:15" x14ac:dyDescent="0.25">
      <c r="A32" s="4">
        <v>42413</v>
      </c>
      <c r="B32" s="99">
        <f t="shared" si="3"/>
        <v>42413</v>
      </c>
      <c r="C32" s="13">
        <v>1.4</v>
      </c>
      <c r="D32" s="92">
        <v>0.9194444444444444</v>
      </c>
      <c r="E32" s="151" t="s">
        <v>58</v>
      </c>
      <c r="F32" s="145">
        <v>1000</v>
      </c>
      <c r="G32" s="151"/>
      <c r="H32" s="8" t="s">
        <v>11</v>
      </c>
      <c r="I32" s="152"/>
      <c r="J32" s="8" t="s">
        <v>11</v>
      </c>
      <c r="K32" s="152"/>
      <c r="L32" s="8" t="s">
        <v>11</v>
      </c>
      <c r="M32" s="152"/>
      <c r="N32" s="8" t="s">
        <v>11</v>
      </c>
      <c r="O32" s="153">
        <f t="shared" si="2"/>
        <v>1000</v>
      </c>
    </row>
    <row r="33" spans="1:15" x14ac:dyDescent="0.25">
      <c r="A33" s="4">
        <v>42414</v>
      </c>
      <c r="B33" s="99">
        <f t="shared" si="3"/>
        <v>42414</v>
      </c>
      <c r="C33" s="13">
        <v>2.2000000000000002</v>
      </c>
      <c r="D33" s="92">
        <v>0.95694444444444449</v>
      </c>
      <c r="E33" s="151" t="s">
        <v>58</v>
      </c>
      <c r="F33" s="145">
        <v>100</v>
      </c>
      <c r="G33" s="151"/>
      <c r="H33" s="8" t="s">
        <v>11</v>
      </c>
      <c r="I33" s="152"/>
      <c r="J33" s="8" t="s">
        <v>11</v>
      </c>
      <c r="K33" s="152"/>
      <c r="L33" s="8" t="s">
        <v>11</v>
      </c>
      <c r="M33" s="152"/>
      <c r="N33" s="8" t="s">
        <v>11</v>
      </c>
      <c r="O33" s="153">
        <f t="shared" si="2"/>
        <v>100</v>
      </c>
    </row>
    <row r="34" spans="1:15" x14ac:dyDescent="0.25">
      <c r="A34" s="4"/>
      <c r="B34" s="99"/>
      <c r="C34" s="13"/>
      <c r="D34" s="92"/>
      <c r="E34" s="151"/>
      <c r="F34" s="145"/>
      <c r="G34" s="151"/>
      <c r="H34" s="8"/>
      <c r="I34" s="152"/>
      <c r="J34" s="8"/>
      <c r="K34" s="152"/>
      <c r="L34" s="8"/>
      <c r="M34" s="152"/>
      <c r="N34" s="8"/>
      <c r="O34" s="153"/>
    </row>
    <row r="35" spans="1:15" x14ac:dyDescent="0.25">
      <c r="A35" s="4">
        <v>42415</v>
      </c>
      <c r="B35" s="99">
        <f t="shared" si="3"/>
        <v>42415</v>
      </c>
      <c r="C35" s="13">
        <v>1.1000000000000001</v>
      </c>
      <c r="D35" s="92">
        <v>0.51111111111111107</v>
      </c>
      <c r="E35" s="151" t="s">
        <v>58</v>
      </c>
      <c r="F35" s="145">
        <v>800</v>
      </c>
      <c r="G35" s="152"/>
      <c r="H35" s="8" t="s">
        <v>11</v>
      </c>
      <c r="I35" s="152"/>
      <c r="J35" s="8" t="s">
        <v>11</v>
      </c>
      <c r="K35" s="152"/>
      <c r="L35" s="8" t="s">
        <v>11</v>
      </c>
      <c r="M35" s="152"/>
      <c r="N35" s="8" t="s">
        <v>11</v>
      </c>
      <c r="O35" s="153">
        <f t="shared" si="2"/>
        <v>800</v>
      </c>
    </row>
    <row r="36" spans="1:15" x14ac:dyDescent="0.25">
      <c r="A36" s="4">
        <v>42416</v>
      </c>
      <c r="B36" s="99">
        <f t="shared" si="3"/>
        <v>42416</v>
      </c>
      <c r="C36" s="13">
        <v>1</v>
      </c>
      <c r="D36" s="92">
        <v>0.5625</v>
      </c>
      <c r="E36" s="151" t="s">
        <v>58</v>
      </c>
      <c r="F36" s="145">
        <v>800</v>
      </c>
      <c r="G36" s="152"/>
      <c r="H36" s="8" t="s">
        <v>11</v>
      </c>
      <c r="I36" s="152"/>
      <c r="J36" s="8" t="s">
        <v>11</v>
      </c>
      <c r="K36" s="152"/>
      <c r="L36" s="8" t="s">
        <v>11</v>
      </c>
      <c r="M36" s="152"/>
      <c r="N36" s="8" t="s">
        <v>11</v>
      </c>
      <c r="O36" s="153">
        <f t="shared" si="2"/>
        <v>800</v>
      </c>
    </row>
    <row r="37" spans="1:15" x14ac:dyDescent="0.25">
      <c r="A37" s="4">
        <v>42417</v>
      </c>
      <c r="B37" s="99">
        <f t="shared" si="3"/>
        <v>42417</v>
      </c>
      <c r="C37" s="13">
        <v>0.7</v>
      </c>
      <c r="D37" s="92">
        <v>0.61111111111111116</v>
      </c>
      <c r="E37" s="151"/>
      <c r="F37" s="145">
        <v>791.11984503523206</v>
      </c>
      <c r="G37" s="151"/>
      <c r="H37" s="8" t="s">
        <v>11</v>
      </c>
      <c r="I37" s="152"/>
      <c r="J37" s="8" t="s">
        <v>11</v>
      </c>
      <c r="K37" s="152"/>
      <c r="L37" s="8" t="s">
        <v>11</v>
      </c>
      <c r="M37" s="152"/>
      <c r="N37" s="8" t="s">
        <v>11</v>
      </c>
      <c r="O37" s="153">
        <f t="shared" si="2"/>
        <v>791.11984503523206</v>
      </c>
    </row>
    <row r="38" spans="1:15" x14ac:dyDescent="0.25">
      <c r="A38" s="4">
        <v>42418</v>
      </c>
      <c r="B38" s="99">
        <f t="shared" si="3"/>
        <v>42418</v>
      </c>
      <c r="C38" s="13">
        <v>0.3</v>
      </c>
      <c r="D38" s="92">
        <v>0.65347222222222223</v>
      </c>
      <c r="E38" s="151"/>
      <c r="F38" s="145">
        <v>873.94900394115143</v>
      </c>
      <c r="G38" s="152"/>
      <c r="H38" s="8" t="s">
        <v>11</v>
      </c>
      <c r="I38" s="152"/>
      <c r="J38" s="8" t="s">
        <v>11</v>
      </c>
      <c r="K38" s="152"/>
      <c r="L38" s="8" t="s">
        <v>11</v>
      </c>
      <c r="M38" s="152"/>
      <c r="N38" s="8" t="s">
        <v>11</v>
      </c>
      <c r="O38" s="153">
        <f t="shared" si="2"/>
        <v>873.94900394115143</v>
      </c>
    </row>
    <row r="39" spans="1:15" x14ac:dyDescent="0.25">
      <c r="A39" s="4">
        <v>42419</v>
      </c>
      <c r="B39" s="99">
        <f t="shared" si="3"/>
        <v>42419</v>
      </c>
      <c r="C39" s="13">
        <v>0</v>
      </c>
      <c r="D39" s="92">
        <v>0.68958333333333333</v>
      </c>
      <c r="E39" s="151"/>
      <c r="F39" s="145">
        <v>1990.7678773333953</v>
      </c>
      <c r="G39" s="152"/>
      <c r="H39" s="8" t="s">
        <v>11</v>
      </c>
      <c r="I39" s="152"/>
      <c r="J39" s="145">
        <v>3391.3042356026012</v>
      </c>
      <c r="K39" s="152"/>
      <c r="L39" s="145">
        <v>1766.6574481220709</v>
      </c>
      <c r="M39" s="152"/>
      <c r="N39" s="8" t="s">
        <v>11</v>
      </c>
      <c r="O39" s="181">
        <f>+F39+J39+L39</f>
        <v>7148.7295610580677</v>
      </c>
    </row>
    <row r="40" spans="1:15" x14ac:dyDescent="0.25">
      <c r="A40" s="4">
        <v>42420</v>
      </c>
      <c r="B40" s="5">
        <f t="shared" si="3"/>
        <v>42420</v>
      </c>
      <c r="C40" s="13">
        <v>-0.1</v>
      </c>
      <c r="D40" s="92">
        <v>0.72013888888888888</v>
      </c>
      <c r="E40" s="151"/>
      <c r="F40" s="145">
        <v>13050.086698913536</v>
      </c>
      <c r="G40" s="152"/>
      <c r="H40" s="8" t="s">
        <v>11</v>
      </c>
      <c r="I40" s="152"/>
      <c r="J40" s="145">
        <v>9950.4268520255446</v>
      </c>
      <c r="K40" s="152"/>
      <c r="L40" s="145">
        <v>7972.8508382998407</v>
      </c>
      <c r="M40" s="152"/>
      <c r="N40" s="8" t="s">
        <v>11</v>
      </c>
      <c r="O40" s="181">
        <f>+F40+J40+L40</f>
        <v>30973.364389238923</v>
      </c>
    </row>
    <row r="41" spans="1:15" x14ac:dyDescent="0.25">
      <c r="A41" s="4">
        <v>42421</v>
      </c>
      <c r="B41" s="5">
        <f t="shared" si="3"/>
        <v>42421</v>
      </c>
      <c r="C41" s="13">
        <v>-0.2</v>
      </c>
      <c r="D41" s="92">
        <v>0.74722222222222223</v>
      </c>
      <c r="E41" s="151"/>
      <c r="F41" s="145">
        <v>2154.2031340788576</v>
      </c>
      <c r="G41" s="152"/>
      <c r="H41" s="8" t="s">
        <v>11</v>
      </c>
      <c r="I41" s="152"/>
      <c r="J41" s="8" t="s">
        <v>11</v>
      </c>
      <c r="K41" s="152"/>
      <c r="L41" s="145">
        <v>2511.1991250446008</v>
      </c>
      <c r="M41" s="152"/>
      <c r="N41" s="8" t="s">
        <v>11</v>
      </c>
      <c r="O41" s="181">
        <f>+F41+L41</f>
        <v>4665.4022591234589</v>
      </c>
    </row>
    <row r="42" spans="1:15" x14ac:dyDescent="0.25">
      <c r="A42" s="4">
        <v>42422</v>
      </c>
      <c r="B42" s="5">
        <f t="shared" si="3"/>
        <v>42422</v>
      </c>
      <c r="C42" s="13">
        <v>-0.1</v>
      </c>
      <c r="D42" s="92">
        <v>0.77152777777777781</v>
      </c>
      <c r="E42" s="151"/>
      <c r="F42" s="145">
        <v>1270.6224767601384</v>
      </c>
      <c r="G42" s="152"/>
      <c r="H42" s="8" t="s">
        <v>11</v>
      </c>
      <c r="I42" s="152"/>
      <c r="J42" s="8" t="s">
        <v>11</v>
      </c>
      <c r="K42" s="152"/>
      <c r="L42" s="8" t="s">
        <v>11</v>
      </c>
      <c r="M42" s="152"/>
      <c r="N42" s="8" t="s">
        <v>11</v>
      </c>
      <c r="O42" s="153">
        <f t="shared" si="2"/>
        <v>1270.6224767601384</v>
      </c>
    </row>
    <row r="43" spans="1:15" x14ac:dyDescent="0.25">
      <c r="A43" s="4">
        <v>42423</v>
      </c>
      <c r="B43" s="5">
        <f t="shared" si="3"/>
        <v>42423</v>
      </c>
      <c r="C43" s="13">
        <v>0.1</v>
      </c>
      <c r="D43" s="92">
        <v>0.7944444444444444</v>
      </c>
      <c r="E43" s="151" t="s">
        <v>58</v>
      </c>
      <c r="F43" s="145">
        <v>1100</v>
      </c>
      <c r="G43" s="152"/>
      <c r="H43" s="8" t="s">
        <v>11</v>
      </c>
      <c r="I43" s="152"/>
      <c r="J43" s="8" t="s">
        <v>11</v>
      </c>
      <c r="K43" s="152"/>
      <c r="L43" s="8" t="s">
        <v>11</v>
      </c>
      <c r="M43" s="152"/>
      <c r="N43" s="8" t="s">
        <v>11</v>
      </c>
      <c r="O43" s="153">
        <f t="shared" si="2"/>
        <v>1100</v>
      </c>
    </row>
    <row r="44" spans="1:15" x14ac:dyDescent="0.25">
      <c r="A44" s="4">
        <v>42424</v>
      </c>
      <c r="B44" s="5">
        <f t="shared" si="3"/>
        <v>42424</v>
      </c>
      <c r="C44" s="13">
        <v>0.5</v>
      </c>
      <c r="D44" s="92">
        <v>0.81597222222222221</v>
      </c>
      <c r="E44" s="151"/>
      <c r="F44" s="145">
        <v>358.76813715349095</v>
      </c>
      <c r="G44" s="151"/>
      <c r="H44" s="8" t="s">
        <v>11</v>
      </c>
      <c r="I44" s="152"/>
      <c r="J44" s="8" t="s">
        <v>11</v>
      </c>
      <c r="K44" s="152"/>
      <c r="L44" s="8" t="s">
        <v>11</v>
      </c>
      <c r="M44" s="152"/>
      <c r="N44" s="8" t="s">
        <v>11</v>
      </c>
      <c r="O44" s="153">
        <f t="shared" si="2"/>
        <v>358.76813715349095</v>
      </c>
    </row>
    <row r="45" spans="1:15" x14ac:dyDescent="0.25">
      <c r="A45" s="4">
        <v>42425</v>
      </c>
      <c r="B45" s="5">
        <f t="shared" si="3"/>
        <v>42425</v>
      </c>
      <c r="C45" s="13">
        <v>0.9</v>
      </c>
      <c r="D45" s="92">
        <v>0.83750000000000002</v>
      </c>
      <c r="E45" s="151" t="s">
        <v>58</v>
      </c>
      <c r="F45" s="145">
        <v>870</v>
      </c>
      <c r="G45" s="152"/>
      <c r="H45" s="8" t="s">
        <v>11</v>
      </c>
      <c r="I45" s="152"/>
      <c r="J45" s="8" t="s">
        <v>11</v>
      </c>
      <c r="K45" s="152"/>
      <c r="L45" s="8" t="s">
        <v>11</v>
      </c>
      <c r="M45" s="152"/>
      <c r="N45" s="8" t="s">
        <v>11</v>
      </c>
      <c r="O45" s="153">
        <f t="shared" si="2"/>
        <v>870</v>
      </c>
    </row>
    <row r="46" spans="1:15" x14ac:dyDescent="0.25">
      <c r="A46" s="4">
        <v>42426</v>
      </c>
      <c r="B46" s="5">
        <f t="shared" si="3"/>
        <v>42426</v>
      </c>
      <c r="C46" s="13">
        <v>1.4</v>
      </c>
      <c r="D46" s="92">
        <v>0.85902777777777772</v>
      </c>
      <c r="E46" s="151" t="s">
        <v>58</v>
      </c>
      <c r="F46" s="145">
        <v>1000</v>
      </c>
      <c r="G46" s="151"/>
      <c r="H46" s="8" t="s">
        <v>11</v>
      </c>
      <c r="I46" s="152"/>
      <c r="J46" s="8" t="s">
        <v>11</v>
      </c>
      <c r="K46" s="152"/>
      <c r="L46" s="8" t="s">
        <v>11</v>
      </c>
      <c r="M46" s="152"/>
      <c r="N46" s="8" t="s">
        <v>11</v>
      </c>
      <c r="O46" s="153">
        <f t="shared" si="2"/>
        <v>1000</v>
      </c>
    </row>
    <row r="47" spans="1:15" x14ac:dyDescent="0.25">
      <c r="A47" s="4">
        <v>42427</v>
      </c>
      <c r="B47" s="5">
        <f t="shared" si="3"/>
        <v>42427</v>
      </c>
      <c r="C47" s="13">
        <v>2</v>
      </c>
      <c r="D47" s="92">
        <v>0.88124999999999998</v>
      </c>
      <c r="E47" s="151" t="s">
        <v>58</v>
      </c>
      <c r="F47" s="145">
        <v>100</v>
      </c>
      <c r="G47" s="151"/>
      <c r="H47" s="8" t="s">
        <v>11</v>
      </c>
      <c r="I47" s="152"/>
      <c r="J47" s="8" t="s">
        <v>11</v>
      </c>
      <c r="K47" s="152"/>
      <c r="L47" s="8" t="s">
        <v>11</v>
      </c>
      <c r="M47" s="152"/>
      <c r="N47" s="8" t="s">
        <v>11</v>
      </c>
      <c r="O47" s="153">
        <f t="shared" si="2"/>
        <v>100</v>
      </c>
    </row>
    <row r="48" spans="1:15" x14ac:dyDescent="0.25">
      <c r="A48" s="4">
        <v>42428</v>
      </c>
      <c r="B48" s="99">
        <f t="shared" si="3"/>
        <v>42428</v>
      </c>
      <c r="C48" s="13">
        <v>2.5</v>
      </c>
      <c r="D48" s="92">
        <v>0.90555555555555556</v>
      </c>
      <c r="E48" s="151" t="s">
        <v>62</v>
      </c>
      <c r="F48" s="156">
        <v>0</v>
      </c>
      <c r="G48" s="152"/>
      <c r="H48" s="8" t="s">
        <v>11</v>
      </c>
      <c r="I48" s="152"/>
      <c r="J48" s="8" t="s">
        <v>11</v>
      </c>
      <c r="K48" s="152"/>
      <c r="L48" s="8" t="s">
        <v>11</v>
      </c>
      <c r="M48" s="152"/>
      <c r="N48" s="8" t="s">
        <v>11</v>
      </c>
      <c r="O48" s="153">
        <f t="shared" si="2"/>
        <v>0</v>
      </c>
    </row>
    <row r="49" spans="1:15" x14ac:dyDescent="0.25">
      <c r="A49" s="4">
        <v>42429</v>
      </c>
      <c r="B49" s="99">
        <f t="shared" si="3"/>
        <v>42429</v>
      </c>
      <c r="C49" s="13">
        <v>3.1</v>
      </c>
      <c r="D49" s="92">
        <v>0.93472222222222223</v>
      </c>
      <c r="E49" s="151" t="s">
        <v>62</v>
      </c>
      <c r="F49" s="154">
        <v>0</v>
      </c>
      <c r="G49" s="152"/>
      <c r="H49" s="8" t="s">
        <v>11</v>
      </c>
      <c r="I49" s="152"/>
      <c r="J49" s="8" t="s">
        <v>11</v>
      </c>
      <c r="K49" s="152"/>
      <c r="L49" s="8" t="s">
        <v>11</v>
      </c>
      <c r="M49" s="152"/>
      <c r="N49" s="8" t="s">
        <v>11</v>
      </c>
      <c r="O49" s="153">
        <f t="shared" si="2"/>
        <v>0</v>
      </c>
    </row>
    <row r="50" spans="1:15" x14ac:dyDescent="0.25">
      <c r="A50" s="4"/>
      <c r="B50" s="99"/>
      <c r="C50" s="13"/>
      <c r="D50" s="92"/>
      <c r="E50" s="151"/>
      <c r="F50" s="154"/>
      <c r="G50" s="152"/>
      <c r="H50" s="8"/>
      <c r="I50" s="152"/>
      <c r="J50" s="8"/>
      <c r="K50" s="152"/>
      <c r="L50" s="8"/>
      <c r="M50" s="152"/>
      <c r="N50" s="8"/>
      <c r="O50" s="153"/>
    </row>
    <row r="51" spans="1:15" x14ac:dyDescent="0.25">
      <c r="A51" s="4">
        <v>42430</v>
      </c>
      <c r="B51" s="99">
        <f t="shared" si="3"/>
        <v>42430</v>
      </c>
      <c r="C51" s="13">
        <v>1.9</v>
      </c>
      <c r="D51" s="92">
        <v>0.48888888888888887</v>
      </c>
      <c r="E51" s="151"/>
      <c r="F51" s="154">
        <v>80</v>
      </c>
      <c r="G51" s="152"/>
      <c r="H51" s="8" t="s">
        <v>11</v>
      </c>
      <c r="I51" s="152"/>
      <c r="J51" s="8" t="s">
        <v>11</v>
      </c>
      <c r="K51" s="152"/>
      <c r="L51" s="8" t="s">
        <v>11</v>
      </c>
      <c r="M51" s="152"/>
      <c r="N51" s="8" t="s">
        <v>11</v>
      </c>
      <c r="O51" s="153">
        <f t="shared" si="2"/>
        <v>80</v>
      </c>
    </row>
    <row r="52" spans="1:15" x14ac:dyDescent="0.25">
      <c r="A52" s="4">
        <v>42431</v>
      </c>
      <c r="B52" s="99">
        <f t="shared" si="3"/>
        <v>42431</v>
      </c>
      <c r="C52" s="13">
        <v>1.8</v>
      </c>
      <c r="D52" s="92">
        <v>0.53541666666666665</v>
      </c>
      <c r="E52" s="151"/>
      <c r="F52" s="154">
        <v>82.587748968866308</v>
      </c>
      <c r="G52" s="152"/>
      <c r="H52" s="8" t="s">
        <v>11</v>
      </c>
      <c r="I52" s="152"/>
      <c r="J52" s="8" t="s">
        <v>11</v>
      </c>
      <c r="K52" s="152"/>
      <c r="L52" s="8" t="s">
        <v>11</v>
      </c>
      <c r="M52" s="152"/>
      <c r="N52" s="8" t="s">
        <v>11</v>
      </c>
      <c r="O52" s="153">
        <f t="shared" si="2"/>
        <v>82.587748968866308</v>
      </c>
    </row>
    <row r="53" spans="1:15" x14ac:dyDescent="0.25">
      <c r="A53" s="4">
        <v>42432</v>
      </c>
      <c r="B53" s="99">
        <f t="shared" si="3"/>
        <v>42432</v>
      </c>
      <c r="C53" s="13">
        <v>1.4</v>
      </c>
      <c r="D53" s="92">
        <v>0.58263888888888893</v>
      </c>
      <c r="E53" s="151"/>
      <c r="F53" s="154">
        <v>166.89607604125067</v>
      </c>
      <c r="G53" s="152"/>
      <c r="H53" s="8" t="s">
        <v>11</v>
      </c>
      <c r="I53" s="152"/>
      <c r="J53" s="8" t="s">
        <v>11</v>
      </c>
      <c r="K53" s="152"/>
      <c r="L53" s="8" t="s">
        <v>11</v>
      </c>
      <c r="M53" s="152"/>
      <c r="N53" s="8" t="s">
        <v>11</v>
      </c>
      <c r="O53" s="153">
        <f t="shared" si="2"/>
        <v>166.89607604125067</v>
      </c>
    </row>
    <row r="54" spans="1:15" x14ac:dyDescent="0.25">
      <c r="A54" s="4">
        <v>42433</v>
      </c>
      <c r="B54" s="99">
        <f t="shared" si="3"/>
        <v>42433</v>
      </c>
      <c r="C54" s="13">
        <v>0.9</v>
      </c>
      <c r="D54" s="92">
        <v>0.625</v>
      </c>
      <c r="E54" s="151"/>
      <c r="F54" s="154">
        <v>581.55539898910024</v>
      </c>
      <c r="G54" s="152"/>
      <c r="H54" s="8" t="s">
        <v>11</v>
      </c>
      <c r="I54" s="152"/>
      <c r="J54" s="8" t="s">
        <v>11</v>
      </c>
      <c r="K54" s="152"/>
      <c r="L54" s="8" t="s">
        <v>11</v>
      </c>
      <c r="M54" s="152"/>
      <c r="N54" s="8" t="s">
        <v>11</v>
      </c>
      <c r="O54" s="153">
        <f t="shared" si="2"/>
        <v>581.55539898910024</v>
      </c>
    </row>
    <row r="55" spans="1:15" x14ac:dyDescent="0.25">
      <c r="A55" s="4">
        <v>42434</v>
      </c>
      <c r="B55" s="99">
        <f t="shared" si="3"/>
        <v>42434</v>
      </c>
      <c r="C55" s="13">
        <v>0.3</v>
      </c>
      <c r="D55" s="92">
        <v>0.66180555555555554</v>
      </c>
      <c r="E55" s="151"/>
      <c r="F55" s="154">
        <v>6502.7180649687552</v>
      </c>
      <c r="G55" s="152"/>
      <c r="H55" s="8" t="s">
        <v>11</v>
      </c>
      <c r="I55" s="152"/>
      <c r="J55" s="8" t="s">
        <v>11</v>
      </c>
      <c r="K55" s="152"/>
      <c r="L55" s="8">
        <v>4831.4403416248888</v>
      </c>
      <c r="M55" s="152"/>
      <c r="N55" s="8" t="s">
        <v>11</v>
      </c>
      <c r="O55" s="153">
        <f>+F55+L55</f>
        <v>11334.158406593644</v>
      </c>
    </row>
    <row r="56" spans="1:15" x14ac:dyDescent="0.25">
      <c r="A56" s="4">
        <v>42435</v>
      </c>
      <c r="B56" s="99">
        <f t="shared" si="3"/>
        <v>42435</v>
      </c>
      <c r="C56" s="13">
        <v>-0.2</v>
      </c>
      <c r="D56" s="92">
        <v>0.69444444444444442</v>
      </c>
      <c r="E56" s="151"/>
      <c r="F56" s="154">
        <v>1496.1854229320488</v>
      </c>
      <c r="G56" s="152"/>
      <c r="H56" s="8" t="s">
        <v>11</v>
      </c>
      <c r="I56" s="152"/>
      <c r="J56" s="8" t="s">
        <v>11</v>
      </c>
      <c r="K56" s="152"/>
      <c r="L56" s="8">
        <v>3365.1189231814024</v>
      </c>
      <c r="M56" s="152"/>
      <c r="N56" s="8" t="s">
        <v>11</v>
      </c>
      <c r="O56" s="153">
        <f>+F56+L56</f>
        <v>4861.3043461134512</v>
      </c>
    </row>
    <row r="57" spans="1:15" x14ac:dyDescent="0.25">
      <c r="A57" s="4">
        <v>42436</v>
      </c>
      <c r="B57" s="99">
        <f t="shared" si="3"/>
        <v>42436</v>
      </c>
      <c r="C57" s="13">
        <v>-0.5</v>
      </c>
      <c r="D57" s="92">
        <v>0.72430555555555554</v>
      </c>
      <c r="E57" s="151" t="s">
        <v>56</v>
      </c>
      <c r="F57" s="154">
        <f>+L57*(F56+F55+F58)/(L55+L56+L58)</f>
        <v>1496.0099046205387</v>
      </c>
      <c r="G57" s="152"/>
      <c r="H57" s="8" t="s">
        <v>11</v>
      </c>
      <c r="I57" s="152"/>
      <c r="J57" s="8" t="s">
        <v>11</v>
      </c>
      <c r="K57" s="152"/>
      <c r="L57" s="8">
        <v>1534.2714002042412</v>
      </c>
      <c r="M57" s="152"/>
      <c r="N57" s="8" t="s">
        <v>11</v>
      </c>
      <c r="O57" s="153">
        <f>+F57+L57</f>
        <v>3030.2813048247799</v>
      </c>
    </row>
    <row r="58" spans="1:15" x14ac:dyDescent="0.25">
      <c r="A58" s="4">
        <v>42437</v>
      </c>
      <c r="B58" s="99">
        <f t="shared" si="3"/>
        <v>42437</v>
      </c>
      <c r="C58" s="13">
        <v>-0.6</v>
      </c>
      <c r="D58" s="92">
        <v>0.75347222222222221</v>
      </c>
      <c r="E58" s="151"/>
      <c r="F58" s="154">
        <v>1069.7549276279728</v>
      </c>
      <c r="G58" s="152"/>
      <c r="H58" s="8" t="s">
        <v>11</v>
      </c>
      <c r="I58" s="152"/>
      <c r="J58" s="8" t="s">
        <v>11</v>
      </c>
      <c r="K58" s="152"/>
      <c r="L58" s="8">
        <v>1104.0364078517225</v>
      </c>
      <c r="M58" s="152"/>
      <c r="N58" s="8" t="s">
        <v>11</v>
      </c>
      <c r="O58" s="153">
        <f>+F58+L58</f>
        <v>2173.7913354796956</v>
      </c>
    </row>
    <row r="59" spans="1:15" x14ac:dyDescent="0.25">
      <c r="A59" s="4">
        <v>42438</v>
      </c>
      <c r="B59" s="99">
        <f t="shared" si="3"/>
        <v>42438</v>
      </c>
      <c r="C59" s="13">
        <v>-0.5</v>
      </c>
      <c r="D59" s="92">
        <v>0.78263888888888888</v>
      </c>
      <c r="E59" s="151" t="s">
        <v>58</v>
      </c>
      <c r="F59" s="154">
        <v>1050</v>
      </c>
      <c r="G59" s="152"/>
      <c r="H59" s="8" t="s">
        <v>11</v>
      </c>
      <c r="I59" s="152"/>
      <c r="J59" s="8" t="s">
        <v>11</v>
      </c>
      <c r="K59" s="152"/>
      <c r="L59" s="8" t="s">
        <v>11</v>
      </c>
      <c r="M59" s="152"/>
      <c r="N59" s="8" t="s">
        <v>11</v>
      </c>
      <c r="O59" s="153">
        <f t="shared" si="2"/>
        <v>1050</v>
      </c>
    </row>
    <row r="60" spans="1:15" x14ac:dyDescent="0.25">
      <c r="A60" s="4">
        <v>42439</v>
      </c>
      <c r="B60" s="99">
        <f t="shared" si="3"/>
        <v>42439</v>
      </c>
      <c r="C60" s="13">
        <v>-0.2</v>
      </c>
      <c r="D60" s="92">
        <v>0.81111111111111112</v>
      </c>
      <c r="E60" s="151" t="s">
        <v>58</v>
      </c>
      <c r="F60" s="154">
        <v>800</v>
      </c>
      <c r="G60" s="152"/>
      <c r="H60" s="8" t="s">
        <v>11</v>
      </c>
      <c r="I60" s="152"/>
      <c r="J60" s="8" t="s">
        <v>11</v>
      </c>
      <c r="K60" s="152"/>
      <c r="L60" s="8" t="s">
        <v>11</v>
      </c>
      <c r="M60" s="152"/>
      <c r="N60" s="8" t="s">
        <v>11</v>
      </c>
      <c r="O60" s="153">
        <f t="shared" si="2"/>
        <v>800</v>
      </c>
    </row>
    <row r="61" spans="1:15" x14ac:dyDescent="0.25">
      <c r="A61" s="4"/>
      <c r="B61" s="99"/>
      <c r="C61" s="13"/>
      <c r="D61" s="92"/>
      <c r="E61" s="151"/>
      <c r="F61" s="154"/>
      <c r="G61" s="152"/>
      <c r="H61" s="8"/>
      <c r="I61" s="152"/>
      <c r="J61" s="8"/>
      <c r="K61" s="152"/>
      <c r="L61" s="8"/>
      <c r="M61" s="152"/>
      <c r="N61" s="8"/>
      <c r="O61" s="153"/>
    </row>
    <row r="62" spans="1:15" x14ac:dyDescent="0.25">
      <c r="A62" s="4">
        <v>42440</v>
      </c>
      <c r="B62" s="99">
        <f t="shared" si="3"/>
        <v>42440</v>
      </c>
      <c r="C62" s="13">
        <v>-0.1</v>
      </c>
      <c r="D62" s="92">
        <v>0.33263888888888887</v>
      </c>
      <c r="E62" s="151"/>
      <c r="F62" s="154">
        <v>465.14378097802057</v>
      </c>
      <c r="G62" s="152"/>
      <c r="H62" s="8" t="s">
        <v>11</v>
      </c>
      <c r="I62" s="152"/>
      <c r="J62" s="8" t="s">
        <v>11</v>
      </c>
      <c r="K62" s="152"/>
      <c r="L62" s="8" t="s">
        <v>11</v>
      </c>
      <c r="M62" s="152"/>
      <c r="N62" s="8" t="s">
        <v>11</v>
      </c>
      <c r="O62" s="153">
        <f t="shared" si="2"/>
        <v>465.14378097802057</v>
      </c>
    </row>
    <row r="63" spans="1:15" x14ac:dyDescent="0.25">
      <c r="A63" s="4">
        <v>42441</v>
      </c>
      <c r="B63" s="99">
        <f t="shared" si="3"/>
        <v>42441</v>
      </c>
      <c r="C63" s="13">
        <v>-0.2</v>
      </c>
      <c r="D63" s="92">
        <v>0.36736111111111114</v>
      </c>
      <c r="E63" s="151"/>
      <c r="F63" s="154">
        <v>1855.4403784905703</v>
      </c>
      <c r="G63" s="152"/>
      <c r="H63" s="8" t="s">
        <v>11</v>
      </c>
      <c r="I63" s="152"/>
      <c r="J63" s="8" t="s">
        <v>11</v>
      </c>
      <c r="K63" s="152"/>
      <c r="L63" s="8" t="s">
        <v>11</v>
      </c>
      <c r="M63" s="152"/>
      <c r="N63" s="8" t="s">
        <v>11</v>
      </c>
      <c r="O63" s="153">
        <f t="shared" si="2"/>
        <v>1855.4403784905703</v>
      </c>
    </row>
    <row r="64" spans="1:15" x14ac:dyDescent="0.25">
      <c r="A64" s="4">
        <v>42442</v>
      </c>
      <c r="B64" s="99">
        <f t="shared" si="3"/>
        <v>42442</v>
      </c>
      <c r="C64" s="13">
        <v>0</v>
      </c>
      <c r="D64" s="92">
        <v>0.4465277777777778</v>
      </c>
      <c r="E64" s="151" t="s">
        <v>59</v>
      </c>
      <c r="F64" s="154">
        <v>0</v>
      </c>
      <c r="G64" s="152"/>
      <c r="H64" s="8" t="s">
        <v>11</v>
      </c>
      <c r="I64" s="152"/>
      <c r="J64" s="8" t="s">
        <v>11</v>
      </c>
      <c r="K64" s="152"/>
      <c r="L64" s="8" t="s">
        <v>11</v>
      </c>
      <c r="M64" s="152"/>
      <c r="N64" s="8" t="s">
        <v>11</v>
      </c>
      <c r="O64" s="153">
        <f t="shared" si="2"/>
        <v>0</v>
      </c>
    </row>
    <row r="65" spans="1:15" x14ac:dyDescent="0.25">
      <c r="A65" s="4">
        <v>42443</v>
      </c>
      <c r="B65" s="99">
        <f t="shared" si="3"/>
        <v>42443</v>
      </c>
      <c r="C65" s="13">
        <v>0.3</v>
      </c>
      <c r="D65" s="92">
        <v>0.48749999999999999</v>
      </c>
      <c r="E65" s="151" t="s">
        <v>58</v>
      </c>
      <c r="F65" s="154">
        <v>1000</v>
      </c>
      <c r="G65" s="152"/>
      <c r="H65" s="8" t="s">
        <v>11</v>
      </c>
      <c r="I65" s="152"/>
      <c r="J65" s="8" t="s">
        <v>11</v>
      </c>
      <c r="K65" s="152"/>
      <c r="L65" s="8" t="s">
        <v>11</v>
      </c>
      <c r="M65" s="152"/>
      <c r="N65" s="8" t="s">
        <v>11</v>
      </c>
      <c r="O65" s="153">
        <f t="shared" si="2"/>
        <v>1000</v>
      </c>
    </row>
    <row r="66" spans="1:15" x14ac:dyDescent="0.25">
      <c r="A66" s="4"/>
      <c r="B66" s="99"/>
      <c r="C66" s="13"/>
      <c r="D66" s="92"/>
      <c r="E66" s="151"/>
      <c r="F66" s="154"/>
      <c r="G66" s="152"/>
      <c r="H66" s="8"/>
      <c r="I66" s="152"/>
      <c r="J66" s="8"/>
      <c r="K66" s="152"/>
      <c r="L66" s="8"/>
      <c r="M66" s="152"/>
      <c r="N66" s="8"/>
      <c r="O66" s="153"/>
    </row>
    <row r="67" spans="1:15" x14ac:dyDescent="0.25">
      <c r="A67" s="4">
        <v>42444</v>
      </c>
      <c r="B67" s="99">
        <f t="shared" si="3"/>
        <v>42444</v>
      </c>
      <c r="C67" s="13">
        <v>0.6</v>
      </c>
      <c r="D67" s="92">
        <v>0.53402777777777777</v>
      </c>
      <c r="E67" s="151"/>
      <c r="F67" s="154">
        <v>146.18163638111719</v>
      </c>
      <c r="G67" s="152"/>
      <c r="H67" s="8" t="s">
        <v>11</v>
      </c>
      <c r="I67" s="152"/>
      <c r="J67" s="8" t="s">
        <v>11</v>
      </c>
      <c r="K67" s="152"/>
      <c r="L67" s="8" t="s">
        <v>11</v>
      </c>
      <c r="M67" s="152"/>
      <c r="N67" s="8" t="s">
        <v>11</v>
      </c>
      <c r="O67" s="153">
        <f t="shared" si="2"/>
        <v>146.18163638111719</v>
      </c>
    </row>
    <row r="68" spans="1:15" x14ac:dyDescent="0.25">
      <c r="A68" s="4">
        <v>42445</v>
      </c>
      <c r="B68" s="99">
        <f t="shared" si="3"/>
        <v>42445</v>
      </c>
      <c r="C68" s="13">
        <v>0.8</v>
      </c>
      <c r="D68" s="92">
        <v>0.58402777777777781</v>
      </c>
      <c r="E68" s="151"/>
      <c r="F68" s="154">
        <v>384.77695093420505</v>
      </c>
      <c r="G68" s="152"/>
      <c r="H68" s="8" t="s">
        <v>11</v>
      </c>
      <c r="I68" s="152"/>
      <c r="J68" s="8" t="s">
        <v>11</v>
      </c>
      <c r="K68" s="152"/>
      <c r="L68" s="8" t="s">
        <v>11</v>
      </c>
      <c r="M68" s="152"/>
      <c r="N68" s="8" t="s">
        <v>11</v>
      </c>
      <c r="O68" s="153">
        <f t="shared" si="2"/>
        <v>384.77695093420505</v>
      </c>
    </row>
    <row r="69" spans="1:15" x14ac:dyDescent="0.25">
      <c r="A69" s="4">
        <v>42446</v>
      </c>
      <c r="B69" s="99">
        <f t="shared" si="3"/>
        <v>42446</v>
      </c>
      <c r="C69" s="13">
        <v>0.8</v>
      </c>
      <c r="D69" s="92">
        <v>0.6333333333333333</v>
      </c>
      <c r="E69" s="151" t="s">
        <v>58</v>
      </c>
      <c r="F69" s="154">
        <v>400</v>
      </c>
      <c r="G69" s="152"/>
      <c r="H69" s="8" t="s">
        <v>11</v>
      </c>
      <c r="I69" s="152"/>
      <c r="J69" s="8" t="s">
        <v>11</v>
      </c>
      <c r="K69" s="152"/>
      <c r="L69" s="8" t="s">
        <v>11</v>
      </c>
      <c r="M69" s="152"/>
      <c r="N69" s="8" t="s">
        <v>11</v>
      </c>
      <c r="O69" s="153">
        <f t="shared" si="2"/>
        <v>400</v>
      </c>
    </row>
    <row r="70" spans="1:15" x14ac:dyDescent="0.25">
      <c r="A70" s="4">
        <v>42447</v>
      </c>
      <c r="B70" s="99">
        <f t="shared" si="3"/>
        <v>42447</v>
      </c>
      <c r="C70" s="13">
        <v>0.7</v>
      </c>
      <c r="D70" s="92">
        <v>0.67708333333333337</v>
      </c>
      <c r="E70" s="151"/>
      <c r="F70" s="154">
        <v>785.01948019587769</v>
      </c>
      <c r="G70" s="152"/>
      <c r="H70" s="8" t="s">
        <v>11</v>
      </c>
      <c r="I70" s="152"/>
      <c r="J70" s="8">
        <v>3152.6802724301533</v>
      </c>
      <c r="K70" s="152"/>
      <c r="L70" s="8">
        <v>1390.722262646967</v>
      </c>
      <c r="M70" s="152"/>
      <c r="N70" s="8" t="s">
        <v>11</v>
      </c>
      <c r="O70" s="153">
        <f>+F70+J70+L70</f>
        <v>5328.4220152729977</v>
      </c>
    </row>
    <row r="71" spans="1:15" x14ac:dyDescent="0.25">
      <c r="A71" s="4">
        <v>42448</v>
      </c>
      <c r="B71" s="99">
        <f t="shared" si="3"/>
        <v>42448</v>
      </c>
      <c r="C71" s="13">
        <v>0.5</v>
      </c>
      <c r="D71" s="92">
        <v>0.71319444444444446</v>
      </c>
      <c r="E71" s="151"/>
      <c r="F71" s="154">
        <v>1227.8072742095014</v>
      </c>
      <c r="G71" s="152"/>
      <c r="H71" s="8" t="s">
        <v>11</v>
      </c>
      <c r="I71" s="152"/>
      <c r="J71" s="8">
        <v>3556.6748971193415</v>
      </c>
      <c r="K71" s="152"/>
      <c r="L71" s="8">
        <v>3124.4271496091915</v>
      </c>
      <c r="M71" s="152"/>
      <c r="N71" s="8" t="s">
        <v>11</v>
      </c>
      <c r="O71" s="153">
        <f t="shared" ref="O71:O72" si="4">+F71+J71+L71</f>
        <v>7908.9093209380344</v>
      </c>
    </row>
    <row r="72" spans="1:15" x14ac:dyDescent="0.25">
      <c r="A72" s="4">
        <v>42449</v>
      </c>
      <c r="B72" s="99">
        <f t="shared" si="3"/>
        <v>42449</v>
      </c>
      <c r="C72" s="13">
        <v>0.4</v>
      </c>
      <c r="D72" s="92">
        <v>0.74305555555555558</v>
      </c>
      <c r="E72" s="151" t="s">
        <v>56</v>
      </c>
      <c r="F72" s="154">
        <f>+(J72+L72)*(F71+F70)/(J70+J71+L70+L71)</f>
        <v>651.23352736366553</v>
      </c>
      <c r="G72" s="152"/>
      <c r="H72" s="8" t="s">
        <v>11</v>
      </c>
      <c r="I72" s="152"/>
      <c r="J72" s="8">
        <v>2388.5617955786288</v>
      </c>
      <c r="K72" s="152"/>
      <c r="L72" s="8">
        <v>1243.0342648971982</v>
      </c>
      <c r="M72" s="152"/>
      <c r="N72" s="8" t="s">
        <v>11</v>
      </c>
      <c r="O72" s="153">
        <f t="shared" si="4"/>
        <v>4282.8295878394929</v>
      </c>
    </row>
    <row r="73" spans="1:15" x14ac:dyDescent="0.25">
      <c r="A73" s="4">
        <v>42450</v>
      </c>
      <c r="B73" s="99">
        <f t="shared" si="3"/>
        <v>42450</v>
      </c>
      <c r="C73" s="13">
        <v>0.5</v>
      </c>
      <c r="D73" s="92">
        <v>0.76944444444444449</v>
      </c>
      <c r="E73" s="151" t="s">
        <v>58</v>
      </c>
      <c r="F73" s="154">
        <v>1100</v>
      </c>
      <c r="G73" s="152"/>
      <c r="H73" s="8" t="s">
        <v>11</v>
      </c>
      <c r="I73" s="152"/>
      <c r="J73" s="8" t="s">
        <v>11</v>
      </c>
      <c r="K73" s="152"/>
      <c r="L73" s="8" t="s">
        <v>11</v>
      </c>
      <c r="M73" s="152"/>
      <c r="N73" s="8" t="s">
        <v>11</v>
      </c>
      <c r="O73" s="153">
        <f t="shared" si="2"/>
        <v>1100</v>
      </c>
    </row>
    <row r="74" spans="1:15" x14ac:dyDescent="0.25">
      <c r="A74" s="4">
        <v>42451</v>
      </c>
      <c r="B74" s="99">
        <f t="shared" si="3"/>
        <v>42451</v>
      </c>
      <c r="C74" s="13">
        <v>0.6</v>
      </c>
      <c r="D74" s="92">
        <v>0.79305555555555551</v>
      </c>
      <c r="E74" s="151" t="s">
        <v>58</v>
      </c>
      <c r="F74" s="154">
        <v>1100</v>
      </c>
      <c r="G74" s="152"/>
      <c r="H74" s="8" t="s">
        <v>11</v>
      </c>
      <c r="I74" s="152"/>
      <c r="J74" s="8" t="s">
        <v>11</v>
      </c>
      <c r="K74" s="152"/>
      <c r="L74" s="8" t="s">
        <v>11</v>
      </c>
      <c r="M74" s="152"/>
      <c r="N74" s="8" t="s">
        <v>11</v>
      </c>
      <c r="O74" s="153">
        <f t="shared" si="2"/>
        <v>1100</v>
      </c>
    </row>
    <row r="75" spans="1:15" x14ac:dyDescent="0.25">
      <c r="A75" s="4">
        <v>42452</v>
      </c>
      <c r="B75" s="99">
        <f t="shared" si="3"/>
        <v>42452</v>
      </c>
      <c r="C75" s="13">
        <v>0.8</v>
      </c>
      <c r="D75" s="92">
        <v>0.81527777777777777</v>
      </c>
      <c r="E75" s="151" t="s">
        <v>58</v>
      </c>
      <c r="F75" s="154">
        <v>1100</v>
      </c>
      <c r="G75" s="152"/>
      <c r="H75" s="8" t="s">
        <v>11</v>
      </c>
      <c r="I75" s="152"/>
      <c r="J75" s="8" t="s">
        <v>11</v>
      </c>
      <c r="K75" s="152"/>
      <c r="L75" s="8" t="s">
        <v>11</v>
      </c>
      <c r="M75" s="152"/>
      <c r="N75" s="8" t="s">
        <v>11</v>
      </c>
      <c r="O75" s="153">
        <f t="shared" si="2"/>
        <v>1100</v>
      </c>
    </row>
    <row r="76" spans="1:15" x14ac:dyDescent="0.25">
      <c r="A76" s="4"/>
      <c r="B76" s="99"/>
      <c r="C76" s="13"/>
      <c r="D76" s="92"/>
      <c r="E76" s="151"/>
      <c r="F76" s="154"/>
      <c r="G76" s="152"/>
      <c r="H76" s="8"/>
      <c r="I76" s="152"/>
      <c r="J76" s="8"/>
      <c r="K76" s="152"/>
      <c r="L76" s="8"/>
      <c r="M76" s="152"/>
      <c r="N76" s="8"/>
      <c r="O76" s="153"/>
    </row>
    <row r="77" spans="1:15" x14ac:dyDescent="0.25">
      <c r="A77" s="179">
        <v>42453</v>
      </c>
      <c r="B77" s="99">
        <f t="shared" si="3"/>
        <v>42453</v>
      </c>
      <c r="C77" s="180">
        <v>0.8</v>
      </c>
      <c r="D77" s="178">
        <v>0.33124999999999999</v>
      </c>
      <c r="E77" s="151"/>
      <c r="F77" s="154">
        <v>263.47102280072738</v>
      </c>
      <c r="G77" s="152"/>
      <c r="H77" s="8" t="s">
        <v>11</v>
      </c>
      <c r="I77" s="152"/>
      <c r="J77" s="8" t="s">
        <v>11</v>
      </c>
      <c r="K77" s="152"/>
      <c r="L77" s="8" t="s">
        <v>11</v>
      </c>
      <c r="M77" s="152"/>
      <c r="N77" s="8" t="s">
        <v>11</v>
      </c>
      <c r="O77" s="153">
        <f t="shared" si="2"/>
        <v>263.47102280072738</v>
      </c>
    </row>
    <row r="78" spans="1:15" x14ac:dyDescent="0.25">
      <c r="A78" s="179">
        <v>42454</v>
      </c>
      <c r="B78" s="99">
        <f t="shared" si="3"/>
        <v>42454</v>
      </c>
      <c r="C78" s="180">
        <v>0.7</v>
      </c>
      <c r="D78" s="178">
        <v>0.35486111111111113</v>
      </c>
      <c r="E78" s="151"/>
      <c r="F78" s="154">
        <v>715.62129418778215</v>
      </c>
      <c r="G78" s="152"/>
      <c r="H78" s="8" t="s">
        <v>11</v>
      </c>
      <c r="I78" s="152"/>
      <c r="J78" s="8" t="s">
        <v>11</v>
      </c>
      <c r="K78" s="152"/>
      <c r="L78" s="8">
        <v>1292.8784110283361</v>
      </c>
      <c r="M78" s="152"/>
      <c r="N78" s="8" t="s">
        <v>11</v>
      </c>
      <c r="O78" s="153">
        <f t="shared" si="2"/>
        <v>715.62129418778215</v>
      </c>
    </row>
    <row r="79" spans="1:15" x14ac:dyDescent="0.25">
      <c r="A79" s="179">
        <v>42455</v>
      </c>
      <c r="B79" s="99">
        <f t="shared" si="3"/>
        <v>42455</v>
      </c>
      <c r="C79" s="180">
        <v>0.6</v>
      </c>
      <c r="D79" s="178">
        <v>0.37916666666666665</v>
      </c>
      <c r="E79" s="151" t="s">
        <v>56</v>
      </c>
      <c r="F79" s="154">
        <f>+L79*F78/L78</f>
        <v>2749.8579292693521</v>
      </c>
      <c r="G79" s="152"/>
      <c r="H79" s="8" t="s">
        <v>11</v>
      </c>
      <c r="I79" s="152"/>
      <c r="J79" s="8" t="s">
        <v>11</v>
      </c>
      <c r="K79" s="152"/>
      <c r="L79" s="8">
        <v>4968.0354386080107</v>
      </c>
      <c r="M79" s="152"/>
      <c r="N79" s="8" t="s">
        <v>11</v>
      </c>
      <c r="O79" s="153">
        <f t="shared" si="2"/>
        <v>2749.8579292693521</v>
      </c>
    </row>
    <row r="80" spans="1:15" x14ac:dyDescent="0.25">
      <c r="A80" s="179">
        <v>42456</v>
      </c>
      <c r="B80" s="99">
        <f t="shared" si="3"/>
        <v>42456</v>
      </c>
      <c r="C80" s="180">
        <v>0.7</v>
      </c>
      <c r="D80" s="178">
        <v>0.40416666666666667</v>
      </c>
      <c r="E80" s="151" t="s">
        <v>56</v>
      </c>
      <c r="F80" s="154">
        <f>+L80*F78/L78</f>
        <v>1926.8214973021254</v>
      </c>
      <c r="G80" s="152"/>
      <c r="H80" s="8" t="s">
        <v>11</v>
      </c>
      <c r="I80" s="152"/>
      <c r="J80" s="8" t="s">
        <v>11</v>
      </c>
      <c r="K80" s="152"/>
      <c r="L80" s="8">
        <v>3481.0952888072161</v>
      </c>
      <c r="M80" s="152"/>
      <c r="N80" s="8" t="s">
        <v>11</v>
      </c>
      <c r="O80" s="153">
        <f t="shared" si="2"/>
        <v>1926.8214973021254</v>
      </c>
    </row>
    <row r="81" spans="1:15" x14ac:dyDescent="0.25">
      <c r="A81" s="179">
        <v>42457</v>
      </c>
      <c r="B81" s="99">
        <f t="shared" si="3"/>
        <v>42457</v>
      </c>
      <c r="C81" s="180">
        <v>0.8</v>
      </c>
      <c r="D81" s="178">
        <v>0.43125000000000002</v>
      </c>
      <c r="E81" s="151" t="s">
        <v>58</v>
      </c>
      <c r="F81" s="154">
        <v>1900</v>
      </c>
      <c r="G81" s="152"/>
      <c r="H81" s="8" t="s">
        <v>11</v>
      </c>
      <c r="I81" s="152"/>
      <c r="J81" s="8" t="s">
        <v>11</v>
      </c>
      <c r="K81" s="152"/>
      <c r="L81" s="8" t="s">
        <v>11</v>
      </c>
      <c r="M81" s="152"/>
      <c r="N81" s="8" t="s">
        <v>11</v>
      </c>
      <c r="O81" s="153">
        <f t="shared" si="2"/>
        <v>1900</v>
      </c>
    </row>
    <row r="82" spans="1:15" x14ac:dyDescent="0.25">
      <c r="A82" s="179">
        <v>42458</v>
      </c>
      <c r="B82" s="99">
        <f t="shared" si="3"/>
        <v>42458</v>
      </c>
      <c r="C82" s="180">
        <v>1</v>
      </c>
      <c r="D82" s="178">
        <v>0.46250000000000002</v>
      </c>
      <c r="E82" s="151" t="s">
        <v>58</v>
      </c>
      <c r="F82" s="154">
        <v>900</v>
      </c>
      <c r="G82" s="152"/>
      <c r="H82" s="8" t="s">
        <v>11</v>
      </c>
      <c r="I82" s="152"/>
      <c r="J82" s="8" t="s">
        <v>11</v>
      </c>
      <c r="K82" s="152"/>
      <c r="L82" s="8" t="s">
        <v>11</v>
      </c>
      <c r="M82" s="152"/>
      <c r="N82" s="8" t="s">
        <v>11</v>
      </c>
      <c r="O82" s="153">
        <f t="shared" si="2"/>
        <v>900</v>
      </c>
    </row>
    <row r="83" spans="1:15" x14ac:dyDescent="0.25">
      <c r="A83" s="179">
        <v>42459</v>
      </c>
      <c r="B83" s="99">
        <f t="shared" si="3"/>
        <v>42459</v>
      </c>
      <c r="C83" s="180">
        <v>1.2</v>
      </c>
      <c r="D83" s="178">
        <v>0.5</v>
      </c>
      <c r="E83" s="151"/>
      <c r="F83" s="154">
        <v>416.64172891079352</v>
      </c>
      <c r="G83" s="152"/>
      <c r="H83" s="8" t="s">
        <v>11</v>
      </c>
      <c r="I83" s="152"/>
      <c r="J83" s="8" t="s">
        <v>11</v>
      </c>
      <c r="K83" s="152"/>
      <c r="L83" s="8" t="s">
        <v>11</v>
      </c>
      <c r="M83" s="152"/>
      <c r="N83" s="8" t="s">
        <v>11</v>
      </c>
      <c r="O83" s="153">
        <f t="shared" si="2"/>
        <v>416.64172891079352</v>
      </c>
    </row>
    <row r="84" spans="1:15" x14ac:dyDescent="0.25">
      <c r="A84" s="179">
        <v>42460</v>
      </c>
      <c r="B84" s="99">
        <f t="shared" si="3"/>
        <v>42460</v>
      </c>
      <c r="C84" s="180">
        <v>1.2</v>
      </c>
      <c r="D84" s="178">
        <v>0.54305555555555551</v>
      </c>
      <c r="E84" s="151"/>
      <c r="F84" s="154">
        <v>400</v>
      </c>
      <c r="G84" s="152"/>
      <c r="H84" s="8" t="s">
        <v>11</v>
      </c>
      <c r="I84" s="152"/>
      <c r="J84" s="8" t="s">
        <v>11</v>
      </c>
      <c r="K84" s="152"/>
      <c r="L84" s="8" t="s">
        <v>11</v>
      </c>
      <c r="M84" s="152"/>
      <c r="N84" s="8" t="s">
        <v>11</v>
      </c>
      <c r="O84" s="153">
        <f t="shared" si="2"/>
        <v>400</v>
      </c>
    </row>
    <row r="85" spans="1:15" x14ac:dyDescent="0.25">
      <c r="A85" s="4"/>
      <c r="B85" s="99"/>
      <c r="C85" s="13"/>
      <c r="D85" s="92"/>
      <c r="E85" s="151"/>
      <c r="F85" s="154"/>
      <c r="G85" s="152"/>
      <c r="H85" s="154"/>
      <c r="I85" s="152"/>
      <c r="J85" s="156"/>
      <c r="K85" s="152"/>
      <c r="L85" s="156"/>
      <c r="M85" s="152"/>
      <c r="N85" s="156"/>
      <c r="O85" s="158"/>
    </row>
    <row r="86" spans="1:15" x14ac:dyDescent="0.25">
      <c r="A86" s="4">
        <v>42463</v>
      </c>
      <c r="B86" s="99">
        <f t="shared" ref="B86:B95" si="5">+A86</f>
        <v>42463</v>
      </c>
      <c r="C86" s="13">
        <v>0.5</v>
      </c>
      <c r="D86" s="92">
        <v>0.67569444444444438</v>
      </c>
      <c r="E86" s="151"/>
      <c r="F86" s="154">
        <v>2212.0061482802175</v>
      </c>
      <c r="G86" s="152"/>
      <c r="H86" s="8" t="s">
        <v>11</v>
      </c>
      <c r="I86" s="152"/>
      <c r="J86" s="8" t="s">
        <v>11</v>
      </c>
      <c r="K86" s="152"/>
      <c r="L86" s="8" t="s">
        <v>11</v>
      </c>
      <c r="M86" s="152"/>
      <c r="N86" s="8" t="s">
        <v>11</v>
      </c>
      <c r="O86" s="158">
        <f t="shared" ref="O86:O95" si="6">+F86</f>
        <v>2212.0061482802175</v>
      </c>
    </row>
    <row r="87" spans="1:15" x14ac:dyDescent="0.25">
      <c r="A87" s="4">
        <v>42464</v>
      </c>
      <c r="B87" s="99">
        <f t="shared" si="5"/>
        <v>42464</v>
      </c>
      <c r="C87" s="13">
        <v>0.1</v>
      </c>
      <c r="D87" s="92">
        <v>0.71111111111111114</v>
      </c>
      <c r="E87" s="151"/>
      <c r="F87" s="154">
        <v>2200</v>
      </c>
      <c r="G87" s="152"/>
      <c r="H87" s="8" t="s">
        <v>11</v>
      </c>
      <c r="I87" s="152"/>
      <c r="J87" s="8" t="s">
        <v>11</v>
      </c>
      <c r="K87" s="152"/>
      <c r="L87" s="8" t="s">
        <v>11</v>
      </c>
      <c r="M87" s="152"/>
      <c r="N87" s="8" t="s">
        <v>11</v>
      </c>
      <c r="O87" s="158">
        <f t="shared" si="6"/>
        <v>2200</v>
      </c>
    </row>
    <row r="88" spans="1:15" x14ac:dyDescent="0.25">
      <c r="A88" s="4">
        <v>42465</v>
      </c>
      <c r="B88" s="99">
        <f t="shared" si="5"/>
        <v>42465</v>
      </c>
      <c r="C88" s="13">
        <v>0</v>
      </c>
      <c r="D88" s="92">
        <v>0.74375000000000002</v>
      </c>
      <c r="E88" s="151"/>
      <c r="F88" s="154">
        <v>1138.0248371941098</v>
      </c>
      <c r="G88" s="152"/>
      <c r="H88" s="8" t="s">
        <v>11</v>
      </c>
      <c r="I88" s="152"/>
      <c r="J88" s="8" t="s">
        <v>11</v>
      </c>
      <c r="K88" s="152"/>
      <c r="L88" s="8" t="s">
        <v>11</v>
      </c>
      <c r="M88" s="152"/>
      <c r="N88" s="8" t="s">
        <v>11</v>
      </c>
      <c r="O88" s="158">
        <f t="shared" si="6"/>
        <v>1138.0248371941098</v>
      </c>
    </row>
    <row r="89" spans="1:15" x14ac:dyDescent="0.25">
      <c r="A89" s="4">
        <v>42466</v>
      </c>
      <c r="B89" s="99">
        <f t="shared" si="5"/>
        <v>42466</v>
      </c>
      <c r="C89" s="13">
        <v>0</v>
      </c>
      <c r="D89" s="92">
        <v>0.77500000000000002</v>
      </c>
      <c r="E89" s="151"/>
      <c r="F89" s="154">
        <v>2312.0606659675736</v>
      </c>
      <c r="G89" s="152"/>
      <c r="H89" s="8" t="s">
        <v>11</v>
      </c>
      <c r="I89" s="152"/>
      <c r="J89" s="8" t="s">
        <v>11</v>
      </c>
      <c r="K89" s="152"/>
      <c r="L89" s="8" t="s">
        <v>11</v>
      </c>
      <c r="M89" s="152"/>
      <c r="N89" s="8" t="s">
        <v>11</v>
      </c>
      <c r="O89" s="158">
        <f t="shared" si="6"/>
        <v>2312.0606659675736</v>
      </c>
    </row>
    <row r="90" spans="1:15" x14ac:dyDescent="0.25">
      <c r="A90" s="4">
        <v>42467</v>
      </c>
      <c r="B90" s="99">
        <f t="shared" si="5"/>
        <v>42467</v>
      </c>
      <c r="C90" s="13">
        <v>-0.6</v>
      </c>
      <c r="D90" s="92">
        <v>0.29652777777777778</v>
      </c>
      <c r="E90" s="151"/>
      <c r="F90" s="154">
        <v>1554.1569876920976</v>
      </c>
      <c r="G90" s="152"/>
      <c r="H90" s="8" t="s">
        <v>11</v>
      </c>
      <c r="I90" s="152"/>
      <c r="J90" s="8">
        <v>1222.4801085435254</v>
      </c>
      <c r="K90" s="152"/>
      <c r="L90" s="8">
        <v>871.30696959476609</v>
      </c>
      <c r="M90" s="152"/>
      <c r="N90" s="8" t="s">
        <v>11</v>
      </c>
      <c r="O90" s="158">
        <f>+F90+J90+L90</f>
        <v>3647.9440658303893</v>
      </c>
    </row>
    <row r="91" spans="1:15" x14ac:dyDescent="0.25">
      <c r="A91" s="4">
        <v>42468</v>
      </c>
      <c r="B91" s="99">
        <f t="shared" si="5"/>
        <v>42468</v>
      </c>
      <c r="C91" s="13">
        <v>-1.1000000000000001</v>
      </c>
      <c r="D91" s="92">
        <v>0.32916666666666666</v>
      </c>
      <c r="E91" s="151"/>
      <c r="F91" s="154">
        <v>5194.6286818001472</v>
      </c>
      <c r="G91" s="152"/>
      <c r="H91" s="8" t="s">
        <v>11</v>
      </c>
      <c r="I91" s="152"/>
      <c r="J91" s="8">
        <v>2975.1365080184687</v>
      </c>
      <c r="K91" s="152"/>
      <c r="L91" s="8">
        <v>1517.8987546025592</v>
      </c>
      <c r="M91" s="152"/>
      <c r="N91" s="8" t="s">
        <v>11</v>
      </c>
      <c r="O91" s="158">
        <f>+F91+J91+L91</f>
        <v>9687.663944421176</v>
      </c>
    </row>
    <row r="92" spans="1:15" x14ac:dyDescent="0.25">
      <c r="A92" s="4">
        <v>42469</v>
      </c>
      <c r="B92" s="99">
        <f t="shared" si="5"/>
        <v>42469</v>
      </c>
      <c r="C92" s="13">
        <v>-1.3</v>
      </c>
      <c r="D92" s="92">
        <v>0.36249999999999999</v>
      </c>
      <c r="E92" s="151"/>
      <c r="F92" s="154">
        <v>12291.348166916514</v>
      </c>
      <c r="G92" s="152"/>
      <c r="H92" s="8" t="s">
        <v>11</v>
      </c>
      <c r="I92" s="152"/>
      <c r="J92" s="8">
        <v>6892.9022086673294</v>
      </c>
      <c r="K92" s="152"/>
      <c r="L92" s="8" t="s">
        <v>11</v>
      </c>
      <c r="M92" s="152"/>
      <c r="N92" s="8" t="s">
        <v>11</v>
      </c>
      <c r="O92" s="158">
        <f>+F92+J92</f>
        <v>19184.250375583844</v>
      </c>
    </row>
    <row r="93" spans="1:15" x14ac:dyDescent="0.25">
      <c r="A93" s="4">
        <v>42470</v>
      </c>
      <c r="B93" s="99">
        <f t="shared" si="5"/>
        <v>42470</v>
      </c>
      <c r="C93" s="13">
        <v>-1.2</v>
      </c>
      <c r="D93" s="92">
        <v>0.3972222222222222</v>
      </c>
      <c r="E93" s="151" t="s">
        <v>58</v>
      </c>
      <c r="F93" s="154">
        <v>12300</v>
      </c>
      <c r="G93" s="152"/>
      <c r="H93" s="8" t="s">
        <v>11</v>
      </c>
      <c r="I93" s="152"/>
      <c r="J93" s="8" t="s">
        <v>11</v>
      </c>
      <c r="K93" s="152"/>
      <c r="L93" s="8">
        <v>6262.1848237639924</v>
      </c>
      <c r="M93" s="152"/>
      <c r="N93" s="8" t="s">
        <v>11</v>
      </c>
      <c r="O93" s="158">
        <f>+F93+L93</f>
        <v>18562.184823763993</v>
      </c>
    </row>
    <row r="94" spans="1:15" x14ac:dyDescent="0.25">
      <c r="A94" s="4">
        <v>42471</v>
      </c>
      <c r="B94" s="99">
        <f t="shared" si="5"/>
        <v>42471</v>
      </c>
      <c r="C94" s="13">
        <v>-0.9</v>
      </c>
      <c r="D94" s="92">
        <v>0.43263888888888885</v>
      </c>
      <c r="E94" s="151"/>
      <c r="F94" s="154">
        <v>1888.5995320962727</v>
      </c>
      <c r="G94" s="152"/>
      <c r="H94" s="8" t="s">
        <v>11</v>
      </c>
      <c r="I94" s="152"/>
      <c r="J94" s="8" t="s">
        <v>11</v>
      </c>
      <c r="K94" s="152"/>
      <c r="L94" s="8" t="s">
        <v>11</v>
      </c>
      <c r="M94" s="152"/>
      <c r="N94" s="8" t="s">
        <v>11</v>
      </c>
      <c r="O94" s="158">
        <f t="shared" si="6"/>
        <v>1888.5995320962727</v>
      </c>
    </row>
    <row r="95" spans="1:15" x14ac:dyDescent="0.25">
      <c r="A95" s="4">
        <v>42472</v>
      </c>
      <c r="B95" s="99">
        <f t="shared" si="5"/>
        <v>42472</v>
      </c>
      <c r="C95" s="13">
        <v>-0.4</v>
      </c>
      <c r="D95" s="92">
        <v>0.47152777777777777</v>
      </c>
      <c r="E95" s="151"/>
      <c r="F95" s="154">
        <v>897.25280261513308</v>
      </c>
      <c r="G95" s="152"/>
      <c r="H95" s="8" t="s">
        <v>11</v>
      </c>
      <c r="I95" s="152"/>
      <c r="J95" s="8" t="s">
        <v>11</v>
      </c>
      <c r="K95" s="152"/>
      <c r="L95" s="8" t="s">
        <v>11</v>
      </c>
      <c r="M95" s="152"/>
      <c r="N95" s="8" t="s">
        <v>11</v>
      </c>
      <c r="O95" s="158">
        <f t="shared" si="6"/>
        <v>897.25280261513308</v>
      </c>
    </row>
    <row r="96" spans="1:15" x14ac:dyDescent="0.25">
      <c r="A96" s="4"/>
      <c r="B96" s="99"/>
      <c r="C96" s="13"/>
      <c r="D96" s="92"/>
      <c r="E96" s="151"/>
      <c r="F96" s="154"/>
      <c r="G96" s="152"/>
      <c r="H96" s="154"/>
      <c r="I96" s="152"/>
      <c r="J96" s="156"/>
      <c r="K96" s="152"/>
      <c r="L96" s="156"/>
      <c r="M96" s="152"/>
      <c r="N96" s="156"/>
      <c r="O96" s="158"/>
    </row>
    <row r="97" spans="1:15" x14ac:dyDescent="0.25">
      <c r="A97" s="4">
        <v>42480</v>
      </c>
      <c r="B97" s="99">
        <f t="shared" ref="B97:B105" si="7">+A97</f>
        <v>42480</v>
      </c>
      <c r="C97" s="13">
        <v>0.6</v>
      </c>
      <c r="D97" s="92">
        <v>0.2673611111111111</v>
      </c>
      <c r="E97" s="151"/>
      <c r="F97" s="154">
        <v>381.41645354613337</v>
      </c>
      <c r="G97" s="152"/>
      <c r="H97" s="8" t="s">
        <v>11</v>
      </c>
      <c r="I97" s="152"/>
      <c r="J97" s="8" t="s">
        <v>11</v>
      </c>
      <c r="K97" s="152"/>
      <c r="L97" s="8" t="s">
        <v>11</v>
      </c>
      <c r="M97" s="152"/>
      <c r="N97" s="8" t="s">
        <v>11</v>
      </c>
      <c r="O97" s="158">
        <f>+F97</f>
        <v>381.41645354613337</v>
      </c>
    </row>
    <row r="98" spans="1:15" x14ac:dyDescent="0.25">
      <c r="A98" s="4">
        <v>42481</v>
      </c>
      <c r="B98" s="99">
        <f t="shared" si="7"/>
        <v>42481</v>
      </c>
      <c r="C98" s="13">
        <v>0.2</v>
      </c>
      <c r="D98" s="92">
        <v>0.29236111111111113</v>
      </c>
      <c r="E98" s="151"/>
      <c r="F98" s="154">
        <v>510.79560298689228</v>
      </c>
      <c r="G98" s="152"/>
      <c r="H98" s="8" t="s">
        <v>11</v>
      </c>
      <c r="I98" s="152"/>
      <c r="J98" s="8" t="s">
        <v>11</v>
      </c>
      <c r="K98" s="152"/>
      <c r="L98" s="8" t="s">
        <v>11</v>
      </c>
      <c r="M98" s="152"/>
      <c r="N98" s="8" t="s">
        <v>11</v>
      </c>
      <c r="O98" s="158">
        <f t="shared" ref="O98:O105" si="8">+F98</f>
        <v>510.79560298689228</v>
      </c>
    </row>
    <row r="99" spans="1:15" x14ac:dyDescent="0.25">
      <c r="A99" s="4">
        <v>42482</v>
      </c>
      <c r="B99" s="99">
        <f t="shared" si="7"/>
        <v>42482</v>
      </c>
      <c r="C99" s="13">
        <v>0</v>
      </c>
      <c r="D99" s="92">
        <v>0.31597222222222221</v>
      </c>
      <c r="E99" s="151"/>
      <c r="F99" s="154">
        <v>1189.6160753773675</v>
      </c>
      <c r="G99" s="152"/>
      <c r="H99" s="8" t="s">
        <v>11</v>
      </c>
      <c r="I99" s="152"/>
      <c r="J99" s="8" t="s">
        <v>11</v>
      </c>
      <c r="K99" s="152"/>
      <c r="L99" s="8" t="s">
        <v>11</v>
      </c>
      <c r="M99" s="152"/>
      <c r="N99" s="8" t="s">
        <v>11</v>
      </c>
      <c r="O99" s="158">
        <f t="shared" si="8"/>
        <v>1189.6160753773675</v>
      </c>
    </row>
    <row r="100" spans="1:15" x14ac:dyDescent="0.25">
      <c r="A100" s="4">
        <v>42483</v>
      </c>
      <c r="B100" s="99">
        <f t="shared" si="7"/>
        <v>42483</v>
      </c>
      <c r="C100" s="13">
        <v>-0.2</v>
      </c>
      <c r="D100" s="92">
        <v>0.33888888888888885</v>
      </c>
      <c r="E100" s="151"/>
      <c r="F100" s="154">
        <v>4494.6652565458453</v>
      </c>
      <c r="G100" s="152"/>
      <c r="H100" s="8" t="s">
        <v>11</v>
      </c>
      <c r="I100" s="152"/>
      <c r="J100" s="8" t="s">
        <v>11</v>
      </c>
      <c r="K100" s="152"/>
      <c r="L100" s="8">
        <v>4007.8539281995177</v>
      </c>
      <c r="M100" s="152"/>
      <c r="N100" s="8" t="s">
        <v>11</v>
      </c>
      <c r="O100" s="158">
        <f>+F100+L100</f>
        <v>8502.5191847453625</v>
      </c>
    </row>
    <row r="101" spans="1:15" x14ac:dyDescent="0.25">
      <c r="A101" s="4">
        <v>42484</v>
      </c>
      <c r="B101" s="99">
        <f t="shared" si="7"/>
        <v>42484</v>
      </c>
      <c r="C101" s="13">
        <v>-0.2</v>
      </c>
      <c r="D101" s="92">
        <v>0.36249999999999999</v>
      </c>
      <c r="E101" s="151"/>
      <c r="F101" s="154">
        <v>3624.2964330352847</v>
      </c>
      <c r="G101" s="152"/>
      <c r="H101" s="8" t="s">
        <v>11</v>
      </c>
      <c r="I101" s="152"/>
      <c r="J101" s="8" t="s">
        <v>11</v>
      </c>
      <c r="K101" s="152"/>
      <c r="L101" s="8" t="s">
        <v>11</v>
      </c>
      <c r="M101" s="152"/>
      <c r="N101" s="8" t="s">
        <v>11</v>
      </c>
      <c r="O101" s="158">
        <f t="shared" si="8"/>
        <v>3624.2964330352847</v>
      </c>
    </row>
    <row r="102" spans="1:15" x14ac:dyDescent="0.25">
      <c r="A102" s="4">
        <v>42485</v>
      </c>
      <c r="B102" s="99">
        <f t="shared" si="7"/>
        <v>42485</v>
      </c>
      <c r="C102" s="13">
        <v>-0.2</v>
      </c>
      <c r="D102" s="92">
        <v>0.38750000000000001</v>
      </c>
      <c r="E102" s="151"/>
      <c r="F102" s="154">
        <v>1581.1140210877161</v>
      </c>
      <c r="G102" s="152"/>
      <c r="H102" s="8" t="s">
        <v>11</v>
      </c>
      <c r="I102" s="152"/>
      <c r="J102" s="8">
        <v>1346.5155921576281</v>
      </c>
      <c r="K102" s="152"/>
      <c r="L102" s="8">
        <v>1555.6668499278198</v>
      </c>
      <c r="M102" s="152"/>
      <c r="N102" s="8" t="s">
        <v>11</v>
      </c>
      <c r="O102" s="158">
        <f>+F102+J102+L102</f>
        <v>4483.2964631731647</v>
      </c>
    </row>
    <row r="103" spans="1:15" x14ac:dyDescent="0.25">
      <c r="A103" s="4">
        <v>42486</v>
      </c>
      <c r="B103" s="99">
        <f t="shared" si="7"/>
        <v>42486</v>
      </c>
      <c r="C103" s="13">
        <v>-0.1</v>
      </c>
      <c r="D103" s="92">
        <v>0.41388888888888892</v>
      </c>
      <c r="E103" s="151"/>
      <c r="F103" s="154">
        <v>959.02665166056795</v>
      </c>
      <c r="G103" s="152"/>
      <c r="H103" s="8" t="s">
        <v>11</v>
      </c>
      <c r="I103" s="152"/>
      <c r="J103" s="8">
        <v>1060.97009494739</v>
      </c>
      <c r="K103" s="152"/>
      <c r="L103" s="8">
        <v>1407.1106807823521</v>
      </c>
      <c r="M103" s="152"/>
      <c r="N103" s="8" t="s">
        <v>11</v>
      </c>
      <c r="O103" s="158">
        <f>+F103+J103+L103</f>
        <v>3427.10742739031</v>
      </c>
    </row>
    <row r="104" spans="1:15" x14ac:dyDescent="0.25">
      <c r="A104" s="4">
        <v>42487</v>
      </c>
      <c r="B104" s="99">
        <f t="shared" si="7"/>
        <v>42487</v>
      </c>
      <c r="C104" s="13">
        <v>0.1</v>
      </c>
      <c r="D104" s="92">
        <v>0.44375000000000003</v>
      </c>
      <c r="E104" s="151"/>
      <c r="F104" s="154">
        <v>1098.8826458994329</v>
      </c>
      <c r="G104" s="152"/>
      <c r="H104" s="8" t="s">
        <v>11</v>
      </c>
      <c r="I104" s="152"/>
      <c r="J104" s="8" t="s">
        <v>11</v>
      </c>
      <c r="K104" s="152"/>
      <c r="L104" s="8" t="s">
        <v>11</v>
      </c>
      <c r="M104" s="152"/>
      <c r="N104" s="8" t="s">
        <v>11</v>
      </c>
      <c r="O104" s="158">
        <f>+F104</f>
        <v>1098.8826458994329</v>
      </c>
    </row>
    <row r="105" spans="1:15" x14ac:dyDescent="0.25">
      <c r="A105" s="4">
        <v>42488</v>
      </c>
      <c r="B105" s="99">
        <f t="shared" si="7"/>
        <v>42488</v>
      </c>
      <c r="C105" s="13">
        <v>0.3</v>
      </c>
      <c r="D105" s="92">
        <v>0.4777777777777778</v>
      </c>
      <c r="E105" s="151" t="s">
        <v>58</v>
      </c>
      <c r="F105" s="154">
        <f>+(F103+F104)/2</f>
        <v>1028.9546487800003</v>
      </c>
      <c r="G105" s="152"/>
      <c r="H105" s="8" t="s">
        <v>11</v>
      </c>
      <c r="I105" s="152"/>
      <c r="J105" s="8" t="s">
        <v>11</v>
      </c>
      <c r="K105" s="152"/>
      <c r="L105" s="8" t="s">
        <v>11</v>
      </c>
      <c r="M105" s="152"/>
      <c r="N105" s="8" t="s">
        <v>11</v>
      </c>
      <c r="O105" s="158">
        <f t="shared" si="8"/>
        <v>1028.9546487800003</v>
      </c>
    </row>
    <row r="106" spans="1:15" x14ac:dyDescent="0.25">
      <c r="A106" s="4"/>
      <c r="B106" s="99"/>
      <c r="C106" s="13"/>
      <c r="D106" s="92"/>
      <c r="E106" s="151"/>
      <c r="F106" s="154"/>
      <c r="G106" s="152"/>
      <c r="H106" s="154"/>
      <c r="I106" s="152"/>
      <c r="J106" s="145"/>
      <c r="K106" s="152"/>
      <c r="L106" s="145"/>
      <c r="M106" s="152"/>
      <c r="N106" s="145"/>
      <c r="O106" s="158"/>
    </row>
    <row r="107" spans="1:15" x14ac:dyDescent="0.25">
      <c r="A107" s="4">
        <v>42496</v>
      </c>
      <c r="B107" s="99">
        <f t="shared" ref="B107:B109" si="9">+A107</f>
        <v>42496</v>
      </c>
      <c r="C107" s="13">
        <v>-1.5</v>
      </c>
      <c r="D107" s="92">
        <v>0.28541666666666665</v>
      </c>
      <c r="E107" s="151"/>
      <c r="F107" s="154">
        <v>5951.2633062909281</v>
      </c>
      <c r="G107" s="152"/>
      <c r="H107" s="8" t="s">
        <v>11</v>
      </c>
      <c r="I107" s="60"/>
      <c r="J107" s="8" t="s">
        <v>11</v>
      </c>
      <c r="K107" s="60"/>
      <c r="L107" s="8" t="s">
        <v>11</v>
      </c>
      <c r="M107" s="60"/>
      <c r="N107" s="8" t="s">
        <v>11</v>
      </c>
      <c r="O107" s="158">
        <f>+F107</f>
        <v>5951.2633062909281</v>
      </c>
    </row>
    <row r="108" spans="1:15" x14ac:dyDescent="0.25">
      <c r="A108" s="4">
        <v>42497</v>
      </c>
      <c r="B108" s="99">
        <f t="shared" si="9"/>
        <v>42497</v>
      </c>
      <c r="C108" s="13">
        <v>-2</v>
      </c>
      <c r="D108" s="92">
        <v>0.31874999999999998</v>
      </c>
      <c r="E108" s="151"/>
      <c r="F108" s="154">
        <v>12668.762485604886</v>
      </c>
      <c r="G108" s="152"/>
      <c r="H108" s="8" t="s">
        <v>11</v>
      </c>
      <c r="I108" s="60"/>
      <c r="J108" s="8" t="s">
        <v>11</v>
      </c>
      <c r="K108" s="60"/>
      <c r="L108" s="8" t="s">
        <v>11</v>
      </c>
      <c r="M108" s="60"/>
      <c r="N108" s="8" t="s">
        <v>11</v>
      </c>
      <c r="O108" s="158">
        <f t="shared" ref="O108:O109" si="10">+F108</f>
        <v>12668.762485604886</v>
      </c>
    </row>
    <row r="109" spans="1:15" x14ac:dyDescent="0.25">
      <c r="A109" s="4">
        <v>42498</v>
      </c>
      <c r="B109" s="99">
        <f t="shared" si="9"/>
        <v>42498</v>
      </c>
      <c r="C109" s="13">
        <v>-2.1</v>
      </c>
      <c r="D109" s="92">
        <v>0.35138888888888886</v>
      </c>
      <c r="E109" s="151"/>
      <c r="F109" s="154">
        <v>8070.2344774540907</v>
      </c>
      <c r="G109" s="152"/>
      <c r="H109" s="8" t="s">
        <v>11</v>
      </c>
      <c r="I109" s="60"/>
      <c r="J109" s="8" t="s">
        <v>11</v>
      </c>
      <c r="K109" s="60"/>
      <c r="L109" s="8" t="s">
        <v>11</v>
      </c>
      <c r="M109" s="60"/>
      <c r="N109" s="8" t="s">
        <v>11</v>
      </c>
      <c r="O109" s="158">
        <f t="shared" si="10"/>
        <v>8070.2344774540907</v>
      </c>
    </row>
    <row r="110" spans="1:15" x14ac:dyDescent="0.25">
      <c r="A110" s="4">
        <v>42499</v>
      </c>
      <c r="B110" s="99">
        <f t="shared" ref="B110:B113" si="11">+A110</f>
        <v>42499</v>
      </c>
      <c r="C110" s="13">
        <v>-1.9</v>
      </c>
      <c r="D110" s="92">
        <v>0.38472222222222219</v>
      </c>
      <c r="E110" s="151"/>
      <c r="F110" s="8" t="s">
        <v>11</v>
      </c>
      <c r="G110" s="152"/>
      <c r="H110" s="8" t="s">
        <v>11</v>
      </c>
      <c r="I110" s="152"/>
      <c r="J110" s="8" t="s">
        <v>11</v>
      </c>
      <c r="K110" s="152"/>
      <c r="L110" s="145">
        <v>2774.1612710086229</v>
      </c>
      <c r="M110" s="152"/>
      <c r="N110" s="8" t="s">
        <v>11</v>
      </c>
      <c r="O110" s="158">
        <f>+L110</f>
        <v>2774.1612710086229</v>
      </c>
    </row>
    <row r="111" spans="1:15" x14ac:dyDescent="0.25">
      <c r="A111" s="4">
        <v>42500</v>
      </c>
      <c r="B111" s="99">
        <f t="shared" si="11"/>
        <v>42500</v>
      </c>
      <c r="C111" s="13">
        <v>-1.5</v>
      </c>
      <c r="D111" s="92">
        <v>0.41875000000000001</v>
      </c>
      <c r="E111" s="151"/>
      <c r="F111" s="8" t="s">
        <v>11</v>
      </c>
      <c r="G111" s="152"/>
      <c r="H111" s="8" t="s">
        <v>11</v>
      </c>
      <c r="I111" s="152"/>
      <c r="J111" s="8" t="s">
        <v>11</v>
      </c>
      <c r="K111" s="152"/>
      <c r="L111" s="145">
        <v>2903.3889302783009</v>
      </c>
      <c r="M111" s="152"/>
      <c r="N111" s="8" t="s">
        <v>11</v>
      </c>
      <c r="O111" s="158">
        <f>+L111</f>
        <v>2903.3889302783009</v>
      </c>
    </row>
    <row r="112" spans="1:15" x14ac:dyDescent="0.25">
      <c r="A112" s="4">
        <v>42501</v>
      </c>
      <c r="B112" s="99">
        <f t="shared" si="11"/>
        <v>42501</v>
      </c>
      <c r="C112" s="13">
        <v>-0.9</v>
      </c>
      <c r="D112" s="92">
        <v>0.4548611111111111</v>
      </c>
      <c r="E112" s="151"/>
      <c r="F112" s="8" t="s">
        <v>11</v>
      </c>
      <c r="G112" s="152"/>
      <c r="H112" s="8" t="s">
        <v>11</v>
      </c>
      <c r="I112" s="152"/>
      <c r="J112" s="8" t="s">
        <v>11</v>
      </c>
      <c r="K112" s="152"/>
      <c r="L112" s="145">
        <v>1937.3378452732109</v>
      </c>
      <c r="M112" s="152"/>
      <c r="N112" s="8" t="s">
        <v>11</v>
      </c>
      <c r="O112" s="158">
        <f>+L112</f>
        <v>1937.3378452732109</v>
      </c>
    </row>
    <row r="113" spans="1:15" x14ac:dyDescent="0.25">
      <c r="A113" s="4">
        <v>42502</v>
      </c>
      <c r="B113" s="99">
        <f t="shared" si="11"/>
        <v>42502</v>
      </c>
      <c r="C113" s="13">
        <v>-0.3</v>
      </c>
      <c r="D113" s="92">
        <v>0.49236111111111108</v>
      </c>
      <c r="E113" s="151"/>
      <c r="F113" s="8" t="s">
        <v>11</v>
      </c>
      <c r="G113" s="152"/>
      <c r="H113" s="8" t="s">
        <v>11</v>
      </c>
      <c r="I113" s="152"/>
      <c r="J113" s="8" t="s">
        <v>11</v>
      </c>
      <c r="K113" s="152"/>
      <c r="L113" s="145">
        <v>1478.127938384049</v>
      </c>
      <c r="M113" s="152"/>
      <c r="N113" s="8" t="s">
        <v>11</v>
      </c>
      <c r="O113" s="158">
        <f>+L113</f>
        <v>1478.127938384049</v>
      </c>
    </row>
    <row r="114" spans="1:15" x14ac:dyDescent="0.25">
      <c r="A114" s="4"/>
      <c r="B114" s="99"/>
      <c r="C114" s="149"/>
      <c r="D114" s="155"/>
      <c r="E114" s="151"/>
      <c r="F114" s="154"/>
      <c r="G114" s="152"/>
      <c r="H114" s="154"/>
      <c r="I114" s="152"/>
      <c r="J114" s="154"/>
      <c r="K114" s="152"/>
      <c r="L114" s="154"/>
      <c r="M114" s="152"/>
      <c r="N114" s="156"/>
      <c r="O114" s="158"/>
    </row>
    <row r="115" spans="1:15" x14ac:dyDescent="0.25">
      <c r="A115" s="4">
        <v>42510</v>
      </c>
      <c r="B115" s="99">
        <v>42510</v>
      </c>
      <c r="C115" s="149">
        <v>-0.3</v>
      </c>
      <c r="D115" s="155">
        <v>0.27569444444444446</v>
      </c>
      <c r="E115" s="151"/>
      <c r="F115" s="8" t="s">
        <v>11</v>
      </c>
      <c r="G115" s="152"/>
      <c r="H115" s="8" t="s">
        <v>11</v>
      </c>
      <c r="I115" s="152"/>
      <c r="J115" s="8">
        <v>1165.8785642767093</v>
      </c>
      <c r="K115" s="152"/>
      <c r="L115" s="154">
        <v>1067.4763541114776</v>
      </c>
      <c r="M115" s="152"/>
      <c r="N115" s="8" t="s">
        <v>11</v>
      </c>
      <c r="O115" s="158">
        <f>+J115+L115</f>
        <v>2233.3549183881869</v>
      </c>
    </row>
    <row r="116" spans="1:15" x14ac:dyDescent="0.25">
      <c r="A116" s="4">
        <v>42511</v>
      </c>
      <c r="B116" s="99">
        <v>42511</v>
      </c>
      <c r="C116" s="149">
        <v>-0.6</v>
      </c>
      <c r="D116" s="155">
        <v>0.3</v>
      </c>
      <c r="E116" s="151"/>
      <c r="F116" s="8" t="s">
        <v>11</v>
      </c>
      <c r="G116" s="152"/>
      <c r="H116" s="8" t="s">
        <v>11</v>
      </c>
      <c r="I116" s="152"/>
      <c r="J116" s="154">
        <v>3063.2658768421143</v>
      </c>
      <c r="K116" s="152"/>
      <c r="L116" s="154">
        <v>2802.2746297401436</v>
      </c>
      <c r="M116" s="152"/>
      <c r="N116" s="8" t="s">
        <v>11</v>
      </c>
      <c r="O116" s="158">
        <f>+J116+L116</f>
        <v>5865.5405065822579</v>
      </c>
    </row>
    <row r="117" spans="1:15" x14ac:dyDescent="0.25">
      <c r="A117" s="4">
        <v>42512</v>
      </c>
      <c r="B117" s="99">
        <v>42512</v>
      </c>
      <c r="C117" s="149">
        <v>-0.8</v>
      </c>
      <c r="D117" s="155">
        <v>0.32430555555555557</v>
      </c>
      <c r="E117" s="151"/>
      <c r="F117" s="8" t="s">
        <v>11</v>
      </c>
      <c r="G117" s="152"/>
      <c r="H117" s="8" t="s">
        <v>11</v>
      </c>
      <c r="I117" s="152"/>
      <c r="J117" s="8" t="s">
        <v>11</v>
      </c>
      <c r="K117" s="152"/>
      <c r="L117" s="154">
        <v>3576.7250786873319</v>
      </c>
      <c r="M117" s="152"/>
      <c r="N117" s="8" t="s">
        <v>11</v>
      </c>
      <c r="O117" s="158">
        <f>+L117</f>
        <v>3576.7250786873319</v>
      </c>
    </row>
    <row r="118" spans="1:15" x14ac:dyDescent="0.25">
      <c r="A118" s="144"/>
      <c r="B118" s="99"/>
      <c r="C118" s="149"/>
      <c r="D118" s="155"/>
      <c r="E118" s="151"/>
      <c r="F118" s="154"/>
      <c r="G118" s="152"/>
      <c r="H118" s="154"/>
      <c r="I118" s="152"/>
      <c r="J118" s="154"/>
      <c r="K118" s="151"/>
      <c r="L118" s="154"/>
      <c r="M118" s="152"/>
      <c r="N118" s="156"/>
      <c r="O118" s="158"/>
    </row>
    <row r="119" spans="1:15" x14ac:dyDescent="0.25">
      <c r="A119" s="4"/>
      <c r="B119" s="99"/>
      <c r="C119" s="13"/>
      <c r="D119" s="92"/>
    </row>
    <row r="120" spans="1:15" x14ac:dyDescent="0.25">
      <c r="A120" s="17" t="s">
        <v>19</v>
      </c>
      <c r="F120" s="15">
        <f>SUM(F2:F119)</f>
        <v>187261.35691316842</v>
      </c>
      <c r="H120" s="15">
        <f>SUM(H2:H119)</f>
        <v>0</v>
      </c>
      <c r="J120" s="15">
        <f>SUM(J2:J119)</f>
        <v>69536.100796536688</v>
      </c>
      <c r="L120" s="15">
        <f>SUM(L3:L119)</f>
        <v>70747.281354279839</v>
      </c>
      <c r="N120" s="15">
        <f>SUM(N3:N119)</f>
        <v>0</v>
      </c>
      <c r="O120" s="15">
        <f>SUM(O2:O119)</f>
        <v>317802.72992554132</v>
      </c>
    </row>
    <row r="121" spans="1:15" x14ac:dyDescent="0.25">
      <c r="A121" s="16" t="s">
        <v>18</v>
      </c>
    </row>
    <row r="122" spans="1:15" x14ac:dyDescent="0.25">
      <c r="A122" s="101" t="s">
        <v>57</v>
      </c>
    </row>
    <row r="123" spans="1:15" x14ac:dyDescent="0.25">
      <c r="A123" t="s">
        <v>63</v>
      </c>
    </row>
  </sheetData>
  <mergeCells count="5">
    <mergeCell ref="E1:F1"/>
    <mergeCell ref="G1:H1"/>
    <mergeCell ref="I1:J1"/>
    <mergeCell ref="K1:L1"/>
    <mergeCell ref="M1:N1"/>
  </mergeCells>
  <pageMargins left="0.25" right="0.25" top="0.75" bottom="0.75" header="0.3" footer="0.3"/>
  <pageSetup scale="75" fitToHeight="0" orientation="portrait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  <ignoredErrors>
    <ignoredError sqref="O16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N122"/>
  <sheetViews>
    <sheetView workbookViewId="0">
      <pane ySplit="1" topLeftCell="A92" activePane="bottomLeft" state="frozen"/>
      <selection pane="bottomLeft" activeCell="L117" sqref="L117"/>
    </sheetView>
  </sheetViews>
  <sheetFormatPr defaultRowHeight="15" x14ac:dyDescent="0.2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</cols>
  <sheetData>
    <row r="1" spans="1:14" x14ac:dyDescent="0.25">
      <c r="A1" s="11" t="s">
        <v>8</v>
      </c>
      <c r="B1" s="11" t="s">
        <v>5</v>
      </c>
      <c r="C1" s="11" t="s">
        <v>6</v>
      </c>
      <c r="D1" s="11" t="s">
        <v>7</v>
      </c>
      <c r="E1" s="227" t="s">
        <v>0</v>
      </c>
      <c r="F1" s="227"/>
      <c r="G1" s="227" t="s">
        <v>1</v>
      </c>
      <c r="H1" s="227"/>
      <c r="I1" s="227" t="s">
        <v>2</v>
      </c>
      <c r="J1" s="227"/>
      <c r="K1" s="227" t="s">
        <v>3</v>
      </c>
      <c r="L1" s="227"/>
      <c r="M1" s="227" t="s">
        <v>4</v>
      </c>
      <c r="N1" s="227"/>
    </row>
    <row r="2" spans="1:14" x14ac:dyDescent="0.25">
      <c r="A2" s="4">
        <v>42362</v>
      </c>
      <c r="B2" s="5">
        <f>+A2</f>
        <v>42362</v>
      </c>
      <c r="C2" s="81">
        <v>-1.2</v>
      </c>
      <c r="D2" s="6">
        <v>0.74097222222222225</v>
      </c>
      <c r="E2" s="54"/>
      <c r="F2" s="8" t="s">
        <v>11</v>
      </c>
      <c r="G2" s="55"/>
      <c r="H2" s="8" t="s">
        <v>11</v>
      </c>
      <c r="I2" s="55"/>
      <c r="J2" s="9">
        <f>+Harvest!J2/Effort!J2</f>
        <v>14.066666666666665</v>
      </c>
      <c r="K2" s="7"/>
      <c r="L2" s="8" t="s">
        <v>11</v>
      </c>
      <c r="M2" s="56"/>
      <c r="N2" s="8" t="s">
        <v>11</v>
      </c>
    </row>
    <row r="3" spans="1:14" x14ac:dyDescent="0.25">
      <c r="A3" s="4">
        <v>42363</v>
      </c>
      <c r="B3" s="5">
        <f>+A3</f>
        <v>42363</v>
      </c>
      <c r="C3" s="81">
        <v>-1.3</v>
      </c>
      <c r="D3" s="6">
        <v>0.77083333333333337</v>
      </c>
      <c r="E3" s="188"/>
      <c r="F3" s="8" t="s">
        <v>11</v>
      </c>
      <c r="G3" s="8"/>
      <c r="H3" s="8" t="s">
        <v>11</v>
      </c>
      <c r="I3" s="8"/>
      <c r="J3" s="9">
        <f>+Harvest!J3/Effort!J3</f>
        <v>14.846153846153848</v>
      </c>
      <c r="K3" s="7"/>
      <c r="L3" s="8" t="s">
        <v>11</v>
      </c>
      <c r="M3" s="56"/>
      <c r="N3" s="8" t="s">
        <v>11</v>
      </c>
    </row>
    <row r="4" spans="1:14" x14ac:dyDescent="0.25">
      <c r="A4" s="4">
        <v>42364</v>
      </c>
      <c r="B4" s="5">
        <f>+A4</f>
        <v>42364</v>
      </c>
      <c r="C4" s="81">
        <v>-1.1000000000000001</v>
      </c>
      <c r="D4" s="6">
        <v>0.79999999999999993</v>
      </c>
      <c r="F4" s="8" t="s">
        <v>11</v>
      </c>
      <c r="G4" s="8"/>
      <c r="H4" s="8" t="s">
        <v>11</v>
      </c>
      <c r="I4" s="8"/>
      <c r="J4" s="9">
        <f>+Harvest!J4/Effort!J4</f>
        <v>14.550387596899222</v>
      </c>
      <c r="K4" s="7"/>
      <c r="L4" s="8" t="s">
        <v>11</v>
      </c>
      <c r="M4" s="56"/>
      <c r="N4" s="8" t="s">
        <v>11</v>
      </c>
    </row>
    <row r="5" spans="1:14" x14ac:dyDescent="0.25">
      <c r="A5" s="4"/>
      <c r="B5" s="5"/>
      <c r="C5" s="81"/>
      <c r="D5" s="6"/>
      <c r="E5" s="55"/>
      <c r="F5" s="9"/>
      <c r="G5" s="8"/>
      <c r="H5" s="9"/>
      <c r="I5" s="8"/>
      <c r="J5" s="8"/>
      <c r="K5" s="8"/>
      <c r="L5" s="9"/>
      <c r="M5" s="8"/>
      <c r="N5" s="8"/>
    </row>
    <row r="6" spans="1:14" x14ac:dyDescent="0.25">
      <c r="A6" s="4">
        <v>42376</v>
      </c>
      <c r="B6" s="5">
        <f t="shared" ref="B6:B13" si="0">+A6</f>
        <v>42376</v>
      </c>
      <c r="C6" s="126">
        <v>0.1</v>
      </c>
      <c r="D6" s="127">
        <v>0.70625000000000004</v>
      </c>
      <c r="E6" s="55"/>
      <c r="F6" s="9">
        <f>+Harvest!F6/Effort!F6</f>
        <v>14.277777777777779</v>
      </c>
      <c r="G6" s="8"/>
      <c r="H6" s="8" t="s">
        <v>11</v>
      </c>
      <c r="I6" s="145"/>
      <c r="J6" s="8" t="s">
        <v>11</v>
      </c>
      <c r="K6" s="146"/>
      <c r="L6" s="8" t="s">
        <v>11</v>
      </c>
      <c r="M6" s="56"/>
      <c r="N6" s="8" t="s">
        <v>11</v>
      </c>
    </row>
    <row r="7" spans="1:14" x14ac:dyDescent="0.25">
      <c r="A7" s="4">
        <v>42377</v>
      </c>
      <c r="B7" s="5">
        <f t="shared" si="0"/>
        <v>42377</v>
      </c>
      <c r="C7" s="126">
        <v>-0.4</v>
      </c>
      <c r="D7" s="127">
        <v>0.73402777777777772</v>
      </c>
      <c r="E7" s="177"/>
      <c r="F7" s="9">
        <f>+Harvest!F7/Effort!F7</f>
        <v>14.984732824427478</v>
      </c>
      <c r="G7" s="8"/>
      <c r="H7" s="8" t="s">
        <v>11</v>
      </c>
      <c r="I7" s="145"/>
      <c r="J7" s="9">
        <f>+Harvest!J7/Effort!J7</f>
        <v>14.925373134328357</v>
      </c>
      <c r="K7" s="146"/>
      <c r="L7" s="8" t="s">
        <v>11</v>
      </c>
      <c r="M7" s="56"/>
      <c r="N7" s="8" t="s">
        <v>11</v>
      </c>
    </row>
    <row r="8" spans="1:14" x14ac:dyDescent="0.25">
      <c r="A8" s="4">
        <v>42378</v>
      </c>
      <c r="B8" s="5">
        <f t="shared" si="0"/>
        <v>42378</v>
      </c>
      <c r="C8" s="126">
        <v>-0.8</v>
      </c>
      <c r="D8" s="127">
        <v>0.76111111111111107</v>
      </c>
      <c r="E8" s="177"/>
      <c r="F8" s="9">
        <f>+Harvest!F8/Effort!F8</f>
        <v>12.727272727272725</v>
      </c>
      <c r="G8" s="84"/>
      <c r="H8" s="8" t="s">
        <v>11</v>
      </c>
      <c r="I8" s="152"/>
      <c r="J8" s="9">
        <f>+Harvest!J8/Effort!J8</f>
        <v>12.873239436619716</v>
      </c>
      <c r="K8" s="152"/>
      <c r="L8" s="8" t="s">
        <v>11</v>
      </c>
      <c r="M8" s="56"/>
      <c r="N8" s="8" t="s">
        <v>11</v>
      </c>
    </row>
    <row r="9" spans="1:14" x14ac:dyDescent="0.25">
      <c r="A9" s="4">
        <v>42379</v>
      </c>
      <c r="B9" s="5">
        <f t="shared" si="0"/>
        <v>42379</v>
      </c>
      <c r="C9" s="126">
        <v>-1</v>
      </c>
      <c r="D9" s="127">
        <v>0.78819444444444442</v>
      </c>
      <c r="E9" s="177"/>
      <c r="F9" s="9">
        <f>+Harvest!F9/Effort!F9</f>
        <v>14.901960784313724</v>
      </c>
      <c r="G9" s="8"/>
      <c r="H9" s="8" t="s">
        <v>11</v>
      </c>
      <c r="I9" s="145"/>
      <c r="J9" s="8" t="s">
        <v>11</v>
      </c>
      <c r="K9" s="145"/>
      <c r="L9" s="8" t="s">
        <v>11</v>
      </c>
      <c r="M9" s="56"/>
      <c r="N9" s="8" t="s">
        <v>11</v>
      </c>
    </row>
    <row r="10" spans="1:14" x14ac:dyDescent="0.25">
      <c r="A10" s="4">
        <v>42380</v>
      </c>
      <c r="B10" s="5">
        <f t="shared" si="0"/>
        <v>42380</v>
      </c>
      <c r="C10" s="126">
        <v>-1</v>
      </c>
      <c r="D10" s="127">
        <v>0.81527777777777777</v>
      </c>
      <c r="E10" s="177"/>
      <c r="F10" s="9">
        <f>+Harvest!F10/Effort!F10</f>
        <v>14.000000000000002</v>
      </c>
      <c r="G10" s="8"/>
      <c r="H10" s="8" t="s">
        <v>11</v>
      </c>
      <c r="I10" s="145"/>
      <c r="J10" s="8" t="s">
        <v>11</v>
      </c>
      <c r="K10" s="145"/>
      <c r="L10" s="8" t="s">
        <v>11</v>
      </c>
      <c r="M10" s="56"/>
      <c r="N10" s="8" t="s">
        <v>11</v>
      </c>
    </row>
    <row r="11" spans="1:14" x14ac:dyDescent="0.25">
      <c r="A11" s="4">
        <v>42381</v>
      </c>
      <c r="B11" s="5">
        <f t="shared" si="0"/>
        <v>42381</v>
      </c>
      <c r="C11" s="126">
        <v>-0.8</v>
      </c>
      <c r="D11" s="127">
        <v>0.84305555555555556</v>
      </c>
      <c r="E11" s="177"/>
      <c r="F11" s="9">
        <f>+Harvest!F11/Effort!F11</f>
        <v>15</v>
      </c>
      <c r="G11" s="8"/>
      <c r="H11" s="8" t="s">
        <v>11</v>
      </c>
      <c r="I11" s="152"/>
      <c r="J11" s="8" t="s">
        <v>11</v>
      </c>
      <c r="K11" s="152"/>
      <c r="L11" s="8" t="s">
        <v>11</v>
      </c>
      <c r="M11" s="56"/>
      <c r="N11" s="8" t="s">
        <v>11</v>
      </c>
    </row>
    <row r="12" spans="1:14" x14ac:dyDescent="0.25">
      <c r="A12" s="4">
        <v>42382</v>
      </c>
      <c r="B12" s="5">
        <f t="shared" si="0"/>
        <v>42382</v>
      </c>
      <c r="C12" s="126">
        <v>-0.4</v>
      </c>
      <c r="D12" s="127">
        <v>0.87222222222222223</v>
      </c>
      <c r="E12" s="177"/>
      <c r="F12" s="9">
        <f>+Harvest!F12/Effort!F12</f>
        <v>14.999999999999998</v>
      </c>
      <c r="G12" s="2"/>
      <c r="H12" s="8" t="s">
        <v>11</v>
      </c>
      <c r="I12" s="152"/>
      <c r="J12" s="8" t="s">
        <v>11</v>
      </c>
      <c r="K12" s="152"/>
      <c r="L12" s="8" t="s">
        <v>11</v>
      </c>
      <c r="M12" s="56"/>
      <c r="N12" s="8" t="s">
        <v>11</v>
      </c>
    </row>
    <row r="13" spans="1:14" x14ac:dyDescent="0.25">
      <c r="A13" s="4">
        <v>42383</v>
      </c>
      <c r="B13" s="5">
        <f t="shared" si="0"/>
        <v>42383</v>
      </c>
      <c r="C13" s="126">
        <v>0.2</v>
      </c>
      <c r="D13" s="127">
        <v>0.90277777777777779</v>
      </c>
      <c r="E13" s="177"/>
      <c r="F13" s="9">
        <f>+Harvest!F13/Effort!F13</f>
        <v>14.833333333333334</v>
      </c>
      <c r="G13" s="8"/>
      <c r="H13" s="8" t="s">
        <v>11</v>
      </c>
      <c r="I13" s="152"/>
      <c r="J13" s="8" t="s">
        <v>11</v>
      </c>
      <c r="K13" s="152"/>
      <c r="L13" s="8" t="s">
        <v>11</v>
      </c>
      <c r="M13" s="56"/>
      <c r="N13" s="8" t="s">
        <v>11</v>
      </c>
    </row>
    <row r="14" spans="1:14" x14ac:dyDescent="0.25">
      <c r="A14" s="4"/>
      <c r="B14" s="5"/>
      <c r="C14" s="126"/>
      <c r="D14" s="127"/>
      <c r="E14" s="177"/>
      <c r="F14" s="9"/>
      <c r="G14" s="8"/>
      <c r="H14" s="9"/>
      <c r="J14" s="8"/>
      <c r="L14" s="8"/>
      <c r="N14" s="8"/>
    </row>
    <row r="15" spans="1:14" x14ac:dyDescent="0.25">
      <c r="A15" s="144">
        <v>42390</v>
      </c>
      <c r="B15" s="5">
        <f t="shared" ref="B15:B21" si="1">+A15</f>
        <v>42390</v>
      </c>
      <c r="C15" s="126">
        <v>-0.4</v>
      </c>
      <c r="D15" s="127">
        <v>0.7006944444444444</v>
      </c>
      <c r="E15" s="177"/>
      <c r="F15" s="9">
        <f>+Harvest!F15/Effort!F15</f>
        <v>8.6585365853658516</v>
      </c>
      <c r="G15" s="2"/>
      <c r="H15" s="8" t="s">
        <v>11</v>
      </c>
      <c r="J15" s="8" t="s">
        <v>11</v>
      </c>
      <c r="L15" s="8" t="s">
        <v>11</v>
      </c>
      <c r="N15" s="8" t="s">
        <v>11</v>
      </c>
    </row>
    <row r="16" spans="1:14" x14ac:dyDescent="0.25">
      <c r="A16" s="144">
        <v>42391</v>
      </c>
      <c r="B16" s="5">
        <f t="shared" si="1"/>
        <v>42391</v>
      </c>
      <c r="C16" s="126">
        <v>-0.7</v>
      </c>
      <c r="D16" s="127">
        <v>0.73263888888888884</v>
      </c>
      <c r="E16" s="177"/>
      <c r="F16" s="9">
        <f>+Harvest!F16/Effort!F16</f>
        <v>15</v>
      </c>
      <c r="H16" s="8" t="s">
        <v>11</v>
      </c>
      <c r="J16" s="9">
        <f>+Harvest!J16/Effort!J16</f>
        <v>11.173076923076927</v>
      </c>
      <c r="L16" s="8" t="s">
        <v>11</v>
      </c>
      <c r="N16" s="8" t="s">
        <v>11</v>
      </c>
    </row>
    <row r="17" spans="1:14" x14ac:dyDescent="0.25">
      <c r="A17" s="144">
        <v>42392</v>
      </c>
      <c r="B17" s="99">
        <f t="shared" si="1"/>
        <v>42392</v>
      </c>
      <c r="C17" s="126">
        <v>-0.8</v>
      </c>
      <c r="D17" s="127">
        <v>0.76111111111111107</v>
      </c>
      <c r="E17" s="177"/>
      <c r="F17" s="9">
        <f>+Harvest!F17/Effort!F17</f>
        <v>15.087912087912089</v>
      </c>
      <c r="G17" s="8"/>
      <c r="H17" s="8" t="s">
        <v>11</v>
      </c>
      <c r="J17" s="8" t="s">
        <v>11</v>
      </c>
      <c r="L17" s="8" t="s">
        <v>11</v>
      </c>
      <c r="N17" s="8" t="s">
        <v>11</v>
      </c>
    </row>
    <row r="18" spans="1:14" x14ac:dyDescent="0.25">
      <c r="A18" s="144">
        <v>42393</v>
      </c>
      <c r="B18" s="99">
        <f t="shared" si="1"/>
        <v>42393</v>
      </c>
      <c r="C18" s="126">
        <v>-0.7</v>
      </c>
      <c r="D18" s="127">
        <v>0.78749999999999998</v>
      </c>
      <c r="E18" s="177"/>
      <c r="F18" s="9">
        <f>+Harvest!F18/Effort!F18</f>
        <v>14.782608695652174</v>
      </c>
      <c r="H18" s="8" t="s">
        <v>11</v>
      </c>
      <c r="J18" s="8" t="s">
        <v>11</v>
      </c>
      <c r="L18" s="8" t="s">
        <v>11</v>
      </c>
      <c r="N18" s="8" t="s">
        <v>11</v>
      </c>
    </row>
    <row r="19" spans="1:14" x14ac:dyDescent="0.25">
      <c r="A19" s="144">
        <v>42394</v>
      </c>
      <c r="B19" s="99">
        <f t="shared" si="1"/>
        <v>42394</v>
      </c>
      <c r="C19" s="126">
        <v>-0.4</v>
      </c>
      <c r="D19" s="127">
        <v>0.81319444444444444</v>
      </c>
      <c r="E19" s="177"/>
      <c r="F19" s="9">
        <f>+Harvest!F19/Effort!F19</f>
        <v>14.705882352941176</v>
      </c>
      <c r="H19" s="8" t="s">
        <v>11</v>
      </c>
      <c r="J19" s="8" t="s">
        <v>11</v>
      </c>
      <c r="L19" s="8" t="s">
        <v>11</v>
      </c>
      <c r="N19" s="8" t="s">
        <v>11</v>
      </c>
    </row>
    <row r="20" spans="1:14" x14ac:dyDescent="0.25">
      <c r="A20" s="144">
        <v>42395</v>
      </c>
      <c r="B20" s="99">
        <f t="shared" si="1"/>
        <v>42395</v>
      </c>
      <c r="C20" s="126">
        <v>0</v>
      </c>
      <c r="D20" s="127">
        <v>0.83680555555555558</v>
      </c>
      <c r="F20" s="9">
        <f>+Harvest!F20/Effort!F20</f>
        <v>12.666666666666666</v>
      </c>
      <c r="H20" s="8" t="s">
        <v>11</v>
      </c>
      <c r="J20" s="8" t="s">
        <v>11</v>
      </c>
      <c r="L20" s="8" t="s">
        <v>11</v>
      </c>
      <c r="N20" s="8" t="s">
        <v>11</v>
      </c>
    </row>
    <row r="21" spans="1:14" x14ac:dyDescent="0.25">
      <c r="A21" s="144">
        <v>42396</v>
      </c>
      <c r="B21" s="99">
        <f t="shared" si="1"/>
        <v>42396</v>
      </c>
      <c r="C21" s="149">
        <v>0.5</v>
      </c>
      <c r="D21" s="150">
        <v>0.86041666666666672</v>
      </c>
      <c r="F21" s="9">
        <f>+Harvest!F21/Effort!F21</f>
        <v>0</v>
      </c>
      <c r="H21" s="8" t="s">
        <v>11</v>
      </c>
      <c r="J21" s="8" t="s">
        <v>11</v>
      </c>
      <c r="L21" s="8" t="s">
        <v>11</v>
      </c>
      <c r="N21" s="8" t="s">
        <v>11</v>
      </c>
    </row>
    <row r="22" spans="1:14" x14ac:dyDescent="0.25">
      <c r="A22" s="4"/>
      <c r="B22" s="5"/>
      <c r="C22" s="126"/>
      <c r="D22" s="127"/>
      <c r="F22" s="9"/>
      <c r="H22" s="9"/>
      <c r="J22" s="8"/>
      <c r="L22" s="9"/>
      <c r="N22" s="8"/>
    </row>
    <row r="23" spans="1:14" x14ac:dyDescent="0.25">
      <c r="A23" s="4">
        <v>42404</v>
      </c>
      <c r="B23" s="99">
        <f t="shared" ref="B23:B49" si="2">+A23</f>
        <v>42404</v>
      </c>
      <c r="C23" s="13">
        <v>0.8</v>
      </c>
      <c r="D23" s="12">
        <v>0.65347222222222223</v>
      </c>
      <c r="F23" s="9">
        <f>+Harvest!F23/Effort!F23</f>
        <v>13.709677419354838</v>
      </c>
      <c r="G23" s="2"/>
      <c r="H23" s="8" t="s">
        <v>11</v>
      </c>
      <c r="I23" s="152"/>
      <c r="J23" s="8" t="s">
        <v>11</v>
      </c>
      <c r="K23" s="152"/>
      <c r="L23" s="8" t="s">
        <v>11</v>
      </c>
      <c r="M23" s="152"/>
      <c r="N23" s="8" t="s">
        <v>11</v>
      </c>
    </row>
    <row r="24" spans="1:14" x14ac:dyDescent="0.25">
      <c r="A24" s="4">
        <v>42405</v>
      </c>
      <c r="B24" s="99">
        <f t="shared" si="2"/>
        <v>42405</v>
      </c>
      <c r="C24" s="13">
        <v>0.2</v>
      </c>
      <c r="D24" s="12">
        <v>0.68611111111111101</v>
      </c>
      <c r="F24" s="9">
        <f>+Harvest!F24/Effort!F24</f>
        <v>6.4285714285714279</v>
      </c>
      <c r="H24" s="8" t="s">
        <v>11</v>
      </c>
      <c r="I24" s="152"/>
      <c r="J24" s="8" t="s">
        <v>11</v>
      </c>
      <c r="K24" s="152"/>
      <c r="L24" s="8" t="s">
        <v>11</v>
      </c>
      <c r="M24" s="152"/>
      <c r="N24" s="8" t="s">
        <v>11</v>
      </c>
    </row>
    <row r="25" spans="1:14" x14ac:dyDescent="0.25">
      <c r="A25" s="4">
        <v>42406</v>
      </c>
      <c r="B25" s="99">
        <f t="shared" si="2"/>
        <v>42406</v>
      </c>
      <c r="C25" s="13">
        <v>-0.3</v>
      </c>
      <c r="D25" s="12">
        <v>0.71597222222222223</v>
      </c>
      <c r="F25" s="9">
        <f>+Harvest!F25/Effort!F25</f>
        <v>14.999999999999998</v>
      </c>
      <c r="G25" s="60"/>
      <c r="H25" s="8" t="s">
        <v>11</v>
      </c>
      <c r="I25" s="152"/>
      <c r="J25" s="8" t="s">
        <v>11</v>
      </c>
      <c r="K25" s="152"/>
      <c r="L25" s="8" t="s">
        <v>11</v>
      </c>
      <c r="M25" s="152"/>
      <c r="N25" s="8" t="s">
        <v>11</v>
      </c>
    </row>
    <row r="26" spans="1:14" x14ac:dyDescent="0.25">
      <c r="A26" s="4">
        <v>42407</v>
      </c>
      <c r="B26" s="99">
        <f t="shared" si="2"/>
        <v>42407</v>
      </c>
      <c r="C26" s="13">
        <v>-0.7</v>
      </c>
      <c r="D26" s="12">
        <v>0.74444444444444446</v>
      </c>
      <c r="F26" s="9">
        <f>+Harvest!F26/Effort!F26</f>
        <v>15.000000000000002</v>
      </c>
      <c r="G26" s="60"/>
      <c r="H26" s="8" t="s">
        <v>11</v>
      </c>
      <c r="I26" s="152"/>
      <c r="J26" s="8" t="s">
        <v>11</v>
      </c>
      <c r="K26" s="152"/>
      <c r="L26" s="8" t="s">
        <v>11</v>
      </c>
      <c r="M26" s="152"/>
      <c r="N26" s="8" t="s">
        <v>11</v>
      </c>
    </row>
    <row r="27" spans="1:14" x14ac:dyDescent="0.25">
      <c r="A27" s="4">
        <v>42408</v>
      </c>
      <c r="B27" s="99">
        <f t="shared" si="2"/>
        <v>42408</v>
      </c>
      <c r="C27" s="13">
        <v>-1</v>
      </c>
      <c r="D27" s="12">
        <v>0.77222222222222225</v>
      </c>
      <c r="F27" s="9">
        <f>+Harvest!F27/Effort!F27</f>
        <v>14.777777777777779</v>
      </c>
      <c r="G27" s="60"/>
      <c r="H27" s="8" t="s">
        <v>11</v>
      </c>
      <c r="I27" s="152"/>
      <c r="J27" s="8" t="s">
        <v>11</v>
      </c>
      <c r="K27" s="152"/>
      <c r="L27" s="8" t="s">
        <v>11</v>
      </c>
      <c r="M27" s="152"/>
      <c r="N27" s="8" t="s">
        <v>11</v>
      </c>
    </row>
    <row r="28" spans="1:14" x14ac:dyDescent="0.25">
      <c r="A28" s="4">
        <v>42409</v>
      </c>
      <c r="B28" s="99">
        <f t="shared" si="2"/>
        <v>42409</v>
      </c>
      <c r="C28" s="13">
        <v>-0.9</v>
      </c>
      <c r="D28" s="12">
        <v>0.8</v>
      </c>
      <c r="F28" s="9">
        <f>+Harvest!F28/Effort!F28</f>
        <v>14.545454545454545</v>
      </c>
      <c r="G28" s="60"/>
      <c r="H28" s="8" t="s">
        <v>11</v>
      </c>
      <c r="I28" s="152"/>
      <c r="J28" s="8" t="s">
        <v>11</v>
      </c>
      <c r="K28" s="152"/>
      <c r="L28" s="8" t="s">
        <v>11</v>
      </c>
      <c r="M28" s="152"/>
      <c r="N28" s="8" t="s">
        <v>11</v>
      </c>
    </row>
    <row r="29" spans="1:14" x14ac:dyDescent="0.25">
      <c r="A29" s="4">
        <v>42410</v>
      </c>
      <c r="B29" s="99">
        <f t="shared" si="2"/>
        <v>42410</v>
      </c>
      <c r="C29" s="13">
        <v>-0.7</v>
      </c>
      <c r="D29" s="12">
        <v>0.82777777777777772</v>
      </c>
      <c r="F29" s="9">
        <f>+Harvest!F29/Effort!F29</f>
        <v>15</v>
      </c>
      <c r="G29" s="60"/>
      <c r="H29" s="8" t="s">
        <v>11</v>
      </c>
      <c r="I29" s="152"/>
      <c r="J29" s="8" t="s">
        <v>11</v>
      </c>
      <c r="K29" s="152"/>
      <c r="L29" s="8" t="s">
        <v>11</v>
      </c>
      <c r="M29" s="152"/>
      <c r="N29" s="8" t="s">
        <v>11</v>
      </c>
    </row>
    <row r="30" spans="1:14" x14ac:dyDescent="0.25">
      <c r="A30" s="4">
        <v>42411</v>
      </c>
      <c r="B30" s="99">
        <f t="shared" si="2"/>
        <v>42411</v>
      </c>
      <c r="C30" s="13">
        <v>-0.1</v>
      </c>
      <c r="D30" s="12">
        <v>0.8569444444444444</v>
      </c>
      <c r="F30" s="9">
        <f>+Harvest!F30/Effort!F30</f>
        <v>14.625</v>
      </c>
      <c r="G30" s="60"/>
      <c r="H30" s="8" t="s">
        <v>11</v>
      </c>
      <c r="I30" s="152"/>
      <c r="J30" s="8" t="s">
        <v>11</v>
      </c>
      <c r="K30" s="152"/>
      <c r="L30" s="8" t="s">
        <v>11</v>
      </c>
      <c r="M30" s="152"/>
      <c r="N30" s="8" t="s">
        <v>11</v>
      </c>
    </row>
    <row r="31" spans="1:14" x14ac:dyDescent="0.25">
      <c r="A31" s="4">
        <v>42412</v>
      </c>
      <c r="B31" s="99">
        <f t="shared" si="2"/>
        <v>42412</v>
      </c>
      <c r="C31" s="13">
        <v>0.6</v>
      </c>
      <c r="D31" s="12">
        <v>0.88680555555555551</v>
      </c>
      <c r="F31" s="9">
        <f>+Harvest!F31/Effort!F31</f>
        <v>13.75</v>
      </c>
      <c r="G31" s="60"/>
      <c r="H31" s="8" t="s">
        <v>11</v>
      </c>
      <c r="I31" s="152"/>
      <c r="J31" s="8" t="s">
        <v>11</v>
      </c>
      <c r="K31" s="152"/>
      <c r="L31" s="8" t="s">
        <v>11</v>
      </c>
      <c r="M31" s="152"/>
      <c r="N31" s="8" t="s">
        <v>11</v>
      </c>
    </row>
    <row r="32" spans="1:14" x14ac:dyDescent="0.25">
      <c r="A32" s="4">
        <v>42413</v>
      </c>
      <c r="B32" s="99">
        <f t="shared" si="2"/>
        <v>42413</v>
      </c>
      <c r="C32" s="13">
        <v>1.4</v>
      </c>
      <c r="D32" s="92">
        <v>0.9194444444444444</v>
      </c>
      <c r="F32" s="9">
        <f>+Harvest!F32/Effort!F32</f>
        <v>15</v>
      </c>
      <c r="G32" s="60"/>
      <c r="H32" s="8" t="s">
        <v>11</v>
      </c>
      <c r="I32" s="152"/>
      <c r="J32" s="8" t="s">
        <v>11</v>
      </c>
      <c r="K32" s="152"/>
      <c r="L32" s="8" t="s">
        <v>11</v>
      </c>
      <c r="M32" s="152"/>
      <c r="N32" s="8" t="s">
        <v>11</v>
      </c>
    </row>
    <row r="33" spans="1:14" x14ac:dyDescent="0.25">
      <c r="A33" s="4">
        <v>42414</v>
      </c>
      <c r="B33" s="99">
        <f t="shared" si="2"/>
        <v>42414</v>
      </c>
      <c r="C33" s="13">
        <v>2.2000000000000002</v>
      </c>
      <c r="D33" s="92">
        <v>0.95694444444444449</v>
      </c>
      <c r="F33" s="9">
        <f>+Harvest!F33/Effort!F33</f>
        <v>10</v>
      </c>
      <c r="G33" s="60"/>
      <c r="H33" s="8" t="s">
        <v>11</v>
      </c>
      <c r="I33" s="152"/>
      <c r="J33" s="8" t="s">
        <v>11</v>
      </c>
      <c r="K33" s="152"/>
      <c r="L33" s="8" t="s">
        <v>11</v>
      </c>
      <c r="M33" s="152"/>
      <c r="N33" s="8" t="s">
        <v>11</v>
      </c>
    </row>
    <row r="34" spans="1:14" x14ac:dyDescent="0.25">
      <c r="A34" s="4"/>
      <c r="B34" s="99"/>
      <c r="C34" s="13"/>
      <c r="D34" s="92"/>
      <c r="F34" s="9"/>
      <c r="G34" s="60"/>
      <c r="H34" s="9"/>
      <c r="J34" s="9"/>
      <c r="L34" s="9"/>
      <c r="N34" s="8"/>
    </row>
    <row r="35" spans="1:14" x14ac:dyDescent="0.25">
      <c r="A35" s="4">
        <v>42415</v>
      </c>
      <c r="B35" s="99">
        <f t="shared" si="2"/>
        <v>42415</v>
      </c>
      <c r="C35" s="13">
        <v>1.1000000000000001</v>
      </c>
      <c r="D35" s="92">
        <v>0.51111111111111107</v>
      </c>
      <c r="F35" s="9">
        <f>+Harvest!F35/Effort!F35</f>
        <v>10</v>
      </c>
      <c r="G35" s="60"/>
      <c r="H35" s="8" t="s">
        <v>11</v>
      </c>
      <c r="I35" s="152"/>
      <c r="J35" s="8" t="s">
        <v>11</v>
      </c>
      <c r="K35" s="152"/>
      <c r="L35" s="8" t="s">
        <v>11</v>
      </c>
      <c r="M35" s="152"/>
      <c r="N35" s="8" t="s">
        <v>11</v>
      </c>
    </row>
    <row r="36" spans="1:14" x14ac:dyDescent="0.25">
      <c r="A36" s="4">
        <v>42416</v>
      </c>
      <c r="B36" s="99">
        <f t="shared" si="2"/>
        <v>42416</v>
      </c>
      <c r="C36" s="13">
        <v>1</v>
      </c>
      <c r="D36" s="92">
        <v>0.5625</v>
      </c>
      <c r="F36" s="9">
        <f>+Harvest!F36/Effort!F36</f>
        <v>10</v>
      </c>
      <c r="G36" s="60"/>
      <c r="H36" s="8" t="s">
        <v>11</v>
      </c>
      <c r="I36" s="152"/>
      <c r="J36" s="8" t="s">
        <v>11</v>
      </c>
      <c r="K36" s="152"/>
      <c r="L36" s="8" t="s">
        <v>11</v>
      </c>
      <c r="M36" s="152"/>
      <c r="N36" s="8" t="s">
        <v>11</v>
      </c>
    </row>
    <row r="37" spans="1:14" x14ac:dyDescent="0.25">
      <c r="A37" s="4">
        <v>42417</v>
      </c>
      <c r="B37" s="99">
        <f t="shared" si="2"/>
        <v>42417</v>
      </c>
      <c r="C37" s="13">
        <v>0.7</v>
      </c>
      <c r="D37" s="92">
        <v>0.61111111111111116</v>
      </c>
      <c r="F37" s="9">
        <f>+Harvest!F37/Effort!F37</f>
        <v>9.6999999999999993</v>
      </c>
      <c r="G37" s="60"/>
      <c r="H37" s="8" t="s">
        <v>11</v>
      </c>
      <c r="I37" s="152"/>
      <c r="J37" s="8" t="s">
        <v>11</v>
      </c>
      <c r="K37" s="152"/>
      <c r="L37" s="8" t="s">
        <v>11</v>
      </c>
      <c r="M37" s="152"/>
      <c r="N37" s="8" t="s">
        <v>11</v>
      </c>
    </row>
    <row r="38" spans="1:14" x14ac:dyDescent="0.25">
      <c r="A38" s="4">
        <v>42418</v>
      </c>
      <c r="B38" s="99">
        <f t="shared" si="2"/>
        <v>42418</v>
      </c>
      <c r="C38" s="13">
        <v>0.3</v>
      </c>
      <c r="D38" s="92">
        <v>0.65347222222222223</v>
      </c>
      <c r="F38" s="9">
        <f>+Harvest!F38/Effort!F38</f>
        <v>10.272727272727273</v>
      </c>
      <c r="G38" s="60"/>
      <c r="H38" s="8" t="s">
        <v>11</v>
      </c>
      <c r="I38" s="152"/>
      <c r="J38" s="8" t="s">
        <v>11</v>
      </c>
      <c r="K38" s="152"/>
      <c r="L38" s="8" t="s">
        <v>11</v>
      </c>
      <c r="M38" s="152"/>
      <c r="N38" s="8" t="s">
        <v>11</v>
      </c>
    </row>
    <row r="39" spans="1:14" x14ac:dyDescent="0.25">
      <c r="A39" s="4">
        <v>42419</v>
      </c>
      <c r="B39" s="99">
        <f t="shared" si="2"/>
        <v>42419</v>
      </c>
      <c r="C39" s="13">
        <v>0</v>
      </c>
      <c r="D39" s="92">
        <v>0.68958333333333333</v>
      </c>
      <c r="F39" s="9">
        <f>+Harvest!F39/Effort!F39</f>
        <v>11.46875</v>
      </c>
      <c r="H39" s="8" t="s">
        <v>11</v>
      </c>
      <c r="J39" s="9">
        <f>+Harvest!J39/Effort!J39</f>
        <v>12.649999999999999</v>
      </c>
      <c r="L39" s="9">
        <f>+Harvest!L39/Effort!L39</f>
        <v>8.476923076923077</v>
      </c>
      <c r="N39" s="8" t="s">
        <v>11</v>
      </c>
    </row>
    <row r="40" spans="1:14" x14ac:dyDescent="0.25">
      <c r="A40" s="4">
        <v>42420</v>
      </c>
      <c r="B40" s="5">
        <f t="shared" si="2"/>
        <v>42420</v>
      </c>
      <c r="C40" s="13">
        <v>-0.1</v>
      </c>
      <c r="D40" s="92">
        <v>0.72013888888888888</v>
      </c>
      <c r="F40" s="9">
        <f>+Harvest!F40/Effort!F40</f>
        <v>15.410958904109593</v>
      </c>
      <c r="G40" s="60"/>
      <c r="H40" s="8" t="s">
        <v>11</v>
      </c>
      <c r="J40" s="9">
        <f>+Harvest!J40/Effort!J40</f>
        <v>12.896907216494846</v>
      </c>
      <c r="L40" s="9">
        <f>+Harvest!L40/Effort!L40</f>
        <v>14.714285714285714</v>
      </c>
      <c r="N40" s="8" t="s">
        <v>11</v>
      </c>
    </row>
    <row r="41" spans="1:14" x14ac:dyDescent="0.25">
      <c r="A41" s="4">
        <v>42421</v>
      </c>
      <c r="B41" s="5">
        <f t="shared" si="2"/>
        <v>42421</v>
      </c>
      <c r="C41" s="13">
        <v>-0.2</v>
      </c>
      <c r="D41" s="92">
        <v>0.74722222222222223</v>
      </c>
      <c r="F41" s="9">
        <f>+Harvest!F41/Effort!F41</f>
        <v>14.999999999999998</v>
      </c>
      <c r="G41" s="60"/>
      <c r="H41" s="8" t="s">
        <v>11</v>
      </c>
      <c r="J41" s="8" t="s">
        <v>11</v>
      </c>
      <c r="L41" s="9">
        <f>+Harvest!L41/Effort!L41</f>
        <v>14.795918367346939</v>
      </c>
      <c r="N41" s="8" t="s">
        <v>11</v>
      </c>
    </row>
    <row r="42" spans="1:14" x14ac:dyDescent="0.25">
      <c r="A42" s="4">
        <v>42422</v>
      </c>
      <c r="B42" s="5">
        <f t="shared" si="2"/>
        <v>42422</v>
      </c>
      <c r="C42" s="13">
        <v>-0.1</v>
      </c>
      <c r="D42" s="92">
        <v>0.77152777777777781</v>
      </c>
      <c r="F42" s="9">
        <f>+Harvest!F42/Effort!F42</f>
        <v>14.923076923076925</v>
      </c>
      <c r="G42" s="60"/>
      <c r="H42" s="8" t="s">
        <v>11</v>
      </c>
      <c r="I42" s="152"/>
      <c r="J42" s="8" t="s">
        <v>11</v>
      </c>
      <c r="K42" s="152"/>
      <c r="L42" s="8" t="s">
        <v>11</v>
      </c>
      <c r="M42" s="152"/>
      <c r="N42" s="8" t="s">
        <v>11</v>
      </c>
    </row>
    <row r="43" spans="1:14" x14ac:dyDescent="0.25">
      <c r="A43" s="4">
        <v>42423</v>
      </c>
      <c r="B43" s="5">
        <f t="shared" si="2"/>
        <v>42423</v>
      </c>
      <c r="C43" s="13">
        <v>0.1</v>
      </c>
      <c r="D43" s="92">
        <v>0.7944444444444444</v>
      </c>
      <c r="E43" s="2" t="s">
        <v>58</v>
      </c>
      <c r="F43" s="9">
        <f>+Harvest!F43/Effort!F43</f>
        <v>14.590909090909092</v>
      </c>
      <c r="G43" s="60"/>
      <c r="H43" s="8" t="s">
        <v>11</v>
      </c>
      <c r="I43" s="152"/>
      <c r="J43" s="8" t="s">
        <v>11</v>
      </c>
      <c r="K43" s="152"/>
      <c r="L43" s="8" t="s">
        <v>11</v>
      </c>
      <c r="M43" s="152"/>
      <c r="N43" s="8" t="s">
        <v>11</v>
      </c>
    </row>
    <row r="44" spans="1:14" x14ac:dyDescent="0.25">
      <c r="A44" s="4">
        <v>42424</v>
      </c>
      <c r="B44" s="5">
        <f t="shared" si="2"/>
        <v>42424</v>
      </c>
      <c r="C44" s="13">
        <v>0.5</v>
      </c>
      <c r="D44" s="92">
        <v>0.81597222222222221</v>
      </c>
      <c r="F44" s="9">
        <f>+Harvest!F44/Effort!F44</f>
        <v>9.4</v>
      </c>
      <c r="G44" s="60"/>
      <c r="H44" s="8" t="s">
        <v>11</v>
      </c>
      <c r="I44" s="152"/>
      <c r="J44" s="8" t="s">
        <v>11</v>
      </c>
      <c r="K44" s="152"/>
      <c r="L44" s="8" t="s">
        <v>11</v>
      </c>
      <c r="M44" s="152"/>
      <c r="N44" s="8" t="s">
        <v>11</v>
      </c>
    </row>
    <row r="45" spans="1:14" x14ac:dyDescent="0.25">
      <c r="A45" s="4">
        <v>42425</v>
      </c>
      <c r="B45" s="5">
        <f t="shared" si="2"/>
        <v>42425</v>
      </c>
      <c r="C45" s="13">
        <v>0.9</v>
      </c>
      <c r="D45" s="92">
        <v>0.83750000000000002</v>
      </c>
      <c r="E45" s="2" t="s">
        <v>58</v>
      </c>
      <c r="F45" s="9">
        <f>+Harvest!F45/Effort!F45</f>
        <v>10.344827586206897</v>
      </c>
      <c r="G45" s="60"/>
      <c r="H45" s="8" t="s">
        <v>11</v>
      </c>
      <c r="I45" s="152"/>
      <c r="J45" s="8" t="s">
        <v>11</v>
      </c>
      <c r="K45" s="152"/>
      <c r="L45" s="8" t="s">
        <v>11</v>
      </c>
      <c r="M45" s="152"/>
      <c r="N45" s="8" t="s">
        <v>11</v>
      </c>
    </row>
    <row r="46" spans="1:14" x14ac:dyDescent="0.25">
      <c r="A46" s="4">
        <v>42426</v>
      </c>
      <c r="B46" s="5">
        <f t="shared" si="2"/>
        <v>42426</v>
      </c>
      <c r="C46" s="13">
        <v>1.4</v>
      </c>
      <c r="D46" s="92">
        <v>0.85902777777777772</v>
      </c>
      <c r="F46" s="9">
        <f>+Harvest!F46/Effort!F46</f>
        <v>11.7</v>
      </c>
      <c r="G46" s="60"/>
      <c r="H46" s="8" t="s">
        <v>11</v>
      </c>
      <c r="I46" s="152"/>
      <c r="J46" s="8" t="s">
        <v>11</v>
      </c>
      <c r="K46" s="152"/>
      <c r="L46" s="8" t="s">
        <v>11</v>
      </c>
      <c r="M46" s="152"/>
      <c r="N46" s="8" t="s">
        <v>11</v>
      </c>
    </row>
    <row r="47" spans="1:14" x14ac:dyDescent="0.25">
      <c r="A47" s="4">
        <v>42427</v>
      </c>
      <c r="B47" s="5">
        <f t="shared" si="2"/>
        <v>42427</v>
      </c>
      <c r="C47" s="13">
        <v>2</v>
      </c>
      <c r="D47" s="92">
        <v>0.88124999999999998</v>
      </c>
      <c r="F47" s="9">
        <f>+Harvest!F47/Effort!F47</f>
        <v>12</v>
      </c>
      <c r="H47" s="8" t="s">
        <v>11</v>
      </c>
      <c r="I47" s="152"/>
      <c r="J47" s="8" t="s">
        <v>11</v>
      </c>
      <c r="K47" s="152"/>
      <c r="L47" s="8" t="s">
        <v>11</v>
      </c>
      <c r="M47" s="152"/>
      <c r="N47" s="8" t="s">
        <v>11</v>
      </c>
    </row>
    <row r="48" spans="1:14" x14ac:dyDescent="0.25">
      <c r="A48" s="4">
        <v>42428</v>
      </c>
      <c r="B48" s="99">
        <f t="shared" si="2"/>
        <v>42428</v>
      </c>
      <c r="C48" s="13">
        <v>2.5</v>
      </c>
      <c r="D48" s="92">
        <v>0.90555555555555556</v>
      </c>
      <c r="E48" s="2" t="s">
        <v>62</v>
      </c>
      <c r="F48" s="9">
        <v>0</v>
      </c>
      <c r="G48" s="60"/>
      <c r="H48" s="8" t="s">
        <v>11</v>
      </c>
      <c r="I48" s="152"/>
      <c r="J48" s="8" t="s">
        <v>11</v>
      </c>
      <c r="K48" s="152"/>
      <c r="L48" s="8" t="s">
        <v>11</v>
      </c>
      <c r="M48" s="152"/>
      <c r="N48" s="8" t="s">
        <v>11</v>
      </c>
    </row>
    <row r="49" spans="1:14" x14ac:dyDescent="0.25">
      <c r="A49" s="4">
        <v>42429</v>
      </c>
      <c r="B49" s="99">
        <f t="shared" si="2"/>
        <v>42429</v>
      </c>
      <c r="C49" s="13">
        <v>3.1</v>
      </c>
      <c r="D49" s="92">
        <v>0.93472222222222223</v>
      </c>
      <c r="E49" s="2" t="s">
        <v>62</v>
      </c>
      <c r="F49" s="9">
        <v>0</v>
      </c>
      <c r="G49" s="60"/>
      <c r="H49" s="8" t="s">
        <v>11</v>
      </c>
      <c r="I49" s="152"/>
      <c r="J49" s="8" t="s">
        <v>11</v>
      </c>
      <c r="K49" s="152"/>
      <c r="L49" s="8" t="s">
        <v>11</v>
      </c>
      <c r="M49" s="152"/>
      <c r="N49" s="8" t="s">
        <v>11</v>
      </c>
    </row>
    <row r="50" spans="1:14" x14ac:dyDescent="0.25">
      <c r="A50" s="4"/>
      <c r="B50" s="99"/>
      <c r="C50" s="175"/>
      <c r="D50" s="176"/>
      <c r="F50" s="9"/>
      <c r="G50" s="60"/>
      <c r="H50" s="9"/>
      <c r="I50" s="60"/>
      <c r="J50" s="8"/>
      <c r="L50" s="8"/>
      <c r="N50" s="8"/>
    </row>
    <row r="51" spans="1:14" x14ac:dyDescent="0.25">
      <c r="A51" s="4">
        <v>42430</v>
      </c>
      <c r="B51" s="99">
        <f t="shared" ref="B51:B84" si="3">+A51</f>
        <v>42430</v>
      </c>
      <c r="C51" s="13">
        <v>1.9</v>
      </c>
      <c r="D51" s="92">
        <v>0.48888888888888887</v>
      </c>
      <c r="E51" s="151" t="s">
        <v>58</v>
      </c>
      <c r="F51" s="9">
        <f>+Harvest!F51/Effort!F51</f>
        <v>11.6875</v>
      </c>
      <c r="G51" s="152"/>
      <c r="H51" s="8" t="s">
        <v>11</v>
      </c>
      <c r="I51" s="152"/>
      <c r="J51" s="8" t="s">
        <v>11</v>
      </c>
      <c r="K51" s="152"/>
      <c r="L51" s="8" t="s">
        <v>11</v>
      </c>
      <c r="M51" s="152"/>
      <c r="N51" s="8" t="s">
        <v>11</v>
      </c>
    </row>
    <row r="52" spans="1:14" x14ac:dyDescent="0.25">
      <c r="A52" s="4">
        <v>42431</v>
      </c>
      <c r="B52" s="99">
        <f t="shared" si="3"/>
        <v>42431</v>
      </c>
      <c r="C52" s="13">
        <v>1.8</v>
      </c>
      <c r="D52" s="92">
        <v>0.53541666666666665</v>
      </c>
      <c r="E52" s="151"/>
      <c r="F52" s="9">
        <f>+Harvest!F52/Effort!F52</f>
        <v>11.666666666666666</v>
      </c>
      <c r="G52" s="152"/>
      <c r="H52" s="8" t="s">
        <v>11</v>
      </c>
      <c r="I52" s="152"/>
      <c r="J52" s="8" t="s">
        <v>11</v>
      </c>
      <c r="K52" s="152"/>
      <c r="L52" s="8" t="s">
        <v>11</v>
      </c>
      <c r="M52" s="152"/>
      <c r="N52" s="8" t="s">
        <v>11</v>
      </c>
    </row>
    <row r="53" spans="1:14" x14ac:dyDescent="0.25">
      <c r="A53" s="4">
        <v>42432</v>
      </c>
      <c r="B53" s="99">
        <f t="shared" si="3"/>
        <v>42432</v>
      </c>
      <c r="C53" s="13">
        <v>1.4</v>
      </c>
      <c r="D53" s="92">
        <v>0.58263888888888893</v>
      </c>
      <c r="E53" s="151"/>
      <c r="F53" s="9">
        <f>+Harvest!F53/Effort!F53</f>
        <v>13.5</v>
      </c>
      <c r="G53" s="152"/>
      <c r="H53" s="8" t="s">
        <v>11</v>
      </c>
      <c r="I53" s="152"/>
      <c r="J53" s="8" t="s">
        <v>11</v>
      </c>
      <c r="K53" s="152"/>
      <c r="L53" s="8" t="s">
        <v>11</v>
      </c>
      <c r="M53" s="152"/>
      <c r="N53" s="8" t="s">
        <v>11</v>
      </c>
    </row>
    <row r="54" spans="1:14" x14ac:dyDescent="0.25">
      <c r="A54" s="4">
        <v>42433</v>
      </c>
      <c r="B54" s="99">
        <f t="shared" si="3"/>
        <v>42433</v>
      </c>
      <c r="C54" s="13">
        <v>0.9</v>
      </c>
      <c r="D54" s="92">
        <v>0.625</v>
      </c>
      <c r="E54" s="151"/>
      <c r="F54" s="9">
        <f>+Harvest!F54/Effort!F54</f>
        <v>6.4285714285714297</v>
      </c>
      <c r="G54" s="152"/>
      <c r="H54" s="8" t="s">
        <v>11</v>
      </c>
      <c r="I54" s="152"/>
      <c r="J54" s="8" t="s">
        <v>11</v>
      </c>
      <c r="K54" s="152"/>
      <c r="L54" s="8" t="s">
        <v>11</v>
      </c>
      <c r="M54" s="152"/>
      <c r="N54" s="8" t="s">
        <v>11</v>
      </c>
    </row>
    <row r="55" spans="1:14" x14ac:dyDescent="0.25">
      <c r="A55" s="4">
        <v>42434</v>
      </c>
      <c r="B55" s="99">
        <f t="shared" si="3"/>
        <v>42434</v>
      </c>
      <c r="C55" s="13">
        <v>0.3</v>
      </c>
      <c r="D55" s="92">
        <v>0.66180555555555554</v>
      </c>
      <c r="E55" s="151"/>
      <c r="F55" s="9">
        <f>+Harvest!F55/Effort!F55</f>
        <v>4.0909090909090899</v>
      </c>
      <c r="G55" s="152"/>
      <c r="H55" s="8" t="s">
        <v>11</v>
      </c>
      <c r="I55" s="152"/>
      <c r="J55" s="8" t="s">
        <v>11</v>
      </c>
      <c r="K55" s="152"/>
      <c r="L55" s="9">
        <f>+Harvest!L55/Effort!L55</f>
        <v>3.3510638297872344</v>
      </c>
      <c r="M55" s="152"/>
      <c r="N55" s="8" t="s">
        <v>11</v>
      </c>
    </row>
    <row r="56" spans="1:14" x14ac:dyDescent="0.25">
      <c r="A56" s="4">
        <v>42435</v>
      </c>
      <c r="B56" s="99">
        <f t="shared" si="3"/>
        <v>42435</v>
      </c>
      <c r="C56" s="13">
        <v>-0.2</v>
      </c>
      <c r="D56" s="92">
        <v>0.69444444444444442</v>
      </c>
      <c r="E56" s="151"/>
      <c r="F56" s="9">
        <f>+Harvest!F56/Effort!F56</f>
        <v>12.717391304347826</v>
      </c>
      <c r="G56" s="152"/>
      <c r="H56" s="8" t="s">
        <v>11</v>
      </c>
      <c r="I56" s="152"/>
      <c r="J56" s="8" t="s">
        <v>11</v>
      </c>
      <c r="K56" s="152"/>
      <c r="L56" s="9">
        <f>+Harvest!L56/Effort!L56</f>
        <v>13.869565217391306</v>
      </c>
      <c r="M56" s="152"/>
      <c r="N56" s="8" t="s">
        <v>11</v>
      </c>
    </row>
    <row r="57" spans="1:14" x14ac:dyDescent="0.25">
      <c r="A57" s="4">
        <v>42436</v>
      </c>
      <c r="B57" s="99">
        <f t="shared" si="3"/>
        <v>42436</v>
      </c>
      <c r="C57" s="13">
        <v>-0.5</v>
      </c>
      <c r="D57" s="92">
        <v>0.72430555555555554</v>
      </c>
      <c r="E57" s="151" t="s">
        <v>58</v>
      </c>
      <c r="F57" s="9">
        <f>+Harvest!F57/Effort!F57</f>
        <v>12.059313662630418</v>
      </c>
      <c r="G57" s="152"/>
      <c r="H57" s="8" t="s">
        <v>11</v>
      </c>
      <c r="I57" s="152"/>
      <c r="J57" s="8" t="s">
        <v>11</v>
      </c>
      <c r="K57" s="152"/>
      <c r="L57" s="9">
        <f>+Harvest!L57/Effort!L57</f>
        <v>15</v>
      </c>
      <c r="M57" s="152"/>
      <c r="N57" s="8" t="s">
        <v>11</v>
      </c>
    </row>
    <row r="58" spans="1:14" x14ac:dyDescent="0.25">
      <c r="A58" s="4">
        <v>42437</v>
      </c>
      <c r="B58" s="99">
        <f t="shared" si="3"/>
        <v>42437</v>
      </c>
      <c r="C58" s="13">
        <v>-0.6</v>
      </c>
      <c r="D58" s="92">
        <v>0.75347222222222221</v>
      </c>
      <c r="E58" s="151"/>
      <c r="F58" s="9">
        <f>+Harvest!F58/Effort!F58</f>
        <v>15.000000000000002</v>
      </c>
      <c r="G58" s="152"/>
      <c r="H58" s="8" t="s">
        <v>11</v>
      </c>
      <c r="I58" s="152"/>
      <c r="J58" s="8" t="s">
        <v>11</v>
      </c>
      <c r="K58" s="152"/>
      <c r="L58" s="9">
        <f>+Harvest!L58/Effort!L58</f>
        <v>14.324324324324321</v>
      </c>
      <c r="M58" s="152"/>
      <c r="N58" s="8" t="s">
        <v>11</v>
      </c>
    </row>
    <row r="59" spans="1:14" x14ac:dyDescent="0.25">
      <c r="A59" s="4">
        <v>42438</v>
      </c>
      <c r="B59" s="99">
        <f t="shared" si="3"/>
        <v>42438</v>
      </c>
      <c r="C59" s="13">
        <v>-0.5</v>
      </c>
      <c r="D59" s="92">
        <v>0.78263888888888888</v>
      </c>
      <c r="E59" s="151" t="s">
        <v>58</v>
      </c>
      <c r="F59" s="9">
        <f>+Harvest!F59/Effort!F59</f>
        <v>15</v>
      </c>
      <c r="G59" s="152"/>
      <c r="H59" s="8" t="s">
        <v>11</v>
      </c>
      <c r="I59" s="152"/>
      <c r="J59" s="8" t="s">
        <v>11</v>
      </c>
      <c r="K59" s="152"/>
      <c r="L59" s="8" t="s">
        <v>11</v>
      </c>
      <c r="M59" s="152"/>
      <c r="N59" s="8" t="s">
        <v>11</v>
      </c>
    </row>
    <row r="60" spans="1:14" x14ac:dyDescent="0.25">
      <c r="A60" s="4">
        <v>42439</v>
      </c>
      <c r="B60" s="99">
        <f t="shared" si="3"/>
        <v>42439</v>
      </c>
      <c r="C60" s="13">
        <v>-0.2</v>
      </c>
      <c r="D60" s="92">
        <v>0.81111111111111112</v>
      </c>
      <c r="E60" s="151" t="s">
        <v>58</v>
      </c>
      <c r="F60" s="9">
        <f>+Harvest!F60/Effort!F60</f>
        <v>13</v>
      </c>
      <c r="G60" s="152"/>
      <c r="H60" s="8" t="s">
        <v>11</v>
      </c>
      <c r="I60" s="152"/>
      <c r="J60" s="8" t="s">
        <v>11</v>
      </c>
      <c r="K60" s="152"/>
      <c r="L60" s="8" t="s">
        <v>11</v>
      </c>
      <c r="M60" s="152"/>
      <c r="N60" s="8" t="s">
        <v>11</v>
      </c>
    </row>
    <row r="61" spans="1:14" x14ac:dyDescent="0.25">
      <c r="A61" s="4"/>
      <c r="B61" s="99"/>
      <c r="C61" s="13"/>
      <c r="D61" s="92"/>
      <c r="E61" s="151"/>
      <c r="F61" s="154"/>
      <c r="G61" s="152"/>
      <c r="H61" s="8"/>
      <c r="I61" s="152"/>
      <c r="J61" s="8"/>
      <c r="K61" s="152"/>
      <c r="L61" s="8"/>
      <c r="M61" s="152"/>
      <c r="N61" s="8"/>
    </row>
    <row r="62" spans="1:14" x14ac:dyDescent="0.25">
      <c r="A62" s="4">
        <v>42440</v>
      </c>
      <c r="B62" s="99">
        <f t="shared" si="3"/>
        <v>42440</v>
      </c>
      <c r="C62" s="13">
        <v>-0.1</v>
      </c>
      <c r="D62" s="155">
        <v>0.33263888888888887</v>
      </c>
      <c r="E62" s="151"/>
      <c r="F62" s="9">
        <f>+Harvest!F62/Effort!F62</f>
        <v>14.999999999999996</v>
      </c>
      <c r="G62" s="152"/>
      <c r="H62" s="8" t="s">
        <v>11</v>
      </c>
      <c r="I62" s="152"/>
      <c r="J62" s="8" t="s">
        <v>11</v>
      </c>
      <c r="K62" s="152"/>
      <c r="L62" s="8" t="s">
        <v>11</v>
      </c>
      <c r="M62" s="152"/>
      <c r="N62" s="8" t="s">
        <v>11</v>
      </c>
    </row>
    <row r="63" spans="1:14" x14ac:dyDescent="0.25">
      <c r="A63" s="4">
        <v>42441</v>
      </c>
      <c r="B63" s="99">
        <f t="shared" si="3"/>
        <v>42441</v>
      </c>
      <c r="C63" s="13">
        <v>-0.2</v>
      </c>
      <c r="D63" s="155">
        <v>0.36736111111111114</v>
      </c>
      <c r="E63" s="151"/>
      <c r="F63" s="9">
        <f>+Harvest!F63/Effort!F63</f>
        <v>8.375</v>
      </c>
      <c r="G63" s="152"/>
      <c r="H63" s="8" t="s">
        <v>11</v>
      </c>
      <c r="I63" s="152"/>
      <c r="J63" s="8" t="s">
        <v>11</v>
      </c>
      <c r="K63" s="152"/>
      <c r="L63" s="8" t="s">
        <v>11</v>
      </c>
      <c r="M63" s="152"/>
      <c r="N63" s="8" t="s">
        <v>11</v>
      </c>
    </row>
    <row r="64" spans="1:14" x14ac:dyDescent="0.25">
      <c r="A64" s="4">
        <v>42442</v>
      </c>
      <c r="B64" s="99">
        <f t="shared" si="3"/>
        <v>42442</v>
      </c>
      <c r="C64" s="13">
        <v>0</v>
      </c>
      <c r="D64" s="155">
        <v>0.4465277777777778</v>
      </c>
      <c r="E64" s="151" t="s">
        <v>59</v>
      </c>
      <c r="F64" s="9">
        <v>0</v>
      </c>
      <c r="G64" s="152"/>
      <c r="H64" s="8" t="s">
        <v>11</v>
      </c>
      <c r="I64" s="152"/>
      <c r="J64" s="8" t="s">
        <v>11</v>
      </c>
      <c r="K64" s="152"/>
      <c r="L64" s="8" t="s">
        <v>11</v>
      </c>
      <c r="M64" s="152"/>
      <c r="N64" s="8" t="s">
        <v>11</v>
      </c>
    </row>
    <row r="65" spans="1:14" x14ac:dyDescent="0.25">
      <c r="A65" s="4">
        <v>42443</v>
      </c>
      <c r="B65" s="99">
        <f t="shared" si="3"/>
        <v>42443</v>
      </c>
      <c r="C65" s="13">
        <v>0.3</v>
      </c>
      <c r="D65" s="155">
        <v>0.48749999999999999</v>
      </c>
      <c r="E65" s="151"/>
      <c r="F65" s="9">
        <f>+Harvest!F65/Effort!F65</f>
        <v>14.9</v>
      </c>
      <c r="G65" s="152"/>
      <c r="H65" s="8" t="s">
        <v>11</v>
      </c>
      <c r="I65" s="152"/>
      <c r="J65" s="8" t="s">
        <v>11</v>
      </c>
      <c r="K65" s="152"/>
      <c r="L65" s="8" t="s">
        <v>11</v>
      </c>
      <c r="M65" s="152"/>
      <c r="N65" s="8" t="s">
        <v>11</v>
      </c>
    </row>
    <row r="66" spans="1:14" x14ac:dyDescent="0.25">
      <c r="A66" s="4"/>
      <c r="B66" s="99"/>
      <c r="C66" s="13"/>
      <c r="D66" s="92"/>
      <c r="E66" s="151"/>
      <c r="F66" s="154"/>
      <c r="G66" s="152"/>
      <c r="H66" s="8"/>
      <c r="I66" s="152"/>
      <c r="J66" s="8"/>
      <c r="K66" s="152"/>
      <c r="L66" s="8"/>
      <c r="M66" s="152"/>
      <c r="N66" s="8"/>
    </row>
    <row r="67" spans="1:14" x14ac:dyDescent="0.25">
      <c r="A67" s="4">
        <v>42444</v>
      </c>
      <c r="B67" s="99">
        <f t="shared" si="3"/>
        <v>42444</v>
      </c>
      <c r="C67" s="13">
        <v>0.6</v>
      </c>
      <c r="D67" s="92">
        <v>0.53402777777777777</v>
      </c>
      <c r="E67" s="151"/>
      <c r="F67" s="9">
        <f>+Harvest!F67/Effort!F67</f>
        <v>11.666666666666668</v>
      </c>
      <c r="G67" s="152"/>
      <c r="H67" s="8" t="s">
        <v>11</v>
      </c>
      <c r="I67" s="152"/>
      <c r="J67" s="8" t="s">
        <v>11</v>
      </c>
      <c r="K67" s="152"/>
      <c r="L67" s="8" t="s">
        <v>11</v>
      </c>
      <c r="M67" s="152"/>
      <c r="N67" s="8" t="s">
        <v>11</v>
      </c>
    </row>
    <row r="68" spans="1:14" x14ac:dyDescent="0.25">
      <c r="A68" s="4">
        <v>42445</v>
      </c>
      <c r="B68" s="99">
        <f t="shared" si="3"/>
        <v>42445</v>
      </c>
      <c r="C68" s="13">
        <v>0.8</v>
      </c>
      <c r="D68" s="92">
        <v>0.58402777777777781</v>
      </c>
      <c r="E68" s="151"/>
      <c r="F68" s="9">
        <f>+Harvest!F68/Effort!F68</f>
        <v>15</v>
      </c>
      <c r="G68" s="152"/>
      <c r="H68" s="8" t="s">
        <v>11</v>
      </c>
      <c r="I68" s="152"/>
      <c r="J68" s="8" t="s">
        <v>11</v>
      </c>
      <c r="K68" s="152"/>
      <c r="L68" s="8" t="s">
        <v>11</v>
      </c>
      <c r="M68" s="152"/>
      <c r="N68" s="8" t="s">
        <v>11</v>
      </c>
    </row>
    <row r="69" spans="1:14" x14ac:dyDescent="0.25">
      <c r="A69" s="4">
        <v>42446</v>
      </c>
      <c r="B69" s="99">
        <f t="shared" si="3"/>
        <v>42446</v>
      </c>
      <c r="C69" s="13">
        <v>0.8</v>
      </c>
      <c r="D69" s="92">
        <v>0.6333333333333333</v>
      </c>
      <c r="E69" s="151" t="s">
        <v>58</v>
      </c>
      <c r="F69" s="9">
        <f>+Harvest!F69/Effort!F69</f>
        <v>15</v>
      </c>
      <c r="G69" s="152"/>
      <c r="H69" s="8" t="s">
        <v>11</v>
      </c>
      <c r="I69" s="152"/>
      <c r="J69" s="8" t="s">
        <v>11</v>
      </c>
      <c r="K69" s="152"/>
      <c r="L69" s="8" t="s">
        <v>11</v>
      </c>
      <c r="M69" s="152"/>
      <c r="N69" s="8" t="s">
        <v>11</v>
      </c>
    </row>
    <row r="70" spans="1:14" x14ac:dyDescent="0.25">
      <c r="A70" s="4">
        <v>42447</v>
      </c>
      <c r="B70" s="99">
        <f t="shared" si="3"/>
        <v>42447</v>
      </c>
      <c r="C70" s="13">
        <v>0.7</v>
      </c>
      <c r="D70" s="92">
        <v>0.67708333333333337</v>
      </c>
      <c r="E70" s="151"/>
      <c r="F70" s="9">
        <f>+Harvest!F70/Effort!F70</f>
        <v>15.000000000000002</v>
      </c>
      <c r="G70" s="152"/>
      <c r="H70" s="8" t="s">
        <v>11</v>
      </c>
      <c r="I70" s="152"/>
      <c r="J70" s="9">
        <f>+Harvest!J70/Effort!J70</f>
        <v>14.428571428571429</v>
      </c>
      <c r="K70" s="152"/>
      <c r="L70" s="9">
        <f>+Harvest!L70/Effort!L70</f>
        <v>15</v>
      </c>
      <c r="M70" s="152"/>
      <c r="N70" s="8" t="s">
        <v>11</v>
      </c>
    </row>
    <row r="71" spans="1:14" x14ac:dyDescent="0.25">
      <c r="A71" s="4">
        <v>42448</v>
      </c>
      <c r="B71" s="99">
        <f t="shared" si="3"/>
        <v>42448</v>
      </c>
      <c r="C71" s="13">
        <v>0.5</v>
      </c>
      <c r="D71" s="92">
        <v>0.71319444444444446</v>
      </c>
      <c r="E71" s="151"/>
      <c r="F71" s="9">
        <f>+Harvest!F71/Effort!F71</f>
        <v>13.57758620689655</v>
      </c>
      <c r="G71" s="152"/>
      <c r="H71" s="8" t="s">
        <v>11</v>
      </c>
      <c r="I71" s="152"/>
      <c r="J71" s="9">
        <f>+Harvest!J71/Effort!J71</f>
        <v>12.684210526315788</v>
      </c>
      <c r="K71" s="152"/>
      <c r="L71" s="9">
        <f>+Harvest!L71/Effort!L71</f>
        <v>13.359375000000002</v>
      </c>
      <c r="M71" s="152"/>
      <c r="N71" s="8" t="s">
        <v>11</v>
      </c>
    </row>
    <row r="72" spans="1:14" x14ac:dyDescent="0.25">
      <c r="A72" s="4">
        <v>42449</v>
      </c>
      <c r="B72" s="99">
        <f t="shared" si="3"/>
        <v>42449</v>
      </c>
      <c r="C72" s="13">
        <v>0.4</v>
      </c>
      <c r="D72" s="92">
        <v>0.74305555555555558</v>
      </c>
      <c r="E72" s="151" t="s">
        <v>56</v>
      </c>
      <c r="F72" s="9">
        <f>+Harvest!F72/Effort!F72</f>
        <v>12.203390564593686</v>
      </c>
      <c r="G72" s="152"/>
      <c r="H72" s="8" t="s">
        <v>11</v>
      </c>
      <c r="I72" s="152"/>
      <c r="J72" s="9">
        <f>+Harvest!J72/Effort!J72</f>
        <v>11.3</v>
      </c>
      <c r="K72" s="152"/>
      <c r="L72" s="9">
        <f>+Harvest!L72/Effort!L72</f>
        <v>12.719999999999999</v>
      </c>
      <c r="M72" s="152"/>
      <c r="N72" s="8" t="s">
        <v>11</v>
      </c>
    </row>
    <row r="73" spans="1:14" x14ac:dyDescent="0.25">
      <c r="A73" s="4">
        <v>42450</v>
      </c>
      <c r="B73" s="99">
        <f t="shared" si="3"/>
        <v>42450</v>
      </c>
      <c r="C73" s="13">
        <v>0.5</v>
      </c>
      <c r="D73" s="92">
        <v>0.76944444444444449</v>
      </c>
      <c r="E73" s="151"/>
      <c r="F73" s="9">
        <f>+Harvest!F73/Effort!F73</f>
        <v>15</v>
      </c>
      <c r="G73" s="152"/>
      <c r="H73" s="8" t="s">
        <v>11</v>
      </c>
      <c r="I73" s="152"/>
      <c r="J73" s="8" t="s">
        <v>11</v>
      </c>
      <c r="K73" s="152"/>
      <c r="L73" s="8" t="s">
        <v>11</v>
      </c>
      <c r="M73" s="152"/>
      <c r="N73" s="8" t="s">
        <v>11</v>
      </c>
    </row>
    <row r="74" spans="1:14" x14ac:dyDescent="0.25">
      <c r="A74" s="4">
        <v>42451</v>
      </c>
      <c r="B74" s="99">
        <f t="shared" si="3"/>
        <v>42451</v>
      </c>
      <c r="C74" s="13">
        <v>0.6</v>
      </c>
      <c r="D74" s="92">
        <v>0.79305555555555551</v>
      </c>
      <c r="E74" s="151"/>
      <c r="F74" s="9">
        <f>+Harvest!F74/Effort!F74</f>
        <v>15</v>
      </c>
      <c r="G74" s="152"/>
      <c r="H74" s="8" t="s">
        <v>11</v>
      </c>
      <c r="I74" s="152"/>
      <c r="J74" s="8" t="s">
        <v>11</v>
      </c>
      <c r="K74" s="152"/>
      <c r="L74" s="8" t="s">
        <v>11</v>
      </c>
      <c r="M74" s="152"/>
      <c r="N74" s="8" t="s">
        <v>11</v>
      </c>
    </row>
    <row r="75" spans="1:14" x14ac:dyDescent="0.25">
      <c r="A75" s="4">
        <v>42452</v>
      </c>
      <c r="B75" s="99">
        <f t="shared" si="3"/>
        <v>42452</v>
      </c>
      <c r="C75" s="13">
        <v>0.8</v>
      </c>
      <c r="D75" s="92">
        <v>0.81527777777777777</v>
      </c>
      <c r="E75" s="151"/>
      <c r="F75" s="9">
        <f>+Harvest!F75/Effort!F75</f>
        <v>15</v>
      </c>
      <c r="G75" s="152"/>
      <c r="H75" s="8" t="s">
        <v>11</v>
      </c>
      <c r="I75" s="152"/>
      <c r="J75" s="8" t="s">
        <v>11</v>
      </c>
      <c r="K75" s="152"/>
      <c r="L75" s="8" t="s">
        <v>11</v>
      </c>
      <c r="M75" s="152"/>
      <c r="N75" s="8" t="s">
        <v>11</v>
      </c>
    </row>
    <row r="76" spans="1:14" x14ac:dyDescent="0.25">
      <c r="A76" s="4"/>
      <c r="B76" s="99"/>
      <c r="C76" s="13"/>
      <c r="D76" s="92"/>
      <c r="E76" s="151"/>
      <c r="F76" s="154"/>
      <c r="G76" s="152"/>
      <c r="H76" s="8"/>
      <c r="I76" s="152"/>
      <c r="J76" s="8"/>
      <c r="K76" s="152"/>
      <c r="L76" s="8"/>
      <c r="M76" s="152"/>
      <c r="N76" s="8"/>
    </row>
    <row r="77" spans="1:14" x14ac:dyDescent="0.25">
      <c r="A77" s="179">
        <v>42453</v>
      </c>
      <c r="B77" s="99">
        <f t="shared" si="3"/>
        <v>42453</v>
      </c>
      <c r="C77" s="180">
        <v>0.8</v>
      </c>
      <c r="D77" s="178">
        <v>0.33124999999999999</v>
      </c>
      <c r="E77" s="151"/>
      <c r="F77" s="9">
        <f>+Harvest!F77/Effort!F77</f>
        <v>6.8181818181818183</v>
      </c>
      <c r="G77" s="152"/>
      <c r="H77" s="8" t="s">
        <v>11</v>
      </c>
      <c r="I77" s="152"/>
      <c r="J77" s="8" t="s">
        <v>11</v>
      </c>
      <c r="K77" s="152"/>
      <c r="L77" s="8" t="s">
        <v>11</v>
      </c>
      <c r="M77" s="152"/>
      <c r="N77" s="8" t="s">
        <v>11</v>
      </c>
    </row>
    <row r="78" spans="1:14" x14ac:dyDescent="0.25">
      <c r="A78" s="179">
        <v>42454</v>
      </c>
      <c r="B78" s="99">
        <f t="shared" si="3"/>
        <v>42454</v>
      </c>
      <c r="C78" s="180">
        <v>0.7</v>
      </c>
      <c r="D78" s="178">
        <v>0.35486111111111113</v>
      </c>
      <c r="E78" s="151"/>
      <c r="F78" s="9">
        <f>+Harvest!F78/Effort!F78</f>
        <v>7.8571428571428559</v>
      </c>
      <c r="G78" s="152"/>
      <c r="H78" s="8" t="s">
        <v>11</v>
      </c>
      <c r="I78" s="152"/>
      <c r="J78" s="8" t="s">
        <v>11</v>
      </c>
      <c r="K78" s="152"/>
      <c r="L78" s="9">
        <f>+Harvest!L78/Effort!L78</f>
        <v>11.555555555555554</v>
      </c>
      <c r="M78" s="152"/>
      <c r="N78" s="8" t="s">
        <v>11</v>
      </c>
    </row>
    <row r="79" spans="1:14" x14ac:dyDescent="0.25">
      <c r="A79" s="179">
        <v>42455</v>
      </c>
      <c r="B79" s="99">
        <f t="shared" si="3"/>
        <v>42455</v>
      </c>
      <c r="C79" s="180">
        <v>0.6</v>
      </c>
      <c r="D79" s="178">
        <v>0.37916666666666665</v>
      </c>
      <c r="E79" s="151"/>
      <c r="F79" s="9">
        <f>+Harvest!F79/Effort!F79</f>
        <v>10.199175824175825</v>
      </c>
      <c r="G79" s="152"/>
      <c r="H79" s="8" t="s">
        <v>11</v>
      </c>
      <c r="I79" s="152"/>
      <c r="J79" s="8" t="s">
        <v>11</v>
      </c>
      <c r="K79" s="152"/>
      <c r="L79" s="9">
        <f>+Harvest!L79/Effort!L79</f>
        <v>15</v>
      </c>
      <c r="M79" s="152"/>
      <c r="N79" s="8" t="s">
        <v>11</v>
      </c>
    </row>
    <row r="80" spans="1:14" x14ac:dyDescent="0.25">
      <c r="A80" s="179">
        <v>42456</v>
      </c>
      <c r="B80" s="99">
        <f t="shared" si="3"/>
        <v>42456</v>
      </c>
      <c r="C80" s="180">
        <v>0.7</v>
      </c>
      <c r="D80" s="178">
        <v>0.40416666666666667</v>
      </c>
      <c r="E80" s="151"/>
      <c r="F80" s="9">
        <f>+Harvest!F80/Effort!F80</f>
        <v>8.6300718512256953</v>
      </c>
      <c r="G80" s="152"/>
      <c r="H80" s="8" t="s">
        <v>11</v>
      </c>
      <c r="I80" s="152"/>
      <c r="J80" s="8" t="s">
        <v>11</v>
      </c>
      <c r="K80" s="152"/>
      <c r="L80" s="9">
        <f>+Harvest!L80/Effort!L80</f>
        <v>12.692307692307692</v>
      </c>
      <c r="M80" s="152"/>
      <c r="N80" s="8" t="s">
        <v>11</v>
      </c>
    </row>
    <row r="81" spans="1:14" x14ac:dyDescent="0.25">
      <c r="A81" s="179">
        <v>42457</v>
      </c>
      <c r="B81" s="99">
        <f t="shared" si="3"/>
        <v>42457</v>
      </c>
      <c r="C81" s="180">
        <v>0.8</v>
      </c>
      <c r="D81" s="178">
        <v>0.43125000000000002</v>
      </c>
      <c r="E81" s="151"/>
      <c r="F81" s="9">
        <f>+Harvest!F81/Effort!F81</f>
        <v>14.894736842105264</v>
      </c>
      <c r="G81" s="152"/>
      <c r="H81" s="8" t="s">
        <v>11</v>
      </c>
      <c r="I81" s="152"/>
      <c r="J81" s="8" t="s">
        <v>11</v>
      </c>
      <c r="K81" s="152"/>
      <c r="L81" s="8" t="s">
        <v>11</v>
      </c>
      <c r="M81" s="152"/>
      <c r="N81" s="8" t="s">
        <v>11</v>
      </c>
    </row>
    <row r="82" spans="1:14" x14ac:dyDescent="0.25">
      <c r="A82" s="179">
        <v>42458</v>
      </c>
      <c r="B82" s="99">
        <f t="shared" si="3"/>
        <v>42458</v>
      </c>
      <c r="C82" s="180">
        <v>1</v>
      </c>
      <c r="D82" s="178">
        <v>0.46250000000000002</v>
      </c>
      <c r="E82" s="151"/>
      <c r="F82" s="9">
        <f>+Harvest!F82/Effort!F82</f>
        <v>15</v>
      </c>
      <c r="G82" s="152"/>
      <c r="H82" s="8" t="s">
        <v>11</v>
      </c>
      <c r="I82" s="152"/>
      <c r="J82" s="8" t="s">
        <v>11</v>
      </c>
      <c r="K82" s="152"/>
      <c r="L82" s="8" t="s">
        <v>11</v>
      </c>
      <c r="M82" s="152"/>
      <c r="N82" s="8" t="s">
        <v>11</v>
      </c>
    </row>
    <row r="83" spans="1:14" x14ac:dyDescent="0.25">
      <c r="A83" s="179">
        <v>42459</v>
      </c>
      <c r="B83" s="99">
        <f t="shared" si="3"/>
        <v>42459</v>
      </c>
      <c r="C83" s="180">
        <v>1.2</v>
      </c>
      <c r="D83" s="178">
        <v>0.5</v>
      </c>
      <c r="E83" s="151"/>
      <c r="F83" s="9">
        <f>+Harvest!F83/Effort!F83</f>
        <v>15.000000000000002</v>
      </c>
      <c r="G83" s="152"/>
      <c r="H83" s="8" t="s">
        <v>11</v>
      </c>
      <c r="I83" s="152"/>
      <c r="J83" s="8" t="s">
        <v>11</v>
      </c>
      <c r="K83" s="152"/>
      <c r="L83" s="8" t="s">
        <v>11</v>
      </c>
      <c r="M83" s="152"/>
      <c r="N83" s="8" t="s">
        <v>11</v>
      </c>
    </row>
    <row r="84" spans="1:14" x14ac:dyDescent="0.25">
      <c r="A84" s="179">
        <v>42460</v>
      </c>
      <c r="B84" s="99">
        <f t="shared" si="3"/>
        <v>42460</v>
      </c>
      <c r="C84" s="180">
        <v>1.2</v>
      </c>
      <c r="D84" s="178">
        <v>0.54305555555555551</v>
      </c>
      <c r="E84" s="151"/>
      <c r="F84" s="9">
        <f>+Harvest!F84/Effort!F84</f>
        <v>15</v>
      </c>
      <c r="G84" s="152"/>
      <c r="H84" s="8" t="s">
        <v>11</v>
      </c>
      <c r="I84" s="152"/>
      <c r="J84" s="8" t="s">
        <v>11</v>
      </c>
      <c r="K84" s="152"/>
      <c r="L84" s="8" t="s">
        <v>11</v>
      </c>
      <c r="M84" s="152"/>
      <c r="N84" s="8" t="s">
        <v>11</v>
      </c>
    </row>
    <row r="85" spans="1:14" x14ac:dyDescent="0.25">
      <c r="A85" s="53"/>
      <c r="B85" s="5"/>
      <c r="C85" s="58"/>
      <c r="D85" s="59"/>
      <c r="F85" s="8"/>
      <c r="G85" s="60"/>
      <c r="H85" s="9"/>
      <c r="I85" s="60"/>
      <c r="J85" s="8"/>
      <c r="K85" s="60"/>
      <c r="L85" s="8"/>
      <c r="M85" s="60"/>
      <c r="N85" s="8"/>
    </row>
    <row r="86" spans="1:14" x14ac:dyDescent="0.25">
      <c r="A86" s="4">
        <v>42463</v>
      </c>
      <c r="B86" s="99">
        <f t="shared" ref="B86:B95" si="4">+A86</f>
        <v>42463</v>
      </c>
      <c r="C86" s="13">
        <v>0.5</v>
      </c>
      <c r="D86" s="92">
        <v>0.67569444444444438</v>
      </c>
      <c r="F86" s="9">
        <f>+Harvest!F86/Effort!F86</f>
        <v>15.000000000000002</v>
      </c>
      <c r="G86" s="60"/>
      <c r="H86" s="8" t="s">
        <v>11</v>
      </c>
      <c r="I86" s="152"/>
      <c r="J86" s="8" t="s">
        <v>11</v>
      </c>
      <c r="K86" s="152"/>
      <c r="L86" s="8" t="s">
        <v>11</v>
      </c>
      <c r="M86" s="152"/>
      <c r="N86" s="8" t="s">
        <v>11</v>
      </c>
    </row>
    <row r="87" spans="1:14" x14ac:dyDescent="0.25">
      <c r="A87" s="4">
        <v>42464</v>
      </c>
      <c r="B87" s="99">
        <f t="shared" si="4"/>
        <v>42464</v>
      </c>
      <c r="C87" s="13">
        <v>0.1</v>
      </c>
      <c r="D87" s="92">
        <v>0.71111111111111114</v>
      </c>
      <c r="F87" s="9">
        <f>+Harvest!F87/Effort!F87</f>
        <v>15</v>
      </c>
      <c r="G87" s="60"/>
      <c r="H87" s="8" t="s">
        <v>11</v>
      </c>
      <c r="I87" s="152"/>
      <c r="J87" s="8" t="s">
        <v>11</v>
      </c>
      <c r="K87" s="152"/>
      <c r="L87" s="8" t="s">
        <v>11</v>
      </c>
      <c r="M87" s="152"/>
      <c r="N87" s="8" t="s">
        <v>11</v>
      </c>
    </row>
    <row r="88" spans="1:14" x14ac:dyDescent="0.25">
      <c r="A88" s="4">
        <v>42465</v>
      </c>
      <c r="B88" s="99">
        <f t="shared" si="4"/>
        <v>42465</v>
      </c>
      <c r="C88" s="13">
        <v>0</v>
      </c>
      <c r="D88" s="92">
        <v>0.74375000000000002</v>
      </c>
      <c r="F88" s="9">
        <f>+Harvest!F88/Effort!F88</f>
        <v>14.846153846153843</v>
      </c>
      <c r="G88" s="60"/>
      <c r="H88" s="8" t="s">
        <v>11</v>
      </c>
      <c r="I88" s="152"/>
      <c r="J88" s="8" t="s">
        <v>11</v>
      </c>
      <c r="K88" s="152"/>
      <c r="L88" s="8" t="s">
        <v>11</v>
      </c>
      <c r="M88" s="152"/>
      <c r="N88" s="8" t="s">
        <v>11</v>
      </c>
    </row>
    <row r="89" spans="1:14" x14ac:dyDescent="0.25">
      <c r="A89" s="4">
        <v>42466</v>
      </c>
      <c r="B89" s="99">
        <f t="shared" si="4"/>
        <v>42466</v>
      </c>
      <c r="C89" s="13">
        <v>0</v>
      </c>
      <c r="D89" s="92">
        <v>0.77500000000000002</v>
      </c>
      <c r="F89" s="9">
        <f>+Harvest!F89/Effort!F89</f>
        <v>14.999999999999998</v>
      </c>
      <c r="G89" s="60"/>
      <c r="H89" s="8" t="s">
        <v>11</v>
      </c>
      <c r="I89" s="152"/>
      <c r="J89" s="8" t="s">
        <v>11</v>
      </c>
      <c r="K89" s="152"/>
      <c r="L89" s="8" t="s">
        <v>11</v>
      </c>
      <c r="M89" s="152"/>
      <c r="N89" s="8" t="s">
        <v>11</v>
      </c>
    </row>
    <row r="90" spans="1:14" x14ac:dyDescent="0.25">
      <c r="A90" s="4">
        <v>42467</v>
      </c>
      <c r="B90" s="99">
        <f t="shared" si="4"/>
        <v>42467</v>
      </c>
      <c r="C90" s="13">
        <v>-0.6</v>
      </c>
      <c r="D90" s="92">
        <v>0.29652777777777778</v>
      </c>
      <c r="F90" s="9">
        <f>+Harvest!F90/Effort!F90</f>
        <v>15.000000000000002</v>
      </c>
      <c r="G90" s="60"/>
      <c r="H90" s="8" t="s">
        <v>11</v>
      </c>
      <c r="I90" s="152"/>
      <c r="J90" s="9">
        <f>+Harvest!J90/Effort!J90</f>
        <v>15.020408163265307</v>
      </c>
      <c r="K90" s="152"/>
      <c r="L90" s="9">
        <f>+Harvest!L90/Effort!L90</f>
        <v>14.999999999999998</v>
      </c>
      <c r="M90" s="152"/>
      <c r="N90" s="8" t="s">
        <v>11</v>
      </c>
    </row>
    <row r="91" spans="1:14" x14ac:dyDescent="0.25">
      <c r="A91" s="4">
        <v>42468</v>
      </c>
      <c r="B91" s="99">
        <f t="shared" si="4"/>
        <v>42468</v>
      </c>
      <c r="C91" s="13">
        <v>-1.1000000000000001</v>
      </c>
      <c r="D91" s="92">
        <v>0.32916666666666666</v>
      </c>
      <c r="F91" s="9">
        <f>+Harvest!F91/Effort!F91</f>
        <v>15.000000000000002</v>
      </c>
      <c r="G91" s="60"/>
      <c r="H91" s="8" t="s">
        <v>11</v>
      </c>
      <c r="I91" s="152"/>
      <c r="J91" s="9">
        <f>+Harvest!J91/Effort!J91</f>
        <v>15</v>
      </c>
      <c r="K91" s="152"/>
      <c r="L91" s="9">
        <f>+Harvest!L91/Effort!L91</f>
        <v>15</v>
      </c>
      <c r="M91" s="152"/>
      <c r="N91" s="8" t="s">
        <v>11</v>
      </c>
    </row>
    <row r="92" spans="1:14" x14ac:dyDescent="0.25">
      <c r="A92" s="4">
        <v>42469</v>
      </c>
      <c r="B92" s="99">
        <f t="shared" si="4"/>
        <v>42469</v>
      </c>
      <c r="C92" s="13">
        <v>-1.3</v>
      </c>
      <c r="D92" s="92">
        <v>0.36249999999999999</v>
      </c>
      <c r="F92" s="9">
        <f>+Harvest!F92/Effort!F92</f>
        <v>15</v>
      </c>
      <c r="G92" s="60"/>
      <c r="H92" s="8" t="s">
        <v>11</v>
      </c>
      <c r="I92" s="152"/>
      <c r="J92" s="9">
        <f>+Harvest!J92/Effort!J92</f>
        <v>14.904109589041097</v>
      </c>
      <c r="K92" s="152"/>
      <c r="L92" s="8" t="s">
        <v>11</v>
      </c>
      <c r="M92" s="152"/>
      <c r="N92" s="8" t="s">
        <v>11</v>
      </c>
    </row>
    <row r="93" spans="1:14" x14ac:dyDescent="0.25">
      <c r="A93" s="4">
        <v>42470</v>
      </c>
      <c r="B93" s="99">
        <f t="shared" si="4"/>
        <v>42470</v>
      </c>
      <c r="C93" s="13">
        <v>-1.2</v>
      </c>
      <c r="D93" s="92">
        <v>0.3972222222222222</v>
      </c>
      <c r="F93" s="9">
        <f>+Harvest!F93/Effort!F93</f>
        <v>14.983739837398375</v>
      </c>
      <c r="G93" s="60"/>
      <c r="H93" s="8" t="s">
        <v>11</v>
      </c>
      <c r="I93" s="152"/>
      <c r="J93" s="8" t="s">
        <v>11</v>
      </c>
      <c r="K93" s="152"/>
      <c r="L93" s="9">
        <f>+Harvest!L93/Effort!L93</f>
        <v>15</v>
      </c>
      <c r="M93" s="152"/>
      <c r="N93" s="8" t="s">
        <v>11</v>
      </c>
    </row>
    <row r="94" spans="1:14" x14ac:dyDescent="0.25">
      <c r="A94" s="4">
        <v>42471</v>
      </c>
      <c r="B94" s="99">
        <f t="shared" si="4"/>
        <v>42471</v>
      </c>
      <c r="C94" s="13">
        <v>-0.9</v>
      </c>
      <c r="D94" s="92">
        <v>0.43263888888888885</v>
      </c>
      <c r="F94" s="9">
        <f>+Harvest!F94/Effort!F94</f>
        <v>15.000000000000002</v>
      </c>
      <c r="G94" s="60"/>
      <c r="H94" s="8" t="s">
        <v>11</v>
      </c>
      <c r="I94" s="152"/>
      <c r="J94" s="8" t="s">
        <v>11</v>
      </c>
      <c r="K94" s="152"/>
      <c r="L94" s="8" t="s">
        <v>11</v>
      </c>
      <c r="M94" s="152"/>
      <c r="N94" s="8" t="s">
        <v>11</v>
      </c>
    </row>
    <row r="95" spans="1:14" x14ac:dyDescent="0.25">
      <c r="A95" s="4">
        <v>42472</v>
      </c>
      <c r="B95" s="99">
        <f t="shared" si="4"/>
        <v>42472</v>
      </c>
      <c r="C95" s="13">
        <v>-0.4</v>
      </c>
      <c r="D95" s="92">
        <v>0.47152777777777777</v>
      </c>
      <c r="F95" s="9">
        <f>+Harvest!F95/Effort!F95</f>
        <v>14.999999999999998</v>
      </c>
      <c r="G95" s="60"/>
      <c r="H95" s="8" t="s">
        <v>11</v>
      </c>
      <c r="I95" s="152"/>
      <c r="J95" s="8" t="s">
        <v>11</v>
      </c>
      <c r="K95" s="152"/>
      <c r="L95" s="8" t="s">
        <v>11</v>
      </c>
      <c r="M95" s="152"/>
      <c r="N95" s="8" t="s">
        <v>11</v>
      </c>
    </row>
    <row r="96" spans="1:14" x14ac:dyDescent="0.25">
      <c r="A96" s="53"/>
      <c r="B96" s="5"/>
      <c r="C96" s="58"/>
      <c r="D96" s="59"/>
      <c r="F96" s="8"/>
      <c r="G96" s="60"/>
      <c r="H96" s="9"/>
      <c r="I96" s="60"/>
      <c r="J96" s="8"/>
      <c r="K96" s="60"/>
      <c r="L96" s="8"/>
      <c r="M96" s="60"/>
      <c r="N96" s="8"/>
    </row>
    <row r="97" spans="1:14" x14ac:dyDescent="0.25">
      <c r="A97" s="4">
        <v>42480</v>
      </c>
      <c r="B97" s="99">
        <f t="shared" ref="B97:B105" si="5">+A97</f>
        <v>42480</v>
      </c>
      <c r="C97" s="13">
        <v>0.6</v>
      </c>
      <c r="D97" s="92">
        <v>0.2673611111111111</v>
      </c>
      <c r="F97" s="9">
        <f>+Harvest!F97/Effort!F97</f>
        <v>15.000000000000004</v>
      </c>
      <c r="G97" s="60"/>
      <c r="H97" s="8" t="s">
        <v>11</v>
      </c>
      <c r="I97" s="152"/>
      <c r="J97" s="8" t="s">
        <v>11</v>
      </c>
      <c r="K97" s="152"/>
      <c r="L97" s="8" t="s">
        <v>11</v>
      </c>
      <c r="M97" s="152"/>
      <c r="N97" s="8" t="s">
        <v>11</v>
      </c>
    </row>
    <row r="98" spans="1:14" x14ac:dyDescent="0.25">
      <c r="A98" s="4">
        <v>42481</v>
      </c>
      <c r="B98" s="99">
        <f t="shared" si="5"/>
        <v>42481</v>
      </c>
      <c r="C98" s="13">
        <v>0.2</v>
      </c>
      <c r="D98" s="92">
        <v>0.29236111111111113</v>
      </c>
      <c r="F98" s="9">
        <f>+Harvest!F98/Effort!F98</f>
        <v>15</v>
      </c>
      <c r="G98" s="60"/>
      <c r="H98" s="8" t="s">
        <v>11</v>
      </c>
      <c r="I98" s="152"/>
      <c r="J98" s="8" t="s">
        <v>11</v>
      </c>
      <c r="K98" s="152"/>
      <c r="L98" s="8" t="s">
        <v>11</v>
      </c>
      <c r="M98" s="152"/>
      <c r="N98" s="8" t="s">
        <v>11</v>
      </c>
    </row>
    <row r="99" spans="1:14" x14ac:dyDescent="0.25">
      <c r="A99" s="4">
        <v>42482</v>
      </c>
      <c r="B99" s="99">
        <f t="shared" si="5"/>
        <v>42482</v>
      </c>
      <c r="C99" s="13">
        <v>0</v>
      </c>
      <c r="D99" s="92">
        <v>0.31597222222222221</v>
      </c>
      <c r="F99" s="9">
        <f>+Harvest!F99/Effort!F99</f>
        <v>15.000000000000002</v>
      </c>
      <c r="G99" s="60"/>
      <c r="H99" s="8" t="s">
        <v>11</v>
      </c>
      <c r="I99" s="152"/>
      <c r="J99" s="8" t="s">
        <v>11</v>
      </c>
      <c r="K99" s="152"/>
      <c r="L99" s="8" t="s">
        <v>11</v>
      </c>
      <c r="M99" s="152"/>
      <c r="N99" s="8" t="s">
        <v>11</v>
      </c>
    </row>
    <row r="100" spans="1:14" x14ac:dyDescent="0.25">
      <c r="A100" s="4">
        <v>42483</v>
      </c>
      <c r="B100" s="99">
        <f t="shared" si="5"/>
        <v>42483</v>
      </c>
      <c r="C100" s="13">
        <v>-0.2</v>
      </c>
      <c r="D100" s="92">
        <v>0.33888888888888885</v>
      </c>
      <c r="F100" s="9">
        <f>+Harvest!F100/Effort!F100</f>
        <v>14.999999999999996</v>
      </c>
      <c r="G100" s="60"/>
      <c r="H100" s="8" t="s">
        <v>11</v>
      </c>
      <c r="I100" s="152"/>
      <c r="J100" s="8" t="s">
        <v>11</v>
      </c>
      <c r="K100" s="152"/>
      <c r="L100" s="9">
        <f>+Harvest!L100/Effort!L100</f>
        <v>15.054054054054056</v>
      </c>
      <c r="M100" s="152"/>
      <c r="N100" s="8" t="s">
        <v>11</v>
      </c>
    </row>
    <row r="101" spans="1:14" x14ac:dyDescent="0.25">
      <c r="A101" s="4">
        <v>42484</v>
      </c>
      <c r="B101" s="99">
        <f t="shared" si="5"/>
        <v>42484</v>
      </c>
      <c r="C101" s="13">
        <v>-0.2</v>
      </c>
      <c r="D101" s="92">
        <v>0.36249999999999999</v>
      </c>
      <c r="F101" s="9">
        <f>+Harvest!F101/Effort!F101</f>
        <v>15.000000000000002</v>
      </c>
      <c r="G101" s="60"/>
      <c r="H101" s="8" t="s">
        <v>11</v>
      </c>
      <c r="I101" s="152"/>
      <c r="J101" s="8" t="s">
        <v>11</v>
      </c>
      <c r="K101" s="152"/>
      <c r="L101" s="9" t="s">
        <v>11</v>
      </c>
      <c r="M101" s="152"/>
      <c r="N101" s="8" t="s">
        <v>11</v>
      </c>
    </row>
    <row r="102" spans="1:14" x14ac:dyDescent="0.25">
      <c r="A102" s="4">
        <v>42485</v>
      </c>
      <c r="B102" s="99">
        <f t="shared" si="5"/>
        <v>42485</v>
      </c>
      <c r="C102" s="13">
        <v>-0.2</v>
      </c>
      <c r="D102" s="92">
        <v>0.38750000000000001</v>
      </c>
      <c r="F102" s="9">
        <f>+Harvest!F102/Effort!F102</f>
        <v>14.999999999999998</v>
      </c>
      <c r="G102" s="60"/>
      <c r="H102" s="8" t="s">
        <v>11</v>
      </c>
      <c r="I102" s="152"/>
      <c r="J102" s="9">
        <f>+Harvest!J102/Effort!J102</f>
        <v>14.593750000000002</v>
      </c>
      <c r="K102" s="152"/>
      <c r="L102" s="9">
        <f>+Harvest!L102/Effort!L102</f>
        <v>15</v>
      </c>
      <c r="M102" s="152"/>
      <c r="N102" s="8" t="s">
        <v>11</v>
      </c>
    </row>
    <row r="103" spans="1:14" x14ac:dyDescent="0.25">
      <c r="A103" s="4">
        <v>42486</v>
      </c>
      <c r="B103" s="99">
        <f t="shared" si="5"/>
        <v>42486</v>
      </c>
      <c r="C103" s="13">
        <v>-0.1</v>
      </c>
      <c r="D103" s="92">
        <v>0.41388888888888892</v>
      </c>
      <c r="F103" s="9">
        <f>+Harvest!F103/Effort!F103</f>
        <v>15.000000000000002</v>
      </c>
      <c r="G103" s="60"/>
      <c r="H103" s="8" t="s">
        <v>11</v>
      </c>
      <c r="I103" s="152"/>
      <c r="J103" s="9">
        <f>+Harvest!J103/Effort!J103</f>
        <v>14.999999999999998</v>
      </c>
      <c r="K103" s="152"/>
      <c r="L103" s="9">
        <f>+Harvest!L103/Effort!L103</f>
        <v>15</v>
      </c>
      <c r="M103" s="152"/>
      <c r="N103" s="8" t="s">
        <v>11</v>
      </c>
    </row>
    <row r="104" spans="1:14" x14ac:dyDescent="0.25">
      <c r="A104" s="4">
        <v>42487</v>
      </c>
      <c r="B104" s="99">
        <f t="shared" si="5"/>
        <v>42487</v>
      </c>
      <c r="C104" s="13">
        <v>0.1</v>
      </c>
      <c r="D104" s="92">
        <v>0.44375000000000003</v>
      </c>
      <c r="F104" s="9">
        <f>+Harvest!F104/Effort!F104</f>
        <v>15</v>
      </c>
      <c r="G104" s="60"/>
      <c r="H104" s="8" t="s">
        <v>11</v>
      </c>
      <c r="I104" s="152"/>
      <c r="J104" s="8" t="s">
        <v>11</v>
      </c>
      <c r="K104" s="152"/>
      <c r="L104" s="8" t="s">
        <v>11</v>
      </c>
      <c r="M104" s="152"/>
      <c r="N104" s="8" t="s">
        <v>11</v>
      </c>
    </row>
    <row r="105" spans="1:14" x14ac:dyDescent="0.25">
      <c r="A105" s="4">
        <v>42488</v>
      </c>
      <c r="B105" s="99">
        <f t="shared" si="5"/>
        <v>42488</v>
      </c>
      <c r="C105" s="13">
        <v>0.3</v>
      </c>
      <c r="D105" s="92">
        <v>0.4777777777777778</v>
      </c>
      <c r="F105" s="9">
        <f>+Harvest!F105/Effort!F105</f>
        <v>15.000000000000002</v>
      </c>
      <c r="G105" s="60"/>
      <c r="H105" s="8" t="s">
        <v>11</v>
      </c>
      <c r="I105" s="152"/>
      <c r="J105" s="8" t="s">
        <v>11</v>
      </c>
      <c r="K105" s="152"/>
      <c r="L105" s="8" t="s">
        <v>11</v>
      </c>
      <c r="M105" s="152"/>
      <c r="N105" s="8" t="s">
        <v>11</v>
      </c>
    </row>
    <row r="106" spans="1:14" x14ac:dyDescent="0.25">
      <c r="A106" s="53"/>
      <c r="B106" s="5"/>
      <c r="C106" s="58"/>
      <c r="D106" s="59"/>
      <c r="F106" s="8"/>
      <c r="G106" s="60"/>
      <c r="H106" s="9"/>
      <c r="I106" s="60"/>
      <c r="J106" s="8"/>
      <c r="K106" s="60"/>
      <c r="L106" s="8"/>
      <c r="M106" s="60"/>
      <c r="N106" s="8"/>
    </row>
    <row r="107" spans="1:14" x14ac:dyDescent="0.25">
      <c r="A107" s="4">
        <v>42496</v>
      </c>
      <c r="B107" s="99">
        <f t="shared" ref="B107:B109" si="6">+A107</f>
        <v>42496</v>
      </c>
      <c r="C107" s="13">
        <v>-1.5</v>
      </c>
      <c r="D107" s="92">
        <v>0.28541666666666665</v>
      </c>
      <c r="F107" s="9">
        <f>+Harvest!F107/Effort!F107</f>
        <v>15.000000000000002</v>
      </c>
      <c r="G107" s="60"/>
      <c r="H107" s="8" t="s">
        <v>11</v>
      </c>
      <c r="I107" s="60"/>
      <c r="J107" s="8" t="s">
        <v>11</v>
      </c>
      <c r="K107" s="60"/>
      <c r="L107" s="8" t="s">
        <v>11</v>
      </c>
      <c r="M107" s="60"/>
      <c r="N107" s="8" t="s">
        <v>11</v>
      </c>
    </row>
    <row r="108" spans="1:14" x14ac:dyDescent="0.25">
      <c r="A108" s="4">
        <v>42497</v>
      </c>
      <c r="B108" s="99">
        <f t="shared" si="6"/>
        <v>42497</v>
      </c>
      <c r="C108" s="13">
        <v>-2</v>
      </c>
      <c r="D108" s="92">
        <v>0.31874999999999998</v>
      </c>
      <c r="F108" s="9">
        <f>+Harvest!F108/Effort!F108</f>
        <v>14.999999999999996</v>
      </c>
      <c r="G108" s="60"/>
      <c r="H108" s="8" t="s">
        <v>11</v>
      </c>
      <c r="I108" s="60"/>
      <c r="J108" s="8" t="s">
        <v>11</v>
      </c>
      <c r="K108" s="60"/>
      <c r="L108" s="8" t="s">
        <v>11</v>
      </c>
      <c r="M108" s="60"/>
      <c r="N108" s="8" t="s">
        <v>11</v>
      </c>
    </row>
    <row r="109" spans="1:14" x14ac:dyDescent="0.25">
      <c r="A109" s="4">
        <v>42498</v>
      </c>
      <c r="B109" s="99">
        <f t="shared" si="6"/>
        <v>42498</v>
      </c>
      <c r="C109" s="13">
        <v>-2.1</v>
      </c>
      <c r="D109" s="92">
        <v>0.35138888888888886</v>
      </c>
      <c r="F109" s="9">
        <f>+Harvest!F109/Effort!F109</f>
        <v>15.000000000000002</v>
      </c>
      <c r="G109" s="60"/>
      <c r="H109" s="8" t="s">
        <v>11</v>
      </c>
      <c r="I109" s="60"/>
      <c r="J109" s="8" t="s">
        <v>11</v>
      </c>
      <c r="K109" s="60"/>
      <c r="L109" s="8" t="s">
        <v>11</v>
      </c>
      <c r="M109" s="60"/>
      <c r="N109" s="8" t="s">
        <v>11</v>
      </c>
    </row>
    <row r="110" spans="1:14" x14ac:dyDescent="0.25">
      <c r="A110" s="53">
        <v>42499</v>
      </c>
      <c r="B110" s="5">
        <v>42499</v>
      </c>
      <c r="C110" s="58">
        <v>-1.9</v>
      </c>
      <c r="D110" s="59">
        <v>0.38472222222222219</v>
      </c>
      <c r="F110" s="8" t="s">
        <v>11</v>
      </c>
      <c r="G110" s="152"/>
      <c r="H110" s="8" t="s">
        <v>11</v>
      </c>
      <c r="I110" s="152"/>
      <c r="J110" s="8" t="s">
        <v>11</v>
      </c>
      <c r="K110" s="152"/>
      <c r="L110" s="9">
        <f>+Harvest!L110/Effort!L110</f>
        <v>14.926829268292684</v>
      </c>
      <c r="M110" s="152"/>
      <c r="N110" s="8" t="s">
        <v>11</v>
      </c>
    </row>
    <row r="111" spans="1:14" x14ac:dyDescent="0.25">
      <c r="A111" s="53">
        <v>42500</v>
      </c>
      <c r="B111" s="5">
        <v>42500</v>
      </c>
      <c r="C111" s="58">
        <v>-1.5</v>
      </c>
      <c r="D111" s="59">
        <v>0.41875000000000001</v>
      </c>
      <c r="F111" s="8" t="s">
        <v>11</v>
      </c>
      <c r="G111" s="152"/>
      <c r="H111" s="8" t="s">
        <v>11</v>
      </c>
      <c r="I111" s="152"/>
      <c r="J111" s="8" t="s">
        <v>11</v>
      </c>
      <c r="K111" s="152"/>
      <c r="L111" s="9">
        <f>+Harvest!L111/Effort!L111</f>
        <v>14.999999999999998</v>
      </c>
      <c r="M111" s="152"/>
      <c r="N111" s="8" t="s">
        <v>11</v>
      </c>
    </row>
    <row r="112" spans="1:14" x14ac:dyDescent="0.25">
      <c r="A112" s="53">
        <v>42501</v>
      </c>
      <c r="B112" s="5">
        <v>42501</v>
      </c>
      <c r="C112" s="58">
        <v>-0.9</v>
      </c>
      <c r="D112" s="59">
        <v>0.4548611111111111</v>
      </c>
      <c r="F112" s="8" t="s">
        <v>11</v>
      </c>
      <c r="G112" s="152"/>
      <c r="H112" s="8" t="s">
        <v>11</v>
      </c>
      <c r="I112" s="152"/>
      <c r="J112" s="8" t="s">
        <v>11</v>
      </c>
      <c r="K112" s="152"/>
      <c r="L112" s="9">
        <f>+Harvest!L112/Effort!L112</f>
        <v>14.942528735632184</v>
      </c>
      <c r="M112" s="152"/>
      <c r="N112" s="8" t="s">
        <v>11</v>
      </c>
    </row>
    <row r="113" spans="1:14" x14ac:dyDescent="0.25">
      <c r="A113" s="53">
        <v>42502</v>
      </c>
      <c r="B113" s="5">
        <v>42502</v>
      </c>
      <c r="C113" s="58">
        <v>-0.3</v>
      </c>
      <c r="D113" s="59">
        <v>0.49236111111111108</v>
      </c>
      <c r="F113" s="8" t="s">
        <v>11</v>
      </c>
      <c r="G113" s="152"/>
      <c r="H113" s="8" t="s">
        <v>11</v>
      </c>
      <c r="I113" s="152"/>
      <c r="J113" s="8" t="s">
        <v>11</v>
      </c>
      <c r="K113" s="152"/>
      <c r="L113" s="9">
        <f>+Harvest!L113/Effort!L113</f>
        <v>15</v>
      </c>
      <c r="M113" s="152"/>
      <c r="N113" s="8" t="s">
        <v>11</v>
      </c>
    </row>
    <row r="114" spans="1:14" x14ac:dyDescent="0.25">
      <c r="A114" s="53"/>
      <c r="B114" s="5"/>
      <c r="C114" s="58"/>
      <c r="D114" s="59"/>
      <c r="F114" s="8"/>
      <c r="G114" s="60"/>
      <c r="H114" s="9"/>
      <c r="I114" s="60"/>
      <c r="J114" s="8"/>
      <c r="K114" s="60"/>
      <c r="L114" s="8"/>
      <c r="M114" s="60"/>
      <c r="N114" s="8"/>
    </row>
    <row r="115" spans="1:14" x14ac:dyDescent="0.25">
      <c r="A115" s="53">
        <v>42510</v>
      </c>
      <c r="B115" s="5">
        <v>42510</v>
      </c>
      <c r="C115" s="58">
        <v>-0.3</v>
      </c>
      <c r="D115" s="59">
        <v>0.27569444444444446</v>
      </c>
      <c r="F115" s="8" t="s">
        <v>11</v>
      </c>
      <c r="G115" s="60"/>
      <c r="H115" s="8" t="s">
        <v>11</v>
      </c>
      <c r="I115" s="60"/>
      <c r="J115" s="9">
        <f>+Harvest!J115/Effort!J115</f>
        <v>14.947368421052632</v>
      </c>
      <c r="K115" s="152"/>
      <c r="L115" s="9">
        <f>+Harvest!L115/Effort!L115</f>
        <v>15</v>
      </c>
      <c r="M115" s="60"/>
      <c r="N115" s="8" t="s">
        <v>11</v>
      </c>
    </row>
    <row r="116" spans="1:14" x14ac:dyDescent="0.25">
      <c r="A116" s="53">
        <v>42511</v>
      </c>
      <c r="B116" s="5">
        <v>42511</v>
      </c>
      <c r="C116" s="58">
        <v>-0.6</v>
      </c>
      <c r="D116" s="59">
        <v>0.3</v>
      </c>
      <c r="F116" s="8" t="s">
        <v>11</v>
      </c>
      <c r="G116" s="60"/>
      <c r="H116" s="8" t="s">
        <v>11</v>
      </c>
      <c r="I116" s="60"/>
      <c r="J116" s="9">
        <f>+Harvest!J116/Effort!J116</f>
        <v>14.999999999999998</v>
      </c>
      <c r="K116" s="226"/>
      <c r="L116" s="9">
        <f>+Harvest!L116/Effort!L116</f>
        <v>15.037037037037036</v>
      </c>
      <c r="M116" s="60"/>
      <c r="N116" s="8" t="s">
        <v>11</v>
      </c>
    </row>
    <row r="117" spans="1:14" x14ac:dyDescent="0.25">
      <c r="A117" s="53">
        <v>42512</v>
      </c>
      <c r="B117" s="5">
        <v>42512</v>
      </c>
      <c r="C117" s="58">
        <v>-0.8</v>
      </c>
      <c r="D117" s="59">
        <v>0.32430555555555557</v>
      </c>
      <c r="F117" s="8" t="s">
        <v>11</v>
      </c>
      <c r="G117" s="60"/>
      <c r="H117" s="8" t="s">
        <v>11</v>
      </c>
      <c r="I117" s="60"/>
      <c r="J117" s="8" t="s">
        <v>11</v>
      </c>
      <c r="K117" s="60"/>
      <c r="L117" s="9">
        <f>+Harvest!L117/Effort!L117</f>
        <v>15</v>
      </c>
      <c r="M117" s="60"/>
      <c r="N117" s="8" t="s">
        <v>11</v>
      </c>
    </row>
    <row r="118" spans="1:14" x14ac:dyDescent="0.25">
      <c r="A118" s="53"/>
      <c r="B118" s="5"/>
      <c r="C118" s="58"/>
      <c r="D118" s="59"/>
      <c r="F118" s="8"/>
      <c r="G118" s="60"/>
      <c r="H118" s="9"/>
      <c r="I118" s="60"/>
      <c r="J118" s="8"/>
      <c r="K118" s="60"/>
      <c r="L118" s="8"/>
      <c r="M118" s="60"/>
      <c r="N118" s="8"/>
    </row>
    <row r="119" spans="1:14" x14ac:dyDescent="0.25">
      <c r="A119" s="53"/>
      <c r="B119" s="5"/>
      <c r="C119" s="58"/>
      <c r="D119" s="59"/>
      <c r="F119" s="8"/>
      <c r="G119" s="60"/>
      <c r="H119" s="9"/>
      <c r="I119" s="60"/>
      <c r="J119" s="8"/>
      <c r="K119" s="60"/>
      <c r="L119" s="8"/>
      <c r="M119" s="60"/>
      <c r="N119" s="8"/>
    </row>
    <row r="120" spans="1:14" x14ac:dyDescent="0.25">
      <c r="A120" s="17" t="s">
        <v>19</v>
      </c>
      <c r="F120" s="43">
        <f>Harvest!F120/Effort!F120</f>
        <v>13.960237084989924</v>
      </c>
      <c r="H120" s="43" t="e">
        <f>Harvest!H120/Effort!H120</f>
        <v>#DIV/0!</v>
      </c>
      <c r="J120" s="43">
        <f>Harvest!J120/Effort!J120</f>
        <v>13.691021633079375</v>
      </c>
      <c r="L120" s="43">
        <f>Harvest!L120/Effort!L120</f>
        <v>13.648906052147169</v>
      </c>
      <c r="N120" s="43"/>
    </row>
    <row r="121" spans="1:14" x14ac:dyDescent="0.25">
      <c r="A121" s="16" t="s">
        <v>18</v>
      </c>
    </row>
    <row r="122" spans="1:14" x14ac:dyDescent="0.25">
      <c r="A122" s="101" t="s">
        <v>57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28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W124"/>
  <sheetViews>
    <sheetView tabSelected="1" showRuler="0" zoomScaleNormal="100" workbookViewId="0">
      <pane ySplit="1245" topLeftCell="A33" activePane="bottomLeft"/>
      <selection pane="bottomLeft" activeCell="V93" sqref="V93"/>
    </sheetView>
  </sheetViews>
  <sheetFormatPr defaultRowHeight="15" x14ac:dyDescent="0.25"/>
  <cols>
    <col min="1" max="1" width="8" customWidth="1"/>
    <col min="2" max="2" width="5.14062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9.5703125" customWidth="1"/>
    <col min="8" max="8" width="7.42578125" bestFit="1" customWidth="1"/>
    <col min="9" max="9" width="8.85546875" bestFit="1" customWidth="1"/>
    <col min="10" max="10" width="7" customWidth="1"/>
    <col min="11" max="11" width="7.5703125" bestFit="1" customWidth="1"/>
    <col min="12" max="12" width="8.85546875" bestFit="1" customWidth="1"/>
    <col min="13" max="14" width="7.5703125" bestFit="1" customWidth="1"/>
    <col min="15" max="15" width="8.85546875" bestFit="1" customWidth="1"/>
    <col min="16" max="19" width="7.5703125" bestFit="1" customWidth="1"/>
    <col min="22" max="22" width="21.140625" bestFit="1" customWidth="1"/>
  </cols>
  <sheetData>
    <row r="1" spans="1:21" ht="15.75" thickBot="1" x14ac:dyDescent="0.3">
      <c r="A1" s="125" t="s">
        <v>54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</row>
    <row r="2" spans="1:21" ht="15.75" thickTop="1" x14ac:dyDescent="0.25">
      <c r="A2" s="23"/>
      <c r="B2" s="23"/>
      <c r="C2" s="23"/>
      <c r="D2" s="23"/>
      <c r="E2" s="232" t="s">
        <v>20</v>
      </c>
      <c r="F2" s="233"/>
      <c r="G2" s="234"/>
      <c r="H2" s="232" t="s">
        <v>21</v>
      </c>
      <c r="I2" s="233"/>
      <c r="J2" s="234"/>
      <c r="K2" s="232" t="s">
        <v>22</v>
      </c>
      <c r="L2" s="233"/>
      <c r="M2" s="234"/>
      <c r="N2" s="232" t="s">
        <v>23</v>
      </c>
      <c r="O2" s="233"/>
      <c r="P2" s="234"/>
      <c r="Q2" s="235" t="s">
        <v>24</v>
      </c>
      <c r="R2" s="236"/>
      <c r="S2" s="237"/>
      <c r="T2" s="230" t="s">
        <v>25</v>
      </c>
      <c r="U2" s="231"/>
    </row>
    <row r="3" spans="1:21" ht="15.75" thickBot="1" x14ac:dyDescent="0.3">
      <c r="A3" s="24" t="s">
        <v>26</v>
      </c>
      <c r="B3" s="24" t="s">
        <v>27</v>
      </c>
      <c r="C3" s="24" t="s">
        <v>28</v>
      </c>
      <c r="D3" s="24" t="s">
        <v>29</v>
      </c>
      <c r="E3" s="25" t="s">
        <v>30</v>
      </c>
      <c r="F3" s="24" t="s">
        <v>31</v>
      </c>
      <c r="G3" s="24" t="s">
        <v>10</v>
      </c>
      <c r="H3" s="25" t="s">
        <v>30</v>
      </c>
      <c r="I3" s="24" t="s">
        <v>31</v>
      </c>
      <c r="J3" s="24" t="s">
        <v>10</v>
      </c>
      <c r="K3" s="25" t="s">
        <v>30</v>
      </c>
      <c r="L3" s="24" t="s">
        <v>31</v>
      </c>
      <c r="M3" s="24" t="s">
        <v>10</v>
      </c>
      <c r="N3" s="25" t="s">
        <v>30</v>
      </c>
      <c r="O3" s="24" t="s">
        <v>31</v>
      </c>
      <c r="P3" s="24" t="s">
        <v>10</v>
      </c>
      <c r="Q3" s="25" t="s">
        <v>30</v>
      </c>
      <c r="R3" s="24" t="s">
        <v>31</v>
      </c>
      <c r="S3" s="24" t="s">
        <v>10</v>
      </c>
      <c r="T3" s="25" t="s">
        <v>30</v>
      </c>
      <c r="U3" s="26" t="s">
        <v>31</v>
      </c>
    </row>
    <row r="4" spans="1:21" ht="15.75" thickTop="1" x14ac:dyDescent="0.25">
      <c r="A4" s="27">
        <v>42362</v>
      </c>
      <c r="B4" s="18">
        <v>42362</v>
      </c>
      <c r="C4" s="19">
        <v>-1.2</v>
      </c>
      <c r="D4" s="20">
        <v>0.74097222222222225</v>
      </c>
      <c r="E4" s="30" t="str">
        <f>Effort!F2</f>
        <v>CLOSED</v>
      </c>
      <c r="F4" s="31" t="str">
        <f>Harvest!F2</f>
        <v>CLOSED</v>
      </c>
      <c r="G4" s="28" t="str">
        <f>CPUE!F2</f>
        <v>CLOSED</v>
      </c>
      <c r="H4" s="30" t="str">
        <f>Effort!H2</f>
        <v>CLOSED</v>
      </c>
      <c r="I4" s="31" t="str">
        <f>Harvest!H2</f>
        <v>CLOSED</v>
      </c>
      <c r="J4" s="28" t="str">
        <f>CPUE!H2</f>
        <v>CLOSED</v>
      </c>
      <c r="K4" s="30">
        <f>Effort!J2</f>
        <v>2988.2720686627513</v>
      </c>
      <c r="L4" s="31">
        <f>Harvest!J2</f>
        <v>42035.027099189363</v>
      </c>
      <c r="M4" s="28">
        <f>CPUE!J2</f>
        <v>14.066666666666665</v>
      </c>
      <c r="N4" s="30" t="str">
        <f>Effort!L2</f>
        <v>CLOSED</v>
      </c>
      <c r="O4" s="31" t="str">
        <f>Harvest!L2</f>
        <v>CLOSED</v>
      </c>
      <c r="P4" s="28" t="str">
        <f>CPUE!L2</f>
        <v>CLOSED</v>
      </c>
      <c r="Q4" s="30" t="str">
        <f>Effort!N2</f>
        <v>CLOSED</v>
      </c>
      <c r="R4" s="31" t="str">
        <f>Harvest!N2</f>
        <v>CLOSED</v>
      </c>
      <c r="S4" s="32" t="str">
        <f>CPUE!N2</f>
        <v>CLOSED</v>
      </c>
      <c r="T4" s="30">
        <f t="shared" ref="T4:U6" si="0">+K4</f>
        <v>2988.2720686627513</v>
      </c>
      <c r="U4" s="31">
        <f t="shared" si="0"/>
        <v>42035.027099189363</v>
      </c>
    </row>
    <row r="5" spans="1:21" x14ac:dyDescent="0.25">
      <c r="A5" s="27">
        <v>42363</v>
      </c>
      <c r="B5" s="18">
        <v>42363</v>
      </c>
      <c r="C5" s="21">
        <v>-1.3</v>
      </c>
      <c r="D5" s="22">
        <v>0.77083333333333337</v>
      </c>
      <c r="E5" s="30" t="str">
        <f>Effort!F3</f>
        <v>CLOSED</v>
      </c>
      <c r="F5" s="31" t="str">
        <f>Harvest!F3</f>
        <v>CLOSED</v>
      </c>
      <c r="G5" s="28" t="str">
        <f>CPUE!F3</f>
        <v>CLOSED</v>
      </c>
      <c r="H5" s="30" t="str">
        <f>Effort!H3</f>
        <v>CLOSED</v>
      </c>
      <c r="I5" s="31" t="str">
        <f>Harvest!H3</f>
        <v>CLOSED</v>
      </c>
      <c r="J5" s="28" t="str">
        <f>CPUE!H3</f>
        <v>CLOSED</v>
      </c>
      <c r="K5" s="30">
        <f>Effort!J3</f>
        <v>3038.5040546978062</v>
      </c>
      <c r="L5" s="31">
        <f>Harvest!J3</f>
        <v>45110.098658205898</v>
      </c>
      <c r="M5" s="28">
        <f>CPUE!J3</f>
        <v>14.846153846153848</v>
      </c>
      <c r="N5" s="30" t="str">
        <f>Effort!L3</f>
        <v>CLOSED</v>
      </c>
      <c r="O5" s="31" t="str">
        <f>Harvest!L3</f>
        <v>CLOSED</v>
      </c>
      <c r="P5" s="28" t="str">
        <f>CPUE!L3</f>
        <v>CLOSED</v>
      </c>
      <c r="Q5" s="30" t="str">
        <f>Effort!N3</f>
        <v>CLOSED</v>
      </c>
      <c r="R5" s="31" t="str">
        <f>Harvest!N3</f>
        <v>CLOSED</v>
      </c>
      <c r="S5" s="32" t="str">
        <f>CPUE!N3</f>
        <v>CLOSED</v>
      </c>
      <c r="T5" s="30">
        <f t="shared" si="0"/>
        <v>3038.5040546978062</v>
      </c>
      <c r="U5" s="31">
        <f t="shared" si="0"/>
        <v>45110.098658205898</v>
      </c>
    </row>
    <row r="6" spans="1:21" x14ac:dyDescent="0.25">
      <c r="A6" s="37">
        <v>42364</v>
      </c>
      <c r="B6" s="18">
        <v>42364</v>
      </c>
      <c r="C6" s="28">
        <v>-1.1000000000000001</v>
      </c>
      <c r="D6" s="29">
        <v>0.79999999999999993</v>
      </c>
      <c r="E6" s="30" t="str">
        <f>Effort!F4</f>
        <v>CLOSED</v>
      </c>
      <c r="F6" s="38" t="str">
        <f>Harvest!F4</f>
        <v>CLOSED</v>
      </c>
      <c r="G6" s="36" t="str">
        <f>CPUE!F4</f>
        <v>CLOSED</v>
      </c>
      <c r="H6" s="30" t="str">
        <f>Effort!H4</f>
        <v>CLOSED</v>
      </c>
      <c r="I6" s="38" t="str">
        <f>Harvest!H4</f>
        <v>CLOSED</v>
      </c>
      <c r="J6" s="36" t="str">
        <f>CPUE!H4</f>
        <v>CLOSED</v>
      </c>
      <c r="K6" s="30">
        <f>Effort!J4</f>
        <v>5373.4830347400912</v>
      </c>
      <c r="L6" s="38">
        <f>Harvest!J4</f>
        <v>78186.260900830617</v>
      </c>
      <c r="M6" s="36">
        <f>CPUE!J4</f>
        <v>14.550387596899222</v>
      </c>
      <c r="N6" s="30" t="str">
        <f>Effort!L4</f>
        <v>CLOSED</v>
      </c>
      <c r="O6" s="38" t="str">
        <f>Harvest!L4</f>
        <v>CLOSED</v>
      </c>
      <c r="P6" s="36" t="str">
        <f>CPUE!L4</f>
        <v>CLOSED</v>
      </c>
      <c r="Q6" s="30" t="str">
        <f>Effort!N4</f>
        <v>CLOSED</v>
      </c>
      <c r="R6" s="38" t="str">
        <f>Harvest!N4</f>
        <v>CLOSED</v>
      </c>
      <c r="S6" s="36" t="str">
        <f>CPUE!N4</f>
        <v>CLOSED</v>
      </c>
      <c r="T6" s="30">
        <f t="shared" si="0"/>
        <v>5373.4830347400912</v>
      </c>
      <c r="U6" s="38">
        <f t="shared" si="0"/>
        <v>78186.260900830617</v>
      </c>
    </row>
    <row r="7" spans="1:21" x14ac:dyDescent="0.25">
      <c r="A7" s="228" t="s">
        <v>32</v>
      </c>
      <c r="B7" s="228"/>
      <c r="C7" s="228"/>
      <c r="D7" s="229"/>
      <c r="E7" s="34"/>
      <c r="F7" s="35"/>
      <c r="G7" s="33"/>
      <c r="H7" s="34"/>
      <c r="I7" s="35"/>
      <c r="J7" s="33"/>
      <c r="K7" s="34">
        <f>SUM(K4:K6)</f>
        <v>11400.259158100649</v>
      </c>
      <c r="L7" s="35">
        <f>SUM(L4:L6)</f>
        <v>165331.38665822588</v>
      </c>
      <c r="M7" s="33">
        <f>+L7/K7</f>
        <v>14.502423529621854</v>
      </c>
      <c r="N7" s="34"/>
      <c r="O7" s="35"/>
      <c r="P7" s="33"/>
      <c r="Q7" s="34"/>
      <c r="R7" s="35"/>
      <c r="S7" s="33"/>
      <c r="T7" s="34">
        <f>SUM(T4:T6)</f>
        <v>11400.259158100649</v>
      </c>
      <c r="U7" s="35">
        <f>SUM(U4:U6)</f>
        <v>165331.38665822588</v>
      </c>
    </row>
    <row r="8" spans="1:21" x14ac:dyDescent="0.25">
      <c r="A8" s="27">
        <v>42376</v>
      </c>
      <c r="B8" s="18">
        <f t="shared" ref="B8:B15" si="1">+A8</f>
        <v>42376</v>
      </c>
      <c r="C8" s="19">
        <v>0.1</v>
      </c>
      <c r="D8" s="20">
        <v>0.70625000000000004</v>
      </c>
      <c r="E8" s="30">
        <f>Effort!F6</f>
        <v>2173.2756261806662</v>
      </c>
      <c r="F8" s="38">
        <f>Harvest!F6</f>
        <v>31029.546440468403</v>
      </c>
      <c r="G8" s="36">
        <f>CPUE!F6</f>
        <v>14.277777777777779</v>
      </c>
      <c r="H8" s="30" t="str">
        <f>Effort!H6</f>
        <v>CLOSED</v>
      </c>
      <c r="I8" s="38" t="str">
        <f>Harvest!H6</f>
        <v>CLOSED</v>
      </c>
      <c r="J8" s="36" t="str">
        <f>CPUE!H6</f>
        <v>CLOSED</v>
      </c>
      <c r="K8" s="30" t="str">
        <f>Effort!J6</f>
        <v>CLOSED</v>
      </c>
      <c r="L8" s="38" t="str">
        <f>Harvest!J6</f>
        <v>CLOSED</v>
      </c>
      <c r="M8" s="36" t="str">
        <f>CPUE!J6</f>
        <v>CLOSED</v>
      </c>
      <c r="N8" s="30" t="str">
        <f>Effort!L6</f>
        <v>CLOSED</v>
      </c>
      <c r="O8" s="38" t="str">
        <f>Harvest!L6</f>
        <v>CLOSED</v>
      </c>
      <c r="P8" s="36" t="str">
        <f>CPUE!L6</f>
        <v>CLOSED</v>
      </c>
      <c r="Q8" s="30" t="str">
        <f>Effort!N6</f>
        <v>CLOSED</v>
      </c>
      <c r="R8" s="38" t="str">
        <f>Harvest!N6</f>
        <v>CLOSED</v>
      </c>
      <c r="S8" s="36" t="str">
        <f>CPUE!N6</f>
        <v>CLOSED</v>
      </c>
      <c r="T8" s="30">
        <f>+E8</f>
        <v>2173.2756261806662</v>
      </c>
      <c r="U8" s="31">
        <f>+F8</f>
        <v>31029.546440468403</v>
      </c>
    </row>
    <row r="9" spans="1:21" x14ac:dyDescent="0.25">
      <c r="A9" s="27">
        <v>42377</v>
      </c>
      <c r="B9" s="18">
        <f t="shared" si="1"/>
        <v>42377</v>
      </c>
      <c r="C9" s="21">
        <v>-0.4</v>
      </c>
      <c r="D9" s="22">
        <v>0.73402777777777772</v>
      </c>
      <c r="E9" s="30">
        <f>Effort!F7</f>
        <v>2178.5020147443229</v>
      </c>
      <c r="F9" s="38">
        <f>Harvest!F7</f>
        <v>32644.27064842065</v>
      </c>
      <c r="G9" s="36">
        <f>CPUE!F7</f>
        <v>14.984732824427478</v>
      </c>
      <c r="H9" s="30" t="str">
        <f>Effort!H7</f>
        <v>CLOSED</v>
      </c>
      <c r="I9" s="38" t="str">
        <f>Harvest!H7</f>
        <v>CLOSED</v>
      </c>
      <c r="J9" s="36" t="str">
        <f>CPUE!H7</f>
        <v>CLOSED</v>
      </c>
      <c r="K9" s="30">
        <f>Effort!J7</f>
        <v>4608.3004836370055</v>
      </c>
      <c r="L9" s="38">
        <f>Harvest!J7</f>
        <v>68780.604233388134</v>
      </c>
      <c r="M9" s="36">
        <f>CPUE!J7</f>
        <v>14.925373134328357</v>
      </c>
      <c r="N9" s="30" t="str">
        <f>Effort!L7</f>
        <v>CLOSED</v>
      </c>
      <c r="O9" s="38" t="str">
        <f>Harvest!L7</f>
        <v>CLOSED</v>
      </c>
      <c r="P9" s="36" t="str">
        <f>CPUE!L7</f>
        <v>CLOSED</v>
      </c>
      <c r="Q9" s="30" t="str">
        <f>Effort!N7</f>
        <v>CLOSED</v>
      </c>
      <c r="R9" s="38" t="str">
        <f>Harvest!N7</f>
        <v>CLOSED</v>
      </c>
      <c r="S9" s="36" t="str">
        <f>CPUE!N7</f>
        <v>CLOSED</v>
      </c>
      <c r="T9" s="30">
        <f>+E9+K9</f>
        <v>6786.8024983813284</v>
      </c>
      <c r="U9" s="31">
        <f>+F9+L9</f>
        <v>101424.87488180879</v>
      </c>
    </row>
    <row r="10" spans="1:21" x14ac:dyDescent="0.25">
      <c r="A10" s="27">
        <v>42378</v>
      </c>
      <c r="B10" s="18">
        <f t="shared" si="1"/>
        <v>42378</v>
      </c>
      <c r="C10" s="21">
        <v>-0.8</v>
      </c>
      <c r="D10" s="22">
        <v>0.76111111111111107</v>
      </c>
      <c r="E10" s="30">
        <f>Effort!F8</f>
        <v>6868.6145021623506</v>
      </c>
      <c r="F10" s="38">
        <f>Harvest!F8</f>
        <v>87418.730027520811</v>
      </c>
      <c r="G10" s="36">
        <f>CPUE!F8</f>
        <v>12.727272727272725</v>
      </c>
      <c r="H10" s="30" t="str">
        <f>Effort!H8</f>
        <v>CLOSED</v>
      </c>
      <c r="I10" s="38" t="str">
        <f>Harvest!H8</f>
        <v>CLOSED</v>
      </c>
      <c r="J10" s="36" t="str">
        <f>CPUE!H8</f>
        <v>CLOSED</v>
      </c>
      <c r="K10" s="30">
        <f>Effort!J8</f>
        <v>8906.2351828290011</v>
      </c>
      <c r="L10" s="38">
        <f>Harvest!J8</f>
        <v>114652.09798740431</v>
      </c>
      <c r="M10" s="36">
        <f>CPUE!J8</f>
        <v>12.873239436619716</v>
      </c>
      <c r="N10" s="30" t="str">
        <f>Effort!L8</f>
        <v>CLOSED</v>
      </c>
      <c r="O10" s="38" t="str">
        <f>Harvest!L8</f>
        <v>CLOSED</v>
      </c>
      <c r="P10" s="36" t="str">
        <f>CPUE!L8</f>
        <v>CLOSED</v>
      </c>
      <c r="Q10" s="30" t="str">
        <f>Effort!N8</f>
        <v>CLOSED</v>
      </c>
      <c r="R10" s="38" t="str">
        <f>Harvest!N8</f>
        <v>CLOSED</v>
      </c>
      <c r="S10" s="36" t="str">
        <f>CPUE!N8</f>
        <v>CLOSED</v>
      </c>
      <c r="T10" s="30">
        <f>+E10+K10</f>
        <v>15774.849684991352</v>
      </c>
      <c r="U10" s="31">
        <f>+F10+L10</f>
        <v>202070.82801492512</v>
      </c>
    </row>
    <row r="11" spans="1:21" x14ac:dyDescent="0.25">
      <c r="A11" s="27">
        <v>42379</v>
      </c>
      <c r="B11" s="18">
        <f t="shared" si="1"/>
        <v>42379</v>
      </c>
      <c r="C11" s="170">
        <v>-1</v>
      </c>
      <c r="D11" s="22">
        <v>0.78819444444444442</v>
      </c>
      <c r="E11" s="30">
        <f>Effort!F9</f>
        <v>2284.2464329220879</v>
      </c>
      <c r="F11" s="38">
        <f>Harvest!F9</f>
        <v>34039.750765113466</v>
      </c>
      <c r="G11" s="36">
        <f>CPUE!F9</f>
        <v>14.901960784313724</v>
      </c>
      <c r="H11" s="30" t="str">
        <f>Effort!H9</f>
        <v>CLOSED</v>
      </c>
      <c r="I11" s="38" t="str">
        <f>Harvest!H9</f>
        <v>CLOSED</v>
      </c>
      <c r="J11" s="36" t="str">
        <f>CPUE!H9</f>
        <v>CLOSED</v>
      </c>
      <c r="K11" s="30" t="str">
        <f>Effort!J9</f>
        <v>CLOSED</v>
      </c>
      <c r="L11" s="38" t="str">
        <f>Harvest!J9</f>
        <v>CLOSED</v>
      </c>
      <c r="M11" s="36" t="str">
        <f>CPUE!J9</f>
        <v>CLOSED</v>
      </c>
      <c r="N11" s="30" t="str">
        <f>Effort!L9</f>
        <v>CLOSED</v>
      </c>
      <c r="O11" s="38" t="str">
        <f>Harvest!L9</f>
        <v>CLOSED</v>
      </c>
      <c r="P11" s="36" t="str">
        <f>CPUE!L9</f>
        <v>CLOSED</v>
      </c>
      <c r="Q11" s="30" t="str">
        <f>Effort!N9</f>
        <v>CLOSED</v>
      </c>
      <c r="R11" s="38" t="str">
        <f>Harvest!N9</f>
        <v>CLOSED</v>
      </c>
      <c r="S11" s="36" t="str">
        <f>CPUE!N9</f>
        <v>CLOSED</v>
      </c>
      <c r="T11" s="30">
        <f t="shared" ref="T11:U15" si="2">+E11</f>
        <v>2284.2464329220879</v>
      </c>
      <c r="U11" s="38">
        <f t="shared" si="2"/>
        <v>34039.750765113466</v>
      </c>
    </row>
    <row r="12" spans="1:21" x14ac:dyDescent="0.25">
      <c r="A12" s="27">
        <v>42380</v>
      </c>
      <c r="B12" s="18">
        <f t="shared" si="1"/>
        <v>42380</v>
      </c>
      <c r="C12" s="170">
        <v>-1</v>
      </c>
      <c r="D12" s="22">
        <v>0.81527777777777777</v>
      </c>
      <c r="E12" s="30">
        <f>Effort!F10</f>
        <v>508.68853385860922</v>
      </c>
      <c r="F12" s="38">
        <f>Harvest!F10</f>
        <v>7121.6394740205296</v>
      </c>
      <c r="G12" s="36">
        <f>CPUE!F10</f>
        <v>14.000000000000002</v>
      </c>
      <c r="H12" s="30" t="str">
        <f>Effort!H10</f>
        <v>CLOSED</v>
      </c>
      <c r="I12" s="38" t="str">
        <f>Harvest!H10</f>
        <v>CLOSED</v>
      </c>
      <c r="J12" s="36" t="str">
        <f>CPUE!H10</f>
        <v>CLOSED</v>
      </c>
      <c r="K12" s="30" t="str">
        <f>Effort!J10</f>
        <v>CLOSED</v>
      </c>
      <c r="L12" s="38" t="str">
        <f>Harvest!J10</f>
        <v>CLOSED</v>
      </c>
      <c r="M12" s="36" t="str">
        <f>CPUE!J10</f>
        <v>CLOSED</v>
      </c>
      <c r="N12" s="30" t="str">
        <f>Effort!L10</f>
        <v>CLOSED</v>
      </c>
      <c r="O12" s="38" t="str">
        <f>Harvest!L10</f>
        <v>CLOSED</v>
      </c>
      <c r="P12" s="36" t="str">
        <f>CPUE!L10</f>
        <v>CLOSED</v>
      </c>
      <c r="Q12" s="30" t="str">
        <f>Effort!N10</f>
        <v>CLOSED</v>
      </c>
      <c r="R12" s="38" t="str">
        <f>Harvest!N10</f>
        <v>CLOSED</v>
      </c>
      <c r="S12" s="36" t="str">
        <f>CPUE!N10</f>
        <v>CLOSED</v>
      </c>
      <c r="T12" s="30">
        <f t="shared" si="2"/>
        <v>508.68853385860922</v>
      </c>
      <c r="U12" s="38">
        <f t="shared" si="2"/>
        <v>7121.6394740205296</v>
      </c>
    </row>
    <row r="13" spans="1:21" x14ac:dyDescent="0.25">
      <c r="A13" s="27">
        <v>42381</v>
      </c>
      <c r="B13" s="18">
        <f t="shared" si="1"/>
        <v>42381</v>
      </c>
      <c r="C13" s="21">
        <v>-0.8</v>
      </c>
      <c r="D13" s="22">
        <v>0.84305555555555556</v>
      </c>
      <c r="E13" s="30">
        <f>Effort!F11</f>
        <v>125.81913703784566</v>
      </c>
      <c r="F13" s="38">
        <f>Harvest!F11</f>
        <v>1887.287055567685</v>
      </c>
      <c r="G13" s="36">
        <f>CPUE!F11</f>
        <v>15</v>
      </c>
      <c r="H13" s="30" t="str">
        <f>Effort!H11</f>
        <v>CLOSED</v>
      </c>
      <c r="I13" s="38" t="str">
        <f>Harvest!H11</f>
        <v>CLOSED</v>
      </c>
      <c r="J13" s="36" t="str">
        <f>CPUE!H11</f>
        <v>CLOSED</v>
      </c>
      <c r="K13" s="30" t="str">
        <f>Effort!J11</f>
        <v>CLOSED</v>
      </c>
      <c r="L13" s="38" t="str">
        <f>Harvest!J11</f>
        <v>CLOSED</v>
      </c>
      <c r="M13" s="36" t="str">
        <f>CPUE!J11</f>
        <v>CLOSED</v>
      </c>
      <c r="N13" s="30" t="str">
        <f>Effort!L11</f>
        <v>CLOSED</v>
      </c>
      <c r="O13" s="38" t="str">
        <f>Harvest!L11</f>
        <v>CLOSED</v>
      </c>
      <c r="P13" s="36" t="str">
        <f>CPUE!L11</f>
        <v>CLOSED</v>
      </c>
      <c r="Q13" s="30" t="str">
        <f>Effort!N11</f>
        <v>CLOSED</v>
      </c>
      <c r="R13" s="38" t="str">
        <f>Harvest!N11</f>
        <v>CLOSED</v>
      </c>
      <c r="S13" s="36" t="str">
        <f>CPUE!N11</f>
        <v>CLOSED</v>
      </c>
      <c r="T13" s="30">
        <f t="shared" si="2"/>
        <v>125.81913703784566</v>
      </c>
      <c r="U13" s="38">
        <f t="shared" si="2"/>
        <v>1887.287055567685</v>
      </c>
    </row>
    <row r="14" spans="1:21" x14ac:dyDescent="0.25">
      <c r="A14" s="27">
        <v>42382</v>
      </c>
      <c r="B14" s="18">
        <f t="shared" si="1"/>
        <v>42382</v>
      </c>
      <c r="C14" s="21">
        <v>-0.4</v>
      </c>
      <c r="D14" s="22">
        <v>0.87222222222222223</v>
      </c>
      <c r="E14" s="30">
        <f>Effort!F12</f>
        <v>591.25035086360469</v>
      </c>
      <c r="F14" s="38">
        <f>Harvest!F12</f>
        <v>8868.7552629540696</v>
      </c>
      <c r="G14" s="36">
        <f>CPUE!F12</f>
        <v>14.999999999999998</v>
      </c>
      <c r="H14" s="30" t="str">
        <f>Effort!H12</f>
        <v>CLOSED</v>
      </c>
      <c r="I14" s="38" t="str">
        <f>Harvest!H12</f>
        <v>CLOSED</v>
      </c>
      <c r="J14" s="36" t="str">
        <f>CPUE!H12</f>
        <v>CLOSED</v>
      </c>
      <c r="K14" s="30" t="str">
        <f>Effort!J12</f>
        <v>CLOSED</v>
      </c>
      <c r="L14" s="38" t="str">
        <f>Harvest!J12</f>
        <v>CLOSED</v>
      </c>
      <c r="M14" s="36" t="str">
        <f>CPUE!J12</f>
        <v>CLOSED</v>
      </c>
      <c r="N14" s="30" t="str">
        <f>Effort!L12</f>
        <v>CLOSED</v>
      </c>
      <c r="O14" s="38" t="str">
        <f>Harvest!L12</f>
        <v>CLOSED</v>
      </c>
      <c r="P14" s="36" t="str">
        <f>CPUE!L12</f>
        <v>CLOSED</v>
      </c>
      <c r="Q14" s="30" t="str">
        <f>Effort!N12</f>
        <v>CLOSED</v>
      </c>
      <c r="R14" s="38" t="str">
        <f>Harvest!N12</f>
        <v>CLOSED</v>
      </c>
      <c r="S14" s="36" t="str">
        <f>CPUE!N12</f>
        <v>CLOSED</v>
      </c>
      <c r="T14" s="30">
        <f t="shared" si="2"/>
        <v>591.25035086360469</v>
      </c>
      <c r="U14" s="38">
        <f t="shared" si="2"/>
        <v>8868.7552629540696</v>
      </c>
    </row>
    <row r="15" spans="1:21" x14ac:dyDescent="0.25">
      <c r="A15" s="37">
        <v>42383</v>
      </c>
      <c r="B15" s="18">
        <f t="shared" si="1"/>
        <v>42383</v>
      </c>
      <c r="C15" s="28">
        <v>0.2</v>
      </c>
      <c r="D15" s="29">
        <v>0.90277777777777779</v>
      </c>
      <c r="E15" s="30">
        <f>Effort!F13</f>
        <v>600</v>
      </c>
      <c r="F15" s="38">
        <f>Harvest!F13</f>
        <v>8900</v>
      </c>
      <c r="G15" s="36">
        <f>CPUE!F13</f>
        <v>14.833333333333334</v>
      </c>
      <c r="H15" s="30" t="str">
        <f>Effort!H13</f>
        <v>CLOSED</v>
      </c>
      <c r="I15" s="38" t="str">
        <f>Harvest!H13</f>
        <v>CLOSED</v>
      </c>
      <c r="J15" s="36" t="str">
        <f>CPUE!H13</f>
        <v>CLOSED</v>
      </c>
      <c r="K15" s="30" t="str">
        <f>Effort!J13</f>
        <v>CLOSED</v>
      </c>
      <c r="L15" s="38" t="str">
        <f>Harvest!J13</f>
        <v>CLOSED</v>
      </c>
      <c r="M15" s="36" t="str">
        <f>CPUE!J13</f>
        <v>CLOSED</v>
      </c>
      <c r="N15" s="30" t="str">
        <f>Effort!L13</f>
        <v>CLOSED</v>
      </c>
      <c r="O15" s="38" t="str">
        <f>Harvest!L13</f>
        <v>CLOSED</v>
      </c>
      <c r="P15" s="36" t="str">
        <f>CPUE!L13</f>
        <v>CLOSED</v>
      </c>
      <c r="Q15" s="30" t="str">
        <f>Effort!N13</f>
        <v>CLOSED</v>
      </c>
      <c r="R15" s="38" t="str">
        <f>Harvest!N13</f>
        <v>CLOSED</v>
      </c>
      <c r="S15" s="36" t="str">
        <f>CPUE!N13</f>
        <v>CLOSED</v>
      </c>
      <c r="T15" s="30">
        <f t="shared" si="2"/>
        <v>600</v>
      </c>
      <c r="U15" s="38">
        <f t="shared" si="2"/>
        <v>8900</v>
      </c>
    </row>
    <row r="16" spans="1:21" x14ac:dyDescent="0.25">
      <c r="A16" s="228" t="s">
        <v>32</v>
      </c>
      <c r="B16" s="228"/>
      <c r="C16" s="228"/>
      <c r="D16" s="229"/>
      <c r="E16" s="34">
        <f>SUM(E8:E15)</f>
        <v>15330.396597769488</v>
      </c>
      <c r="F16" s="35">
        <f>SUM(F8:F15)</f>
        <v>211909.97967406563</v>
      </c>
      <c r="G16" s="33">
        <f>+F16/E16</f>
        <v>13.822863506668686</v>
      </c>
      <c r="H16" s="34"/>
      <c r="I16" s="35"/>
      <c r="J16" s="33"/>
      <c r="K16" s="34">
        <f>SUM(K9:K15)</f>
        <v>13514.535666466007</v>
      </c>
      <c r="L16" s="35">
        <f>SUM(L9:L15)</f>
        <v>183432.70222079245</v>
      </c>
      <c r="M16" s="33">
        <f>+L16/K16</f>
        <v>13.572993312374699</v>
      </c>
      <c r="N16" s="34"/>
      <c r="O16" s="35"/>
      <c r="P16" s="33"/>
      <c r="Q16" s="34"/>
      <c r="R16" s="35"/>
      <c r="S16" s="33"/>
      <c r="T16" s="34">
        <f>SUM(T8:T15)</f>
        <v>28844.932264235493</v>
      </c>
      <c r="U16" s="35">
        <f>SUM(U8:U15)</f>
        <v>395342.68189485796</v>
      </c>
    </row>
    <row r="17" spans="1:21" x14ac:dyDescent="0.25">
      <c r="A17" s="37">
        <v>42390</v>
      </c>
      <c r="B17" s="18">
        <v>42390</v>
      </c>
      <c r="C17" s="28">
        <v>-0.4</v>
      </c>
      <c r="D17" s="29">
        <v>0.7006944444444444</v>
      </c>
      <c r="E17" s="30">
        <f>Effort!F15</f>
        <v>488.6185399692082</v>
      </c>
      <c r="F17" s="38">
        <f>Harvest!F15</f>
        <v>4230.7215046114361</v>
      </c>
      <c r="G17" s="36">
        <f>CPUE!F15</f>
        <v>8.6585365853658516</v>
      </c>
      <c r="H17" s="30" t="str">
        <f>Effort!H15</f>
        <v>CLOSED</v>
      </c>
      <c r="I17" s="38" t="str">
        <f>Harvest!H15</f>
        <v>CLOSED</v>
      </c>
      <c r="J17" s="36" t="str">
        <f>CPUE!H15</f>
        <v>CLOSED</v>
      </c>
      <c r="K17" s="30" t="str">
        <f>Effort!J15</f>
        <v>CLOSED</v>
      </c>
      <c r="L17" s="38" t="str">
        <f>Harvest!J15</f>
        <v>CLOSED</v>
      </c>
      <c r="M17" s="36" t="str">
        <f>CPUE!J15</f>
        <v>CLOSED</v>
      </c>
      <c r="N17" s="30" t="str">
        <f>Effort!L15</f>
        <v>CLOSED</v>
      </c>
      <c r="O17" s="38" t="str">
        <f>Harvest!L15</f>
        <v>CLOSED</v>
      </c>
      <c r="P17" s="36" t="str">
        <f>CPUE!L15</f>
        <v>CLOSED</v>
      </c>
      <c r="Q17" s="30" t="str">
        <f>Effort!N15</f>
        <v>CLOSED</v>
      </c>
      <c r="R17" s="38" t="str">
        <f>Harvest!N15</f>
        <v>CLOSED</v>
      </c>
      <c r="S17" s="36" t="str">
        <f>CPUE!N15</f>
        <v>CLOSED</v>
      </c>
      <c r="T17" s="30">
        <f>+E17</f>
        <v>488.6185399692082</v>
      </c>
      <c r="U17" s="38">
        <f>+F17</f>
        <v>4230.7215046114361</v>
      </c>
    </row>
    <row r="18" spans="1:21" x14ac:dyDescent="0.25">
      <c r="A18" s="37">
        <v>42391</v>
      </c>
      <c r="B18" s="18">
        <v>42391</v>
      </c>
      <c r="C18" s="28">
        <v>-0.7</v>
      </c>
      <c r="D18" s="29">
        <v>0.73263888888888884</v>
      </c>
      <c r="E18" s="30">
        <f>Effort!F16</f>
        <v>2846.5078298364174</v>
      </c>
      <c r="F18" s="38">
        <f>Harvest!F16</f>
        <v>42697.617447546261</v>
      </c>
      <c r="G18" s="36">
        <f>CPUE!F16</f>
        <v>15</v>
      </c>
      <c r="H18" s="30" t="str">
        <f>Effort!H16</f>
        <v>CLOSED</v>
      </c>
      <c r="I18" s="38" t="str">
        <f>Harvest!H16</f>
        <v>CLOSED</v>
      </c>
      <c r="J18" s="36" t="str">
        <f>CPUE!H16</f>
        <v>CLOSED</v>
      </c>
      <c r="K18" s="30">
        <f>Effort!J16</f>
        <v>4454.5089657605977</v>
      </c>
      <c r="L18" s="38">
        <f>Harvest!J16</f>
        <v>49770.571328979</v>
      </c>
      <c r="M18" s="36">
        <f>CPUE!J16</f>
        <v>11.173076923076927</v>
      </c>
      <c r="N18" s="30" t="str">
        <f>Effort!L16</f>
        <v>CLOSED</v>
      </c>
      <c r="O18" s="38" t="str">
        <f>Harvest!L16</f>
        <v>CLOSED</v>
      </c>
      <c r="P18" s="36" t="str">
        <f>CPUE!L16</f>
        <v>CLOSED</v>
      </c>
      <c r="Q18" s="30" t="str">
        <f>Effort!N16</f>
        <v>CLOSED</v>
      </c>
      <c r="R18" s="38" t="str">
        <f>Harvest!N16</f>
        <v>CLOSED</v>
      </c>
      <c r="S18" s="36" t="str">
        <f>CPUE!N16</f>
        <v>CLOSED</v>
      </c>
      <c r="T18" s="30">
        <f>+E18+K18</f>
        <v>7301.0167955970155</v>
      </c>
      <c r="U18" s="38">
        <f>+F18+L18</f>
        <v>92468.188776525261</v>
      </c>
    </row>
    <row r="19" spans="1:21" x14ac:dyDescent="0.25">
      <c r="A19" s="37">
        <v>42392</v>
      </c>
      <c r="B19" s="18">
        <v>42392</v>
      </c>
      <c r="C19" s="28">
        <v>-0.8</v>
      </c>
      <c r="D19" s="29">
        <v>0.76111111111111107</v>
      </c>
      <c r="E19" s="30">
        <f>Effort!F17</f>
        <v>6367.2656326866636</v>
      </c>
      <c r="F19" s="38">
        <f>Harvest!F17</f>
        <v>96068.744106360333</v>
      </c>
      <c r="G19" s="36">
        <f>CPUE!F17</f>
        <v>15.087912087912089</v>
      </c>
      <c r="H19" s="30" t="str">
        <f>Effort!H17</f>
        <v>CLOSED</v>
      </c>
      <c r="I19" s="38" t="str">
        <f>Harvest!H17</f>
        <v>CLOSED</v>
      </c>
      <c r="J19" s="36" t="str">
        <f>CPUE!H17</f>
        <v>CLOSED</v>
      </c>
      <c r="K19" s="30" t="str">
        <f>Effort!J17</f>
        <v>CLOSED</v>
      </c>
      <c r="L19" s="38" t="str">
        <f>Harvest!J17</f>
        <v>CLOSED</v>
      </c>
      <c r="M19" s="36" t="str">
        <f>CPUE!J17</f>
        <v>CLOSED</v>
      </c>
      <c r="N19" s="30" t="str">
        <f>Effort!L17</f>
        <v>CLOSED</v>
      </c>
      <c r="O19" s="38" t="str">
        <f>Harvest!L17</f>
        <v>CLOSED</v>
      </c>
      <c r="P19" s="36" t="str">
        <f>CPUE!L17</f>
        <v>CLOSED</v>
      </c>
      <c r="Q19" s="30" t="str">
        <f>Effort!N17</f>
        <v>CLOSED</v>
      </c>
      <c r="R19" s="38" t="str">
        <f>Harvest!N17</f>
        <v>CLOSED</v>
      </c>
      <c r="S19" s="36" t="str">
        <f>CPUE!N17</f>
        <v>CLOSED</v>
      </c>
      <c r="T19" s="30">
        <f t="shared" ref="T19:U23" si="3">+E19</f>
        <v>6367.2656326866636</v>
      </c>
      <c r="U19" s="38">
        <f t="shared" si="3"/>
        <v>96068.744106360333</v>
      </c>
    </row>
    <row r="20" spans="1:21" x14ac:dyDescent="0.25">
      <c r="A20" s="37">
        <v>42393</v>
      </c>
      <c r="B20" s="18">
        <v>42393</v>
      </c>
      <c r="C20" s="28">
        <v>-0.7</v>
      </c>
      <c r="D20" s="29">
        <v>0.78749999999999998</v>
      </c>
      <c r="E20" s="30">
        <f>Effort!F18</f>
        <v>2300</v>
      </c>
      <c r="F20" s="38">
        <f>Harvest!F18</f>
        <v>34000</v>
      </c>
      <c r="G20" s="36">
        <f>CPUE!F18</f>
        <v>14.782608695652174</v>
      </c>
      <c r="H20" s="30" t="str">
        <f>Effort!H18</f>
        <v>CLOSED</v>
      </c>
      <c r="I20" s="38" t="str">
        <f>Harvest!H18</f>
        <v>CLOSED</v>
      </c>
      <c r="J20" s="36" t="str">
        <f>CPUE!H18</f>
        <v>CLOSED</v>
      </c>
      <c r="K20" s="30" t="str">
        <f>Effort!J18</f>
        <v>CLOSED</v>
      </c>
      <c r="L20" s="38" t="str">
        <f>Harvest!J18</f>
        <v>CLOSED</v>
      </c>
      <c r="M20" s="36" t="str">
        <f>CPUE!J18</f>
        <v>CLOSED</v>
      </c>
      <c r="N20" s="30" t="str">
        <f>Effort!L18</f>
        <v>CLOSED</v>
      </c>
      <c r="O20" s="38" t="str">
        <f>Harvest!L18</f>
        <v>CLOSED</v>
      </c>
      <c r="P20" s="36" t="str">
        <f>CPUE!L18</f>
        <v>CLOSED</v>
      </c>
      <c r="Q20" s="30" t="str">
        <f>Effort!N18</f>
        <v>CLOSED</v>
      </c>
      <c r="R20" s="38" t="str">
        <f>Harvest!N18</f>
        <v>CLOSED</v>
      </c>
      <c r="S20" s="36" t="str">
        <f>CPUE!N18</f>
        <v>CLOSED</v>
      </c>
      <c r="T20" s="30">
        <f t="shared" si="3"/>
        <v>2300</v>
      </c>
      <c r="U20" s="38">
        <f t="shared" si="3"/>
        <v>34000</v>
      </c>
    </row>
    <row r="21" spans="1:21" x14ac:dyDescent="0.25">
      <c r="A21" s="37">
        <v>42394</v>
      </c>
      <c r="B21" s="18">
        <v>42394</v>
      </c>
      <c r="C21" s="28">
        <v>-0.4</v>
      </c>
      <c r="D21" s="29">
        <v>0.81319444444444444</v>
      </c>
      <c r="E21" s="30">
        <f>Effort!F19</f>
        <v>510</v>
      </c>
      <c r="F21" s="38">
        <f>Harvest!F19</f>
        <v>7500</v>
      </c>
      <c r="G21" s="36">
        <f>CPUE!F19</f>
        <v>14.705882352941176</v>
      </c>
      <c r="H21" s="30" t="str">
        <f>Effort!H19</f>
        <v>CLOSED</v>
      </c>
      <c r="I21" s="38" t="str">
        <f>Harvest!H19</f>
        <v>CLOSED</v>
      </c>
      <c r="J21" s="36" t="str">
        <f>CPUE!H19</f>
        <v>CLOSED</v>
      </c>
      <c r="K21" s="30" t="str">
        <f>Effort!J19</f>
        <v>CLOSED</v>
      </c>
      <c r="L21" s="38" t="str">
        <f>Harvest!J19</f>
        <v>CLOSED</v>
      </c>
      <c r="M21" s="36" t="str">
        <f>CPUE!J19</f>
        <v>CLOSED</v>
      </c>
      <c r="N21" s="30" t="str">
        <f>Effort!L19</f>
        <v>CLOSED</v>
      </c>
      <c r="O21" s="38" t="str">
        <f>Harvest!L19</f>
        <v>CLOSED</v>
      </c>
      <c r="P21" s="36" t="str">
        <f>CPUE!L19</f>
        <v>CLOSED</v>
      </c>
      <c r="Q21" s="30" t="str">
        <f>Effort!N19</f>
        <v>CLOSED</v>
      </c>
      <c r="R21" s="38" t="str">
        <f>Harvest!N19</f>
        <v>CLOSED</v>
      </c>
      <c r="S21" s="36" t="str">
        <f>CPUE!N19</f>
        <v>CLOSED</v>
      </c>
      <c r="T21" s="30">
        <f t="shared" si="3"/>
        <v>510</v>
      </c>
      <c r="U21" s="38">
        <f t="shared" si="3"/>
        <v>7500</v>
      </c>
    </row>
    <row r="22" spans="1:21" x14ac:dyDescent="0.25">
      <c r="A22" s="37">
        <v>42395</v>
      </c>
      <c r="B22" s="18">
        <v>42395</v>
      </c>
      <c r="C22" s="28">
        <v>0</v>
      </c>
      <c r="D22" s="29">
        <v>0.83680555555555558</v>
      </c>
      <c r="E22" s="30">
        <f>Effort!F20</f>
        <v>150</v>
      </c>
      <c r="F22" s="38">
        <f>Harvest!F20</f>
        <v>1900</v>
      </c>
      <c r="G22" s="36">
        <f>CPUE!F20</f>
        <v>12.666666666666666</v>
      </c>
      <c r="H22" s="30" t="str">
        <f>Effort!H20</f>
        <v>CLOSED</v>
      </c>
      <c r="I22" s="38" t="str">
        <f>Harvest!H20</f>
        <v>CLOSED</v>
      </c>
      <c r="J22" s="36" t="str">
        <f>CPUE!H20</f>
        <v>CLOSED</v>
      </c>
      <c r="K22" s="30" t="str">
        <f>Effort!J20</f>
        <v>CLOSED</v>
      </c>
      <c r="L22" s="38" t="str">
        <f>Harvest!J20</f>
        <v>CLOSED</v>
      </c>
      <c r="M22" s="36" t="str">
        <f>CPUE!J20</f>
        <v>CLOSED</v>
      </c>
      <c r="N22" s="30" t="str">
        <f>Effort!L20</f>
        <v>CLOSED</v>
      </c>
      <c r="O22" s="38" t="str">
        <f>Harvest!L20</f>
        <v>CLOSED</v>
      </c>
      <c r="P22" s="36" t="str">
        <f>CPUE!L20</f>
        <v>CLOSED</v>
      </c>
      <c r="Q22" s="30" t="str">
        <f>Effort!N20</f>
        <v>CLOSED</v>
      </c>
      <c r="R22" s="38" t="str">
        <f>Harvest!N20</f>
        <v>CLOSED</v>
      </c>
      <c r="S22" s="36" t="str">
        <f>CPUE!N20</f>
        <v>CLOSED</v>
      </c>
      <c r="T22" s="30">
        <f t="shared" si="3"/>
        <v>150</v>
      </c>
      <c r="U22" s="38">
        <f t="shared" si="3"/>
        <v>1900</v>
      </c>
    </row>
    <row r="23" spans="1:21" x14ac:dyDescent="0.25">
      <c r="A23" s="37">
        <v>42396</v>
      </c>
      <c r="B23" s="18">
        <v>42396</v>
      </c>
      <c r="C23" s="28">
        <v>0.5</v>
      </c>
      <c r="D23" s="29">
        <v>0.86041666666666672</v>
      </c>
      <c r="E23" s="30">
        <f>Effort!F21</f>
        <v>100</v>
      </c>
      <c r="F23" s="38">
        <f>Harvest!F21</f>
        <v>0</v>
      </c>
      <c r="G23" s="36">
        <f>CPUE!F21</f>
        <v>0</v>
      </c>
      <c r="H23" s="30" t="str">
        <f>Effort!H21</f>
        <v>CLOSED</v>
      </c>
      <c r="I23" s="38" t="str">
        <f>Harvest!H21</f>
        <v>CLOSED</v>
      </c>
      <c r="J23" s="36" t="str">
        <f>CPUE!H21</f>
        <v>CLOSED</v>
      </c>
      <c r="K23" s="30" t="str">
        <f>Effort!J21</f>
        <v>CLOSED</v>
      </c>
      <c r="L23" s="38" t="str">
        <f>Harvest!J21</f>
        <v>CLOSED</v>
      </c>
      <c r="M23" s="36" t="str">
        <f>CPUE!J21</f>
        <v>CLOSED</v>
      </c>
      <c r="N23" s="30" t="str">
        <f>Effort!L21</f>
        <v>CLOSED</v>
      </c>
      <c r="O23" s="38" t="str">
        <f>Harvest!L21</f>
        <v>CLOSED</v>
      </c>
      <c r="P23" s="36" t="str">
        <f>CPUE!L21</f>
        <v>CLOSED</v>
      </c>
      <c r="Q23" s="30" t="str">
        <f>Effort!N21</f>
        <v>CLOSED</v>
      </c>
      <c r="R23" s="38" t="str">
        <f>Harvest!N21</f>
        <v>CLOSED</v>
      </c>
      <c r="S23" s="36" t="str">
        <f>CPUE!N21</f>
        <v>CLOSED</v>
      </c>
      <c r="T23" s="30">
        <f t="shared" si="3"/>
        <v>100</v>
      </c>
      <c r="U23" s="38">
        <f t="shared" si="3"/>
        <v>0</v>
      </c>
    </row>
    <row r="24" spans="1:21" x14ac:dyDescent="0.25">
      <c r="A24" s="228" t="s">
        <v>32</v>
      </c>
      <c r="B24" s="228"/>
      <c r="C24" s="228"/>
      <c r="D24" s="229"/>
      <c r="E24" s="34">
        <f>SUM(E17:E23)</f>
        <v>12762.392002492288</v>
      </c>
      <c r="F24" s="35">
        <f>SUM(F17:F23)</f>
        <v>186397.08305851804</v>
      </c>
      <c r="G24" s="33">
        <f>+F24/E24</f>
        <v>14.605183967246713</v>
      </c>
      <c r="H24" s="34"/>
      <c r="I24" s="35"/>
      <c r="J24" s="33"/>
      <c r="K24" s="34">
        <f>SUM(K18:K23)</f>
        <v>4454.5089657605977</v>
      </c>
      <c r="L24" s="35">
        <f>SUM(L18:L23)</f>
        <v>49770.571328979</v>
      </c>
      <c r="M24" s="33">
        <f>+L24/K24</f>
        <v>11.173076923076927</v>
      </c>
      <c r="N24" s="34"/>
      <c r="O24" s="35"/>
      <c r="P24" s="33"/>
      <c r="Q24" s="34"/>
      <c r="R24" s="35"/>
      <c r="S24" s="33"/>
      <c r="T24" s="34">
        <f>SUM(T17:T23)</f>
        <v>17216.900968252889</v>
      </c>
      <c r="U24" s="35">
        <f>SUM(U17:U23)</f>
        <v>236167.65438749702</v>
      </c>
    </row>
    <row r="25" spans="1:21" x14ac:dyDescent="0.25">
      <c r="A25" s="37">
        <v>42404</v>
      </c>
      <c r="B25" s="18">
        <v>42404</v>
      </c>
      <c r="C25" s="94">
        <v>0.8</v>
      </c>
      <c r="D25" s="29">
        <v>0.65347222222222223</v>
      </c>
      <c r="E25" s="30">
        <f>Effort!F23</f>
        <v>774.80547208923997</v>
      </c>
      <c r="F25" s="38">
        <f>Harvest!F23</f>
        <v>10622.333085094418</v>
      </c>
      <c r="G25" s="36">
        <f>CPUE!F23</f>
        <v>13.709677419354838</v>
      </c>
      <c r="H25" s="30" t="str">
        <f>Effort!H23</f>
        <v>CLOSED</v>
      </c>
      <c r="I25" s="38" t="str">
        <f>Harvest!H23</f>
        <v>CLOSED</v>
      </c>
      <c r="J25" s="36" t="str">
        <f>CPUE!H23</f>
        <v>CLOSED</v>
      </c>
      <c r="K25" s="30" t="str">
        <f>Effort!J23</f>
        <v>CLOSED</v>
      </c>
      <c r="L25" s="38" t="str">
        <f>Harvest!J23</f>
        <v>CLOSED</v>
      </c>
      <c r="M25" s="36" t="str">
        <f>CPUE!J23</f>
        <v>CLOSED</v>
      </c>
      <c r="N25" s="30" t="str">
        <f>Effort!L23</f>
        <v>CLOSED</v>
      </c>
      <c r="O25" s="38" t="str">
        <f>Harvest!L23</f>
        <v>CLOSED</v>
      </c>
      <c r="P25" s="36" t="str">
        <f>CPUE!L23</f>
        <v>CLOSED</v>
      </c>
      <c r="Q25" s="30" t="str">
        <f>Effort!N23</f>
        <v>CLOSED</v>
      </c>
      <c r="R25" s="38" t="str">
        <f>Harvest!N23</f>
        <v>CLOSED</v>
      </c>
      <c r="S25" s="36" t="str">
        <f>CPUE!N23</f>
        <v>CLOSED</v>
      </c>
      <c r="T25" s="30">
        <f t="shared" ref="T25:T31" si="4">+E25</f>
        <v>774.80547208923997</v>
      </c>
      <c r="U25" s="38">
        <f t="shared" ref="U25:U31" si="5">+F25</f>
        <v>10622.333085094418</v>
      </c>
    </row>
    <row r="26" spans="1:21" x14ac:dyDescent="0.25">
      <c r="A26" s="37">
        <v>42405</v>
      </c>
      <c r="B26" s="18">
        <v>42405</v>
      </c>
      <c r="C26" s="13">
        <v>0.2</v>
      </c>
      <c r="D26" s="95">
        <v>0.68611111111111101</v>
      </c>
      <c r="E26" s="30">
        <f>Effort!F24</f>
        <v>451.95324799858327</v>
      </c>
      <c r="F26" s="38">
        <f>Harvest!F24</f>
        <v>2905.4137371337492</v>
      </c>
      <c r="G26" s="36">
        <f>CPUE!F24</f>
        <v>6.4285714285714279</v>
      </c>
      <c r="H26" s="30" t="str">
        <f>Effort!H24</f>
        <v>CLOSED</v>
      </c>
      <c r="I26" s="38" t="str">
        <f>Harvest!H24</f>
        <v>CLOSED</v>
      </c>
      <c r="J26" s="36" t="str">
        <f>CPUE!H24</f>
        <v>CLOSED</v>
      </c>
      <c r="K26" s="30" t="str">
        <f>Effort!J24</f>
        <v>CLOSED</v>
      </c>
      <c r="L26" s="38" t="str">
        <f>Harvest!J24</f>
        <v>CLOSED</v>
      </c>
      <c r="M26" s="36" t="str">
        <f>CPUE!J24</f>
        <v>CLOSED</v>
      </c>
      <c r="N26" s="30" t="str">
        <f>Effort!L24</f>
        <v>CLOSED</v>
      </c>
      <c r="O26" s="38" t="str">
        <f>Harvest!L24</f>
        <v>CLOSED</v>
      </c>
      <c r="P26" s="36" t="str">
        <f>CPUE!L24</f>
        <v>CLOSED</v>
      </c>
      <c r="Q26" s="30" t="str">
        <f>Effort!N24</f>
        <v>CLOSED</v>
      </c>
      <c r="R26" s="38" t="str">
        <f>Harvest!N24</f>
        <v>CLOSED</v>
      </c>
      <c r="S26" s="36" t="str">
        <f>CPUE!N24</f>
        <v>CLOSED</v>
      </c>
      <c r="T26" s="30">
        <f t="shared" si="4"/>
        <v>451.95324799858327</v>
      </c>
      <c r="U26" s="38">
        <f t="shared" si="5"/>
        <v>2905.4137371337492</v>
      </c>
    </row>
    <row r="27" spans="1:21" x14ac:dyDescent="0.25">
      <c r="A27" s="37">
        <v>42406</v>
      </c>
      <c r="B27" s="18">
        <v>42406</v>
      </c>
      <c r="C27" s="13">
        <v>-0.3</v>
      </c>
      <c r="D27" s="95">
        <v>0.71597222222222223</v>
      </c>
      <c r="E27" s="30">
        <f>Effort!F25</f>
        <v>8081.6261248813307</v>
      </c>
      <c r="F27" s="38">
        <f>Harvest!F25</f>
        <v>121224.39187321995</v>
      </c>
      <c r="G27" s="36">
        <f>CPUE!F25</f>
        <v>14.999999999999998</v>
      </c>
      <c r="H27" s="30" t="str">
        <f>Effort!H25</f>
        <v>CLOSED</v>
      </c>
      <c r="I27" s="38" t="str">
        <f>Harvest!H25</f>
        <v>CLOSED</v>
      </c>
      <c r="J27" s="36" t="str">
        <f>CPUE!H25</f>
        <v>CLOSED</v>
      </c>
      <c r="K27" s="30" t="str">
        <f>Effort!J25</f>
        <v>CLOSED</v>
      </c>
      <c r="L27" s="38" t="str">
        <f>Harvest!J25</f>
        <v>CLOSED</v>
      </c>
      <c r="M27" s="36" t="str">
        <f>CPUE!J25</f>
        <v>CLOSED</v>
      </c>
      <c r="N27" s="30" t="str">
        <f>Effort!L25</f>
        <v>CLOSED</v>
      </c>
      <c r="O27" s="38" t="str">
        <f>Harvest!L25</f>
        <v>CLOSED</v>
      </c>
      <c r="P27" s="36" t="str">
        <f>CPUE!L25</f>
        <v>CLOSED</v>
      </c>
      <c r="Q27" s="30" t="str">
        <f>Effort!N25</f>
        <v>CLOSED</v>
      </c>
      <c r="R27" s="38" t="str">
        <f>Harvest!N25</f>
        <v>CLOSED</v>
      </c>
      <c r="S27" s="36" t="str">
        <f>CPUE!N25</f>
        <v>CLOSED</v>
      </c>
      <c r="T27" s="30">
        <f t="shared" si="4"/>
        <v>8081.6261248813307</v>
      </c>
      <c r="U27" s="38">
        <f t="shared" si="5"/>
        <v>121224.39187321995</v>
      </c>
    </row>
    <row r="28" spans="1:21" x14ac:dyDescent="0.25">
      <c r="A28" s="37">
        <v>42407</v>
      </c>
      <c r="B28" s="18">
        <v>42407</v>
      </c>
      <c r="C28" s="13">
        <v>-0.7</v>
      </c>
      <c r="D28" s="95">
        <v>0.74444444444444446</v>
      </c>
      <c r="E28" s="30">
        <f>Effort!F26</f>
        <v>1693.5957331338032</v>
      </c>
      <c r="F28" s="38">
        <f>Harvest!F26</f>
        <v>25403.935997007051</v>
      </c>
      <c r="G28" s="36">
        <f>CPUE!F26</f>
        <v>15.000000000000002</v>
      </c>
      <c r="H28" s="30" t="str">
        <f>Effort!H26</f>
        <v>CLOSED</v>
      </c>
      <c r="I28" s="38" t="str">
        <f>Harvest!H26</f>
        <v>CLOSED</v>
      </c>
      <c r="J28" s="36" t="str">
        <f>CPUE!H26</f>
        <v>CLOSED</v>
      </c>
      <c r="K28" s="30" t="str">
        <f>Effort!J26</f>
        <v>CLOSED</v>
      </c>
      <c r="L28" s="38" t="str">
        <f>Harvest!J26</f>
        <v>CLOSED</v>
      </c>
      <c r="M28" s="36" t="str">
        <f>CPUE!J26</f>
        <v>CLOSED</v>
      </c>
      <c r="N28" s="30" t="str">
        <f>Effort!L26</f>
        <v>CLOSED</v>
      </c>
      <c r="O28" s="38" t="str">
        <f>Harvest!L26</f>
        <v>CLOSED</v>
      </c>
      <c r="P28" s="36" t="str">
        <f>CPUE!L26</f>
        <v>CLOSED</v>
      </c>
      <c r="Q28" s="30" t="str">
        <f>Effort!N26</f>
        <v>CLOSED</v>
      </c>
      <c r="R28" s="38" t="str">
        <f>Harvest!N26</f>
        <v>CLOSED</v>
      </c>
      <c r="S28" s="36" t="str">
        <f>CPUE!N26</f>
        <v>CLOSED</v>
      </c>
      <c r="T28" s="30">
        <f t="shared" si="4"/>
        <v>1693.5957331338032</v>
      </c>
      <c r="U28" s="38">
        <f t="shared" si="5"/>
        <v>25403.935997007051</v>
      </c>
    </row>
    <row r="29" spans="1:21" x14ac:dyDescent="0.25">
      <c r="A29" s="37">
        <v>42408</v>
      </c>
      <c r="B29" s="18">
        <f t="shared" ref="B29:B35" si="6">+A29</f>
        <v>42408</v>
      </c>
      <c r="C29" s="13">
        <v>-1</v>
      </c>
      <c r="D29" s="95">
        <v>0.77222222222222225</v>
      </c>
      <c r="E29" s="30">
        <f>Effort!F27</f>
        <v>3408.5604195865621</v>
      </c>
      <c r="F29" s="38">
        <f>Harvest!F27</f>
        <v>50370.948422779198</v>
      </c>
      <c r="G29" s="36">
        <f>CPUE!F27</f>
        <v>14.777777777777779</v>
      </c>
      <c r="H29" s="30" t="str">
        <f>Effort!H27</f>
        <v>CLOSED</v>
      </c>
      <c r="I29" s="38" t="str">
        <f>Harvest!H27</f>
        <v>CLOSED</v>
      </c>
      <c r="J29" s="36" t="str">
        <f>CPUE!H27</f>
        <v>CLOSED</v>
      </c>
      <c r="K29" s="30" t="str">
        <f>Effort!J27</f>
        <v>CLOSED</v>
      </c>
      <c r="L29" s="38" t="str">
        <f>Harvest!J27</f>
        <v>CLOSED</v>
      </c>
      <c r="M29" s="36" t="str">
        <f>CPUE!J27</f>
        <v>CLOSED</v>
      </c>
      <c r="N29" s="30" t="str">
        <f>Effort!L27</f>
        <v>CLOSED</v>
      </c>
      <c r="O29" s="38" t="str">
        <f>Harvest!L27</f>
        <v>CLOSED</v>
      </c>
      <c r="P29" s="36" t="str">
        <f>CPUE!L27</f>
        <v>CLOSED</v>
      </c>
      <c r="Q29" s="30" t="str">
        <f>Effort!N27</f>
        <v>CLOSED</v>
      </c>
      <c r="R29" s="38" t="str">
        <f>Harvest!N27</f>
        <v>CLOSED</v>
      </c>
      <c r="S29" s="36" t="str">
        <f>CPUE!N27</f>
        <v>CLOSED</v>
      </c>
      <c r="T29" s="30">
        <f t="shared" si="4"/>
        <v>3408.5604195865621</v>
      </c>
      <c r="U29" s="38">
        <f t="shared" si="5"/>
        <v>50370.948422779198</v>
      </c>
    </row>
    <row r="30" spans="1:21" x14ac:dyDescent="0.25">
      <c r="A30" s="37">
        <v>42409</v>
      </c>
      <c r="B30" s="18">
        <f t="shared" si="6"/>
        <v>42409</v>
      </c>
      <c r="C30" s="13">
        <v>-0.9</v>
      </c>
      <c r="D30" s="95">
        <v>0.8</v>
      </c>
      <c r="E30" s="30">
        <f>Effort!F28</f>
        <v>550</v>
      </c>
      <c r="F30" s="38">
        <f>Harvest!F28</f>
        <v>8000</v>
      </c>
      <c r="G30" s="36">
        <f>CPUE!F28</f>
        <v>14.545454545454545</v>
      </c>
      <c r="H30" s="30" t="str">
        <f>Effort!H28</f>
        <v>CLOSED</v>
      </c>
      <c r="I30" s="38" t="str">
        <f>Harvest!H28</f>
        <v>CLOSED</v>
      </c>
      <c r="J30" s="36" t="str">
        <f>CPUE!H28</f>
        <v>CLOSED</v>
      </c>
      <c r="K30" s="30" t="str">
        <f>Effort!J28</f>
        <v>CLOSED</v>
      </c>
      <c r="L30" s="38" t="str">
        <f>Harvest!J28</f>
        <v>CLOSED</v>
      </c>
      <c r="M30" s="36" t="str">
        <f>CPUE!J28</f>
        <v>CLOSED</v>
      </c>
      <c r="N30" s="30" t="str">
        <f>Effort!L28</f>
        <v>CLOSED</v>
      </c>
      <c r="O30" s="38" t="str">
        <f>Harvest!L28</f>
        <v>CLOSED</v>
      </c>
      <c r="P30" s="36" t="str">
        <f>CPUE!L28</f>
        <v>CLOSED</v>
      </c>
      <c r="Q30" s="30" t="str">
        <f>Effort!N28</f>
        <v>CLOSED</v>
      </c>
      <c r="R30" s="38" t="str">
        <f>Harvest!N28</f>
        <v>CLOSED</v>
      </c>
      <c r="S30" s="36" t="str">
        <f>CPUE!N28</f>
        <v>CLOSED</v>
      </c>
      <c r="T30" s="30">
        <f t="shared" si="4"/>
        <v>550</v>
      </c>
      <c r="U30" s="38">
        <f t="shared" si="5"/>
        <v>8000</v>
      </c>
    </row>
    <row r="31" spans="1:21" x14ac:dyDescent="0.25">
      <c r="A31" s="37">
        <v>42410</v>
      </c>
      <c r="B31" s="18">
        <f t="shared" si="6"/>
        <v>42410</v>
      </c>
      <c r="C31" s="13">
        <v>-0.7</v>
      </c>
      <c r="D31" s="95">
        <v>0.82777777777777772</v>
      </c>
      <c r="E31" s="30">
        <f>Effort!F29</f>
        <v>387.68021599786186</v>
      </c>
      <c r="F31" s="38">
        <f>Harvest!F29</f>
        <v>5815.2032399679283</v>
      </c>
      <c r="G31" s="36">
        <f>CPUE!F29</f>
        <v>15</v>
      </c>
      <c r="H31" s="30" t="str">
        <f>Effort!H29</f>
        <v>CLOSED</v>
      </c>
      <c r="I31" s="38" t="str">
        <f>Harvest!H29</f>
        <v>CLOSED</v>
      </c>
      <c r="J31" s="36" t="str">
        <f>CPUE!H29</f>
        <v>CLOSED</v>
      </c>
      <c r="K31" s="30" t="str">
        <f>Effort!J29</f>
        <v>CLOSED</v>
      </c>
      <c r="L31" s="38" t="str">
        <f>Harvest!J29</f>
        <v>CLOSED</v>
      </c>
      <c r="M31" s="36" t="str">
        <f>CPUE!J29</f>
        <v>CLOSED</v>
      </c>
      <c r="N31" s="30" t="str">
        <f>Effort!L29</f>
        <v>CLOSED</v>
      </c>
      <c r="O31" s="38" t="str">
        <f>Harvest!L29</f>
        <v>CLOSED</v>
      </c>
      <c r="P31" s="36" t="str">
        <f>CPUE!L29</f>
        <v>CLOSED</v>
      </c>
      <c r="Q31" s="30" t="str">
        <f>Effort!N29</f>
        <v>CLOSED</v>
      </c>
      <c r="R31" s="38" t="str">
        <f>Harvest!N29</f>
        <v>CLOSED</v>
      </c>
      <c r="S31" s="36" t="str">
        <f>CPUE!N29</f>
        <v>CLOSED</v>
      </c>
      <c r="T31" s="30">
        <f t="shared" si="4"/>
        <v>387.68021599786186</v>
      </c>
      <c r="U31" s="38">
        <f t="shared" si="5"/>
        <v>5815.2032399679283</v>
      </c>
    </row>
    <row r="32" spans="1:21" x14ac:dyDescent="0.25">
      <c r="A32" s="37">
        <v>42411</v>
      </c>
      <c r="B32" s="18">
        <f t="shared" si="6"/>
        <v>42411</v>
      </c>
      <c r="C32" s="13">
        <v>-0.1</v>
      </c>
      <c r="D32" s="95">
        <v>0.8569444444444444</v>
      </c>
      <c r="E32" s="30">
        <f>Effort!F30</f>
        <v>400</v>
      </c>
      <c r="F32" s="38">
        <f>Harvest!F30</f>
        <v>5850</v>
      </c>
      <c r="G32" s="36">
        <f>CPUE!F30</f>
        <v>14.625</v>
      </c>
      <c r="H32" s="30" t="str">
        <f>Effort!H30</f>
        <v>CLOSED</v>
      </c>
      <c r="I32" s="38" t="str">
        <f>Harvest!H30</f>
        <v>CLOSED</v>
      </c>
      <c r="J32" s="36" t="str">
        <f>CPUE!H30</f>
        <v>CLOSED</v>
      </c>
      <c r="K32" s="30" t="str">
        <f>Effort!J30</f>
        <v>CLOSED</v>
      </c>
      <c r="L32" s="38" t="str">
        <f>Harvest!J30</f>
        <v>CLOSED</v>
      </c>
      <c r="M32" s="36" t="str">
        <f>CPUE!J30</f>
        <v>CLOSED</v>
      </c>
      <c r="N32" s="30" t="str">
        <f>Effort!L30</f>
        <v>CLOSED</v>
      </c>
      <c r="O32" s="38" t="str">
        <f>Harvest!L30</f>
        <v>CLOSED</v>
      </c>
      <c r="P32" s="36" t="str">
        <f>CPUE!L30</f>
        <v>CLOSED</v>
      </c>
      <c r="Q32" s="30" t="str">
        <f>Effort!N30</f>
        <v>CLOSED</v>
      </c>
      <c r="R32" s="38" t="str">
        <f>Harvest!N30</f>
        <v>CLOSED</v>
      </c>
      <c r="S32" s="36" t="str">
        <f>CPUE!N30</f>
        <v>CLOSED</v>
      </c>
      <c r="T32" s="30">
        <f t="shared" ref="T32:U35" si="7">+E32</f>
        <v>400</v>
      </c>
      <c r="U32" s="38">
        <f t="shared" si="7"/>
        <v>5850</v>
      </c>
    </row>
    <row r="33" spans="1:21" x14ac:dyDescent="0.25">
      <c r="A33" s="37">
        <v>42412</v>
      </c>
      <c r="B33" s="18">
        <f t="shared" si="6"/>
        <v>42412</v>
      </c>
      <c r="C33" s="13">
        <v>0.6</v>
      </c>
      <c r="D33" s="95">
        <v>0.88680555555555551</v>
      </c>
      <c r="E33" s="30">
        <f>Effort!F31</f>
        <v>800</v>
      </c>
      <c r="F33" s="38">
        <f>Harvest!F31</f>
        <v>11000</v>
      </c>
      <c r="G33" s="36">
        <f>CPUE!F31</f>
        <v>13.75</v>
      </c>
      <c r="H33" s="30" t="str">
        <f>Effort!H31</f>
        <v>CLOSED</v>
      </c>
      <c r="I33" s="38" t="str">
        <f>Harvest!H31</f>
        <v>CLOSED</v>
      </c>
      <c r="J33" s="36" t="str">
        <f>CPUE!H31</f>
        <v>CLOSED</v>
      </c>
      <c r="K33" s="30" t="str">
        <f>Effort!J31</f>
        <v>CLOSED</v>
      </c>
      <c r="L33" s="38" t="str">
        <f>Harvest!J31</f>
        <v>CLOSED</v>
      </c>
      <c r="M33" s="36" t="str">
        <f>CPUE!J31</f>
        <v>CLOSED</v>
      </c>
      <c r="N33" s="30" t="str">
        <f>Effort!L31</f>
        <v>CLOSED</v>
      </c>
      <c r="O33" s="38" t="str">
        <f>Harvest!L31</f>
        <v>CLOSED</v>
      </c>
      <c r="P33" s="36" t="str">
        <f>CPUE!L31</f>
        <v>CLOSED</v>
      </c>
      <c r="Q33" s="30" t="str">
        <f>Effort!N31</f>
        <v>CLOSED</v>
      </c>
      <c r="R33" s="38" t="str">
        <f>Harvest!N31</f>
        <v>CLOSED</v>
      </c>
      <c r="S33" s="36" t="str">
        <f>CPUE!N31</f>
        <v>CLOSED</v>
      </c>
      <c r="T33" s="30">
        <f t="shared" si="7"/>
        <v>800</v>
      </c>
      <c r="U33" s="38">
        <f t="shared" si="7"/>
        <v>11000</v>
      </c>
    </row>
    <row r="34" spans="1:21" x14ac:dyDescent="0.25">
      <c r="A34" s="37">
        <v>42413</v>
      </c>
      <c r="B34" s="18">
        <f t="shared" si="6"/>
        <v>42413</v>
      </c>
      <c r="C34" s="13">
        <v>1.4</v>
      </c>
      <c r="D34" s="95">
        <v>0.9194444444444444</v>
      </c>
      <c r="E34" s="30">
        <f>Effort!F32</f>
        <v>1000</v>
      </c>
      <c r="F34" s="38">
        <f>Harvest!F32</f>
        <v>15000</v>
      </c>
      <c r="G34" s="36">
        <f>CPUE!F32</f>
        <v>15</v>
      </c>
      <c r="H34" s="30" t="str">
        <f>Effort!H32</f>
        <v>CLOSED</v>
      </c>
      <c r="I34" s="38" t="str">
        <f>Harvest!H32</f>
        <v>CLOSED</v>
      </c>
      <c r="J34" s="36" t="str">
        <f>CPUE!H32</f>
        <v>CLOSED</v>
      </c>
      <c r="K34" s="30" t="str">
        <f>Effort!J32</f>
        <v>CLOSED</v>
      </c>
      <c r="L34" s="38" t="str">
        <f>Harvest!J32</f>
        <v>CLOSED</v>
      </c>
      <c r="M34" s="36" t="str">
        <f>CPUE!J32</f>
        <v>CLOSED</v>
      </c>
      <c r="N34" s="30" t="str">
        <f>Effort!L32</f>
        <v>CLOSED</v>
      </c>
      <c r="O34" s="38" t="str">
        <f>Harvest!L32</f>
        <v>CLOSED</v>
      </c>
      <c r="P34" s="36" t="str">
        <f>CPUE!L32</f>
        <v>CLOSED</v>
      </c>
      <c r="Q34" s="30" t="str">
        <f>Effort!N32</f>
        <v>CLOSED</v>
      </c>
      <c r="R34" s="38" t="str">
        <f>Harvest!N32</f>
        <v>CLOSED</v>
      </c>
      <c r="S34" s="36" t="str">
        <f>CPUE!N32</f>
        <v>CLOSED</v>
      </c>
      <c r="T34" s="30">
        <f t="shared" si="7"/>
        <v>1000</v>
      </c>
      <c r="U34" s="38">
        <f t="shared" si="7"/>
        <v>15000</v>
      </c>
    </row>
    <row r="35" spans="1:21" x14ac:dyDescent="0.25">
      <c r="A35" s="37">
        <v>42414</v>
      </c>
      <c r="B35" s="18">
        <f t="shared" si="6"/>
        <v>42414</v>
      </c>
      <c r="C35" s="13">
        <v>2.2000000000000002</v>
      </c>
      <c r="D35" s="95">
        <v>0.95694444444444449</v>
      </c>
      <c r="E35" s="30">
        <f>Effort!F33</f>
        <v>100</v>
      </c>
      <c r="F35" s="38">
        <f>Harvest!F33</f>
        <v>1000</v>
      </c>
      <c r="G35" s="36">
        <f>CPUE!F33</f>
        <v>10</v>
      </c>
      <c r="H35" s="30" t="str">
        <f>Effort!H33</f>
        <v>CLOSED</v>
      </c>
      <c r="I35" s="38" t="str">
        <f>Harvest!H33</f>
        <v>CLOSED</v>
      </c>
      <c r="J35" s="36" t="str">
        <f>CPUE!H33</f>
        <v>CLOSED</v>
      </c>
      <c r="K35" s="30" t="str">
        <f>Effort!J33</f>
        <v>CLOSED</v>
      </c>
      <c r="L35" s="38" t="str">
        <f>Harvest!J33</f>
        <v>CLOSED</v>
      </c>
      <c r="M35" s="36" t="str">
        <f>CPUE!J33</f>
        <v>CLOSED</v>
      </c>
      <c r="N35" s="30" t="str">
        <f>Effort!L33</f>
        <v>CLOSED</v>
      </c>
      <c r="O35" s="38" t="str">
        <f>Harvest!L33</f>
        <v>CLOSED</v>
      </c>
      <c r="P35" s="36" t="str">
        <f>CPUE!L33</f>
        <v>CLOSED</v>
      </c>
      <c r="Q35" s="30" t="str">
        <f>Effort!N33</f>
        <v>CLOSED</v>
      </c>
      <c r="R35" s="38" t="str">
        <f>Harvest!N33</f>
        <v>CLOSED</v>
      </c>
      <c r="S35" s="36" t="str">
        <f>CPUE!N33</f>
        <v>CLOSED</v>
      </c>
      <c r="T35" s="30">
        <f t="shared" si="7"/>
        <v>100</v>
      </c>
      <c r="U35" s="38">
        <f t="shared" si="7"/>
        <v>1000</v>
      </c>
    </row>
    <row r="36" spans="1:21" x14ac:dyDescent="0.25">
      <c r="A36" s="228" t="s">
        <v>32</v>
      </c>
      <c r="B36" s="228"/>
      <c r="C36" s="228"/>
      <c r="D36" s="229"/>
      <c r="E36" s="34">
        <f>SUM(E25:E35)</f>
        <v>17648.221213687379</v>
      </c>
      <c r="F36" s="35">
        <f>SUM(F25:F35)</f>
        <v>257192.22635520232</v>
      </c>
      <c r="G36" s="33">
        <f>+F36/E36</f>
        <v>14.573266236924349</v>
      </c>
      <c r="H36" s="34"/>
      <c r="I36" s="35"/>
      <c r="J36" s="33"/>
      <c r="K36" s="34"/>
      <c r="L36" s="35"/>
      <c r="M36" s="33"/>
      <c r="N36" s="34"/>
      <c r="O36" s="35"/>
      <c r="P36" s="33"/>
      <c r="Q36" s="34"/>
      <c r="R36" s="35"/>
      <c r="S36" s="33"/>
      <c r="T36" s="34">
        <f>SUM(T25:T35)</f>
        <v>17648.221213687379</v>
      </c>
      <c r="U36" s="35">
        <f>SUM(U25:U35)</f>
        <v>257192.22635520232</v>
      </c>
    </row>
    <row r="37" spans="1:21" x14ac:dyDescent="0.25">
      <c r="A37" s="37">
        <v>42415</v>
      </c>
      <c r="B37" s="18">
        <f t="shared" ref="B37:B43" si="8">+A37</f>
        <v>42415</v>
      </c>
      <c r="C37" s="13">
        <v>1.1000000000000001</v>
      </c>
      <c r="D37" s="95">
        <v>0.51111111111111107</v>
      </c>
      <c r="E37" s="30">
        <f>Effort!F35</f>
        <v>800</v>
      </c>
      <c r="F37" s="38">
        <f>Harvest!F35</f>
        <v>8000</v>
      </c>
      <c r="G37" s="36">
        <f>CPUE!F35</f>
        <v>10</v>
      </c>
      <c r="H37" s="30" t="str">
        <f>Effort!H35</f>
        <v>CLOSED</v>
      </c>
      <c r="I37" s="38" t="str">
        <f>Harvest!H35</f>
        <v>CLOSED</v>
      </c>
      <c r="J37" s="36" t="str">
        <f>CPUE!H35</f>
        <v>CLOSED</v>
      </c>
      <c r="K37" s="30" t="str">
        <f>Effort!J35</f>
        <v>CLOSED</v>
      </c>
      <c r="L37" s="38" t="str">
        <f>Harvest!J35</f>
        <v>CLOSED</v>
      </c>
      <c r="M37" s="36" t="str">
        <f>CPUE!J35</f>
        <v>CLOSED</v>
      </c>
      <c r="N37" s="30" t="str">
        <f>Effort!L35</f>
        <v>CLOSED</v>
      </c>
      <c r="O37" s="38" t="str">
        <f>Harvest!L35</f>
        <v>CLOSED</v>
      </c>
      <c r="P37" s="36" t="str">
        <f>CPUE!L35</f>
        <v>CLOSED</v>
      </c>
      <c r="Q37" s="30" t="str">
        <f>Effort!N35</f>
        <v>CLOSED</v>
      </c>
      <c r="R37" s="38" t="str">
        <f>Harvest!N35</f>
        <v>CLOSED</v>
      </c>
      <c r="S37" s="36" t="str">
        <f>CPUE!N35</f>
        <v>CLOSED</v>
      </c>
      <c r="T37" s="30">
        <f t="shared" ref="T37:U40" si="9">+E37</f>
        <v>800</v>
      </c>
      <c r="U37" s="38">
        <f t="shared" si="9"/>
        <v>8000</v>
      </c>
    </row>
    <row r="38" spans="1:21" x14ac:dyDescent="0.25">
      <c r="A38" s="37">
        <v>42416</v>
      </c>
      <c r="B38" s="18">
        <f t="shared" si="8"/>
        <v>42416</v>
      </c>
      <c r="C38" s="13">
        <v>1</v>
      </c>
      <c r="D38" s="95">
        <v>0.5625</v>
      </c>
      <c r="E38" s="30">
        <f>Effort!F36</f>
        <v>800</v>
      </c>
      <c r="F38" s="38">
        <f>Harvest!F36</f>
        <v>8000</v>
      </c>
      <c r="G38" s="36">
        <f>CPUE!F36</f>
        <v>10</v>
      </c>
      <c r="H38" s="30" t="str">
        <f>Effort!H36</f>
        <v>CLOSED</v>
      </c>
      <c r="I38" s="38" t="str">
        <f>Harvest!H36</f>
        <v>CLOSED</v>
      </c>
      <c r="J38" s="36" t="str">
        <f>CPUE!H36</f>
        <v>CLOSED</v>
      </c>
      <c r="K38" s="30" t="str">
        <f>Effort!J36</f>
        <v>CLOSED</v>
      </c>
      <c r="L38" s="38" t="str">
        <f>Harvest!J36</f>
        <v>CLOSED</v>
      </c>
      <c r="M38" s="36" t="str">
        <f>CPUE!J36</f>
        <v>CLOSED</v>
      </c>
      <c r="N38" s="30" t="str">
        <f>Effort!L36</f>
        <v>CLOSED</v>
      </c>
      <c r="O38" s="38" t="str">
        <f>Harvest!L36</f>
        <v>CLOSED</v>
      </c>
      <c r="P38" s="36" t="str">
        <f>CPUE!L36</f>
        <v>CLOSED</v>
      </c>
      <c r="Q38" s="30" t="str">
        <f>Effort!N36</f>
        <v>CLOSED</v>
      </c>
      <c r="R38" s="38" t="str">
        <f>Harvest!N36</f>
        <v>CLOSED</v>
      </c>
      <c r="S38" s="36" t="str">
        <f>CPUE!N36</f>
        <v>CLOSED</v>
      </c>
      <c r="T38" s="30">
        <f t="shared" si="9"/>
        <v>800</v>
      </c>
      <c r="U38" s="38">
        <f t="shared" si="9"/>
        <v>8000</v>
      </c>
    </row>
    <row r="39" spans="1:21" x14ac:dyDescent="0.25">
      <c r="A39" s="37">
        <v>42417</v>
      </c>
      <c r="B39" s="18">
        <f t="shared" si="8"/>
        <v>42417</v>
      </c>
      <c r="C39" s="13">
        <v>0.7</v>
      </c>
      <c r="D39" s="95">
        <v>0.61111111111111116</v>
      </c>
      <c r="E39" s="30">
        <f>Effort!F37</f>
        <v>791.11984503523206</v>
      </c>
      <c r="F39" s="38">
        <f>Harvest!F37</f>
        <v>7673.8624968417498</v>
      </c>
      <c r="G39" s="36">
        <f>CPUE!F37</f>
        <v>9.6999999999999993</v>
      </c>
      <c r="H39" s="30" t="str">
        <f>Effort!H37</f>
        <v>CLOSED</v>
      </c>
      <c r="I39" s="38" t="str">
        <f>Harvest!H37</f>
        <v>CLOSED</v>
      </c>
      <c r="J39" s="36" t="str">
        <f>CPUE!H37</f>
        <v>CLOSED</v>
      </c>
      <c r="K39" s="30" t="str">
        <f>Effort!J37</f>
        <v>CLOSED</v>
      </c>
      <c r="L39" s="38" t="str">
        <f>Harvest!J37</f>
        <v>CLOSED</v>
      </c>
      <c r="M39" s="36" t="str">
        <f>CPUE!J37</f>
        <v>CLOSED</v>
      </c>
      <c r="N39" s="30" t="str">
        <f>Effort!L37</f>
        <v>CLOSED</v>
      </c>
      <c r="O39" s="38" t="str">
        <f>Harvest!L37</f>
        <v>CLOSED</v>
      </c>
      <c r="P39" s="36" t="str">
        <f>CPUE!L37</f>
        <v>CLOSED</v>
      </c>
      <c r="Q39" s="30" t="str">
        <f>Effort!N37</f>
        <v>CLOSED</v>
      </c>
      <c r="R39" s="38" t="str">
        <f>Harvest!N37</f>
        <v>CLOSED</v>
      </c>
      <c r="S39" s="36" t="str">
        <f>CPUE!N37</f>
        <v>CLOSED</v>
      </c>
      <c r="T39" s="30">
        <f t="shared" si="9"/>
        <v>791.11984503523206</v>
      </c>
      <c r="U39" s="38">
        <f t="shared" si="9"/>
        <v>7673.8624968417498</v>
      </c>
    </row>
    <row r="40" spans="1:21" x14ac:dyDescent="0.25">
      <c r="A40" s="37">
        <v>42418</v>
      </c>
      <c r="B40" s="18">
        <f t="shared" si="8"/>
        <v>42418</v>
      </c>
      <c r="C40" s="13">
        <v>0.3</v>
      </c>
      <c r="D40" s="95">
        <v>0.65347222222222223</v>
      </c>
      <c r="E40" s="30">
        <f>Effort!F38</f>
        <v>873.94900394115143</v>
      </c>
      <c r="F40" s="38">
        <f>Harvest!F38</f>
        <v>8977.839767759102</v>
      </c>
      <c r="G40" s="36">
        <f>CPUE!F38</f>
        <v>10.272727272727273</v>
      </c>
      <c r="H40" s="30" t="str">
        <f>Effort!H38</f>
        <v>CLOSED</v>
      </c>
      <c r="I40" s="38" t="str">
        <f>Harvest!H38</f>
        <v>CLOSED</v>
      </c>
      <c r="J40" s="36" t="str">
        <f>CPUE!H38</f>
        <v>CLOSED</v>
      </c>
      <c r="K40" s="30" t="str">
        <f>Effort!J38</f>
        <v>CLOSED</v>
      </c>
      <c r="L40" s="38" t="str">
        <f>Harvest!J38</f>
        <v>CLOSED</v>
      </c>
      <c r="M40" s="36" t="str">
        <f>CPUE!J38</f>
        <v>CLOSED</v>
      </c>
      <c r="N40" s="30" t="str">
        <f>Effort!L38</f>
        <v>CLOSED</v>
      </c>
      <c r="O40" s="38" t="str">
        <f>Harvest!L38</f>
        <v>CLOSED</v>
      </c>
      <c r="P40" s="36" t="str">
        <f>CPUE!L38</f>
        <v>CLOSED</v>
      </c>
      <c r="Q40" s="30" t="str">
        <f>Effort!N38</f>
        <v>CLOSED</v>
      </c>
      <c r="R40" s="38" t="str">
        <f>Harvest!N38</f>
        <v>CLOSED</v>
      </c>
      <c r="S40" s="36" t="str">
        <f>CPUE!N38</f>
        <v>CLOSED</v>
      </c>
      <c r="T40" s="30">
        <f t="shared" si="9"/>
        <v>873.94900394115143</v>
      </c>
      <c r="U40" s="38">
        <f t="shared" si="9"/>
        <v>8977.839767759102</v>
      </c>
    </row>
    <row r="41" spans="1:21" x14ac:dyDescent="0.25">
      <c r="A41" s="37">
        <v>42419</v>
      </c>
      <c r="B41" s="18">
        <f t="shared" si="8"/>
        <v>42419</v>
      </c>
      <c r="C41" s="13">
        <v>0</v>
      </c>
      <c r="D41" s="95">
        <v>0.68958333333333333</v>
      </c>
      <c r="E41" s="30">
        <f>Effort!F39</f>
        <v>1990.7678773333953</v>
      </c>
      <c r="F41" s="38">
        <f>Harvest!F39</f>
        <v>22831.619093167377</v>
      </c>
      <c r="G41" s="36">
        <f>CPUE!F39</f>
        <v>11.46875</v>
      </c>
      <c r="H41" s="30" t="str">
        <f>Effort!H39</f>
        <v>CLOSED</v>
      </c>
      <c r="I41" s="38" t="str">
        <f>Harvest!H39</f>
        <v>CLOSED</v>
      </c>
      <c r="J41" s="36" t="str">
        <f>CPUE!H39</f>
        <v>CLOSED</v>
      </c>
      <c r="K41" s="30">
        <f>Effort!J39</f>
        <v>3391.3042356026012</v>
      </c>
      <c r="L41" s="38">
        <f>Harvest!J39</f>
        <v>42899.9985803729</v>
      </c>
      <c r="M41" s="36">
        <f>CPUE!J39</f>
        <v>12.649999999999999</v>
      </c>
      <c r="N41" s="30">
        <f>Effort!L39</f>
        <v>1766.6574481220709</v>
      </c>
      <c r="O41" s="38">
        <f>Harvest!L39</f>
        <v>14975.819291004018</v>
      </c>
      <c r="P41" s="36">
        <f>CPUE!L39</f>
        <v>8.476923076923077</v>
      </c>
      <c r="Q41" s="30" t="str">
        <f>Effort!N39</f>
        <v>CLOSED</v>
      </c>
      <c r="R41" s="38" t="str">
        <f>Harvest!N39</f>
        <v>CLOSED</v>
      </c>
      <c r="S41" s="36" t="str">
        <f>CPUE!N39</f>
        <v>CLOSED</v>
      </c>
      <c r="T41" s="30">
        <f>+E41+K41+N41</f>
        <v>7148.7295610580677</v>
      </c>
      <c r="U41" s="38">
        <f>+F41+L41+O41</f>
        <v>80707.436964544308</v>
      </c>
    </row>
    <row r="42" spans="1:21" x14ac:dyDescent="0.25">
      <c r="A42" s="37">
        <v>42420</v>
      </c>
      <c r="B42" s="18">
        <f t="shared" si="8"/>
        <v>42420</v>
      </c>
      <c r="C42" s="13">
        <v>-0.1</v>
      </c>
      <c r="D42" s="95">
        <v>0.72013888888888888</v>
      </c>
      <c r="E42" s="30">
        <f>Effort!F40</f>
        <v>13050.086698913536</v>
      </c>
      <c r="F42" s="38">
        <f>Harvest!F40</f>
        <v>201114.34981202372</v>
      </c>
      <c r="G42" s="36">
        <f>CPUE!F40</f>
        <v>15.410958904109593</v>
      </c>
      <c r="H42" s="30" t="str">
        <f>Effort!H40</f>
        <v>CLOSED</v>
      </c>
      <c r="I42" s="38" t="str">
        <f>Harvest!H40</f>
        <v>CLOSED</v>
      </c>
      <c r="J42" s="36" t="str">
        <f>CPUE!H40</f>
        <v>CLOSED</v>
      </c>
      <c r="K42" s="30">
        <f>Effort!J40</f>
        <v>9950.4268520255446</v>
      </c>
      <c r="L42" s="38">
        <f>Harvest!J40</f>
        <v>128329.73187509234</v>
      </c>
      <c r="M42" s="36">
        <f>CPUE!J40</f>
        <v>12.896907216494846</v>
      </c>
      <c r="N42" s="30">
        <f>Effort!L40</f>
        <v>7972.8508382998407</v>
      </c>
      <c r="O42" s="38">
        <f>Harvest!L40</f>
        <v>117314.80519212622</v>
      </c>
      <c r="P42" s="36">
        <f>CPUE!L40</f>
        <v>14.714285714285714</v>
      </c>
      <c r="Q42" s="30" t="str">
        <f>Effort!N40</f>
        <v>CLOSED</v>
      </c>
      <c r="R42" s="38" t="str">
        <f>Harvest!N40</f>
        <v>CLOSED</v>
      </c>
      <c r="S42" s="36" t="str">
        <f>CPUE!N40</f>
        <v>CLOSED</v>
      </c>
      <c r="T42" s="30">
        <f>+E42+K42+N42</f>
        <v>30973.364389238923</v>
      </c>
      <c r="U42" s="38">
        <f>+F42+L42+O42</f>
        <v>446758.88687924226</v>
      </c>
    </row>
    <row r="43" spans="1:21" x14ac:dyDescent="0.25">
      <c r="A43" s="37">
        <v>42421</v>
      </c>
      <c r="B43" s="18">
        <f t="shared" si="8"/>
        <v>42421</v>
      </c>
      <c r="C43" s="13">
        <v>-0.2</v>
      </c>
      <c r="D43" s="95">
        <v>0.74722222222222223</v>
      </c>
      <c r="E43" s="30">
        <f>Effort!F41</f>
        <v>2154.2031340788576</v>
      </c>
      <c r="F43" s="38">
        <f>Harvest!F41</f>
        <v>32313.047011182862</v>
      </c>
      <c r="G43" s="36">
        <f>CPUE!F41</f>
        <v>14.999999999999998</v>
      </c>
      <c r="H43" s="30" t="str">
        <f>Effort!H41</f>
        <v>CLOSED</v>
      </c>
      <c r="I43" s="38" t="str">
        <f>Harvest!H41</f>
        <v>CLOSED</v>
      </c>
      <c r="J43" s="36" t="str">
        <f>CPUE!H41</f>
        <v>CLOSED</v>
      </c>
      <c r="K43" s="30" t="str">
        <f>Effort!J41</f>
        <v>CLOSED</v>
      </c>
      <c r="L43" s="38" t="str">
        <f>Harvest!J41</f>
        <v>CLOSED</v>
      </c>
      <c r="M43" s="36" t="str">
        <f>CPUE!J41</f>
        <v>CLOSED</v>
      </c>
      <c r="N43" s="30">
        <f>Effort!L41</f>
        <v>2511.1991250446008</v>
      </c>
      <c r="O43" s="38">
        <f>Harvest!L41</f>
        <v>37155.497258312971</v>
      </c>
      <c r="P43" s="36">
        <f>CPUE!L41</f>
        <v>14.795918367346939</v>
      </c>
      <c r="Q43" s="30" t="str">
        <f>Effort!N41</f>
        <v>CLOSED</v>
      </c>
      <c r="R43" s="38" t="str">
        <f>Harvest!N41</f>
        <v>CLOSED</v>
      </c>
      <c r="S43" s="36" t="str">
        <f>CPUE!N41</f>
        <v>CLOSED</v>
      </c>
      <c r="T43" s="30">
        <f>+E43+N43</f>
        <v>4665.4022591234589</v>
      </c>
      <c r="U43" s="38">
        <f>+F43+O43</f>
        <v>69468.544269495833</v>
      </c>
    </row>
    <row r="44" spans="1:21" x14ac:dyDescent="0.25">
      <c r="A44" s="37">
        <v>42422</v>
      </c>
      <c r="B44" s="18">
        <v>42422</v>
      </c>
      <c r="C44" s="13">
        <v>-0.1</v>
      </c>
      <c r="D44" s="95">
        <v>0.77152777777777781</v>
      </c>
      <c r="E44" s="30">
        <f>Effort!F42</f>
        <v>1270.6224767601384</v>
      </c>
      <c r="F44" s="38">
        <f>Harvest!F42</f>
        <v>18961.596960882067</v>
      </c>
      <c r="G44" s="36">
        <f>CPUE!F42</f>
        <v>14.923076923076925</v>
      </c>
      <c r="H44" s="30" t="str">
        <f>Effort!H42</f>
        <v>CLOSED</v>
      </c>
      <c r="I44" s="38" t="str">
        <f>Harvest!H42</f>
        <v>CLOSED</v>
      </c>
      <c r="J44" s="36" t="str">
        <f>CPUE!H42</f>
        <v>CLOSED</v>
      </c>
      <c r="K44" s="30" t="str">
        <f>Effort!J42</f>
        <v>CLOSED</v>
      </c>
      <c r="L44" s="38" t="str">
        <f>Harvest!J42</f>
        <v>CLOSED</v>
      </c>
      <c r="M44" s="36" t="str">
        <f>CPUE!J42</f>
        <v>CLOSED</v>
      </c>
      <c r="N44" s="30" t="str">
        <f>Effort!L42</f>
        <v>CLOSED</v>
      </c>
      <c r="O44" s="38" t="str">
        <f>Harvest!L42</f>
        <v>CLOSED</v>
      </c>
      <c r="P44" s="36" t="str">
        <f>CPUE!L42</f>
        <v>CLOSED</v>
      </c>
      <c r="Q44" s="30" t="str">
        <f>Effort!N42</f>
        <v>CLOSED</v>
      </c>
      <c r="R44" s="38" t="str">
        <f>Harvest!N42</f>
        <v>CLOSED</v>
      </c>
      <c r="S44" s="36" t="str">
        <f>CPUE!N42</f>
        <v>CLOSED</v>
      </c>
      <c r="T44" s="30">
        <f>+E44</f>
        <v>1270.6224767601384</v>
      </c>
      <c r="U44" s="38">
        <f>+F44</f>
        <v>18961.596960882067</v>
      </c>
    </row>
    <row r="45" spans="1:21" x14ac:dyDescent="0.25">
      <c r="A45" s="37">
        <v>42423</v>
      </c>
      <c r="B45" s="18">
        <v>42423</v>
      </c>
      <c r="C45" s="13">
        <v>0.1</v>
      </c>
      <c r="D45" s="95">
        <v>0.7944444444444444</v>
      </c>
      <c r="E45" s="30">
        <f>Effort!F43</f>
        <v>1100</v>
      </c>
      <c r="F45" s="38">
        <f>Harvest!F43</f>
        <v>16050</v>
      </c>
      <c r="G45" s="36">
        <f>CPUE!F43</f>
        <v>14.590909090909092</v>
      </c>
      <c r="H45" s="30" t="str">
        <f>Effort!H43</f>
        <v>CLOSED</v>
      </c>
      <c r="I45" s="38" t="str">
        <f>Harvest!H43</f>
        <v>CLOSED</v>
      </c>
      <c r="J45" s="36" t="str">
        <f>CPUE!H43</f>
        <v>CLOSED</v>
      </c>
      <c r="K45" s="30" t="str">
        <f>Effort!J43</f>
        <v>CLOSED</v>
      </c>
      <c r="L45" s="38" t="str">
        <f>Harvest!J43</f>
        <v>CLOSED</v>
      </c>
      <c r="M45" s="36" t="str">
        <f>CPUE!J43</f>
        <v>CLOSED</v>
      </c>
      <c r="N45" s="30" t="str">
        <f>Effort!L43</f>
        <v>CLOSED</v>
      </c>
      <c r="O45" s="38" t="str">
        <f>Harvest!L43</f>
        <v>CLOSED</v>
      </c>
      <c r="P45" s="36" t="str">
        <f>CPUE!L43</f>
        <v>CLOSED</v>
      </c>
      <c r="Q45" s="30" t="str">
        <f>Effort!N43</f>
        <v>CLOSED</v>
      </c>
      <c r="R45" s="38" t="str">
        <f>Harvest!N43</f>
        <v>CLOSED</v>
      </c>
      <c r="S45" s="36" t="str">
        <f>CPUE!N43</f>
        <v>CLOSED</v>
      </c>
      <c r="T45" s="30">
        <f t="shared" ref="T45:T51" si="10">+E45</f>
        <v>1100</v>
      </c>
      <c r="U45" s="38">
        <f t="shared" ref="U45:U51" si="11">+F45</f>
        <v>16050</v>
      </c>
    </row>
    <row r="46" spans="1:21" x14ac:dyDescent="0.25">
      <c r="A46" s="37">
        <v>42424</v>
      </c>
      <c r="B46" s="18">
        <v>42424</v>
      </c>
      <c r="C46" s="13">
        <v>0.5</v>
      </c>
      <c r="D46" s="95">
        <v>0.81597222222222221</v>
      </c>
      <c r="E46" s="30">
        <f>Effort!F44</f>
        <v>358.76813715349095</v>
      </c>
      <c r="F46" s="38">
        <f>Harvest!F44</f>
        <v>3372.4204892428152</v>
      </c>
      <c r="G46" s="36">
        <f>CPUE!F44</f>
        <v>9.4</v>
      </c>
      <c r="H46" s="30" t="str">
        <f>Effort!H44</f>
        <v>CLOSED</v>
      </c>
      <c r="I46" s="38" t="str">
        <f>Harvest!H44</f>
        <v>CLOSED</v>
      </c>
      <c r="J46" s="36" t="str">
        <f>CPUE!H44</f>
        <v>CLOSED</v>
      </c>
      <c r="K46" s="30" t="str">
        <f>Effort!J44</f>
        <v>CLOSED</v>
      </c>
      <c r="L46" s="38" t="str">
        <f>Harvest!J44</f>
        <v>CLOSED</v>
      </c>
      <c r="M46" s="36" t="str">
        <f>CPUE!J44</f>
        <v>CLOSED</v>
      </c>
      <c r="N46" s="30" t="str">
        <f>Effort!L44</f>
        <v>CLOSED</v>
      </c>
      <c r="O46" s="38" t="str">
        <f>Harvest!L44</f>
        <v>CLOSED</v>
      </c>
      <c r="P46" s="36" t="str">
        <f>CPUE!L44</f>
        <v>CLOSED</v>
      </c>
      <c r="Q46" s="30" t="str">
        <f>Effort!N44</f>
        <v>CLOSED</v>
      </c>
      <c r="R46" s="38" t="str">
        <f>Harvest!N44</f>
        <v>CLOSED</v>
      </c>
      <c r="S46" s="36" t="str">
        <f>CPUE!N44</f>
        <v>CLOSED</v>
      </c>
      <c r="T46" s="30">
        <f t="shared" si="10"/>
        <v>358.76813715349095</v>
      </c>
      <c r="U46" s="38">
        <f t="shared" si="11"/>
        <v>3372.4204892428152</v>
      </c>
    </row>
    <row r="47" spans="1:21" x14ac:dyDescent="0.25">
      <c r="A47" s="37">
        <v>42425</v>
      </c>
      <c r="B47" s="18">
        <v>42425</v>
      </c>
      <c r="C47" s="13">
        <v>0.9</v>
      </c>
      <c r="D47" s="95">
        <v>0.83750000000000002</v>
      </c>
      <c r="E47" s="30">
        <f>Effort!F45</f>
        <v>870</v>
      </c>
      <c r="F47" s="38">
        <f>Harvest!F45</f>
        <v>9000</v>
      </c>
      <c r="G47" s="36">
        <f>CPUE!F45</f>
        <v>10.344827586206897</v>
      </c>
      <c r="H47" s="30" t="str">
        <f>Effort!H45</f>
        <v>CLOSED</v>
      </c>
      <c r="I47" s="38" t="str">
        <f>Harvest!H45</f>
        <v>CLOSED</v>
      </c>
      <c r="J47" s="36" t="str">
        <f>CPUE!H45</f>
        <v>CLOSED</v>
      </c>
      <c r="K47" s="30" t="str">
        <f>Effort!J45</f>
        <v>CLOSED</v>
      </c>
      <c r="L47" s="38" t="str">
        <f>Harvest!J45</f>
        <v>CLOSED</v>
      </c>
      <c r="M47" s="36" t="str">
        <f>CPUE!J45</f>
        <v>CLOSED</v>
      </c>
      <c r="N47" s="30" t="str">
        <f>Effort!L45</f>
        <v>CLOSED</v>
      </c>
      <c r="O47" s="38" t="str">
        <f>Harvest!L45</f>
        <v>CLOSED</v>
      </c>
      <c r="P47" s="36" t="str">
        <f>CPUE!L45</f>
        <v>CLOSED</v>
      </c>
      <c r="Q47" s="30" t="str">
        <f>Effort!N45</f>
        <v>CLOSED</v>
      </c>
      <c r="R47" s="38" t="str">
        <f>Harvest!N45</f>
        <v>CLOSED</v>
      </c>
      <c r="S47" s="36" t="str">
        <f>CPUE!N45</f>
        <v>CLOSED</v>
      </c>
      <c r="T47" s="30">
        <f t="shared" si="10"/>
        <v>870</v>
      </c>
      <c r="U47" s="38">
        <f t="shared" si="11"/>
        <v>9000</v>
      </c>
    </row>
    <row r="48" spans="1:21" x14ac:dyDescent="0.25">
      <c r="A48" s="37">
        <v>42426</v>
      </c>
      <c r="B48" s="18">
        <v>42426</v>
      </c>
      <c r="C48" s="13">
        <v>1.4</v>
      </c>
      <c r="D48" s="95">
        <v>0.85902777777777772</v>
      </c>
      <c r="E48" s="30">
        <f>Effort!F46</f>
        <v>1000</v>
      </c>
      <c r="F48" s="38">
        <f>Harvest!F46</f>
        <v>11700</v>
      </c>
      <c r="G48" s="36">
        <f>CPUE!F46</f>
        <v>11.7</v>
      </c>
      <c r="H48" s="30" t="str">
        <f>Effort!H46</f>
        <v>CLOSED</v>
      </c>
      <c r="I48" s="38" t="str">
        <f>Harvest!H46</f>
        <v>CLOSED</v>
      </c>
      <c r="J48" s="36" t="str">
        <f>CPUE!H46</f>
        <v>CLOSED</v>
      </c>
      <c r="K48" s="30" t="str">
        <f>Effort!J46</f>
        <v>CLOSED</v>
      </c>
      <c r="L48" s="38" t="str">
        <f>Harvest!J46</f>
        <v>CLOSED</v>
      </c>
      <c r="M48" s="36" t="str">
        <f>CPUE!J46</f>
        <v>CLOSED</v>
      </c>
      <c r="N48" s="30" t="str">
        <f>Effort!L46</f>
        <v>CLOSED</v>
      </c>
      <c r="O48" s="38" t="str">
        <f>Harvest!L46</f>
        <v>CLOSED</v>
      </c>
      <c r="P48" s="36" t="str">
        <f>CPUE!L46</f>
        <v>CLOSED</v>
      </c>
      <c r="Q48" s="30" t="str">
        <f>Effort!N46</f>
        <v>CLOSED</v>
      </c>
      <c r="R48" s="38" t="str">
        <f>Harvest!N46</f>
        <v>CLOSED</v>
      </c>
      <c r="S48" s="36" t="str">
        <f>CPUE!N46</f>
        <v>CLOSED</v>
      </c>
      <c r="T48" s="30">
        <f t="shared" si="10"/>
        <v>1000</v>
      </c>
      <c r="U48" s="38">
        <f t="shared" si="11"/>
        <v>11700</v>
      </c>
    </row>
    <row r="49" spans="1:21" x14ac:dyDescent="0.25">
      <c r="A49" s="37">
        <v>42427</v>
      </c>
      <c r="B49" s="18">
        <v>42427</v>
      </c>
      <c r="C49" s="13">
        <v>2</v>
      </c>
      <c r="D49" s="95">
        <v>0.88124999999999998</v>
      </c>
      <c r="E49" s="30">
        <f>Effort!F47</f>
        <v>100</v>
      </c>
      <c r="F49" s="38">
        <f>Harvest!F47</f>
        <v>1200</v>
      </c>
      <c r="G49" s="36">
        <f>CPUE!F47</f>
        <v>12</v>
      </c>
      <c r="H49" s="30" t="str">
        <f>Effort!H47</f>
        <v>CLOSED</v>
      </c>
      <c r="I49" s="38" t="str">
        <f>Harvest!H47</f>
        <v>CLOSED</v>
      </c>
      <c r="J49" s="36" t="str">
        <f>CPUE!H47</f>
        <v>CLOSED</v>
      </c>
      <c r="K49" s="30" t="str">
        <f>Effort!J47</f>
        <v>CLOSED</v>
      </c>
      <c r="L49" s="38" t="str">
        <f>Harvest!J47</f>
        <v>CLOSED</v>
      </c>
      <c r="M49" s="36" t="str">
        <f>CPUE!J47</f>
        <v>CLOSED</v>
      </c>
      <c r="N49" s="30" t="str">
        <f>Effort!L47</f>
        <v>CLOSED</v>
      </c>
      <c r="O49" s="38" t="str">
        <f>Harvest!L47</f>
        <v>CLOSED</v>
      </c>
      <c r="P49" s="36" t="str">
        <f>CPUE!L47</f>
        <v>CLOSED</v>
      </c>
      <c r="Q49" s="30" t="str">
        <f>Effort!N47</f>
        <v>CLOSED</v>
      </c>
      <c r="R49" s="38" t="str">
        <f>Harvest!N47</f>
        <v>CLOSED</v>
      </c>
      <c r="S49" s="36" t="str">
        <f>CPUE!N47</f>
        <v>CLOSED</v>
      </c>
      <c r="T49" s="30">
        <f t="shared" si="10"/>
        <v>100</v>
      </c>
      <c r="U49" s="38">
        <f t="shared" si="11"/>
        <v>1200</v>
      </c>
    </row>
    <row r="50" spans="1:21" x14ac:dyDescent="0.25">
      <c r="A50" s="37">
        <v>42428</v>
      </c>
      <c r="B50" s="18">
        <v>42428</v>
      </c>
      <c r="C50" s="13">
        <v>2.5</v>
      </c>
      <c r="D50" s="95">
        <v>0.90555555555555556</v>
      </c>
      <c r="E50" s="30">
        <f>Effort!F48</f>
        <v>0</v>
      </c>
      <c r="F50" s="38">
        <f>Harvest!F48</f>
        <v>0</v>
      </c>
      <c r="G50" s="36">
        <f>CPUE!F48</f>
        <v>0</v>
      </c>
      <c r="H50" s="30" t="str">
        <f>Effort!H48</f>
        <v>CLOSED</v>
      </c>
      <c r="I50" s="38" t="str">
        <f>Harvest!H48</f>
        <v>CLOSED</v>
      </c>
      <c r="J50" s="36" t="str">
        <f>CPUE!H48</f>
        <v>CLOSED</v>
      </c>
      <c r="K50" s="30" t="str">
        <f>Effort!J48</f>
        <v>CLOSED</v>
      </c>
      <c r="L50" s="38" t="str">
        <f>Harvest!J48</f>
        <v>CLOSED</v>
      </c>
      <c r="M50" s="36" t="str">
        <f>CPUE!J48</f>
        <v>CLOSED</v>
      </c>
      <c r="N50" s="30" t="str">
        <f>Effort!L48</f>
        <v>CLOSED</v>
      </c>
      <c r="O50" s="38" t="str">
        <f>Harvest!L48</f>
        <v>CLOSED</v>
      </c>
      <c r="P50" s="36" t="str">
        <f>CPUE!L48</f>
        <v>CLOSED</v>
      </c>
      <c r="Q50" s="30" t="str">
        <f>Effort!N48</f>
        <v>CLOSED</v>
      </c>
      <c r="R50" s="38" t="str">
        <f>Harvest!N48</f>
        <v>CLOSED</v>
      </c>
      <c r="S50" s="36" t="str">
        <f>CPUE!N48</f>
        <v>CLOSED</v>
      </c>
      <c r="T50" s="30">
        <f t="shared" si="10"/>
        <v>0</v>
      </c>
      <c r="U50" s="38">
        <f t="shared" si="11"/>
        <v>0</v>
      </c>
    </row>
    <row r="51" spans="1:21" x14ac:dyDescent="0.25">
      <c r="A51" s="37">
        <v>42429</v>
      </c>
      <c r="B51" s="18">
        <v>42429</v>
      </c>
      <c r="C51" s="13">
        <v>3.1</v>
      </c>
      <c r="D51" s="95">
        <v>0.93472222222222223</v>
      </c>
      <c r="E51" s="30">
        <f>Effort!F49</f>
        <v>0</v>
      </c>
      <c r="F51" s="38">
        <f>Harvest!F49</f>
        <v>0</v>
      </c>
      <c r="G51" s="36">
        <f>CPUE!F49</f>
        <v>0</v>
      </c>
      <c r="H51" s="30" t="str">
        <f>Effort!H49</f>
        <v>CLOSED</v>
      </c>
      <c r="I51" s="38" t="str">
        <f>Harvest!H49</f>
        <v>CLOSED</v>
      </c>
      <c r="J51" s="36" t="str">
        <f>CPUE!H49</f>
        <v>CLOSED</v>
      </c>
      <c r="K51" s="30" t="str">
        <f>Effort!J49</f>
        <v>CLOSED</v>
      </c>
      <c r="L51" s="38" t="str">
        <f>Harvest!J49</f>
        <v>CLOSED</v>
      </c>
      <c r="M51" s="36" t="str">
        <f>CPUE!J49</f>
        <v>CLOSED</v>
      </c>
      <c r="N51" s="30" t="str">
        <f>Effort!L49</f>
        <v>CLOSED</v>
      </c>
      <c r="O51" s="38" t="str">
        <f>Harvest!L49</f>
        <v>CLOSED</v>
      </c>
      <c r="P51" s="36" t="str">
        <f>CPUE!L49</f>
        <v>CLOSED</v>
      </c>
      <c r="Q51" s="30" t="str">
        <f>Effort!N49</f>
        <v>CLOSED</v>
      </c>
      <c r="R51" s="38" t="str">
        <f>Harvest!N49</f>
        <v>CLOSED</v>
      </c>
      <c r="S51" s="36" t="str">
        <f>CPUE!N49</f>
        <v>CLOSED</v>
      </c>
      <c r="T51" s="30">
        <f t="shared" si="10"/>
        <v>0</v>
      </c>
      <c r="U51" s="38">
        <f t="shared" si="11"/>
        <v>0</v>
      </c>
    </row>
    <row r="52" spans="1:21" x14ac:dyDescent="0.25">
      <c r="A52" s="228" t="s">
        <v>32</v>
      </c>
      <c r="B52" s="228"/>
      <c r="C52" s="228"/>
      <c r="D52" s="229"/>
      <c r="E52" s="34">
        <f>SUM(E37:E51)</f>
        <v>25159.517173215801</v>
      </c>
      <c r="F52" s="35">
        <f>SUM(F37:F51)</f>
        <v>349194.73563109973</v>
      </c>
      <c r="G52" s="33">
        <f>+F52/E52</f>
        <v>13.879230401243303</v>
      </c>
      <c r="H52" s="34"/>
      <c r="I52" s="35"/>
      <c r="J52" s="33"/>
      <c r="K52" s="34">
        <f>SUM(K41:K49)</f>
        <v>13341.731087628146</v>
      </c>
      <c r="L52" s="35">
        <f>SUM(L41:L49)</f>
        <v>171229.73045546524</v>
      </c>
      <c r="M52" s="33">
        <f>+L52/K52</f>
        <v>12.834146433534958</v>
      </c>
      <c r="N52" s="34">
        <f>SUM(N41:N49)</f>
        <v>12250.707411466512</v>
      </c>
      <c r="O52" s="35">
        <f>SUM(O41:O49)</f>
        <v>169446.1217414432</v>
      </c>
      <c r="P52" s="33">
        <f>+O52/N52</f>
        <v>13.831537726780065</v>
      </c>
      <c r="Q52" s="34"/>
      <c r="R52" s="35"/>
      <c r="S52" s="33"/>
      <c r="T52" s="34">
        <f>SUM(T37:T51)</f>
        <v>50751.955672310462</v>
      </c>
      <c r="U52" s="35">
        <f>SUM(U37:U51)</f>
        <v>689870.58782800811</v>
      </c>
    </row>
    <row r="53" spans="1:21" x14ac:dyDescent="0.25">
      <c r="A53" s="37">
        <v>42430</v>
      </c>
      <c r="B53" s="18">
        <f>+A53</f>
        <v>42430</v>
      </c>
      <c r="C53" s="13">
        <v>1.9</v>
      </c>
      <c r="D53" s="95">
        <v>0.48888888888888887</v>
      </c>
      <c r="E53" s="30">
        <f>Effort!F51</f>
        <v>80</v>
      </c>
      <c r="F53" s="38">
        <f>Harvest!F51</f>
        <v>935</v>
      </c>
      <c r="G53" s="36">
        <f>CPUE!F51</f>
        <v>11.6875</v>
      </c>
      <c r="H53" s="30" t="str">
        <f>Effort!H51</f>
        <v>CLOSED</v>
      </c>
      <c r="I53" s="38" t="str">
        <f>Harvest!H51</f>
        <v>CLOSED</v>
      </c>
      <c r="J53" s="36" t="str">
        <f>CPUE!H51</f>
        <v>CLOSED</v>
      </c>
      <c r="K53" s="30" t="str">
        <f>Effort!J51</f>
        <v>CLOSED</v>
      </c>
      <c r="L53" s="38" t="str">
        <f>Harvest!J51</f>
        <v>CLOSED</v>
      </c>
      <c r="M53" s="36" t="str">
        <f>CPUE!J51</f>
        <v>CLOSED</v>
      </c>
      <c r="N53" s="30" t="str">
        <f>Effort!L51</f>
        <v>CLOSED</v>
      </c>
      <c r="O53" s="38" t="str">
        <f>Harvest!L51</f>
        <v>CLOSED</v>
      </c>
      <c r="P53" s="36" t="str">
        <f>CPUE!L51</f>
        <v>CLOSED</v>
      </c>
      <c r="Q53" s="30" t="str">
        <f>Effort!N51</f>
        <v>CLOSED</v>
      </c>
      <c r="R53" s="38" t="str">
        <f>Harvest!N51</f>
        <v>CLOSED</v>
      </c>
      <c r="S53" s="36" t="str">
        <f>CPUE!N51</f>
        <v>CLOSED</v>
      </c>
      <c r="T53" s="30">
        <f t="shared" ref="T53:T62" si="12">+E53</f>
        <v>80</v>
      </c>
      <c r="U53" s="38">
        <f t="shared" ref="U53:U62" si="13">+F53</f>
        <v>935</v>
      </c>
    </row>
    <row r="54" spans="1:21" x14ac:dyDescent="0.25">
      <c r="A54" s="37">
        <v>42431</v>
      </c>
      <c r="B54" s="18">
        <f t="shared" ref="B54:B67" si="14">+A54</f>
        <v>42431</v>
      </c>
      <c r="C54" s="13">
        <v>1.8</v>
      </c>
      <c r="D54" s="95">
        <v>0.53541666666666665</v>
      </c>
      <c r="E54" s="30">
        <f>Effort!F52</f>
        <v>82.587748968866308</v>
      </c>
      <c r="F54" s="38">
        <f>Harvest!F52</f>
        <v>963.52373797010682</v>
      </c>
      <c r="G54" s="36">
        <f>CPUE!F52</f>
        <v>11.666666666666666</v>
      </c>
      <c r="H54" s="30" t="str">
        <f>Effort!H52</f>
        <v>CLOSED</v>
      </c>
      <c r="I54" s="38" t="str">
        <f>Harvest!H52</f>
        <v>CLOSED</v>
      </c>
      <c r="J54" s="36" t="str">
        <f>CPUE!H52</f>
        <v>CLOSED</v>
      </c>
      <c r="K54" s="30" t="str">
        <f>Effort!J52</f>
        <v>CLOSED</v>
      </c>
      <c r="L54" s="38" t="str">
        <f>Harvest!J52</f>
        <v>CLOSED</v>
      </c>
      <c r="M54" s="36" t="str">
        <f>CPUE!J52</f>
        <v>CLOSED</v>
      </c>
      <c r="N54" s="30" t="str">
        <f>Effort!L52</f>
        <v>CLOSED</v>
      </c>
      <c r="O54" s="38" t="str">
        <f>Harvest!L52</f>
        <v>CLOSED</v>
      </c>
      <c r="P54" s="36" t="str">
        <f>CPUE!L52</f>
        <v>CLOSED</v>
      </c>
      <c r="Q54" s="30" t="str">
        <f>Effort!N52</f>
        <v>CLOSED</v>
      </c>
      <c r="R54" s="38" t="str">
        <f>Harvest!N52</f>
        <v>CLOSED</v>
      </c>
      <c r="S54" s="36" t="str">
        <f>CPUE!N52</f>
        <v>CLOSED</v>
      </c>
      <c r="T54" s="30">
        <f t="shared" si="12"/>
        <v>82.587748968866308</v>
      </c>
      <c r="U54" s="38">
        <f t="shared" si="13"/>
        <v>963.52373797010682</v>
      </c>
    </row>
    <row r="55" spans="1:21" x14ac:dyDescent="0.25">
      <c r="A55" s="37">
        <v>42432</v>
      </c>
      <c r="B55" s="18">
        <f t="shared" si="14"/>
        <v>42432</v>
      </c>
      <c r="C55" s="13">
        <v>1.4</v>
      </c>
      <c r="D55" s="95">
        <v>0.58263888888888893</v>
      </c>
      <c r="E55" s="30">
        <f>Effort!F53</f>
        <v>166.89607604125067</v>
      </c>
      <c r="F55" s="38">
        <f>Harvest!F53</f>
        <v>2253.097026556884</v>
      </c>
      <c r="G55" s="36">
        <f>CPUE!F53</f>
        <v>13.5</v>
      </c>
      <c r="H55" s="30" t="str">
        <f>Effort!H53</f>
        <v>CLOSED</v>
      </c>
      <c r="I55" s="38" t="str">
        <f>Harvest!H53</f>
        <v>CLOSED</v>
      </c>
      <c r="J55" s="36" t="str">
        <f>CPUE!H53</f>
        <v>CLOSED</v>
      </c>
      <c r="K55" s="30" t="str">
        <f>Effort!J53</f>
        <v>CLOSED</v>
      </c>
      <c r="L55" s="38" t="str">
        <f>Harvest!J53</f>
        <v>CLOSED</v>
      </c>
      <c r="M55" s="36" t="str">
        <f>CPUE!J53</f>
        <v>CLOSED</v>
      </c>
      <c r="N55" s="30" t="str">
        <f>Effort!L53</f>
        <v>CLOSED</v>
      </c>
      <c r="O55" s="38" t="str">
        <f>Harvest!L53</f>
        <v>CLOSED</v>
      </c>
      <c r="P55" s="36" t="str">
        <f>CPUE!L53</f>
        <v>CLOSED</v>
      </c>
      <c r="Q55" s="30" t="str">
        <f>Effort!N53</f>
        <v>CLOSED</v>
      </c>
      <c r="R55" s="38" t="str">
        <f>Harvest!N53</f>
        <v>CLOSED</v>
      </c>
      <c r="S55" s="36" t="str">
        <f>CPUE!N53</f>
        <v>CLOSED</v>
      </c>
      <c r="T55" s="30">
        <f t="shared" si="12"/>
        <v>166.89607604125067</v>
      </c>
      <c r="U55" s="38">
        <f t="shared" si="13"/>
        <v>2253.097026556884</v>
      </c>
    </row>
    <row r="56" spans="1:21" x14ac:dyDescent="0.25">
      <c r="A56" s="37">
        <v>42433</v>
      </c>
      <c r="B56" s="18">
        <f t="shared" si="14"/>
        <v>42433</v>
      </c>
      <c r="C56" s="13">
        <v>0.9</v>
      </c>
      <c r="D56" s="95">
        <v>0.625</v>
      </c>
      <c r="E56" s="30">
        <f>Effort!F54</f>
        <v>581.55539898910024</v>
      </c>
      <c r="F56" s="38">
        <f>Harvest!F54</f>
        <v>3738.570422072788</v>
      </c>
      <c r="G56" s="36">
        <f>CPUE!F54</f>
        <v>6.4285714285714297</v>
      </c>
      <c r="H56" s="30" t="str">
        <f>Effort!H54</f>
        <v>CLOSED</v>
      </c>
      <c r="I56" s="38" t="str">
        <f>Harvest!H54</f>
        <v>CLOSED</v>
      </c>
      <c r="J56" s="36" t="str">
        <f>CPUE!H54</f>
        <v>CLOSED</v>
      </c>
      <c r="K56" s="30" t="str">
        <f>Effort!J54</f>
        <v>CLOSED</v>
      </c>
      <c r="L56" s="38" t="str">
        <f>Harvest!J54</f>
        <v>CLOSED</v>
      </c>
      <c r="M56" s="36" t="str">
        <f>CPUE!J54</f>
        <v>CLOSED</v>
      </c>
      <c r="N56" s="30" t="str">
        <f>Effort!L54</f>
        <v>CLOSED</v>
      </c>
      <c r="O56" s="38" t="str">
        <f>Harvest!L54</f>
        <v>CLOSED</v>
      </c>
      <c r="P56" s="36" t="str">
        <f>CPUE!L54</f>
        <v>CLOSED</v>
      </c>
      <c r="Q56" s="30" t="str">
        <f>Effort!N54</f>
        <v>CLOSED</v>
      </c>
      <c r="R56" s="38" t="str">
        <f>Harvest!N54</f>
        <v>CLOSED</v>
      </c>
      <c r="S56" s="36" t="str">
        <f>CPUE!N54</f>
        <v>CLOSED</v>
      </c>
      <c r="T56" s="30">
        <f t="shared" si="12"/>
        <v>581.55539898910024</v>
      </c>
      <c r="U56" s="38">
        <f t="shared" si="13"/>
        <v>3738.570422072788</v>
      </c>
    </row>
    <row r="57" spans="1:21" x14ac:dyDescent="0.25">
      <c r="A57" s="37">
        <v>42434</v>
      </c>
      <c r="B57" s="18">
        <f t="shared" si="14"/>
        <v>42434</v>
      </c>
      <c r="C57" s="13">
        <v>0.3</v>
      </c>
      <c r="D57" s="95">
        <v>0.66180555555555554</v>
      </c>
      <c r="E57" s="30">
        <f>Effort!F55</f>
        <v>6502.7180649687552</v>
      </c>
      <c r="F57" s="38">
        <f>Harvest!F55</f>
        <v>26602.028447599449</v>
      </c>
      <c r="G57" s="36">
        <f>CPUE!F55</f>
        <v>4.0909090909090899</v>
      </c>
      <c r="H57" s="30" t="str">
        <f>Effort!H55</f>
        <v>CLOSED</v>
      </c>
      <c r="I57" s="38" t="str">
        <f>Harvest!H55</f>
        <v>CLOSED</v>
      </c>
      <c r="J57" s="36" t="str">
        <f>CPUE!H55</f>
        <v>CLOSED</v>
      </c>
      <c r="K57" s="30" t="str">
        <f>Effort!J55</f>
        <v>CLOSED</v>
      </c>
      <c r="L57" s="38" t="str">
        <f>Harvest!J55</f>
        <v>CLOSED</v>
      </c>
      <c r="M57" s="36" t="str">
        <f>CPUE!J55</f>
        <v>CLOSED</v>
      </c>
      <c r="N57" s="30">
        <f>Effort!L55</f>
        <v>4831.4403416248888</v>
      </c>
      <c r="O57" s="38">
        <f>Harvest!L55</f>
        <v>16190.464974594044</v>
      </c>
      <c r="P57" s="36">
        <f>CPUE!L55</f>
        <v>3.3510638297872344</v>
      </c>
      <c r="Q57" s="30" t="str">
        <f>Effort!N55</f>
        <v>CLOSED</v>
      </c>
      <c r="R57" s="38" t="str">
        <f>Harvest!N55</f>
        <v>CLOSED</v>
      </c>
      <c r="S57" s="36" t="str">
        <f>CPUE!N55</f>
        <v>CLOSED</v>
      </c>
      <c r="T57" s="30">
        <f t="shared" ref="T57:U60" si="15">+E57+N57</f>
        <v>11334.158406593644</v>
      </c>
      <c r="U57" s="38">
        <f t="shared" si="15"/>
        <v>42792.493422193496</v>
      </c>
    </row>
    <row r="58" spans="1:21" x14ac:dyDescent="0.25">
      <c r="A58" s="37">
        <v>42435</v>
      </c>
      <c r="B58" s="18">
        <f t="shared" si="14"/>
        <v>42435</v>
      </c>
      <c r="C58" s="13">
        <v>-0.2</v>
      </c>
      <c r="D58" s="95">
        <v>0.69444444444444442</v>
      </c>
      <c r="E58" s="30">
        <f>Effort!F56</f>
        <v>1496.1854229320488</v>
      </c>
      <c r="F58" s="38">
        <f>Harvest!F56</f>
        <v>19027.575487288013</v>
      </c>
      <c r="G58" s="36">
        <f>CPUE!F56</f>
        <v>12.717391304347826</v>
      </c>
      <c r="H58" s="30" t="str">
        <f>Effort!H56</f>
        <v>CLOSED</v>
      </c>
      <c r="I58" s="38" t="str">
        <f>Harvest!H56</f>
        <v>CLOSED</v>
      </c>
      <c r="J58" s="36" t="str">
        <f>CPUE!H56</f>
        <v>CLOSED</v>
      </c>
      <c r="K58" s="30" t="str">
        <f>Effort!J56</f>
        <v>CLOSED</v>
      </c>
      <c r="L58" s="38" t="str">
        <f>Harvest!J56</f>
        <v>CLOSED</v>
      </c>
      <c r="M58" s="36" t="str">
        <f>CPUE!J56</f>
        <v>CLOSED</v>
      </c>
      <c r="N58" s="30">
        <f>Effort!L56</f>
        <v>3365.1189231814024</v>
      </c>
      <c r="O58" s="38">
        <f>Harvest!L56</f>
        <v>46672.736369342063</v>
      </c>
      <c r="P58" s="36">
        <f>CPUE!L56</f>
        <v>13.869565217391306</v>
      </c>
      <c r="Q58" s="30" t="str">
        <f>Effort!N56</f>
        <v>CLOSED</v>
      </c>
      <c r="R58" s="38" t="str">
        <f>Harvest!N56</f>
        <v>CLOSED</v>
      </c>
      <c r="S58" s="36" t="str">
        <f>CPUE!N56</f>
        <v>CLOSED</v>
      </c>
      <c r="T58" s="30">
        <f t="shared" si="15"/>
        <v>4861.3043461134512</v>
      </c>
      <c r="U58" s="38">
        <f t="shared" si="15"/>
        <v>65700.311856630084</v>
      </c>
    </row>
    <row r="59" spans="1:21" x14ac:dyDescent="0.25">
      <c r="A59" s="37">
        <v>42436</v>
      </c>
      <c r="B59" s="18">
        <f t="shared" si="14"/>
        <v>42436</v>
      </c>
      <c r="C59" s="13">
        <v>-0.5</v>
      </c>
      <c r="D59" s="95">
        <v>0.72430555555555554</v>
      </c>
      <c r="E59" s="30">
        <f>Effort!F57</f>
        <v>1496.0099046205387</v>
      </c>
      <c r="F59" s="38">
        <f>Harvest!F57</f>
        <v>18040.852682220891</v>
      </c>
      <c r="G59" s="36">
        <f>CPUE!F57</f>
        <v>12.059313662630418</v>
      </c>
      <c r="H59" s="30" t="str">
        <f>Effort!H57</f>
        <v>CLOSED</v>
      </c>
      <c r="I59" s="38" t="str">
        <f>Harvest!H57</f>
        <v>CLOSED</v>
      </c>
      <c r="J59" s="36" t="str">
        <f>CPUE!H57</f>
        <v>CLOSED</v>
      </c>
      <c r="K59" s="30" t="str">
        <f>Effort!J57</f>
        <v>CLOSED</v>
      </c>
      <c r="L59" s="38" t="str">
        <f>Harvest!J57</f>
        <v>CLOSED</v>
      </c>
      <c r="M59" s="36" t="str">
        <f>CPUE!J57</f>
        <v>CLOSED</v>
      </c>
      <c r="N59" s="30">
        <f>Effort!L57</f>
        <v>1534.2714002042412</v>
      </c>
      <c r="O59" s="38">
        <f>Harvest!L57</f>
        <v>23014.071003063618</v>
      </c>
      <c r="P59" s="36">
        <f>CPUE!L57</f>
        <v>15</v>
      </c>
      <c r="Q59" s="30" t="str">
        <f>Effort!N57</f>
        <v>CLOSED</v>
      </c>
      <c r="R59" s="38" t="str">
        <f>Harvest!N57</f>
        <v>CLOSED</v>
      </c>
      <c r="S59" s="36" t="str">
        <f>CPUE!N57</f>
        <v>CLOSED</v>
      </c>
      <c r="T59" s="30">
        <f t="shared" si="15"/>
        <v>3030.2813048247799</v>
      </c>
      <c r="U59" s="38">
        <f t="shared" si="15"/>
        <v>41054.923685284506</v>
      </c>
    </row>
    <row r="60" spans="1:21" x14ac:dyDescent="0.25">
      <c r="A60" s="37">
        <v>42437</v>
      </c>
      <c r="B60" s="18">
        <f t="shared" si="14"/>
        <v>42437</v>
      </c>
      <c r="C60" s="13">
        <v>-0.6</v>
      </c>
      <c r="D60" s="95">
        <v>0.75347222222222221</v>
      </c>
      <c r="E60" s="30">
        <f>Effort!F58</f>
        <v>1069.7549276279728</v>
      </c>
      <c r="F60" s="38">
        <f>Harvest!F58</f>
        <v>16046.323914419594</v>
      </c>
      <c r="G60" s="36">
        <f>CPUE!F58</f>
        <v>15.000000000000002</v>
      </c>
      <c r="H60" s="30" t="str">
        <f>Effort!H58</f>
        <v>CLOSED</v>
      </c>
      <c r="I60" s="38" t="str">
        <f>Harvest!H58</f>
        <v>CLOSED</v>
      </c>
      <c r="J60" s="36" t="str">
        <f>CPUE!H58</f>
        <v>CLOSED</v>
      </c>
      <c r="K60" s="30" t="str">
        <f>Effort!J58</f>
        <v>CLOSED</v>
      </c>
      <c r="L60" s="38" t="str">
        <f>Harvest!J58</f>
        <v>CLOSED</v>
      </c>
      <c r="M60" s="36" t="str">
        <f>CPUE!J58</f>
        <v>CLOSED</v>
      </c>
      <c r="N60" s="30">
        <f>Effort!L58</f>
        <v>1104.0364078517225</v>
      </c>
      <c r="O60" s="38">
        <f>Harvest!L58</f>
        <v>15814.575571930076</v>
      </c>
      <c r="P60" s="36">
        <f>CPUE!L58</f>
        <v>14.324324324324321</v>
      </c>
      <c r="Q60" s="30" t="str">
        <f>Effort!N58</f>
        <v>CLOSED</v>
      </c>
      <c r="R60" s="38" t="str">
        <f>Harvest!N58</f>
        <v>CLOSED</v>
      </c>
      <c r="S60" s="36" t="str">
        <f>CPUE!N58</f>
        <v>CLOSED</v>
      </c>
      <c r="T60" s="30">
        <f t="shared" si="15"/>
        <v>2173.7913354796956</v>
      </c>
      <c r="U60" s="38">
        <f t="shared" si="15"/>
        <v>31860.89948634967</v>
      </c>
    </row>
    <row r="61" spans="1:21" x14ac:dyDescent="0.25">
      <c r="A61" s="37">
        <v>42438</v>
      </c>
      <c r="B61" s="18">
        <f t="shared" si="14"/>
        <v>42438</v>
      </c>
      <c r="C61" s="13">
        <v>-0.5</v>
      </c>
      <c r="D61" s="95">
        <v>0.78263888888888888</v>
      </c>
      <c r="E61" s="30">
        <f>Effort!F59</f>
        <v>1050</v>
      </c>
      <c r="F61" s="38">
        <f>Harvest!F59</f>
        <v>15750</v>
      </c>
      <c r="G61" s="36">
        <f>CPUE!F59</f>
        <v>15</v>
      </c>
      <c r="H61" s="30" t="str">
        <f>Effort!H59</f>
        <v>CLOSED</v>
      </c>
      <c r="I61" s="38" t="str">
        <f>Harvest!H59</f>
        <v>CLOSED</v>
      </c>
      <c r="J61" s="36" t="str">
        <f>CPUE!H59</f>
        <v>CLOSED</v>
      </c>
      <c r="K61" s="30" t="str">
        <f>Effort!J59</f>
        <v>CLOSED</v>
      </c>
      <c r="L61" s="38" t="str">
        <f>Harvest!J59</f>
        <v>CLOSED</v>
      </c>
      <c r="M61" s="36" t="str">
        <f>CPUE!J59</f>
        <v>CLOSED</v>
      </c>
      <c r="N61" s="30" t="str">
        <f>Effort!L59</f>
        <v>CLOSED</v>
      </c>
      <c r="O61" s="38" t="str">
        <f>Harvest!L59</f>
        <v>CLOSED</v>
      </c>
      <c r="P61" s="36" t="str">
        <f>CPUE!L59</f>
        <v>CLOSED</v>
      </c>
      <c r="Q61" s="30" t="str">
        <f>Effort!N59</f>
        <v>CLOSED</v>
      </c>
      <c r="R61" s="38" t="str">
        <f>Harvest!N59</f>
        <v>CLOSED</v>
      </c>
      <c r="S61" s="36" t="str">
        <f>CPUE!N59</f>
        <v>CLOSED</v>
      </c>
      <c r="T61" s="30">
        <f t="shared" si="12"/>
        <v>1050</v>
      </c>
      <c r="U61" s="38">
        <f t="shared" si="13"/>
        <v>15750</v>
      </c>
    </row>
    <row r="62" spans="1:21" x14ac:dyDescent="0.25">
      <c r="A62" s="37">
        <v>42439</v>
      </c>
      <c r="B62" s="18">
        <f t="shared" si="14"/>
        <v>42439</v>
      </c>
      <c r="C62" s="13">
        <v>-0.2</v>
      </c>
      <c r="D62" s="95">
        <v>0.81111111111111112</v>
      </c>
      <c r="E62" s="30">
        <f>Effort!F60</f>
        <v>800</v>
      </c>
      <c r="F62" s="38">
        <f>Harvest!F60</f>
        <v>10400</v>
      </c>
      <c r="G62" s="36">
        <f>CPUE!F60</f>
        <v>13</v>
      </c>
      <c r="H62" s="30" t="str">
        <f>Effort!H60</f>
        <v>CLOSED</v>
      </c>
      <c r="I62" s="38" t="str">
        <f>Harvest!H60</f>
        <v>CLOSED</v>
      </c>
      <c r="J62" s="36" t="str">
        <f>CPUE!H60</f>
        <v>CLOSED</v>
      </c>
      <c r="K62" s="30" t="str">
        <f>Effort!J60</f>
        <v>CLOSED</v>
      </c>
      <c r="L62" s="38" t="str">
        <f>Harvest!J60</f>
        <v>CLOSED</v>
      </c>
      <c r="M62" s="36" t="str">
        <f>CPUE!J60</f>
        <v>CLOSED</v>
      </c>
      <c r="N62" s="30" t="str">
        <f>Effort!L60</f>
        <v>CLOSED</v>
      </c>
      <c r="O62" s="38" t="str">
        <f>Harvest!L60</f>
        <v>CLOSED</v>
      </c>
      <c r="P62" s="36" t="str">
        <f>CPUE!L60</f>
        <v>CLOSED</v>
      </c>
      <c r="Q62" s="30" t="str">
        <f>Effort!N60</f>
        <v>CLOSED</v>
      </c>
      <c r="R62" s="38" t="str">
        <f>Harvest!N60</f>
        <v>CLOSED</v>
      </c>
      <c r="S62" s="36" t="str">
        <f>CPUE!N60</f>
        <v>CLOSED</v>
      </c>
      <c r="T62" s="30">
        <f t="shared" si="12"/>
        <v>800</v>
      </c>
      <c r="U62" s="38">
        <f t="shared" si="13"/>
        <v>10400</v>
      </c>
    </row>
    <row r="63" spans="1:21" x14ac:dyDescent="0.25">
      <c r="A63" s="228" t="s">
        <v>32</v>
      </c>
      <c r="B63" s="228"/>
      <c r="C63" s="228"/>
      <c r="D63" s="229"/>
      <c r="E63" s="34">
        <f>SUM(E53:E62)</f>
        <v>13325.707544148534</v>
      </c>
      <c r="F63" s="35">
        <f>SUM(F53:F62)</f>
        <v>113756.97171812772</v>
      </c>
      <c r="G63" s="33">
        <f>+F63/E63</f>
        <v>8.5366552838749392</v>
      </c>
      <c r="H63" s="34"/>
      <c r="I63" s="35"/>
      <c r="J63" s="33"/>
      <c r="K63" s="34"/>
      <c r="L63" s="35"/>
      <c r="M63" s="33"/>
      <c r="N63" s="34">
        <f>SUM(N57:N62)</f>
        <v>10834.867072862256</v>
      </c>
      <c r="O63" s="35">
        <f>SUM(O57:O62)</f>
        <v>101691.84791892981</v>
      </c>
      <c r="P63" s="33">
        <f>+O63/N63</f>
        <v>9.3856110310420071</v>
      </c>
      <c r="Q63" s="34"/>
      <c r="R63" s="35"/>
      <c r="S63" s="33"/>
      <c r="T63" s="34">
        <f>SUM(T53:T62)</f>
        <v>24160.574617010789</v>
      </c>
      <c r="U63" s="35">
        <f>SUM(U53:U62)</f>
        <v>215448.81963705755</v>
      </c>
    </row>
    <row r="64" spans="1:21" x14ac:dyDescent="0.25">
      <c r="A64" s="37">
        <v>42440</v>
      </c>
      <c r="B64" s="18">
        <f t="shared" si="14"/>
        <v>42440</v>
      </c>
      <c r="C64" s="13">
        <v>-0.1</v>
      </c>
      <c r="D64" s="95">
        <v>0.33263888888888887</v>
      </c>
      <c r="E64" s="30">
        <f>Effort!F62</f>
        <v>465.14378097802057</v>
      </c>
      <c r="F64" s="38">
        <f>Harvest!F62</f>
        <v>6977.1567146703073</v>
      </c>
      <c r="G64" s="36">
        <f>CPUE!F62</f>
        <v>14.999999999999996</v>
      </c>
      <c r="H64" s="30" t="str">
        <f>Effort!H62</f>
        <v>CLOSED</v>
      </c>
      <c r="I64" s="38" t="str">
        <f>Harvest!H62</f>
        <v>CLOSED</v>
      </c>
      <c r="J64" s="36" t="str">
        <f>CPUE!H62</f>
        <v>CLOSED</v>
      </c>
      <c r="K64" s="30" t="str">
        <f>Effort!J62</f>
        <v>CLOSED</v>
      </c>
      <c r="L64" s="38" t="str">
        <f>Harvest!J62</f>
        <v>CLOSED</v>
      </c>
      <c r="M64" s="36" t="str">
        <f>CPUE!J62</f>
        <v>CLOSED</v>
      </c>
      <c r="N64" s="30" t="str">
        <f>Effort!L62</f>
        <v>CLOSED</v>
      </c>
      <c r="O64" s="38" t="str">
        <f>Harvest!L62</f>
        <v>CLOSED</v>
      </c>
      <c r="P64" s="36" t="str">
        <f>CPUE!L62</f>
        <v>CLOSED</v>
      </c>
      <c r="Q64" s="30" t="str">
        <f>Effort!N62</f>
        <v>CLOSED</v>
      </c>
      <c r="R64" s="38" t="str">
        <f>Harvest!N62</f>
        <v>CLOSED</v>
      </c>
      <c r="S64" s="36" t="str">
        <f>CPUE!N62</f>
        <v>CLOSED</v>
      </c>
      <c r="T64" s="30">
        <f t="shared" ref="T64:U67" si="16">+E64</f>
        <v>465.14378097802057</v>
      </c>
      <c r="U64" s="38">
        <f t="shared" si="16"/>
        <v>6977.1567146703073</v>
      </c>
    </row>
    <row r="65" spans="1:22" x14ac:dyDescent="0.25">
      <c r="A65" s="37">
        <v>42441</v>
      </c>
      <c r="B65" s="18">
        <f t="shared" si="14"/>
        <v>42441</v>
      </c>
      <c r="C65" s="13">
        <v>-0.2</v>
      </c>
      <c r="D65" s="95">
        <v>0.36736111111111114</v>
      </c>
      <c r="E65" s="30">
        <f>Effort!F63</f>
        <v>1855.4403784905703</v>
      </c>
      <c r="F65" s="38">
        <f>Harvest!F63</f>
        <v>15539.313169858526</v>
      </c>
      <c r="G65" s="36">
        <f>CPUE!F63</f>
        <v>8.375</v>
      </c>
      <c r="H65" s="30" t="str">
        <f>Effort!H63</f>
        <v>CLOSED</v>
      </c>
      <c r="I65" s="38" t="str">
        <f>Harvest!H63</f>
        <v>CLOSED</v>
      </c>
      <c r="J65" s="36" t="str">
        <f>CPUE!H63</f>
        <v>CLOSED</v>
      </c>
      <c r="K65" s="30" t="str">
        <f>Effort!J63</f>
        <v>CLOSED</v>
      </c>
      <c r="L65" s="38" t="str">
        <f>Harvest!J63</f>
        <v>CLOSED</v>
      </c>
      <c r="M65" s="36" t="str">
        <f>CPUE!J63</f>
        <v>CLOSED</v>
      </c>
      <c r="N65" s="30" t="str">
        <f>Effort!L63</f>
        <v>CLOSED</v>
      </c>
      <c r="O65" s="38" t="str">
        <f>Harvest!L63</f>
        <v>CLOSED</v>
      </c>
      <c r="P65" s="36" t="str">
        <f>CPUE!L63</f>
        <v>CLOSED</v>
      </c>
      <c r="Q65" s="30" t="str">
        <f>Effort!N63</f>
        <v>CLOSED</v>
      </c>
      <c r="R65" s="38" t="str">
        <f>Harvest!N63</f>
        <v>CLOSED</v>
      </c>
      <c r="S65" s="36" t="str">
        <f>CPUE!N63</f>
        <v>CLOSED</v>
      </c>
      <c r="T65" s="30">
        <f t="shared" si="16"/>
        <v>1855.4403784905703</v>
      </c>
      <c r="U65" s="38">
        <f t="shared" si="16"/>
        <v>15539.313169858526</v>
      </c>
    </row>
    <row r="66" spans="1:22" x14ac:dyDescent="0.25">
      <c r="A66" s="37">
        <v>42442</v>
      </c>
      <c r="B66" s="18">
        <f t="shared" si="14"/>
        <v>42442</v>
      </c>
      <c r="C66" s="13">
        <v>0</v>
      </c>
      <c r="D66" s="95">
        <v>0.4465277777777778</v>
      </c>
      <c r="E66" s="30">
        <f>Effort!F64</f>
        <v>0</v>
      </c>
      <c r="F66" s="38">
        <f>Harvest!F64</f>
        <v>0</v>
      </c>
      <c r="G66" s="36">
        <f>CPUE!F64</f>
        <v>0</v>
      </c>
      <c r="H66" s="30" t="str">
        <f>Effort!H64</f>
        <v>CLOSED</v>
      </c>
      <c r="I66" s="38" t="str">
        <f>Harvest!H64</f>
        <v>CLOSED</v>
      </c>
      <c r="J66" s="36" t="str">
        <f>CPUE!H64</f>
        <v>CLOSED</v>
      </c>
      <c r="K66" s="30" t="str">
        <f>Effort!J64</f>
        <v>CLOSED</v>
      </c>
      <c r="L66" s="38" t="str">
        <f>Harvest!J64</f>
        <v>CLOSED</v>
      </c>
      <c r="M66" s="36" t="str">
        <f>CPUE!J64</f>
        <v>CLOSED</v>
      </c>
      <c r="N66" s="30" t="str">
        <f>Effort!L64</f>
        <v>CLOSED</v>
      </c>
      <c r="O66" s="38" t="str">
        <f>Harvest!L64</f>
        <v>CLOSED</v>
      </c>
      <c r="P66" s="36" t="str">
        <f>CPUE!L64</f>
        <v>CLOSED</v>
      </c>
      <c r="Q66" s="30" t="str">
        <f>Effort!N64</f>
        <v>CLOSED</v>
      </c>
      <c r="R66" s="38" t="str">
        <f>Harvest!N64</f>
        <v>CLOSED</v>
      </c>
      <c r="S66" s="36" t="str">
        <f>CPUE!N64</f>
        <v>CLOSED</v>
      </c>
      <c r="T66" s="30">
        <f t="shared" si="16"/>
        <v>0</v>
      </c>
      <c r="U66" s="38">
        <f t="shared" si="16"/>
        <v>0</v>
      </c>
    </row>
    <row r="67" spans="1:22" x14ac:dyDescent="0.25">
      <c r="A67" s="37">
        <v>42443</v>
      </c>
      <c r="B67" s="18">
        <f t="shared" si="14"/>
        <v>42443</v>
      </c>
      <c r="C67" s="13">
        <v>0.3</v>
      </c>
      <c r="D67" s="95">
        <v>0.48749999999999999</v>
      </c>
      <c r="E67" s="30">
        <f>Effort!F65</f>
        <v>1000</v>
      </c>
      <c r="F67" s="38">
        <f>Harvest!F65</f>
        <v>14900</v>
      </c>
      <c r="G67" s="36">
        <f>CPUE!F65</f>
        <v>14.9</v>
      </c>
      <c r="H67" s="30" t="str">
        <f>Effort!H65</f>
        <v>CLOSED</v>
      </c>
      <c r="I67" s="38" t="str">
        <f>Harvest!H65</f>
        <v>CLOSED</v>
      </c>
      <c r="J67" s="36" t="str">
        <f>CPUE!H65</f>
        <v>CLOSED</v>
      </c>
      <c r="K67" s="30" t="str">
        <f>Effort!J65</f>
        <v>CLOSED</v>
      </c>
      <c r="L67" s="38" t="str">
        <f>Harvest!J65</f>
        <v>CLOSED</v>
      </c>
      <c r="M67" s="36" t="str">
        <f>CPUE!J65</f>
        <v>CLOSED</v>
      </c>
      <c r="N67" s="30" t="str">
        <f>Effort!L65</f>
        <v>CLOSED</v>
      </c>
      <c r="O67" s="38" t="str">
        <f>Harvest!L65</f>
        <v>CLOSED</v>
      </c>
      <c r="P67" s="36" t="str">
        <f>CPUE!L65</f>
        <v>CLOSED</v>
      </c>
      <c r="Q67" s="30" t="str">
        <f>Effort!N65</f>
        <v>CLOSED</v>
      </c>
      <c r="R67" s="38" t="str">
        <f>Harvest!N65</f>
        <v>CLOSED</v>
      </c>
      <c r="S67" s="36" t="str">
        <f>CPUE!N65</f>
        <v>CLOSED</v>
      </c>
      <c r="T67" s="30">
        <f t="shared" si="16"/>
        <v>1000</v>
      </c>
      <c r="U67" s="38">
        <f t="shared" si="16"/>
        <v>14900</v>
      </c>
    </row>
    <row r="68" spans="1:22" x14ac:dyDescent="0.25">
      <c r="A68" s="228" t="s">
        <v>32</v>
      </c>
      <c r="B68" s="228"/>
      <c r="C68" s="228"/>
      <c r="D68" s="229"/>
      <c r="E68" s="34">
        <f>SUM(E64:E67)</f>
        <v>3320.5841594685908</v>
      </c>
      <c r="F68" s="35">
        <f>SUM(F64:F67)</f>
        <v>37416.469884528837</v>
      </c>
      <c r="G68" s="33">
        <f>+F68/E68</f>
        <v>11.268038419636614</v>
      </c>
      <c r="H68" s="34"/>
      <c r="I68" s="35"/>
      <c r="J68" s="33"/>
      <c r="K68" s="34"/>
      <c r="L68" s="35"/>
      <c r="M68" s="33"/>
      <c r="N68" s="34"/>
      <c r="O68" s="35"/>
      <c r="P68" s="33"/>
      <c r="Q68" s="34"/>
      <c r="R68" s="35"/>
      <c r="S68" s="33"/>
      <c r="T68" s="34">
        <f>SUM(T64:T67)</f>
        <v>3320.5841594685908</v>
      </c>
      <c r="U68" s="35">
        <f>SUM(U64:U67)</f>
        <v>37416.469884528837</v>
      </c>
    </row>
    <row r="69" spans="1:22" x14ac:dyDescent="0.25">
      <c r="A69" s="37">
        <v>42444</v>
      </c>
      <c r="B69" s="18">
        <v>42444</v>
      </c>
      <c r="C69" s="13">
        <v>0.6</v>
      </c>
      <c r="D69" s="95">
        <v>0.53402777777777777</v>
      </c>
      <c r="E69" s="30">
        <f>Effort!F67</f>
        <v>146.18163638111719</v>
      </c>
      <c r="F69" s="38">
        <f>Harvest!F67</f>
        <v>1705.4524244463673</v>
      </c>
      <c r="G69" s="36">
        <f>CPUE!F67</f>
        <v>11.666666666666668</v>
      </c>
      <c r="H69" s="30" t="str">
        <f>Effort!H67</f>
        <v>CLOSED</v>
      </c>
      <c r="I69" s="38" t="str">
        <f>Harvest!H67</f>
        <v>CLOSED</v>
      </c>
      <c r="J69" s="36" t="str">
        <f>CPUE!H67</f>
        <v>CLOSED</v>
      </c>
      <c r="K69" s="30" t="str">
        <f>Effort!J67</f>
        <v>CLOSED</v>
      </c>
      <c r="L69" s="38" t="str">
        <f>Harvest!J67</f>
        <v>CLOSED</v>
      </c>
      <c r="M69" s="36" t="str">
        <f>CPUE!J67</f>
        <v>CLOSED</v>
      </c>
      <c r="N69" s="30" t="str">
        <f>Effort!L67</f>
        <v>CLOSED</v>
      </c>
      <c r="O69" s="38" t="str">
        <f>Harvest!L67</f>
        <v>CLOSED</v>
      </c>
      <c r="P69" s="36" t="str">
        <f>CPUE!L67</f>
        <v>CLOSED</v>
      </c>
      <c r="Q69" s="30" t="str">
        <f>Effort!N67</f>
        <v>CLOSED</v>
      </c>
      <c r="R69" s="38" t="str">
        <f>Harvest!N67</f>
        <v>CLOSED</v>
      </c>
      <c r="S69" s="36" t="str">
        <f>CPUE!N67</f>
        <v>CLOSED</v>
      </c>
      <c r="T69" s="30">
        <f>+E69</f>
        <v>146.18163638111719</v>
      </c>
      <c r="U69" s="38">
        <f>+F69</f>
        <v>1705.4524244463673</v>
      </c>
    </row>
    <row r="70" spans="1:22" x14ac:dyDescent="0.25">
      <c r="A70" s="37">
        <v>42445</v>
      </c>
      <c r="B70" s="18">
        <f t="shared" ref="B70:B97" si="17">+A70</f>
        <v>42445</v>
      </c>
      <c r="C70" s="13">
        <v>0.8</v>
      </c>
      <c r="D70" s="95">
        <v>0.58402777777777781</v>
      </c>
      <c r="E70" s="30">
        <f>Effort!F68</f>
        <v>384.77695093420505</v>
      </c>
      <c r="F70" s="38">
        <f>Harvest!F68</f>
        <v>5771.6542640130756</v>
      </c>
      <c r="G70" s="36">
        <f>CPUE!F68</f>
        <v>15</v>
      </c>
      <c r="H70" s="30" t="str">
        <f>Effort!H68</f>
        <v>CLOSED</v>
      </c>
      <c r="I70" s="38" t="str">
        <f>Harvest!H68</f>
        <v>CLOSED</v>
      </c>
      <c r="J70" s="36" t="str">
        <f>CPUE!H68</f>
        <v>CLOSED</v>
      </c>
      <c r="K70" s="30" t="str">
        <f>Effort!J68</f>
        <v>CLOSED</v>
      </c>
      <c r="L70" s="38" t="str">
        <f>Harvest!J68</f>
        <v>CLOSED</v>
      </c>
      <c r="M70" s="36" t="str">
        <f>CPUE!J68</f>
        <v>CLOSED</v>
      </c>
      <c r="N70" s="30" t="str">
        <f>Effort!L68</f>
        <v>CLOSED</v>
      </c>
      <c r="O70" s="38" t="str">
        <f>Harvest!L68</f>
        <v>CLOSED</v>
      </c>
      <c r="P70" s="36" t="str">
        <f>CPUE!L68</f>
        <v>CLOSED</v>
      </c>
      <c r="Q70" s="30" t="str">
        <f>Effort!N68</f>
        <v>CLOSED</v>
      </c>
      <c r="R70" s="38" t="str">
        <f>Harvest!N68</f>
        <v>CLOSED</v>
      </c>
      <c r="S70" s="36" t="str">
        <f>CPUE!N68</f>
        <v>CLOSED</v>
      </c>
      <c r="T70" s="30">
        <f t="shared" ref="T70:T75" si="18">+E70</f>
        <v>384.77695093420505</v>
      </c>
      <c r="U70" s="38">
        <f t="shared" ref="U70:U75" si="19">+F70</f>
        <v>5771.6542640130756</v>
      </c>
    </row>
    <row r="71" spans="1:22" x14ac:dyDescent="0.25">
      <c r="A71" s="37">
        <v>42446</v>
      </c>
      <c r="B71" s="18">
        <f t="shared" si="17"/>
        <v>42446</v>
      </c>
      <c r="C71" s="13">
        <v>0.8</v>
      </c>
      <c r="D71" s="95">
        <v>0.6333333333333333</v>
      </c>
      <c r="E71" s="30">
        <f>Effort!F69</f>
        <v>400</v>
      </c>
      <c r="F71" s="38">
        <f>Harvest!F69</f>
        <v>6000</v>
      </c>
      <c r="G71" s="36">
        <f>CPUE!F69</f>
        <v>15</v>
      </c>
      <c r="H71" s="30" t="str">
        <f>Effort!H69</f>
        <v>CLOSED</v>
      </c>
      <c r="I71" s="38" t="str">
        <f>Harvest!H69</f>
        <v>CLOSED</v>
      </c>
      <c r="J71" s="36" t="str">
        <f>CPUE!H69</f>
        <v>CLOSED</v>
      </c>
      <c r="K71" s="30" t="str">
        <f>Effort!J69</f>
        <v>CLOSED</v>
      </c>
      <c r="L71" s="38" t="str">
        <f>Harvest!J69</f>
        <v>CLOSED</v>
      </c>
      <c r="M71" s="36" t="str">
        <f>CPUE!J69</f>
        <v>CLOSED</v>
      </c>
      <c r="N71" s="30" t="str">
        <f>Effort!L69</f>
        <v>CLOSED</v>
      </c>
      <c r="O71" s="38" t="str">
        <f>Harvest!L69</f>
        <v>CLOSED</v>
      </c>
      <c r="P71" s="36" t="str">
        <f>CPUE!L69</f>
        <v>CLOSED</v>
      </c>
      <c r="Q71" s="30" t="str">
        <f>Effort!N69</f>
        <v>CLOSED</v>
      </c>
      <c r="R71" s="38" t="str">
        <f>Harvest!N69</f>
        <v>CLOSED</v>
      </c>
      <c r="S71" s="36" t="str">
        <f>CPUE!N69</f>
        <v>CLOSED</v>
      </c>
      <c r="T71" s="30">
        <f t="shared" si="18"/>
        <v>400</v>
      </c>
      <c r="U71" s="38">
        <f t="shared" si="19"/>
        <v>6000</v>
      </c>
    </row>
    <row r="72" spans="1:22" x14ac:dyDescent="0.25">
      <c r="A72" s="37">
        <v>42447</v>
      </c>
      <c r="B72" s="18">
        <f t="shared" si="17"/>
        <v>42447</v>
      </c>
      <c r="C72" s="13">
        <v>0.7</v>
      </c>
      <c r="D72" s="95">
        <v>0.67708333333333337</v>
      </c>
      <c r="E72" s="30">
        <f>Effort!F70</f>
        <v>785.01948019587769</v>
      </c>
      <c r="F72" s="38">
        <f>Harvest!F70</f>
        <v>11775.292202938166</v>
      </c>
      <c r="G72" s="36">
        <f>CPUE!F70</f>
        <v>15.000000000000002</v>
      </c>
      <c r="H72" s="30" t="str">
        <f>Effort!H70</f>
        <v>CLOSED</v>
      </c>
      <c r="I72" s="38" t="str">
        <f>Harvest!H70</f>
        <v>CLOSED</v>
      </c>
      <c r="J72" s="36" t="str">
        <f>CPUE!H70</f>
        <v>CLOSED</v>
      </c>
      <c r="K72" s="30">
        <f>Effort!J70</f>
        <v>3152.6802724301533</v>
      </c>
      <c r="L72" s="38">
        <f>Harvest!J70</f>
        <v>45488.6725022065</v>
      </c>
      <c r="M72" s="36">
        <f>CPUE!J70</f>
        <v>14.428571428571429</v>
      </c>
      <c r="N72" s="30">
        <f>Effort!L70</f>
        <v>1390.722262646967</v>
      </c>
      <c r="O72" s="38">
        <f>Harvest!L70</f>
        <v>20860.833939704506</v>
      </c>
      <c r="P72" s="36">
        <f>CPUE!L70</f>
        <v>15</v>
      </c>
      <c r="Q72" s="30" t="str">
        <f>Effort!N70</f>
        <v>CLOSED</v>
      </c>
      <c r="R72" s="38" t="str">
        <f>Harvest!N70</f>
        <v>CLOSED</v>
      </c>
      <c r="S72" s="36" t="str">
        <f>CPUE!N70</f>
        <v>CLOSED</v>
      </c>
      <c r="T72" s="30">
        <f>+E72+K72+N72</f>
        <v>5328.4220152729977</v>
      </c>
      <c r="U72" s="38">
        <f>+F72+L72+O72</f>
        <v>78124.798644849172</v>
      </c>
    </row>
    <row r="73" spans="1:22" x14ac:dyDescent="0.25">
      <c r="A73" s="37">
        <v>42448</v>
      </c>
      <c r="B73" s="18">
        <f t="shared" si="17"/>
        <v>42448</v>
      </c>
      <c r="C73" s="13">
        <v>0.5</v>
      </c>
      <c r="D73" s="95">
        <v>0.71319444444444446</v>
      </c>
      <c r="E73" s="30">
        <f>Effort!F71</f>
        <v>1227.8072742095014</v>
      </c>
      <c r="F73" s="38">
        <f>Harvest!F71</f>
        <v>16670.659111034176</v>
      </c>
      <c r="G73" s="36">
        <f>CPUE!F71</f>
        <v>13.57758620689655</v>
      </c>
      <c r="H73" s="30" t="str">
        <f>Effort!H71</f>
        <v>CLOSED</v>
      </c>
      <c r="I73" s="38" t="str">
        <f>Harvest!H71</f>
        <v>CLOSED</v>
      </c>
      <c r="J73" s="36" t="str">
        <f>CPUE!H71</f>
        <v>CLOSED</v>
      </c>
      <c r="K73" s="30">
        <f>Effort!J71</f>
        <v>3556.6748971193415</v>
      </c>
      <c r="L73" s="38">
        <f>Harvest!J71</f>
        <v>45113.613168724274</v>
      </c>
      <c r="M73" s="36">
        <f>CPUE!J71</f>
        <v>12.684210526315788</v>
      </c>
      <c r="N73" s="30">
        <f>Effort!L71</f>
        <v>3124.4271496091915</v>
      </c>
      <c r="O73" s="38">
        <f>Harvest!L71</f>
        <v>41740.3939518103</v>
      </c>
      <c r="P73" s="36">
        <f>CPUE!L71</f>
        <v>13.359375000000002</v>
      </c>
      <c r="Q73" s="30" t="str">
        <f>Effort!N71</f>
        <v>CLOSED</v>
      </c>
      <c r="R73" s="38" t="str">
        <f>Harvest!N71</f>
        <v>CLOSED</v>
      </c>
      <c r="S73" s="36" t="str">
        <f>CPUE!N71</f>
        <v>CLOSED</v>
      </c>
      <c r="T73" s="30">
        <f t="shared" ref="T73:U74" si="20">+E73+K73+N73</f>
        <v>7908.9093209380344</v>
      </c>
      <c r="U73" s="38">
        <f t="shared" si="20"/>
        <v>103524.66623156876</v>
      </c>
    </row>
    <row r="74" spans="1:22" x14ac:dyDescent="0.25">
      <c r="A74" s="37">
        <v>42449</v>
      </c>
      <c r="B74" s="18">
        <f t="shared" si="17"/>
        <v>42449</v>
      </c>
      <c r="C74" s="13">
        <v>0.4</v>
      </c>
      <c r="D74" s="95">
        <v>0.74305555555555558</v>
      </c>
      <c r="E74" s="30">
        <f>Effort!F72</f>
        <v>651.23352736366553</v>
      </c>
      <c r="F74" s="38">
        <f>Harvest!F72</f>
        <v>7947.2570831768198</v>
      </c>
      <c r="G74" s="36">
        <f>CPUE!F72</f>
        <v>12.203390564593686</v>
      </c>
      <c r="H74" s="30" t="str">
        <f>Effort!H72</f>
        <v>CLOSED</v>
      </c>
      <c r="I74" s="38" t="str">
        <f>Harvest!H72</f>
        <v>CLOSED</v>
      </c>
      <c r="J74" s="36" t="str">
        <f>CPUE!H72</f>
        <v>CLOSED</v>
      </c>
      <c r="K74" s="30">
        <f>Effort!J72</f>
        <v>2388.5617955786288</v>
      </c>
      <c r="L74" s="38">
        <f>Harvest!J72</f>
        <v>26990.748290038508</v>
      </c>
      <c r="M74" s="36">
        <f>CPUE!J72</f>
        <v>11.3</v>
      </c>
      <c r="N74" s="30">
        <f>Effort!L72</f>
        <v>1243.0342648971982</v>
      </c>
      <c r="O74" s="38">
        <f>Harvest!L72</f>
        <v>15811.395849492361</v>
      </c>
      <c r="P74" s="36">
        <f>CPUE!L72</f>
        <v>12.719999999999999</v>
      </c>
      <c r="Q74" s="30" t="str">
        <f>Effort!N72</f>
        <v>CLOSED</v>
      </c>
      <c r="R74" s="38" t="str">
        <f>Harvest!N72</f>
        <v>CLOSED</v>
      </c>
      <c r="S74" s="36" t="str">
        <f>CPUE!N72</f>
        <v>CLOSED</v>
      </c>
      <c r="T74" s="30">
        <f t="shared" si="20"/>
        <v>4282.8295878394929</v>
      </c>
      <c r="U74" s="38">
        <f t="shared" si="20"/>
        <v>50749.401222707689</v>
      </c>
    </row>
    <row r="75" spans="1:22" x14ac:dyDescent="0.25">
      <c r="A75" s="37">
        <v>42450</v>
      </c>
      <c r="B75" s="18">
        <f t="shared" si="17"/>
        <v>42450</v>
      </c>
      <c r="C75" s="13">
        <v>0.5</v>
      </c>
      <c r="D75" s="95">
        <v>0.76944444444444449</v>
      </c>
      <c r="E75" s="30">
        <f>Effort!F73</f>
        <v>1100</v>
      </c>
      <c r="F75" s="38">
        <f>Harvest!F73</f>
        <v>16500</v>
      </c>
      <c r="G75" s="36">
        <f>CPUE!F73</f>
        <v>15</v>
      </c>
      <c r="H75" s="30" t="str">
        <f>Effort!H73</f>
        <v>CLOSED</v>
      </c>
      <c r="I75" s="38" t="str">
        <f>Harvest!H73</f>
        <v>CLOSED</v>
      </c>
      <c r="J75" s="36" t="str">
        <f>CPUE!H73</f>
        <v>CLOSED</v>
      </c>
      <c r="K75" s="30" t="str">
        <f>Effort!J73</f>
        <v>CLOSED</v>
      </c>
      <c r="L75" s="38" t="str">
        <f>Harvest!J73</f>
        <v>CLOSED</v>
      </c>
      <c r="M75" s="36" t="str">
        <f>CPUE!J73</f>
        <v>CLOSED</v>
      </c>
      <c r="N75" s="30" t="str">
        <f>Effort!L73</f>
        <v>CLOSED</v>
      </c>
      <c r="O75" s="38" t="str">
        <f>Harvest!L73</f>
        <v>CLOSED</v>
      </c>
      <c r="P75" s="36" t="str">
        <f>CPUE!L73</f>
        <v>CLOSED</v>
      </c>
      <c r="Q75" s="30" t="str">
        <f>Effort!N73</f>
        <v>CLOSED</v>
      </c>
      <c r="R75" s="38" t="str">
        <f>Harvest!N73</f>
        <v>CLOSED</v>
      </c>
      <c r="S75" s="36" t="str">
        <f>CPUE!N73</f>
        <v>CLOSED</v>
      </c>
      <c r="T75" s="30">
        <f t="shared" si="18"/>
        <v>1100</v>
      </c>
      <c r="U75" s="38">
        <f t="shared" si="19"/>
        <v>16500</v>
      </c>
    </row>
    <row r="76" spans="1:22" x14ac:dyDescent="0.25">
      <c r="A76" s="37">
        <v>42451</v>
      </c>
      <c r="B76" s="18">
        <f t="shared" si="17"/>
        <v>42451</v>
      </c>
      <c r="C76" s="13">
        <v>0.6</v>
      </c>
      <c r="D76" s="95">
        <v>0.79305555555555551</v>
      </c>
      <c r="E76" s="30">
        <f>Effort!F74</f>
        <v>1100</v>
      </c>
      <c r="F76" s="38">
        <f>Harvest!F74</f>
        <v>16500</v>
      </c>
      <c r="G76" s="36">
        <f>CPUE!F74</f>
        <v>15</v>
      </c>
      <c r="H76" s="30" t="str">
        <f>Effort!H74</f>
        <v>CLOSED</v>
      </c>
      <c r="I76" s="38" t="str">
        <f>Harvest!H74</f>
        <v>CLOSED</v>
      </c>
      <c r="J76" s="36" t="str">
        <f>CPUE!H74</f>
        <v>CLOSED</v>
      </c>
      <c r="K76" s="30" t="str">
        <f>Effort!J74</f>
        <v>CLOSED</v>
      </c>
      <c r="L76" s="38" t="str">
        <f>Harvest!J74</f>
        <v>CLOSED</v>
      </c>
      <c r="M76" s="36" t="str">
        <f>CPUE!J74</f>
        <v>CLOSED</v>
      </c>
      <c r="N76" s="30" t="str">
        <f>Effort!L74</f>
        <v>CLOSED</v>
      </c>
      <c r="O76" s="38" t="str">
        <f>Harvest!L74</f>
        <v>CLOSED</v>
      </c>
      <c r="P76" s="36" t="str">
        <f>CPUE!L74</f>
        <v>CLOSED</v>
      </c>
      <c r="Q76" s="30" t="str">
        <f>Effort!N74</f>
        <v>CLOSED</v>
      </c>
      <c r="R76" s="38" t="str">
        <f>Harvest!N74</f>
        <v>CLOSED</v>
      </c>
      <c r="S76" s="36" t="str">
        <f>CPUE!N74</f>
        <v>CLOSED</v>
      </c>
      <c r="T76" s="30">
        <f>+E76</f>
        <v>1100</v>
      </c>
      <c r="U76" s="38">
        <f>+F76</f>
        <v>16500</v>
      </c>
    </row>
    <row r="77" spans="1:22" x14ac:dyDescent="0.25">
      <c r="A77" s="37">
        <v>42452</v>
      </c>
      <c r="B77" s="18">
        <f t="shared" si="17"/>
        <v>42452</v>
      </c>
      <c r="C77" s="13">
        <v>0.8</v>
      </c>
      <c r="D77" s="96">
        <v>0.81527777777777777</v>
      </c>
      <c r="E77" s="30">
        <f>Effort!F75</f>
        <v>1100</v>
      </c>
      <c r="F77" s="38">
        <f>Harvest!F75</f>
        <v>16500</v>
      </c>
      <c r="G77" s="36">
        <f>CPUE!F75</f>
        <v>15</v>
      </c>
      <c r="H77" s="30" t="str">
        <f>Effort!H75</f>
        <v>CLOSED</v>
      </c>
      <c r="I77" s="38" t="str">
        <f>Harvest!H75</f>
        <v>CLOSED</v>
      </c>
      <c r="J77" s="36" t="str">
        <f>CPUE!H75</f>
        <v>CLOSED</v>
      </c>
      <c r="K77" s="30" t="str">
        <f>Effort!J75</f>
        <v>CLOSED</v>
      </c>
      <c r="L77" s="38" t="str">
        <f>Harvest!J75</f>
        <v>CLOSED</v>
      </c>
      <c r="M77" s="36" t="str">
        <f>CPUE!J75</f>
        <v>CLOSED</v>
      </c>
      <c r="N77" s="30" t="str">
        <f>Effort!L75</f>
        <v>CLOSED</v>
      </c>
      <c r="O77" s="38" t="str">
        <f>Harvest!L75</f>
        <v>CLOSED</v>
      </c>
      <c r="P77" s="36" t="str">
        <f>CPUE!L75</f>
        <v>CLOSED</v>
      </c>
      <c r="Q77" s="30" t="str">
        <f>Effort!N75</f>
        <v>CLOSED</v>
      </c>
      <c r="R77" s="38" t="str">
        <f>Harvest!N75</f>
        <v>CLOSED</v>
      </c>
      <c r="S77" s="36" t="str">
        <f>CPUE!N75</f>
        <v>CLOSED</v>
      </c>
      <c r="T77" s="30">
        <f>+E77</f>
        <v>1100</v>
      </c>
      <c r="U77" s="38">
        <f>+F77</f>
        <v>16500</v>
      </c>
    </row>
    <row r="78" spans="1:22" x14ac:dyDescent="0.25">
      <c r="A78" s="228" t="s">
        <v>32</v>
      </c>
      <c r="B78" s="228"/>
      <c r="C78" s="228"/>
      <c r="D78" s="229"/>
      <c r="E78" s="34">
        <f>SUM(E69:E77)</f>
        <v>6895.018869084367</v>
      </c>
      <c r="F78" s="35">
        <f>SUM(F69:F77)</f>
        <v>99370.315085608599</v>
      </c>
      <c r="G78" s="33">
        <f>+F78/E78</f>
        <v>14.411898933469432</v>
      </c>
      <c r="H78" s="34"/>
      <c r="I78" s="35"/>
      <c r="J78" s="33"/>
      <c r="K78" s="34">
        <f>SUM(K72:K77)</f>
        <v>9097.9169651281245</v>
      </c>
      <c r="L78" s="35">
        <f>SUM(L72:L77)</f>
        <v>117593.03396096929</v>
      </c>
      <c r="M78" s="33">
        <f>+L78/K78</f>
        <v>12.925270082338375</v>
      </c>
      <c r="N78" s="34">
        <f>SUM(N72:N77)</f>
        <v>5758.1836771533563</v>
      </c>
      <c r="O78" s="35">
        <f>SUM(O72:O77)</f>
        <v>78412.623741007163</v>
      </c>
      <c r="P78" s="33">
        <f>+O78/N78</f>
        <v>13.617596821741472</v>
      </c>
      <c r="Q78" s="34"/>
      <c r="R78" s="35"/>
      <c r="S78" s="33"/>
      <c r="T78" s="34">
        <f>SUM(T69:T77)</f>
        <v>21751.119511365847</v>
      </c>
      <c r="U78" s="35">
        <f>SUM(U69:U77)</f>
        <v>295375.97278758505</v>
      </c>
    </row>
    <row r="79" spans="1:22" x14ac:dyDescent="0.25">
      <c r="A79" s="37">
        <v>42453</v>
      </c>
      <c r="B79" s="18">
        <f t="shared" si="17"/>
        <v>42453</v>
      </c>
      <c r="C79" s="13">
        <v>0.8</v>
      </c>
      <c r="D79" s="95">
        <v>0.33124999999999999</v>
      </c>
      <c r="E79" s="30">
        <f>Effort!F77</f>
        <v>263.47102280072738</v>
      </c>
      <c r="F79" s="38">
        <f>Harvest!F77</f>
        <v>1796.3933372776867</v>
      </c>
      <c r="G79" s="36">
        <f>CPUE!F77</f>
        <v>6.8181818181818183</v>
      </c>
      <c r="H79" s="30" t="str">
        <f>Effort!H77</f>
        <v>CLOSED</v>
      </c>
      <c r="I79" s="38" t="str">
        <f>Harvest!H77</f>
        <v>CLOSED</v>
      </c>
      <c r="J79" s="36" t="str">
        <f>CPUE!H77</f>
        <v>CLOSED</v>
      </c>
      <c r="K79" s="30" t="str">
        <f>Effort!J77</f>
        <v>CLOSED</v>
      </c>
      <c r="L79" s="38" t="str">
        <f>Harvest!J77</f>
        <v>CLOSED</v>
      </c>
      <c r="M79" s="36" t="str">
        <f>CPUE!J77</f>
        <v>CLOSED</v>
      </c>
      <c r="N79" s="30" t="str">
        <f>Effort!L77</f>
        <v>CLOSED</v>
      </c>
      <c r="O79" s="38" t="str">
        <f>Harvest!L77</f>
        <v>CLOSED</v>
      </c>
      <c r="P79" s="36" t="str">
        <f>CPUE!L77</f>
        <v>CLOSED</v>
      </c>
      <c r="Q79" s="30" t="str">
        <f>Effort!N77</f>
        <v>CLOSED</v>
      </c>
      <c r="R79" s="38" t="str">
        <f>Harvest!N77</f>
        <v>CLOSED</v>
      </c>
      <c r="S79" s="36" t="str">
        <f>CPUE!N77</f>
        <v>CLOSED</v>
      </c>
      <c r="T79" s="30">
        <f>+E79</f>
        <v>263.47102280072738</v>
      </c>
      <c r="U79" s="38">
        <f>+F79</f>
        <v>1796.3933372776867</v>
      </c>
      <c r="V79" s="10"/>
    </row>
    <row r="80" spans="1:22" x14ac:dyDescent="0.25">
      <c r="A80" s="37">
        <v>42454</v>
      </c>
      <c r="B80" s="18">
        <f t="shared" si="17"/>
        <v>42454</v>
      </c>
      <c r="C80" s="13">
        <v>0.7</v>
      </c>
      <c r="D80" s="95">
        <v>0.35486111111111113</v>
      </c>
      <c r="E80" s="30">
        <f>Effort!F78</f>
        <v>715.62129418778215</v>
      </c>
      <c r="F80" s="38">
        <f>Harvest!F78</f>
        <v>5622.7387400468588</v>
      </c>
      <c r="G80" s="36">
        <f>CPUE!F78</f>
        <v>7.8571428571428559</v>
      </c>
      <c r="H80" s="30" t="str">
        <f>Effort!H78</f>
        <v>CLOSED</v>
      </c>
      <c r="I80" s="38" t="str">
        <f>Harvest!H78</f>
        <v>CLOSED</v>
      </c>
      <c r="J80" s="36" t="str">
        <f>CPUE!H78</f>
        <v>CLOSED</v>
      </c>
      <c r="K80" s="30" t="str">
        <f>Effort!J78</f>
        <v>CLOSED</v>
      </c>
      <c r="L80" s="38" t="str">
        <f>Harvest!J78</f>
        <v>CLOSED</v>
      </c>
      <c r="M80" s="36" t="str">
        <f>CPUE!J78</f>
        <v>CLOSED</v>
      </c>
      <c r="N80" s="30">
        <f>Effort!L78</f>
        <v>1292.8784110283361</v>
      </c>
      <c r="O80" s="38">
        <f>Harvest!L78</f>
        <v>14939.928305216326</v>
      </c>
      <c r="P80" s="36">
        <f>CPUE!L78</f>
        <v>11.555555555555554</v>
      </c>
      <c r="Q80" s="30" t="str">
        <f>Effort!N78</f>
        <v>CLOSED</v>
      </c>
      <c r="R80" s="38" t="str">
        <f>Harvest!N78</f>
        <v>CLOSED</v>
      </c>
      <c r="S80" s="36" t="str">
        <f>CPUE!N78</f>
        <v>CLOSED</v>
      </c>
      <c r="T80" s="30">
        <f>+E80+N80</f>
        <v>2008.4997052161184</v>
      </c>
      <c r="U80" s="38">
        <f>+F80+O80</f>
        <v>20562.667045263184</v>
      </c>
      <c r="V80" s="10"/>
    </row>
    <row r="81" spans="1:22" x14ac:dyDescent="0.25">
      <c r="A81" s="37">
        <v>42455</v>
      </c>
      <c r="B81" s="18">
        <f t="shared" si="17"/>
        <v>42455</v>
      </c>
      <c r="C81" s="13">
        <v>0.6</v>
      </c>
      <c r="D81" s="95">
        <v>0.37916666666666665</v>
      </c>
      <c r="E81" s="30">
        <f>Effort!F79</f>
        <v>2749.8579292693521</v>
      </c>
      <c r="F81" s="38">
        <f>Harvest!F79</f>
        <v>28046.284512122169</v>
      </c>
      <c r="G81" s="36">
        <f>CPUE!F79</f>
        <v>10.199175824175825</v>
      </c>
      <c r="H81" s="30" t="str">
        <f>Effort!H79</f>
        <v>CLOSED</v>
      </c>
      <c r="I81" s="38" t="str">
        <f>Harvest!H79</f>
        <v>CLOSED</v>
      </c>
      <c r="J81" s="36" t="str">
        <f>CPUE!H79</f>
        <v>CLOSED</v>
      </c>
      <c r="K81" s="30" t="str">
        <f>Effort!J79</f>
        <v>CLOSED</v>
      </c>
      <c r="L81" s="38" t="str">
        <f>Harvest!J79</f>
        <v>CLOSED</v>
      </c>
      <c r="M81" s="36" t="str">
        <f>CPUE!J79</f>
        <v>CLOSED</v>
      </c>
      <c r="N81" s="30">
        <f>Effort!L79</f>
        <v>4968.0354386080107</v>
      </c>
      <c r="O81" s="38">
        <f>Harvest!L79</f>
        <v>74520.531579120157</v>
      </c>
      <c r="P81" s="36">
        <f>CPUE!L79</f>
        <v>15</v>
      </c>
      <c r="Q81" s="30" t="str">
        <f>Effort!N79</f>
        <v>CLOSED</v>
      </c>
      <c r="R81" s="38" t="str">
        <f>Harvest!N79</f>
        <v>CLOSED</v>
      </c>
      <c r="S81" s="36" t="str">
        <f>CPUE!N79</f>
        <v>CLOSED</v>
      </c>
      <c r="T81" s="30">
        <f t="shared" ref="T81:U82" si="21">+E81+N81</f>
        <v>7717.8933678773628</v>
      </c>
      <c r="U81" s="38">
        <f t="shared" si="21"/>
        <v>102566.81609124233</v>
      </c>
      <c r="V81" s="10"/>
    </row>
    <row r="82" spans="1:22" x14ac:dyDescent="0.25">
      <c r="A82" s="37">
        <v>42456</v>
      </c>
      <c r="B82" s="18">
        <f t="shared" si="17"/>
        <v>42456</v>
      </c>
      <c r="C82" s="13">
        <v>0.7</v>
      </c>
      <c r="D82" s="95">
        <v>0.40416666666666667</v>
      </c>
      <c r="E82" s="30">
        <f>Effort!F80</f>
        <v>1926.8214973021254</v>
      </c>
      <c r="F82" s="38">
        <f>Harvest!F80</f>
        <v>16628.607966203621</v>
      </c>
      <c r="G82" s="36">
        <f>CPUE!F80</f>
        <v>8.6300718512256953</v>
      </c>
      <c r="H82" s="30" t="str">
        <f>Effort!H80</f>
        <v>CLOSED</v>
      </c>
      <c r="I82" s="38" t="str">
        <f>Harvest!H80</f>
        <v>CLOSED</v>
      </c>
      <c r="J82" s="36" t="str">
        <f>CPUE!H80</f>
        <v>CLOSED</v>
      </c>
      <c r="K82" s="30" t="str">
        <f>Effort!J80</f>
        <v>CLOSED</v>
      </c>
      <c r="L82" s="38" t="str">
        <f>Harvest!J80</f>
        <v>CLOSED</v>
      </c>
      <c r="M82" s="36" t="str">
        <f>CPUE!J80</f>
        <v>CLOSED</v>
      </c>
      <c r="N82" s="30">
        <f>Effort!L80</f>
        <v>3481.0952888072161</v>
      </c>
      <c r="O82" s="38">
        <f>Harvest!L80</f>
        <v>44183.132511783893</v>
      </c>
      <c r="P82" s="36">
        <f>CPUE!L80</f>
        <v>12.692307692307692</v>
      </c>
      <c r="Q82" s="30" t="str">
        <f>Effort!N80</f>
        <v>CLOSED</v>
      </c>
      <c r="R82" s="38" t="str">
        <f>Harvest!N80</f>
        <v>CLOSED</v>
      </c>
      <c r="S82" s="36" t="str">
        <f>CPUE!N80</f>
        <v>CLOSED</v>
      </c>
      <c r="T82" s="30">
        <f t="shared" si="21"/>
        <v>5407.916786109341</v>
      </c>
      <c r="U82" s="38">
        <f t="shared" si="21"/>
        <v>60811.740477987514</v>
      </c>
      <c r="V82" s="10"/>
    </row>
    <row r="83" spans="1:22" x14ac:dyDescent="0.25">
      <c r="A83" s="37">
        <v>42457</v>
      </c>
      <c r="B83" s="18">
        <f t="shared" si="17"/>
        <v>42457</v>
      </c>
      <c r="C83" s="13">
        <v>0.8</v>
      </c>
      <c r="D83" s="95">
        <v>0.43125000000000002</v>
      </c>
      <c r="E83" s="30">
        <f>Effort!F81</f>
        <v>1900</v>
      </c>
      <c r="F83" s="38">
        <f>Harvest!F81</f>
        <v>28300</v>
      </c>
      <c r="G83" s="36">
        <f>CPUE!F81</f>
        <v>14.894736842105264</v>
      </c>
      <c r="H83" s="30" t="str">
        <f>Effort!H81</f>
        <v>CLOSED</v>
      </c>
      <c r="I83" s="38" t="str">
        <f>Harvest!H81</f>
        <v>CLOSED</v>
      </c>
      <c r="J83" s="36" t="str">
        <f>CPUE!H81</f>
        <v>CLOSED</v>
      </c>
      <c r="K83" s="30" t="str">
        <f>Effort!J81</f>
        <v>CLOSED</v>
      </c>
      <c r="L83" s="38" t="str">
        <f>Harvest!J81</f>
        <v>CLOSED</v>
      </c>
      <c r="M83" s="36" t="str">
        <f>CPUE!J81</f>
        <v>CLOSED</v>
      </c>
      <c r="N83" s="30" t="str">
        <f>Effort!L81</f>
        <v>CLOSED</v>
      </c>
      <c r="O83" s="38" t="str">
        <f>Harvest!L81</f>
        <v>CLOSED</v>
      </c>
      <c r="P83" s="36" t="str">
        <f>CPUE!L81</f>
        <v>CLOSED</v>
      </c>
      <c r="Q83" s="30" t="str">
        <f>Effort!N81</f>
        <v>CLOSED</v>
      </c>
      <c r="R83" s="38" t="str">
        <f>Harvest!N81</f>
        <v>CLOSED</v>
      </c>
      <c r="S83" s="36" t="str">
        <f>CPUE!N81</f>
        <v>CLOSED</v>
      </c>
      <c r="T83" s="30">
        <f>+E83</f>
        <v>1900</v>
      </c>
      <c r="U83" s="38">
        <f>+F83</f>
        <v>28300</v>
      </c>
      <c r="V83" s="10"/>
    </row>
    <row r="84" spans="1:22" x14ac:dyDescent="0.25">
      <c r="A84" s="37">
        <v>42458</v>
      </c>
      <c r="B84" s="18">
        <f t="shared" si="17"/>
        <v>42458</v>
      </c>
      <c r="C84" s="13">
        <v>1</v>
      </c>
      <c r="D84" s="95">
        <v>0.46250000000000002</v>
      </c>
      <c r="E84" s="30">
        <f>Effort!F82</f>
        <v>900</v>
      </c>
      <c r="F84" s="38">
        <f>Harvest!F82</f>
        <v>13500</v>
      </c>
      <c r="G84" s="36">
        <f>CPUE!F82</f>
        <v>15</v>
      </c>
      <c r="H84" s="30" t="str">
        <f>Effort!H82</f>
        <v>CLOSED</v>
      </c>
      <c r="I84" s="38" t="str">
        <f>Harvest!H82</f>
        <v>CLOSED</v>
      </c>
      <c r="J84" s="36" t="str">
        <f>CPUE!H82</f>
        <v>CLOSED</v>
      </c>
      <c r="K84" s="30" t="str">
        <f>Effort!J82</f>
        <v>CLOSED</v>
      </c>
      <c r="L84" s="38" t="str">
        <f>Harvest!J82</f>
        <v>CLOSED</v>
      </c>
      <c r="M84" s="36" t="str">
        <f>CPUE!J82</f>
        <v>CLOSED</v>
      </c>
      <c r="N84" s="30" t="str">
        <f>Effort!L82</f>
        <v>CLOSED</v>
      </c>
      <c r="O84" s="38" t="str">
        <f>Harvest!L82</f>
        <v>CLOSED</v>
      </c>
      <c r="P84" s="36" t="str">
        <f>CPUE!L82</f>
        <v>CLOSED</v>
      </c>
      <c r="Q84" s="30" t="str">
        <f>Effort!N82</f>
        <v>CLOSED</v>
      </c>
      <c r="R84" s="38" t="str">
        <f>Harvest!N82</f>
        <v>CLOSED</v>
      </c>
      <c r="S84" s="36" t="str">
        <f>CPUE!N82</f>
        <v>CLOSED</v>
      </c>
      <c r="T84" s="30">
        <f t="shared" ref="T84:U86" si="22">+E84</f>
        <v>900</v>
      </c>
      <c r="U84" s="38">
        <f t="shared" si="22"/>
        <v>13500</v>
      </c>
      <c r="V84" s="10"/>
    </row>
    <row r="85" spans="1:22" x14ac:dyDescent="0.25">
      <c r="A85" s="37">
        <v>42459</v>
      </c>
      <c r="B85" s="18">
        <f t="shared" si="17"/>
        <v>42459</v>
      </c>
      <c r="C85" s="13">
        <v>1.2</v>
      </c>
      <c r="D85" s="95">
        <v>0.5</v>
      </c>
      <c r="E85" s="30">
        <f>Effort!F83</f>
        <v>416.64172891079352</v>
      </c>
      <c r="F85" s="38">
        <f>Harvest!F83</f>
        <v>6249.6259336619032</v>
      </c>
      <c r="G85" s="36">
        <f>CPUE!F83</f>
        <v>15.000000000000002</v>
      </c>
      <c r="H85" s="30" t="str">
        <f>Effort!H83</f>
        <v>CLOSED</v>
      </c>
      <c r="I85" s="38" t="str">
        <f>Harvest!H83</f>
        <v>CLOSED</v>
      </c>
      <c r="J85" s="36" t="str">
        <f>CPUE!H83</f>
        <v>CLOSED</v>
      </c>
      <c r="K85" s="30" t="str">
        <f>Effort!J83</f>
        <v>CLOSED</v>
      </c>
      <c r="L85" s="38" t="str">
        <f>Harvest!J83</f>
        <v>CLOSED</v>
      </c>
      <c r="M85" s="36" t="str">
        <f>CPUE!J83</f>
        <v>CLOSED</v>
      </c>
      <c r="N85" s="30" t="str">
        <f>Effort!L83</f>
        <v>CLOSED</v>
      </c>
      <c r="O85" s="38" t="str">
        <f>Harvest!L83</f>
        <v>CLOSED</v>
      </c>
      <c r="P85" s="36" t="str">
        <f>CPUE!L83</f>
        <v>CLOSED</v>
      </c>
      <c r="Q85" s="30" t="str">
        <f>Effort!N83</f>
        <v>CLOSED</v>
      </c>
      <c r="R85" s="38" t="str">
        <f>Harvest!N83</f>
        <v>CLOSED</v>
      </c>
      <c r="S85" s="36" t="str">
        <f>CPUE!N83</f>
        <v>CLOSED</v>
      </c>
      <c r="T85" s="30">
        <f t="shared" si="22"/>
        <v>416.64172891079352</v>
      </c>
      <c r="U85" s="38">
        <f t="shared" si="22"/>
        <v>6249.6259336619032</v>
      </c>
      <c r="V85" s="10"/>
    </row>
    <row r="86" spans="1:22" x14ac:dyDescent="0.25">
      <c r="A86" s="37">
        <v>42460</v>
      </c>
      <c r="B86" s="18">
        <f t="shared" si="17"/>
        <v>42460</v>
      </c>
      <c r="C86" s="13">
        <v>1.2</v>
      </c>
      <c r="D86" s="96">
        <v>0.54305555555555551</v>
      </c>
      <c r="E86" s="30">
        <f>Effort!F84</f>
        <v>400</v>
      </c>
      <c r="F86" s="38">
        <f>Harvest!F84</f>
        <v>6000</v>
      </c>
      <c r="G86" s="36">
        <f>CPUE!F84</f>
        <v>15</v>
      </c>
      <c r="H86" s="30" t="str">
        <f>Effort!H84</f>
        <v>CLOSED</v>
      </c>
      <c r="I86" s="38" t="str">
        <f>Harvest!H84</f>
        <v>CLOSED</v>
      </c>
      <c r="J86" s="36" t="str">
        <f>CPUE!H84</f>
        <v>CLOSED</v>
      </c>
      <c r="K86" s="30" t="str">
        <f>Effort!J84</f>
        <v>CLOSED</v>
      </c>
      <c r="L86" s="38" t="str">
        <f>Harvest!J84</f>
        <v>CLOSED</v>
      </c>
      <c r="M86" s="36" t="str">
        <f>CPUE!J84</f>
        <v>CLOSED</v>
      </c>
      <c r="N86" s="30" t="str">
        <f>Effort!L84</f>
        <v>CLOSED</v>
      </c>
      <c r="O86" s="38" t="str">
        <f>Harvest!L84</f>
        <v>CLOSED</v>
      </c>
      <c r="P86" s="36" t="str">
        <f>CPUE!L84</f>
        <v>CLOSED</v>
      </c>
      <c r="Q86" s="30" t="str">
        <f>Effort!N84</f>
        <v>CLOSED</v>
      </c>
      <c r="R86" s="38" t="str">
        <f>Harvest!N84</f>
        <v>CLOSED</v>
      </c>
      <c r="S86" s="36" t="str">
        <f>CPUE!N84</f>
        <v>CLOSED</v>
      </c>
      <c r="T86" s="30">
        <f t="shared" si="22"/>
        <v>400</v>
      </c>
      <c r="U86" s="38">
        <f t="shared" si="22"/>
        <v>6000</v>
      </c>
      <c r="V86" s="10"/>
    </row>
    <row r="87" spans="1:22" x14ac:dyDescent="0.25">
      <c r="A87" s="228" t="s">
        <v>32</v>
      </c>
      <c r="B87" s="228"/>
      <c r="C87" s="228"/>
      <c r="D87" s="229"/>
      <c r="E87" s="34">
        <f>SUM(E79:E86)</f>
        <v>9272.4134724707819</v>
      </c>
      <c r="F87" s="35">
        <f>SUM(F79:F86)</f>
        <v>106143.65048931223</v>
      </c>
      <c r="G87" s="33">
        <f>+F87/E87</f>
        <v>11.447251657235316</v>
      </c>
      <c r="H87" s="34"/>
      <c r="I87" s="35"/>
      <c r="J87" s="33"/>
      <c r="K87" s="34"/>
      <c r="L87" s="35"/>
      <c r="M87" s="33"/>
      <c r="N87" s="34">
        <f>SUM(N80:N86)</f>
        <v>9742.0091384435618</v>
      </c>
      <c r="O87" s="35">
        <f>SUM(O80:O86)</f>
        <v>133643.59239612037</v>
      </c>
      <c r="P87" s="33">
        <f>+O87/N87</f>
        <v>13.718278282940721</v>
      </c>
      <c r="Q87" s="34"/>
      <c r="R87" s="35"/>
      <c r="S87" s="33"/>
      <c r="T87" s="34">
        <f>SUM(T79:T86)</f>
        <v>19014.422610914342</v>
      </c>
      <c r="U87" s="35">
        <f>SUM(U79:U86)</f>
        <v>239787.24288543264</v>
      </c>
      <c r="V87" s="10"/>
    </row>
    <row r="88" spans="1:22" x14ac:dyDescent="0.25">
      <c r="A88" s="37">
        <v>42463</v>
      </c>
      <c r="B88" s="18">
        <f t="shared" si="17"/>
        <v>42463</v>
      </c>
      <c r="C88" s="13">
        <v>0.5</v>
      </c>
      <c r="D88" s="95">
        <v>0.67569444444444438</v>
      </c>
      <c r="E88" s="30">
        <f>Effort!F86</f>
        <v>2212.0061482802175</v>
      </c>
      <c r="F88" s="38">
        <f>Harvest!F86</f>
        <v>33180.092224203268</v>
      </c>
      <c r="G88" s="36">
        <f>CPUE!F86</f>
        <v>15.000000000000002</v>
      </c>
      <c r="H88" s="30" t="str">
        <f>Effort!H86</f>
        <v>CLOSED</v>
      </c>
      <c r="I88" s="38" t="str">
        <f>Harvest!H86</f>
        <v>CLOSED</v>
      </c>
      <c r="J88" s="36" t="str">
        <f>CPUE!H86</f>
        <v>CLOSED</v>
      </c>
      <c r="K88" s="30" t="str">
        <f>Effort!J86</f>
        <v>CLOSED</v>
      </c>
      <c r="L88" s="38" t="str">
        <f>Harvest!J86</f>
        <v>CLOSED</v>
      </c>
      <c r="M88" s="36" t="str">
        <f>CPUE!J86</f>
        <v>CLOSED</v>
      </c>
      <c r="N88" s="30" t="str">
        <f>Effort!L86</f>
        <v>CLOSED</v>
      </c>
      <c r="O88" s="38" t="str">
        <f>Harvest!L86</f>
        <v>CLOSED</v>
      </c>
      <c r="P88" s="36" t="str">
        <f>CPUE!L86</f>
        <v>CLOSED</v>
      </c>
      <c r="Q88" s="30" t="str">
        <f>Effort!N86</f>
        <v>CLOSED</v>
      </c>
      <c r="R88" s="38" t="str">
        <f>Harvest!N86</f>
        <v>CLOSED</v>
      </c>
      <c r="S88" s="36" t="str">
        <f>CPUE!N86</f>
        <v>CLOSED</v>
      </c>
      <c r="T88" s="30">
        <f>+E88</f>
        <v>2212.0061482802175</v>
      </c>
      <c r="U88" s="38">
        <f>+F88</f>
        <v>33180.092224203268</v>
      </c>
      <c r="V88" s="10"/>
    </row>
    <row r="89" spans="1:22" x14ac:dyDescent="0.25">
      <c r="A89" s="37">
        <v>42464</v>
      </c>
      <c r="B89" s="18">
        <f t="shared" si="17"/>
        <v>42464</v>
      </c>
      <c r="C89" s="13">
        <v>0.1</v>
      </c>
      <c r="D89" s="95">
        <v>0.71111111111111114</v>
      </c>
      <c r="E89" s="30">
        <f>Effort!F87</f>
        <v>2200</v>
      </c>
      <c r="F89" s="38">
        <f>Harvest!F87</f>
        <v>33000</v>
      </c>
      <c r="G89" s="36">
        <f>CPUE!F87</f>
        <v>15</v>
      </c>
      <c r="H89" s="30" t="str">
        <f>Effort!H87</f>
        <v>CLOSED</v>
      </c>
      <c r="I89" s="38" t="str">
        <f>Harvest!H87</f>
        <v>CLOSED</v>
      </c>
      <c r="J89" s="36" t="str">
        <f>CPUE!H87</f>
        <v>CLOSED</v>
      </c>
      <c r="K89" s="30" t="str">
        <f>Effort!J87</f>
        <v>CLOSED</v>
      </c>
      <c r="L89" s="38" t="str">
        <f>Harvest!J87</f>
        <v>CLOSED</v>
      </c>
      <c r="M89" s="36" t="str">
        <f>CPUE!J87</f>
        <v>CLOSED</v>
      </c>
      <c r="N89" s="30" t="str">
        <f>Effort!L87</f>
        <v>CLOSED</v>
      </c>
      <c r="O89" s="38" t="str">
        <f>Harvest!L87</f>
        <v>CLOSED</v>
      </c>
      <c r="P89" s="36" t="str">
        <f>CPUE!L87</f>
        <v>CLOSED</v>
      </c>
      <c r="Q89" s="30" t="str">
        <f>Effort!N87</f>
        <v>CLOSED</v>
      </c>
      <c r="R89" s="38" t="str">
        <f>Harvest!N87</f>
        <v>CLOSED</v>
      </c>
      <c r="S89" s="36" t="str">
        <f>CPUE!N87</f>
        <v>CLOSED</v>
      </c>
      <c r="T89" s="30">
        <f t="shared" ref="T89:T91" si="23">+E89</f>
        <v>2200</v>
      </c>
      <c r="U89" s="38">
        <f t="shared" ref="U89:U91" si="24">+F89</f>
        <v>33000</v>
      </c>
      <c r="V89" s="10"/>
    </row>
    <row r="90" spans="1:22" x14ac:dyDescent="0.25">
      <c r="A90" s="37">
        <v>42465</v>
      </c>
      <c r="B90" s="18">
        <f t="shared" si="17"/>
        <v>42465</v>
      </c>
      <c r="C90" s="13">
        <v>0</v>
      </c>
      <c r="D90" s="95">
        <v>0.74375000000000002</v>
      </c>
      <c r="E90" s="30">
        <f>Effort!F88</f>
        <v>1138.0248371941098</v>
      </c>
      <c r="F90" s="38">
        <f>Harvest!F88</f>
        <v>16895.291813727934</v>
      </c>
      <c r="G90" s="36">
        <f>CPUE!F88</f>
        <v>14.846153846153843</v>
      </c>
      <c r="H90" s="30" t="str">
        <f>Effort!H88</f>
        <v>CLOSED</v>
      </c>
      <c r="I90" s="38" t="str">
        <f>Harvest!H88</f>
        <v>CLOSED</v>
      </c>
      <c r="J90" s="36" t="str">
        <f>CPUE!H88</f>
        <v>CLOSED</v>
      </c>
      <c r="K90" s="30" t="str">
        <f>Effort!J88</f>
        <v>CLOSED</v>
      </c>
      <c r="L90" s="38" t="str">
        <f>Harvest!J88</f>
        <v>CLOSED</v>
      </c>
      <c r="M90" s="36" t="str">
        <f>CPUE!J88</f>
        <v>CLOSED</v>
      </c>
      <c r="N90" s="30" t="str">
        <f>Effort!L88</f>
        <v>CLOSED</v>
      </c>
      <c r="O90" s="38" t="str">
        <f>Harvest!L88</f>
        <v>CLOSED</v>
      </c>
      <c r="P90" s="36" t="str">
        <f>CPUE!L88</f>
        <v>CLOSED</v>
      </c>
      <c r="Q90" s="30" t="str">
        <f>Effort!N88</f>
        <v>CLOSED</v>
      </c>
      <c r="R90" s="38" t="str">
        <f>Harvest!N88</f>
        <v>CLOSED</v>
      </c>
      <c r="S90" s="36" t="str">
        <f>CPUE!N88</f>
        <v>CLOSED</v>
      </c>
      <c r="T90" s="30">
        <f t="shared" si="23"/>
        <v>1138.0248371941098</v>
      </c>
      <c r="U90" s="38">
        <f t="shared" si="24"/>
        <v>16895.291813727934</v>
      </c>
      <c r="V90" s="10"/>
    </row>
    <row r="91" spans="1:22" x14ac:dyDescent="0.25">
      <c r="A91" s="37">
        <v>42466</v>
      </c>
      <c r="B91" s="18">
        <f t="shared" si="17"/>
        <v>42466</v>
      </c>
      <c r="C91" s="13">
        <v>0</v>
      </c>
      <c r="D91" s="95">
        <v>0.77500000000000002</v>
      </c>
      <c r="E91" s="30">
        <f>Effort!F89</f>
        <v>2312.0606659675736</v>
      </c>
      <c r="F91" s="38">
        <f>Harvest!F89</f>
        <v>34680.909989513602</v>
      </c>
      <c r="G91" s="36">
        <f>CPUE!F89</f>
        <v>14.999999999999998</v>
      </c>
      <c r="H91" s="30" t="str">
        <f>Effort!H89</f>
        <v>CLOSED</v>
      </c>
      <c r="I91" s="38" t="str">
        <f>Harvest!H89</f>
        <v>CLOSED</v>
      </c>
      <c r="J91" s="36" t="str">
        <f>CPUE!H89</f>
        <v>CLOSED</v>
      </c>
      <c r="K91" s="30" t="str">
        <f>Effort!J89</f>
        <v>CLOSED</v>
      </c>
      <c r="L91" s="38" t="str">
        <f>Harvest!J89</f>
        <v>CLOSED</v>
      </c>
      <c r="M91" s="36" t="str">
        <f>CPUE!J89</f>
        <v>CLOSED</v>
      </c>
      <c r="N91" s="30" t="str">
        <f>Effort!L89</f>
        <v>CLOSED</v>
      </c>
      <c r="O91" s="38" t="str">
        <f>Harvest!L89</f>
        <v>CLOSED</v>
      </c>
      <c r="P91" s="36" t="str">
        <f>CPUE!L89</f>
        <v>CLOSED</v>
      </c>
      <c r="Q91" s="30" t="str">
        <f>Effort!N89</f>
        <v>CLOSED</v>
      </c>
      <c r="R91" s="38" t="str">
        <f>Harvest!N89</f>
        <v>CLOSED</v>
      </c>
      <c r="S91" s="36" t="str">
        <f>CPUE!N89</f>
        <v>CLOSED</v>
      </c>
      <c r="T91" s="30">
        <f t="shared" si="23"/>
        <v>2312.0606659675736</v>
      </c>
      <c r="U91" s="38">
        <f t="shared" si="24"/>
        <v>34680.909989513602</v>
      </c>
      <c r="V91" s="10"/>
    </row>
    <row r="92" spans="1:22" x14ac:dyDescent="0.25">
      <c r="A92" s="37">
        <v>42467</v>
      </c>
      <c r="B92" s="18">
        <f t="shared" si="17"/>
        <v>42467</v>
      </c>
      <c r="C92" s="13">
        <v>-0.6</v>
      </c>
      <c r="D92" s="95">
        <v>0.29652777777777778</v>
      </c>
      <c r="E92" s="30">
        <f>Effort!F90</f>
        <v>1554.1569876920976</v>
      </c>
      <c r="F92" s="38">
        <f>Harvest!F90</f>
        <v>23312.354815381466</v>
      </c>
      <c r="G92" s="36">
        <f>CPUE!F90</f>
        <v>15.000000000000002</v>
      </c>
      <c r="H92" s="30" t="str">
        <f>Effort!H90</f>
        <v>CLOSED</v>
      </c>
      <c r="I92" s="38" t="str">
        <f>Harvest!H90</f>
        <v>CLOSED</v>
      </c>
      <c r="J92" s="36" t="str">
        <f>CPUE!H90</f>
        <v>CLOSED</v>
      </c>
      <c r="K92" s="30">
        <f>Effort!J90</f>
        <v>1222.4801085435254</v>
      </c>
      <c r="L92" s="38">
        <f>Harvest!J90</f>
        <v>18362.150201796627</v>
      </c>
      <c r="M92" s="36">
        <f>CPUE!J90</f>
        <v>15.020408163265307</v>
      </c>
      <c r="N92" s="30">
        <f>Effort!L90</f>
        <v>871.30696959476609</v>
      </c>
      <c r="O92" s="38">
        <f>Harvest!L90</f>
        <v>13069.60454392149</v>
      </c>
      <c r="P92" s="36">
        <f>CPUE!L90</f>
        <v>14.999999999999998</v>
      </c>
      <c r="Q92" s="30" t="str">
        <f>Effort!N90</f>
        <v>CLOSED</v>
      </c>
      <c r="R92" s="38" t="str">
        <f>Harvest!N90</f>
        <v>CLOSED</v>
      </c>
      <c r="S92" s="36" t="str">
        <f>CPUE!N90</f>
        <v>CLOSED</v>
      </c>
      <c r="T92" s="30">
        <f>+E92+K92+N92</f>
        <v>3647.9440658303893</v>
      </c>
      <c r="U92" s="38">
        <f>+F92+L92+O92</f>
        <v>54744.109561099584</v>
      </c>
      <c r="V92" s="10"/>
    </row>
    <row r="93" spans="1:22" x14ac:dyDescent="0.25">
      <c r="A93" s="37">
        <v>42468</v>
      </c>
      <c r="B93" s="18">
        <f t="shared" si="17"/>
        <v>42468</v>
      </c>
      <c r="C93" s="13">
        <v>-1.1000000000000001</v>
      </c>
      <c r="D93" s="95">
        <v>0.32916666666666666</v>
      </c>
      <c r="E93" s="30">
        <f>Effort!F91</f>
        <v>5194.6286818001472</v>
      </c>
      <c r="F93" s="38">
        <f>Harvest!F91</f>
        <v>77919.430227002216</v>
      </c>
      <c r="G93" s="36">
        <f>CPUE!F91</f>
        <v>15.000000000000002</v>
      </c>
      <c r="H93" s="30" t="str">
        <f>Effort!H91</f>
        <v>CLOSED</v>
      </c>
      <c r="I93" s="38" t="str">
        <f>Harvest!H91</f>
        <v>CLOSED</v>
      </c>
      <c r="J93" s="36" t="str">
        <f>CPUE!H91</f>
        <v>CLOSED</v>
      </c>
      <c r="K93" s="30">
        <f>Effort!J91</f>
        <v>2975.1365080184687</v>
      </c>
      <c r="L93" s="38">
        <f>Harvest!J91</f>
        <v>44627.04762027703</v>
      </c>
      <c r="M93" s="36">
        <f>CPUE!J91</f>
        <v>15</v>
      </c>
      <c r="N93" s="30">
        <f>Effort!L91</f>
        <v>1517.8987546025592</v>
      </c>
      <c r="O93" s="38">
        <f>Harvest!L91</f>
        <v>22768.481319038387</v>
      </c>
      <c r="P93" s="36">
        <f>CPUE!L91</f>
        <v>15</v>
      </c>
      <c r="Q93" s="30" t="str">
        <f>Effort!N91</f>
        <v>CLOSED</v>
      </c>
      <c r="R93" s="38" t="str">
        <f>Harvest!N91</f>
        <v>CLOSED</v>
      </c>
      <c r="S93" s="36" t="str">
        <f>CPUE!N91</f>
        <v>CLOSED</v>
      </c>
      <c r="T93" s="30">
        <f>+E93+K93+N93</f>
        <v>9687.663944421176</v>
      </c>
      <c r="U93" s="38">
        <f>+F93+L93+O93</f>
        <v>145314.95916631765</v>
      </c>
      <c r="V93" s="10"/>
    </row>
    <row r="94" spans="1:22" x14ac:dyDescent="0.25">
      <c r="A94" s="37">
        <v>42469</v>
      </c>
      <c r="B94" s="18">
        <f t="shared" si="17"/>
        <v>42469</v>
      </c>
      <c r="C94" s="13">
        <v>-1.3</v>
      </c>
      <c r="D94" s="95">
        <v>0.36249999999999999</v>
      </c>
      <c r="E94" s="30">
        <f>Effort!F92</f>
        <v>12291.348166916514</v>
      </c>
      <c r="F94" s="38">
        <f>Harvest!F92</f>
        <v>184370.2225037477</v>
      </c>
      <c r="G94" s="36">
        <f>CPUE!F92</f>
        <v>15</v>
      </c>
      <c r="H94" s="30" t="str">
        <f>Effort!H92</f>
        <v>CLOSED</v>
      </c>
      <c r="I94" s="38" t="str">
        <f>Harvest!H92</f>
        <v>CLOSED</v>
      </c>
      <c r="J94" s="36" t="str">
        <f>CPUE!H92</f>
        <v>CLOSED</v>
      </c>
      <c r="K94" s="30">
        <f>Effort!J92</f>
        <v>6892.9022086673294</v>
      </c>
      <c r="L94" s="38">
        <f>Harvest!J92</f>
        <v>102732.5699045213</v>
      </c>
      <c r="M94" s="36">
        <f>CPUE!J92</f>
        <v>14.904109589041097</v>
      </c>
      <c r="N94" s="30" t="str">
        <f>Effort!L92</f>
        <v>CLOSED</v>
      </c>
      <c r="O94" s="38" t="str">
        <f>Harvest!L92</f>
        <v>CLOSED</v>
      </c>
      <c r="P94" s="36" t="str">
        <f>CPUE!L92</f>
        <v>CLOSED</v>
      </c>
      <c r="Q94" s="30" t="str">
        <f>Effort!N92</f>
        <v>CLOSED</v>
      </c>
      <c r="R94" s="38" t="str">
        <f>Harvest!N92</f>
        <v>CLOSED</v>
      </c>
      <c r="S94" s="36" t="str">
        <f>CPUE!N92</f>
        <v>CLOSED</v>
      </c>
      <c r="T94" s="30">
        <f>+E94+K94</f>
        <v>19184.250375583844</v>
      </c>
      <c r="U94" s="38">
        <f>+F94+L94</f>
        <v>287102.79240826902</v>
      </c>
      <c r="V94" s="10"/>
    </row>
    <row r="95" spans="1:22" x14ac:dyDescent="0.25">
      <c r="A95" s="37">
        <v>42470</v>
      </c>
      <c r="B95" s="18">
        <f t="shared" si="17"/>
        <v>42470</v>
      </c>
      <c r="C95" s="13">
        <v>-1.2</v>
      </c>
      <c r="D95" s="95">
        <v>0.3972222222222222</v>
      </c>
      <c r="E95" s="30">
        <f>Effort!F93</f>
        <v>12300</v>
      </c>
      <c r="F95" s="38">
        <f>Harvest!F93</f>
        <v>184300</v>
      </c>
      <c r="G95" s="36">
        <f>CPUE!F93</f>
        <v>14.983739837398375</v>
      </c>
      <c r="H95" s="30" t="str">
        <f>Effort!H93</f>
        <v>CLOSED</v>
      </c>
      <c r="I95" s="38" t="str">
        <f>Harvest!H93</f>
        <v>CLOSED</v>
      </c>
      <c r="J95" s="36" t="str">
        <f>CPUE!H93</f>
        <v>CLOSED</v>
      </c>
      <c r="K95" s="30" t="str">
        <f>Effort!J93</f>
        <v>CLOSED</v>
      </c>
      <c r="L95" s="38" t="str">
        <f>Harvest!J93</f>
        <v>CLOSED</v>
      </c>
      <c r="M95" s="36" t="str">
        <f>CPUE!J93</f>
        <v>CLOSED</v>
      </c>
      <c r="N95" s="30">
        <f>Effort!L93</f>
        <v>6262.1848237639924</v>
      </c>
      <c r="O95" s="38">
        <f>Harvest!L93</f>
        <v>93932.772356459885</v>
      </c>
      <c r="P95" s="36">
        <f>CPUE!L93</f>
        <v>15</v>
      </c>
      <c r="Q95" s="30" t="str">
        <f>Effort!N93</f>
        <v>CLOSED</v>
      </c>
      <c r="R95" s="38" t="str">
        <f>Harvest!N93</f>
        <v>CLOSED</v>
      </c>
      <c r="S95" s="36" t="str">
        <f>CPUE!N93</f>
        <v>CLOSED</v>
      </c>
      <c r="T95" s="30">
        <f>+E95+N95</f>
        <v>18562.184823763993</v>
      </c>
      <c r="U95" s="38">
        <f>+F95+O95</f>
        <v>278232.77235645987</v>
      </c>
      <c r="V95" s="10"/>
    </row>
    <row r="96" spans="1:22" x14ac:dyDescent="0.25">
      <c r="A96" s="37">
        <v>42471</v>
      </c>
      <c r="B96" s="18">
        <f t="shared" si="17"/>
        <v>42471</v>
      </c>
      <c r="C96" s="13">
        <v>-0.9</v>
      </c>
      <c r="D96" s="95">
        <v>0.43263888888888885</v>
      </c>
      <c r="E96" s="30">
        <f>Effort!F94</f>
        <v>1888.5995320962727</v>
      </c>
      <c r="F96" s="38">
        <f>Harvest!F94</f>
        <v>28328.992981444095</v>
      </c>
      <c r="G96" s="36">
        <f>CPUE!F94</f>
        <v>15.000000000000002</v>
      </c>
      <c r="H96" s="30" t="str">
        <f>Effort!H94</f>
        <v>CLOSED</v>
      </c>
      <c r="I96" s="38" t="str">
        <f>Harvest!H94</f>
        <v>CLOSED</v>
      </c>
      <c r="J96" s="36" t="str">
        <f>CPUE!H94</f>
        <v>CLOSED</v>
      </c>
      <c r="K96" s="30" t="str">
        <f>Effort!J94</f>
        <v>CLOSED</v>
      </c>
      <c r="L96" s="38" t="str">
        <f>Harvest!J94</f>
        <v>CLOSED</v>
      </c>
      <c r="M96" s="36" t="str">
        <f>CPUE!J94</f>
        <v>CLOSED</v>
      </c>
      <c r="N96" s="30" t="str">
        <f>Effort!L94</f>
        <v>CLOSED</v>
      </c>
      <c r="O96" s="38" t="str">
        <f>Harvest!L94</f>
        <v>CLOSED</v>
      </c>
      <c r="P96" s="36" t="str">
        <f>CPUE!L94</f>
        <v>CLOSED</v>
      </c>
      <c r="Q96" s="30" t="str">
        <f>Effort!N94</f>
        <v>CLOSED</v>
      </c>
      <c r="R96" s="38" t="str">
        <f>Harvest!N94</f>
        <v>CLOSED</v>
      </c>
      <c r="S96" s="36" t="str">
        <f>CPUE!N94</f>
        <v>CLOSED</v>
      </c>
      <c r="T96" s="30">
        <f t="shared" ref="T96:T97" si="25">+E96</f>
        <v>1888.5995320962727</v>
      </c>
      <c r="U96" s="38">
        <f t="shared" ref="U96:U97" si="26">+F96</f>
        <v>28328.992981444095</v>
      </c>
      <c r="V96" s="10"/>
    </row>
    <row r="97" spans="1:22" x14ac:dyDescent="0.25">
      <c r="A97" s="37">
        <v>42472</v>
      </c>
      <c r="B97" s="18">
        <f t="shared" si="17"/>
        <v>42472</v>
      </c>
      <c r="C97" s="13">
        <v>-0.4</v>
      </c>
      <c r="D97" s="95">
        <v>0.47152777777777777</v>
      </c>
      <c r="E97" s="30">
        <f>Effort!F95</f>
        <v>897.25280261513308</v>
      </c>
      <c r="F97" s="38">
        <f>Harvest!F95</f>
        <v>13458.792039226995</v>
      </c>
      <c r="G97" s="36">
        <f>CPUE!F95</f>
        <v>14.999999999999998</v>
      </c>
      <c r="H97" s="30" t="str">
        <f>Effort!H95</f>
        <v>CLOSED</v>
      </c>
      <c r="I97" s="38" t="str">
        <f>Harvest!H95</f>
        <v>CLOSED</v>
      </c>
      <c r="J97" s="36" t="str">
        <f>CPUE!H95</f>
        <v>CLOSED</v>
      </c>
      <c r="K97" s="30" t="str">
        <f>Effort!J95</f>
        <v>CLOSED</v>
      </c>
      <c r="L97" s="38" t="str">
        <f>Harvest!J95</f>
        <v>CLOSED</v>
      </c>
      <c r="M97" s="36" t="str">
        <f>CPUE!J95</f>
        <v>CLOSED</v>
      </c>
      <c r="N97" s="30" t="str">
        <f>Effort!L95</f>
        <v>CLOSED</v>
      </c>
      <c r="O97" s="38" t="str">
        <f>Harvest!L95</f>
        <v>CLOSED</v>
      </c>
      <c r="P97" s="36" t="str">
        <f>CPUE!L95</f>
        <v>CLOSED</v>
      </c>
      <c r="Q97" s="30" t="str">
        <f>Effort!N95</f>
        <v>CLOSED</v>
      </c>
      <c r="R97" s="38" t="str">
        <f>Harvest!N95</f>
        <v>CLOSED</v>
      </c>
      <c r="S97" s="36" t="str">
        <f>CPUE!N95</f>
        <v>CLOSED</v>
      </c>
      <c r="T97" s="30">
        <f t="shared" si="25"/>
        <v>897.25280261513308</v>
      </c>
      <c r="U97" s="38">
        <f t="shared" si="26"/>
        <v>13458.792039226995</v>
      </c>
      <c r="V97" s="10"/>
    </row>
    <row r="98" spans="1:22" x14ac:dyDescent="0.25">
      <c r="A98" s="228" t="s">
        <v>32</v>
      </c>
      <c r="B98" s="228"/>
      <c r="C98" s="228"/>
      <c r="D98" s="229"/>
      <c r="E98" s="34">
        <f>SUM(E88:E97)</f>
        <v>41988.077822562067</v>
      </c>
      <c r="F98" s="35">
        <f>SUM(F88:F97)</f>
        <v>629446.08659424726</v>
      </c>
      <c r="G98" s="33">
        <f>+F98/E98</f>
        <v>14.99106697034885</v>
      </c>
      <c r="H98" s="34"/>
      <c r="I98" s="35"/>
      <c r="J98" s="33"/>
      <c r="K98" s="34">
        <f>SUM(K92:K97)</f>
        <v>11090.518825229323</v>
      </c>
      <c r="L98" s="35">
        <f>SUM(L92:L97)</f>
        <v>165721.76772659496</v>
      </c>
      <c r="M98" s="33">
        <f>+L98/K98</f>
        <v>14.942652398695898</v>
      </c>
      <c r="N98" s="34">
        <f>SUM(N92:N97)</f>
        <v>8651.3905479613168</v>
      </c>
      <c r="O98" s="35">
        <f>SUM(O92:O97)</f>
        <v>129770.85821941977</v>
      </c>
      <c r="P98" s="33">
        <f>+O98/N98</f>
        <v>15.000000000000002</v>
      </c>
      <c r="Q98" s="34"/>
      <c r="R98" s="35"/>
      <c r="S98" s="33"/>
      <c r="T98" s="34">
        <f>SUM(T88:T97)</f>
        <v>61729.987195752714</v>
      </c>
      <c r="U98" s="35">
        <f>SUM(U88:U97)</f>
        <v>924938.71254026203</v>
      </c>
      <c r="V98" s="10"/>
    </row>
    <row r="99" spans="1:22" x14ac:dyDescent="0.25">
      <c r="A99" s="37">
        <v>42480</v>
      </c>
      <c r="B99" s="18">
        <v>42480</v>
      </c>
      <c r="C99" s="13">
        <v>0.6</v>
      </c>
      <c r="D99" s="95">
        <v>0.2673611111111111</v>
      </c>
      <c r="E99" s="30">
        <f>Effort!F97</f>
        <v>381.41645354613337</v>
      </c>
      <c r="F99" s="38">
        <f>Harvest!F97</f>
        <v>5721.2468031920016</v>
      </c>
      <c r="G99" s="36">
        <f>CPUE!F97</f>
        <v>15.000000000000004</v>
      </c>
      <c r="H99" s="30" t="str">
        <f>Effort!H97</f>
        <v>CLOSED</v>
      </c>
      <c r="I99" s="38" t="str">
        <f>Harvest!H97</f>
        <v>CLOSED</v>
      </c>
      <c r="J99" s="36" t="str">
        <f>CPUE!H97</f>
        <v>CLOSED</v>
      </c>
      <c r="K99" s="30" t="str">
        <f>Effort!J97</f>
        <v>CLOSED</v>
      </c>
      <c r="L99" s="38" t="str">
        <f>Harvest!J97</f>
        <v>CLOSED</v>
      </c>
      <c r="M99" s="36" t="str">
        <f>CPUE!J97</f>
        <v>CLOSED</v>
      </c>
      <c r="N99" s="30" t="str">
        <f>Effort!L97</f>
        <v>CLOSED</v>
      </c>
      <c r="O99" s="38" t="str">
        <f>Harvest!L97</f>
        <v>CLOSED</v>
      </c>
      <c r="P99" s="36" t="str">
        <f>CPUE!L97</f>
        <v>CLOSED</v>
      </c>
      <c r="Q99" s="30" t="str">
        <f>Effort!N97</f>
        <v>CLOSED</v>
      </c>
      <c r="R99" s="38" t="str">
        <f>Harvest!N97</f>
        <v>CLOSED</v>
      </c>
      <c r="S99" s="36" t="str">
        <f>CPUE!N97</f>
        <v>CLOSED</v>
      </c>
      <c r="T99" s="30">
        <f>+E99</f>
        <v>381.41645354613337</v>
      </c>
      <c r="U99" s="38">
        <f>+F99</f>
        <v>5721.2468031920016</v>
      </c>
      <c r="V99" s="10"/>
    </row>
    <row r="100" spans="1:22" x14ac:dyDescent="0.25">
      <c r="A100" s="37">
        <v>42481</v>
      </c>
      <c r="B100" s="18">
        <f t="shared" ref="B100:B107" si="27">+A100</f>
        <v>42481</v>
      </c>
      <c r="C100" s="13">
        <v>0.2</v>
      </c>
      <c r="D100" s="95">
        <v>0.29236111111111113</v>
      </c>
      <c r="E100" s="30">
        <f>Effort!F98</f>
        <v>510.79560298689228</v>
      </c>
      <c r="F100" s="38">
        <f>Harvest!F98</f>
        <v>7661.9340448033845</v>
      </c>
      <c r="G100" s="36">
        <f>CPUE!F98</f>
        <v>15</v>
      </c>
      <c r="H100" s="30" t="str">
        <f>Effort!H98</f>
        <v>CLOSED</v>
      </c>
      <c r="I100" s="38" t="str">
        <f>Harvest!H98</f>
        <v>CLOSED</v>
      </c>
      <c r="J100" s="36" t="str">
        <f>CPUE!H98</f>
        <v>CLOSED</v>
      </c>
      <c r="K100" s="30" t="str">
        <f>Effort!J98</f>
        <v>CLOSED</v>
      </c>
      <c r="L100" s="38" t="str">
        <f>Harvest!J98</f>
        <v>CLOSED</v>
      </c>
      <c r="M100" s="36" t="str">
        <f>CPUE!J98</f>
        <v>CLOSED</v>
      </c>
      <c r="N100" s="30" t="str">
        <f>Effort!L98</f>
        <v>CLOSED</v>
      </c>
      <c r="O100" s="38" t="str">
        <f>Harvest!L98</f>
        <v>CLOSED</v>
      </c>
      <c r="P100" s="36" t="str">
        <f>CPUE!L98</f>
        <v>CLOSED</v>
      </c>
      <c r="Q100" s="30" t="str">
        <f>Effort!N98</f>
        <v>CLOSED</v>
      </c>
      <c r="R100" s="38" t="str">
        <f>Harvest!N98</f>
        <v>CLOSED</v>
      </c>
      <c r="S100" s="36" t="str">
        <f>CPUE!N98</f>
        <v>CLOSED</v>
      </c>
      <c r="T100" s="30">
        <f t="shared" ref="T100:T107" si="28">+E100</f>
        <v>510.79560298689228</v>
      </c>
      <c r="U100" s="38">
        <f t="shared" ref="U100:U107" si="29">+F100</f>
        <v>7661.9340448033845</v>
      </c>
      <c r="V100" s="10"/>
    </row>
    <row r="101" spans="1:22" x14ac:dyDescent="0.25">
      <c r="A101" s="37">
        <v>42482</v>
      </c>
      <c r="B101" s="18">
        <f t="shared" si="27"/>
        <v>42482</v>
      </c>
      <c r="C101" s="13">
        <v>0</v>
      </c>
      <c r="D101" s="95">
        <v>0.31597222222222221</v>
      </c>
      <c r="E101" s="30">
        <f>Effort!F99</f>
        <v>1189.6160753773675</v>
      </c>
      <c r="F101" s="38">
        <f>Harvest!F99</f>
        <v>17844.241130660514</v>
      </c>
      <c r="G101" s="36">
        <f>CPUE!F99</f>
        <v>15.000000000000002</v>
      </c>
      <c r="H101" s="30" t="str">
        <f>Effort!H99</f>
        <v>CLOSED</v>
      </c>
      <c r="I101" s="38" t="str">
        <f>Harvest!H99</f>
        <v>CLOSED</v>
      </c>
      <c r="J101" s="36" t="str">
        <f>CPUE!H99</f>
        <v>CLOSED</v>
      </c>
      <c r="K101" s="30" t="str">
        <f>Effort!J99</f>
        <v>CLOSED</v>
      </c>
      <c r="L101" s="38" t="str">
        <f>Harvest!J99</f>
        <v>CLOSED</v>
      </c>
      <c r="M101" s="36" t="str">
        <f>CPUE!J99</f>
        <v>CLOSED</v>
      </c>
      <c r="N101" s="30" t="str">
        <f>Effort!L99</f>
        <v>CLOSED</v>
      </c>
      <c r="O101" s="38" t="str">
        <f>Harvest!L99</f>
        <v>CLOSED</v>
      </c>
      <c r="P101" s="36" t="str">
        <f>CPUE!L99</f>
        <v>CLOSED</v>
      </c>
      <c r="Q101" s="30" t="str">
        <f>Effort!N99</f>
        <v>CLOSED</v>
      </c>
      <c r="R101" s="38" t="str">
        <f>Harvest!N99</f>
        <v>CLOSED</v>
      </c>
      <c r="S101" s="36" t="str">
        <f>CPUE!N99</f>
        <v>CLOSED</v>
      </c>
      <c r="T101" s="30">
        <f t="shared" si="28"/>
        <v>1189.6160753773675</v>
      </c>
      <c r="U101" s="38">
        <f t="shared" si="29"/>
        <v>17844.241130660514</v>
      </c>
      <c r="V101" s="10"/>
    </row>
    <row r="102" spans="1:22" x14ac:dyDescent="0.25">
      <c r="A102" s="37">
        <v>42483</v>
      </c>
      <c r="B102" s="18">
        <f t="shared" si="27"/>
        <v>42483</v>
      </c>
      <c r="C102" s="13">
        <v>-0.2</v>
      </c>
      <c r="D102" s="95">
        <v>0.33888888888888885</v>
      </c>
      <c r="E102" s="30">
        <f>Effort!F100</f>
        <v>4494.6652565458453</v>
      </c>
      <c r="F102" s="38">
        <f>Harvest!F100</f>
        <v>67419.97884818766</v>
      </c>
      <c r="G102" s="36">
        <f>CPUE!F100</f>
        <v>14.999999999999996</v>
      </c>
      <c r="H102" s="30" t="str">
        <f>Effort!H100</f>
        <v>CLOSED</v>
      </c>
      <c r="I102" s="38" t="str">
        <f>Harvest!H100</f>
        <v>CLOSED</v>
      </c>
      <c r="J102" s="36" t="str">
        <f>CPUE!H100</f>
        <v>CLOSED</v>
      </c>
      <c r="K102" s="30" t="str">
        <f>Effort!J100</f>
        <v>CLOSED</v>
      </c>
      <c r="L102" s="38" t="str">
        <f>Harvest!J100</f>
        <v>CLOSED</v>
      </c>
      <c r="M102" s="36" t="str">
        <f>CPUE!J100</f>
        <v>CLOSED</v>
      </c>
      <c r="N102" s="30">
        <f>Effort!L100</f>
        <v>4007.8539281995177</v>
      </c>
      <c r="O102" s="38">
        <f>Harvest!L100</f>
        <v>60334.449675868425</v>
      </c>
      <c r="P102" s="36">
        <f>CPUE!L100</f>
        <v>15.054054054054056</v>
      </c>
      <c r="Q102" s="30" t="str">
        <f>Effort!N100</f>
        <v>CLOSED</v>
      </c>
      <c r="R102" s="38" t="str">
        <f>Harvest!N100</f>
        <v>CLOSED</v>
      </c>
      <c r="S102" s="36" t="str">
        <f>CPUE!N100</f>
        <v>CLOSED</v>
      </c>
      <c r="T102" s="30">
        <f>+E102+N102</f>
        <v>8502.5191847453625</v>
      </c>
      <c r="U102" s="38">
        <f>+F102+O102</f>
        <v>127754.42852405609</v>
      </c>
      <c r="V102" s="10"/>
    </row>
    <row r="103" spans="1:22" x14ac:dyDescent="0.25">
      <c r="A103" s="37">
        <v>42484</v>
      </c>
      <c r="B103" s="18">
        <f t="shared" si="27"/>
        <v>42484</v>
      </c>
      <c r="C103" s="13">
        <v>-0.2</v>
      </c>
      <c r="D103" s="95">
        <v>0.36249999999999999</v>
      </c>
      <c r="E103" s="30">
        <f>Effort!F101</f>
        <v>3624.2964330352847</v>
      </c>
      <c r="F103" s="38">
        <f>Harvest!F101</f>
        <v>54364.446495529279</v>
      </c>
      <c r="G103" s="36">
        <f>CPUE!F101</f>
        <v>15.000000000000002</v>
      </c>
      <c r="H103" s="30" t="str">
        <f>Effort!H101</f>
        <v>CLOSED</v>
      </c>
      <c r="I103" s="38" t="str">
        <f>Harvest!H101</f>
        <v>CLOSED</v>
      </c>
      <c r="J103" s="36" t="str">
        <f>CPUE!H101</f>
        <v>CLOSED</v>
      </c>
      <c r="K103" s="30" t="str">
        <f>Effort!J101</f>
        <v>CLOSED</v>
      </c>
      <c r="L103" s="38" t="str">
        <f>Harvest!J101</f>
        <v>CLOSED</v>
      </c>
      <c r="M103" s="36" t="str">
        <f>CPUE!J101</f>
        <v>CLOSED</v>
      </c>
      <c r="N103" s="30" t="str">
        <f>Effort!L101</f>
        <v>CLOSED</v>
      </c>
      <c r="O103" s="38" t="str">
        <f>Harvest!L101</f>
        <v>CLOSED</v>
      </c>
      <c r="P103" s="36" t="str">
        <f>CPUE!L101</f>
        <v>CLOSED</v>
      </c>
      <c r="Q103" s="30" t="str">
        <f>Effort!N101</f>
        <v>CLOSED</v>
      </c>
      <c r="R103" s="38" t="str">
        <f>Harvest!N101</f>
        <v>CLOSED</v>
      </c>
      <c r="S103" s="36" t="str">
        <f>CPUE!N101</f>
        <v>CLOSED</v>
      </c>
      <c r="T103" s="30">
        <f t="shared" si="28"/>
        <v>3624.2964330352847</v>
      </c>
      <c r="U103" s="38">
        <f t="shared" si="29"/>
        <v>54364.446495529279</v>
      </c>
      <c r="V103" s="10"/>
    </row>
    <row r="104" spans="1:22" x14ac:dyDescent="0.25">
      <c r="A104" s="37">
        <v>42485</v>
      </c>
      <c r="B104" s="18">
        <f t="shared" si="27"/>
        <v>42485</v>
      </c>
      <c r="C104" s="13">
        <v>-0.2</v>
      </c>
      <c r="D104" s="95">
        <v>0.38750000000000001</v>
      </c>
      <c r="E104" s="30">
        <f>Effort!F102</f>
        <v>1581.1140210877161</v>
      </c>
      <c r="F104" s="38">
        <f>Harvest!F102</f>
        <v>23716.710316315737</v>
      </c>
      <c r="G104" s="36">
        <f>CPUE!F102</f>
        <v>14.999999999999998</v>
      </c>
      <c r="H104" s="30" t="str">
        <f>Effort!H102</f>
        <v>CLOSED</v>
      </c>
      <c r="I104" s="38" t="str">
        <f>Harvest!H102</f>
        <v>CLOSED</v>
      </c>
      <c r="J104" s="36" t="str">
        <f>CPUE!H102</f>
        <v>CLOSED</v>
      </c>
      <c r="K104" s="30">
        <f>Effort!J102</f>
        <v>1346.5155921576281</v>
      </c>
      <c r="L104" s="38">
        <f>Harvest!J102</f>
        <v>19650.711923050389</v>
      </c>
      <c r="M104" s="36">
        <f>CPUE!J102</f>
        <v>14.593750000000002</v>
      </c>
      <c r="N104" s="30">
        <f>Effort!L102</f>
        <v>1555.6668499278198</v>
      </c>
      <c r="O104" s="38">
        <f>Harvest!L102</f>
        <v>23335.002748917297</v>
      </c>
      <c r="P104" s="36">
        <f>CPUE!L102</f>
        <v>15</v>
      </c>
      <c r="Q104" s="30" t="str">
        <f>Effort!N102</f>
        <v>CLOSED</v>
      </c>
      <c r="R104" s="38" t="str">
        <f>Harvest!N102</f>
        <v>CLOSED</v>
      </c>
      <c r="S104" s="36" t="str">
        <f>CPUE!N102</f>
        <v>CLOSED</v>
      </c>
      <c r="T104" s="30">
        <f>+E104+K104+N104</f>
        <v>4483.2964631731647</v>
      </c>
      <c r="U104" s="38">
        <f>+F104+L104+O104</f>
        <v>66702.424988283427</v>
      </c>
      <c r="V104" s="10"/>
    </row>
    <row r="105" spans="1:22" x14ac:dyDescent="0.25">
      <c r="A105" s="37">
        <v>42486</v>
      </c>
      <c r="B105" s="18">
        <f t="shared" si="27"/>
        <v>42486</v>
      </c>
      <c r="C105" s="13">
        <v>-0.1</v>
      </c>
      <c r="D105" s="95">
        <v>0.41388888888888892</v>
      </c>
      <c r="E105" s="30">
        <f>Effort!F103</f>
        <v>959.02665166056795</v>
      </c>
      <c r="F105" s="38">
        <f>Harvest!F103</f>
        <v>14385.399774908521</v>
      </c>
      <c r="G105" s="36">
        <f>CPUE!F103</f>
        <v>15.000000000000002</v>
      </c>
      <c r="H105" s="30" t="str">
        <f>Effort!H103</f>
        <v>CLOSED</v>
      </c>
      <c r="I105" s="38" t="str">
        <f>Harvest!H103</f>
        <v>CLOSED</v>
      </c>
      <c r="J105" s="36" t="str">
        <f>CPUE!H103</f>
        <v>CLOSED</v>
      </c>
      <c r="K105" s="30">
        <f>Effort!J103</f>
        <v>1060.97009494739</v>
      </c>
      <c r="L105" s="38">
        <f>Harvest!J103</f>
        <v>15914.551424210847</v>
      </c>
      <c r="M105" s="36">
        <f>CPUE!J103</f>
        <v>14.999999999999998</v>
      </c>
      <c r="N105" s="30">
        <f>Effort!L103</f>
        <v>1407.1106807823521</v>
      </c>
      <c r="O105" s="38">
        <f>Harvest!L103</f>
        <v>21106.660211735281</v>
      </c>
      <c r="P105" s="36">
        <f>CPUE!L103</f>
        <v>15</v>
      </c>
      <c r="Q105" s="30" t="str">
        <f>Effort!N103</f>
        <v>CLOSED</v>
      </c>
      <c r="R105" s="38" t="str">
        <f>Harvest!N103</f>
        <v>CLOSED</v>
      </c>
      <c r="S105" s="36" t="str">
        <f>CPUE!N103</f>
        <v>CLOSED</v>
      </c>
      <c r="T105" s="30">
        <f>+E105+K105+N105</f>
        <v>3427.10742739031</v>
      </c>
      <c r="U105" s="38">
        <f>+F105+L105+O105</f>
        <v>51406.611410854646</v>
      </c>
      <c r="V105" s="10"/>
    </row>
    <row r="106" spans="1:22" x14ac:dyDescent="0.25">
      <c r="A106" s="37">
        <v>42487</v>
      </c>
      <c r="B106" s="18">
        <f t="shared" si="27"/>
        <v>42487</v>
      </c>
      <c r="C106" s="13">
        <v>0.1</v>
      </c>
      <c r="D106" s="95">
        <v>0.44375000000000003</v>
      </c>
      <c r="E106" s="30">
        <f>Effort!F104</f>
        <v>1098.8826458994329</v>
      </c>
      <c r="F106" s="38">
        <f>Harvest!F104</f>
        <v>16483.239688491492</v>
      </c>
      <c r="G106" s="36">
        <f>CPUE!F104</f>
        <v>15</v>
      </c>
      <c r="H106" s="30" t="str">
        <f>Effort!H104</f>
        <v>CLOSED</v>
      </c>
      <c r="I106" s="38" t="str">
        <f>Harvest!H104</f>
        <v>CLOSED</v>
      </c>
      <c r="J106" s="36" t="str">
        <f>CPUE!H104</f>
        <v>CLOSED</v>
      </c>
      <c r="K106" s="30" t="str">
        <f>Effort!J104</f>
        <v>CLOSED</v>
      </c>
      <c r="L106" s="38" t="str">
        <f>Harvest!J104</f>
        <v>CLOSED</v>
      </c>
      <c r="M106" s="36" t="str">
        <f>CPUE!J104</f>
        <v>CLOSED</v>
      </c>
      <c r="N106" s="30" t="str">
        <f>Effort!L104</f>
        <v>CLOSED</v>
      </c>
      <c r="O106" s="38" t="str">
        <f>Harvest!L104</f>
        <v>CLOSED</v>
      </c>
      <c r="P106" s="36" t="str">
        <f>CPUE!L104</f>
        <v>CLOSED</v>
      </c>
      <c r="Q106" s="30" t="str">
        <f>Effort!N104</f>
        <v>CLOSED</v>
      </c>
      <c r="R106" s="38" t="str">
        <f>Harvest!N104</f>
        <v>CLOSED</v>
      </c>
      <c r="S106" s="36" t="str">
        <f>CPUE!N104</f>
        <v>CLOSED</v>
      </c>
      <c r="T106" s="30">
        <f t="shared" si="28"/>
        <v>1098.8826458994329</v>
      </c>
      <c r="U106" s="38">
        <f t="shared" si="29"/>
        <v>16483.239688491492</v>
      </c>
      <c r="V106" s="10"/>
    </row>
    <row r="107" spans="1:22" x14ac:dyDescent="0.25">
      <c r="A107" s="37">
        <v>42488</v>
      </c>
      <c r="B107" s="18">
        <f t="shared" si="27"/>
        <v>42488</v>
      </c>
      <c r="C107" s="13">
        <v>0.3</v>
      </c>
      <c r="D107" s="95">
        <v>0.4777777777777778</v>
      </c>
      <c r="E107" s="30">
        <f>Effort!F105</f>
        <v>1028.9546487800003</v>
      </c>
      <c r="F107" s="38">
        <f>Harvest!F105</f>
        <v>15434.319731700007</v>
      </c>
      <c r="G107" s="36">
        <f>CPUE!F105</f>
        <v>15.000000000000002</v>
      </c>
      <c r="H107" s="30" t="str">
        <f>Effort!H105</f>
        <v>CLOSED</v>
      </c>
      <c r="I107" s="38" t="str">
        <f>Harvest!H105</f>
        <v>CLOSED</v>
      </c>
      <c r="J107" s="36" t="str">
        <f>CPUE!H105</f>
        <v>CLOSED</v>
      </c>
      <c r="K107" s="30" t="str">
        <f>Effort!J105</f>
        <v>CLOSED</v>
      </c>
      <c r="L107" s="38" t="str">
        <f>Harvest!J105</f>
        <v>CLOSED</v>
      </c>
      <c r="M107" s="36" t="str">
        <f>CPUE!J105</f>
        <v>CLOSED</v>
      </c>
      <c r="N107" s="30" t="str">
        <f>Effort!L105</f>
        <v>CLOSED</v>
      </c>
      <c r="O107" s="38" t="str">
        <f>Harvest!L105</f>
        <v>CLOSED</v>
      </c>
      <c r="P107" s="36" t="str">
        <f>CPUE!L105</f>
        <v>CLOSED</v>
      </c>
      <c r="Q107" s="30" t="str">
        <f>Effort!N105</f>
        <v>CLOSED</v>
      </c>
      <c r="R107" s="38" t="str">
        <f>Harvest!N105</f>
        <v>CLOSED</v>
      </c>
      <c r="S107" s="36" t="str">
        <f>CPUE!N105</f>
        <v>CLOSED</v>
      </c>
      <c r="T107" s="30">
        <f t="shared" si="28"/>
        <v>1028.9546487800003</v>
      </c>
      <c r="U107" s="38">
        <f t="shared" si="29"/>
        <v>15434.319731700007</v>
      </c>
      <c r="V107" s="10"/>
    </row>
    <row r="108" spans="1:22" x14ac:dyDescent="0.25">
      <c r="A108" s="228" t="s">
        <v>32</v>
      </c>
      <c r="B108" s="228"/>
      <c r="C108" s="228"/>
      <c r="D108" s="229"/>
      <c r="E108" s="34">
        <f>SUM(E99:E107)</f>
        <v>14868.76778891924</v>
      </c>
      <c r="F108" s="35">
        <f>SUM(F99:F107)</f>
        <v>223031.5168337886</v>
      </c>
      <c r="G108" s="33">
        <f>+F108/E108</f>
        <v>15</v>
      </c>
      <c r="H108" s="34"/>
      <c r="I108" s="35"/>
      <c r="J108" s="33"/>
      <c r="K108" s="34">
        <f>SUM(K104:K107)</f>
        <v>2407.4856871050179</v>
      </c>
      <c r="L108" s="35">
        <f>SUM(L104:L107)</f>
        <v>35565.263347261236</v>
      </c>
      <c r="M108" s="33"/>
      <c r="N108" s="34">
        <f>SUM(N102:N107)</f>
        <v>6970.6314589096892</v>
      </c>
      <c r="O108" s="35">
        <f>SUM(O102:O107)</f>
        <v>104776.11263652099</v>
      </c>
      <c r="P108" s="33">
        <f>+O108/N108</f>
        <v>15.031079071408767</v>
      </c>
      <c r="Q108" s="34"/>
      <c r="R108" s="35"/>
      <c r="S108" s="33"/>
      <c r="T108" s="34">
        <f>SUM(T99:T107)</f>
        <v>24246.884934933947</v>
      </c>
      <c r="U108" s="35">
        <f>SUM(U99:U107)</f>
        <v>363372.89281757089</v>
      </c>
      <c r="V108" s="10"/>
    </row>
    <row r="109" spans="1:22" x14ac:dyDescent="0.25">
      <c r="A109" s="37">
        <v>42496</v>
      </c>
      <c r="B109" s="18">
        <f t="shared" ref="B109:B119" si="30">+A109</f>
        <v>42496</v>
      </c>
      <c r="C109" s="13">
        <v>-1.5</v>
      </c>
      <c r="D109" s="95">
        <v>0.28541666666666665</v>
      </c>
      <c r="E109" s="30">
        <f>Effort!F107</f>
        <v>5951.2633062909281</v>
      </c>
      <c r="F109" s="38">
        <f>Harvest!F107</f>
        <v>89268.949594363934</v>
      </c>
      <c r="G109" s="36">
        <f>CPUE!F107</f>
        <v>15.000000000000002</v>
      </c>
      <c r="H109" s="30" t="str">
        <f>Effort!H107</f>
        <v>CLOSED</v>
      </c>
      <c r="I109" s="38" t="str">
        <f>Harvest!H107</f>
        <v>CLOSED</v>
      </c>
      <c r="J109" s="36" t="str">
        <f>CPUE!H107</f>
        <v>CLOSED</v>
      </c>
      <c r="K109" s="30" t="str">
        <f>Effort!J107</f>
        <v>CLOSED</v>
      </c>
      <c r="L109" s="38" t="str">
        <f>Harvest!J107</f>
        <v>CLOSED</v>
      </c>
      <c r="M109" s="36" t="str">
        <f>CPUE!J107</f>
        <v>CLOSED</v>
      </c>
      <c r="N109" s="30" t="str">
        <f>Effort!L107</f>
        <v>CLOSED</v>
      </c>
      <c r="O109" s="38" t="str">
        <f>Harvest!L107</f>
        <v>CLOSED</v>
      </c>
      <c r="P109" s="36" t="str">
        <f>CPUE!L107</f>
        <v>CLOSED</v>
      </c>
      <c r="Q109" s="30" t="str">
        <f>Effort!N107</f>
        <v>CLOSED</v>
      </c>
      <c r="R109" s="38" t="str">
        <f>Harvest!N107</f>
        <v>CLOSED</v>
      </c>
      <c r="S109" s="36" t="str">
        <f>CPUE!N107</f>
        <v>CLOSED</v>
      </c>
      <c r="T109" s="30">
        <f>+E109</f>
        <v>5951.2633062909281</v>
      </c>
      <c r="U109" s="38">
        <f>+F109</f>
        <v>89268.949594363934</v>
      </c>
      <c r="V109" s="10"/>
    </row>
    <row r="110" spans="1:22" x14ac:dyDescent="0.25">
      <c r="A110" s="37">
        <v>42497</v>
      </c>
      <c r="B110" s="18">
        <f t="shared" si="30"/>
        <v>42497</v>
      </c>
      <c r="C110" s="13">
        <v>-2</v>
      </c>
      <c r="D110" s="95">
        <v>0.31874999999999998</v>
      </c>
      <c r="E110" s="30">
        <f>Effort!F108</f>
        <v>12668.762485604886</v>
      </c>
      <c r="F110" s="38">
        <f>Harvest!F108</f>
        <v>190031.43728407324</v>
      </c>
      <c r="G110" s="36">
        <f>CPUE!F108</f>
        <v>14.999999999999996</v>
      </c>
      <c r="H110" s="30" t="str">
        <f>Effort!H108</f>
        <v>CLOSED</v>
      </c>
      <c r="I110" s="38" t="str">
        <f>Harvest!H108</f>
        <v>CLOSED</v>
      </c>
      <c r="J110" s="36" t="str">
        <f>CPUE!H108</f>
        <v>CLOSED</v>
      </c>
      <c r="K110" s="30" t="str">
        <f>Effort!J108</f>
        <v>CLOSED</v>
      </c>
      <c r="L110" s="38" t="str">
        <f>Harvest!J108</f>
        <v>CLOSED</v>
      </c>
      <c r="M110" s="36" t="str">
        <f>CPUE!J108</f>
        <v>CLOSED</v>
      </c>
      <c r="N110" s="30" t="str">
        <f>Effort!L108</f>
        <v>CLOSED</v>
      </c>
      <c r="O110" s="38" t="str">
        <f>Harvest!L108</f>
        <v>CLOSED</v>
      </c>
      <c r="P110" s="36" t="str">
        <f>CPUE!L108</f>
        <v>CLOSED</v>
      </c>
      <c r="Q110" s="30" t="str">
        <f>Effort!N108</f>
        <v>CLOSED</v>
      </c>
      <c r="R110" s="38" t="str">
        <f>Harvest!N108</f>
        <v>CLOSED</v>
      </c>
      <c r="S110" s="36" t="str">
        <f>CPUE!N108</f>
        <v>CLOSED</v>
      </c>
      <c r="T110" s="30">
        <f t="shared" ref="T110:T111" si="31">+E110</f>
        <v>12668.762485604886</v>
      </c>
      <c r="U110" s="38">
        <f t="shared" ref="U110:U111" si="32">+F110</f>
        <v>190031.43728407324</v>
      </c>
      <c r="V110" s="10"/>
    </row>
    <row r="111" spans="1:22" x14ac:dyDescent="0.25">
      <c r="A111" s="37">
        <v>42498</v>
      </c>
      <c r="B111" s="18">
        <f t="shared" si="30"/>
        <v>42498</v>
      </c>
      <c r="C111" s="13">
        <v>-2.1</v>
      </c>
      <c r="D111" s="95">
        <v>0.35138888888888886</v>
      </c>
      <c r="E111" s="30">
        <f>Effort!F109</f>
        <v>8070.2344774540907</v>
      </c>
      <c r="F111" s="38">
        <f>Harvest!F109</f>
        <v>121053.51716181137</v>
      </c>
      <c r="G111" s="36">
        <f>CPUE!F109</f>
        <v>15.000000000000002</v>
      </c>
      <c r="H111" s="30" t="str">
        <f>Effort!H109</f>
        <v>CLOSED</v>
      </c>
      <c r="I111" s="38" t="str">
        <f>Harvest!H109</f>
        <v>CLOSED</v>
      </c>
      <c r="J111" s="36" t="str">
        <f>CPUE!H109</f>
        <v>CLOSED</v>
      </c>
      <c r="K111" s="30" t="str">
        <f>Effort!J109</f>
        <v>CLOSED</v>
      </c>
      <c r="L111" s="38" t="str">
        <f>Harvest!J109</f>
        <v>CLOSED</v>
      </c>
      <c r="M111" s="36" t="str">
        <f>CPUE!J109</f>
        <v>CLOSED</v>
      </c>
      <c r="N111" s="30" t="str">
        <f>Effort!L109</f>
        <v>CLOSED</v>
      </c>
      <c r="O111" s="38" t="str">
        <f>Harvest!L109</f>
        <v>CLOSED</v>
      </c>
      <c r="P111" s="36" t="str">
        <f>CPUE!L109</f>
        <v>CLOSED</v>
      </c>
      <c r="Q111" s="30" t="str">
        <f>Effort!N109</f>
        <v>CLOSED</v>
      </c>
      <c r="R111" s="38" t="str">
        <f>Harvest!N109</f>
        <v>CLOSED</v>
      </c>
      <c r="S111" s="36" t="str">
        <f>CPUE!N109</f>
        <v>CLOSED</v>
      </c>
      <c r="T111" s="30">
        <f t="shared" si="31"/>
        <v>8070.2344774540907</v>
      </c>
      <c r="U111" s="38">
        <f t="shared" si="32"/>
        <v>121053.51716181137</v>
      </c>
      <c r="V111" s="10"/>
    </row>
    <row r="112" spans="1:22" x14ac:dyDescent="0.25">
      <c r="A112" s="37">
        <v>42499</v>
      </c>
      <c r="B112" s="18">
        <f t="shared" si="30"/>
        <v>42499</v>
      </c>
      <c r="C112" s="13">
        <v>-1.9</v>
      </c>
      <c r="D112" s="95">
        <v>0.38472222222222219</v>
      </c>
      <c r="E112" s="30" t="str">
        <f>Effort!F110</f>
        <v>CLOSED</v>
      </c>
      <c r="F112" s="38" t="str">
        <f>Harvest!F110</f>
        <v>CLOSED</v>
      </c>
      <c r="G112" s="36" t="str">
        <f>CPUE!F110</f>
        <v>CLOSED</v>
      </c>
      <c r="H112" s="30" t="str">
        <f>Effort!H110</f>
        <v>CLOSED</v>
      </c>
      <c r="I112" s="38" t="str">
        <f>Harvest!H110</f>
        <v>CLOSED</v>
      </c>
      <c r="J112" s="36" t="str">
        <f>CPUE!H110</f>
        <v>CLOSED</v>
      </c>
      <c r="K112" s="30" t="str">
        <f>Effort!J110</f>
        <v>CLOSED</v>
      </c>
      <c r="L112" s="38" t="str">
        <f>Harvest!J110</f>
        <v>CLOSED</v>
      </c>
      <c r="M112" s="36" t="str">
        <f>CPUE!J110</f>
        <v>CLOSED</v>
      </c>
      <c r="N112" s="30">
        <f>Effort!L110</f>
        <v>2774.1612710086229</v>
      </c>
      <c r="O112" s="38">
        <f>Harvest!L110</f>
        <v>41409.431655055545</v>
      </c>
      <c r="P112" s="36">
        <f>CPUE!L110</f>
        <v>14.926829268292684</v>
      </c>
      <c r="Q112" s="30" t="str">
        <f>Effort!N110</f>
        <v>CLOSED</v>
      </c>
      <c r="R112" s="38" t="str">
        <f>Harvest!N110</f>
        <v>CLOSED</v>
      </c>
      <c r="S112" s="36" t="str">
        <f>CPUE!N110</f>
        <v>CLOSED</v>
      </c>
      <c r="T112" s="30">
        <f>+N112</f>
        <v>2774.1612710086229</v>
      </c>
      <c r="U112" s="38">
        <f>+O112</f>
        <v>41409.431655055545</v>
      </c>
      <c r="V112" s="10"/>
    </row>
    <row r="113" spans="1:23" x14ac:dyDescent="0.25">
      <c r="A113" s="37">
        <v>42500</v>
      </c>
      <c r="B113" s="18">
        <f t="shared" si="30"/>
        <v>42500</v>
      </c>
      <c r="C113" s="13">
        <v>-1.5</v>
      </c>
      <c r="D113" s="95">
        <v>0.41875000000000001</v>
      </c>
      <c r="E113" s="30" t="str">
        <f>Effort!F111</f>
        <v>CLOSED</v>
      </c>
      <c r="F113" s="38" t="str">
        <f>Harvest!F111</f>
        <v>CLOSED</v>
      </c>
      <c r="G113" s="36" t="str">
        <f>CPUE!F111</f>
        <v>CLOSED</v>
      </c>
      <c r="H113" s="30" t="str">
        <f>Effort!H111</f>
        <v>CLOSED</v>
      </c>
      <c r="I113" s="38" t="str">
        <f>Harvest!H111</f>
        <v>CLOSED</v>
      </c>
      <c r="J113" s="36" t="str">
        <f>CPUE!H111</f>
        <v>CLOSED</v>
      </c>
      <c r="K113" s="30" t="str">
        <f>Effort!J111</f>
        <v>CLOSED</v>
      </c>
      <c r="L113" s="38" t="str">
        <f>Harvest!J111</f>
        <v>CLOSED</v>
      </c>
      <c r="M113" s="36" t="str">
        <f>CPUE!J111</f>
        <v>CLOSED</v>
      </c>
      <c r="N113" s="30">
        <f>Effort!L111</f>
        <v>2903.3889302783009</v>
      </c>
      <c r="O113" s="38">
        <f>Harvest!L111</f>
        <v>43550.833954174508</v>
      </c>
      <c r="P113" s="36">
        <f>CPUE!L111</f>
        <v>14.999999999999998</v>
      </c>
      <c r="Q113" s="30" t="str">
        <f>Effort!N111</f>
        <v>CLOSED</v>
      </c>
      <c r="R113" s="38" t="str">
        <f>Harvest!N111</f>
        <v>CLOSED</v>
      </c>
      <c r="S113" s="36" t="str">
        <f>CPUE!N111</f>
        <v>CLOSED</v>
      </c>
      <c r="T113" s="30">
        <f t="shared" ref="T113:T115" si="33">+N113</f>
        <v>2903.3889302783009</v>
      </c>
      <c r="U113" s="38">
        <f t="shared" ref="U113:U115" si="34">+O113</f>
        <v>43550.833954174508</v>
      </c>
      <c r="V113" s="10"/>
    </row>
    <row r="114" spans="1:23" x14ac:dyDescent="0.25">
      <c r="A114" s="37">
        <v>42501</v>
      </c>
      <c r="B114" s="18">
        <f t="shared" si="30"/>
        <v>42501</v>
      </c>
      <c r="C114" s="13">
        <v>-0.9</v>
      </c>
      <c r="D114" s="95">
        <v>0.4548611111111111</v>
      </c>
      <c r="E114" s="30" t="str">
        <f>Effort!F112</f>
        <v>CLOSED</v>
      </c>
      <c r="F114" s="38" t="str">
        <f>Harvest!F112</f>
        <v>CLOSED</v>
      </c>
      <c r="G114" s="36" t="str">
        <f>CPUE!F112</f>
        <v>CLOSED</v>
      </c>
      <c r="H114" s="30" t="str">
        <f>Effort!H112</f>
        <v>CLOSED</v>
      </c>
      <c r="I114" s="38" t="str">
        <f>Harvest!H112</f>
        <v>CLOSED</v>
      </c>
      <c r="J114" s="36" t="str">
        <f>CPUE!H112</f>
        <v>CLOSED</v>
      </c>
      <c r="K114" s="30" t="str">
        <f>Effort!J112</f>
        <v>CLOSED</v>
      </c>
      <c r="L114" s="38" t="str">
        <f>Harvest!J112</f>
        <v>CLOSED</v>
      </c>
      <c r="M114" s="36" t="str">
        <f>CPUE!J112</f>
        <v>CLOSED</v>
      </c>
      <c r="N114" s="30">
        <f>Effort!L112</f>
        <v>1937.3378452732109</v>
      </c>
      <c r="O114" s="38">
        <f>Harvest!L112</f>
        <v>28948.726423622691</v>
      </c>
      <c r="P114" s="36">
        <f>CPUE!L112</f>
        <v>14.942528735632184</v>
      </c>
      <c r="Q114" s="30" t="str">
        <f>Effort!N112</f>
        <v>CLOSED</v>
      </c>
      <c r="R114" s="38" t="str">
        <f>Harvest!N112</f>
        <v>CLOSED</v>
      </c>
      <c r="S114" s="36" t="str">
        <f>CPUE!N112</f>
        <v>CLOSED</v>
      </c>
      <c r="T114" s="30">
        <f t="shared" si="33"/>
        <v>1937.3378452732109</v>
      </c>
      <c r="U114" s="38">
        <f t="shared" si="34"/>
        <v>28948.726423622691</v>
      </c>
      <c r="V114" s="10"/>
    </row>
    <row r="115" spans="1:23" x14ac:dyDescent="0.25">
      <c r="A115" s="37">
        <v>42502</v>
      </c>
      <c r="B115" s="18">
        <f t="shared" si="30"/>
        <v>42502</v>
      </c>
      <c r="C115" s="13">
        <v>-0.3</v>
      </c>
      <c r="D115" s="95">
        <v>0.49236111111111108</v>
      </c>
      <c r="E115" s="30" t="str">
        <f>Effort!F113</f>
        <v>CLOSED</v>
      </c>
      <c r="F115" s="38" t="str">
        <f>Harvest!F113</f>
        <v>CLOSED</v>
      </c>
      <c r="G115" s="36" t="str">
        <f>CPUE!F113</f>
        <v>CLOSED</v>
      </c>
      <c r="H115" s="30" t="str">
        <f>Effort!H113</f>
        <v>CLOSED</v>
      </c>
      <c r="I115" s="38" t="str">
        <f>Harvest!H113</f>
        <v>CLOSED</v>
      </c>
      <c r="J115" s="36" t="str">
        <f>CPUE!H113</f>
        <v>CLOSED</v>
      </c>
      <c r="K115" s="30" t="str">
        <f>Effort!J113</f>
        <v>CLOSED</v>
      </c>
      <c r="L115" s="38" t="str">
        <f>Harvest!J113</f>
        <v>CLOSED</v>
      </c>
      <c r="M115" s="36" t="str">
        <f>CPUE!J113</f>
        <v>CLOSED</v>
      </c>
      <c r="N115" s="30">
        <f>Effort!L113</f>
        <v>1478.127938384049</v>
      </c>
      <c r="O115" s="38">
        <f>Harvest!L113</f>
        <v>22171.919075760736</v>
      </c>
      <c r="P115" s="36">
        <f>CPUE!L113</f>
        <v>15</v>
      </c>
      <c r="Q115" s="30" t="str">
        <f>Effort!N113</f>
        <v>CLOSED</v>
      </c>
      <c r="R115" s="38" t="str">
        <f>Harvest!N113</f>
        <v>CLOSED</v>
      </c>
      <c r="S115" s="36" t="str">
        <f>CPUE!N113</f>
        <v>CLOSED</v>
      </c>
      <c r="T115" s="30">
        <f t="shared" si="33"/>
        <v>1478.127938384049</v>
      </c>
      <c r="U115" s="38">
        <f t="shared" si="34"/>
        <v>22171.919075760736</v>
      </c>
      <c r="V115" s="10"/>
    </row>
    <row r="116" spans="1:23" x14ac:dyDescent="0.25">
      <c r="A116" s="228" t="s">
        <v>32</v>
      </c>
      <c r="B116" s="228"/>
      <c r="C116" s="228"/>
      <c r="D116" s="229"/>
      <c r="E116" s="34">
        <f>SUM(E109:E115)</f>
        <v>26690.260269349907</v>
      </c>
      <c r="F116" s="35">
        <f>SUM(F109:F115)</f>
        <v>400353.90404024854</v>
      </c>
      <c r="G116" s="33">
        <f>+F116/E116</f>
        <v>14.999999999999998</v>
      </c>
      <c r="H116" s="34"/>
      <c r="I116" s="35"/>
      <c r="J116" s="33"/>
      <c r="K116" s="34"/>
      <c r="L116" s="35"/>
      <c r="M116" s="33"/>
      <c r="N116" s="34">
        <f>SUM(N112:N115)</f>
        <v>9093.0159849441825</v>
      </c>
      <c r="O116" s="35">
        <f>SUM(O112:O115)</f>
        <v>136080.91110861348</v>
      </c>
      <c r="P116" s="33">
        <f>+O116/N116</f>
        <v>14.965431858244866</v>
      </c>
      <c r="Q116" s="34"/>
      <c r="R116" s="35"/>
      <c r="S116" s="33"/>
      <c r="T116" s="34">
        <f>SUM(T109:T115)</f>
        <v>35783.276254294098</v>
      </c>
      <c r="U116" s="35">
        <f>SUM(U109:U115)</f>
        <v>536434.81514886208</v>
      </c>
      <c r="V116" s="10"/>
    </row>
    <row r="117" spans="1:23" x14ac:dyDescent="0.25">
      <c r="A117" s="37">
        <v>42510</v>
      </c>
      <c r="B117" s="18">
        <f t="shared" si="30"/>
        <v>42510</v>
      </c>
      <c r="C117" s="13">
        <v>-0.3</v>
      </c>
      <c r="D117" s="95">
        <v>0.27569444444444446</v>
      </c>
      <c r="E117" s="30" t="str">
        <f>Effort!F115</f>
        <v>CLOSED</v>
      </c>
      <c r="F117" s="38" t="str">
        <f>Harvest!F115</f>
        <v>CLOSED</v>
      </c>
      <c r="G117" s="36" t="str">
        <f>CPUE!F115</f>
        <v>CLOSED</v>
      </c>
      <c r="H117" s="30" t="str">
        <f>Effort!H115</f>
        <v>CLOSED</v>
      </c>
      <c r="I117" s="38" t="str">
        <f>Harvest!H115</f>
        <v>CLOSED</v>
      </c>
      <c r="J117" s="36" t="str">
        <f>CPUE!H115</f>
        <v>CLOSED</v>
      </c>
      <c r="K117" s="30">
        <f>Effort!J115</f>
        <v>1165.8785642767093</v>
      </c>
      <c r="L117" s="38">
        <f>Harvest!J115</f>
        <v>17426.816434451866</v>
      </c>
      <c r="M117" s="36">
        <f>CPUE!J115</f>
        <v>14.947368421052632</v>
      </c>
      <c r="N117" s="30">
        <f>Effort!L115</f>
        <v>1067.4763541114776</v>
      </c>
      <c r="O117" s="38">
        <f>Harvest!L115</f>
        <v>16012.145311672164</v>
      </c>
      <c r="P117" s="36">
        <f>CPUE!L115</f>
        <v>15</v>
      </c>
      <c r="Q117" s="30" t="str">
        <f>Effort!N115</f>
        <v>CLOSED</v>
      </c>
      <c r="R117" s="38" t="str">
        <f>Harvest!N115</f>
        <v>CLOSED</v>
      </c>
      <c r="S117" s="36" t="str">
        <f>CPUE!N115</f>
        <v>CLOSED</v>
      </c>
      <c r="T117" s="30">
        <f>+K117+N117</f>
        <v>2233.3549183881869</v>
      </c>
      <c r="U117" s="38">
        <f>+L117+O117</f>
        <v>33438.961746124027</v>
      </c>
      <c r="V117" s="10"/>
    </row>
    <row r="118" spans="1:23" x14ac:dyDescent="0.25">
      <c r="A118" s="37">
        <v>42511</v>
      </c>
      <c r="B118" s="18">
        <f t="shared" si="30"/>
        <v>42511</v>
      </c>
      <c r="C118" s="13">
        <v>-0.6</v>
      </c>
      <c r="D118" s="95">
        <v>0.3</v>
      </c>
      <c r="E118" s="30" t="str">
        <f>Effort!F116</f>
        <v>CLOSED</v>
      </c>
      <c r="F118" s="38" t="str">
        <f>Harvest!F116</f>
        <v>CLOSED</v>
      </c>
      <c r="G118" s="36" t="str">
        <f>CPUE!F116</f>
        <v>CLOSED</v>
      </c>
      <c r="H118" s="30" t="str">
        <f>Effort!H116</f>
        <v>CLOSED</v>
      </c>
      <c r="I118" s="38" t="str">
        <f>Harvest!H116</f>
        <v>CLOSED</v>
      </c>
      <c r="J118" s="36" t="str">
        <f>CPUE!H116</f>
        <v>CLOSED</v>
      </c>
      <c r="K118" s="30">
        <f>Effort!J116</f>
        <v>3063.2658768421143</v>
      </c>
      <c r="L118" s="38">
        <f>Harvest!J116</f>
        <v>45948.988152631711</v>
      </c>
      <c r="M118" s="36">
        <f>CPUE!J116</f>
        <v>14.999999999999998</v>
      </c>
      <c r="N118" s="30">
        <f>Effort!L116</f>
        <v>2802.2746297401436</v>
      </c>
      <c r="O118" s="38">
        <f>Harvest!L116</f>
        <v>42137.907395351787</v>
      </c>
      <c r="P118" s="36">
        <f>CPUE!L116</f>
        <v>15.037037037037036</v>
      </c>
      <c r="Q118" s="30" t="str">
        <f>Effort!N116</f>
        <v>CLOSED</v>
      </c>
      <c r="R118" s="38" t="str">
        <f>Harvest!N116</f>
        <v>CLOSED</v>
      </c>
      <c r="S118" s="36" t="str">
        <f>CPUE!N116</f>
        <v>CLOSED</v>
      </c>
      <c r="T118" s="30">
        <f>+K118+N118</f>
        <v>5865.5405065822579</v>
      </c>
      <c r="U118" s="38">
        <f>+L118+O118</f>
        <v>88086.895547983499</v>
      </c>
      <c r="V118" s="10"/>
    </row>
    <row r="119" spans="1:23" x14ac:dyDescent="0.25">
      <c r="A119" s="37">
        <v>42512</v>
      </c>
      <c r="B119" s="18">
        <f t="shared" si="30"/>
        <v>42512</v>
      </c>
      <c r="C119" s="13">
        <v>-0.8</v>
      </c>
      <c r="D119" s="95">
        <v>0.32430555555555557</v>
      </c>
      <c r="E119" s="30" t="str">
        <f>Effort!F117</f>
        <v>CLOSED</v>
      </c>
      <c r="F119" s="38" t="str">
        <f>Harvest!F117</f>
        <v>CLOSED</v>
      </c>
      <c r="G119" s="36" t="str">
        <f>CPUE!F117</f>
        <v>CLOSED</v>
      </c>
      <c r="H119" s="30" t="str">
        <f>Effort!H117</f>
        <v>CLOSED</v>
      </c>
      <c r="I119" s="38" t="str">
        <f>Harvest!H117</f>
        <v>CLOSED</v>
      </c>
      <c r="J119" s="36" t="str">
        <f>CPUE!H117</f>
        <v>CLOSED</v>
      </c>
      <c r="K119" s="30" t="str">
        <f>Effort!J117</f>
        <v>CLOSED</v>
      </c>
      <c r="L119" s="38" t="str">
        <f>Harvest!J117</f>
        <v>CLOSED</v>
      </c>
      <c r="M119" s="36" t="str">
        <f>CPUE!J117</f>
        <v>CLOSED</v>
      </c>
      <c r="N119" s="30">
        <f>Effort!L117</f>
        <v>3576.7250786873319</v>
      </c>
      <c r="O119" s="38">
        <f>Harvest!L117</f>
        <v>53650.876180309977</v>
      </c>
      <c r="P119" s="36">
        <f>CPUE!L117</f>
        <v>15</v>
      </c>
      <c r="Q119" s="30" t="str">
        <f>Effort!N117</f>
        <v>CLOSED</v>
      </c>
      <c r="R119" s="38" t="str">
        <f>Harvest!N117</f>
        <v>CLOSED</v>
      </c>
      <c r="S119" s="36" t="str">
        <f>CPUE!N117</f>
        <v>CLOSED</v>
      </c>
      <c r="T119" s="30">
        <f>+N119</f>
        <v>3576.7250786873319</v>
      </c>
      <c r="U119" s="38">
        <f>+O119</f>
        <v>53650.876180309977</v>
      </c>
      <c r="V119" s="10"/>
    </row>
    <row r="120" spans="1:23" ht="15.75" thickBot="1" x14ac:dyDescent="0.3">
      <c r="A120" s="228" t="s">
        <v>32</v>
      </c>
      <c r="B120" s="228"/>
      <c r="C120" s="228"/>
      <c r="D120" s="229"/>
      <c r="E120" s="103"/>
      <c r="F120" s="102"/>
      <c r="G120" s="104"/>
      <c r="H120" s="103"/>
      <c r="I120" s="102"/>
      <c r="J120" s="104"/>
      <c r="K120" s="103">
        <f>SUM(K117:K119)</f>
        <v>4229.144441118824</v>
      </c>
      <c r="L120" s="102">
        <f>SUM(L117:L119)</f>
        <v>63375.804587083578</v>
      </c>
      <c r="M120" s="104"/>
      <c r="N120" s="103">
        <f>SUM(N117:N119)</f>
        <v>7446.4760625389536</v>
      </c>
      <c r="O120" s="102">
        <f>SUM(O117:O119)</f>
        <v>111800.92888733392</v>
      </c>
      <c r="P120" s="104">
        <f>+O120/N120</f>
        <v>15.013937861127594</v>
      </c>
      <c r="Q120" s="103"/>
      <c r="R120" s="102"/>
      <c r="S120" s="104"/>
      <c r="T120" s="102">
        <f>SUM(T117:T119)</f>
        <v>11675.620503657778</v>
      </c>
      <c r="U120" s="102">
        <f>SUM(U117:U119)</f>
        <v>175176.7334744175</v>
      </c>
    </row>
    <row r="121" spans="1:23" ht="15.75" thickTop="1" x14ac:dyDescent="0.25">
      <c r="A121" s="39" t="s">
        <v>37</v>
      </c>
      <c r="B121" s="42"/>
      <c r="C121" s="42"/>
      <c r="D121" s="42"/>
      <c r="E121" s="40">
        <f>+E16+E24+E36+E52+E63+E68+E78+E87+E98+E108+E116</f>
        <v>187261.35691316845</v>
      </c>
      <c r="F121" s="40">
        <f>+F16+F24+F36+F52+F63+F68+F78+F87+F98+F108+F116</f>
        <v>2614212.9393647476</v>
      </c>
      <c r="G121" s="41">
        <f>+F121/E121</f>
        <v>13.96023708498992</v>
      </c>
      <c r="H121" s="40"/>
      <c r="I121" s="40"/>
      <c r="J121" s="41"/>
      <c r="K121" s="40">
        <f>+K7+K16+K24+K52+K78+K98+K108+K120</f>
        <v>69536.100796536688</v>
      </c>
      <c r="L121" s="40">
        <f>+L7+L16+L24+L52+L78+L98+L108+L120</f>
        <v>952020.26028537168</v>
      </c>
      <c r="M121" s="41">
        <f>+L121/K121</f>
        <v>13.691021633079375</v>
      </c>
      <c r="N121" s="40">
        <f>+N52+N63+N78+N87+N98+N108+N116+N120</f>
        <v>70747.281354279839</v>
      </c>
      <c r="O121" s="40">
        <f>+O52+O63+O78+O87+O98+O108+O116+O120</f>
        <v>965622.99664938869</v>
      </c>
      <c r="P121" s="41">
        <f>+O121/N121</f>
        <v>13.648906052147169</v>
      </c>
      <c r="Q121" s="40"/>
      <c r="R121" s="40"/>
      <c r="S121" s="41"/>
      <c r="T121" s="40">
        <f>+T7+T16+T24+T36+T52+T63+T68+T78+T87+T98+T108+T116+T120</f>
        <v>327544.73906398495</v>
      </c>
      <c r="U121" s="40">
        <f>+U7+U16+U24+U36+U52+U63+U68+U78+U87+U98+U108+U116+U120</f>
        <v>4531856.1962995073</v>
      </c>
      <c r="V121" s="15">
        <f>+U121-Harvest!O120</f>
        <v>0</v>
      </c>
      <c r="W121" s="10"/>
    </row>
    <row r="122" spans="1:23" x14ac:dyDescent="0.25">
      <c r="A122" s="68" t="s">
        <v>36</v>
      </c>
      <c r="B122" s="69"/>
      <c r="C122" s="69"/>
      <c r="D122" s="69"/>
      <c r="E122" s="70"/>
      <c r="F122" s="70">
        <f>+Harvest!F122</f>
        <v>75521.707137203834</v>
      </c>
      <c r="G122" s="71"/>
      <c r="H122" s="70"/>
      <c r="I122" s="70"/>
      <c r="J122" s="71"/>
      <c r="K122" s="70"/>
      <c r="L122" s="70">
        <f>+Harvest!J122</f>
        <v>31157.026700248531</v>
      </c>
      <c r="M122" s="71"/>
      <c r="N122" s="70"/>
      <c r="O122" s="70">
        <f>+Harvest!L122</f>
        <v>27208.16178404355</v>
      </c>
      <c r="P122" s="71"/>
      <c r="Q122" s="70"/>
      <c r="R122" s="70"/>
      <c r="S122" s="71"/>
      <c r="T122" s="70"/>
      <c r="U122" s="70">
        <f>F122+I122+L122+O122+R122</f>
        <v>133886.8956214959</v>
      </c>
    </row>
    <row r="123" spans="1:23" x14ac:dyDescent="0.25">
      <c r="A123" s="78" t="s">
        <v>33</v>
      </c>
      <c r="B123" s="79"/>
      <c r="C123" s="79"/>
      <c r="D123" s="79"/>
      <c r="E123" s="72">
        <f>E121</f>
        <v>187261.35691316845</v>
      </c>
      <c r="F123" s="72">
        <f>F121+F122</f>
        <v>2689734.6465019514</v>
      </c>
      <c r="G123" s="73">
        <f>+F123/E123</f>
        <v>14.363532823000739</v>
      </c>
      <c r="H123" s="72">
        <f>H121</f>
        <v>0</v>
      </c>
      <c r="I123" s="72">
        <f>I121+I122</f>
        <v>0</v>
      </c>
      <c r="J123" s="73"/>
      <c r="K123" s="72">
        <f>K121</f>
        <v>69536.100796536688</v>
      </c>
      <c r="L123" s="72">
        <f>L121+L122</f>
        <v>983177.28698562016</v>
      </c>
      <c r="M123" s="73">
        <f>+L123/K123</f>
        <v>14.139091431980154</v>
      </c>
      <c r="N123" s="72">
        <f>N121</f>
        <v>70747.281354279839</v>
      </c>
      <c r="O123" s="72">
        <f>O121+O122</f>
        <v>992831.15843343223</v>
      </c>
      <c r="P123" s="73">
        <f>+O123/N123</f>
        <v>14.033488487870653</v>
      </c>
      <c r="Q123" s="72">
        <f>Q121</f>
        <v>0</v>
      </c>
      <c r="R123" s="72">
        <f>R121+R122</f>
        <v>0</v>
      </c>
      <c r="S123" s="73"/>
      <c r="T123" s="72">
        <f>SUM(T121:T122)</f>
        <v>327544.73906398495</v>
      </c>
      <c r="U123" s="74">
        <f>SUM(U121:U122)</f>
        <v>4665743.0919210035</v>
      </c>
    </row>
    <row r="124" spans="1:23" x14ac:dyDescent="0.25">
      <c r="A124" s="80" t="s">
        <v>16</v>
      </c>
      <c r="B124" s="76"/>
      <c r="C124" s="76"/>
      <c r="D124" s="76"/>
      <c r="E124" s="76"/>
      <c r="F124" s="75">
        <f>Harvest!F125</f>
        <v>0.5640506283288198</v>
      </c>
      <c r="G124" s="76"/>
      <c r="H124" s="76"/>
      <c r="I124" s="75">
        <f>Harvest!H125</f>
        <v>0</v>
      </c>
      <c r="J124" s="76"/>
      <c r="K124" s="76"/>
      <c r="L124" s="75">
        <f>Harvest!J125</f>
        <v>0.89805841258262631</v>
      </c>
      <c r="M124" s="76"/>
      <c r="N124" s="76"/>
      <c r="O124" s="75">
        <f>Harvest!L125</f>
        <v>0.58571552535961979</v>
      </c>
      <c r="P124" s="76"/>
      <c r="Q124" s="76"/>
      <c r="R124" s="75">
        <f>Harvest!N125</f>
        <v>0</v>
      </c>
      <c r="S124" s="76"/>
      <c r="T124" s="76"/>
      <c r="U124" s="77"/>
    </row>
  </sheetData>
  <mergeCells count="19">
    <mergeCell ref="A7:D7"/>
    <mergeCell ref="A63:D63"/>
    <mergeCell ref="A52:D52"/>
    <mergeCell ref="A24:D24"/>
    <mergeCell ref="A16:D16"/>
    <mergeCell ref="T2:U2"/>
    <mergeCell ref="N2:P2"/>
    <mergeCell ref="K2:M2"/>
    <mergeCell ref="H2:J2"/>
    <mergeCell ref="E2:G2"/>
    <mergeCell ref="Q2:S2"/>
    <mergeCell ref="A98:D98"/>
    <mergeCell ref="A120:D120"/>
    <mergeCell ref="A78:D78"/>
    <mergeCell ref="A87:D87"/>
    <mergeCell ref="A36:D36"/>
    <mergeCell ref="A68:D68"/>
    <mergeCell ref="A108:D108"/>
    <mergeCell ref="A116:D116"/>
  </mergeCells>
  <pageMargins left="0.196850393700787" right="0" top="0.39370078740157499" bottom="0" header="0.196850393700787" footer="0"/>
  <pageSetup paperSize="3" scale="82" fitToHeight="0" orientation="portrait" r:id="rId1"/>
  <headerFooter>
    <oddHeader>&amp;L&amp;KFF0000PRELIMINARY ESTIMATE&amp;C&amp;KFF0000Page &amp;P</oddHeader>
  </headerFooter>
  <ignoredErrors>
    <ignoredError sqref="T18:U18 M98 M78 T102:U10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131"/>
  <sheetViews>
    <sheetView topLeftCell="A100" workbookViewId="0">
      <selection activeCell="C131" sqref="C131"/>
    </sheetView>
  </sheetViews>
  <sheetFormatPr defaultRowHeight="15" x14ac:dyDescent="0.25"/>
  <cols>
    <col min="1" max="1" width="11.5703125" bestFit="1" customWidth="1"/>
    <col min="2" max="2" width="10.140625" bestFit="1" customWidth="1"/>
    <col min="3" max="3" width="9.140625" bestFit="1" customWidth="1"/>
    <col min="4" max="4" width="10.140625" bestFit="1" customWidth="1"/>
    <col min="5" max="5" width="5.5703125" bestFit="1" customWidth="1"/>
    <col min="6" max="6" width="7.85546875" bestFit="1" customWidth="1"/>
    <col min="7" max="7" width="15.85546875" bestFit="1" customWidth="1"/>
  </cols>
  <sheetData>
    <row r="1" spans="1:7" x14ac:dyDescent="0.25">
      <c r="A1" s="138" t="s">
        <v>9</v>
      </c>
      <c r="B1" s="138" t="s">
        <v>8</v>
      </c>
      <c r="C1" s="138" t="s">
        <v>30</v>
      </c>
      <c r="D1" s="138" t="s">
        <v>31</v>
      </c>
      <c r="E1" s="138" t="s">
        <v>10</v>
      </c>
      <c r="F1" s="138" t="s">
        <v>38</v>
      </c>
      <c r="G1" s="138" t="s">
        <v>49</v>
      </c>
    </row>
    <row r="2" spans="1:7" x14ac:dyDescent="0.25">
      <c r="A2" s="139" t="s">
        <v>2</v>
      </c>
      <c r="B2" s="140">
        <v>42362</v>
      </c>
      <c r="C2" s="141">
        <v>3418.4839061579023</v>
      </c>
      <c r="D2" s="141">
        <v>48086.673613287829</v>
      </c>
      <c r="E2" s="141">
        <v>14.066666666666666</v>
      </c>
      <c r="F2" s="142">
        <v>1224</v>
      </c>
      <c r="G2" s="141">
        <v>0.48149999976158142</v>
      </c>
    </row>
    <row r="3" spans="1:7" x14ac:dyDescent="0.25">
      <c r="A3" s="139" t="s">
        <v>2</v>
      </c>
      <c r="B3" s="140">
        <v>42363</v>
      </c>
      <c r="C3" s="141">
        <v>3097.8534022966778</v>
      </c>
      <c r="D3" s="141">
        <v>45991.208203327609</v>
      </c>
      <c r="E3" s="141">
        <v>14.846153846153847</v>
      </c>
      <c r="F3" s="142">
        <v>1225</v>
      </c>
      <c r="G3" s="141">
        <v>0.45906665921211243</v>
      </c>
    </row>
    <row r="4" spans="1:7" x14ac:dyDescent="0.25">
      <c r="A4" s="139" t="s">
        <v>2</v>
      </c>
      <c r="B4" s="140">
        <v>42364</v>
      </c>
      <c r="C4" s="141">
        <v>5364.5964786037293</v>
      </c>
      <c r="D4" s="141">
        <v>78056.958064644947</v>
      </c>
      <c r="E4" s="141">
        <v>14.550387596899224</v>
      </c>
      <c r="F4" s="142">
        <v>1226</v>
      </c>
      <c r="G4" s="141">
        <v>0.49884998798370361</v>
      </c>
    </row>
    <row r="6" spans="1:7" x14ac:dyDescent="0.25">
      <c r="A6" s="159" t="s">
        <v>9</v>
      </c>
      <c r="B6" s="159" t="s">
        <v>8</v>
      </c>
      <c r="C6" s="159" t="s">
        <v>30</v>
      </c>
      <c r="D6" s="159" t="s">
        <v>31</v>
      </c>
      <c r="E6" s="159" t="s">
        <v>10</v>
      </c>
      <c r="F6" s="159" t="s">
        <v>38</v>
      </c>
      <c r="G6" s="159" t="s">
        <v>49</v>
      </c>
    </row>
    <row r="7" spans="1:7" x14ac:dyDescent="0.25">
      <c r="A7" s="160" t="s">
        <v>2</v>
      </c>
      <c r="B7" s="161">
        <v>42377</v>
      </c>
      <c r="C7" s="164">
        <v>4608.3004836370055</v>
      </c>
      <c r="D7" s="164">
        <v>68780.604233388134</v>
      </c>
      <c r="E7" s="162">
        <v>14.925373134328359</v>
      </c>
      <c r="F7" s="163">
        <v>1227</v>
      </c>
      <c r="G7" s="162">
        <v>0.36967501044273376</v>
      </c>
    </row>
    <row r="8" spans="1:7" x14ac:dyDescent="0.25">
      <c r="A8" s="160" t="s">
        <v>2</v>
      </c>
      <c r="B8" s="161">
        <v>42378</v>
      </c>
      <c r="C8" s="164">
        <v>8906.2351828290011</v>
      </c>
      <c r="D8" s="164">
        <v>114652.09798740431</v>
      </c>
      <c r="E8" s="162">
        <v>12.873239436619718</v>
      </c>
      <c r="F8" s="163">
        <v>1228</v>
      </c>
      <c r="G8" s="162">
        <v>0.49802500009536743</v>
      </c>
    </row>
    <row r="10" spans="1:7" x14ac:dyDescent="0.25">
      <c r="A10" s="165" t="s">
        <v>9</v>
      </c>
      <c r="B10" s="165" t="s">
        <v>8</v>
      </c>
      <c r="C10" s="165" t="s">
        <v>30</v>
      </c>
      <c r="D10" s="165" t="s">
        <v>31</v>
      </c>
      <c r="E10" s="165" t="s">
        <v>10</v>
      </c>
      <c r="F10" s="165" t="s">
        <v>38</v>
      </c>
      <c r="G10" s="165" t="s">
        <v>49</v>
      </c>
    </row>
    <row r="11" spans="1:7" x14ac:dyDescent="0.25">
      <c r="A11" s="166" t="s">
        <v>2</v>
      </c>
      <c r="B11" s="167">
        <v>42362</v>
      </c>
      <c r="C11" s="168">
        <v>2988.2720686627513</v>
      </c>
      <c r="D11" s="168">
        <v>42035.027099189363</v>
      </c>
      <c r="E11" s="168">
        <v>14.066666666666666</v>
      </c>
      <c r="F11" s="169">
        <v>1224</v>
      </c>
      <c r="G11" s="168">
        <v>0.550819993019104</v>
      </c>
    </row>
    <row r="12" spans="1:7" x14ac:dyDescent="0.25">
      <c r="A12" s="166" t="s">
        <v>2</v>
      </c>
      <c r="B12" s="167">
        <v>42363</v>
      </c>
      <c r="C12" s="168">
        <v>3038.5040546978062</v>
      </c>
      <c r="D12" s="168">
        <v>45110.098658205898</v>
      </c>
      <c r="E12" s="168">
        <v>14.846153846153847</v>
      </c>
      <c r="F12" s="169">
        <v>1225</v>
      </c>
      <c r="G12" s="168">
        <v>0.46803334355354309</v>
      </c>
    </row>
    <row r="13" spans="1:7" x14ac:dyDescent="0.25">
      <c r="A13" s="166" t="s">
        <v>2</v>
      </c>
      <c r="B13" s="167">
        <v>42364</v>
      </c>
      <c r="C13" s="168">
        <v>5373.4830347400912</v>
      </c>
      <c r="D13" s="168">
        <v>78186.260900830617</v>
      </c>
      <c r="E13" s="168">
        <v>14.550387596899224</v>
      </c>
      <c r="F13" s="169">
        <v>1226</v>
      </c>
      <c r="G13" s="168">
        <v>0.49802500009536743</v>
      </c>
    </row>
    <row r="14" spans="1:7" x14ac:dyDescent="0.25">
      <c r="A14" s="166" t="s">
        <v>2</v>
      </c>
      <c r="B14" s="167">
        <v>42377</v>
      </c>
      <c r="C14" s="168">
        <v>4608.3004836370055</v>
      </c>
      <c r="D14" s="168">
        <v>68780.604233388134</v>
      </c>
      <c r="E14" s="168">
        <v>14.925373134328359</v>
      </c>
      <c r="F14" s="169">
        <v>1227</v>
      </c>
      <c r="G14" s="168">
        <v>0.36967501044273376</v>
      </c>
    </row>
    <row r="15" spans="1:7" x14ac:dyDescent="0.25">
      <c r="A15" s="166" t="s">
        <v>2</v>
      </c>
      <c r="B15" s="167">
        <v>42378</v>
      </c>
      <c r="C15" s="168">
        <v>8906.2351828290011</v>
      </c>
      <c r="D15" s="168">
        <v>114652.09798740431</v>
      </c>
      <c r="E15" s="168">
        <v>12.873239436619718</v>
      </c>
      <c r="F15" s="169">
        <v>1228</v>
      </c>
      <c r="G15" s="168">
        <v>0.49802500009536743</v>
      </c>
    </row>
    <row r="16" spans="1:7" x14ac:dyDescent="0.25">
      <c r="A16" s="166" t="s">
        <v>55</v>
      </c>
      <c r="B16" s="167">
        <v>42376</v>
      </c>
      <c r="C16" s="168">
        <v>2173.2756261806662</v>
      </c>
      <c r="D16" s="168">
        <v>31029.546440468403</v>
      </c>
      <c r="E16" s="168">
        <v>14.277777777777779</v>
      </c>
      <c r="F16" s="169">
        <v>1229</v>
      </c>
      <c r="G16" s="168">
        <v>0.68533331155776978</v>
      </c>
    </row>
    <row r="17" spans="1:7" x14ac:dyDescent="0.25">
      <c r="A17" s="166" t="s">
        <v>55</v>
      </c>
      <c r="B17" s="167">
        <v>42377</v>
      </c>
      <c r="C17" s="168">
        <v>2178.5020147443229</v>
      </c>
      <c r="D17" s="168">
        <v>32644.27064842065</v>
      </c>
      <c r="E17" s="168">
        <v>14.98473282442748</v>
      </c>
      <c r="F17" s="169">
        <v>1230</v>
      </c>
      <c r="G17" s="168">
        <v>0.68533331155776978</v>
      </c>
    </row>
    <row r="18" spans="1:7" x14ac:dyDescent="0.25">
      <c r="A18" s="166" t="s">
        <v>55</v>
      </c>
      <c r="B18" s="167">
        <v>42378</v>
      </c>
      <c r="C18" s="168">
        <v>6868.6145021623506</v>
      </c>
      <c r="D18" s="168">
        <v>87418.730027520811</v>
      </c>
      <c r="E18" s="168">
        <v>12.727272727272727</v>
      </c>
      <c r="F18" s="169">
        <v>1231</v>
      </c>
      <c r="G18" s="168">
        <v>0.68533331155776978</v>
      </c>
    </row>
    <row r="19" spans="1:7" x14ac:dyDescent="0.25">
      <c r="A19" s="166" t="s">
        <v>55</v>
      </c>
      <c r="B19" s="167">
        <v>42379</v>
      </c>
      <c r="C19" s="168">
        <v>2284.2464329220879</v>
      </c>
      <c r="D19" s="168">
        <v>34039.750765113466</v>
      </c>
      <c r="E19" s="168">
        <v>14.901960784313726</v>
      </c>
      <c r="F19" s="169">
        <v>1232</v>
      </c>
      <c r="G19" s="168">
        <v>0.63583332300186157</v>
      </c>
    </row>
    <row r="20" spans="1:7" x14ac:dyDescent="0.25">
      <c r="A20" s="166" t="s">
        <v>55</v>
      </c>
      <c r="B20" s="167">
        <v>42380</v>
      </c>
      <c r="C20" s="168">
        <v>508.68853385860922</v>
      </c>
      <c r="D20" s="168">
        <v>7121.6394740205296</v>
      </c>
      <c r="E20" s="168">
        <v>14</v>
      </c>
      <c r="F20" s="169">
        <v>1233</v>
      </c>
      <c r="G20" s="168">
        <v>0.59417498111724854</v>
      </c>
    </row>
    <row r="21" spans="1:7" x14ac:dyDescent="0.25">
      <c r="A21" s="166" t="s">
        <v>55</v>
      </c>
      <c r="B21" s="167">
        <v>42381</v>
      </c>
      <c r="C21" s="168">
        <v>125.81913703784566</v>
      </c>
      <c r="D21" s="168">
        <v>1887.287055567685</v>
      </c>
      <c r="E21" s="168">
        <v>15</v>
      </c>
      <c r="F21" s="169">
        <v>1234</v>
      </c>
      <c r="G21" s="168">
        <v>0.63583332300186157</v>
      </c>
    </row>
    <row r="22" spans="1:7" x14ac:dyDescent="0.25">
      <c r="A22" s="166" t="s">
        <v>55</v>
      </c>
      <c r="B22" s="167">
        <v>42382</v>
      </c>
      <c r="C22" s="168">
        <v>591.25035086360469</v>
      </c>
      <c r="D22" s="168">
        <v>8868.7552629540696</v>
      </c>
      <c r="E22" s="168">
        <v>15</v>
      </c>
      <c r="F22" s="169">
        <v>1235</v>
      </c>
      <c r="G22" s="168">
        <v>0.46173334121704102</v>
      </c>
    </row>
    <row r="24" spans="1:7" x14ac:dyDescent="0.25">
      <c r="A24" s="165" t="s">
        <v>9</v>
      </c>
      <c r="B24" s="165" t="s">
        <v>8</v>
      </c>
      <c r="C24" s="165" t="s">
        <v>30</v>
      </c>
      <c r="D24" s="165" t="s">
        <v>31</v>
      </c>
      <c r="E24" s="165" t="s">
        <v>10</v>
      </c>
      <c r="F24" s="165" t="s">
        <v>38</v>
      </c>
      <c r="G24" s="165" t="s">
        <v>49</v>
      </c>
    </row>
    <row r="25" spans="1:7" x14ac:dyDescent="0.25">
      <c r="A25" s="166" t="s">
        <v>2</v>
      </c>
      <c r="B25" s="167">
        <v>42391</v>
      </c>
      <c r="C25" s="168">
        <v>4454.5089657605977</v>
      </c>
      <c r="D25" s="168">
        <v>49770.571328979</v>
      </c>
      <c r="E25" s="168">
        <v>11.173076923076923</v>
      </c>
      <c r="F25" s="169">
        <v>1236</v>
      </c>
      <c r="G25" s="168">
        <v>0.42597499489784241</v>
      </c>
    </row>
    <row r="26" spans="1:7" x14ac:dyDescent="0.25">
      <c r="A26" s="166" t="s">
        <v>55</v>
      </c>
      <c r="B26" s="167">
        <v>42390</v>
      </c>
      <c r="C26" s="168">
        <v>488.6185399692082</v>
      </c>
      <c r="D26" s="168">
        <v>4230.7215046114361</v>
      </c>
      <c r="E26" s="168">
        <v>8.6585365853658534</v>
      </c>
      <c r="F26" s="169">
        <v>1239</v>
      </c>
      <c r="G26" s="168">
        <v>0.50959998369216919</v>
      </c>
    </row>
    <row r="27" spans="1:7" x14ac:dyDescent="0.25">
      <c r="A27" s="166" t="s">
        <v>55</v>
      </c>
      <c r="B27" s="167">
        <v>42391</v>
      </c>
      <c r="C27" s="168">
        <v>2846.5078298364174</v>
      </c>
      <c r="D27" s="168">
        <v>42697.617447546261</v>
      </c>
      <c r="E27" s="168">
        <v>15</v>
      </c>
      <c r="F27" s="169">
        <v>1237</v>
      </c>
      <c r="G27" s="168">
        <v>0.70139998197555542</v>
      </c>
    </row>
    <row r="28" spans="1:7" x14ac:dyDescent="0.25">
      <c r="A28" s="166" t="s">
        <v>55</v>
      </c>
      <c r="B28" s="167">
        <v>42392</v>
      </c>
      <c r="C28" s="168">
        <v>6367.2656326866636</v>
      </c>
      <c r="D28" s="168">
        <v>96068.744106360333</v>
      </c>
      <c r="E28" s="168">
        <v>15.087912087912088</v>
      </c>
      <c r="F28" s="169">
        <v>1238</v>
      </c>
      <c r="G28" s="168">
        <v>0.70139998197555542</v>
      </c>
    </row>
    <row r="30" spans="1:7" x14ac:dyDescent="0.25">
      <c r="A30" s="165" t="s">
        <v>9</v>
      </c>
      <c r="B30" s="165" t="s">
        <v>8</v>
      </c>
      <c r="C30" s="165" t="s">
        <v>30</v>
      </c>
      <c r="D30" s="165" t="s">
        <v>31</v>
      </c>
      <c r="E30" s="165" t="s">
        <v>10</v>
      </c>
      <c r="F30" s="165" t="s">
        <v>38</v>
      </c>
      <c r="G30" s="165" t="s">
        <v>49</v>
      </c>
    </row>
    <row r="31" spans="1:7" x14ac:dyDescent="0.25">
      <c r="A31" s="166" t="s">
        <v>55</v>
      </c>
      <c r="B31" s="167">
        <v>42404</v>
      </c>
      <c r="C31" s="168">
        <v>774.80547208923997</v>
      </c>
      <c r="D31" s="168">
        <v>10622.333085094418</v>
      </c>
      <c r="E31" s="168">
        <v>13.709677419354838</v>
      </c>
      <c r="F31" s="169">
        <v>1240</v>
      </c>
      <c r="G31" s="168">
        <v>0.68533331155776978</v>
      </c>
    </row>
    <row r="32" spans="1:7" x14ac:dyDescent="0.25">
      <c r="A32" s="166" t="s">
        <v>55</v>
      </c>
      <c r="B32" s="167">
        <v>42405</v>
      </c>
      <c r="C32" s="168">
        <v>451.95324799858327</v>
      </c>
      <c r="D32" s="168">
        <v>2905.4137371337492</v>
      </c>
      <c r="E32" s="168">
        <v>6.4285714285714288</v>
      </c>
      <c r="F32" s="169">
        <v>1241</v>
      </c>
      <c r="G32" s="168">
        <v>0.70139998197555542</v>
      </c>
    </row>
    <row r="33" spans="1:7" x14ac:dyDescent="0.25">
      <c r="A33" s="166" t="s">
        <v>55</v>
      </c>
      <c r="B33" s="167">
        <v>42406</v>
      </c>
      <c r="C33" s="168">
        <v>8081.6261248813307</v>
      </c>
      <c r="D33" s="168">
        <v>121224.39187321995</v>
      </c>
      <c r="E33" s="168">
        <v>15</v>
      </c>
      <c r="F33" s="169">
        <v>1242</v>
      </c>
      <c r="G33" s="168">
        <v>0.68533331155776978</v>
      </c>
    </row>
    <row r="34" spans="1:7" x14ac:dyDescent="0.25">
      <c r="A34" s="166" t="s">
        <v>55</v>
      </c>
      <c r="B34" s="167">
        <v>42407</v>
      </c>
      <c r="C34" s="168">
        <v>1693.5957331338032</v>
      </c>
      <c r="D34" s="168">
        <v>25403.935997007051</v>
      </c>
      <c r="E34" s="168">
        <v>15</v>
      </c>
      <c r="F34" s="169">
        <v>1243</v>
      </c>
      <c r="G34" s="168">
        <v>0.36070001125335693</v>
      </c>
    </row>
    <row r="35" spans="1:7" x14ac:dyDescent="0.25">
      <c r="A35" s="166" t="s">
        <v>55</v>
      </c>
      <c r="B35" s="167">
        <v>42408</v>
      </c>
      <c r="C35" s="168">
        <v>3408.5604195865621</v>
      </c>
      <c r="D35" s="168">
        <v>50370.948422779198</v>
      </c>
      <c r="E35" s="168">
        <v>14.777777777777779</v>
      </c>
      <c r="F35" s="169">
        <v>1244</v>
      </c>
      <c r="G35" s="168">
        <v>0.68533331155776978</v>
      </c>
    </row>
    <row r="36" spans="1:7" x14ac:dyDescent="0.25">
      <c r="A36" s="166" t="s">
        <v>55</v>
      </c>
      <c r="B36" s="167">
        <v>42410</v>
      </c>
      <c r="C36" s="168">
        <v>387.68021599786186</v>
      </c>
      <c r="D36" s="168">
        <v>5815.2032399679283</v>
      </c>
      <c r="E36" s="168">
        <v>15</v>
      </c>
      <c r="F36" s="169">
        <v>1245</v>
      </c>
      <c r="G36" s="168">
        <v>0.63583332300186157</v>
      </c>
    </row>
    <row r="38" spans="1:7" x14ac:dyDescent="0.25">
      <c r="A38" s="165" t="s">
        <v>9</v>
      </c>
      <c r="B38" s="165" t="s">
        <v>8</v>
      </c>
      <c r="C38" s="165" t="s">
        <v>30</v>
      </c>
      <c r="D38" s="165" t="s">
        <v>31</v>
      </c>
      <c r="E38" s="165" t="s">
        <v>10</v>
      </c>
      <c r="F38" s="165" t="s">
        <v>38</v>
      </c>
      <c r="G38" s="165" t="s">
        <v>49</v>
      </c>
    </row>
    <row r="39" spans="1:7" x14ac:dyDescent="0.25">
      <c r="A39" s="166" t="s">
        <v>2</v>
      </c>
      <c r="B39" s="167">
        <v>42419</v>
      </c>
      <c r="C39" s="168">
        <v>3391.3042356026012</v>
      </c>
      <c r="D39" s="168">
        <v>42899.9985803729</v>
      </c>
      <c r="E39" s="168">
        <v>12.65</v>
      </c>
      <c r="F39" s="169">
        <v>1246</v>
      </c>
      <c r="G39" s="168">
        <v>0.39866667985916138</v>
      </c>
    </row>
    <row r="40" spans="1:7" x14ac:dyDescent="0.25">
      <c r="A40" s="166" t="s">
        <v>2</v>
      </c>
      <c r="B40" s="167">
        <v>42420</v>
      </c>
      <c r="C40" s="168">
        <v>9950.4268520255446</v>
      </c>
      <c r="D40" s="168">
        <v>128329.73187509234</v>
      </c>
      <c r="E40" s="168">
        <v>12.896907216494846</v>
      </c>
      <c r="F40" s="169">
        <v>1247</v>
      </c>
      <c r="G40" s="168">
        <v>0.42597499489784241</v>
      </c>
    </row>
    <row r="41" spans="1:7" x14ac:dyDescent="0.25">
      <c r="A41" s="166" t="s">
        <v>55</v>
      </c>
      <c r="B41" s="167">
        <v>42417</v>
      </c>
      <c r="C41" s="168">
        <v>791.11984503523206</v>
      </c>
      <c r="D41" s="168">
        <v>7673.8624968417498</v>
      </c>
      <c r="E41" s="168">
        <v>9.6999999999999993</v>
      </c>
      <c r="F41" s="169">
        <v>1251</v>
      </c>
      <c r="G41" s="168">
        <v>0.5435333251953125</v>
      </c>
    </row>
    <row r="42" spans="1:7" x14ac:dyDescent="0.25">
      <c r="A42" s="166" t="s">
        <v>55</v>
      </c>
      <c r="B42" s="167">
        <v>42418</v>
      </c>
      <c r="C42" s="168">
        <v>873.94900394115143</v>
      </c>
      <c r="D42" s="168">
        <v>8977.839767759102</v>
      </c>
      <c r="E42" s="168">
        <v>10.272727272727273</v>
      </c>
      <c r="F42" s="169">
        <v>1252</v>
      </c>
      <c r="G42" s="168">
        <v>0.5435333251953125</v>
      </c>
    </row>
    <row r="43" spans="1:7" x14ac:dyDescent="0.25">
      <c r="A43" s="166" t="s">
        <v>55</v>
      </c>
      <c r="B43" s="167">
        <v>42419</v>
      </c>
      <c r="C43" s="168">
        <v>1990.7678773333953</v>
      </c>
      <c r="D43" s="168">
        <v>22831.619093167377</v>
      </c>
      <c r="E43" s="168">
        <v>11.46875</v>
      </c>
      <c r="F43" s="169">
        <v>1253</v>
      </c>
      <c r="G43" s="168">
        <v>0.54605001211166382</v>
      </c>
    </row>
    <row r="44" spans="1:7" x14ac:dyDescent="0.25">
      <c r="A44" s="166" t="s">
        <v>55</v>
      </c>
      <c r="B44" s="167">
        <v>42420</v>
      </c>
      <c r="C44" s="168">
        <v>13050.086698913536</v>
      </c>
      <c r="D44" s="168">
        <v>201114.34981202372</v>
      </c>
      <c r="E44" s="168">
        <v>15.41095890410959</v>
      </c>
      <c r="F44" s="169">
        <v>1254</v>
      </c>
      <c r="G44" s="168">
        <v>0.54605001211166382</v>
      </c>
    </row>
    <row r="45" spans="1:7" x14ac:dyDescent="0.25">
      <c r="A45" s="166" t="s">
        <v>55</v>
      </c>
      <c r="B45" s="167">
        <v>42421</v>
      </c>
      <c r="C45" s="168">
        <v>2154.2031340788576</v>
      </c>
      <c r="D45" s="168">
        <v>32313.047011182862</v>
      </c>
      <c r="E45" s="168">
        <v>15</v>
      </c>
      <c r="F45" s="169">
        <v>1255</v>
      </c>
      <c r="G45" s="168">
        <v>0.56029999256134033</v>
      </c>
    </row>
    <row r="46" spans="1:7" x14ac:dyDescent="0.25">
      <c r="A46" s="166" t="s">
        <v>55</v>
      </c>
      <c r="B46" s="167">
        <v>42422</v>
      </c>
      <c r="C46" s="168">
        <v>1270.6224767601384</v>
      </c>
      <c r="D46" s="168">
        <v>18961.596960882067</v>
      </c>
      <c r="E46" s="168">
        <v>14.923076923076923</v>
      </c>
      <c r="F46" s="169">
        <v>1256</v>
      </c>
      <c r="G46" s="168">
        <v>0.48086667060852051</v>
      </c>
    </row>
    <row r="47" spans="1:7" x14ac:dyDescent="0.25">
      <c r="A47" s="166" t="s">
        <v>3</v>
      </c>
      <c r="B47" s="167">
        <v>42419</v>
      </c>
      <c r="C47" s="168">
        <v>1766.6574481220709</v>
      </c>
      <c r="D47" s="168">
        <v>14975.819291004018</v>
      </c>
      <c r="E47" s="168">
        <v>8.476923076923077</v>
      </c>
      <c r="F47" s="169">
        <v>1248</v>
      </c>
      <c r="G47" s="168">
        <v>0.50784999132156372</v>
      </c>
    </row>
    <row r="48" spans="1:7" x14ac:dyDescent="0.25">
      <c r="A48" s="166" t="s">
        <v>3</v>
      </c>
      <c r="B48" s="167">
        <v>42420</v>
      </c>
      <c r="C48" s="168">
        <v>7972.8508382998407</v>
      </c>
      <c r="D48" s="168">
        <v>117314.80519212622</v>
      </c>
      <c r="E48" s="168">
        <v>14.714285714285714</v>
      </c>
      <c r="F48" s="169">
        <v>1249</v>
      </c>
      <c r="G48" s="168">
        <v>0.43779999017715454</v>
      </c>
    </row>
    <row r="49" spans="1:7" x14ac:dyDescent="0.25">
      <c r="A49" s="166" t="s">
        <v>3</v>
      </c>
      <c r="B49" s="167">
        <v>42421</v>
      </c>
      <c r="C49" s="168">
        <v>2511.1991250446008</v>
      </c>
      <c r="D49" s="168">
        <v>37155.497258312971</v>
      </c>
      <c r="E49" s="168">
        <v>14.795918367346939</v>
      </c>
      <c r="F49" s="169">
        <v>1250</v>
      </c>
      <c r="G49" s="168">
        <v>0.55105000734329224</v>
      </c>
    </row>
    <row r="51" spans="1:7" x14ac:dyDescent="0.25">
      <c r="A51" s="165" t="s">
        <v>9</v>
      </c>
      <c r="B51" s="165" t="s">
        <v>8</v>
      </c>
      <c r="C51" s="165" t="s">
        <v>30</v>
      </c>
      <c r="D51" s="165" t="s">
        <v>31</v>
      </c>
      <c r="E51" s="165" t="s">
        <v>10</v>
      </c>
      <c r="F51" s="165" t="s">
        <v>38</v>
      </c>
      <c r="G51" s="165" t="s">
        <v>49</v>
      </c>
    </row>
    <row r="52" spans="1:7" x14ac:dyDescent="0.25">
      <c r="A52" s="166" t="s">
        <v>55</v>
      </c>
      <c r="B52" s="167">
        <v>42424</v>
      </c>
      <c r="C52" s="168">
        <v>358.76813715349095</v>
      </c>
      <c r="D52" s="168">
        <v>3372.4204892428152</v>
      </c>
      <c r="E52" s="168">
        <v>9.4</v>
      </c>
      <c r="F52" s="169">
        <v>1260</v>
      </c>
      <c r="G52" s="168">
        <v>0.57266664505004883</v>
      </c>
    </row>
    <row r="53" spans="1:7" x14ac:dyDescent="0.25">
      <c r="A53" s="166" t="s">
        <v>55</v>
      </c>
      <c r="B53" s="167">
        <v>42431</v>
      </c>
      <c r="C53" s="168">
        <v>82.587748968866308</v>
      </c>
      <c r="D53" s="168">
        <v>963.52373797010682</v>
      </c>
      <c r="E53" s="168">
        <v>11.666666666666666</v>
      </c>
      <c r="F53" s="169">
        <v>1261</v>
      </c>
      <c r="G53" s="168">
        <v>0.5812000036239624</v>
      </c>
    </row>
    <row r="54" spans="1:7" x14ac:dyDescent="0.25">
      <c r="A54" s="166" t="s">
        <v>55</v>
      </c>
      <c r="B54" s="167">
        <v>42432</v>
      </c>
      <c r="C54" s="168">
        <v>166.89607604125067</v>
      </c>
      <c r="D54" s="168">
        <v>2253.097026556884</v>
      </c>
      <c r="E54" s="168">
        <v>13.5</v>
      </c>
      <c r="F54" s="169">
        <v>1262</v>
      </c>
      <c r="G54" s="168">
        <v>0.5812000036239624</v>
      </c>
    </row>
    <row r="55" spans="1:7" x14ac:dyDescent="0.25">
      <c r="A55" s="166" t="s">
        <v>55</v>
      </c>
      <c r="B55" s="167">
        <v>42433</v>
      </c>
      <c r="C55" s="168">
        <v>581.55539898910024</v>
      </c>
      <c r="D55" s="168">
        <v>3738.570422072788</v>
      </c>
      <c r="E55" s="168">
        <v>6.4285714285714288</v>
      </c>
      <c r="F55" s="169">
        <v>1263</v>
      </c>
      <c r="G55" s="168">
        <v>0.5812000036239624</v>
      </c>
    </row>
    <row r="56" spans="1:7" x14ac:dyDescent="0.25">
      <c r="A56" s="166" t="s">
        <v>55</v>
      </c>
      <c r="B56" s="167">
        <v>42434</v>
      </c>
      <c r="C56" s="168">
        <v>6502.7180649687552</v>
      </c>
      <c r="D56" s="168">
        <v>26602.028447599449</v>
      </c>
      <c r="E56" s="168">
        <v>4.0909090909090908</v>
      </c>
      <c r="F56" s="169">
        <v>1265</v>
      </c>
      <c r="G56" s="168">
        <v>0.46173334121704102</v>
      </c>
    </row>
    <row r="57" spans="1:7" x14ac:dyDescent="0.25">
      <c r="A57" s="166" t="s">
        <v>55</v>
      </c>
      <c r="B57" s="167">
        <v>42435</v>
      </c>
      <c r="C57" s="168">
        <v>1496.1854229320488</v>
      </c>
      <c r="D57" s="168">
        <v>19027.575487288013</v>
      </c>
      <c r="E57" s="168">
        <v>12.717391304347826</v>
      </c>
      <c r="F57" s="169">
        <v>1266</v>
      </c>
      <c r="G57" s="168">
        <v>0.67505002021789551</v>
      </c>
    </row>
    <row r="58" spans="1:7" x14ac:dyDescent="0.25">
      <c r="A58" s="166" t="s">
        <v>55</v>
      </c>
      <c r="B58" s="167">
        <v>42437</v>
      </c>
      <c r="C58" s="168">
        <v>1069.7549276279728</v>
      </c>
      <c r="D58" s="168">
        <v>16046.323914419594</v>
      </c>
      <c r="E58" s="168">
        <v>15</v>
      </c>
      <c r="F58" s="169">
        <v>1267</v>
      </c>
      <c r="G58" s="168">
        <v>0.70139998197555542</v>
      </c>
    </row>
    <row r="59" spans="1:7" x14ac:dyDescent="0.25">
      <c r="A59" s="166" t="s">
        <v>55</v>
      </c>
      <c r="B59" s="167">
        <v>42440</v>
      </c>
      <c r="C59" s="168">
        <v>465.14378097802057</v>
      </c>
      <c r="D59" s="168">
        <v>6977.1567146703073</v>
      </c>
      <c r="E59" s="168">
        <v>15</v>
      </c>
      <c r="F59" s="169">
        <v>1268</v>
      </c>
      <c r="G59" s="168">
        <v>0.56326669454574585</v>
      </c>
    </row>
    <row r="60" spans="1:7" x14ac:dyDescent="0.25">
      <c r="A60" s="166" t="s">
        <v>55</v>
      </c>
      <c r="B60" s="167">
        <v>42441</v>
      </c>
      <c r="C60" s="168">
        <v>1855.4403784905703</v>
      </c>
      <c r="D60" s="168">
        <v>15539.313169858526</v>
      </c>
      <c r="E60" s="168">
        <v>8.375</v>
      </c>
      <c r="F60" s="169">
        <v>1269</v>
      </c>
      <c r="G60" s="168">
        <v>0.58829998970031738</v>
      </c>
    </row>
    <row r="61" spans="1:7" x14ac:dyDescent="0.25">
      <c r="A61" s="166" t="s">
        <v>3</v>
      </c>
      <c r="B61" s="167">
        <v>42434</v>
      </c>
      <c r="C61" s="168">
        <v>4831.4403416248888</v>
      </c>
      <c r="D61" s="168">
        <v>16190.464974594044</v>
      </c>
      <c r="E61" s="168">
        <v>3.3510638297872339</v>
      </c>
      <c r="F61" s="169">
        <v>1257</v>
      </c>
      <c r="G61" s="168">
        <v>0.69306665658950806</v>
      </c>
    </row>
    <row r="62" spans="1:7" x14ac:dyDescent="0.25">
      <c r="A62" s="166" t="s">
        <v>3</v>
      </c>
      <c r="B62" s="167">
        <v>42435</v>
      </c>
      <c r="C62" s="168">
        <v>3365.1189231814024</v>
      </c>
      <c r="D62" s="168">
        <v>46672.736369342063</v>
      </c>
      <c r="E62" s="168">
        <v>13.869565217391305</v>
      </c>
      <c r="F62" s="169">
        <v>1258</v>
      </c>
      <c r="G62" s="168">
        <v>0.52172499895095825</v>
      </c>
    </row>
    <row r="63" spans="1:7" x14ac:dyDescent="0.25">
      <c r="A63" s="166" t="s">
        <v>3</v>
      </c>
      <c r="B63" s="167">
        <v>42436</v>
      </c>
      <c r="C63" s="168">
        <v>1534.2714002042412</v>
      </c>
      <c r="D63" s="168">
        <v>23014.071003063618</v>
      </c>
      <c r="E63" s="168">
        <v>15</v>
      </c>
      <c r="F63" s="169">
        <v>1259</v>
      </c>
      <c r="G63" s="168">
        <v>0.5507500171661377</v>
      </c>
    </row>
    <row r="64" spans="1:7" x14ac:dyDescent="0.25">
      <c r="A64" s="166" t="s">
        <v>3</v>
      </c>
      <c r="B64" s="167">
        <v>42437</v>
      </c>
      <c r="C64" s="168">
        <v>1104.0364078517225</v>
      </c>
      <c r="D64" s="168">
        <v>15814.575571930076</v>
      </c>
      <c r="E64" s="168">
        <v>14.324324324324325</v>
      </c>
      <c r="F64" s="169">
        <v>1264</v>
      </c>
      <c r="G64" s="168">
        <v>0.54566669464111328</v>
      </c>
    </row>
    <row r="66" spans="1:7" x14ac:dyDescent="0.25">
      <c r="A66" s="159" t="s">
        <v>9</v>
      </c>
      <c r="B66" s="159" t="s">
        <v>8</v>
      </c>
      <c r="C66" s="159" t="s">
        <v>30</v>
      </c>
      <c r="D66" s="159" t="s">
        <v>31</v>
      </c>
      <c r="E66" s="159" t="s">
        <v>10</v>
      </c>
      <c r="F66" s="159" t="s">
        <v>38</v>
      </c>
      <c r="G66" s="159" t="s">
        <v>49</v>
      </c>
    </row>
    <row r="67" spans="1:7" x14ac:dyDescent="0.25">
      <c r="A67" s="160" t="s">
        <v>2</v>
      </c>
      <c r="B67" s="161">
        <v>42447</v>
      </c>
      <c r="C67" s="162">
        <v>3152.6802724301533</v>
      </c>
      <c r="D67" s="162">
        <v>45488.6725022065</v>
      </c>
      <c r="E67" s="162">
        <v>14.428571428571429</v>
      </c>
      <c r="F67" s="163">
        <v>1272</v>
      </c>
      <c r="G67" s="162">
        <v>0.42597499489784241</v>
      </c>
    </row>
    <row r="68" spans="1:7" x14ac:dyDescent="0.25">
      <c r="A68" s="160" t="s">
        <v>2</v>
      </c>
      <c r="B68" s="161">
        <v>42448</v>
      </c>
      <c r="C68" s="162">
        <v>3556.6748971193415</v>
      </c>
      <c r="D68" s="162">
        <v>45113.613168724274</v>
      </c>
      <c r="E68" s="162">
        <v>12.684210526315789</v>
      </c>
      <c r="F68" s="163">
        <v>1274</v>
      </c>
      <c r="G68" s="162">
        <v>0.75</v>
      </c>
    </row>
    <row r="69" spans="1:7" x14ac:dyDescent="0.25">
      <c r="A69" s="160" t="s">
        <v>2</v>
      </c>
      <c r="B69" s="161">
        <v>42449</v>
      </c>
      <c r="C69" s="162">
        <v>2388.5617955786288</v>
      </c>
      <c r="D69" s="162">
        <v>26990.748290038508</v>
      </c>
      <c r="E69" s="162">
        <v>11.3</v>
      </c>
      <c r="F69" s="163">
        <v>1275</v>
      </c>
      <c r="G69" s="162">
        <v>0.35670000314712524</v>
      </c>
    </row>
    <row r="70" spans="1:7" x14ac:dyDescent="0.25">
      <c r="A70" s="160" t="s">
        <v>55</v>
      </c>
      <c r="B70" s="161">
        <v>42444</v>
      </c>
      <c r="C70" s="162">
        <v>146.18163638111719</v>
      </c>
      <c r="D70" s="162">
        <v>1705.4524244463673</v>
      </c>
      <c r="E70" s="162">
        <v>11.666666666666666</v>
      </c>
      <c r="F70" s="163">
        <v>1270</v>
      </c>
      <c r="G70" s="162">
        <v>0.59514999389648438</v>
      </c>
    </row>
    <row r="71" spans="1:7" x14ac:dyDescent="0.25">
      <c r="A71" s="160" t="s">
        <v>55</v>
      </c>
      <c r="B71" s="161">
        <v>42445</v>
      </c>
      <c r="C71" s="162">
        <v>384.77695093420505</v>
      </c>
      <c r="D71" s="162">
        <v>5771.6542640130756</v>
      </c>
      <c r="E71" s="162">
        <v>15</v>
      </c>
      <c r="F71" s="163">
        <v>1271</v>
      </c>
      <c r="G71" s="162">
        <v>0.59514999389648438</v>
      </c>
    </row>
    <row r="72" spans="1:7" x14ac:dyDescent="0.25">
      <c r="A72" s="160" t="s">
        <v>55</v>
      </c>
      <c r="B72" s="161">
        <v>42447</v>
      </c>
      <c r="C72" s="162">
        <v>785.01948019587769</v>
      </c>
      <c r="D72" s="162">
        <v>11775.292202938166</v>
      </c>
      <c r="E72" s="162">
        <v>15</v>
      </c>
      <c r="F72" s="163">
        <v>1278</v>
      </c>
      <c r="G72" s="162">
        <v>0.68533331155776978</v>
      </c>
    </row>
    <row r="73" spans="1:7" x14ac:dyDescent="0.25">
      <c r="A73" s="160" t="s">
        <v>55</v>
      </c>
      <c r="B73" s="161">
        <v>42448</v>
      </c>
      <c r="C73" s="162">
        <v>1227.8072742095014</v>
      </c>
      <c r="D73" s="162">
        <v>16670.659111034176</v>
      </c>
      <c r="E73" s="162">
        <v>13.57758620689655</v>
      </c>
      <c r="F73" s="163">
        <v>1279</v>
      </c>
      <c r="G73" s="162">
        <v>0.70139998197555542</v>
      </c>
    </row>
    <row r="74" spans="1:7" x14ac:dyDescent="0.25">
      <c r="A74" s="160" t="s">
        <v>3</v>
      </c>
      <c r="B74" s="161">
        <v>42447</v>
      </c>
      <c r="C74" s="162">
        <v>1390.722262646967</v>
      </c>
      <c r="D74" s="162">
        <v>20860.833939704506</v>
      </c>
      <c r="E74" s="162">
        <v>15</v>
      </c>
      <c r="F74" s="163">
        <v>1273</v>
      </c>
      <c r="G74" s="162">
        <v>0.537850022315979</v>
      </c>
    </row>
    <row r="75" spans="1:7" x14ac:dyDescent="0.25">
      <c r="A75" s="160" t="s">
        <v>3</v>
      </c>
      <c r="B75" s="161">
        <v>42448</v>
      </c>
      <c r="C75" s="162">
        <v>3124.4271496091915</v>
      </c>
      <c r="D75" s="162">
        <v>41740.3939518103</v>
      </c>
      <c r="E75" s="162">
        <v>13.359375</v>
      </c>
      <c r="F75" s="163">
        <v>1276</v>
      </c>
      <c r="G75" s="162">
        <v>0.54987502098083496</v>
      </c>
    </row>
    <row r="76" spans="1:7" x14ac:dyDescent="0.25">
      <c r="A76" s="160" t="s">
        <v>3</v>
      </c>
      <c r="B76" s="161">
        <v>42449</v>
      </c>
      <c r="C76" s="162">
        <v>1243.0342648971982</v>
      </c>
      <c r="D76" s="162">
        <v>15811.395849492361</v>
      </c>
      <c r="E76" s="162">
        <v>12.72</v>
      </c>
      <c r="F76" s="163">
        <v>1277</v>
      </c>
      <c r="G76" s="162">
        <v>0.57010000944137573</v>
      </c>
    </row>
    <row r="78" spans="1:7" x14ac:dyDescent="0.25">
      <c r="A78" s="194" t="s">
        <v>9</v>
      </c>
      <c r="B78" s="194" t="s">
        <v>8</v>
      </c>
      <c r="C78" s="194" t="s">
        <v>30</v>
      </c>
      <c r="D78" s="194" t="s">
        <v>31</v>
      </c>
      <c r="E78" s="194" t="s">
        <v>10</v>
      </c>
      <c r="F78" s="194" t="s">
        <v>38</v>
      </c>
      <c r="G78" s="194" t="s">
        <v>49</v>
      </c>
    </row>
    <row r="79" spans="1:7" x14ac:dyDescent="0.25">
      <c r="A79" s="195" t="s">
        <v>55</v>
      </c>
      <c r="B79" s="196">
        <v>42453</v>
      </c>
      <c r="C79" s="197">
        <v>263.47102280072738</v>
      </c>
      <c r="D79" s="197">
        <v>1796.3933372776867</v>
      </c>
      <c r="E79" s="197">
        <v>6.8181818181818183</v>
      </c>
      <c r="F79" s="198">
        <v>1280</v>
      </c>
      <c r="G79" s="197">
        <v>0.58829998970031738</v>
      </c>
    </row>
    <row r="80" spans="1:7" x14ac:dyDescent="0.25">
      <c r="A80" s="195" t="s">
        <v>55</v>
      </c>
      <c r="B80" s="196">
        <v>42454</v>
      </c>
      <c r="C80" s="197">
        <v>715.62129418778215</v>
      </c>
      <c r="D80" s="197">
        <v>5622.7387400468588</v>
      </c>
      <c r="E80" s="197">
        <v>7.8571428571428568</v>
      </c>
      <c r="F80" s="198">
        <v>1281</v>
      </c>
      <c r="G80" s="197">
        <v>0.58829998970031738</v>
      </c>
    </row>
    <row r="81" spans="1:7" x14ac:dyDescent="0.25">
      <c r="A81" s="195" t="s">
        <v>3</v>
      </c>
      <c r="B81" s="196">
        <v>42454</v>
      </c>
      <c r="C81" s="197">
        <v>1292.8784110283361</v>
      </c>
      <c r="D81" s="197">
        <v>14939.928305216326</v>
      </c>
      <c r="E81" s="197">
        <v>11.555555555555555</v>
      </c>
      <c r="F81" s="198">
        <v>1282</v>
      </c>
      <c r="G81" s="197">
        <v>0.7278333306312561</v>
      </c>
    </row>
    <row r="82" spans="1:7" x14ac:dyDescent="0.25">
      <c r="A82" s="195" t="s">
        <v>3</v>
      </c>
      <c r="B82" s="196">
        <v>42455</v>
      </c>
      <c r="C82" s="197">
        <v>4968.0354386080107</v>
      </c>
      <c r="D82" s="197">
        <v>74520.531579120157</v>
      </c>
      <c r="E82" s="197">
        <v>15</v>
      </c>
      <c r="F82" s="198">
        <v>1283</v>
      </c>
      <c r="G82" s="197">
        <v>0.59909999370574951</v>
      </c>
    </row>
    <row r="83" spans="1:7" x14ac:dyDescent="0.25">
      <c r="A83" s="195" t="s">
        <v>3</v>
      </c>
      <c r="B83" s="196">
        <v>42456</v>
      </c>
      <c r="C83" s="197">
        <v>3481.0952888072161</v>
      </c>
      <c r="D83" s="197">
        <v>44183.132511783893</v>
      </c>
      <c r="E83" s="197">
        <v>12.692307692307692</v>
      </c>
      <c r="F83" s="198">
        <v>1284</v>
      </c>
      <c r="G83" s="197">
        <v>0.58736664056777954</v>
      </c>
    </row>
    <row r="85" spans="1:7" x14ac:dyDescent="0.25">
      <c r="A85" s="194" t="s">
        <v>9</v>
      </c>
      <c r="B85" s="194" t="s">
        <v>8</v>
      </c>
      <c r="C85" s="194" t="s">
        <v>30</v>
      </c>
      <c r="D85" s="194" t="s">
        <v>31</v>
      </c>
      <c r="E85" s="194" t="s">
        <v>10</v>
      </c>
      <c r="F85" s="194" t="s">
        <v>38</v>
      </c>
      <c r="G85" s="194" t="s">
        <v>49</v>
      </c>
    </row>
    <row r="86" spans="1:7" x14ac:dyDescent="0.25">
      <c r="A86" s="195" t="s">
        <v>2</v>
      </c>
      <c r="B86" s="196">
        <v>42467</v>
      </c>
      <c r="C86" s="197">
        <v>1222.4801085435254</v>
      </c>
      <c r="D86" s="197">
        <v>18362.150201796627</v>
      </c>
      <c r="E86" s="197">
        <v>15.020408163265307</v>
      </c>
      <c r="F86" s="198">
        <v>1289</v>
      </c>
      <c r="G86" s="197">
        <v>0.56963330507278442</v>
      </c>
    </row>
    <row r="87" spans="1:7" x14ac:dyDescent="0.25">
      <c r="A87" s="195" t="s">
        <v>2</v>
      </c>
      <c r="B87" s="196">
        <v>42468</v>
      </c>
      <c r="C87" s="197">
        <v>2975.1365080184687</v>
      </c>
      <c r="D87" s="197">
        <v>44627.04762027703</v>
      </c>
      <c r="E87" s="197">
        <v>15</v>
      </c>
      <c r="F87" s="198">
        <v>1290</v>
      </c>
      <c r="G87" s="197">
        <v>0.56963330507278442</v>
      </c>
    </row>
    <row r="88" spans="1:7" x14ac:dyDescent="0.25">
      <c r="A88" s="195" t="s">
        <v>2</v>
      </c>
      <c r="B88" s="196">
        <v>42469</v>
      </c>
      <c r="C88" s="197">
        <v>6892.9022086673294</v>
      </c>
      <c r="D88" s="197">
        <v>102732.5699045213</v>
      </c>
      <c r="E88" s="197">
        <v>14.904109589041095</v>
      </c>
      <c r="F88" s="198">
        <v>1291</v>
      </c>
      <c r="G88" s="197">
        <v>0.56963330507278442</v>
      </c>
    </row>
    <row r="89" spans="1:7" x14ac:dyDescent="0.25">
      <c r="A89" s="195" t="s">
        <v>55</v>
      </c>
      <c r="B89" s="196">
        <v>42459</v>
      </c>
      <c r="C89" s="197">
        <v>416.64172891079352</v>
      </c>
      <c r="D89" s="197">
        <v>6249.6259336619032</v>
      </c>
      <c r="E89" s="197">
        <v>15</v>
      </c>
      <c r="F89" s="198">
        <v>1292</v>
      </c>
      <c r="G89" s="197">
        <v>0.55683332681655884</v>
      </c>
    </row>
    <row r="90" spans="1:7" x14ac:dyDescent="0.25">
      <c r="A90" s="195" t="s">
        <v>55</v>
      </c>
      <c r="B90" s="196">
        <v>42463</v>
      </c>
      <c r="C90" s="197">
        <v>2212.0061482802175</v>
      </c>
      <c r="D90" s="197">
        <v>33180.092224203268</v>
      </c>
      <c r="E90" s="197">
        <v>15</v>
      </c>
      <c r="F90" s="198">
        <v>1293</v>
      </c>
      <c r="G90" s="197">
        <v>0.56193333864212036</v>
      </c>
    </row>
    <row r="91" spans="1:7" x14ac:dyDescent="0.25">
      <c r="A91" s="195" t="s">
        <v>55</v>
      </c>
      <c r="B91" s="196">
        <v>42465</v>
      </c>
      <c r="C91" s="197">
        <v>1138.0248371941098</v>
      </c>
      <c r="D91" s="197">
        <v>16895.291813727934</v>
      </c>
      <c r="E91" s="197">
        <v>14.846153846153847</v>
      </c>
      <c r="F91" s="198">
        <v>1294</v>
      </c>
      <c r="G91" s="197">
        <v>0.58829998970031738</v>
      </c>
    </row>
    <row r="92" spans="1:7" x14ac:dyDescent="0.25">
      <c r="A92" s="195" t="s">
        <v>55</v>
      </c>
      <c r="B92" s="196">
        <v>42466</v>
      </c>
      <c r="C92" s="197">
        <v>2312.0606659675736</v>
      </c>
      <c r="D92" s="197">
        <v>34680.909989513602</v>
      </c>
      <c r="E92" s="197">
        <v>15</v>
      </c>
      <c r="F92" s="198">
        <v>1295</v>
      </c>
      <c r="G92" s="197">
        <v>0.55683332681655884</v>
      </c>
    </row>
    <row r="93" spans="1:7" x14ac:dyDescent="0.25">
      <c r="A93" s="195" t="s">
        <v>55</v>
      </c>
      <c r="B93" s="196">
        <v>42467</v>
      </c>
      <c r="C93" s="197">
        <v>1554.1569876920976</v>
      </c>
      <c r="D93" s="197">
        <v>23312.354815381466</v>
      </c>
      <c r="E93" s="197">
        <v>15</v>
      </c>
      <c r="F93" s="198">
        <v>1296</v>
      </c>
      <c r="G93" s="197">
        <v>0.59514999389648438</v>
      </c>
    </row>
    <row r="94" spans="1:7" x14ac:dyDescent="0.25">
      <c r="A94" s="195" t="s">
        <v>55</v>
      </c>
      <c r="B94" s="196">
        <v>42468</v>
      </c>
      <c r="C94" s="197">
        <v>5194.6286818001472</v>
      </c>
      <c r="D94" s="197">
        <v>77919.430227002216</v>
      </c>
      <c r="E94" s="197">
        <v>15</v>
      </c>
      <c r="F94" s="198">
        <v>1297</v>
      </c>
      <c r="G94" s="197">
        <v>0.58829998970031738</v>
      </c>
    </row>
    <row r="95" spans="1:7" x14ac:dyDescent="0.25">
      <c r="A95" s="195" t="s">
        <v>55</v>
      </c>
      <c r="B95" s="196">
        <v>42469</v>
      </c>
      <c r="C95" s="197">
        <v>12291.348166916514</v>
      </c>
      <c r="D95" s="197">
        <v>184370.2225037477</v>
      </c>
      <c r="E95" s="197">
        <v>15</v>
      </c>
      <c r="F95" s="198">
        <v>1298</v>
      </c>
      <c r="G95" s="197">
        <v>0.58829998970031738</v>
      </c>
    </row>
    <row r="96" spans="1:7" x14ac:dyDescent="0.25">
      <c r="A96" s="195" t="s">
        <v>55</v>
      </c>
      <c r="B96" s="196">
        <v>42471</v>
      </c>
      <c r="C96" s="197">
        <v>1888.5995320962727</v>
      </c>
      <c r="D96" s="197">
        <v>28328.992981444095</v>
      </c>
      <c r="E96" s="197">
        <v>15</v>
      </c>
      <c r="F96" s="198">
        <v>1299</v>
      </c>
      <c r="G96" s="197">
        <v>0.59514999389648438</v>
      </c>
    </row>
    <row r="97" spans="1:7" x14ac:dyDescent="0.25">
      <c r="A97" s="195" t="s">
        <v>55</v>
      </c>
      <c r="B97" s="196">
        <v>42472</v>
      </c>
      <c r="C97" s="197">
        <v>897.25280261513308</v>
      </c>
      <c r="D97" s="197">
        <v>13458.792039226995</v>
      </c>
      <c r="E97" s="197">
        <v>15</v>
      </c>
      <c r="F97" s="198">
        <v>1300</v>
      </c>
      <c r="G97" s="197">
        <v>0.59514999389648438</v>
      </c>
    </row>
    <row r="98" spans="1:7" x14ac:dyDescent="0.25">
      <c r="A98" s="195" t="s">
        <v>3</v>
      </c>
      <c r="B98" s="196">
        <v>42467</v>
      </c>
      <c r="C98" s="197">
        <v>871.30696959476609</v>
      </c>
      <c r="D98" s="197">
        <v>13069.60454392149</v>
      </c>
      <c r="E98" s="197">
        <v>15</v>
      </c>
      <c r="F98" s="198">
        <v>1286</v>
      </c>
      <c r="G98" s="197">
        <v>0.59909999370574951</v>
      </c>
    </row>
    <row r="99" spans="1:7" x14ac:dyDescent="0.25">
      <c r="A99" s="195" t="s">
        <v>3</v>
      </c>
      <c r="B99" s="196">
        <v>42468</v>
      </c>
      <c r="C99" s="197">
        <v>1517.8987546025592</v>
      </c>
      <c r="D99" s="197">
        <v>22768.481319038387</v>
      </c>
      <c r="E99" s="197">
        <v>15</v>
      </c>
      <c r="F99" s="198">
        <v>1287</v>
      </c>
      <c r="G99" s="197">
        <v>0.59909999370574951</v>
      </c>
    </row>
    <row r="100" spans="1:7" x14ac:dyDescent="0.25">
      <c r="A100" s="195" t="s">
        <v>3</v>
      </c>
      <c r="B100" s="196">
        <v>42470</v>
      </c>
      <c r="C100" s="197">
        <v>6262.1848237639924</v>
      </c>
      <c r="D100" s="197">
        <v>93932.772356459885</v>
      </c>
      <c r="E100" s="197">
        <v>15</v>
      </c>
      <c r="F100" s="198">
        <v>1288</v>
      </c>
      <c r="G100" s="197">
        <v>0.49583333730697632</v>
      </c>
    </row>
    <row r="102" spans="1:7" x14ac:dyDescent="0.25">
      <c r="A102" s="194" t="s">
        <v>9</v>
      </c>
      <c r="B102" s="194" t="s">
        <v>8</v>
      </c>
      <c r="C102" s="194" t="s">
        <v>30</v>
      </c>
      <c r="D102" s="194" t="s">
        <v>31</v>
      </c>
      <c r="E102" s="194" t="s">
        <v>10</v>
      </c>
      <c r="F102" s="194" t="s">
        <v>38</v>
      </c>
      <c r="G102" s="194" t="s">
        <v>49</v>
      </c>
    </row>
    <row r="103" spans="1:7" x14ac:dyDescent="0.25">
      <c r="A103" s="195" t="s">
        <v>2</v>
      </c>
      <c r="B103" s="196">
        <v>42485</v>
      </c>
      <c r="C103" s="197">
        <v>1346.5155921576281</v>
      </c>
      <c r="D103" s="197">
        <v>19650.711923050389</v>
      </c>
      <c r="E103" s="197">
        <v>14.59375</v>
      </c>
      <c r="F103" s="198">
        <v>1309</v>
      </c>
      <c r="G103" s="197">
        <v>0.5026666522026062</v>
      </c>
    </row>
    <row r="104" spans="1:7" x14ac:dyDescent="0.25">
      <c r="A104" s="195" t="s">
        <v>2</v>
      </c>
      <c r="B104" s="196">
        <v>42486</v>
      </c>
      <c r="C104" s="197">
        <v>1060.97009494739</v>
      </c>
      <c r="D104" s="197">
        <v>15914.551424210847</v>
      </c>
      <c r="E104" s="197">
        <v>15</v>
      </c>
      <c r="F104" s="198">
        <v>1310</v>
      </c>
      <c r="G104" s="197">
        <v>0.5026666522026062</v>
      </c>
    </row>
    <row r="105" spans="1:7" x14ac:dyDescent="0.25">
      <c r="A105" s="195" t="s">
        <v>55</v>
      </c>
      <c r="B105" s="196">
        <v>42480</v>
      </c>
      <c r="C105" s="197">
        <v>472.14988302406817</v>
      </c>
      <c r="D105" s="197">
        <v>6977.3260491334522</v>
      </c>
      <c r="E105" s="197">
        <v>14.777777777777779</v>
      </c>
      <c r="F105" s="198">
        <v>1301</v>
      </c>
      <c r="G105" s="197">
        <v>0.59514999389648438</v>
      </c>
    </row>
    <row r="106" spans="1:7" x14ac:dyDescent="0.25">
      <c r="A106" s="195" t="s">
        <v>55</v>
      </c>
      <c r="B106" s="196">
        <v>42481</v>
      </c>
      <c r="C106" s="197">
        <v>510.79560298689228</v>
      </c>
      <c r="D106" s="197">
        <v>7661.9340448033845</v>
      </c>
      <c r="E106" s="197">
        <v>15</v>
      </c>
      <c r="F106" s="198">
        <v>1302</v>
      </c>
      <c r="G106" s="197">
        <v>0.59514999389648438</v>
      </c>
    </row>
    <row r="107" spans="1:7" x14ac:dyDescent="0.25">
      <c r="A107" s="195" t="s">
        <v>55</v>
      </c>
      <c r="B107" s="196">
        <v>42482</v>
      </c>
      <c r="C107" s="197">
        <v>1189.6160753773675</v>
      </c>
      <c r="D107" s="197">
        <v>17844.241130660514</v>
      </c>
      <c r="E107" s="197">
        <v>15</v>
      </c>
      <c r="F107" s="198">
        <v>1303</v>
      </c>
      <c r="G107" s="197">
        <v>0.59514999389648438</v>
      </c>
    </row>
    <row r="108" spans="1:7" x14ac:dyDescent="0.25">
      <c r="A108" s="195" t="s">
        <v>55</v>
      </c>
      <c r="B108" s="196">
        <v>42483</v>
      </c>
      <c r="C108" s="197">
        <v>4494.6652565458453</v>
      </c>
      <c r="D108" s="197">
        <v>67419.97884818766</v>
      </c>
      <c r="E108" s="197">
        <v>15</v>
      </c>
      <c r="F108" s="198">
        <v>1304</v>
      </c>
      <c r="G108" s="197">
        <v>0.59514999389648438</v>
      </c>
    </row>
    <row r="109" spans="1:7" x14ac:dyDescent="0.25">
      <c r="A109" s="195" t="s">
        <v>55</v>
      </c>
      <c r="B109" s="196">
        <v>42484</v>
      </c>
      <c r="C109" s="197">
        <v>3624.2964330352847</v>
      </c>
      <c r="D109" s="197">
        <v>54364.446495529279</v>
      </c>
      <c r="E109" s="197">
        <v>15</v>
      </c>
      <c r="F109" s="198">
        <v>1306</v>
      </c>
      <c r="G109" s="197">
        <v>0.59514999389648438</v>
      </c>
    </row>
    <row r="110" spans="1:7" x14ac:dyDescent="0.25">
      <c r="A110" s="195" t="s">
        <v>55</v>
      </c>
      <c r="B110" s="196">
        <v>42485</v>
      </c>
      <c r="C110" s="197">
        <v>1581.1140210877161</v>
      </c>
      <c r="D110" s="197">
        <v>23716.710316315737</v>
      </c>
      <c r="E110" s="197">
        <v>15</v>
      </c>
      <c r="F110" s="198">
        <v>1307</v>
      </c>
      <c r="G110" s="197">
        <v>0.59514999389648438</v>
      </c>
    </row>
    <row r="111" spans="1:7" x14ac:dyDescent="0.25">
      <c r="A111" s="195" t="s">
        <v>55</v>
      </c>
      <c r="B111" s="196">
        <v>42486</v>
      </c>
      <c r="C111" s="197">
        <v>959.02665166056795</v>
      </c>
      <c r="D111" s="197">
        <v>14385.399774908521</v>
      </c>
      <c r="E111" s="197">
        <v>15</v>
      </c>
      <c r="F111" s="198">
        <v>1308</v>
      </c>
      <c r="G111" s="197">
        <v>0.59514999389648438</v>
      </c>
    </row>
    <row r="112" spans="1:7" x14ac:dyDescent="0.25">
      <c r="A112" s="195" t="s">
        <v>55</v>
      </c>
      <c r="B112" s="196">
        <v>42487</v>
      </c>
      <c r="C112" s="197">
        <v>1098.8826458994329</v>
      </c>
      <c r="D112" s="197">
        <v>16483.239688491492</v>
      </c>
      <c r="E112" s="197">
        <v>15</v>
      </c>
      <c r="F112" s="198">
        <v>1313</v>
      </c>
      <c r="G112" s="197">
        <v>0.59514999389648438</v>
      </c>
    </row>
    <row r="113" spans="1:7" x14ac:dyDescent="0.25">
      <c r="A113" s="195" t="s">
        <v>3</v>
      </c>
      <c r="B113" s="196">
        <v>42483</v>
      </c>
      <c r="C113" s="197">
        <v>4007.8539281995177</v>
      </c>
      <c r="D113" s="197">
        <v>60334.449675868425</v>
      </c>
      <c r="E113" s="197">
        <v>15.054054054054054</v>
      </c>
      <c r="F113" s="198">
        <v>1305</v>
      </c>
      <c r="G113" s="197">
        <v>0.59909999370574951</v>
      </c>
    </row>
    <row r="114" spans="1:7" x14ac:dyDescent="0.25">
      <c r="A114" s="195" t="s">
        <v>3</v>
      </c>
      <c r="B114" s="196">
        <v>42485</v>
      </c>
      <c r="C114" s="197">
        <v>1555.6668499278198</v>
      </c>
      <c r="D114" s="197">
        <v>23335.002748917297</v>
      </c>
      <c r="E114" s="197">
        <v>15</v>
      </c>
      <c r="F114" s="198">
        <v>1311</v>
      </c>
      <c r="G114" s="197">
        <v>0.59909999370574951</v>
      </c>
    </row>
    <row r="115" spans="1:7" x14ac:dyDescent="0.25">
      <c r="A115" s="195" t="s">
        <v>3</v>
      </c>
      <c r="B115" s="196">
        <v>42486</v>
      </c>
      <c r="C115" s="197">
        <v>1407.1106807823521</v>
      </c>
      <c r="D115" s="197">
        <v>21106.660211735281</v>
      </c>
      <c r="E115" s="197">
        <v>15</v>
      </c>
      <c r="F115" s="198">
        <v>1312</v>
      </c>
      <c r="G115" s="197">
        <v>0.59909999370574951</v>
      </c>
    </row>
    <row r="117" spans="1:7" x14ac:dyDescent="0.25">
      <c r="A117" s="210" t="s">
        <v>9</v>
      </c>
      <c r="B117" s="210" t="s">
        <v>8</v>
      </c>
      <c r="C117" s="210" t="s">
        <v>30</v>
      </c>
      <c r="D117" s="210" t="s">
        <v>31</v>
      </c>
      <c r="E117" s="210" t="s">
        <v>10</v>
      </c>
      <c r="F117" s="210" t="s">
        <v>38</v>
      </c>
      <c r="G117" s="210" t="s">
        <v>49</v>
      </c>
    </row>
    <row r="118" spans="1:7" x14ac:dyDescent="0.25">
      <c r="A118" s="211" t="s">
        <v>55</v>
      </c>
      <c r="B118" s="212">
        <v>42496</v>
      </c>
      <c r="C118" s="213">
        <v>5951.2633062909281</v>
      </c>
      <c r="D118" s="213">
        <v>89268.949594363934</v>
      </c>
      <c r="E118" s="213">
        <v>15</v>
      </c>
      <c r="F118" s="214">
        <v>1318</v>
      </c>
      <c r="G118" s="213">
        <v>0.44729998707771301</v>
      </c>
    </row>
    <row r="119" spans="1:7" x14ac:dyDescent="0.25">
      <c r="A119" s="211" t="s">
        <v>55</v>
      </c>
      <c r="B119" s="212">
        <v>42497</v>
      </c>
      <c r="C119" s="213">
        <v>12668.762485604886</v>
      </c>
      <c r="D119" s="213">
        <v>190031.43728407324</v>
      </c>
      <c r="E119" s="213">
        <v>15</v>
      </c>
      <c r="F119" s="214">
        <v>1319</v>
      </c>
      <c r="G119" s="213">
        <v>0.56193333864212036</v>
      </c>
    </row>
    <row r="120" spans="1:7" x14ac:dyDescent="0.25">
      <c r="A120" s="211" t="s">
        <v>55</v>
      </c>
      <c r="B120" s="212">
        <v>42498</v>
      </c>
      <c r="C120" s="213">
        <v>8070.2344774540907</v>
      </c>
      <c r="D120" s="213">
        <v>121053.51716181137</v>
      </c>
      <c r="E120" s="213">
        <v>15</v>
      </c>
      <c r="F120" s="214">
        <v>1320</v>
      </c>
      <c r="G120" s="213">
        <v>0.59514999389648438</v>
      </c>
    </row>
    <row r="121" spans="1:7" x14ac:dyDescent="0.25">
      <c r="A121" s="211" t="s">
        <v>3</v>
      </c>
      <c r="B121" s="212">
        <v>42499</v>
      </c>
      <c r="C121" s="213">
        <v>2774.1612710086229</v>
      </c>
      <c r="D121" s="213">
        <v>41409.431655055545</v>
      </c>
      <c r="E121" s="213">
        <v>14.926829268292684</v>
      </c>
      <c r="F121" s="214">
        <v>1314</v>
      </c>
      <c r="G121" s="213">
        <v>0.59909999370574951</v>
      </c>
    </row>
    <row r="122" spans="1:7" x14ac:dyDescent="0.25">
      <c r="A122" s="211" t="s">
        <v>3</v>
      </c>
      <c r="B122" s="212">
        <v>42500</v>
      </c>
      <c r="C122" s="213">
        <v>2903.3889302783009</v>
      </c>
      <c r="D122" s="213">
        <v>43550.833954174508</v>
      </c>
      <c r="E122" s="213">
        <v>15</v>
      </c>
      <c r="F122" s="214">
        <v>1315</v>
      </c>
      <c r="G122" s="213">
        <v>0.59909999370574951</v>
      </c>
    </row>
    <row r="123" spans="1:7" x14ac:dyDescent="0.25">
      <c r="A123" s="211" t="s">
        <v>3</v>
      </c>
      <c r="B123" s="212">
        <v>42501</v>
      </c>
      <c r="C123" s="213">
        <v>1937.3378452732109</v>
      </c>
      <c r="D123" s="213">
        <v>28948.726423622691</v>
      </c>
      <c r="E123" s="213">
        <v>14.942528735632184</v>
      </c>
      <c r="F123" s="214">
        <v>1316</v>
      </c>
      <c r="G123" s="213">
        <v>0.59909999370574951</v>
      </c>
    </row>
    <row r="124" spans="1:7" x14ac:dyDescent="0.25">
      <c r="A124" s="211" t="s">
        <v>3</v>
      </c>
      <c r="B124" s="212">
        <v>42655</v>
      </c>
      <c r="C124" s="213">
        <v>1478.127938384049</v>
      </c>
      <c r="D124" s="213">
        <v>22171.919075760736</v>
      </c>
      <c r="E124" s="213">
        <v>15</v>
      </c>
      <c r="F124" s="214">
        <v>1317</v>
      </c>
      <c r="G124" s="213">
        <v>0.56693333387374878</v>
      </c>
    </row>
    <row r="126" spans="1:7" x14ac:dyDescent="0.25">
      <c r="A126" s="210" t="s">
        <v>9</v>
      </c>
      <c r="B126" s="210" t="s">
        <v>8</v>
      </c>
      <c r="C126" s="210" t="s">
        <v>30</v>
      </c>
      <c r="D126" s="210" t="s">
        <v>31</v>
      </c>
      <c r="E126" s="210" t="s">
        <v>10</v>
      </c>
      <c r="F126" s="210" t="s">
        <v>38</v>
      </c>
      <c r="G126" s="210" t="s">
        <v>49</v>
      </c>
    </row>
    <row r="127" spans="1:7" x14ac:dyDescent="0.25">
      <c r="A127" s="211" t="s">
        <v>2</v>
      </c>
      <c r="B127" s="212">
        <v>42510</v>
      </c>
      <c r="C127" s="213">
        <v>1165.8785642767093</v>
      </c>
      <c r="D127" s="213">
        <v>17426.816434451866</v>
      </c>
      <c r="E127" s="213">
        <v>14.947368421052632</v>
      </c>
      <c r="F127" s="214">
        <v>1322</v>
      </c>
      <c r="G127" s="213">
        <v>0.51463335752487183</v>
      </c>
    </row>
    <row r="128" spans="1:7" x14ac:dyDescent="0.25">
      <c r="A128" s="211" t="s">
        <v>2</v>
      </c>
      <c r="B128" s="212">
        <v>42511</v>
      </c>
      <c r="C128" s="213">
        <v>3063.2658768421143</v>
      </c>
      <c r="D128" s="213">
        <v>45948.988152631711</v>
      </c>
      <c r="E128" s="213">
        <v>15</v>
      </c>
      <c r="F128" s="214">
        <v>1324</v>
      </c>
      <c r="G128" s="213">
        <v>0.587149977684021</v>
      </c>
    </row>
    <row r="129" spans="1:7" x14ac:dyDescent="0.25">
      <c r="A129" s="211" t="s">
        <v>3</v>
      </c>
      <c r="B129" s="212">
        <v>42510</v>
      </c>
      <c r="C129" s="213">
        <v>1067.4763541114776</v>
      </c>
      <c r="D129" s="213">
        <v>16012.145311672164</v>
      </c>
      <c r="E129" s="213">
        <v>15</v>
      </c>
      <c r="F129" s="214">
        <v>1321</v>
      </c>
      <c r="G129" s="213">
        <v>0.58736664056777954</v>
      </c>
    </row>
    <row r="130" spans="1:7" x14ac:dyDescent="0.25">
      <c r="A130" s="211" t="s">
        <v>3</v>
      </c>
      <c r="B130" s="212">
        <v>42511</v>
      </c>
      <c r="C130" s="213">
        <v>2802.2746297401436</v>
      </c>
      <c r="D130" s="213">
        <v>42137.907395351787</v>
      </c>
      <c r="E130" s="213">
        <v>15.037037037037036</v>
      </c>
      <c r="F130" s="214">
        <v>1323</v>
      </c>
      <c r="G130" s="213">
        <v>0.57634997367858887</v>
      </c>
    </row>
    <row r="131" spans="1:7" x14ac:dyDescent="0.25">
      <c r="A131" s="211" t="s">
        <v>3</v>
      </c>
      <c r="B131" s="212">
        <v>42512</v>
      </c>
      <c r="C131" s="213">
        <v>3576.7250786873319</v>
      </c>
      <c r="D131" s="213">
        <v>53650.876180309977</v>
      </c>
      <c r="E131" s="213">
        <v>15</v>
      </c>
      <c r="F131" s="214">
        <v>1325</v>
      </c>
      <c r="G131" s="213">
        <v>0.6068500280380249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zoomScaleNormal="100" workbookViewId="0">
      <selection activeCell="B26" sqref="B26:C33"/>
    </sheetView>
  </sheetViews>
  <sheetFormatPr defaultRowHeight="15" x14ac:dyDescent="0.25"/>
  <cols>
    <col min="1" max="1" width="18.5703125" bestFit="1" customWidth="1"/>
    <col min="2" max="2" width="10.7109375" bestFit="1" customWidth="1"/>
    <col min="3" max="3" width="11.5703125" bestFit="1" customWidth="1"/>
    <col min="4" max="4" width="10.5703125" bestFit="1" customWidth="1"/>
    <col min="5" max="5" width="10.42578125" bestFit="1" customWidth="1"/>
  </cols>
  <sheetData>
    <row r="1" spans="1:5" x14ac:dyDescent="0.25">
      <c r="A1" s="119" t="s">
        <v>44</v>
      </c>
      <c r="B1" s="119" t="s">
        <v>46</v>
      </c>
      <c r="C1" s="119" t="s">
        <v>45</v>
      </c>
      <c r="D1" s="119" t="s">
        <v>47</v>
      </c>
      <c r="E1" s="119" t="s">
        <v>48</v>
      </c>
    </row>
    <row r="2" spans="1:5" x14ac:dyDescent="0.25">
      <c r="A2" s="120">
        <v>42429</v>
      </c>
      <c r="B2" s="122">
        <v>1.9</v>
      </c>
      <c r="C2" s="121">
        <v>0.44791666666666669</v>
      </c>
      <c r="D2" s="121">
        <v>0.2902777777777778</v>
      </c>
      <c r="E2" s="121">
        <v>0.75138888888888888</v>
      </c>
    </row>
    <row r="3" spans="1:5" x14ac:dyDescent="0.25">
      <c r="A3" s="120">
        <v>42430</v>
      </c>
      <c r="B3" s="122">
        <v>1.9</v>
      </c>
      <c r="C3" s="121">
        <v>0.48888888888888887</v>
      </c>
      <c r="D3" s="121">
        <v>0.28888888888888886</v>
      </c>
      <c r="E3" s="121">
        <v>0.75208333333333333</v>
      </c>
    </row>
    <row r="4" spans="1:5" x14ac:dyDescent="0.25">
      <c r="A4" s="120">
        <v>42431</v>
      </c>
      <c r="B4" s="122">
        <v>1.8</v>
      </c>
      <c r="C4" s="121">
        <v>0.53541666666666665</v>
      </c>
      <c r="D4" s="121">
        <v>0.28749999999999998</v>
      </c>
      <c r="E4" s="121">
        <v>0.75347222222222221</v>
      </c>
    </row>
    <row r="5" spans="1:5" x14ac:dyDescent="0.25">
      <c r="A5" s="120">
        <v>42432</v>
      </c>
      <c r="B5" s="122">
        <v>1.4</v>
      </c>
      <c r="C5" s="121">
        <v>0.58263888888888893</v>
      </c>
      <c r="D5" s="121">
        <v>0.28611111111111109</v>
      </c>
      <c r="E5" s="121">
        <v>0.75416666666666665</v>
      </c>
    </row>
    <row r="6" spans="1:5" x14ac:dyDescent="0.25">
      <c r="A6" s="120">
        <v>42433</v>
      </c>
      <c r="B6" s="122">
        <v>0.9</v>
      </c>
      <c r="C6" s="121">
        <v>0.625</v>
      </c>
      <c r="D6" s="121">
        <v>0.28472222222222221</v>
      </c>
      <c r="E6" s="121">
        <v>0.75555555555555554</v>
      </c>
    </row>
    <row r="7" spans="1:5" x14ac:dyDescent="0.25">
      <c r="A7" s="120">
        <v>42434</v>
      </c>
      <c r="B7" s="122">
        <v>0.3</v>
      </c>
      <c r="C7" s="121">
        <v>0.66180555555555554</v>
      </c>
      <c r="D7" s="121">
        <v>0.28333333333333333</v>
      </c>
      <c r="E7" s="121">
        <v>0.75624999999999998</v>
      </c>
    </row>
    <row r="8" spans="1:5" x14ac:dyDescent="0.25">
      <c r="A8" s="120">
        <v>42435</v>
      </c>
      <c r="B8" s="122">
        <v>-0.2</v>
      </c>
      <c r="C8" s="121">
        <v>0.69444444444444442</v>
      </c>
      <c r="D8" s="121">
        <v>0.28263888888888888</v>
      </c>
      <c r="E8" s="121">
        <v>0.75763888888888886</v>
      </c>
    </row>
    <row r="9" spans="1:5" x14ac:dyDescent="0.25">
      <c r="A9" s="120">
        <v>42436</v>
      </c>
      <c r="B9" s="122">
        <v>-0.5</v>
      </c>
      <c r="C9" s="121">
        <v>0.72430555555555554</v>
      </c>
      <c r="D9" s="121">
        <v>0.28125</v>
      </c>
      <c r="E9" s="121">
        <v>0.7583333333333333</v>
      </c>
    </row>
    <row r="10" spans="1:5" x14ac:dyDescent="0.25">
      <c r="A10" s="120">
        <v>42437</v>
      </c>
      <c r="B10" s="122">
        <v>-0.6</v>
      </c>
      <c r="C10" s="121">
        <v>0.75347222222222221</v>
      </c>
      <c r="D10" s="121">
        <v>0.27986111111111112</v>
      </c>
      <c r="E10" s="121">
        <v>0.75972222222222219</v>
      </c>
    </row>
    <row r="11" spans="1:5" x14ac:dyDescent="0.25">
      <c r="A11" s="120">
        <v>42438</v>
      </c>
      <c r="B11" s="122">
        <v>-0.5</v>
      </c>
      <c r="C11" s="121">
        <v>0.78263888888888888</v>
      </c>
      <c r="D11" s="121">
        <v>0.27847222222222223</v>
      </c>
      <c r="E11" s="121">
        <v>0.76041666666666663</v>
      </c>
    </row>
    <row r="12" spans="1:5" x14ac:dyDescent="0.25">
      <c r="A12" s="120">
        <v>42439</v>
      </c>
      <c r="B12" s="122">
        <v>-0.2</v>
      </c>
      <c r="C12" s="121">
        <v>0.81111111111111112</v>
      </c>
      <c r="D12" s="121">
        <v>0.27708333333333335</v>
      </c>
      <c r="E12" s="121">
        <v>0.76111111111111107</v>
      </c>
    </row>
    <row r="13" spans="1:5" x14ac:dyDescent="0.25">
      <c r="A13" s="120">
        <v>42440</v>
      </c>
      <c r="B13" s="122">
        <v>-0.1</v>
      </c>
      <c r="C13" s="121">
        <v>0.33263888888888887</v>
      </c>
      <c r="D13" s="121">
        <v>0.27569444444444446</v>
      </c>
      <c r="E13" s="121">
        <v>0.76249999999999996</v>
      </c>
    </row>
    <row r="14" spans="1:5" x14ac:dyDescent="0.25">
      <c r="A14" s="120">
        <v>42441</v>
      </c>
      <c r="B14" s="122">
        <v>-0.2</v>
      </c>
      <c r="C14" s="121">
        <v>0.36736111111111114</v>
      </c>
      <c r="D14" s="121">
        <v>0.27430555555555558</v>
      </c>
      <c r="E14" s="121">
        <v>0.7631944444444444</v>
      </c>
    </row>
    <row r="15" spans="1:5" x14ac:dyDescent="0.25">
      <c r="A15" s="120">
        <v>42442</v>
      </c>
      <c r="B15" s="122">
        <v>0</v>
      </c>
      <c r="C15" s="121">
        <v>0.4465277777777778</v>
      </c>
      <c r="D15" s="121">
        <v>0.31458333333333333</v>
      </c>
      <c r="E15" s="121">
        <v>0.80625000000000002</v>
      </c>
    </row>
    <row r="16" spans="1:5" x14ac:dyDescent="0.25">
      <c r="A16" s="120">
        <v>42443</v>
      </c>
      <c r="B16" s="122">
        <v>0.3</v>
      </c>
      <c r="C16" s="121">
        <v>0.48749999999999999</v>
      </c>
      <c r="D16" s="121">
        <v>0.31319444444444444</v>
      </c>
      <c r="E16" s="121">
        <v>0.80694444444444446</v>
      </c>
    </row>
    <row r="17" spans="1:5" x14ac:dyDescent="0.25">
      <c r="A17" s="120">
        <v>42444</v>
      </c>
      <c r="B17" s="122">
        <v>0.6</v>
      </c>
      <c r="C17" s="121">
        <v>0.53402777777777777</v>
      </c>
      <c r="D17" s="121">
        <v>0.31180555555555556</v>
      </c>
      <c r="E17" s="121">
        <v>0.80833333333333335</v>
      </c>
    </row>
    <row r="18" spans="1:5" x14ac:dyDescent="0.25">
      <c r="A18" s="120">
        <v>42445</v>
      </c>
      <c r="B18" s="122">
        <v>0.8</v>
      </c>
      <c r="C18" s="121">
        <v>0.58402777777777781</v>
      </c>
      <c r="D18" s="121">
        <v>0.31041666666666667</v>
      </c>
      <c r="E18" s="121">
        <v>0.80902777777777779</v>
      </c>
    </row>
    <row r="19" spans="1:5" x14ac:dyDescent="0.25">
      <c r="A19" s="120">
        <v>42446</v>
      </c>
      <c r="B19" s="122">
        <v>0.8</v>
      </c>
      <c r="C19" s="121">
        <v>0.6333333333333333</v>
      </c>
      <c r="D19" s="121">
        <v>0.30902777777777779</v>
      </c>
      <c r="E19" s="121">
        <v>0.81041666666666667</v>
      </c>
    </row>
    <row r="20" spans="1:5" x14ac:dyDescent="0.25">
      <c r="A20" s="120">
        <v>42447</v>
      </c>
      <c r="B20" s="122">
        <v>0.7</v>
      </c>
      <c r="C20" s="121">
        <v>0.67708333333333337</v>
      </c>
      <c r="D20" s="121">
        <v>0.30763888888888891</v>
      </c>
      <c r="E20" s="121">
        <v>0.81111111111111112</v>
      </c>
    </row>
    <row r="21" spans="1:5" x14ac:dyDescent="0.25">
      <c r="A21" s="120">
        <v>42448</v>
      </c>
      <c r="B21" s="122">
        <v>0.5</v>
      </c>
      <c r="C21" s="121">
        <v>0.71319444444444446</v>
      </c>
      <c r="D21" s="121">
        <v>0.30625000000000002</v>
      </c>
      <c r="E21" s="121">
        <v>0.81180555555555556</v>
      </c>
    </row>
    <row r="22" spans="1:5" x14ac:dyDescent="0.25">
      <c r="A22" s="120">
        <v>42449</v>
      </c>
      <c r="B22" s="122">
        <v>0.4</v>
      </c>
      <c r="C22" s="121">
        <v>0.74305555555555558</v>
      </c>
      <c r="D22" s="121">
        <v>0.30486111111111114</v>
      </c>
      <c r="E22" s="121">
        <v>0.81319444444444444</v>
      </c>
    </row>
    <row r="23" spans="1:5" x14ac:dyDescent="0.25">
      <c r="A23" s="120">
        <v>42450</v>
      </c>
      <c r="B23" s="122">
        <v>0.5</v>
      </c>
      <c r="C23" s="121">
        <v>0.76944444444444449</v>
      </c>
      <c r="D23" s="121">
        <v>0.3034722222222222</v>
      </c>
      <c r="E23" s="121">
        <v>0.81388888888888888</v>
      </c>
    </row>
    <row r="24" spans="1:5" x14ac:dyDescent="0.25">
      <c r="A24" s="120">
        <v>42451</v>
      </c>
      <c r="B24" s="122">
        <v>0.6</v>
      </c>
      <c r="C24" s="121">
        <v>0.79305555555555551</v>
      </c>
      <c r="D24" s="121">
        <v>0.30208333333333331</v>
      </c>
      <c r="E24" s="121">
        <v>0.81527777777777777</v>
      </c>
    </row>
    <row r="25" spans="1:5" x14ac:dyDescent="0.25">
      <c r="A25" s="120">
        <v>42452</v>
      </c>
      <c r="B25" s="122">
        <v>0.8</v>
      </c>
      <c r="C25" s="121">
        <v>0.81527777777777777</v>
      </c>
      <c r="D25" s="121">
        <v>0.30069444444444443</v>
      </c>
      <c r="E25" s="121">
        <v>0.81597222222222221</v>
      </c>
    </row>
    <row r="26" spans="1:5" x14ac:dyDescent="0.25">
      <c r="A26" s="120">
        <v>42453</v>
      </c>
      <c r="B26" s="122">
        <v>0.8</v>
      </c>
      <c r="C26" s="121">
        <v>0.33124999999999999</v>
      </c>
      <c r="D26" s="121">
        <v>0.29930555555555555</v>
      </c>
      <c r="E26" s="121">
        <v>0.81666666666666665</v>
      </c>
    </row>
    <row r="27" spans="1:5" x14ac:dyDescent="0.25">
      <c r="A27" s="120">
        <v>42454</v>
      </c>
      <c r="B27" s="122">
        <v>0.7</v>
      </c>
      <c r="C27" s="121">
        <v>0.35486111111111113</v>
      </c>
      <c r="D27" s="121">
        <v>0.29791666666666666</v>
      </c>
      <c r="E27" s="121">
        <v>0.81805555555555554</v>
      </c>
    </row>
    <row r="28" spans="1:5" x14ac:dyDescent="0.25">
      <c r="A28" s="120">
        <v>42455</v>
      </c>
      <c r="B28" s="122">
        <v>0.6</v>
      </c>
      <c r="C28" s="121">
        <v>0.37916666666666665</v>
      </c>
      <c r="D28" s="121">
        <v>0.29652777777777778</v>
      </c>
      <c r="E28" s="121">
        <v>0.81874999999999998</v>
      </c>
    </row>
    <row r="29" spans="1:5" x14ac:dyDescent="0.25">
      <c r="A29" s="120">
        <v>42456</v>
      </c>
      <c r="B29" s="122">
        <v>0.7</v>
      </c>
      <c r="C29" s="121">
        <v>0.40416666666666667</v>
      </c>
      <c r="D29" s="121">
        <v>0.2951388888888889</v>
      </c>
      <c r="E29" s="121">
        <v>0.82013888888888886</v>
      </c>
    </row>
    <row r="30" spans="1:5" x14ac:dyDescent="0.25">
      <c r="A30" s="120">
        <v>42457</v>
      </c>
      <c r="B30" s="122">
        <v>0.8</v>
      </c>
      <c r="C30" s="121">
        <v>0.43125000000000002</v>
      </c>
      <c r="D30" s="121">
        <v>0.29375000000000001</v>
      </c>
      <c r="E30" s="121">
        <v>0.8208333333333333</v>
      </c>
    </row>
    <row r="31" spans="1:5" x14ac:dyDescent="0.25">
      <c r="A31" s="120">
        <v>42458</v>
      </c>
      <c r="B31" s="122">
        <v>1</v>
      </c>
      <c r="C31" s="121">
        <v>0.46250000000000002</v>
      </c>
      <c r="D31" s="121">
        <v>0.29236111111111113</v>
      </c>
      <c r="E31" s="121">
        <v>0.82152777777777775</v>
      </c>
    </row>
    <row r="32" spans="1:5" x14ac:dyDescent="0.25">
      <c r="A32" s="120">
        <v>42459</v>
      </c>
      <c r="B32" s="122">
        <v>1.2</v>
      </c>
      <c r="C32" s="121">
        <v>0.5</v>
      </c>
      <c r="D32" s="121">
        <v>0.29097222222222224</v>
      </c>
      <c r="E32" s="121">
        <v>0.82291666666666663</v>
      </c>
    </row>
    <row r="33" spans="1:5" x14ac:dyDescent="0.25">
      <c r="A33" s="120">
        <v>42460</v>
      </c>
      <c r="B33" s="122">
        <v>1.2</v>
      </c>
      <c r="C33" s="121">
        <v>0.54305555555555551</v>
      </c>
      <c r="D33" s="121">
        <v>0.28958333333333336</v>
      </c>
      <c r="E33" s="121">
        <v>0.82361111111111107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784"/>
  <sheetViews>
    <sheetView topLeftCell="A256" workbookViewId="0">
      <selection activeCell="B292" sqref="B292:C292"/>
    </sheetView>
  </sheetViews>
  <sheetFormatPr defaultRowHeight="15" x14ac:dyDescent="0.25"/>
  <cols>
    <col min="1" max="1" width="18.5703125" bestFit="1" customWidth="1"/>
    <col min="2" max="2" width="10.7109375" bestFit="1" customWidth="1"/>
    <col min="3" max="3" width="11.5703125" bestFit="1" customWidth="1"/>
    <col min="4" max="4" width="10.5703125" bestFit="1" customWidth="1"/>
    <col min="5" max="5" width="10.42578125" bestFit="1" customWidth="1"/>
  </cols>
  <sheetData>
    <row r="1" spans="1:5" x14ac:dyDescent="0.25">
      <c r="A1" s="119" t="s">
        <v>44</v>
      </c>
      <c r="B1" s="119" t="s">
        <v>46</v>
      </c>
      <c r="C1" s="119" t="s">
        <v>45</v>
      </c>
      <c r="D1" s="119" t="s">
        <v>47</v>
      </c>
      <c r="E1" s="119" t="s">
        <v>48</v>
      </c>
    </row>
    <row r="2" spans="1:5" x14ac:dyDescent="0.25">
      <c r="A2" s="120">
        <v>42362</v>
      </c>
      <c r="B2" s="122">
        <v>2.8</v>
      </c>
      <c r="C2" s="121">
        <v>0.2013888888888889</v>
      </c>
      <c r="D2" s="121">
        <v>0.33541666666666664</v>
      </c>
      <c r="E2" s="121">
        <v>0.68819444444444444</v>
      </c>
    </row>
    <row r="3" spans="1:5" x14ac:dyDescent="0.25">
      <c r="A3" s="120">
        <v>42362</v>
      </c>
      <c r="B3" s="122">
        <v>-1.2</v>
      </c>
      <c r="C3" s="121">
        <v>0.74097222222222225</v>
      </c>
      <c r="D3" s="121">
        <v>0.33541666666666664</v>
      </c>
      <c r="E3" s="121">
        <v>0.68819444444444444</v>
      </c>
    </row>
    <row r="4" spans="1:5" x14ac:dyDescent="0.25">
      <c r="A4" s="120">
        <v>42363</v>
      </c>
      <c r="B4" s="122">
        <v>2.7</v>
      </c>
      <c r="C4" s="121">
        <v>0.2361111111111111</v>
      </c>
      <c r="D4" s="121">
        <v>0.33541666666666664</v>
      </c>
      <c r="E4" s="121">
        <v>0.68888888888888888</v>
      </c>
    </row>
    <row r="5" spans="1:5" x14ac:dyDescent="0.25">
      <c r="A5" s="120">
        <v>42363</v>
      </c>
      <c r="B5" s="122">
        <v>-1.3</v>
      </c>
      <c r="C5" s="121">
        <v>0.77083333333333337</v>
      </c>
      <c r="D5" s="121">
        <v>0.33541666666666664</v>
      </c>
      <c r="E5" s="121">
        <v>0.68888888888888888</v>
      </c>
    </row>
    <row r="6" spans="1:5" x14ac:dyDescent="0.25">
      <c r="A6" s="120">
        <v>42364</v>
      </c>
      <c r="B6" s="122">
        <v>2.7</v>
      </c>
      <c r="C6" s="121">
        <v>0.26944444444444443</v>
      </c>
      <c r="D6" s="121">
        <v>0.33541666666666664</v>
      </c>
      <c r="E6" s="121">
        <v>0.68888888888888888</v>
      </c>
    </row>
    <row r="7" spans="1:5" x14ac:dyDescent="0.25">
      <c r="A7" s="120">
        <v>42364</v>
      </c>
      <c r="B7" s="122">
        <v>-1.1000000000000001</v>
      </c>
      <c r="C7" s="121">
        <v>0.8</v>
      </c>
      <c r="D7" s="121">
        <v>0.33541666666666664</v>
      </c>
      <c r="E7" s="121">
        <v>0.68888888888888888</v>
      </c>
    </row>
    <row r="8" spans="1:5" x14ac:dyDescent="0.25">
      <c r="A8" s="120">
        <v>42365</v>
      </c>
      <c r="B8" s="122">
        <v>2.8</v>
      </c>
      <c r="C8" s="121">
        <v>0.30138888888888887</v>
      </c>
      <c r="D8" s="121">
        <v>0.33541666666666664</v>
      </c>
      <c r="E8" s="121">
        <v>0.68958333333333333</v>
      </c>
    </row>
    <row r="9" spans="1:5" x14ac:dyDescent="0.25">
      <c r="A9" s="120">
        <v>42365</v>
      </c>
      <c r="B9" s="122">
        <v>-0.8</v>
      </c>
      <c r="C9" s="121">
        <v>0.82777777777777772</v>
      </c>
      <c r="D9" s="121">
        <v>0.33541666666666664</v>
      </c>
      <c r="E9" s="121">
        <v>0.68958333333333333</v>
      </c>
    </row>
    <row r="10" spans="1:5" x14ac:dyDescent="0.25">
      <c r="A10" s="120">
        <v>42366</v>
      </c>
      <c r="B10" s="122">
        <v>2.9</v>
      </c>
      <c r="C10" s="121">
        <v>0.33333333333333331</v>
      </c>
      <c r="D10" s="121">
        <v>0.33611111111111114</v>
      </c>
      <c r="E10" s="121">
        <v>0.69027777777777777</v>
      </c>
    </row>
    <row r="11" spans="1:5" x14ac:dyDescent="0.25">
      <c r="A11" s="120">
        <v>42366</v>
      </c>
      <c r="B11" s="122">
        <v>-0.3</v>
      </c>
      <c r="C11" s="121">
        <v>0.85486111111111107</v>
      </c>
      <c r="D11" s="121">
        <v>0.33611111111111114</v>
      </c>
      <c r="E11" s="121">
        <v>0.69027777777777777</v>
      </c>
    </row>
    <row r="12" spans="1:5" x14ac:dyDescent="0.25">
      <c r="A12" s="120">
        <v>42367</v>
      </c>
      <c r="B12" s="122">
        <v>2.9</v>
      </c>
      <c r="C12" s="121">
        <v>0.36527777777777776</v>
      </c>
      <c r="D12" s="121">
        <v>0.33611111111111114</v>
      </c>
      <c r="E12" s="121">
        <v>0.69097222222222221</v>
      </c>
    </row>
    <row r="13" spans="1:5" x14ac:dyDescent="0.25">
      <c r="A13" s="120">
        <v>42367</v>
      </c>
      <c r="B13" s="122">
        <v>0.2</v>
      </c>
      <c r="C13" s="121">
        <v>0.88194444444444442</v>
      </c>
      <c r="D13" s="121">
        <v>0.33611111111111114</v>
      </c>
      <c r="E13" s="121">
        <v>0.69097222222222221</v>
      </c>
    </row>
    <row r="14" spans="1:5" x14ac:dyDescent="0.25">
      <c r="A14" s="120">
        <v>42368</v>
      </c>
      <c r="B14" s="122">
        <v>3</v>
      </c>
      <c r="C14" s="121">
        <v>0.39930555555555558</v>
      </c>
      <c r="D14" s="121">
        <v>0.33611111111111114</v>
      </c>
      <c r="E14" s="121">
        <v>0.69097222222222221</v>
      </c>
    </row>
    <row r="15" spans="1:5" x14ac:dyDescent="0.25">
      <c r="A15" s="120">
        <v>42368</v>
      </c>
      <c r="B15" s="122">
        <v>0.9</v>
      </c>
      <c r="C15" s="121">
        <v>0.90902777777777777</v>
      </c>
      <c r="D15" s="121">
        <v>0.33611111111111114</v>
      </c>
      <c r="E15" s="121">
        <v>0.69097222222222221</v>
      </c>
    </row>
    <row r="16" spans="1:5" x14ac:dyDescent="0.25">
      <c r="A16" s="120">
        <v>42369</v>
      </c>
      <c r="B16" s="122">
        <v>3.1</v>
      </c>
      <c r="C16" s="121">
        <v>0.43611111111111112</v>
      </c>
      <c r="D16" s="121">
        <v>0.33611111111111114</v>
      </c>
      <c r="E16" s="121">
        <v>0.69166666666666665</v>
      </c>
    </row>
    <row r="17" spans="1:5" x14ac:dyDescent="0.25">
      <c r="A17" s="120">
        <v>42369</v>
      </c>
      <c r="B17" s="122">
        <v>1.5</v>
      </c>
      <c r="C17" s="121">
        <v>0.9375</v>
      </c>
      <c r="D17" s="121">
        <v>0.33611111111111114</v>
      </c>
      <c r="E17" s="121">
        <v>0.69166666666666665</v>
      </c>
    </row>
    <row r="18" spans="1:5" x14ac:dyDescent="0.25">
      <c r="A18" s="120">
        <v>42370</v>
      </c>
      <c r="B18" s="122">
        <v>3.1</v>
      </c>
      <c r="C18" s="121">
        <v>0.47916666666666669</v>
      </c>
      <c r="D18" s="121">
        <v>0.33611111111111114</v>
      </c>
      <c r="E18" s="121">
        <v>0.69236111111111109</v>
      </c>
    </row>
    <row r="19" spans="1:5" x14ac:dyDescent="0.25">
      <c r="A19" s="120">
        <v>42370</v>
      </c>
      <c r="B19" s="122">
        <v>2.1</v>
      </c>
      <c r="C19" s="121">
        <v>0.97152777777777777</v>
      </c>
      <c r="D19" s="121">
        <v>0.33611111111111114</v>
      </c>
      <c r="E19" s="121">
        <v>0.69236111111111109</v>
      </c>
    </row>
    <row r="20" spans="1:5" x14ac:dyDescent="0.25">
      <c r="A20" s="120">
        <v>42371</v>
      </c>
      <c r="B20" s="122">
        <v>2.9</v>
      </c>
      <c r="C20" s="121">
        <v>0.52430555555555558</v>
      </c>
      <c r="D20" s="121">
        <v>0.33611111111111114</v>
      </c>
      <c r="E20" s="121">
        <v>0.69305555555555554</v>
      </c>
    </row>
    <row r="21" spans="1:5" x14ac:dyDescent="0.25">
      <c r="A21" s="120">
        <v>42372</v>
      </c>
      <c r="B21" s="122">
        <v>2.7</v>
      </c>
      <c r="C21" s="121">
        <v>6.2500000000000003E-3</v>
      </c>
      <c r="D21" s="121">
        <v>0.33611111111111114</v>
      </c>
      <c r="E21" s="121">
        <v>0.69374999999999998</v>
      </c>
    </row>
    <row r="22" spans="1:5" x14ac:dyDescent="0.25">
      <c r="A22" s="120">
        <v>42372</v>
      </c>
      <c r="B22" s="122">
        <v>2.4</v>
      </c>
      <c r="C22" s="121">
        <v>0.56944444444444442</v>
      </c>
      <c r="D22" s="121">
        <v>0.33611111111111114</v>
      </c>
      <c r="E22" s="121">
        <v>0.69374999999999998</v>
      </c>
    </row>
    <row r="23" spans="1:5" x14ac:dyDescent="0.25">
      <c r="A23" s="120">
        <v>42373</v>
      </c>
      <c r="B23" s="122">
        <v>3.1</v>
      </c>
      <c r="C23" s="121">
        <v>4.583333333333333E-2</v>
      </c>
      <c r="D23" s="121">
        <v>0.33611111111111114</v>
      </c>
      <c r="E23" s="121">
        <v>0.69444444444444442</v>
      </c>
    </row>
    <row r="24" spans="1:5" x14ac:dyDescent="0.25">
      <c r="A24" s="120">
        <v>42373</v>
      </c>
      <c r="B24" s="122">
        <v>1.9</v>
      </c>
      <c r="C24" s="121">
        <v>0.61041666666666672</v>
      </c>
      <c r="D24" s="121">
        <v>0.33611111111111114</v>
      </c>
      <c r="E24" s="121">
        <v>0.69444444444444442</v>
      </c>
    </row>
    <row r="25" spans="1:5" x14ac:dyDescent="0.25">
      <c r="A25" s="120">
        <v>42374</v>
      </c>
      <c r="B25" s="122">
        <v>3.4</v>
      </c>
      <c r="C25" s="121">
        <v>8.6805555555555552E-2</v>
      </c>
      <c r="D25" s="121">
        <v>0.33611111111111114</v>
      </c>
      <c r="E25" s="121">
        <v>0.69513888888888886</v>
      </c>
    </row>
    <row r="26" spans="1:5" x14ac:dyDescent="0.25">
      <c r="A26" s="120">
        <v>42374</v>
      </c>
      <c r="B26" s="122">
        <v>1.3</v>
      </c>
      <c r="C26" s="121">
        <v>0.64583333333333337</v>
      </c>
      <c r="D26" s="121">
        <v>0.33611111111111114</v>
      </c>
      <c r="E26" s="121">
        <v>0.69513888888888886</v>
      </c>
    </row>
    <row r="27" spans="1:5" x14ac:dyDescent="0.25">
      <c r="A27" s="120">
        <v>42375</v>
      </c>
      <c r="B27" s="122">
        <v>3.5</v>
      </c>
      <c r="C27" s="121">
        <v>0.12638888888888888</v>
      </c>
      <c r="D27" s="121">
        <v>0.33611111111111114</v>
      </c>
      <c r="E27" s="121">
        <v>0.6958333333333333</v>
      </c>
    </row>
    <row r="28" spans="1:5" x14ac:dyDescent="0.25">
      <c r="A28" s="120">
        <v>42375</v>
      </c>
      <c r="B28" s="122">
        <v>0.7</v>
      </c>
      <c r="C28" s="121">
        <v>0.67777777777777781</v>
      </c>
      <c r="D28" s="121">
        <v>0.33611111111111114</v>
      </c>
      <c r="E28" s="121">
        <v>0.6958333333333333</v>
      </c>
    </row>
    <row r="29" spans="1:5" x14ac:dyDescent="0.25">
      <c r="A29" s="120">
        <v>42376</v>
      </c>
      <c r="B29" s="122">
        <v>3.5</v>
      </c>
      <c r="C29" s="121">
        <v>0.16250000000000001</v>
      </c>
      <c r="D29" s="121">
        <v>0.33541666666666664</v>
      </c>
      <c r="E29" s="121">
        <v>0.69722222222222219</v>
      </c>
    </row>
    <row r="30" spans="1:5" x14ac:dyDescent="0.25">
      <c r="A30" s="120">
        <v>42376</v>
      </c>
      <c r="B30" s="122">
        <v>0.1</v>
      </c>
      <c r="C30" s="121">
        <v>0.70625000000000004</v>
      </c>
      <c r="D30" s="121">
        <v>0.33541666666666664</v>
      </c>
      <c r="E30" s="121">
        <v>0.69722222222222219</v>
      </c>
    </row>
    <row r="31" spans="1:5" x14ac:dyDescent="0.25">
      <c r="A31" s="120">
        <v>42377</v>
      </c>
      <c r="B31" s="122">
        <v>3.4</v>
      </c>
      <c r="C31" s="121">
        <v>0.19513888888888889</v>
      </c>
      <c r="D31" s="121">
        <v>0.33541666666666664</v>
      </c>
      <c r="E31" s="121">
        <v>0.69791666666666663</v>
      </c>
    </row>
    <row r="32" spans="1:5" x14ac:dyDescent="0.25">
      <c r="A32" s="120">
        <v>42377</v>
      </c>
      <c r="B32" s="122">
        <v>-0.4</v>
      </c>
      <c r="C32" s="121">
        <v>0.73402777777777772</v>
      </c>
      <c r="D32" s="121">
        <v>0.33541666666666664</v>
      </c>
      <c r="E32" s="121">
        <v>0.69791666666666663</v>
      </c>
    </row>
    <row r="33" spans="1:5" x14ac:dyDescent="0.25">
      <c r="A33" s="120">
        <v>42378</v>
      </c>
      <c r="B33" s="122">
        <v>3.2</v>
      </c>
      <c r="C33" s="121">
        <v>0.22638888888888889</v>
      </c>
      <c r="D33" s="121">
        <v>0.33541666666666664</v>
      </c>
      <c r="E33" s="121">
        <v>0.69861111111111107</v>
      </c>
    </row>
    <row r="34" spans="1:5" x14ac:dyDescent="0.25">
      <c r="A34" s="120">
        <v>42378</v>
      </c>
      <c r="B34" s="122">
        <v>-0.8</v>
      </c>
      <c r="C34" s="121">
        <v>0.76111111111111107</v>
      </c>
      <c r="D34" s="121">
        <v>0.33541666666666664</v>
      </c>
      <c r="E34" s="121">
        <v>0.69861111111111107</v>
      </c>
    </row>
    <row r="35" spans="1:5" x14ac:dyDescent="0.25">
      <c r="A35" s="120">
        <v>42379</v>
      </c>
      <c r="B35" s="122">
        <v>3</v>
      </c>
      <c r="C35" s="121">
        <v>0.25694444444444442</v>
      </c>
      <c r="D35" s="121">
        <v>0.3347222222222222</v>
      </c>
      <c r="E35" s="121">
        <v>0.69930555555555551</v>
      </c>
    </row>
    <row r="36" spans="1:5" x14ac:dyDescent="0.25">
      <c r="A36" s="120">
        <v>42379</v>
      </c>
      <c r="B36" s="122">
        <v>-1</v>
      </c>
      <c r="C36" s="121">
        <v>0.78819444444444442</v>
      </c>
      <c r="D36" s="121">
        <v>0.3347222222222222</v>
      </c>
      <c r="E36" s="121">
        <v>0.69930555555555551</v>
      </c>
    </row>
    <row r="37" spans="1:5" x14ac:dyDescent="0.25">
      <c r="A37" s="120">
        <v>42380</v>
      </c>
      <c r="B37" s="122">
        <v>2.8</v>
      </c>
      <c r="C37" s="121">
        <v>0.28819444444444442</v>
      </c>
      <c r="D37" s="121">
        <v>0.3347222222222222</v>
      </c>
      <c r="E37" s="121">
        <v>0.7</v>
      </c>
    </row>
    <row r="38" spans="1:5" x14ac:dyDescent="0.25">
      <c r="A38" s="120">
        <v>42380</v>
      </c>
      <c r="B38" s="122">
        <v>-1</v>
      </c>
      <c r="C38" s="121">
        <v>0.81527777777777777</v>
      </c>
      <c r="D38" s="121">
        <v>0.3347222222222222</v>
      </c>
      <c r="E38" s="121">
        <v>0.7</v>
      </c>
    </row>
    <row r="39" spans="1:5" x14ac:dyDescent="0.25">
      <c r="A39" s="120">
        <v>42381</v>
      </c>
      <c r="B39" s="122">
        <v>2.6</v>
      </c>
      <c r="C39" s="121">
        <v>0.32013888888888886</v>
      </c>
      <c r="D39" s="121">
        <v>0.33402777777777776</v>
      </c>
      <c r="E39" s="121">
        <v>0.70138888888888884</v>
      </c>
    </row>
    <row r="40" spans="1:5" x14ac:dyDescent="0.25">
      <c r="A40" s="120">
        <v>42381</v>
      </c>
      <c r="B40" s="122">
        <v>-0.8</v>
      </c>
      <c r="C40" s="121">
        <v>0.84305555555555556</v>
      </c>
      <c r="D40" s="121">
        <v>0.33402777777777776</v>
      </c>
      <c r="E40" s="121">
        <v>0.70138888888888884</v>
      </c>
    </row>
    <row r="41" spans="1:5" x14ac:dyDescent="0.25">
      <c r="A41" s="120">
        <v>42382</v>
      </c>
      <c r="B41" s="122">
        <v>2.4</v>
      </c>
      <c r="C41" s="121">
        <v>0.35416666666666669</v>
      </c>
      <c r="D41" s="121">
        <v>0.33402777777777776</v>
      </c>
      <c r="E41" s="121">
        <v>0.70208333333333328</v>
      </c>
    </row>
    <row r="42" spans="1:5" x14ac:dyDescent="0.25">
      <c r="A42" s="120">
        <v>42382</v>
      </c>
      <c r="B42" s="122">
        <v>-0.4</v>
      </c>
      <c r="C42" s="121">
        <v>0.87222222222222223</v>
      </c>
      <c r="D42" s="121">
        <v>0.33402777777777776</v>
      </c>
      <c r="E42" s="121">
        <v>0.70208333333333328</v>
      </c>
    </row>
    <row r="43" spans="1:5" x14ac:dyDescent="0.25">
      <c r="A43" s="120">
        <v>42383</v>
      </c>
      <c r="B43" s="122">
        <v>2.2999999999999998</v>
      </c>
      <c r="C43" s="121">
        <v>0.39097222222222222</v>
      </c>
      <c r="D43" s="121">
        <v>0.33333333333333331</v>
      </c>
      <c r="E43" s="121">
        <v>0.70277777777777772</v>
      </c>
    </row>
    <row r="44" spans="1:5" x14ac:dyDescent="0.25">
      <c r="A44" s="120">
        <v>42383</v>
      </c>
      <c r="B44" s="122">
        <v>0.2</v>
      </c>
      <c r="C44" s="121">
        <v>0.90277777777777779</v>
      </c>
      <c r="D44" s="121">
        <v>0.33333333333333331</v>
      </c>
      <c r="E44" s="121">
        <v>0.70277777777777772</v>
      </c>
    </row>
    <row r="45" spans="1:5" x14ac:dyDescent="0.25">
      <c r="A45" s="120">
        <v>42384</v>
      </c>
      <c r="B45" s="122">
        <v>2.1</v>
      </c>
      <c r="C45" s="121">
        <v>0.43263888888888891</v>
      </c>
      <c r="D45" s="121">
        <v>0.33333333333333331</v>
      </c>
      <c r="E45" s="121">
        <v>0.70416666666666672</v>
      </c>
    </row>
    <row r="46" spans="1:5" x14ac:dyDescent="0.25">
      <c r="A46" s="120">
        <v>42384</v>
      </c>
      <c r="B46" s="122">
        <v>1</v>
      </c>
      <c r="C46" s="121">
        <v>0.93611111111111112</v>
      </c>
      <c r="D46" s="121">
        <v>0.33333333333333331</v>
      </c>
      <c r="E46" s="121">
        <v>0.70416666666666672</v>
      </c>
    </row>
    <row r="47" spans="1:5" x14ac:dyDescent="0.25">
      <c r="A47" s="120">
        <v>42385</v>
      </c>
      <c r="B47" s="122">
        <v>1.9</v>
      </c>
      <c r="C47" s="121">
        <v>0.47847222222222224</v>
      </c>
      <c r="D47" s="121">
        <v>0.33263888888888887</v>
      </c>
      <c r="E47" s="121">
        <v>0.70486111111111116</v>
      </c>
    </row>
    <row r="48" spans="1:5" x14ac:dyDescent="0.25">
      <c r="A48" s="120">
        <v>42385</v>
      </c>
      <c r="B48" s="122">
        <v>1.7</v>
      </c>
      <c r="C48" s="121">
        <v>0.97361111111111109</v>
      </c>
      <c r="D48" s="121">
        <v>0.33263888888888887</v>
      </c>
      <c r="E48" s="121">
        <v>0.70486111111111116</v>
      </c>
    </row>
    <row r="49" spans="1:5" x14ac:dyDescent="0.25">
      <c r="A49" s="120">
        <v>42386</v>
      </c>
      <c r="B49" s="122">
        <v>1.6</v>
      </c>
      <c r="C49" s="121">
        <v>0.52847222222222223</v>
      </c>
      <c r="D49" s="121">
        <v>0.33194444444444443</v>
      </c>
      <c r="E49" s="121">
        <v>0.7055555555555556</v>
      </c>
    </row>
    <row r="50" spans="1:5" x14ac:dyDescent="0.25">
      <c r="A50" s="120">
        <v>42387</v>
      </c>
      <c r="B50" s="122">
        <v>2.4</v>
      </c>
      <c r="C50" s="121">
        <v>1.6666666666666666E-2</v>
      </c>
      <c r="D50" s="121">
        <v>0.33194444444444443</v>
      </c>
      <c r="E50" s="121">
        <v>0.70694444444444449</v>
      </c>
    </row>
    <row r="51" spans="1:5" x14ac:dyDescent="0.25">
      <c r="A51" s="120">
        <v>42387</v>
      </c>
      <c r="B51" s="122">
        <v>1.1000000000000001</v>
      </c>
      <c r="C51" s="121">
        <v>0.57916666666666672</v>
      </c>
      <c r="D51" s="121">
        <v>0.33194444444444443</v>
      </c>
      <c r="E51" s="121">
        <v>0.70694444444444449</v>
      </c>
    </row>
    <row r="52" spans="1:5" x14ac:dyDescent="0.25">
      <c r="A52" s="120">
        <v>42388</v>
      </c>
      <c r="B52" s="122">
        <v>2.9</v>
      </c>
      <c r="C52" s="121">
        <v>6.3888888888888884E-2</v>
      </c>
      <c r="D52" s="121">
        <v>0.33124999999999999</v>
      </c>
      <c r="E52" s="121">
        <v>0.70763888888888893</v>
      </c>
    </row>
    <row r="53" spans="1:5" x14ac:dyDescent="0.25">
      <c r="A53" s="120">
        <v>42388</v>
      </c>
      <c r="B53" s="122">
        <v>0.6</v>
      </c>
      <c r="C53" s="121">
        <v>0.625</v>
      </c>
      <c r="D53" s="121">
        <v>0.33124999999999999</v>
      </c>
      <c r="E53" s="121">
        <v>0.70763888888888893</v>
      </c>
    </row>
    <row r="54" spans="1:5" x14ac:dyDescent="0.25">
      <c r="A54" s="120">
        <v>42389</v>
      </c>
      <c r="B54" s="122">
        <v>3.2</v>
      </c>
      <c r="C54" s="121">
        <v>0.11180555555555556</v>
      </c>
      <c r="D54" s="121">
        <v>0.33055555555555555</v>
      </c>
      <c r="E54" s="121">
        <v>0.70902777777777781</v>
      </c>
    </row>
    <row r="55" spans="1:5" x14ac:dyDescent="0.25">
      <c r="A55" s="120">
        <v>42389</v>
      </c>
      <c r="B55" s="122">
        <v>0</v>
      </c>
      <c r="C55" s="121">
        <v>0.66527777777777775</v>
      </c>
      <c r="D55" s="121">
        <v>0.33055555555555555</v>
      </c>
      <c r="E55" s="121">
        <v>0.70902777777777781</v>
      </c>
    </row>
    <row r="56" spans="1:5" x14ac:dyDescent="0.25">
      <c r="A56" s="120">
        <v>42390</v>
      </c>
      <c r="B56" s="122">
        <v>3.2</v>
      </c>
      <c r="C56" s="121">
        <v>0.15555555555555556</v>
      </c>
      <c r="D56" s="121">
        <v>0.3298611111111111</v>
      </c>
      <c r="E56" s="121">
        <v>0.70972222222222225</v>
      </c>
    </row>
    <row r="57" spans="1:5" x14ac:dyDescent="0.25">
      <c r="A57" s="120">
        <v>42390</v>
      </c>
      <c r="B57" s="122">
        <v>-0.4</v>
      </c>
      <c r="C57" s="121">
        <v>0.7006944444444444</v>
      </c>
      <c r="D57" s="121">
        <v>0.3298611111111111</v>
      </c>
      <c r="E57" s="121">
        <v>0.70972222222222225</v>
      </c>
    </row>
    <row r="58" spans="1:5" x14ac:dyDescent="0.25">
      <c r="A58" s="120">
        <v>42391</v>
      </c>
      <c r="B58" s="122">
        <v>3</v>
      </c>
      <c r="C58" s="121">
        <v>0.19513888888888889</v>
      </c>
      <c r="D58" s="121">
        <v>0.32916666666666666</v>
      </c>
      <c r="E58" s="121">
        <v>0.7104166666666667</v>
      </c>
    </row>
    <row r="59" spans="1:5" x14ac:dyDescent="0.25">
      <c r="A59" s="120">
        <v>42391</v>
      </c>
      <c r="B59" s="122">
        <v>-0.7</v>
      </c>
      <c r="C59" s="121">
        <v>0.73263888888888884</v>
      </c>
      <c r="D59" s="121">
        <v>0.32916666666666666</v>
      </c>
      <c r="E59" s="121">
        <v>0.7104166666666667</v>
      </c>
    </row>
    <row r="60" spans="1:5" x14ac:dyDescent="0.25">
      <c r="A60" s="120">
        <v>42392</v>
      </c>
      <c r="B60" s="122">
        <v>2.8</v>
      </c>
      <c r="C60" s="121">
        <v>0.2298611111111111</v>
      </c>
      <c r="D60" s="121">
        <v>0.32847222222222222</v>
      </c>
      <c r="E60" s="121">
        <v>0.71180555555555558</v>
      </c>
    </row>
    <row r="61" spans="1:5" x14ac:dyDescent="0.25">
      <c r="A61" s="120">
        <v>42392</v>
      </c>
      <c r="B61" s="122">
        <v>-0.8</v>
      </c>
      <c r="C61" s="121">
        <v>0.76111111111111107</v>
      </c>
      <c r="D61" s="121">
        <v>0.32847222222222222</v>
      </c>
      <c r="E61" s="121">
        <v>0.71180555555555558</v>
      </c>
    </row>
    <row r="62" spans="1:5" x14ac:dyDescent="0.25">
      <c r="A62" s="120">
        <v>42393</v>
      </c>
      <c r="B62" s="122">
        <v>2.6</v>
      </c>
      <c r="C62" s="121">
        <v>0.26180555555555557</v>
      </c>
      <c r="D62" s="121">
        <v>0.32777777777777778</v>
      </c>
      <c r="E62" s="121">
        <v>0.71250000000000002</v>
      </c>
    </row>
    <row r="63" spans="1:5" x14ac:dyDescent="0.25">
      <c r="A63" s="120">
        <v>42393</v>
      </c>
      <c r="B63" s="122">
        <v>-0.7</v>
      </c>
      <c r="C63" s="121">
        <v>0.78749999999999998</v>
      </c>
      <c r="D63" s="121">
        <v>0.32777777777777778</v>
      </c>
      <c r="E63" s="121">
        <v>0.71250000000000002</v>
      </c>
    </row>
    <row r="64" spans="1:5" x14ac:dyDescent="0.25">
      <c r="A64" s="120">
        <v>42394</v>
      </c>
      <c r="B64" s="122">
        <v>2.5</v>
      </c>
      <c r="C64" s="121">
        <v>0.29166666666666669</v>
      </c>
      <c r="D64" s="121">
        <v>0.32708333333333334</v>
      </c>
      <c r="E64" s="121">
        <v>0.71388888888888891</v>
      </c>
    </row>
    <row r="65" spans="1:5" x14ac:dyDescent="0.25">
      <c r="A65" s="120">
        <v>42394</v>
      </c>
      <c r="B65" s="122">
        <v>-0.4</v>
      </c>
      <c r="C65" s="121">
        <v>0.81319444444444444</v>
      </c>
      <c r="D65" s="121">
        <v>0.32708333333333334</v>
      </c>
      <c r="E65" s="121">
        <v>0.71388888888888891</v>
      </c>
    </row>
    <row r="66" spans="1:5" x14ac:dyDescent="0.25">
      <c r="A66" s="120">
        <v>42395</v>
      </c>
      <c r="B66" s="122">
        <v>2.5</v>
      </c>
      <c r="C66" s="121">
        <v>0.32013888888888886</v>
      </c>
      <c r="D66" s="121">
        <v>0.3263888888888889</v>
      </c>
      <c r="E66" s="121">
        <v>0.71458333333333335</v>
      </c>
    </row>
    <row r="67" spans="1:5" x14ac:dyDescent="0.25">
      <c r="A67" s="120">
        <v>42395</v>
      </c>
      <c r="B67" s="122">
        <v>0</v>
      </c>
      <c r="C67" s="121">
        <v>0.83680555555555558</v>
      </c>
      <c r="D67" s="121">
        <v>0.3263888888888889</v>
      </c>
      <c r="E67" s="121">
        <v>0.71458333333333335</v>
      </c>
    </row>
    <row r="68" spans="1:5" x14ac:dyDescent="0.25">
      <c r="A68" s="120">
        <v>42396</v>
      </c>
      <c r="B68" s="122">
        <v>2.5</v>
      </c>
      <c r="C68" s="121">
        <v>0.34861111111111109</v>
      </c>
      <c r="D68" s="121">
        <v>0.32569444444444445</v>
      </c>
      <c r="E68" s="121">
        <v>0.71597222222222223</v>
      </c>
    </row>
    <row r="69" spans="1:5" x14ac:dyDescent="0.25">
      <c r="A69" s="120">
        <v>42396</v>
      </c>
      <c r="B69" s="122">
        <v>0.5</v>
      </c>
      <c r="C69" s="121">
        <v>0.86041666666666672</v>
      </c>
      <c r="D69" s="121">
        <v>0.32569444444444445</v>
      </c>
      <c r="E69" s="121">
        <v>0.71597222222222223</v>
      </c>
    </row>
    <row r="70" spans="1:5" x14ac:dyDescent="0.25">
      <c r="A70" s="120">
        <v>42397</v>
      </c>
      <c r="B70" s="122">
        <v>2.5</v>
      </c>
      <c r="C70" s="121">
        <v>0.37777777777777777</v>
      </c>
      <c r="D70" s="121">
        <v>0.32500000000000001</v>
      </c>
      <c r="E70" s="121">
        <v>0.71666666666666667</v>
      </c>
    </row>
    <row r="71" spans="1:5" x14ac:dyDescent="0.25">
      <c r="A71" s="120">
        <v>42397</v>
      </c>
      <c r="B71" s="122">
        <v>1</v>
      </c>
      <c r="C71" s="121">
        <v>0.88402777777777775</v>
      </c>
      <c r="D71" s="121">
        <v>0.32500000000000001</v>
      </c>
      <c r="E71" s="121">
        <v>0.71666666666666667</v>
      </c>
    </row>
    <row r="72" spans="1:5" x14ac:dyDescent="0.25">
      <c r="A72" s="120">
        <v>42398</v>
      </c>
      <c r="B72" s="122">
        <v>2.5</v>
      </c>
      <c r="C72" s="121">
        <v>0.40902777777777777</v>
      </c>
      <c r="D72" s="121">
        <v>0.32430555555555557</v>
      </c>
      <c r="E72" s="121">
        <v>0.71805555555555556</v>
      </c>
    </row>
    <row r="73" spans="1:5" x14ac:dyDescent="0.25">
      <c r="A73" s="120">
        <v>42398</v>
      </c>
      <c r="B73" s="122">
        <v>1.7</v>
      </c>
      <c r="C73" s="121">
        <v>0.90833333333333333</v>
      </c>
      <c r="D73" s="121">
        <v>0.32430555555555557</v>
      </c>
      <c r="E73" s="121">
        <v>0.71805555555555556</v>
      </c>
    </row>
    <row r="74" spans="1:5" x14ac:dyDescent="0.25">
      <c r="A74" s="120">
        <v>42399</v>
      </c>
      <c r="B74" s="122">
        <v>2.6</v>
      </c>
      <c r="C74" s="121">
        <v>0.44374999999999998</v>
      </c>
      <c r="D74" s="121">
        <v>0.32361111111111113</v>
      </c>
      <c r="E74" s="121">
        <v>0.71944444444444444</v>
      </c>
    </row>
    <row r="75" spans="1:5" x14ac:dyDescent="0.25">
      <c r="A75" s="120">
        <v>42399</v>
      </c>
      <c r="B75" s="122">
        <v>2.2999999999999998</v>
      </c>
      <c r="C75" s="121">
        <v>0.93472222222222223</v>
      </c>
      <c r="D75" s="121">
        <v>0.32361111111111113</v>
      </c>
      <c r="E75" s="121">
        <v>0.71944444444444444</v>
      </c>
    </row>
    <row r="76" spans="1:5" x14ac:dyDescent="0.25">
      <c r="A76" s="120">
        <v>42400</v>
      </c>
      <c r="B76" s="122">
        <v>2.5</v>
      </c>
      <c r="C76" s="121">
        <v>0.48333333333333334</v>
      </c>
      <c r="D76" s="121">
        <v>0.32291666666666669</v>
      </c>
      <c r="E76" s="121">
        <v>0.72013888888888888</v>
      </c>
    </row>
    <row r="77" spans="1:5" x14ac:dyDescent="0.25">
      <c r="A77" s="120">
        <v>42400</v>
      </c>
      <c r="B77" s="122">
        <v>2.9</v>
      </c>
      <c r="C77" s="121">
        <v>0.96597222222222223</v>
      </c>
      <c r="D77" s="121">
        <v>0.32291666666666669</v>
      </c>
      <c r="E77" s="121">
        <v>0.72013888888888888</v>
      </c>
    </row>
    <row r="78" spans="1:5" x14ac:dyDescent="0.25">
      <c r="A78" s="120">
        <v>42401</v>
      </c>
      <c r="B78" s="122">
        <v>2.2999999999999998</v>
      </c>
      <c r="C78" s="121">
        <v>0.52777777777777779</v>
      </c>
      <c r="D78" s="121">
        <v>0.3215277777777778</v>
      </c>
      <c r="E78" s="121">
        <v>0.72152777777777777</v>
      </c>
    </row>
    <row r="79" spans="1:5" x14ac:dyDescent="0.25">
      <c r="A79" s="120">
        <v>42402</v>
      </c>
      <c r="B79" s="122">
        <v>3.4</v>
      </c>
      <c r="C79" s="121">
        <v>4.1666666666666666E-3</v>
      </c>
      <c r="D79" s="121">
        <v>0.32083333333333336</v>
      </c>
      <c r="E79" s="121">
        <v>0.72222222222222221</v>
      </c>
    </row>
    <row r="80" spans="1:5" x14ac:dyDescent="0.25">
      <c r="A80" s="120">
        <v>42402</v>
      </c>
      <c r="B80" s="122">
        <v>2</v>
      </c>
      <c r="C80" s="121">
        <v>0.57430555555555551</v>
      </c>
      <c r="D80" s="121">
        <v>0.32083333333333336</v>
      </c>
      <c r="E80" s="121">
        <v>0.72222222222222221</v>
      </c>
    </row>
    <row r="81" spans="1:5" x14ac:dyDescent="0.25">
      <c r="A81" s="120">
        <v>42403</v>
      </c>
      <c r="B81" s="122">
        <v>3.7</v>
      </c>
      <c r="C81" s="121">
        <v>5.0694444444444445E-2</v>
      </c>
      <c r="D81" s="121">
        <v>0.32013888888888886</v>
      </c>
      <c r="E81" s="121">
        <v>0.72361111111111109</v>
      </c>
    </row>
    <row r="82" spans="1:5" x14ac:dyDescent="0.25">
      <c r="A82" s="120">
        <v>42403</v>
      </c>
      <c r="B82" s="122">
        <v>1.5</v>
      </c>
      <c r="C82" s="121">
        <v>0.6166666666666667</v>
      </c>
      <c r="D82" s="121">
        <v>0.32013888888888886</v>
      </c>
      <c r="E82" s="121">
        <v>0.72361111111111109</v>
      </c>
    </row>
    <row r="83" spans="1:5" x14ac:dyDescent="0.25">
      <c r="A83" s="120">
        <v>42404</v>
      </c>
      <c r="B83" s="122">
        <v>3.8</v>
      </c>
      <c r="C83" s="121">
        <v>9.8611111111111108E-2</v>
      </c>
      <c r="D83" s="121">
        <v>0.31874999999999998</v>
      </c>
      <c r="E83" s="121">
        <v>0.72430555555555554</v>
      </c>
    </row>
    <row r="84" spans="1:5" x14ac:dyDescent="0.25">
      <c r="A84" s="120">
        <v>42404</v>
      </c>
      <c r="B84" s="122">
        <v>0.8</v>
      </c>
      <c r="C84" s="121">
        <v>0.65347222222222223</v>
      </c>
      <c r="D84" s="121">
        <v>0.31874999999999998</v>
      </c>
      <c r="E84" s="121">
        <v>0.72430555555555554</v>
      </c>
    </row>
    <row r="85" spans="1:5" x14ac:dyDescent="0.25">
      <c r="A85" s="120">
        <v>42405</v>
      </c>
      <c r="B85" s="122">
        <v>3.6</v>
      </c>
      <c r="C85" s="121">
        <v>0.14166666666666666</v>
      </c>
      <c r="D85" s="121">
        <v>0.31805555555555554</v>
      </c>
      <c r="E85" s="121">
        <v>0.72569444444444442</v>
      </c>
    </row>
    <row r="86" spans="1:5" x14ac:dyDescent="0.25">
      <c r="A86" s="120">
        <v>42405</v>
      </c>
      <c r="B86" s="122">
        <v>0.2</v>
      </c>
      <c r="C86" s="121">
        <v>0.68611111111111112</v>
      </c>
      <c r="D86" s="121">
        <v>0.31805555555555554</v>
      </c>
      <c r="E86" s="121">
        <v>0.72569444444444442</v>
      </c>
    </row>
    <row r="87" spans="1:5" x14ac:dyDescent="0.25">
      <c r="A87" s="120">
        <v>42406</v>
      </c>
      <c r="B87" s="122">
        <v>3.3</v>
      </c>
      <c r="C87" s="121">
        <v>0.17916666666666667</v>
      </c>
      <c r="D87" s="121">
        <v>0.31736111111111109</v>
      </c>
      <c r="E87" s="121">
        <v>0.72638888888888886</v>
      </c>
    </row>
    <row r="88" spans="1:5" x14ac:dyDescent="0.25">
      <c r="A88" s="120">
        <v>42406</v>
      </c>
      <c r="B88" s="122">
        <v>-0.3</v>
      </c>
      <c r="C88" s="121">
        <v>0.71597222222222223</v>
      </c>
      <c r="D88" s="121">
        <v>0.31736111111111109</v>
      </c>
      <c r="E88" s="121">
        <v>0.72638888888888886</v>
      </c>
    </row>
    <row r="89" spans="1:5" x14ac:dyDescent="0.25">
      <c r="A89" s="120">
        <v>42407</v>
      </c>
      <c r="B89" s="122">
        <v>2.8</v>
      </c>
      <c r="C89" s="121">
        <v>0.21319444444444444</v>
      </c>
      <c r="D89" s="121">
        <v>0.31597222222222221</v>
      </c>
      <c r="E89" s="121">
        <v>0.72777777777777775</v>
      </c>
    </row>
    <row r="90" spans="1:5" x14ac:dyDescent="0.25">
      <c r="A90" s="120">
        <v>42407</v>
      </c>
      <c r="B90" s="122">
        <v>-0.7</v>
      </c>
      <c r="C90" s="121">
        <v>0.74444444444444446</v>
      </c>
      <c r="D90" s="121">
        <v>0.31597222222222221</v>
      </c>
      <c r="E90" s="121">
        <v>0.72777777777777775</v>
      </c>
    </row>
    <row r="91" spans="1:5" x14ac:dyDescent="0.25">
      <c r="A91" s="120">
        <v>42408</v>
      </c>
      <c r="B91" s="122">
        <v>2.2999999999999998</v>
      </c>
      <c r="C91" s="121">
        <v>0.24583333333333332</v>
      </c>
      <c r="D91" s="121">
        <v>0.31527777777777777</v>
      </c>
      <c r="E91" s="121">
        <v>0.72916666666666663</v>
      </c>
    </row>
    <row r="92" spans="1:5" x14ac:dyDescent="0.25">
      <c r="A92" s="120">
        <v>42408</v>
      </c>
      <c r="B92" s="122">
        <v>-1</v>
      </c>
      <c r="C92" s="121">
        <v>0.77222222222222225</v>
      </c>
      <c r="D92" s="121">
        <v>0.31527777777777777</v>
      </c>
      <c r="E92" s="121">
        <v>0.72916666666666663</v>
      </c>
    </row>
    <row r="93" spans="1:5" x14ac:dyDescent="0.25">
      <c r="A93" s="120">
        <v>42409</v>
      </c>
      <c r="B93" s="122">
        <v>1.9</v>
      </c>
      <c r="C93" s="121">
        <v>0.27777777777777779</v>
      </c>
      <c r="D93" s="121">
        <v>0.31388888888888888</v>
      </c>
      <c r="E93" s="121">
        <v>0.72986111111111107</v>
      </c>
    </row>
    <row r="94" spans="1:5" x14ac:dyDescent="0.25">
      <c r="A94" s="120">
        <v>42409</v>
      </c>
      <c r="B94" s="122">
        <v>-0.9</v>
      </c>
      <c r="C94" s="121">
        <v>0.8</v>
      </c>
      <c r="D94" s="121">
        <v>0.31388888888888888</v>
      </c>
      <c r="E94" s="121">
        <v>0.72986111111111107</v>
      </c>
    </row>
    <row r="95" spans="1:5" x14ac:dyDescent="0.25">
      <c r="A95" s="120">
        <v>42410</v>
      </c>
      <c r="B95" s="122">
        <v>1.5</v>
      </c>
      <c r="C95" s="121">
        <v>0.31041666666666667</v>
      </c>
      <c r="D95" s="121">
        <v>0.31319444444444444</v>
      </c>
      <c r="E95" s="121">
        <v>0.73124999999999996</v>
      </c>
    </row>
    <row r="96" spans="1:5" x14ac:dyDescent="0.25">
      <c r="A96" s="120">
        <v>42410</v>
      </c>
      <c r="B96" s="122">
        <v>-0.7</v>
      </c>
      <c r="C96" s="121">
        <v>0.82777777777777772</v>
      </c>
      <c r="D96" s="121">
        <v>0.31319444444444444</v>
      </c>
      <c r="E96" s="121">
        <v>0.73124999999999996</v>
      </c>
    </row>
    <row r="97" spans="1:5" x14ac:dyDescent="0.25">
      <c r="A97" s="120">
        <v>42411</v>
      </c>
      <c r="B97" s="122">
        <v>1.2</v>
      </c>
      <c r="C97" s="121">
        <v>0.34375</v>
      </c>
      <c r="D97" s="121">
        <v>0.31180555555555556</v>
      </c>
      <c r="E97" s="121">
        <v>0.7319444444444444</v>
      </c>
    </row>
    <row r="98" spans="1:5" x14ac:dyDescent="0.25">
      <c r="A98" s="120">
        <v>42411</v>
      </c>
      <c r="B98" s="122">
        <v>-0.1</v>
      </c>
      <c r="C98" s="121">
        <v>0.8569444444444444</v>
      </c>
      <c r="D98" s="121">
        <v>0.31180555555555556</v>
      </c>
      <c r="E98" s="121">
        <v>0.7319444444444444</v>
      </c>
    </row>
    <row r="99" spans="1:5" x14ac:dyDescent="0.25">
      <c r="A99" s="120">
        <v>42412</v>
      </c>
      <c r="B99" s="122">
        <v>1.1000000000000001</v>
      </c>
      <c r="C99" s="121">
        <v>0.37986111111111109</v>
      </c>
      <c r="D99" s="121">
        <v>0.31111111111111112</v>
      </c>
      <c r="E99" s="121">
        <v>0.73333333333333328</v>
      </c>
    </row>
    <row r="100" spans="1:5" x14ac:dyDescent="0.25">
      <c r="A100" s="120">
        <v>42412</v>
      </c>
      <c r="B100" s="122">
        <v>0.6</v>
      </c>
      <c r="C100" s="121">
        <v>0.88680555555555551</v>
      </c>
      <c r="D100" s="121">
        <v>0.31111111111111112</v>
      </c>
      <c r="E100" s="121">
        <v>0.73333333333333328</v>
      </c>
    </row>
    <row r="101" spans="1:5" x14ac:dyDescent="0.25">
      <c r="A101" s="120">
        <v>42413</v>
      </c>
      <c r="B101" s="122">
        <v>1.1000000000000001</v>
      </c>
      <c r="C101" s="121">
        <v>0.41875000000000001</v>
      </c>
      <c r="D101" s="121">
        <v>0.30972222222222223</v>
      </c>
      <c r="E101" s="121">
        <v>0.73402777777777772</v>
      </c>
    </row>
    <row r="102" spans="1:5" x14ac:dyDescent="0.25">
      <c r="A102" s="120">
        <v>42413</v>
      </c>
      <c r="B102" s="122">
        <v>1.4</v>
      </c>
      <c r="C102" s="121">
        <v>0.9194444444444444</v>
      </c>
      <c r="D102" s="121">
        <v>0.30972222222222223</v>
      </c>
      <c r="E102" s="121">
        <v>0.73402777777777772</v>
      </c>
    </row>
    <row r="103" spans="1:5" x14ac:dyDescent="0.25">
      <c r="A103" s="120">
        <v>42414</v>
      </c>
      <c r="B103" s="122">
        <v>1.1000000000000001</v>
      </c>
      <c r="C103" s="121">
        <v>0.46250000000000002</v>
      </c>
      <c r="D103" s="121">
        <v>0.30833333333333335</v>
      </c>
      <c r="E103" s="121">
        <v>0.73541666666666672</v>
      </c>
    </row>
    <row r="104" spans="1:5" x14ac:dyDescent="0.25">
      <c r="A104" s="120">
        <v>42414</v>
      </c>
      <c r="B104" s="122">
        <v>2.2000000000000002</v>
      </c>
      <c r="C104" s="121">
        <v>0.95694444444444449</v>
      </c>
      <c r="D104" s="121">
        <v>0.30833333333333335</v>
      </c>
      <c r="E104" s="121">
        <v>0.73541666666666672</v>
      </c>
    </row>
    <row r="105" spans="1:5" x14ac:dyDescent="0.25">
      <c r="A105" s="120">
        <v>42415</v>
      </c>
      <c r="B105" s="122">
        <v>1.1000000000000001</v>
      </c>
      <c r="C105" s="121">
        <v>0.51111111111111107</v>
      </c>
      <c r="D105" s="121">
        <v>0.30763888888888891</v>
      </c>
      <c r="E105" s="121">
        <v>0.73611111111111116</v>
      </c>
    </row>
    <row r="106" spans="1:5" x14ac:dyDescent="0.25">
      <c r="A106" s="120">
        <v>42416</v>
      </c>
      <c r="B106" s="122">
        <v>2.9</v>
      </c>
      <c r="C106" s="121">
        <v>6.9444444444444447E-4</v>
      </c>
      <c r="D106" s="121">
        <v>0.30625000000000002</v>
      </c>
      <c r="E106" s="121">
        <v>0.73750000000000004</v>
      </c>
    </row>
    <row r="107" spans="1:5" x14ac:dyDescent="0.25">
      <c r="A107" s="120">
        <v>42416</v>
      </c>
      <c r="B107" s="122">
        <v>1</v>
      </c>
      <c r="C107" s="121">
        <v>0.5625</v>
      </c>
      <c r="D107" s="121">
        <v>0.30625000000000002</v>
      </c>
      <c r="E107" s="121">
        <v>0.73750000000000004</v>
      </c>
    </row>
    <row r="108" spans="1:5" x14ac:dyDescent="0.25">
      <c r="A108" s="120">
        <v>42417</v>
      </c>
      <c r="B108" s="122">
        <v>3.3</v>
      </c>
      <c r="C108" s="121">
        <v>5.2083333333333336E-2</v>
      </c>
      <c r="D108" s="121">
        <v>0.30486111111111114</v>
      </c>
      <c r="E108" s="121">
        <v>0.73888888888888893</v>
      </c>
    </row>
    <row r="109" spans="1:5" x14ac:dyDescent="0.25">
      <c r="A109" s="120">
        <v>42417</v>
      </c>
      <c r="B109" s="122">
        <v>0.7</v>
      </c>
      <c r="C109" s="121">
        <v>0.61111111111111116</v>
      </c>
      <c r="D109" s="121">
        <v>0.30486111111111114</v>
      </c>
      <c r="E109" s="121">
        <v>0.73888888888888893</v>
      </c>
    </row>
    <row r="110" spans="1:5" x14ac:dyDescent="0.25">
      <c r="A110" s="120">
        <v>42418</v>
      </c>
      <c r="B110" s="122">
        <v>3.4</v>
      </c>
      <c r="C110" s="121">
        <v>0.10416666666666667</v>
      </c>
      <c r="D110" s="121">
        <v>0.30416666666666664</v>
      </c>
      <c r="E110" s="121">
        <v>0.73958333333333337</v>
      </c>
    </row>
    <row r="111" spans="1:5" x14ac:dyDescent="0.25">
      <c r="A111" s="120">
        <v>42418</v>
      </c>
      <c r="B111" s="122">
        <v>0.3</v>
      </c>
      <c r="C111" s="121">
        <v>0.65347222222222223</v>
      </c>
      <c r="D111" s="121">
        <v>0.30416666666666664</v>
      </c>
      <c r="E111" s="121">
        <v>0.73958333333333337</v>
      </c>
    </row>
    <row r="112" spans="1:5" x14ac:dyDescent="0.25">
      <c r="A112" s="120">
        <v>42419</v>
      </c>
      <c r="B112" s="122">
        <v>3.1</v>
      </c>
      <c r="C112" s="121">
        <v>0.15069444444444444</v>
      </c>
      <c r="D112" s="121">
        <v>0.30277777777777776</v>
      </c>
      <c r="E112" s="121">
        <v>0.74097222222222225</v>
      </c>
    </row>
    <row r="113" spans="1:5" x14ac:dyDescent="0.25">
      <c r="A113" s="120">
        <v>42419</v>
      </c>
      <c r="B113" s="122">
        <v>0</v>
      </c>
      <c r="C113" s="121">
        <v>0.68958333333333333</v>
      </c>
      <c r="D113" s="121">
        <v>0.30277777777777776</v>
      </c>
      <c r="E113" s="121">
        <v>0.74097222222222225</v>
      </c>
    </row>
    <row r="114" spans="1:5" x14ac:dyDescent="0.25">
      <c r="A114" s="120">
        <v>42420</v>
      </c>
      <c r="B114" s="122">
        <v>2.8</v>
      </c>
      <c r="C114" s="121">
        <v>0.18958333333333333</v>
      </c>
      <c r="D114" s="121">
        <v>0.30138888888888887</v>
      </c>
      <c r="E114" s="121">
        <v>0.7416666666666667</v>
      </c>
    </row>
    <row r="115" spans="1:5" x14ac:dyDescent="0.25">
      <c r="A115" s="120">
        <v>42420</v>
      </c>
      <c r="B115" s="122">
        <v>-0.1</v>
      </c>
      <c r="C115" s="121">
        <v>0.72013888888888888</v>
      </c>
      <c r="D115" s="121">
        <v>0.30138888888888887</v>
      </c>
      <c r="E115" s="121">
        <v>0.7416666666666667</v>
      </c>
    </row>
    <row r="116" spans="1:5" x14ac:dyDescent="0.25">
      <c r="A116" s="120">
        <v>42421</v>
      </c>
      <c r="B116" s="122">
        <v>2.4</v>
      </c>
      <c r="C116" s="121">
        <v>0.22291666666666668</v>
      </c>
      <c r="D116" s="121">
        <v>0.30069444444444443</v>
      </c>
      <c r="E116" s="121">
        <v>0.74305555555555558</v>
      </c>
    </row>
    <row r="117" spans="1:5" x14ac:dyDescent="0.25">
      <c r="A117" s="120">
        <v>42421</v>
      </c>
      <c r="B117" s="122">
        <v>-0.2</v>
      </c>
      <c r="C117" s="121">
        <v>0.74722222222222223</v>
      </c>
      <c r="D117" s="121">
        <v>0.30069444444444443</v>
      </c>
      <c r="E117" s="121">
        <v>0.74305555555555558</v>
      </c>
    </row>
    <row r="118" spans="1:5" x14ac:dyDescent="0.25">
      <c r="A118" s="120">
        <v>42422</v>
      </c>
      <c r="B118" s="122">
        <v>2.1</v>
      </c>
      <c r="C118" s="121">
        <v>0.25208333333333333</v>
      </c>
      <c r="D118" s="121">
        <v>0.29930555555555555</v>
      </c>
      <c r="E118" s="121">
        <v>0.74375000000000002</v>
      </c>
    </row>
    <row r="119" spans="1:5" x14ac:dyDescent="0.25">
      <c r="A119" s="120">
        <v>42422</v>
      </c>
      <c r="B119" s="122">
        <v>-0.1</v>
      </c>
      <c r="C119" s="121">
        <v>0.77152777777777781</v>
      </c>
      <c r="D119" s="121">
        <v>0.29930555555555555</v>
      </c>
      <c r="E119" s="121">
        <v>0.74375000000000002</v>
      </c>
    </row>
    <row r="120" spans="1:5" x14ac:dyDescent="0.25">
      <c r="A120" s="120">
        <v>42423</v>
      </c>
      <c r="B120" s="122">
        <v>1.8</v>
      </c>
      <c r="C120" s="121">
        <v>0.27986111111111112</v>
      </c>
      <c r="D120" s="121">
        <v>0.29791666666666666</v>
      </c>
      <c r="E120" s="121">
        <v>0.74513888888888891</v>
      </c>
    </row>
    <row r="121" spans="1:5" x14ac:dyDescent="0.25">
      <c r="A121" s="120">
        <v>42423</v>
      </c>
      <c r="B121" s="122">
        <v>0.1</v>
      </c>
      <c r="C121" s="121">
        <v>0.7944444444444444</v>
      </c>
      <c r="D121" s="121">
        <v>0.29791666666666666</v>
      </c>
      <c r="E121" s="121">
        <v>0.74513888888888891</v>
      </c>
    </row>
    <row r="122" spans="1:5" x14ac:dyDescent="0.25">
      <c r="A122" s="120">
        <v>42424</v>
      </c>
      <c r="B122" s="122">
        <v>1.7</v>
      </c>
      <c r="C122" s="121">
        <v>0.30555555555555558</v>
      </c>
      <c r="D122" s="121">
        <v>0.29652777777777778</v>
      </c>
      <c r="E122" s="121">
        <v>0.74583333333333335</v>
      </c>
    </row>
    <row r="123" spans="1:5" x14ac:dyDescent="0.25">
      <c r="A123" s="120">
        <v>42424</v>
      </c>
      <c r="B123" s="122">
        <v>0.5</v>
      </c>
      <c r="C123" s="121">
        <v>0.81597222222222221</v>
      </c>
      <c r="D123" s="121">
        <v>0.29652777777777778</v>
      </c>
      <c r="E123" s="121">
        <v>0.74583333333333335</v>
      </c>
    </row>
    <row r="124" spans="1:5" x14ac:dyDescent="0.25">
      <c r="A124" s="120">
        <v>42425</v>
      </c>
      <c r="B124" s="122">
        <v>1.6</v>
      </c>
      <c r="C124" s="121">
        <v>0.33055555555555555</v>
      </c>
      <c r="D124" s="121">
        <v>0.2951388888888889</v>
      </c>
      <c r="E124" s="121">
        <v>0.74722222222222223</v>
      </c>
    </row>
    <row r="125" spans="1:5" x14ac:dyDescent="0.25">
      <c r="A125" s="120">
        <v>42425</v>
      </c>
      <c r="B125" s="122">
        <v>0.9</v>
      </c>
      <c r="C125" s="121">
        <v>0.83750000000000002</v>
      </c>
      <c r="D125" s="121">
        <v>0.2951388888888889</v>
      </c>
      <c r="E125" s="121">
        <v>0.74722222222222223</v>
      </c>
    </row>
    <row r="126" spans="1:5" x14ac:dyDescent="0.25">
      <c r="A126" s="120">
        <v>42426</v>
      </c>
      <c r="B126" s="122">
        <v>1.6</v>
      </c>
      <c r="C126" s="121">
        <v>0.35625000000000001</v>
      </c>
      <c r="D126" s="121">
        <v>0.29444444444444445</v>
      </c>
      <c r="E126" s="121">
        <v>0.74791666666666667</v>
      </c>
    </row>
    <row r="127" spans="1:5" x14ac:dyDescent="0.25">
      <c r="A127" s="120">
        <v>42426</v>
      </c>
      <c r="B127" s="122">
        <v>1.4</v>
      </c>
      <c r="C127" s="121">
        <v>0.85902777777777772</v>
      </c>
      <c r="D127" s="121">
        <v>0.29444444444444445</v>
      </c>
      <c r="E127" s="121">
        <v>0.74791666666666667</v>
      </c>
    </row>
    <row r="128" spans="1:5" x14ac:dyDescent="0.25">
      <c r="A128" s="120">
        <v>42427</v>
      </c>
      <c r="B128" s="122">
        <v>1.7</v>
      </c>
      <c r="C128" s="121">
        <v>0.38333333333333336</v>
      </c>
      <c r="D128" s="121">
        <v>0.29305555555555557</v>
      </c>
      <c r="E128" s="121">
        <v>0.74930555555555556</v>
      </c>
    </row>
    <row r="129" spans="1:5" x14ac:dyDescent="0.25">
      <c r="A129" s="120">
        <v>42427</v>
      </c>
      <c r="B129" s="122">
        <v>2</v>
      </c>
      <c r="C129" s="121">
        <v>0.88124999999999998</v>
      </c>
      <c r="D129" s="121">
        <v>0.29305555555555557</v>
      </c>
      <c r="E129" s="121">
        <v>0.74930555555555556</v>
      </c>
    </row>
    <row r="130" spans="1:5" x14ac:dyDescent="0.25">
      <c r="A130" s="120">
        <v>42428</v>
      </c>
      <c r="B130" s="122">
        <v>1.8</v>
      </c>
      <c r="C130" s="121">
        <v>0.41319444444444442</v>
      </c>
      <c r="D130" s="121">
        <v>0.29166666666666669</v>
      </c>
      <c r="E130" s="121">
        <v>0.75</v>
      </c>
    </row>
    <row r="131" spans="1:5" x14ac:dyDescent="0.25">
      <c r="A131" s="120">
        <v>42428</v>
      </c>
      <c r="B131" s="122">
        <v>2.5</v>
      </c>
      <c r="C131" s="121">
        <v>0.90555555555555556</v>
      </c>
      <c r="D131" s="121">
        <v>0.29166666666666669</v>
      </c>
      <c r="E131" s="121">
        <v>0.75</v>
      </c>
    </row>
    <row r="132" spans="1:5" x14ac:dyDescent="0.25">
      <c r="A132" s="120">
        <v>42429</v>
      </c>
      <c r="B132" s="122">
        <v>1.9</v>
      </c>
      <c r="C132" s="121">
        <v>0.44791666666666669</v>
      </c>
      <c r="D132" s="121">
        <v>0.2902777777777778</v>
      </c>
      <c r="E132" s="121">
        <v>0.75138888888888888</v>
      </c>
    </row>
    <row r="133" spans="1:5" x14ac:dyDescent="0.25">
      <c r="A133" s="120">
        <v>42429</v>
      </c>
      <c r="B133" s="122">
        <v>3.1</v>
      </c>
      <c r="C133" s="121">
        <v>0.93472222222222223</v>
      </c>
      <c r="D133" s="121">
        <v>0.2902777777777778</v>
      </c>
      <c r="E133" s="121">
        <v>0.75138888888888888</v>
      </c>
    </row>
    <row r="134" spans="1:5" x14ac:dyDescent="0.25">
      <c r="A134" s="120">
        <v>42430</v>
      </c>
      <c r="B134" s="122">
        <v>1.9</v>
      </c>
      <c r="C134" s="121">
        <v>0.48888888888888887</v>
      </c>
      <c r="D134" s="121">
        <v>0.28888888888888886</v>
      </c>
      <c r="E134" s="121">
        <v>0.75208333333333333</v>
      </c>
    </row>
    <row r="135" spans="1:5" x14ac:dyDescent="0.25">
      <c r="A135" s="120">
        <v>42430</v>
      </c>
      <c r="B135" s="122">
        <v>3.5</v>
      </c>
      <c r="C135" s="121">
        <v>0.97222222222222221</v>
      </c>
      <c r="D135" s="121">
        <v>0.28888888888888886</v>
      </c>
      <c r="E135" s="121">
        <v>0.75208333333333333</v>
      </c>
    </row>
    <row r="136" spans="1:5" x14ac:dyDescent="0.25">
      <c r="A136" s="120">
        <v>42431</v>
      </c>
      <c r="B136" s="122">
        <v>1.8</v>
      </c>
      <c r="C136" s="121">
        <v>0.53541666666666665</v>
      </c>
      <c r="D136" s="121">
        <v>0.28749999999999998</v>
      </c>
      <c r="E136" s="121">
        <v>0.75347222222222221</v>
      </c>
    </row>
    <row r="137" spans="1:5" x14ac:dyDescent="0.25">
      <c r="A137" s="120">
        <v>42432</v>
      </c>
      <c r="B137" s="122">
        <v>3.8</v>
      </c>
      <c r="C137" s="121">
        <v>2.2222222222222223E-2</v>
      </c>
      <c r="D137" s="121">
        <v>0.28611111111111109</v>
      </c>
      <c r="E137" s="121">
        <v>0.75416666666666665</v>
      </c>
    </row>
    <row r="138" spans="1:5" x14ac:dyDescent="0.25">
      <c r="A138" s="120">
        <v>42432</v>
      </c>
      <c r="B138" s="122">
        <v>1.4</v>
      </c>
      <c r="C138" s="121">
        <v>0.58263888888888893</v>
      </c>
      <c r="D138" s="121">
        <v>0.28611111111111109</v>
      </c>
      <c r="E138" s="121">
        <v>0.75416666666666665</v>
      </c>
    </row>
    <row r="139" spans="1:5" x14ac:dyDescent="0.25">
      <c r="A139" s="120">
        <v>42433</v>
      </c>
      <c r="B139" s="122">
        <v>3.7</v>
      </c>
      <c r="C139" s="121">
        <v>7.5694444444444439E-2</v>
      </c>
      <c r="D139" s="121">
        <v>0.28472222222222221</v>
      </c>
      <c r="E139" s="121">
        <v>0.75555555555555554</v>
      </c>
    </row>
    <row r="140" spans="1:5" x14ac:dyDescent="0.25">
      <c r="A140" s="120">
        <v>42433</v>
      </c>
      <c r="B140" s="122">
        <v>0.9</v>
      </c>
      <c r="C140" s="121">
        <v>0.625</v>
      </c>
      <c r="D140" s="121">
        <v>0.28472222222222221</v>
      </c>
      <c r="E140" s="121">
        <v>0.75555555555555554</v>
      </c>
    </row>
    <row r="141" spans="1:5" x14ac:dyDescent="0.25">
      <c r="A141" s="120">
        <v>42434</v>
      </c>
      <c r="B141" s="122">
        <v>3.4</v>
      </c>
      <c r="C141" s="121">
        <v>0.12361111111111112</v>
      </c>
      <c r="D141" s="121">
        <v>0.28333333333333333</v>
      </c>
      <c r="E141" s="121">
        <v>0.75624999999999998</v>
      </c>
    </row>
    <row r="142" spans="1:5" x14ac:dyDescent="0.25">
      <c r="A142" s="120">
        <v>42434</v>
      </c>
      <c r="B142" s="122">
        <v>0.3</v>
      </c>
      <c r="C142" s="121">
        <v>0.66180555555555554</v>
      </c>
      <c r="D142" s="121">
        <v>0.28333333333333333</v>
      </c>
      <c r="E142" s="121">
        <v>0.75624999999999998</v>
      </c>
    </row>
    <row r="143" spans="1:5" x14ac:dyDescent="0.25">
      <c r="A143" s="120">
        <v>42435</v>
      </c>
      <c r="B143" s="122">
        <v>2.8</v>
      </c>
      <c r="C143" s="121">
        <v>0.16458333333333333</v>
      </c>
      <c r="D143" s="121">
        <v>0.28263888888888888</v>
      </c>
      <c r="E143" s="121">
        <v>0.75763888888888886</v>
      </c>
    </row>
    <row r="144" spans="1:5" x14ac:dyDescent="0.25">
      <c r="A144" s="120">
        <v>42435</v>
      </c>
      <c r="B144" s="122">
        <v>-0.2</v>
      </c>
      <c r="C144" s="121">
        <v>0.69444444444444442</v>
      </c>
      <c r="D144" s="121">
        <v>0.28263888888888888</v>
      </c>
      <c r="E144" s="121">
        <v>0.75763888888888886</v>
      </c>
    </row>
    <row r="145" spans="1:5" x14ac:dyDescent="0.25">
      <c r="A145" s="120">
        <v>42436</v>
      </c>
      <c r="B145" s="122">
        <v>2</v>
      </c>
      <c r="C145" s="121">
        <v>0.2</v>
      </c>
      <c r="D145" s="121">
        <v>0.28125</v>
      </c>
      <c r="E145" s="121">
        <v>0.7583333333333333</v>
      </c>
    </row>
    <row r="146" spans="1:5" x14ac:dyDescent="0.25">
      <c r="A146" s="120">
        <v>42436</v>
      </c>
      <c r="B146" s="122">
        <v>-0.5</v>
      </c>
      <c r="C146" s="121">
        <v>0.72430555555555554</v>
      </c>
      <c r="D146" s="121">
        <v>0.28125</v>
      </c>
      <c r="E146" s="121">
        <v>0.7583333333333333</v>
      </c>
    </row>
    <row r="147" spans="1:5" x14ac:dyDescent="0.25">
      <c r="A147" s="120">
        <v>42437</v>
      </c>
      <c r="B147" s="122">
        <v>1.3</v>
      </c>
      <c r="C147" s="121">
        <v>0.23402777777777778</v>
      </c>
      <c r="D147" s="121">
        <v>0.27986111111111112</v>
      </c>
      <c r="E147" s="121">
        <v>0.75972222222222219</v>
      </c>
    </row>
    <row r="148" spans="1:5" x14ac:dyDescent="0.25">
      <c r="A148" s="120">
        <v>42437</v>
      </c>
      <c r="B148" s="122">
        <v>-0.6</v>
      </c>
      <c r="C148" s="121">
        <v>0.75347222222222221</v>
      </c>
      <c r="D148" s="121">
        <v>0.27986111111111112</v>
      </c>
      <c r="E148" s="121">
        <v>0.75972222222222219</v>
      </c>
    </row>
    <row r="149" spans="1:5" x14ac:dyDescent="0.25">
      <c r="A149" s="120">
        <v>42438</v>
      </c>
      <c r="B149" s="122">
        <v>0.6</v>
      </c>
      <c r="C149" s="121">
        <v>0.26666666666666666</v>
      </c>
      <c r="D149" s="121">
        <v>0.27847222222222223</v>
      </c>
      <c r="E149" s="121">
        <v>0.76041666666666663</v>
      </c>
    </row>
    <row r="150" spans="1:5" x14ac:dyDescent="0.25">
      <c r="A150" s="120">
        <v>42438</v>
      </c>
      <c r="B150" s="122">
        <v>-0.5</v>
      </c>
      <c r="C150" s="121">
        <v>0.78263888888888888</v>
      </c>
      <c r="D150" s="121">
        <v>0.27847222222222223</v>
      </c>
      <c r="E150" s="121">
        <v>0.76041666666666663</v>
      </c>
    </row>
    <row r="151" spans="1:5" x14ac:dyDescent="0.25">
      <c r="A151" s="120">
        <v>42439</v>
      </c>
      <c r="B151" s="122">
        <v>0.1</v>
      </c>
      <c r="C151" s="121">
        <v>0.29930555555555555</v>
      </c>
      <c r="D151" s="121">
        <v>0.27708333333333335</v>
      </c>
      <c r="E151" s="121">
        <v>0.76111111111111107</v>
      </c>
    </row>
    <row r="152" spans="1:5" x14ac:dyDescent="0.25">
      <c r="A152" s="120">
        <v>42439</v>
      </c>
      <c r="B152" s="122">
        <v>-0.2</v>
      </c>
      <c r="C152" s="121">
        <v>0.81111111111111112</v>
      </c>
      <c r="D152" s="121">
        <v>0.27708333333333335</v>
      </c>
      <c r="E152" s="121">
        <v>0.76111111111111107</v>
      </c>
    </row>
    <row r="153" spans="1:5" x14ac:dyDescent="0.25">
      <c r="A153" s="120">
        <v>42440</v>
      </c>
      <c r="B153" s="122">
        <v>-0.1</v>
      </c>
      <c r="C153" s="121">
        <v>0.33263888888888887</v>
      </c>
      <c r="D153" s="121">
        <v>0.27569444444444446</v>
      </c>
      <c r="E153" s="121">
        <v>0.76249999999999996</v>
      </c>
    </row>
    <row r="154" spans="1:5" x14ac:dyDescent="0.25">
      <c r="A154" s="120">
        <v>42440</v>
      </c>
      <c r="B154" s="122">
        <v>0.4</v>
      </c>
      <c r="C154" s="121">
        <v>0.84027777777777779</v>
      </c>
      <c r="D154" s="121">
        <v>0.27569444444444446</v>
      </c>
      <c r="E154" s="121">
        <v>0.76249999999999996</v>
      </c>
    </row>
    <row r="155" spans="1:5" x14ac:dyDescent="0.25">
      <c r="A155" s="120">
        <v>42441</v>
      </c>
      <c r="B155" s="122">
        <v>-0.2</v>
      </c>
      <c r="C155" s="121">
        <v>0.36736111111111114</v>
      </c>
      <c r="D155" s="121">
        <v>0.27430555555555558</v>
      </c>
      <c r="E155" s="121">
        <v>0.7631944444444444</v>
      </c>
    </row>
    <row r="156" spans="1:5" x14ac:dyDescent="0.25">
      <c r="A156" s="120">
        <v>42441</v>
      </c>
      <c r="B156" s="122">
        <v>1.1000000000000001</v>
      </c>
      <c r="C156" s="121">
        <v>0.87152777777777779</v>
      </c>
      <c r="D156" s="121">
        <v>0.27430555555555558</v>
      </c>
      <c r="E156" s="121">
        <v>0.7631944444444444</v>
      </c>
    </row>
    <row r="157" spans="1:5" x14ac:dyDescent="0.25">
      <c r="A157" s="120">
        <v>42442</v>
      </c>
      <c r="B157" s="122">
        <v>0</v>
      </c>
      <c r="C157" s="121">
        <v>0.4465277777777778</v>
      </c>
      <c r="D157" s="121">
        <v>0.31458333333333333</v>
      </c>
      <c r="E157" s="121">
        <v>0.80625000000000002</v>
      </c>
    </row>
    <row r="158" spans="1:5" x14ac:dyDescent="0.25">
      <c r="A158" s="120">
        <v>42442</v>
      </c>
      <c r="B158" s="122">
        <v>1.9</v>
      </c>
      <c r="C158" s="121">
        <v>0.94652777777777775</v>
      </c>
      <c r="D158" s="121">
        <v>0.31458333333333333</v>
      </c>
      <c r="E158" s="121">
        <v>0.80625000000000002</v>
      </c>
    </row>
    <row r="159" spans="1:5" x14ac:dyDescent="0.25">
      <c r="A159" s="120">
        <v>42443</v>
      </c>
      <c r="B159" s="122">
        <v>0.3</v>
      </c>
      <c r="C159" s="121">
        <v>0.48749999999999999</v>
      </c>
      <c r="D159" s="121">
        <v>0.31319444444444444</v>
      </c>
      <c r="E159" s="121">
        <v>0.80694444444444446</v>
      </c>
    </row>
    <row r="160" spans="1:5" x14ac:dyDescent="0.25">
      <c r="A160" s="120">
        <v>42443</v>
      </c>
      <c r="B160" s="122">
        <v>2.6</v>
      </c>
      <c r="C160" s="121">
        <v>0.98541666666666672</v>
      </c>
      <c r="D160" s="121">
        <v>0.31319444444444444</v>
      </c>
      <c r="E160" s="121">
        <v>0.80694444444444446</v>
      </c>
    </row>
    <row r="161" spans="1:5" x14ac:dyDescent="0.25">
      <c r="A161" s="120">
        <v>42444</v>
      </c>
      <c r="B161" s="122">
        <v>0.6</v>
      </c>
      <c r="C161" s="121">
        <v>0.53402777777777777</v>
      </c>
      <c r="D161" s="121">
        <v>0.31180555555555556</v>
      </c>
      <c r="E161" s="121">
        <v>0.80833333333333335</v>
      </c>
    </row>
    <row r="162" spans="1:5" x14ac:dyDescent="0.25">
      <c r="A162" s="120">
        <v>42445</v>
      </c>
      <c r="B162" s="122">
        <v>3.1</v>
      </c>
      <c r="C162" s="121">
        <v>3.1944444444444442E-2</v>
      </c>
      <c r="D162" s="121">
        <v>0.31041666666666667</v>
      </c>
      <c r="E162" s="121">
        <v>0.80902777777777779</v>
      </c>
    </row>
    <row r="163" spans="1:5" x14ac:dyDescent="0.25">
      <c r="A163" s="120">
        <v>42445</v>
      </c>
      <c r="B163" s="122">
        <v>0.8</v>
      </c>
      <c r="C163" s="121">
        <v>0.58402777777777781</v>
      </c>
      <c r="D163" s="121">
        <v>0.31041666666666667</v>
      </c>
      <c r="E163" s="121">
        <v>0.80902777777777779</v>
      </c>
    </row>
    <row r="164" spans="1:5" x14ac:dyDescent="0.25">
      <c r="A164" s="120">
        <v>42446</v>
      </c>
      <c r="B164" s="122">
        <v>3.3</v>
      </c>
      <c r="C164" s="121">
        <v>8.611111111111111E-2</v>
      </c>
      <c r="D164" s="121">
        <v>0.30902777777777779</v>
      </c>
      <c r="E164" s="121">
        <v>0.81041666666666667</v>
      </c>
    </row>
    <row r="165" spans="1:5" x14ac:dyDescent="0.25">
      <c r="A165" s="120">
        <v>42446</v>
      </c>
      <c r="B165" s="122">
        <v>0.8</v>
      </c>
      <c r="C165" s="121">
        <v>0.6333333333333333</v>
      </c>
      <c r="D165" s="121">
        <v>0.30902777777777779</v>
      </c>
      <c r="E165" s="121">
        <v>0.81041666666666667</v>
      </c>
    </row>
    <row r="166" spans="1:5" x14ac:dyDescent="0.25">
      <c r="A166" s="120">
        <v>42447</v>
      </c>
      <c r="B166" s="122">
        <v>3.2</v>
      </c>
      <c r="C166" s="121">
        <v>0.14097222222222222</v>
      </c>
      <c r="D166" s="121">
        <v>0.30763888888888891</v>
      </c>
      <c r="E166" s="121">
        <v>0.81111111111111112</v>
      </c>
    </row>
    <row r="167" spans="1:5" x14ac:dyDescent="0.25">
      <c r="A167" s="120">
        <v>42447</v>
      </c>
      <c r="B167" s="122">
        <v>0.7</v>
      </c>
      <c r="C167" s="121">
        <v>0.67708333333333337</v>
      </c>
      <c r="D167" s="121">
        <v>0.30763888888888891</v>
      </c>
      <c r="E167" s="121">
        <v>0.81111111111111112</v>
      </c>
    </row>
    <row r="168" spans="1:5" x14ac:dyDescent="0.25">
      <c r="A168" s="120">
        <v>42448</v>
      </c>
      <c r="B168" s="122">
        <v>2.7</v>
      </c>
      <c r="C168" s="121">
        <v>0.18680555555555556</v>
      </c>
      <c r="D168" s="121">
        <v>0.30625000000000002</v>
      </c>
      <c r="E168" s="121">
        <v>0.81180555555555556</v>
      </c>
    </row>
    <row r="169" spans="1:5" x14ac:dyDescent="0.25">
      <c r="A169" s="120">
        <v>42448</v>
      </c>
      <c r="B169" s="122">
        <v>0.5</v>
      </c>
      <c r="C169" s="121">
        <v>0.71319444444444446</v>
      </c>
      <c r="D169" s="121">
        <v>0.30625000000000002</v>
      </c>
      <c r="E169" s="121">
        <v>0.81180555555555556</v>
      </c>
    </row>
    <row r="170" spans="1:5" x14ac:dyDescent="0.25">
      <c r="A170" s="120">
        <v>42449</v>
      </c>
      <c r="B170" s="122">
        <v>2.2000000000000002</v>
      </c>
      <c r="C170" s="121">
        <v>0.22361111111111112</v>
      </c>
      <c r="D170" s="121">
        <v>0.30486111111111114</v>
      </c>
      <c r="E170" s="121">
        <v>0.81319444444444444</v>
      </c>
    </row>
    <row r="171" spans="1:5" x14ac:dyDescent="0.25">
      <c r="A171" s="120">
        <v>42449</v>
      </c>
      <c r="B171" s="122">
        <v>0.4</v>
      </c>
      <c r="C171" s="121">
        <v>0.74305555555555558</v>
      </c>
      <c r="D171" s="121">
        <v>0.30486111111111114</v>
      </c>
      <c r="E171" s="121">
        <v>0.81319444444444444</v>
      </c>
    </row>
    <row r="172" spans="1:5" x14ac:dyDescent="0.25">
      <c r="A172" s="120">
        <v>42450</v>
      </c>
      <c r="B172" s="122">
        <v>1.7</v>
      </c>
      <c r="C172" s="121">
        <v>0.25486111111111109</v>
      </c>
      <c r="D172" s="121">
        <v>0.3034722222222222</v>
      </c>
      <c r="E172" s="121">
        <v>0.81388888888888888</v>
      </c>
    </row>
    <row r="173" spans="1:5" x14ac:dyDescent="0.25">
      <c r="A173" s="120">
        <v>42450</v>
      </c>
      <c r="B173" s="122">
        <v>0.5</v>
      </c>
      <c r="C173" s="121">
        <v>0.76944444444444449</v>
      </c>
      <c r="D173" s="121">
        <v>0.3034722222222222</v>
      </c>
      <c r="E173" s="121">
        <v>0.81388888888888888</v>
      </c>
    </row>
    <row r="174" spans="1:5" x14ac:dyDescent="0.25">
      <c r="A174" s="120">
        <v>42451</v>
      </c>
      <c r="B174" s="122">
        <v>1.3</v>
      </c>
      <c r="C174" s="121">
        <v>0.28263888888888888</v>
      </c>
      <c r="D174" s="121">
        <v>0.30208333333333331</v>
      </c>
      <c r="E174" s="121">
        <v>0.81527777777777777</v>
      </c>
    </row>
    <row r="175" spans="1:5" x14ac:dyDescent="0.25">
      <c r="A175" s="120">
        <v>42451</v>
      </c>
      <c r="B175" s="122">
        <v>0.6</v>
      </c>
      <c r="C175" s="121">
        <v>0.79305555555555551</v>
      </c>
      <c r="D175" s="121">
        <v>0.30208333333333331</v>
      </c>
      <c r="E175" s="121">
        <v>0.81527777777777777</v>
      </c>
    </row>
    <row r="176" spans="1:5" x14ac:dyDescent="0.25">
      <c r="A176" s="120">
        <v>42452</v>
      </c>
      <c r="B176" s="122">
        <v>1</v>
      </c>
      <c r="C176" s="121">
        <v>0.30763888888888891</v>
      </c>
      <c r="D176" s="121">
        <v>0.30069444444444443</v>
      </c>
      <c r="E176" s="121">
        <v>0.81597222222222221</v>
      </c>
    </row>
    <row r="177" spans="1:5" x14ac:dyDescent="0.25">
      <c r="A177" s="120">
        <v>42452</v>
      </c>
      <c r="B177" s="122">
        <v>0.8</v>
      </c>
      <c r="C177" s="121">
        <v>0.81527777777777777</v>
      </c>
      <c r="D177" s="121">
        <v>0.30069444444444443</v>
      </c>
      <c r="E177" s="121">
        <v>0.81597222222222221</v>
      </c>
    </row>
    <row r="178" spans="1:5" x14ac:dyDescent="0.25">
      <c r="A178" s="120">
        <v>42453</v>
      </c>
      <c r="B178" s="122">
        <v>0.8</v>
      </c>
      <c r="C178" s="121">
        <v>0.33124999999999999</v>
      </c>
      <c r="D178" s="121">
        <v>0.29930555555555555</v>
      </c>
      <c r="E178" s="121">
        <v>0.81666666666666665</v>
      </c>
    </row>
    <row r="179" spans="1:5" x14ac:dyDescent="0.25">
      <c r="A179" s="120">
        <v>42453</v>
      </c>
      <c r="B179" s="122">
        <v>1.1000000000000001</v>
      </c>
      <c r="C179" s="121">
        <v>0.83611111111111114</v>
      </c>
      <c r="D179" s="121">
        <v>0.29930555555555555</v>
      </c>
      <c r="E179" s="121">
        <v>0.81666666666666665</v>
      </c>
    </row>
    <row r="180" spans="1:5" x14ac:dyDescent="0.25">
      <c r="A180" s="120">
        <v>42454</v>
      </c>
      <c r="B180" s="122">
        <v>0.7</v>
      </c>
      <c r="C180" s="121">
        <v>0.35486111111111113</v>
      </c>
      <c r="D180" s="121">
        <v>0.29791666666666666</v>
      </c>
      <c r="E180" s="121">
        <v>0.81805555555555554</v>
      </c>
    </row>
    <row r="181" spans="1:5" x14ac:dyDescent="0.25">
      <c r="A181" s="120">
        <v>42454</v>
      </c>
      <c r="B181" s="122">
        <v>1.5</v>
      </c>
      <c r="C181" s="121">
        <v>0.85763888888888884</v>
      </c>
      <c r="D181" s="121">
        <v>0.29791666666666666</v>
      </c>
      <c r="E181" s="121">
        <v>0.81805555555555554</v>
      </c>
    </row>
    <row r="182" spans="1:5" x14ac:dyDescent="0.25">
      <c r="A182" s="120">
        <v>42455</v>
      </c>
      <c r="B182" s="122">
        <v>0.6</v>
      </c>
      <c r="C182" s="121">
        <v>0.37916666666666665</v>
      </c>
      <c r="D182" s="121">
        <v>0.29652777777777778</v>
      </c>
      <c r="E182" s="121">
        <v>0.81874999999999998</v>
      </c>
    </row>
    <row r="183" spans="1:5" x14ac:dyDescent="0.25">
      <c r="A183" s="120">
        <v>42455</v>
      </c>
      <c r="B183" s="122">
        <v>1.9</v>
      </c>
      <c r="C183" s="121">
        <v>0.87847222222222221</v>
      </c>
      <c r="D183" s="121">
        <v>0.29652777777777778</v>
      </c>
      <c r="E183" s="121">
        <v>0.81874999999999998</v>
      </c>
    </row>
    <row r="184" spans="1:5" x14ac:dyDescent="0.25">
      <c r="A184" s="120">
        <v>42456</v>
      </c>
      <c r="B184" s="122">
        <v>0.7</v>
      </c>
      <c r="C184" s="121">
        <v>0.40416666666666667</v>
      </c>
      <c r="D184" s="121">
        <v>0.2951388888888889</v>
      </c>
      <c r="E184" s="121">
        <v>0.82013888888888886</v>
      </c>
    </row>
    <row r="185" spans="1:5" x14ac:dyDescent="0.25">
      <c r="A185" s="120">
        <v>42456</v>
      </c>
      <c r="B185" s="122">
        <v>2.2999999999999998</v>
      </c>
      <c r="C185" s="121">
        <v>0.90138888888888891</v>
      </c>
      <c r="D185" s="121">
        <v>0.2951388888888889</v>
      </c>
      <c r="E185" s="121">
        <v>0.82013888888888886</v>
      </c>
    </row>
    <row r="186" spans="1:5" x14ac:dyDescent="0.25">
      <c r="A186" s="120">
        <v>42457</v>
      </c>
      <c r="B186" s="122">
        <v>0.8</v>
      </c>
      <c r="C186" s="121">
        <v>0.43125000000000002</v>
      </c>
      <c r="D186" s="121">
        <v>0.29375000000000001</v>
      </c>
      <c r="E186" s="121">
        <v>0.8208333333333333</v>
      </c>
    </row>
    <row r="187" spans="1:5" x14ac:dyDescent="0.25">
      <c r="A187" s="120">
        <v>42457</v>
      </c>
      <c r="B187" s="122">
        <v>2.8</v>
      </c>
      <c r="C187" s="121">
        <v>0.92569444444444449</v>
      </c>
      <c r="D187" s="121">
        <v>0.29375000000000001</v>
      </c>
      <c r="E187" s="121">
        <v>0.8208333333333333</v>
      </c>
    </row>
    <row r="188" spans="1:5" x14ac:dyDescent="0.25">
      <c r="A188" s="120">
        <v>42458</v>
      </c>
      <c r="B188" s="122">
        <v>1</v>
      </c>
      <c r="C188" s="121">
        <v>0.46250000000000002</v>
      </c>
      <c r="D188" s="121">
        <v>0.29236111111111113</v>
      </c>
      <c r="E188" s="121">
        <v>0.82152777777777775</v>
      </c>
    </row>
    <row r="189" spans="1:5" x14ac:dyDescent="0.25">
      <c r="A189" s="120">
        <v>42458</v>
      </c>
      <c r="B189" s="122">
        <v>3.2</v>
      </c>
      <c r="C189" s="121">
        <v>0.9555555555555556</v>
      </c>
      <c r="D189" s="121">
        <v>0.29236111111111113</v>
      </c>
      <c r="E189" s="121">
        <v>0.82152777777777775</v>
      </c>
    </row>
    <row r="190" spans="1:5" x14ac:dyDescent="0.25">
      <c r="A190" s="120">
        <v>42459</v>
      </c>
      <c r="B190" s="122">
        <v>1.2</v>
      </c>
      <c r="C190" s="121">
        <v>0.5</v>
      </c>
      <c r="D190" s="121">
        <v>0.29097222222222224</v>
      </c>
      <c r="E190" s="121">
        <v>0.82291666666666663</v>
      </c>
    </row>
    <row r="191" spans="1:5" x14ac:dyDescent="0.25">
      <c r="A191" s="120">
        <v>42459</v>
      </c>
      <c r="B191" s="122">
        <v>3.5</v>
      </c>
      <c r="C191" s="121">
        <v>0.99444444444444446</v>
      </c>
      <c r="D191" s="121">
        <v>0.29097222222222224</v>
      </c>
      <c r="E191" s="121">
        <v>0.82291666666666663</v>
      </c>
    </row>
    <row r="192" spans="1:5" x14ac:dyDescent="0.25">
      <c r="A192" s="120">
        <v>42460</v>
      </c>
      <c r="B192" s="122">
        <v>1.2</v>
      </c>
      <c r="C192" s="121">
        <v>0.54305555555555551</v>
      </c>
      <c r="D192" s="121">
        <v>0.28958333333333336</v>
      </c>
      <c r="E192" s="121">
        <v>0.82361111111111107</v>
      </c>
    </row>
    <row r="193" spans="1:5" x14ac:dyDescent="0.25">
      <c r="A193" s="120">
        <v>42461</v>
      </c>
      <c r="B193" s="122">
        <v>3.6</v>
      </c>
      <c r="C193" s="121">
        <v>4.5138888888888888E-2</v>
      </c>
      <c r="D193" s="121">
        <v>0.28819444444444442</v>
      </c>
      <c r="E193" s="121">
        <v>0.82499999999999996</v>
      </c>
    </row>
    <row r="194" spans="1:5" x14ac:dyDescent="0.25">
      <c r="A194" s="120">
        <v>42461</v>
      </c>
      <c r="B194" s="122">
        <v>1.1000000000000001</v>
      </c>
      <c r="C194" s="121">
        <v>0.59027777777777779</v>
      </c>
      <c r="D194" s="121">
        <v>0.28819444444444442</v>
      </c>
      <c r="E194" s="121">
        <v>0.82499999999999996</v>
      </c>
    </row>
    <row r="195" spans="1:5" x14ac:dyDescent="0.25">
      <c r="A195" s="120">
        <v>42462</v>
      </c>
      <c r="B195" s="122">
        <v>3.4</v>
      </c>
      <c r="C195" s="121">
        <v>0.1</v>
      </c>
      <c r="D195" s="121">
        <v>0.28680555555555554</v>
      </c>
      <c r="E195" s="121">
        <v>0.8256944444444444</v>
      </c>
    </row>
    <row r="196" spans="1:5" x14ac:dyDescent="0.25">
      <c r="A196" s="120">
        <v>42462</v>
      </c>
      <c r="B196" s="122">
        <v>0.8</v>
      </c>
      <c r="C196" s="121">
        <v>0.63541666666666663</v>
      </c>
      <c r="D196" s="121">
        <v>0.28680555555555554</v>
      </c>
      <c r="E196" s="121">
        <v>0.8256944444444444</v>
      </c>
    </row>
    <row r="197" spans="1:5" x14ac:dyDescent="0.25">
      <c r="A197" s="120">
        <v>42463</v>
      </c>
      <c r="B197" s="122">
        <v>2.8</v>
      </c>
      <c r="C197" s="121">
        <v>0.15</v>
      </c>
      <c r="D197" s="121">
        <v>0.28541666666666665</v>
      </c>
      <c r="E197" s="121">
        <v>0.82638888888888884</v>
      </c>
    </row>
    <row r="198" spans="1:5" x14ac:dyDescent="0.25">
      <c r="A198" s="120">
        <v>42463</v>
      </c>
      <c r="B198" s="122">
        <v>0.5</v>
      </c>
      <c r="C198" s="121">
        <v>0.67569444444444449</v>
      </c>
      <c r="D198" s="121">
        <v>0.28541666666666665</v>
      </c>
      <c r="E198" s="121">
        <v>0.82638888888888884</v>
      </c>
    </row>
    <row r="199" spans="1:5" x14ac:dyDescent="0.25">
      <c r="A199" s="120">
        <v>42464</v>
      </c>
      <c r="B199" s="122">
        <v>2</v>
      </c>
      <c r="C199" s="121">
        <v>0.19166666666666668</v>
      </c>
      <c r="D199" s="121">
        <v>0.28402777777777777</v>
      </c>
      <c r="E199" s="121">
        <v>0.82777777777777772</v>
      </c>
    </row>
    <row r="200" spans="1:5" x14ac:dyDescent="0.25">
      <c r="A200" s="120">
        <v>42464</v>
      </c>
      <c r="B200" s="122">
        <v>0.1</v>
      </c>
      <c r="C200" s="121">
        <v>0.71111111111111114</v>
      </c>
      <c r="D200" s="121">
        <v>0.28402777777777777</v>
      </c>
      <c r="E200" s="121">
        <v>0.82777777777777772</v>
      </c>
    </row>
    <row r="201" spans="1:5" x14ac:dyDescent="0.25">
      <c r="A201" s="120">
        <v>42465</v>
      </c>
      <c r="B201" s="122">
        <v>1.1000000000000001</v>
      </c>
      <c r="C201" s="121">
        <v>0.22916666666666666</v>
      </c>
      <c r="D201" s="121">
        <v>0.28263888888888888</v>
      </c>
      <c r="E201" s="121">
        <v>0.82847222222222228</v>
      </c>
    </row>
    <row r="202" spans="1:5" x14ac:dyDescent="0.25">
      <c r="A202" s="120">
        <v>42465</v>
      </c>
      <c r="B202" s="122">
        <v>0</v>
      </c>
      <c r="C202" s="121">
        <v>0.74375000000000002</v>
      </c>
      <c r="D202" s="121">
        <v>0.28263888888888888</v>
      </c>
      <c r="E202" s="121">
        <v>0.82847222222222228</v>
      </c>
    </row>
    <row r="203" spans="1:5" x14ac:dyDescent="0.25">
      <c r="A203" s="120">
        <v>42466</v>
      </c>
      <c r="B203" s="122">
        <v>0.2</v>
      </c>
      <c r="C203" s="121">
        <v>0.26319444444444445</v>
      </c>
      <c r="D203" s="121">
        <v>0.28125</v>
      </c>
      <c r="E203" s="121">
        <v>0.82986111111111116</v>
      </c>
    </row>
    <row r="204" spans="1:5" x14ac:dyDescent="0.25">
      <c r="A204" s="120">
        <v>42466</v>
      </c>
      <c r="B204" s="122">
        <v>0</v>
      </c>
      <c r="C204" s="121">
        <v>0.77500000000000002</v>
      </c>
      <c r="D204" s="121">
        <v>0.28125</v>
      </c>
      <c r="E204" s="121">
        <v>0.82986111111111116</v>
      </c>
    </row>
    <row r="205" spans="1:5" x14ac:dyDescent="0.25">
      <c r="A205" s="120">
        <v>42467</v>
      </c>
      <c r="B205" s="122">
        <v>-0.6</v>
      </c>
      <c r="C205" s="121">
        <v>0.29652777777777778</v>
      </c>
      <c r="D205" s="121">
        <v>0.27986111111111112</v>
      </c>
      <c r="E205" s="121">
        <v>0.8305555555555556</v>
      </c>
    </row>
    <row r="206" spans="1:5" x14ac:dyDescent="0.25">
      <c r="A206" s="120">
        <v>42467</v>
      </c>
      <c r="B206" s="122">
        <v>0.2</v>
      </c>
      <c r="C206" s="121">
        <v>0.80555555555555558</v>
      </c>
      <c r="D206" s="121">
        <v>0.27986111111111112</v>
      </c>
      <c r="E206" s="121">
        <v>0.8305555555555556</v>
      </c>
    </row>
    <row r="207" spans="1:5" x14ac:dyDescent="0.25">
      <c r="A207" s="120">
        <v>42468</v>
      </c>
      <c r="B207" s="122">
        <v>-1.1000000000000001</v>
      </c>
      <c r="C207" s="121">
        <v>0.32916666666666666</v>
      </c>
      <c r="D207" s="121">
        <v>0.27847222222222223</v>
      </c>
      <c r="E207" s="121">
        <v>0.83125000000000004</v>
      </c>
    </row>
    <row r="208" spans="1:5" x14ac:dyDescent="0.25">
      <c r="A208" s="120">
        <v>42468</v>
      </c>
      <c r="B208" s="122">
        <v>0.5</v>
      </c>
      <c r="C208" s="121">
        <v>0.8354166666666667</v>
      </c>
      <c r="D208" s="121">
        <v>0.27847222222222223</v>
      </c>
      <c r="E208" s="121">
        <v>0.83125000000000004</v>
      </c>
    </row>
    <row r="209" spans="1:5" x14ac:dyDescent="0.25">
      <c r="A209" s="120">
        <v>42469</v>
      </c>
      <c r="B209" s="122">
        <v>-1.3</v>
      </c>
      <c r="C209" s="121">
        <v>0.36249999999999999</v>
      </c>
      <c r="D209" s="121">
        <v>0.27708333333333335</v>
      </c>
      <c r="E209" s="121">
        <v>0.83263888888888893</v>
      </c>
    </row>
    <row r="210" spans="1:5" x14ac:dyDescent="0.25">
      <c r="A210" s="120">
        <v>42469</v>
      </c>
      <c r="B210" s="122">
        <v>1</v>
      </c>
      <c r="C210" s="121">
        <v>0.8666666666666667</v>
      </c>
      <c r="D210" s="121">
        <v>0.27708333333333335</v>
      </c>
      <c r="E210" s="121">
        <v>0.83263888888888893</v>
      </c>
    </row>
    <row r="211" spans="1:5" x14ac:dyDescent="0.25">
      <c r="A211" s="120">
        <v>42470</v>
      </c>
      <c r="B211" s="122">
        <v>-1.2</v>
      </c>
      <c r="C211" s="121">
        <v>0.3972222222222222</v>
      </c>
      <c r="D211" s="121">
        <v>0.27569444444444446</v>
      </c>
      <c r="E211" s="121">
        <v>0.83333333333333337</v>
      </c>
    </row>
    <row r="212" spans="1:5" x14ac:dyDescent="0.25">
      <c r="A212" s="120">
        <v>42470</v>
      </c>
      <c r="B212" s="122">
        <v>1.6</v>
      </c>
      <c r="C212" s="121">
        <v>0.89930555555555558</v>
      </c>
      <c r="D212" s="121">
        <v>0.27569444444444446</v>
      </c>
      <c r="E212" s="121">
        <v>0.83333333333333337</v>
      </c>
    </row>
    <row r="213" spans="1:5" x14ac:dyDescent="0.25">
      <c r="A213" s="120">
        <v>42471</v>
      </c>
      <c r="B213" s="122">
        <v>-0.9</v>
      </c>
      <c r="C213" s="121">
        <v>0.43263888888888891</v>
      </c>
      <c r="D213" s="121">
        <v>0.27430555555555558</v>
      </c>
      <c r="E213" s="121">
        <v>0.83472222222222225</v>
      </c>
    </row>
    <row r="214" spans="1:5" x14ac:dyDescent="0.25">
      <c r="A214" s="120">
        <v>42471</v>
      </c>
      <c r="B214" s="122">
        <v>2.2000000000000002</v>
      </c>
      <c r="C214" s="121">
        <v>0.93472222222222223</v>
      </c>
      <c r="D214" s="121">
        <v>0.27430555555555558</v>
      </c>
      <c r="E214" s="121">
        <v>0.83472222222222225</v>
      </c>
    </row>
    <row r="215" spans="1:5" x14ac:dyDescent="0.25">
      <c r="A215" s="120">
        <v>42472</v>
      </c>
      <c r="B215" s="122">
        <v>-0.4</v>
      </c>
      <c r="C215" s="121">
        <v>0.47152777777777777</v>
      </c>
      <c r="D215" s="121">
        <v>0.27291666666666664</v>
      </c>
      <c r="E215" s="121">
        <v>0.8354166666666667</v>
      </c>
    </row>
    <row r="216" spans="1:5" x14ac:dyDescent="0.25">
      <c r="A216" s="120">
        <v>42472</v>
      </c>
      <c r="B216" s="122">
        <v>2.7</v>
      </c>
      <c r="C216" s="121">
        <v>0.97569444444444442</v>
      </c>
      <c r="D216" s="121">
        <v>0.27291666666666664</v>
      </c>
      <c r="E216" s="121">
        <v>0.8354166666666667</v>
      </c>
    </row>
    <row r="217" spans="1:5" x14ac:dyDescent="0.25">
      <c r="A217" s="120">
        <v>42473</v>
      </c>
      <c r="B217" s="122">
        <v>0.1</v>
      </c>
      <c r="C217" s="121">
        <v>0.51388888888888884</v>
      </c>
      <c r="D217" s="121">
        <v>0.27152777777777776</v>
      </c>
      <c r="E217" s="121">
        <v>0.83611111111111114</v>
      </c>
    </row>
    <row r="218" spans="1:5" x14ac:dyDescent="0.25">
      <c r="A218" s="120">
        <v>42474</v>
      </c>
      <c r="B218" s="122">
        <v>3.1</v>
      </c>
      <c r="C218" s="121">
        <v>2.2916666666666665E-2</v>
      </c>
      <c r="D218" s="121">
        <v>0.27083333333333331</v>
      </c>
      <c r="E218" s="121">
        <v>0.83750000000000002</v>
      </c>
    </row>
    <row r="219" spans="1:5" x14ac:dyDescent="0.25">
      <c r="A219" s="120">
        <v>42474</v>
      </c>
      <c r="B219" s="122">
        <v>0.6</v>
      </c>
      <c r="C219" s="121">
        <v>0.55972222222222223</v>
      </c>
      <c r="D219" s="121">
        <v>0.27083333333333331</v>
      </c>
      <c r="E219" s="121">
        <v>0.83750000000000002</v>
      </c>
    </row>
    <row r="220" spans="1:5" x14ac:dyDescent="0.25">
      <c r="A220" s="120">
        <v>42475</v>
      </c>
      <c r="B220" s="122">
        <v>3.1</v>
      </c>
      <c r="C220" s="121">
        <v>7.7083333333333337E-2</v>
      </c>
      <c r="D220" s="121">
        <v>0.26944444444444443</v>
      </c>
      <c r="E220" s="121">
        <v>0.83819444444444446</v>
      </c>
    </row>
    <row r="221" spans="1:5" x14ac:dyDescent="0.25">
      <c r="A221" s="120">
        <v>42475</v>
      </c>
      <c r="B221" s="122">
        <v>0.8</v>
      </c>
      <c r="C221" s="121">
        <v>0.6069444444444444</v>
      </c>
      <c r="D221" s="121">
        <v>0.26944444444444443</v>
      </c>
      <c r="E221" s="121">
        <v>0.83819444444444446</v>
      </c>
    </row>
    <row r="222" spans="1:5" x14ac:dyDescent="0.25">
      <c r="A222" s="120">
        <v>42476</v>
      </c>
      <c r="B222" s="122">
        <v>2.7</v>
      </c>
      <c r="C222" s="121">
        <v>0.13055555555555556</v>
      </c>
      <c r="D222" s="121">
        <v>0.26805555555555555</v>
      </c>
      <c r="E222" s="121">
        <v>0.83958333333333335</v>
      </c>
    </row>
    <row r="223" spans="1:5" x14ac:dyDescent="0.25">
      <c r="A223" s="120">
        <v>42476</v>
      </c>
      <c r="B223" s="122">
        <v>0.9</v>
      </c>
      <c r="C223" s="121">
        <v>0.65</v>
      </c>
      <c r="D223" s="121">
        <v>0.26805555555555555</v>
      </c>
      <c r="E223" s="121">
        <v>0.83958333333333335</v>
      </c>
    </row>
    <row r="224" spans="1:5" x14ac:dyDescent="0.25">
      <c r="A224" s="120">
        <v>42477</v>
      </c>
      <c r="B224" s="122">
        <v>2.2000000000000002</v>
      </c>
      <c r="C224" s="121">
        <v>0.17569444444444443</v>
      </c>
      <c r="D224" s="121">
        <v>0.26666666666666666</v>
      </c>
      <c r="E224" s="121">
        <v>0.84027777777777779</v>
      </c>
    </row>
    <row r="225" spans="1:5" x14ac:dyDescent="0.25">
      <c r="A225" s="120">
        <v>42477</v>
      </c>
      <c r="B225" s="122">
        <v>1</v>
      </c>
      <c r="C225" s="121">
        <v>0.68680555555555556</v>
      </c>
      <c r="D225" s="121">
        <v>0.26666666666666666</v>
      </c>
      <c r="E225" s="121">
        <v>0.84027777777777779</v>
      </c>
    </row>
    <row r="226" spans="1:5" x14ac:dyDescent="0.25">
      <c r="A226" s="120">
        <v>42478</v>
      </c>
      <c r="B226" s="122">
        <v>1.6</v>
      </c>
      <c r="C226" s="121">
        <v>0.21111111111111111</v>
      </c>
      <c r="D226" s="121">
        <v>0.26527777777777778</v>
      </c>
      <c r="E226" s="121">
        <v>0.84097222222222223</v>
      </c>
    </row>
    <row r="227" spans="1:5" x14ac:dyDescent="0.25">
      <c r="A227" s="120">
        <v>42478</v>
      </c>
      <c r="B227" s="122">
        <v>1</v>
      </c>
      <c r="C227" s="121">
        <v>0.71736111111111112</v>
      </c>
      <c r="D227" s="121">
        <v>0.26527777777777778</v>
      </c>
      <c r="E227" s="121">
        <v>0.84097222222222223</v>
      </c>
    </row>
    <row r="228" spans="1:5" x14ac:dyDescent="0.25">
      <c r="A228" s="120">
        <v>42479</v>
      </c>
      <c r="B228" s="122">
        <v>1</v>
      </c>
      <c r="C228" s="121">
        <v>0.24097222222222223</v>
      </c>
      <c r="D228" s="121">
        <v>0.2638888888888889</v>
      </c>
      <c r="E228" s="121">
        <v>0.84236111111111112</v>
      </c>
    </row>
    <row r="229" spans="1:5" x14ac:dyDescent="0.25">
      <c r="A229" s="120">
        <v>42479</v>
      </c>
      <c r="B229" s="122">
        <v>1.1000000000000001</v>
      </c>
      <c r="C229" s="121">
        <v>0.74444444444444446</v>
      </c>
      <c r="D229" s="121">
        <v>0.2638888888888889</v>
      </c>
      <c r="E229" s="121">
        <v>0.84236111111111112</v>
      </c>
    </row>
    <row r="230" spans="1:5" x14ac:dyDescent="0.25">
      <c r="A230" s="120">
        <v>42480</v>
      </c>
      <c r="B230" s="122">
        <v>0.6</v>
      </c>
      <c r="C230" s="121">
        <v>0.2673611111111111</v>
      </c>
      <c r="D230" s="121">
        <v>0.26250000000000001</v>
      </c>
      <c r="E230" s="121">
        <v>0.84305555555555556</v>
      </c>
    </row>
    <row r="231" spans="1:5" x14ac:dyDescent="0.25">
      <c r="A231" s="120">
        <v>42480</v>
      </c>
      <c r="B231" s="122">
        <v>1.3</v>
      </c>
      <c r="C231" s="121">
        <v>0.76875000000000004</v>
      </c>
      <c r="D231" s="121">
        <v>0.26250000000000001</v>
      </c>
      <c r="E231" s="121">
        <v>0.84305555555555556</v>
      </c>
    </row>
    <row r="232" spans="1:5" x14ac:dyDescent="0.25">
      <c r="A232" s="120">
        <v>42481</v>
      </c>
      <c r="B232" s="122">
        <v>0.2</v>
      </c>
      <c r="C232" s="121">
        <v>0.29236111111111113</v>
      </c>
      <c r="D232" s="121">
        <v>0.26180555555555557</v>
      </c>
      <c r="E232" s="121">
        <v>0.84444444444444444</v>
      </c>
    </row>
    <row r="233" spans="1:5" x14ac:dyDescent="0.25">
      <c r="A233" s="120">
        <v>42481</v>
      </c>
      <c r="B233" s="122">
        <v>1.5</v>
      </c>
      <c r="C233" s="121">
        <v>0.79236111111111107</v>
      </c>
      <c r="D233" s="121">
        <v>0.26180555555555557</v>
      </c>
      <c r="E233" s="121">
        <v>0.84444444444444444</v>
      </c>
    </row>
    <row r="234" spans="1:5" x14ac:dyDescent="0.25">
      <c r="A234" s="120">
        <v>42482</v>
      </c>
      <c r="B234" s="122">
        <v>0</v>
      </c>
      <c r="C234" s="121">
        <v>0.31597222222222221</v>
      </c>
      <c r="D234" s="121">
        <v>0.26041666666666669</v>
      </c>
      <c r="E234" s="121">
        <v>0.84513888888888888</v>
      </c>
    </row>
    <row r="235" spans="1:5" x14ac:dyDescent="0.25">
      <c r="A235" s="120">
        <v>42482</v>
      </c>
      <c r="B235" s="122">
        <v>1.7</v>
      </c>
      <c r="C235" s="121">
        <v>0.81458333333333333</v>
      </c>
      <c r="D235" s="121">
        <v>0.26041666666666669</v>
      </c>
      <c r="E235" s="121">
        <v>0.84513888888888888</v>
      </c>
    </row>
    <row r="236" spans="1:5" x14ac:dyDescent="0.25">
      <c r="A236" s="120">
        <v>42483</v>
      </c>
      <c r="B236" s="122">
        <v>-0.2</v>
      </c>
      <c r="C236" s="121">
        <v>0.33888888888888891</v>
      </c>
      <c r="D236" s="121">
        <v>0.2590277777777778</v>
      </c>
      <c r="E236" s="121">
        <v>0.84583333333333333</v>
      </c>
    </row>
    <row r="237" spans="1:5" x14ac:dyDescent="0.25">
      <c r="A237" s="120">
        <v>42483</v>
      </c>
      <c r="B237" s="122">
        <v>2</v>
      </c>
      <c r="C237" s="121">
        <v>0.83680555555555558</v>
      </c>
      <c r="D237" s="121">
        <v>0.2590277777777778</v>
      </c>
      <c r="E237" s="121">
        <v>0.84583333333333333</v>
      </c>
    </row>
    <row r="238" spans="1:5" x14ac:dyDescent="0.25">
      <c r="A238" s="120">
        <v>42484</v>
      </c>
      <c r="B238" s="122">
        <v>-0.2</v>
      </c>
      <c r="C238" s="121">
        <v>0.36249999999999999</v>
      </c>
      <c r="D238" s="121">
        <v>0.25763888888888886</v>
      </c>
      <c r="E238" s="121">
        <v>0.84722222222222221</v>
      </c>
    </row>
    <row r="239" spans="1:5" x14ac:dyDescent="0.25">
      <c r="A239" s="120">
        <v>42484</v>
      </c>
      <c r="B239" s="122">
        <v>2.2999999999999998</v>
      </c>
      <c r="C239" s="121">
        <v>0.85972222222222228</v>
      </c>
      <c r="D239" s="121">
        <v>0.25763888888888886</v>
      </c>
      <c r="E239" s="121">
        <v>0.84722222222222221</v>
      </c>
    </row>
    <row r="240" spans="1:5" x14ac:dyDescent="0.25">
      <c r="A240" s="120">
        <v>42485</v>
      </c>
      <c r="B240" s="122">
        <v>-0.2</v>
      </c>
      <c r="C240" s="121">
        <v>0.38750000000000001</v>
      </c>
      <c r="D240" s="121">
        <v>0.25694444444444442</v>
      </c>
      <c r="E240" s="121">
        <v>0.84791666666666665</v>
      </c>
    </row>
    <row r="241" spans="1:5" x14ac:dyDescent="0.25">
      <c r="A241" s="120">
        <v>42485</v>
      </c>
      <c r="B241" s="122">
        <v>2.6</v>
      </c>
      <c r="C241" s="121">
        <v>0.88402777777777775</v>
      </c>
      <c r="D241" s="121">
        <v>0.25694444444444442</v>
      </c>
      <c r="E241" s="121">
        <v>0.84791666666666665</v>
      </c>
    </row>
    <row r="242" spans="1:5" x14ac:dyDescent="0.25">
      <c r="A242" s="120">
        <v>42486</v>
      </c>
      <c r="B242" s="122">
        <v>-0.1</v>
      </c>
      <c r="C242" s="121">
        <v>0.41388888888888886</v>
      </c>
      <c r="D242" s="121">
        <v>0.25555555555555554</v>
      </c>
      <c r="E242" s="121">
        <v>0.84861111111111109</v>
      </c>
    </row>
    <row r="243" spans="1:5" x14ac:dyDescent="0.25">
      <c r="A243" s="120">
        <v>42486</v>
      </c>
      <c r="B243" s="122">
        <v>2.9</v>
      </c>
      <c r="C243" s="121">
        <v>0.91111111111111109</v>
      </c>
      <c r="D243" s="121">
        <v>0.25555555555555554</v>
      </c>
      <c r="E243" s="121">
        <v>0.84861111111111109</v>
      </c>
    </row>
    <row r="244" spans="1:5" x14ac:dyDescent="0.25">
      <c r="A244" s="120">
        <v>42487</v>
      </c>
      <c r="B244" s="122">
        <v>0.1</v>
      </c>
      <c r="C244" s="121">
        <v>0.44374999999999998</v>
      </c>
      <c r="D244" s="121">
        <v>0.25416666666666665</v>
      </c>
      <c r="E244" s="121">
        <v>0.85</v>
      </c>
    </row>
    <row r="245" spans="1:5" x14ac:dyDescent="0.25">
      <c r="A245" s="120">
        <v>42487</v>
      </c>
      <c r="B245" s="122">
        <v>3.1</v>
      </c>
      <c r="C245" s="121">
        <v>0.94305555555555554</v>
      </c>
      <c r="D245" s="121">
        <v>0.25416666666666665</v>
      </c>
      <c r="E245" s="121">
        <v>0.85</v>
      </c>
    </row>
    <row r="246" spans="1:5" x14ac:dyDescent="0.25">
      <c r="A246" s="120">
        <v>42488</v>
      </c>
      <c r="B246" s="122">
        <v>0.3</v>
      </c>
      <c r="C246" s="121">
        <v>0.4777777777777778</v>
      </c>
      <c r="D246" s="121">
        <v>0.25347222222222221</v>
      </c>
      <c r="E246" s="121">
        <v>0.85069444444444442</v>
      </c>
    </row>
    <row r="247" spans="1:5" x14ac:dyDescent="0.25">
      <c r="A247" s="120">
        <v>42488</v>
      </c>
      <c r="B247" s="122">
        <v>3.3</v>
      </c>
      <c r="C247" s="121">
        <v>0.98333333333333328</v>
      </c>
      <c r="D247" s="121">
        <v>0.25347222222222221</v>
      </c>
      <c r="E247" s="121">
        <v>0.85069444444444442</v>
      </c>
    </row>
    <row r="248" spans="1:5" x14ac:dyDescent="0.25">
      <c r="A248" s="120">
        <v>42489</v>
      </c>
      <c r="B248" s="122">
        <v>0.5</v>
      </c>
      <c r="C248" s="121">
        <v>0.51666666666666672</v>
      </c>
      <c r="D248" s="121">
        <v>0.25208333333333333</v>
      </c>
      <c r="E248" s="121">
        <v>0.8520833333333333</v>
      </c>
    </row>
    <row r="249" spans="1:5" x14ac:dyDescent="0.25">
      <c r="A249" s="120">
        <v>42490</v>
      </c>
      <c r="B249" s="122">
        <v>3.2</v>
      </c>
      <c r="C249" s="121">
        <v>3.2638888888888891E-2</v>
      </c>
      <c r="D249" s="121">
        <v>0.25069444444444444</v>
      </c>
      <c r="E249" s="121">
        <v>0.85277777777777775</v>
      </c>
    </row>
    <row r="250" spans="1:5" x14ac:dyDescent="0.25">
      <c r="A250" s="120">
        <v>42490</v>
      </c>
      <c r="B250" s="122">
        <v>0.6</v>
      </c>
      <c r="C250" s="121">
        <v>0.55972222222222223</v>
      </c>
      <c r="D250" s="121">
        <v>0.25069444444444444</v>
      </c>
      <c r="E250" s="121">
        <v>0.85277777777777775</v>
      </c>
    </row>
    <row r="251" spans="1:5" x14ac:dyDescent="0.25">
      <c r="A251" s="120">
        <v>42491</v>
      </c>
      <c r="B251" s="122">
        <v>2.8</v>
      </c>
      <c r="C251" s="121">
        <v>8.611111111111111E-2</v>
      </c>
      <c r="D251" s="121">
        <v>0.25</v>
      </c>
      <c r="E251" s="121">
        <v>0.85347222222222219</v>
      </c>
    </row>
    <row r="252" spans="1:5" x14ac:dyDescent="0.25">
      <c r="A252" s="120">
        <v>42491</v>
      </c>
      <c r="B252" s="122">
        <v>0.6</v>
      </c>
      <c r="C252" s="121">
        <v>0.60416666666666663</v>
      </c>
      <c r="D252" s="121">
        <v>0.25</v>
      </c>
      <c r="E252" s="121">
        <v>0.85347222222222219</v>
      </c>
    </row>
    <row r="253" spans="1:5" x14ac:dyDescent="0.25">
      <c r="A253" s="120">
        <v>42492</v>
      </c>
      <c r="B253" s="122">
        <v>2.1</v>
      </c>
      <c r="C253" s="121">
        <v>0.13541666666666666</v>
      </c>
      <c r="D253" s="121">
        <v>0.24861111111111112</v>
      </c>
      <c r="E253" s="121">
        <v>0.85486111111111107</v>
      </c>
    </row>
    <row r="254" spans="1:5" x14ac:dyDescent="0.25">
      <c r="A254" s="120">
        <v>42492</v>
      </c>
      <c r="B254" s="122">
        <v>0.6</v>
      </c>
      <c r="C254" s="121">
        <v>0.64583333333333337</v>
      </c>
      <c r="D254" s="121">
        <v>0.24861111111111112</v>
      </c>
      <c r="E254" s="121">
        <v>0.85486111111111107</v>
      </c>
    </row>
    <row r="255" spans="1:5" x14ac:dyDescent="0.25">
      <c r="A255" s="120">
        <v>42493</v>
      </c>
      <c r="B255" s="122">
        <v>1.1000000000000001</v>
      </c>
      <c r="C255" s="121">
        <v>0.17777777777777778</v>
      </c>
      <c r="D255" s="121">
        <v>0.24791666666666667</v>
      </c>
      <c r="E255" s="121">
        <v>0.85555555555555551</v>
      </c>
    </row>
    <row r="256" spans="1:5" x14ac:dyDescent="0.25">
      <c r="A256" s="120">
        <v>42493</v>
      </c>
      <c r="B256" s="122">
        <v>0.6</v>
      </c>
      <c r="C256" s="121">
        <v>0.68472222222222223</v>
      </c>
      <c r="D256" s="121">
        <v>0.24791666666666667</v>
      </c>
      <c r="E256" s="121">
        <v>0.85555555555555551</v>
      </c>
    </row>
    <row r="257" spans="1:5" x14ac:dyDescent="0.25">
      <c r="A257" s="120">
        <v>42494</v>
      </c>
      <c r="B257" s="122">
        <v>0.1</v>
      </c>
      <c r="C257" s="121">
        <v>0.21597222222222223</v>
      </c>
      <c r="D257" s="121">
        <v>0.24652777777777779</v>
      </c>
      <c r="E257" s="121">
        <v>0.85624999999999996</v>
      </c>
    </row>
    <row r="258" spans="1:5" x14ac:dyDescent="0.25">
      <c r="A258" s="120">
        <v>42494</v>
      </c>
      <c r="B258" s="122">
        <v>0.6</v>
      </c>
      <c r="C258" s="121">
        <v>0.72013888888888888</v>
      </c>
      <c r="D258" s="121">
        <v>0.24652777777777779</v>
      </c>
      <c r="E258" s="121">
        <v>0.85624999999999996</v>
      </c>
    </row>
    <row r="259" spans="1:5" x14ac:dyDescent="0.25">
      <c r="A259" s="120">
        <v>42495</v>
      </c>
      <c r="B259" s="122">
        <v>-0.8</v>
      </c>
      <c r="C259" s="121">
        <v>0.25138888888888888</v>
      </c>
      <c r="D259" s="121">
        <v>0.24583333333333332</v>
      </c>
      <c r="E259" s="121">
        <v>0.85763888888888884</v>
      </c>
    </row>
    <row r="260" spans="1:5" x14ac:dyDescent="0.25">
      <c r="A260" s="120">
        <v>42495</v>
      </c>
      <c r="B260" s="122">
        <v>0.7</v>
      </c>
      <c r="C260" s="121">
        <v>0.75416666666666665</v>
      </c>
      <c r="D260" s="121">
        <v>0.24583333333333332</v>
      </c>
      <c r="E260" s="121">
        <v>0.85763888888888884</v>
      </c>
    </row>
    <row r="261" spans="1:5" x14ac:dyDescent="0.25">
      <c r="A261" s="120">
        <v>42496</v>
      </c>
      <c r="B261" s="122">
        <v>-1.5</v>
      </c>
      <c r="C261" s="121">
        <v>0.28541666666666665</v>
      </c>
      <c r="D261" s="121">
        <v>0.24444444444444444</v>
      </c>
      <c r="E261" s="121">
        <v>0.85833333333333328</v>
      </c>
    </row>
    <row r="262" spans="1:5" x14ac:dyDescent="0.25">
      <c r="A262" s="120">
        <v>42496</v>
      </c>
      <c r="B262" s="122">
        <v>0.9</v>
      </c>
      <c r="C262" s="121">
        <v>0.78680555555555554</v>
      </c>
      <c r="D262" s="121">
        <v>0.24444444444444444</v>
      </c>
      <c r="E262" s="121">
        <v>0.85833333333333328</v>
      </c>
    </row>
    <row r="263" spans="1:5" x14ac:dyDescent="0.25">
      <c r="A263" s="120">
        <v>42497</v>
      </c>
      <c r="B263" s="122">
        <v>-2</v>
      </c>
      <c r="C263" s="121">
        <v>0.31874999999999998</v>
      </c>
      <c r="D263" s="121">
        <v>0.24374999999999999</v>
      </c>
      <c r="E263" s="121">
        <v>0.85902777777777772</v>
      </c>
    </row>
    <row r="264" spans="1:5" x14ac:dyDescent="0.25">
      <c r="A264" s="120">
        <v>42497</v>
      </c>
      <c r="B264" s="122">
        <v>1.2</v>
      </c>
      <c r="C264" s="121">
        <v>0.82013888888888886</v>
      </c>
      <c r="D264" s="121">
        <v>0.24374999999999999</v>
      </c>
      <c r="E264" s="121">
        <v>0.85902777777777772</v>
      </c>
    </row>
    <row r="265" spans="1:5" x14ac:dyDescent="0.25">
      <c r="A265" s="120">
        <v>42498</v>
      </c>
      <c r="B265" s="122">
        <v>-2.1</v>
      </c>
      <c r="C265" s="121">
        <v>0.35138888888888886</v>
      </c>
      <c r="D265" s="121">
        <v>0.24236111111111111</v>
      </c>
      <c r="E265" s="121">
        <v>0.86041666666666672</v>
      </c>
    </row>
    <row r="266" spans="1:5" x14ac:dyDescent="0.25">
      <c r="A266" s="120">
        <v>42498</v>
      </c>
      <c r="B266" s="122">
        <v>1.6</v>
      </c>
      <c r="C266" s="121">
        <v>0.85277777777777775</v>
      </c>
      <c r="D266" s="121">
        <v>0.24236111111111111</v>
      </c>
      <c r="E266" s="121">
        <v>0.86041666666666672</v>
      </c>
    </row>
    <row r="267" spans="1:5" x14ac:dyDescent="0.25">
      <c r="A267" s="120">
        <v>42499</v>
      </c>
      <c r="B267" s="122">
        <v>-1.9</v>
      </c>
      <c r="C267" s="121">
        <v>0.38472222222222224</v>
      </c>
      <c r="D267" s="121">
        <v>0.24166666666666667</v>
      </c>
      <c r="E267" s="121">
        <v>0.86111111111111116</v>
      </c>
    </row>
    <row r="268" spans="1:5" x14ac:dyDescent="0.25">
      <c r="A268" s="120">
        <v>42499</v>
      </c>
      <c r="B268" s="122">
        <v>2</v>
      </c>
      <c r="C268" s="121">
        <v>0.88749999999999996</v>
      </c>
      <c r="D268" s="121">
        <v>0.24166666666666667</v>
      </c>
      <c r="E268" s="121">
        <v>0.86111111111111116</v>
      </c>
    </row>
    <row r="269" spans="1:5" x14ac:dyDescent="0.25">
      <c r="A269" s="120">
        <v>42500</v>
      </c>
      <c r="B269" s="122">
        <v>-1.5</v>
      </c>
      <c r="C269" s="121">
        <v>0.41875000000000001</v>
      </c>
      <c r="D269" s="121">
        <v>0.24027777777777778</v>
      </c>
      <c r="E269" s="121">
        <v>0.8618055555555556</v>
      </c>
    </row>
    <row r="270" spans="1:5" x14ac:dyDescent="0.25">
      <c r="A270" s="120">
        <v>42500</v>
      </c>
      <c r="B270" s="122">
        <v>2.2999999999999998</v>
      </c>
      <c r="C270" s="121">
        <v>0.9243055555555556</v>
      </c>
      <c r="D270" s="121">
        <v>0.24027777777777778</v>
      </c>
      <c r="E270" s="121">
        <v>0.8618055555555556</v>
      </c>
    </row>
    <row r="271" spans="1:5" x14ac:dyDescent="0.25">
      <c r="A271" s="120">
        <v>42501</v>
      </c>
      <c r="B271" s="122">
        <v>-0.9</v>
      </c>
      <c r="C271" s="121">
        <v>0.4548611111111111</v>
      </c>
      <c r="D271" s="121">
        <v>0.23958333333333334</v>
      </c>
      <c r="E271" s="121">
        <v>0.86319444444444449</v>
      </c>
    </row>
    <row r="272" spans="1:5" x14ac:dyDescent="0.25">
      <c r="A272" s="120">
        <v>42501</v>
      </c>
      <c r="B272" s="122">
        <v>2.6</v>
      </c>
      <c r="C272" s="121">
        <v>0.96458333333333335</v>
      </c>
      <c r="D272" s="121">
        <v>0.23958333333333334</v>
      </c>
      <c r="E272" s="121">
        <v>0.86319444444444449</v>
      </c>
    </row>
    <row r="273" spans="1:5" x14ac:dyDescent="0.25">
      <c r="A273" s="120">
        <v>42502</v>
      </c>
      <c r="B273" s="122">
        <v>-0.3</v>
      </c>
      <c r="C273" s="121">
        <v>0.49236111111111114</v>
      </c>
      <c r="D273" s="121">
        <v>0.2388888888888889</v>
      </c>
      <c r="E273" s="121">
        <v>0.86388888888888893</v>
      </c>
    </row>
    <row r="274" spans="1:5" x14ac:dyDescent="0.25">
      <c r="A274" s="120">
        <v>42503</v>
      </c>
      <c r="B274" s="122">
        <v>2.8</v>
      </c>
      <c r="C274" s="121">
        <v>1.1111111111111112E-2</v>
      </c>
      <c r="D274" s="121">
        <v>0.23749999999999999</v>
      </c>
      <c r="E274" s="121">
        <v>0.86458333333333337</v>
      </c>
    </row>
    <row r="275" spans="1:5" x14ac:dyDescent="0.25">
      <c r="A275" s="120">
        <v>42503</v>
      </c>
      <c r="B275" s="122">
        <v>0.3</v>
      </c>
      <c r="C275" s="121">
        <v>0.53194444444444444</v>
      </c>
      <c r="D275" s="121">
        <v>0.23749999999999999</v>
      </c>
      <c r="E275" s="121">
        <v>0.86458333333333337</v>
      </c>
    </row>
    <row r="276" spans="1:5" x14ac:dyDescent="0.25">
      <c r="A276" s="120">
        <v>42504</v>
      </c>
      <c r="B276" s="122">
        <v>2.7</v>
      </c>
      <c r="C276" s="121">
        <v>6.1805555555555558E-2</v>
      </c>
      <c r="D276" s="121">
        <v>0.23680555555555555</v>
      </c>
      <c r="E276" s="121">
        <v>0.86597222222222225</v>
      </c>
    </row>
    <row r="277" spans="1:5" x14ac:dyDescent="0.25">
      <c r="A277" s="120">
        <v>42504</v>
      </c>
      <c r="B277" s="122">
        <v>0.8</v>
      </c>
      <c r="C277" s="121">
        <v>0.57361111111111107</v>
      </c>
      <c r="D277" s="121">
        <v>0.23680555555555555</v>
      </c>
      <c r="E277" s="121">
        <v>0.86597222222222225</v>
      </c>
    </row>
    <row r="278" spans="1:5" x14ac:dyDescent="0.25">
      <c r="A278" s="120">
        <v>42505</v>
      </c>
      <c r="B278" s="122">
        <v>2.2999999999999998</v>
      </c>
      <c r="C278" s="121">
        <v>0.11180555555555556</v>
      </c>
      <c r="D278" s="121">
        <v>0.2361111111111111</v>
      </c>
      <c r="E278" s="121">
        <v>0.8666666666666667</v>
      </c>
    </row>
    <row r="279" spans="1:5" x14ac:dyDescent="0.25">
      <c r="A279" s="120">
        <v>42505</v>
      </c>
      <c r="B279" s="122">
        <v>1.2</v>
      </c>
      <c r="C279" s="121">
        <v>0.61458333333333337</v>
      </c>
      <c r="D279" s="121">
        <v>0.2361111111111111</v>
      </c>
      <c r="E279" s="121">
        <v>0.8666666666666667</v>
      </c>
    </row>
    <row r="280" spans="1:5" x14ac:dyDescent="0.25">
      <c r="A280" s="120">
        <v>42506</v>
      </c>
      <c r="B280" s="122">
        <v>1.8</v>
      </c>
      <c r="C280" s="121">
        <v>0.15625</v>
      </c>
      <c r="D280" s="121">
        <v>0.23541666666666666</v>
      </c>
      <c r="E280" s="121">
        <v>0.86736111111111114</v>
      </c>
    </row>
    <row r="281" spans="1:5" x14ac:dyDescent="0.25">
      <c r="A281" s="120">
        <v>42506</v>
      </c>
      <c r="B281" s="122">
        <v>1.4</v>
      </c>
      <c r="C281" s="121">
        <v>0.65208333333333335</v>
      </c>
      <c r="D281" s="121">
        <v>0.23541666666666666</v>
      </c>
      <c r="E281" s="121">
        <v>0.86736111111111114</v>
      </c>
    </row>
    <row r="282" spans="1:5" x14ac:dyDescent="0.25">
      <c r="A282" s="120">
        <v>42507</v>
      </c>
      <c r="B282" s="122">
        <v>1.2</v>
      </c>
      <c r="C282" s="121">
        <v>0.19236111111111112</v>
      </c>
      <c r="D282" s="121">
        <v>0.23472222222222222</v>
      </c>
      <c r="E282" s="121">
        <v>0.86805555555555558</v>
      </c>
    </row>
    <row r="283" spans="1:5" x14ac:dyDescent="0.25">
      <c r="A283" s="120">
        <v>42507</v>
      </c>
      <c r="B283" s="122">
        <v>1.6</v>
      </c>
      <c r="C283" s="121">
        <v>0.68541666666666667</v>
      </c>
      <c r="D283" s="121">
        <v>0.23472222222222222</v>
      </c>
      <c r="E283" s="121">
        <v>0.86805555555555558</v>
      </c>
    </row>
    <row r="284" spans="1:5" x14ac:dyDescent="0.25">
      <c r="A284" s="120">
        <v>42508</v>
      </c>
      <c r="B284" s="122">
        <v>0.6</v>
      </c>
      <c r="C284" s="121">
        <v>0.22291666666666668</v>
      </c>
      <c r="D284" s="121">
        <v>0.23333333333333334</v>
      </c>
      <c r="E284" s="121">
        <v>0.86875000000000002</v>
      </c>
    </row>
    <row r="285" spans="1:5" x14ac:dyDescent="0.25">
      <c r="A285" s="120">
        <v>42508</v>
      </c>
      <c r="B285" s="122">
        <v>1.8</v>
      </c>
      <c r="C285" s="121">
        <v>0.71527777777777779</v>
      </c>
      <c r="D285" s="121">
        <v>0.23333333333333334</v>
      </c>
      <c r="E285" s="121">
        <v>0.86875000000000002</v>
      </c>
    </row>
    <row r="286" spans="1:5" x14ac:dyDescent="0.25">
      <c r="A286" s="120">
        <v>42509</v>
      </c>
      <c r="B286" s="122">
        <v>0.1</v>
      </c>
      <c r="C286" s="121">
        <v>0.25</v>
      </c>
      <c r="D286" s="121">
        <v>0.2326388888888889</v>
      </c>
      <c r="E286" s="121">
        <v>0.87013888888888891</v>
      </c>
    </row>
    <row r="287" spans="1:5" x14ac:dyDescent="0.25">
      <c r="A287" s="120">
        <v>42509</v>
      </c>
      <c r="B287" s="122">
        <v>1.9</v>
      </c>
      <c r="C287" s="121">
        <v>0.74236111111111114</v>
      </c>
      <c r="D287" s="121">
        <v>0.2326388888888889</v>
      </c>
      <c r="E287" s="121">
        <v>0.87013888888888891</v>
      </c>
    </row>
    <row r="288" spans="1:5" x14ac:dyDescent="0.25">
      <c r="A288" s="120">
        <v>42510</v>
      </c>
      <c r="B288" s="122">
        <v>-0.3</v>
      </c>
      <c r="C288" s="121">
        <v>0.27569444444444446</v>
      </c>
      <c r="D288" s="121">
        <v>0.23194444444444445</v>
      </c>
      <c r="E288" s="121">
        <v>0.87083333333333335</v>
      </c>
    </row>
    <row r="289" spans="1:5" x14ac:dyDescent="0.25">
      <c r="A289" s="120">
        <v>42510</v>
      </c>
      <c r="B289" s="122">
        <v>2.1</v>
      </c>
      <c r="C289" s="121">
        <v>0.76875000000000004</v>
      </c>
      <c r="D289" s="121">
        <v>0.23194444444444445</v>
      </c>
      <c r="E289" s="121">
        <v>0.87083333333333335</v>
      </c>
    </row>
    <row r="290" spans="1:5" x14ac:dyDescent="0.25">
      <c r="A290" s="120">
        <v>42511</v>
      </c>
      <c r="B290" s="122">
        <v>-0.6</v>
      </c>
      <c r="C290" s="121">
        <v>0.3</v>
      </c>
      <c r="D290" s="121">
        <v>0.23125000000000001</v>
      </c>
      <c r="E290" s="121">
        <v>0.87152777777777779</v>
      </c>
    </row>
    <row r="291" spans="1:5" x14ac:dyDescent="0.25">
      <c r="A291" s="120">
        <v>42511</v>
      </c>
      <c r="B291" s="122">
        <v>2.2000000000000002</v>
      </c>
      <c r="C291" s="121">
        <v>0.79374999999999996</v>
      </c>
      <c r="D291" s="121">
        <v>0.23125000000000001</v>
      </c>
      <c r="E291" s="121">
        <v>0.87152777777777779</v>
      </c>
    </row>
    <row r="292" spans="1:5" x14ac:dyDescent="0.25">
      <c r="A292" s="120">
        <v>42512</v>
      </c>
      <c r="B292" s="122">
        <v>-0.8</v>
      </c>
      <c r="C292" s="121">
        <v>0.32430555555555557</v>
      </c>
      <c r="D292" s="121">
        <v>0.23055555555555557</v>
      </c>
      <c r="E292" s="121">
        <v>0.87222222222222223</v>
      </c>
    </row>
    <row r="293" spans="1:5" x14ac:dyDescent="0.25">
      <c r="A293" s="120">
        <v>42512</v>
      </c>
      <c r="B293" s="122">
        <v>2.4</v>
      </c>
      <c r="C293" s="121">
        <v>0.81874999999999998</v>
      </c>
      <c r="D293" s="121">
        <v>0.23055555555555557</v>
      </c>
      <c r="E293" s="121">
        <v>0.87222222222222223</v>
      </c>
    </row>
    <row r="294" spans="1:5" x14ac:dyDescent="0.25">
      <c r="A294" s="120">
        <v>42513</v>
      </c>
      <c r="B294" s="122">
        <v>-0.9</v>
      </c>
      <c r="C294" s="121">
        <v>0.34861111111111109</v>
      </c>
      <c r="D294" s="121">
        <v>0.2298611111111111</v>
      </c>
      <c r="E294" s="121">
        <v>0.87291666666666667</v>
      </c>
    </row>
    <row r="295" spans="1:5" x14ac:dyDescent="0.25">
      <c r="A295" s="120">
        <v>42513</v>
      </c>
      <c r="B295" s="122">
        <v>2.5</v>
      </c>
      <c r="C295" s="121">
        <v>0.84444444444444444</v>
      </c>
      <c r="D295" s="121">
        <v>0.2298611111111111</v>
      </c>
      <c r="E295" s="121">
        <v>0.87291666666666667</v>
      </c>
    </row>
    <row r="296" spans="1:5" x14ac:dyDescent="0.25">
      <c r="A296" s="120">
        <v>42514</v>
      </c>
      <c r="B296" s="122">
        <v>-0.9</v>
      </c>
      <c r="C296" s="121">
        <v>0.37361111111111112</v>
      </c>
      <c r="D296" s="121">
        <v>0.22916666666666666</v>
      </c>
      <c r="E296" s="121">
        <v>0.87361111111111112</v>
      </c>
    </row>
    <row r="297" spans="1:5" x14ac:dyDescent="0.25">
      <c r="A297" s="120">
        <v>42514</v>
      </c>
      <c r="B297" s="122">
        <v>2.7</v>
      </c>
      <c r="C297" s="121">
        <v>0.87152777777777779</v>
      </c>
      <c r="D297" s="121">
        <v>0.22916666666666666</v>
      </c>
      <c r="E297" s="121">
        <v>0.87361111111111112</v>
      </c>
    </row>
    <row r="298" spans="1:5" x14ac:dyDescent="0.25">
      <c r="A298" s="120">
        <v>42515</v>
      </c>
      <c r="B298" s="122">
        <v>-0.8</v>
      </c>
      <c r="C298" s="121">
        <v>0.4</v>
      </c>
      <c r="D298" s="121">
        <v>0.22847222222222222</v>
      </c>
      <c r="E298" s="121">
        <v>0.87430555555555556</v>
      </c>
    </row>
    <row r="299" spans="1:5" x14ac:dyDescent="0.25">
      <c r="A299" s="120">
        <v>42515</v>
      </c>
      <c r="B299" s="122">
        <v>2.8</v>
      </c>
      <c r="C299" s="121">
        <v>0.90069444444444446</v>
      </c>
      <c r="D299" s="121">
        <v>0.22847222222222222</v>
      </c>
      <c r="E299" s="121">
        <v>0.87430555555555556</v>
      </c>
    </row>
    <row r="300" spans="1:5" x14ac:dyDescent="0.25">
      <c r="A300" s="120">
        <v>42516</v>
      </c>
      <c r="B300" s="122">
        <v>-0.6</v>
      </c>
      <c r="C300" s="121">
        <v>0.4284722222222222</v>
      </c>
      <c r="D300" s="121">
        <v>0.22847222222222222</v>
      </c>
      <c r="E300" s="121">
        <v>0.875</v>
      </c>
    </row>
    <row r="301" spans="1:5" x14ac:dyDescent="0.25">
      <c r="A301" s="120">
        <v>42516</v>
      </c>
      <c r="B301" s="122">
        <v>2.8</v>
      </c>
      <c r="C301" s="121">
        <v>0.93472222222222223</v>
      </c>
      <c r="D301" s="121">
        <v>0.22847222222222222</v>
      </c>
      <c r="E301" s="121">
        <v>0.875</v>
      </c>
    </row>
    <row r="302" spans="1:5" x14ac:dyDescent="0.25">
      <c r="A302" s="120">
        <v>42517</v>
      </c>
      <c r="B302" s="122">
        <v>-0.4</v>
      </c>
      <c r="C302" s="121">
        <v>0.46041666666666664</v>
      </c>
      <c r="D302" s="121">
        <v>0.22777777777777777</v>
      </c>
      <c r="E302" s="121">
        <v>0.87569444444444444</v>
      </c>
    </row>
    <row r="303" spans="1:5" x14ac:dyDescent="0.25">
      <c r="A303" s="120">
        <v>42517</v>
      </c>
      <c r="B303" s="122">
        <v>2.8</v>
      </c>
      <c r="C303" s="121">
        <v>0.97499999999999998</v>
      </c>
      <c r="D303" s="121">
        <v>0.22777777777777777</v>
      </c>
      <c r="E303" s="121">
        <v>0.87569444444444444</v>
      </c>
    </row>
    <row r="304" spans="1:5" x14ac:dyDescent="0.25">
      <c r="A304" s="120">
        <v>42518</v>
      </c>
      <c r="B304" s="122">
        <v>-0.1</v>
      </c>
      <c r="C304" s="121">
        <v>0.49513888888888891</v>
      </c>
      <c r="D304" s="121">
        <v>0.22708333333333333</v>
      </c>
      <c r="E304" s="121">
        <v>0.87708333333333333</v>
      </c>
    </row>
    <row r="305" spans="1:5" x14ac:dyDescent="0.25">
      <c r="A305" s="120">
        <v>42519</v>
      </c>
      <c r="B305" s="122">
        <v>2.6</v>
      </c>
      <c r="C305" s="121">
        <v>2.2222222222222223E-2</v>
      </c>
      <c r="D305" s="121">
        <v>0.22638888888888889</v>
      </c>
      <c r="E305" s="121">
        <v>0.87708333333333333</v>
      </c>
    </row>
    <row r="306" spans="1:5" x14ac:dyDescent="0.25">
      <c r="A306" s="120">
        <v>42519</v>
      </c>
      <c r="B306" s="122">
        <v>0.3</v>
      </c>
      <c r="C306" s="121">
        <v>0.53402777777777777</v>
      </c>
      <c r="D306" s="121">
        <v>0.22638888888888889</v>
      </c>
      <c r="E306" s="121">
        <v>0.87708333333333333</v>
      </c>
    </row>
    <row r="307" spans="1:5" x14ac:dyDescent="0.25">
      <c r="A307" s="120">
        <v>42520</v>
      </c>
      <c r="B307" s="122">
        <v>2.1</v>
      </c>
      <c r="C307" s="121">
        <v>7.2222222222222215E-2</v>
      </c>
      <c r="D307" s="121">
        <v>0.22638888888888889</v>
      </c>
      <c r="E307" s="121">
        <v>0.87777777777777777</v>
      </c>
    </row>
    <row r="308" spans="1:5" x14ac:dyDescent="0.25">
      <c r="A308" s="120">
        <v>42520</v>
      </c>
      <c r="B308" s="122">
        <v>0.6</v>
      </c>
      <c r="C308" s="121">
        <v>0.5756944444444444</v>
      </c>
      <c r="D308" s="121">
        <v>0.22638888888888889</v>
      </c>
      <c r="E308" s="121">
        <v>0.87777777777777777</v>
      </c>
    </row>
    <row r="309" spans="1:5" x14ac:dyDescent="0.25">
      <c r="A309" s="120">
        <v>42521</v>
      </c>
      <c r="B309" s="122">
        <v>1.3</v>
      </c>
      <c r="C309" s="121">
        <v>0.12083333333333333</v>
      </c>
      <c r="D309" s="121">
        <v>0.22569444444444445</v>
      </c>
      <c r="E309" s="121">
        <v>0.87847222222222221</v>
      </c>
    </row>
    <row r="310" spans="1:5" x14ac:dyDescent="0.25">
      <c r="A310" s="120">
        <v>42521</v>
      </c>
      <c r="B310" s="122">
        <v>0.9</v>
      </c>
      <c r="C310" s="121">
        <v>0.61805555555555558</v>
      </c>
      <c r="D310" s="121">
        <v>0.22569444444444445</v>
      </c>
      <c r="E310" s="121">
        <v>0.87847222222222221</v>
      </c>
    </row>
    <row r="311" spans="1:5" x14ac:dyDescent="0.25">
      <c r="A311" s="120">
        <v>42522</v>
      </c>
      <c r="B311" s="122">
        <v>0.4</v>
      </c>
      <c r="C311" s="121">
        <v>0.16458333333333333</v>
      </c>
      <c r="D311" s="121">
        <v>0.22500000000000001</v>
      </c>
      <c r="E311" s="121">
        <v>0.87916666666666665</v>
      </c>
    </row>
    <row r="312" spans="1:5" x14ac:dyDescent="0.25">
      <c r="A312" s="120">
        <v>42522</v>
      </c>
      <c r="B312" s="122">
        <v>1.1000000000000001</v>
      </c>
      <c r="C312" s="121">
        <v>0.65902777777777777</v>
      </c>
      <c r="D312" s="121">
        <v>0.22500000000000001</v>
      </c>
      <c r="E312" s="121">
        <v>0.87916666666666665</v>
      </c>
    </row>
    <row r="313" spans="1:5" x14ac:dyDescent="0.25">
      <c r="A313" s="120">
        <v>42523</v>
      </c>
      <c r="B313" s="122">
        <v>-0.5</v>
      </c>
      <c r="C313" s="121">
        <v>0.20416666666666666</v>
      </c>
      <c r="D313" s="121">
        <v>0.22500000000000001</v>
      </c>
      <c r="E313" s="121">
        <v>0.87986111111111109</v>
      </c>
    </row>
    <row r="314" spans="1:5" x14ac:dyDescent="0.25">
      <c r="A314" s="120">
        <v>42523</v>
      </c>
      <c r="B314" s="122">
        <v>1.3</v>
      </c>
      <c r="C314" s="121">
        <v>0.69861111111111107</v>
      </c>
      <c r="D314" s="121">
        <v>0.22500000000000001</v>
      </c>
      <c r="E314" s="121">
        <v>0.87986111111111109</v>
      </c>
    </row>
    <row r="315" spans="1:5" x14ac:dyDescent="0.25">
      <c r="A315" s="120">
        <v>42524</v>
      </c>
      <c r="B315" s="122">
        <v>-1.4</v>
      </c>
      <c r="C315" s="121">
        <v>0.24097222222222223</v>
      </c>
      <c r="D315" s="121">
        <v>0.22430555555555556</v>
      </c>
      <c r="E315" s="121">
        <v>0.88055555555555554</v>
      </c>
    </row>
    <row r="316" spans="1:5" x14ac:dyDescent="0.25">
      <c r="A316" s="120">
        <v>42524</v>
      </c>
      <c r="B316" s="122">
        <v>1.4</v>
      </c>
      <c r="C316" s="121">
        <v>0.73611111111111116</v>
      </c>
      <c r="D316" s="121">
        <v>0.22430555555555556</v>
      </c>
      <c r="E316" s="121">
        <v>0.88055555555555554</v>
      </c>
    </row>
    <row r="317" spans="1:5" x14ac:dyDescent="0.25">
      <c r="A317" s="120">
        <v>42525</v>
      </c>
      <c r="B317" s="122">
        <v>-2</v>
      </c>
      <c r="C317" s="121">
        <v>0.27500000000000002</v>
      </c>
      <c r="D317" s="121">
        <v>0.22430555555555556</v>
      </c>
      <c r="E317" s="121">
        <v>0.88124999999999998</v>
      </c>
    </row>
    <row r="318" spans="1:5" x14ac:dyDescent="0.25">
      <c r="A318" s="120">
        <v>42525</v>
      </c>
      <c r="B318" s="122">
        <v>1.5</v>
      </c>
      <c r="C318" s="121">
        <v>0.77152777777777781</v>
      </c>
      <c r="D318" s="121">
        <v>0.22430555555555556</v>
      </c>
      <c r="E318" s="121">
        <v>0.88124999999999998</v>
      </c>
    </row>
    <row r="319" spans="1:5" x14ac:dyDescent="0.25">
      <c r="A319" s="120">
        <v>42526</v>
      </c>
      <c r="B319" s="122">
        <v>-2.2999999999999998</v>
      </c>
      <c r="C319" s="121">
        <v>0.30833333333333335</v>
      </c>
      <c r="D319" s="121">
        <v>0.22361111111111112</v>
      </c>
      <c r="E319" s="121">
        <v>0.88194444444444442</v>
      </c>
    </row>
    <row r="320" spans="1:5" x14ac:dyDescent="0.25">
      <c r="A320" s="120">
        <v>42526</v>
      </c>
      <c r="B320" s="122">
        <v>1.7</v>
      </c>
      <c r="C320" s="121">
        <v>0.80625000000000002</v>
      </c>
      <c r="D320" s="121">
        <v>0.22361111111111112</v>
      </c>
      <c r="E320" s="121">
        <v>0.88194444444444442</v>
      </c>
    </row>
    <row r="321" spans="1:5" x14ac:dyDescent="0.25">
      <c r="A321" s="120">
        <v>42527</v>
      </c>
      <c r="B321" s="122">
        <v>-2.2999999999999998</v>
      </c>
      <c r="C321" s="121">
        <v>0.34097222222222223</v>
      </c>
      <c r="D321" s="121">
        <v>0.22361111111111112</v>
      </c>
      <c r="E321" s="121">
        <v>0.88194444444444442</v>
      </c>
    </row>
    <row r="322" spans="1:5" x14ac:dyDescent="0.25">
      <c r="A322" s="120">
        <v>42527</v>
      </c>
      <c r="B322" s="122">
        <v>1.8</v>
      </c>
      <c r="C322" s="121">
        <v>0.84097222222222223</v>
      </c>
      <c r="D322" s="121">
        <v>0.22361111111111112</v>
      </c>
      <c r="E322" s="121">
        <v>0.88194444444444442</v>
      </c>
    </row>
    <row r="323" spans="1:5" x14ac:dyDescent="0.25">
      <c r="A323" s="120">
        <v>42528</v>
      </c>
      <c r="B323" s="122">
        <v>-2.1</v>
      </c>
      <c r="C323" s="121">
        <v>0.37291666666666667</v>
      </c>
      <c r="D323" s="121">
        <v>0.22361111111111112</v>
      </c>
      <c r="E323" s="121">
        <v>0.88263888888888886</v>
      </c>
    </row>
    <row r="324" spans="1:5" x14ac:dyDescent="0.25">
      <c r="A324" s="120">
        <v>42528</v>
      </c>
      <c r="B324" s="122">
        <v>2</v>
      </c>
      <c r="C324" s="121">
        <v>0.87569444444444444</v>
      </c>
      <c r="D324" s="121">
        <v>0.22361111111111112</v>
      </c>
      <c r="E324" s="121">
        <v>0.88263888888888886</v>
      </c>
    </row>
    <row r="325" spans="1:5" x14ac:dyDescent="0.25">
      <c r="A325" s="120">
        <v>42529</v>
      </c>
      <c r="B325" s="122">
        <v>-1.7</v>
      </c>
      <c r="C325" s="121">
        <v>0.40416666666666667</v>
      </c>
      <c r="D325" s="121">
        <v>0.22291666666666668</v>
      </c>
      <c r="E325" s="121">
        <v>0.8833333333333333</v>
      </c>
    </row>
    <row r="326" spans="1:5" x14ac:dyDescent="0.25">
      <c r="A326" s="120">
        <v>42529</v>
      </c>
      <c r="B326" s="122">
        <v>2.2000000000000002</v>
      </c>
      <c r="C326" s="121">
        <v>0.91249999999999998</v>
      </c>
      <c r="D326" s="121">
        <v>0.22291666666666668</v>
      </c>
      <c r="E326" s="121">
        <v>0.8833333333333333</v>
      </c>
    </row>
    <row r="327" spans="1:5" x14ac:dyDescent="0.25">
      <c r="A327" s="120">
        <v>42530</v>
      </c>
      <c r="B327" s="122">
        <v>-1.1000000000000001</v>
      </c>
      <c r="C327" s="121">
        <v>0.43611111111111112</v>
      </c>
      <c r="D327" s="121">
        <v>0.22291666666666668</v>
      </c>
      <c r="E327" s="121">
        <v>0.8833333333333333</v>
      </c>
    </row>
    <row r="328" spans="1:5" x14ac:dyDescent="0.25">
      <c r="A328" s="120">
        <v>42530</v>
      </c>
      <c r="B328" s="122">
        <v>2.2999999999999998</v>
      </c>
      <c r="C328" s="121">
        <v>0.9506944444444444</v>
      </c>
      <c r="D328" s="121">
        <v>0.22291666666666668</v>
      </c>
      <c r="E328" s="121">
        <v>0.8833333333333333</v>
      </c>
    </row>
    <row r="329" spans="1:5" x14ac:dyDescent="0.25">
      <c r="A329" s="120">
        <v>42531</v>
      </c>
      <c r="B329" s="122">
        <v>-0.5</v>
      </c>
      <c r="C329" s="121">
        <v>0.46875</v>
      </c>
      <c r="D329" s="121">
        <v>0.22291666666666668</v>
      </c>
      <c r="E329" s="121">
        <v>0.88402777777777775</v>
      </c>
    </row>
    <row r="330" spans="1:5" x14ac:dyDescent="0.25">
      <c r="A330" s="120">
        <v>42531</v>
      </c>
      <c r="B330" s="122">
        <v>2.2999999999999998</v>
      </c>
      <c r="C330" s="121">
        <v>0.99236111111111114</v>
      </c>
      <c r="D330" s="121">
        <v>0.22291666666666668</v>
      </c>
      <c r="E330" s="121">
        <v>0.88402777777777775</v>
      </c>
    </row>
    <row r="331" spans="1:5" x14ac:dyDescent="0.25">
      <c r="A331" s="120">
        <v>42532</v>
      </c>
      <c r="B331" s="122">
        <v>0.2</v>
      </c>
      <c r="C331" s="121">
        <v>0.50277777777777777</v>
      </c>
      <c r="D331" s="121">
        <v>0.22222222222222221</v>
      </c>
      <c r="E331" s="121">
        <v>0.88472222222222219</v>
      </c>
    </row>
    <row r="332" spans="1:5" x14ac:dyDescent="0.25">
      <c r="A332" s="120">
        <v>42533</v>
      </c>
      <c r="B332" s="122">
        <v>2.2999999999999998</v>
      </c>
      <c r="C332" s="121">
        <v>3.7499999999999999E-2</v>
      </c>
      <c r="D332" s="121">
        <v>0.22222222222222221</v>
      </c>
      <c r="E332" s="121">
        <v>0.88472222222222219</v>
      </c>
    </row>
    <row r="333" spans="1:5" x14ac:dyDescent="0.25">
      <c r="A333" s="120">
        <v>42533</v>
      </c>
      <c r="B333" s="122">
        <v>0.8</v>
      </c>
      <c r="C333" s="121">
        <v>0.53819444444444442</v>
      </c>
      <c r="D333" s="121">
        <v>0.22222222222222221</v>
      </c>
      <c r="E333" s="121">
        <v>0.88472222222222219</v>
      </c>
    </row>
    <row r="334" spans="1:5" x14ac:dyDescent="0.25">
      <c r="A334" s="120">
        <v>42534</v>
      </c>
      <c r="B334" s="122">
        <v>2</v>
      </c>
      <c r="C334" s="121">
        <v>8.4027777777777785E-2</v>
      </c>
      <c r="D334" s="121">
        <v>0.22222222222222221</v>
      </c>
      <c r="E334" s="121">
        <v>0.88541666666666663</v>
      </c>
    </row>
    <row r="335" spans="1:5" x14ac:dyDescent="0.25">
      <c r="A335" s="120">
        <v>42534</v>
      </c>
      <c r="B335" s="122">
        <v>1.4</v>
      </c>
      <c r="C335" s="121">
        <v>0.57499999999999996</v>
      </c>
      <c r="D335" s="121">
        <v>0.22222222222222221</v>
      </c>
      <c r="E335" s="121">
        <v>0.88541666666666663</v>
      </c>
    </row>
    <row r="336" spans="1:5" x14ac:dyDescent="0.25">
      <c r="A336" s="120">
        <v>42535</v>
      </c>
      <c r="B336" s="122">
        <v>1.5</v>
      </c>
      <c r="C336" s="121">
        <v>0.12847222222222221</v>
      </c>
      <c r="D336" s="121">
        <v>0.22222222222222221</v>
      </c>
      <c r="E336" s="121">
        <v>0.88541666666666663</v>
      </c>
    </row>
    <row r="337" spans="1:5" x14ac:dyDescent="0.25">
      <c r="A337" s="120">
        <v>42535</v>
      </c>
      <c r="B337" s="122">
        <v>1.8</v>
      </c>
      <c r="C337" s="121">
        <v>0.61250000000000004</v>
      </c>
      <c r="D337" s="121">
        <v>0.22222222222222221</v>
      </c>
      <c r="E337" s="121">
        <v>0.88541666666666663</v>
      </c>
    </row>
    <row r="338" spans="1:5" x14ac:dyDescent="0.25">
      <c r="A338" s="120">
        <v>42536</v>
      </c>
      <c r="B338" s="122">
        <v>1</v>
      </c>
      <c r="C338" s="121">
        <v>0.1673611111111111</v>
      </c>
      <c r="D338" s="121">
        <v>0.22222222222222221</v>
      </c>
      <c r="E338" s="121">
        <v>0.88611111111111107</v>
      </c>
    </row>
    <row r="339" spans="1:5" x14ac:dyDescent="0.25">
      <c r="A339" s="120">
        <v>42536</v>
      </c>
      <c r="B339" s="122">
        <v>2.1</v>
      </c>
      <c r="C339" s="121">
        <v>0.64930555555555558</v>
      </c>
      <c r="D339" s="121">
        <v>0.22222222222222221</v>
      </c>
      <c r="E339" s="121">
        <v>0.88611111111111107</v>
      </c>
    </row>
    <row r="340" spans="1:5" x14ac:dyDescent="0.25">
      <c r="A340" s="120">
        <v>42537</v>
      </c>
      <c r="B340" s="122">
        <v>0.4</v>
      </c>
      <c r="C340" s="121">
        <v>0.20069444444444445</v>
      </c>
      <c r="D340" s="121">
        <v>0.22222222222222221</v>
      </c>
      <c r="E340" s="121">
        <v>0.88611111111111107</v>
      </c>
    </row>
    <row r="341" spans="1:5" x14ac:dyDescent="0.25">
      <c r="A341" s="120">
        <v>42537</v>
      </c>
      <c r="B341" s="122">
        <v>2.2999999999999998</v>
      </c>
      <c r="C341" s="121">
        <v>0.68402777777777779</v>
      </c>
      <c r="D341" s="121">
        <v>0.22222222222222221</v>
      </c>
      <c r="E341" s="121">
        <v>0.88611111111111107</v>
      </c>
    </row>
    <row r="342" spans="1:5" x14ac:dyDescent="0.25">
      <c r="A342" s="120">
        <v>42538</v>
      </c>
      <c r="B342" s="122">
        <v>-0.1</v>
      </c>
      <c r="C342" s="121">
        <v>0.23055555555555557</v>
      </c>
      <c r="D342" s="121">
        <v>0.22222222222222221</v>
      </c>
      <c r="E342" s="121">
        <v>0.88611111111111107</v>
      </c>
    </row>
    <row r="343" spans="1:5" x14ac:dyDescent="0.25">
      <c r="A343" s="120">
        <v>42538</v>
      </c>
      <c r="B343" s="122">
        <v>2.4</v>
      </c>
      <c r="C343" s="121">
        <v>0.71597222222222223</v>
      </c>
      <c r="D343" s="121">
        <v>0.22222222222222221</v>
      </c>
      <c r="E343" s="121">
        <v>0.88611111111111107</v>
      </c>
    </row>
    <row r="344" spans="1:5" x14ac:dyDescent="0.25">
      <c r="A344" s="120">
        <v>42539</v>
      </c>
      <c r="B344" s="122">
        <v>-0.6</v>
      </c>
      <c r="C344" s="121">
        <v>0.25763888888888886</v>
      </c>
      <c r="D344" s="121">
        <v>0.22222222222222221</v>
      </c>
      <c r="E344" s="121">
        <v>0.88680555555555551</v>
      </c>
    </row>
    <row r="345" spans="1:5" x14ac:dyDescent="0.25">
      <c r="A345" s="120">
        <v>42539</v>
      </c>
      <c r="B345" s="122">
        <v>2.5</v>
      </c>
      <c r="C345" s="121">
        <v>0.74583333333333335</v>
      </c>
      <c r="D345" s="121">
        <v>0.22222222222222221</v>
      </c>
      <c r="E345" s="121">
        <v>0.88680555555555551</v>
      </c>
    </row>
    <row r="346" spans="1:5" x14ac:dyDescent="0.25">
      <c r="A346" s="120">
        <v>42540</v>
      </c>
      <c r="B346" s="122">
        <v>-0.9</v>
      </c>
      <c r="C346" s="121">
        <v>0.28333333333333333</v>
      </c>
      <c r="D346" s="121">
        <v>0.22222222222222221</v>
      </c>
      <c r="E346" s="121">
        <v>0.88680555555555551</v>
      </c>
    </row>
    <row r="347" spans="1:5" x14ac:dyDescent="0.25">
      <c r="A347" s="120">
        <v>42540</v>
      </c>
      <c r="B347" s="122">
        <v>2.5</v>
      </c>
      <c r="C347" s="121">
        <v>0.77430555555555558</v>
      </c>
      <c r="D347" s="121">
        <v>0.22222222222222221</v>
      </c>
      <c r="E347" s="121">
        <v>0.88680555555555551</v>
      </c>
    </row>
    <row r="348" spans="1:5" x14ac:dyDescent="0.25">
      <c r="A348" s="120">
        <v>42541</v>
      </c>
      <c r="B348" s="122">
        <v>-1.2</v>
      </c>
      <c r="C348" s="121">
        <v>0.30902777777777779</v>
      </c>
      <c r="D348" s="121">
        <v>0.22291666666666668</v>
      </c>
      <c r="E348" s="121">
        <v>0.88680555555555551</v>
      </c>
    </row>
    <row r="349" spans="1:5" x14ac:dyDescent="0.25">
      <c r="A349" s="120">
        <v>42541</v>
      </c>
      <c r="B349" s="122">
        <v>2.5</v>
      </c>
      <c r="C349" s="121">
        <v>0.80277777777777781</v>
      </c>
      <c r="D349" s="121">
        <v>0.22291666666666668</v>
      </c>
      <c r="E349" s="121">
        <v>0.88680555555555551</v>
      </c>
    </row>
    <row r="350" spans="1:5" x14ac:dyDescent="0.25">
      <c r="A350" s="120">
        <v>42542</v>
      </c>
      <c r="B350" s="122">
        <v>-1.3</v>
      </c>
      <c r="C350" s="121">
        <v>0.3347222222222222</v>
      </c>
      <c r="D350" s="121">
        <v>0.22291666666666668</v>
      </c>
      <c r="E350" s="121">
        <v>0.88680555555555551</v>
      </c>
    </row>
    <row r="351" spans="1:5" x14ac:dyDescent="0.25">
      <c r="A351" s="120">
        <v>42542</v>
      </c>
      <c r="B351" s="122">
        <v>2.4</v>
      </c>
      <c r="C351" s="121">
        <v>0.8305555555555556</v>
      </c>
      <c r="D351" s="121">
        <v>0.22291666666666668</v>
      </c>
      <c r="E351" s="121">
        <v>0.88680555555555551</v>
      </c>
    </row>
    <row r="352" spans="1:5" x14ac:dyDescent="0.25">
      <c r="A352" s="120">
        <v>42543</v>
      </c>
      <c r="B352" s="122">
        <v>-1.4</v>
      </c>
      <c r="C352" s="121">
        <v>0.36041666666666666</v>
      </c>
      <c r="D352" s="121">
        <v>0.22291666666666668</v>
      </c>
      <c r="E352" s="121">
        <v>0.88680555555555551</v>
      </c>
    </row>
    <row r="353" spans="1:5" x14ac:dyDescent="0.25">
      <c r="A353" s="120">
        <v>42543</v>
      </c>
      <c r="B353" s="122">
        <v>2.4</v>
      </c>
      <c r="C353" s="121">
        <v>0.86041666666666672</v>
      </c>
      <c r="D353" s="121">
        <v>0.22291666666666668</v>
      </c>
      <c r="E353" s="121">
        <v>0.88680555555555551</v>
      </c>
    </row>
    <row r="354" spans="1:5" x14ac:dyDescent="0.25">
      <c r="A354" s="120">
        <v>42544</v>
      </c>
      <c r="B354" s="122">
        <v>-1.3</v>
      </c>
      <c r="C354" s="121">
        <v>0.38680555555555557</v>
      </c>
      <c r="D354" s="121">
        <v>0.22291666666666668</v>
      </c>
      <c r="E354" s="121">
        <v>0.88749999999999996</v>
      </c>
    </row>
    <row r="355" spans="1:5" x14ac:dyDescent="0.25">
      <c r="A355" s="120">
        <v>42544</v>
      </c>
      <c r="B355" s="122">
        <v>2.2999999999999998</v>
      </c>
      <c r="C355" s="121">
        <v>0.89166666666666672</v>
      </c>
      <c r="D355" s="121">
        <v>0.22291666666666668</v>
      </c>
      <c r="E355" s="121">
        <v>0.88749999999999996</v>
      </c>
    </row>
    <row r="356" spans="1:5" x14ac:dyDescent="0.25">
      <c r="A356" s="120">
        <v>42545</v>
      </c>
      <c r="B356" s="122">
        <v>-1.1000000000000001</v>
      </c>
      <c r="C356" s="121">
        <v>0.41458333333333336</v>
      </c>
      <c r="D356" s="121">
        <v>0.22361111111111112</v>
      </c>
      <c r="E356" s="121">
        <v>0.88749999999999996</v>
      </c>
    </row>
    <row r="357" spans="1:5" x14ac:dyDescent="0.25">
      <c r="A357" s="120">
        <v>42545</v>
      </c>
      <c r="B357" s="122">
        <v>2.2000000000000002</v>
      </c>
      <c r="C357" s="121">
        <v>0.92638888888888893</v>
      </c>
      <c r="D357" s="121">
        <v>0.22361111111111112</v>
      </c>
      <c r="E357" s="121">
        <v>0.88749999999999996</v>
      </c>
    </row>
    <row r="358" spans="1:5" x14ac:dyDescent="0.25">
      <c r="A358" s="120">
        <v>42546</v>
      </c>
      <c r="B358" s="122">
        <v>-0.8</v>
      </c>
      <c r="C358" s="121">
        <v>0.44444444444444442</v>
      </c>
      <c r="D358" s="121">
        <v>0.22361111111111112</v>
      </c>
      <c r="E358" s="121">
        <v>0.88749999999999996</v>
      </c>
    </row>
    <row r="359" spans="1:5" x14ac:dyDescent="0.25">
      <c r="A359" s="120">
        <v>42546</v>
      </c>
      <c r="B359" s="122">
        <v>2</v>
      </c>
      <c r="C359" s="121">
        <v>0.96527777777777779</v>
      </c>
      <c r="D359" s="121">
        <v>0.22361111111111112</v>
      </c>
      <c r="E359" s="121">
        <v>0.88749999999999996</v>
      </c>
    </row>
    <row r="360" spans="1:5" x14ac:dyDescent="0.25">
      <c r="A360" s="120">
        <v>42547</v>
      </c>
      <c r="B360" s="122">
        <v>-0.3</v>
      </c>
      <c r="C360" s="121">
        <v>0.47638888888888886</v>
      </c>
      <c r="D360" s="121">
        <v>0.22430555555555556</v>
      </c>
      <c r="E360" s="121">
        <v>0.88749999999999996</v>
      </c>
    </row>
    <row r="361" spans="1:5" x14ac:dyDescent="0.25">
      <c r="A361" s="120">
        <v>42548</v>
      </c>
      <c r="B361" s="122">
        <v>1.8</v>
      </c>
      <c r="C361" s="121">
        <v>9.7222222222222224E-3</v>
      </c>
      <c r="D361" s="121">
        <v>0.22430555555555556</v>
      </c>
      <c r="E361" s="121">
        <v>0.88749999999999996</v>
      </c>
    </row>
    <row r="362" spans="1:5" x14ac:dyDescent="0.25">
      <c r="A362" s="120">
        <v>42548</v>
      </c>
      <c r="B362" s="122">
        <v>0.3</v>
      </c>
      <c r="C362" s="121">
        <v>0.51180555555555551</v>
      </c>
      <c r="D362" s="121">
        <v>0.22430555555555556</v>
      </c>
      <c r="E362" s="121">
        <v>0.88749999999999996</v>
      </c>
    </row>
    <row r="363" spans="1:5" x14ac:dyDescent="0.25">
      <c r="A363" s="120">
        <v>42549</v>
      </c>
      <c r="B363" s="122">
        <v>1.3</v>
      </c>
      <c r="C363" s="121">
        <v>5.7638888888888892E-2</v>
      </c>
      <c r="D363" s="121">
        <v>0.22430555555555556</v>
      </c>
      <c r="E363" s="121">
        <v>0.88680555555555551</v>
      </c>
    </row>
    <row r="364" spans="1:5" x14ac:dyDescent="0.25">
      <c r="A364" s="120">
        <v>42549</v>
      </c>
      <c r="B364" s="122">
        <v>0.8</v>
      </c>
      <c r="C364" s="121">
        <v>0.55138888888888893</v>
      </c>
      <c r="D364" s="121">
        <v>0.22430555555555556</v>
      </c>
      <c r="E364" s="121">
        <v>0.88680555555555551</v>
      </c>
    </row>
    <row r="365" spans="1:5" x14ac:dyDescent="0.25">
      <c r="A365" s="120">
        <v>42550</v>
      </c>
      <c r="B365" s="122">
        <v>0.7</v>
      </c>
      <c r="C365" s="121">
        <v>0.10625</v>
      </c>
      <c r="D365" s="121">
        <v>0.22500000000000001</v>
      </c>
      <c r="E365" s="121">
        <v>0.88680555555555551</v>
      </c>
    </row>
    <row r="366" spans="1:5" x14ac:dyDescent="0.25">
      <c r="A366" s="120">
        <v>42550</v>
      </c>
      <c r="B366" s="122">
        <v>1.3</v>
      </c>
      <c r="C366" s="121">
        <v>0.59444444444444444</v>
      </c>
      <c r="D366" s="121">
        <v>0.22500000000000001</v>
      </c>
      <c r="E366" s="121">
        <v>0.88680555555555551</v>
      </c>
    </row>
    <row r="367" spans="1:5" x14ac:dyDescent="0.25">
      <c r="A367" s="120">
        <v>42551</v>
      </c>
      <c r="B367" s="122">
        <v>-0.1</v>
      </c>
      <c r="C367" s="121">
        <v>0.15208333333333332</v>
      </c>
      <c r="D367" s="121">
        <v>0.22569444444444445</v>
      </c>
      <c r="E367" s="121">
        <v>0.88680555555555551</v>
      </c>
    </row>
    <row r="368" spans="1:5" x14ac:dyDescent="0.25">
      <c r="A368" s="120">
        <v>42551</v>
      </c>
      <c r="B368" s="122">
        <v>1.7</v>
      </c>
      <c r="C368" s="121">
        <v>0.63888888888888884</v>
      </c>
      <c r="D368" s="121">
        <v>0.22569444444444445</v>
      </c>
      <c r="E368" s="121">
        <v>0.88680555555555551</v>
      </c>
    </row>
    <row r="369" spans="1:5" x14ac:dyDescent="0.25">
      <c r="A369" s="120">
        <v>42552</v>
      </c>
      <c r="B369" s="122">
        <v>-0.8</v>
      </c>
      <c r="C369" s="121">
        <v>0.19375000000000001</v>
      </c>
      <c r="D369" s="121">
        <v>0.22569444444444445</v>
      </c>
      <c r="E369" s="121">
        <v>0.88680555555555551</v>
      </c>
    </row>
    <row r="370" spans="1:5" x14ac:dyDescent="0.25">
      <c r="A370" s="120">
        <v>42552</v>
      </c>
      <c r="B370" s="122">
        <v>1.9</v>
      </c>
      <c r="C370" s="121">
        <v>0.68263888888888891</v>
      </c>
      <c r="D370" s="121">
        <v>0.22569444444444445</v>
      </c>
      <c r="E370" s="121">
        <v>0.88680555555555551</v>
      </c>
    </row>
    <row r="371" spans="1:5" x14ac:dyDescent="0.25">
      <c r="A371" s="120">
        <v>42553</v>
      </c>
      <c r="B371" s="122">
        <v>-1.5</v>
      </c>
      <c r="C371" s="121">
        <v>0.23125000000000001</v>
      </c>
      <c r="D371" s="121">
        <v>0.22638888888888889</v>
      </c>
      <c r="E371" s="121">
        <v>0.88680555555555551</v>
      </c>
    </row>
    <row r="372" spans="1:5" x14ac:dyDescent="0.25">
      <c r="A372" s="120">
        <v>42553</v>
      </c>
      <c r="B372" s="122">
        <v>1.9</v>
      </c>
      <c r="C372" s="121">
        <v>0.72291666666666665</v>
      </c>
      <c r="D372" s="121">
        <v>0.22638888888888889</v>
      </c>
      <c r="E372" s="121">
        <v>0.88680555555555551</v>
      </c>
    </row>
    <row r="373" spans="1:5" x14ac:dyDescent="0.25">
      <c r="A373" s="120">
        <v>42554</v>
      </c>
      <c r="B373" s="122">
        <v>-1.9</v>
      </c>
      <c r="C373" s="121">
        <v>0.26597222222222222</v>
      </c>
      <c r="D373" s="121">
        <v>0.22638888888888889</v>
      </c>
      <c r="E373" s="121">
        <v>0.88611111111111107</v>
      </c>
    </row>
    <row r="374" spans="1:5" x14ac:dyDescent="0.25">
      <c r="A374" s="120">
        <v>42554</v>
      </c>
      <c r="B374" s="122">
        <v>1.9</v>
      </c>
      <c r="C374" s="121">
        <v>0.76041666666666663</v>
      </c>
      <c r="D374" s="121">
        <v>0.22638888888888889</v>
      </c>
      <c r="E374" s="121">
        <v>0.88611111111111107</v>
      </c>
    </row>
    <row r="375" spans="1:5" x14ac:dyDescent="0.25">
      <c r="A375" s="120">
        <v>42555</v>
      </c>
      <c r="B375" s="122">
        <v>-2.1</v>
      </c>
      <c r="C375" s="121">
        <v>0.2986111111111111</v>
      </c>
      <c r="D375" s="121">
        <v>0.22708333333333333</v>
      </c>
      <c r="E375" s="121">
        <v>0.88611111111111107</v>
      </c>
    </row>
    <row r="376" spans="1:5" x14ac:dyDescent="0.25">
      <c r="A376" s="120">
        <v>42555</v>
      </c>
      <c r="B376" s="122">
        <v>1.8</v>
      </c>
      <c r="C376" s="121">
        <v>0.79652777777777772</v>
      </c>
      <c r="D376" s="121">
        <v>0.22708333333333333</v>
      </c>
      <c r="E376" s="121">
        <v>0.88611111111111107</v>
      </c>
    </row>
    <row r="377" spans="1:5" x14ac:dyDescent="0.25">
      <c r="A377" s="120">
        <v>42556</v>
      </c>
      <c r="B377" s="122">
        <v>-2.1</v>
      </c>
      <c r="C377" s="121">
        <v>0.32916666666666666</v>
      </c>
      <c r="D377" s="121">
        <v>0.22777777777777777</v>
      </c>
      <c r="E377" s="121">
        <v>0.88541666666666663</v>
      </c>
    </row>
    <row r="378" spans="1:5" x14ac:dyDescent="0.25">
      <c r="A378" s="120">
        <v>42556</v>
      </c>
      <c r="B378" s="122">
        <v>1.7</v>
      </c>
      <c r="C378" s="121">
        <v>0.8305555555555556</v>
      </c>
      <c r="D378" s="121">
        <v>0.22777777777777777</v>
      </c>
      <c r="E378" s="121">
        <v>0.88541666666666663</v>
      </c>
    </row>
    <row r="379" spans="1:5" x14ac:dyDescent="0.25">
      <c r="A379" s="120">
        <v>42557</v>
      </c>
      <c r="B379" s="122">
        <v>-1.9</v>
      </c>
      <c r="C379" s="121">
        <v>0.35902777777777778</v>
      </c>
      <c r="D379" s="121">
        <v>0.22847222222222222</v>
      </c>
      <c r="E379" s="121">
        <v>0.88541666666666663</v>
      </c>
    </row>
    <row r="380" spans="1:5" x14ac:dyDescent="0.25">
      <c r="A380" s="120">
        <v>42557</v>
      </c>
      <c r="B380" s="122">
        <v>1.7</v>
      </c>
      <c r="C380" s="121">
        <v>0.86388888888888893</v>
      </c>
      <c r="D380" s="121">
        <v>0.22847222222222222</v>
      </c>
      <c r="E380" s="121">
        <v>0.88541666666666663</v>
      </c>
    </row>
    <row r="381" spans="1:5" x14ac:dyDescent="0.25">
      <c r="A381" s="120">
        <v>42558</v>
      </c>
      <c r="B381" s="122">
        <v>-1.5</v>
      </c>
      <c r="C381" s="121">
        <v>0.38750000000000001</v>
      </c>
      <c r="D381" s="121">
        <v>0.22847222222222222</v>
      </c>
      <c r="E381" s="121">
        <v>0.88472222222222219</v>
      </c>
    </row>
    <row r="382" spans="1:5" x14ac:dyDescent="0.25">
      <c r="A382" s="120">
        <v>42558</v>
      </c>
      <c r="B382" s="122">
        <v>1.8</v>
      </c>
      <c r="C382" s="121">
        <v>0.89722222222222225</v>
      </c>
      <c r="D382" s="121">
        <v>0.22847222222222222</v>
      </c>
      <c r="E382" s="121">
        <v>0.88472222222222219</v>
      </c>
    </row>
    <row r="383" spans="1:5" x14ac:dyDescent="0.25">
      <c r="A383" s="120">
        <v>42559</v>
      </c>
      <c r="B383" s="122">
        <v>-1</v>
      </c>
      <c r="C383" s="121">
        <v>0.41597222222222224</v>
      </c>
      <c r="D383" s="121">
        <v>0.22916666666666666</v>
      </c>
      <c r="E383" s="121">
        <v>0.88472222222222219</v>
      </c>
    </row>
    <row r="384" spans="1:5" x14ac:dyDescent="0.25">
      <c r="A384" s="120">
        <v>42559</v>
      </c>
      <c r="B384" s="122">
        <v>1.8</v>
      </c>
      <c r="C384" s="121">
        <v>0.93194444444444446</v>
      </c>
      <c r="D384" s="121">
        <v>0.22916666666666666</v>
      </c>
      <c r="E384" s="121">
        <v>0.88472222222222219</v>
      </c>
    </row>
    <row r="385" spans="1:5" x14ac:dyDescent="0.25">
      <c r="A385" s="120">
        <v>42560</v>
      </c>
      <c r="B385" s="122">
        <v>-0.3</v>
      </c>
      <c r="C385" s="121">
        <v>0.44374999999999998</v>
      </c>
      <c r="D385" s="121">
        <v>0.2298611111111111</v>
      </c>
      <c r="E385" s="121">
        <v>0.88402777777777775</v>
      </c>
    </row>
    <row r="386" spans="1:5" x14ac:dyDescent="0.25">
      <c r="A386" s="120">
        <v>42560</v>
      </c>
      <c r="B386" s="122">
        <v>1.9</v>
      </c>
      <c r="C386" s="121">
        <v>0.96805555555555556</v>
      </c>
      <c r="D386" s="121">
        <v>0.2298611111111111</v>
      </c>
      <c r="E386" s="121">
        <v>0.88402777777777775</v>
      </c>
    </row>
    <row r="387" spans="1:5" x14ac:dyDescent="0.25">
      <c r="A387" s="120">
        <v>42561</v>
      </c>
      <c r="B387" s="122">
        <v>0.3</v>
      </c>
      <c r="C387" s="121">
        <v>0.47222222222222221</v>
      </c>
      <c r="D387" s="121">
        <v>0.23055555555555557</v>
      </c>
      <c r="E387" s="121">
        <v>0.88402777777777775</v>
      </c>
    </row>
    <row r="388" spans="1:5" x14ac:dyDescent="0.25">
      <c r="A388" s="120">
        <v>42562</v>
      </c>
      <c r="B388" s="122">
        <v>1.9</v>
      </c>
      <c r="C388" s="121">
        <v>6.9444444444444441E-3</v>
      </c>
      <c r="D388" s="121">
        <v>0.23125000000000001</v>
      </c>
      <c r="E388" s="121">
        <v>0.8833333333333333</v>
      </c>
    </row>
    <row r="389" spans="1:5" x14ac:dyDescent="0.25">
      <c r="A389" s="120">
        <v>42562</v>
      </c>
      <c r="B389" s="122">
        <v>1</v>
      </c>
      <c r="C389" s="121">
        <v>0.50208333333333333</v>
      </c>
      <c r="D389" s="121">
        <v>0.23125000000000001</v>
      </c>
      <c r="E389" s="121">
        <v>0.8833333333333333</v>
      </c>
    </row>
    <row r="390" spans="1:5" x14ac:dyDescent="0.25">
      <c r="A390" s="120">
        <v>42563</v>
      </c>
      <c r="B390" s="122">
        <v>1.7</v>
      </c>
      <c r="C390" s="121">
        <v>0.05</v>
      </c>
      <c r="D390" s="121">
        <v>0.23194444444444445</v>
      </c>
      <c r="E390" s="121">
        <v>0.88263888888888886</v>
      </c>
    </row>
    <row r="391" spans="1:5" x14ac:dyDescent="0.25">
      <c r="A391" s="120">
        <v>42563</v>
      </c>
      <c r="B391" s="122">
        <v>1.6</v>
      </c>
      <c r="C391" s="121">
        <v>0.53541666666666665</v>
      </c>
      <c r="D391" s="121">
        <v>0.23194444444444445</v>
      </c>
      <c r="E391" s="121">
        <v>0.88263888888888886</v>
      </c>
    </row>
    <row r="392" spans="1:5" x14ac:dyDescent="0.25">
      <c r="A392" s="120">
        <v>42564</v>
      </c>
      <c r="B392" s="122">
        <v>1.4</v>
      </c>
      <c r="C392" s="121">
        <v>9.375E-2</v>
      </c>
      <c r="D392" s="121">
        <v>0.2326388888888889</v>
      </c>
      <c r="E392" s="121">
        <v>0.88263888888888886</v>
      </c>
    </row>
    <row r="393" spans="1:5" x14ac:dyDescent="0.25">
      <c r="A393" s="120">
        <v>42564</v>
      </c>
      <c r="B393" s="122">
        <v>2.2000000000000002</v>
      </c>
      <c r="C393" s="121">
        <v>0.57291666666666663</v>
      </c>
      <c r="D393" s="121">
        <v>0.2326388888888889</v>
      </c>
      <c r="E393" s="121">
        <v>0.88263888888888886</v>
      </c>
    </row>
    <row r="394" spans="1:5" x14ac:dyDescent="0.25">
      <c r="A394" s="120">
        <v>42565</v>
      </c>
      <c r="B394" s="122">
        <v>1</v>
      </c>
      <c r="C394" s="121">
        <v>0.1361111111111111</v>
      </c>
      <c r="D394" s="121">
        <v>0.23333333333333334</v>
      </c>
      <c r="E394" s="121">
        <v>0.88194444444444442</v>
      </c>
    </row>
    <row r="395" spans="1:5" x14ac:dyDescent="0.25">
      <c r="A395" s="120">
        <v>42565</v>
      </c>
      <c r="B395" s="122">
        <v>2.5</v>
      </c>
      <c r="C395" s="121">
        <v>0.61388888888888893</v>
      </c>
      <c r="D395" s="121">
        <v>0.23333333333333334</v>
      </c>
      <c r="E395" s="121">
        <v>0.88194444444444442</v>
      </c>
    </row>
    <row r="396" spans="1:5" x14ac:dyDescent="0.25">
      <c r="A396" s="120">
        <v>42566</v>
      </c>
      <c r="B396" s="122">
        <v>0.5</v>
      </c>
      <c r="C396" s="121">
        <v>0.17430555555555555</v>
      </c>
      <c r="D396" s="121">
        <v>0.23402777777777778</v>
      </c>
      <c r="E396" s="121">
        <v>0.88124999999999998</v>
      </c>
    </row>
    <row r="397" spans="1:5" x14ac:dyDescent="0.25">
      <c r="A397" s="120">
        <v>42566</v>
      </c>
      <c r="B397" s="122">
        <v>2.7</v>
      </c>
      <c r="C397" s="121">
        <v>0.65416666666666667</v>
      </c>
      <c r="D397" s="121">
        <v>0.23402777777777778</v>
      </c>
      <c r="E397" s="121">
        <v>0.88124999999999998</v>
      </c>
    </row>
    <row r="398" spans="1:5" x14ac:dyDescent="0.25">
      <c r="A398" s="120">
        <v>42567</v>
      </c>
      <c r="B398" s="122">
        <v>0</v>
      </c>
      <c r="C398" s="121">
        <v>0.2076388888888889</v>
      </c>
      <c r="D398" s="121">
        <v>0.23472222222222222</v>
      </c>
      <c r="E398" s="121">
        <v>0.88055555555555554</v>
      </c>
    </row>
    <row r="399" spans="1:5" x14ac:dyDescent="0.25">
      <c r="A399" s="120">
        <v>42567</v>
      </c>
      <c r="B399" s="122">
        <v>2.7</v>
      </c>
      <c r="C399" s="121">
        <v>0.69166666666666665</v>
      </c>
      <c r="D399" s="121">
        <v>0.23472222222222222</v>
      </c>
      <c r="E399" s="121">
        <v>0.88055555555555554</v>
      </c>
    </row>
    <row r="400" spans="1:5" x14ac:dyDescent="0.25">
      <c r="A400" s="120">
        <v>42568</v>
      </c>
      <c r="B400" s="122">
        <v>-0.5</v>
      </c>
      <c r="C400" s="121">
        <v>0.23749999999999999</v>
      </c>
      <c r="D400" s="121">
        <v>0.23541666666666666</v>
      </c>
      <c r="E400" s="121">
        <v>0.87986111111111109</v>
      </c>
    </row>
    <row r="401" spans="1:5" x14ac:dyDescent="0.25">
      <c r="A401" s="120">
        <v>42568</v>
      </c>
      <c r="B401" s="122">
        <v>2.6</v>
      </c>
      <c r="C401" s="121">
        <v>0.72638888888888886</v>
      </c>
      <c r="D401" s="121">
        <v>0.23541666666666666</v>
      </c>
      <c r="E401" s="121">
        <v>0.87986111111111109</v>
      </c>
    </row>
    <row r="402" spans="1:5" x14ac:dyDescent="0.25">
      <c r="A402" s="120">
        <v>42569</v>
      </c>
      <c r="B402" s="122">
        <v>-0.9</v>
      </c>
      <c r="C402" s="121">
        <v>0.26527777777777778</v>
      </c>
      <c r="D402" s="121">
        <v>0.2361111111111111</v>
      </c>
      <c r="E402" s="121">
        <v>0.87916666666666665</v>
      </c>
    </row>
    <row r="403" spans="1:5" x14ac:dyDescent="0.25">
      <c r="A403" s="120">
        <v>42569</v>
      </c>
      <c r="B403" s="122">
        <v>2.4</v>
      </c>
      <c r="C403" s="121">
        <v>0.75763888888888886</v>
      </c>
      <c r="D403" s="121">
        <v>0.2361111111111111</v>
      </c>
      <c r="E403" s="121">
        <v>0.87916666666666665</v>
      </c>
    </row>
    <row r="404" spans="1:5" x14ac:dyDescent="0.25">
      <c r="A404" s="120">
        <v>42570</v>
      </c>
      <c r="B404" s="122">
        <v>-1.3</v>
      </c>
      <c r="C404" s="121">
        <v>0.29236111111111113</v>
      </c>
      <c r="D404" s="121">
        <v>0.23680555555555555</v>
      </c>
      <c r="E404" s="121">
        <v>0.87847222222222221</v>
      </c>
    </row>
    <row r="405" spans="1:5" x14ac:dyDescent="0.25">
      <c r="A405" s="120">
        <v>42570</v>
      </c>
      <c r="B405" s="122">
        <v>2.2000000000000002</v>
      </c>
      <c r="C405" s="121">
        <v>0.78819444444444442</v>
      </c>
      <c r="D405" s="121">
        <v>0.23680555555555555</v>
      </c>
      <c r="E405" s="121">
        <v>0.87847222222222221</v>
      </c>
    </row>
    <row r="406" spans="1:5" x14ac:dyDescent="0.25">
      <c r="A406" s="120">
        <v>42571</v>
      </c>
      <c r="B406" s="122">
        <v>-1.5</v>
      </c>
      <c r="C406" s="121">
        <v>0.31874999999999998</v>
      </c>
      <c r="D406" s="121">
        <v>0.23749999999999999</v>
      </c>
      <c r="E406" s="121">
        <v>0.87777777777777777</v>
      </c>
    </row>
    <row r="407" spans="1:5" x14ac:dyDescent="0.25">
      <c r="A407" s="120">
        <v>42571</v>
      </c>
      <c r="B407" s="122">
        <v>1.9</v>
      </c>
      <c r="C407" s="121">
        <v>0.81805555555555554</v>
      </c>
      <c r="D407" s="121">
        <v>0.23749999999999999</v>
      </c>
      <c r="E407" s="121">
        <v>0.87777777777777777</v>
      </c>
    </row>
    <row r="408" spans="1:5" x14ac:dyDescent="0.25">
      <c r="A408" s="120">
        <v>42572</v>
      </c>
      <c r="B408" s="122">
        <v>-1.5</v>
      </c>
      <c r="C408" s="121">
        <v>0.34444444444444444</v>
      </c>
      <c r="D408" s="121">
        <v>0.23819444444444443</v>
      </c>
      <c r="E408" s="121">
        <v>0.87708333333333333</v>
      </c>
    </row>
    <row r="409" spans="1:5" x14ac:dyDescent="0.25">
      <c r="A409" s="120">
        <v>42572</v>
      </c>
      <c r="B409" s="122">
        <v>1.7</v>
      </c>
      <c r="C409" s="121">
        <v>0.84861111111111109</v>
      </c>
      <c r="D409" s="121">
        <v>0.23819444444444443</v>
      </c>
      <c r="E409" s="121">
        <v>0.87708333333333333</v>
      </c>
    </row>
    <row r="410" spans="1:5" x14ac:dyDescent="0.25">
      <c r="A410" s="120">
        <v>42573</v>
      </c>
      <c r="B410" s="122">
        <v>-1.4</v>
      </c>
      <c r="C410" s="121">
        <v>0.37152777777777779</v>
      </c>
      <c r="D410" s="121">
        <v>0.2388888888888889</v>
      </c>
      <c r="E410" s="121">
        <v>0.87638888888888888</v>
      </c>
    </row>
    <row r="411" spans="1:5" x14ac:dyDescent="0.25">
      <c r="A411" s="120">
        <v>42573</v>
      </c>
      <c r="B411" s="122">
        <v>1.5</v>
      </c>
      <c r="C411" s="121">
        <v>0.88055555555555554</v>
      </c>
      <c r="D411" s="121">
        <v>0.2388888888888889</v>
      </c>
      <c r="E411" s="121">
        <v>0.87638888888888888</v>
      </c>
    </row>
    <row r="412" spans="1:5" x14ac:dyDescent="0.25">
      <c r="A412" s="120">
        <v>42574</v>
      </c>
      <c r="B412" s="122">
        <v>-1.1000000000000001</v>
      </c>
      <c r="C412" s="121">
        <v>0.39861111111111114</v>
      </c>
      <c r="D412" s="121">
        <v>0.23958333333333334</v>
      </c>
      <c r="E412" s="121">
        <v>0.87569444444444444</v>
      </c>
    </row>
    <row r="413" spans="1:5" x14ac:dyDescent="0.25">
      <c r="A413" s="120">
        <v>42574</v>
      </c>
      <c r="B413" s="122">
        <v>1.3</v>
      </c>
      <c r="C413" s="121">
        <v>0.91527777777777775</v>
      </c>
      <c r="D413" s="121">
        <v>0.23958333333333334</v>
      </c>
      <c r="E413" s="121">
        <v>0.87569444444444444</v>
      </c>
    </row>
    <row r="414" spans="1:5" x14ac:dyDescent="0.25">
      <c r="A414" s="120">
        <v>42575</v>
      </c>
      <c r="B414" s="122">
        <v>-0.7</v>
      </c>
      <c r="C414" s="121">
        <v>0.42777777777777776</v>
      </c>
      <c r="D414" s="121">
        <v>0.24097222222222223</v>
      </c>
      <c r="E414" s="121">
        <v>0.875</v>
      </c>
    </row>
    <row r="415" spans="1:5" x14ac:dyDescent="0.25">
      <c r="A415" s="120">
        <v>42575</v>
      </c>
      <c r="B415" s="122">
        <v>1.1000000000000001</v>
      </c>
      <c r="C415" s="121">
        <v>0.95347222222222228</v>
      </c>
      <c r="D415" s="121">
        <v>0.24097222222222223</v>
      </c>
      <c r="E415" s="121">
        <v>0.875</v>
      </c>
    </row>
    <row r="416" spans="1:5" x14ac:dyDescent="0.25">
      <c r="A416" s="120">
        <v>42576</v>
      </c>
      <c r="B416" s="122">
        <v>0</v>
      </c>
      <c r="C416" s="121">
        <v>0.45833333333333331</v>
      </c>
      <c r="D416" s="121">
        <v>0.24166666666666667</v>
      </c>
      <c r="E416" s="121">
        <v>0.87430555555555556</v>
      </c>
    </row>
    <row r="417" spans="1:5" x14ac:dyDescent="0.25">
      <c r="A417" s="120">
        <v>42576</v>
      </c>
      <c r="B417" s="122">
        <v>0.9</v>
      </c>
      <c r="C417" s="121">
        <v>0.99583333333333335</v>
      </c>
      <c r="D417" s="121">
        <v>0.24166666666666667</v>
      </c>
      <c r="E417" s="121">
        <v>0.87430555555555556</v>
      </c>
    </row>
    <row r="418" spans="1:5" x14ac:dyDescent="0.25">
      <c r="A418" s="120">
        <v>42577</v>
      </c>
      <c r="B418" s="122">
        <v>0.7</v>
      </c>
      <c r="C418" s="121">
        <v>0.49305555555555558</v>
      </c>
      <c r="D418" s="121">
        <v>0.24236111111111111</v>
      </c>
      <c r="E418" s="121">
        <v>0.87361111111111112</v>
      </c>
    </row>
    <row r="419" spans="1:5" x14ac:dyDescent="0.25">
      <c r="A419" s="120">
        <v>42578</v>
      </c>
      <c r="B419" s="122">
        <v>0.7</v>
      </c>
      <c r="C419" s="121">
        <v>4.2361111111111113E-2</v>
      </c>
      <c r="D419" s="121">
        <v>0.24305555555555555</v>
      </c>
      <c r="E419" s="121">
        <v>0.87222222222222223</v>
      </c>
    </row>
    <row r="420" spans="1:5" x14ac:dyDescent="0.25">
      <c r="A420" s="120">
        <v>42578</v>
      </c>
      <c r="B420" s="122">
        <v>1.4</v>
      </c>
      <c r="C420" s="121">
        <v>0.53263888888888888</v>
      </c>
      <c r="D420" s="121">
        <v>0.24305555555555555</v>
      </c>
      <c r="E420" s="121">
        <v>0.87222222222222223</v>
      </c>
    </row>
    <row r="421" spans="1:5" x14ac:dyDescent="0.25">
      <c r="A421" s="120">
        <v>42579</v>
      </c>
      <c r="B421" s="122">
        <v>0.3</v>
      </c>
      <c r="C421" s="121">
        <v>9.166666666666666E-2</v>
      </c>
      <c r="D421" s="121">
        <v>0.24374999999999999</v>
      </c>
      <c r="E421" s="121">
        <v>0.87152777777777779</v>
      </c>
    </row>
    <row r="422" spans="1:5" x14ac:dyDescent="0.25">
      <c r="A422" s="120">
        <v>42579</v>
      </c>
      <c r="B422" s="122">
        <v>1.9</v>
      </c>
      <c r="C422" s="121">
        <v>0.57847222222222228</v>
      </c>
      <c r="D422" s="121">
        <v>0.24374999999999999</v>
      </c>
      <c r="E422" s="121">
        <v>0.87152777777777779</v>
      </c>
    </row>
    <row r="423" spans="1:5" x14ac:dyDescent="0.25">
      <c r="A423" s="120">
        <v>42580</v>
      </c>
      <c r="B423" s="122">
        <v>-0.2</v>
      </c>
      <c r="C423" s="121">
        <v>0.13958333333333334</v>
      </c>
      <c r="D423" s="121">
        <v>0.24513888888888888</v>
      </c>
      <c r="E423" s="121">
        <v>0.87083333333333335</v>
      </c>
    </row>
    <row r="424" spans="1:5" x14ac:dyDescent="0.25">
      <c r="A424" s="120">
        <v>42580</v>
      </c>
      <c r="B424" s="122">
        <v>2.2000000000000002</v>
      </c>
      <c r="C424" s="121">
        <v>0.62708333333333333</v>
      </c>
      <c r="D424" s="121">
        <v>0.24513888888888888</v>
      </c>
      <c r="E424" s="121">
        <v>0.87083333333333335</v>
      </c>
    </row>
    <row r="425" spans="1:5" x14ac:dyDescent="0.25">
      <c r="A425" s="120">
        <v>42581</v>
      </c>
      <c r="B425" s="122">
        <v>-0.7</v>
      </c>
      <c r="C425" s="121">
        <v>0.18333333333333332</v>
      </c>
      <c r="D425" s="121">
        <v>0.24583333333333332</v>
      </c>
      <c r="E425" s="121">
        <v>0.86944444444444446</v>
      </c>
    </row>
    <row r="426" spans="1:5" x14ac:dyDescent="0.25">
      <c r="A426" s="120">
        <v>42581</v>
      </c>
      <c r="B426" s="122">
        <v>2.2000000000000002</v>
      </c>
      <c r="C426" s="121">
        <v>0.67361111111111116</v>
      </c>
      <c r="D426" s="121">
        <v>0.24583333333333332</v>
      </c>
      <c r="E426" s="121">
        <v>0.86944444444444446</v>
      </c>
    </row>
    <row r="427" spans="1:5" x14ac:dyDescent="0.25">
      <c r="A427" s="120">
        <v>42582</v>
      </c>
      <c r="B427" s="122">
        <v>-1.2</v>
      </c>
      <c r="C427" s="121">
        <v>0.22152777777777777</v>
      </c>
      <c r="D427" s="121">
        <v>0.24652777777777779</v>
      </c>
      <c r="E427" s="121">
        <v>0.86875000000000002</v>
      </c>
    </row>
    <row r="428" spans="1:5" x14ac:dyDescent="0.25">
      <c r="A428" s="120">
        <v>42582</v>
      </c>
      <c r="B428" s="122">
        <v>2.1</v>
      </c>
      <c r="C428" s="121">
        <v>0.71597222222222223</v>
      </c>
      <c r="D428" s="121">
        <v>0.24652777777777779</v>
      </c>
      <c r="E428" s="121">
        <v>0.86875000000000002</v>
      </c>
    </row>
    <row r="429" spans="1:5" x14ac:dyDescent="0.25">
      <c r="A429" s="120">
        <v>42583</v>
      </c>
      <c r="B429" s="122">
        <v>-1.5</v>
      </c>
      <c r="C429" s="121">
        <v>0.25555555555555554</v>
      </c>
      <c r="D429" s="121">
        <v>0.24722222222222223</v>
      </c>
      <c r="E429" s="121">
        <v>0.86805555555555558</v>
      </c>
    </row>
    <row r="430" spans="1:5" x14ac:dyDescent="0.25">
      <c r="A430" s="120">
        <v>42583</v>
      </c>
      <c r="B430" s="122">
        <v>1.8</v>
      </c>
      <c r="C430" s="121">
        <v>0.75347222222222221</v>
      </c>
      <c r="D430" s="121">
        <v>0.24722222222222223</v>
      </c>
      <c r="E430" s="121">
        <v>0.86805555555555558</v>
      </c>
    </row>
    <row r="431" spans="1:5" x14ac:dyDescent="0.25">
      <c r="A431" s="120">
        <v>42584</v>
      </c>
      <c r="B431" s="122">
        <v>-1.6</v>
      </c>
      <c r="C431" s="121">
        <v>0.28680555555555554</v>
      </c>
      <c r="D431" s="121">
        <v>0.24861111111111112</v>
      </c>
      <c r="E431" s="121">
        <v>0.8666666666666667</v>
      </c>
    </row>
    <row r="432" spans="1:5" x14ac:dyDescent="0.25">
      <c r="A432" s="120">
        <v>42584</v>
      </c>
      <c r="B432" s="122">
        <v>1.6</v>
      </c>
      <c r="C432" s="121">
        <v>0.78819444444444442</v>
      </c>
      <c r="D432" s="121">
        <v>0.24861111111111112</v>
      </c>
      <c r="E432" s="121">
        <v>0.8666666666666667</v>
      </c>
    </row>
    <row r="433" spans="1:5" x14ac:dyDescent="0.25">
      <c r="A433" s="120">
        <v>42585</v>
      </c>
      <c r="B433" s="122">
        <v>-1.5</v>
      </c>
      <c r="C433" s="121">
        <v>0.31597222222222221</v>
      </c>
      <c r="D433" s="121">
        <v>0.24930555555555556</v>
      </c>
      <c r="E433" s="121">
        <v>0.86597222222222225</v>
      </c>
    </row>
    <row r="434" spans="1:5" x14ac:dyDescent="0.25">
      <c r="A434" s="120">
        <v>42585</v>
      </c>
      <c r="B434" s="122">
        <v>1.4</v>
      </c>
      <c r="C434" s="121">
        <v>0.82013888888888886</v>
      </c>
      <c r="D434" s="121">
        <v>0.24930555555555556</v>
      </c>
      <c r="E434" s="121">
        <v>0.86597222222222225</v>
      </c>
    </row>
    <row r="435" spans="1:5" x14ac:dyDescent="0.25">
      <c r="A435" s="120">
        <v>42586</v>
      </c>
      <c r="B435" s="122">
        <v>-1.3</v>
      </c>
      <c r="C435" s="121">
        <v>0.34236111111111112</v>
      </c>
      <c r="D435" s="121">
        <v>0.25</v>
      </c>
      <c r="E435" s="121">
        <v>0.86458333333333337</v>
      </c>
    </row>
    <row r="436" spans="1:5" x14ac:dyDescent="0.25">
      <c r="A436" s="120">
        <v>42586</v>
      </c>
      <c r="B436" s="122">
        <v>1.3</v>
      </c>
      <c r="C436" s="121">
        <v>0.85069444444444442</v>
      </c>
      <c r="D436" s="121">
        <v>0.25</v>
      </c>
      <c r="E436" s="121">
        <v>0.86458333333333337</v>
      </c>
    </row>
    <row r="437" spans="1:5" x14ac:dyDescent="0.25">
      <c r="A437" s="120">
        <v>42587</v>
      </c>
      <c r="B437" s="122">
        <v>-0.9</v>
      </c>
      <c r="C437" s="121">
        <v>0.36805555555555558</v>
      </c>
      <c r="D437" s="121">
        <v>0.25069444444444444</v>
      </c>
      <c r="E437" s="121">
        <v>0.86388888888888893</v>
      </c>
    </row>
    <row r="438" spans="1:5" x14ac:dyDescent="0.25">
      <c r="A438" s="120">
        <v>42587</v>
      </c>
      <c r="B438" s="122">
        <v>1.3</v>
      </c>
      <c r="C438" s="121">
        <v>0.88055555555555554</v>
      </c>
      <c r="D438" s="121">
        <v>0.25069444444444444</v>
      </c>
      <c r="E438" s="121">
        <v>0.86388888888888893</v>
      </c>
    </row>
    <row r="439" spans="1:5" x14ac:dyDescent="0.25">
      <c r="A439" s="120">
        <v>42588</v>
      </c>
      <c r="B439" s="122">
        <v>-0.4</v>
      </c>
      <c r="C439" s="121">
        <v>0.39305555555555555</v>
      </c>
      <c r="D439" s="121">
        <v>0.25208333333333333</v>
      </c>
      <c r="E439" s="121">
        <v>0.86250000000000004</v>
      </c>
    </row>
    <row r="440" spans="1:5" x14ac:dyDescent="0.25">
      <c r="A440" s="120">
        <v>42588</v>
      </c>
      <c r="B440" s="122">
        <v>1.3</v>
      </c>
      <c r="C440" s="121">
        <v>0.91041666666666665</v>
      </c>
      <c r="D440" s="121">
        <v>0.25208333333333333</v>
      </c>
      <c r="E440" s="121">
        <v>0.86250000000000004</v>
      </c>
    </row>
    <row r="441" spans="1:5" x14ac:dyDescent="0.25">
      <c r="A441" s="120">
        <v>42589</v>
      </c>
      <c r="B441" s="122">
        <v>0.2</v>
      </c>
      <c r="C441" s="121">
        <v>0.41736111111111113</v>
      </c>
      <c r="D441" s="121">
        <v>0.25277777777777777</v>
      </c>
      <c r="E441" s="121">
        <v>0.8618055555555556</v>
      </c>
    </row>
    <row r="442" spans="1:5" x14ac:dyDescent="0.25">
      <c r="A442" s="120">
        <v>42589</v>
      </c>
      <c r="B442" s="122">
        <v>1.4</v>
      </c>
      <c r="C442" s="121">
        <v>0.94166666666666665</v>
      </c>
      <c r="D442" s="121">
        <v>0.25277777777777777</v>
      </c>
      <c r="E442" s="121">
        <v>0.8618055555555556</v>
      </c>
    </row>
    <row r="443" spans="1:5" x14ac:dyDescent="0.25">
      <c r="A443" s="120">
        <v>42590</v>
      </c>
      <c r="B443" s="122">
        <v>0.8</v>
      </c>
      <c r="C443" s="121">
        <v>0.44236111111111109</v>
      </c>
      <c r="D443" s="121">
        <v>0.25347222222222221</v>
      </c>
      <c r="E443" s="121">
        <v>0.86041666666666672</v>
      </c>
    </row>
    <row r="444" spans="1:5" x14ac:dyDescent="0.25">
      <c r="A444" s="120">
        <v>42590</v>
      </c>
      <c r="B444" s="122">
        <v>1.4</v>
      </c>
      <c r="C444" s="121">
        <v>0.97499999999999998</v>
      </c>
      <c r="D444" s="121">
        <v>0.25347222222222221</v>
      </c>
      <c r="E444" s="121">
        <v>0.86041666666666672</v>
      </c>
    </row>
    <row r="445" spans="1:5" x14ac:dyDescent="0.25">
      <c r="A445" s="120">
        <v>42591</v>
      </c>
      <c r="B445" s="122">
        <v>1.5</v>
      </c>
      <c r="C445" s="121">
        <v>0.46944444444444444</v>
      </c>
      <c r="D445" s="121">
        <v>0.25486111111111109</v>
      </c>
      <c r="E445" s="121">
        <v>0.85972222222222228</v>
      </c>
    </row>
    <row r="446" spans="1:5" x14ac:dyDescent="0.25">
      <c r="A446" s="120">
        <v>42592</v>
      </c>
      <c r="B446" s="122">
        <v>1.5</v>
      </c>
      <c r="C446" s="121">
        <v>1.2500000000000001E-2</v>
      </c>
      <c r="D446" s="121">
        <v>0.25555555555555554</v>
      </c>
      <c r="E446" s="121">
        <v>0.85833333333333328</v>
      </c>
    </row>
    <row r="447" spans="1:5" x14ac:dyDescent="0.25">
      <c r="A447" s="120">
        <v>42592</v>
      </c>
      <c r="B447" s="122">
        <v>2.1</v>
      </c>
      <c r="C447" s="121">
        <v>0.5</v>
      </c>
      <c r="D447" s="121">
        <v>0.25555555555555554</v>
      </c>
      <c r="E447" s="121">
        <v>0.85833333333333328</v>
      </c>
    </row>
    <row r="448" spans="1:5" x14ac:dyDescent="0.25">
      <c r="A448" s="120">
        <v>42593</v>
      </c>
      <c r="B448" s="122">
        <v>1.4</v>
      </c>
      <c r="C448" s="121">
        <v>5.5555555555555552E-2</v>
      </c>
      <c r="D448" s="121">
        <v>0.25624999999999998</v>
      </c>
      <c r="E448" s="121">
        <v>0.8569444444444444</v>
      </c>
    </row>
    <row r="449" spans="1:5" x14ac:dyDescent="0.25">
      <c r="A449" s="120">
        <v>42593</v>
      </c>
      <c r="B449" s="122">
        <v>2.6</v>
      </c>
      <c r="C449" s="121">
        <v>0.53749999999999998</v>
      </c>
      <c r="D449" s="121">
        <v>0.25624999999999998</v>
      </c>
      <c r="E449" s="121">
        <v>0.8569444444444444</v>
      </c>
    </row>
    <row r="450" spans="1:5" x14ac:dyDescent="0.25">
      <c r="A450" s="120">
        <v>42594</v>
      </c>
      <c r="B450" s="122">
        <v>1.2</v>
      </c>
      <c r="C450" s="121">
        <v>0.1</v>
      </c>
      <c r="D450" s="121">
        <v>0.25763888888888886</v>
      </c>
      <c r="E450" s="121">
        <v>0.85624999999999996</v>
      </c>
    </row>
    <row r="451" spans="1:5" x14ac:dyDescent="0.25">
      <c r="A451" s="120">
        <v>42594</v>
      </c>
      <c r="B451" s="122">
        <v>2.9</v>
      </c>
      <c r="C451" s="121">
        <v>0.58194444444444449</v>
      </c>
      <c r="D451" s="121">
        <v>0.25763888888888886</v>
      </c>
      <c r="E451" s="121">
        <v>0.85624999999999996</v>
      </c>
    </row>
    <row r="452" spans="1:5" x14ac:dyDescent="0.25">
      <c r="A452" s="120">
        <v>42595</v>
      </c>
      <c r="B452" s="122">
        <v>0.8</v>
      </c>
      <c r="C452" s="121">
        <v>0.14305555555555555</v>
      </c>
      <c r="D452" s="121">
        <v>0.25833333333333336</v>
      </c>
      <c r="E452" s="121">
        <v>0.85486111111111107</v>
      </c>
    </row>
    <row r="453" spans="1:5" x14ac:dyDescent="0.25">
      <c r="A453" s="120">
        <v>42595</v>
      </c>
      <c r="B453" s="122">
        <v>3</v>
      </c>
      <c r="C453" s="121">
        <v>0.62847222222222221</v>
      </c>
      <c r="D453" s="121">
        <v>0.25833333333333336</v>
      </c>
      <c r="E453" s="121">
        <v>0.85486111111111107</v>
      </c>
    </row>
    <row r="454" spans="1:5" x14ac:dyDescent="0.25">
      <c r="A454" s="120">
        <v>42596</v>
      </c>
      <c r="B454" s="122">
        <v>0.3</v>
      </c>
      <c r="C454" s="121">
        <v>0.18124999999999999</v>
      </c>
      <c r="D454" s="121">
        <v>0.2590277777777778</v>
      </c>
      <c r="E454" s="121">
        <v>0.85347222222222219</v>
      </c>
    </row>
    <row r="455" spans="1:5" x14ac:dyDescent="0.25">
      <c r="A455" s="120">
        <v>42596</v>
      </c>
      <c r="B455" s="122">
        <v>2.8</v>
      </c>
      <c r="C455" s="121">
        <v>0.67152777777777772</v>
      </c>
      <c r="D455" s="121">
        <v>0.2590277777777778</v>
      </c>
      <c r="E455" s="121">
        <v>0.85347222222222219</v>
      </c>
    </row>
    <row r="456" spans="1:5" x14ac:dyDescent="0.25">
      <c r="A456" s="120">
        <v>42597</v>
      </c>
      <c r="B456" s="122">
        <v>-0.2</v>
      </c>
      <c r="C456" s="121">
        <v>0.21458333333333332</v>
      </c>
      <c r="D456" s="121">
        <v>0.25972222222222224</v>
      </c>
      <c r="E456" s="121">
        <v>0.85277777777777775</v>
      </c>
    </row>
    <row r="457" spans="1:5" x14ac:dyDescent="0.25">
      <c r="A457" s="120">
        <v>42597</v>
      </c>
      <c r="B457" s="122">
        <v>2.5</v>
      </c>
      <c r="C457" s="121">
        <v>0.70902777777777781</v>
      </c>
      <c r="D457" s="121">
        <v>0.25972222222222224</v>
      </c>
      <c r="E457" s="121">
        <v>0.85277777777777775</v>
      </c>
    </row>
    <row r="458" spans="1:5" x14ac:dyDescent="0.25">
      <c r="A458" s="120">
        <v>42598</v>
      </c>
      <c r="B458" s="122">
        <v>-0.7</v>
      </c>
      <c r="C458" s="121">
        <v>0.24444444444444444</v>
      </c>
      <c r="D458" s="121">
        <v>0.26111111111111113</v>
      </c>
      <c r="E458" s="121">
        <v>0.85138888888888886</v>
      </c>
    </row>
    <row r="459" spans="1:5" x14ac:dyDescent="0.25">
      <c r="A459" s="120">
        <v>42598</v>
      </c>
      <c r="B459" s="122">
        <v>2.1</v>
      </c>
      <c r="C459" s="121">
        <v>0.74236111111111114</v>
      </c>
      <c r="D459" s="121">
        <v>0.26111111111111113</v>
      </c>
      <c r="E459" s="121">
        <v>0.85138888888888886</v>
      </c>
    </row>
    <row r="460" spans="1:5" x14ac:dyDescent="0.25">
      <c r="A460" s="120">
        <v>42599</v>
      </c>
      <c r="B460" s="122">
        <v>-1</v>
      </c>
      <c r="C460" s="121">
        <v>0.2722222222222222</v>
      </c>
      <c r="D460" s="121">
        <v>0.26180555555555557</v>
      </c>
      <c r="E460" s="121">
        <v>0.85</v>
      </c>
    </row>
    <row r="461" spans="1:5" x14ac:dyDescent="0.25">
      <c r="A461" s="120">
        <v>42599</v>
      </c>
      <c r="B461" s="122">
        <v>1.6</v>
      </c>
      <c r="C461" s="121">
        <v>0.77430555555555558</v>
      </c>
      <c r="D461" s="121">
        <v>0.26180555555555557</v>
      </c>
      <c r="E461" s="121">
        <v>0.85</v>
      </c>
    </row>
    <row r="462" spans="1:5" x14ac:dyDescent="0.25">
      <c r="A462" s="120">
        <v>42600</v>
      </c>
      <c r="B462" s="122">
        <v>-1.2</v>
      </c>
      <c r="C462" s="121">
        <v>0.29930555555555555</v>
      </c>
      <c r="D462" s="121">
        <v>0.26250000000000001</v>
      </c>
      <c r="E462" s="121">
        <v>0.84861111111111109</v>
      </c>
    </row>
    <row r="463" spans="1:5" x14ac:dyDescent="0.25">
      <c r="A463" s="120">
        <v>42600</v>
      </c>
      <c r="B463" s="122">
        <v>1.1000000000000001</v>
      </c>
      <c r="C463" s="121">
        <v>0.80486111111111114</v>
      </c>
      <c r="D463" s="121">
        <v>0.26250000000000001</v>
      </c>
      <c r="E463" s="121">
        <v>0.84861111111111109</v>
      </c>
    </row>
    <row r="464" spans="1:5" x14ac:dyDescent="0.25">
      <c r="A464" s="120">
        <v>42601</v>
      </c>
      <c r="B464" s="122">
        <v>-1.3</v>
      </c>
      <c r="C464" s="121">
        <v>0.3263888888888889</v>
      </c>
      <c r="D464" s="121">
        <v>0.2638888888888889</v>
      </c>
      <c r="E464" s="121">
        <v>0.84722222222222221</v>
      </c>
    </row>
    <row r="465" spans="1:5" x14ac:dyDescent="0.25">
      <c r="A465" s="120">
        <v>42601</v>
      </c>
      <c r="B465" s="122">
        <v>0.7</v>
      </c>
      <c r="C465" s="121">
        <v>0.83611111111111114</v>
      </c>
      <c r="D465" s="121">
        <v>0.2638888888888889</v>
      </c>
      <c r="E465" s="121">
        <v>0.84722222222222221</v>
      </c>
    </row>
    <row r="466" spans="1:5" x14ac:dyDescent="0.25">
      <c r="A466" s="120">
        <v>42602</v>
      </c>
      <c r="B466" s="122">
        <v>-1.1000000000000001</v>
      </c>
      <c r="C466" s="121">
        <v>0.35347222222222224</v>
      </c>
      <c r="D466" s="121">
        <v>0.26458333333333334</v>
      </c>
      <c r="E466" s="121">
        <v>0.84652777777777777</v>
      </c>
    </row>
    <row r="467" spans="1:5" x14ac:dyDescent="0.25">
      <c r="A467" s="120">
        <v>42602</v>
      </c>
      <c r="B467" s="122">
        <v>0.4</v>
      </c>
      <c r="C467" s="121">
        <v>0.86875000000000002</v>
      </c>
      <c r="D467" s="121">
        <v>0.26458333333333334</v>
      </c>
      <c r="E467" s="121">
        <v>0.84652777777777777</v>
      </c>
    </row>
    <row r="468" spans="1:5" x14ac:dyDescent="0.25">
      <c r="A468" s="120">
        <v>42603</v>
      </c>
      <c r="B468" s="122">
        <v>-0.6</v>
      </c>
      <c r="C468" s="121">
        <v>0.38124999999999998</v>
      </c>
      <c r="D468" s="121">
        <v>0.26527777777777778</v>
      </c>
      <c r="E468" s="121">
        <v>0.84513888888888888</v>
      </c>
    </row>
    <row r="469" spans="1:5" x14ac:dyDescent="0.25">
      <c r="A469" s="120">
        <v>42603</v>
      </c>
      <c r="B469" s="122">
        <v>0.2</v>
      </c>
      <c r="C469" s="121">
        <v>0.90277777777777779</v>
      </c>
      <c r="D469" s="121">
        <v>0.26527777777777778</v>
      </c>
      <c r="E469" s="121">
        <v>0.84513888888888888</v>
      </c>
    </row>
    <row r="470" spans="1:5" x14ac:dyDescent="0.25">
      <c r="A470" s="120">
        <v>42604</v>
      </c>
      <c r="B470" s="122">
        <v>0</v>
      </c>
      <c r="C470" s="121">
        <v>0.41041666666666665</v>
      </c>
      <c r="D470" s="121">
        <v>0.26666666666666666</v>
      </c>
      <c r="E470" s="121">
        <v>0.84375</v>
      </c>
    </row>
    <row r="471" spans="1:5" x14ac:dyDescent="0.25">
      <c r="A471" s="120">
        <v>42604</v>
      </c>
      <c r="B471" s="122">
        <v>0.2</v>
      </c>
      <c r="C471" s="121">
        <v>0.93958333333333333</v>
      </c>
      <c r="D471" s="121">
        <v>0.26666666666666666</v>
      </c>
      <c r="E471" s="121">
        <v>0.84375</v>
      </c>
    </row>
    <row r="472" spans="1:5" x14ac:dyDescent="0.25">
      <c r="A472" s="120">
        <v>42605</v>
      </c>
      <c r="B472" s="122">
        <v>0.7</v>
      </c>
      <c r="C472" s="121">
        <v>0.44236111111111109</v>
      </c>
      <c r="D472" s="121">
        <v>0.2673611111111111</v>
      </c>
      <c r="E472" s="121">
        <v>0.84236111111111112</v>
      </c>
    </row>
    <row r="473" spans="1:5" x14ac:dyDescent="0.25">
      <c r="A473" s="120">
        <v>42605</v>
      </c>
      <c r="B473" s="122">
        <v>0.2</v>
      </c>
      <c r="C473" s="121">
        <v>0.98124999999999996</v>
      </c>
      <c r="D473" s="121">
        <v>0.2673611111111111</v>
      </c>
      <c r="E473" s="121">
        <v>0.84236111111111112</v>
      </c>
    </row>
    <row r="474" spans="1:5" x14ac:dyDescent="0.25">
      <c r="A474" s="120">
        <v>42606</v>
      </c>
      <c r="B474" s="122">
        <v>1.4</v>
      </c>
      <c r="C474" s="121">
        <v>0.4777777777777778</v>
      </c>
      <c r="D474" s="121">
        <v>0.26805555555555555</v>
      </c>
      <c r="E474" s="121">
        <v>0.84097222222222223</v>
      </c>
    </row>
    <row r="475" spans="1:5" x14ac:dyDescent="0.25">
      <c r="A475" s="120">
        <v>42607</v>
      </c>
      <c r="B475" s="122">
        <v>0.2</v>
      </c>
      <c r="C475" s="121">
        <v>2.6388888888888889E-2</v>
      </c>
      <c r="D475" s="121">
        <v>0.26944444444444443</v>
      </c>
      <c r="E475" s="121">
        <v>0.83958333333333335</v>
      </c>
    </row>
    <row r="476" spans="1:5" x14ac:dyDescent="0.25">
      <c r="A476" s="120">
        <v>42607</v>
      </c>
      <c r="B476" s="122">
        <v>2.1</v>
      </c>
      <c r="C476" s="121">
        <v>0.52013888888888893</v>
      </c>
      <c r="D476" s="121">
        <v>0.26944444444444443</v>
      </c>
      <c r="E476" s="121">
        <v>0.83958333333333335</v>
      </c>
    </row>
    <row r="477" spans="1:5" x14ac:dyDescent="0.25">
      <c r="A477" s="120">
        <v>42608</v>
      </c>
      <c r="B477" s="122">
        <v>0.2</v>
      </c>
      <c r="C477" s="121">
        <v>7.6388888888888895E-2</v>
      </c>
      <c r="D477" s="121">
        <v>0.27013888888888887</v>
      </c>
      <c r="E477" s="121">
        <v>0.83819444444444446</v>
      </c>
    </row>
    <row r="478" spans="1:5" x14ac:dyDescent="0.25">
      <c r="A478" s="120">
        <v>42608</v>
      </c>
      <c r="B478" s="122">
        <v>2.5</v>
      </c>
      <c r="C478" s="121">
        <v>0.56944444444444442</v>
      </c>
      <c r="D478" s="121">
        <v>0.27013888888888887</v>
      </c>
      <c r="E478" s="121">
        <v>0.83819444444444446</v>
      </c>
    </row>
    <row r="479" spans="1:5" x14ac:dyDescent="0.25">
      <c r="A479" s="120">
        <v>42609</v>
      </c>
      <c r="B479" s="122">
        <v>0</v>
      </c>
      <c r="C479" s="121">
        <v>0.12569444444444444</v>
      </c>
      <c r="D479" s="121">
        <v>0.27083333333333331</v>
      </c>
      <c r="E479" s="121">
        <v>0.83750000000000002</v>
      </c>
    </row>
    <row r="480" spans="1:5" x14ac:dyDescent="0.25">
      <c r="A480" s="120">
        <v>42609</v>
      </c>
      <c r="B480" s="122">
        <v>2.6</v>
      </c>
      <c r="C480" s="121">
        <v>0.62222222222222223</v>
      </c>
      <c r="D480" s="121">
        <v>0.27083333333333331</v>
      </c>
      <c r="E480" s="121">
        <v>0.83750000000000002</v>
      </c>
    </row>
    <row r="481" spans="1:5" x14ac:dyDescent="0.25">
      <c r="A481" s="120">
        <v>42610</v>
      </c>
      <c r="B481" s="122">
        <v>-0.3</v>
      </c>
      <c r="C481" s="121">
        <v>0.17083333333333334</v>
      </c>
      <c r="D481" s="121">
        <v>0.2722222222222222</v>
      </c>
      <c r="E481" s="121">
        <v>0.83611111111111114</v>
      </c>
    </row>
    <row r="482" spans="1:5" x14ac:dyDescent="0.25">
      <c r="A482" s="120">
        <v>42610</v>
      </c>
      <c r="B482" s="122">
        <v>2.4</v>
      </c>
      <c r="C482" s="121">
        <v>0.67083333333333328</v>
      </c>
      <c r="D482" s="121">
        <v>0.2722222222222222</v>
      </c>
      <c r="E482" s="121">
        <v>0.83611111111111114</v>
      </c>
    </row>
    <row r="483" spans="1:5" x14ac:dyDescent="0.25">
      <c r="A483" s="120">
        <v>42611</v>
      </c>
      <c r="B483" s="122">
        <v>-0.6</v>
      </c>
      <c r="C483" s="121">
        <v>0.20972222222222223</v>
      </c>
      <c r="D483" s="121">
        <v>0.27291666666666664</v>
      </c>
      <c r="E483" s="121">
        <v>0.83472222222222225</v>
      </c>
    </row>
    <row r="484" spans="1:5" x14ac:dyDescent="0.25">
      <c r="A484" s="120">
        <v>42611</v>
      </c>
      <c r="B484" s="122">
        <v>2</v>
      </c>
      <c r="C484" s="121">
        <v>0.71250000000000002</v>
      </c>
      <c r="D484" s="121">
        <v>0.27291666666666664</v>
      </c>
      <c r="E484" s="121">
        <v>0.83472222222222225</v>
      </c>
    </row>
    <row r="485" spans="1:5" x14ac:dyDescent="0.25">
      <c r="A485" s="120">
        <v>42612</v>
      </c>
      <c r="B485" s="122">
        <v>-0.7</v>
      </c>
      <c r="C485" s="121">
        <v>0.24305555555555555</v>
      </c>
      <c r="D485" s="121">
        <v>0.27361111111111114</v>
      </c>
      <c r="E485" s="121">
        <v>0.83333333333333337</v>
      </c>
    </row>
    <row r="486" spans="1:5" x14ac:dyDescent="0.25">
      <c r="A486" s="120">
        <v>42612</v>
      </c>
      <c r="B486" s="122">
        <v>1.6</v>
      </c>
      <c r="C486" s="121">
        <v>0.74791666666666667</v>
      </c>
      <c r="D486" s="121">
        <v>0.27361111111111114</v>
      </c>
      <c r="E486" s="121">
        <v>0.83333333333333337</v>
      </c>
    </row>
    <row r="487" spans="1:5" x14ac:dyDescent="0.25">
      <c r="A487" s="120">
        <v>42613</v>
      </c>
      <c r="B487" s="122">
        <v>-0.8</v>
      </c>
      <c r="C487" s="121">
        <v>0.2722222222222222</v>
      </c>
      <c r="D487" s="121">
        <v>0.27500000000000002</v>
      </c>
      <c r="E487" s="121">
        <v>0.83194444444444449</v>
      </c>
    </row>
    <row r="488" spans="1:5" x14ac:dyDescent="0.25">
      <c r="A488" s="120">
        <v>42613</v>
      </c>
      <c r="B488" s="122">
        <v>1.2</v>
      </c>
      <c r="C488" s="121">
        <v>0.77916666666666667</v>
      </c>
      <c r="D488" s="121">
        <v>0.27500000000000002</v>
      </c>
      <c r="E488" s="121">
        <v>0.83194444444444449</v>
      </c>
    </row>
    <row r="489" spans="1:5" x14ac:dyDescent="0.25">
      <c r="A489" s="120">
        <v>42614</v>
      </c>
      <c r="B489" s="122">
        <v>-0.6</v>
      </c>
      <c r="C489" s="121">
        <v>0.2986111111111111</v>
      </c>
      <c r="D489" s="121">
        <v>0.27569444444444446</v>
      </c>
      <c r="E489" s="121">
        <v>0.8305555555555556</v>
      </c>
    </row>
    <row r="490" spans="1:5" x14ac:dyDescent="0.25">
      <c r="A490" s="120">
        <v>42614</v>
      </c>
      <c r="B490" s="122">
        <v>0.9</v>
      </c>
      <c r="C490" s="121">
        <v>0.80833333333333335</v>
      </c>
      <c r="D490" s="121">
        <v>0.27569444444444446</v>
      </c>
      <c r="E490" s="121">
        <v>0.8305555555555556</v>
      </c>
    </row>
    <row r="491" spans="1:5" x14ac:dyDescent="0.25">
      <c r="A491" s="120">
        <v>42615</v>
      </c>
      <c r="B491" s="122">
        <v>-0.4</v>
      </c>
      <c r="C491" s="121">
        <v>0.32361111111111113</v>
      </c>
      <c r="D491" s="121">
        <v>0.27638888888888891</v>
      </c>
      <c r="E491" s="121">
        <v>0.82916666666666672</v>
      </c>
    </row>
    <row r="492" spans="1:5" x14ac:dyDescent="0.25">
      <c r="A492" s="120">
        <v>42615</v>
      </c>
      <c r="B492" s="122">
        <v>0.8</v>
      </c>
      <c r="C492" s="121">
        <v>0.8354166666666667</v>
      </c>
      <c r="D492" s="121">
        <v>0.27638888888888891</v>
      </c>
      <c r="E492" s="121">
        <v>0.82916666666666672</v>
      </c>
    </row>
    <row r="493" spans="1:5" x14ac:dyDescent="0.25">
      <c r="A493" s="120">
        <v>42616</v>
      </c>
      <c r="B493" s="122">
        <v>0</v>
      </c>
      <c r="C493" s="121">
        <v>0.34652777777777777</v>
      </c>
      <c r="D493" s="121">
        <v>0.27777777777777779</v>
      </c>
      <c r="E493" s="121">
        <v>0.82777777777777772</v>
      </c>
    </row>
    <row r="494" spans="1:5" x14ac:dyDescent="0.25">
      <c r="A494" s="120">
        <v>42616</v>
      </c>
      <c r="B494" s="122">
        <v>0.7</v>
      </c>
      <c r="C494" s="121">
        <v>0.8618055555555556</v>
      </c>
      <c r="D494" s="121">
        <v>0.27777777777777779</v>
      </c>
      <c r="E494" s="121">
        <v>0.82777777777777772</v>
      </c>
    </row>
    <row r="495" spans="1:5" x14ac:dyDescent="0.25">
      <c r="A495" s="120">
        <v>42617</v>
      </c>
      <c r="B495" s="122">
        <v>0.5</v>
      </c>
      <c r="C495" s="121">
        <v>0.36944444444444446</v>
      </c>
      <c r="D495" s="121">
        <v>0.27847222222222223</v>
      </c>
      <c r="E495" s="121">
        <v>0.82638888888888884</v>
      </c>
    </row>
    <row r="496" spans="1:5" x14ac:dyDescent="0.25">
      <c r="A496" s="120">
        <v>42617</v>
      </c>
      <c r="B496" s="122">
        <v>0.7</v>
      </c>
      <c r="C496" s="121">
        <v>0.8881944444444444</v>
      </c>
      <c r="D496" s="121">
        <v>0.27847222222222223</v>
      </c>
      <c r="E496" s="121">
        <v>0.82638888888888884</v>
      </c>
    </row>
    <row r="497" spans="1:5" x14ac:dyDescent="0.25">
      <c r="A497" s="120">
        <v>42618</v>
      </c>
      <c r="B497" s="122">
        <v>1</v>
      </c>
      <c r="C497" s="121">
        <v>0.39166666666666666</v>
      </c>
      <c r="D497" s="121">
        <v>0.27916666666666667</v>
      </c>
      <c r="E497" s="121">
        <v>0.82499999999999996</v>
      </c>
    </row>
    <row r="498" spans="1:5" x14ac:dyDescent="0.25">
      <c r="A498" s="120">
        <v>42618</v>
      </c>
      <c r="B498" s="122">
        <v>0.8</v>
      </c>
      <c r="C498" s="121">
        <v>0.91597222222222219</v>
      </c>
      <c r="D498" s="121">
        <v>0.27916666666666667</v>
      </c>
      <c r="E498" s="121">
        <v>0.82499999999999996</v>
      </c>
    </row>
    <row r="499" spans="1:5" x14ac:dyDescent="0.25">
      <c r="A499" s="120">
        <v>42619</v>
      </c>
      <c r="B499" s="122">
        <v>1.6</v>
      </c>
      <c r="C499" s="121">
        <v>0.4152777777777778</v>
      </c>
      <c r="D499" s="121">
        <v>0.28055555555555556</v>
      </c>
      <c r="E499" s="121">
        <v>0.82361111111111107</v>
      </c>
    </row>
    <row r="500" spans="1:5" x14ac:dyDescent="0.25">
      <c r="A500" s="120">
        <v>42619</v>
      </c>
      <c r="B500" s="122">
        <v>1</v>
      </c>
      <c r="C500" s="121">
        <v>0.94513888888888886</v>
      </c>
      <c r="D500" s="121">
        <v>0.28055555555555556</v>
      </c>
      <c r="E500" s="121">
        <v>0.82361111111111107</v>
      </c>
    </row>
    <row r="501" spans="1:5" x14ac:dyDescent="0.25">
      <c r="A501" s="120">
        <v>42620</v>
      </c>
      <c r="B501" s="122">
        <v>2.1</v>
      </c>
      <c r="C501" s="121">
        <v>0.44027777777777777</v>
      </c>
      <c r="D501" s="121">
        <v>0.28125</v>
      </c>
      <c r="E501" s="121">
        <v>0.82222222222222219</v>
      </c>
    </row>
    <row r="502" spans="1:5" x14ac:dyDescent="0.25">
      <c r="A502" s="120">
        <v>42620</v>
      </c>
      <c r="B502" s="122">
        <v>1.2</v>
      </c>
      <c r="C502" s="121">
        <v>0.97847222222222219</v>
      </c>
      <c r="D502" s="121">
        <v>0.28125</v>
      </c>
      <c r="E502" s="121">
        <v>0.82222222222222219</v>
      </c>
    </row>
    <row r="503" spans="1:5" x14ac:dyDescent="0.25">
      <c r="A503" s="120">
        <v>42621</v>
      </c>
      <c r="B503" s="122">
        <v>2.7</v>
      </c>
      <c r="C503" s="121">
        <v>0.47013888888888888</v>
      </c>
      <c r="D503" s="121">
        <v>0.28194444444444444</v>
      </c>
      <c r="E503" s="121">
        <v>0.8208333333333333</v>
      </c>
    </row>
    <row r="504" spans="1:5" x14ac:dyDescent="0.25">
      <c r="A504" s="120">
        <v>42622</v>
      </c>
      <c r="B504" s="122">
        <v>1.3</v>
      </c>
      <c r="C504" s="121">
        <v>1.8055555555555554E-2</v>
      </c>
      <c r="D504" s="121">
        <v>0.28263888888888888</v>
      </c>
      <c r="E504" s="121">
        <v>0.81944444444444442</v>
      </c>
    </row>
    <row r="505" spans="1:5" x14ac:dyDescent="0.25">
      <c r="A505" s="120">
        <v>42622</v>
      </c>
      <c r="B505" s="122">
        <v>3.1</v>
      </c>
      <c r="C505" s="121">
        <v>0.5083333333333333</v>
      </c>
      <c r="D505" s="121">
        <v>0.28263888888888888</v>
      </c>
      <c r="E505" s="121">
        <v>0.81944444444444442</v>
      </c>
    </row>
    <row r="506" spans="1:5" x14ac:dyDescent="0.25">
      <c r="A506" s="120">
        <v>42623</v>
      </c>
      <c r="B506" s="122">
        <v>1.3</v>
      </c>
      <c r="C506" s="121">
        <v>6.25E-2</v>
      </c>
      <c r="D506" s="121">
        <v>0.28402777777777777</v>
      </c>
      <c r="E506" s="121">
        <v>0.81805555555555554</v>
      </c>
    </row>
    <row r="507" spans="1:5" x14ac:dyDescent="0.25">
      <c r="A507" s="120">
        <v>42623</v>
      </c>
      <c r="B507" s="122">
        <v>3.3</v>
      </c>
      <c r="C507" s="121">
        <v>0.55625000000000002</v>
      </c>
      <c r="D507" s="121">
        <v>0.28402777777777777</v>
      </c>
      <c r="E507" s="121">
        <v>0.81805555555555554</v>
      </c>
    </row>
    <row r="508" spans="1:5" x14ac:dyDescent="0.25">
      <c r="A508" s="120">
        <v>42624</v>
      </c>
      <c r="B508" s="122">
        <v>1.1000000000000001</v>
      </c>
      <c r="C508" s="121">
        <v>0.10902777777777778</v>
      </c>
      <c r="D508" s="121">
        <v>0.28472222222222221</v>
      </c>
      <c r="E508" s="121">
        <v>0.81666666666666665</v>
      </c>
    </row>
    <row r="509" spans="1:5" x14ac:dyDescent="0.25">
      <c r="A509" s="120">
        <v>42624</v>
      </c>
      <c r="B509" s="122">
        <v>3.2</v>
      </c>
      <c r="C509" s="121">
        <v>0.60763888888888884</v>
      </c>
      <c r="D509" s="121">
        <v>0.28472222222222221</v>
      </c>
      <c r="E509" s="121">
        <v>0.81666666666666665</v>
      </c>
    </row>
    <row r="510" spans="1:5" x14ac:dyDescent="0.25">
      <c r="A510" s="120">
        <v>42625</v>
      </c>
      <c r="B510" s="122">
        <v>0.7</v>
      </c>
      <c r="C510" s="121">
        <v>0.15069444444444444</v>
      </c>
      <c r="D510" s="121">
        <v>0.28541666666666665</v>
      </c>
      <c r="E510" s="121">
        <v>0.81527777777777777</v>
      </c>
    </row>
    <row r="511" spans="1:5" x14ac:dyDescent="0.25">
      <c r="A511" s="120">
        <v>42625</v>
      </c>
      <c r="B511" s="122">
        <v>2.9</v>
      </c>
      <c r="C511" s="121">
        <v>0.65416666666666667</v>
      </c>
      <c r="D511" s="121">
        <v>0.28541666666666665</v>
      </c>
      <c r="E511" s="121">
        <v>0.81527777777777777</v>
      </c>
    </row>
    <row r="512" spans="1:5" x14ac:dyDescent="0.25">
      <c r="A512" s="120">
        <v>42626</v>
      </c>
      <c r="B512" s="122">
        <v>0.2</v>
      </c>
      <c r="C512" s="121">
        <v>0.1875</v>
      </c>
      <c r="D512" s="121">
        <v>0.28680555555555554</v>
      </c>
      <c r="E512" s="121">
        <v>0.81388888888888888</v>
      </c>
    </row>
    <row r="513" spans="1:5" x14ac:dyDescent="0.25">
      <c r="A513" s="120">
        <v>42626</v>
      </c>
      <c r="B513" s="122">
        <v>2.2999999999999998</v>
      </c>
      <c r="C513" s="121">
        <v>0.69305555555555554</v>
      </c>
      <c r="D513" s="121">
        <v>0.28680555555555554</v>
      </c>
      <c r="E513" s="121">
        <v>0.81388888888888888</v>
      </c>
    </row>
    <row r="514" spans="1:5" x14ac:dyDescent="0.25">
      <c r="A514" s="120">
        <v>42627</v>
      </c>
      <c r="B514" s="122">
        <v>-0.2</v>
      </c>
      <c r="C514" s="121">
        <v>0.21944444444444444</v>
      </c>
      <c r="D514" s="121">
        <v>0.28749999999999998</v>
      </c>
      <c r="E514" s="121">
        <v>0.8125</v>
      </c>
    </row>
    <row r="515" spans="1:5" x14ac:dyDescent="0.25">
      <c r="A515" s="120">
        <v>42627</v>
      </c>
      <c r="B515" s="122">
        <v>1.6</v>
      </c>
      <c r="C515" s="121">
        <v>0.72777777777777775</v>
      </c>
      <c r="D515" s="121">
        <v>0.28749999999999998</v>
      </c>
      <c r="E515" s="121">
        <v>0.8125</v>
      </c>
    </row>
    <row r="516" spans="1:5" x14ac:dyDescent="0.25">
      <c r="A516" s="120">
        <v>42628</v>
      </c>
      <c r="B516" s="122">
        <v>-0.5</v>
      </c>
      <c r="C516" s="121">
        <v>0.24930555555555556</v>
      </c>
      <c r="D516" s="121">
        <v>0.28819444444444442</v>
      </c>
      <c r="E516" s="121">
        <v>0.81111111111111112</v>
      </c>
    </row>
    <row r="517" spans="1:5" x14ac:dyDescent="0.25">
      <c r="A517" s="120">
        <v>42628</v>
      </c>
      <c r="B517" s="122">
        <v>0.9</v>
      </c>
      <c r="C517" s="121">
        <v>0.76041666666666663</v>
      </c>
      <c r="D517" s="121">
        <v>0.28819444444444442</v>
      </c>
      <c r="E517" s="121">
        <v>0.81111111111111112</v>
      </c>
    </row>
    <row r="518" spans="1:5" x14ac:dyDescent="0.25">
      <c r="A518" s="120">
        <v>42629</v>
      </c>
      <c r="B518" s="122">
        <v>-0.6</v>
      </c>
      <c r="C518" s="121">
        <v>0.27777777777777779</v>
      </c>
      <c r="D518" s="121">
        <v>0.28958333333333336</v>
      </c>
      <c r="E518" s="121">
        <v>0.80972222222222223</v>
      </c>
    </row>
    <row r="519" spans="1:5" x14ac:dyDescent="0.25">
      <c r="A519" s="120">
        <v>42629</v>
      </c>
      <c r="B519" s="122">
        <v>0.2</v>
      </c>
      <c r="C519" s="121">
        <v>0.79166666666666663</v>
      </c>
      <c r="D519" s="121">
        <v>0.28958333333333336</v>
      </c>
      <c r="E519" s="121">
        <v>0.80972222222222223</v>
      </c>
    </row>
    <row r="520" spans="1:5" x14ac:dyDescent="0.25">
      <c r="A520" s="120">
        <v>42630</v>
      </c>
      <c r="B520" s="122">
        <v>-0.5</v>
      </c>
      <c r="C520" s="121">
        <v>0.30625000000000002</v>
      </c>
      <c r="D520" s="121">
        <v>0.2902777777777778</v>
      </c>
      <c r="E520" s="121">
        <v>0.80833333333333335</v>
      </c>
    </row>
    <row r="521" spans="1:5" x14ac:dyDescent="0.25">
      <c r="A521" s="120">
        <v>42630</v>
      </c>
      <c r="B521" s="122">
        <v>-0.3</v>
      </c>
      <c r="C521" s="121">
        <v>0.82361111111111107</v>
      </c>
      <c r="D521" s="121">
        <v>0.2902777777777778</v>
      </c>
      <c r="E521" s="121">
        <v>0.80833333333333335</v>
      </c>
    </row>
    <row r="522" spans="1:5" x14ac:dyDescent="0.25">
      <c r="A522" s="120">
        <v>42631</v>
      </c>
      <c r="B522" s="122">
        <v>-0.2</v>
      </c>
      <c r="C522" s="121">
        <v>0.3347222222222222</v>
      </c>
      <c r="D522" s="121">
        <v>0.29097222222222224</v>
      </c>
      <c r="E522" s="121">
        <v>0.80694444444444446</v>
      </c>
    </row>
    <row r="523" spans="1:5" x14ac:dyDescent="0.25">
      <c r="A523" s="120">
        <v>42631</v>
      </c>
      <c r="B523" s="122">
        <v>-0.6</v>
      </c>
      <c r="C523" s="121">
        <v>0.85624999999999996</v>
      </c>
      <c r="D523" s="121">
        <v>0.29097222222222224</v>
      </c>
      <c r="E523" s="121">
        <v>0.80694444444444446</v>
      </c>
    </row>
    <row r="524" spans="1:5" x14ac:dyDescent="0.25">
      <c r="A524" s="120">
        <v>42632</v>
      </c>
      <c r="B524" s="122">
        <v>0.3</v>
      </c>
      <c r="C524" s="121">
        <v>0.36388888888888887</v>
      </c>
      <c r="D524" s="121">
        <v>0.29236111111111113</v>
      </c>
      <c r="E524" s="121">
        <v>0.80555555555555558</v>
      </c>
    </row>
    <row r="525" spans="1:5" x14ac:dyDescent="0.25">
      <c r="A525" s="120">
        <v>42632</v>
      </c>
      <c r="B525" s="122">
        <v>-0.7</v>
      </c>
      <c r="C525" s="121">
        <v>0.89027777777777772</v>
      </c>
      <c r="D525" s="121">
        <v>0.29236111111111113</v>
      </c>
      <c r="E525" s="121">
        <v>0.80555555555555558</v>
      </c>
    </row>
    <row r="526" spans="1:5" x14ac:dyDescent="0.25">
      <c r="A526" s="120">
        <v>42633</v>
      </c>
      <c r="B526" s="122">
        <v>0.9</v>
      </c>
      <c r="C526" s="121">
        <v>0.39444444444444443</v>
      </c>
      <c r="D526" s="121">
        <v>0.29305555555555557</v>
      </c>
      <c r="E526" s="121">
        <v>0.8041666666666667</v>
      </c>
    </row>
    <row r="527" spans="1:5" x14ac:dyDescent="0.25">
      <c r="A527" s="120">
        <v>42633</v>
      </c>
      <c r="B527" s="122">
        <v>-0.6</v>
      </c>
      <c r="C527" s="121">
        <v>0.92638888888888893</v>
      </c>
      <c r="D527" s="121">
        <v>0.29305555555555557</v>
      </c>
      <c r="E527" s="121">
        <v>0.8041666666666667</v>
      </c>
    </row>
    <row r="528" spans="1:5" x14ac:dyDescent="0.25">
      <c r="A528" s="120">
        <v>42634</v>
      </c>
      <c r="B528" s="122">
        <v>1.6</v>
      </c>
      <c r="C528" s="121">
        <v>0.42777777777777776</v>
      </c>
      <c r="D528" s="121">
        <v>0.29375000000000001</v>
      </c>
      <c r="E528" s="121">
        <v>0.80277777777777781</v>
      </c>
    </row>
    <row r="529" spans="1:5" x14ac:dyDescent="0.25">
      <c r="A529" s="120">
        <v>42634</v>
      </c>
      <c r="B529" s="122">
        <v>-0.4</v>
      </c>
      <c r="C529" s="121">
        <v>0.96597222222222223</v>
      </c>
      <c r="D529" s="121">
        <v>0.29375000000000001</v>
      </c>
      <c r="E529" s="121">
        <v>0.80277777777777781</v>
      </c>
    </row>
    <row r="530" spans="1:5" x14ac:dyDescent="0.25">
      <c r="A530" s="120">
        <v>42635</v>
      </c>
      <c r="B530" s="122">
        <v>2.2000000000000002</v>
      </c>
      <c r="C530" s="121">
        <v>0.46597222222222223</v>
      </c>
      <c r="D530" s="121">
        <v>0.2951388888888889</v>
      </c>
      <c r="E530" s="121">
        <v>0.80138888888888893</v>
      </c>
    </row>
    <row r="531" spans="1:5" x14ac:dyDescent="0.25">
      <c r="A531" s="120">
        <v>42636</v>
      </c>
      <c r="B531" s="122">
        <v>0</v>
      </c>
      <c r="C531" s="121">
        <v>1.0416666666666666E-2</v>
      </c>
      <c r="D531" s="121">
        <v>0.29583333333333334</v>
      </c>
      <c r="E531" s="121">
        <v>0.7993055555555556</v>
      </c>
    </row>
    <row r="532" spans="1:5" x14ac:dyDescent="0.25">
      <c r="A532" s="120">
        <v>42636</v>
      </c>
      <c r="B532" s="122">
        <v>2.7</v>
      </c>
      <c r="C532" s="121">
        <v>0.51180555555555551</v>
      </c>
      <c r="D532" s="121">
        <v>0.29583333333333334</v>
      </c>
      <c r="E532" s="121">
        <v>0.7993055555555556</v>
      </c>
    </row>
    <row r="533" spans="1:5" x14ac:dyDescent="0.25">
      <c r="A533" s="120">
        <v>42637</v>
      </c>
      <c r="B533" s="122">
        <v>0.2</v>
      </c>
      <c r="C533" s="121">
        <v>5.9027777777777776E-2</v>
      </c>
      <c r="D533" s="121">
        <v>0.29652777777777778</v>
      </c>
      <c r="E533" s="121">
        <v>0.79791666666666672</v>
      </c>
    </row>
    <row r="534" spans="1:5" x14ac:dyDescent="0.25">
      <c r="A534" s="120">
        <v>42637</v>
      </c>
      <c r="B534" s="122">
        <v>2.9</v>
      </c>
      <c r="C534" s="121">
        <v>0.56527777777777777</v>
      </c>
      <c r="D534" s="121">
        <v>0.29652777777777778</v>
      </c>
      <c r="E534" s="121">
        <v>0.79791666666666672</v>
      </c>
    </row>
    <row r="535" spans="1:5" x14ac:dyDescent="0.25">
      <c r="A535" s="120">
        <v>42638</v>
      </c>
      <c r="B535" s="122">
        <v>0.3</v>
      </c>
      <c r="C535" s="121">
        <v>0.10833333333333334</v>
      </c>
      <c r="D535" s="121">
        <v>0.29791666666666666</v>
      </c>
      <c r="E535" s="121">
        <v>0.79652777777777772</v>
      </c>
    </row>
    <row r="536" spans="1:5" x14ac:dyDescent="0.25">
      <c r="A536" s="120">
        <v>42638</v>
      </c>
      <c r="B536" s="122">
        <v>2.8</v>
      </c>
      <c r="C536" s="121">
        <v>0.62013888888888891</v>
      </c>
      <c r="D536" s="121">
        <v>0.29791666666666666</v>
      </c>
      <c r="E536" s="121">
        <v>0.79652777777777772</v>
      </c>
    </row>
    <row r="537" spans="1:5" x14ac:dyDescent="0.25">
      <c r="A537" s="120">
        <v>42639</v>
      </c>
      <c r="B537" s="122">
        <v>0.3</v>
      </c>
      <c r="C537" s="121">
        <v>0.15347222222222223</v>
      </c>
      <c r="D537" s="121">
        <v>0.2986111111111111</v>
      </c>
      <c r="E537" s="121">
        <v>0.79513888888888884</v>
      </c>
    </row>
    <row r="538" spans="1:5" x14ac:dyDescent="0.25">
      <c r="A538" s="120">
        <v>42639</v>
      </c>
      <c r="B538" s="122">
        <v>2.2999999999999998</v>
      </c>
      <c r="C538" s="121">
        <v>0.66805555555555551</v>
      </c>
      <c r="D538" s="121">
        <v>0.2986111111111111</v>
      </c>
      <c r="E538" s="121">
        <v>0.79513888888888884</v>
      </c>
    </row>
    <row r="539" spans="1:5" x14ac:dyDescent="0.25">
      <c r="A539" s="120">
        <v>42640</v>
      </c>
      <c r="B539" s="122">
        <v>0.2</v>
      </c>
      <c r="C539" s="121">
        <v>0.19236111111111112</v>
      </c>
      <c r="D539" s="121">
        <v>0.29930555555555555</v>
      </c>
      <c r="E539" s="121">
        <v>0.79374999999999996</v>
      </c>
    </row>
    <row r="540" spans="1:5" x14ac:dyDescent="0.25">
      <c r="A540" s="120">
        <v>42640</v>
      </c>
      <c r="B540" s="122">
        <v>1.7</v>
      </c>
      <c r="C540" s="121">
        <v>0.70694444444444449</v>
      </c>
      <c r="D540" s="121">
        <v>0.29930555555555555</v>
      </c>
      <c r="E540" s="121">
        <v>0.79374999999999996</v>
      </c>
    </row>
    <row r="541" spans="1:5" x14ac:dyDescent="0.25">
      <c r="A541" s="120">
        <v>42641</v>
      </c>
      <c r="B541" s="122">
        <v>0.2</v>
      </c>
      <c r="C541" s="121">
        <v>0.22430555555555556</v>
      </c>
      <c r="D541" s="121">
        <v>0.30069444444444443</v>
      </c>
      <c r="E541" s="121">
        <v>0.79236111111111107</v>
      </c>
    </row>
    <row r="542" spans="1:5" x14ac:dyDescent="0.25">
      <c r="A542" s="120">
        <v>42641</v>
      </c>
      <c r="B542" s="122">
        <v>1.2</v>
      </c>
      <c r="C542" s="121">
        <v>0.74027777777777781</v>
      </c>
      <c r="D542" s="121">
        <v>0.30069444444444443</v>
      </c>
      <c r="E542" s="121">
        <v>0.79236111111111107</v>
      </c>
    </row>
    <row r="543" spans="1:5" x14ac:dyDescent="0.25">
      <c r="A543" s="120">
        <v>42642</v>
      </c>
      <c r="B543" s="122">
        <v>0.3</v>
      </c>
      <c r="C543" s="121">
        <v>0.25277777777777777</v>
      </c>
      <c r="D543" s="121">
        <v>0.30138888888888887</v>
      </c>
      <c r="E543" s="121">
        <v>0.79097222222222219</v>
      </c>
    </row>
    <row r="544" spans="1:5" x14ac:dyDescent="0.25">
      <c r="A544" s="120">
        <v>42642</v>
      </c>
      <c r="B544" s="122">
        <v>0.8</v>
      </c>
      <c r="C544" s="121">
        <v>0.76875000000000004</v>
      </c>
      <c r="D544" s="121">
        <v>0.30138888888888887</v>
      </c>
      <c r="E544" s="121">
        <v>0.79097222222222219</v>
      </c>
    </row>
    <row r="545" spans="1:5" x14ac:dyDescent="0.25">
      <c r="A545" s="120">
        <v>42643</v>
      </c>
      <c r="B545" s="122">
        <v>0.5</v>
      </c>
      <c r="C545" s="121">
        <v>0.27847222222222223</v>
      </c>
      <c r="D545" s="121">
        <v>0.30277777777777776</v>
      </c>
      <c r="E545" s="121">
        <v>0.7895833333333333</v>
      </c>
    </row>
    <row r="546" spans="1:5" x14ac:dyDescent="0.25">
      <c r="A546" s="120">
        <v>42643</v>
      </c>
      <c r="B546" s="122">
        <v>0.5</v>
      </c>
      <c r="C546" s="121">
        <v>0.79513888888888884</v>
      </c>
      <c r="D546" s="121">
        <v>0.30277777777777776</v>
      </c>
      <c r="E546" s="121">
        <v>0.7895833333333333</v>
      </c>
    </row>
    <row r="547" spans="1:5" x14ac:dyDescent="0.25">
      <c r="A547" s="120">
        <v>42644</v>
      </c>
      <c r="B547" s="122">
        <v>0.7</v>
      </c>
      <c r="C547" s="121">
        <v>0.30138888888888887</v>
      </c>
      <c r="D547" s="121">
        <v>0.3034722222222222</v>
      </c>
      <c r="E547" s="121">
        <v>0.78819444444444442</v>
      </c>
    </row>
    <row r="548" spans="1:5" x14ac:dyDescent="0.25">
      <c r="A548" s="120">
        <v>42644</v>
      </c>
      <c r="B548" s="122">
        <v>0.3</v>
      </c>
      <c r="C548" s="121">
        <v>0.82013888888888886</v>
      </c>
      <c r="D548" s="121">
        <v>0.3034722222222222</v>
      </c>
      <c r="E548" s="121">
        <v>0.78819444444444442</v>
      </c>
    </row>
    <row r="549" spans="1:5" x14ac:dyDescent="0.25">
      <c r="A549" s="120">
        <v>42645</v>
      </c>
      <c r="B549" s="122">
        <v>1.1000000000000001</v>
      </c>
      <c r="C549" s="121">
        <v>0.32430555555555557</v>
      </c>
      <c r="D549" s="121">
        <v>0.30416666666666664</v>
      </c>
      <c r="E549" s="121">
        <v>0.78680555555555554</v>
      </c>
    </row>
    <row r="550" spans="1:5" x14ac:dyDescent="0.25">
      <c r="A550" s="120">
        <v>42645</v>
      </c>
      <c r="B550" s="122">
        <v>0.2</v>
      </c>
      <c r="C550" s="121">
        <v>0.84444444444444444</v>
      </c>
      <c r="D550" s="121">
        <v>0.30416666666666664</v>
      </c>
      <c r="E550" s="121">
        <v>0.78680555555555554</v>
      </c>
    </row>
    <row r="551" spans="1:5" x14ac:dyDescent="0.25">
      <c r="A551" s="120">
        <v>42646</v>
      </c>
      <c r="B551" s="122">
        <v>1.5</v>
      </c>
      <c r="C551" s="121">
        <v>0.34583333333333333</v>
      </c>
      <c r="D551" s="121">
        <v>0.30555555555555558</v>
      </c>
      <c r="E551" s="121">
        <v>0.78541666666666665</v>
      </c>
    </row>
    <row r="552" spans="1:5" x14ac:dyDescent="0.25">
      <c r="A552" s="120">
        <v>42646</v>
      </c>
      <c r="B552" s="122">
        <v>0.3</v>
      </c>
      <c r="C552" s="121">
        <v>0.86875000000000002</v>
      </c>
      <c r="D552" s="121">
        <v>0.30555555555555558</v>
      </c>
      <c r="E552" s="121">
        <v>0.78541666666666665</v>
      </c>
    </row>
    <row r="553" spans="1:5" x14ac:dyDescent="0.25">
      <c r="A553" s="120">
        <v>42647</v>
      </c>
      <c r="B553" s="122">
        <v>2</v>
      </c>
      <c r="C553" s="121">
        <v>0.36805555555555558</v>
      </c>
      <c r="D553" s="121">
        <v>0.30625000000000002</v>
      </c>
      <c r="E553" s="121">
        <v>0.78402777777777777</v>
      </c>
    </row>
    <row r="554" spans="1:5" x14ac:dyDescent="0.25">
      <c r="A554" s="120">
        <v>42647</v>
      </c>
      <c r="B554" s="122">
        <v>0.4</v>
      </c>
      <c r="C554" s="121">
        <v>0.89375000000000004</v>
      </c>
      <c r="D554" s="121">
        <v>0.30625000000000002</v>
      </c>
      <c r="E554" s="121">
        <v>0.78402777777777777</v>
      </c>
    </row>
    <row r="555" spans="1:5" x14ac:dyDescent="0.25">
      <c r="A555" s="120">
        <v>42648</v>
      </c>
      <c r="B555" s="122">
        <v>2.4</v>
      </c>
      <c r="C555" s="121">
        <v>0.39166666666666666</v>
      </c>
      <c r="D555" s="121">
        <v>0.30694444444444446</v>
      </c>
      <c r="E555" s="121">
        <v>0.78263888888888888</v>
      </c>
    </row>
    <row r="556" spans="1:5" x14ac:dyDescent="0.25">
      <c r="A556" s="120">
        <v>42648</v>
      </c>
      <c r="B556" s="122">
        <v>0.6</v>
      </c>
      <c r="C556" s="121">
        <v>0.92083333333333328</v>
      </c>
      <c r="D556" s="121">
        <v>0.30694444444444446</v>
      </c>
      <c r="E556" s="121">
        <v>0.78263888888888888</v>
      </c>
    </row>
    <row r="557" spans="1:5" x14ac:dyDescent="0.25">
      <c r="A557" s="120">
        <v>42649</v>
      </c>
      <c r="B557" s="122">
        <v>2.9</v>
      </c>
      <c r="C557" s="121">
        <v>0.41736111111111113</v>
      </c>
      <c r="D557" s="121">
        <v>0.30833333333333335</v>
      </c>
      <c r="E557" s="121">
        <v>0.78125</v>
      </c>
    </row>
    <row r="558" spans="1:5" x14ac:dyDescent="0.25">
      <c r="A558" s="120">
        <v>42649</v>
      </c>
      <c r="B558" s="122">
        <v>0.8</v>
      </c>
      <c r="C558" s="121">
        <v>0.9506944444444444</v>
      </c>
      <c r="D558" s="121">
        <v>0.30833333333333335</v>
      </c>
      <c r="E558" s="121">
        <v>0.78125</v>
      </c>
    </row>
    <row r="559" spans="1:5" x14ac:dyDescent="0.25">
      <c r="A559" s="120">
        <v>42650</v>
      </c>
      <c r="B559" s="122">
        <v>3.2</v>
      </c>
      <c r="C559" s="121">
        <v>0.44791666666666669</v>
      </c>
      <c r="D559" s="121">
        <v>0.30902777777777779</v>
      </c>
      <c r="E559" s="121">
        <v>0.77986111111111112</v>
      </c>
    </row>
    <row r="560" spans="1:5" x14ac:dyDescent="0.25">
      <c r="A560" s="120">
        <v>42650</v>
      </c>
      <c r="B560" s="122">
        <v>1</v>
      </c>
      <c r="C560" s="121">
        <v>0.98611111111111116</v>
      </c>
      <c r="D560" s="121">
        <v>0.30902777777777779</v>
      </c>
      <c r="E560" s="121">
        <v>0.77986111111111112</v>
      </c>
    </row>
    <row r="561" spans="1:5" x14ac:dyDescent="0.25">
      <c r="A561" s="120">
        <v>42651</v>
      </c>
      <c r="B561" s="122">
        <v>3.5</v>
      </c>
      <c r="C561" s="121">
        <v>0.48680555555555555</v>
      </c>
      <c r="D561" s="121">
        <v>0.31041666666666667</v>
      </c>
      <c r="E561" s="121">
        <v>0.77916666666666667</v>
      </c>
    </row>
    <row r="562" spans="1:5" x14ac:dyDescent="0.25">
      <c r="A562" s="120">
        <v>42652</v>
      </c>
      <c r="B562" s="122">
        <v>1.2</v>
      </c>
      <c r="C562" s="121">
        <v>2.7777777777777776E-2</v>
      </c>
      <c r="D562" s="121">
        <v>0.31111111111111112</v>
      </c>
      <c r="E562" s="121">
        <v>0.77777777777777779</v>
      </c>
    </row>
    <row r="563" spans="1:5" x14ac:dyDescent="0.25">
      <c r="A563" s="120">
        <v>42652</v>
      </c>
      <c r="B563" s="122">
        <v>3.6</v>
      </c>
      <c r="C563" s="121">
        <v>0.53611111111111109</v>
      </c>
      <c r="D563" s="121">
        <v>0.31111111111111112</v>
      </c>
      <c r="E563" s="121">
        <v>0.77777777777777779</v>
      </c>
    </row>
    <row r="564" spans="1:5" x14ac:dyDescent="0.25">
      <c r="A564" s="120">
        <v>42653</v>
      </c>
      <c r="B564" s="122">
        <v>1.2</v>
      </c>
      <c r="C564" s="121">
        <v>7.3611111111111113E-2</v>
      </c>
      <c r="D564" s="121">
        <v>0.31180555555555556</v>
      </c>
      <c r="E564" s="121">
        <v>0.77638888888888891</v>
      </c>
    </row>
    <row r="565" spans="1:5" x14ac:dyDescent="0.25">
      <c r="A565" s="120">
        <v>42653</v>
      </c>
      <c r="B565" s="122">
        <v>3.4</v>
      </c>
      <c r="C565" s="121">
        <v>0.58958333333333335</v>
      </c>
      <c r="D565" s="121">
        <v>0.31180555555555556</v>
      </c>
      <c r="E565" s="121">
        <v>0.77638888888888891</v>
      </c>
    </row>
    <row r="566" spans="1:5" x14ac:dyDescent="0.25">
      <c r="A566" s="120">
        <v>42654</v>
      </c>
      <c r="B566" s="122">
        <v>1</v>
      </c>
      <c r="C566" s="121">
        <v>0.11736111111111111</v>
      </c>
      <c r="D566" s="121">
        <v>0.31319444444444444</v>
      </c>
      <c r="E566" s="121">
        <v>0.77500000000000002</v>
      </c>
    </row>
    <row r="567" spans="1:5" x14ac:dyDescent="0.25">
      <c r="A567" s="120">
        <v>42654</v>
      </c>
      <c r="B567" s="122">
        <v>2.8</v>
      </c>
      <c r="C567" s="121">
        <v>0.63749999999999996</v>
      </c>
      <c r="D567" s="121">
        <v>0.31319444444444444</v>
      </c>
      <c r="E567" s="121">
        <v>0.77500000000000002</v>
      </c>
    </row>
    <row r="568" spans="1:5" x14ac:dyDescent="0.25">
      <c r="A568" s="120">
        <v>42655</v>
      </c>
      <c r="B568" s="122">
        <v>0.7</v>
      </c>
      <c r="C568" s="121">
        <v>0.15694444444444444</v>
      </c>
      <c r="D568" s="121">
        <v>0.31388888888888888</v>
      </c>
      <c r="E568" s="121">
        <v>0.77361111111111114</v>
      </c>
    </row>
    <row r="569" spans="1:5" x14ac:dyDescent="0.25">
      <c r="A569" s="120">
        <v>42655</v>
      </c>
      <c r="B569" s="122">
        <v>2</v>
      </c>
      <c r="C569" s="121">
        <v>0.67777777777777781</v>
      </c>
      <c r="D569" s="121">
        <v>0.31388888888888888</v>
      </c>
      <c r="E569" s="121">
        <v>0.77361111111111114</v>
      </c>
    </row>
    <row r="570" spans="1:5" x14ac:dyDescent="0.25">
      <c r="A570" s="120">
        <v>42656</v>
      </c>
      <c r="B570" s="122">
        <v>0.5</v>
      </c>
      <c r="C570" s="121">
        <v>0.19166666666666668</v>
      </c>
      <c r="D570" s="121">
        <v>0.31527777777777777</v>
      </c>
      <c r="E570" s="121">
        <v>0.77222222222222225</v>
      </c>
    </row>
    <row r="571" spans="1:5" x14ac:dyDescent="0.25">
      <c r="A571" s="120">
        <v>42656</v>
      </c>
      <c r="B571" s="122">
        <v>1.1000000000000001</v>
      </c>
      <c r="C571" s="121">
        <v>0.71319444444444446</v>
      </c>
      <c r="D571" s="121">
        <v>0.31527777777777777</v>
      </c>
      <c r="E571" s="121">
        <v>0.77222222222222225</v>
      </c>
    </row>
    <row r="572" spans="1:5" x14ac:dyDescent="0.25">
      <c r="A572" s="120">
        <v>42657</v>
      </c>
      <c r="B572" s="122">
        <v>0.3</v>
      </c>
      <c r="C572" s="121">
        <v>0.22430555555555556</v>
      </c>
      <c r="D572" s="121">
        <v>0.31597222222222221</v>
      </c>
      <c r="E572" s="121">
        <v>0.77083333333333337</v>
      </c>
    </row>
    <row r="573" spans="1:5" x14ac:dyDescent="0.25">
      <c r="A573" s="120">
        <v>42657</v>
      </c>
      <c r="B573" s="122">
        <v>0.2</v>
      </c>
      <c r="C573" s="121">
        <v>0.74652777777777779</v>
      </c>
      <c r="D573" s="121">
        <v>0.31597222222222221</v>
      </c>
      <c r="E573" s="121">
        <v>0.77083333333333337</v>
      </c>
    </row>
    <row r="574" spans="1:5" x14ac:dyDescent="0.25">
      <c r="A574" s="120">
        <v>42658</v>
      </c>
      <c r="B574" s="122">
        <v>0.3</v>
      </c>
      <c r="C574" s="121">
        <v>0.25555555555555554</v>
      </c>
      <c r="D574" s="121">
        <v>0.31666666666666665</v>
      </c>
      <c r="E574" s="121">
        <v>0.76944444444444449</v>
      </c>
    </row>
    <row r="575" spans="1:5" x14ac:dyDescent="0.25">
      <c r="A575" s="120">
        <v>42658</v>
      </c>
      <c r="B575" s="122">
        <v>-0.6</v>
      </c>
      <c r="C575" s="121">
        <v>0.77916666666666667</v>
      </c>
      <c r="D575" s="121">
        <v>0.31666666666666665</v>
      </c>
      <c r="E575" s="121">
        <v>0.76944444444444449</v>
      </c>
    </row>
    <row r="576" spans="1:5" x14ac:dyDescent="0.25">
      <c r="A576" s="120">
        <v>42659</v>
      </c>
      <c r="B576" s="122">
        <v>0.5</v>
      </c>
      <c r="C576" s="121">
        <v>0.28541666666666665</v>
      </c>
      <c r="D576" s="121">
        <v>0.31805555555555554</v>
      </c>
      <c r="E576" s="121">
        <v>0.7680555555555556</v>
      </c>
    </row>
    <row r="577" spans="1:5" x14ac:dyDescent="0.25">
      <c r="A577" s="120">
        <v>42659</v>
      </c>
      <c r="B577" s="122">
        <v>-1.1000000000000001</v>
      </c>
      <c r="C577" s="121">
        <v>0.81111111111111112</v>
      </c>
      <c r="D577" s="121">
        <v>0.31805555555555554</v>
      </c>
      <c r="E577" s="121">
        <v>0.7680555555555556</v>
      </c>
    </row>
    <row r="578" spans="1:5" x14ac:dyDescent="0.25">
      <c r="A578" s="120">
        <v>42660</v>
      </c>
      <c r="B578" s="122">
        <v>0.8</v>
      </c>
      <c r="C578" s="121">
        <v>0.31597222222222221</v>
      </c>
      <c r="D578" s="121">
        <v>0.31874999999999998</v>
      </c>
      <c r="E578" s="121">
        <v>0.76736111111111116</v>
      </c>
    </row>
    <row r="579" spans="1:5" x14ac:dyDescent="0.25">
      <c r="A579" s="120">
        <v>42660</v>
      </c>
      <c r="B579" s="122">
        <v>-1.4</v>
      </c>
      <c r="C579" s="121">
        <v>0.84444444444444444</v>
      </c>
      <c r="D579" s="121">
        <v>0.31874999999999998</v>
      </c>
      <c r="E579" s="121">
        <v>0.76736111111111116</v>
      </c>
    </row>
    <row r="580" spans="1:5" x14ac:dyDescent="0.25">
      <c r="A580" s="120">
        <v>42661</v>
      </c>
      <c r="B580" s="122">
        <v>1.3</v>
      </c>
      <c r="C580" s="121">
        <v>0.34722222222222221</v>
      </c>
      <c r="D580" s="121">
        <v>0.32013888888888886</v>
      </c>
      <c r="E580" s="121">
        <v>0.76597222222222228</v>
      </c>
    </row>
    <row r="581" spans="1:5" x14ac:dyDescent="0.25">
      <c r="A581" s="120">
        <v>42661</v>
      </c>
      <c r="B581" s="122">
        <v>-1.4</v>
      </c>
      <c r="C581" s="121">
        <v>0.87777777777777777</v>
      </c>
      <c r="D581" s="121">
        <v>0.32013888888888886</v>
      </c>
      <c r="E581" s="121">
        <v>0.76597222222222228</v>
      </c>
    </row>
    <row r="582" spans="1:5" x14ac:dyDescent="0.25">
      <c r="A582" s="120">
        <v>42662</v>
      </c>
      <c r="B582" s="122">
        <v>1.8</v>
      </c>
      <c r="C582" s="121">
        <v>0.37986111111111109</v>
      </c>
      <c r="D582" s="121">
        <v>0.32083333333333336</v>
      </c>
      <c r="E582" s="121">
        <v>0.76458333333333328</v>
      </c>
    </row>
    <row r="583" spans="1:5" x14ac:dyDescent="0.25">
      <c r="A583" s="120">
        <v>42662</v>
      </c>
      <c r="B583" s="122">
        <v>-1.1000000000000001</v>
      </c>
      <c r="C583" s="121">
        <v>0.91319444444444442</v>
      </c>
      <c r="D583" s="121">
        <v>0.32083333333333336</v>
      </c>
      <c r="E583" s="121">
        <v>0.76458333333333328</v>
      </c>
    </row>
    <row r="584" spans="1:5" x14ac:dyDescent="0.25">
      <c r="A584" s="120">
        <v>42663</v>
      </c>
      <c r="B584" s="122">
        <v>2.2999999999999998</v>
      </c>
      <c r="C584" s="121">
        <v>0.41597222222222224</v>
      </c>
      <c r="D584" s="121">
        <v>0.32222222222222224</v>
      </c>
      <c r="E584" s="121">
        <v>0.7631944444444444</v>
      </c>
    </row>
    <row r="585" spans="1:5" x14ac:dyDescent="0.25">
      <c r="A585" s="120">
        <v>42663</v>
      </c>
      <c r="B585" s="122">
        <v>-0.7</v>
      </c>
      <c r="C585" s="121">
        <v>0.95138888888888884</v>
      </c>
      <c r="D585" s="121">
        <v>0.32222222222222224</v>
      </c>
      <c r="E585" s="121">
        <v>0.7631944444444444</v>
      </c>
    </row>
    <row r="586" spans="1:5" x14ac:dyDescent="0.25">
      <c r="A586" s="120">
        <v>42664</v>
      </c>
      <c r="B586" s="122">
        <v>2.8</v>
      </c>
      <c r="C586" s="121">
        <v>0.45694444444444443</v>
      </c>
      <c r="D586" s="121">
        <v>0.32291666666666669</v>
      </c>
      <c r="E586" s="121">
        <v>0.76180555555555551</v>
      </c>
    </row>
    <row r="587" spans="1:5" x14ac:dyDescent="0.25">
      <c r="A587" s="120">
        <v>42664</v>
      </c>
      <c r="B587" s="122">
        <v>-0.1</v>
      </c>
      <c r="C587" s="121">
        <v>0.99305555555555558</v>
      </c>
      <c r="D587" s="121">
        <v>0.32291666666666669</v>
      </c>
      <c r="E587" s="121">
        <v>0.76180555555555551</v>
      </c>
    </row>
    <row r="588" spans="1:5" x14ac:dyDescent="0.25">
      <c r="A588" s="120">
        <v>42665</v>
      </c>
      <c r="B588" s="122">
        <v>3.1</v>
      </c>
      <c r="C588" s="121">
        <v>0.50416666666666665</v>
      </c>
      <c r="D588" s="121">
        <v>0.32430555555555557</v>
      </c>
      <c r="E588" s="121">
        <v>0.76111111111111107</v>
      </c>
    </row>
    <row r="589" spans="1:5" x14ac:dyDescent="0.25">
      <c r="A589" s="120">
        <v>42666</v>
      </c>
      <c r="B589" s="122">
        <v>0.4</v>
      </c>
      <c r="C589" s="121">
        <v>3.8194444444444448E-2</v>
      </c>
      <c r="D589" s="121">
        <v>0.32500000000000001</v>
      </c>
      <c r="E589" s="121">
        <v>0.75972222222222219</v>
      </c>
    </row>
    <row r="590" spans="1:5" x14ac:dyDescent="0.25">
      <c r="A590" s="120">
        <v>42666</v>
      </c>
      <c r="B590" s="122">
        <v>3.1</v>
      </c>
      <c r="C590" s="121">
        <v>0.55833333333333335</v>
      </c>
      <c r="D590" s="121">
        <v>0.32500000000000001</v>
      </c>
      <c r="E590" s="121">
        <v>0.75972222222222219</v>
      </c>
    </row>
    <row r="591" spans="1:5" x14ac:dyDescent="0.25">
      <c r="A591" s="120">
        <v>42667</v>
      </c>
      <c r="B591" s="122">
        <v>0.8</v>
      </c>
      <c r="C591" s="121">
        <v>8.4722222222222227E-2</v>
      </c>
      <c r="D591" s="121">
        <v>0.3263888888888889</v>
      </c>
      <c r="E591" s="121">
        <v>0.7583333333333333</v>
      </c>
    </row>
    <row r="592" spans="1:5" x14ac:dyDescent="0.25">
      <c r="A592" s="120">
        <v>42667</v>
      </c>
      <c r="B592" s="122">
        <v>2.8</v>
      </c>
      <c r="C592" s="121">
        <v>0.61319444444444449</v>
      </c>
      <c r="D592" s="121">
        <v>0.3263888888888889</v>
      </c>
      <c r="E592" s="121">
        <v>0.7583333333333333</v>
      </c>
    </row>
    <row r="593" spans="1:5" x14ac:dyDescent="0.25">
      <c r="A593" s="120">
        <v>42668</v>
      </c>
      <c r="B593" s="122">
        <v>1</v>
      </c>
      <c r="C593" s="121">
        <v>0.12916666666666668</v>
      </c>
      <c r="D593" s="121">
        <v>0.32708333333333334</v>
      </c>
      <c r="E593" s="121">
        <v>0.75694444444444442</v>
      </c>
    </row>
    <row r="594" spans="1:5" x14ac:dyDescent="0.25">
      <c r="A594" s="120">
        <v>42668</v>
      </c>
      <c r="B594" s="122">
        <v>2.2000000000000002</v>
      </c>
      <c r="C594" s="121">
        <v>0.65972222222222221</v>
      </c>
      <c r="D594" s="121">
        <v>0.32708333333333334</v>
      </c>
      <c r="E594" s="121">
        <v>0.75694444444444442</v>
      </c>
    </row>
    <row r="595" spans="1:5" x14ac:dyDescent="0.25">
      <c r="A595" s="120">
        <v>42669</v>
      </c>
      <c r="B595" s="122">
        <v>1.1000000000000001</v>
      </c>
      <c r="C595" s="121">
        <v>0.1673611111111111</v>
      </c>
      <c r="D595" s="121">
        <v>0.32847222222222222</v>
      </c>
      <c r="E595" s="121">
        <v>0.75624999999999998</v>
      </c>
    </row>
    <row r="596" spans="1:5" x14ac:dyDescent="0.25">
      <c r="A596" s="120">
        <v>42669</v>
      </c>
      <c r="B596" s="122">
        <v>1.6</v>
      </c>
      <c r="C596" s="121">
        <v>0.69722222222222219</v>
      </c>
      <c r="D596" s="121">
        <v>0.32847222222222222</v>
      </c>
      <c r="E596" s="121">
        <v>0.75624999999999998</v>
      </c>
    </row>
    <row r="597" spans="1:5" x14ac:dyDescent="0.25">
      <c r="A597" s="120">
        <v>42670</v>
      </c>
      <c r="B597" s="122">
        <v>1.2</v>
      </c>
      <c r="C597" s="121">
        <v>0.20069444444444445</v>
      </c>
      <c r="D597" s="121">
        <v>0.32916666666666666</v>
      </c>
      <c r="E597" s="121">
        <v>0.75486111111111109</v>
      </c>
    </row>
    <row r="598" spans="1:5" x14ac:dyDescent="0.25">
      <c r="A598" s="120">
        <v>42670</v>
      </c>
      <c r="B598" s="122">
        <v>1</v>
      </c>
      <c r="C598" s="121">
        <v>0.72847222222222219</v>
      </c>
      <c r="D598" s="121">
        <v>0.32916666666666666</v>
      </c>
      <c r="E598" s="121">
        <v>0.75486111111111109</v>
      </c>
    </row>
    <row r="599" spans="1:5" x14ac:dyDescent="0.25">
      <c r="A599" s="120">
        <v>42671</v>
      </c>
      <c r="B599" s="122">
        <v>1.4</v>
      </c>
      <c r="C599" s="121">
        <v>0.22916666666666666</v>
      </c>
      <c r="D599" s="121">
        <v>0.3298611111111111</v>
      </c>
      <c r="E599" s="121">
        <v>0.75416666666666665</v>
      </c>
    </row>
    <row r="600" spans="1:5" x14ac:dyDescent="0.25">
      <c r="A600" s="120">
        <v>42671</v>
      </c>
      <c r="B600" s="122">
        <v>0.5</v>
      </c>
      <c r="C600" s="121">
        <v>0.75624999999999998</v>
      </c>
      <c r="D600" s="121">
        <v>0.3298611111111111</v>
      </c>
      <c r="E600" s="121">
        <v>0.75416666666666665</v>
      </c>
    </row>
    <row r="601" spans="1:5" x14ac:dyDescent="0.25">
      <c r="A601" s="120">
        <v>42672</v>
      </c>
      <c r="B601" s="122">
        <v>1.6</v>
      </c>
      <c r="C601" s="121">
        <v>0.25486111111111109</v>
      </c>
      <c r="D601" s="121">
        <v>0.33124999999999999</v>
      </c>
      <c r="E601" s="121">
        <v>0.75277777777777777</v>
      </c>
    </row>
    <row r="602" spans="1:5" x14ac:dyDescent="0.25">
      <c r="A602" s="120">
        <v>42672</v>
      </c>
      <c r="B602" s="122">
        <v>0.2</v>
      </c>
      <c r="C602" s="121">
        <v>0.78125</v>
      </c>
      <c r="D602" s="121">
        <v>0.33124999999999999</v>
      </c>
      <c r="E602" s="121">
        <v>0.75277777777777777</v>
      </c>
    </row>
    <row r="603" spans="1:5" x14ac:dyDescent="0.25">
      <c r="A603" s="120">
        <v>42673</v>
      </c>
      <c r="B603" s="122">
        <v>1.9</v>
      </c>
      <c r="C603" s="121">
        <v>0.27916666666666667</v>
      </c>
      <c r="D603" s="121">
        <v>0.33194444444444443</v>
      </c>
      <c r="E603" s="121">
        <v>0.75138888888888888</v>
      </c>
    </row>
    <row r="604" spans="1:5" x14ac:dyDescent="0.25">
      <c r="A604" s="120">
        <v>42673</v>
      </c>
      <c r="B604" s="122">
        <v>0</v>
      </c>
      <c r="C604" s="121">
        <v>0.80486111111111114</v>
      </c>
      <c r="D604" s="121">
        <v>0.33194444444444443</v>
      </c>
      <c r="E604" s="121">
        <v>0.75138888888888888</v>
      </c>
    </row>
    <row r="605" spans="1:5" x14ac:dyDescent="0.25">
      <c r="A605" s="120">
        <v>42674</v>
      </c>
      <c r="B605" s="122">
        <v>2.2000000000000002</v>
      </c>
      <c r="C605" s="121">
        <v>0.30277777777777776</v>
      </c>
      <c r="D605" s="121">
        <v>0.33333333333333331</v>
      </c>
      <c r="E605" s="121">
        <v>0.75069444444444444</v>
      </c>
    </row>
    <row r="606" spans="1:5" x14ac:dyDescent="0.25">
      <c r="A606" s="120">
        <v>42674</v>
      </c>
      <c r="B606" s="122">
        <v>-0.1</v>
      </c>
      <c r="C606" s="121">
        <v>0.82847222222222228</v>
      </c>
      <c r="D606" s="121">
        <v>0.33333333333333331</v>
      </c>
      <c r="E606" s="121">
        <v>0.75069444444444444</v>
      </c>
    </row>
    <row r="607" spans="1:5" x14ac:dyDescent="0.25">
      <c r="A607" s="120">
        <v>42675</v>
      </c>
      <c r="B607" s="122">
        <v>2.5</v>
      </c>
      <c r="C607" s="121">
        <v>0.32569444444444445</v>
      </c>
      <c r="D607" s="121">
        <v>0.33402777777777776</v>
      </c>
      <c r="E607" s="121">
        <v>0.74930555555555556</v>
      </c>
    </row>
    <row r="608" spans="1:5" x14ac:dyDescent="0.25">
      <c r="A608" s="120">
        <v>42675</v>
      </c>
      <c r="B608" s="122">
        <v>-0.1</v>
      </c>
      <c r="C608" s="121">
        <v>0.8520833333333333</v>
      </c>
      <c r="D608" s="121">
        <v>0.33402777777777776</v>
      </c>
      <c r="E608" s="121">
        <v>0.74930555555555556</v>
      </c>
    </row>
    <row r="609" spans="1:5" x14ac:dyDescent="0.25">
      <c r="A609" s="120">
        <v>42676</v>
      </c>
      <c r="B609" s="122">
        <v>2.8</v>
      </c>
      <c r="C609" s="121">
        <v>0.34861111111111109</v>
      </c>
      <c r="D609" s="121">
        <v>0.33541666666666664</v>
      </c>
      <c r="E609" s="121">
        <v>0.74861111111111112</v>
      </c>
    </row>
    <row r="610" spans="1:5" x14ac:dyDescent="0.25">
      <c r="A610" s="120">
        <v>42676</v>
      </c>
      <c r="B610" s="122">
        <v>0</v>
      </c>
      <c r="C610" s="121">
        <v>0.87638888888888888</v>
      </c>
      <c r="D610" s="121">
        <v>0.33541666666666664</v>
      </c>
      <c r="E610" s="121">
        <v>0.74861111111111112</v>
      </c>
    </row>
    <row r="611" spans="1:5" x14ac:dyDescent="0.25">
      <c r="A611" s="120">
        <v>42677</v>
      </c>
      <c r="B611" s="122">
        <v>3.1</v>
      </c>
      <c r="C611" s="121">
        <v>0.37291666666666667</v>
      </c>
      <c r="D611" s="121">
        <v>0.33611111111111114</v>
      </c>
      <c r="E611" s="121">
        <v>0.74722222222222223</v>
      </c>
    </row>
    <row r="612" spans="1:5" x14ac:dyDescent="0.25">
      <c r="A612" s="120">
        <v>42677</v>
      </c>
      <c r="B612" s="122">
        <v>0.2</v>
      </c>
      <c r="C612" s="121">
        <v>0.90208333333333335</v>
      </c>
      <c r="D612" s="121">
        <v>0.33611111111111114</v>
      </c>
      <c r="E612" s="121">
        <v>0.74722222222222223</v>
      </c>
    </row>
    <row r="613" spans="1:5" x14ac:dyDescent="0.25">
      <c r="A613" s="120">
        <v>42678</v>
      </c>
      <c r="B613" s="122">
        <v>3.4</v>
      </c>
      <c r="C613" s="121">
        <v>0.4</v>
      </c>
      <c r="D613" s="121">
        <v>0.33750000000000002</v>
      </c>
      <c r="E613" s="121">
        <v>0.74652777777777779</v>
      </c>
    </row>
    <row r="614" spans="1:5" x14ac:dyDescent="0.25">
      <c r="A614" s="120">
        <v>42678</v>
      </c>
      <c r="B614" s="122">
        <v>0.4</v>
      </c>
      <c r="C614" s="121">
        <v>0.92986111111111114</v>
      </c>
      <c r="D614" s="121">
        <v>0.33750000000000002</v>
      </c>
      <c r="E614" s="121">
        <v>0.74652777777777779</v>
      </c>
    </row>
    <row r="615" spans="1:5" x14ac:dyDescent="0.25">
      <c r="A615" s="120">
        <v>42679</v>
      </c>
      <c r="B615" s="122">
        <v>3.6</v>
      </c>
      <c r="C615" s="121">
        <v>0.43194444444444446</v>
      </c>
      <c r="D615" s="121">
        <v>0.33819444444444446</v>
      </c>
      <c r="E615" s="121">
        <v>0.74513888888888891</v>
      </c>
    </row>
    <row r="616" spans="1:5" x14ac:dyDescent="0.25">
      <c r="A616" s="120">
        <v>42679</v>
      </c>
      <c r="B616" s="122">
        <v>0.7</v>
      </c>
      <c r="C616" s="121">
        <v>0.96180555555555558</v>
      </c>
      <c r="D616" s="121">
        <v>0.33819444444444446</v>
      </c>
      <c r="E616" s="121">
        <v>0.74513888888888891</v>
      </c>
    </row>
    <row r="617" spans="1:5" x14ac:dyDescent="0.25">
      <c r="A617" s="120">
        <v>42680</v>
      </c>
      <c r="B617" s="122">
        <v>3.8</v>
      </c>
      <c r="C617" s="121">
        <v>0.42916666666666664</v>
      </c>
      <c r="D617" s="121">
        <v>0.29791666666666666</v>
      </c>
      <c r="E617" s="121">
        <v>0.70277777777777772</v>
      </c>
    </row>
    <row r="618" spans="1:5" x14ac:dyDescent="0.25">
      <c r="A618" s="120">
        <v>42680</v>
      </c>
      <c r="B618" s="122">
        <v>0.9</v>
      </c>
      <c r="C618" s="121">
        <v>0.95694444444444449</v>
      </c>
      <c r="D618" s="121">
        <v>0.29791666666666666</v>
      </c>
      <c r="E618" s="121">
        <v>0.70277777777777772</v>
      </c>
    </row>
    <row r="619" spans="1:5" x14ac:dyDescent="0.25">
      <c r="A619" s="120">
        <v>42681</v>
      </c>
      <c r="B619" s="122">
        <v>3.7</v>
      </c>
      <c r="C619" s="121">
        <v>0.47708333333333336</v>
      </c>
      <c r="D619" s="121">
        <v>0.2986111111111111</v>
      </c>
      <c r="E619" s="121">
        <v>0.70208333333333328</v>
      </c>
    </row>
    <row r="620" spans="1:5" x14ac:dyDescent="0.25">
      <c r="A620" s="120">
        <v>42681</v>
      </c>
      <c r="B620" s="122">
        <v>1.1000000000000001</v>
      </c>
      <c r="C620" s="121">
        <v>0.99861111111111112</v>
      </c>
      <c r="D620" s="121">
        <v>0.2986111111111111</v>
      </c>
      <c r="E620" s="121">
        <v>0.70208333333333328</v>
      </c>
    </row>
    <row r="621" spans="1:5" x14ac:dyDescent="0.25">
      <c r="A621" s="120">
        <v>42682</v>
      </c>
      <c r="B621" s="122">
        <v>3.3</v>
      </c>
      <c r="C621" s="121">
        <v>0.52916666666666667</v>
      </c>
      <c r="D621" s="121">
        <v>0.3</v>
      </c>
      <c r="E621" s="121">
        <v>0.7006944444444444</v>
      </c>
    </row>
    <row r="622" spans="1:5" x14ac:dyDescent="0.25">
      <c r="A622" s="120">
        <v>42683</v>
      </c>
      <c r="B622" s="122">
        <v>1.2</v>
      </c>
      <c r="C622" s="121">
        <v>4.1666666666666664E-2</v>
      </c>
      <c r="D622" s="121">
        <v>0.30069444444444443</v>
      </c>
      <c r="E622" s="121">
        <v>0.7</v>
      </c>
    </row>
    <row r="623" spans="1:5" x14ac:dyDescent="0.25">
      <c r="A623" s="120">
        <v>42683</v>
      </c>
      <c r="B623" s="122">
        <v>2.6</v>
      </c>
      <c r="C623" s="121">
        <v>0.57777777777777772</v>
      </c>
      <c r="D623" s="121">
        <v>0.30069444444444443</v>
      </c>
      <c r="E623" s="121">
        <v>0.7</v>
      </c>
    </row>
    <row r="624" spans="1:5" x14ac:dyDescent="0.25">
      <c r="A624" s="120">
        <v>42684</v>
      </c>
      <c r="B624" s="122">
        <v>1.3</v>
      </c>
      <c r="C624" s="121">
        <v>8.3333333333333329E-2</v>
      </c>
      <c r="D624" s="121">
        <v>0.30208333333333331</v>
      </c>
      <c r="E624" s="121">
        <v>0.69930555555555551</v>
      </c>
    </row>
    <row r="625" spans="1:5" x14ac:dyDescent="0.25">
      <c r="A625" s="120">
        <v>42684</v>
      </c>
      <c r="B625" s="122">
        <v>1.7</v>
      </c>
      <c r="C625" s="121">
        <v>0.62013888888888891</v>
      </c>
      <c r="D625" s="121">
        <v>0.30208333333333331</v>
      </c>
      <c r="E625" s="121">
        <v>0.69930555555555551</v>
      </c>
    </row>
    <row r="626" spans="1:5" x14ac:dyDescent="0.25">
      <c r="A626" s="120">
        <v>42685</v>
      </c>
      <c r="B626" s="122">
        <v>1.3</v>
      </c>
      <c r="C626" s="121">
        <v>0.12152777777777778</v>
      </c>
      <c r="D626" s="121">
        <v>0.30277777777777776</v>
      </c>
      <c r="E626" s="121">
        <v>0.69791666666666663</v>
      </c>
    </row>
    <row r="627" spans="1:5" x14ac:dyDescent="0.25">
      <c r="A627" s="120">
        <v>42685</v>
      </c>
      <c r="B627" s="122">
        <v>0.7</v>
      </c>
      <c r="C627" s="121">
        <v>0.65763888888888888</v>
      </c>
      <c r="D627" s="121">
        <v>0.30277777777777776</v>
      </c>
      <c r="E627" s="121">
        <v>0.69791666666666663</v>
      </c>
    </row>
    <row r="628" spans="1:5" x14ac:dyDescent="0.25">
      <c r="A628" s="120">
        <v>42686</v>
      </c>
      <c r="B628" s="122">
        <v>1.3</v>
      </c>
      <c r="C628" s="121">
        <v>0.15763888888888888</v>
      </c>
      <c r="D628" s="121">
        <v>0.30416666666666664</v>
      </c>
      <c r="E628" s="121">
        <v>0.69722222222222219</v>
      </c>
    </row>
    <row r="629" spans="1:5" x14ac:dyDescent="0.25">
      <c r="A629" s="120">
        <v>42686</v>
      </c>
      <c r="B629" s="122">
        <v>-0.3</v>
      </c>
      <c r="C629" s="121">
        <v>0.69236111111111109</v>
      </c>
      <c r="D629" s="121">
        <v>0.30416666666666664</v>
      </c>
      <c r="E629" s="121">
        <v>0.69722222222222219</v>
      </c>
    </row>
    <row r="630" spans="1:5" x14ac:dyDescent="0.25">
      <c r="A630" s="120">
        <v>42687</v>
      </c>
      <c r="B630" s="122">
        <v>1.4</v>
      </c>
      <c r="C630" s="121">
        <v>0.19236111111111112</v>
      </c>
      <c r="D630" s="121">
        <v>0.30486111111111114</v>
      </c>
      <c r="E630" s="121">
        <v>0.69652777777777775</v>
      </c>
    </row>
    <row r="631" spans="1:5" x14ac:dyDescent="0.25">
      <c r="A631" s="120">
        <v>42687</v>
      </c>
      <c r="B631" s="122">
        <v>-1.1000000000000001</v>
      </c>
      <c r="C631" s="121">
        <v>0.72569444444444442</v>
      </c>
      <c r="D631" s="121">
        <v>0.30486111111111114</v>
      </c>
      <c r="E631" s="121">
        <v>0.69652777777777775</v>
      </c>
    </row>
    <row r="632" spans="1:5" x14ac:dyDescent="0.25">
      <c r="A632" s="120">
        <v>42688</v>
      </c>
      <c r="B632" s="122">
        <v>1.6</v>
      </c>
      <c r="C632" s="121">
        <v>0.22500000000000001</v>
      </c>
      <c r="D632" s="121">
        <v>0.30625000000000002</v>
      </c>
      <c r="E632" s="121">
        <v>0.6958333333333333</v>
      </c>
    </row>
    <row r="633" spans="1:5" x14ac:dyDescent="0.25">
      <c r="A633" s="120">
        <v>42688</v>
      </c>
      <c r="B633" s="122">
        <v>-1.6</v>
      </c>
      <c r="C633" s="121">
        <v>0.75902777777777775</v>
      </c>
      <c r="D633" s="121">
        <v>0.30625000000000002</v>
      </c>
      <c r="E633" s="121">
        <v>0.6958333333333333</v>
      </c>
    </row>
    <row r="634" spans="1:5" x14ac:dyDescent="0.25">
      <c r="A634" s="120">
        <v>42689</v>
      </c>
      <c r="B634" s="122">
        <v>1.8</v>
      </c>
      <c r="C634" s="121">
        <v>0.25833333333333336</v>
      </c>
      <c r="D634" s="121">
        <v>0.30694444444444446</v>
      </c>
      <c r="E634" s="121">
        <v>0.69513888888888886</v>
      </c>
    </row>
    <row r="635" spans="1:5" x14ac:dyDescent="0.25">
      <c r="A635" s="120">
        <v>42689</v>
      </c>
      <c r="B635" s="122">
        <v>-1.8</v>
      </c>
      <c r="C635" s="121">
        <v>0.79166666666666663</v>
      </c>
      <c r="D635" s="121">
        <v>0.30694444444444446</v>
      </c>
      <c r="E635" s="121">
        <v>0.69513888888888886</v>
      </c>
    </row>
    <row r="636" spans="1:5" x14ac:dyDescent="0.25">
      <c r="A636" s="120">
        <v>42690</v>
      </c>
      <c r="B636" s="122">
        <v>2.1</v>
      </c>
      <c r="C636" s="121">
        <v>0.29166666666666669</v>
      </c>
      <c r="D636" s="121">
        <v>0.30833333333333335</v>
      </c>
      <c r="E636" s="121">
        <v>0.69444444444444442</v>
      </c>
    </row>
    <row r="637" spans="1:5" x14ac:dyDescent="0.25">
      <c r="A637" s="120">
        <v>42690</v>
      </c>
      <c r="B637" s="122">
        <v>-1.7</v>
      </c>
      <c r="C637" s="121">
        <v>0.82499999999999996</v>
      </c>
      <c r="D637" s="121">
        <v>0.30833333333333335</v>
      </c>
      <c r="E637" s="121">
        <v>0.69444444444444442</v>
      </c>
    </row>
    <row r="638" spans="1:5" x14ac:dyDescent="0.25">
      <c r="A638" s="120">
        <v>42691</v>
      </c>
      <c r="B638" s="122">
        <v>2.4</v>
      </c>
      <c r="C638" s="121">
        <v>0.3263888888888889</v>
      </c>
      <c r="D638" s="121">
        <v>0.30902777777777779</v>
      </c>
      <c r="E638" s="121">
        <v>0.69374999999999998</v>
      </c>
    </row>
    <row r="639" spans="1:5" x14ac:dyDescent="0.25">
      <c r="A639" s="120">
        <v>42691</v>
      </c>
      <c r="B639" s="122">
        <v>-1.3</v>
      </c>
      <c r="C639" s="121">
        <v>0.85902777777777772</v>
      </c>
      <c r="D639" s="121">
        <v>0.30902777777777779</v>
      </c>
      <c r="E639" s="121">
        <v>0.69374999999999998</v>
      </c>
    </row>
    <row r="640" spans="1:5" x14ac:dyDescent="0.25">
      <c r="A640" s="120">
        <v>42692</v>
      </c>
      <c r="B640" s="122">
        <v>2.8</v>
      </c>
      <c r="C640" s="121">
        <v>0.36388888888888887</v>
      </c>
      <c r="D640" s="121">
        <v>0.31041666666666667</v>
      </c>
      <c r="E640" s="121">
        <v>0.69305555555555554</v>
      </c>
    </row>
    <row r="641" spans="1:5" x14ac:dyDescent="0.25">
      <c r="A641" s="120">
        <v>42692</v>
      </c>
      <c r="B641" s="122">
        <v>-0.8</v>
      </c>
      <c r="C641" s="121">
        <v>0.89444444444444449</v>
      </c>
      <c r="D641" s="121">
        <v>0.31041666666666667</v>
      </c>
      <c r="E641" s="121">
        <v>0.69305555555555554</v>
      </c>
    </row>
    <row r="642" spans="1:5" x14ac:dyDescent="0.25">
      <c r="A642" s="120">
        <v>42693</v>
      </c>
      <c r="B642" s="122">
        <v>3.1</v>
      </c>
      <c r="C642" s="121">
        <v>0.40486111111111112</v>
      </c>
      <c r="D642" s="121">
        <v>0.31111111111111112</v>
      </c>
      <c r="E642" s="121">
        <v>0.69236111111111109</v>
      </c>
    </row>
    <row r="643" spans="1:5" x14ac:dyDescent="0.25">
      <c r="A643" s="120">
        <v>42693</v>
      </c>
      <c r="B643" s="122">
        <v>-0.1</v>
      </c>
      <c r="C643" s="121">
        <v>0.93194444444444446</v>
      </c>
      <c r="D643" s="121">
        <v>0.31111111111111112</v>
      </c>
      <c r="E643" s="121">
        <v>0.69236111111111109</v>
      </c>
    </row>
    <row r="644" spans="1:5" x14ac:dyDescent="0.25">
      <c r="A644" s="120">
        <v>42694</v>
      </c>
      <c r="B644" s="122">
        <v>3.2</v>
      </c>
      <c r="C644" s="121">
        <v>0.45069444444444445</v>
      </c>
      <c r="D644" s="121">
        <v>0.3125</v>
      </c>
      <c r="E644" s="121">
        <v>0.69166666666666665</v>
      </c>
    </row>
    <row r="645" spans="1:5" x14ac:dyDescent="0.25">
      <c r="A645" s="120">
        <v>42694</v>
      </c>
      <c r="B645" s="122">
        <v>0.6</v>
      </c>
      <c r="C645" s="121">
        <v>0.97152777777777777</v>
      </c>
      <c r="D645" s="121">
        <v>0.3125</v>
      </c>
      <c r="E645" s="121">
        <v>0.69166666666666665</v>
      </c>
    </row>
    <row r="646" spans="1:5" x14ac:dyDescent="0.25">
      <c r="A646" s="120">
        <v>42695</v>
      </c>
      <c r="B646" s="122">
        <v>3.1</v>
      </c>
      <c r="C646" s="121">
        <v>0.50208333333333333</v>
      </c>
      <c r="D646" s="121">
        <v>0.31319444444444444</v>
      </c>
      <c r="E646" s="121">
        <v>0.69097222222222221</v>
      </c>
    </row>
    <row r="647" spans="1:5" x14ac:dyDescent="0.25">
      <c r="A647" s="120">
        <v>42696</v>
      </c>
      <c r="B647" s="122">
        <v>1.2</v>
      </c>
      <c r="C647" s="121">
        <v>1.3194444444444444E-2</v>
      </c>
      <c r="D647" s="121">
        <v>0.31388888888888888</v>
      </c>
      <c r="E647" s="121">
        <v>0.69027777777777777</v>
      </c>
    </row>
    <row r="648" spans="1:5" x14ac:dyDescent="0.25">
      <c r="A648" s="120">
        <v>42696</v>
      </c>
      <c r="B648" s="122">
        <v>2.8</v>
      </c>
      <c r="C648" s="121">
        <v>0.5541666666666667</v>
      </c>
      <c r="D648" s="121">
        <v>0.31388888888888888</v>
      </c>
      <c r="E648" s="121">
        <v>0.69027777777777777</v>
      </c>
    </row>
    <row r="649" spans="1:5" x14ac:dyDescent="0.25">
      <c r="A649" s="120">
        <v>42697</v>
      </c>
      <c r="B649" s="122">
        <v>1.6</v>
      </c>
      <c r="C649" s="121">
        <v>5.486111111111111E-2</v>
      </c>
      <c r="D649" s="121">
        <v>0.31527777777777777</v>
      </c>
      <c r="E649" s="121">
        <v>0.68958333333333333</v>
      </c>
    </row>
    <row r="650" spans="1:5" x14ac:dyDescent="0.25">
      <c r="A650" s="120">
        <v>42697</v>
      </c>
      <c r="B650" s="122">
        <v>2.2000000000000002</v>
      </c>
      <c r="C650" s="121">
        <v>0.60138888888888886</v>
      </c>
      <c r="D650" s="121">
        <v>0.31527777777777777</v>
      </c>
      <c r="E650" s="121">
        <v>0.68958333333333333</v>
      </c>
    </row>
    <row r="651" spans="1:5" x14ac:dyDescent="0.25">
      <c r="A651" s="120">
        <v>42698</v>
      </c>
      <c r="B651" s="122">
        <v>2</v>
      </c>
      <c r="C651" s="121">
        <v>9.4444444444444442E-2</v>
      </c>
      <c r="D651" s="121">
        <v>0.31597222222222221</v>
      </c>
      <c r="E651" s="121">
        <v>0.68958333333333333</v>
      </c>
    </row>
    <row r="652" spans="1:5" x14ac:dyDescent="0.25">
      <c r="A652" s="120">
        <v>42698</v>
      </c>
      <c r="B652" s="122">
        <v>1.6</v>
      </c>
      <c r="C652" s="121">
        <v>0.63958333333333328</v>
      </c>
      <c r="D652" s="121">
        <v>0.31597222222222221</v>
      </c>
      <c r="E652" s="121">
        <v>0.68958333333333333</v>
      </c>
    </row>
    <row r="653" spans="1:5" x14ac:dyDescent="0.25">
      <c r="A653" s="120">
        <v>42699</v>
      </c>
      <c r="B653" s="122">
        <v>2.2000000000000002</v>
      </c>
      <c r="C653" s="121">
        <v>0.12986111111111112</v>
      </c>
      <c r="D653" s="121">
        <v>0.31666666666666665</v>
      </c>
      <c r="E653" s="121">
        <v>0.68888888888888888</v>
      </c>
    </row>
    <row r="654" spans="1:5" x14ac:dyDescent="0.25">
      <c r="A654" s="120">
        <v>42699</v>
      </c>
      <c r="B654" s="122">
        <v>1</v>
      </c>
      <c r="C654" s="121">
        <v>0.67152777777777772</v>
      </c>
      <c r="D654" s="121">
        <v>0.31666666666666665</v>
      </c>
      <c r="E654" s="121">
        <v>0.68888888888888888</v>
      </c>
    </row>
    <row r="655" spans="1:5" x14ac:dyDescent="0.25">
      <c r="A655" s="120">
        <v>42700</v>
      </c>
      <c r="B655" s="122">
        <v>2.5</v>
      </c>
      <c r="C655" s="121">
        <v>0.16111111111111112</v>
      </c>
      <c r="D655" s="121">
        <v>0.31805555555555554</v>
      </c>
      <c r="E655" s="121">
        <v>0.68819444444444444</v>
      </c>
    </row>
    <row r="656" spans="1:5" x14ac:dyDescent="0.25">
      <c r="A656" s="120">
        <v>42700</v>
      </c>
      <c r="B656" s="122">
        <v>0.5</v>
      </c>
      <c r="C656" s="121">
        <v>0.69930555555555551</v>
      </c>
      <c r="D656" s="121">
        <v>0.31805555555555554</v>
      </c>
      <c r="E656" s="121">
        <v>0.68819444444444444</v>
      </c>
    </row>
    <row r="657" spans="1:5" x14ac:dyDescent="0.25">
      <c r="A657" s="120">
        <v>42701</v>
      </c>
      <c r="B657" s="122">
        <v>2.7</v>
      </c>
      <c r="C657" s="121">
        <v>0.18958333333333333</v>
      </c>
      <c r="D657" s="121">
        <v>0.31874999999999998</v>
      </c>
      <c r="E657" s="121">
        <v>0.68819444444444444</v>
      </c>
    </row>
    <row r="658" spans="1:5" x14ac:dyDescent="0.25">
      <c r="A658" s="120">
        <v>42701</v>
      </c>
      <c r="B658" s="122">
        <v>0.2</v>
      </c>
      <c r="C658" s="121">
        <v>0.72499999999999998</v>
      </c>
      <c r="D658" s="121">
        <v>0.31874999999999998</v>
      </c>
      <c r="E658" s="121">
        <v>0.68819444444444444</v>
      </c>
    </row>
    <row r="659" spans="1:5" x14ac:dyDescent="0.25">
      <c r="A659" s="120">
        <v>42702</v>
      </c>
      <c r="B659" s="122">
        <v>2.8</v>
      </c>
      <c r="C659" s="121">
        <v>0.21597222222222223</v>
      </c>
      <c r="D659" s="121">
        <v>0.31944444444444442</v>
      </c>
      <c r="E659" s="121">
        <v>0.6875</v>
      </c>
    </row>
    <row r="660" spans="1:5" x14ac:dyDescent="0.25">
      <c r="A660" s="120">
        <v>42702</v>
      </c>
      <c r="B660" s="122">
        <v>-0.1</v>
      </c>
      <c r="C660" s="121">
        <v>0.74930555555555556</v>
      </c>
      <c r="D660" s="121">
        <v>0.31944444444444442</v>
      </c>
      <c r="E660" s="121">
        <v>0.6875</v>
      </c>
    </row>
    <row r="661" spans="1:5" x14ac:dyDescent="0.25">
      <c r="A661" s="120">
        <v>42703</v>
      </c>
      <c r="B661" s="122">
        <v>3</v>
      </c>
      <c r="C661" s="121">
        <v>0.24166666666666667</v>
      </c>
      <c r="D661" s="121">
        <v>0.32083333333333336</v>
      </c>
      <c r="E661" s="121">
        <v>0.6875</v>
      </c>
    </row>
    <row r="662" spans="1:5" x14ac:dyDescent="0.25">
      <c r="A662" s="120">
        <v>42703</v>
      </c>
      <c r="B662" s="122">
        <v>-0.2</v>
      </c>
      <c r="C662" s="121">
        <v>0.7729166666666667</v>
      </c>
      <c r="D662" s="121">
        <v>0.32083333333333336</v>
      </c>
      <c r="E662" s="121">
        <v>0.6875</v>
      </c>
    </row>
    <row r="663" spans="1:5" x14ac:dyDescent="0.25">
      <c r="A663" s="120">
        <v>42704</v>
      </c>
      <c r="B663" s="122">
        <v>3.1</v>
      </c>
      <c r="C663" s="121">
        <v>0.26666666666666666</v>
      </c>
      <c r="D663" s="121">
        <v>0.3215277777777778</v>
      </c>
      <c r="E663" s="121">
        <v>0.68680555555555556</v>
      </c>
    </row>
    <row r="664" spans="1:5" x14ac:dyDescent="0.25">
      <c r="A664" s="120">
        <v>42704</v>
      </c>
      <c r="B664" s="122">
        <v>-0.3</v>
      </c>
      <c r="C664" s="121">
        <v>0.79652777777777772</v>
      </c>
      <c r="D664" s="121">
        <v>0.3215277777777778</v>
      </c>
      <c r="E664" s="121">
        <v>0.68680555555555556</v>
      </c>
    </row>
    <row r="665" spans="1:5" x14ac:dyDescent="0.25">
      <c r="A665" s="120">
        <v>42705</v>
      </c>
      <c r="B665" s="122">
        <v>3.3</v>
      </c>
      <c r="C665" s="121">
        <v>0.29166666666666669</v>
      </c>
      <c r="D665" s="121">
        <v>0.32222222222222224</v>
      </c>
      <c r="E665" s="121">
        <v>0.68680555555555556</v>
      </c>
    </row>
    <row r="666" spans="1:5" x14ac:dyDescent="0.25">
      <c r="A666" s="120">
        <v>42705</v>
      </c>
      <c r="B666" s="122">
        <v>-0.2</v>
      </c>
      <c r="C666" s="121">
        <v>0.82013888888888886</v>
      </c>
      <c r="D666" s="121">
        <v>0.32222222222222224</v>
      </c>
      <c r="E666" s="121">
        <v>0.68680555555555556</v>
      </c>
    </row>
    <row r="667" spans="1:5" x14ac:dyDescent="0.25">
      <c r="A667" s="120">
        <v>42706</v>
      </c>
      <c r="B667" s="122">
        <v>3.4</v>
      </c>
      <c r="C667" s="121">
        <v>0.31805555555555554</v>
      </c>
      <c r="D667" s="121">
        <v>0.32291666666666669</v>
      </c>
      <c r="E667" s="121">
        <v>0.68611111111111112</v>
      </c>
    </row>
    <row r="668" spans="1:5" x14ac:dyDescent="0.25">
      <c r="A668" s="120">
        <v>42706</v>
      </c>
      <c r="B668" s="122">
        <v>-0.1</v>
      </c>
      <c r="C668" s="121">
        <v>0.84583333333333333</v>
      </c>
      <c r="D668" s="121">
        <v>0.32291666666666669</v>
      </c>
      <c r="E668" s="121">
        <v>0.68611111111111112</v>
      </c>
    </row>
    <row r="669" spans="1:5" x14ac:dyDescent="0.25">
      <c r="A669" s="120">
        <v>42707</v>
      </c>
      <c r="B669" s="122">
        <v>3.5</v>
      </c>
      <c r="C669" s="121">
        <v>0.34583333333333333</v>
      </c>
      <c r="D669" s="121">
        <v>0.32361111111111113</v>
      </c>
      <c r="E669" s="121">
        <v>0.68611111111111112</v>
      </c>
    </row>
    <row r="670" spans="1:5" x14ac:dyDescent="0.25">
      <c r="A670" s="120">
        <v>42707</v>
      </c>
      <c r="B670" s="122">
        <v>0.1</v>
      </c>
      <c r="C670" s="121">
        <v>0.87222222222222223</v>
      </c>
      <c r="D670" s="121">
        <v>0.32361111111111113</v>
      </c>
      <c r="E670" s="121">
        <v>0.68611111111111112</v>
      </c>
    </row>
    <row r="671" spans="1:5" x14ac:dyDescent="0.25">
      <c r="A671" s="120">
        <v>42708</v>
      </c>
      <c r="B671" s="122">
        <v>3.6</v>
      </c>
      <c r="C671" s="121">
        <v>0.37847222222222221</v>
      </c>
      <c r="D671" s="121">
        <v>0.32430555555555557</v>
      </c>
      <c r="E671" s="121">
        <v>0.68611111111111112</v>
      </c>
    </row>
    <row r="672" spans="1:5" x14ac:dyDescent="0.25">
      <c r="A672" s="120">
        <v>42708</v>
      </c>
      <c r="B672" s="122">
        <v>0.4</v>
      </c>
      <c r="C672" s="121">
        <v>0.90138888888888891</v>
      </c>
      <c r="D672" s="121">
        <v>0.32430555555555557</v>
      </c>
      <c r="E672" s="121">
        <v>0.68611111111111112</v>
      </c>
    </row>
    <row r="673" spans="1:5" x14ac:dyDescent="0.25">
      <c r="A673" s="120">
        <v>42709</v>
      </c>
      <c r="B673" s="122">
        <v>3.6</v>
      </c>
      <c r="C673" s="121">
        <v>0.41597222222222224</v>
      </c>
      <c r="D673" s="121">
        <v>0.32569444444444445</v>
      </c>
      <c r="E673" s="121">
        <v>0.68541666666666667</v>
      </c>
    </row>
    <row r="674" spans="1:5" x14ac:dyDescent="0.25">
      <c r="A674" s="120">
        <v>42709</v>
      </c>
      <c r="B674" s="122">
        <v>0.7</v>
      </c>
      <c r="C674" s="121">
        <v>0.93333333333333335</v>
      </c>
      <c r="D674" s="121">
        <v>0.32569444444444445</v>
      </c>
      <c r="E674" s="121">
        <v>0.68541666666666667</v>
      </c>
    </row>
    <row r="675" spans="1:5" x14ac:dyDescent="0.25">
      <c r="A675" s="120">
        <v>42710</v>
      </c>
      <c r="B675" s="122">
        <v>3.4</v>
      </c>
      <c r="C675" s="121">
        <v>0.46041666666666664</v>
      </c>
      <c r="D675" s="121">
        <v>0.3263888888888889</v>
      </c>
      <c r="E675" s="121">
        <v>0.68541666666666667</v>
      </c>
    </row>
    <row r="676" spans="1:5" x14ac:dyDescent="0.25">
      <c r="A676" s="120">
        <v>42710</v>
      </c>
      <c r="B676" s="122">
        <v>1.1000000000000001</v>
      </c>
      <c r="C676" s="121">
        <v>0.96944444444444444</v>
      </c>
      <c r="D676" s="121">
        <v>0.3263888888888889</v>
      </c>
      <c r="E676" s="121">
        <v>0.68541666666666667</v>
      </c>
    </row>
    <row r="677" spans="1:5" x14ac:dyDescent="0.25">
      <c r="A677" s="120">
        <v>42711</v>
      </c>
      <c r="B677" s="122">
        <v>3</v>
      </c>
      <c r="C677" s="121">
        <v>0.50972222222222219</v>
      </c>
      <c r="D677" s="121">
        <v>0.32708333333333334</v>
      </c>
      <c r="E677" s="121">
        <v>0.68541666666666667</v>
      </c>
    </row>
    <row r="678" spans="1:5" x14ac:dyDescent="0.25">
      <c r="A678" s="120">
        <v>42712</v>
      </c>
      <c r="B678" s="122">
        <v>1.5</v>
      </c>
      <c r="C678" s="121">
        <v>9.7222222222222224E-3</v>
      </c>
      <c r="D678" s="121">
        <v>0.32777777777777778</v>
      </c>
      <c r="E678" s="121">
        <v>0.68541666666666667</v>
      </c>
    </row>
    <row r="679" spans="1:5" x14ac:dyDescent="0.25">
      <c r="A679" s="120">
        <v>42712</v>
      </c>
      <c r="B679" s="122">
        <v>2.2999999999999998</v>
      </c>
      <c r="C679" s="121">
        <v>0.55902777777777779</v>
      </c>
      <c r="D679" s="121">
        <v>0.32777777777777778</v>
      </c>
      <c r="E679" s="121">
        <v>0.68541666666666667</v>
      </c>
    </row>
    <row r="680" spans="1:5" x14ac:dyDescent="0.25">
      <c r="A680" s="120">
        <v>42713</v>
      </c>
      <c r="B680" s="122">
        <v>1.8</v>
      </c>
      <c r="C680" s="121">
        <v>5.2083333333333336E-2</v>
      </c>
      <c r="D680" s="121">
        <v>0.32847222222222222</v>
      </c>
      <c r="E680" s="121">
        <v>0.68541666666666667</v>
      </c>
    </row>
    <row r="681" spans="1:5" x14ac:dyDescent="0.25">
      <c r="A681" s="120">
        <v>42713</v>
      </c>
      <c r="B681" s="122">
        <v>1.4</v>
      </c>
      <c r="C681" s="121">
        <v>0.60416666666666663</v>
      </c>
      <c r="D681" s="121">
        <v>0.32847222222222222</v>
      </c>
      <c r="E681" s="121">
        <v>0.68541666666666667</v>
      </c>
    </row>
    <row r="682" spans="1:5" x14ac:dyDescent="0.25">
      <c r="A682" s="120">
        <v>42714</v>
      </c>
      <c r="B682" s="122">
        <v>2.1</v>
      </c>
      <c r="C682" s="121">
        <v>9.4444444444444442E-2</v>
      </c>
      <c r="D682" s="121">
        <v>0.32916666666666666</v>
      </c>
      <c r="E682" s="121">
        <v>0.68541666666666667</v>
      </c>
    </row>
    <row r="683" spans="1:5" x14ac:dyDescent="0.25">
      <c r="A683" s="120">
        <v>42714</v>
      </c>
      <c r="B683" s="122">
        <v>0.5</v>
      </c>
      <c r="C683" s="121">
        <v>0.64444444444444449</v>
      </c>
      <c r="D683" s="121">
        <v>0.32916666666666666</v>
      </c>
      <c r="E683" s="121">
        <v>0.68541666666666667</v>
      </c>
    </row>
    <row r="684" spans="1:5" x14ac:dyDescent="0.25">
      <c r="A684" s="120">
        <v>42715</v>
      </c>
      <c r="B684" s="122">
        <v>2.2000000000000002</v>
      </c>
      <c r="C684" s="121">
        <v>0.13541666666666666</v>
      </c>
      <c r="D684" s="121">
        <v>0.3298611111111111</v>
      </c>
      <c r="E684" s="121">
        <v>0.68541666666666667</v>
      </c>
    </row>
    <row r="685" spans="1:5" x14ac:dyDescent="0.25">
      <c r="A685" s="120">
        <v>42715</v>
      </c>
      <c r="B685" s="122">
        <v>-0.5</v>
      </c>
      <c r="C685" s="121">
        <v>0.68125000000000002</v>
      </c>
      <c r="D685" s="121">
        <v>0.3298611111111111</v>
      </c>
      <c r="E685" s="121">
        <v>0.68541666666666667</v>
      </c>
    </row>
    <row r="686" spans="1:5" x14ac:dyDescent="0.25">
      <c r="A686" s="120">
        <v>42716</v>
      </c>
      <c r="B686" s="122">
        <v>2.2999999999999998</v>
      </c>
      <c r="C686" s="121">
        <v>0.17430555555555555</v>
      </c>
      <c r="D686" s="121">
        <v>0.3298611111111111</v>
      </c>
      <c r="E686" s="121">
        <v>0.68541666666666667</v>
      </c>
    </row>
    <row r="687" spans="1:5" x14ac:dyDescent="0.25">
      <c r="A687" s="120">
        <v>42716</v>
      </c>
      <c r="B687" s="122">
        <v>-1.2</v>
      </c>
      <c r="C687" s="121">
        <v>0.71597222222222223</v>
      </c>
      <c r="D687" s="121">
        <v>0.3298611111111111</v>
      </c>
      <c r="E687" s="121">
        <v>0.68541666666666667</v>
      </c>
    </row>
    <row r="688" spans="1:5" x14ac:dyDescent="0.25">
      <c r="A688" s="120">
        <v>42717</v>
      </c>
      <c r="B688" s="122">
        <v>2.4</v>
      </c>
      <c r="C688" s="121">
        <v>0.21041666666666667</v>
      </c>
      <c r="D688" s="121">
        <v>0.33055555555555555</v>
      </c>
      <c r="E688" s="121">
        <v>0.68541666666666667</v>
      </c>
    </row>
    <row r="689" spans="1:5" x14ac:dyDescent="0.25">
      <c r="A689" s="120">
        <v>42717</v>
      </c>
      <c r="B689" s="122">
        <v>-1.6</v>
      </c>
      <c r="C689" s="121">
        <v>0.74930555555555556</v>
      </c>
      <c r="D689" s="121">
        <v>0.33055555555555555</v>
      </c>
      <c r="E689" s="121">
        <v>0.68541666666666667</v>
      </c>
    </row>
    <row r="690" spans="1:5" x14ac:dyDescent="0.25">
      <c r="A690" s="120">
        <v>42718</v>
      </c>
      <c r="B690" s="122">
        <v>2.4</v>
      </c>
      <c r="C690" s="121">
        <v>0.24652777777777779</v>
      </c>
      <c r="D690" s="121">
        <v>0.33124999999999999</v>
      </c>
      <c r="E690" s="121">
        <v>0.68541666666666667</v>
      </c>
    </row>
    <row r="691" spans="1:5" x14ac:dyDescent="0.25">
      <c r="A691" s="120">
        <v>42718</v>
      </c>
      <c r="B691" s="122">
        <v>-1.8</v>
      </c>
      <c r="C691" s="121">
        <v>0.78194444444444444</v>
      </c>
      <c r="D691" s="121">
        <v>0.33124999999999999</v>
      </c>
      <c r="E691" s="121">
        <v>0.68541666666666667</v>
      </c>
    </row>
    <row r="692" spans="1:5" x14ac:dyDescent="0.25">
      <c r="A692" s="120">
        <v>42719</v>
      </c>
      <c r="B692" s="122">
        <v>2.5</v>
      </c>
      <c r="C692" s="121">
        <v>0.28125</v>
      </c>
      <c r="D692" s="121">
        <v>0.33194444444444443</v>
      </c>
      <c r="E692" s="121">
        <v>0.68541666666666667</v>
      </c>
    </row>
    <row r="693" spans="1:5" x14ac:dyDescent="0.25">
      <c r="A693" s="120">
        <v>42719</v>
      </c>
      <c r="B693" s="122">
        <v>-1.7</v>
      </c>
      <c r="C693" s="121">
        <v>0.81388888888888888</v>
      </c>
      <c r="D693" s="121">
        <v>0.33194444444444443</v>
      </c>
      <c r="E693" s="121">
        <v>0.68541666666666667</v>
      </c>
    </row>
    <row r="694" spans="1:5" x14ac:dyDescent="0.25">
      <c r="A694" s="120">
        <v>42720</v>
      </c>
      <c r="B694" s="122">
        <v>2.6</v>
      </c>
      <c r="C694" s="121">
        <v>0.31666666666666665</v>
      </c>
      <c r="D694" s="121">
        <v>0.33263888888888887</v>
      </c>
      <c r="E694" s="121">
        <v>0.68611111111111112</v>
      </c>
    </row>
    <row r="695" spans="1:5" x14ac:dyDescent="0.25">
      <c r="A695" s="120">
        <v>42720</v>
      </c>
      <c r="B695" s="122">
        <v>-1.3</v>
      </c>
      <c r="C695" s="121">
        <v>0.84583333333333333</v>
      </c>
      <c r="D695" s="121">
        <v>0.33263888888888887</v>
      </c>
      <c r="E695" s="121">
        <v>0.68611111111111112</v>
      </c>
    </row>
    <row r="696" spans="1:5" x14ac:dyDescent="0.25">
      <c r="A696" s="120">
        <v>42721</v>
      </c>
      <c r="B696" s="122">
        <v>2.7</v>
      </c>
      <c r="C696" s="121">
        <v>0.3527777777777778</v>
      </c>
      <c r="D696" s="121">
        <v>0.33263888888888887</v>
      </c>
      <c r="E696" s="121">
        <v>0.68611111111111112</v>
      </c>
    </row>
    <row r="697" spans="1:5" x14ac:dyDescent="0.25">
      <c r="A697" s="120">
        <v>42721</v>
      </c>
      <c r="B697" s="122">
        <v>-0.7</v>
      </c>
      <c r="C697" s="121">
        <v>0.87777777777777777</v>
      </c>
      <c r="D697" s="121">
        <v>0.33263888888888887</v>
      </c>
      <c r="E697" s="121">
        <v>0.68611111111111112</v>
      </c>
    </row>
    <row r="698" spans="1:5" x14ac:dyDescent="0.25">
      <c r="A698" s="120">
        <v>42722</v>
      </c>
      <c r="B698" s="122">
        <v>2.9</v>
      </c>
      <c r="C698" s="121">
        <v>0.39097222222222222</v>
      </c>
      <c r="D698" s="121">
        <v>0.33333333333333331</v>
      </c>
      <c r="E698" s="121">
        <v>0.68611111111111112</v>
      </c>
    </row>
    <row r="699" spans="1:5" x14ac:dyDescent="0.25">
      <c r="A699" s="120">
        <v>42722</v>
      </c>
      <c r="B699" s="122">
        <v>0</v>
      </c>
      <c r="C699" s="121">
        <v>0.91041666666666665</v>
      </c>
      <c r="D699" s="121">
        <v>0.33333333333333331</v>
      </c>
      <c r="E699" s="121">
        <v>0.68611111111111112</v>
      </c>
    </row>
    <row r="700" spans="1:5" x14ac:dyDescent="0.25">
      <c r="A700" s="120">
        <v>42723</v>
      </c>
      <c r="B700" s="122">
        <v>3</v>
      </c>
      <c r="C700" s="121">
        <v>0.43263888888888891</v>
      </c>
      <c r="D700" s="121">
        <v>0.33333333333333331</v>
      </c>
      <c r="E700" s="121">
        <v>0.68680555555555556</v>
      </c>
    </row>
    <row r="701" spans="1:5" x14ac:dyDescent="0.25">
      <c r="A701" s="120">
        <v>42723</v>
      </c>
      <c r="B701" s="122">
        <v>0.8</v>
      </c>
      <c r="C701" s="121">
        <v>0.94444444444444442</v>
      </c>
      <c r="D701" s="121">
        <v>0.33333333333333331</v>
      </c>
      <c r="E701" s="121">
        <v>0.68680555555555556</v>
      </c>
    </row>
    <row r="702" spans="1:5" x14ac:dyDescent="0.25">
      <c r="A702" s="120">
        <v>42724</v>
      </c>
      <c r="B702" s="122">
        <v>2.9</v>
      </c>
      <c r="C702" s="121">
        <v>0.47847222222222224</v>
      </c>
      <c r="D702" s="121">
        <v>0.33402777777777776</v>
      </c>
      <c r="E702" s="121">
        <v>0.68680555555555556</v>
      </c>
    </row>
    <row r="703" spans="1:5" x14ac:dyDescent="0.25">
      <c r="A703" s="120">
        <v>42724</v>
      </c>
      <c r="B703" s="122">
        <v>1.5</v>
      </c>
      <c r="C703" s="121">
        <v>0.97986111111111107</v>
      </c>
      <c r="D703" s="121">
        <v>0.33402777777777776</v>
      </c>
      <c r="E703" s="121">
        <v>0.68680555555555556</v>
      </c>
    </row>
    <row r="704" spans="1:5" x14ac:dyDescent="0.25">
      <c r="A704" s="120">
        <v>42725</v>
      </c>
      <c r="B704" s="122">
        <v>2.7</v>
      </c>
      <c r="C704" s="121">
        <v>0.52708333333333335</v>
      </c>
      <c r="D704" s="121">
        <v>0.3347222222222222</v>
      </c>
      <c r="E704" s="121">
        <v>0.6875</v>
      </c>
    </row>
    <row r="705" spans="1:5" x14ac:dyDescent="0.25">
      <c r="A705" s="120">
        <v>42726</v>
      </c>
      <c r="B705" s="122">
        <v>2.2000000000000002</v>
      </c>
      <c r="C705" s="121">
        <v>1.7361111111111112E-2</v>
      </c>
      <c r="D705" s="121">
        <v>0.3347222222222222</v>
      </c>
      <c r="E705" s="121">
        <v>0.6875</v>
      </c>
    </row>
    <row r="706" spans="1:5" x14ac:dyDescent="0.25">
      <c r="A706" s="120">
        <v>42726</v>
      </c>
      <c r="B706" s="122">
        <v>2.2999999999999998</v>
      </c>
      <c r="C706" s="121">
        <v>0.57430555555555551</v>
      </c>
      <c r="D706" s="121">
        <v>0.3347222222222222</v>
      </c>
      <c r="E706" s="121">
        <v>0.6875</v>
      </c>
    </row>
    <row r="707" spans="1:5" x14ac:dyDescent="0.25">
      <c r="A707" s="120">
        <v>42727</v>
      </c>
      <c r="B707" s="122">
        <v>2.7</v>
      </c>
      <c r="C707" s="121">
        <v>5.6944444444444443E-2</v>
      </c>
      <c r="D707" s="121">
        <v>0.3347222222222222</v>
      </c>
      <c r="E707" s="121">
        <v>0.68819444444444444</v>
      </c>
    </row>
    <row r="708" spans="1:5" x14ac:dyDescent="0.25">
      <c r="A708" s="120">
        <v>42727</v>
      </c>
      <c r="B708" s="122">
        <v>1.8</v>
      </c>
      <c r="C708" s="121">
        <v>0.61597222222222225</v>
      </c>
      <c r="D708" s="121">
        <v>0.3347222222222222</v>
      </c>
      <c r="E708" s="121">
        <v>0.68819444444444444</v>
      </c>
    </row>
    <row r="709" spans="1:5" x14ac:dyDescent="0.25">
      <c r="A709" s="120">
        <v>42728</v>
      </c>
      <c r="B709" s="122">
        <v>3.1</v>
      </c>
      <c r="C709" s="121">
        <v>9.583333333333334E-2</v>
      </c>
      <c r="D709" s="121">
        <v>0.33541666666666664</v>
      </c>
      <c r="E709" s="121">
        <v>0.68819444444444444</v>
      </c>
    </row>
    <row r="710" spans="1:5" x14ac:dyDescent="0.25">
      <c r="A710" s="120">
        <v>42728</v>
      </c>
      <c r="B710" s="122">
        <v>1.3</v>
      </c>
      <c r="C710" s="121">
        <v>0.65138888888888891</v>
      </c>
      <c r="D710" s="121">
        <v>0.33541666666666664</v>
      </c>
      <c r="E710" s="121">
        <v>0.68819444444444444</v>
      </c>
    </row>
    <row r="711" spans="1:5" x14ac:dyDescent="0.25">
      <c r="A711" s="120">
        <v>42729</v>
      </c>
      <c r="B711" s="122">
        <v>3.3</v>
      </c>
      <c r="C711" s="121">
        <v>0.13263888888888889</v>
      </c>
      <c r="D711" s="121">
        <v>0.33541666666666664</v>
      </c>
      <c r="E711" s="121">
        <v>0.68888888888888888</v>
      </c>
    </row>
    <row r="712" spans="1:5" x14ac:dyDescent="0.25">
      <c r="A712" s="120">
        <v>42729</v>
      </c>
      <c r="B712" s="122">
        <v>0.8</v>
      </c>
      <c r="C712" s="121">
        <v>0.68125000000000002</v>
      </c>
      <c r="D712" s="121">
        <v>0.33541666666666664</v>
      </c>
      <c r="E712" s="121">
        <v>0.68888888888888888</v>
      </c>
    </row>
    <row r="713" spans="1:5" x14ac:dyDescent="0.25">
      <c r="A713" s="120">
        <v>42730</v>
      </c>
      <c r="B713" s="122">
        <v>3.4</v>
      </c>
      <c r="C713" s="121">
        <v>0.16597222222222222</v>
      </c>
      <c r="D713" s="121">
        <v>0.33541666666666664</v>
      </c>
      <c r="E713" s="121">
        <v>0.68958333333333333</v>
      </c>
    </row>
    <row r="714" spans="1:5" x14ac:dyDescent="0.25">
      <c r="A714" s="120">
        <v>42730</v>
      </c>
      <c r="B714" s="122">
        <v>0.3</v>
      </c>
      <c r="C714" s="121">
        <v>0.70833333333333337</v>
      </c>
      <c r="D714" s="121">
        <v>0.33541666666666664</v>
      </c>
      <c r="E714" s="121">
        <v>0.68958333333333333</v>
      </c>
    </row>
    <row r="715" spans="1:5" x14ac:dyDescent="0.25">
      <c r="A715" s="120">
        <v>42731</v>
      </c>
      <c r="B715" s="122">
        <v>3.4</v>
      </c>
      <c r="C715" s="121">
        <v>0.19652777777777777</v>
      </c>
      <c r="D715" s="121">
        <v>0.33611111111111114</v>
      </c>
      <c r="E715" s="121">
        <v>0.69027777777777777</v>
      </c>
    </row>
    <row r="716" spans="1:5" x14ac:dyDescent="0.25">
      <c r="A716" s="120">
        <v>42731</v>
      </c>
      <c r="B716" s="122">
        <v>0</v>
      </c>
      <c r="C716" s="121">
        <v>0.73402777777777772</v>
      </c>
      <c r="D716" s="121">
        <v>0.33611111111111114</v>
      </c>
      <c r="E716" s="121">
        <v>0.69027777777777777</v>
      </c>
    </row>
    <row r="717" spans="1:5" x14ac:dyDescent="0.25">
      <c r="A717" s="120">
        <v>42732</v>
      </c>
      <c r="B717" s="122">
        <v>3.4</v>
      </c>
      <c r="C717" s="121">
        <v>0.22500000000000001</v>
      </c>
      <c r="D717" s="121">
        <v>0.33611111111111114</v>
      </c>
      <c r="E717" s="121">
        <v>0.69027777777777777</v>
      </c>
    </row>
    <row r="718" spans="1:5" x14ac:dyDescent="0.25">
      <c r="A718" s="120">
        <v>42732</v>
      </c>
      <c r="B718" s="122">
        <v>-0.2</v>
      </c>
      <c r="C718" s="121">
        <v>0.75902777777777775</v>
      </c>
      <c r="D718" s="121">
        <v>0.33611111111111114</v>
      </c>
      <c r="E718" s="121">
        <v>0.69027777777777777</v>
      </c>
    </row>
    <row r="719" spans="1:5" x14ac:dyDescent="0.25">
      <c r="A719" s="120">
        <v>42733</v>
      </c>
      <c r="B719" s="122">
        <v>3.3</v>
      </c>
      <c r="C719" s="121">
        <v>0.25208333333333333</v>
      </c>
      <c r="D719" s="121">
        <v>0.33611111111111114</v>
      </c>
      <c r="E719" s="121">
        <v>0.69097222222222221</v>
      </c>
    </row>
    <row r="720" spans="1:5" x14ac:dyDescent="0.25">
      <c r="A720" s="120">
        <v>42733</v>
      </c>
      <c r="B720" s="122">
        <v>-0.4</v>
      </c>
      <c r="C720" s="121">
        <v>0.78263888888888888</v>
      </c>
      <c r="D720" s="121">
        <v>0.33611111111111114</v>
      </c>
      <c r="E720" s="121">
        <v>0.69097222222222221</v>
      </c>
    </row>
    <row r="721" spans="1:5" x14ac:dyDescent="0.25">
      <c r="A721" s="120">
        <v>42734</v>
      </c>
      <c r="B721" s="122">
        <v>3.3</v>
      </c>
      <c r="C721" s="121">
        <v>0.27916666666666667</v>
      </c>
      <c r="D721" s="121">
        <v>0.33611111111111114</v>
      </c>
      <c r="E721" s="121">
        <v>0.69166666666666665</v>
      </c>
    </row>
    <row r="722" spans="1:5" x14ac:dyDescent="0.25">
      <c r="A722" s="120">
        <v>42734</v>
      </c>
      <c r="B722" s="122">
        <v>-0.4</v>
      </c>
      <c r="C722" s="121">
        <v>0.80694444444444446</v>
      </c>
      <c r="D722" s="121">
        <v>0.33611111111111114</v>
      </c>
      <c r="E722" s="121">
        <v>0.69166666666666665</v>
      </c>
    </row>
    <row r="723" spans="1:5" x14ac:dyDescent="0.25">
      <c r="A723" s="120">
        <v>42735</v>
      </c>
      <c r="B723" s="122">
        <v>3.2</v>
      </c>
      <c r="C723" s="121">
        <v>0.30694444444444446</v>
      </c>
      <c r="D723" s="121">
        <v>0.33611111111111114</v>
      </c>
      <c r="E723" s="121">
        <v>0.69236111111111109</v>
      </c>
    </row>
    <row r="724" spans="1:5" x14ac:dyDescent="0.25">
      <c r="A724" s="120">
        <v>42735</v>
      </c>
      <c r="B724" s="122">
        <v>-0.4</v>
      </c>
      <c r="C724" s="121">
        <v>0.83125000000000004</v>
      </c>
      <c r="D724" s="121">
        <v>0.33611111111111114</v>
      </c>
      <c r="E724" s="121">
        <v>0.69236111111111109</v>
      </c>
    </row>
    <row r="725" spans="1:5" x14ac:dyDescent="0.25">
      <c r="A725" s="120">
        <v>42736</v>
      </c>
      <c r="B725" s="122">
        <v>3.3</v>
      </c>
      <c r="C725" s="121">
        <v>0.3347222222222222</v>
      </c>
      <c r="D725" s="121">
        <v>0.33611111111111114</v>
      </c>
      <c r="E725" s="121">
        <v>0.69305555555555554</v>
      </c>
    </row>
    <row r="726" spans="1:5" x14ac:dyDescent="0.25">
      <c r="A726" s="120">
        <v>42736</v>
      </c>
      <c r="B726" s="122">
        <v>-0.2</v>
      </c>
      <c r="C726" s="121">
        <v>0.85833333333333328</v>
      </c>
      <c r="D726" s="121">
        <v>0.33611111111111114</v>
      </c>
      <c r="E726" s="121">
        <v>0.69305555555555554</v>
      </c>
    </row>
    <row r="727" spans="1:5" x14ac:dyDescent="0.25">
      <c r="A727" s="120">
        <v>42737</v>
      </c>
      <c r="B727" s="122">
        <v>3.2</v>
      </c>
      <c r="C727" s="121">
        <v>0.36666666666666664</v>
      </c>
      <c r="D727" s="121">
        <v>0.33611111111111114</v>
      </c>
      <c r="E727" s="121">
        <v>0.69374999999999998</v>
      </c>
    </row>
    <row r="728" spans="1:5" x14ac:dyDescent="0.25">
      <c r="A728" s="120">
        <v>42737</v>
      </c>
      <c r="B728" s="122">
        <v>0.1</v>
      </c>
      <c r="C728" s="121">
        <v>0.88541666666666663</v>
      </c>
      <c r="D728" s="121">
        <v>0.33611111111111114</v>
      </c>
      <c r="E728" s="121">
        <v>0.69374999999999998</v>
      </c>
    </row>
    <row r="729" spans="1:5" x14ac:dyDescent="0.25">
      <c r="A729" s="120">
        <v>42738</v>
      </c>
      <c r="B729" s="122">
        <v>3.1</v>
      </c>
      <c r="C729" s="121">
        <v>0.40208333333333335</v>
      </c>
      <c r="D729" s="121">
        <v>0.33611111111111114</v>
      </c>
      <c r="E729" s="121">
        <v>0.69444444444444442</v>
      </c>
    </row>
    <row r="730" spans="1:5" x14ac:dyDescent="0.25">
      <c r="A730" s="120">
        <v>42738</v>
      </c>
      <c r="B730" s="122">
        <v>0.6</v>
      </c>
      <c r="C730" s="121">
        <v>0.9145833333333333</v>
      </c>
      <c r="D730" s="121">
        <v>0.33611111111111114</v>
      </c>
      <c r="E730" s="121">
        <v>0.69444444444444442</v>
      </c>
    </row>
    <row r="731" spans="1:5" x14ac:dyDescent="0.25">
      <c r="A731" s="120">
        <v>42739</v>
      </c>
      <c r="B731" s="122">
        <v>2.9</v>
      </c>
      <c r="C731" s="121">
        <v>0.44374999999999998</v>
      </c>
      <c r="D731" s="121">
        <v>0.33611111111111114</v>
      </c>
      <c r="E731" s="121">
        <v>0.69513888888888886</v>
      </c>
    </row>
    <row r="732" spans="1:5" x14ac:dyDescent="0.25">
      <c r="A732" s="120">
        <v>42739</v>
      </c>
      <c r="B732" s="122">
        <v>1.1000000000000001</v>
      </c>
      <c r="C732" s="121">
        <v>0.94722222222222219</v>
      </c>
      <c r="D732" s="121">
        <v>0.33611111111111114</v>
      </c>
      <c r="E732" s="121">
        <v>0.69513888888888886</v>
      </c>
    </row>
    <row r="733" spans="1:5" x14ac:dyDescent="0.25">
      <c r="A733" s="120">
        <v>42740</v>
      </c>
      <c r="B733" s="122">
        <v>2.5</v>
      </c>
      <c r="C733" s="121">
        <v>0.49027777777777776</v>
      </c>
      <c r="D733" s="121">
        <v>0.33611111111111114</v>
      </c>
      <c r="E733" s="121">
        <v>0.6958333333333333</v>
      </c>
    </row>
    <row r="734" spans="1:5" x14ac:dyDescent="0.25">
      <c r="A734" s="120">
        <v>42740</v>
      </c>
      <c r="B734" s="122">
        <v>1.7</v>
      </c>
      <c r="C734" s="121">
        <v>0.98472222222222228</v>
      </c>
      <c r="D734" s="121">
        <v>0.33611111111111114</v>
      </c>
      <c r="E734" s="121">
        <v>0.6958333333333333</v>
      </c>
    </row>
    <row r="735" spans="1:5" x14ac:dyDescent="0.25">
      <c r="A735" s="120">
        <v>42741</v>
      </c>
      <c r="B735" s="122">
        <v>2</v>
      </c>
      <c r="C735" s="121">
        <v>0.54027777777777775</v>
      </c>
      <c r="D735" s="121">
        <v>0.33541666666666664</v>
      </c>
      <c r="E735" s="121">
        <v>0.69652777777777775</v>
      </c>
    </row>
    <row r="736" spans="1:5" x14ac:dyDescent="0.25">
      <c r="A736" s="120">
        <v>42742</v>
      </c>
      <c r="B736" s="122">
        <v>2.2999999999999998</v>
      </c>
      <c r="C736" s="121">
        <v>2.7083333333333334E-2</v>
      </c>
      <c r="D736" s="121">
        <v>0.33541666666666664</v>
      </c>
      <c r="E736" s="121">
        <v>0.69722222222222219</v>
      </c>
    </row>
    <row r="737" spans="1:5" x14ac:dyDescent="0.25">
      <c r="A737" s="120">
        <v>42742</v>
      </c>
      <c r="B737" s="122">
        <v>1.3</v>
      </c>
      <c r="C737" s="121">
        <v>0.58819444444444446</v>
      </c>
      <c r="D737" s="121">
        <v>0.33541666666666664</v>
      </c>
      <c r="E737" s="121">
        <v>0.69722222222222219</v>
      </c>
    </row>
    <row r="738" spans="1:5" x14ac:dyDescent="0.25">
      <c r="A738" s="120">
        <v>42743</v>
      </c>
      <c r="B738" s="122">
        <v>2.7</v>
      </c>
      <c r="C738" s="121">
        <v>7.3611111111111113E-2</v>
      </c>
      <c r="D738" s="121">
        <v>0.33541666666666664</v>
      </c>
      <c r="E738" s="121">
        <v>0.69861111111111107</v>
      </c>
    </row>
    <row r="739" spans="1:5" x14ac:dyDescent="0.25">
      <c r="A739" s="120">
        <v>42743</v>
      </c>
      <c r="B739" s="122">
        <v>0.4</v>
      </c>
      <c r="C739" s="121">
        <v>0.63263888888888886</v>
      </c>
      <c r="D739" s="121">
        <v>0.33541666666666664</v>
      </c>
      <c r="E739" s="121">
        <v>0.69861111111111107</v>
      </c>
    </row>
    <row r="740" spans="1:5" x14ac:dyDescent="0.25">
      <c r="A740" s="120">
        <v>42744</v>
      </c>
      <c r="B740" s="122">
        <v>2.9</v>
      </c>
      <c r="C740" s="121">
        <v>0.11944444444444445</v>
      </c>
      <c r="D740" s="121">
        <v>0.3347222222222222</v>
      </c>
      <c r="E740" s="121">
        <v>0.69930555555555551</v>
      </c>
    </row>
    <row r="741" spans="1:5" x14ac:dyDescent="0.25">
      <c r="A741" s="120">
        <v>42744</v>
      </c>
      <c r="B741" s="122">
        <v>-0.4</v>
      </c>
      <c r="C741" s="121">
        <v>0.67222222222222228</v>
      </c>
      <c r="D741" s="121">
        <v>0.3347222222222222</v>
      </c>
      <c r="E741" s="121">
        <v>0.69930555555555551</v>
      </c>
    </row>
    <row r="742" spans="1:5" x14ac:dyDescent="0.25">
      <c r="A742" s="120">
        <v>42745</v>
      </c>
      <c r="B742" s="122">
        <v>3</v>
      </c>
      <c r="C742" s="121">
        <v>0.16250000000000001</v>
      </c>
      <c r="D742" s="121">
        <v>0.3347222222222222</v>
      </c>
      <c r="E742" s="121">
        <v>0.7</v>
      </c>
    </row>
    <row r="743" spans="1:5" x14ac:dyDescent="0.25">
      <c r="A743" s="120">
        <v>42745</v>
      </c>
      <c r="B743" s="122">
        <v>-1</v>
      </c>
      <c r="C743" s="121">
        <v>0.70833333333333337</v>
      </c>
      <c r="D743" s="121">
        <v>0.3347222222222222</v>
      </c>
      <c r="E743" s="121">
        <v>0.7</v>
      </c>
    </row>
    <row r="744" spans="1:5" x14ac:dyDescent="0.25">
      <c r="A744" s="120">
        <v>42746</v>
      </c>
      <c r="B744" s="122">
        <v>2.8</v>
      </c>
      <c r="C744" s="121">
        <v>0.20208333333333334</v>
      </c>
      <c r="D744" s="121">
        <v>0.3347222222222222</v>
      </c>
      <c r="E744" s="121">
        <v>0.7006944444444444</v>
      </c>
    </row>
    <row r="745" spans="1:5" x14ac:dyDescent="0.25">
      <c r="A745" s="120">
        <v>42746</v>
      </c>
      <c r="B745" s="122">
        <v>-1.4</v>
      </c>
      <c r="C745" s="121">
        <v>0.7416666666666667</v>
      </c>
      <c r="D745" s="121">
        <v>0.3347222222222222</v>
      </c>
      <c r="E745" s="121">
        <v>0.7006944444444444</v>
      </c>
    </row>
    <row r="746" spans="1:5" x14ac:dyDescent="0.25">
      <c r="A746" s="120">
        <v>42747</v>
      </c>
      <c r="B746" s="122">
        <v>2.7</v>
      </c>
      <c r="C746" s="121">
        <v>0.2388888888888889</v>
      </c>
      <c r="D746" s="121">
        <v>0.33402777777777776</v>
      </c>
      <c r="E746" s="121">
        <v>0.70208333333333328</v>
      </c>
    </row>
    <row r="747" spans="1:5" x14ac:dyDescent="0.25">
      <c r="A747" s="120">
        <v>42747</v>
      </c>
      <c r="B747" s="122">
        <v>-1.5</v>
      </c>
      <c r="C747" s="121">
        <v>0.7729166666666667</v>
      </c>
      <c r="D747" s="121">
        <v>0.33402777777777776</v>
      </c>
      <c r="E747" s="121">
        <v>0.70208333333333328</v>
      </c>
    </row>
    <row r="748" spans="1:5" x14ac:dyDescent="0.25">
      <c r="A748" s="120">
        <v>42748</v>
      </c>
      <c r="B748" s="122">
        <v>2.5</v>
      </c>
      <c r="C748" s="121">
        <v>0.27361111111111114</v>
      </c>
      <c r="D748" s="121">
        <v>0.33333333333333331</v>
      </c>
      <c r="E748" s="121">
        <v>0.70277777777777772</v>
      </c>
    </row>
    <row r="749" spans="1:5" x14ac:dyDescent="0.25">
      <c r="A749" s="120">
        <v>42748</v>
      </c>
      <c r="B749" s="122">
        <v>-1.4</v>
      </c>
      <c r="C749" s="121">
        <v>0.80347222222222225</v>
      </c>
      <c r="D749" s="121">
        <v>0.33333333333333331</v>
      </c>
      <c r="E749" s="121">
        <v>0.70277777777777772</v>
      </c>
    </row>
    <row r="750" spans="1:5" x14ac:dyDescent="0.25">
      <c r="A750" s="120">
        <v>42749</v>
      </c>
      <c r="B750" s="122">
        <v>2.4</v>
      </c>
      <c r="C750" s="121">
        <v>0.30763888888888891</v>
      </c>
      <c r="D750" s="121">
        <v>0.33333333333333331</v>
      </c>
      <c r="E750" s="121">
        <v>0.70347222222222228</v>
      </c>
    </row>
    <row r="751" spans="1:5" x14ac:dyDescent="0.25">
      <c r="A751" s="120">
        <v>42749</v>
      </c>
      <c r="B751" s="122">
        <v>-1</v>
      </c>
      <c r="C751" s="121">
        <v>0.83263888888888893</v>
      </c>
      <c r="D751" s="121">
        <v>0.33333333333333331</v>
      </c>
      <c r="E751" s="121">
        <v>0.70347222222222228</v>
      </c>
    </row>
    <row r="752" spans="1:5" x14ac:dyDescent="0.25">
      <c r="A752" s="120">
        <v>42750</v>
      </c>
      <c r="B752" s="122">
        <v>2.4</v>
      </c>
      <c r="C752" s="121">
        <v>0.34166666666666667</v>
      </c>
      <c r="D752" s="121">
        <v>0.33263888888888887</v>
      </c>
      <c r="E752" s="121">
        <v>0.70486111111111116</v>
      </c>
    </row>
    <row r="753" spans="1:5" x14ac:dyDescent="0.25">
      <c r="A753" s="120">
        <v>42750</v>
      </c>
      <c r="B753" s="122">
        <v>-0.4</v>
      </c>
      <c r="C753" s="121">
        <v>0.86111111111111116</v>
      </c>
      <c r="D753" s="121">
        <v>0.33263888888888887</v>
      </c>
      <c r="E753" s="121">
        <v>0.70486111111111116</v>
      </c>
    </row>
    <row r="754" spans="1:5" x14ac:dyDescent="0.25">
      <c r="A754" s="120">
        <v>42751</v>
      </c>
      <c r="B754" s="122">
        <v>2.5</v>
      </c>
      <c r="C754" s="121">
        <v>0.37569444444444444</v>
      </c>
      <c r="D754" s="121">
        <v>0.33263888888888887</v>
      </c>
      <c r="E754" s="121">
        <v>0.7055555555555556</v>
      </c>
    </row>
    <row r="755" spans="1:5" x14ac:dyDescent="0.25">
      <c r="A755" s="120">
        <v>42751</v>
      </c>
      <c r="B755" s="122">
        <v>0.2</v>
      </c>
      <c r="C755" s="121">
        <v>0.88958333333333328</v>
      </c>
      <c r="D755" s="121">
        <v>0.33263888888888887</v>
      </c>
      <c r="E755" s="121">
        <v>0.7055555555555556</v>
      </c>
    </row>
    <row r="756" spans="1:5" x14ac:dyDescent="0.25">
      <c r="A756" s="120">
        <v>42752</v>
      </c>
      <c r="B756" s="122">
        <v>2.6</v>
      </c>
      <c r="C756" s="121">
        <v>0.41180555555555554</v>
      </c>
      <c r="D756" s="121">
        <v>0.33194444444444443</v>
      </c>
      <c r="E756" s="121">
        <v>0.70625000000000004</v>
      </c>
    </row>
    <row r="757" spans="1:5" x14ac:dyDescent="0.25">
      <c r="A757" s="120">
        <v>42752</v>
      </c>
      <c r="B757" s="122">
        <v>1</v>
      </c>
      <c r="C757" s="121">
        <v>0.91805555555555551</v>
      </c>
      <c r="D757" s="121">
        <v>0.33194444444444443</v>
      </c>
      <c r="E757" s="121">
        <v>0.70625000000000004</v>
      </c>
    </row>
    <row r="758" spans="1:5" x14ac:dyDescent="0.25">
      <c r="A758" s="120">
        <v>42753</v>
      </c>
      <c r="B758" s="122">
        <v>2.6</v>
      </c>
      <c r="C758" s="121">
        <v>0.45069444444444445</v>
      </c>
      <c r="D758" s="121">
        <v>0.33124999999999999</v>
      </c>
      <c r="E758" s="121">
        <v>0.70763888888888893</v>
      </c>
    </row>
    <row r="759" spans="1:5" x14ac:dyDescent="0.25">
      <c r="A759" s="120">
        <v>42753</v>
      </c>
      <c r="B759" s="122">
        <v>1.8</v>
      </c>
      <c r="C759" s="121">
        <v>0.94722222222222219</v>
      </c>
      <c r="D759" s="121">
        <v>0.33124999999999999</v>
      </c>
      <c r="E759" s="121">
        <v>0.70763888888888893</v>
      </c>
    </row>
    <row r="760" spans="1:5" x14ac:dyDescent="0.25">
      <c r="A760" s="120">
        <v>42754</v>
      </c>
      <c r="B760" s="122">
        <v>2.6</v>
      </c>
      <c r="C760" s="121">
        <v>0.49305555555555558</v>
      </c>
      <c r="D760" s="121">
        <v>0.33055555555555555</v>
      </c>
      <c r="E760" s="121">
        <v>0.70833333333333337</v>
      </c>
    </row>
    <row r="761" spans="1:5" x14ac:dyDescent="0.25">
      <c r="A761" s="120">
        <v>42754</v>
      </c>
      <c r="B761" s="122">
        <v>2.5</v>
      </c>
      <c r="C761" s="121">
        <v>0.98055555555555551</v>
      </c>
      <c r="D761" s="121">
        <v>0.33055555555555555</v>
      </c>
      <c r="E761" s="121">
        <v>0.70833333333333337</v>
      </c>
    </row>
    <row r="762" spans="1:5" x14ac:dyDescent="0.25">
      <c r="A762" s="120">
        <v>42755</v>
      </c>
      <c r="B762" s="122">
        <v>2.4</v>
      </c>
      <c r="C762" s="121">
        <v>0.53888888888888886</v>
      </c>
      <c r="D762" s="121">
        <v>0.3298611111111111</v>
      </c>
      <c r="E762" s="121">
        <v>0.70972222222222225</v>
      </c>
    </row>
    <row r="763" spans="1:5" x14ac:dyDescent="0.25">
      <c r="A763" s="120">
        <v>42756</v>
      </c>
      <c r="B763" s="122">
        <v>3.1</v>
      </c>
      <c r="C763" s="121">
        <v>1.8055555555555554E-2</v>
      </c>
      <c r="D763" s="121">
        <v>0.32916666666666666</v>
      </c>
      <c r="E763" s="121">
        <v>0.7104166666666667</v>
      </c>
    </row>
    <row r="764" spans="1:5" x14ac:dyDescent="0.25">
      <c r="A764" s="120">
        <v>42756</v>
      </c>
      <c r="B764" s="122">
        <v>2</v>
      </c>
      <c r="C764" s="121">
        <v>0.58472222222222225</v>
      </c>
      <c r="D764" s="121">
        <v>0.32916666666666666</v>
      </c>
      <c r="E764" s="121">
        <v>0.7104166666666667</v>
      </c>
    </row>
    <row r="765" spans="1:5" x14ac:dyDescent="0.25">
      <c r="A765" s="120">
        <v>42757</v>
      </c>
      <c r="B765" s="122">
        <v>3.6</v>
      </c>
      <c r="C765" s="121">
        <v>6.0416666666666667E-2</v>
      </c>
      <c r="D765" s="121">
        <v>0.32916666666666666</v>
      </c>
      <c r="E765" s="121">
        <v>0.71180555555555558</v>
      </c>
    </row>
    <row r="766" spans="1:5" x14ac:dyDescent="0.25">
      <c r="A766" s="120">
        <v>42757</v>
      </c>
      <c r="B766" s="122">
        <v>1.6</v>
      </c>
      <c r="C766" s="121">
        <v>0.625</v>
      </c>
      <c r="D766" s="121">
        <v>0.32916666666666666</v>
      </c>
      <c r="E766" s="121">
        <v>0.71180555555555558</v>
      </c>
    </row>
    <row r="767" spans="1:5" x14ac:dyDescent="0.25">
      <c r="A767" s="120">
        <v>42758</v>
      </c>
      <c r="B767" s="122">
        <v>3.8</v>
      </c>
      <c r="C767" s="121">
        <v>0.10347222222222222</v>
      </c>
      <c r="D767" s="121">
        <v>0.32847222222222222</v>
      </c>
      <c r="E767" s="121">
        <v>0.71250000000000002</v>
      </c>
    </row>
    <row r="768" spans="1:5" x14ac:dyDescent="0.25">
      <c r="A768" s="120">
        <v>42758</v>
      </c>
      <c r="B768" s="122">
        <v>1.1000000000000001</v>
      </c>
      <c r="C768" s="121">
        <v>0.65972222222222221</v>
      </c>
      <c r="D768" s="121">
        <v>0.32847222222222222</v>
      </c>
      <c r="E768" s="121">
        <v>0.71250000000000002</v>
      </c>
    </row>
    <row r="769" spans="1:5" x14ac:dyDescent="0.25">
      <c r="A769" s="120">
        <v>42759</v>
      </c>
      <c r="B769" s="122">
        <v>3.8</v>
      </c>
      <c r="C769" s="121">
        <v>0.14305555555555555</v>
      </c>
      <c r="D769" s="121">
        <v>0.32777777777777778</v>
      </c>
      <c r="E769" s="121">
        <v>0.71388888888888891</v>
      </c>
    </row>
    <row r="770" spans="1:5" x14ac:dyDescent="0.25">
      <c r="A770" s="120">
        <v>42759</v>
      </c>
      <c r="B770" s="122">
        <v>0.6</v>
      </c>
      <c r="C770" s="121">
        <v>0.69027777777777777</v>
      </c>
      <c r="D770" s="121">
        <v>0.32777777777777778</v>
      </c>
      <c r="E770" s="121">
        <v>0.71388888888888891</v>
      </c>
    </row>
    <row r="771" spans="1:5" x14ac:dyDescent="0.25">
      <c r="A771" s="120">
        <v>42760</v>
      </c>
      <c r="B771" s="122">
        <v>3.6</v>
      </c>
      <c r="C771" s="121">
        <v>0.17847222222222223</v>
      </c>
      <c r="D771" s="121">
        <v>0.32708333333333334</v>
      </c>
      <c r="E771" s="121">
        <v>0.71458333333333335</v>
      </c>
    </row>
    <row r="772" spans="1:5" x14ac:dyDescent="0.25">
      <c r="A772" s="120">
        <v>42760</v>
      </c>
      <c r="B772" s="122">
        <v>0.1</v>
      </c>
      <c r="C772" s="121">
        <v>0.71736111111111112</v>
      </c>
      <c r="D772" s="121">
        <v>0.32708333333333334</v>
      </c>
      <c r="E772" s="121">
        <v>0.71458333333333335</v>
      </c>
    </row>
    <row r="773" spans="1:5" x14ac:dyDescent="0.25">
      <c r="A773" s="120">
        <v>42761</v>
      </c>
      <c r="B773" s="122">
        <v>3.4</v>
      </c>
      <c r="C773" s="121">
        <v>0.20972222222222223</v>
      </c>
      <c r="D773" s="121">
        <v>0.32569444444444445</v>
      </c>
      <c r="E773" s="121">
        <v>0.71597222222222223</v>
      </c>
    </row>
    <row r="774" spans="1:5" x14ac:dyDescent="0.25">
      <c r="A774" s="120">
        <v>42761</v>
      </c>
      <c r="B774" s="122">
        <v>-0.2</v>
      </c>
      <c r="C774" s="121">
        <v>0.74305555555555558</v>
      </c>
      <c r="D774" s="121">
        <v>0.32569444444444445</v>
      </c>
      <c r="E774" s="121">
        <v>0.71597222222222223</v>
      </c>
    </row>
    <row r="775" spans="1:5" x14ac:dyDescent="0.25">
      <c r="A775" s="120">
        <v>42762</v>
      </c>
      <c r="B775" s="122">
        <v>3.1</v>
      </c>
      <c r="C775" s="121">
        <v>0.2388888888888889</v>
      </c>
      <c r="D775" s="121">
        <v>0.32500000000000001</v>
      </c>
      <c r="E775" s="121">
        <v>0.71666666666666667</v>
      </c>
    </row>
    <row r="776" spans="1:5" x14ac:dyDescent="0.25">
      <c r="A776" s="120">
        <v>42762</v>
      </c>
      <c r="B776" s="122">
        <v>-0.5</v>
      </c>
      <c r="C776" s="121">
        <v>0.7680555555555556</v>
      </c>
      <c r="D776" s="121">
        <v>0.32500000000000001</v>
      </c>
      <c r="E776" s="121">
        <v>0.71666666666666667</v>
      </c>
    </row>
    <row r="777" spans="1:5" x14ac:dyDescent="0.25">
      <c r="A777" s="120">
        <v>42763</v>
      </c>
      <c r="B777" s="122">
        <v>2.9</v>
      </c>
      <c r="C777" s="121">
        <v>0.26666666666666666</v>
      </c>
      <c r="D777" s="121">
        <v>0.32430555555555557</v>
      </c>
      <c r="E777" s="121">
        <v>0.71805555555555556</v>
      </c>
    </row>
    <row r="778" spans="1:5" x14ac:dyDescent="0.25">
      <c r="A778" s="120">
        <v>42763</v>
      </c>
      <c r="B778" s="122">
        <v>-0.6</v>
      </c>
      <c r="C778" s="121">
        <v>0.79236111111111107</v>
      </c>
      <c r="D778" s="121">
        <v>0.32430555555555557</v>
      </c>
      <c r="E778" s="121">
        <v>0.71805555555555556</v>
      </c>
    </row>
    <row r="779" spans="1:5" x14ac:dyDescent="0.25">
      <c r="A779" s="120">
        <v>42764</v>
      </c>
      <c r="B779" s="122">
        <v>2.6</v>
      </c>
      <c r="C779" s="121">
        <v>0.2951388888888889</v>
      </c>
      <c r="D779" s="121">
        <v>0.32361111111111113</v>
      </c>
      <c r="E779" s="121">
        <v>0.71875</v>
      </c>
    </row>
    <row r="780" spans="1:5" x14ac:dyDescent="0.25">
      <c r="A780" s="120">
        <v>42764</v>
      </c>
      <c r="B780" s="122">
        <v>-0.5</v>
      </c>
      <c r="C780" s="121">
        <v>0.81736111111111109</v>
      </c>
      <c r="D780" s="121">
        <v>0.32361111111111113</v>
      </c>
      <c r="E780" s="121">
        <v>0.71875</v>
      </c>
    </row>
    <row r="781" spans="1:5" x14ac:dyDescent="0.25">
      <c r="A781" s="120">
        <v>42765</v>
      </c>
      <c r="B781" s="122">
        <v>2.4</v>
      </c>
      <c r="C781" s="121">
        <v>0.32430555555555557</v>
      </c>
      <c r="D781" s="121">
        <v>0.32291666666666669</v>
      </c>
      <c r="E781" s="121">
        <v>0.72013888888888888</v>
      </c>
    </row>
    <row r="782" spans="1:5" x14ac:dyDescent="0.25">
      <c r="A782" s="120">
        <v>42765</v>
      </c>
      <c r="B782" s="122">
        <v>-0.3</v>
      </c>
      <c r="C782" s="121">
        <v>0.84236111111111112</v>
      </c>
      <c r="D782" s="121">
        <v>0.32291666666666669</v>
      </c>
      <c r="E782" s="121">
        <v>0.72013888888888888</v>
      </c>
    </row>
    <row r="783" spans="1:5" x14ac:dyDescent="0.25">
      <c r="A783" s="120">
        <v>42766</v>
      </c>
      <c r="B783" s="122">
        <v>2.2000000000000002</v>
      </c>
      <c r="C783" s="121">
        <v>0.35555555555555557</v>
      </c>
      <c r="D783" s="121">
        <v>0.32222222222222224</v>
      </c>
      <c r="E783" s="121">
        <v>0.72083333333333333</v>
      </c>
    </row>
    <row r="784" spans="1:5" x14ac:dyDescent="0.25">
      <c r="A784" s="120">
        <v>42766</v>
      </c>
      <c r="B784" s="122">
        <v>0.2</v>
      </c>
      <c r="C784" s="121">
        <v>0.86805555555555558</v>
      </c>
      <c r="D784" s="121">
        <v>0.32222222222222224</v>
      </c>
      <c r="E784" s="121">
        <v>0.72083333333333333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R54"/>
  <sheetViews>
    <sheetView topLeftCell="A31" workbookViewId="0">
      <selection activeCell="O13" sqref="O13"/>
    </sheetView>
  </sheetViews>
  <sheetFormatPr defaultRowHeight="15" x14ac:dyDescent="0.25"/>
  <cols>
    <col min="1" max="1" width="18.7109375" customWidth="1"/>
  </cols>
  <sheetData>
    <row r="1" spans="1:18" ht="15.75" thickBot="1" x14ac:dyDescent="0.3">
      <c r="A1" s="125" t="s">
        <v>54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</row>
    <row r="2" spans="1:18" ht="15.75" thickTop="1" x14ac:dyDescent="0.25">
      <c r="A2" s="23"/>
      <c r="B2" s="23"/>
      <c r="C2" s="23"/>
      <c r="D2" s="23"/>
      <c r="E2" s="232" t="s">
        <v>22</v>
      </c>
      <c r="F2" s="233"/>
      <c r="G2" s="233"/>
      <c r="H2" s="234"/>
      <c r="I2" s="232" t="s">
        <v>23</v>
      </c>
      <c r="J2" s="233"/>
      <c r="K2" s="233"/>
      <c r="L2" s="234"/>
      <c r="M2" s="235" t="s">
        <v>24</v>
      </c>
      <c r="N2" s="236"/>
      <c r="O2" s="236"/>
      <c r="P2" s="237"/>
      <c r="Q2" s="230" t="s">
        <v>25</v>
      </c>
      <c r="R2" s="231"/>
    </row>
    <row r="3" spans="1:18" ht="15.75" thickBot="1" x14ac:dyDescent="0.3">
      <c r="A3" s="24" t="s">
        <v>26</v>
      </c>
      <c r="B3" s="24" t="s">
        <v>27</v>
      </c>
      <c r="C3" s="24" t="s">
        <v>28</v>
      </c>
      <c r="D3" s="24" t="s">
        <v>29</v>
      </c>
      <c r="E3" s="25" t="s">
        <v>30</v>
      </c>
      <c r="F3" s="24" t="s">
        <v>31</v>
      </c>
      <c r="G3" s="24" t="s">
        <v>10</v>
      </c>
      <c r="H3" s="24" t="s">
        <v>35</v>
      </c>
      <c r="I3" s="25" t="s">
        <v>30</v>
      </c>
      <c r="J3" s="24" t="s">
        <v>31</v>
      </c>
      <c r="K3" s="24" t="s">
        <v>10</v>
      </c>
      <c r="L3" s="24" t="s">
        <v>35</v>
      </c>
      <c r="M3" s="25" t="s">
        <v>30</v>
      </c>
      <c r="N3" s="24" t="s">
        <v>31</v>
      </c>
      <c r="O3" s="24" t="s">
        <v>10</v>
      </c>
      <c r="P3" s="24" t="s">
        <v>35</v>
      </c>
      <c r="Q3" s="25" t="s">
        <v>30</v>
      </c>
      <c r="R3" s="26" t="s">
        <v>31</v>
      </c>
    </row>
    <row r="4" spans="1:18" ht="15.75" thickTop="1" x14ac:dyDescent="0.25">
      <c r="A4" s="4">
        <v>42362</v>
      </c>
      <c r="B4" s="5">
        <v>42362</v>
      </c>
      <c r="C4" s="13">
        <v>-1.2</v>
      </c>
      <c r="D4" s="12">
        <v>0.74097222222222225</v>
      </c>
      <c r="E4" s="30">
        <v>2988.2720686627513</v>
      </c>
      <c r="F4" s="31">
        <v>42035.027099189363</v>
      </c>
      <c r="G4" s="28">
        <v>14.066666666666665</v>
      </c>
      <c r="H4" s="28"/>
      <c r="I4" s="30" t="s">
        <v>11</v>
      </c>
      <c r="J4" s="31" t="s">
        <v>11</v>
      </c>
      <c r="K4" s="28" t="s">
        <v>11</v>
      </c>
      <c r="L4" s="28"/>
      <c r="M4" s="30" t="s">
        <v>11</v>
      </c>
      <c r="N4" s="31" t="s">
        <v>11</v>
      </c>
      <c r="O4" s="28" t="s">
        <v>11</v>
      </c>
      <c r="P4" s="28"/>
      <c r="Q4" s="30">
        <f t="shared" ref="Q4:R6" si="0">+E4</f>
        <v>2988.2720686627513</v>
      </c>
      <c r="R4" s="31">
        <f t="shared" si="0"/>
        <v>42035.027099189363</v>
      </c>
    </row>
    <row r="5" spans="1:18" x14ac:dyDescent="0.25">
      <c r="A5" s="4">
        <v>42363</v>
      </c>
      <c r="B5" s="5">
        <v>42363</v>
      </c>
      <c r="C5" s="13">
        <v>-1.3</v>
      </c>
      <c r="D5" s="12">
        <v>0.77083333333333337</v>
      </c>
      <c r="E5" s="30">
        <v>3038.5040546978062</v>
      </c>
      <c r="F5" s="31">
        <v>45110.098658205898</v>
      </c>
      <c r="G5" s="28">
        <v>14.846153846153848</v>
      </c>
      <c r="H5" s="28"/>
      <c r="I5" s="30" t="s">
        <v>11</v>
      </c>
      <c r="J5" s="31" t="s">
        <v>11</v>
      </c>
      <c r="K5" s="28" t="s">
        <v>11</v>
      </c>
      <c r="L5" s="28"/>
      <c r="M5" s="30" t="s">
        <v>11</v>
      </c>
      <c r="N5" s="31" t="s">
        <v>11</v>
      </c>
      <c r="O5" s="28" t="s">
        <v>11</v>
      </c>
      <c r="P5" s="28"/>
      <c r="Q5" s="30">
        <f t="shared" si="0"/>
        <v>3038.5040546978062</v>
      </c>
      <c r="R5" s="31">
        <f t="shared" si="0"/>
        <v>45110.098658205898</v>
      </c>
    </row>
    <row r="6" spans="1:18" x14ac:dyDescent="0.25">
      <c r="A6" s="4">
        <v>42364</v>
      </c>
      <c r="B6" s="5">
        <v>42364</v>
      </c>
      <c r="C6" s="13">
        <v>-1.1000000000000001</v>
      </c>
      <c r="D6" s="12">
        <v>0.79999999999999993</v>
      </c>
      <c r="E6" s="30">
        <v>5373.4830347400912</v>
      </c>
      <c r="F6" s="31">
        <v>78186.260900830617</v>
      </c>
      <c r="G6" s="28">
        <v>14.550387596899222</v>
      </c>
      <c r="H6" s="28"/>
      <c r="I6" s="30" t="s">
        <v>11</v>
      </c>
      <c r="J6" s="31" t="s">
        <v>11</v>
      </c>
      <c r="K6" s="28" t="s">
        <v>11</v>
      </c>
      <c r="L6" s="28"/>
      <c r="M6" s="30" t="s">
        <v>11</v>
      </c>
      <c r="N6" s="31" t="s">
        <v>11</v>
      </c>
      <c r="O6" s="28" t="s">
        <v>11</v>
      </c>
      <c r="P6" s="28"/>
      <c r="Q6" s="30">
        <f t="shared" si="0"/>
        <v>5373.4830347400912</v>
      </c>
      <c r="R6" s="38">
        <f t="shared" si="0"/>
        <v>78186.260900830617</v>
      </c>
    </row>
    <row r="7" spans="1:18" x14ac:dyDescent="0.25">
      <c r="A7" s="228" t="s">
        <v>32</v>
      </c>
      <c r="B7" s="228"/>
      <c r="C7" s="228"/>
      <c r="D7" s="229"/>
      <c r="E7" s="34">
        <f>SUM(E4:E6)</f>
        <v>11400.259158100649</v>
      </c>
      <c r="F7" s="35">
        <f>SUM(F4:F6)</f>
        <v>165331.38665822588</v>
      </c>
      <c r="G7" s="33">
        <f>+F7/E7</f>
        <v>14.502423529621854</v>
      </c>
      <c r="H7" s="33">
        <v>111.5</v>
      </c>
      <c r="I7" s="34"/>
      <c r="J7" s="35"/>
      <c r="K7" s="33"/>
      <c r="L7" s="33"/>
      <c r="M7" s="34"/>
      <c r="N7" s="35"/>
      <c r="O7" s="35"/>
      <c r="P7" s="33"/>
      <c r="Q7" s="34">
        <f>SUM(Q4:Q6)</f>
        <v>11400.259158100649</v>
      </c>
      <c r="R7" s="35">
        <f>SUM(R4:R6)</f>
        <v>165331.38665822588</v>
      </c>
    </row>
    <row r="8" spans="1:18" x14ac:dyDescent="0.25">
      <c r="A8" s="4">
        <v>42377</v>
      </c>
      <c r="B8" s="18">
        <v>42377</v>
      </c>
      <c r="C8" s="28">
        <v>-0.4</v>
      </c>
      <c r="D8" s="29">
        <v>0.73402777777777772</v>
      </c>
      <c r="E8" s="30">
        <v>4608.3004836370055</v>
      </c>
      <c r="F8" s="38">
        <v>68780.604233388134</v>
      </c>
      <c r="G8" s="97">
        <v>14.925373134328357</v>
      </c>
      <c r="H8" s="36"/>
      <c r="I8" s="30" t="s">
        <v>11</v>
      </c>
      <c r="J8" s="38" t="s">
        <v>11</v>
      </c>
      <c r="K8" s="97" t="s">
        <v>11</v>
      </c>
      <c r="L8" s="36"/>
      <c r="M8" s="30" t="s">
        <v>11</v>
      </c>
      <c r="N8" s="31" t="s">
        <v>11</v>
      </c>
      <c r="O8" s="28" t="s">
        <v>11</v>
      </c>
      <c r="P8" s="36"/>
      <c r="Q8" s="30">
        <f>+E8</f>
        <v>4608.3004836370055</v>
      </c>
      <c r="R8" s="38">
        <f>+F8</f>
        <v>68780.604233388134</v>
      </c>
    </row>
    <row r="9" spans="1:18" x14ac:dyDescent="0.25">
      <c r="A9" s="4">
        <v>42378</v>
      </c>
      <c r="B9" s="18">
        <v>42378</v>
      </c>
      <c r="C9" s="28">
        <v>-0.8</v>
      </c>
      <c r="D9" s="29">
        <v>0.76111111111111107</v>
      </c>
      <c r="E9" s="30">
        <v>8906.2351828290011</v>
      </c>
      <c r="F9" s="38">
        <v>114652.09798740431</v>
      </c>
      <c r="G9" s="97">
        <v>12.873239436619716</v>
      </c>
      <c r="H9" s="36"/>
      <c r="I9" s="30" t="s">
        <v>11</v>
      </c>
      <c r="J9" s="38" t="s">
        <v>11</v>
      </c>
      <c r="K9" s="97" t="s">
        <v>11</v>
      </c>
      <c r="L9" s="36"/>
      <c r="M9" s="30" t="s">
        <v>11</v>
      </c>
      <c r="N9" s="31" t="s">
        <v>11</v>
      </c>
      <c r="O9" s="28" t="s">
        <v>11</v>
      </c>
      <c r="P9" s="36"/>
      <c r="Q9" s="30">
        <f>+E9</f>
        <v>8906.2351828290011</v>
      </c>
      <c r="R9" s="38">
        <f>+F9</f>
        <v>114652.09798740431</v>
      </c>
    </row>
    <row r="10" spans="1:18" x14ac:dyDescent="0.25">
      <c r="A10" s="228" t="s">
        <v>32</v>
      </c>
      <c r="B10" s="228"/>
      <c r="C10" s="228"/>
      <c r="D10" s="229"/>
      <c r="E10" s="34">
        <f>SUM(E8:E9)</f>
        <v>13514.535666466007</v>
      </c>
      <c r="F10" s="35">
        <f>SUM(F8:F9)</f>
        <v>183432.70222079245</v>
      </c>
      <c r="G10" s="33">
        <f>+F10/E10</f>
        <v>13.572993312374699</v>
      </c>
      <c r="H10" s="33">
        <v>114.29</v>
      </c>
      <c r="I10" s="34"/>
      <c r="J10" s="35"/>
      <c r="K10" s="98"/>
      <c r="L10" s="33"/>
      <c r="M10" s="34"/>
      <c r="N10" s="35"/>
      <c r="O10" s="35"/>
      <c r="P10" s="33"/>
      <c r="Q10" s="34">
        <f>SUM(Q8:Q9)</f>
        <v>13514.535666466007</v>
      </c>
      <c r="R10" s="35">
        <f>SUM(R8:R9)</f>
        <v>183432.70222079245</v>
      </c>
    </row>
    <row r="11" spans="1:18" x14ac:dyDescent="0.25">
      <c r="A11" s="4">
        <v>42391</v>
      </c>
      <c r="B11" s="18">
        <v>42391</v>
      </c>
      <c r="C11" s="28">
        <v>-0.7</v>
      </c>
      <c r="D11" s="29">
        <v>0.73263888888888884</v>
      </c>
      <c r="E11" s="30">
        <v>4454.5089657605977</v>
      </c>
      <c r="F11" s="38">
        <v>49770.571328979</v>
      </c>
      <c r="G11" s="97">
        <v>11.173076923076927</v>
      </c>
      <c r="H11" s="71"/>
      <c r="I11" s="30" t="s">
        <v>11</v>
      </c>
      <c r="J11" s="38" t="s">
        <v>11</v>
      </c>
      <c r="K11" s="97" t="s">
        <v>11</v>
      </c>
      <c r="L11" s="71"/>
      <c r="M11" s="30" t="s">
        <v>11</v>
      </c>
      <c r="N11" s="31" t="s">
        <v>11</v>
      </c>
      <c r="O11" s="28" t="s">
        <v>11</v>
      </c>
      <c r="P11" s="71"/>
      <c r="Q11" s="30">
        <f>+E11</f>
        <v>4454.5089657605977</v>
      </c>
      <c r="R11" s="38">
        <f>+F11</f>
        <v>49770.571328979</v>
      </c>
    </row>
    <row r="12" spans="1:18" x14ac:dyDescent="0.25">
      <c r="A12" s="228" t="s">
        <v>32</v>
      </c>
      <c r="B12" s="228"/>
      <c r="C12" s="228"/>
      <c r="D12" s="229"/>
      <c r="E12" s="34">
        <f>SUM(E11)</f>
        <v>4454.5089657605977</v>
      </c>
      <c r="F12" s="35">
        <f>SUM(F11)</f>
        <v>49770.571328979</v>
      </c>
      <c r="G12" s="33">
        <f>+F12/E12</f>
        <v>11.173076923076927</v>
      </c>
      <c r="H12" s="33"/>
      <c r="I12" s="34"/>
      <c r="J12" s="35"/>
      <c r="K12" s="98"/>
      <c r="L12" s="33"/>
      <c r="M12" s="34"/>
      <c r="N12" s="35"/>
      <c r="O12" s="35"/>
      <c r="P12" s="33"/>
      <c r="Q12" s="34">
        <f>SUM(Q11)</f>
        <v>4454.5089657605977</v>
      </c>
      <c r="R12" s="35">
        <f>SUM(R11)</f>
        <v>49770.571328979</v>
      </c>
    </row>
    <row r="13" spans="1:18" x14ac:dyDescent="0.25">
      <c r="A13" s="4">
        <v>42419</v>
      </c>
      <c r="B13" s="18">
        <v>42419</v>
      </c>
      <c r="C13" s="28">
        <v>0</v>
      </c>
      <c r="D13" s="29">
        <v>0.68958333333333333</v>
      </c>
      <c r="E13" s="30">
        <v>3391.3042356026012</v>
      </c>
      <c r="F13" s="38">
        <v>42899.9985803729</v>
      </c>
      <c r="G13" s="97">
        <v>12.649999999999999</v>
      </c>
      <c r="H13" s="36"/>
      <c r="I13" s="30">
        <v>1766.6574481220709</v>
      </c>
      <c r="J13" s="38">
        <v>14975.819291004018</v>
      </c>
      <c r="K13" s="97">
        <v>8.476923076923077</v>
      </c>
      <c r="L13" s="36"/>
      <c r="M13" s="30" t="s">
        <v>11</v>
      </c>
      <c r="N13" s="31" t="s">
        <v>11</v>
      </c>
      <c r="O13" s="28" t="s">
        <v>11</v>
      </c>
      <c r="P13" s="36"/>
      <c r="Q13" s="30">
        <f>+E13+I13</f>
        <v>5157.9616837246722</v>
      </c>
      <c r="R13" s="38">
        <f>+F13+J13</f>
        <v>57875.817871376916</v>
      </c>
    </row>
    <row r="14" spans="1:18" x14ac:dyDescent="0.25">
      <c r="A14" s="4">
        <v>42420</v>
      </c>
      <c r="B14" s="18">
        <v>42420</v>
      </c>
      <c r="C14" s="28">
        <v>-0.1</v>
      </c>
      <c r="D14" s="29">
        <v>0.72013888888888888</v>
      </c>
      <c r="E14" s="30">
        <v>9950.4268520255446</v>
      </c>
      <c r="F14" s="38">
        <v>128329.73187509234</v>
      </c>
      <c r="G14" s="97">
        <v>12.896907216494846</v>
      </c>
      <c r="H14" s="36"/>
      <c r="I14" s="30">
        <v>7972.8508382998407</v>
      </c>
      <c r="J14" s="38">
        <v>117314.80519212622</v>
      </c>
      <c r="K14" s="97">
        <v>14.714285714285714</v>
      </c>
      <c r="L14" s="36"/>
      <c r="M14" s="30" t="s">
        <v>11</v>
      </c>
      <c r="N14" s="31" t="s">
        <v>11</v>
      </c>
      <c r="O14" s="28" t="s">
        <v>11</v>
      </c>
      <c r="P14" s="36"/>
      <c r="Q14" s="30">
        <f>+E14+I14</f>
        <v>17923.277690325383</v>
      </c>
      <c r="R14" s="38">
        <f>+F14+J14</f>
        <v>245644.53706721857</v>
      </c>
    </row>
    <row r="15" spans="1:18" x14ac:dyDescent="0.25">
      <c r="A15" s="4">
        <v>42421</v>
      </c>
      <c r="B15" s="18">
        <v>42421</v>
      </c>
      <c r="C15" s="28">
        <v>-0.2</v>
      </c>
      <c r="D15" s="29">
        <v>0.74722222222222223</v>
      </c>
      <c r="E15" s="30" t="s">
        <v>11</v>
      </c>
      <c r="F15" s="38" t="s">
        <v>11</v>
      </c>
      <c r="G15" s="97" t="s">
        <v>11</v>
      </c>
      <c r="H15" s="36"/>
      <c r="I15" s="30">
        <v>2511.1991250446008</v>
      </c>
      <c r="J15" s="38">
        <v>37155.497258312971</v>
      </c>
      <c r="K15" s="97">
        <v>14.795918367346939</v>
      </c>
      <c r="L15" s="36"/>
      <c r="M15" s="30" t="s">
        <v>11</v>
      </c>
      <c r="N15" s="31" t="s">
        <v>11</v>
      </c>
      <c r="O15" s="28" t="s">
        <v>11</v>
      </c>
      <c r="P15" s="36"/>
      <c r="Q15" s="30">
        <f>+I15</f>
        <v>2511.1991250446008</v>
      </c>
      <c r="R15" s="38">
        <f>+J15</f>
        <v>37155.497258312971</v>
      </c>
    </row>
    <row r="16" spans="1:18" x14ac:dyDescent="0.25">
      <c r="A16" s="228" t="s">
        <v>32</v>
      </c>
      <c r="B16" s="228"/>
      <c r="C16" s="228"/>
      <c r="D16" s="229"/>
      <c r="E16" s="34">
        <f>SUM(E13:E15)</f>
        <v>13341.731087628146</v>
      </c>
      <c r="F16" s="35">
        <f>SUM(F13:F15)</f>
        <v>171229.73045546524</v>
      </c>
      <c r="G16" s="33">
        <f>+F16/E16</f>
        <v>12.834146433534958</v>
      </c>
      <c r="H16" s="33"/>
      <c r="I16" s="34">
        <f>SUM(I13:I15)</f>
        <v>12250.707411466512</v>
      </c>
      <c r="J16" s="35">
        <f>SUM(J13:J15)</f>
        <v>169446.1217414432</v>
      </c>
      <c r="K16" s="33">
        <f>+J16/I16</f>
        <v>13.831537726780065</v>
      </c>
      <c r="L16" s="33"/>
      <c r="M16" s="34"/>
      <c r="N16" s="35"/>
      <c r="O16" s="35"/>
      <c r="P16" s="33"/>
      <c r="Q16" s="34">
        <f>SUM(Q13:Q15)</f>
        <v>25592.438499094656</v>
      </c>
      <c r="R16" s="35">
        <f>SUM(R13:R15)</f>
        <v>340675.85219690844</v>
      </c>
    </row>
    <row r="17" spans="1:18" x14ac:dyDescent="0.25">
      <c r="A17" s="4">
        <v>42434</v>
      </c>
      <c r="B17" s="18">
        <v>42434</v>
      </c>
      <c r="C17" s="28">
        <v>0.3</v>
      </c>
      <c r="D17" s="29">
        <v>0.66180555555555554</v>
      </c>
      <c r="E17" s="30" t="s">
        <v>11</v>
      </c>
      <c r="F17" s="38" t="s">
        <v>11</v>
      </c>
      <c r="G17" s="97" t="s">
        <v>11</v>
      </c>
      <c r="H17" s="71"/>
      <c r="I17" s="30">
        <v>4831.4403416248888</v>
      </c>
      <c r="J17" s="38">
        <v>16190.464974594044</v>
      </c>
      <c r="K17" s="97">
        <v>3.3510638297872344</v>
      </c>
      <c r="L17" s="71"/>
      <c r="M17" s="30" t="s">
        <v>11</v>
      </c>
      <c r="N17" s="31" t="s">
        <v>11</v>
      </c>
      <c r="O17" s="28" t="s">
        <v>11</v>
      </c>
      <c r="P17" s="71"/>
      <c r="Q17" s="30">
        <f t="shared" ref="Q17:R20" si="1">+I17</f>
        <v>4831.4403416248888</v>
      </c>
      <c r="R17" s="38">
        <f t="shared" si="1"/>
        <v>16190.464974594044</v>
      </c>
    </row>
    <row r="18" spans="1:18" x14ac:dyDescent="0.25">
      <c r="A18" s="4">
        <v>42435</v>
      </c>
      <c r="B18" s="18">
        <v>42435</v>
      </c>
      <c r="C18" s="28">
        <v>-0.2</v>
      </c>
      <c r="D18" s="29">
        <v>0.69444444444444442</v>
      </c>
      <c r="E18" s="30" t="s">
        <v>11</v>
      </c>
      <c r="F18" s="38" t="s">
        <v>11</v>
      </c>
      <c r="G18" s="97" t="s">
        <v>11</v>
      </c>
      <c r="H18" s="71"/>
      <c r="I18" s="30">
        <v>3365.1189231814024</v>
      </c>
      <c r="J18" s="38">
        <v>46672.736369342063</v>
      </c>
      <c r="K18" s="97">
        <v>13.869565217391306</v>
      </c>
      <c r="L18" s="71"/>
      <c r="M18" s="30" t="s">
        <v>11</v>
      </c>
      <c r="N18" s="31" t="s">
        <v>11</v>
      </c>
      <c r="O18" s="28" t="s">
        <v>11</v>
      </c>
      <c r="P18" s="71"/>
      <c r="Q18" s="30">
        <f t="shared" si="1"/>
        <v>3365.1189231814024</v>
      </c>
      <c r="R18" s="38">
        <f t="shared" si="1"/>
        <v>46672.736369342063</v>
      </c>
    </row>
    <row r="19" spans="1:18" x14ac:dyDescent="0.25">
      <c r="A19" s="4">
        <v>42436</v>
      </c>
      <c r="B19" s="18">
        <v>42436</v>
      </c>
      <c r="C19" s="28">
        <v>-0.5</v>
      </c>
      <c r="D19" s="29">
        <v>0.72430555555555554</v>
      </c>
      <c r="E19" s="30" t="s">
        <v>11</v>
      </c>
      <c r="F19" s="38" t="s">
        <v>11</v>
      </c>
      <c r="G19" s="97" t="s">
        <v>11</v>
      </c>
      <c r="H19" s="71"/>
      <c r="I19" s="30">
        <v>1534.2714002042412</v>
      </c>
      <c r="J19" s="38">
        <v>23014.071003063618</v>
      </c>
      <c r="K19" s="97">
        <v>15</v>
      </c>
      <c r="L19" s="71"/>
      <c r="M19" s="30" t="s">
        <v>11</v>
      </c>
      <c r="N19" s="31" t="s">
        <v>11</v>
      </c>
      <c r="O19" s="28" t="s">
        <v>11</v>
      </c>
      <c r="P19" s="71"/>
      <c r="Q19" s="30">
        <f t="shared" si="1"/>
        <v>1534.2714002042412</v>
      </c>
      <c r="R19" s="38">
        <f t="shared" si="1"/>
        <v>23014.071003063618</v>
      </c>
    </row>
    <row r="20" spans="1:18" x14ac:dyDescent="0.25">
      <c r="A20" s="4">
        <v>42437</v>
      </c>
      <c r="B20" s="18">
        <v>42437</v>
      </c>
      <c r="C20" s="28">
        <v>-0.6</v>
      </c>
      <c r="D20" s="29">
        <v>0.75347222222222221</v>
      </c>
      <c r="E20" s="30" t="s">
        <v>11</v>
      </c>
      <c r="F20" s="38" t="s">
        <v>11</v>
      </c>
      <c r="G20" s="97" t="s">
        <v>11</v>
      </c>
      <c r="H20" s="71"/>
      <c r="I20" s="30">
        <v>1104.0364078517225</v>
      </c>
      <c r="J20" s="38">
        <v>15814.575571930076</v>
      </c>
      <c r="K20" s="97">
        <v>14.324324324324321</v>
      </c>
      <c r="L20" s="71"/>
      <c r="M20" s="30" t="s">
        <v>11</v>
      </c>
      <c r="N20" s="31" t="s">
        <v>11</v>
      </c>
      <c r="O20" s="28" t="s">
        <v>11</v>
      </c>
      <c r="P20" s="71"/>
      <c r="Q20" s="30">
        <f t="shared" si="1"/>
        <v>1104.0364078517225</v>
      </c>
      <c r="R20" s="38">
        <f t="shared" si="1"/>
        <v>15814.575571930076</v>
      </c>
    </row>
    <row r="21" spans="1:18" x14ac:dyDescent="0.25">
      <c r="A21" s="228" t="s">
        <v>32</v>
      </c>
      <c r="B21" s="228"/>
      <c r="C21" s="228"/>
      <c r="D21" s="229"/>
      <c r="E21" s="34"/>
      <c r="F21" s="35"/>
      <c r="G21" s="98"/>
      <c r="H21" s="33"/>
      <c r="I21" s="34">
        <f>SUM(I17:I20)</f>
        <v>10834.867072862256</v>
      </c>
      <c r="J21" s="35">
        <f>SUM(J17:J20)</f>
        <v>101691.84791892981</v>
      </c>
      <c r="K21" s="33">
        <f>+J21/I21</f>
        <v>9.3856110310420071</v>
      </c>
      <c r="L21" s="33"/>
      <c r="M21" s="34"/>
      <c r="N21" s="35"/>
      <c r="O21" s="35"/>
      <c r="P21" s="33"/>
      <c r="Q21" s="34">
        <f>SUM(Q17:Q20)</f>
        <v>10834.867072862256</v>
      </c>
      <c r="R21" s="35">
        <f>SUM(R17:R20)</f>
        <v>101691.84791892981</v>
      </c>
    </row>
    <row r="22" spans="1:18" x14ac:dyDescent="0.25">
      <c r="A22" s="4">
        <v>42447</v>
      </c>
      <c r="B22" s="18">
        <v>42447</v>
      </c>
      <c r="C22" s="13">
        <v>0.7</v>
      </c>
      <c r="D22" s="95">
        <v>0.67708333333333337</v>
      </c>
      <c r="E22" s="30">
        <v>3152.6802724301533</v>
      </c>
      <c r="F22" s="38">
        <v>45488.6725022065</v>
      </c>
      <c r="G22" s="97">
        <v>14.428571428571429</v>
      </c>
      <c r="H22" s="36"/>
      <c r="I22" s="30">
        <v>1390.722262646967</v>
      </c>
      <c r="J22" s="38">
        <v>20860.833939704506</v>
      </c>
      <c r="K22" s="97">
        <v>15</v>
      </c>
      <c r="L22" s="36"/>
      <c r="M22" s="30" t="s">
        <v>11</v>
      </c>
      <c r="N22" s="31" t="s">
        <v>11</v>
      </c>
      <c r="O22" s="28" t="s">
        <v>11</v>
      </c>
      <c r="P22" s="36"/>
      <c r="Q22" s="30">
        <f t="shared" ref="Q22:R24" si="2">+E22+I22</f>
        <v>4543.4025350771208</v>
      </c>
      <c r="R22" s="38">
        <f t="shared" si="2"/>
        <v>66349.506441911013</v>
      </c>
    </row>
    <row r="23" spans="1:18" x14ac:dyDescent="0.25">
      <c r="A23" s="4">
        <v>42448</v>
      </c>
      <c r="B23" s="18">
        <v>42448</v>
      </c>
      <c r="C23" s="13">
        <v>0.5</v>
      </c>
      <c r="D23" s="95">
        <v>0.71319444444444446</v>
      </c>
      <c r="E23" s="30">
        <v>3556.6748971193415</v>
      </c>
      <c r="F23" s="38">
        <v>45113.613168724274</v>
      </c>
      <c r="G23" s="97">
        <v>12.684210526315788</v>
      </c>
      <c r="H23" s="36"/>
      <c r="I23" s="30">
        <v>3124.4271496091915</v>
      </c>
      <c r="J23" s="38">
        <v>41740.3939518103</v>
      </c>
      <c r="K23" s="97">
        <v>13.359375000000002</v>
      </c>
      <c r="L23" s="36"/>
      <c r="M23" s="30" t="s">
        <v>11</v>
      </c>
      <c r="N23" s="31" t="s">
        <v>11</v>
      </c>
      <c r="O23" s="28" t="s">
        <v>11</v>
      </c>
      <c r="P23" s="36"/>
      <c r="Q23" s="30">
        <f t="shared" si="2"/>
        <v>6681.1020467285325</v>
      </c>
      <c r="R23" s="38">
        <f t="shared" si="2"/>
        <v>86854.007120534574</v>
      </c>
    </row>
    <row r="24" spans="1:18" x14ac:dyDescent="0.25">
      <c r="A24" s="4">
        <v>42449</v>
      </c>
      <c r="B24" s="18">
        <v>42449</v>
      </c>
      <c r="C24" s="13">
        <v>0.4</v>
      </c>
      <c r="D24" s="95">
        <v>0.74305555555555558</v>
      </c>
      <c r="E24" s="30">
        <v>2388.5617955786288</v>
      </c>
      <c r="F24" s="38">
        <v>26990.748290038508</v>
      </c>
      <c r="G24" s="97">
        <v>11.3</v>
      </c>
      <c r="H24" s="36"/>
      <c r="I24" s="30">
        <v>1243.0342648971982</v>
      </c>
      <c r="J24" s="38">
        <v>15811.395849492361</v>
      </c>
      <c r="K24" s="97">
        <v>12.719999999999999</v>
      </c>
      <c r="L24" s="36"/>
      <c r="M24" s="30" t="s">
        <v>11</v>
      </c>
      <c r="N24" s="31" t="s">
        <v>11</v>
      </c>
      <c r="O24" s="28" t="s">
        <v>11</v>
      </c>
      <c r="P24" s="36"/>
      <c r="Q24" s="30">
        <f t="shared" si="2"/>
        <v>3631.596060475827</v>
      </c>
      <c r="R24" s="38">
        <f t="shared" si="2"/>
        <v>42802.144139530865</v>
      </c>
    </row>
    <row r="25" spans="1:18" x14ac:dyDescent="0.25">
      <c r="A25" s="228" t="s">
        <v>32</v>
      </c>
      <c r="B25" s="228"/>
      <c r="C25" s="228"/>
      <c r="D25" s="229"/>
      <c r="E25" s="34">
        <f>SUM(E22:E24)</f>
        <v>9097.9169651281245</v>
      </c>
      <c r="F25" s="35">
        <f>SUM(F22:F24)</f>
        <v>117593.03396096929</v>
      </c>
      <c r="G25" s="33">
        <f>+F25/E25</f>
        <v>12.925270082338375</v>
      </c>
      <c r="H25" s="33"/>
      <c r="I25" s="34">
        <f>SUM(I22:I24)</f>
        <v>5758.1836771533563</v>
      </c>
      <c r="J25" s="35">
        <f>SUM(J22:J24)</f>
        <v>78412.623741007163</v>
      </c>
      <c r="K25" s="33">
        <f>+J25/I25</f>
        <v>13.617596821741472</v>
      </c>
      <c r="L25" s="33"/>
      <c r="M25" s="34"/>
      <c r="N25" s="35"/>
      <c r="O25" s="35"/>
      <c r="P25" s="33"/>
      <c r="Q25" s="34">
        <f>SUM(Q22:Q24)</f>
        <v>14856.100642281481</v>
      </c>
      <c r="R25" s="35">
        <f>SUM(R22:R24)</f>
        <v>196005.65770197645</v>
      </c>
    </row>
    <row r="26" spans="1:18" x14ac:dyDescent="0.25">
      <c r="A26" s="4">
        <v>42454</v>
      </c>
      <c r="B26" s="18">
        <v>42454</v>
      </c>
      <c r="C26" s="13">
        <v>0.7</v>
      </c>
      <c r="D26" s="95">
        <v>0.35486111111111113</v>
      </c>
      <c r="E26" s="30" t="s">
        <v>11</v>
      </c>
      <c r="F26" s="38" t="s">
        <v>11</v>
      </c>
      <c r="G26" s="97" t="s">
        <v>11</v>
      </c>
      <c r="H26" s="36"/>
      <c r="I26" s="30">
        <v>1292.8784110283361</v>
      </c>
      <c r="J26" s="38">
        <v>14939.928305216326</v>
      </c>
      <c r="K26" s="97">
        <v>11.555555555555554</v>
      </c>
      <c r="L26" s="36"/>
      <c r="M26" s="30" t="s">
        <v>11</v>
      </c>
      <c r="N26" s="31" t="s">
        <v>11</v>
      </c>
      <c r="O26" s="28" t="s">
        <v>11</v>
      </c>
      <c r="P26" s="36"/>
      <c r="Q26" s="30">
        <f t="shared" ref="Q26:R28" si="3">+I26</f>
        <v>1292.8784110283361</v>
      </c>
      <c r="R26" s="38">
        <f t="shared" si="3"/>
        <v>14939.928305216326</v>
      </c>
    </row>
    <row r="27" spans="1:18" x14ac:dyDescent="0.25">
      <c r="A27" s="4">
        <v>42455</v>
      </c>
      <c r="B27" s="18">
        <v>42455</v>
      </c>
      <c r="C27" s="13">
        <v>0.6</v>
      </c>
      <c r="D27" s="95">
        <v>0.37916666666666665</v>
      </c>
      <c r="E27" s="30" t="s">
        <v>11</v>
      </c>
      <c r="F27" s="38" t="s">
        <v>11</v>
      </c>
      <c r="G27" s="97" t="s">
        <v>11</v>
      </c>
      <c r="H27" s="36"/>
      <c r="I27" s="30">
        <v>4968.0354386080107</v>
      </c>
      <c r="J27" s="38">
        <v>74520.531579120157</v>
      </c>
      <c r="K27" s="97">
        <v>15</v>
      </c>
      <c r="L27" s="36"/>
      <c r="M27" s="30" t="s">
        <v>11</v>
      </c>
      <c r="N27" s="31" t="s">
        <v>11</v>
      </c>
      <c r="O27" s="28" t="s">
        <v>11</v>
      </c>
      <c r="P27" s="36"/>
      <c r="Q27" s="30">
        <f t="shared" si="3"/>
        <v>4968.0354386080107</v>
      </c>
      <c r="R27" s="38">
        <f t="shared" si="3"/>
        <v>74520.531579120157</v>
      </c>
    </row>
    <row r="28" spans="1:18" x14ac:dyDescent="0.25">
      <c r="A28" s="4">
        <v>42456</v>
      </c>
      <c r="B28" s="18">
        <v>42456</v>
      </c>
      <c r="C28" s="13">
        <v>0.7</v>
      </c>
      <c r="D28" s="95">
        <v>0.40416666666666667</v>
      </c>
      <c r="E28" s="30" t="s">
        <v>11</v>
      </c>
      <c r="F28" s="38" t="s">
        <v>11</v>
      </c>
      <c r="G28" s="97" t="s">
        <v>11</v>
      </c>
      <c r="H28" s="36"/>
      <c r="I28" s="30">
        <v>3481.0952888072161</v>
      </c>
      <c r="J28" s="38">
        <v>44183.132511783893</v>
      </c>
      <c r="K28" s="97">
        <v>12.692307692307692</v>
      </c>
      <c r="L28" s="36"/>
      <c r="M28" s="30" t="s">
        <v>11</v>
      </c>
      <c r="N28" s="31" t="s">
        <v>11</v>
      </c>
      <c r="O28" s="28" t="s">
        <v>11</v>
      </c>
      <c r="P28" s="36"/>
      <c r="Q28" s="30">
        <f t="shared" si="3"/>
        <v>3481.0952888072161</v>
      </c>
      <c r="R28" s="38">
        <f t="shared" si="3"/>
        <v>44183.132511783893</v>
      </c>
    </row>
    <row r="29" spans="1:18" x14ac:dyDescent="0.25">
      <c r="A29" s="228" t="s">
        <v>32</v>
      </c>
      <c r="B29" s="228"/>
      <c r="C29" s="228"/>
      <c r="D29" s="229"/>
      <c r="E29" s="34"/>
      <c r="F29" s="35"/>
      <c r="G29" s="98"/>
      <c r="H29" s="33"/>
      <c r="I29" s="34">
        <f>SUM(I26:I28)</f>
        <v>9742.0091384435618</v>
      </c>
      <c r="J29" s="35">
        <f>SUM(J26:J28)</f>
        <v>133643.59239612037</v>
      </c>
      <c r="K29" s="33">
        <f>+J29/I29</f>
        <v>13.718278282940721</v>
      </c>
      <c r="L29" s="33"/>
      <c r="M29" s="34"/>
      <c r="N29" s="35"/>
      <c r="O29" s="35"/>
      <c r="P29" s="33"/>
      <c r="Q29" s="34">
        <f>SUM(Q26:Q28)</f>
        <v>9742.0091384435618</v>
      </c>
      <c r="R29" s="35">
        <f>SUM(R26:R28)</f>
        <v>133643.59239612037</v>
      </c>
    </row>
    <row r="30" spans="1:18" x14ac:dyDescent="0.25">
      <c r="A30" s="4">
        <v>42467</v>
      </c>
      <c r="B30" s="18">
        <v>42467</v>
      </c>
      <c r="C30" s="13">
        <v>-0.6</v>
      </c>
      <c r="D30" s="95">
        <v>0.29652777777777778</v>
      </c>
      <c r="E30" s="30">
        <v>1222.4801085435254</v>
      </c>
      <c r="F30" s="38">
        <v>18362.150201796627</v>
      </c>
      <c r="G30" s="97">
        <v>15.020408163265307</v>
      </c>
      <c r="H30" s="71"/>
      <c r="I30" s="30">
        <v>871.30696959476609</v>
      </c>
      <c r="J30" s="38">
        <v>13069.60454392149</v>
      </c>
      <c r="K30" s="36">
        <v>14.999999999999998</v>
      </c>
      <c r="L30" s="71"/>
      <c r="M30" s="30" t="s">
        <v>11</v>
      </c>
      <c r="N30" s="38" t="s">
        <v>11</v>
      </c>
      <c r="O30" s="38" t="s">
        <v>11</v>
      </c>
      <c r="P30" s="71"/>
      <c r="Q30" s="30">
        <f>+E30+I30</f>
        <v>2093.7870781382917</v>
      </c>
      <c r="R30" s="38">
        <f>+F30+J30</f>
        <v>31431.754745718117</v>
      </c>
    </row>
    <row r="31" spans="1:18" x14ac:dyDescent="0.25">
      <c r="A31" s="4">
        <v>42468</v>
      </c>
      <c r="B31" s="18">
        <v>42468</v>
      </c>
      <c r="C31" s="13">
        <v>-1.1000000000000001</v>
      </c>
      <c r="D31" s="95">
        <v>0.32916666666666666</v>
      </c>
      <c r="E31" s="30">
        <v>2975.1365080184687</v>
      </c>
      <c r="F31" s="38">
        <v>44627.04762027703</v>
      </c>
      <c r="G31" s="97">
        <v>15</v>
      </c>
      <c r="H31" s="71"/>
      <c r="I31" s="30">
        <v>1517.8987546025592</v>
      </c>
      <c r="J31" s="38">
        <v>22768.481319038387</v>
      </c>
      <c r="K31" s="36">
        <v>15</v>
      </c>
      <c r="L31" s="71"/>
      <c r="M31" s="30" t="s">
        <v>11</v>
      </c>
      <c r="N31" s="38" t="s">
        <v>11</v>
      </c>
      <c r="O31" s="38" t="s">
        <v>11</v>
      </c>
      <c r="P31" s="71"/>
      <c r="Q31" s="30">
        <f>+E31+I31</f>
        <v>4493.0352626210279</v>
      </c>
      <c r="R31" s="38">
        <f>+F31+J31</f>
        <v>67395.528939315409</v>
      </c>
    </row>
    <row r="32" spans="1:18" x14ac:dyDescent="0.25">
      <c r="A32" s="4">
        <v>42469</v>
      </c>
      <c r="B32" s="18">
        <v>42469</v>
      </c>
      <c r="C32" s="13">
        <v>-1.3</v>
      </c>
      <c r="D32" s="95">
        <v>0.36249999999999999</v>
      </c>
      <c r="E32" s="30">
        <v>6892.9022086673294</v>
      </c>
      <c r="F32" s="38">
        <v>102732.5699045213</v>
      </c>
      <c r="G32" s="97">
        <v>14.904109589041097</v>
      </c>
      <c r="H32" s="71"/>
      <c r="I32" s="30" t="s">
        <v>11</v>
      </c>
      <c r="J32" s="38" t="s">
        <v>11</v>
      </c>
      <c r="K32" s="36" t="s">
        <v>11</v>
      </c>
      <c r="L32" s="71"/>
      <c r="M32" s="30" t="s">
        <v>11</v>
      </c>
      <c r="N32" s="38" t="s">
        <v>11</v>
      </c>
      <c r="O32" s="38" t="s">
        <v>11</v>
      </c>
      <c r="P32" s="71"/>
      <c r="Q32" s="30">
        <f>+E32</f>
        <v>6892.9022086673294</v>
      </c>
      <c r="R32" s="38">
        <f>+F32</f>
        <v>102732.5699045213</v>
      </c>
    </row>
    <row r="33" spans="1:18" x14ac:dyDescent="0.25">
      <c r="A33" s="4">
        <v>42470</v>
      </c>
      <c r="B33" s="18">
        <v>42470</v>
      </c>
      <c r="C33" s="13">
        <v>-1.2</v>
      </c>
      <c r="D33" s="95">
        <v>0.3972222222222222</v>
      </c>
      <c r="E33" s="30" t="s">
        <v>11</v>
      </c>
      <c r="F33" s="38" t="s">
        <v>11</v>
      </c>
      <c r="G33" s="97" t="s">
        <v>11</v>
      </c>
      <c r="H33" s="71"/>
      <c r="I33" s="30">
        <v>6262.1848237639924</v>
      </c>
      <c r="J33" s="38">
        <v>93932.772356459885</v>
      </c>
      <c r="K33" s="36">
        <v>15</v>
      </c>
      <c r="L33" s="71"/>
      <c r="M33" s="30" t="s">
        <v>11</v>
      </c>
      <c r="N33" s="38" t="s">
        <v>11</v>
      </c>
      <c r="O33" s="38" t="s">
        <v>11</v>
      </c>
      <c r="P33" s="71"/>
      <c r="Q33" s="30">
        <f>+I33</f>
        <v>6262.1848237639924</v>
      </c>
      <c r="R33" s="38">
        <f>+J33</f>
        <v>93932.772356459885</v>
      </c>
    </row>
    <row r="34" spans="1:18" x14ac:dyDescent="0.25">
      <c r="A34" s="228" t="s">
        <v>32</v>
      </c>
      <c r="B34" s="228"/>
      <c r="C34" s="228"/>
      <c r="D34" s="229"/>
      <c r="E34" s="34">
        <f>SUM(E30:E33)</f>
        <v>11090.518825229323</v>
      </c>
      <c r="F34" s="35">
        <f>SUM(F30:F33)</f>
        <v>165721.76772659496</v>
      </c>
      <c r="G34" s="33">
        <f>+F34/E34</f>
        <v>14.942652398695898</v>
      </c>
      <c r="H34" s="33"/>
      <c r="I34" s="34">
        <f>SUM(I30:I33)</f>
        <v>8651.3905479613168</v>
      </c>
      <c r="J34" s="35">
        <f>SUM(J30:J33)</f>
        <v>129770.85821941977</v>
      </c>
      <c r="K34" s="33">
        <f>+J34/I34</f>
        <v>15.000000000000002</v>
      </c>
      <c r="L34" s="33"/>
      <c r="M34" s="34"/>
      <c r="N34" s="35"/>
      <c r="O34" s="35"/>
      <c r="P34" s="33"/>
      <c r="Q34" s="34">
        <f>SUM(Q30:Q33)</f>
        <v>19741.909373190643</v>
      </c>
      <c r="R34" s="35">
        <f>SUM(R30:R33)</f>
        <v>295492.62594601471</v>
      </c>
    </row>
    <row r="35" spans="1:18" x14ac:dyDescent="0.25">
      <c r="A35" s="4">
        <v>42483</v>
      </c>
      <c r="B35" s="18">
        <v>42483</v>
      </c>
      <c r="C35" s="13">
        <v>-0.2</v>
      </c>
      <c r="D35" s="95">
        <v>0.33888888888888885</v>
      </c>
      <c r="E35" s="30" t="s">
        <v>11</v>
      </c>
      <c r="F35" s="38" t="s">
        <v>11</v>
      </c>
      <c r="G35" s="36" t="s">
        <v>11</v>
      </c>
      <c r="H35" s="71"/>
      <c r="I35" s="30">
        <v>4007.8539281995177</v>
      </c>
      <c r="J35" s="38">
        <v>60334.449675868425</v>
      </c>
      <c r="K35" s="36">
        <v>15.054054054054056</v>
      </c>
      <c r="L35" s="71"/>
      <c r="M35" s="30" t="s">
        <v>11</v>
      </c>
      <c r="N35" s="38" t="s">
        <v>11</v>
      </c>
      <c r="O35" s="38" t="s">
        <v>11</v>
      </c>
      <c r="P35" s="71"/>
      <c r="Q35" s="30">
        <f>+I35</f>
        <v>4007.8539281995177</v>
      </c>
      <c r="R35" s="38">
        <f>+J35</f>
        <v>60334.449675868425</v>
      </c>
    </row>
    <row r="36" spans="1:18" x14ac:dyDescent="0.25">
      <c r="A36" s="4">
        <v>42485</v>
      </c>
      <c r="B36" s="18">
        <v>42485</v>
      </c>
      <c r="C36" s="13">
        <v>-0.2</v>
      </c>
      <c r="D36" s="95">
        <v>0.38750000000000001</v>
      </c>
      <c r="E36" s="30">
        <v>1346.5155921576281</v>
      </c>
      <c r="F36" s="38">
        <v>19650.711923050389</v>
      </c>
      <c r="G36" s="36">
        <v>14.593750000000002</v>
      </c>
      <c r="H36" s="71"/>
      <c r="I36" s="30">
        <v>1555.6668499278198</v>
      </c>
      <c r="J36" s="38">
        <v>23335.002748917297</v>
      </c>
      <c r="K36" s="36">
        <v>15</v>
      </c>
      <c r="L36" s="71"/>
      <c r="M36" s="30" t="s">
        <v>11</v>
      </c>
      <c r="N36" s="38" t="s">
        <v>11</v>
      </c>
      <c r="O36" s="38" t="s">
        <v>11</v>
      </c>
      <c r="P36" s="71"/>
      <c r="Q36" s="30">
        <f>+E36+I36</f>
        <v>2902.1824420854482</v>
      </c>
      <c r="R36" s="38">
        <f>+F36+J36</f>
        <v>42985.714671967682</v>
      </c>
    </row>
    <row r="37" spans="1:18" x14ac:dyDescent="0.25">
      <c r="A37" s="4">
        <v>42486</v>
      </c>
      <c r="B37" s="18">
        <v>42486</v>
      </c>
      <c r="C37" s="13">
        <v>-0.1</v>
      </c>
      <c r="D37" s="95">
        <v>0.41388888888888892</v>
      </c>
      <c r="E37" s="30">
        <v>1060.97009494739</v>
      </c>
      <c r="F37" s="38">
        <v>15914.551424210847</v>
      </c>
      <c r="G37" s="36">
        <v>14.999999999999998</v>
      </c>
      <c r="H37" s="71"/>
      <c r="I37" s="30">
        <v>1407.1106807823521</v>
      </c>
      <c r="J37" s="38">
        <v>21106.660211735281</v>
      </c>
      <c r="K37" s="36">
        <v>15</v>
      </c>
      <c r="L37" s="71"/>
      <c r="M37" s="30" t="s">
        <v>11</v>
      </c>
      <c r="N37" s="38" t="s">
        <v>11</v>
      </c>
      <c r="O37" s="38" t="s">
        <v>11</v>
      </c>
      <c r="P37" s="71"/>
      <c r="Q37" s="30">
        <f>+E37+I37</f>
        <v>2468.0807757297421</v>
      </c>
      <c r="R37" s="38">
        <f>+F37+J37</f>
        <v>37021.211635946129</v>
      </c>
    </row>
    <row r="38" spans="1:18" x14ac:dyDescent="0.25">
      <c r="A38" s="228" t="s">
        <v>32</v>
      </c>
      <c r="B38" s="228"/>
      <c r="C38" s="228"/>
      <c r="D38" s="229"/>
      <c r="E38" s="34">
        <f>SUM(E36:E37)</f>
        <v>2407.4856871050179</v>
      </c>
      <c r="F38" s="35">
        <f>SUM(F36:F37)</f>
        <v>35565.263347261236</v>
      </c>
      <c r="G38" s="33">
        <f>+F38/E38</f>
        <v>14.772782882056582</v>
      </c>
      <c r="H38" s="33"/>
      <c r="I38" s="34">
        <f>SUM(I35:I37)</f>
        <v>6970.6314589096892</v>
      </c>
      <c r="J38" s="35">
        <f>SUM(J35:J37)</f>
        <v>104776.11263652099</v>
      </c>
      <c r="K38" s="33">
        <f>+J38/I38</f>
        <v>15.031079071408767</v>
      </c>
      <c r="L38" s="33"/>
      <c r="M38" s="34"/>
      <c r="N38" s="35"/>
      <c r="O38" s="35"/>
      <c r="P38" s="33"/>
      <c r="Q38" s="34">
        <f>SUM(Q35:Q37)</f>
        <v>9378.1171460147089</v>
      </c>
      <c r="R38" s="35">
        <f>SUM(R35:R37)</f>
        <v>140341.37598378223</v>
      </c>
    </row>
    <row r="39" spans="1:18" x14ac:dyDescent="0.25">
      <c r="A39" s="37">
        <v>42499</v>
      </c>
      <c r="B39" s="18">
        <v>42499</v>
      </c>
      <c r="C39" s="13">
        <v>-1.9</v>
      </c>
      <c r="D39" s="95">
        <v>0.38472222222222219</v>
      </c>
      <c r="E39" s="30" t="s">
        <v>11</v>
      </c>
      <c r="F39" s="38" t="s">
        <v>11</v>
      </c>
      <c r="G39" s="97" t="s">
        <v>11</v>
      </c>
      <c r="H39" s="36"/>
      <c r="I39" s="30">
        <v>2774.1612710086229</v>
      </c>
      <c r="J39" s="38">
        <v>41409.431655055545</v>
      </c>
      <c r="K39" s="97">
        <v>14.926829268292684</v>
      </c>
      <c r="L39" s="36"/>
      <c r="M39" s="30" t="s">
        <v>11</v>
      </c>
      <c r="N39" s="38" t="s">
        <v>11</v>
      </c>
      <c r="O39" s="38" t="s">
        <v>11</v>
      </c>
      <c r="P39" s="36"/>
      <c r="Q39" s="30">
        <f>+I39</f>
        <v>2774.1612710086229</v>
      </c>
      <c r="R39" s="38">
        <f>+J39</f>
        <v>41409.431655055545</v>
      </c>
    </row>
    <row r="40" spans="1:18" x14ac:dyDescent="0.25">
      <c r="A40" s="37">
        <v>42500</v>
      </c>
      <c r="B40" s="18">
        <v>42500</v>
      </c>
      <c r="C40" s="13">
        <v>-1.5</v>
      </c>
      <c r="D40" s="95">
        <v>0.41875000000000001</v>
      </c>
      <c r="E40" s="30" t="s">
        <v>11</v>
      </c>
      <c r="F40" s="38" t="s">
        <v>11</v>
      </c>
      <c r="G40" s="97" t="s">
        <v>11</v>
      </c>
      <c r="H40" s="36"/>
      <c r="I40" s="30">
        <v>2903.3889302783009</v>
      </c>
      <c r="J40" s="38">
        <v>43550.833954174508</v>
      </c>
      <c r="K40" s="97">
        <v>14.999999999999998</v>
      </c>
      <c r="L40" s="36"/>
      <c r="M40" s="30" t="s">
        <v>11</v>
      </c>
      <c r="N40" s="38" t="s">
        <v>11</v>
      </c>
      <c r="O40" s="38" t="s">
        <v>11</v>
      </c>
      <c r="P40" s="36"/>
      <c r="Q40" s="30">
        <f t="shared" ref="Q40:R42" si="4">+I40</f>
        <v>2903.3889302783009</v>
      </c>
      <c r="R40" s="38">
        <f t="shared" si="4"/>
        <v>43550.833954174508</v>
      </c>
    </row>
    <row r="41" spans="1:18" x14ac:dyDescent="0.25">
      <c r="A41" s="37">
        <v>42501</v>
      </c>
      <c r="B41" s="18">
        <v>42501</v>
      </c>
      <c r="C41" s="13">
        <v>-0.9</v>
      </c>
      <c r="D41" s="95">
        <v>0.4548611111111111</v>
      </c>
      <c r="E41" s="30" t="s">
        <v>11</v>
      </c>
      <c r="F41" s="38" t="s">
        <v>11</v>
      </c>
      <c r="G41" s="97" t="s">
        <v>11</v>
      </c>
      <c r="H41" s="36"/>
      <c r="I41" s="30">
        <v>1937.3378452732109</v>
      </c>
      <c r="J41" s="38">
        <v>28948.726423622691</v>
      </c>
      <c r="K41" s="97">
        <v>14.942528735632184</v>
      </c>
      <c r="L41" s="36"/>
      <c r="M41" s="30" t="s">
        <v>11</v>
      </c>
      <c r="N41" s="38" t="s">
        <v>11</v>
      </c>
      <c r="O41" s="38" t="s">
        <v>11</v>
      </c>
      <c r="P41" s="36"/>
      <c r="Q41" s="30">
        <f t="shared" si="4"/>
        <v>1937.3378452732109</v>
      </c>
      <c r="R41" s="38">
        <f t="shared" si="4"/>
        <v>28948.726423622691</v>
      </c>
    </row>
    <row r="42" spans="1:18" x14ac:dyDescent="0.25">
      <c r="A42" s="37">
        <v>42502</v>
      </c>
      <c r="B42" s="18">
        <v>42502</v>
      </c>
      <c r="C42" s="13">
        <v>-0.3</v>
      </c>
      <c r="D42" s="95">
        <v>0.49236111111111108</v>
      </c>
      <c r="E42" s="30" t="s">
        <v>11</v>
      </c>
      <c r="F42" s="38" t="s">
        <v>11</v>
      </c>
      <c r="G42" s="97" t="s">
        <v>11</v>
      </c>
      <c r="H42" s="36"/>
      <c r="I42" s="30">
        <v>1478.127938384049</v>
      </c>
      <c r="J42" s="38">
        <v>22171.919075760736</v>
      </c>
      <c r="K42" s="97">
        <v>15</v>
      </c>
      <c r="L42" s="36"/>
      <c r="M42" s="30" t="s">
        <v>11</v>
      </c>
      <c r="N42" s="38" t="s">
        <v>11</v>
      </c>
      <c r="O42" s="38" t="s">
        <v>11</v>
      </c>
      <c r="P42" s="36"/>
      <c r="Q42" s="30">
        <f t="shared" si="4"/>
        <v>1478.127938384049</v>
      </c>
      <c r="R42" s="38">
        <f t="shared" si="4"/>
        <v>22171.919075760736</v>
      </c>
    </row>
    <row r="43" spans="1:18" x14ac:dyDescent="0.25">
      <c r="A43" s="228" t="s">
        <v>32</v>
      </c>
      <c r="B43" s="228"/>
      <c r="C43" s="228"/>
      <c r="D43" s="229"/>
      <c r="E43" s="34"/>
      <c r="F43" s="35"/>
      <c r="G43" s="33"/>
      <c r="H43" s="33"/>
      <c r="I43" s="34">
        <f>SUM(I39:I42)</f>
        <v>9093.0159849441825</v>
      </c>
      <c r="J43" s="35">
        <f>SUM(J39:J42)</f>
        <v>136080.91110861348</v>
      </c>
      <c r="K43" s="33">
        <f>+J43/I43</f>
        <v>14.965431858244866</v>
      </c>
      <c r="L43" s="33"/>
      <c r="M43" s="34"/>
      <c r="N43" s="35"/>
      <c r="O43" s="35"/>
      <c r="P43" s="33"/>
      <c r="Q43" s="34">
        <f>SUM(Q39:Q42)</f>
        <v>9093.0159849441825</v>
      </c>
      <c r="R43" s="35">
        <f>SUM(R39:R42)</f>
        <v>136080.91110861348</v>
      </c>
    </row>
    <row r="44" spans="1:18" x14ac:dyDescent="0.25">
      <c r="A44" s="37">
        <v>42510</v>
      </c>
      <c r="B44" s="18">
        <v>42510</v>
      </c>
      <c r="C44" s="13">
        <v>-0.3</v>
      </c>
      <c r="D44" s="95">
        <v>0.27569444444444446</v>
      </c>
      <c r="E44" s="30">
        <v>1165.8785642767093</v>
      </c>
      <c r="F44" s="38">
        <v>17426.816434451866</v>
      </c>
      <c r="G44" s="97">
        <v>14.947368421052632</v>
      </c>
      <c r="H44" s="36"/>
      <c r="I44" s="30">
        <v>1067.4763541114776</v>
      </c>
      <c r="J44" s="38">
        <v>16012.145311672164</v>
      </c>
      <c r="K44" s="97">
        <v>15</v>
      </c>
      <c r="L44" s="36"/>
      <c r="M44" s="30" t="s">
        <v>11</v>
      </c>
      <c r="N44" s="38" t="s">
        <v>11</v>
      </c>
      <c r="O44" s="38" t="s">
        <v>11</v>
      </c>
      <c r="P44" s="36"/>
      <c r="Q44" s="30">
        <f>+E44+I44</f>
        <v>2233.3549183881869</v>
      </c>
      <c r="R44" s="38">
        <f>+F44+J44</f>
        <v>33438.961746124027</v>
      </c>
    </row>
    <row r="45" spans="1:18" x14ac:dyDescent="0.25">
      <c r="A45" s="37">
        <v>42511</v>
      </c>
      <c r="B45" s="18">
        <v>42511</v>
      </c>
      <c r="C45" s="13">
        <v>-0.6</v>
      </c>
      <c r="D45" s="95">
        <v>0.3</v>
      </c>
      <c r="E45" s="30">
        <v>3063.2658768421143</v>
      </c>
      <c r="F45" s="38">
        <v>45948.988152631711</v>
      </c>
      <c r="G45" s="97">
        <v>14.999999999999998</v>
      </c>
      <c r="H45" s="36"/>
      <c r="I45" s="30">
        <v>2802.2746297401436</v>
      </c>
      <c r="J45" s="38">
        <v>42137.907395351787</v>
      </c>
      <c r="K45" s="97">
        <v>15.037037037037036</v>
      </c>
      <c r="L45" s="36"/>
      <c r="M45" s="30" t="s">
        <v>11</v>
      </c>
      <c r="N45" s="38" t="s">
        <v>11</v>
      </c>
      <c r="O45" s="38" t="s">
        <v>11</v>
      </c>
      <c r="P45" s="36"/>
      <c r="Q45" s="30">
        <f>+E45+I45</f>
        <v>5865.5405065822579</v>
      </c>
      <c r="R45" s="38">
        <f>+F45+J45</f>
        <v>88086.895547983499</v>
      </c>
    </row>
    <row r="46" spans="1:18" x14ac:dyDescent="0.25">
      <c r="A46" s="37">
        <v>42512</v>
      </c>
      <c r="B46" s="18">
        <v>42512</v>
      </c>
      <c r="C46" s="13">
        <v>-0.8</v>
      </c>
      <c r="D46" s="95">
        <v>0.32430555555555557</v>
      </c>
      <c r="E46" s="30" t="s">
        <v>11</v>
      </c>
      <c r="F46" s="38" t="s">
        <v>11</v>
      </c>
      <c r="G46" s="97" t="s">
        <v>11</v>
      </c>
      <c r="H46" s="36"/>
      <c r="I46" s="30">
        <v>3576.7250786873319</v>
      </c>
      <c r="J46" s="38">
        <v>53650.876180309977</v>
      </c>
      <c r="K46" s="97">
        <v>15</v>
      </c>
      <c r="L46" s="36"/>
      <c r="M46" s="30" t="s">
        <v>11</v>
      </c>
      <c r="N46" s="38" t="s">
        <v>11</v>
      </c>
      <c r="O46" s="38" t="s">
        <v>11</v>
      </c>
      <c r="P46" s="36"/>
      <c r="Q46" s="30">
        <f>+I46</f>
        <v>3576.7250786873319</v>
      </c>
      <c r="R46" s="38">
        <f>+J46</f>
        <v>53650.876180309977</v>
      </c>
    </row>
    <row r="47" spans="1:18" ht="15.75" thickBot="1" x14ac:dyDescent="0.3">
      <c r="A47" s="228" t="s">
        <v>32</v>
      </c>
      <c r="B47" s="228"/>
      <c r="C47" s="228"/>
      <c r="D47" s="229"/>
      <c r="E47" s="34">
        <f>SUM(E44:E46)</f>
        <v>4229.144441118824</v>
      </c>
      <c r="F47" s="35">
        <f>SUM(F44:F46)</f>
        <v>63375.804587083578</v>
      </c>
      <c r="G47" s="98">
        <f>+F47/E47</f>
        <v>14.985490675347435</v>
      </c>
      <c r="H47" s="33"/>
      <c r="I47" s="34">
        <f>SUM(I44:I46)</f>
        <v>7446.4760625389536</v>
      </c>
      <c r="J47" s="35">
        <f>SUM(J44:J46)</f>
        <v>111800.92888733392</v>
      </c>
      <c r="K47" s="98">
        <f>+J47/I47</f>
        <v>15.013937861127594</v>
      </c>
      <c r="L47" s="33"/>
      <c r="M47" s="34"/>
      <c r="N47" s="35"/>
      <c r="O47" s="35"/>
      <c r="P47" s="33"/>
      <c r="Q47" s="34">
        <f>SUM(Q44:Q46)</f>
        <v>11675.620503657778</v>
      </c>
      <c r="R47" s="35">
        <f>SUM(R44:R46)</f>
        <v>175176.7334744175</v>
      </c>
    </row>
    <row r="48" spans="1:18" ht="15.75" thickTop="1" x14ac:dyDescent="0.25">
      <c r="A48" s="39" t="s">
        <v>37</v>
      </c>
      <c r="B48" s="42"/>
      <c r="C48" s="42"/>
      <c r="D48" s="42"/>
      <c r="E48" s="40">
        <f>+E7+E10+E12+E16+E25+E34+E38+E47</f>
        <v>69536.100796536688</v>
      </c>
      <c r="F48" s="40">
        <f>+F7+F10+F12+F16+F25+F34+F38+F47</f>
        <v>952020.26028537168</v>
      </c>
      <c r="G48" s="93">
        <f>+F48/E48</f>
        <v>13.691021633079375</v>
      </c>
      <c r="H48" s="41"/>
      <c r="I48" s="40">
        <f>+I7+I10+I12+I16+I21+I25+I29+I34+I38+I43+I47</f>
        <v>70747.281354279839</v>
      </c>
      <c r="J48" s="40">
        <f>+J7+J10+J12+J16+J21+J25+J29+J34+J38+J43+J47</f>
        <v>965622.99664938869</v>
      </c>
      <c r="K48" s="93">
        <f>+J48/I48</f>
        <v>13.648906052147169</v>
      </c>
      <c r="L48" s="41"/>
      <c r="M48" s="40">
        <f>+M7+M10+M12</f>
        <v>0</v>
      </c>
      <c r="N48" s="40">
        <f>+N7+N10+N12</f>
        <v>0</v>
      </c>
      <c r="O48" s="93"/>
      <c r="P48" s="41"/>
      <c r="Q48" s="40">
        <f>+Q7+Q10+Q12+Q16+Q21+Q25+Q29+Q34+Q38+Q43+Q47</f>
        <v>140283.38215081653</v>
      </c>
      <c r="R48" s="40">
        <f>+R7+R10+R12+R16+R21+R25+R29+R34+R38+R43+R47</f>
        <v>1917643.2569347601</v>
      </c>
    </row>
    <row r="49" spans="1:18" x14ac:dyDescent="0.25">
      <c r="A49" s="68" t="s">
        <v>36</v>
      </c>
      <c r="B49" s="69"/>
      <c r="C49" s="69"/>
      <c r="D49" s="69"/>
      <c r="E49" s="70"/>
      <c r="F49" s="70">
        <f>+Harvest!J122</f>
        <v>31157.026700248531</v>
      </c>
      <c r="G49" s="70"/>
      <c r="H49" s="71"/>
      <c r="I49" s="70"/>
      <c r="J49" s="70">
        <f>+Harvest!L122</f>
        <v>27208.16178404355</v>
      </c>
      <c r="K49" s="70"/>
      <c r="L49" s="71"/>
      <c r="M49" s="70"/>
      <c r="N49" s="70"/>
      <c r="O49" s="70"/>
      <c r="P49" s="71"/>
      <c r="Q49" s="70"/>
      <c r="R49" s="70">
        <f>+F49+J49+N49</f>
        <v>58365.188484292084</v>
      </c>
    </row>
    <row r="50" spans="1:18" x14ac:dyDescent="0.25">
      <c r="A50" s="78" t="s">
        <v>33</v>
      </c>
      <c r="B50" s="79"/>
      <c r="C50" s="79"/>
      <c r="D50" s="79"/>
      <c r="E50" s="72">
        <f>+E48</f>
        <v>69536.100796536688</v>
      </c>
      <c r="F50" s="72">
        <f>SUM(F48:F49)</f>
        <v>983177.28698562016</v>
      </c>
      <c r="G50" s="100">
        <f>+G48</f>
        <v>13.691021633079375</v>
      </c>
      <c r="H50" s="73"/>
      <c r="I50" s="72">
        <f>+I48</f>
        <v>70747.281354279839</v>
      </c>
      <c r="J50" s="72">
        <f>SUM(J48:J49)</f>
        <v>992831.15843343223</v>
      </c>
      <c r="K50" s="100">
        <f>+K48</f>
        <v>13.648906052147169</v>
      </c>
      <c r="L50" s="73"/>
      <c r="M50" s="72">
        <f>+M48</f>
        <v>0</v>
      </c>
      <c r="N50" s="72">
        <f>+N48</f>
        <v>0</v>
      </c>
      <c r="O50" s="72"/>
      <c r="P50" s="73"/>
      <c r="Q50" s="72">
        <f>+Q48</f>
        <v>140283.38215081653</v>
      </c>
      <c r="R50" s="74">
        <f>SUM(R48:R49)</f>
        <v>1976008.4454190522</v>
      </c>
    </row>
    <row r="51" spans="1:18" x14ac:dyDescent="0.25">
      <c r="A51" s="80" t="s">
        <v>16</v>
      </c>
      <c r="B51" s="76"/>
      <c r="C51" s="76"/>
      <c r="D51" s="76"/>
      <c r="E51" s="76"/>
      <c r="F51" s="75">
        <f>+Harvest!J125</f>
        <v>0.89805841258262631</v>
      </c>
      <c r="G51" s="75"/>
      <c r="H51" s="76"/>
      <c r="I51" s="76"/>
      <c r="J51" s="75">
        <f>+Harvest!L125</f>
        <v>0.58571552535961979</v>
      </c>
      <c r="K51" s="75"/>
      <c r="L51" s="76"/>
      <c r="M51" s="76"/>
      <c r="N51" s="75">
        <f>+Harvest!N125</f>
        <v>0</v>
      </c>
      <c r="O51" s="75"/>
      <c r="P51" s="76"/>
      <c r="Q51" s="76"/>
      <c r="R51" s="77"/>
    </row>
    <row r="53" spans="1:18" x14ac:dyDescent="0.25">
      <c r="Q53" s="10"/>
    </row>
    <row r="54" spans="1:18" x14ac:dyDescent="0.25">
      <c r="F54" s="10"/>
      <c r="J54" s="10"/>
    </row>
  </sheetData>
  <mergeCells count="15">
    <mergeCell ref="A47:D47"/>
    <mergeCell ref="A29:D29"/>
    <mergeCell ref="E2:H2"/>
    <mergeCell ref="I2:L2"/>
    <mergeCell ref="M2:P2"/>
    <mergeCell ref="A34:D34"/>
    <mergeCell ref="A38:D38"/>
    <mergeCell ref="A43:D43"/>
    <mergeCell ref="Q2:R2"/>
    <mergeCell ref="A25:D25"/>
    <mergeCell ref="A7:D7"/>
    <mergeCell ref="A16:D16"/>
    <mergeCell ref="A10:D10"/>
    <mergeCell ref="A12:D12"/>
    <mergeCell ref="A21:D21"/>
  </mergeCells>
  <pageMargins left="0.75" right="0.25" top="0.5" bottom="0.5" header="0.3" footer="0.3"/>
  <pageSetup scale="72" fitToWidth="0" orientation="landscape" r:id="rId1"/>
  <ignoredErrors>
    <ignoredError sqref="F50 Q10:R10 Q7:R7 Q21:R21 Q25:R25 J50 Q16:R16 Q34:R34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G9"/>
  <sheetViews>
    <sheetView workbookViewId="0"/>
  </sheetViews>
  <sheetFormatPr defaultRowHeight="15" x14ac:dyDescent="0.25"/>
  <cols>
    <col min="1" max="1" width="21.5703125" customWidth="1"/>
    <col min="2" max="3" width="10.5703125" bestFit="1" customWidth="1"/>
    <col min="4" max="4" width="12" bestFit="1" customWidth="1"/>
    <col min="5" max="6" width="10.5703125" bestFit="1" customWidth="1"/>
    <col min="7" max="7" width="13.28515625" bestFit="1" customWidth="1"/>
  </cols>
  <sheetData>
    <row r="1" spans="1:7" x14ac:dyDescent="0.25">
      <c r="A1" s="3" t="s">
        <v>50</v>
      </c>
      <c r="B1" s="3"/>
      <c r="C1" s="3"/>
      <c r="D1" s="3"/>
      <c r="E1" s="3"/>
    </row>
    <row r="2" spans="1:7" x14ac:dyDescent="0.25">
      <c r="A2" s="3"/>
      <c r="B2" s="3"/>
      <c r="C2" s="3"/>
      <c r="D2" s="3"/>
      <c r="E2" s="3"/>
    </row>
    <row r="3" spans="1:7" ht="15.75" thickBot="1" x14ac:dyDescent="0.3">
      <c r="A3" s="3"/>
      <c r="B3" s="1" t="s">
        <v>53</v>
      </c>
      <c r="C3" s="3" t="s">
        <v>43</v>
      </c>
      <c r="D3" s="1" t="s">
        <v>42</v>
      </c>
      <c r="E3" s="1" t="s">
        <v>41</v>
      </c>
      <c r="F3" s="1" t="s">
        <v>40</v>
      </c>
      <c r="G3" s="1" t="s">
        <v>39</v>
      </c>
    </row>
    <row r="4" spans="1:7" x14ac:dyDescent="0.25">
      <c r="A4" s="44" t="s">
        <v>20</v>
      </c>
      <c r="B4" s="45">
        <v>4768605</v>
      </c>
      <c r="C4" s="45">
        <v>3885491.5446236241</v>
      </c>
      <c r="D4" s="45">
        <v>2881223.2800000003</v>
      </c>
      <c r="E4" s="45">
        <v>1847952.1349999998</v>
      </c>
      <c r="F4" s="45">
        <v>1094641.4136540764</v>
      </c>
      <c r="G4" s="45">
        <v>1276247.6927039789</v>
      </c>
    </row>
    <row r="5" spans="1:7" x14ac:dyDescent="0.25">
      <c r="A5" s="46" t="s">
        <v>21</v>
      </c>
      <c r="B5" s="47">
        <v>1198600</v>
      </c>
      <c r="C5" s="47">
        <v>2662860.8000000003</v>
      </c>
      <c r="D5" s="47">
        <f>5744410.73323314*0.4</f>
        <v>2297764.2932932558</v>
      </c>
      <c r="E5" s="47">
        <v>1881783.2000000002</v>
      </c>
      <c r="F5" s="47">
        <v>616314.30636927264</v>
      </c>
      <c r="G5" s="47">
        <v>845427.66684737173</v>
      </c>
    </row>
    <row r="6" spans="1:7" x14ac:dyDescent="0.25">
      <c r="A6" s="46" t="s">
        <v>22</v>
      </c>
      <c r="B6" s="47">
        <v>1094781</v>
      </c>
      <c r="C6" s="118">
        <v>889827.43342746096</v>
      </c>
      <c r="D6" s="117">
        <f>(2615522*0.5)-(161153)+250000</f>
        <v>1396608</v>
      </c>
      <c r="E6" s="47">
        <v>1072689.5999999999</v>
      </c>
      <c r="F6" s="47">
        <v>371373.03795949166</v>
      </c>
      <c r="G6" s="47">
        <v>683167.40704835602</v>
      </c>
    </row>
    <row r="7" spans="1:7" x14ac:dyDescent="0.25">
      <c r="A7" s="46" t="s">
        <v>23</v>
      </c>
      <c r="B7" s="47">
        <v>1695074</v>
      </c>
      <c r="C7" s="47">
        <v>2240308.7479108246</v>
      </c>
      <c r="D7" s="47">
        <v>2088668.5</v>
      </c>
      <c r="E7" s="47">
        <v>909667.35</v>
      </c>
      <c r="F7" s="47">
        <v>605830.70008886908</v>
      </c>
      <c r="G7" s="47">
        <v>545586.68998891278</v>
      </c>
    </row>
    <row r="8" spans="1:7" ht="15.75" thickBot="1" x14ac:dyDescent="0.3">
      <c r="A8" s="48" t="s">
        <v>24</v>
      </c>
      <c r="B8" s="49">
        <v>63740</v>
      </c>
      <c r="C8" s="49">
        <v>125735.12787535199</v>
      </c>
      <c r="D8" s="49">
        <f>1033285.9456848*0.254*0.5</f>
        <v>131227.31510196961</v>
      </c>
      <c r="E8" s="49">
        <v>113543.20699999999</v>
      </c>
      <c r="F8" s="49">
        <v>144560.51050788548</v>
      </c>
      <c r="G8" s="49">
        <v>258924.12448845015</v>
      </c>
    </row>
    <row r="9" spans="1:7" ht="16.5" thickBot="1" x14ac:dyDescent="0.3">
      <c r="A9" s="50" t="s">
        <v>34</v>
      </c>
      <c r="B9" s="51">
        <f t="shared" ref="B9:G9" si="0">SUM(B4:B8)</f>
        <v>8820800</v>
      </c>
      <c r="C9" s="51">
        <f t="shared" si="0"/>
        <v>9804223.6538372617</v>
      </c>
      <c r="D9" s="51">
        <f t="shared" si="0"/>
        <v>8795491.3883952256</v>
      </c>
      <c r="E9" s="51">
        <f t="shared" si="0"/>
        <v>5825635.4919999996</v>
      </c>
      <c r="F9" s="51">
        <f t="shared" si="0"/>
        <v>2832719.968579595</v>
      </c>
      <c r="G9" s="51">
        <f t="shared" si="0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100"/>
  <sheetViews>
    <sheetView workbookViewId="0">
      <selection activeCell="D100" sqref="D100"/>
    </sheetView>
  </sheetViews>
  <sheetFormatPr defaultRowHeight="15" x14ac:dyDescent="0.25"/>
  <cols>
    <col min="1" max="1" width="9.42578125" style="3" bestFit="1" customWidth="1"/>
    <col min="2" max="2" width="12.5703125" style="3" bestFit="1" customWidth="1"/>
    <col min="3" max="3" width="10.140625" style="85" bestFit="1" customWidth="1"/>
    <col min="4" max="4" width="14.7109375" style="3" bestFit="1" customWidth="1"/>
    <col min="5" max="5" width="16.7109375" bestFit="1" customWidth="1"/>
  </cols>
  <sheetData>
    <row r="1" spans="1:7" x14ac:dyDescent="0.25">
      <c r="A1" s="133"/>
      <c r="B1" s="133"/>
      <c r="C1" s="133"/>
      <c r="D1" s="133"/>
      <c r="E1" s="133"/>
    </row>
    <row r="2" spans="1:7" x14ac:dyDescent="0.25">
      <c r="A2" s="134"/>
      <c r="B2" s="135"/>
      <c r="C2" s="136"/>
      <c r="D2" s="134"/>
      <c r="E2" s="137"/>
      <c r="F2" s="8"/>
      <c r="G2" s="82"/>
    </row>
    <row r="3" spans="1:7" x14ac:dyDescent="0.25">
      <c r="A3" s="134"/>
      <c r="B3" s="135"/>
      <c r="C3" s="136"/>
      <c r="D3" s="134"/>
      <c r="E3" s="137"/>
      <c r="F3" s="8"/>
      <c r="G3" s="82"/>
    </row>
    <row r="4" spans="1:7" x14ac:dyDescent="0.25">
      <c r="A4" s="134"/>
      <c r="B4" s="135"/>
      <c r="C4" s="136"/>
      <c r="D4" s="134"/>
      <c r="E4" s="137"/>
      <c r="F4" s="8"/>
      <c r="G4" s="82"/>
    </row>
    <row r="5" spans="1:7" x14ac:dyDescent="0.25">
      <c r="A5" s="134"/>
      <c r="B5" s="135"/>
      <c r="C5" s="136"/>
      <c r="D5" s="134"/>
      <c r="E5" s="137"/>
      <c r="F5" s="8"/>
      <c r="G5" s="82"/>
    </row>
    <row r="6" spans="1:7" x14ac:dyDescent="0.25">
      <c r="A6" s="134"/>
      <c r="B6" s="135"/>
      <c r="C6" s="136"/>
      <c r="D6" s="134"/>
      <c r="E6" s="137"/>
      <c r="F6" s="8"/>
      <c r="G6" s="82"/>
    </row>
    <row r="7" spans="1:7" x14ac:dyDescent="0.25">
      <c r="A7" s="134"/>
      <c r="B7" s="135"/>
      <c r="C7" s="136"/>
      <c r="D7" s="134"/>
      <c r="E7" s="137"/>
      <c r="F7" s="8"/>
      <c r="G7" s="82"/>
    </row>
    <row r="8" spans="1:7" x14ac:dyDescent="0.25">
      <c r="A8" s="134"/>
      <c r="B8" s="135"/>
      <c r="C8" s="136"/>
      <c r="D8" s="134"/>
      <c r="E8" s="137"/>
      <c r="F8" s="8"/>
      <c r="G8" s="82"/>
    </row>
    <row r="9" spans="1:7" x14ac:dyDescent="0.25">
      <c r="A9" s="134"/>
      <c r="B9" s="135"/>
      <c r="C9" s="136"/>
      <c r="D9" s="134"/>
      <c r="E9" s="137"/>
      <c r="F9" s="8"/>
      <c r="G9" s="82"/>
    </row>
    <row r="10" spans="1:7" x14ac:dyDescent="0.25">
      <c r="A10" s="134"/>
      <c r="B10" s="135"/>
      <c r="C10" s="136"/>
      <c r="D10" s="134"/>
      <c r="E10" s="137"/>
      <c r="F10" s="8"/>
      <c r="G10" s="82"/>
    </row>
    <row r="11" spans="1:7" x14ac:dyDescent="0.25">
      <c r="A11" s="134"/>
      <c r="B11" s="135"/>
      <c r="C11" s="136"/>
      <c r="D11" s="134"/>
      <c r="E11" s="137"/>
      <c r="F11" s="8"/>
      <c r="G11" s="82"/>
    </row>
    <row r="12" spans="1:7" x14ac:dyDescent="0.25">
      <c r="A12" s="134"/>
      <c r="B12" s="135"/>
      <c r="C12" s="136"/>
      <c r="D12" s="134"/>
      <c r="E12" s="137"/>
      <c r="F12" s="8"/>
      <c r="G12" s="82"/>
    </row>
    <row r="13" spans="1:7" x14ac:dyDescent="0.25">
      <c r="A13" s="134"/>
      <c r="B13" s="135"/>
      <c r="C13" s="136"/>
      <c r="D13" s="134"/>
      <c r="E13" s="137"/>
      <c r="F13" s="8"/>
      <c r="G13" s="82"/>
    </row>
    <row r="14" spans="1:7" x14ac:dyDescent="0.25">
      <c r="A14" s="134"/>
      <c r="B14" s="135"/>
      <c r="C14" s="136"/>
      <c r="D14" s="134"/>
      <c r="E14" s="137"/>
      <c r="F14" s="8"/>
      <c r="G14" s="82"/>
    </row>
    <row r="15" spans="1:7" x14ac:dyDescent="0.25">
      <c r="A15" s="134"/>
      <c r="B15" s="135"/>
      <c r="C15" s="136"/>
      <c r="D15" s="134"/>
      <c r="E15" s="137"/>
      <c r="F15" s="8"/>
      <c r="G15" s="82"/>
    </row>
    <row r="16" spans="1:7" x14ac:dyDescent="0.25">
      <c r="A16" s="134"/>
      <c r="B16" s="135"/>
      <c r="C16" s="136"/>
      <c r="D16" s="134"/>
      <c r="E16" s="137"/>
      <c r="F16" s="8"/>
      <c r="G16" s="82"/>
    </row>
    <row r="17" spans="1:7" x14ac:dyDescent="0.25">
      <c r="A17" s="134"/>
      <c r="B17" s="135"/>
      <c r="C17" s="136"/>
      <c r="D17" s="134"/>
      <c r="E17" s="137"/>
      <c r="F17" s="8"/>
      <c r="G17" s="82"/>
    </row>
    <row r="18" spans="1:7" x14ac:dyDescent="0.25">
      <c r="A18" s="134"/>
      <c r="B18" s="135"/>
      <c r="C18" s="136"/>
      <c r="D18" s="134"/>
      <c r="E18" s="137"/>
      <c r="F18" s="8"/>
      <c r="G18" s="82"/>
    </row>
    <row r="19" spans="1:7" x14ac:dyDescent="0.25">
      <c r="A19" s="134"/>
      <c r="B19" s="135"/>
      <c r="C19" s="136"/>
      <c r="D19" s="134"/>
      <c r="E19" s="137"/>
      <c r="F19" s="8"/>
      <c r="G19" s="82"/>
    </row>
    <row r="20" spans="1:7" x14ac:dyDescent="0.25">
      <c r="A20" s="134"/>
      <c r="B20" s="135"/>
      <c r="C20" s="136"/>
      <c r="D20" s="134"/>
      <c r="E20" s="137"/>
      <c r="F20" s="8"/>
      <c r="G20" s="82"/>
    </row>
    <row r="21" spans="1:7" x14ac:dyDescent="0.25">
      <c r="A21" s="134"/>
      <c r="B21" s="135"/>
      <c r="C21" s="136"/>
      <c r="D21" s="134"/>
      <c r="E21" s="137"/>
      <c r="F21" s="8"/>
      <c r="G21" s="82"/>
    </row>
    <row r="22" spans="1:7" x14ac:dyDescent="0.25">
      <c r="A22" s="134"/>
      <c r="B22" s="135"/>
      <c r="C22" s="136"/>
      <c r="D22" s="134"/>
      <c r="E22" s="137"/>
      <c r="F22" s="8"/>
      <c r="G22" s="82"/>
    </row>
    <row r="23" spans="1:7" x14ac:dyDescent="0.25">
      <c r="A23" s="134"/>
      <c r="B23" s="135"/>
      <c r="C23" s="136"/>
      <c r="D23" s="134"/>
      <c r="E23" s="137"/>
      <c r="F23" s="8"/>
      <c r="G23" s="82"/>
    </row>
    <row r="24" spans="1:7" x14ac:dyDescent="0.25">
      <c r="A24" s="134"/>
      <c r="B24" s="135"/>
      <c r="C24" s="136"/>
      <c r="D24" s="134"/>
      <c r="E24" s="137"/>
      <c r="F24" s="8"/>
      <c r="G24" s="82"/>
    </row>
    <row r="25" spans="1:7" x14ac:dyDescent="0.25">
      <c r="A25" s="134"/>
      <c r="B25" s="135"/>
      <c r="C25" s="136"/>
      <c r="D25" s="134"/>
      <c r="E25" s="137"/>
      <c r="F25" s="8"/>
      <c r="G25" s="82"/>
    </row>
    <row r="26" spans="1:7" x14ac:dyDescent="0.25">
      <c r="A26" s="105"/>
      <c r="B26" s="106"/>
      <c r="C26" s="107"/>
      <c r="D26" s="105"/>
      <c r="E26" s="108"/>
      <c r="F26" s="8"/>
      <c r="G26" s="82"/>
    </row>
    <row r="27" spans="1:7" x14ac:dyDescent="0.25">
      <c r="A27" s="105"/>
      <c r="B27" s="106"/>
      <c r="C27" s="107"/>
      <c r="D27" s="105"/>
      <c r="E27" s="108"/>
      <c r="F27" s="8"/>
      <c r="G27" s="82"/>
    </row>
    <row r="28" spans="1:7" x14ac:dyDescent="0.25">
      <c r="A28" s="105"/>
      <c r="B28" s="106"/>
      <c r="C28" s="107"/>
      <c r="D28" s="105"/>
      <c r="E28" s="108"/>
      <c r="F28" s="8"/>
      <c r="G28" s="82"/>
    </row>
    <row r="29" spans="1:7" x14ac:dyDescent="0.25">
      <c r="A29" s="105"/>
      <c r="B29" s="106"/>
      <c r="C29" s="107"/>
      <c r="D29" s="105"/>
      <c r="E29" s="108"/>
      <c r="F29" s="8"/>
      <c r="G29" s="82"/>
    </row>
    <row r="30" spans="1:7" x14ac:dyDescent="0.25">
      <c r="A30" s="105"/>
      <c r="B30" s="106"/>
      <c r="C30" s="107"/>
      <c r="D30" s="105"/>
      <c r="E30" s="108"/>
      <c r="F30" s="8"/>
      <c r="G30" s="82"/>
    </row>
    <row r="31" spans="1:7" x14ac:dyDescent="0.25">
      <c r="A31" s="105"/>
      <c r="B31" s="106"/>
      <c r="C31" s="107"/>
      <c r="D31" s="105"/>
      <c r="E31" s="108"/>
      <c r="F31" s="8"/>
      <c r="G31" s="82"/>
    </row>
    <row r="32" spans="1:7" x14ac:dyDescent="0.25">
      <c r="A32" s="105"/>
      <c r="B32" s="106"/>
      <c r="C32" s="107"/>
      <c r="D32" s="105"/>
      <c r="E32" s="108"/>
      <c r="F32" s="8"/>
      <c r="G32" s="82"/>
    </row>
    <row r="33" spans="1:7" x14ac:dyDescent="0.25">
      <c r="A33" s="105"/>
      <c r="B33" s="106"/>
      <c r="C33" s="107"/>
      <c r="D33" s="105"/>
      <c r="E33" s="108"/>
      <c r="F33" s="8"/>
      <c r="G33" s="82"/>
    </row>
    <row r="34" spans="1:7" x14ac:dyDescent="0.25">
      <c r="A34" s="105"/>
      <c r="B34" s="106"/>
      <c r="C34" s="107"/>
      <c r="D34" s="105"/>
      <c r="E34" s="108"/>
      <c r="F34" s="8"/>
      <c r="G34" s="82"/>
    </row>
    <row r="35" spans="1:7" x14ac:dyDescent="0.25">
      <c r="A35" s="105"/>
      <c r="B35" s="106"/>
      <c r="C35" s="107"/>
      <c r="D35" s="105"/>
      <c r="E35" s="108"/>
      <c r="F35" s="8"/>
      <c r="G35" s="82"/>
    </row>
    <row r="36" spans="1:7" x14ac:dyDescent="0.25">
      <c r="A36" s="105"/>
      <c r="B36" s="106"/>
      <c r="C36" s="107"/>
      <c r="D36" s="105"/>
      <c r="E36" s="108"/>
      <c r="F36" s="8"/>
      <c r="G36" s="82"/>
    </row>
    <row r="37" spans="1:7" x14ac:dyDescent="0.25">
      <c r="A37" s="105"/>
      <c r="B37" s="106"/>
      <c r="C37" s="107"/>
      <c r="D37" s="105"/>
      <c r="E37" s="108"/>
      <c r="F37" s="8"/>
      <c r="G37" s="82"/>
    </row>
    <row r="38" spans="1:7" x14ac:dyDescent="0.25">
      <c r="A38" s="105"/>
      <c r="B38" s="106"/>
      <c r="C38" s="107"/>
      <c r="D38" s="105"/>
      <c r="E38" s="108"/>
      <c r="F38" s="8"/>
      <c r="G38" s="82"/>
    </row>
    <row r="39" spans="1:7" x14ac:dyDescent="0.25">
      <c r="A39" s="105"/>
      <c r="B39" s="106"/>
      <c r="C39" s="107"/>
      <c r="D39" s="105"/>
      <c r="E39" s="108"/>
      <c r="F39" s="8"/>
      <c r="G39" s="82"/>
    </row>
    <row r="40" spans="1:7" x14ac:dyDescent="0.25">
      <c r="A40" s="105"/>
      <c r="B40" s="106"/>
      <c r="C40" s="107"/>
      <c r="D40" s="105"/>
      <c r="E40" s="108"/>
      <c r="F40" s="8"/>
      <c r="G40" s="82"/>
    </row>
    <row r="41" spans="1:7" x14ac:dyDescent="0.25">
      <c r="A41" s="105"/>
      <c r="B41" s="106"/>
      <c r="C41" s="107"/>
      <c r="D41" s="105"/>
      <c r="E41" s="108"/>
      <c r="F41" s="8"/>
      <c r="G41" s="82"/>
    </row>
    <row r="42" spans="1:7" x14ac:dyDescent="0.25">
      <c r="A42" s="105"/>
      <c r="B42" s="106"/>
      <c r="C42" s="107"/>
      <c r="D42" s="105"/>
      <c r="E42" s="108"/>
      <c r="F42" s="8"/>
      <c r="G42" s="82"/>
    </row>
    <row r="43" spans="1:7" x14ac:dyDescent="0.25">
      <c r="A43" s="105"/>
      <c r="B43" s="106"/>
      <c r="C43" s="107"/>
      <c r="D43" s="105"/>
      <c r="E43" s="108"/>
      <c r="F43" s="8"/>
      <c r="G43" s="82"/>
    </row>
    <row r="44" spans="1:7" x14ac:dyDescent="0.25">
      <c r="A44" s="105"/>
      <c r="B44" s="106"/>
      <c r="C44" s="107"/>
      <c r="D44" s="105"/>
      <c r="E44" s="108"/>
      <c r="F44" s="8"/>
      <c r="G44" s="82"/>
    </row>
    <row r="45" spans="1:7" x14ac:dyDescent="0.25">
      <c r="A45" s="105"/>
      <c r="B45" s="106"/>
      <c r="C45" s="107"/>
      <c r="D45" s="105"/>
      <c r="E45" s="108"/>
      <c r="F45" s="8"/>
      <c r="G45" s="82"/>
    </row>
    <row r="46" spans="1:7" x14ac:dyDescent="0.25">
      <c r="A46" s="105"/>
      <c r="B46" s="106"/>
      <c r="C46" s="107"/>
      <c r="D46" s="105"/>
      <c r="E46" s="108"/>
      <c r="F46" s="8"/>
      <c r="G46" s="82"/>
    </row>
    <row r="47" spans="1:7" x14ac:dyDescent="0.25">
      <c r="A47" s="105"/>
      <c r="B47" s="106"/>
      <c r="C47" s="107"/>
      <c r="D47" s="105"/>
      <c r="E47" s="108"/>
      <c r="F47" s="8"/>
      <c r="G47" s="82"/>
    </row>
    <row r="48" spans="1:7" x14ac:dyDescent="0.25">
      <c r="A48" s="105"/>
      <c r="B48" s="106"/>
      <c r="C48" s="107"/>
      <c r="D48" s="105"/>
      <c r="E48" s="108"/>
    </row>
    <row r="49" spans="1:5" x14ac:dyDescent="0.25">
      <c r="A49" s="105"/>
      <c r="B49" s="106"/>
      <c r="C49" s="107"/>
      <c r="D49" s="105"/>
      <c r="E49" s="108"/>
    </row>
    <row r="50" spans="1:5" x14ac:dyDescent="0.25">
      <c r="A50" s="105"/>
      <c r="B50" s="106"/>
      <c r="C50" s="107"/>
      <c r="D50" s="105"/>
      <c r="E50" s="108"/>
    </row>
    <row r="51" spans="1:5" x14ac:dyDescent="0.25">
      <c r="A51" s="105"/>
      <c r="B51" s="106"/>
      <c r="C51" s="107"/>
      <c r="D51" s="105"/>
      <c r="E51" s="108"/>
    </row>
    <row r="52" spans="1:5" x14ac:dyDescent="0.25">
      <c r="A52" s="105"/>
      <c r="B52" s="106"/>
      <c r="C52" s="107"/>
      <c r="D52" s="105"/>
      <c r="E52" s="108"/>
    </row>
    <row r="53" spans="1:5" x14ac:dyDescent="0.25">
      <c r="A53" s="105"/>
      <c r="B53" s="106"/>
      <c r="C53" s="107"/>
      <c r="D53" s="105"/>
      <c r="E53" s="108"/>
    </row>
    <row r="54" spans="1:5" x14ac:dyDescent="0.25">
      <c r="A54" s="105"/>
      <c r="B54" s="106"/>
      <c r="C54" s="107"/>
      <c r="D54" s="105"/>
      <c r="E54" s="108"/>
    </row>
    <row r="55" spans="1:5" x14ac:dyDescent="0.25">
      <c r="A55" s="105"/>
      <c r="B55" s="106"/>
      <c r="C55" s="107"/>
      <c r="D55" s="105"/>
      <c r="E55" s="108"/>
    </row>
    <row r="56" spans="1:5" x14ac:dyDescent="0.25">
      <c r="A56" s="105"/>
      <c r="B56" s="106"/>
      <c r="C56" s="107"/>
      <c r="D56" s="105"/>
      <c r="E56" s="108"/>
    </row>
    <row r="57" spans="1:5" x14ac:dyDescent="0.25">
      <c r="A57" s="105"/>
      <c r="B57" s="106"/>
      <c r="C57" s="107"/>
      <c r="D57" s="105"/>
      <c r="E57" s="108"/>
    </row>
    <row r="58" spans="1:5" x14ac:dyDescent="0.25">
      <c r="A58" s="105"/>
      <c r="B58" s="106"/>
      <c r="C58" s="107"/>
      <c r="D58" s="105"/>
      <c r="E58" s="108"/>
    </row>
    <row r="59" spans="1:5" x14ac:dyDescent="0.25">
      <c r="A59" s="105"/>
      <c r="B59" s="106"/>
      <c r="C59" s="107"/>
      <c r="D59" s="105"/>
      <c r="E59" s="108"/>
    </row>
    <row r="60" spans="1:5" x14ac:dyDescent="0.25">
      <c r="A60" s="105"/>
      <c r="B60" s="106"/>
      <c r="C60" s="107"/>
      <c r="D60" s="105"/>
      <c r="E60" s="108"/>
    </row>
    <row r="61" spans="1:5" x14ac:dyDescent="0.25">
      <c r="A61" s="105"/>
      <c r="B61" s="106"/>
      <c r="C61" s="107"/>
      <c r="D61" s="105"/>
      <c r="E61" s="108"/>
    </row>
    <row r="62" spans="1:5" x14ac:dyDescent="0.25">
      <c r="A62" s="105"/>
      <c r="B62" s="106"/>
      <c r="C62" s="107"/>
      <c r="D62" s="105"/>
      <c r="E62" s="108"/>
    </row>
    <row r="63" spans="1:5" x14ac:dyDescent="0.25">
      <c r="A63" s="105"/>
      <c r="B63" s="106"/>
      <c r="C63" s="107"/>
      <c r="D63" s="105"/>
      <c r="E63" s="108"/>
    </row>
    <row r="64" spans="1:5" x14ac:dyDescent="0.25">
      <c r="A64" s="105"/>
      <c r="B64" s="106"/>
      <c r="C64" s="107"/>
      <c r="D64" s="105"/>
      <c r="E64" s="108"/>
    </row>
    <row r="65" spans="1:5" x14ac:dyDescent="0.25">
      <c r="A65" s="105"/>
      <c r="B65" s="106"/>
      <c r="C65" s="107"/>
      <c r="D65" s="105"/>
      <c r="E65" s="108"/>
    </row>
    <row r="66" spans="1:5" x14ac:dyDescent="0.25">
      <c r="A66" s="105"/>
      <c r="B66" s="106"/>
      <c r="C66" s="107"/>
      <c r="D66" s="105"/>
      <c r="E66" s="108"/>
    </row>
    <row r="67" spans="1:5" x14ac:dyDescent="0.25">
      <c r="A67" s="105"/>
      <c r="B67" s="106"/>
      <c r="C67" s="107"/>
      <c r="D67" s="105"/>
      <c r="E67" s="108"/>
    </row>
    <row r="68" spans="1:5" x14ac:dyDescent="0.25">
      <c r="A68" s="105"/>
      <c r="B68" s="106"/>
      <c r="C68" s="107"/>
      <c r="D68" s="105"/>
      <c r="E68" s="108"/>
    </row>
    <row r="69" spans="1:5" x14ac:dyDescent="0.25">
      <c r="A69" s="105"/>
      <c r="B69" s="106"/>
      <c r="C69" s="107"/>
      <c r="D69" s="105"/>
      <c r="E69" s="108"/>
    </row>
    <row r="70" spans="1:5" x14ac:dyDescent="0.25">
      <c r="A70" s="105"/>
      <c r="B70" s="106"/>
      <c r="C70" s="107"/>
      <c r="D70" s="105"/>
      <c r="E70" s="108"/>
    </row>
    <row r="71" spans="1:5" x14ac:dyDescent="0.25">
      <c r="A71" s="105"/>
      <c r="B71" s="106"/>
      <c r="C71" s="107"/>
      <c r="D71" s="105"/>
      <c r="E71" s="108"/>
    </row>
    <row r="72" spans="1:5" x14ac:dyDescent="0.25">
      <c r="A72" s="105"/>
      <c r="B72" s="106"/>
      <c r="C72" s="107"/>
      <c r="D72" s="105"/>
      <c r="E72" s="108"/>
    </row>
    <row r="73" spans="1:5" x14ac:dyDescent="0.25">
      <c r="A73" s="105"/>
      <c r="B73" s="106"/>
      <c r="C73" s="107"/>
      <c r="D73" s="105"/>
      <c r="E73" s="108"/>
    </row>
    <row r="74" spans="1:5" x14ac:dyDescent="0.25">
      <c r="A74" s="105"/>
      <c r="B74" s="106"/>
      <c r="C74" s="107"/>
      <c r="D74" s="105"/>
      <c r="E74" s="108"/>
    </row>
    <row r="75" spans="1:5" x14ac:dyDescent="0.25">
      <c r="A75" s="105"/>
      <c r="B75" s="106"/>
      <c r="C75" s="107"/>
      <c r="D75" s="105"/>
      <c r="E75" s="108"/>
    </row>
    <row r="76" spans="1:5" x14ac:dyDescent="0.25">
      <c r="A76" s="105"/>
      <c r="B76" s="106"/>
      <c r="C76" s="107"/>
      <c r="D76" s="105"/>
      <c r="E76" s="108"/>
    </row>
    <row r="77" spans="1:5" x14ac:dyDescent="0.25">
      <c r="A77" s="105"/>
      <c r="B77" s="106"/>
      <c r="C77" s="107"/>
      <c r="D77" s="105"/>
      <c r="E77" s="108"/>
    </row>
    <row r="78" spans="1:5" x14ac:dyDescent="0.25">
      <c r="A78" s="105"/>
      <c r="B78" s="106"/>
      <c r="C78" s="107"/>
      <c r="D78" s="105"/>
      <c r="E78" s="108"/>
    </row>
    <row r="79" spans="1:5" x14ac:dyDescent="0.25">
      <c r="A79" s="105"/>
      <c r="B79" s="106"/>
      <c r="C79" s="107"/>
      <c r="D79" s="105"/>
      <c r="E79" s="108"/>
    </row>
    <row r="80" spans="1:5" x14ac:dyDescent="0.25">
      <c r="A80" s="105"/>
      <c r="B80" s="106"/>
      <c r="C80" s="107"/>
      <c r="D80" s="105"/>
      <c r="E80" s="108"/>
    </row>
    <row r="81" spans="1:5" x14ac:dyDescent="0.25">
      <c r="A81" s="105"/>
      <c r="B81" s="106"/>
      <c r="C81" s="107"/>
      <c r="D81" s="105"/>
      <c r="E81" s="108"/>
    </row>
    <row r="82" spans="1:5" x14ac:dyDescent="0.25">
      <c r="A82" s="105"/>
      <c r="B82" s="106"/>
      <c r="C82" s="107"/>
      <c r="D82" s="105"/>
      <c r="E82" s="108"/>
    </row>
    <row r="83" spans="1:5" x14ac:dyDescent="0.25">
      <c r="A83" s="105"/>
      <c r="B83" s="106"/>
      <c r="C83" s="107"/>
      <c r="D83" s="105"/>
      <c r="E83" s="108"/>
    </row>
    <row r="84" spans="1:5" x14ac:dyDescent="0.25">
      <c r="A84" s="105"/>
      <c r="B84" s="106"/>
      <c r="C84" s="107"/>
      <c r="D84" s="105"/>
      <c r="E84" s="108"/>
    </row>
    <row r="85" spans="1:5" x14ac:dyDescent="0.25">
      <c r="A85" s="105"/>
      <c r="B85" s="106"/>
      <c r="C85" s="107"/>
      <c r="D85" s="105"/>
      <c r="E85" s="108"/>
    </row>
    <row r="86" spans="1:5" x14ac:dyDescent="0.25">
      <c r="A86" s="105"/>
      <c r="B86" s="106"/>
      <c r="C86" s="107"/>
      <c r="D86" s="105"/>
      <c r="E86" s="108"/>
    </row>
    <row r="87" spans="1:5" x14ac:dyDescent="0.25">
      <c r="A87" s="105"/>
      <c r="B87" s="106"/>
      <c r="C87" s="107"/>
      <c r="D87" s="105"/>
      <c r="E87" s="108"/>
    </row>
    <row r="88" spans="1:5" x14ac:dyDescent="0.25">
      <c r="A88" s="105"/>
      <c r="B88" s="106"/>
      <c r="C88" s="107"/>
      <c r="D88" s="105"/>
      <c r="E88" s="108"/>
    </row>
    <row r="89" spans="1:5" x14ac:dyDescent="0.25">
      <c r="A89" s="105"/>
      <c r="B89" s="106"/>
      <c r="C89" s="107"/>
      <c r="D89" s="105"/>
      <c r="E89" s="108"/>
    </row>
    <row r="90" spans="1:5" x14ac:dyDescent="0.25">
      <c r="A90" s="105"/>
      <c r="B90" s="106"/>
      <c r="C90" s="107"/>
      <c r="D90" s="105"/>
      <c r="E90" s="108"/>
    </row>
    <row r="91" spans="1:5" x14ac:dyDescent="0.25">
      <c r="A91" s="105"/>
      <c r="B91" s="106"/>
      <c r="C91" s="107"/>
      <c r="D91" s="105"/>
      <c r="E91" s="108"/>
    </row>
    <row r="92" spans="1:5" x14ac:dyDescent="0.25">
      <c r="A92" s="105"/>
      <c r="B92" s="106"/>
      <c r="C92" s="107"/>
      <c r="D92" s="105"/>
      <c r="E92" s="108"/>
    </row>
    <row r="93" spans="1:5" x14ac:dyDescent="0.25">
      <c r="A93" s="105"/>
      <c r="B93" s="106"/>
      <c r="C93" s="107"/>
      <c r="D93" s="105"/>
      <c r="E93" s="108"/>
    </row>
    <row r="94" spans="1:5" x14ac:dyDescent="0.25">
      <c r="A94" s="105"/>
      <c r="B94" s="106"/>
      <c r="C94" s="107"/>
      <c r="D94" s="105"/>
      <c r="E94" s="108"/>
    </row>
    <row r="95" spans="1:5" x14ac:dyDescent="0.25">
      <c r="A95" s="105"/>
      <c r="B95" s="106"/>
      <c r="C95" s="107"/>
      <c r="D95" s="105"/>
      <c r="E95" s="108"/>
    </row>
    <row r="96" spans="1:5" x14ac:dyDescent="0.25">
      <c r="A96" s="109"/>
      <c r="B96" s="110"/>
      <c r="C96" s="111"/>
      <c r="D96" s="105"/>
      <c r="E96" s="112"/>
    </row>
    <row r="97" spans="1:6" x14ac:dyDescent="0.25">
      <c r="A97" s="109"/>
      <c r="B97" s="110"/>
      <c r="C97" s="111"/>
      <c r="D97" s="105"/>
      <c r="E97" s="112"/>
    </row>
    <row r="98" spans="1:6" x14ac:dyDescent="0.25">
      <c r="A98" s="109"/>
      <c r="B98" s="110"/>
      <c r="C98" s="111"/>
      <c r="D98" s="105"/>
      <c r="E98" s="112"/>
    </row>
    <row r="99" spans="1:6" x14ac:dyDescent="0.25">
      <c r="A99" s="109"/>
      <c r="B99" s="110"/>
      <c r="C99" s="111"/>
      <c r="D99" s="105"/>
      <c r="E99" s="112"/>
    </row>
    <row r="100" spans="1:6" x14ac:dyDescent="0.25">
      <c r="D100" s="83">
        <f>SUM(D2:D99)</f>
        <v>0</v>
      </c>
      <c r="E100" s="10">
        <f>SUM(E2:E99)</f>
        <v>0</v>
      </c>
      <c r="F100" s="87" t="e">
        <f>+D100/E100</f>
        <v>#DIV/0!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100"/>
  <sheetViews>
    <sheetView topLeftCell="A71" workbookViewId="0">
      <selection activeCell="H100" sqref="H100"/>
    </sheetView>
  </sheetViews>
  <sheetFormatPr defaultRowHeight="15" x14ac:dyDescent="0.25"/>
  <cols>
    <col min="1" max="1" width="7.85546875" style="3" bestFit="1" customWidth="1"/>
    <col min="2" max="2" width="11.5703125" style="3" bestFit="1" customWidth="1"/>
    <col min="3" max="3" width="10.140625" style="3" bestFit="1" customWidth="1"/>
    <col min="4" max="4" width="14.7109375" style="3" bestFit="1" customWidth="1"/>
    <col min="5" max="5" width="16.7109375" style="3" bestFit="1" customWidth="1"/>
  </cols>
  <sheetData>
    <row r="1" spans="1:7" x14ac:dyDescent="0.25">
      <c r="A1" s="206" t="s">
        <v>38</v>
      </c>
      <c r="B1" s="206" t="s">
        <v>9</v>
      </c>
      <c r="C1" s="206" t="s">
        <v>8</v>
      </c>
      <c r="D1" s="206" t="s">
        <v>64</v>
      </c>
      <c r="E1" s="206" t="s">
        <v>65</v>
      </c>
      <c r="F1" s="206" t="s">
        <v>66</v>
      </c>
      <c r="G1" s="206" t="s">
        <v>67</v>
      </c>
    </row>
    <row r="2" spans="1:7" x14ac:dyDescent="0.25">
      <c r="A2" s="207">
        <v>1295</v>
      </c>
      <c r="B2" s="208" t="s">
        <v>55</v>
      </c>
      <c r="C2" s="209">
        <v>42466</v>
      </c>
      <c r="D2" s="208" t="s">
        <v>77</v>
      </c>
      <c r="E2" s="207">
        <v>100</v>
      </c>
      <c r="F2" s="207">
        <v>2</v>
      </c>
      <c r="G2" s="207">
        <v>2</v>
      </c>
    </row>
    <row r="3" spans="1:7" x14ac:dyDescent="0.25">
      <c r="A3" s="207">
        <v>1296</v>
      </c>
      <c r="B3" s="208" t="s">
        <v>55</v>
      </c>
      <c r="C3" s="209">
        <v>42467</v>
      </c>
      <c r="D3" s="208" t="s">
        <v>77</v>
      </c>
      <c r="E3" s="207">
        <v>50</v>
      </c>
      <c r="F3" s="207">
        <v>4</v>
      </c>
      <c r="G3" s="207">
        <v>4</v>
      </c>
    </row>
    <row r="4" spans="1:7" x14ac:dyDescent="0.25">
      <c r="A4" s="207">
        <v>1296</v>
      </c>
      <c r="B4" s="208" t="s">
        <v>55</v>
      </c>
      <c r="C4" s="209">
        <v>42467</v>
      </c>
      <c r="D4" s="208" t="s">
        <v>78</v>
      </c>
      <c r="E4" s="207">
        <v>50</v>
      </c>
      <c r="F4" s="207">
        <v>1</v>
      </c>
      <c r="G4" s="207">
        <v>1</v>
      </c>
    </row>
    <row r="5" spans="1:7" x14ac:dyDescent="0.25">
      <c r="A5" s="207">
        <v>1296</v>
      </c>
      <c r="B5" s="208" t="s">
        <v>55</v>
      </c>
      <c r="C5" s="209">
        <v>42467</v>
      </c>
      <c r="D5" s="208" t="s">
        <v>79</v>
      </c>
      <c r="E5" s="207">
        <v>50</v>
      </c>
      <c r="F5" s="207">
        <v>0</v>
      </c>
      <c r="G5" s="207">
        <v>0</v>
      </c>
    </row>
    <row r="6" spans="1:7" x14ac:dyDescent="0.25">
      <c r="A6" s="207">
        <v>1297</v>
      </c>
      <c r="B6" s="208" t="s">
        <v>55</v>
      </c>
      <c r="C6" s="209">
        <v>42468</v>
      </c>
      <c r="D6" s="208" t="s">
        <v>79</v>
      </c>
      <c r="E6" s="207">
        <v>50</v>
      </c>
      <c r="F6" s="207">
        <v>0</v>
      </c>
      <c r="G6" s="207">
        <v>0</v>
      </c>
    </row>
    <row r="7" spans="1:7" x14ac:dyDescent="0.25">
      <c r="A7" s="207">
        <v>1297</v>
      </c>
      <c r="B7" s="208" t="s">
        <v>55</v>
      </c>
      <c r="C7" s="209">
        <v>42468</v>
      </c>
      <c r="D7" s="208" t="s">
        <v>78</v>
      </c>
      <c r="E7" s="207">
        <v>50</v>
      </c>
      <c r="F7" s="207">
        <v>2</v>
      </c>
      <c r="G7" s="207">
        <v>2</v>
      </c>
    </row>
    <row r="8" spans="1:7" x14ac:dyDescent="0.25">
      <c r="A8" s="207">
        <v>1299</v>
      </c>
      <c r="B8" s="208" t="s">
        <v>55</v>
      </c>
      <c r="C8" s="209">
        <v>42471</v>
      </c>
      <c r="D8" s="208" t="s">
        <v>77</v>
      </c>
      <c r="E8" s="207">
        <v>50</v>
      </c>
      <c r="F8" s="207">
        <v>2</v>
      </c>
      <c r="G8" s="207">
        <v>2</v>
      </c>
    </row>
    <row r="9" spans="1:7" x14ac:dyDescent="0.25">
      <c r="A9" s="207">
        <v>1299</v>
      </c>
      <c r="B9" s="208" t="s">
        <v>55</v>
      </c>
      <c r="C9" s="209">
        <v>42471</v>
      </c>
      <c r="D9" s="208" t="s">
        <v>78</v>
      </c>
      <c r="E9" s="207">
        <v>50</v>
      </c>
      <c r="F9" s="207">
        <v>2</v>
      </c>
      <c r="G9" s="207">
        <v>2</v>
      </c>
    </row>
    <row r="10" spans="1:7" x14ac:dyDescent="0.25">
      <c r="A10" s="129"/>
      <c r="B10" s="130"/>
      <c r="C10" s="131"/>
      <c r="D10" s="129"/>
      <c r="E10" s="132"/>
    </row>
    <row r="11" spans="1:7" x14ac:dyDescent="0.25">
      <c r="A11" s="129"/>
      <c r="B11" s="130"/>
      <c r="C11" s="131"/>
      <c r="D11" s="129"/>
      <c r="E11" s="132"/>
    </row>
    <row r="100" spans="4:8" x14ac:dyDescent="0.25">
      <c r="D100" s="89"/>
      <c r="E100" s="88">
        <f>SUM(E2:E99)</f>
        <v>450</v>
      </c>
      <c r="F100" s="87">
        <f>SUM(F2:F99)</f>
        <v>13</v>
      </c>
      <c r="G100">
        <f>SUM(G2:G99)</f>
        <v>13</v>
      </c>
      <c r="H100" s="87">
        <f>+G100/E100</f>
        <v>2.8888888888888888E-2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T100"/>
  <sheetViews>
    <sheetView topLeftCell="A64" workbookViewId="0">
      <selection sqref="A1:G12"/>
    </sheetView>
  </sheetViews>
  <sheetFormatPr defaultRowHeight="15" x14ac:dyDescent="0.25"/>
  <cols>
    <col min="1" max="2" width="14.28515625" customWidth="1"/>
    <col min="3" max="3" width="14.28515625" style="86" customWidth="1"/>
    <col min="4" max="4" width="14.28515625" customWidth="1"/>
    <col min="5" max="5" width="16.7109375" bestFit="1" customWidth="1"/>
  </cols>
  <sheetData>
    <row r="1" spans="1:20" x14ac:dyDescent="0.25">
      <c r="A1" s="221" t="s">
        <v>38</v>
      </c>
      <c r="B1" s="221" t="s">
        <v>9</v>
      </c>
      <c r="C1" s="221" t="s">
        <v>8</v>
      </c>
      <c r="D1" s="221" t="s">
        <v>64</v>
      </c>
      <c r="E1" s="221" t="s">
        <v>65</v>
      </c>
      <c r="F1" s="221" t="s">
        <v>66</v>
      </c>
      <c r="G1" s="221" t="s">
        <v>67</v>
      </c>
      <c r="M1" s="190" t="s">
        <v>38</v>
      </c>
      <c r="N1" s="190" t="s">
        <v>9</v>
      </c>
      <c r="O1" s="190" t="s">
        <v>8</v>
      </c>
      <c r="P1" s="190" t="s">
        <v>64</v>
      </c>
      <c r="Q1" s="190" t="s">
        <v>65</v>
      </c>
      <c r="R1" s="190" t="s">
        <v>66</v>
      </c>
      <c r="S1" s="190" t="s">
        <v>67</v>
      </c>
    </row>
    <row r="2" spans="1:20" x14ac:dyDescent="0.25">
      <c r="A2" s="222">
        <v>1272</v>
      </c>
      <c r="B2" s="223" t="s">
        <v>2</v>
      </c>
      <c r="C2" s="224">
        <v>42447</v>
      </c>
      <c r="D2" s="223" t="s">
        <v>68</v>
      </c>
      <c r="E2" s="222">
        <v>100</v>
      </c>
      <c r="F2" s="222">
        <v>2</v>
      </c>
      <c r="G2" s="222">
        <v>2</v>
      </c>
      <c r="M2" s="191">
        <v>1272</v>
      </c>
      <c r="N2" s="192" t="s">
        <v>2</v>
      </c>
      <c r="O2" s="193">
        <v>42447</v>
      </c>
      <c r="P2" s="192" t="s">
        <v>68</v>
      </c>
      <c r="Q2" s="191">
        <v>100</v>
      </c>
      <c r="R2" s="191">
        <v>2</v>
      </c>
      <c r="S2" s="191">
        <v>2</v>
      </c>
    </row>
    <row r="3" spans="1:20" x14ac:dyDescent="0.25">
      <c r="A3" s="222">
        <v>1272</v>
      </c>
      <c r="B3" s="223" t="s">
        <v>2</v>
      </c>
      <c r="C3" s="224">
        <v>42447</v>
      </c>
      <c r="D3" s="223" t="s">
        <v>69</v>
      </c>
      <c r="E3" s="222">
        <v>100</v>
      </c>
      <c r="F3" s="222">
        <v>1</v>
      </c>
      <c r="G3" s="222">
        <v>1</v>
      </c>
      <c r="M3" s="191">
        <v>1272</v>
      </c>
      <c r="N3" s="192" t="s">
        <v>2</v>
      </c>
      <c r="O3" s="193">
        <v>42447</v>
      </c>
      <c r="P3" s="192" t="s">
        <v>69</v>
      </c>
      <c r="Q3" s="191">
        <v>100</v>
      </c>
      <c r="R3" s="191">
        <v>1</v>
      </c>
      <c r="S3" s="191">
        <v>1</v>
      </c>
    </row>
    <row r="4" spans="1:20" x14ac:dyDescent="0.25">
      <c r="A4" s="222">
        <v>1272</v>
      </c>
      <c r="B4" s="223" t="s">
        <v>2</v>
      </c>
      <c r="C4" s="224">
        <v>42447</v>
      </c>
      <c r="D4" s="223" t="s">
        <v>70</v>
      </c>
      <c r="E4" s="222">
        <v>100</v>
      </c>
      <c r="F4" s="222">
        <v>3</v>
      </c>
      <c r="G4" s="222">
        <v>2</v>
      </c>
      <c r="M4" s="191">
        <v>1272</v>
      </c>
      <c r="N4" s="192" t="s">
        <v>2</v>
      </c>
      <c r="O4" s="193">
        <v>42447</v>
      </c>
      <c r="P4" s="192" t="s">
        <v>70</v>
      </c>
      <c r="Q4" s="191">
        <v>100</v>
      </c>
      <c r="R4" s="191">
        <v>3</v>
      </c>
      <c r="S4" s="191">
        <v>2</v>
      </c>
    </row>
    <row r="5" spans="1:20" x14ac:dyDescent="0.25">
      <c r="A5" s="222">
        <v>1290</v>
      </c>
      <c r="B5" s="223" t="s">
        <v>2</v>
      </c>
      <c r="C5" s="224">
        <v>42468</v>
      </c>
      <c r="D5" s="223" t="s">
        <v>68</v>
      </c>
      <c r="E5" s="222">
        <v>100</v>
      </c>
      <c r="F5" s="222">
        <v>14</v>
      </c>
      <c r="G5" s="222">
        <v>14</v>
      </c>
      <c r="M5" s="191">
        <v>1290</v>
      </c>
      <c r="N5" s="192" t="s">
        <v>2</v>
      </c>
      <c r="O5" s="193">
        <v>42468</v>
      </c>
      <c r="P5" s="192" t="s">
        <v>68</v>
      </c>
      <c r="Q5" s="191">
        <v>100</v>
      </c>
      <c r="R5" s="191">
        <v>14</v>
      </c>
      <c r="S5" s="191">
        <v>14</v>
      </c>
    </row>
    <row r="6" spans="1:20" x14ac:dyDescent="0.25">
      <c r="A6" s="222">
        <v>1290</v>
      </c>
      <c r="B6" s="223" t="s">
        <v>2</v>
      </c>
      <c r="C6" s="224">
        <v>42468</v>
      </c>
      <c r="D6" s="223" t="s">
        <v>69</v>
      </c>
      <c r="E6" s="222">
        <v>100</v>
      </c>
      <c r="F6" s="222">
        <v>0</v>
      </c>
      <c r="G6" s="222">
        <v>0</v>
      </c>
      <c r="M6" s="191">
        <v>1290</v>
      </c>
      <c r="N6" s="192" t="s">
        <v>2</v>
      </c>
      <c r="O6" s="193">
        <v>42468</v>
      </c>
      <c r="P6" s="192" t="s">
        <v>69</v>
      </c>
      <c r="Q6" s="191">
        <v>100</v>
      </c>
      <c r="R6" s="191">
        <v>0</v>
      </c>
      <c r="S6" s="191">
        <v>0</v>
      </c>
    </row>
    <row r="7" spans="1:20" x14ac:dyDescent="0.25">
      <c r="A7" s="222">
        <v>1290</v>
      </c>
      <c r="B7" s="223" t="s">
        <v>2</v>
      </c>
      <c r="C7" s="224">
        <v>42468</v>
      </c>
      <c r="D7" s="223" t="s">
        <v>71</v>
      </c>
      <c r="E7" s="222">
        <v>100</v>
      </c>
      <c r="F7" s="222">
        <v>1</v>
      </c>
      <c r="G7" s="222">
        <v>1</v>
      </c>
      <c r="M7" s="191">
        <v>1290</v>
      </c>
      <c r="N7" s="192" t="s">
        <v>2</v>
      </c>
      <c r="O7" s="193">
        <v>42468</v>
      </c>
      <c r="P7" s="192" t="s">
        <v>71</v>
      </c>
      <c r="Q7" s="191">
        <v>100</v>
      </c>
      <c r="R7" s="191">
        <v>1</v>
      </c>
      <c r="S7" s="191">
        <v>1</v>
      </c>
    </row>
    <row r="8" spans="1:20" x14ac:dyDescent="0.25">
      <c r="A8" s="222">
        <v>1291</v>
      </c>
      <c r="B8" s="223" t="s">
        <v>2</v>
      </c>
      <c r="C8" s="224">
        <v>42469</v>
      </c>
      <c r="D8" s="223" t="s">
        <v>70</v>
      </c>
      <c r="E8" s="222">
        <v>100</v>
      </c>
      <c r="F8" s="222">
        <v>2</v>
      </c>
      <c r="G8" s="222">
        <v>2</v>
      </c>
      <c r="M8" s="191">
        <v>1291</v>
      </c>
      <c r="N8" s="192" t="s">
        <v>2</v>
      </c>
      <c r="O8" s="193">
        <v>42469</v>
      </c>
      <c r="P8" s="192" t="s">
        <v>70</v>
      </c>
      <c r="Q8" s="191">
        <v>100</v>
      </c>
      <c r="R8" s="191">
        <v>2</v>
      </c>
      <c r="S8" s="191">
        <v>2</v>
      </c>
    </row>
    <row r="9" spans="1:20" x14ac:dyDescent="0.25">
      <c r="A9" s="222">
        <v>1291</v>
      </c>
      <c r="B9" s="223" t="s">
        <v>2</v>
      </c>
      <c r="C9" s="224">
        <v>42469</v>
      </c>
      <c r="D9" s="223" t="s">
        <v>72</v>
      </c>
      <c r="E9" s="222">
        <v>100</v>
      </c>
      <c r="F9" s="222">
        <v>6</v>
      </c>
      <c r="G9" s="222">
        <v>5</v>
      </c>
      <c r="M9" s="191">
        <v>1291</v>
      </c>
      <c r="N9" s="192" t="s">
        <v>2</v>
      </c>
      <c r="O9" s="193">
        <v>42469</v>
      </c>
      <c r="P9" s="192" t="s">
        <v>72</v>
      </c>
      <c r="Q9" s="191">
        <v>100</v>
      </c>
      <c r="R9" s="191">
        <v>6</v>
      </c>
      <c r="S9" s="191">
        <v>5</v>
      </c>
    </row>
    <row r="10" spans="1:20" x14ac:dyDescent="0.25">
      <c r="A10" s="222">
        <v>1309</v>
      </c>
      <c r="B10" s="223" t="s">
        <v>2</v>
      </c>
      <c r="C10" s="224">
        <v>42485</v>
      </c>
      <c r="D10" s="223" t="s">
        <v>68</v>
      </c>
      <c r="E10" s="222">
        <v>100</v>
      </c>
      <c r="F10" s="222">
        <v>1</v>
      </c>
      <c r="G10" s="222">
        <v>1</v>
      </c>
      <c r="Q10">
        <f>SUM(Q2:Q9)</f>
        <v>800</v>
      </c>
      <c r="S10">
        <f>SUM(S2:S9)</f>
        <v>27</v>
      </c>
      <c r="T10" s="199">
        <f>+S10/Q10</f>
        <v>3.3750000000000002E-2</v>
      </c>
    </row>
    <row r="11" spans="1:20" x14ac:dyDescent="0.25">
      <c r="A11" s="222">
        <v>1309</v>
      </c>
      <c r="B11" s="223" t="s">
        <v>2</v>
      </c>
      <c r="C11" s="224">
        <v>42485</v>
      </c>
      <c r="D11" s="223" t="s">
        <v>70</v>
      </c>
      <c r="E11" s="222">
        <v>100</v>
      </c>
      <c r="F11" s="222">
        <v>3</v>
      </c>
      <c r="G11" s="222">
        <v>3</v>
      </c>
    </row>
    <row r="12" spans="1:20" x14ac:dyDescent="0.25">
      <c r="A12" s="222">
        <v>1324</v>
      </c>
      <c r="B12" s="223" t="s">
        <v>2</v>
      </c>
      <c r="C12" s="224">
        <v>42511</v>
      </c>
      <c r="D12" s="223" t="s">
        <v>70</v>
      </c>
      <c r="E12" s="222">
        <v>100</v>
      </c>
      <c r="F12" s="222">
        <v>5</v>
      </c>
      <c r="G12" s="222">
        <v>5</v>
      </c>
    </row>
    <row r="13" spans="1:20" x14ac:dyDescent="0.25">
      <c r="A13" s="3"/>
      <c r="B13" s="3"/>
      <c r="C13" s="85"/>
      <c r="D13" s="3"/>
      <c r="E13" s="10"/>
    </row>
    <row r="14" spans="1:20" x14ac:dyDescent="0.25">
      <c r="A14" s="3"/>
      <c r="B14" s="3"/>
      <c r="C14" s="85"/>
      <c r="D14" s="3"/>
      <c r="E14" s="10"/>
    </row>
    <row r="15" spans="1:20" x14ac:dyDescent="0.25">
      <c r="A15" s="3"/>
      <c r="B15" s="3"/>
      <c r="C15" s="85"/>
      <c r="D15" s="3"/>
      <c r="E15" s="10"/>
    </row>
    <row r="16" spans="1:20" x14ac:dyDescent="0.25">
      <c r="A16" s="3"/>
      <c r="B16" s="3"/>
      <c r="C16" s="85"/>
      <c r="D16" s="3"/>
      <c r="E16" s="10"/>
    </row>
    <row r="17" spans="1:5" x14ac:dyDescent="0.25">
      <c r="A17" s="3"/>
      <c r="B17" s="3"/>
      <c r="C17" s="85"/>
      <c r="D17" s="3"/>
      <c r="E17" s="10"/>
    </row>
    <row r="18" spans="1:5" x14ac:dyDescent="0.25">
      <c r="A18" s="3"/>
      <c r="B18" s="3"/>
      <c r="C18" s="85"/>
      <c r="D18" s="3"/>
      <c r="E18" s="10"/>
    </row>
    <row r="19" spans="1:5" x14ac:dyDescent="0.25">
      <c r="A19" s="3"/>
      <c r="B19" s="3"/>
      <c r="C19" s="85"/>
      <c r="D19" s="3"/>
      <c r="E19" s="10"/>
    </row>
    <row r="20" spans="1:5" x14ac:dyDescent="0.25">
      <c r="A20" s="3"/>
      <c r="B20" s="3"/>
      <c r="C20" s="85"/>
      <c r="D20" s="3"/>
      <c r="E20" s="10"/>
    </row>
    <row r="21" spans="1:5" x14ac:dyDescent="0.25">
      <c r="A21" s="3"/>
      <c r="B21" s="3"/>
      <c r="C21" s="85"/>
      <c r="D21" s="3"/>
      <c r="E21" s="10"/>
    </row>
    <row r="22" spans="1:5" x14ac:dyDescent="0.25">
      <c r="A22" s="3"/>
      <c r="B22" s="3"/>
      <c r="C22" s="85"/>
      <c r="D22" s="3"/>
      <c r="E22" s="10"/>
    </row>
    <row r="23" spans="1:5" x14ac:dyDescent="0.25">
      <c r="A23" s="3"/>
      <c r="B23" s="3"/>
      <c r="C23" s="85"/>
      <c r="D23" s="3"/>
      <c r="E23" s="10"/>
    </row>
    <row r="24" spans="1:5" x14ac:dyDescent="0.25">
      <c r="A24" s="3"/>
      <c r="B24" s="3"/>
      <c r="C24" s="85"/>
      <c r="D24" s="3"/>
      <c r="E24" s="10"/>
    </row>
    <row r="25" spans="1:5" x14ac:dyDescent="0.25">
      <c r="A25" s="3"/>
      <c r="B25" s="3"/>
      <c r="C25" s="85"/>
      <c r="D25" s="3"/>
      <c r="E25" s="10"/>
    </row>
    <row r="26" spans="1:5" x14ac:dyDescent="0.25">
      <c r="A26" s="3"/>
      <c r="B26" s="3"/>
      <c r="C26" s="85"/>
      <c r="D26" s="3"/>
      <c r="E26" s="10"/>
    </row>
    <row r="27" spans="1:5" x14ac:dyDescent="0.25">
      <c r="A27" s="3"/>
      <c r="B27" s="3"/>
      <c r="C27" s="85"/>
      <c r="D27" s="3"/>
      <c r="E27" s="10"/>
    </row>
    <row r="28" spans="1:5" x14ac:dyDescent="0.25">
      <c r="A28" s="3"/>
      <c r="B28" s="3"/>
      <c r="C28" s="85"/>
      <c r="D28" s="3"/>
      <c r="E28" s="10"/>
    </row>
    <row r="29" spans="1:5" x14ac:dyDescent="0.25">
      <c r="A29" s="3"/>
      <c r="B29" s="3"/>
      <c r="C29" s="85"/>
      <c r="D29" s="3"/>
      <c r="E29" s="10"/>
    </row>
    <row r="30" spans="1:5" x14ac:dyDescent="0.25">
      <c r="A30" s="3"/>
      <c r="B30" s="3"/>
      <c r="C30" s="85"/>
      <c r="D30" s="3"/>
      <c r="E30" s="10"/>
    </row>
    <row r="31" spans="1:5" x14ac:dyDescent="0.25">
      <c r="A31" s="3"/>
      <c r="B31" s="3"/>
      <c r="C31" s="85"/>
      <c r="D31" s="3"/>
      <c r="E31" s="10"/>
    </row>
    <row r="32" spans="1:5" x14ac:dyDescent="0.25">
      <c r="A32" s="3"/>
      <c r="B32" s="3"/>
      <c r="C32" s="85"/>
      <c r="D32" s="3"/>
      <c r="E32" s="10"/>
    </row>
    <row r="33" spans="1:5" x14ac:dyDescent="0.25">
      <c r="A33" s="3"/>
      <c r="B33" s="3"/>
      <c r="C33" s="85"/>
      <c r="D33" s="3"/>
      <c r="E33" s="10"/>
    </row>
    <row r="34" spans="1:5" x14ac:dyDescent="0.25">
      <c r="A34" s="3"/>
      <c r="B34" s="3"/>
      <c r="C34" s="85"/>
      <c r="D34" s="3"/>
      <c r="E34" s="10"/>
    </row>
    <row r="35" spans="1:5" x14ac:dyDescent="0.25">
      <c r="A35" s="3"/>
      <c r="B35" s="3"/>
      <c r="C35" s="85"/>
      <c r="D35" s="3"/>
      <c r="E35" s="10"/>
    </row>
    <row r="36" spans="1:5" x14ac:dyDescent="0.25">
      <c r="A36" s="3"/>
      <c r="B36" s="3"/>
      <c r="C36" s="85"/>
      <c r="D36" s="3"/>
      <c r="E36" s="10"/>
    </row>
    <row r="37" spans="1:5" x14ac:dyDescent="0.25">
      <c r="A37" s="3"/>
      <c r="B37" s="3"/>
      <c r="C37" s="85"/>
      <c r="D37" s="3"/>
      <c r="E37" s="10"/>
    </row>
    <row r="38" spans="1:5" x14ac:dyDescent="0.25">
      <c r="A38" s="3"/>
      <c r="B38" s="3"/>
      <c r="C38" s="85"/>
      <c r="D38" s="3"/>
      <c r="E38" s="10"/>
    </row>
    <row r="39" spans="1:5" x14ac:dyDescent="0.25">
      <c r="A39" s="3"/>
      <c r="B39" s="3"/>
      <c r="C39" s="85"/>
      <c r="D39" s="3"/>
      <c r="E39" s="10"/>
    </row>
    <row r="40" spans="1:5" x14ac:dyDescent="0.25">
      <c r="A40" s="3"/>
      <c r="B40" s="3"/>
      <c r="C40" s="85"/>
      <c r="D40" s="3"/>
      <c r="E40" s="10"/>
    </row>
    <row r="41" spans="1:5" x14ac:dyDescent="0.25">
      <c r="A41" s="3"/>
      <c r="B41" s="3"/>
      <c r="C41" s="85"/>
      <c r="D41" s="3"/>
      <c r="E41" s="10"/>
    </row>
    <row r="42" spans="1:5" x14ac:dyDescent="0.25">
      <c r="A42" s="3"/>
      <c r="B42" s="3"/>
      <c r="C42" s="85"/>
      <c r="D42" s="3"/>
      <c r="E42" s="10"/>
    </row>
    <row r="43" spans="1:5" x14ac:dyDescent="0.25">
      <c r="A43" s="3"/>
      <c r="B43" s="3"/>
      <c r="C43" s="85"/>
      <c r="D43" s="3"/>
      <c r="E43" s="10"/>
    </row>
    <row r="44" spans="1:5" x14ac:dyDescent="0.25">
      <c r="A44" s="3"/>
      <c r="B44" s="3"/>
      <c r="C44" s="85"/>
      <c r="D44" s="3"/>
      <c r="E44" s="10"/>
    </row>
    <row r="45" spans="1:5" x14ac:dyDescent="0.25">
      <c r="A45" s="3"/>
      <c r="B45" s="3"/>
      <c r="C45" s="85"/>
      <c r="D45" s="3"/>
      <c r="E45" s="10"/>
    </row>
    <row r="46" spans="1:5" x14ac:dyDescent="0.25">
      <c r="A46" s="3"/>
      <c r="B46" s="3"/>
      <c r="C46" s="85"/>
      <c r="D46" s="3"/>
      <c r="E46" s="10"/>
    </row>
    <row r="47" spans="1:5" x14ac:dyDescent="0.25">
      <c r="A47" s="3"/>
      <c r="B47" s="3"/>
      <c r="C47" s="85"/>
      <c r="D47" s="3"/>
      <c r="E47" s="10"/>
    </row>
    <row r="48" spans="1:5" x14ac:dyDescent="0.25">
      <c r="A48" s="3"/>
      <c r="B48" s="3"/>
      <c r="C48" s="85"/>
      <c r="D48" s="3"/>
      <c r="E48" s="10"/>
    </row>
    <row r="49" spans="1:5" x14ac:dyDescent="0.25">
      <c r="A49" s="3"/>
      <c r="B49" s="3"/>
      <c r="C49" s="85"/>
      <c r="D49" s="3"/>
      <c r="E49" s="10"/>
    </row>
    <row r="50" spans="1:5" x14ac:dyDescent="0.25">
      <c r="A50" s="3"/>
      <c r="B50" s="3"/>
      <c r="C50" s="85"/>
      <c r="D50" s="3"/>
      <c r="E50" s="10"/>
    </row>
    <row r="51" spans="1:5" x14ac:dyDescent="0.25">
      <c r="A51" s="3"/>
      <c r="B51" s="3"/>
      <c r="C51" s="85"/>
      <c r="D51" s="3"/>
      <c r="E51" s="10"/>
    </row>
    <row r="52" spans="1:5" x14ac:dyDescent="0.25">
      <c r="A52" s="3"/>
      <c r="B52" s="3"/>
      <c r="C52" s="85"/>
      <c r="D52" s="3"/>
      <c r="E52" s="10"/>
    </row>
    <row r="53" spans="1:5" x14ac:dyDescent="0.25">
      <c r="A53" s="3"/>
      <c r="B53" s="3"/>
      <c r="C53" s="85"/>
      <c r="D53" s="3"/>
      <c r="E53" s="10"/>
    </row>
    <row r="54" spans="1:5" x14ac:dyDescent="0.25">
      <c r="A54" s="3"/>
      <c r="B54" s="3"/>
      <c r="C54" s="85"/>
      <c r="D54" s="3"/>
      <c r="E54" s="10"/>
    </row>
    <row r="55" spans="1:5" x14ac:dyDescent="0.25">
      <c r="A55" s="3"/>
      <c r="B55" s="3"/>
      <c r="C55" s="85"/>
      <c r="D55" s="3"/>
      <c r="E55" s="10"/>
    </row>
    <row r="56" spans="1:5" x14ac:dyDescent="0.25">
      <c r="A56" s="3"/>
      <c r="B56" s="3"/>
      <c r="C56" s="85"/>
      <c r="D56" s="3"/>
      <c r="E56" s="10"/>
    </row>
    <row r="57" spans="1:5" x14ac:dyDescent="0.25">
      <c r="A57" s="3"/>
      <c r="B57" s="3"/>
      <c r="C57" s="85"/>
      <c r="D57" s="3"/>
      <c r="E57" s="10"/>
    </row>
    <row r="58" spans="1:5" x14ac:dyDescent="0.25">
      <c r="A58" s="3"/>
      <c r="B58" s="3"/>
      <c r="C58" s="85"/>
      <c r="D58" s="3"/>
      <c r="E58" s="10"/>
    </row>
    <row r="59" spans="1:5" x14ac:dyDescent="0.25">
      <c r="A59" s="3"/>
      <c r="B59" s="3"/>
      <c r="C59" s="85"/>
      <c r="D59" s="3"/>
      <c r="E59" s="10"/>
    </row>
    <row r="60" spans="1:5" x14ac:dyDescent="0.25">
      <c r="A60" s="3"/>
      <c r="B60" s="3"/>
      <c r="C60" s="85"/>
      <c r="D60" s="3"/>
      <c r="E60" s="10"/>
    </row>
    <row r="61" spans="1:5" x14ac:dyDescent="0.25">
      <c r="A61" s="3"/>
      <c r="B61" s="3"/>
      <c r="C61" s="85"/>
      <c r="D61" s="3"/>
      <c r="E61" s="10"/>
    </row>
    <row r="62" spans="1:5" x14ac:dyDescent="0.25">
      <c r="A62" s="3"/>
      <c r="B62" s="3"/>
      <c r="C62" s="85"/>
      <c r="D62" s="3"/>
      <c r="E62" s="10"/>
    </row>
    <row r="63" spans="1:5" x14ac:dyDescent="0.25">
      <c r="A63" s="3"/>
      <c r="B63" s="3"/>
      <c r="C63" s="85"/>
      <c r="D63" s="3"/>
      <c r="E63" s="10"/>
    </row>
    <row r="64" spans="1:5" x14ac:dyDescent="0.25">
      <c r="A64" s="3"/>
      <c r="B64" s="3"/>
      <c r="C64" s="85"/>
      <c r="D64" s="3"/>
      <c r="E64" s="10"/>
    </row>
    <row r="65" spans="1:5" x14ac:dyDescent="0.25">
      <c r="A65" s="3"/>
      <c r="B65" s="3"/>
      <c r="C65" s="85"/>
      <c r="D65" s="3"/>
      <c r="E65" s="10"/>
    </row>
    <row r="66" spans="1:5" x14ac:dyDescent="0.25">
      <c r="A66" s="3"/>
      <c r="B66" s="3"/>
      <c r="C66" s="85"/>
      <c r="D66" s="3"/>
      <c r="E66" s="10"/>
    </row>
    <row r="67" spans="1:5" x14ac:dyDescent="0.25">
      <c r="A67" s="3"/>
      <c r="B67" s="3"/>
      <c r="C67" s="85"/>
      <c r="D67" s="3"/>
      <c r="E67" s="10"/>
    </row>
    <row r="68" spans="1:5" x14ac:dyDescent="0.25">
      <c r="A68" s="3"/>
      <c r="B68" s="3"/>
      <c r="C68" s="85"/>
      <c r="D68" s="3"/>
      <c r="E68" s="10"/>
    </row>
    <row r="69" spans="1:5" x14ac:dyDescent="0.25">
      <c r="A69" s="3"/>
      <c r="B69" s="3"/>
      <c r="C69" s="85"/>
      <c r="D69" s="3"/>
      <c r="E69" s="10"/>
    </row>
    <row r="70" spans="1:5" x14ac:dyDescent="0.25">
      <c r="A70" s="3"/>
      <c r="B70" s="3"/>
      <c r="C70" s="85"/>
      <c r="D70" s="3"/>
      <c r="E70" s="10"/>
    </row>
    <row r="71" spans="1:5" x14ac:dyDescent="0.25">
      <c r="A71" s="3"/>
      <c r="B71" s="3"/>
      <c r="C71" s="85"/>
      <c r="D71" s="3"/>
      <c r="E71" s="10"/>
    </row>
    <row r="72" spans="1:5" x14ac:dyDescent="0.25">
      <c r="A72" s="3"/>
      <c r="B72" s="3"/>
      <c r="C72" s="85"/>
      <c r="D72" s="3"/>
      <c r="E72" s="10"/>
    </row>
    <row r="73" spans="1:5" x14ac:dyDescent="0.25">
      <c r="A73" s="3"/>
      <c r="B73" s="3"/>
      <c r="C73" s="85"/>
      <c r="D73" s="3"/>
      <c r="E73" s="10"/>
    </row>
    <row r="74" spans="1:5" x14ac:dyDescent="0.25">
      <c r="A74" s="3"/>
      <c r="B74" s="3"/>
      <c r="C74" s="85"/>
      <c r="D74" s="3"/>
      <c r="E74" s="10"/>
    </row>
    <row r="75" spans="1:5" x14ac:dyDescent="0.25">
      <c r="A75" s="3"/>
      <c r="B75" s="3"/>
      <c r="C75" s="85"/>
      <c r="D75" s="3"/>
      <c r="E75" s="10"/>
    </row>
    <row r="76" spans="1:5" x14ac:dyDescent="0.25">
      <c r="A76" s="3"/>
      <c r="B76" s="3"/>
      <c r="C76" s="85"/>
      <c r="D76" s="3"/>
      <c r="E76" s="10"/>
    </row>
    <row r="77" spans="1:5" x14ac:dyDescent="0.25">
      <c r="A77" s="3"/>
      <c r="B77" s="3"/>
      <c r="C77" s="85"/>
      <c r="D77" s="3"/>
      <c r="E77" s="10"/>
    </row>
    <row r="78" spans="1:5" x14ac:dyDescent="0.25">
      <c r="A78" s="3"/>
      <c r="B78" s="3"/>
      <c r="C78" s="85"/>
      <c r="D78" s="3"/>
      <c r="E78" s="10"/>
    </row>
    <row r="79" spans="1:5" x14ac:dyDescent="0.25">
      <c r="A79" s="3"/>
      <c r="B79" s="3"/>
      <c r="C79" s="85"/>
      <c r="D79" s="3"/>
      <c r="E79" s="10"/>
    </row>
    <row r="80" spans="1:5" x14ac:dyDescent="0.25">
      <c r="A80" s="3"/>
      <c r="B80" s="3"/>
      <c r="C80" s="85"/>
      <c r="D80" s="3"/>
      <c r="E80" s="10"/>
    </row>
    <row r="81" spans="1:5" x14ac:dyDescent="0.25">
      <c r="A81" s="3"/>
      <c r="B81" s="3"/>
      <c r="C81" s="85"/>
      <c r="D81" s="3"/>
      <c r="E81" s="10"/>
    </row>
    <row r="82" spans="1:5" x14ac:dyDescent="0.25">
      <c r="A82" s="3"/>
      <c r="B82" s="3"/>
      <c r="C82" s="85"/>
      <c r="D82" s="3"/>
      <c r="E82" s="10"/>
    </row>
    <row r="83" spans="1:5" x14ac:dyDescent="0.25">
      <c r="A83" s="3"/>
      <c r="B83" s="3"/>
      <c r="C83" s="85"/>
      <c r="D83" s="3"/>
      <c r="E83" s="10"/>
    </row>
    <row r="84" spans="1:5" x14ac:dyDescent="0.25">
      <c r="A84" s="3"/>
      <c r="B84" s="3"/>
      <c r="C84" s="85"/>
      <c r="D84" s="3"/>
      <c r="E84" s="10"/>
    </row>
    <row r="85" spans="1:5" x14ac:dyDescent="0.25">
      <c r="A85" s="3"/>
      <c r="B85" s="3"/>
      <c r="C85" s="85"/>
      <c r="D85" s="3"/>
      <c r="E85" s="10"/>
    </row>
    <row r="86" spans="1:5" x14ac:dyDescent="0.25">
      <c r="A86" s="3"/>
      <c r="B86" s="3"/>
      <c r="C86" s="85"/>
      <c r="D86" s="3"/>
      <c r="E86" s="10"/>
    </row>
    <row r="87" spans="1:5" x14ac:dyDescent="0.25">
      <c r="A87" s="3"/>
      <c r="B87" s="3"/>
      <c r="C87" s="85"/>
      <c r="D87" s="3"/>
      <c r="E87" s="10"/>
    </row>
    <row r="88" spans="1:5" x14ac:dyDescent="0.25">
      <c r="A88" s="3"/>
      <c r="B88" s="3"/>
      <c r="C88" s="85"/>
      <c r="D88" s="3"/>
      <c r="E88" s="10"/>
    </row>
    <row r="89" spans="1:5" x14ac:dyDescent="0.25">
      <c r="A89" s="3"/>
      <c r="B89" s="3"/>
      <c r="C89" s="85"/>
      <c r="D89" s="3"/>
      <c r="E89" s="10"/>
    </row>
    <row r="90" spans="1:5" x14ac:dyDescent="0.25">
      <c r="A90" s="3"/>
      <c r="B90" s="3"/>
      <c r="C90" s="85"/>
      <c r="D90" s="3"/>
      <c r="E90" s="10"/>
    </row>
    <row r="91" spans="1:5" x14ac:dyDescent="0.25">
      <c r="A91" s="3"/>
      <c r="B91" s="3"/>
      <c r="C91" s="85"/>
      <c r="D91" s="3"/>
      <c r="E91" s="10"/>
    </row>
    <row r="92" spans="1:5" x14ac:dyDescent="0.25">
      <c r="A92" s="3"/>
      <c r="B92" s="3"/>
      <c r="C92" s="85"/>
      <c r="D92" s="3"/>
      <c r="E92" s="10"/>
    </row>
    <row r="93" spans="1:5" x14ac:dyDescent="0.25">
      <c r="A93" s="3"/>
      <c r="B93" s="3"/>
      <c r="C93" s="85"/>
      <c r="D93" s="3"/>
      <c r="E93" s="10"/>
    </row>
    <row r="94" spans="1:5" x14ac:dyDescent="0.25">
      <c r="A94" s="3"/>
      <c r="B94" s="3"/>
      <c r="C94" s="85"/>
      <c r="D94" s="3"/>
      <c r="E94" s="10"/>
    </row>
    <row r="95" spans="1:5" x14ac:dyDescent="0.25">
      <c r="A95" s="3"/>
      <c r="B95" s="3"/>
      <c r="C95" s="85"/>
      <c r="D95" s="3"/>
      <c r="E95" s="10"/>
    </row>
    <row r="96" spans="1:5" x14ac:dyDescent="0.25">
      <c r="A96" s="3"/>
      <c r="B96" s="3"/>
      <c r="C96" s="85"/>
      <c r="D96" s="3"/>
      <c r="E96" s="10"/>
    </row>
    <row r="97" spans="1:8" x14ac:dyDescent="0.25">
      <c r="A97" s="3"/>
      <c r="B97" s="3"/>
      <c r="C97" s="85"/>
      <c r="D97" s="3"/>
      <c r="E97" s="10"/>
    </row>
    <row r="98" spans="1:8" x14ac:dyDescent="0.25">
      <c r="A98" s="3"/>
      <c r="B98" s="3"/>
      <c r="C98" s="85"/>
      <c r="D98" s="3"/>
      <c r="E98" s="10"/>
    </row>
    <row r="99" spans="1:8" x14ac:dyDescent="0.25">
      <c r="A99" s="3"/>
      <c r="B99" s="3"/>
      <c r="C99" s="85"/>
      <c r="D99" s="3"/>
      <c r="E99" s="10"/>
    </row>
    <row r="100" spans="1:8" x14ac:dyDescent="0.25">
      <c r="A100" s="200"/>
      <c r="B100" s="200"/>
      <c r="C100" s="201"/>
      <c r="D100" s="202"/>
      <c r="E100" s="203">
        <f>SUM(E2:E99)</f>
        <v>1100</v>
      </c>
      <c r="F100" s="203">
        <f>SUM(F2:F99)</f>
        <v>38</v>
      </c>
      <c r="G100" s="203">
        <f>SUM(G2:G99)</f>
        <v>36</v>
      </c>
      <c r="H100" s="204">
        <f>+G100/E100</f>
        <v>3.272727272727273E-2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00"/>
  <sheetViews>
    <sheetView topLeftCell="A76" workbookViewId="0">
      <selection sqref="A1:G19"/>
    </sheetView>
  </sheetViews>
  <sheetFormatPr defaultRowHeight="15" x14ac:dyDescent="0.25"/>
  <cols>
    <col min="1" max="2" width="15.140625" customWidth="1"/>
    <col min="3" max="3" width="15.140625" style="86" customWidth="1"/>
    <col min="4" max="4" width="15.140625" customWidth="1"/>
    <col min="5" max="5" width="16.7109375" bestFit="1" customWidth="1"/>
  </cols>
  <sheetData>
    <row r="1" spans="1:7" x14ac:dyDescent="0.25">
      <c r="A1" s="216" t="s">
        <v>38</v>
      </c>
      <c r="B1" s="216" t="s">
        <v>9</v>
      </c>
      <c r="C1" s="216" t="s">
        <v>8</v>
      </c>
      <c r="D1" s="216" t="s">
        <v>64</v>
      </c>
      <c r="E1" s="216" t="s">
        <v>65</v>
      </c>
      <c r="F1" s="216" t="s">
        <v>66</v>
      </c>
      <c r="G1" s="216" t="s">
        <v>67</v>
      </c>
    </row>
    <row r="2" spans="1:7" x14ac:dyDescent="0.25">
      <c r="A2" s="217">
        <v>1287</v>
      </c>
      <c r="B2" s="218" t="s">
        <v>3</v>
      </c>
      <c r="C2" s="219">
        <v>42468</v>
      </c>
      <c r="D2" s="218" t="s">
        <v>73</v>
      </c>
      <c r="E2" s="217">
        <v>100</v>
      </c>
      <c r="F2" s="217">
        <v>2</v>
      </c>
      <c r="G2" s="217">
        <v>2</v>
      </c>
    </row>
    <row r="3" spans="1:7" x14ac:dyDescent="0.25">
      <c r="A3" s="217">
        <v>1287</v>
      </c>
      <c r="B3" s="218" t="s">
        <v>3</v>
      </c>
      <c r="C3" s="219">
        <v>42468</v>
      </c>
      <c r="D3" s="218" t="s">
        <v>74</v>
      </c>
      <c r="E3" s="217">
        <v>100</v>
      </c>
      <c r="F3" s="217">
        <v>4</v>
      </c>
      <c r="G3" s="217">
        <v>4</v>
      </c>
    </row>
    <row r="4" spans="1:7" x14ac:dyDescent="0.25">
      <c r="A4" s="217">
        <v>1288</v>
      </c>
      <c r="B4" s="218" t="s">
        <v>3</v>
      </c>
      <c r="C4" s="219">
        <v>42470</v>
      </c>
      <c r="D4" s="218" t="s">
        <v>75</v>
      </c>
      <c r="E4" s="217">
        <v>100</v>
      </c>
      <c r="F4" s="217">
        <v>2</v>
      </c>
      <c r="G4" s="217">
        <v>2</v>
      </c>
    </row>
    <row r="5" spans="1:7" x14ac:dyDescent="0.25">
      <c r="A5" s="217">
        <v>1288</v>
      </c>
      <c r="B5" s="218" t="s">
        <v>3</v>
      </c>
      <c r="C5" s="219">
        <v>42470</v>
      </c>
      <c r="D5" s="218" t="s">
        <v>74</v>
      </c>
      <c r="E5" s="217">
        <v>100</v>
      </c>
      <c r="F5" s="217">
        <v>4</v>
      </c>
      <c r="G5" s="217">
        <v>4</v>
      </c>
    </row>
    <row r="6" spans="1:7" x14ac:dyDescent="0.25">
      <c r="A6" s="217">
        <v>1288</v>
      </c>
      <c r="B6" s="218" t="s">
        <v>3</v>
      </c>
      <c r="C6" s="219">
        <v>42470</v>
      </c>
      <c r="D6" s="218" t="s">
        <v>76</v>
      </c>
      <c r="E6" s="217">
        <v>100</v>
      </c>
      <c r="F6" s="217">
        <v>2</v>
      </c>
      <c r="G6" s="217">
        <v>2</v>
      </c>
    </row>
    <row r="7" spans="1:7" x14ac:dyDescent="0.25">
      <c r="A7" s="217">
        <v>1288</v>
      </c>
      <c r="B7" s="218" t="s">
        <v>3</v>
      </c>
      <c r="C7" s="219">
        <v>42470</v>
      </c>
      <c r="D7" s="218" t="s">
        <v>73</v>
      </c>
      <c r="E7" s="217">
        <v>100</v>
      </c>
      <c r="F7" s="217">
        <v>1</v>
      </c>
      <c r="G7" s="217">
        <v>1</v>
      </c>
    </row>
    <row r="8" spans="1:7" x14ac:dyDescent="0.25">
      <c r="A8" s="217">
        <v>1305</v>
      </c>
      <c r="B8" s="218" t="s">
        <v>3</v>
      </c>
      <c r="C8" s="219">
        <v>42483</v>
      </c>
      <c r="D8" s="218" t="s">
        <v>74</v>
      </c>
      <c r="E8" s="217">
        <v>100</v>
      </c>
      <c r="F8" s="217">
        <v>2</v>
      </c>
      <c r="G8" s="217">
        <v>2</v>
      </c>
    </row>
    <row r="9" spans="1:7" x14ac:dyDescent="0.25">
      <c r="A9" s="217">
        <v>1311</v>
      </c>
      <c r="B9" s="218" t="s">
        <v>3</v>
      </c>
      <c r="C9" s="219">
        <v>42485</v>
      </c>
      <c r="D9" s="218" t="s">
        <v>76</v>
      </c>
      <c r="E9" s="217">
        <v>100</v>
      </c>
      <c r="F9" s="217">
        <v>3</v>
      </c>
      <c r="G9" s="217">
        <v>3</v>
      </c>
    </row>
    <row r="10" spans="1:7" x14ac:dyDescent="0.25">
      <c r="A10" s="217">
        <v>1314</v>
      </c>
      <c r="B10" s="218" t="s">
        <v>3</v>
      </c>
      <c r="C10" s="219">
        <v>42499</v>
      </c>
      <c r="D10" s="218" t="s">
        <v>74</v>
      </c>
      <c r="E10" s="217">
        <v>100</v>
      </c>
      <c r="F10" s="217">
        <v>3</v>
      </c>
      <c r="G10" s="217">
        <v>3</v>
      </c>
    </row>
    <row r="11" spans="1:7" x14ac:dyDescent="0.25">
      <c r="A11" s="217">
        <v>1314</v>
      </c>
      <c r="B11" s="218" t="s">
        <v>3</v>
      </c>
      <c r="C11" s="219">
        <v>42499</v>
      </c>
      <c r="D11" s="218" t="s">
        <v>73</v>
      </c>
      <c r="E11" s="217">
        <v>100</v>
      </c>
      <c r="F11" s="217">
        <v>2</v>
      </c>
      <c r="G11" s="217">
        <v>2</v>
      </c>
    </row>
    <row r="12" spans="1:7" x14ac:dyDescent="0.25">
      <c r="A12" s="217">
        <v>1314</v>
      </c>
      <c r="B12" s="218" t="s">
        <v>3</v>
      </c>
      <c r="C12" s="219">
        <v>42499</v>
      </c>
      <c r="D12" s="218" t="s">
        <v>76</v>
      </c>
      <c r="E12" s="217">
        <v>100</v>
      </c>
      <c r="F12" s="217">
        <v>4</v>
      </c>
      <c r="G12" s="217">
        <v>4</v>
      </c>
    </row>
    <row r="13" spans="1:7" x14ac:dyDescent="0.25">
      <c r="A13" s="217">
        <v>1315</v>
      </c>
      <c r="B13" s="218" t="s">
        <v>3</v>
      </c>
      <c r="C13" s="219">
        <v>42500</v>
      </c>
      <c r="D13" s="218" t="s">
        <v>73</v>
      </c>
      <c r="E13" s="217">
        <v>110</v>
      </c>
      <c r="F13" s="217">
        <v>2</v>
      </c>
      <c r="G13" s="217">
        <v>2</v>
      </c>
    </row>
    <row r="14" spans="1:7" x14ac:dyDescent="0.25">
      <c r="A14" s="217">
        <v>1315</v>
      </c>
      <c r="B14" s="218" t="s">
        <v>3</v>
      </c>
      <c r="C14" s="219">
        <v>42500</v>
      </c>
      <c r="D14" s="218" t="s">
        <v>75</v>
      </c>
      <c r="E14" s="217">
        <v>100</v>
      </c>
      <c r="F14" s="217">
        <v>2</v>
      </c>
      <c r="G14" s="217">
        <v>2</v>
      </c>
    </row>
    <row r="15" spans="1:7" x14ac:dyDescent="0.25">
      <c r="A15" s="217">
        <v>1317</v>
      </c>
      <c r="B15" s="218" t="s">
        <v>3</v>
      </c>
      <c r="C15" s="219">
        <v>42502</v>
      </c>
      <c r="D15" s="218" t="s">
        <v>76</v>
      </c>
      <c r="E15" s="217">
        <v>100</v>
      </c>
      <c r="F15" s="217">
        <v>0</v>
      </c>
      <c r="G15" s="217">
        <v>0</v>
      </c>
    </row>
    <row r="16" spans="1:7" x14ac:dyDescent="0.25">
      <c r="A16" s="217">
        <v>1321</v>
      </c>
      <c r="B16" s="218" t="s">
        <v>3</v>
      </c>
      <c r="C16" s="219">
        <v>42510</v>
      </c>
      <c r="D16" s="218" t="s">
        <v>74</v>
      </c>
      <c r="E16" s="217">
        <v>100</v>
      </c>
      <c r="F16" s="217">
        <v>4</v>
      </c>
      <c r="G16" s="217">
        <v>4</v>
      </c>
    </row>
    <row r="17" spans="1:7" x14ac:dyDescent="0.25">
      <c r="A17" s="217">
        <v>1325</v>
      </c>
      <c r="B17" s="218" t="s">
        <v>3</v>
      </c>
      <c r="C17" s="219">
        <v>42512</v>
      </c>
      <c r="D17" s="218" t="s">
        <v>73</v>
      </c>
      <c r="E17" s="217">
        <v>100</v>
      </c>
      <c r="F17" s="217">
        <v>1</v>
      </c>
      <c r="G17" s="217">
        <v>1</v>
      </c>
    </row>
    <row r="18" spans="1:7" x14ac:dyDescent="0.25">
      <c r="A18" s="217">
        <v>1325</v>
      </c>
      <c r="B18" s="218" t="s">
        <v>3</v>
      </c>
      <c r="C18" s="219">
        <v>42512</v>
      </c>
      <c r="D18" s="218" t="s">
        <v>76</v>
      </c>
      <c r="E18" s="217">
        <v>100</v>
      </c>
      <c r="F18" s="217">
        <v>8</v>
      </c>
      <c r="G18" s="217">
        <v>8</v>
      </c>
    </row>
    <row r="19" spans="1:7" x14ac:dyDescent="0.25">
      <c r="A19" s="217">
        <v>1325</v>
      </c>
      <c r="B19" s="218" t="s">
        <v>3</v>
      </c>
      <c r="C19" s="219">
        <v>42512</v>
      </c>
      <c r="D19" s="218" t="s">
        <v>75</v>
      </c>
      <c r="E19" s="217">
        <v>100</v>
      </c>
      <c r="F19" s="217">
        <v>5</v>
      </c>
      <c r="G19" s="217">
        <v>5</v>
      </c>
    </row>
    <row r="20" spans="1:7" x14ac:dyDescent="0.25">
      <c r="A20" s="113"/>
      <c r="B20" s="114"/>
      <c r="C20" s="115"/>
      <c r="D20" s="113"/>
      <c r="E20" s="116"/>
    </row>
    <row r="21" spans="1:7" x14ac:dyDescent="0.25">
      <c r="A21" s="113"/>
      <c r="B21" s="114"/>
      <c r="C21" s="115"/>
      <c r="D21" s="113"/>
      <c r="E21" s="116"/>
    </row>
    <row r="22" spans="1:7" x14ac:dyDescent="0.25">
      <c r="A22" s="113"/>
      <c r="B22" s="114"/>
      <c r="C22" s="115"/>
      <c r="D22" s="113"/>
      <c r="E22" s="116"/>
    </row>
    <row r="23" spans="1:7" x14ac:dyDescent="0.25">
      <c r="A23" s="113"/>
      <c r="B23" s="114"/>
      <c r="C23" s="115"/>
      <c r="D23" s="113"/>
      <c r="E23" s="116"/>
    </row>
    <row r="24" spans="1:7" x14ac:dyDescent="0.25">
      <c r="A24" s="113"/>
      <c r="B24" s="114"/>
      <c r="C24" s="115"/>
      <c r="D24" s="113"/>
      <c r="E24" s="116"/>
    </row>
    <row r="25" spans="1:7" x14ac:dyDescent="0.25">
      <c r="A25" s="113"/>
      <c r="B25" s="114"/>
      <c r="C25" s="115"/>
      <c r="D25" s="113"/>
      <c r="E25" s="116"/>
    </row>
    <row r="26" spans="1:7" x14ac:dyDescent="0.25">
      <c r="A26" s="113"/>
      <c r="B26" s="114"/>
      <c r="C26" s="115"/>
      <c r="D26" s="113"/>
      <c r="E26" s="116"/>
    </row>
    <row r="27" spans="1:7" x14ac:dyDescent="0.25">
      <c r="A27" s="113"/>
      <c r="B27" s="114"/>
      <c r="C27" s="115"/>
      <c r="D27" s="113"/>
      <c r="E27" s="116"/>
    </row>
    <row r="28" spans="1:7" x14ac:dyDescent="0.25">
      <c r="A28" s="113"/>
      <c r="B28" s="114"/>
      <c r="C28" s="115"/>
      <c r="D28" s="113"/>
      <c r="E28" s="116"/>
    </row>
    <row r="29" spans="1:7" x14ac:dyDescent="0.25">
      <c r="A29" s="113"/>
      <c r="B29" s="114"/>
      <c r="C29" s="115"/>
      <c r="D29" s="113"/>
      <c r="E29" s="116"/>
    </row>
    <row r="30" spans="1:7" x14ac:dyDescent="0.25">
      <c r="A30" s="113"/>
      <c r="B30" s="114"/>
      <c r="C30" s="115"/>
      <c r="D30" s="113"/>
      <c r="E30" s="116"/>
    </row>
    <row r="31" spans="1:7" x14ac:dyDescent="0.25">
      <c r="A31" s="113"/>
      <c r="B31" s="114"/>
      <c r="C31" s="115"/>
      <c r="D31" s="113"/>
      <c r="E31" s="116"/>
    </row>
    <row r="32" spans="1:7" x14ac:dyDescent="0.25">
      <c r="A32" s="113"/>
      <c r="B32" s="114"/>
      <c r="C32" s="115"/>
      <c r="D32" s="113"/>
      <c r="E32" s="116"/>
    </row>
    <row r="33" spans="1:5" x14ac:dyDescent="0.25">
      <c r="A33" s="113"/>
      <c r="B33" s="114"/>
      <c r="C33" s="115"/>
      <c r="D33" s="113"/>
      <c r="E33" s="116"/>
    </row>
    <row r="34" spans="1:5" x14ac:dyDescent="0.25">
      <c r="A34" s="113"/>
      <c r="B34" s="114"/>
      <c r="C34" s="115"/>
      <c r="D34" s="113"/>
      <c r="E34" s="116"/>
    </row>
    <row r="35" spans="1:5" x14ac:dyDescent="0.25">
      <c r="A35" s="113"/>
      <c r="B35" s="114"/>
      <c r="C35" s="115"/>
      <c r="D35" s="113"/>
      <c r="E35" s="116"/>
    </row>
    <row r="36" spans="1:5" x14ac:dyDescent="0.25">
      <c r="A36" s="113"/>
      <c r="B36" s="114"/>
      <c r="C36" s="115"/>
      <c r="D36" s="113"/>
      <c r="E36" s="116"/>
    </row>
    <row r="37" spans="1:5" x14ac:dyDescent="0.25">
      <c r="A37" s="113"/>
      <c r="B37" s="114"/>
      <c r="C37" s="115"/>
      <c r="D37" s="113"/>
      <c r="E37" s="116"/>
    </row>
    <row r="38" spans="1:5" x14ac:dyDescent="0.25">
      <c r="A38" s="113"/>
      <c r="B38" s="114"/>
      <c r="C38" s="115"/>
      <c r="D38" s="113"/>
      <c r="E38" s="116"/>
    </row>
    <row r="39" spans="1:5" x14ac:dyDescent="0.25">
      <c r="A39" s="113"/>
      <c r="B39" s="114"/>
      <c r="C39" s="115"/>
      <c r="D39" s="113"/>
      <c r="E39" s="116"/>
    </row>
    <row r="40" spans="1:5" x14ac:dyDescent="0.25">
      <c r="A40" s="113"/>
      <c r="B40" s="114"/>
      <c r="C40" s="115"/>
      <c r="D40" s="113"/>
      <c r="E40" s="116"/>
    </row>
    <row r="41" spans="1:5" x14ac:dyDescent="0.25">
      <c r="A41" s="113"/>
      <c r="B41" s="114"/>
      <c r="C41" s="115"/>
      <c r="D41" s="113"/>
      <c r="E41" s="116"/>
    </row>
    <row r="42" spans="1:5" x14ac:dyDescent="0.25">
      <c r="A42" s="113"/>
      <c r="B42" s="114"/>
      <c r="C42" s="115"/>
      <c r="D42" s="113"/>
      <c r="E42" s="116"/>
    </row>
    <row r="43" spans="1:5" x14ac:dyDescent="0.25">
      <c r="A43" s="113"/>
      <c r="B43" s="114"/>
      <c r="C43" s="115"/>
      <c r="D43" s="113"/>
      <c r="E43" s="116"/>
    </row>
    <row r="44" spans="1:5" x14ac:dyDescent="0.25">
      <c r="A44" s="113"/>
      <c r="B44" s="114"/>
      <c r="C44" s="115"/>
      <c r="D44" s="113"/>
      <c r="E44" s="116"/>
    </row>
    <row r="45" spans="1:5" x14ac:dyDescent="0.25">
      <c r="A45" s="113"/>
      <c r="B45" s="114"/>
      <c r="C45" s="115"/>
      <c r="D45" s="113"/>
      <c r="E45" s="116"/>
    </row>
    <row r="46" spans="1:5" x14ac:dyDescent="0.25">
      <c r="A46" s="113"/>
      <c r="B46" s="114"/>
      <c r="C46" s="115"/>
      <c r="D46" s="113"/>
      <c r="E46" s="116"/>
    </row>
    <row r="47" spans="1:5" x14ac:dyDescent="0.25">
      <c r="A47" s="113"/>
      <c r="B47" s="114"/>
      <c r="C47" s="115"/>
      <c r="D47" s="113"/>
      <c r="E47" s="116"/>
    </row>
    <row r="48" spans="1:5" x14ac:dyDescent="0.25">
      <c r="A48" s="113"/>
      <c r="B48" s="114"/>
      <c r="C48" s="115"/>
      <c r="D48" s="113"/>
      <c r="E48" s="116"/>
    </row>
    <row r="49" spans="1:5" x14ac:dyDescent="0.25">
      <c r="A49" s="113"/>
      <c r="B49" s="114"/>
      <c r="C49" s="115"/>
      <c r="D49" s="113"/>
      <c r="E49" s="116"/>
    </row>
    <row r="50" spans="1:5" x14ac:dyDescent="0.25">
      <c r="A50" s="113"/>
      <c r="B50" s="114"/>
      <c r="C50" s="115"/>
      <c r="D50" s="113"/>
      <c r="E50" s="116"/>
    </row>
    <row r="51" spans="1:5" x14ac:dyDescent="0.25">
      <c r="A51" s="113"/>
      <c r="B51" s="114"/>
      <c r="C51" s="115"/>
      <c r="D51" s="113"/>
      <c r="E51" s="116"/>
    </row>
    <row r="52" spans="1:5" x14ac:dyDescent="0.25">
      <c r="A52" s="113"/>
      <c r="B52" s="114"/>
      <c r="C52" s="115"/>
      <c r="D52" s="113"/>
      <c r="E52" s="116"/>
    </row>
    <row r="53" spans="1:5" x14ac:dyDescent="0.25">
      <c r="A53" s="113"/>
      <c r="B53" s="114"/>
      <c r="C53" s="115"/>
      <c r="D53" s="113"/>
      <c r="E53" s="116"/>
    </row>
    <row r="54" spans="1:5" x14ac:dyDescent="0.25">
      <c r="A54" s="113"/>
      <c r="B54" s="114"/>
      <c r="C54" s="115"/>
      <c r="D54" s="113"/>
      <c r="E54" s="116"/>
    </row>
    <row r="55" spans="1:5" x14ac:dyDescent="0.25">
      <c r="A55" s="113"/>
      <c r="B55" s="114"/>
      <c r="C55" s="115"/>
      <c r="D55" s="113"/>
      <c r="E55" s="116"/>
    </row>
    <row r="56" spans="1:5" x14ac:dyDescent="0.25">
      <c r="A56" s="113"/>
      <c r="B56" s="114"/>
      <c r="C56" s="115"/>
      <c r="D56" s="113"/>
      <c r="E56" s="116"/>
    </row>
    <row r="57" spans="1:5" x14ac:dyDescent="0.25">
      <c r="A57" s="113"/>
      <c r="B57" s="114"/>
      <c r="C57" s="115"/>
      <c r="D57" s="113"/>
      <c r="E57" s="116"/>
    </row>
    <row r="58" spans="1:5" x14ac:dyDescent="0.25">
      <c r="A58" s="113"/>
      <c r="B58" s="114"/>
      <c r="C58" s="115"/>
      <c r="D58" s="113"/>
      <c r="E58" s="116"/>
    </row>
    <row r="59" spans="1:5" x14ac:dyDescent="0.25">
      <c r="A59" s="113"/>
      <c r="B59" s="114"/>
      <c r="C59" s="115"/>
      <c r="D59" s="113"/>
      <c r="E59" s="116"/>
    </row>
    <row r="60" spans="1:5" x14ac:dyDescent="0.25">
      <c r="A60" s="113"/>
      <c r="B60" s="114"/>
      <c r="C60" s="115"/>
      <c r="D60" s="113"/>
      <c r="E60" s="116"/>
    </row>
    <row r="61" spans="1:5" x14ac:dyDescent="0.25">
      <c r="A61" s="113"/>
      <c r="B61" s="114"/>
      <c r="C61" s="115"/>
      <c r="D61" s="113"/>
      <c r="E61" s="116"/>
    </row>
    <row r="62" spans="1:5" x14ac:dyDescent="0.25">
      <c r="A62" s="113"/>
      <c r="B62" s="114"/>
      <c r="C62" s="115"/>
      <c r="D62" s="113"/>
      <c r="E62" s="116"/>
    </row>
    <row r="63" spans="1:5" x14ac:dyDescent="0.25">
      <c r="A63" s="113"/>
      <c r="B63" s="114"/>
      <c r="C63" s="115"/>
      <c r="D63" s="113"/>
      <c r="E63" s="116"/>
    </row>
    <row r="64" spans="1:5" x14ac:dyDescent="0.25">
      <c r="A64" s="113"/>
      <c r="B64" s="114"/>
      <c r="C64" s="115"/>
      <c r="D64" s="113"/>
      <c r="E64" s="116"/>
    </row>
    <row r="65" spans="1:5" x14ac:dyDescent="0.25">
      <c r="A65" s="113"/>
      <c r="B65" s="114"/>
      <c r="C65" s="115"/>
      <c r="D65" s="113"/>
      <c r="E65" s="116"/>
    </row>
    <row r="66" spans="1:5" x14ac:dyDescent="0.25">
      <c r="A66" s="113"/>
      <c r="B66" s="114"/>
      <c r="C66" s="115"/>
      <c r="D66" s="113"/>
      <c r="E66" s="116"/>
    </row>
    <row r="67" spans="1:5" x14ac:dyDescent="0.25">
      <c r="A67" s="113"/>
      <c r="B67" s="114"/>
      <c r="C67" s="115"/>
      <c r="D67" s="113"/>
      <c r="E67" s="116"/>
    </row>
    <row r="68" spans="1:5" x14ac:dyDescent="0.25">
      <c r="A68" s="113"/>
      <c r="B68" s="114"/>
      <c r="C68" s="115"/>
      <c r="D68" s="113"/>
      <c r="E68" s="116"/>
    </row>
    <row r="69" spans="1:5" x14ac:dyDescent="0.25">
      <c r="A69" s="113"/>
      <c r="B69" s="114"/>
      <c r="C69" s="115"/>
      <c r="D69" s="113"/>
      <c r="E69" s="116"/>
    </row>
    <row r="70" spans="1:5" x14ac:dyDescent="0.25">
      <c r="A70" s="113"/>
      <c r="B70" s="114"/>
      <c r="C70" s="115"/>
      <c r="D70" s="113"/>
      <c r="E70" s="116"/>
    </row>
    <row r="71" spans="1:5" x14ac:dyDescent="0.25">
      <c r="A71" s="113"/>
      <c r="B71" s="114"/>
      <c r="C71" s="115"/>
      <c r="D71" s="113"/>
      <c r="E71" s="116"/>
    </row>
    <row r="72" spans="1:5" x14ac:dyDescent="0.25">
      <c r="A72" s="113"/>
      <c r="B72" s="114"/>
      <c r="C72" s="115"/>
      <c r="D72" s="113"/>
      <c r="E72" s="116"/>
    </row>
    <row r="73" spans="1:5" x14ac:dyDescent="0.25">
      <c r="A73" s="113"/>
      <c r="B73" s="114"/>
      <c r="C73" s="115"/>
      <c r="D73" s="113"/>
      <c r="E73" s="116"/>
    </row>
    <row r="74" spans="1:5" x14ac:dyDescent="0.25">
      <c r="A74" s="113"/>
      <c r="B74" s="114"/>
      <c r="C74" s="115"/>
      <c r="D74" s="113"/>
      <c r="E74" s="116"/>
    </row>
    <row r="75" spans="1:5" x14ac:dyDescent="0.25">
      <c r="A75" s="113"/>
      <c r="B75" s="114"/>
      <c r="C75" s="115"/>
      <c r="D75" s="113"/>
      <c r="E75" s="116"/>
    </row>
    <row r="76" spans="1:5" x14ac:dyDescent="0.25">
      <c r="A76" s="113"/>
      <c r="B76" s="114"/>
      <c r="C76" s="115"/>
      <c r="D76" s="113"/>
      <c r="E76" s="116"/>
    </row>
    <row r="77" spans="1:5" x14ac:dyDescent="0.25">
      <c r="A77" s="113"/>
      <c r="B77" s="114"/>
      <c r="C77" s="115"/>
      <c r="D77" s="113"/>
      <c r="E77" s="116"/>
    </row>
    <row r="78" spans="1:5" x14ac:dyDescent="0.25">
      <c r="A78" s="113"/>
      <c r="B78" s="114"/>
      <c r="C78" s="115"/>
      <c r="D78" s="113"/>
      <c r="E78" s="116"/>
    </row>
    <row r="79" spans="1:5" x14ac:dyDescent="0.25">
      <c r="A79" s="113"/>
      <c r="B79" s="114"/>
      <c r="C79" s="115"/>
      <c r="D79" s="113"/>
      <c r="E79" s="116"/>
    </row>
    <row r="80" spans="1:5" x14ac:dyDescent="0.25">
      <c r="A80" s="113"/>
      <c r="B80" s="114"/>
      <c r="C80" s="115"/>
      <c r="D80" s="113"/>
      <c r="E80" s="116"/>
    </row>
    <row r="81" spans="1:5" x14ac:dyDescent="0.25">
      <c r="A81" s="113"/>
      <c r="B81" s="114"/>
      <c r="C81" s="115"/>
      <c r="D81" s="113"/>
      <c r="E81" s="116"/>
    </row>
    <row r="82" spans="1:5" x14ac:dyDescent="0.25">
      <c r="A82" s="113"/>
      <c r="B82" s="114"/>
      <c r="C82" s="115"/>
      <c r="D82" s="113"/>
      <c r="E82" s="116"/>
    </row>
    <row r="83" spans="1:5" x14ac:dyDescent="0.25">
      <c r="A83" s="113"/>
      <c r="B83" s="114"/>
      <c r="C83" s="115"/>
      <c r="D83" s="113"/>
      <c r="E83" s="116"/>
    </row>
    <row r="84" spans="1:5" x14ac:dyDescent="0.25">
      <c r="A84" s="113"/>
      <c r="B84" s="114"/>
      <c r="C84" s="115"/>
      <c r="D84" s="113"/>
      <c r="E84" s="116"/>
    </row>
    <row r="85" spans="1:5" x14ac:dyDescent="0.25">
      <c r="A85" s="113"/>
      <c r="B85" s="114"/>
      <c r="C85" s="115"/>
      <c r="D85" s="113"/>
      <c r="E85" s="116"/>
    </row>
    <row r="86" spans="1:5" x14ac:dyDescent="0.25">
      <c r="A86" s="113"/>
      <c r="B86" s="114"/>
      <c r="C86" s="115"/>
      <c r="D86" s="113"/>
      <c r="E86" s="116"/>
    </row>
    <row r="87" spans="1:5" x14ac:dyDescent="0.25">
      <c r="A87" s="113"/>
      <c r="B87" s="114"/>
      <c r="C87" s="115"/>
      <c r="D87" s="113"/>
      <c r="E87" s="116"/>
    </row>
    <row r="88" spans="1:5" x14ac:dyDescent="0.25">
      <c r="A88" s="113"/>
      <c r="B88" s="114"/>
      <c r="C88" s="115"/>
      <c r="D88" s="113"/>
      <c r="E88" s="116"/>
    </row>
    <row r="89" spans="1:5" x14ac:dyDescent="0.25">
      <c r="A89" s="113"/>
      <c r="B89" s="114"/>
      <c r="C89" s="115"/>
      <c r="D89" s="113"/>
      <c r="E89" s="116"/>
    </row>
    <row r="90" spans="1:5" x14ac:dyDescent="0.25">
      <c r="A90" s="113"/>
      <c r="B90" s="114"/>
      <c r="C90" s="115"/>
      <c r="D90" s="113"/>
      <c r="E90" s="116"/>
    </row>
    <row r="91" spans="1:5" x14ac:dyDescent="0.25">
      <c r="A91" s="113"/>
      <c r="B91" s="114"/>
      <c r="C91" s="115"/>
      <c r="D91" s="113"/>
      <c r="E91" s="116"/>
    </row>
    <row r="92" spans="1:5" x14ac:dyDescent="0.25">
      <c r="A92" s="113"/>
      <c r="B92" s="114"/>
      <c r="C92" s="115"/>
      <c r="D92" s="113"/>
      <c r="E92" s="116"/>
    </row>
    <row r="93" spans="1:5" x14ac:dyDescent="0.25">
      <c r="A93" s="113"/>
      <c r="B93" s="114"/>
      <c r="C93" s="115"/>
      <c r="D93" s="113"/>
      <c r="E93" s="116"/>
    </row>
    <row r="94" spans="1:5" x14ac:dyDescent="0.25">
      <c r="A94" s="113"/>
      <c r="B94" s="114"/>
      <c r="C94" s="115"/>
      <c r="D94" s="113"/>
      <c r="E94" s="116"/>
    </row>
    <row r="95" spans="1:5" x14ac:dyDescent="0.25">
      <c r="A95" s="113"/>
      <c r="B95" s="114"/>
      <c r="C95" s="115"/>
      <c r="D95" s="113"/>
      <c r="E95" s="116"/>
    </row>
    <row r="96" spans="1:5" x14ac:dyDescent="0.25">
      <c r="A96" s="113"/>
      <c r="B96" s="114"/>
      <c r="C96" s="115"/>
      <c r="D96" s="113"/>
      <c r="E96" s="116"/>
    </row>
    <row r="97" spans="1:8" x14ac:dyDescent="0.25">
      <c r="A97" s="113"/>
      <c r="B97" s="114"/>
      <c r="C97" s="115"/>
      <c r="D97" s="113"/>
      <c r="E97" s="116"/>
    </row>
    <row r="98" spans="1:8" x14ac:dyDescent="0.25">
      <c r="A98" s="113"/>
      <c r="B98" s="114"/>
      <c r="C98" s="115"/>
      <c r="D98" s="113"/>
      <c r="E98" s="116"/>
    </row>
    <row r="99" spans="1:8" x14ac:dyDescent="0.25">
      <c r="A99" s="113"/>
      <c r="B99" s="114"/>
      <c r="C99" s="115"/>
      <c r="D99" s="113"/>
      <c r="E99" s="116"/>
    </row>
    <row r="100" spans="1:8" x14ac:dyDescent="0.25">
      <c r="A100" s="200"/>
      <c r="B100" s="200"/>
      <c r="C100" s="201"/>
      <c r="D100" s="202"/>
      <c r="E100" s="205">
        <f>SUM(E2:E99)</f>
        <v>1810</v>
      </c>
      <c r="F100" s="205">
        <f>SUM(F2:F99)</f>
        <v>51</v>
      </c>
      <c r="G100" s="205">
        <f>SUM(G2:G99)</f>
        <v>51</v>
      </c>
      <c r="H100" s="204">
        <f>+G100/E100</f>
        <v>2.8176795580110499E-2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4CE939-A156-40EB-8203-3C288FD04DC7}"/>
</file>

<file path=customXml/itemProps2.xml><?xml version="1.0" encoding="utf-8"?>
<ds:datastoreItem xmlns:ds="http://schemas.openxmlformats.org/officeDocument/2006/customXml" ds:itemID="{CFBD15F0-BE1B-4FDF-856C-5274793C4A93}"/>
</file>

<file path=customXml/itemProps3.xml><?xml version="1.0" encoding="utf-8"?>
<ds:datastoreItem xmlns:ds="http://schemas.openxmlformats.org/officeDocument/2006/customXml" ds:itemID="{5E0FB12B-3CCF-4D34-B67A-82B3F2D13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Harvest</vt:lpstr>
      <vt:lpstr>Effort</vt:lpstr>
      <vt:lpstr>CPUE</vt:lpstr>
      <vt:lpstr>Summary Table</vt:lpstr>
      <vt:lpstr>Copy Sheet</vt:lpstr>
      <vt:lpstr>Sheet1</vt:lpstr>
      <vt:lpstr>Tide Info</vt:lpstr>
      <vt:lpstr>Tribal update</vt:lpstr>
      <vt:lpstr>TAC</vt:lpstr>
      <vt:lpstr>TH Wastage</vt:lpstr>
      <vt:lpstr>LB Wastage</vt:lpstr>
      <vt:lpstr>Cop Wastage</vt:lpstr>
      <vt:lpstr>Moc Wastage</vt:lpstr>
      <vt:lpstr>'Summary Table'!Print_Area</vt:lpstr>
      <vt:lpstr>'Tribal update'!Print_Area</vt:lpstr>
      <vt:lpstr>'Summary Table'!Print_Titles</vt:lpstr>
    </vt:vector>
  </TitlesOfParts>
  <Company>WDFW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Deibert</dc:creator>
  <cp:lastModifiedBy>Ayres, Daniel L (DFW)</cp:lastModifiedBy>
  <cp:lastPrinted>2016-05-24T20:09:13Z</cp:lastPrinted>
  <dcterms:created xsi:type="dcterms:W3CDTF">2009-10-21T21:07:28Z</dcterms:created>
  <dcterms:modified xsi:type="dcterms:W3CDTF">2017-03-07T01:08:33Z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0x010100245DFC7247A834468B68F53E17E77B58</vt:lpwstr>
  </property>
  <property fmtid="{D5CDD505-2E9C-101B-9397-08002B2CF9AE}" pid="3" name="Order">
    <vt:r8>2815900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