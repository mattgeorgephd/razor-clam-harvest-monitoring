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stateofwa.sharepoint.com/sites/DFW-TeamR6CoastalShellfish/Shared Documents/Razor Clam Harvest/2021-2022 Season/"/>
    </mc:Choice>
  </mc:AlternateContent>
  <xr:revisionPtr revIDLastSave="8" documentId="13_ncr:1_{E9D12EB5-7A40-4F16-8A91-8468917567BC}" xr6:coauthVersionLast="47" xr6:coauthVersionMax="47" xr10:uidLastSave="{C71DFDAC-E6F9-469B-844D-0F41D1D7A815}"/>
  <bookViews>
    <workbookView xWindow="-120" yWindow="-120" windowWidth="29040" windowHeight="15840" tabRatio="657" activeTab="1" xr2:uid="{00000000-000D-0000-FFFF-FFFF00000000}"/>
  </bookViews>
  <sheets>
    <sheet name="Harvest" sheetId="2" r:id="rId1"/>
    <sheet name="Effort" sheetId="1" r:id="rId2"/>
    <sheet name="CPUE" sheetId="3" r:id="rId3"/>
    <sheet name="Summary Table" sheetId="4" r:id="rId4"/>
    <sheet name="Summary Table Public" sheetId="15" r:id="rId5"/>
    <sheet name="Tribal Update" sheetId="13" r:id="rId6"/>
    <sheet name="TAC" sheetId="5" r:id="rId7"/>
    <sheet name="TH Wastage" sheetId="6" r:id="rId8"/>
    <sheet name="LB Wastage" sheetId="7" r:id="rId9"/>
    <sheet name="Cop Wastage" sheetId="8" r:id="rId10"/>
    <sheet name="Moc Wastage" sheetId="9" r:id="rId11"/>
    <sheet name="Kal Wastage" sheetId="11" r:id="rId12"/>
    <sheet name="Copy Sheet" sheetId="10" r:id="rId13"/>
  </sheets>
  <definedNames>
    <definedName name="_xlnm.Print_Area" localSheetId="5">'Tribal Update'!$A$1:$R$144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" i="3" l="1"/>
  <c r="Q2" i="1"/>
  <c r="Q2" i="2"/>
  <c r="H135" i="1" l="1"/>
  <c r="H133" i="1"/>
  <c r="H134" i="1"/>
  <c r="H132" i="1"/>
  <c r="H128" i="1"/>
  <c r="F135" i="1"/>
  <c r="F136" i="1"/>
  <c r="F134" i="1"/>
  <c r="F132" i="1"/>
  <c r="F131" i="1"/>
  <c r="F128" i="1"/>
  <c r="H122" i="1"/>
  <c r="H123" i="1"/>
  <c r="H126" i="1"/>
  <c r="F126" i="1"/>
  <c r="F125" i="1"/>
  <c r="F123" i="1"/>
  <c r="H114" i="1"/>
  <c r="F116" i="1"/>
  <c r="H109" i="1"/>
  <c r="H112" i="1"/>
  <c r="H107" i="1"/>
  <c r="H106" i="1"/>
  <c r="F108" i="1"/>
  <c r="F110" i="1"/>
  <c r="F111" i="1"/>
  <c r="F107" i="1"/>
  <c r="H104" i="1"/>
  <c r="H101" i="1"/>
  <c r="F104" i="1"/>
  <c r="F102" i="1"/>
  <c r="F101" i="1"/>
  <c r="F96" i="1"/>
  <c r="F94" i="1"/>
  <c r="F95" i="1"/>
  <c r="J140" i="13"/>
  <c r="I140" i="13"/>
  <c r="R144" i="15"/>
  <c r="R143" i="15"/>
  <c r="Q143" i="15"/>
  <c r="N143" i="15"/>
  <c r="R142" i="15"/>
  <c r="R141" i="15"/>
  <c r="Q141" i="15"/>
  <c r="P141" i="15"/>
  <c r="O141" i="15"/>
  <c r="N141" i="15"/>
  <c r="H137" i="4"/>
  <c r="H136" i="4"/>
  <c r="H134" i="4"/>
  <c r="H130" i="4"/>
  <c r="F128" i="2"/>
  <c r="F130" i="4" s="1"/>
  <c r="E133" i="4"/>
  <c r="O131" i="1"/>
  <c r="E134" i="4"/>
  <c r="F135" i="2"/>
  <c r="F137" i="4" s="1"/>
  <c r="F136" i="2"/>
  <c r="F138" i="15" s="1"/>
  <c r="F129" i="2"/>
  <c r="O129" i="2" s="1"/>
  <c r="F133" i="1"/>
  <c r="F129" i="1"/>
  <c r="F130" i="1"/>
  <c r="H133" i="2"/>
  <c r="O133" i="2" s="1"/>
  <c r="F133" i="2"/>
  <c r="L138" i="2"/>
  <c r="J138" i="2"/>
  <c r="L138" i="1"/>
  <c r="J138" i="1"/>
  <c r="K143" i="15" s="1"/>
  <c r="H136" i="3"/>
  <c r="J138" i="4" s="1"/>
  <c r="H131" i="3"/>
  <c r="J133" i="15" s="1"/>
  <c r="H130" i="3"/>
  <c r="J132" i="15" s="1"/>
  <c r="H129" i="3"/>
  <c r="J131" i="15" s="1"/>
  <c r="L135" i="3"/>
  <c r="L133" i="3"/>
  <c r="K135" i="13" s="1"/>
  <c r="L131" i="3"/>
  <c r="K133" i="13" s="1"/>
  <c r="L129" i="3"/>
  <c r="K131" i="13" s="1"/>
  <c r="J136" i="3"/>
  <c r="M138" i="4" s="1"/>
  <c r="J134" i="3"/>
  <c r="G136" i="13" s="1"/>
  <c r="J132" i="3"/>
  <c r="M134" i="4" s="1"/>
  <c r="J130" i="3"/>
  <c r="G132" i="13" s="1"/>
  <c r="J128" i="3"/>
  <c r="G130" i="13" s="1"/>
  <c r="E135" i="4"/>
  <c r="K138" i="13"/>
  <c r="J138" i="13"/>
  <c r="I138" i="13"/>
  <c r="F138" i="13"/>
  <c r="R138" i="13" s="1"/>
  <c r="E138" i="13"/>
  <c r="Q138" i="13" s="1"/>
  <c r="Q139" i="13" s="1"/>
  <c r="Q140" i="13" s="1"/>
  <c r="K137" i="13"/>
  <c r="J137" i="13"/>
  <c r="I137" i="13"/>
  <c r="G137" i="13"/>
  <c r="F137" i="13"/>
  <c r="R137" i="13" s="1"/>
  <c r="E137" i="13"/>
  <c r="Q137" i="13" s="1"/>
  <c r="K136" i="13"/>
  <c r="J136" i="13"/>
  <c r="I136" i="13"/>
  <c r="F136" i="13"/>
  <c r="R136" i="13" s="1"/>
  <c r="E136" i="13"/>
  <c r="Q136" i="13" s="1"/>
  <c r="J135" i="13"/>
  <c r="I135" i="13"/>
  <c r="G135" i="13"/>
  <c r="F135" i="13"/>
  <c r="R135" i="13" s="1"/>
  <c r="E135" i="13"/>
  <c r="Q135" i="13" s="1"/>
  <c r="K134" i="13"/>
  <c r="J134" i="13"/>
  <c r="I134" i="13"/>
  <c r="F134" i="13"/>
  <c r="R134" i="13" s="1"/>
  <c r="E134" i="13"/>
  <c r="Q134" i="13" s="1"/>
  <c r="J133" i="13"/>
  <c r="I133" i="13"/>
  <c r="G133" i="13"/>
  <c r="F133" i="13"/>
  <c r="R133" i="13" s="1"/>
  <c r="E133" i="13"/>
  <c r="Q133" i="13" s="1"/>
  <c r="K132" i="13"/>
  <c r="J132" i="13"/>
  <c r="I132" i="13"/>
  <c r="F132" i="13"/>
  <c r="R132" i="13" s="1"/>
  <c r="E132" i="13"/>
  <c r="Q132" i="13" s="1"/>
  <c r="J131" i="13"/>
  <c r="I131" i="13"/>
  <c r="G131" i="13"/>
  <c r="F131" i="13"/>
  <c r="E131" i="13"/>
  <c r="Q131" i="13" s="1"/>
  <c r="K130" i="13"/>
  <c r="J130" i="13"/>
  <c r="I130" i="13"/>
  <c r="F130" i="13"/>
  <c r="E130" i="13"/>
  <c r="P138" i="15"/>
  <c r="O138" i="15"/>
  <c r="N138" i="15"/>
  <c r="L138" i="15"/>
  <c r="K138" i="15"/>
  <c r="I138" i="15"/>
  <c r="H138" i="15"/>
  <c r="G138" i="15"/>
  <c r="P137" i="15"/>
  <c r="O137" i="15"/>
  <c r="N137" i="15"/>
  <c r="M137" i="15"/>
  <c r="L137" i="15"/>
  <c r="K137" i="15"/>
  <c r="J137" i="15"/>
  <c r="G137" i="15"/>
  <c r="P136" i="15"/>
  <c r="O136" i="15"/>
  <c r="N136" i="15"/>
  <c r="L136" i="15"/>
  <c r="K136" i="15"/>
  <c r="J136" i="15"/>
  <c r="G136" i="15"/>
  <c r="O135" i="15"/>
  <c r="N135" i="15"/>
  <c r="M135" i="15"/>
  <c r="L135" i="15"/>
  <c r="K135" i="15"/>
  <c r="J135" i="15"/>
  <c r="H135" i="15"/>
  <c r="G135" i="15"/>
  <c r="F135" i="15"/>
  <c r="E135" i="15"/>
  <c r="P134" i="15"/>
  <c r="O134" i="15"/>
  <c r="N134" i="15"/>
  <c r="L134" i="15"/>
  <c r="K134" i="15"/>
  <c r="J134" i="15"/>
  <c r="G134" i="15"/>
  <c r="O133" i="15"/>
  <c r="N133" i="15"/>
  <c r="M133" i="15"/>
  <c r="L133" i="15"/>
  <c r="K133" i="15"/>
  <c r="I133" i="15"/>
  <c r="H133" i="15"/>
  <c r="G133" i="15"/>
  <c r="P132" i="15"/>
  <c r="O132" i="15"/>
  <c r="N132" i="15"/>
  <c r="L132" i="15"/>
  <c r="K132" i="15"/>
  <c r="I132" i="15"/>
  <c r="H132" i="15"/>
  <c r="G132" i="15"/>
  <c r="P131" i="15"/>
  <c r="O131" i="15"/>
  <c r="N131" i="15"/>
  <c r="M131" i="15"/>
  <c r="L131" i="15"/>
  <c r="K131" i="15"/>
  <c r="I131" i="15"/>
  <c r="H131" i="15"/>
  <c r="E131" i="15"/>
  <c r="P130" i="15"/>
  <c r="O130" i="15"/>
  <c r="N130" i="15"/>
  <c r="L130" i="15"/>
  <c r="K130" i="15"/>
  <c r="J130" i="15"/>
  <c r="G130" i="15"/>
  <c r="O129" i="1"/>
  <c r="P138" i="4"/>
  <c r="O138" i="4"/>
  <c r="N138" i="4"/>
  <c r="L138" i="4"/>
  <c r="K138" i="4"/>
  <c r="I138" i="4"/>
  <c r="H138" i="4"/>
  <c r="G138" i="4"/>
  <c r="E138" i="4"/>
  <c r="P137" i="4"/>
  <c r="O137" i="4"/>
  <c r="N137" i="4"/>
  <c r="M137" i="4"/>
  <c r="L137" i="4"/>
  <c r="K137" i="4"/>
  <c r="J137" i="4"/>
  <c r="G137" i="4"/>
  <c r="E137" i="4"/>
  <c r="P136" i="4"/>
  <c r="O136" i="4"/>
  <c r="N136" i="4"/>
  <c r="M136" i="4"/>
  <c r="L136" i="4"/>
  <c r="K136" i="4"/>
  <c r="J136" i="4"/>
  <c r="G136" i="4"/>
  <c r="E136" i="4"/>
  <c r="O135" i="4"/>
  <c r="N135" i="4"/>
  <c r="M135" i="4"/>
  <c r="L135" i="4"/>
  <c r="K135" i="4"/>
  <c r="J135" i="4"/>
  <c r="H135" i="4"/>
  <c r="G135" i="4"/>
  <c r="F135" i="4"/>
  <c r="P134" i="4"/>
  <c r="O134" i="4"/>
  <c r="N134" i="4"/>
  <c r="L134" i="4"/>
  <c r="K134" i="4"/>
  <c r="J134" i="4"/>
  <c r="G134" i="4"/>
  <c r="O133" i="4"/>
  <c r="N133" i="4"/>
  <c r="M133" i="4"/>
  <c r="L133" i="4"/>
  <c r="K133" i="4"/>
  <c r="J133" i="4"/>
  <c r="I133" i="4"/>
  <c r="H133" i="4"/>
  <c r="G133" i="4"/>
  <c r="P132" i="4"/>
  <c r="O132" i="4"/>
  <c r="N132" i="4"/>
  <c r="L132" i="4"/>
  <c r="K132" i="4"/>
  <c r="I132" i="4"/>
  <c r="H132" i="4"/>
  <c r="G132" i="4"/>
  <c r="P131" i="4"/>
  <c r="O131" i="4"/>
  <c r="N131" i="4"/>
  <c r="M131" i="4"/>
  <c r="L131" i="4"/>
  <c r="K131" i="4"/>
  <c r="I131" i="4"/>
  <c r="H131" i="4"/>
  <c r="F131" i="4"/>
  <c r="E131" i="4"/>
  <c r="P130" i="4"/>
  <c r="O130" i="4"/>
  <c r="N130" i="4"/>
  <c r="L130" i="4"/>
  <c r="K130" i="4"/>
  <c r="J130" i="4"/>
  <c r="G130" i="4"/>
  <c r="N138" i="1"/>
  <c r="K139" i="15" l="1"/>
  <c r="K141" i="15" s="1"/>
  <c r="O128" i="1"/>
  <c r="H135" i="2"/>
  <c r="H137" i="15"/>
  <c r="O134" i="1"/>
  <c r="H134" i="2"/>
  <c r="I136" i="4" s="1"/>
  <c r="U136" i="4" s="1"/>
  <c r="H136" i="15"/>
  <c r="H132" i="2"/>
  <c r="I134" i="4" s="1"/>
  <c r="H134" i="15"/>
  <c r="H130" i="15"/>
  <c r="H138" i="1"/>
  <c r="H143" i="15" s="1"/>
  <c r="H128" i="2"/>
  <c r="E130" i="4"/>
  <c r="E130" i="15"/>
  <c r="F138" i="1"/>
  <c r="E143" i="15" s="1"/>
  <c r="E133" i="15"/>
  <c r="T133" i="15" s="1"/>
  <c r="F131" i="2"/>
  <c r="O132" i="1"/>
  <c r="F132" i="2"/>
  <c r="E134" i="15"/>
  <c r="E136" i="15"/>
  <c r="F134" i="2"/>
  <c r="O134" i="2" s="1"/>
  <c r="O135" i="1"/>
  <c r="E137" i="15"/>
  <c r="T137" i="15"/>
  <c r="O136" i="1"/>
  <c r="E138" i="15"/>
  <c r="T138" i="15" s="1"/>
  <c r="F131" i="15"/>
  <c r="F129" i="3"/>
  <c r="M132" i="4"/>
  <c r="M132" i="15"/>
  <c r="E139" i="13"/>
  <c r="F130" i="2"/>
  <c r="F132" i="4" s="1"/>
  <c r="U132" i="4" s="1"/>
  <c r="E132" i="15"/>
  <c r="E132" i="4"/>
  <c r="T132" i="4" s="1"/>
  <c r="I135" i="15"/>
  <c r="U135" i="15" s="1"/>
  <c r="I135" i="4"/>
  <c r="U135" i="4" s="1"/>
  <c r="O132" i="2"/>
  <c r="F138" i="4"/>
  <c r="U138" i="4" s="1"/>
  <c r="O136" i="2"/>
  <c r="F137" i="15"/>
  <c r="O135" i="2"/>
  <c r="O135" i="3" s="1"/>
  <c r="F136" i="4"/>
  <c r="F136" i="15"/>
  <c r="O128" i="2"/>
  <c r="O128" i="3" s="1"/>
  <c r="F138" i="2"/>
  <c r="F130" i="15"/>
  <c r="J138" i="15"/>
  <c r="J132" i="4"/>
  <c r="J131" i="4"/>
  <c r="P135" i="4"/>
  <c r="P135" i="15"/>
  <c r="P133" i="4"/>
  <c r="P133" i="15"/>
  <c r="M138" i="15"/>
  <c r="G138" i="13"/>
  <c r="M136" i="15"/>
  <c r="M134" i="15"/>
  <c r="G134" i="13"/>
  <c r="M130" i="15"/>
  <c r="M130" i="4"/>
  <c r="U131" i="15"/>
  <c r="O129" i="3"/>
  <c r="R131" i="13"/>
  <c r="F139" i="13"/>
  <c r="F140" i="13" s="1"/>
  <c r="J139" i="13"/>
  <c r="O139" i="15"/>
  <c r="L139" i="15"/>
  <c r="U138" i="15"/>
  <c r="T136" i="15"/>
  <c r="T135" i="15"/>
  <c r="O133" i="1"/>
  <c r="O133" i="3" s="1"/>
  <c r="T134" i="15"/>
  <c r="N139" i="15"/>
  <c r="O130" i="1"/>
  <c r="I139" i="13"/>
  <c r="T131" i="15"/>
  <c r="T130" i="15"/>
  <c r="T139" i="15" s="1"/>
  <c r="Q130" i="13"/>
  <c r="R130" i="13"/>
  <c r="H139" i="15"/>
  <c r="O139" i="4"/>
  <c r="O141" i="4" s="1"/>
  <c r="T134" i="4"/>
  <c r="T131" i="4"/>
  <c r="T138" i="4"/>
  <c r="U131" i="4"/>
  <c r="N139" i="4"/>
  <c r="T133" i="4"/>
  <c r="T136" i="4"/>
  <c r="H139" i="4"/>
  <c r="K139" i="4"/>
  <c r="K141" i="4" s="1"/>
  <c r="T135" i="4"/>
  <c r="L139" i="4"/>
  <c r="L141" i="4" s="1"/>
  <c r="T137" i="4"/>
  <c r="T130" i="4"/>
  <c r="E139" i="4"/>
  <c r="M139" i="15" l="1"/>
  <c r="L141" i="15"/>
  <c r="I136" i="15"/>
  <c r="E140" i="13"/>
  <c r="T139" i="13"/>
  <c r="T140" i="13" s="1"/>
  <c r="I134" i="15"/>
  <c r="I137" i="15"/>
  <c r="U137" i="15" s="1"/>
  <c r="I137" i="4"/>
  <c r="U137" i="4" s="1"/>
  <c r="O134" i="3"/>
  <c r="I130" i="4"/>
  <c r="I130" i="15"/>
  <c r="U130" i="15" s="1"/>
  <c r="E139" i="15"/>
  <c r="E141" i="15" s="1"/>
  <c r="F133" i="15"/>
  <c r="U133" i="15" s="1"/>
  <c r="O131" i="2"/>
  <c r="O131" i="3" s="1"/>
  <c r="F133" i="4"/>
  <c r="U133" i="4" s="1"/>
  <c r="O132" i="3"/>
  <c r="F134" i="4"/>
  <c r="U134" i="4" s="1"/>
  <c r="F134" i="15"/>
  <c r="O136" i="3"/>
  <c r="G131" i="15"/>
  <c r="G131" i="4"/>
  <c r="G139" i="13"/>
  <c r="F132" i="15"/>
  <c r="U132" i="15" s="1"/>
  <c r="O130" i="2"/>
  <c r="T132" i="15"/>
  <c r="O130" i="3"/>
  <c r="F139" i="4"/>
  <c r="F141" i="4" s="1"/>
  <c r="U136" i="15"/>
  <c r="I139" i="15"/>
  <c r="U139" i="13"/>
  <c r="U140" i="13" s="1"/>
  <c r="R139" i="13"/>
  <c r="R140" i="13" s="1"/>
  <c r="P139" i="15"/>
  <c r="K139" i="13"/>
  <c r="W139" i="15"/>
  <c r="M139" i="4"/>
  <c r="P139" i="4"/>
  <c r="N141" i="4"/>
  <c r="W139" i="4"/>
  <c r="E141" i="4"/>
  <c r="T139" i="4"/>
  <c r="M141" i="15" l="1"/>
  <c r="J139" i="15"/>
  <c r="U134" i="15"/>
  <c r="U139" i="15" s="1"/>
  <c r="U130" i="4"/>
  <c r="U139" i="4" s="1"/>
  <c r="I139" i="4"/>
  <c r="F139" i="15"/>
  <c r="X139" i="4"/>
  <c r="G139" i="4"/>
  <c r="G139" i="15" l="1"/>
  <c r="F141" i="15"/>
  <c r="X139" i="15"/>
  <c r="J139" i="4"/>
  <c r="G141" i="15" l="1"/>
  <c r="R141" i="4"/>
  <c r="Q141" i="4"/>
  <c r="H126" i="2"/>
  <c r="I128" i="15" s="1"/>
  <c r="H123" i="2"/>
  <c r="L126" i="3"/>
  <c r="K128" i="13" s="1"/>
  <c r="J125" i="3"/>
  <c r="G127" i="13" s="1"/>
  <c r="L124" i="3"/>
  <c r="K126" i="13" s="1"/>
  <c r="J123" i="3"/>
  <c r="G125" i="13" s="1"/>
  <c r="L122" i="3"/>
  <c r="P124" i="15" s="1"/>
  <c r="J121" i="3"/>
  <c r="G123" i="13" s="1"/>
  <c r="H121" i="3"/>
  <c r="J123" i="4" s="1"/>
  <c r="J125" i="4"/>
  <c r="H124" i="3"/>
  <c r="J126" i="15" s="1"/>
  <c r="H125" i="3"/>
  <c r="J127" i="15" s="1"/>
  <c r="J128" i="15"/>
  <c r="H128" i="4"/>
  <c r="E128" i="4"/>
  <c r="H125" i="4"/>
  <c r="E127" i="4"/>
  <c r="O122" i="1"/>
  <c r="O124" i="1"/>
  <c r="F124" i="1"/>
  <c r="E126" i="4" s="1"/>
  <c r="F121" i="1"/>
  <c r="F121" i="2"/>
  <c r="F123" i="15" s="1"/>
  <c r="F122" i="2"/>
  <c r="F124" i="15" s="1"/>
  <c r="F122" i="1"/>
  <c r="E124" i="4"/>
  <c r="J128" i="13"/>
  <c r="I128" i="13"/>
  <c r="G128" i="13"/>
  <c r="F128" i="13"/>
  <c r="R128" i="13" s="1"/>
  <c r="E128" i="13"/>
  <c r="Q128" i="13" s="1"/>
  <c r="K127" i="13"/>
  <c r="J127" i="13"/>
  <c r="I127" i="13"/>
  <c r="F127" i="13"/>
  <c r="E127" i="13"/>
  <c r="J126" i="13"/>
  <c r="I126" i="13"/>
  <c r="G126" i="13"/>
  <c r="F126" i="13"/>
  <c r="E126" i="13"/>
  <c r="K125" i="13"/>
  <c r="J125" i="13"/>
  <c r="I125" i="13"/>
  <c r="F125" i="13"/>
  <c r="E125" i="13"/>
  <c r="K124" i="13"/>
  <c r="J124" i="13"/>
  <c r="I124" i="13"/>
  <c r="G124" i="13"/>
  <c r="F124" i="13"/>
  <c r="E124" i="13"/>
  <c r="K123" i="13"/>
  <c r="J123" i="13"/>
  <c r="I123" i="13"/>
  <c r="F123" i="13"/>
  <c r="E123" i="13"/>
  <c r="O128" i="4"/>
  <c r="N128" i="4"/>
  <c r="M128" i="4"/>
  <c r="L128" i="4"/>
  <c r="K128" i="4"/>
  <c r="J128" i="4"/>
  <c r="G128" i="4"/>
  <c r="P127" i="4"/>
  <c r="O127" i="4"/>
  <c r="N127" i="4"/>
  <c r="L127" i="4"/>
  <c r="K127" i="4"/>
  <c r="I127" i="4"/>
  <c r="H127" i="4"/>
  <c r="G127" i="4"/>
  <c r="O126" i="4"/>
  <c r="N126" i="4"/>
  <c r="M126" i="4"/>
  <c r="L126" i="4"/>
  <c r="K126" i="4"/>
  <c r="I126" i="4"/>
  <c r="H126" i="4"/>
  <c r="G126" i="4"/>
  <c r="P125" i="4"/>
  <c r="O125" i="4"/>
  <c r="N125" i="4"/>
  <c r="L125" i="4"/>
  <c r="K125" i="4"/>
  <c r="G125" i="4"/>
  <c r="P124" i="4"/>
  <c r="O124" i="4"/>
  <c r="N124" i="4"/>
  <c r="M124" i="4"/>
  <c r="L124" i="4"/>
  <c r="K124" i="4"/>
  <c r="P123" i="4"/>
  <c r="O123" i="4"/>
  <c r="N123" i="4"/>
  <c r="M123" i="4"/>
  <c r="L123" i="4"/>
  <c r="K123" i="4"/>
  <c r="I123" i="4"/>
  <c r="H123" i="4"/>
  <c r="G123" i="4"/>
  <c r="N143" i="4"/>
  <c r="Q143" i="4"/>
  <c r="O128" i="15"/>
  <c r="N128" i="15"/>
  <c r="M128" i="15"/>
  <c r="L128" i="15"/>
  <c r="K128" i="15"/>
  <c r="G128" i="15"/>
  <c r="P127" i="15"/>
  <c r="O127" i="15"/>
  <c r="N127" i="15"/>
  <c r="L127" i="15"/>
  <c r="K127" i="15"/>
  <c r="I127" i="15"/>
  <c r="H127" i="15"/>
  <c r="G127" i="15"/>
  <c r="E127" i="15"/>
  <c r="O126" i="15"/>
  <c r="N126" i="15"/>
  <c r="M126" i="15"/>
  <c r="L126" i="15"/>
  <c r="K126" i="15"/>
  <c r="I126" i="15"/>
  <c r="H126" i="15"/>
  <c r="G126" i="15"/>
  <c r="E126" i="15"/>
  <c r="P125" i="15"/>
  <c r="O125" i="15"/>
  <c r="N125" i="15"/>
  <c r="L125" i="15"/>
  <c r="K125" i="15"/>
  <c r="H125" i="15"/>
  <c r="G125" i="15"/>
  <c r="O124" i="15"/>
  <c r="N124" i="15"/>
  <c r="M124" i="15"/>
  <c r="L124" i="15"/>
  <c r="K124" i="15"/>
  <c r="P123" i="15"/>
  <c r="O123" i="15"/>
  <c r="N123" i="15"/>
  <c r="M123" i="15"/>
  <c r="L123" i="15"/>
  <c r="K123" i="15"/>
  <c r="J123" i="15"/>
  <c r="I123" i="15"/>
  <c r="H123" i="15"/>
  <c r="G123" i="15"/>
  <c r="H119" i="15"/>
  <c r="K121" i="13"/>
  <c r="J121" i="13"/>
  <c r="I121" i="13"/>
  <c r="F121" i="13"/>
  <c r="E121" i="13"/>
  <c r="K120" i="13"/>
  <c r="J120" i="13"/>
  <c r="I120" i="13"/>
  <c r="G120" i="13"/>
  <c r="F120" i="13"/>
  <c r="E120" i="13"/>
  <c r="K119" i="13"/>
  <c r="J119" i="13"/>
  <c r="I119" i="13"/>
  <c r="G119" i="13"/>
  <c r="F119" i="13"/>
  <c r="E119" i="13"/>
  <c r="J118" i="13"/>
  <c r="I118" i="13"/>
  <c r="G118" i="13"/>
  <c r="F118" i="13"/>
  <c r="E118" i="13"/>
  <c r="K117" i="13"/>
  <c r="J117" i="13"/>
  <c r="I117" i="13"/>
  <c r="F117" i="13"/>
  <c r="E117" i="13"/>
  <c r="J116" i="13"/>
  <c r="I116" i="13"/>
  <c r="G116" i="13"/>
  <c r="F116" i="13"/>
  <c r="E116" i="13"/>
  <c r="H114" i="2"/>
  <c r="O117" i="1"/>
  <c r="O118" i="1"/>
  <c r="F119" i="1"/>
  <c r="E121" i="15" s="1"/>
  <c r="F115" i="1"/>
  <c r="O115" i="1" s="1"/>
  <c r="F114" i="1"/>
  <c r="E116" i="15" s="1"/>
  <c r="F112" i="1"/>
  <c r="P121" i="15"/>
  <c r="O121" i="15"/>
  <c r="N121" i="15"/>
  <c r="L121" i="15"/>
  <c r="K121" i="15"/>
  <c r="I121" i="15"/>
  <c r="H121" i="15"/>
  <c r="G121" i="15"/>
  <c r="P120" i="15"/>
  <c r="O120" i="15"/>
  <c r="N120" i="15"/>
  <c r="M120" i="15"/>
  <c r="L120" i="15"/>
  <c r="K120" i="15"/>
  <c r="J120" i="15"/>
  <c r="H120" i="15"/>
  <c r="G120" i="15"/>
  <c r="E120" i="15"/>
  <c r="P119" i="15"/>
  <c r="O119" i="15"/>
  <c r="N119" i="15"/>
  <c r="M119" i="15"/>
  <c r="L119" i="15"/>
  <c r="K119" i="15"/>
  <c r="J119" i="15"/>
  <c r="G119" i="15"/>
  <c r="E119" i="15"/>
  <c r="O118" i="15"/>
  <c r="N118" i="15"/>
  <c r="M118" i="15"/>
  <c r="L118" i="15"/>
  <c r="K118" i="15"/>
  <c r="I118" i="15"/>
  <c r="H118" i="15"/>
  <c r="G118" i="15"/>
  <c r="P117" i="15"/>
  <c r="O117" i="15"/>
  <c r="N117" i="15"/>
  <c r="L117" i="15"/>
  <c r="K117" i="15"/>
  <c r="I117" i="15"/>
  <c r="H117" i="15"/>
  <c r="G117" i="15"/>
  <c r="E117" i="15"/>
  <c r="O116" i="15"/>
  <c r="N116" i="15"/>
  <c r="M116" i="15"/>
  <c r="L116" i="15"/>
  <c r="K116" i="15"/>
  <c r="J116" i="15"/>
  <c r="G116" i="15"/>
  <c r="P121" i="4"/>
  <c r="O121" i="4"/>
  <c r="N121" i="4"/>
  <c r="L121" i="4"/>
  <c r="K121" i="4"/>
  <c r="I121" i="4"/>
  <c r="H121" i="4"/>
  <c r="G121" i="4"/>
  <c r="P120" i="4"/>
  <c r="O120" i="4"/>
  <c r="N120" i="4"/>
  <c r="M120" i="4"/>
  <c r="L120" i="4"/>
  <c r="K120" i="4"/>
  <c r="J120" i="4"/>
  <c r="H120" i="4"/>
  <c r="G120" i="4"/>
  <c r="E120" i="4"/>
  <c r="P119" i="4"/>
  <c r="O119" i="4"/>
  <c r="N119" i="4"/>
  <c r="M119" i="4"/>
  <c r="L119" i="4"/>
  <c r="K119" i="4"/>
  <c r="J119" i="4"/>
  <c r="H119" i="4"/>
  <c r="G119" i="4"/>
  <c r="E119" i="4"/>
  <c r="O118" i="4"/>
  <c r="N118" i="4"/>
  <c r="M118" i="4"/>
  <c r="L118" i="4"/>
  <c r="K118" i="4"/>
  <c r="I118" i="4"/>
  <c r="H118" i="4"/>
  <c r="G118" i="4"/>
  <c r="P117" i="4"/>
  <c r="O117" i="4"/>
  <c r="N117" i="4"/>
  <c r="L117" i="4"/>
  <c r="K117" i="4"/>
  <c r="I117" i="4"/>
  <c r="H117" i="4"/>
  <c r="G117" i="4"/>
  <c r="O116" i="4"/>
  <c r="N116" i="4"/>
  <c r="M116" i="4"/>
  <c r="L116" i="4"/>
  <c r="K116" i="4"/>
  <c r="J116" i="4"/>
  <c r="G116" i="4"/>
  <c r="H118" i="2"/>
  <c r="I120" i="15" s="1"/>
  <c r="H117" i="2"/>
  <c r="I119" i="15" s="1"/>
  <c r="F115" i="2"/>
  <c r="F117" i="4" s="1"/>
  <c r="F117" i="2"/>
  <c r="F119" i="15" s="1"/>
  <c r="F118" i="2"/>
  <c r="F120" i="15" s="1"/>
  <c r="H119" i="3"/>
  <c r="J121" i="15" s="1"/>
  <c r="H116" i="3"/>
  <c r="J118" i="15" s="1"/>
  <c r="H115" i="3"/>
  <c r="J117" i="15" s="1"/>
  <c r="J119" i="3"/>
  <c r="M121" i="15" s="1"/>
  <c r="L116" i="3"/>
  <c r="P118" i="15" s="1"/>
  <c r="J115" i="3"/>
  <c r="M117" i="15" s="1"/>
  <c r="L114" i="3"/>
  <c r="P116" i="4" s="1"/>
  <c r="H114" i="4"/>
  <c r="E114" i="15"/>
  <c r="F109" i="1"/>
  <c r="F111" i="2"/>
  <c r="F113" i="4" s="1"/>
  <c r="H111" i="15"/>
  <c r="H109" i="4"/>
  <c r="F109" i="2"/>
  <c r="E109" i="4"/>
  <c r="H108" i="4"/>
  <c r="L112" i="3"/>
  <c r="P114" i="4" s="1"/>
  <c r="L110" i="3"/>
  <c r="K112" i="13" s="1"/>
  <c r="L108" i="3"/>
  <c r="K110" i="13" s="1"/>
  <c r="L106" i="3"/>
  <c r="P108" i="4" s="1"/>
  <c r="J111" i="3"/>
  <c r="M113" i="4" s="1"/>
  <c r="J109" i="3"/>
  <c r="M111" i="15" s="1"/>
  <c r="J107" i="3"/>
  <c r="G109" i="13" s="1"/>
  <c r="H111" i="3"/>
  <c r="J113" i="15" s="1"/>
  <c r="H110" i="3"/>
  <c r="J112" i="15" s="1"/>
  <c r="H108" i="3"/>
  <c r="J110" i="4" s="1"/>
  <c r="I113" i="4"/>
  <c r="H107" i="2"/>
  <c r="I109" i="4" s="1"/>
  <c r="F106" i="2"/>
  <c r="F106" i="1"/>
  <c r="E108" i="15" s="1"/>
  <c r="O111" i="1"/>
  <c r="O114" i="4"/>
  <c r="N114" i="4"/>
  <c r="M114" i="4"/>
  <c r="L114" i="4"/>
  <c r="K114" i="4"/>
  <c r="J114" i="4"/>
  <c r="G114" i="4"/>
  <c r="P113" i="4"/>
  <c r="O113" i="4"/>
  <c r="N113" i="4"/>
  <c r="L113" i="4"/>
  <c r="K113" i="4"/>
  <c r="H113" i="4"/>
  <c r="G113" i="4"/>
  <c r="O112" i="4"/>
  <c r="N112" i="4"/>
  <c r="M112" i="4"/>
  <c r="L112" i="4"/>
  <c r="K112" i="4"/>
  <c r="I112" i="4"/>
  <c r="H112" i="4"/>
  <c r="G112" i="4"/>
  <c r="P111" i="4"/>
  <c r="O111" i="4"/>
  <c r="N111" i="4"/>
  <c r="L111" i="4"/>
  <c r="K111" i="4"/>
  <c r="J111" i="4"/>
  <c r="G111" i="4"/>
  <c r="O110" i="4"/>
  <c r="N110" i="4"/>
  <c r="M110" i="4"/>
  <c r="L110" i="4"/>
  <c r="K110" i="4"/>
  <c r="I110" i="4"/>
  <c r="H110" i="4"/>
  <c r="G110" i="4"/>
  <c r="P109" i="4"/>
  <c r="O109" i="4"/>
  <c r="N109" i="4"/>
  <c r="L109" i="4"/>
  <c r="K109" i="4"/>
  <c r="J109" i="4"/>
  <c r="G109" i="4"/>
  <c r="O108" i="4"/>
  <c r="N108" i="4"/>
  <c r="M108" i="4"/>
  <c r="L108" i="4"/>
  <c r="K108" i="4"/>
  <c r="J108" i="4"/>
  <c r="J114" i="13"/>
  <c r="I114" i="13"/>
  <c r="G114" i="13"/>
  <c r="F114" i="13"/>
  <c r="E114" i="13"/>
  <c r="K113" i="13"/>
  <c r="J113" i="13"/>
  <c r="I113" i="13"/>
  <c r="F113" i="13"/>
  <c r="E113" i="13"/>
  <c r="J112" i="13"/>
  <c r="I112" i="13"/>
  <c r="G112" i="13"/>
  <c r="F112" i="13"/>
  <c r="E112" i="13"/>
  <c r="K111" i="13"/>
  <c r="J111" i="13"/>
  <c r="I111" i="13"/>
  <c r="F111" i="13"/>
  <c r="E111" i="13"/>
  <c r="Q111" i="13" s="1"/>
  <c r="J110" i="13"/>
  <c r="I110" i="13"/>
  <c r="G110" i="13"/>
  <c r="F110" i="13"/>
  <c r="E110" i="13"/>
  <c r="K109" i="13"/>
  <c r="J109" i="13"/>
  <c r="I109" i="13"/>
  <c r="F109" i="13"/>
  <c r="E109" i="13"/>
  <c r="J108" i="13"/>
  <c r="I108" i="13"/>
  <c r="G108" i="13"/>
  <c r="F108" i="13"/>
  <c r="E108" i="13"/>
  <c r="O114" i="15"/>
  <c r="N114" i="15"/>
  <c r="M114" i="15"/>
  <c r="L114" i="15"/>
  <c r="K114" i="15"/>
  <c r="J114" i="15"/>
  <c r="G114" i="15"/>
  <c r="P113" i="15"/>
  <c r="O113" i="15"/>
  <c r="N113" i="15"/>
  <c r="L113" i="15"/>
  <c r="K113" i="15"/>
  <c r="I113" i="15"/>
  <c r="H113" i="15"/>
  <c r="G113" i="15"/>
  <c r="O112" i="15"/>
  <c r="N112" i="15"/>
  <c r="M112" i="15"/>
  <c r="L112" i="15"/>
  <c r="K112" i="15"/>
  <c r="I112" i="15"/>
  <c r="H112" i="15"/>
  <c r="G112" i="15"/>
  <c r="P111" i="15"/>
  <c r="O111" i="15"/>
  <c r="N111" i="15"/>
  <c r="L111" i="15"/>
  <c r="K111" i="15"/>
  <c r="J111" i="15"/>
  <c r="G111" i="15"/>
  <c r="O110" i="15"/>
  <c r="N110" i="15"/>
  <c r="M110" i="15"/>
  <c r="L110" i="15"/>
  <c r="K110" i="15"/>
  <c r="I110" i="15"/>
  <c r="H110" i="15"/>
  <c r="G110" i="15"/>
  <c r="P109" i="15"/>
  <c r="O109" i="15"/>
  <c r="N109" i="15"/>
  <c r="L109" i="15"/>
  <c r="K109" i="15"/>
  <c r="J109" i="15"/>
  <c r="G109" i="15"/>
  <c r="O108" i="15"/>
  <c r="N108" i="15"/>
  <c r="M108" i="15"/>
  <c r="L108" i="15"/>
  <c r="K108" i="15"/>
  <c r="J108" i="15"/>
  <c r="F100" i="1"/>
  <c r="F103" i="1"/>
  <c r="H104" i="2"/>
  <c r="H101" i="2"/>
  <c r="L103" i="3"/>
  <c r="L101" i="3"/>
  <c r="J104" i="3"/>
  <c r="J102" i="3"/>
  <c r="H103" i="3"/>
  <c r="H102" i="3"/>
  <c r="F103" i="2"/>
  <c r="Q123" i="13" l="1"/>
  <c r="Q126" i="13"/>
  <c r="E125" i="4"/>
  <c r="T125" i="4" s="1"/>
  <c r="F123" i="2"/>
  <c r="E125" i="15"/>
  <c r="H114" i="15"/>
  <c r="H109" i="15"/>
  <c r="Q125" i="13"/>
  <c r="O123" i="2"/>
  <c r="Q127" i="13"/>
  <c r="E117" i="4"/>
  <c r="T117" i="4" s="1"/>
  <c r="F124" i="2"/>
  <c r="F125" i="2"/>
  <c r="O125" i="2" s="1"/>
  <c r="O121" i="1"/>
  <c r="F126" i="2"/>
  <c r="F128" i="15" s="1"/>
  <c r="U128" i="15" s="1"/>
  <c r="F123" i="4"/>
  <c r="U123" i="4" s="1"/>
  <c r="E123" i="15"/>
  <c r="T123" i="15" s="1"/>
  <c r="I129" i="13"/>
  <c r="H122" i="2"/>
  <c r="F124" i="4"/>
  <c r="F127" i="4"/>
  <c r="F127" i="15"/>
  <c r="U127" i="15" s="1"/>
  <c r="U127" i="4"/>
  <c r="T126" i="15"/>
  <c r="J127" i="4"/>
  <c r="T127" i="15"/>
  <c r="T117" i="15"/>
  <c r="R124" i="13"/>
  <c r="R127" i="13"/>
  <c r="L129" i="15"/>
  <c r="T119" i="15"/>
  <c r="K129" i="15"/>
  <c r="R125" i="13"/>
  <c r="O129" i="15"/>
  <c r="F122" i="3"/>
  <c r="T128" i="4"/>
  <c r="T125" i="15"/>
  <c r="T126" i="4"/>
  <c r="T127" i="4"/>
  <c r="R126" i="13"/>
  <c r="O121" i="2"/>
  <c r="O121" i="3" s="1"/>
  <c r="U123" i="15"/>
  <c r="P128" i="4"/>
  <c r="J126" i="4"/>
  <c r="P128" i="15"/>
  <c r="I125" i="4"/>
  <c r="I125" i="15"/>
  <c r="F128" i="4"/>
  <c r="O124" i="2"/>
  <c r="O124" i="3" s="1"/>
  <c r="O126" i="2"/>
  <c r="I128" i="4"/>
  <c r="J129" i="13"/>
  <c r="K129" i="13" s="1"/>
  <c r="O129" i="4"/>
  <c r="M125" i="4"/>
  <c r="F129" i="13"/>
  <c r="R123" i="13"/>
  <c r="L129" i="4"/>
  <c r="M127" i="15"/>
  <c r="M127" i="4"/>
  <c r="P126" i="15"/>
  <c r="P126" i="4"/>
  <c r="M125" i="15"/>
  <c r="J125" i="15"/>
  <c r="H128" i="15"/>
  <c r="E128" i="15"/>
  <c r="O126" i="1"/>
  <c r="O123" i="1"/>
  <c r="O125" i="1"/>
  <c r="H124" i="15"/>
  <c r="H124" i="4"/>
  <c r="T124" i="4" s="1"/>
  <c r="K129" i="4"/>
  <c r="E129" i="13"/>
  <c r="T129" i="13" s="1"/>
  <c r="N129" i="15"/>
  <c r="Q124" i="13"/>
  <c r="N129" i="4"/>
  <c r="E123" i="4"/>
  <c r="E124" i="15"/>
  <c r="Q117" i="13"/>
  <c r="E122" i="13"/>
  <c r="I122" i="13"/>
  <c r="Q114" i="13"/>
  <c r="E121" i="4"/>
  <c r="T121" i="4" s="1"/>
  <c r="Q119" i="13"/>
  <c r="O119" i="1"/>
  <c r="Q118" i="13"/>
  <c r="Q121" i="13"/>
  <c r="E113" i="15"/>
  <c r="Q120" i="13"/>
  <c r="E113" i="4"/>
  <c r="T113" i="4" s="1"/>
  <c r="F119" i="2"/>
  <c r="F121" i="15" s="1"/>
  <c r="U121" i="15" s="1"/>
  <c r="T120" i="4"/>
  <c r="T121" i="15"/>
  <c r="U117" i="4"/>
  <c r="R118" i="13"/>
  <c r="R119" i="13"/>
  <c r="T119" i="4"/>
  <c r="R121" i="13"/>
  <c r="O122" i="15"/>
  <c r="R117" i="13"/>
  <c r="G117" i="13"/>
  <c r="J122" i="13"/>
  <c r="K122" i="15"/>
  <c r="T120" i="15"/>
  <c r="R120" i="13"/>
  <c r="G121" i="13"/>
  <c r="L122" i="15"/>
  <c r="F122" i="13"/>
  <c r="N122" i="15"/>
  <c r="R116" i="13"/>
  <c r="O118" i="2"/>
  <c r="O118" i="3" s="1"/>
  <c r="O117" i="2"/>
  <c r="O117" i="3" s="1"/>
  <c r="K118" i="13"/>
  <c r="O115" i="2"/>
  <c r="O115" i="3" s="1"/>
  <c r="K116" i="13"/>
  <c r="Q113" i="13"/>
  <c r="Q109" i="13"/>
  <c r="Q110" i="13"/>
  <c r="R114" i="13"/>
  <c r="R108" i="13"/>
  <c r="Q116" i="13"/>
  <c r="F116" i="2"/>
  <c r="E118" i="4"/>
  <c r="T118" i="4" s="1"/>
  <c r="E118" i="15"/>
  <c r="E122" i="15" s="1"/>
  <c r="O116" i="1"/>
  <c r="I116" i="15"/>
  <c r="I122" i="15" s="1"/>
  <c r="I116" i="4"/>
  <c r="H116" i="4"/>
  <c r="O114" i="1"/>
  <c r="H116" i="15"/>
  <c r="T116" i="15" s="1"/>
  <c r="O122" i="4"/>
  <c r="I119" i="4"/>
  <c r="F119" i="4"/>
  <c r="M117" i="4"/>
  <c r="L122" i="4"/>
  <c r="M121" i="4"/>
  <c r="J121" i="4"/>
  <c r="I120" i="4"/>
  <c r="U119" i="15"/>
  <c r="U120" i="15"/>
  <c r="F120" i="4"/>
  <c r="F117" i="15"/>
  <c r="U117" i="15" s="1"/>
  <c r="F114" i="2"/>
  <c r="O114" i="2" s="1"/>
  <c r="E116" i="4"/>
  <c r="P116" i="15"/>
  <c r="N122" i="4"/>
  <c r="J117" i="4"/>
  <c r="K122" i="4"/>
  <c r="J118" i="4"/>
  <c r="P118" i="4"/>
  <c r="U113" i="4"/>
  <c r="F106" i="3"/>
  <c r="G108" i="15" s="1"/>
  <c r="E108" i="4"/>
  <c r="T108" i="4" s="1"/>
  <c r="O110" i="1"/>
  <c r="O108" i="1"/>
  <c r="Q112" i="13"/>
  <c r="F103" i="3"/>
  <c r="G105" i="15" s="1"/>
  <c r="F113" i="15"/>
  <c r="U113" i="15" s="1"/>
  <c r="P110" i="15"/>
  <c r="R109" i="13"/>
  <c r="F108" i="4"/>
  <c r="T114" i="15"/>
  <c r="R112" i="13"/>
  <c r="R111" i="13"/>
  <c r="J110" i="15"/>
  <c r="L115" i="4"/>
  <c r="F108" i="15"/>
  <c r="M113" i="15"/>
  <c r="J115" i="13"/>
  <c r="R110" i="13"/>
  <c r="R113" i="13"/>
  <c r="N115" i="4"/>
  <c r="O111" i="2"/>
  <c r="O111" i="3" s="1"/>
  <c r="H112" i="2"/>
  <c r="I114" i="4" s="1"/>
  <c r="N115" i="15"/>
  <c r="O112" i="1"/>
  <c r="F112" i="2"/>
  <c r="F114" i="15" s="1"/>
  <c r="E114" i="4"/>
  <c r="T114" i="4" s="1"/>
  <c r="E110" i="4"/>
  <c r="F108" i="2"/>
  <c r="E110" i="15"/>
  <c r="T110" i="15" s="1"/>
  <c r="H111" i="4"/>
  <c r="H115" i="4" s="1"/>
  <c r="H141" i="4" s="1"/>
  <c r="W142" i="4" s="1"/>
  <c r="H109" i="2"/>
  <c r="I111" i="15" s="1"/>
  <c r="O109" i="1"/>
  <c r="G113" i="13"/>
  <c r="T113" i="15"/>
  <c r="F111" i="4"/>
  <c r="F111" i="15"/>
  <c r="E112" i="15"/>
  <c r="T112" i="15" s="1"/>
  <c r="F107" i="2"/>
  <c r="F109" i="4" s="1"/>
  <c r="U109" i="4" s="1"/>
  <c r="E109" i="15"/>
  <c r="T109" i="15" s="1"/>
  <c r="O107" i="1"/>
  <c r="H108" i="15"/>
  <c r="H115" i="15" s="1"/>
  <c r="H141" i="15" s="1"/>
  <c r="W142" i="15" s="1"/>
  <c r="H106" i="2"/>
  <c r="O106" i="1"/>
  <c r="I109" i="15"/>
  <c r="K114" i="13"/>
  <c r="P114" i="15"/>
  <c r="P112" i="15"/>
  <c r="P112" i="4"/>
  <c r="P110" i="4"/>
  <c r="P108" i="15"/>
  <c r="K108" i="13"/>
  <c r="M111" i="4"/>
  <c r="G111" i="13"/>
  <c r="M109" i="15"/>
  <c r="M109" i="4"/>
  <c r="J113" i="4"/>
  <c r="J112" i="4"/>
  <c r="L115" i="15"/>
  <c r="O115" i="4"/>
  <c r="E111" i="4"/>
  <c r="E111" i="15"/>
  <c r="I115" i="13"/>
  <c r="T109" i="4"/>
  <c r="E115" i="13"/>
  <c r="K115" i="4"/>
  <c r="Q108" i="13"/>
  <c r="F115" i="13"/>
  <c r="K115" i="15"/>
  <c r="O115" i="15"/>
  <c r="I142" i="13"/>
  <c r="L99" i="3"/>
  <c r="P101" i="4" s="1"/>
  <c r="J98" i="3"/>
  <c r="G100" i="13" s="1"/>
  <c r="H98" i="3"/>
  <c r="J100" i="4" s="1"/>
  <c r="F100" i="2"/>
  <c r="F101" i="2"/>
  <c r="O101" i="2" s="1"/>
  <c r="F105" i="15"/>
  <c r="F98" i="1"/>
  <c r="F98" i="2" s="1"/>
  <c r="F100" i="4" s="1"/>
  <c r="E97" i="4"/>
  <c r="F99" i="1"/>
  <c r="E101" i="4" s="1"/>
  <c r="F93" i="1"/>
  <c r="E95" i="15" s="1"/>
  <c r="O100" i="1"/>
  <c r="O101" i="1"/>
  <c r="O103" i="1"/>
  <c r="K106" i="13"/>
  <c r="J106" i="13"/>
  <c r="I106" i="13"/>
  <c r="G106" i="13"/>
  <c r="F106" i="13"/>
  <c r="E106" i="13"/>
  <c r="K105" i="13"/>
  <c r="J105" i="13"/>
  <c r="I105" i="13"/>
  <c r="G105" i="13"/>
  <c r="F105" i="13"/>
  <c r="E105" i="13"/>
  <c r="K104" i="13"/>
  <c r="J104" i="13"/>
  <c r="I104" i="13"/>
  <c r="G104" i="13"/>
  <c r="F104" i="13"/>
  <c r="E104" i="13"/>
  <c r="K103" i="13"/>
  <c r="J103" i="13"/>
  <c r="I103" i="13"/>
  <c r="G103" i="13"/>
  <c r="F103" i="13"/>
  <c r="E103" i="13"/>
  <c r="K102" i="13"/>
  <c r="J102" i="13"/>
  <c r="I102" i="13"/>
  <c r="G102" i="13"/>
  <c r="F102" i="13"/>
  <c r="E102" i="13"/>
  <c r="J101" i="13"/>
  <c r="I101" i="13"/>
  <c r="G101" i="13"/>
  <c r="F101" i="13"/>
  <c r="E101" i="13"/>
  <c r="K100" i="13"/>
  <c r="J100" i="13"/>
  <c r="I100" i="13"/>
  <c r="F100" i="13"/>
  <c r="E100" i="13"/>
  <c r="P106" i="15"/>
  <c r="O106" i="15"/>
  <c r="N106" i="15"/>
  <c r="M106" i="15"/>
  <c r="L106" i="15"/>
  <c r="K106" i="15"/>
  <c r="J106" i="15"/>
  <c r="I106" i="15"/>
  <c r="H106" i="15"/>
  <c r="G106" i="15"/>
  <c r="P105" i="15"/>
  <c r="O105" i="15"/>
  <c r="N105" i="15"/>
  <c r="M105" i="15"/>
  <c r="L105" i="15"/>
  <c r="K105" i="15"/>
  <c r="J105" i="15"/>
  <c r="I105" i="15"/>
  <c r="H105" i="15"/>
  <c r="E105" i="15"/>
  <c r="P104" i="15"/>
  <c r="O104" i="15"/>
  <c r="N104" i="15"/>
  <c r="M104" i="15"/>
  <c r="L104" i="15"/>
  <c r="K104" i="15"/>
  <c r="J104" i="15"/>
  <c r="I104" i="15"/>
  <c r="H104" i="15"/>
  <c r="G104" i="15"/>
  <c r="P103" i="15"/>
  <c r="O103" i="15"/>
  <c r="N103" i="15"/>
  <c r="M103" i="15"/>
  <c r="L103" i="15"/>
  <c r="K103" i="15"/>
  <c r="J103" i="15"/>
  <c r="I103" i="15"/>
  <c r="H103" i="15"/>
  <c r="G103" i="15"/>
  <c r="E103" i="15"/>
  <c r="P102" i="15"/>
  <c r="O102" i="15"/>
  <c r="N102" i="15"/>
  <c r="M102" i="15"/>
  <c r="L102" i="15"/>
  <c r="K102" i="15"/>
  <c r="J102" i="15"/>
  <c r="I102" i="15"/>
  <c r="H102" i="15"/>
  <c r="G102" i="15"/>
  <c r="E102" i="15"/>
  <c r="T102" i="15" s="1"/>
  <c r="O101" i="15"/>
  <c r="N101" i="15"/>
  <c r="M101" i="15"/>
  <c r="L101" i="15"/>
  <c r="K101" i="15"/>
  <c r="J101" i="15"/>
  <c r="I101" i="15"/>
  <c r="H101" i="15"/>
  <c r="G101" i="15"/>
  <c r="P100" i="15"/>
  <c r="O100" i="15"/>
  <c r="N100" i="15"/>
  <c r="L100" i="15"/>
  <c r="K100" i="15"/>
  <c r="I100" i="15"/>
  <c r="H100" i="15"/>
  <c r="G100" i="15"/>
  <c r="P106" i="4"/>
  <c r="O106" i="4"/>
  <c r="N106" i="4"/>
  <c r="M106" i="4"/>
  <c r="L106" i="4"/>
  <c r="K106" i="4"/>
  <c r="J106" i="4"/>
  <c r="I106" i="4"/>
  <c r="H106" i="4"/>
  <c r="G106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P104" i="4"/>
  <c r="O104" i="4"/>
  <c r="N104" i="4"/>
  <c r="M104" i="4"/>
  <c r="L104" i="4"/>
  <c r="K104" i="4"/>
  <c r="J104" i="4"/>
  <c r="I104" i="4"/>
  <c r="H104" i="4"/>
  <c r="G104" i="4"/>
  <c r="P103" i="4"/>
  <c r="O103" i="4"/>
  <c r="N103" i="4"/>
  <c r="M103" i="4"/>
  <c r="L103" i="4"/>
  <c r="K103" i="4"/>
  <c r="J103" i="4"/>
  <c r="I103" i="4"/>
  <c r="H103" i="4"/>
  <c r="G103" i="4"/>
  <c r="E103" i="4"/>
  <c r="P102" i="4"/>
  <c r="O102" i="4"/>
  <c r="N102" i="4"/>
  <c r="M102" i="4"/>
  <c r="L102" i="4"/>
  <c r="K102" i="4"/>
  <c r="J102" i="4"/>
  <c r="I102" i="4"/>
  <c r="H102" i="4"/>
  <c r="G102" i="4"/>
  <c r="E102" i="4"/>
  <c r="T102" i="4" s="1"/>
  <c r="O101" i="4"/>
  <c r="N101" i="4"/>
  <c r="M101" i="4"/>
  <c r="L101" i="4"/>
  <c r="K101" i="4"/>
  <c r="J101" i="4"/>
  <c r="I101" i="4"/>
  <c r="H101" i="4"/>
  <c r="G101" i="4"/>
  <c r="P100" i="4"/>
  <c r="O100" i="4"/>
  <c r="N100" i="4"/>
  <c r="L100" i="4"/>
  <c r="K100" i="4"/>
  <c r="I100" i="4"/>
  <c r="H100" i="4"/>
  <c r="G100" i="4"/>
  <c r="L93" i="3"/>
  <c r="K95" i="13" s="1"/>
  <c r="J96" i="3"/>
  <c r="M98" i="4" s="1"/>
  <c r="J94" i="3"/>
  <c r="G96" i="13" s="1"/>
  <c r="H96" i="3"/>
  <c r="J98" i="4" s="1"/>
  <c r="H95" i="3"/>
  <c r="J97" i="4" s="1"/>
  <c r="F92" i="2"/>
  <c r="F94" i="15" s="1"/>
  <c r="F92" i="1"/>
  <c r="K96" i="13"/>
  <c r="K97" i="13"/>
  <c r="K98" i="13"/>
  <c r="K94" i="13"/>
  <c r="J95" i="13"/>
  <c r="J96" i="13"/>
  <c r="J97" i="13"/>
  <c r="J98" i="13"/>
  <c r="J94" i="13"/>
  <c r="I95" i="13"/>
  <c r="I96" i="13"/>
  <c r="I97" i="13"/>
  <c r="I98" i="13"/>
  <c r="I94" i="13"/>
  <c r="G95" i="13"/>
  <c r="G97" i="13"/>
  <c r="G94" i="13"/>
  <c r="F95" i="13"/>
  <c r="F96" i="13"/>
  <c r="F97" i="13"/>
  <c r="F98" i="13"/>
  <c r="F94" i="13"/>
  <c r="E95" i="13"/>
  <c r="E96" i="13"/>
  <c r="E97" i="13"/>
  <c r="E98" i="13"/>
  <c r="E94" i="13"/>
  <c r="N138" i="2"/>
  <c r="M142" i="13"/>
  <c r="P98" i="15"/>
  <c r="O98" i="15"/>
  <c r="N98" i="15"/>
  <c r="L98" i="15"/>
  <c r="K98" i="15"/>
  <c r="I98" i="15"/>
  <c r="H98" i="15"/>
  <c r="G98" i="15"/>
  <c r="P97" i="15"/>
  <c r="O97" i="15"/>
  <c r="N97" i="15"/>
  <c r="M97" i="15"/>
  <c r="L97" i="15"/>
  <c r="K97" i="15"/>
  <c r="I97" i="15"/>
  <c r="H97" i="15"/>
  <c r="G97" i="15"/>
  <c r="P96" i="15"/>
  <c r="O96" i="15"/>
  <c r="N96" i="15"/>
  <c r="L96" i="15"/>
  <c r="K96" i="15"/>
  <c r="J96" i="15"/>
  <c r="I96" i="15"/>
  <c r="H96" i="15"/>
  <c r="G96" i="15"/>
  <c r="O95" i="15"/>
  <c r="N95" i="15"/>
  <c r="M95" i="15"/>
  <c r="L95" i="15"/>
  <c r="K95" i="15"/>
  <c r="J95" i="15"/>
  <c r="I95" i="15"/>
  <c r="H95" i="15"/>
  <c r="G95" i="15"/>
  <c r="P94" i="15"/>
  <c r="O94" i="15"/>
  <c r="N94" i="15"/>
  <c r="M94" i="15"/>
  <c r="L94" i="15"/>
  <c r="K94" i="15"/>
  <c r="J94" i="15"/>
  <c r="I94" i="15"/>
  <c r="H94" i="15"/>
  <c r="P98" i="4"/>
  <c r="O98" i="4"/>
  <c r="N98" i="4"/>
  <c r="L98" i="4"/>
  <c r="K98" i="4"/>
  <c r="I98" i="4"/>
  <c r="H98" i="4"/>
  <c r="G98" i="4"/>
  <c r="P97" i="4"/>
  <c r="O97" i="4"/>
  <c r="N97" i="4"/>
  <c r="M97" i="4"/>
  <c r="L97" i="4"/>
  <c r="K97" i="4"/>
  <c r="I97" i="4"/>
  <c r="H97" i="4"/>
  <c r="G97" i="4"/>
  <c r="P96" i="4"/>
  <c r="O96" i="4"/>
  <c r="N96" i="4"/>
  <c r="L96" i="4"/>
  <c r="K96" i="4"/>
  <c r="J96" i="4"/>
  <c r="I96" i="4"/>
  <c r="H96" i="4"/>
  <c r="G96" i="4"/>
  <c r="O95" i="4"/>
  <c r="N95" i="4"/>
  <c r="M95" i="4"/>
  <c r="L95" i="4"/>
  <c r="K95" i="4"/>
  <c r="J95" i="4"/>
  <c r="I95" i="4"/>
  <c r="H95" i="4"/>
  <c r="G95" i="4"/>
  <c r="P94" i="4"/>
  <c r="O94" i="4"/>
  <c r="N94" i="4"/>
  <c r="M94" i="4"/>
  <c r="L94" i="4"/>
  <c r="K94" i="4"/>
  <c r="J94" i="4"/>
  <c r="I94" i="4"/>
  <c r="H94" i="4"/>
  <c r="H78" i="1"/>
  <c r="H78" i="2" s="1"/>
  <c r="H89" i="3"/>
  <c r="J91" i="4" s="1"/>
  <c r="H88" i="3"/>
  <c r="J90" i="15" s="1"/>
  <c r="F89" i="1"/>
  <c r="E91" i="15" s="1"/>
  <c r="F87" i="1"/>
  <c r="F87" i="2" s="1"/>
  <c r="F89" i="4" s="1"/>
  <c r="U89" i="4" s="1"/>
  <c r="H85" i="3"/>
  <c r="J87" i="4" s="1"/>
  <c r="F86" i="2"/>
  <c r="F85" i="1"/>
  <c r="F85" i="2" s="1"/>
  <c r="F87" i="15" s="1"/>
  <c r="F86" i="1"/>
  <c r="O86" i="1" s="1"/>
  <c r="E87" i="15"/>
  <c r="L89" i="3"/>
  <c r="P91" i="15" s="1"/>
  <c r="L85" i="3"/>
  <c r="K87" i="13" s="1"/>
  <c r="J90" i="3"/>
  <c r="G92" i="13" s="1"/>
  <c r="J88" i="3"/>
  <c r="G90" i="13" s="1"/>
  <c r="J86" i="3"/>
  <c r="M88" i="4" s="1"/>
  <c r="O90" i="1"/>
  <c r="O90" i="2"/>
  <c r="K92" i="13"/>
  <c r="J92" i="13"/>
  <c r="I92" i="13"/>
  <c r="F92" i="13"/>
  <c r="E92" i="13"/>
  <c r="J91" i="13"/>
  <c r="I91" i="13"/>
  <c r="G91" i="13"/>
  <c r="F91" i="13"/>
  <c r="E91" i="13"/>
  <c r="K90" i="13"/>
  <c r="J90" i="13"/>
  <c r="I90" i="13"/>
  <c r="F90" i="13"/>
  <c r="E90" i="13"/>
  <c r="K89" i="13"/>
  <c r="J89" i="13"/>
  <c r="I89" i="13"/>
  <c r="G89" i="13"/>
  <c r="F89" i="13"/>
  <c r="E89" i="13"/>
  <c r="K88" i="13"/>
  <c r="J88" i="13"/>
  <c r="I88" i="13"/>
  <c r="F88" i="13"/>
  <c r="E88" i="13"/>
  <c r="J87" i="13"/>
  <c r="I87" i="13"/>
  <c r="G87" i="13"/>
  <c r="F87" i="13"/>
  <c r="E87" i="13"/>
  <c r="M140" i="13"/>
  <c r="N140" i="13"/>
  <c r="P92" i="15"/>
  <c r="O92" i="15"/>
  <c r="N92" i="15"/>
  <c r="L92" i="15"/>
  <c r="U92" i="15" s="1"/>
  <c r="K92" i="15"/>
  <c r="T92" i="15" s="1"/>
  <c r="J92" i="15"/>
  <c r="I92" i="15"/>
  <c r="H92" i="15"/>
  <c r="G92" i="15"/>
  <c r="F92" i="15"/>
  <c r="E92" i="15"/>
  <c r="O91" i="15"/>
  <c r="N91" i="15"/>
  <c r="M91" i="15"/>
  <c r="L91" i="15"/>
  <c r="K91" i="15"/>
  <c r="I91" i="15"/>
  <c r="H91" i="15"/>
  <c r="G91" i="15"/>
  <c r="P90" i="15"/>
  <c r="O90" i="15"/>
  <c r="N90" i="15"/>
  <c r="L90" i="15"/>
  <c r="K90" i="15"/>
  <c r="I90" i="15"/>
  <c r="H90" i="15"/>
  <c r="G90" i="15"/>
  <c r="P89" i="15"/>
  <c r="O89" i="15"/>
  <c r="N89" i="15"/>
  <c r="M89" i="15"/>
  <c r="L89" i="15"/>
  <c r="K89" i="15"/>
  <c r="J89" i="15"/>
  <c r="I89" i="15"/>
  <c r="H89" i="15"/>
  <c r="G89" i="15"/>
  <c r="P88" i="15"/>
  <c r="O88" i="15"/>
  <c r="N88" i="15"/>
  <c r="L88" i="15"/>
  <c r="K88" i="15"/>
  <c r="J88" i="15"/>
  <c r="I88" i="15"/>
  <c r="H88" i="15"/>
  <c r="O87" i="15"/>
  <c r="N87" i="15"/>
  <c r="M87" i="15"/>
  <c r="L87" i="15"/>
  <c r="K87" i="15"/>
  <c r="I87" i="15"/>
  <c r="H87" i="15"/>
  <c r="G87" i="15"/>
  <c r="P92" i="4"/>
  <c r="O92" i="4"/>
  <c r="N92" i="4"/>
  <c r="L92" i="4"/>
  <c r="K92" i="4"/>
  <c r="T92" i="4" s="1"/>
  <c r="J92" i="4"/>
  <c r="I92" i="4"/>
  <c r="H92" i="4"/>
  <c r="G92" i="4"/>
  <c r="F92" i="4"/>
  <c r="E92" i="4"/>
  <c r="O91" i="4"/>
  <c r="N91" i="4"/>
  <c r="M91" i="4"/>
  <c r="L91" i="4"/>
  <c r="K91" i="4"/>
  <c r="I91" i="4"/>
  <c r="H91" i="4"/>
  <c r="G91" i="4"/>
  <c r="P90" i="4"/>
  <c r="O90" i="4"/>
  <c r="N90" i="4"/>
  <c r="L90" i="4"/>
  <c r="K90" i="4"/>
  <c r="I90" i="4"/>
  <c r="H90" i="4"/>
  <c r="G90" i="4"/>
  <c r="P89" i="4"/>
  <c r="O89" i="4"/>
  <c r="N89" i="4"/>
  <c r="M89" i="4"/>
  <c r="L89" i="4"/>
  <c r="K89" i="4"/>
  <c r="J89" i="4"/>
  <c r="I89" i="4"/>
  <c r="H89" i="4"/>
  <c r="G89" i="4"/>
  <c r="P88" i="4"/>
  <c r="O88" i="4"/>
  <c r="N88" i="4"/>
  <c r="L88" i="4"/>
  <c r="K88" i="4"/>
  <c r="J88" i="4"/>
  <c r="I88" i="4"/>
  <c r="H88" i="4"/>
  <c r="O87" i="4"/>
  <c r="N87" i="4"/>
  <c r="M87" i="4"/>
  <c r="L87" i="4"/>
  <c r="K87" i="4"/>
  <c r="I87" i="4"/>
  <c r="H87" i="4"/>
  <c r="G87" i="4"/>
  <c r="F83" i="1"/>
  <c r="E85" i="4" s="1"/>
  <c r="T85" i="4" s="1"/>
  <c r="F79" i="1"/>
  <c r="E81" i="15" s="1"/>
  <c r="F82" i="1"/>
  <c r="E84" i="15" s="1"/>
  <c r="F78" i="1"/>
  <c r="F77" i="1"/>
  <c r="O77" i="1" s="1"/>
  <c r="F73" i="1"/>
  <c r="F73" i="2" s="1"/>
  <c r="F70" i="1"/>
  <c r="F74" i="1" s="1"/>
  <c r="H72" i="1"/>
  <c r="H72" i="2" s="1"/>
  <c r="H69" i="1"/>
  <c r="H69" i="2" s="1"/>
  <c r="H73" i="1"/>
  <c r="L79" i="3"/>
  <c r="K81" i="13" s="1"/>
  <c r="J82" i="3"/>
  <c r="M84" i="15" s="1"/>
  <c r="J80" i="3"/>
  <c r="G82" i="13" s="1"/>
  <c r="J78" i="3"/>
  <c r="G80" i="13" s="1"/>
  <c r="H81" i="3"/>
  <c r="J83" i="15" s="1"/>
  <c r="H80" i="3"/>
  <c r="J82" i="4" s="1"/>
  <c r="H79" i="2"/>
  <c r="I81" i="4" s="1"/>
  <c r="K80" i="13"/>
  <c r="K82" i="13"/>
  <c r="K83" i="13"/>
  <c r="K84" i="13"/>
  <c r="K85" i="13"/>
  <c r="K79" i="13"/>
  <c r="J80" i="13"/>
  <c r="J81" i="13"/>
  <c r="J82" i="13"/>
  <c r="J83" i="13"/>
  <c r="J84" i="13"/>
  <c r="J85" i="13"/>
  <c r="I80" i="13"/>
  <c r="I81" i="13"/>
  <c r="I82" i="13"/>
  <c r="I83" i="13"/>
  <c r="I84" i="13"/>
  <c r="I85" i="13"/>
  <c r="I79" i="13"/>
  <c r="G81" i="13"/>
  <c r="G83" i="13"/>
  <c r="G85" i="13"/>
  <c r="G79" i="13"/>
  <c r="E80" i="13"/>
  <c r="E81" i="13"/>
  <c r="E82" i="13"/>
  <c r="E83" i="13"/>
  <c r="E84" i="13"/>
  <c r="E85" i="13"/>
  <c r="E79" i="13"/>
  <c r="P85" i="15"/>
  <c r="O85" i="15"/>
  <c r="N85" i="15"/>
  <c r="M85" i="15"/>
  <c r="L85" i="15"/>
  <c r="K85" i="15"/>
  <c r="J85" i="15"/>
  <c r="I85" i="15"/>
  <c r="H85" i="15"/>
  <c r="G85" i="15"/>
  <c r="P84" i="15"/>
  <c r="O84" i="15"/>
  <c r="N84" i="15"/>
  <c r="L84" i="15"/>
  <c r="K84" i="15"/>
  <c r="J84" i="15"/>
  <c r="I84" i="15"/>
  <c r="H84" i="15"/>
  <c r="G84" i="15"/>
  <c r="P83" i="15"/>
  <c r="O83" i="15"/>
  <c r="N83" i="15"/>
  <c r="M83" i="15"/>
  <c r="L83" i="15"/>
  <c r="K83" i="15"/>
  <c r="I83" i="15"/>
  <c r="H83" i="15"/>
  <c r="G83" i="15"/>
  <c r="P82" i="15"/>
  <c r="O82" i="15"/>
  <c r="N82" i="15"/>
  <c r="L82" i="15"/>
  <c r="K82" i="15"/>
  <c r="I82" i="15"/>
  <c r="H82" i="15"/>
  <c r="G82" i="15"/>
  <c r="O81" i="15"/>
  <c r="N81" i="15"/>
  <c r="M81" i="15"/>
  <c r="L81" i="15"/>
  <c r="K81" i="15"/>
  <c r="J81" i="15"/>
  <c r="H81" i="15"/>
  <c r="G81" i="15"/>
  <c r="P80" i="15"/>
  <c r="O80" i="15"/>
  <c r="N80" i="15"/>
  <c r="L80" i="15"/>
  <c r="K80" i="15"/>
  <c r="J80" i="15"/>
  <c r="G80" i="15"/>
  <c r="P79" i="15"/>
  <c r="O79" i="15"/>
  <c r="N79" i="15"/>
  <c r="M79" i="15"/>
  <c r="L79" i="15"/>
  <c r="K79" i="15"/>
  <c r="J79" i="15"/>
  <c r="I79" i="15"/>
  <c r="H79" i="15"/>
  <c r="G79" i="15"/>
  <c r="O85" i="4"/>
  <c r="L85" i="4"/>
  <c r="I85" i="4"/>
  <c r="P80" i="4"/>
  <c r="P82" i="4"/>
  <c r="P83" i="4"/>
  <c r="P84" i="4"/>
  <c r="P85" i="4"/>
  <c r="P79" i="4"/>
  <c r="N80" i="4"/>
  <c r="N81" i="4"/>
  <c r="N82" i="4"/>
  <c r="N83" i="4"/>
  <c r="N84" i="4"/>
  <c r="N85" i="4"/>
  <c r="N79" i="4"/>
  <c r="M81" i="4"/>
  <c r="M83" i="4"/>
  <c r="M85" i="4"/>
  <c r="M79" i="4"/>
  <c r="K80" i="4"/>
  <c r="K81" i="4"/>
  <c r="K82" i="4"/>
  <c r="K83" i="4"/>
  <c r="K84" i="4"/>
  <c r="K85" i="4"/>
  <c r="K79" i="4"/>
  <c r="J80" i="4"/>
  <c r="J81" i="4"/>
  <c r="J84" i="4"/>
  <c r="J85" i="4"/>
  <c r="J79" i="4"/>
  <c r="H81" i="4"/>
  <c r="H82" i="4"/>
  <c r="H83" i="4"/>
  <c r="H84" i="4"/>
  <c r="H85" i="4"/>
  <c r="H79" i="4"/>
  <c r="G80" i="4"/>
  <c r="G81" i="4"/>
  <c r="G82" i="4"/>
  <c r="G83" i="4"/>
  <c r="G84" i="4"/>
  <c r="G85" i="4"/>
  <c r="G79" i="4"/>
  <c r="F85" i="13"/>
  <c r="F84" i="13"/>
  <c r="F83" i="13"/>
  <c r="F82" i="13"/>
  <c r="F81" i="13"/>
  <c r="F80" i="13"/>
  <c r="J79" i="13"/>
  <c r="F79" i="13"/>
  <c r="O84" i="4"/>
  <c r="L84" i="4"/>
  <c r="I84" i="4"/>
  <c r="O83" i="4"/>
  <c r="L83" i="4"/>
  <c r="I83" i="4"/>
  <c r="O82" i="4"/>
  <c r="L82" i="4"/>
  <c r="I82" i="4"/>
  <c r="O81" i="4"/>
  <c r="L81" i="4"/>
  <c r="O80" i="4"/>
  <c r="L80" i="4"/>
  <c r="O79" i="4"/>
  <c r="L79" i="4"/>
  <c r="I79" i="4"/>
  <c r="H73" i="2"/>
  <c r="J74" i="2"/>
  <c r="F75" i="2"/>
  <c r="H74" i="3"/>
  <c r="J72" i="3"/>
  <c r="L73" i="3"/>
  <c r="F71" i="1"/>
  <c r="I108" i="4" l="1"/>
  <c r="H138" i="2"/>
  <c r="Q129" i="13"/>
  <c r="T122" i="13"/>
  <c r="G122" i="13"/>
  <c r="E129" i="15"/>
  <c r="E129" i="4"/>
  <c r="F81" i="1"/>
  <c r="T128" i="15"/>
  <c r="O123" i="3"/>
  <c r="T123" i="4"/>
  <c r="T129" i="4" s="1"/>
  <c r="T124" i="15"/>
  <c r="T129" i="15" s="1"/>
  <c r="T118" i="15"/>
  <c r="T122" i="15" s="1"/>
  <c r="O125" i="3"/>
  <c r="O126" i="3"/>
  <c r="F126" i="4"/>
  <c r="U126" i="4" s="1"/>
  <c r="F126" i="15"/>
  <c r="U126" i="15" s="1"/>
  <c r="F125" i="4"/>
  <c r="U125" i="4" s="1"/>
  <c r="F125" i="15"/>
  <c r="U128" i="4"/>
  <c r="M129" i="15"/>
  <c r="P129" i="4"/>
  <c r="U122" i="13"/>
  <c r="U129" i="13"/>
  <c r="P129" i="15"/>
  <c r="O119" i="2"/>
  <c r="O119" i="3" s="1"/>
  <c r="R129" i="13"/>
  <c r="G124" i="4"/>
  <c r="G124" i="15"/>
  <c r="H129" i="4"/>
  <c r="W129" i="4" s="1"/>
  <c r="M129" i="4"/>
  <c r="M122" i="15"/>
  <c r="H129" i="15"/>
  <c r="G129" i="13"/>
  <c r="Q104" i="13"/>
  <c r="Q103" i="13"/>
  <c r="K122" i="13"/>
  <c r="E112" i="4"/>
  <c r="T112" i="4" s="1"/>
  <c r="F110" i="2"/>
  <c r="O110" i="2" s="1"/>
  <c r="O110" i="3" s="1"/>
  <c r="Q115" i="13"/>
  <c r="Q122" i="13"/>
  <c r="F121" i="4"/>
  <c r="U121" i="4" s="1"/>
  <c r="P122" i="15"/>
  <c r="U119" i="4"/>
  <c r="G108" i="4"/>
  <c r="R122" i="13"/>
  <c r="P122" i="4"/>
  <c r="U120" i="4"/>
  <c r="H122" i="15"/>
  <c r="H122" i="4"/>
  <c r="T116" i="4"/>
  <c r="T122" i="4" s="1"/>
  <c r="E122" i="4"/>
  <c r="F118" i="4"/>
  <c r="U118" i="4" s="1"/>
  <c r="O116" i="2"/>
  <c r="O116" i="3" s="1"/>
  <c r="F118" i="15"/>
  <c r="U118" i="15" s="1"/>
  <c r="O114" i="3"/>
  <c r="M122" i="4"/>
  <c r="I122" i="4"/>
  <c r="F116" i="15"/>
  <c r="F116" i="4"/>
  <c r="U116" i="4" s="1"/>
  <c r="K115" i="13"/>
  <c r="E100" i="4"/>
  <c r="T100" i="4" s="1"/>
  <c r="Q106" i="13"/>
  <c r="O98" i="1"/>
  <c r="Q105" i="13"/>
  <c r="Q94" i="13"/>
  <c r="T110" i="4"/>
  <c r="U108" i="4"/>
  <c r="R115" i="13"/>
  <c r="I114" i="15"/>
  <c r="U114" i="15" s="1"/>
  <c r="T111" i="4"/>
  <c r="R101" i="13"/>
  <c r="M115" i="4"/>
  <c r="U111" i="15"/>
  <c r="O112" i="2"/>
  <c r="O112" i="3" s="1"/>
  <c r="R105" i="13"/>
  <c r="P115" i="4"/>
  <c r="T115" i="13"/>
  <c r="F114" i="4"/>
  <c r="U114" i="4" s="1"/>
  <c r="O108" i="2"/>
  <c r="O108" i="3" s="1"/>
  <c r="F110" i="4"/>
  <c r="F110" i="15"/>
  <c r="U110" i="15" s="1"/>
  <c r="I111" i="4"/>
  <c r="U111" i="4" s="1"/>
  <c r="O109" i="2"/>
  <c r="O109" i="3" s="1"/>
  <c r="F109" i="15"/>
  <c r="U109" i="15" s="1"/>
  <c r="E115" i="15"/>
  <c r="O107" i="2"/>
  <c r="O107" i="3" s="1"/>
  <c r="O106" i="2"/>
  <c r="T108" i="15"/>
  <c r="I108" i="15"/>
  <c r="M115" i="15"/>
  <c r="T111" i="15"/>
  <c r="Q97" i="13"/>
  <c r="Q102" i="13"/>
  <c r="U115" i="13"/>
  <c r="G115" i="13"/>
  <c r="P115" i="15"/>
  <c r="F99" i="2"/>
  <c r="Q98" i="13"/>
  <c r="F104" i="2"/>
  <c r="E100" i="15"/>
  <c r="T100" i="15" s="1"/>
  <c r="Q101" i="13"/>
  <c r="T101" i="4"/>
  <c r="E101" i="15"/>
  <c r="T101" i="15" s="1"/>
  <c r="O93" i="1"/>
  <c r="O99" i="1"/>
  <c r="J100" i="15"/>
  <c r="P101" i="15"/>
  <c r="T105" i="15"/>
  <c r="K101" i="13"/>
  <c r="O98" i="2"/>
  <c r="K107" i="4"/>
  <c r="R96" i="13"/>
  <c r="F103" i="4"/>
  <c r="U103" i="4" s="1"/>
  <c r="R97" i="13"/>
  <c r="T103" i="4"/>
  <c r="R102" i="13"/>
  <c r="R106" i="13"/>
  <c r="R104" i="13"/>
  <c r="O100" i="2"/>
  <c r="O100" i="3" s="1"/>
  <c r="T103" i="15"/>
  <c r="F103" i="15"/>
  <c r="U103" i="15" s="1"/>
  <c r="R103" i="13"/>
  <c r="F107" i="13"/>
  <c r="I107" i="15"/>
  <c r="O107" i="15"/>
  <c r="U105" i="4"/>
  <c r="U105" i="15"/>
  <c r="L107" i="15"/>
  <c r="O101" i="3"/>
  <c r="T105" i="4"/>
  <c r="H107" i="15"/>
  <c r="E107" i="13"/>
  <c r="M100" i="4"/>
  <c r="M100" i="15"/>
  <c r="F100" i="15"/>
  <c r="U100" i="15" s="1"/>
  <c r="F102" i="15"/>
  <c r="U102" i="15" s="1"/>
  <c r="O103" i="2"/>
  <c r="O103" i="3" s="1"/>
  <c r="F102" i="4"/>
  <c r="U102" i="4" s="1"/>
  <c r="U100" i="4"/>
  <c r="J107" i="13"/>
  <c r="N107" i="15"/>
  <c r="I107" i="13"/>
  <c r="K107" i="15"/>
  <c r="R94" i="13"/>
  <c r="Q96" i="13"/>
  <c r="Q100" i="13"/>
  <c r="R100" i="13"/>
  <c r="N107" i="4"/>
  <c r="O107" i="4"/>
  <c r="L107" i="4"/>
  <c r="I107" i="4"/>
  <c r="H107" i="4"/>
  <c r="E95" i="4"/>
  <c r="T95" i="4" s="1"/>
  <c r="I99" i="13"/>
  <c r="F93" i="2"/>
  <c r="M96" i="15"/>
  <c r="R95" i="13"/>
  <c r="N99" i="15"/>
  <c r="K99" i="15"/>
  <c r="F94" i="4"/>
  <c r="U94" i="4" s="1"/>
  <c r="T97" i="4"/>
  <c r="O99" i="15"/>
  <c r="F99" i="13"/>
  <c r="J99" i="13"/>
  <c r="O92" i="2"/>
  <c r="R98" i="13"/>
  <c r="F92" i="3"/>
  <c r="G94" i="15" s="1"/>
  <c r="E97" i="15"/>
  <c r="T97" i="15" s="1"/>
  <c r="F95" i="2"/>
  <c r="F95" i="4"/>
  <c r="U95" i="4" s="1"/>
  <c r="P95" i="15"/>
  <c r="P95" i="4"/>
  <c r="G98" i="13"/>
  <c r="M98" i="15"/>
  <c r="M96" i="4"/>
  <c r="J98" i="15"/>
  <c r="J97" i="15"/>
  <c r="U94" i="15"/>
  <c r="O95" i="1"/>
  <c r="E94" i="4"/>
  <c r="T94" i="4" s="1"/>
  <c r="T95" i="15"/>
  <c r="O92" i="1"/>
  <c r="E94" i="15"/>
  <c r="T94" i="15" s="1"/>
  <c r="N99" i="4"/>
  <c r="Q95" i="13"/>
  <c r="K99" i="4"/>
  <c r="E99" i="13"/>
  <c r="H99" i="4"/>
  <c r="R89" i="13"/>
  <c r="H99" i="15"/>
  <c r="O99" i="4"/>
  <c r="L99" i="4"/>
  <c r="L99" i="15"/>
  <c r="I99" i="4"/>
  <c r="I99" i="15"/>
  <c r="E80" i="4"/>
  <c r="Q88" i="13"/>
  <c r="F83" i="2"/>
  <c r="O83" i="2" s="1"/>
  <c r="O83" i="1"/>
  <c r="J83" i="4"/>
  <c r="E85" i="15"/>
  <c r="T85" i="15" s="1"/>
  <c r="O85" i="1"/>
  <c r="E79" i="15"/>
  <c r="T79" i="15" s="1"/>
  <c r="F78" i="2"/>
  <c r="F80" i="15" s="1"/>
  <c r="Q89" i="13"/>
  <c r="Q92" i="13"/>
  <c r="O89" i="1"/>
  <c r="E80" i="15"/>
  <c r="O79" i="1"/>
  <c r="O138" i="1" s="1"/>
  <c r="F88" i="1"/>
  <c r="O88" i="1" s="1"/>
  <c r="E91" i="4"/>
  <c r="T91" i="4" s="1"/>
  <c r="I93" i="13"/>
  <c r="F89" i="2"/>
  <c r="F91" i="4" s="1"/>
  <c r="U91" i="4" s="1"/>
  <c r="F80" i="1"/>
  <c r="Q87" i="13"/>
  <c r="Q90" i="13"/>
  <c r="J90" i="4"/>
  <c r="O93" i="4"/>
  <c r="R91" i="13"/>
  <c r="I93" i="4"/>
  <c r="H93" i="4"/>
  <c r="R88" i="13"/>
  <c r="L93" i="4"/>
  <c r="J86" i="13"/>
  <c r="R90" i="13"/>
  <c r="R92" i="13"/>
  <c r="J93" i="13"/>
  <c r="U92" i="4"/>
  <c r="O90" i="3"/>
  <c r="J91" i="15"/>
  <c r="L93" i="15"/>
  <c r="I93" i="15"/>
  <c r="O93" i="15"/>
  <c r="E90" i="4"/>
  <c r="T90" i="4" s="1"/>
  <c r="Q91" i="13"/>
  <c r="T91" i="15"/>
  <c r="K93" i="15"/>
  <c r="K93" i="4"/>
  <c r="H93" i="15"/>
  <c r="F93" i="13"/>
  <c r="J87" i="15"/>
  <c r="P87" i="15"/>
  <c r="R87" i="13"/>
  <c r="O87" i="1"/>
  <c r="E89" i="4"/>
  <c r="T89" i="4" s="1"/>
  <c r="E89" i="15"/>
  <c r="T89" i="15" s="1"/>
  <c r="F89" i="15"/>
  <c r="U89" i="15" s="1"/>
  <c r="O87" i="2"/>
  <c r="F87" i="4"/>
  <c r="E87" i="4"/>
  <c r="T87" i="4" s="1"/>
  <c r="E88" i="4"/>
  <c r="T88" i="4" s="1"/>
  <c r="E88" i="15"/>
  <c r="T88" i="15" s="1"/>
  <c r="E93" i="13"/>
  <c r="N93" i="4"/>
  <c r="N93" i="15"/>
  <c r="O85" i="2"/>
  <c r="K91" i="13"/>
  <c r="P91" i="4"/>
  <c r="P87" i="4"/>
  <c r="M92" i="4"/>
  <c r="M92" i="15"/>
  <c r="M90" i="4"/>
  <c r="M90" i="15"/>
  <c r="M88" i="15"/>
  <c r="G88" i="13"/>
  <c r="E86" i="13"/>
  <c r="F86" i="13"/>
  <c r="I86" i="13"/>
  <c r="T87" i="15"/>
  <c r="U87" i="15"/>
  <c r="O82" i="1"/>
  <c r="F77" i="2"/>
  <c r="O77" i="2" s="1"/>
  <c r="O77" i="3" s="1"/>
  <c r="Q83" i="13"/>
  <c r="F81" i="2"/>
  <c r="F83" i="4" s="1"/>
  <c r="U83" i="4" s="1"/>
  <c r="O81" i="1"/>
  <c r="F72" i="1"/>
  <c r="E79" i="4"/>
  <c r="T79" i="4" s="1"/>
  <c r="O80" i="1"/>
  <c r="H80" i="15"/>
  <c r="H86" i="15" s="1"/>
  <c r="R85" i="13"/>
  <c r="L86" i="15"/>
  <c r="N86" i="15"/>
  <c r="O86" i="15"/>
  <c r="I81" i="15"/>
  <c r="T81" i="15"/>
  <c r="E83" i="4"/>
  <c r="T83" i="4" s="1"/>
  <c r="E83" i="15"/>
  <c r="T83" i="15" s="1"/>
  <c r="O78" i="1"/>
  <c r="H80" i="4"/>
  <c r="E84" i="4"/>
  <c r="T84" i="4" s="1"/>
  <c r="F82" i="2"/>
  <c r="O82" i="2" s="1"/>
  <c r="F79" i="2"/>
  <c r="O79" i="2" s="1"/>
  <c r="E81" i="4"/>
  <c r="T81" i="4" s="1"/>
  <c r="T84" i="15"/>
  <c r="K86" i="15"/>
  <c r="P81" i="15"/>
  <c r="P81" i="4"/>
  <c r="M84" i="4"/>
  <c r="G84" i="13"/>
  <c r="M82" i="4"/>
  <c r="M82" i="15"/>
  <c r="M80" i="15"/>
  <c r="M80" i="4"/>
  <c r="J82" i="15"/>
  <c r="I80" i="4"/>
  <c r="I86" i="4" s="1"/>
  <c r="I80" i="15"/>
  <c r="R81" i="13"/>
  <c r="R82" i="13"/>
  <c r="Q82" i="13"/>
  <c r="Q81" i="13"/>
  <c r="Q85" i="13"/>
  <c r="Q80" i="13"/>
  <c r="Q84" i="13"/>
  <c r="L86" i="4"/>
  <c r="R80" i="13"/>
  <c r="R84" i="13"/>
  <c r="O86" i="4"/>
  <c r="R83" i="13"/>
  <c r="R79" i="13"/>
  <c r="I71" i="4"/>
  <c r="F70" i="2"/>
  <c r="O70" i="2" s="1"/>
  <c r="F71" i="2"/>
  <c r="F73" i="4" s="1"/>
  <c r="H71" i="15"/>
  <c r="E73" i="15"/>
  <c r="F69" i="1"/>
  <c r="E71" i="15" s="1"/>
  <c r="F63" i="1"/>
  <c r="F67" i="1" s="1"/>
  <c r="F53" i="1"/>
  <c r="E55" i="15" s="1"/>
  <c r="L71" i="3"/>
  <c r="K73" i="13" s="1"/>
  <c r="L69" i="3"/>
  <c r="P71" i="15" s="1"/>
  <c r="J70" i="3"/>
  <c r="M72" i="15" s="1"/>
  <c r="H71" i="3"/>
  <c r="J73" i="15" s="1"/>
  <c r="H70" i="3"/>
  <c r="J72" i="15" s="1"/>
  <c r="O73" i="2"/>
  <c r="O75" i="2"/>
  <c r="O70" i="1"/>
  <c r="O71" i="1"/>
  <c r="O73" i="1"/>
  <c r="O75" i="1"/>
  <c r="K77" i="13"/>
  <c r="J77" i="13"/>
  <c r="I77" i="13"/>
  <c r="G77" i="13"/>
  <c r="F77" i="13"/>
  <c r="E77" i="13"/>
  <c r="K76" i="13"/>
  <c r="J76" i="13"/>
  <c r="I76" i="13"/>
  <c r="G76" i="13"/>
  <c r="F76" i="13"/>
  <c r="E76" i="13"/>
  <c r="K75" i="13"/>
  <c r="J75" i="13"/>
  <c r="I75" i="13"/>
  <c r="G75" i="13"/>
  <c r="F75" i="13"/>
  <c r="E75" i="13"/>
  <c r="K74" i="13"/>
  <c r="J74" i="13"/>
  <c r="I74" i="13"/>
  <c r="G74" i="13"/>
  <c r="F74" i="13"/>
  <c r="E74" i="13"/>
  <c r="J73" i="13"/>
  <c r="I73" i="13"/>
  <c r="G73" i="13"/>
  <c r="F73" i="13"/>
  <c r="E73" i="13"/>
  <c r="K72" i="13"/>
  <c r="J72" i="13"/>
  <c r="I72" i="13"/>
  <c r="F72" i="13"/>
  <c r="E72" i="13"/>
  <c r="J71" i="13"/>
  <c r="I71" i="13"/>
  <c r="G71" i="13"/>
  <c r="F71" i="13"/>
  <c r="E71" i="13"/>
  <c r="P77" i="15"/>
  <c r="O77" i="15"/>
  <c r="N77" i="15"/>
  <c r="M77" i="15"/>
  <c r="L77" i="15"/>
  <c r="K77" i="15"/>
  <c r="J77" i="15"/>
  <c r="I77" i="15"/>
  <c r="H77" i="15"/>
  <c r="G77" i="15"/>
  <c r="F77" i="15"/>
  <c r="U77" i="15" s="1"/>
  <c r="E77" i="15"/>
  <c r="T77" i="15" s="1"/>
  <c r="P76" i="15"/>
  <c r="O76" i="15"/>
  <c r="N76" i="15"/>
  <c r="M76" i="15"/>
  <c r="L76" i="15"/>
  <c r="K76" i="15"/>
  <c r="J76" i="15"/>
  <c r="I76" i="15"/>
  <c r="H76" i="15"/>
  <c r="G76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P74" i="15"/>
  <c r="O74" i="15"/>
  <c r="N74" i="15"/>
  <c r="M74" i="15"/>
  <c r="L74" i="15"/>
  <c r="K74" i="15"/>
  <c r="J74" i="15"/>
  <c r="I74" i="15"/>
  <c r="H74" i="15"/>
  <c r="G74" i="15"/>
  <c r="O73" i="15"/>
  <c r="N73" i="15"/>
  <c r="M73" i="15"/>
  <c r="L73" i="15"/>
  <c r="K73" i="15"/>
  <c r="I73" i="15"/>
  <c r="H73" i="15"/>
  <c r="G73" i="15"/>
  <c r="P72" i="15"/>
  <c r="O72" i="15"/>
  <c r="N72" i="15"/>
  <c r="L72" i="15"/>
  <c r="K72" i="15"/>
  <c r="I72" i="15"/>
  <c r="H72" i="15"/>
  <c r="G72" i="15"/>
  <c r="E72" i="15"/>
  <c r="O71" i="15"/>
  <c r="N71" i="15"/>
  <c r="M71" i="15"/>
  <c r="L71" i="15"/>
  <c r="K71" i="15"/>
  <c r="J71" i="15"/>
  <c r="G71" i="15"/>
  <c r="P77" i="4"/>
  <c r="O77" i="4"/>
  <c r="N77" i="4"/>
  <c r="M77" i="4"/>
  <c r="L77" i="4"/>
  <c r="K77" i="4"/>
  <c r="J77" i="4"/>
  <c r="I77" i="4"/>
  <c r="H77" i="4"/>
  <c r="G77" i="4"/>
  <c r="F77" i="4"/>
  <c r="U77" i="4" s="1"/>
  <c r="E77" i="4"/>
  <c r="T77" i="4" s="1"/>
  <c r="P76" i="4"/>
  <c r="O76" i="4"/>
  <c r="N76" i="4"/>
  <c r="M76" i="4"/>
  <c r="L76" i="4"/>
  <c r="K76" i="4"/>
  <c r="J76" i="4"/>
  <c r="I76" i="4"/>
  <c r="H76" i="4"/>
  <c r="G76" i="4"/>
  <c r="P75" i="4"/>
  <c r="O75" i="4"/>
  <c r="N75" i="4"/>
  <c r="M75" i="4"/>
  <c r="L75" i="4"/>
  <c r="K75" i="4"/>
  <c r="J75" i="4"/>
  <c r="I75" i="4"/>
  <c r="H75" i="4"/>
  <c r="G75" i="4"/>
  <c r="F75" i="4"/>
  <c r="E75" i="4"/>
  <c r="P74" i="4"/>
  <c r="O74" i="4"/>
  <c r="N74" i="4"/>
  <c r="M74" i="4"/>
  <c r="L74" i="4"/>
  <c r="K74" i="4"/>
  <c r="J74" i="4"/>
  <c r="I74" i="4"/>
  <c r="H74" i="4"/>
  <c r="G74" i="4"/>
  <c r="O73" i="4"/>
  <c r="N73" i="4"/>
  <c r="M73" i="4"/>
  <c r="L73" i="4"/>
  <c r="K73" i="4"/>
  <c r="I73" i="4"/>
  <c r="H73" i="4"/>
  <c r="G73" i="4"/>
  <c r="E73" i="4"/>
  <c r="P72" i="4"/>
  <c r="O72" i="4"/>
  <c r="N72" i="4"/>
  <c r="L72" i="4"/>
  <c r="K72" i="4"/>
  <c r="I72" i="4"/>
  <c r="H72" i="4"/>
  <c r="G72" i="4"/>
  <c r="E72" i="4"/>
  <c r="O71" i="4"/>
  <c r="N71" i="4"/>
  <c r="M71" i="4"/>
  <c r="L71" i="4"/>
  <c r="K71" i="4"/>
  <c r="J71" i="4"/>
  <c r="H71" i="4"/>
  <c r="G71" i="4"/>
  <c r="H67" i="15"/>
  <c r="H67" i="4"/>
  <c r="H67" i="1"/>
  <c r="H67" i="2" s="1"/>
  <c r="I69" i="4" s="1"/>
  <c r="H66" i="1"/>
  <c r="H68" i="4" s="1"/>
  <c r="H64" i="1"/>
  <c r="H64" i="2" s="1"/>
  <c r="L67" i="2"/>
  <c r="O69" i="4" s="1"/>
  <c r="H65" i="3"/>
  <c r="J67" i="15" s="1"/>
  <c r="J68" i="4"/>
  <c r="I69" i="13"/>
  <c r="G69" i="13"/>
  <c r="F69" i="13"/>
  <c r="E69" i="13"/>
  <c r="K68" i="13"/>
  <c r="J68" i="13"/>
  <c r="I68" i="13"/>
  <c r="F68" i="13"/>
  <c r="E68" i="13"/>
  <c r="J67" i="13"/>
  <c r="I67" i="13"/>
  <c r="G67" i="13"/>
  <c r="F67" i="13"/>
  <c r="E67" i="13"/>
  <c r="K66" i="13"/>
  <c r="J66" i="13"/>
  <c r="I66" i="13"/>
  <c r="F66" i="13"/>
  <c r="E66" i="13"/>
  <c r="J65" i="13"/>
  <c r="I65" i="13"/>
  <c r="G65" i="13"/>
  <c r="F65" i="13"/>
  <c r="E65" i="13"/>
  <c r="K64" i="13"/>
  <c r="J64" i="13"/>
  <c r="I64" i="13"/>
  <c r="F64" i="13"/>
  <c r="E64" i="13"/>
  <c r="J63" i="13"/>
  <c r="I63" i="13"/>
  <c r="G63" i="13"/>
  <c r="F63" i="13"/>
  <c r="E63" i="13"/>
  <c r="K62" i="13"/>
  <c r="J62" i="13"/>
  <c r="I62" i="13"/>
  <c r="F62" i="13"/>
  <c r="E62" i="13"/>
  <c r="J61" i="13"/>
  <c r="I61" i="13"/>
  <c r="G61" i="13"/>
  <c r="F61" i="13"/>
  <c r="E61" i="13"/>
  <c r="N69" i="15"/>
  <c r="M69" i="15"/>
  <c r="L69" i="15"/>
  <c r="K69" i="15"/>
  <c r="G69" i="15"/>
  <c r="P68" i="15"/>
  <c r="O68" i="15"/>
  <c r="N68" i="15"/>
  <c r="L68" i="15"/>
  <c r="K68" i="15"/>
  <c r="G68" i="15"/>
  <c r="O67" i="15"/>
  <c r="N67" i="15"/>
  <c r="M67" i="15"/>
  <c r="L67" i="15"/>
  <c r="K67" i="15"/>
  <c r="I67" i="15"/>
  <c r="G67" i="15"/>
  <c r="P66" i="15"/>
  <c r="O66" i="15"/>
  <c r="N66" i="15"/>
  <c r="L66" i="15"/>
  <c r="K66" i="15"/>
  <c r="G66" i="15"/>
  <c r="O65" i="15"/>
  <c r="N65" i="15"/>
  <c r="M65" i="15"/>
  <c r="L65" i="15"/>
  <c r="K65" i="15"/>
  <c r="I65" i="15"/>
  <c r="H65" i="15"/>
  <c r="G65" i="15"/>
  <c r="P64" i="15"/>
  <c r="O64" i="15"/>
  <c r="N64" i="15"/>
  <c r="L64" i="15"/>
  <c r="K64" i="15"/>
  <c r="I64" i="15"/>
  <c r="H64" i="15"/>
  <c r="G64" i="15"/>
  <c r="O63" i="15"/>
  <c r="N63" i="15"/>
  <c r="M63" i="15"/>
  <c r="L63" i="15"/>
  <c r="K63" i="15"/>
  <c r="I63" i="15"/>
  <c r="H63" i="15"/>
  <c r="G63" i="15"/>
  <c r="P62" i="15"/>
  <c r="O62" i="15"/>
  <c r="N62" i="15"/>
  <c r="L62" i="15"/>
  <c r="K62" i="15"/>
  <c r="I62" i="15"/>
  <c r="H62" i="15"/>
  <c r="G62" i="15"/>
  <c r="O61" i="15"/>
  <c r="N61" i="15"/>
  <c r="M61" i="15"/>
  <c r="L61" i="15"/>
  <c r="K61" i="15"/>
  <c r="J61" i="15"/>
  <c r="G61" i="15"/>
  <c r="F59" i="1"/>
  <c r="E61" i="15" s="1"/>
  <c r="F61" i="1"/>
  <c r="E63" i="4" s="1"/>
  <c r="F62" i="1"/>
  <c r="E64" i="15" s="1"/>
  <c r="F51" i="1"/>
  <c r="F57" i="1" s="1"/>
  <c r="F44" i="1"/>
  <c r="H60" i="3"/>
  <c r="J62" i="15" s="1"/>
  <c r="H61" i="3"/>
  <c r="J63" i="4" s="1"/>
  <c r="H62" i="3"/>
  <c r="J64" i="15" s="1"/>
  <c r="H63" i="3"/>
  <c r="J65" i="15" s="1"/>
  <c r="P69" i="4"/>
  <c r="L65" i="3"/>
  <c r="P67" i="4" s="1"/>
  <c r="L63" i="3"/>
  <c r="P65" i="4" s="1"/>
  <c r="L61" i="3"/>
  <c r="P63" i="4" s="1"/>
  <c r="L59" i="3"/>
  <c r="P61" i="4" s="1"/>
  <c r="J66" i="3"/>
  <c r="M68" i="15" s="1"/>
  <c r="J64" i="3"/>
  <c r="M66" i="4" s="1"/>
  <c r="J62" i="3"/>
  <c r="G64" i="13" s="1"/>
  <c r="J60" i="3"/>
  <c r="M62" i="4" s="1"/>
  <c r="N69" i="4"/>
  <c r="M69" i="4"/>
  <c r="L69" i="4"/>
  <c r="K69" i="4"/>
  <c r="G69" i="4"/>
  <c r="P68" i="4"/>
  <c r="O68" i="4"/>
  <c r="N68" i="4"/>
  <c r="L68" i="4"/>
  <c r="K68" i="4"/>
  <c r="G68" i="4"/>
  <c r="O67" i="4"/>
  <c r="N67" i="4"/>
  <c r="M67" i="4"/>
  <c r="L67" i="4"/>
  <c r="K67" i="4"/>
  <c r="I67" i="4"/>
  <c r="G67" i="4"/>
  <c r="P66" i="4"/>
  <c r="O66" i="4"/>
  <c r="N66" i="4"/>
  <c r="L66" i="4"/>
  <c r="K66" i="4"/>
  <c r="G66" i="4"/>
  <c r="O65" i="4"/>
  <c r="N65" i="4"/>
  <c r="M65" i="4"/>
  <c r="L65" i="4"/>
  <c r="K65" i="4"/>
  <c r="I65" i="4"/>
  <c r="H65" i="4"/>
  <c r="G65" i="4"/>
  <c r="P64" i="4"/>
  <c r="O64" i="4"/>
  <c r="N64" i="4"/>
  <c r="L64" i="4"/>
  <c r="K64" i="4"/>
  <c r="I64" i="4"/>
  <c r="H64" i="4"/>
  <c r="G64" i="4"/>
  <c r="O63" i="4"/>
  <c r="N63" i="4"/>
  <c r="M63" i="4"/>
  <c r="L63" i="4"/>
  <c r="K63" i="4"/>
  <c r="I63" i="4"/>
  <c r="H63" i="4"/>
  <c r="G63" i="4"/>
  <c r="P62" i="4"/>
  <c r="O62" i="4"/>
  <c r="N62" i="4"/>
  <c r="L62" i="4"/>
  <c r="K62" i="4"/>
  <c r="I62" i="4"/>
  <c r="H62" i="4"/>
  <c r="G62" i="4"/>
  <c r="O61" i="4"/>
  <c r="N61" i="4"/>
  <c r="M61" i="4"/>
  <c r="L61" i="4"/>
  <c r="K61" i="4"/>
  <c r="J61" i="4"/>
  <c r="G61" i="4"/>
  <c r="H57" i="1"/>
  <c r="H57" i="2" s="1"/>
  <c r="I59" i="4" s="1"/>
  <c r="H55" i="1"/>
  <c r="H57" i="15" s="1"/>
  <c r="H50" i="1"/>
  <c r="H50" i="2" s="1"/>
  <c r="I52" i="15" s="1"/>
  <c r="F52" i="1"/>
  <c r="O52" i="1" s="1"/>
  <c r="F50" i="1"/>
  <c r="F54" i="1" s="1"/>
  <c r="F54" i="2" s="1"/>
  <c r="H51" i="3"/>
  <c r="J53" i="15" s="1"/>
  <c r="H52" i="3"/>
  <c r="J54" i="15" s="1"/>
  <c r="H53" i="3"/>
  <c r="J55" i="15" s="1"/>
  <c r="J57" i="15"/>
  <c r="H56" i="3"/>
  <c r="J58" i="4" s="1"/>
  <c r="H49" i="3"/>
  <c r="J51" i="15" s="1"/>
  <c r="F50" i="2"/>
  <c r="F52" i="15" s="1"/>
  <c r="L50" i="3"/>
  <c r="P52" i="4" s="1"/>
  <c r="P53" i="4"/>
  <c r="L52" i="3"/>
  <c r="P54" i="4" s="1"/>
  <c r="P55" i="15"/>
  <c r="L54" i="3"/>
  <c r="P56" i="15" s="1"/>
  <c r="P57" i="15"/>
  <c r="L56" i="3"/>
  <c r="P58" i="15" s="1"/>
  <c r="P59" i="15"/>
  <c r="P51" i="15"/>
  <c r="J51" i="3"/>
  <c r="M53" i="15" s="1"/>
  <c r="J53" i="3"/>
  <c r="G55" i="13" s="1"/>
  <c r="M56" i="15"/>
  <c r="J55" i="3"/>
  <c r="M57" i="15" s="1"/>
  <c r="M58" i="15"/>
  <c r="J57" i="3"/>
  <c r="G59" i="13" s="1"/>
  <c r="J49" i="3"/>
  <c r="G51" i="13" s="1"/>
  <c r="O59" i="15"/>
  <c r="N59" i="15"/>
  <c r="L59" i="15"/>
  <c r="K59" i="15"/>
  <c r="G59" i="15"/>
  <c r="O58" i="15"/>
  <c r="N58" i="15"/>
  <c r="L58" i="15"/>
  <c r="K58" i="15"/>
  <c r="I58" i="15"/>
  <c r="H58" i="15"/>
  <c r="G58" i="15"/>
  <c r="O57" i="15"/>
  <c r="N57" i="15"/>
  <c r="L57" i="15"/>
  <c r="K57" i="15"/>
  <c r="G57" i="15"/>
  <c r="O56" i="15"/>
  <c r="N56" i="15"/>
  <c r="L56" i="15"/>
  <c r="K56" i="15"/>
  <c r="H56" i="15"/>
  <c r="G56" i="15"/>
  <c r="O55" i="15"/>
  <c r="N55" i="15"/>
  <c r="L55" i="15"/>
  <c r="K55" i="15"/>
  <c r="I55" i="15"/>
  <c r="H55" i="15"/>
  <c r="G55" i="15"/>
  <c r="O54" i="15"/>
  <c r="N54" i="15"/>
  <c r="M54" i="15"/>
  <c r="L54" i="15"/>
  <c r="K54" i="15"/>
  <c r="I54" i="15"/>
  <c r="H54" i="15"/>
  <c r="G54" i="15"/>
  <c r="P53" i="15"/>
  <c r="O53" i="15"/>
  <c r="N53" i="15"/>
  <c r="L53" i="15"/>
  <c r="K53" i="15"/>
  <c r="I53" i="15"/>
  <c r="H53" i="15"/>
  <c r="G53" i="15"/>
  <c r="O52" i="15"/>
  <c r="N52" i="15"/>
  <c r="M52" i="15"/>
  <c r="L52" i="15"/>
  <c r="K52" i="15"/>
  <c r="J52" i="15"/>
  <c r="O51" i="15"/>
  <c r="N51" i="15"/>
  <c r="L51" i="15"/>
  <c r="K51" i="15"/>
  <c r="I51" i="15"/>
  <c r="H51" i="15"/>
  <c r="G51" i="15"/>
  <c r="K59" i="13"/>
  <c r="J59" i="13"/>
  <c r="I59" i="13"/>
  <c r="F59" i="13"/>
  <c r="E59" i="13"/>
  <c r="J58" i="13"/>
  <c r="I58" i="13"/>
  <c r="G58" i="13"/>
  <c r="F58" i="13"/>
  <c r="E58" i="13"/>
  <c r="J57" i="13"/>
  <c r="I57" i="13"/>
  <c r="F57" i="13"/>
  <c r="E57" i="13"/>
  <c r="J56" i="13"/>
  <c r="I56" i="13"/>
  <c r="F56" i="13"/>
  <c r="E56" i="13"/>
  <c r="J55" i="13"/>
  <c r="I55" i="13"/>
  <c r="F55" i="13"/>
  <c r="E55" i="13"/>
  <c r="J54" i="13"/>
  <c r="I54" i="13"/>
  <c r="G54" i="13"/>
  <c r="F54" i="13"/>
  <c r="E54" i="13"/>
  <c r="K53" i="13"/>
  <c r="J53" i="13"/>
  <c r="I53" i="13"/>
  <c r="F53" i="13"/>
  <c r="E53" i="13"/>
  <c r="J52" i="13"/>
  <c r="I52" i="13"/>
  <c r="G52" i="13"/>
  <c r="F52" i="13"/>
  <c r="E52" i="13"/>
  <c r="J51" i="13"/>
  <c r="I51" i="13"/>
  <c r="F51" i="13"/>
  <c r="E51" i="13"/>
  <c r="O59" i="4"/>
  <c r="N59" i="4"/>
  <c r="L59" i="4"/>
  <c r="K59" i="4"/>
  <c r="G59" i="4"/>
  <c r="O58" i="4"/>
  <c r="N58" i="4"/>
  <c r="L58" i="4"/>
  <c r="K58" i="4"/>
  <c r="I58" i="4"/>
  <c r="H58" i="4"/>
  <c r="G58" i="4"/>
  <c r="P57" i="4"/>
  <c r="O57" i="4"/>
  <c r="N57" i="4"/>
  <c r="L57" i="4"/>
  <c r="K57" i="4"/>
  <c r="J57" i="4"/>
  <c r="G57" i="4"/>
  <c r="O56" i="4"/>
  <c r="N56" i="4"/>
  <c r="L56" i="4"/>
  <c r="K56" i="4"/>
  <c r="H56" i="4"/>
  <c r="G56" i="4"/>
  <c r="O55" i="4"/>
  <c r="N55" i="4"/>
  <c r="L55" i="4"/>
  <c r="K55" i="4"/>
  <c r="I55" i="4"/>
  <c r="H55" i="4"/>
  <c r="G55" i="4"/>
  <c r="O54" i="4"/>
  <c r="N54" i="4"/>
  <c r="M54" i="4"/>
  <c r="L54" i="4"/>
  <c r="K54" i="4"/>
  <c r="I54" i="4"/>
  <c r="H54" i="4"/>
  <c r="G54" i="4"/>
  <c r="O53" i="4"/>
  <c r="N53" i="4"/>
  <c r="L53" i="4"/>
  <c r="K53" i="4"/>
  <c r="I53" i="4"/>
  <c r="H53" i="4"/>
  <c r="G53" i="4"/>
  <c r="O52" i="4"/>
  <c r="N52" i="4"/>
  <c r="M52" i="4"/>
  <c r="L52" i="4"/>
  <c r="K52" i="4"/>
  <c r="J52" i="4"/>
  <c r="O51" i="4"/>
  <c r="N51" i="4"/>
  <c r="L51" i="4"/>
  <c r="K51" i="4"/>
  <c r="I51" i="4"/>
  <c r="H51" i="4"/>
  <c r="G51" i="4"/>
  <c r="J47" i="1"/>
  <c r="E49" i="13" s="1"/>
  <c r="H46" i="1"/>
  <c r="H48" i="4" s="1"/>
  <c r="K49" i="13"/>
  <c r="J49" i="13"/>
  <c r="I49" i="13"/>
  <c r="G49" i="13"/>
  <c r="J48" i="13"/>
  <c r="I48" i="13"/>
  <c r="G48" i="13"/>
  <c r="F48" i="13"/>
  <c r="E48" i="13"/>
  <c r="K47" i="13"/>
  <c r="J47" i="13"/>
  <c r="I47" i="13"/>
  <c r="F47" i="13"/>
  <c r="E47" i="13"/>
  <c r="J46" i="13"/>
  <c r="I46" i="13"/>
  <c r="G46" i="13"/>
  <c r="F46" i="13"/>
  <c r="E46" i="13"/>
  <c r="K45" i="13"/>
  <c r="J45" i="13"/>
  <c r="I45" i="13"/>
  <c r="F45" i="13"/>
  <c r="E45" i="13"/>
  <c r="J44" i="13"/>
  <c r="I44" i="13"/>
  <c r="G44" i="13"/>
  <c r="F44" i="13"/>
  <c r="E44" i="13"/>
  <c r="K43" i="13"/>
  <c r="J43" i="13"/>
  <c r="I43" i="13"/>
  <c r="F43" i="13"/>
  <c r="E43" i="13"/>
  <c r="J42" i="13"/>
  <c r="I42" i="13"/>
  <c r="G42" i="13"/>
  <c r="F42" i="13"/>
  <c r="E42" i="13"/>
  <c r="K41" i="13"/>
  <c r="J41" i="13"/>
  <c r="I41" i="13"/>
  <c r="F41" i="13"/>
  <c r="E41" i="13"/>
  <c r="P49" i="15"/>
  <c r="O49" i="15"/>
  <c r="N49" i="15"/>
  <c r="M49" i="15"/>
  <c r="I49" i="15"/>
  <c r="H49" i="15"/>
  <c r="G49" i="15"/>
  <c r="O48" i="15"/>
  <c r="N48" i="15"/>
  <c r="M48" i="15"/>
  <c r="L48" i="15"/>
  <c r="K48" i="15"/>
  <c r="G48" i="15"/>
  <c r="P47" i="15"/>
  <c r="O47" i="15"/>
  <c r="N47" i="15"/>
  <c r="L47" i="15"/>
  <c r="K47" i="15"/>
  <c r="J47" i="15"/>
  <c r="G47" i="15"/>
  <c r="O46" i="15"/>
  <c r="N46" i="15"/>
  <c r="M46" i="15"/>
  <c r="L46" i="15"/>
  <c r="K46" i="15"/>
  <c r="I46" i="15"/>
  <c r="H46" i="15"/>
  <c r="G46" i="15"/>
  <c r="P45" i="15"/>
  <c r="O45" i="15"/>
  <c r="N45" i="15"/>
  <c r="L45" i="15"/>
  <c r="K45" i="15"/>
  <c r="I45" i="15"/>
  <c r="H45" i="15"/>
  <c r="O44" i="15"/>
  <c r="N44" i="15"/>
  <c r="M44" i="15"/>
  <c r="L44" i="15"/>
  <c r="K44" i="15"/>
  <c r="I44" i="15"/>
  <c r="H44" i="15"/>
  <c r="G44" i="15"/>
  <c r="P43" i="15"/>
  <c r="O43" i="15"/>
  <c r="N43" i="15"/>
  <c r="L43" i="15"/>
  <c r="K43" i="15"/>
  <c r="J43" i="15"/>
  <c r="G43" i="15"/>
  <c r="O42" i="15"/>
  <c r="N42" i="15"/>
  <c r="M42" i="15"/>
  <c r="L42" i="15"/>
  <c r="K42" i="15"/>
  <c r="J42" i="15"/>
  <c r="P41" i="15"/>
  <c r="O41" i="15"/>
  <c r="N41" i="15"/>
  <c r="L41" i="15"/>
  <c r="K41" i="15"/>
  <c r="I41" i="15"/>
  <c r="H41" i="15"/>
  <c r="G41" i="15"/>
  <c r="H41" i="1"/>
  <c r="H43" i="15" s="1"/>
  <c r="H45" i="1"/>
  <c r="H47" i="15" s="1"/>
  <c r="J47" i="4"/>
  <c r="F42" i="1"/>
  <c r="F46" i="1" s="1"/>
  <c r="F43" i="1"/>
  <c r="F39" i="1" s="1"/>
  <c r="F40" i="1"/>
  <c r="E42" i="4" s="1"/>
  <c r="F40" i="2"/>
  <c r="F43" i="2"/>
  <c r="O43" i="2" s="1"/>
  <c r="P49" i="4"/>
  <c r="O49" i="4"/>
  <c r="N49" i="4"/>
  <c r="I49" i="4"/>
  <c r="H49" i="4"/>
  <c r="G49" i="4"/>
  <c r="O48" i="4"/>
  <c r="N48" i="4"/>
  <c r="M48" i="4"/>
  <c r="L48" i="4"/>
  <c r="K48" i="4"/>
  <c r="G48" i="4"/>
  <c r="P47" i="4"/>
  <c r="O47" i="4"/>
  <c r="N47" i="4"/>
  <c r="L47" i="4"/>
  <c r="K47" i="4"/>
  <c r="G47" i="4"/>
  <c r="O46" i="4"/>
  <c r="N46" i="4"/>
  <c r="M46" i="4"/>
  <c r="L46" i="4"/>
  <c r="K46" i="4"/>
  <c r="I46" i="4"/>
  <c r="H46" i="4"/>
  <c r="G46" i="4"/>
  <c r="P45" i="4"/>
  <c r="O45" i="4"/>
  <c r="N45" i="4"/>
  <c r="L45" i="4"/>
  <c r="K45" i="4"/>
  <c r="I45" i="4"/>
  <c r="H45" i="4"/>
  <c r="O44" i="4"/>
  <c r="N44" i="4"/>
  <c r="M44" i="4"/>
  <c r="L44" i="4"/>
  <c r="K44" i="4"/>
  <c r="I44" i="4"/>
  <c r="H44" i="4"/>
  <c r="G44" i="4"/>
  <c r="P43" i="4"/>
  <c r="O43" i="4"/>
  <c r="N43" i="4"/>
  <c r="L43" i="4"/>
  <c r="K43" i="4"/>
  <c r="J43" i="4"/>
  <c r="G43" i="4"/>
  <c r="O42" i="4"/>
  <c r="N42" i="4"/>
  <c r="M42" i="4"/>
  <c r="L42" i="4"/>
  <c r="K42" i="4"/>
  <c r="P41" i="4"/>
  <c r="O41" i="4"/>
  <c r="N41" i="4"/>
  <c r="L41" i="4"/>
  <c r="K41" i="4"/>
  <c r="I41" i="4"/>
  <c r="H41" i="4"/>
  <c r="G41" i="4"/>
  <c r="H42" i="3"/>
  <c r="J44" i="4" s="1"/>
  <c r="H43" i="3"/>
  <c r="J45" i="4" s="1"/>
  <c r="H44" i="3"/>
  <c r="J46" i="4" s="1"/>
  <c r="J48" i="15"/>
  <c r="H47" i="3"/>
  <c r="J49" i="4" s="1"/>
  <c r="H39" i="3"/>
  <c r="J41" i="4" s="1"/>
  <c r="L42" i="3"/>
  <c r="P44" i="4" s="1"/>
  <c r="L44" i="3"/>
  <c r="P46" i="4" s="1"/>
  <c r="L46" i="3"/>
  <c r="P48" i="4" s="1"/>
  <c r="L40" i="3"/>
  <c r="P42" i="4" s="1"/>
  <c r="J39" i="3"/>
  <c r="M41" i="4" s="1"/>
  <c r="J41" i="3"/>
  <c r="M43" i="4" s="1"/>
  <c r="J43" i="3"/>
  <c r="M45" i="4" s="1"/>
  <c r="J45" i="3"/>
  <c r="M47" i="4" s="1"/>
  <c r="M49" i="4"/>
  <c r="K33" i="13"/>
  <c r="K35" i="13"/>
  <c r="K37" i="13"/>
  <c r="K38" i="13"/>
  <c r="K39" i="13"/>
  <c r="J33" i="13"/>
  <c r="J34" i="13"/>
  <c r="J35" i="13"/>
  <c r="J36" i="13"/>
  <c r="J37" i="13"/>
  <c r="J39" i="13"/>
  <c r="J32" i="13"/>
  <c r="I33" i="13"/>
  <c r="I34" i="13"/>
  <c r="I35" i="13"/>
  <c r="I36" i="13"/>
  <c r="I37" i="13"/>
  <c r="I38" i="13"/>
  <c r="I39" i="13"/>
  <c r="I32" i="13"/>
  <c r="G34" i="13"/>
  <c r="G36" i="13"/>
  <c r="G38" i="13"/>
  <c r="G32" i="13"/>
  <c r="F33" i="13"/>
  <c r="F34" i="13"/>
  <c r="F35" i="13"/>
  <c r="F36" i="13"/>
  <c r="F37" i="13"/>
  <c r="F38" i="13"/>
  <c r="F39" i="13"/>
  <c r="F32" i="13"/>
  <c r="E33" i="13"/>
  <c r="E34" i="13"/>
  <c r="E35" i="13"/>
  <c r="E36" i="13"/>
  <c r="E37" i="13"/>
  <c r="E38" i="13"/>
  <c r="E39" i="13"/>
  <c r="E32" i="13"/>
  <c r="H36" i="1"/>
  <c r="H38" i="4" s="1"/>
  <c r="F35" i="1"/>
  <c r="E37" i="15" s="1"/>
  <c r="F33" i="1"/>
  <c r="E35" i="15" s="1"/>
  <c r="H37" i="2"/>
  <c r="I39" i="15" s="1"/>
  <c r="L36" i="2"/>
  <c r="P39" i="15"/>
  <c r="O39" i="15"/>
  <c r="N39" i="15"/>
  <c r="L39" i="15"/>
  <c r="K39" i="15"/>
  <c r="H39" i="15"/>
  <c r="G39" i="15"/>
  <c r="N38" i="15"/>
  <c r="M38" i="15"/>
  <c r="L38" i="15"/>
  <c r="K38" i="15"/>
  <c r="J38" i="15"/>
  <c r="G38" i="15"/>
  <c r="P37" i="15"/>
  <c r="O37" i="15"/>
  <c r="N37" i="15"/>
  <c r="L37" i="15"/>
  <c r="K37" i="15"/>
  <c r="I37" i="15"/>
  <c r="H37" i="15"/>
  <c r="G37" i="15"/>
  <c r="O36" i="15"/>
  <c r="N36" i="15"/>
  <c r="M36" i="15"/>
  <c r="L36" i="15"/>
  <c r="K36" i="15"/>
  <c r="I36" i="15"/>
  <c r="H36" i="15"/>
  <c r="G36" i="15"/>
  <c r="P35" i="15"/>
  <c r="O35" i="15"/>
  <c r="N35" i="15"/>
  <c r="L35" i="15"/>
  <c r="K35" i="15"/>
  <c r="I35" i="15"/>
  <c r="H35" i="15"/>
  <c r="G35" i="15"/>
  <c r="O34" i="15"/>
  <c r="N34" i="15"/>
  <c r="M34" i="15"/>
  <c r="L34" i="15"/>
  <c r="K34" i="15"/>
  <c r="I34" i="15"/>
  <c r="H34" i="15"/>
  <c r="G34" i="15"/>
  <c r="P33" i="15"/>
  <c r="O33" i="15"/>
  <c r="N33" i="15"/>
  <c r="L33" i="15"/>
  <c r="K33" i="15"/>
  <c r="I33" i="15"/>
  <c r="H33" i="15"/>
  <c r="G33" i="15"/>
  <c r="O32" i="15"/>
  <c r="N32" i="15"/>
  <c r="M32" i="15"/>
  <c r="L32" i="15"/>
  <c r="K32" i="15"/>
  <c r="J32" i="15"/>
  <c r="H30" i="1"/>
  <c r="H32" i="15" s="1"/>
  <c r="F32" i="1"/>
  <c r="E34" i="4" s="1"/>
  <c r="F30" i="1"/>
  <c r="E32" i="15" s="1"/>
  <c r="F30" i="2"/>
  <c r="P38" i="4"/>
  <c r="L34" i="3"/>
  <c r="K36" i="13" s="1"/>
  <c r="L32" i="3"/>
  <c r="P34" i="4" s="1"/>
  <c r="L30" i="3"/>
  <c r="P32" i="4" s="1"/>
  <c r="J37" i="3"/>
  <c r="M39" i="4" s="1"/>
  <c r="J35" i="3"/>
  <c r="M37" i="4" s="1"/>
  <c r="J33" i="3"/>
  <c r="M35" i="4" s="1"/>
  <c r="J31" i="3"/>
  <c r="M33" i="4" s="1"/>
  <c r="H31" i="3"/>
  <c r="J33" i="4" s="1"/>
  <c r="H32" i="3"/>
  <c r="J34" i="4" s="1"/>
  <c r="H33" i="3"/>
  <c r="J35" i="4" s="1"/>
  <c r="H34" i="3"/>
  <c r="J36" i="4" s="1"/>
  <c r="H35" i="3"/>
  <c r="J37" i="4" s="1"/>
  <c r="J38" i="4"/>
  <c r="J39" i="4"/>
  <c r="P33" i="4"/>
  <c r="P35" i="4"/>
  <c r="P37" i="4"/>
  <c r="P39" i="4"/>
  <c r="O33" i="4"/>
  <c r="O34" i="4"/>
  <c r="O35" i="4"/>
  <c r="O36" i="4"/>
  <c r="O37" i="4"/>
  <c r="O39" i="4"/>
  <c r="O32" i="4"/>
  <c r="N33" i="4"/>
  <c r="N34" i="4"/>
  <c r="N35" i="4"/>
  <c r="N36" i="4"/>
  <c r="N37" i="4"/>
  <c r="N38" i="4"/>
  <c r="N39" i="4"/>
  <c r="N32" i="4"/>
  <c r="M34" i="4"/>
  <c r="M36" i="4"/>
  <c r="M38" i="4"/>
  <c r="M32" i="4"/>
  <c r="L33" i="4"/>
  <c r="L34" i="4"/>
  <c r="L35" i="4"/>
  <c r="L36" i="4"/>
  <c r="L37" i="4"/>
  <c r="L38" i="4"/>
  <c r="L39" i="4"/>
  <c r="L32" i="4"/>
  <c r="K33" i="4"/>
  <c r="K34" i="4"/>
  <c r="K35" i="4"/>
  <c r="K36" i="4"/>
  <c r="K37" i="4"/>
  <c r="K38" i="4"/>
  <c r="K39" i="4"/>
  <c r="K32" i="4"/>
  <c r="I33" i="4"/>
  <c r="I34" i="4"/>
  <c r="I35" i="4"/>
  <c r="I36" i="4"/>
  <c r="I37" i="4"/>
  <c r="H33" i="4"/>
  <c r="H34" i="4"/>
  <c r="H35" i="4"/>
  <c r="H36" i="4"/>
  <c r="H37" i="4"/>
  <c r="H39" i="4"/>
  <c r="P30" i="15"/>
  <c r="O30" i="15"/>
  <c r="N30" i="15"/>
  <c r="M30" i="15"/>
  <c r="L30" i="15"/>
  <c r="J30" i="15"/>
  <c r="I30" i="15"/>
  <c r="H30" i="15"/>
  <c r="G30" i="15"/>
  <c r="F30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P28" i="15"/>
  <c r="O28" i="15"/>
  <c r="N28" i="15"/>
  <c r="L28" i="15"/>
  <c r="K28" i="15"/>
  <c r="I28" i="15"/>
  <c r="H28" i="15"/>
  <c r="G28" i="15"/>
  <c r="O27" i="15"/>
  <c r="N27" i="15"/>
  <c r="M27" i="15"/>
  <c r="L27" i="15"/>
  <c r="K27" i="15"/>
  <c r="I27" i="15"/>
  <c r="H27" i="15"/>
  <c r="G27" i="15"/>
  <c r="P26" i="15"/>
  <c r="O26" i="15"/>
  <c r="N26" i="15"/>
  <c r="L26" i="15"/>
  <c r="K26" i="15"/>
  <c r="I26" i="15"/>
  <c r="H26" i="15"/>
  <c r="G26" i="15"/>
  <c r="O25" i="15"/>
  <c r="N25" i="15"/>
  <c r="M25" i="15"/>
  <c r="L25" i="15"/>
  <c r="K25" i="15"/>
  <c r="I25" i="15"/>
  <c r="H25" i="15"/>
  <c r="G25" i="15"/>
  <c r="P24" i="15"/>
  <c r="O24" i="15"/>
  <c r="N24" i="15"/>
  <c r="L24" i="15"/>
  <c r="K24" i="15"/>
  <c r="I24" i="15"/>
  <c r="H24" i="15"/>
  <c r="P22" i="15"/>
  <c r="O22" i="15"/>
  <c r="N22" i="15"/>
  <c r="L22" i="15"/>
  <c r="K22" i="15"/>
  <c r="J22" i="15"/>
  <c r="G22" i="15"/>
  <c r="O21" i="15"/>
  <c r="N21" i="15"/>
  <c r="M21" i="15"/>
  <c r="L21" i="15"/>
  <c r="K21" i="15"/>
  <c r="I21" i="15"/>
  <c r="H21" i="15"/>
  <c r="G21" i="15"/>
  <c r="P20" i="15"/>
  <c r="O20" i="15"/>
  <c r="N20" i="15"/>
  <c r="L20" i="15"/>
  <c r="K20" i="15"/>
  <c r="J20" i="15"/>
  <c r="G20" i="15"/>
  <c r="O19" i="15"/>
  <c r="N19" i="15"/>
  <c r="M19" i="15"/>
  <c r="L19" i="15"/>
  <c r="K19" i="15"/>
  <c r="I19" i="15"/>
  <c r="H19" i="15"/>
  <c r="P18" i="15"/>
  <c r="O18" i="15"/>
  <c r="N18" i="15"/>
  <c r="L18" i="15"/>
  <c r="K18" i="15"/>
  <c r="I18" i="15"/>
  <c r="H18" i="15"/>
  <c r="G18" i="15"/>
  <c r="O17" i="15"/>
  <c r="N17" i="15"/>
  <c r="M17" i="15"/>
  <c r="L17" i="15"/>
  <c r="K17" i="15"/>
  <c r="I17" i="15"/>
  <c r="H17" i="15"/>
  <c r="G17" i="15"/>
  <c r="P16" i="15"/>
  <c r="O16" i="15"/>
  <c r="N16" i="15"/>
  <c r="L16" i="15"/>
  <c r="K16" i="15"/>
  <c r="I16" i="15"/>
  <c r="H16" i="15"/>
  <c r="G16" i="15"/>
  <c r="O15" i="15"/>
  <c r="N15" i="15"/>
  <c r="M15" i="15"/>
  <c r="L15" i="15"/>
  <c r="K15" i="15"/>
  <c r="J15" i="15"/>
  <c r="G15" i="15"/>
  <c r="P14" i="15"/>
  <c r="O14" i="15"/>
  <c r="N14" i="15"/>
  <c r="L14" i="15"/>
  <c r="K14" i="15"/>
  <c r="J14" i="15"/>
  <c r="G14" i="15"/>
  <c r="O12" i="15"/>
  <c r="N12" i="15"/>
  <c r="L12" i="15"/>
  <c r="K12" i="15"/>
  <c r="I12" i="15"/>
  <c r="H12" i="15"/>
  <c r="G12" i="15"/>
  <c r="P11" i="15"/>
  <c r="O11" i="15"/>
  <c r="N11" i="15"/>
  <c r="L11" i="15"/>
  <c r="K11" i="15"/>
  <c r="J11" i="15"/>
  <c r="G11" i="15"/>
  <c r="O10" i="15"/>
  <c r="N10" i="15"/>
  <c r="M10" i="15"/>
  <c r="L10" i="15"/>
  <c r="K10" i="15"/>
  <c r="I10" i="15"/>
  <c r="H10" i="15"/>
  <c r="G10" i="15"/>
  <c r="P9" i="15"/>
  <c r="O9" i="15"/>
  <c r="N9" i="15"/>
  <c r="L9" i="15"/>
  <c r="K9" i="15"/>
  <c r="I9" i="15"/>
  <c r="H9" i="15"/>
  <c r="G9" i="15"/>
  <c r="O8" i="15"/>
  <c r="N8" i="15"/>
  <c r="M8" i="15"/>
  <c r="L8" i="15"/>
  <c r="K8" i="15"/>
  <c r="I8" i="15"/>
  <c r="H8" i="15"/>
  <c r="P7" i="15"/>
  <c r="O7" i="15"/>
  <c r="N7" i="15"/>
  <c r="L7" i="15"/>
  <c r="K7" i="15"/>
  <c r="I7" i="15"/>
  <c r="H7" i="15"/>
  <c r="G7" i="15"/>
  <c r="O6" i="15"/>
  <c r="N6" i="15"/>
  <c r="M6" i="15"/>
  <c r="L6" i="15"/>
  <c r="K6" i="15"/>
  <c r="I6" i="15"/>
  <c r="H6" i="15"/>
  <c r="G6" i="15"/>
  <c r="P5" i="15"/>
  <c r="O5" i="15"/>
  <c r="N5" i="15"/>
  <c r="L5" i="15"/>
  <c r="K5" i="15"/>
  <c r="J5" i="15"/>
  <c r="G5" i="15"/>
  <c r="O4" i="15"/>
  <c r="N4" i="15"/>
  <c r="M4" i="15"/>
  <c r="L4" i="15"/>
  <c r="K4" i="15"/>
  <c r="J4" i="15"/>
  <c r="G4" i="15"/>
  <c r="L30" i="4"/>
  <c r="F30" i="4"/>
  <c r="J28" i="1"/>
  <c r="K143" i="4" s="1"/>
  <c r="J27" i="13"/>
  <c r="K26" i="13"/>
  <c r="K28" i="13"/>
  <c r="K29" i="13"/>
  <c r="K30" i="13"/>
  <c r="K24" i="13"/>
  <c r="J25" i="13"/>
  <c r="J26" i="13"/>
  <c r="J28" i="13"/>
  <c r="J29" i="13"/>
  <c r="J30" i="13"/>
  <c r="J24" i="13"/>
  <c r="I25" i="13"/>
  <c r="I26" i="13"/>
  <c r="I27" i="13"/>
  <c r="I28" i="13"/>
  <c r="I29" i="13"/>
  <c r="I30" i="13"/>
  <c r="I24" i="13"/>
  <c r="G25" i="13"/>
  <c r="G27" i="13"/>
  <c r="G29" i="13"/>
  <c r="F25" i="13"/>
  <c r="F26" i="13"/>
  <c r="R26" i="13" s="1"/>
  <c r="F27" i="13"/>
  <c r="F28" i="13"/>
  <c r="F29" i="13"/>
  <c r="F24" i="13"/>
  <c r="E25" i="13"/>
  <c r="Q25" i="13" s="1"/>
  <c r="E26" i="13"/>
  <c r="E27" i="13"/>
  <c r="Q27" i="13" s="1"/>
  <c r="E28" i="13"/>
  <c r="E29" i="13"/>
  <c r="E24" i="13"/>
  <c r="P29" i="4"/>
  <c r="L25" i="3"/>
  <c r="P27" i="4" s="1"/>
  <c r="L23" i="3"/>
  <c r="P25" i="4" s="1"/>
  <c r="J26" i="3"/>
  <c r="M28" i="4" s="1"/>
  <c r="J24" i="3"/>
  <c r="M26" i="4" s="1"/>
  <c r="J22" i="3"/>
  <c r="M24" i="4" s="1"/>
  <c r="H23" i="3"/>
  <c r="J25" i="4" s="1"/>
  <c r="H24" i="3"/>
  <c r="J26" i="15" s="1"/>
  <c r="H25" i="3"/>
  <c r="J27" i="4" s="1"/>
  <c r="H26" i="3"/>
  <c r="J28" i="15" s="1"/>
  <c r="J30" i="4"/>
  <c r="H22" i="3"/>
  <c r="J24" i="4" s="1"/>
  <c r="F22" i="2"/>
  <c r="O22" i="2" s="1"/>
  <c r="F26" i="1"/>
  <c r="O26" i="1" s="1"/>
  <c r="F25" i="1"/>
  <c r="E27" i="15" s="1"/>
  <c r="F22" i="1"/>
  <c r="E24" i="4" s="1"/>
  <c r="J29" i="4"/>
  <c r="I25" i="4"/>
  <c r="I26" i="4"/>
  <c r="I27" i="4"/>
  <c r="I28" i="4"/>
  <c r="I29" i="4"/>
  <c r="I30" i="4"/>
  <c r="I24" i="4"/>
  <c r="H25" i="4"/>
  <c r="H26" i="4"/>
  <c r="H27" i="4"/>
  <c r="H28" i="4"/>
  <c r="H29" i="4"/>
  <c r="H30" i="4"/>
  <c r="H24" i="4"/>
  <c r="K25" i="4"/>
  <c r="K26" i="4"/>
  <c r="K27" i="4"/>
  <c r="K28" i="4"/>
  <c r="K29" i="4"/>
  <c r="K24" i="4"/>
  <c r="L25" i="4"/>
  <c r="L26" i="4"/>
  <c r="L27" i="4"/>
  <c r="L28" i="4"/>
  <c r="L29" i="4"/>
  <c r="L24" i="4"/>
  <c r="M25" i="4"/>
  <c r="M27" i="4"/>
  <c r="M29" i="4"/>
  <c r="N25" i="4"/>
  <c r="N26" i="4"/>
  <c r="N27" i="4"/>
  <c r="N28" i="4"/>
  <c r="N29" i="4"/>
  <c r="N30" i="4"/>
  <c r="N24" i="4"/>
  <c r="O25" i="4"/>
  <c r="O26" i="4"/>
  <c r="O27" i="4"/>
  <c r="O28" i="4"/>
  <c r="O29" i="4"/>
  <c r="O30" i="4"/>
  <c r="O24" i="4"/>
  <c r="P26" i="4"/>
  <c r="P28" i="4"/>
  <c r="P30" i="4"/>
  <c r="P24" i="4"/>
  <c r="O27" i="1"/>
  <c r="O27" i="2"/>
  <c r="O28" i="2"/>
  <c r="G25" i="4"/>
  <c r="G26" i="4"/>
  <c r="G27" i="4"/>
  <c r="G28" i="4"/>
  <c r="G29" i="4"/>
  <c r="G30" i="4"/>
  <c r="F29" i="4"/>
  <c r="E29" i="4"/>
  <c r="H13" i="1"/>
  <c r="H15" i="15" s="1"/>
  <c r="H18" i="1"/>
  <c r="H20" i="15" s="1"/>
  <c r="H12" i="1"/>
  <c r="H14" i="15" s="1"/>
  <c r="K16" i="13"/>
  <c r="K18" i="13"/>
  <c r="K20" i="13"/>
  <c r="K22" i="13"/>
  <c r="K14" i="13"/>
  <c r="J15" i="13"/>
  <c r="J16" i="13"/>
  <c r="J17" i="13"/>
  <c r="J18" i="13"/>
  <c r="J19" i="13"/>
  <c r="J20" i="13"/>
  <c r="J21" i="13"/>
  <c r="J22" i="13"/>
  <c r="J14" i="13"/>
  <c r="I15" i="13"/>
  <c r="I16" i="13"/>
  <c r="I17" i="13"/>
  <c r="I18" i="13"/>
  <c r="I19" i="13"/>
  <c r="I20" i="13"/>
  <c r="I21" i="13"/>
  <c r="I22" i="13"/>
  <c r="I14" i="13"/>
  <c r="G15" i="13"/>
  <c r="G17" i="13"/>
  <c r="G19" i="13"/>
  <c r="G21" i="13"/>
  <c r="F15" i="13"/>
  <c r="F16" i="13"/>
  <c r="F17" i="13"/>
  <c r="F18" i="13"/>
  <c r="F19" i="13"/>
  <c r="F20" i="13"/>
  <c r="F21" i="13"/>
  <c r="F22" i="13"/>
  <c r="F14" i="13"/>
  <c r="E15" i="13"/>
  <c r="E16" i="13"/>
  <c r="E17" i="13"/>
  <c r="E18" i="13"/>
  <c r="E19" i="13"/>
  <c r="E20" i="13"/>
  <c r="E21" i="13"/>
  <c r="E22" i="13"/>
  <c r="E14" i="13"/>
  <c r="F19" i="1"/>
  <c r="E21" i="15" s="1"/>
  <c r="F18" i="1"/>
  <c r="E20" i="15" s="1"/>
  <c r="F16" i="1"/>
  <c r="F16" i="2" s="1"/>
  <c r="F18" i="15" s="1"/>
  <c r="F14" i="1"/>
  <c r="F12" i="1" s="1"/>
  <c r="E14" i="15" s="1"/>
  <c r="F17" i="1"/>
  <c r="F13" i="1" s="1"/>
  <c r="H19" i="3"/>
  <c r="J21" i="4" s="1"/>
  <c r="H17" i="3"/>
  <c r="J19" i="4" s="1"/>
  <c r="F17" i="2"/>
  <c r="F19" i="4" s="1"/>
  <c r="P22" i="4"/>
  <c r="O22" i="4"/>
  <c r="N22" i="4"/>
  <c r="L22" i="4"/>
  <c r="K22" i="4"/>
  <c r="J22" i="4"/>
  <c r="G22" i="4"/>
  <c r="O21" i="4"/>
  <c r="N21" i="4"/>
  <c r="M21" i="4"/>
  <c r="L21" i="4"/>
  <c r="K21" i="4"/>
  <c r="I21" i="4"/>
  <c r="H21" i="4"/>
  <c r="G21" i="4"/>
  <c r="P20" i="4"/>
  <c r="O20" i="4"/>
  <c r="N20" i="4"/>
  <c r="L20" i="4"/>
  <c r="K20" i="4"/>
  <c r="G20" i="4"/>
  <c r="O19" i="4"/>
  <c r="N19" i="4"/>
  <c r="M19" i="4"/>
  <c r="L19" i="4"/>
  <c r="K19" i="4"/>
  <c r="I19" i="4"/>
  <c r="H19" i="4"/>
  <c r="P18" i="4"/>
  <c r="O18" i="4"/>
  <c r="N18" i="4"/>
  <c r="L18" i="4"/>
  <c r="K18" i="4"/>
  <c r="I18" i="4"/>
  <c r="H18" i="4"/>
  <c r="G18" i="4"/>
  <c r="O17" i="4"/>
  <c r="N17" i="4"/>
  <c r="M17" i="4"/>
  <c r="L17" i="4"/>
  <c r="K17" i="4"/>
  <c r="I17" i="4"/>
  <c r="H17" i="4"/>
  <c r="G17" i="4"/>
  <c r="P16" i="4"/>
  <c r="O16" i="4"/>
  <c r="N16" i="4"/>
  <c r="L16" i="4"/>
  <c r="K16" i="4"/>
  <c r="I16" i="4"/>
  <c r="H16" i="4"/>
  <c r="G16" i="4"/>
  <c r="O15" i="4"/>
  <c r="N15" i="4"/>
  <c r="M15" i="4"/>
  <c r="L15" i="4"/>
  <c r="K15" i="4"/>
  <c r="J15" i="4"/>
  <c r="G15" i="4"/>
  <c r="P14" i="4"/>
  <c r="O14" i="4"/>
  <c r="N14" i="4"/>
  <c r="L14" i="4"/>
  <c r="K14" i="4"/>
  <c r="J14" i="4"/>
  <c r="G14" i="4"/>
  <c r="G4" i="4"/>
  <c r="J4" i="4"/>
  <c r="K4" i="4"/>
  <c r="L4" i="4"/>
  <c r="M4" i="4"/>
  <c r="N4" i="4"/>
  <c r="O4" i="4"/>
  <c r="G5" i="4"/>
  <c r="J5" i="4"/>
  <c r="K5" i="4"/>
  <c r="L5" i="4"/>
  <c r="N5" i="4"/>
  <c r="O5" i="4"/>
  <c r="P5" i="4"/>
  <c r="G6" i="4"/>
  <c r="H6" i="4"/>
  <c r="I6" i="4"/>
  <c r="K6" i="4"/>
  <c r="L6" i="4"/>
  <c r="M6" i="4"/>
  <c r="N6" i="4"/>
  <c r="O6" i="4"/>
  <c r="G7" i="4"/>
  <c r="H7" i="4"/>
  <c r="I7" i="4"/>
  <c r="K7" i="4"/>
  <c r="L7" i="4"/>
  <c r="N7" i="4"/>
  <c r="O7" i="4"/>
  <c r="P7" i="4"/>
  <c r="H8" i="4"/>
  <c r="I8" i="4"/>
  <c r="K8" i="4"/>
  <c r="L8" i="4"/>
  <c r="M8" i="4"/>
  <c r="N8" i="4"/>
  <c r="O8" i="4"/>
  <c r="G9" i="4"/>
  <c r="H9" i="4"/>
  <c r="I9" i="4"/>
  <c r="K9" i="4"/>
  <c r="L9" i="4"/>
  <c r="N9" i="4"/>
  <c r="O9" i="4"/>
  <c r="P9" i="4"/>
  <c r="G10" i="4"/>
  <c r="H10" i="4"/>
  <c r="I10" i="4"/>
  <c r="K10" i="4"/>
  <c r="L10" i="4"/>
  <c r="M10" i="4"/>
  <c r="N10" i="4"/>
  <c r="O10" i="4"/>
  <c r="G11" i="4"/>
  <c r="J11" i="4"/>
  <c r="K11" i="4"/>
  <c r="L11" i="4"/>
  <c r="N11" i="4"/>
  <c r="O11" i="4"/>
  <c r="P11" i="4"/>
  <c r="G12" i="4"/>
  <c r="H12" i="4"/>
  <c r="I12" i="4"/>
  <c r="K12" i="4"/>
  <c r="L12" i="4"/>
  <c r="N12" i="4"/>
  <c r="O12" i="4"/>
  <c r="H14" i="3"/>
  <c r="J16" i="4" s="1"/>
  <c r="H15" i="3"/>
  <c r="J17" i="4" s="1"/>
  <c r="H16" i="3"/>
  <c r="J18" i="4" s="1"/>
  <c r="L13" i="3"/>
  <c r="P15" i="4" s="1"/>
  <c r="L15" i="3"/>
  <c r="K17" i="13" s="1"/>
  <c r="L17" i="3"/>
  <c r="P19" i="4" s="1"/>
  <c r="L19" i="3"/>
  <c r="P21" i="4" s="1"/>
  <c r="J14" i="3"/>
  <c r="M16" i="4" s="1"/>
  <c r="J16" i="3"/>
  <c r="M18" i="4" s="1"/>
  <c r="J18" i="3"/>
  <c r="M20" i="4" s="1"/>
  <c r="J20" i="3"/>
  <c r="M22" i="4" s="1"/>
  <c r="J12" i="3"/>
  <c r="G14" i="13" s="1"/>
  <c r="F7" i="1"/>
  <c r="F5" i="1" s="1"/>
  <c r="H9" i="1"/>
  <c r="H11" i="4" s="1"/>
  <c r="H2" i="1"/>
  <c r="H3" i="1"/>
  <c r="H5" i="4" s="1"/>
  <c r="O106" i="3" l="1"/>
  <c r="O138" i="2"/>
  <c r="F129" i="15"/>
  <c r="G129" i="15" s="1"/>
  <c r="W129" i="15"/>
  <c r="E115" i="4"/>
  <c r="W115" i="4" s="1"/>
  <c r="W141" i="4" s="1"/>
  <c r="F129" i="4"/>
  <c r="G129" i="4" s="1"/>
  <c r="U125" i="15"/>
  <c r="F112" i="15"/>
  <c r="U112" i="15" s="1"/>
  <c r="W122" i="15"/>
  <c r="F112" i="4"/>
  <c r="U112" i="4" s="1"/>
  <c r="O98" i="3"/>
  <c r="J122" i="15"/>
  <c r="T115" i="4"/>
  <c r="T141" i="4" s="1"/>
  <c r="F122" i="15"/>
  <c r="U116" i="15"/>
  <c r="U122" i="15" s="1"/>
  <c r="U122" i="4"/>
  <c r="J122" i="4"/>
  <c r="W122" i="4"/>
  <c r="F122" i="4"/>
  <c r="L138" i="3"/>
  <c r="O82" i="3"/>
  <c r="E142" i="13"/>
  <c r="Q99" i="13"/>
  <c r="I115" i="15"/>
  <c r="U108" i="15"/>
  <c r="U115" i="15" s="1"/>
  <c r="U141" i="15" s="1"/>
  <c r="I115" i="4"/>
  <c r="I141" i="4" s="1"/>
  <c r="X142" i="4" s="1"/>
  <c r="T115" i="15"/>
  <c r="T141" i="15" s="1"/>
  <c r="T143" i="15" s="1"/>
  <c r="W115" i="15"/>
  <c r="W141" i="15" s="1"/>
  <c r="U110" i="4"/>
  <c r="Q107" i="13"/>
  <c r="O83" i="3"/>
  <c r="F102" i="2"/>
  <c r="E104" i="4"/>
  <c r="E104" i="15"/>
  <c r="O102" i="1"/>
  <c r="E106" i="15"/>
  <c r="T106" i="15" s="1"/>
  <c r="O104" i="1"/>
  <c r="E106" i="4"/>
  <c r="T106" i="4" s="1"/>
  <c r="F101" i="15"/>
  <c r="U101" i="15" s="1"/>
  <c r="O99" i="2"/>
  <c r="O99" i="3" s="1"/>
  <c r="F101" i="4"/>
  <c r="U101" i="4" s="1"/>
  <c r="R99" i="13"/>
  <c r="U107" i="13"/>
  <c r="P99" i="15"/>
  <c r="R107" i="13"/>
  <c r="G107" i="13"/>
  <c r="M107" i="4"/>
  <c r="M107" i="15"/>
  <c r="J107" i="15"/>
  <c r="P107" i="15"/>
  <c r="K107" i="13"/>
  <c r="T107" i="13"/>
  <c r="T99" i="13"/>
  <c r="P107" i="4"/>
  <c r="J107" i="4"/>
  <c r="O85" i="3"/>
  <c r="O96" i="1"/>
  <c r="F96" i="2"/>
  <c r="E98" i="4"/>
  <c r="T98" i="4" s="1"/>
  <c r="E98" i="15"/>
  <c r="T98" i="15" s="1"/>
  <c r="K99" i="13"/>
  <c r="E44" i="4"/>
  <c r="T44" i="4" s="1"/>
  <c r="O93" i="2"/>
  <c r="O93" i="3" s="1"/>
  <c r="F95" i="15"/>
  <c r="U95" i="15" s="1"/>
  <c r="F85" i="15"/>
  <c r="U85" i="15" s="1"/>
  <c r="O89" i="2"/>
  <c r="O89" i="3" s="1"/>
  <c r="U99" i="13"/>
  <c r="O92" i="3"/>
  <c r="F85" i="4"/>
  <c r="U85" i="4" s="1"/>
  <c r="G94" i="4"/>
  <c r="J99" i="4"/>
  <c r="O95" i="2"/>
  <c r="F97" i="4"/>
  <c r="F97" i="15"/>
  <c r="M99" i="15"/>
  <c r="M99" i="4"/>
  <c r="G99" i="13"/>
  <c r="J99" i="15"/>
  <c r="K93" i="13"/>
  <c r="R93" i="13"/>
  <c r="P99" i="4"/>
  <c r="T80" i="4"/>
  <c r="J93" i="4"/>
  <c r="H52" i="4"/>
  <c r="O78" i="2"/>
  <c r="O78" i="3" s="1"/>
  <c r="F51" i="2"/>
  <c r="O51" i="2" s="1"/>
  <c r="O79" i="3"/>
  <c r="F88" i="2"/>
  <c r="F90" i="4" s="1"/>
  <c r="U90" i="4" s="1"/>
  <c r="H43" i="4"/>
  <c r="E90" i="15"/>
  <c r="T90" i="15" s="1"/>
  <c r="T93" i="15" s="1"/>
  <c r="M93" i="4"/>
  <c r="F80" i="4"/>
  <c r="U80" i="4" s="1"/>
  <c r="E55" i="4"/>
  <c r="T55" i="4" s="1"/>
  <c r="H14" i="4"/>
  <c r="Q28" i="13"/>
  <c r="Q93" i="13"/>
  <c r="O75" i="3"/>
  <c r="H68" i="15"/>
  <c r="E54" i="15"/>
  <c r="T54" i="15" s="1"/>
  <c r="F79" i="4"/>
  <c r="U79" i="4" s="1"/>
  <c r="F91" i="15"/>
  <c r="U91" i="15" s="1"/>
  <c r="T93" i="4"/>
  <c r="F79" i="15"/>
  <c r="U79" i="15" s="1"/>
  <c r="U87" i="4"/>
  <c r="M93" i="15"/>
  <c r="J93" i="15"/>
  <c r="P93" i="15"/>
  <c r="P93" i="4"/>
  <c r="T93" i="13"/>
  <c r="E93" i="4"/>
  <c r="W93" i="4" s="1"/>
  <c r="O87" i="3"/>
  <c r="U93" i="13"/>
  <c r="G93" i="13"/>
  <c r="K86" i="13"/>
  <c r="G86" i="13"/>
  <c r="U86" i="13"/>
  <c r="T86" i="13"/>
  <c r="R86" i="13"/>
  <c r="O81" i="2"/>
  <c r="O81" i="3" s="1"/>
  <c r="F83" i="15"/>
  <c r="U83" i="15" s="1"/>
  <c r="H69" i="15"/>
  <c r="T80" i="15"/>
  <c r="H69" i="4"/>
  <c r="Q75" i="13"/>
  <c r="E52" i="15"/>
  <c r="H38" i="15"/>
  <c r="H40" i="15" s="1"/>
  <c r="H55" i="2"/>
  <c r="I57" i="15" s="1"/>
  <c r="H66" i="2"/>
  <c r="I68" i="15" s="1"/>
  <c r="O53" i="1"/>
  <c r="H48" i="15"/>
  <c r="F80" i="2"/>
  <c r="E82" i="15"/>
  <c r="T82" i="15" s="1"/>
  <c r="E82" i="4"/>
  <c r="T82" i="4" s="1"/>
  <c r="H12" i="2"/>
  <c r="I14" i="4" s="1"/>
  <c r="E35" i="4"/>
  <c r="T35" i="4" s="1"/>
  <c r="O69" i="1"/>
  <c r="O70" i="3"/>
  <c r="K49" i="4"/>
  <c r="K50" i="4" s="1"/>
  <c r="E71" i="4"/>
  <c r="T71" i="4" s="1"/>
  <c r="E86" i="15"/>
  <c r="F55" i="1"/>
  <c r="E57" i="15" s="1"/>
  <c r="T57" i="15" s="1"/>
  <c r="E32" i="4"/>
  <c r="H41" i="2"/>
  <c r="I43" i="4" s="1"/>
  <c r="H47" i="4"/>
  <c r="K49" i="15"/>
  <c r="K50" i="15" s="1"/>
  <c r="O51" i="1"/>
  <c r="E30" i="13"/>
  <c r="E31" i="13" s="1"/>
  <c r="F69" i="2"/>
  <c r="F71" i="15" s="1"/>
  <c r="M86" i="15"/>
  <c r="P86" i="15"/>
  <c r="I86" i="15"/>
  <c r="J86" i="15" s="1"/>
  <c r="F84" i="4"/>
  <c r="U84" i="4" s="1"/>
  <c r="F84" i="15"/>
  <c r="U84" i="15" s="1"/>
  <c r="F81" i="4"/>
  <c r="U81" i="4" s="1"/>
  <c r="F81" i="15"/>
  <c r="U81" i="15" s="1"/>
  <c r="U80" i="15"/>
  <c r="F45" i="1"/>
  <c r="F45" i="2" s="1"/>
  <c r="F47" i="15" s="1"/>
  <c r="H46" i="2"/>
  <c r="I48" i="4" s="1"/>
  <c r="J47" i="2"/>
  <c r="O61" i="1"/>
  <c r="E20" i="4"/>
  <c r="N86" i="4"/>
  <c r="Q77" i="13"/>
  <c r="R77" i="13"/>
  <c r="I78" i="13"/>
  <c r="Q76" i="13"/>
  <c r="Q72" i="13"/>
  <c r="M72" i="4"/>
  <c r="R72" i="13"/>
  <c r="P73" i="4"/>
  <c r="P73" i="15"/>
  <c r="J72" i="4"/>
  <c r="F73" i="15"/>
  <c r="U73" i="15" s="1"/>
  <c r="H78" i="4"/>
  <c r="R75" i="13"/>
  <c r="F72" i="4"/>
  <c r="U72" i="4" s="1"/>
  <c r="J73" i="4"/>
  <c r="F72" i="15"/>
  <c r="U72" i="15" s="1"/>
  <c r="O71" i="2"/>
  <c r="O71" i="3" s="1"/>
  <c r="R76" i="13"/>
  <c r="T72" i="15"/>
  <c r="O73" i="3"/>
  <c r="U75" i="4"/>
  <c r="U75" i="15"/>
  <c r="K78" i="4"/>
  <c r="N78" i="4"/>
  <c r="I71" i="15"/>
  <c r="P71" i="4"/>
  <c r="K71" i="13"/>
  <c r="G72" i="13"/>
  <c r="I78" i="4"/>
  <c r="R73" i="13"/>
  <c r="U73" i="4"/>
  <c r="T73" i="4"/>
  <c r="T73" i="15"/>
  <c r="Q73" i="13"/>
  <c r="E78" i="13"/>
  <c r="K78" i="15"/>
  <c r="T72" i="4"/>
  <c r="N78" i="15"/>
  <c r="T71" i="15"/>
  <c r="T75" i="15"/>
  <c r="Q74" i="13"/>
  <c r="T75" i="4"/>
  <c r="H78" i="15"/>
  <c r="L78" i="4"/>
  <c r="J78" i="13"/>
  <c r="O78" i="4"/>
  <c r="R74" i="13"/>
  <c r="F78" i="13"/>
  <c r="L78" i="15"/>
  <c r="O78" i="15"/>
  <c r="Q71" i="13"/>
  <c r="R71" i="13"/>
  <c r="Q26" i="13"/>
  <c r="O46" i="1"/>
  <c r="E48" i="15"/>
  <c r="H32" i="4"/>
  <c r="H40" i="4" s="1"/>
  <c r="E45" i="4"/>
  <c r="T45" i="4" s="1"/>
  <c r="O42" i="1"/>
  <c r="E44" i="15"/>
  <c r="T44" i="15" s="1"/>
  <c r="E19" i="4"/>
  <c r="T19" i="4" s="1"/>
  <c r="F41" i="1"/>
  <c r="E43" i="15" s="1"/>
  <c r="T43" i="15" s="1"/>
  <c r="F14" i="2"/>
  <c r="F16" i="4" s="1"/>
  <c r="U16" i="4" s="1"/>
  <c r="F30" i="3"/>
  <c r="G32" i="15" s="1"/>
  <c r="O43" i="1"/>
  <c r="O43" i="3" s="1"/>
  <c r="F42" i="2"/>
  <c r="F44" i="4" s="1"/>
  <c r="U44" i="4" s="1"/>
  <c r="H66" i="4"/>
  <c r="H40" i="1"/>
  <c r="H40" i="2" s="1"/>
  <c r="I42" i="15" s="1"/>
  <c r="H59" i="4"/>
  <c r="F40" i="3"/>
  <c r="G42" i="4" s="1"/>
  <c r="F47" i="1"/>
  <c r="E49" i="4" s="1"/>
  <c r="H52" i="15"/>
  <c r="E63" i="15"/>
  <c r="T63" i="15" s="1"/>
  <c r="I70" i="13"/>
  <c r="Q68" i="13"/>
  <c r="E41" i="4"/>
  <c r="T41" i="4" s="1"/>
  <c r="E41" i="15"/>
  <c r="T41" i="15" s="1"/>
  <c r="F39" i="2"/>
  <c r="O39" i="2" s="1"/>
  <c r="O39" i="1"/>
  <c r="E69" i="15"/>
  <c r="E69" i="4"/>
  <c r="E59" i="15"/>
  <c r="F57" i="2"/>
  <c r="F59" i="15" s="1"/>
  <c r="E59" i="4"/>
  <c r="O57" i="1"/>
  <c r="E65" i="15"/>
  <c r="T65" i="15" s="1"/>
  <c r="H59" i="1"/>
  <c r="H61" i="15" s="1"/>
  <c r="T61" i="15" s="1"/>
  <c r="F19" i="2"/>
  <c r="F21" i="4" s="1"/>
  <c r="U21" i="4" s="1"/>
  <c r="E37" i="4"/>
  <c r="T37" i="4" s="1"/>
  <c r="E48" i="4"/>
  <c r="T48" i="4" s="1"/>
  <c r="E45" i="15"/>
  <c r="T45" i="15" s="1"/>
  <c r="F49" i="1"/>
  <c r="E64" i="4"/>
  <c r="T64" i="4" s="1"/>
  <c r="F59" i="2"/>
  <c r="F61" i="4" s="1"/>
  <c r="E65" i="4"/>
  <c r="T65" i="4" s="1"/>
  <c r="O63" i="1"/>
  <c r="F36" i="1"/>
  <c r="O36" i="1" s="1"/>
  <c r="F46" i="2"/>
  <c r="F48" i="4" s="1"/>
  <c r="F52" i="2"/>
  <c r="F54" i="4" s="1"/>
  <c r="U54" i="4" s="1"/>
  <c r="F56" i="1"/>
  <c r="F63" i="2"/>
  <c r="F65" i="15" s="1"/>
  <c r="U65" i="15" s="1"/>
  <c r="F64" i="1"/>
  <c r="F60" i="1"/>
  <c r="F60" i="2" s="1"/>
  <c r="F62" i="15" s="1"/>
  <c r="U62" i="15" s="1"/>
  <c r="O17" i="1"/>
  <c r="E28" i="4"/>
  <c r="T28" i="4" s="1"/>
  <c r="O35" i="1"/>
  <c r="F31" i="1"/>
  <c r="E33" i="4" s="1"/>
  <c r="T33" i="4" s="1"/>
  <c r="F53" i="2"/>
  <c r="F55" i="4" s="1"/>
  <c r="U55" i="4" s="1"/>
  <c r="F62" i="2"/>
  <c r="F66" i="1"/>
  <c r="O66" i="1" s="1"/>
  <c r="O33" i="1"/>
  <c r="F34" i="1"/>
  <c r="E36" i="15" s="1"/>
  <c r="T36" i="15" s="1"/>
  <c r="H59" i="15"/>
  <c r="F65" i="1"/>
  <c r="O65" i="1" s="1"/>
  <c r="H66" i="15"/>
  <c r="H20" i="4"/>
  <c r="O32" i="1"/>
  <c r="H30" i="2"/>
  <c r="I32" i="15" s="1"/>
  <c r="E42" i="15"/>
  <c r="O62" i="1"/>
  <c r="F61" i="2"/>
  <c r="F63" i="15" s="1"/>
  <c r="U63" i="15" s="1"/>
  <c r="Q63" i="13"/>
  <c r="J64" i="4"/>
  <c r="R65" i="13"/>
  <c r="R67" i="13"/>
  <c r="R62" i="13"/>
  <c r="J62" i="4"/>
  <c r="I69" i="15"/>
  <c r="G62" i="13"/>
  <c r="T64" i="15"/>
  <c r="R64" i="13"/>
  <c r="M64" i="15"/>
  <c r="R63" i="13"/>
  <c r="R68" i="13"/>
  <c r="M62" i="15"/>
  <c r="P65" i="15"/>
  <c r="M64" i="4"/>
  <c r="R66" i="13"/>
  <c r="J69" i="13"/>
  <c r="J70" i="13" s="1"/>
  <c r="O69" i="15"/>
  <c r="O70" i="15" s="1"/>
  <c r="O70" i="4"/>
  <c r="J69" i="4"/>
  <c r="J69" i="15"/>
  <c r="O67" i="1"/>
  <c r="F67" i="2"/>
  <c r="F69" i="15" s="1"/>
  <c r="G66" i="13"/>
  <c r="M66" i="15"/>
  <c r="F70" i="13"/>
  <c r="J67" i="4"/>
  <c r="L70" i="15"/>
  <c r="K63" i="13"/>
  <c r="J63" i="15"/>
  <c r="Q64" i="13"/>
  <c r="J65" i="4"/>
  <c r="L70" i="4"/>
  <c r="J68" i="15"/>
  <c r="K61" i="13"/>
  <c r="K65" i="13"/>
  <c r="Q62" i="13"/>
  <c r="Q66" i="13"/>
  <c r="P61" i="15"/>
  <c r="P69" i="15"/>
  <c r="P63" i="15"/>
  <c r="Q65" i="13"/>
  <c r="P67" i="15"/>
  <c r="K67" i="13"/>
  <c r="N70" i="15"/>
  <c r="Q67" i="13"/>
  <c r="M68" i="4"/>
  <c r="G68" i="13"/>
  <c r="K70" i="15"/>
  <c r="E70" i="13"/>
  <c r="Q69" i="13"/>
  <c r="K69" i="13"/>
  <c r="Q61" i="13"/>
  <c r="R61" i="13"/>
  <c r="Q47" i="13"/>
  <c r="Q53" i="13"/>
  <c r="Q34" i="13"/>
  <c r="Q33" i="13"/>
  <c r="Q43" i="13"/>
  <c r="Q42" i="13"/>
  <c r="E61" i="4"/>
  <c r="F44" i="2"/>
  <c r="E46" i="15"/>
  <c r="T46" i="15" s="1"/>
  <c r="O44" i="1"/>
  <c r="E46" i="4"/>
  <c r="T46" i="4" s="1"/>
  <c r="K70" i="4"/>
  <c r="N70" i="4"/>
  <c r="T63" i="4"/>
  <c r="F52" i="4"/>
  <c r="M51" i="4"/>
  <c r="F45" i="4"/>
  <c r="U45" i="4" s="1"/>
  <c r="Q48" i="13"/>
  <c r="Q57" i="13"/>
  <c r="F42" i="15"/>
  <c r="Q44" i="13"/>
  <c r="Q52" i="13"/>
  <c r="F50" i="3"/>
  <c r="I50" i="13"/>
  <c r="Q46" i="13"/>
  <c r="Q54" i="13"/>
  <c r="F42" i="4"/>
  <c r="K58" i="13"/>
  <c r="J51" i="4"/>
  <c r="M59" i="4"/>
  <c r="J54" i="4"/>
  <c r="P56" i="4"/>
  <c r="I59" i="15"/>
  <c r="R53" i="13"/>
  <c r="J55" i="4"/>
  <c r="R59" i="13"/>
  <c r="J53" i="4"/>
  <c r="R51" i="13"/>
  <c r="R55" i="13"/>
  <c r="R57" i="13"/>
  <c r="J59" i="15"/>
  <c r="J59" i="4"/>
  <c r="P58" i="4"/>
  <c r="Q58" i="13"/>
  <c r="F56" i="15"/>
  <c r="F56" i="4"/>
  <c r="O54" i="1"/>
  <c r="E56" i="4"/>
  <c r="T56" i="4" s="1"/>
  <c r="E56" i="15"/>
  <c r="T56" i="15" s="1"/>
  <c r="H57" i="4"/>
  <c r="G57" i="13"/>
  <c r="M57" i="4"/>
  <c r="K56" i="13"/>
  <c r="N60" i="15"/>
  <c r="Q56" i="13"/>
  <c r="I52" i="4"/>
  <c r="U52" i="15"/>
  <c r="E54" i="4"/>
  <c r="E53" i="15"/>
  <c r="T53" i="15" s="1"/>
  <c r="E53" i="4"/>
  <c r="T53" i="4" s="1"/>
  <c r="J58" i="15"/>
  <c r="O50" i="2"/>
  <c r="O50" i="1"/>
  <c r="E52" i="4"/>
  <c r="K52" i="13"/>
  <c r="I60" i="13"/>
  <c r="P52" i="15"/>
  <c r="M53" i="4"/>
  <c r="G53" i="13"/>
  <c r="P54" i="15"/>
  <c r="K54" i="13"/>
  <c r="M55" i="4"/>
  <c r="M55" i="15"/>
  <c r="K60" i="4"/>
  <c r="P59" i="4"/>
  <c r="K57" i="13"/>
  <c r="P55" i="4"/>
  <c r="K55" i="13"/>
  <c r="P51" i="4"/>
  <c r="K51" i="13"/>
  <c r="M59" i="15"/>
  <c r="M56" i="4"/>
  <c r="M58" i="4"/>
  <c r="G56" i="13"/>
  <c r="M51" i="15"/>
  <c r="N60" i="4"/>
  <c r="T55" i="15"/>
  <c r="E60" i="13"/>
  <c r="Q55" i="13"/>
  <c r="Q59" i="13"/>
  <c r="K60" i="15"/>
  <c r="L60" i="15"/>
  <c r="L60" i="4"/>
  <c r="R54" i="13"/>
  <c r="O60" i="4"/>
  <c r="J60" i="13"/>
  <c r="R58" i="13"/>
  <c r="R52" i="13"/>
  <c r="R56" i="13"/>
  <c r="O60" i="15"/>
  <c r="F60" i="13"/>
  <c r="Q45" i="13"/>
  <c r="Q51" i="13"/>
  <c r="F45" i="15"/>
  <c r="U45" i="15" s="1"/>
  <c r="M47" i="15"/>
  <c r="Q41" i="13"/>
  <c r="F43" i="3"/>
  <c r="G45" i="4" s="1"/>
  <c r="E50" i="13"/>
  <c r="R44" i="13"/>
  <c r="R43" i="13"/>
  <c r="J50" i="13"/>
  <c r="R34" i="13"/>
  <c r="R45" i="13"/>
  <c r="P44" i="15"/>
  <c r="J41" i="15"/>
  <c r="K46" i="13"/>
  <c r="J45" i="15"/>
  <c r="R42" i="13"/>
  <c r="K44" i="13"/>
  <c r="G45" i="13"/>
  <c r="G43" i="13"/>
  <c r="M41" i="15"/>
  <c r="P42" i="15"/>
  <c r="N50" i="15"/>
  <c r="O50" i="15"/>
  <c r="M43" i="15"/>
  <c r="M45" i="15"/>
  <c r="P46" i="15"/>
  <c r="G41" i="13"/>
  <c r="R48" i="13"/>
  <c r="J44" i="15"/>
  <c r="R47" i="13"/>
  <c r="J46" i="15"/>
  <c r="K42" i="13"/>
  <c r="R46" i="13"/>
  <c r="G47" i="13"/>
  <c r="Q49" i="13"/>
  <c r="J49" i="15"/>
  <c r="J48" i="4"/>
  <c r="P48" i="15"/>
  <c r="K48" i="13"/>
  <c r="R36" i="13"/>
  <c r="R41" i="13"/>
  <c r="Q39" i="13"/>
  <c r="Q38" i="13"/>
  <c r="Q36" i="13"/>
  <c r="H45" i="2"/>
  <c r="O50" i="4"/>
  <c r="N50" i="4"/>
  <c r="F32" i="15"/>
  <c r="O14" i="1"/>
  <c r="E40" i="13"/>
  <c r="E27" i="4"/>
  <c r="T27" i="4" s="1"/>
  <c r="E34" i="15"/>
  <c r="T34" i="15" s="1"/>
  <c r="F37" i="1"/>
  <c r="Q35" i="13"/>
  <c r="H13" i="2"/>
  <c r="I15" i="4" s="1"/>
  <c r="F20" i="1"/>
  <c r="E22" i="4" s="1"/>
  <c r="O30" i="1"/>
  <c r="I40" i="13"/>
  <c r="E16" i="4"/>
  <c r="T16" i="4" s="1"/>
  <c r="O18" i="1"/>
  <c r="F9" i="1"/>
  <c r="F9" i="2" s="1"/>
  <c r="H15" i="4"/>
  <c r="F18" i="2"/>
  <c r="F20" i="4" s="1"/>
  <c r="O19" i="1"/>
  <c r="O25" i="1"/>
  <c r="F26" i="2"/>
  <c r="F28" i="15" s="1"/>
  <c r="U28" i="15" s="1"/>
  <c r="E16" i="15"/>
  <c r="T16" i="15" s="1"/>
  <c r="Q32" i="13"/>
  <c r="Q37" i="13"/>
  <c r="R33" i="13"/>
  <c r="T35" i="15"/>
  <c r="F40" i="13"/>
  <c r="R39" i="13"/>
  <c r="G37" i="13"/>
  <c r="R37" i="13"/>
  <c r="P36" i="4"/>
  <c r="T32" i="15"/>
  <c r="O38" i="4"/>
  <c r="O40" i="4" s="1"/>
  <c r="G39" i="13"/>
  <c r="P32" i="15"/>
  <c r="J38" i="13"/>
  <c r="R38" i="13" s="1"/>
  <c r="T34" i="4"/>
  <c r="R35" i="13"/>
  <c r="P36" i="15"/>
  <c r="O38" i="15"/>
  <c r="O40" i="15" s="1"/>
  <c r="M33" i="15"/>
  <c r="I39" i="4"/>
  <c r="J33" i="15"/>
  <c r="J35" i="15"/>
  <c r="K32" i="13"/>
  <c r="R32" i="13"/>
  <c r="R28" i="13"/>
  <c r="P34" i="15"/>
  <c r="M39" i="15"/>
  <c r="K40" i="15"/>
  <c r="J34" i="15"/>
  <c r="J36" i="15"/>
  <c r="G35" i="13"/>
  <c r="K34" i="13"/>
  <c r="M35" i="15"/>
  <c r="G33" i="13"/>
  <c r="H36" i="2"/>
  <c r="J37" i="15"/>
  <c r="L40" i="15"/>
  <c r="T37" i="15"/>
  <c r="M37" i="15"/>
  <c r="N40" i="15"/>
  <c r="P38" i="15"/>
  <c r="J39" i="15"/>
  <c r="K40" i="4"/>
  <c r="N40" i="4"/>
  <c r="L40" i="4"/>
  <c r="F24" i="15"/>
  <c r="U24" i="15" s="1"/>
  <c r="E7" i="4"/>
  <c r="T7" i="4" s="1"/>
  <c r="E7" i="15"/>
  <c r="T7" i="15" s="1"/>
  <c r="E15" i="4"/>
  <c r="E15" i="15"/>
  <c r="T15" i="15" s="1"/>
  <c r="F15" i="1"/>
  <c r="O15" i="1" s="1"/>
  <c r="H11" i="15"/>
  <c r="E24" i="15"/>
  <c r="T24" i="15" s="1"/>
  <c r="F25" i="2"/>
  <c r="F27" i="15" s="1"/>
  <c r="U27" i="15" s="1"/>
  <c r="F23" i="1"/>
  <c r="E25" i="4" s="1"/>
  <c r="T25" i="4" s="1"/>
  <c r="H4" i="15"/>
  <c r="E9" i="4"/>
  <c r="T9" i="4" s="1"/>
  <c r="F28" i="1"/>
  <c r="O28" i="1" s="1"/>
  <c r="O28" i="3" s="1"/>
  <c r="H5" i="15"/>
  <c r="E18" i="15"/>
  <c r="T18" i="15" s="1"/>
  <c r="H20" i="1"/>
  <c r="H143" i="4" s="1"/>
  <c r="K30" i="4"/>
  <c r="K31" i="4" s="1"/>
  <c r="E9" i="15"/>
  <c r="T9" i="15" s="1"/>
  <c r="E19" i="15"/>
  <c r="T19" i="15" s="1"/>
  <c r="E28" i="15"/>
  <c r="T28" i="15" s="1"/>
  <c r="H4" i="4"/>
  <c r="H13" i="4" s="1"/>
  <c r="F24" i="1"/>
  <c r="F19" i="15"/>
  <c r="U19" i="15" s="1"/>
  <c r="K30" i="15"/>
  <c r="K31" i="15" s="1"/>
  <c r="E23" i="13"/>
  <c r="Q24" i="13"/>
  <c r="Q29" i="13"/>
  <c r="I31" i="13"/>
  <c r="Q17" i="13"/>
  <c r="F22" i="3"/>
  <c r="G24" i="4" s="1"/>
  <c r="R27" i="13"/>
  <c r="R24" i="13"/>
  <c r="M26" i="15"/>
  <c r="J26" i="4"/>
  <c r="R29" i="13"/>
  <c r="J31" i="13"/>
  <c r="U18" i="15"/>
  <c r="K23" i="15"/>
  <c r="T20" i="15"/>
  <c r="M28" i="15"/>
  <c r="T21" i="15"/>
  <c r="M24" i="15"/>
  <c r="J28" i="4"/>
  <c r="K25" i="13"/>
  <c r="M14" i="15"/>
  <c r="M16" i="15"/>
  <c r="M18" i="15"/>
  <c r="M20" i="15"/>
  <c r="M22" i="15"/>
  <c r="T27" i="15"/>
  <c r="T29" i="15"/>
  <c r="G28" i="13"/>
  <c r="J17" i="15"/>
  <c r="J19" i="15"/>
  <c r="J21" i="15"/>
  <c r="J24" i="15"/>
  <c r="U29" i="15"/>
  <c r="G26" i="13"/>
  <c r="G24" i="13"/>
  <c r="P25" i="15"/>
  <c r="P27" i="15"/>
  <c r="J16" i="15"/>
  <c r="J18" i="15"/>
  <c r="J25" i="15"/>
  <c r="J27" i="15"/>
  <c r="K27" i="13"/>
  <c r="O31" i="15"/>
  <c r="R25" i="13"/>
  <c r="P15" i="15"/>
  <c r="P17" i="15"/>
  <c r="P19" i="15"/>
  <c r="P21" i="15"/>
  <c r="Q18" i="13"/>
  <c r="Q20" i="13"/>
  <c r="L31" i="15"/>
  <c r="N13" i="15"/>
  <c r="L23" i="15"/>
  <c r="N31" i="15"/>
  <c r="O23" i="15"/>
  <c r="K13" i="15"/>
  <c r="O13" i="15"/>
  <c r="L13" i="15"/>
  <c r="N23" i="15"/>
  <c r="H31" i="15"/>
  <c r="I31" i="15"/>
  <c r="H31" i="4"/>
  <c r="U29" i="4"/>
  <c r="I31" i="4"/>
  <c r="N31" i="4"/>
  <c r="T29" i="4"/>
  <c r="O31" i="4"/>
  <c r="U30" i="15"/>
  <c r="T14" i="15"/>
  <c r="L31" i="4"/>
  <c r="F30" i="13"/>
  <c r="M30" i="4"/>
  <c r="F24" i="4"/>
  <c r="O22" i="1"/>
  <c r="O22" i="3" s="1"/>
  <c r="T24" i="4"/>
  <c r="U30" i="4"/>
  <c r="Q16" i="13"/>
  <c r="Q14" i="13"/>
  <c r="Q15" i="13"/>
  <c r="I23" i="13"/>
  <c r="R18" i="13"/>
  <c r="F17" i="3"/>
  <c r="O17" i="2"/>
  <c r="R17" i="13"/>
  <c r="O13" i="4"/>
  <c r="G20" i="13"/>
  <c r="F23" i="13"/>
  <c r="R15" i="13"/>
  <c r="R22" i="13"/>
  <c r="K15" i="13"/>
  <c r="L13" i="4"/>
  <c r="M14" i="4"/>
  <c r="G18" i="13"/>
  <c r="R20" i="13"/>
  <c r="K21" i="13"/>
  <c r="K13" i="4"/>
  <c r="P17" i="4"/>
  <c r="R16" i="13"/>
  <c r="R19" i="13"/>
  <c r="G16" i="13"/>
  <c r="N13" i="4"/>
  <c r="G22" i="13"/>
  <c r="O23" i="4"/>
  <c r="J23" i="13"/>
  <c r="Q19" i="13"/>
  <c r="K19" i="13"/>
  <c r="R21" i="13"/>
  <c r="R14" i="13"/>
  <c r="Q22" i="13"/>
  <c r="Q21" i="13"/>
  <c r="F18" i="4"/>
  <c r="U18" i="4" s="1"/>
  <c r="O16" i="2"/>
  <c r="E18" i="4"/>
  <c r="T18" i="4" s="1"/>
  <c r="O16" i="1"/>
  <c r="O13" i="1"/>
  <c r="F13" i="2"/>
  <c r="F15" i="15" s="1"/>
  <c r="E21" i="4"/>
  <c r="T21" i="4" s="1"/>
  <c r="N23" i="4"/>
  <c r="U19" i="4"/>
  <c r="L23" i="4"/>
  <c r="K23" i="4"/>
  <c r="H9" i="2"/>
  <c r="F10" i="1"/>
  <c r="F10" i="2" s="1"/>
  <c r="H8" i="3"/>
  <c r="L8" i="3"/>
  <c r="P10" i="15" s="1"/>
  <c r="J9" i="3"/>
  <c r="M11" i="15" s="1"/>
  <c r="L10" i="3"/>
  <c r="P12" i="15" s="1"/>
  <c r="J10" i="3"/>
  <c r="M12" i="15" s="1"/>
  <c r="H10" i="3"/>
  <c r="F7" i="2"/>
  <c r="F5" i="2"/>
  <c r="H3" i="2"/>
  <c r="H2" i="2"/>
  <c r="H7" i="3"/>
  <c r="J7" i="3"/>
  <c r="M9" i="15" s="1"/>
  <c r="F3" i="1"/>
  <c r="F6" i="1"/>
  <c r="B9" i="5"/>
  <c r="L6" i="3"/>
  <c r="P8" i="15" s="1"/>
  <c r="J5" i="3"/>
  <c r="M7" i="15" s="1"/>
  <c r="L4" i="3"/>
  <c r="P6" i="15" s="1"/>
  <c r="J3" i="3"/>
  <c r="M5" i="15" s="1"/>
  <c r="L2" i="3"/>
  <c r="P4" i="15" s="1"/>
  <c r="F6" i="2"/>
  <c r="F8" i="15" s="1"/>
  <c r="U8" i="15" s="1"/>
  <c r="G6" i="13"/>
  <c r="G8" i="13"/>
  <c r="G10" i="13"/>
  <c r="G4" i="13"/>
  <c r="F5" i="13"/>
  <c r="F6" i="13"/>
  <c r="F7" i="13"/>
  <c r="F8" i="13"/>
  <c r="F9" i="13"/>
  <c r="F10" i="13"/>
  <c r="F11" i="13"/>
  <c r="F12" i="13"/>
  <c r="F4" i="13"/>
  <c r="K5" i="13"/>
  <c r="K7" i="13"/>
  <c r="K9" i="13"/>
  <c r="K11" i="13"/>
  <c r="E5" i="13"/>
  <c r="E6" i="13"/>
  <c r="E7" i="13"/>
  <c r="E8" i="13"/>
  <c r="E9" i="13"/>
  <c r="E10" i="13"/>
  <c r="E11" i="13"/>
  <c r="E12" i="13"/>
  <c r="E4" i="13"/>
  <c r="J5" i="13"/>
  <c r="J6" i="13"/>
  <c r="J7" i="13"/>
  <c r="J8" i="13"/>
  <c r="J9" i="13"/>
  <c r="J10" i="13"/>
  <c r="J11" i="13"/>
  <c r="J12" i="13"/>
  <c r="I5" i="13"/>
  <c r="I6" i="13"/>
  <c r="I7" i="13"/>
  <c r="I8" i="13"/>
  <c r="I9" i="13"/>
  <c r="I10" i="13"/>
  <c r="I11" i="13"/>
  <c r="I12" i="13"/>
  <c r="J4" i="13"/>
  <c r="I4" i="13"/>
  <c r="J115" i="15" l="1"/>
  <c r="I141" i="15"/>
  <c r="F115" i="15"/>
  <c r="G115" i="15" s="1"/>
  <c r="U115" i="4"/>
  <c r="U141" i="4" s="1"/>
  <c r="X122" i="15"/>
  <c r="F115" i="4"/>
  <c r="G115" i="4" s="1"/>
  <c r="G122" i="15"/>
  <c r="G122" i="4"/>
  <c r="X122" i="4"/>
  <c r="J138" i="3"/>
  <c r="J115" i="4"/>
  <c r="F106" i="15"/>
  <c r="U106" i="15" s="1"/>
  <c r="F106" i="4"/>
  <c r="U106" i="4" s="1"/>
  <c r="O104" i="2"/>
  <c r="O104" i="3" s="1"/>
  <c r="O45" i="1"/>
  <c r="T104" i="15"/>
  <c r="T107" i="15" s="1"/>
  <c r="E107" i="15"/>
  <c r="T104" i="4"/>
  <c r="T107" i="4" s="1"/>
  <c r="E107" i="4"/>
  <c r="O102" i="2"/>
  <c r="O102" i="3" s="1"/>
  <c r="F104" i="15"/>
  <c r="F104" i="4"/>
  <c r="F94" i="2"/>
  <c r="O94" i="1"/>
  <c r="E96" i="15"/>
  <c r="E96" i="4"/>
  <c r="O96" i="2"/>
  <c r="O96" i="3" s="1"/>
  <c r="F98" i="4"/>
  <c r="U98" i="4" s="1"/>
  <c r="F98" i="15"/>
  <c r="U98" i="15" s="1"/>
  <c r="E93" i="15"/>
  <c r="W93" i="15" s="1"/>
  <c r="T86" i="4"/>
  <c r="F90" i="15"/>
  <c r="U90" i="15" s="1"/>
  <c r="O88" i="2"/>
  <c r="O88" i="3" s="1"/>
  <c r="F53" i="15"/>
  <c r="U53" i="15" s="1"/>
  <c r="F53" i="4"/>
  <c r="U53" i="4" s="1"/>
  <c r="O51" i="3"/>
  <c r="U97" i="15"/>
  <c r="U97" i="4"/>
  <c r="O95" i="3"/>
  <c r="T52" i="4"/>
  <c r="U71" i="15"/>
  <c r="E47" i="4"/>
  <c r="T47" i="4" s="1"/>
  <c r="T48" i="15"/>
  <c r="E47" i="15"/>
  <c r="T47" i="15" s="1"/>
  <c r="E43" i="4"/>
  <c r="T43" i="4" s="1"/>
  <c r="O69" i="2"/>
  <c r="O69" i="3" s="1"/>
  <c r="H61" i="4"/>
  <c r="H70" i="4" s="1"/>
  <c r="F71" i="4"/>
  <c r="U71" i="4" s="1"/>
  <c r="O40" i="1"/>
  <c r="T86" i="15"/>
  <c r="I57" i="4"/>
  <c r="Q30" i="13"/>
  <c r="Q31" i="13" s="1"/>
  <c r="T52" i="15"/>
  <c r="T69" i="4"/>
  <c r="T49" i="4"/>
  <c r="I68" i="4"/>
  <c r="I43" i="15"/>
  <c r="T69" i="15"/>
  <c r="E86" i="4"/>
  <c r="E57" i="4"/>
  <c r="T57" i="4" s="1"/>
  <c r="O41" i="1"/>
  <c r="F82" i="4"/>
  <c r="U82" i="4" s="1"/>
  <c r="U86" i="4" s="1"/>
  <c r="F82" i="15"/>
  <c r="U82" i="15" s="1"/>
  <c r="U86" i="15" s="1"/>
  <c r="O80" i="2"/>
  <c r="O80" i="3" s="1"/>
  <c r="I14" i="15"/>
  <c r="F55" i="2"/>
  <c r="O55" i="2" s="1"/>
  <c r="F15" i="2"/>
  <c r="F17" i="15" s="1"/>
  <c r="U17" i="15" s="1"/>
  <c r="O55" i="1"/>
  <c r="F47" i="4"/>
  <c r="I48" i="15"/>
  <c r="U48" i="4"/>
  <c r="H86" i="4"/>
  <c r="J86" i="4" s="1"/>
  <c r="O39" i="3"/>
  <c r="P86" i="4"/>
  <c r="F41" i="2"/>
  <c r="F43" i="4" s="1"/>
  <c r="U43" i="4" s="1"/>
  <c r="K86" i="4"/>
  <c r="M86" i="4" s="1"/>
  <c r="E49" i="15"/>
  <c r="T49" i="15" s="1"/>
  <c r="F49" i="13"/>
  <c r="R49" i="13" s="1"/>
  <c r="R50" i="13" s="1"/>
  <c r="L49" i="15"/>
  <c r="L50" i="15" s="1"/>
  <c r="H59" i="2"/>
  <c r="I61" i="15" s="1"/>
  <c r="F47" i="2"/>
  <c r="O47" i="2" s="1"/>
  <c r="L49" i="4"/>
  <c r="L50" i="4" s="1"/>
  <c r="M50" i="4" s="1"/>
  <c r="O59" i="1"/>
  <c r="F72" i="2"/>
  <c r="E74" i="15"/>
  <c r="E74" i="4"/>
  <c r="O72" i="1"/>
  <c r="O47" i="1"/>
  <c r="T20" i="4"/>
  <c r="F74" i="2"/>
  <c r="O74" i="1"/>
  <c r="E76" i="15"/>
  <c r="T76" i="15" s="1"/>
  <c r="E76" i="4"/>
  <c r="T76" i="4" s="1"/>
  <c r="I78" i="15"/>
  <c r="J78" i="15" s="1"/>
  <c r="Q78" i="13"/>
  <c r="O57" i="2"/>
  <c r="O57" i="3" s="1"/>
  <c r="F59" i="4"/>
  <c r="U59" i="4" s="1"/>
  <c r="F16" i="15"/>
  <c r="U16" i="15" s="1"/>
  <c r="O14" i="2"/>
  <c r="O14" i="3" s="1"/>
  <c r="O19" i="2"/>
  <c r="O19" i="3" s="1"/>
  <c r="F63" i="4"/>
  <c r="U63" i="4" s="1"/>
  <c r="F21" i="15"/>
  <c r="U21" i="15" s="1"/>
  <c r="F55" i="15"/>
  <c r="U55" i="15" s="1"/>
  <c r="F44" i="15"/>
  <c r="U44" i="15" s="1"/>
  <c r="O42" i="2"/>
  <c r="O42" i="3" s="1"/>
  <c r="O61" i="2"/>
  <c r="O61" i="3" s="1"/>
  <c r="M78" i="4"/>
  <c r="G78" i="13"/>
  <c r="K78" i="13"/>
  <c r="J78" i="4"/>
  <c r="T78" i="13"/>
  <c r="U78" i="13"/>
  <c r="R78" i="13"/>
  <c r="P78" i="15"/>
  <c r="M78" i="15"/>
  <c r="P78" i="4"/>
  <c r="T70" i="13"/>
  <c r="K70" i="13"/>
  <c r="H60" i="15"/>
  <c r="T59" i="4"/>
  <c r="T32" i="4"/>
  <c r="H70" i="15"/>
  <c r="T59" i="15"/>
  <c r="U32" i="15"/>
  <c r="O52" i="2"/>
  <c r="O52" i="3" s="1"/>
  <c r="F54" i="15"/>
  <c r="U54" i="15" s="1"/>
  <c r="F41" i="15"/>
  <c r="U41" i="15" s="1"/>
  <c r="O46" i="2"/>
  <c r="O46" i="3" s="1"/>
  <c r="G42" i="15"/>
  <c r="F41" i="4"/>
  <c r="U41" i="4" s="1"/>
  <c r="F48" i="15"/>
  <c r="E38" i="4"/>
  <c r="T38" i="4" s="1"/>
  <c r="O26" i="2"/>
  <c r="O26" i="3" s="1"/>
  <c r="H42" i="4"/>
  <c r="H42" i="15"/>
  <c r="H50" i="15" s="1"/>
  <c r="F23" i="2"/>
  <c r="F25" i="15" s="1"/>
  <c r="U25" i="15" s="1"/>
  <c r="H60" i="4"/>
  <c r="O17" i="3"/>
  <c r="O34" i="1"/>
  <c r="E36" i="4"/>
  <c r="T36" i="4" s="1"/>
  <c r="O53" i="2"/>
  <c r="O53" i="3" s="1"/>
  <c r="E68" i="15"/>
  <c r="T68" i="15" s="1"/>
  <c r="F66" i="2"/>
  <c r="E68" i="4"/>
  <c r="T68" i="4" s="1"/>
  <c r="F64" i="2"/>
  <c r="E66" i="4"/>
  <c r="T66" i="4" s="1"/>
  <c r="E66" i="15"/>
  <c r="T66" i="15" s="1"/>
  <c r="O64" i="1"/>
  <c r="F64" i="15"/>
  <c r="U64" i="15" s="1"/>
  <c r="O62" i="2"/>
  <c r="O62" i="3" s="1"/>
  <c r="F56" i="2"/>
  <c r="E58" i="15"/>
  <c r="T58" i="15" s="1"/>
  <c r="O56" i="1"/>
  <c r="E58" i="4"/>
  <c r="T58" i="4" s="1"/>
  <c r="O31" i="1"/>
  <c r="E33" i="15"/>
  <c r="T33" i="15" s="1"/>
  <c r="O63" i="2"/>
  <c r="O63" i="3" s="1"/>
  <c r="E67" i="15"/>
  <c r="T67" i="15" s="1"/>
  <c r="F65" i="2"/>
  <c r="E67" i="4"/>
  <c r="T67" i="4" s="1"/>
  <c r="E38" i="15"/>
  <c r="T38" i="15" s="1"/>
  <c r="F65" i="4"/>
  <c r="U65" i="4" s="1"/>
  <c r="O49" i="1"/>
  <c r="E51" i="4"/>
  <c r="T51" i="4" s="1"/>
  <c r="F49" i="2"/>
  <c r="E51" i="15"/>
  <c r="T51" i="15" s="1"/>
  <c r="F61" i="15"/>
  <c r="F64" i="4"/>
  <c r="U64" i="4" s="1"/>
  <c r="E62" i="15"/>
  <c r="O60" i="1"/>
  <c r="E62" i="4"/>
  <c r="T62" i="4" s="1"/>
  <c r="U70" i="13"/>
  <c r="U69" i="15"/>
  <c r="M70" i="15"/>
  <c r="R69" i="13"/>
  <c r="R70" i="13" s="1"/>
  <c r="F69" i="4"/>
  <c r="U69" i="4" s="1"/>
  <c r="O67" i="2"/>
  <c r="O67" i="3" s="1"/>
  <c r="U59" i="15"/>
  <c r="Q70" i="13"/>
  <c r="U52" i="4"/>
  <c r="G70" i="13"/>
  <c r="P70" i="15"/>
  <c r="F62" i="4"/>
  <c r="U62" i="4" s="1"/>
  <c r="O60" i="2"/>
  <c r="O44" i="2"/>
  <c r="F46" i="4"/>
  <c r="U46" i="4" s="1"/>
  <c r="F46" i="15"/>
  <c r="U46" i="15" s="1"/>
  <c r="M70" i="4"/>
  <c r="P70" i="4"/>
  <c r="Q50" i="13"/>
  <c r="K50" i="13"/>
  <c r="U42" i="15"/>
  <c r="G52" i="15"/>
  <c r="G52" i="4"/>
  <c r="T50" i="13"/>
  <c r="O50" i="3"/>
  <c r="K60" i="13"/>
  <c r="T60" i="13"/>
  <c r="P60" i="15"/>
  <c r="T54" i="4"/>
  <c r="M60" i="4"/>
  <c r="M60" i="15"/>
  <c r="P60" i="4"/>
  <c r="Q60" i="13"/>
  <c r="R60" i="13"/>
  <c r="U60" i="13"/>
  <c r="G60" i="13"/>
  <c r="G45" i="15"/>
  <c r="F20" i="15"/>
  <c r="I47" i="4"/>
  <c r="I47" i="15"/>
  <c r="P50" i="15"/>
  <c r="T31" i="13"/>
  <c r="G40" i="13"/>
  <c r="K31" i="13"/>
  <c r="O45" i="2"/>
  <c r="O45" i="3" s="1"/>
  <c r="P50" i="4"/>
  <c r="T15" i="4"/>
  <c r="F27" i="4"/>
  <c r="U27" i="4" s="1"/>
  <c r="F28" i="4"/>
  <c r="U28" i="4" s="1"/>
  <c r="Q40" i="13"/>
  <c r="I15" i="15"/>
  <c r="U15" i="15" s="1"/>
  <c r="E11" i="15"/>
  <c r="T11" i="15" s="1"/>
  <c r="E11" i="4"/>
  <c r="T11" i="4" s="1"/>
  <c r="E39" i="15"/>
  <c r="E39" i="4"/>
  <c r="T39" i="4" s="1"/>
  <c r="O37" i="1"/>
  <c r="O16" i="3"/>
  <c r="T40" i="13"/>
  <c r="O20" i="1"/>
  <c r="E22" i="15"/>
  <c r="F20" i="2"/>
  <c r="T23" i="13"/>
  <c r="J40" i="13"/>
  <c r="U23" i="13"/>
  <c r="R40" i="13"/>
  <c r="P40" i="15"/>
  <c r="I38" i="15"/>
  <c r="I40" i="15" s="1"/>
  <c r="I38" i="4"/>
  <c r="M40" i="15"/>
  <c r="M40" i="4"/>
  <c r="P40" i="4"/>
  <c r="P31" i="15"/>
  <c r="P23" i="15"/>
  <c r="O25" i="2"/>
  <c r="O25" i="3" s="1"/>
  <c r="E5" i="15"/>
  <c r="T5" i="15" s="1"/>
  <c r="E5" i="4"/>
  <c r="T5" i="4" s="1"/>
  <c r="E12" i="15"/>
  <c r="T12" i="15" s="1"/>
  <c r="E12" i="4"/>
  <c r="T12" i="4" s="1"/>
  <c r="H20" i="2"/>
  <c r="H22" i="4"/>
  <c r="H23" i="4" s="1"/>
  <c r="H22" i="15"/>
  <c r="O24" i="1"/>
  <c r="F24" i="2"/>
  <c r="E26" i="4"/>
  <c r="E26" i="15"/>
  <c r="T26" i="15" s="1"/>
  <c r="E17" i="4"/>
  <c r="T17" i="4" s="1"/>
  <c r="E17" i="15"/>
  <c r="E30" i="4"/>
  <c r="T30" i="4" s="1"/>
  <c r="E30" i="15"/>
  <c r="T30" i="15" s="1"/>
  <c r="F3" i="2"/>
  <c r="F5" i="4" s="1"/>
  <c r="H13" i="15"/>
  <c r="O23" i="1"/>
  <c r="E25" i="15"/>
  <c r="F8" i="1"/>
  <c r="O8" i="1" s="1"/>
  <c r="E8" i="15"/>
  <c r="T8" i="15" s="1"/>
  <c r="F4" i="1"/>
  <c r="F2" i="1"/>
  <c r="E8" i="4"/>
  <c r="T8" i="4" s="1"/>
  <c r="G24" i="15"/>
  <c r="M13" i="15"/>
  <c r="J31" i="15"/>
  <c r="P13" i="15"/>
  <c r="M31" i="15"/>
  <c r="F7" i="4"/>
  <c r="U7" i="4" s="1"/>
  <c r="F7" i="15"/>
  <c r="U7" i="15" s="1"/>
  <c r="I4" i="15"/>
  <c r="F9" i="4"/>
  <c r="U9" i="4" s="1"/>
  <c r="F9" i="15"/>
  <c r="U9" i="15" s="1"/>
  <c r="F12" i="4"/>
  <c r="U12" i="4" s="1"/>
  <c r="F12" i="15"/>
  <c r="U12" i="15" s="1"/>
  <c r="I11" i="4"/>
  <c r="I11" i="15"/>
  <c r="I5" i="4"/>
  <c r="I5" i="15"/>
  <c r="J9" i="4"/>
  <c r="J9" i="15"/>
  <c r="J12" i="4"/>
  <c r="J12" i="15"/>
  <c r="G19" i="4"/>
  <c r="G19" i="15"/>
  <c r="J10" i="4"/>
  <c r="J10" i="15"/>
  <c r="F11" i="4"/>
  <c r="F11" i="15"/>
  <c r="K23" i="13"/>
  <c r="M23" i="15"/>
  <c r="M31" i="4"/>
  <c r="J31" i="4"/>
  <c r="P31" i="4"/>
  <c r="U24" i="4"/>
  <c r="F31" i="13"/>
  <c r="U31" i="13" s="1"/>
  <c r="R30" i="13"/>
  <c r="R31" i="13" s="1"/>
  <c r="G30" i="13"/>
  <c r="G23" i="13"/>
  <c r="Q23" i="13"/>
  <c r="Q12" i="13"/>
  <c r="F6" i="3"/>
  <c r="F8" i="4"/>
  <c r="U8" i="4" s="1"/>
  <c r="P13" i="4"/>
  <c r="M13" i="4"/>
  <c r="G9" i="13"/>
  <c r="M9" i="4"/>
  <c r="G5" i="13"/>
  <c r="M5" i="4"/>
  <c r="K6" i="13"/>
  <c r="P6" i="4"/>
  <c r="G12" i="13"/>
  <c r="M12" i="4"/>
  <c r="G7" i="13"/>
  <c r="M7" i="4"/>
  <c r="I4" i="4"/>
  <c r="K12" i="13"/>
  <c r="P12" i="4"/>
  <c r="K10" i="13"/>
  <c r="P10" i="4"/>
  <c r="R23" i="13"/>
  <c r="K4" i="13"/>
  <c r="P4" i="4"/>
  <c r="K8" i="13"/>
  <c r="P8" i="4"/>
  <c r="G11" i="13"/>
  <c r="M11" i="4"/>
  <c r="Q4" i="13"/>
  <c r="Q11" i="13"/>
  <c r="R10" i="13"/>
  <c r="Q10" i="13"/>
  <c r="O12" i="1"/>
  <c r="E14" i="4"/>
  <c r="F12" i="2"/>
  <c r="F15" i="4"/>
  <c r="U15" i="4" s="1"/>
  <c r="O13" i="2"/>
  <c r="O13" i="3" s="1"/>
  <c r="P23" i="4"/>
  <c r="M23" i="4"/>
  <c r="R12" i="13"/>
  <c r="R11" i="13"/>
  <c r="R4" i="13"/>
  <c r="O9" i="2"/>
  <c r="O10" i="2"/>
  <c r="J141" i="15" l="1"/>
  <c r="X142" i="15"/>
  <c r="X115" i="15"/>
  <c r="X141" i="15" s="1"/>
  <c r="P138" i="1"/>
  <c r="E143" i="4"/>
  <c r="X115" i="4"/>
  <c r="X141" i="4" s="1"/>
  <c r="P141" i="4"/>
  <c r="M141" i="4"/>
  <c r="W107" i="4"/>
  <c r="W107" i="15"/>
  <c r="U104" i="4"/>
  <c r="U107" i="4" s="1"/>
  <c r="F107" i="4"/>
  <c r="U104" i="15"/>
  <c r="U107" i="15" s="1"/>
  <c r="F107" i="15"/>
  <c r="T96" i="4"/>
  <c r="T99" i="4" s="1"/>
  <c r="E99" i="4"/>
  <c r="T96" i="15"/>
  <c r="T99" i="15" s="1"/>
  <c r="E99" i="15"/>
  <c r="F96" i="15"/>
  <c r="F96" i="4"/>
  <c r="O94" i="2"/>
  <c r="O94" i="3" s="1"/>
  <c r="T61" i="4"/>
  <c r="T70" i="4" s="1"/>
  <c r="E50" i="4"/>
  <c r="O55" i="3"/>
  <c r="E50" i="15"/>
  <c r="W50" i="15" s="1"/>
  <c r="E70" i="4"/>
  <c r="W70" i="4" s="1"/>
  <c r="F17" i="4"/>
  <c r="U17" i="4" s="1"/>
  <c r="O15" i="2"/>
  <c r="O15" i="3" s="1"/>
  <c r="F57" i="15"/>
  <c r="U57" i="15" s="1"/>
  <c r="F57" i="4"/>
  <c r="U57" i="4" s="1"/>
  <c r="F86" i="15"/>
  <c r="X86" i="15" s="1"/>
  <c r="F86" i="4"/>
  <c r="X86" i="4" s="1"/>
  <c r="O60" i="3"/>
  <c r="U47" i="4"/>
  <c r="U48" i="15"/>
  <c r="F43" i="15"/>
  <c r="U43" i="15" s="1"/>
  <c r="F50" i="13"/>
  <c r="U50" i="13" s="1"/>
  <c r="O41" i="2"/>
  <c r="O41" i="3" s="1"/>
  <c r="M50" i="15"/>
  <c r="O59" i="2"/>
  <c r="O59" i="3" s="1"/>
  <c r="F49" i="15"/>
  <c r="U49" i="15" s="1"/>
  <c r="T74" i="4"/>
  <c r="T78" i="4" s="1"/>
  <c r="E78" i="4"/>
  <c r="W78" i="4" s="1"/>
  <c r="T74" i="15"/>
  <c r="T78" i="15" s="1"/>
  <c r="E78" i="15"/>
  <c r="W78" i="15" s="1"/>
  <c r="O72" i="2"/>
  <c r="O72" i="3" s="1"/>
  <c r="F74" i="15"/>
  <c r="F74" i="4"/>
  <c r="Q79" i="13"/>
  <c r="Q86" i="13" s="1"/>
  <c r="F49" i="4"/>
  <c r="U49" i="4" s="1"/>
  <c r="I61" i="4"/>
  <c r="U61" i="4" s="1"/>
  <c r="O74" i="2"/>
  <c r="O74" i="3" s="1"/>
  <c r="F76" i="15"/>
  <c r="U76" i="15" s="1"/>
  <c r="F76" i="4"/>
  <c r="U76" i="4" s="1"/>
  <c r="T42" i="15"/>
  <c r="T50" i="15" s="1"/>
  <c r="F25" i="4"/>
  <c r="U25" i="4" s="1"/>
  <c r="O23" i="2"/>
  <c r="O23" i="3" s="1"/>
  <c r="T60" i="15"/>
  <c r="T40" i="4"/>
  <c r="H50" i="4"/>
  <c r="T42" i="4"/>
  <c r="T50" i="4" s="1"/>
  <c r="O65" i="2"/>
  <c r="O65" i="3" s="1"/>
  <c r="F67" i="4"/>
  <c r="U67" i="4" s="1"/>
  <c r="F67" i="15"/>
  <c r="U67" i="15" s="1"/>
  <c r="U61" i="15"/>
  <c r="O49" i="2"/>
  <c r="O49" i="3" s="1"/>
  <c r="F51" i="4"/>
  <c r="F51" i="15"/>
  <c r="F66" i="15"/>
  <c r="F66" i="4"/>
  <c r="E60" i="15"/>
  <c r="W60" i="15" s="1"/>
  <c r="F68" i="15"/>
  <c r="U68" i="15" s="1"/>
  <c r="F68" i="4"/>
  <c r="U68" i="4" s="1"/>
  <c r="O66" i="2"/>
  <c r="O66" i="3" s="1"/>
  <c r="F58" i="4"/>
  <c r="U58" i="4" s="1"/>
  <c r="O56" i="2"/>
  <c r="O56" i="3" s="1"/>
  <c r="F58" i="15"/>
  <c r="U58" i="15" s="1"/>
  <c r="E70" i="15"/>
  <c r="W70" i="15" s="1"/>
  <c r="T62" i="15"/>
  <c r="T70" i="15" s="1"/>
  <c r="E60" i="4"/>
  <c r="W60" i="4" s="1"/>
  <c r="K40" i="13"/>
  <c r="O44" i="3"/>
  <c r="T60" i="4"/>
  <c r="U47" i="15"/>
  <c r="I50" i="15"/>
  <c r="O47" i="3"/>
  <c r="E40" i="4"/>
  <c r="W40" i="4" s="1"/>
  <c r="T39" i="15"/>
  <c r="T40" i="15" s="1"/>
  <c r="E40" i="15"/>
  <c r="W40" i="15" s="1"/>
  <c r="F22" i="4"/>
  <c r="F22" i="15"/>
  <c r="T26" i="4"/>
  <c r="T31" i="4" s="1"/>
  <c r="E31" i="4"/>
  <c r="W31" i="4" s="1"/>
  <c r="U40" i="13"/>
  <c r="J40" i="15"/>
  <c r="F5" i="15"/>
  <c r="U5" i="15" s="1"/>
  <c r="T22" i="4"/>
  <c r="E6" i="4"/>
  <c r="T6" i="4" s="1"/>
  <c r="E6" i="15"/>
  <c r="T6" i="15" s="1"/>
  <c r="F4" i="2"/>
  <c r="H23" i="15"/>
  <c r="T22" i="15"/>
  <c r="T17" i="15"/>
  <c r="E23" i="15"/>
  <c r="E10" i="15"/>
  <c r="T10" i="15" s="1"/>
  <c r="E10" i="4"/>
  <c r="T10" i="4" s="1"/>
  <c r="F8" i="2"/>
  <c r="I22" i="4"/>
  <c r="O20" i="2"/>
  <c r="O20" i="3" s="1"/>
  <c r="I22" i="15"/>
  <c r="E4" i="4"/>
  <c r="E4" i="15"/>
  <c r="F2" i="2"/>
  <c r="T25" i="15"/>
  <c r="T31" i="15" s="1"/>
  <c r="E31" i="15"/>
  <c r="W31" i="15" s="1"/>
  <c r="F26" i="4"/>
  <c r="U26" i="4" s="1"/>
  <c r="O24" i="2"/>
  <c r="O24" i="3" s="1"/>
  <c r="F26" i="15"/>
  <c r="U5" i="4"/>
  <c r="U11" i="4"/>
  <c r="I13" i="4"/>
  <c r="I13" i="15"/>
  <c r="G8" i="4"/>
  <c r="G8" i="15"/>
  <c r="F14" i="15"/>
  <c r="U11" i="15"/>
  <c r="G31" i="13"/>
  <c r="E23" i="4"/>
  <c r="T14" i="4"/>
  <c r="F14" i="4"/>
  <c r="U14" i="4" s="1"/>
  <c r="O12" i="2"/>
  <c r="O12" i="3" s="1"/>
  <c r="O9" i="1"/>
  <c r="O9" i="3" s="1"/>
  <c r="G107" i="15" l="1"/>
  <c r="X107" i="15"/>
  <c r="X107" i="4"/>
  <c r="G107" i="4"/>
  <c r="U96" i="4"/>
  <c r="U99" i="4" s="1"/>
  <c r="F99" i="4"/>
  <c r="W99" i="15"/>
  <c r="W99" i="4"/>
  <c r="U96" i="15"/>
  <c r="U99" i="15" s="1"/>
  <c r="F99" i="15"/>
  <c r="W50" i="4"/>
  <c r="G50" i="13"/>
  <c r="G86" i="15"/>
  <c r="F50" i="15"/>
  <c r="X50" i="15" s="1"/>
  <c r="U50" i="15"/>
  <c r="F50" i="4"/>
  <c r="G50" i="4" s="1"/>
  <c r="U74" i="4"/>
  <c r="U78" i="4" s="1"/>
  <c r="F78" i="4"/>
  <c r="U74" i="15"/>
  <c r="U78" i="15" s="1"/>
  <c r="F78" i="15"/>
  <c r="U31" i="4"/>
  <c r="W23" i="15"/>
  <c r="J13" i="4"/>
  <c r="F70" i="4"/>
  <c r="G70" i="4" s="1"/>
  <c r="F70" i="15"/>
  <c r="G70" i="15" s="1"/>
  <c r="U51" i="4"/>
  <c r="F60" i="4"/>
  <c r="G60" i="4" s="1"/>
  <c r="U51" i="15"/>
  <c r="F60" i="15"/>
  <c r="G60" i="15" s="1"/>
  <c r="J13" i="15"/>
  <c r="J50" i="15"/>
  <c r="U22" i="15"/>
  <c r="U22" i="4"/>
  <c r="T23" i="15"/>
  <c r="F31" i="4"/>
  <c r="X31" i="4" s="1"/>
  <c r="T23" i="4"/>
  <c r="U26" i="15"/>
  <c r="U31" i="15" s="1"/>
  <c r="F31" i="15"/>
  <c r="X31" i="15" s="1"/>
  <c r="T4" i="15"/>
  <c r="T13" i="15" s="1"/>
  <c r="E13" i="15"/>
  <c r="F6" i="4"/>
  <c r="U6" i="4" s="1"/>
  <c r="F6" i="15"/>
  <c r="U6" i="15" s="1"/>
  <c r="O8" i="2"/>
  <c r="O8" i="3" s="1"/>
  <c r="F10" i="4"/>
  <c r="U10" i="4" s="1"/>
  <c r="F10" i="15"/>
  <c r="U10" i="15" s="1"/>
  <c r="E13" i="4"/>
  <c r="T4" i="4"/>
  <c r="T13" i="4" s="1"/>
  <c r="F4" i="15"/>
  <c r="F4" i="4"/>
  <c r="U14" i="15"/>
  <c r="F23" i="15"/>
  <c r="G23" i="15" s="1"/>
  <c r="W23" i="4"/>
  <c r="F23" i="4"/>
  <c r="G23" i="4" s="1"/>
  <c r="O10" i="1"/>
  <c r="O10" i="3" s="1"/>
  <c r="C9" i="5"/>
  <c r="T143" i="4" l="1"/>
  <c r="G99" i="4"/>
  <c r="X99" i="4"/>
  <c r="G99" i="15"/>
  <c r="X99" i="15"/>
  <c r="G50" i="15"/>
  <c r="X78" i="15"/>
  <c r="G78" i="15"/>
  <c r="G78" i="4"/>
  <c r="X78" i="4"/>
  <c r="W13" i="15"/>
  <c r="W13" i="4"/>
  <c r="G31" i="4"/>
  <c r="F13" i="4"/>
  <c r="U4" i="4"/>
  <c r="U13" i="4" s="1"/>
  <c r="U4" i="15"/>
  <c r="U13" i="15" s="1"/>
  <c r="F13" i="15"/>
  <c r="G31" i="15"/>
  <c r="E100" i="6"/>
  <c r="D100" i="6"/>
  <c r="C100" i="6"/>
  <c r="O2" i="2"/>
  <c r="O4" i="2"/>
  <c r="O6" i="2"/>
  <c r="O2" i="1"/>
  <c r="O4" i="1"/>
  <c r="O6" i="1"/>
  <c r="O3" i="2"/>
  <c r="O3" i="1"/>
  <c r="H4" i="3"/>
  <c r="H5" i="3"/>
  <c r="H6" i="3"/>
  <c r="W86" i="15" l="1"/>
  <c r="G86" i="4"/>
  <c r="W86" i="4"/>
  <c r="X13" i="15"/>
  <c r="G13" i="15"/>
  <c r="G13" i="4"/>
  <c r="X13" i="4"/>
  <c r="J8" i="4"/>
  <c r="J8" i="15"/>
  <c r="J7" i="4"/>
  <c r="J7" i="15"/>
  <c r="J6" i="4"/>
  <c r="J6" i="15"/>
  <c r="O4" i="3"/>
  <c r="I13" i="13"/>
  <c r="O3" i="3"/>
  <c r="O2" i="3"/>
  <c r="O6" i="3"/>
  <c r="O7" i="1" l="1"/>
  <c r="O5" i="1"/>
  <c r="O5" i="2" l="1"/>
  <c r="O7" i="2"/>
  <c r="O7" i="3" s="1"/>
  <c r="O5" i="3" l="1"/>
  <c r="R6" i="13" l="1"/>
  <c r="Q5" i="13"/>
  <c r="Q7" i="13"/>
  <c r="Q9" i="13"/>
  <c r="R7" i="13"/>
  <c r="R8" i="13"/>
  <c r="R5" i="13"/>
  <c r="R9" i="13"/>
  <c r="Q6" i="13"/>
  <c r="Q8" i="13"/>
  <c r="F13" i="13"/>
  <c r="E13" i="13"/>
  <c r="J13" i="13"/>
  <c r="T141" i="13" l="1"/>
  <c r="U141" i="13"/>
  <c r="K140" i="13"/>
  <c r="T13" i="13"/>
  <c r="U13" i="13"/>
  <c r="Q13" i="13"/>
  <c r="R13" i="13"/>
  <c r="K13" i="13"/>
  <c r="G13" i="13"/>
  <c r="G140" i="13" l="1"/>
  <c r="Q142" i="13"/>
  <c r="R142" i="13"/>
  <c r="N139" i="2"/>
  <c r="E100" i="9"/>
  <c r="D100" i="9"/>
  <c r="C100" i="9"/>
  <c r="C100" i="7"/>
  <c r="D100" i="7"/>
  <c r="E100" i="7"/>
  <c r="E100" i="8"/>
  <c r="D100" i="8"/>
  <c r="C100" i="8"/>
  <c r="F100" i="9" l="1"/>
  <c r="L139" i="2" s="1"/>
  <c r="F100" i="8"/>
  <c r="J139" i="2" s="1"/>
  <c r="F100" i="6"/>
  <c r="H139" i="2" s="1"/>
  <c r="D9" i="5" l="1"/>
  <c r="M9" i="5" l="1"/>
  <c r="L9" i="5"/>
  <c r="K9" i="5"/>
  <c r="I9" i="5"/>
  <c r="H9" i="5"/>
  <c r="G9" i="5"/>
  <c r="F9" i="5"/>
  <c r="E9" i="5"/>
  <c r="J8" i="5"/>
  <c r="J6" i="5"/>
  <c r="J5" i="5"/>
  <c r="J9" i="5" s="1"/>
  <c r="F100" i="7"/>
  <c r="F139" i="2" s="1"/>
  <c r="N140" i="2"/>
  <c r="N141" i="13" l="1"/>
  <c r="N142" i="13" s="1"/>
  <c r="R142" i="4"/>
  <c r="R143" i="4" s="1"/>
  <c r="N141" i="2"/>
  <c r="N144" i="2" l="1"/>
  <c r="N143" i="2"/>
  <c r="L140" i="2"/>
  <c r="J140" i="2"/>
  <c r="O142" i="4" l="1"/>
  <c r="O143" i="4" s="1"/>
  <c r="O142" i="15"/>
  <c r="O143" i="15" s="1"/>
  <c r="L142" i="4"/>
  <c r="L143" i="4" s="1"/>
  <c r="L142" i="15"/>
  <c r="L143" i="15" s="1"/>
  <c r="N143" i="13"/>
  <c r="R144" i="4"/>
  <c r="J141" i="13"/>
  <c r="J142" i="13" s="1"/>
  <c r="F141" i="13"/>
  <c r="F142" i="13" s="1"/>
  <c r="J141" i="2"/>
  <c r="L141" i="2"/>
  <c r="L144" i="2" l="1"/>
  <c r="L143" i="2"/>
  <c r="O144" i="15" s="1"/>
  <c r="J143" i="2"/>
  <c r="L144" i="15" s="1"/>
  <c r="J144" i="2"/>
  <c r="J143" i="13" l="1"/>
  <c r="O144" i="4"/>
  <c r="F143" i="13"/>
  <c r="L144" i="4"/>
  <c r="H18" i="2" l="1"/>
  <c r="J20" i="4"/>
  <c r="I20" i="15" l="1"/>
  <c r="I20" i="4"/>
  <c r="I23" i="4" s="1"/>
  <c r="O18" i="2"/>
  <c r="O18" i="3" l="1"/>
  <c r="I23" i="15"/>
  <c r="U20" i="15"/>
  <c r="U23" i="15" s="1"/>
  <c r="X23" i="4"/>
  <c r="U20" i="4"/>
  <c r="U23" i="4" s="1"/>
  <c r="J23" i="4"/>
  <c r="X23" i="15" l="1"/>
  <c r="J23" i="15"/>
  <c r="G32" i="4" l="1"/>
  <c r="F32" i="4"/>
  <c r="G37" i="4" l="1"/>
  <c r="G39" i="4"/>
  <c r="F31" i="2"/>
  <c r="G33" i="4"/>
  <c r="G34" i="4"/>
  <c r="G36" i="4"/>
  <c r="G35" i="4"/>
  <c r="G38" i="4"/>
  <c r="F37" i="2"/>
  <c r="O37" i="2" s="1"/>
  <c r="F36" i="2"/>
  <c r="O36" i="2" s="1"/>
  <c r="O36" i="3" s="1"/>
  <c r="F34" i="2"/>
  <c r="F35" i="2"/>
  <c r="F33" i="2"/>
  <c r="F32" i="2"/>
  <c r="O37" i="3" l="1"/>
  <c r="F34" i="4"/>
  <c r="U34" i="4" s="1"/>
  <c r="F34" i="15"/>
  <c r="U34" i="15" s="1"/>
  <c r="F35" i="4"/>
  <c r="U35" i="4" s="1"/>
  <c r="F35" i="15"/>
  <c r="U35" i="15" s="1"/>
  <c r="F36" i="4"/>
  <c r="U36" i="4" s="1"/>
  <c r="F36" i="15"/>
  <c r="U36" i="15" s="1"/>
  <c r="O31" i="2"/>
  <c r="O31" i="3" s="1"/>
  <c r="F33" i="15"/>
  <c r="U33" i="15" s="1"/>
  <c r="F38" i="4"/>
  <c r="U38" i="4" s="1"/>
  <c r="F38" i="15"/>
  <c r="U38" i="15" s="1"/>
  <c r="F39" i="4"/>
  <c r="U39" i="4" s="1"/>
  <c r="F39" i="15"/>
  <c r="U39" i="15" s="1"/>
  <c r="O35" i="2"/>
  <c r="O35" i="3" s="1"/>
  <c r="F37" i="15"/>
  <c r="F37" i="4"/>
  <c r="O34" i="2"/>
  <c r="O34" i="3" s="1"/>
  <c r="O33" i="2"/>
  <c r="O33" i="3" s="1"/>
  <c r="O32" i="2"/>
  <c r="O32" i="3" s="1"/>
  <c r="F33" i="4"/>
  <c r="U33" i="4" s="1"/>
  <c r="F138" i="3" l="1"/>
  <c r="U37" i="4"/>
  <c r="F40" i="4"/>
  <c r="U37" i="15"/>
  <c r="U40" i="15" s="1"/>
  <c r="F40" i="15"/>
  <c r="X40" i="15" l="1"/>
  <c r="G40" i="4"/>
  <c r="G40" i="15"/>
  <c r="O30" i="2" l="1"/>
  <c r="I32" i="4"/>
  <c r="J32" i="4"/>
  <c r="O30" i="3" l="1"/>
  <c r="I40" i="4"/>
  <c r="U32" i="4"/>
  <c r="U40" i="4" s="1"/>
  <c r="J40" i="4" l="1"/>
  <c r="X40" i="4"/>
  <c r="O40" i="2" l="1"/>
  <c r="I42" i="4"/>
  <c r="I50" i="4" s="1"/>
  <c r="J42" i="4"/>
  <c r="X50" i="4" l="1"/>
  <c r="U42" i="4"/>
  <c r="U50" i="4" s="1"/>
  <c r="O40" i="3"/>
  <c r="J50" i="4"/>
  <c r="I56" i="15" l="1"/>
  <c r="U56" i="15" s="1"/>
  <c r="U60" i="15" s="1"/>
  <c r="I56" i="4"/>
  <c r="U56" i="4" s="1"/>
  <c r="U60" i="4" s="1"/>
  <c r="O54" i="2"/>
  <c r="H54" i="3"/>
  <c r="J56" i="15" s="1"/>
  <c r="I60" i="4" l="1"/>
  <c r="O54" i="3"/>
  <c r="I60" i="15"/>
  <c r="J56" i="4"/>
  <c r="X60" i="15" l="1"/>
  <c r="J60" i="4"/>
  <c r="X60" i="4"/>
  <c r="J60" i="15"/>
  <c r="O64" i="2"/>
  <c r="I66" i="4"/>
  <c r="U66" i="4" s="1"/>
  <c r="U70" i="4" s="1"/>
  <c r="I66" i="15"/>
  <c r="U66" i="15" s="1"/>
  <c r="U70" i="15" s="1"/>
  <c r="J66" i="4"/>
  <c r="J66" i="15"/>
  <c r="O64" i="3" l="1"/>
  <c r="I70" i="15"/>
  <c r="I70" i="4"/>
  <c r="J70" i="15" l="1"/>
  <c r="X70" i="15"/>
  <c r="X70" i="4"/>
  <c r="J70" i="4"/>
  <c r="O86" i="2" l="1"/>
  <c r="F88" i="15"/>
  <c r="F88" i="4"/>
  <c r="F86" i="3"/>
  <c r="G88" i="4" s="1"/>
  <c r="F93" i="15" l="1"/>
  <c r="U88" i="15"/>
  <c r="U93" i="15" s="1"/>
  <c r="U88" i="4"/>
  <c r="U93" i="4" s="1"/>
  <c r="F93" i="4"/>
  <c r="G141" i="4" s="1"/>
  <c r="O86" i="3"/>
  <c r="G88" i="15"/>
  <c r="F140" i="2"/>
  <c r="F142" i="4" l="1"/>
  <c r="F142" i="15"/>
  <c r="F143" i="4"/>
  <c r="G93" i="15"/>
  <c r="G93" i="4"/>
  <c r="X93" i="4"/>
  <c r="X93" i="15"/>
  <c r="F141" i="2"/>
  <c r="F143" i="15" l="1"/>
  <c r="F143" i="2"/>
  <c r="F144" i="2"/>
  <c r="F144" i="4" l="1"/>
  <c r="F144" i="15"/>
  <c r="I124" i="15"/>
  <c r="I124" i="4"/>
  <c r="U124" i="4" s="1"/>
  <c r="U129" i="4" s="1"/>
  <c r="O122" i="2"/>
  <c r="J124" i="4"/>
  <c r="J124" i="15"/>
  <c r="O122" i="3" l="1"/>
  <c r="O138" i="3"/>
  <c r="I129" i="15"/>
  <c r="J129" i="15" s="1"/>
  <c r="U124" i="15"/>
  <c r="U129" i="15" s="1"/>
  <c r="H138" i="3"/>
  <c r="I129" i="4"/>
  <c r="P138" i="2"/>
  <c r="H140" i="2"/>
  <c r="I142" i="4" l="1"/>
  <c r="U142" i="4" s="1"/>
  <c r="I142" i="15"/>
  <c r="X129" i="15"/>
  <c r="J141" i="4"/>
  <c r="O140" i="2"/>
  <c r="O141" i="2" s="1"/>
  <c r="X129" i="4"/>
  <c r="J129" i="4"/>
  <c r="H141" i="2"/>
  <c r="I143" i="15" l="1"/>
  <c r="U142" i="15"/>
  <c r="U143" i="15" s="1"/>
  <c r="H144" i="2"/>
  <c r="H143" i="2"/>
  <c r="I144" i="15" s="1"/>
  <c r="I143" i="4"/>
  <c r="U143" i="4"/>
  <c r="O144" i="2"/>
  <c r="O143" i="2"/>
  <c r="I14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2" authorId="0" shapeId="0" xr:uid="{FB3B3F70-4F98-4A21-A5CC-F24FAF5A871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LB17Harvest = LB17Effort * LB17CPUE</t>
        </r>
      </text>
    </comment>
    <comment ref="H2" authorId="0" shapeId="0" xr:uid="{D8B16453-7372-44BC-A6C0-A544E4CF01D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3" authorId="0" shapeId="0" xr:uid="{CC9A605D-76A7-44D0-AEFA-B910E95E094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H3" authorId="0" shapeId="0" xr:uid="{8D16A2C4-55B4-4687-80DD-62C676598DF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TH18Harvest = TH18Effort * TH18CPUE</t>
        </r>
      </text>
    </comment>
    <comment ref="F4" authorId="0" shapeId="0" xr:uid="{DFF5C2DF-49E3-4E32-A591-A140FD84C5D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LB19Harvest = LB19Effort * LB19CPUE</t>
        </r>
      </text>
    </comment>
    <comment ref="F5" authorId="0" shapeId="0" xr:uid="{15CE146E-AA3E-4D68-800D-7C513D954AB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F6" authorId="0" shapeId="0" xr:uid="{0B4B6B01-2487-43E1-9B8D-A276AF5FA2F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LB21South + LB21North</t>
        </r>
      </text>
    </comment>
    <comment ref="F7" authorId="0" shapeId="0" xr:uid="{210070ED-D805-4ACD-A3A5-011F2F5B842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LB22Harvest = LB22Effort * LB22CPUE</t>
        </r>
      </text>
    </comment>
    <comment ref="F8" authorId="0" shapeId="0" xr:uid="{C03052D7-BAD1-4458-A6EE-972734626CA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F9" authorId="0" shapeId="0" xr:uid="{EDE0DFCC-CF3B-4526-A192-00E3ADEAEB2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LB24Harvest = LB24Effort * LB24CPUE</t>
        </r>
      </text>
    </comment>
    <comment ref="H9" authorId="0" shapeId="0" xr:uid="{1E341690-9BCB-4F7C-BE61-FE8EE21175A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10" authorId="0" shapeId="0" xr:uid="{73B5C63B-9793-46DC-B69F-9F0E2C7ABC8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LB25Harvest = LB25Effort * LB25CPUE</t>
        </r>
      </text>
    </comment>
    <comment ref="F12" authorId="0" shapeId="0" xr:uid="{7B1CFBCC-E392-431F-AB9B-CA667AE0D8A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H12" authorId="0" shapeId="0" xr:uid="{C869A97A-9BCC-472F-87F8-430C5A44B71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TH03Harvest = TH03Effort * TH03CPUE</t>
        </r>
      </text>
    </comment>
    <comment ref="F13" authorId="0" shapeId="0" xr:uid="{DD19778F-5D59-44D2-9A12-AEE6F0CEF75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H13" authorId="0" shapeId="0" xr:uid="{51E73758-BE7C-43FC-BE42-188C8013542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TH04Harvest = TH04Effort * TH04CPUE</t>
        </r>
      </text>
    </comment>
    <comment ref="F14" authorId="0" shapeId="0" xr:uid="{15031E4D-1D85-4772-A9D4-6BDA3F05209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LB05Harvest = LB05Effort * LB05CPUE</t>
        </r>
      </text>
    </comment>
    <comment ref="F15" authorId="0" shapeId="0" xr:uid="{1BCAD05F-535D-4A07-ADF0-77A7E3DEBD7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LB06Harvest = LB06Effort * LB06CPUE</t>
        </r>
      </text>
    </comment>
    <comment ref="F16" authorId="0" shapeId="0" xr:uid="{4D625A88-68FD-4703-B61D-028AC9E7554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LB07Harvest = LB07Effort * LB07CPUE</t>
        </r>
      </text>
    </comment>
    <comment ref="F17" authorId="0" shapeId="0" xr:uid="{E683502C-7CF8-4E70-B856-F67DF10160F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 = LB08South + LB08North</t>
        </r>
      </text>
    </comment>
    <comment ref="F18" authorId="0" shapeId="0" xr:uid="{AD42916B-35FC-4C9D-813B-7314C916F3F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LB09Harvest = LB09Effort * LB09CPUE</t>
        </r>
      </text>
    </comment>
    <comment ref="H18" authorId="0" shapeId="0" xr:uid="{DD5EA891-9F9C-44E0-A47B-7C409012298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TH09Harvest = TH09Effort * TH09CPUE</t>
        </r>
      </text>
    </comment>
    <comment ref="F19" authorId="0" shapeId="0" xr:uid="{E2B6F04C-9F21-4660-9BFB-BD6C73D935C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LB10Harvest = LB10Effort * LB10CPUE</t>
        </r>
      </text>
    </comment>
    <comment ref="F20" authorId="0" shapeId="0" xr:uid="{60B807A1-7F37-49B7-936F-287CFA467D3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LB11Harvest = LB11Effort * LB11CPUE</t>
        </r>
      </text>
    </comment>
    <comment ref="H20" authorId="0" shapeId="0" xr:uid="{AEA9BB7D-14A0-456B-AEC8-1FA1D33DC07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TH11Harvest = TH11Effort * TH11CPUE</t>
        </r>
      </text>
    </comment>
    <comment ref="F22" authorId="0" shapeId="0" xr:uid="{90ACDBC8-5FD8-4031-A5E2-4BB5F8BF4EC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LB19South + LB19North</t>
        </r>
      </text>
    </comment>
    <comment ref="F23" authorId="0" shapeId="0" xr:uid="{AB321606-0A58-4D23-A7FD-FD60DFC4714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F24" authorId="0" shapeId="0" xr:uid="{F64CE36E-D599-4AB9-A621-0EA300B38FA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F25" authorId="0" shapeId="0" xr:uid="{9AE6CAF4-681E-46F5-A8E8-65717BF29BE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LB22Harvest = LB22Effort * LB22CPUE</t>
        </r>
      </text>
    </comment>
    <comment ref="F26" authorId="0" shapeId="0" xr:uid="{8DEDFA9F-6F62-421D-825C-885524B2C46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F27" authorId="0" shapeId="0" xr:uid="{A113ACAE-5EE9-4B88-8DCE-639027D90BA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extreme weather. Harvest assumed 0.</t>
        </r>
      </text>
    </comment>
    <comment ref="H27" authorId="0" shapeId="0" xr:uid="{0E1B9013-44F0-44B8-8C8D-A5D2610E605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extreme weather. Harvest assumed 0.</t>
        </r>
      </text>
    </comment>
    <comment ref="L27" authorId="0" shapeId="0" xr:uid="{63CEB816-53FA-4417-A2AA-DF752C6F84C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extreme weather. Harvest assumed 0.</t>
        </r>
      </text>
    </comment>
    <comment ref="F28" authorId="0" shapeId="0" xr:uid="{8FCE829E-7A3C-48E6-8565-B0F5B16BAB2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LB25Harvest = LB25Effort * LB25CPUE</t>
        </r>
      </text>
    </comment>
    <comment ref="H28" authorId="0" shapeId="0" xr:uid="{9AC9B2CA-DDD2-4565-A1E6-47FA11CDF63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TH25Harvest = TH25Effort * TH25CPUE</t>
        </r>
      </text>
    </comment>
    <comment ref="J28" authorId="0" shapeId="0" xr:uid="{22B23113-BEFE-4FED-A4BA-6E263493C12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LB25Harvest = LB25Effort * LB25CPUE</t>
        </r>
      </text>
    </comment>
    <comment ref="F30" authorId="0" shapeId="0" xr:uid="{5CB72270-66C1-4FA4-A3F4-A3D4BD9BB38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 = LB03South + LB03North</t>
        </r>
      </text>
    </comment>
    <comment ref="H30" authorId="0" shapeId="0" xr:uid="{377D785B-AF71-4340-B4D0-6F4E588914A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TH3Harvest = TH3Effort * TH3CPUE</t>
        </r>
      </text>
    </comment>
    <comment ref="F31" authorId="0" shapeId="0" xr:uid="{FFA36B0E-03F3-415C-A350-07C26E89E3A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LB4Harvest = LB4Effort * LB4CPUE</t>
        </r>
      </text>
    </comment>
    <comment ref="F32" authorId="0" shapeId="0" xr:uid="{6C168688-A839-4E14-AB86-80AF671EDE3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LB5Harvest = LB5Effort * LB5CPUE</t>
        </r>
      </text>
    </comment>
    <comment ref="F33" authorId="0" shapeId="0" xr:uid="{42836E2A-523C-489F-9EB6-167FFFA127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LB6Harvest = LB6Effort * LB6CPUE</t>
        </r>
      </text>
    </comment>
    <comment ref="F34" authorId="0" shapeId="0" xr:uid="{811A5038-8149-4E84-AFE2-22A4D6BC528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LB7Harvest = LB7Effort * LB7CPUE</t>
        </r>
      </text>
    </comment>
    <comment ref="F35" authorId="0" shapeId="0" xr:uid="{3D404765-1EFB-4BCA-B6D4-83A8249532B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F36" authorId="0" shapeId="0" xr:uid="{58D87BE4-FAA7-4EB0-9E24-86517A4D7D0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LB9Harvest = LB9Effort * LB9CPUE</t>
        </r>
      </text>
    </comment>
    <comment ref="H36" authorId="0" shapeId="0" xr:uid="{F17C85EA-74B0-4879-8E72-4662F8E15A8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TH9Harvest = TH9Effort * TH9CPUE</t>
        </r>
      </text>
    </comment>
    <comment ref="L36" authorId="0" shapeId="0" xr:uid="{9D7575B4-EF80-4E13-BFF2-F504894E932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LB7Harvest = LB7Effort * LB7CPUE</t>
        </r>
      </text>
    </comment>
    <comment ref="F37" authorId="0" shapeId="0" xr:uid="{36021E59-F3AE-4852-A4E4-0497C4A5030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LB10Harvest = LB10Effort * LB10CPUE</t>
        </r>
      </text>
    </comment>
    <comment ref="H37" authorId="0" shapeId="0" xr:uid="{2D16C3B9-82C5-4503-984A-118A5162018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LB7Harvest = LB7Effort * LB7CPUE</t>
        </r>
      </text>
    </comment>
    <comment ref="F39" authorId="0" shapeId="0" xr:uid="{3E990F82-210F-47DD-B858-BA4840A6CFF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F40" authorId="0" shapeId="0" xr:uid="{617762C2-78FA-4EF5-9CB0-CD1BC93813F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LB17South + LB17North</t>
        </r>
      </text>
    </comment>
    <comment ref="H40" authorId="0" shapeId="0" xr:uid="{D0959279-79F4-4F95-A6D8-8F73462FE43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41" authorId="0" shapeId="0" xr:uid="{4E98223D-65A6-4D20-BFCC-D23838E6D80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H41" authorId="0" shapeId="0" xr:uid="{64B8567C-C69F-4140-AADA-B3A73E7DEEE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TH18Harvest = TH18Effort * TH18CPUE</t>
        </r>
      </text>
    </comment>
    <comment ref="F42" authorId="0" shapeId="0" xr:uid="{CEF48E9F-08AF-4EEC-B006-A36636C4715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LB19Harvest = LB19Effort * LB19CPUE</t>
        </r>
      </text>
    </comment>
    <comment ref="F43" authorId="0" shapeId="0" xr:uid="{0F9D051E-1FB8-424F-943C-A46A1E80561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 = LB20South + LB20North</t>
        </r>
      </text>
    </comment>
    <comment ref="F44" authorId="0" shapeId="0" xr:uid="{30120D53-4122-41BB-B105-086044A7735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F45" authorId="0" shapeId="0" xr:uid="{FCA9B8A9-F2CA-4913-BD14-2F61278E4AC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LB22Harvest = LB22Effort * LB22CPUE</t>
        </r>
      </text>
    </comment>
    <comment ref="H45" authorId="0" shapeId="0" xr:uid="{61277D04-A6A7-40A4-8FF3-41759EBF884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TH22Harvest = TH22Effort * TH22CPUE</t>
        </r>
      </text>
    </comment>
    <comment ref="F46" authorId="0" shapeId="0" xr:uid="{7461F550-C513-4053-B91B-454673F3434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H46" authorId="0" shapeId="0" xr:uid="{02984B7E-3A50-4D7E-A517-C64F6E0F7E1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TH23Harvest = TH23Effort * TH23CPUE</t>
        </r>
      </text>
    </comment>
    <comment ref="F47" authorId="0" shapeId="0" xr:uid="{B477DEF2-63BD-4917-8917-430A9A7B7EE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LB24Harvest = LB24Effort * LB24CPUE</t>
        </r>
      </text>
    </comment>
    <comment ref="J47" authorId="0" shapeId="0" xr:uid="{94EC72D0-4889-46F5-BF26-82DF07A38E0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C24Harvest = C24Effort * C24CPUE</t>
        </r>
      </text>
    </comment>
    <comment ref="F49" authorId="0" shapeId="0" xr:uid="{9EAE1BEB-6C6C-416C-882E-C4ED62415AA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F50" authorId="0" shapeId="0" xr:uid="{68D23250-C5AB-464A-B8AC-FF503849AD2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 = LB02South + LB02North</t>
        </r>
      </text>
    </comment>
    <comment ref="H50" authorId="0" shapeId="0" xr:uid="{63913816-78CD-42CC-BD01-368565B0A1F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TH02Harvest = TH02Effort * TH02CPUE</t>
        </r>
      </text>
    </comment>
    <comment ref="F51" authorId="0" shapeId="0" xr:uid="{332E5E93-6945-43F8-B3AE-46FB63E176D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F52" authorId="0" shapeId="0" xr:uid="{0D1D283B-C34D-4115-AD84-25250D01767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F53" authorId="0" shapeId="0" xr:uid="{931B1F87-9124-4E28-B83D-EA61F379005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LB05Harvest = LB05Effort * LB05CPUE</t>
        </r>
      </text>
    </comment>
    <comment ref="F54" authorId="0" shapeId="0" xr:uid="{DF801907-7E8E-450C-9A84-FEC49B7843D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LB06Harvest = LB06Effort * LB06CPUE</t>
        </r>
      </text>
    </comment>
    <comment ref="F55" authorId="0" shapeId="0" xr:uid="{67C73302-DF26-4E31-B23B-FDCDC9C88CE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LB07Harvest = LB07Effort * LB07CPUE</t>
        </r>
      </text>
    </comment>
    <comment ref="H55" authorId="0" shapeId="0" xr:uid="{49F1AD01-91F2-4F89-9B98-43D861C5C3A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TH07Harvest = TH07Effort * TH07CPUE</t>
        </r>
      </text>
    </comment>
    <comment ref="F56" authorId="0" shapeId="0" xr:uid="{CD4764BB-4763-4BAA-A477-B6DB4202D61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F57" authorId="0" shapeId="0" xr:uid="{35FD98FF-F20D-4EF5-95AE-63478507311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LB09Harvest = LB09Effort * LB09CPUE</t>
        </r>
      </text>
    </comment>
    <comment ref="H57" authorId="0" shapeId="0" xr:uid="{1ACF8E03-0114-4EF6-BFF2-C924D55AB71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TH09Harvest = TH09Effort * TH09CPUE</t>
        </r>
      </text>
    </comment>
    <comment ref="F59" authorId="0" shapeId="0" xr:uid="{F52E9312-6B96-455E-891C-3933A65BC84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H59" authorId="0" shapeId="0" xr:uid="{4C8B114F-DEC1-40A9-B396-7BF2EB8FA1B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TH15Harvest = TH15Effort * TH15CPUE</t>
        </r>
      </text>
    </comment>
    <comment ref="F60" authorId="0" shapeId="0" xr:uid="{77EFF5A1-7BB7-4A65-B53C-B217CCD5D36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F61" authorId="0" shapeId="0" xr:uid="{8840475C-B586-4C3C-AF4C-5B1162DF5B0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LB17Harvest = LB17Effort * LB17CPUE</t>
        </r>
      </text>
    </comment>
    <comment ref="F62" authorId="0" shapeId="0" xr:uid="{BCFEF541-C3D5-4D21-B1E8-88D7EAB535A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F63" authorId="0" shapeId="0" xr:uid="{08C6C473-3E92-4F75-BF43-8565A3E368A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LB19Harvest = LB19Effort * LB19CPUE</t>
        </r>
      </text>
    </comment>
    <comment ref="F64" authorId="0" shapeId="0" xr:uid="{1B6500BA-C5FC-4C1A-A66F-5AFD2203A4B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H64" authorId="0" shapeId="0" xr:uid="{76D0BEFB-E2F5-42FE-9ED0-8E6DF1FEB54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TH20Harvest = TH20Effort * TH20CPUE</t>
        </r>
      </text>
    </comment>
    <comment ref="F65" authorId="0" shapeId="0" xr:uid="{F04686AB-A6C7-4F13-BA20-1563525A601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F66" authorId="0" shapeId="0" xr:uid="{270F719B-E51C-4FD4-AED0-002E4EA6312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LB22Harvest = LB22Effort * LB22CPUE</t>
        </r>
      </text>
    </comment>
    <comment ref="H66" authorId="0" shapeId="0" xr:uid="{5E6807B3-624D-49EA-B68E-41FCF5F89C2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TH22Harvest = TH22Effort * TH22CPUE</t>
        </r>
      </text>
    </comment>
    <comment ref="F67" authorId="0" shapeId="0" xr:uid="{126CE82B-16A2-47EC-8061-58C4C7ADFFA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LB23Harvest = LB23Effort * LB23CPUE</t>
        </r>
      </text>
    </comment>
    <comment ref="H67" authorId="0" shapeId="0" xr:uid="{2850F685-CDD1-4577-8E7E-93A35855862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TH23Harvest = TH23Effort * TH23CPUE</t>
        </r>
      </text>
    </comment>
    <comment ref="L67" authorId="0" shapeId="0" xr:uid="{317AD977-FD27-49A6-8653-EFABBFE509C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M23Harvest = M23Effort * M23CPUE</t>
        </r>
      </text>
    </comment>
    <comment ref="F69" authorId="0" shapeId="0" xr:uid="{60C11A8F-5248-4F8A-A1F3-213629BA553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LB30Harvest = LB30Effort * LB30CPUE</t>
        </r>
      </text>
    </comment>
    <comment ref="H69" authorId="0" shapeId="0" xr:uid="{5FAF1AF2-177F-4966-B1FD-37ED4FF4C99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TH30Harvest = TH30Effort * TH30CPUE</t>
        </r>
      </text>
    </comment>
    <comment ref="F70" authorId="0" shapeId="0" xr:uid="{B116AA3C-595E-49DC-8B71-74AEBF11245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LB31Harvest = LB31Effort * LB31CPUE</t>
        </r>
      </text>
    </comment>
    <comment ref="F71" authorId="0" shapeId="0" xr:uid="{6E0A21D4-D9E7-4612-9A1B-1C80A7E8EA4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F72" authorId="0" shapeId="0" xr:uid="{C2E60946-9447-4209-97BC-3819673B63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H72" authorId="0" shapeId="0" xr:uid="{24CCDAD0-E83E-4891-9BBF-1001D6105E1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TH02Harvest = TH02Effort * TH02CPUE</t>
        </r>
      </text>
    </comment>
    <comment ref="F73" authorId="0" shapeId="0" xr:uid="{B809CE8F-E9A9-495F-BE35-F99C0C5092B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H73" authorId="0" shapeId="0" xr:uid="{92428DBF-BB2F-40E1-B14C-78D1394BCEE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TH03Harvest = TH03Effort * TH03CPUE</t>
        </r>
      </text>
    </comment>
    <comment ref="F74" authorId="0" shapeId="0" xr:uid="{9460F1A4-C37F-4AFB-9966-A11729B9EBA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J74" authorId="0" shapeId="0" xr:uid="{FEDA466E-F3DE-4B91-AB81-9FFA292C4F9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C04Harvest = C04Effort * C04CPUE</t>
        </r>
      </text>
    </comment>
    <comment ref="F75" authorId="0" shapeId="0" xr:uid="{6595900A-1B91-4C0C-801E-6B297CFC18C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LB05Harvest = LB05Effort * LB05CPUE</t>
        </r>
      </text>
    </comment>
    <comment ref="F77" authorId="0" shapeId="0" xr:uid="{70AA1E76-E175-49FE-AC8B-166E77E0502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F78" authorId="0" shapeId="0" xr:uid="{60FCD502-EBF4-43B9-AEB7-236C1EA6344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H78" authorId="0" shapeId="0" xr:uid="{9C749983-7A99-44C1-B8EB-FADAA9AE9B1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TH15Harvest = TH15Effort * TH15CPUE</t>
        </r>
      </text>
    </comment>
    <comment ref="F79" authorId="0" shapeId="0" xr:uid="{23CF23E1-3191-4E10-8978-CC78CD35947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H79" authorId="0" shapeId="0" xr:uid="{9B6BAA5A-9E13-47BB-ACC0-4BB16C61213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80" authorId="0" shapeId="0" xr:uid="{B1E1EEED-C29B-4539-89C4-B94FCBA58EC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LB17Harvest = LB17Effort * LB17CPUE</t>
        </r>
      </text>
    </comment>
    <comment ref="F81" authorId="0" shapeId="0" xr:uid="{508C8352-E68E-41DD-99F4-C018E440FBD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F82" authorId="0" shapeId="0" xr:uid="{01037291-B307-47D5-AAB5-08DB256F524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LB19Harvest = LB19Effort * LB19CPUE</t>
        </r>
      </text>
    </comment>
    <comment ref="F83" authorId="0" shapeId="0" xr:uid="{668E21F2-6C9B-4527-8346-37B27B515DF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F85" authorId="0" shapeId="0" xr:uid="{4794CB17-5F0A-42EF-9ABB-F0EAFDCCFD6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LB29Harvest = LB29Effort * LB29CPUE</t>
        </r>
      </text>
    </comment>
    <comment ref="F86" authorId="0" shapeId="0" xr:uid="{CE830622-F459-4453-87C5-2480E0DB9E4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LB30South + LB30North</t>
        </r>
      </text>
    </comment>
    <comment ref="F87" authorId="0" shapeId="0" xr:uid="{255AE5BC-2BA0-428C-94CC-42E14512314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LB31Harvest = LB31Effort * LB31CPUE</t>
        </r>
      </text>
    </comment>
    <comment ref="F88" authorId="0" shapeId="0" xr:uid="{65A02FB0-CD9D-45A9-97EF-2D655EBE052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F89" authorId="0" shapeId="0" xr:uid="{A5C008FF-8240-4BF0-A988-03CC69F1395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F92" authorId="0" shapeId="0" xr:uid="{FF237C4B-49DF-4738-9BFA-ED4C575FA84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LB14 = LB14s = LB14n</t>
        </r>
      </text>
    </comment>
    <comment ref="F93" authorId="0" shapeId="0" xr:uid="{D4237DFC-EFC8-472F-8DAE-3D83FF3A21F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F94" authorId="0" shapeId="0" xr:uid="{8DCFAA65-C28F-4DBC-8954-0CE3A8929996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LB16Harvest = LB16Effort * LB16CPUE</t>
        </r>
      </text>
    </comment>
    <comment ref="F95" authorId="0" shapeId="0" xr:uid="{18EB17A0-D795-440A-AF98-76A6C0ACD67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LB17Harvest = LB17Effort * LB17CPUE</t>
        </r>
      </text>
    </comment>
    <comment ref="F96" authorId="0" shapeId="0" xr:uid="{976E5586-6147-4B7F-8A96-21E8C240679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LB18Harvest = LB18Effort * LB18CPUE</t>
        </r>
      </text>
    </comment>
    <comment ref="F98" authorId="0" shapeId="0" xr:uid="{21EC0E41-7FD8-4F6E-9106-4FD650529708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LB26Harvest = LB26Effort * LB26CPUE</t>
        </r>
      </text>
    </comment>
    <comment ref="F99" authorId="0" shapeId="0" xr:uid="{503A8088-5F18-4FCD-A536-889865940AFF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LB27Harvest = LB27Effort * LB27CPUE</t>
        </r>
      </text>
    </comment>
    <comment ref="F100" authorId="0" shapeId="0" xr:uid="{78EC3212-7475-4071-BFDC-27A19084840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LB28Harvest = LB28Effort * LB28CPUE</t>
        </r>
      </text>
    </comment>
    <comment ref="F101" authorId="0" shapeId="0" xr:uid="{0AB9B3B4-81FA-4DFB-9E4B-49861570FB2E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LB01Harvest = LB01Effort * LB01CPUE</t>
        </r>
      </text>
    </comment>
    <comment ref="H101" authorId="0" shapeId="0" xr:uid="{85E53939-4B95-4F48-9644-EA8B2778375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TH01Harvest = TH01Effort * TH01CPUE</t>
        </r>
      </text>
    </comment>
    <comment ref="F102" authorId="0" shapeId="0" xr:uid="{93FF98E7-060D-4613-9346-8BBB625E233C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LB02Harvest = LB02Effort * LB02CPUE</t>
        </r>
      </text>
    </comment>
    <comment ref="F103" authorId="0" shapeId="0" xr:uid="{6F6912E3-AADD-45D4-9D41-58FE6B1B536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LB03 = LB03s = LB03n</t>
        </r>
      </text>
    </comment>
    <comment ref="F104" authorId="0" shapeId="0" xr:uid="{B0BFBC91-0ED7-4B1E-BBDF-5947026D740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LB04Harvest = LB04Effort * LB04CPUE</t>
        </r>
      </text>
    </comment>
    <comment ref="H104" authorId="0" shapeId="0" xr:uid="{236A77F2-E62F-4BCF-B579-DE2B34F17F0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TH01Harvest = TH01Effort * TH01CPUE</t>
        </r>
      </text>
    </comment>
    <comment ref="F106" authorId="0" shapeId="0" xr:uid="{647C1A28-91C6-4B84-8801-46DD017E9A5F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LB16 = LB16s = LB16n</t>
        </r>
      </text>
    </comment>
    <comment ref="H106" authorId="0" shapeId="0" xr:uid="{387B7430-FC74-4058-99DA-1FD00E57DE0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107" authorId="0" shapeId="0" xr:uid="{81433B29-3413-4ABB-9AEF-2A215DFE7E3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LB17Harvest = LB17Effort * LB17CPUE</t>
        </r>
      </text>
    </comment>
    <comment ref="F108" authorId="0" shapeId="0" xr:uid="{D539855F-DC14-4F01-9B05-28912EF5B566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LB18Harvest = LB18Effort * LB18CPUE</t>
        </r>
      </text>
    </comment>
    <comment ref="F109" authorId="0" shapeId="0" xr:uid="{23A0B8CB-1C83-40C9-8B20-2729DE32FD3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LB19Harvest = LB19Effort * LB19CPUE</t>
        </r>
      </text>
    </comment>
    <comment ref="H109" authorId="0" shapeId="0" xr:uid="{633E3A92-C93A-4853-B617-4A96DC5A933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TH19Harvest = TH19Effort * TH19CPUE</t>
        </r>
      </text>
    </comment>
    <comment ref="F110" authorId="0" shapeId="0" xr:uid="{2FAB135C-E8EA-4F0A-9901-CD1A34842F7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LB20Harvest = LB20Effort * LB20CPUE</t>
        </r>
      </text>
    </comment>
    <comment ref="F111" authorId="0" shapeId="0" xr:uid="{9B283174-1571-4125-8D4C-43A2FF72D0F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LB21Harvest = LB21Effort * LB21CPUE</t>
        </r>
      </text>
    </comment>
    <comment ref="F112" authorId="0" shapeId="0" xr:uid="{EA456841-3AB8-4772-8EEE-192E46CDEF5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LB22Harvest = LB22Effort * LB22CPUE</t>
        </r>
      </text>
    </comment>
    <comment ref="H112" authorId="0" shapeId="0" xr:uid="{01FF8C54-3BF4-497A-BADA-D80CB152A8C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TH22Harvest = TH22Effort * TH22CPUE</t>
        </r>
      </text>
    </comment>
    <comment ref="F114" authorId="0" shapeId="0" xr:uid="{D0993386-4F0F-4946-8E4C-76043B7DAE7B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LB01Harvest = LB01Effort * LB01CPUE</t>
        </r>
      </text>
    </comment>
    <comment ref="H114" authorId="0" shapeId="0" xr:uid="{4FC7BC2A-1D1A-4903-A0D6-BD38668FFF8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TH01Harvest = TH01Effort * TH01CPUE</t>
        </r>
      </text>
    </comment>
    <comment ref="F115" authorId="0" shapeId="0" xr:uid="{FEA7FBEC-E0E6-4303-A3CC-44D77DA2136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LB02Harvest = LB02Effort * LB02CPUE</t>
        </r>
      </text>
    </comment>
    <comment ref="F116" authorId="0" shapeId="0" xr:uid="{71D4060D-845D-4FAE-B3C4-C4DF9BE9D956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LB03Harvest = LB03Effort * LB03CPUE</t>
        </r>
      </text>
    </comment>
    <comment ref="F117" authorId="0" shapeId="0" xr:uid="{4E36E9E1-FC63-47FF-AC6F-65197FD6A15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No count conducted due to extreme weather. Effort assumed 0.</t>
        </r>
      </text>
    </comment>
    <comment ref="H117" authorId="0" shapeId="0" xr:uid="{E626DC6C-7231-4CF6-8CE1-D235134D148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extreme weather. Effort assumed 0.</t>
        </r>
      </text>
    </comment>
    <comment ref="J117" authorId="0" shapeId="0" xr:uid="{4721243E-B289-4949-8542-0C2995CCF9F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No count conducted due to extreme weather. Effort assumed 0.</t>
        </r>
      </text>
    </comment>
    <comment ref="F118" authorId="0" shapeId="0" xr:uid="{867627B3-EF2A-4F11-8E75-898D0E09DC2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No count conducted due to extreme weather. Effort assumed 0.</t>
        </r>
      </text>
    </comment>
    <comment ref="H118" authorId="0" shapeId="0" xr:uid="{ACB7EC42-3F91-4899-AF6A-1E7655C82D0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extreme weather. Effort assumed 0.</t>
        </r>
      </text>
    </comment>
    <comment ref="L118" authorId="0" shapeId="0" xr:uid="{6CDCD217-942D-415F-B82D-6BE68CACFCD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No count conducted due to extreme weather. Effort assumed 0.</t>
        </r>
      </text>
    </comment>
    <comment ref="F119" authorId="0" shapeId="0" xr:uid="{68DD0FAE-49EA-4D26-971A-AE675896FC2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LB06Harvest = LB06Effort * LB06CPUE</t>
        </r>
      </text>
    </comment>
    <comment ref="F121" authorId="0" shapeId="0" xr:uid="{61F71299-B205-41A0-A0EE-331406EC4DB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LB16Harvest = LB16Effort * LB16CPUE</t>
        </r>
      </text>
    </comment>
    <comment ref="F122" authorId="0" shapeId="0" xr:uid="{0EF29CC9-B502-42DF-8E25-23AA62396AF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LB17 = LB17s = LB17n</t>
        </r>
      </text>
    </comment>
    <comment ref="H122" authorId="0" shapeId="0" xr:uid="{4144BF59-2A16-490A-9227-A5BCDF1D00EB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TH17Harvest = TH17Effort * TH17CPUE</t>
        </r>
      </text>
    </comment>
    <comment ref="F123" authorId="0" shapeId="0" xr:uid="{2E002B4F-7E62-4076-89E7-75DD942F75EC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LB18Harvest = LB18Effort * LB18CPUE</t>
        </r>
      </text>
    </comment>
    <comment ref="H123" authorId="0" shapeId="0" xr:uid="{088352C1-95C4-49D4-82D1-44F459BC89ED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TH18Harvest = TH18Effort * TH18CPUE</t>
        </r>
      </text>
    </comment>
    <comment ref="F124" authorId="0" shapeId="0" xr:uid="{730679E0-69BA-40BF-8C10-1B9380D0FEB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LB19Harvest = LB19Effort * LB19CPUE</t>
        </r>
      </text>
    </comment>
    <comment ref="F125" authorId="0" shapeId="0" xr:uid="{AE40ABBF-9A9F-43F7-8E0A-54ABE8413C8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LB20Harvest = LB20Effort * LB20CPUE</t>
        </r>
      </text>
    </comment>
    <comment ref="F126" authorId="0" shapeId="0" xr:uid="{02464E0D-8DA0-4FF2-9728-F0F5612B017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LB21Harvest = LB21Effort * LB21CPUE</t>
        </r>
      </text>
    </comment>
    <comment ref="H126" authorId="0" shapeId="0" xr:uid="{6D33A6DC-B3C5-4C87-BEA6-A8A1D6FBD3D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TH21Harvest = TH21Effort * TH21CPUE</t>
        </r>
      </text>
    </comment>
    <comment ref="F128" authorId="0" shapeId="0" xr:uid="{4D2121A1-2E86-484B-92C6-351EAE8411C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LB29Harvest = LB29Effort * LB29CPUE</t>
        </r>
      </text>
    </comment>
    <comment ref="H128" authorId="0" shapeId="0" xr:uid="{743159CD-ECB1-41E2-97B8-6338D6B9CE8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TH29Harvest = TH29Effort * TH29CPUE</t>
        </r>
      </text>
    </comment>
    <comment ref="F129" authorId="0" shapeId="0" xr:uid="{D5A1B0AF-C5C1-4426-87B2-AC7EB92CB4FB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LB30 = LB30s = LB30n</t>
        </r>
      </text>
    </comment>
    <comment ref="F130" authorId="0" shapeId="0" xr:uid="{169C1AE5-8FFC-4C26-A3E2-464E75F6EA14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LB01Harvest = LB01Effort * LB01CPUE</t>
        </r>
      </text>
    </comment>
    <comment ref="F131" authorId="0" shapeId="0" xr:uid="{AF2DB7B8-D08C-4F72-B06C-5FC55047BD81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LB02Harvest = LB02Effort * LB02CPUE</t>
        </r>
      </text>
    </comment>
    <comment ref="F132" authorId="0" shapeId="0" xr:uid="{6624F536-7AAB-4994-9D2C-28351E553D98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LB03Harvest = LB03Effort * LB03CPUE</t>
        </r>
      </text>
    </comment>
    <comment ref="H132" authorId="0" shapeId="0" xr:uid="{413FF732-C972-4DBF-A2DD-CDAFB2CE3941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TH03Harvest = TH03Effort * TH03CPUE</t>
        </r>
      </text>
    </comment>
    <comment ref="F133" authorId="0" shapeId="0" xr:uid="{039DBC24-BE4F-415B-BF1C-341D5EF56B8B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LB04Harvest = LB04Effort * LB04CPUE</t>
        </r>
      </text>
    </comment>
    <comment ref="H133" authorId="0" shapeId="0" xr:uid="{5C49AD9D-8C67-4D0F-B103-AAF332C5267F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TH04Harvest = TH04Effort * TH04CPUE</t>
        </r>
      </text>
    </comment>
    <comment ref="F134" authorId="0" shapeId="0" xr:uid="{271EDCA7-1004-42AC-BC71-9E4B22A44B1B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LB05Harvest = LB05Effort * LB05CPUE</t>
        </r>
      </text>
    </comment>
    <comment ref="H134" authorId="0" shapeId="0" xr:uid="{0ADBD687-C3BA-42F6-ACA3-807F051B56E1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TH05Harvest = TH05Effort * TH05CPUE</t>
        </r>
      </text>
    </comment>
    <comment ref="F135" authorId="0" shapeId="0" xr:uid="{C24BAC1E-FE99-472B-B110-1DFDE017B06E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LB06Harvest = LB06Effort * LB06CPUE</t>
        </r>
      </text>
    </comment>
    <comment ref="H135" authorId="0" shapeId="0" xr:uid="{ADA3BF1E-5996-4EB2-A816-1635530C808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TH06Harvest = TH06Effort * TH06CPUE</t>
        </r>
      </text>
    </comment>
    <comment ref="F136" authorId="0" shapeId="0" xr:uid="{3BEB5F23-38FF-4C3D-BFDF-D52C8DA8FDDD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LB07Harvest = LB07Effort * LB07CPUE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2" authorId="0" shapeId="0" xr:uid="{34493EE7-52D6-4E6F-A4B2-BC844F2E8C8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LB21/M21 * M17</t>
        </r>
      </text>
    </comment>
    <comment ref="H2" authorId="0" shapeId="0" xr:uid="{7B60A387-EAEE-4175-8345-60A64CED8F3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 = TH21/M21 * M17</t>
        </r>
      </text>
    </comment>
    <comment ref="F3" authorId="0" shapeId="0" xr:uid="{DA77F675-62D6-489E-ABDB-0B887B975D3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 = (LB21s/LB21n * LB18n) + LB18n</t>
        </r>
      </text>
    </comment>
    <comment ref="H3" authorId="0" shapeId="0" xr:uid="{615BB13B-4920-4127-A19A-053289F963F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TH18 = TH20/C20 * C18</t>
        </r>
      </text>
    </comment>
    <comment ref="F4" authorId="0" shapeId="0" xr:uid="{33727226-080A-4784-BD69-545592BEB75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LB21/M21 * M19</t>
        </r>
      </text>
    </comment>
    <comment ref="F5" authorId="0" shapeId="0" xr:uid="{55F09962-9D15-4192-B003-E770F8F1977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 = LB22/C22 * C20</t>
        </r>
      </text>
    </comment>
    <comment ref="F6" authorId="0" shapeId="0" xr:uid="{9EECA611-63F9-44D2-B2E7-3AE11C98BAC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LB21South + LB21North</t>
        </r>
      </text>
    </comment>
    <comment ref="F7" authorId="0" shapeId="0" xr:uid="{3D3C7CEE-7A43-4208-B290-3A10AC0D6A0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 = (LB21s/LB21n * LB22n) + LB22n</t>
        </r>
      </text>
    </comment>
    <comment ref="F8" authorId="0" shapeId="0" xr:uid="{5565CE30-F83A-4671-BF18-3B34CB9F363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 = LB21/M21 * M23</t>
        </r>
      </text>
    </comment>
    <comment ref="F9" authorId="0" shapeId="0" xr:uid="{493E1AC1-7873-4083-9F29-1990C3155D9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 = LB22/C22 * C24</t>
        </r>
      </text>
    </comment>
    <comment ref="H9" authorId="0" shapeId="0" xr:uid="{B9233479-CD58-46B0-8A02-67092E9810C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TH24 = TH20/C20 * C24</t>
        </r>
      </text>
    </comment>
    <comment ref="F10" authorId="0" shapeId="0" xr:uid="{4F16BCE3-1153-4984-9156-03950907DF3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 = (LB21s/LB21n * LB25n) + LB25n</t>
        </r>
      </text>
    </comment>
    <comment ref="F12" authorId="0" shapeId="0" xr:uid="{FCA26621-021D-44C7-95DC-CB0186C64A2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 = LB05/C05 * C05</t>
        </r>
      </text>
    </comment>
    <comment ref="H12" authorId="0" shapeId="0" xr:uid="{9C0519D8-D43E-4C08-B533-703B9DAE6D0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 = TH05/C05 * C03</t>
        </r>
      </text>
    </comment>
    <comment ref="F13" authorId="0" shapeId="0" xr:uid="{DF60FD7A-7F9E-4855-89F6-C5BA371ADCA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 = LB08/C08 * C04</t>
        </r>
      </text>
    </comment>
    <comment ref="H13" authorId="0" shapeId="0" xr:uid="{C30E02A0-3BA3-4377-9413-5EBBAF0247F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 = M06/M06 * M04</t>
        </r>
      </text>
    </comment>
    <comment ref="F14" authorId="0" shapeId="0" xr:uid="{1B64DF83-2810-4240-A0CD-0C794615DA0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 = (LB08s/LB08n * LB05n) + LB05n</t>
        </r>
      </text>
    </comment>
    <comment ref="F15" authorId="0" shapeId="0" xr:uid="{297A95DC-61AB-4046-B696-E8E9F38F794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 = LB08/C08 * C06</t>
        </r>
      </text>
    </comment>
    <comment ref="F16" authorId="0" shapeId="0" xr:uid="{6D4A60EF-FC54-4092-9D1C-98E0B5C0CFD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 = (LB08s/LB08n * LB07n) + LB07n</t>
        </r>
      </text>
    </comment>
    <comment ref="F17" authorId="0" shapeId="0" xr:uid="{435F1029-0A7E-4ED8-921F-3509F72C78E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 = LB08South + LB08North</t>
        </r>
      </text>
    </comment>
    <comment ref="F18" authorId="0" shapeId="0" xr:uid="{08FDE9CF-DCC0-423A-B6D2-52B94B9A518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 = (LB08s/LB08n * LB09n) + LB09n</t>
        </r>
      </text>
    </comment>
    <comment ref="H18" authorId="0" shapeId="0" xr:uid="{ED645F30-49A4-466D-8691-B42F899F97E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TH09 = TH05/C05 * C09</t>
        </r>
      </text>
    </comment>
    <comment ref="F19" authorId="0" shapeId="0" xr:uid="{1E710C5C-C721-48AD-912E-33D6A09F4CB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(LB08s/LB08n * LB10n) + LB10n</t>
        </r>
      </text>
    </comment>
    <comment ref="F20" authorId="0" shapeId="0" xr:uid="{61C9FEEC-A6C5-4671-81C1-522D49FE47D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LB09/M09 * M11</t>
        </r>
      </text>
    </comment>
    <comment ref="H20" authorId="0" shapeId="0" xr:uid="{9B891528-DDC4-4F0C-AE1D-6F47847F0C3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TH11 = TH09/C09 * C11</t>
        </r>
      </text>
    </comment>
    <comment ref="F22" authorId="0" shapeId="0" xr:uid="{5CE26255-A9FF-4BDA-9D74-9B4CAE07950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LB19South + LB19North</t>
        </r>
      </text>
    </comment>
    <comment ref="F23" authorId="0" shapeId="0" xr:uid="{B7BC5395-B88D-42BA-8ABC-C70C75E675F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 = LB22/M22 * M20</t>
        </r>
      </text>
    </comment>
    <comment ref="F24" authorId="0" shapeId="0" xr:uid="{C50B6518-17AA-4999-80BD-B31E01AC391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LB23/C23 * C21</t>
        </r>
      </text>
    </comment>
    <comment ref="F25" authorId="0" shapeId="0" xr:uid="{5C22F2B8-6ED1-42ED-85E4-7C4B6798F2A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 = (LB19s/LB19n * LB22n) + LB22n</t>
        </r>
      </text>
    </comment>
    <comment ref="F26" authorId="0" shapeId="0" xr:uid="{0AC2ABFB-4C8C-495A-915F-02375F3866A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 = (LB19s/LB19n * LB23n) + LB23n</t>
        </r>
      </text>
    </comment>
    <comment ref="F27" authorId="0" shapeId="0" xr:uid="{51EF23B5-D2EF-45DE-A088-42C48DC72DE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extreme weather. Effort assumed 0.</t>
        </r>
      </text>
    </comment>
    <comment ref="H27" authorId="0" shapeId="0" xr:uid="{D98644E3-7936-4B6F-BEFE-31C31369F1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extreme weather. Effort assumed 0.</t>
        </r>
      </text>
    </comment>
    <comment ref="L27" authorId="0" shapeId="0" xr:uid="{FB3ED194-D926-4AB8-801B-2EAF8A5E93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extreme weather. Effort assumed 0.</t>
        </r>
      </text>
    </comment>
    <comment ref="F28" authorId="0" shapeId="0" xr:uid="{78EA203B-7B5C-4CFA-9AEE-392FDF4DB16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 = LB19/TH19 * TH25</t>
        </r>
      </text>
    </comment>
    <comment ref="J28" authorId="0" shapeId="0" xr:uid="{D7EB1217-A6BA-4A67-B123-640F1D73BA5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C25 = C19/TH19 * TH25</t>
        </r>
      </text>
    </comment>
    <comment ref="F30" authorId="0" shapeId="0" xr:uid="{5878FB40-BD7D-4CA5-90FB-8873EC56DE1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 = LB3s + LB3n</t>
        </r>
      </text>
    </comment>
    <comment ref="H30" authorId="0" shapeId="0" xr:uid="{EEE8E2BB-9762-411E-A2E0-2C777DB20F2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 = TH7/M7 * M3</t>
        </r>
      </text>
    </comment>
    <comment ref="F31" authorId="0" shapeId="0" xr:uid="{C202271C-AC04-4F89-9C35-ADB12699338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LB4 = LB6/C6 * C4</t>
        </r>
      </text>
    </comment>
    <comment ref="F32" authorId="0" shapeId="0" xr:uid="{E861D839-C5E7-4873-8B9C-2ED04D8F5AA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LB5 = (LB3s/LB3n * LB5n) + LB5n</t>
        </r>
      </text>
    </comment>
    <comment ref="F33" authorId="0" shapeId="0" xr:uid="{CB79440E-31B1-40CB-82BE-E3180BA0428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LB6 = (LB3s/LB3n * LB6n) + LB6n</t>
        </r>
      </text>
    </comment>
    <comment ref="F34" authorId="0" shapeId="0" xr:uid="{D00E4F4E-49E8-4CE6-9C87-866247EF3CC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LB7 = LB5/M5 * M7</t>
        </r>
      </text>
    </comment>
    <comment ref="F35" authorId="0" shapeId="0" xr:uid="{7555BB50-6133-4C3C-96F2-8513DF47AA9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LB8 = (LB3s/LB3n * LB8n) + LB8n</t>
        </r>
      </text>
    </comment>
    <comment ref="F36" authorId="0" shapeId="0" xr:uid="{D1FC5C49-7410-4993-BDC3-8D0662B62A9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LB9 = LB5/M5 * M9</t>
        </r>
      </text>
    </comment>
    <comment ref="H36" authorId="0" shapeId="0" xr:uid="{C8350BE3-57B4-4022-887E-CA304096E22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TH9 = TH7/M7 * M9</t>
        </r>
      </text>
    </comment>
    <comment ref="F37" authorId="0" shapeId="0" xr:uid="{41794AE4-AB48-4DA4-B32D-7C61D0B30B2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LB8/C8 * C10</t>
        </r>
      </text>
    </comment>
    <comment ref="F39" authorId="0" shapeId="0" xr:uid="{C2680CA0-9221-4A6B-A4B7-EE108D20EE5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LB19/TH19 * TH16</t>
        </r>
      </text>
    </comment>
    <comment ref="F40" authorId="0" shapeId="0" xr:uid="{48EAACD2-00EA-4BC0-945C-4B2EE13552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LB17s + LB17n</t>
        </r>
      </text>
    </comment>
    <comment ref="H40" authorId="0" shapeId="0" xr:uid="{DB038620-2747-47F2-A4CA-DB228D5FC40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 = TH19/LB19 * LB17</t>
        </r>
      </text>
    </comment>
    <comment ref="F41" authorId="0" shapeId="0" xr:uid="{395FB2B8-42E6-4503-9E91-BE8D35F6BD5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 = LB20/C20 * C18</t>
        </r>
      </text>
    </comment>
    <comment ref="H41" authorId="0" shapeId="0" xr:uid="{9D209D80-2624-4D2E-956F-4BA0819846C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TH18 = TH20/C20 * C18</t>
        </r>
      </text>
    </comment>
    <comment ref="F42" authorId="0" shapeId="0" xr:uid="{474FFB8B-B194-4C7E-93CA-5ADCBB2CAC4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(LB20s/LB20n * LB19n) + LB19n</t>
        </r>
      </text>
    </comment>
    <comment ref="F43" authorId="0" shapeId="0" xr:uid="{55B25E7F-2FE8-4134-BB08-F72A141904E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 = LB20s + LB20n</t>
        </r>
      </text>
    </comment>
    <comment ref="F44" authorId="0" shapeId="0" xr:uid="{84976114-FD34-4EF5-B2D6-5F502464FF9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(LB20s/LB20n * LB21n) + LB21n</t>
        </r>
      </text>
    </comment>
    <comment ref="F45" authorId="0" shapeId="0" xr:uid="{880B8DCC-D886-4733-86BD-845DBBEC492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 = LB20/C20 * C22</t>
        </r>
      </text>
    </comment>
    <comment ref="H45" authorId="0" shapeId="0" xr:uid="{535049BD-ADB9-471F-AC01-2F30B8CF2C6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 = LB20/C20 * C22</t>
        </r>
      </text>
    </comment>
    <comment ref="F46" authorId="0" shapeId="0" xr:uid="{3F73F446-B150-4F1E-9788-DF532AD7737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 = LB19/M19 * M23</t>
        </r>
      </text>
    </comment>
    <comment ref="H46" authorId="0" shapeId="0" xr:uid="{C6E1350F-5482-4ECB-98C5-D4FC070DB4C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 = TH19/M19 * M23</t>
        </r>
      </text>
    </comment>
    <comment ref="F47" authorId="0" shapeId="0" xr:uid="{6740A5AC-7186-4D0F-85C6-0A7B973F688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 = LB20/C20 * C24</t>
        </r>
      </text>
    </comment>
    <comment ref="J47" authorId="0" shapeId="0" xr:uid="{6D341E05-639E-4F77-A439-A6E4107D2EB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C24 = C20/TH20 * TH24</t>
        </r>
      </text>
    </comment>
    <comment ref="F49" authorId="0" shapeId="0" xr:uid="{DE8D6DC1-D955-4FF0-9477-91DBC0A0EBC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LB03/C03 * C01</t>
        </r>
      </text>
    </comment>
    <comment ref="F50" authorId="0" shapeId="0" xr:uid="{B765FCB1-8082-434E-91FA-A15BF45098C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 = LB02s + LB02n</t>
        </r>
      </text>
    </comment>
    <comment ref="H50" authorId="0" shapeId="0" xr:uid="{BA03EDA2-C8EB-43A7-8F07-C8EB7507439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 = TH04/M04 * M02</t>
        </r>
      </text>
    </comment>
    <comment ref="F51" authorId="0" shapeId="0" xr:uid="{BFA4AD5E-C410-4D81-B3AF-76376621DD7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 = (LB02s/LB02n * LB03n) + LB03n</t>
        </r>
      </text>
    </comment>
    <comment ref="F52" authorId="0" shapeId="0" xr:uid="{27DE35F6-262E-418E-ADA8-B38EEEB94A4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 = (LB02s/LB02n * LB04n) + LB04n</t>
        </r>
      </text>
    </comment>
    <comment ref="F53" authorId="0" shapeId="0" xr:uid="{98C6C659-8D38-4D2A-AF64-25474DD3632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 = (LB02s/LB02n * LB05n) + LB05n</t>
        </r>
      </text>
    </comment>
    <comment ref="F54" authorId="0" shapeId="0" xr:uid="{64AAEB92-1D4E-4CB4-9906-159DDE408F8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 = LB02/M02 * M06</t>
        </r>
      </text>
    </comment>
    <comment ref="F55" authorId="0" shapeId="0" xr:uid="{8977D13A-F43C-4DBB-8BB2-A0D3E24109E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 = LB03/C03 * C07</t>
        </r>
      </text>
    </comment>
    <comment ref="H55" authorId="0" shapeId="0" xr:uid="{B50AA415-6300-43C2-B38E-307126B6C55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TH07 = TH01/C01 * C07</t>
        </r>
      </text>
    </comment>
    <comment ref="F56" authorId="0" shapeId="0" xr:uid="{AFABA921-C6A1-4BA5-AAD9-950C52C8778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 = LB04/TH04 * TH08</t>
        </r>
      </text>
    </comment>
    <comment ref="F57" authorId="0" shapeId="0" xr:uid="{B4B13666-E57B-4E17-8CF3-1B6521872EE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 = LB03/C03 * C09</t>
        </r>
      </text>
    </comment>
    <comment ref="H57" authorId="0" shapeId="0" xr:uid="{50B13617-5B78-4AEB-8116-48529561F09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TH09 = TH05/C05 * C09</t>
        </r>
      </text>
    </comment>
    <comment ref="F59" authorId="0" shapeId="0" xr:uid="{5DB55FF9-AE92-4A9E-96FD-5D515F05255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 = (LB20s/LB20n * LB15n) + LB15n</t>
        </r>
      </text>
    </comment>
    <comment ref="H59" authorId="0" shapeId="0" xr:uid="{66862561-D679-4B3D-8A0F-3867C793FE2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TH15 = TH19/LB19 * LB15</t>
        </r>
      </text>
    </comment>
    <comment ref="F60" authorId="0" shapeId="0" xr:uid="{92C14392-2C28-40A2-A00C-4FA9B176F51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LB18/C18 * C16</t>
        </r>
      </text>
    </comment>
    <comment ref="F61" authorId="0" shapeId="0" xr:uid="{4734C62C-FE1A-4B7A-AE86-6BF70379396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(LB20s/LB20n * LB17n) + LB17n</t>
        </r>
      </text>
    </comment>
    <comment ref="F62" authorId="0" shapeId="0" xr:uid="{BF67C50E-6580-4A52-A388-2DB1A68A211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 = (LB20s/LB20n * LB18n) + LB18n</t>
        </r>
      </text>
    </comment>
    <comment ref="F63" authorId="0" shapeId="0" xr:uid="{DEEA95ED-183F-483D-B199-9FFD3105B4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(LB20s/LB20n * LB19n) + LB19n</t>
        </r>
      </text>
    </comment>
    <comment ref="F64" authorId="0" shapeId="0" xr:uid="{5502A4F1-DAD1-4F14-BFCE-068033E7E55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 = LB18/C18 * C20</t>
        </r>
      </text>
    </comment>
    <comment ref="H64" authorId="0" shapeId="0" xr:uid="{D7D72262-9EFF-4A57-A18D-7F8917E2D28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 = TH16/C16 * C20</t>
        </r>
      </text>
    </comment>
    <comment ref="F65" authorId="0" shapeId="0" xr:uid="{625FB15F-6DAC-4C19-A663-94569468EC8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LB19/M19 * M21</t>
        </r>
      </text>
    </comment>
    <comment ref="F66" authorId="0" shapeId="0" xr:uid="{3F5D2A59-C6C9-4181-9408-C9CFA52021C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 = LB18/C18 * C22</t>
        </r>
      </text>
    </comment>
    <comment ref="H66" authorId="0" shapeId="0" xr:uid="{B3CAC5EE-B011-459A-B2F4-27F2408D88E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 = TH16/C16 * C22</t>
        </r>
      </text>
    </comment>
    <comment ref="F67" authorId="0" shapeId="0" xr:uid="{B4022BC4-2ED5-4103-BA2B-31C0AFA5C68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LB23 = LB19/M19 * M23</t>
        </r>
      </text>
    </comment>
    <comment ref="H67" authorId="0" shapeId="0" xr:uid="{D06A7E94-3645-4305-AE1E-980EADC041A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TH23 = TH19/M19 * M23</t>
        </r>
      </text>
    </comment>
    <comment ref="F69" authorId="0" shapeId="0" xr:uid="{46F52BB2-BCD9-4E67-809A-12824D64C4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(LB20s/LB20n * LB30n) + LB30n</t>
        </r>
      </text>
    </comment>
    <comment ref="H69" authorId="0" shapeId="0" xr:uid="{8AFE4141-7136-4F3E-8313-18253CBF7FB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TH30 = TH01/M01 * M30</t>
        </r>
      </text>
    </comment>
    <comment ref="F70" authorId="0" shapeId="0" xr:uid="{8FE61156-4B7B-470E-9FBE-88F9C7F9E2E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 = (LB20s/LB20n * LB31n) + LB31n</t>
        </r>
      </text>
    </comment>
    <comment ref="F71" authorId="0" shapeId="0" xr:uid="{6563D836-59C4-4A30-AAB5-380A3B8744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(LB20s/LB20n * LB01n) + LB01n</t>
        </r>
      </text>
    </comment>
    <comment ref="F72" authorId="0" shapeId="0" xr:uid="{DBA04EEB-478D-4886-AA06-1ED73CE50E0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 = LB31/C31 * C02</t>
        </r>
      </text>
    </comment>
    <comment ref="H72" authorId="0" shapeId="0" xr:uid="{3975A466-45AC-41D4-A03A-A4B594496E9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 = TH31/M31 * M02</t>
        </r>
      </text>
    </comment>
    <comment ref="F73" authorId="0" shapeId="0" xr:uid="{A509E42A-BE89-41C3-985A-B521990D71E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 = (LB20s/LB20n * LB03n) + LB03n</t>
        </r>
      </text>
    </comment>
    <comment ref="H73" authorId="0" shapeId="0" xr:uid="{5BFD2000-44A6-41FD-9F17-7EAC01A4849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 = TH01/M01 * M03</t>
        </r>
      </text>
    </comment>
    <comment ref="F74" authorId="0" shapeId="0" xr:uid="{98AC8E41-A19D-4C36-A754-F2E62328CD4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 = LB31/C31 * C04</t>
        </r>
      </text>
    </comment>
    <comment ref="F75" authorId="0" shapeId="0" xr:uid="{33FA674E-2A34-4883-8AD4-C1DEE926A6E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value of 190 diggers based on the count and conditions from the previous day.</t>
        </r>
      </text>
    </comment>
    <comment ref="F77" authorId="0" shapeId="0" xr:uid="{B2F02845-D263-4D2B-BBA1-708197CA05B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LB14s + LB14n</t>
        </r>
      </text>
    </comment>
    <comment ref="F78" authorId="0" shapeId="0" xr:uid="{23801928-0E63-45FB-AB03-623446CEE2E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 = (LB14s/LB14n * LB15n) + LB15n</t>
        </r>
      </text>
    </comment>
    <comment ref="H78" authorId="0" shapeId="0" xr:uid="{58A385D6-6914-4179-AF1C-E44AFDBFBC4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TH15 = TH17/C17 * C15</t>
        </r>
      </text>
    </comment>
    <comment ref="F79" authorId="0" shapeId="0" xr:uid="{83199EF8-4939-444E-8AEC-BB061DE8500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(LB14s/LB14n * LB16n) + LB16n</t>
        </r>
      </text>
    </comment>
    <comment ref="H79" authorId="0" shapeId="0" xr:uid="{B0B758D8-A913-47BB-B23D-72673417E841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Estimated effort based on the count the day before and the counts from other beaches.</t>
        </r>
      </text>
    </comment>
    <comment ref="F80" authorId="0" shapeId="0" xr:uid="{4824C7AB-E6FB-42D5-9106-D4A96783D13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LB19/C19 * C17</t>
        </r>
      </text>
    </comment>
    <comment ref="F81" authorId="0" shapeId="0" xr:uid="{506664D6-23F9-47D6-A9D7-FE520BB4BF5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 = LB15/TH15 * TH18</t>
        </r>
      </text>
    </comment>
    <comment ref="F82" authorId="0" shapeId="0" xr:uid="{C5D06418-9592-437F-A231-2FE4BE4B799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(LB14s/LB14n * LB19n) + LB19n</t>
        </r>
      </text>
    </comment>
    <comment ref="F83" authorId="0" shapeId="0" xr:uid="{FCBA7800-8FCF-4590-A26E-BE3189C381F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 = (LB14s/LB14n * LB20n) + LB20n</t>
        </r>
      </text>
    </comment>
    <comment ref="F85" authorId="0" shapeId="0" xr:uid="{BC79D239-9F7A-4D0D-9B52-DDD9987813B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(LB30s/LB30n * LB29n) + LB29n</t>
        </r>
      </text>
    </comment>
    <comment ref="F86" authorId="0" shapeId="0" xr:uid="{04FCAB40-7E43-49C0-830D-4319E8FAF2E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LB30s + LB30n</t>
        </r>
      </text>
    </comment>
    <comment ref="F87" authorId="0" shapeId="0" xr:uid="{46239268-4E9C-49A3-9F9C-3CDB93CCFDD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 = (LB30s/LB30n * LB31n) + LB31n</t>
        </r>
      </text>
    </comment>
    <comment ref="F88" authorId="0" shapeId="0" xr:uid="{D79E7377-9264-4652-9706-293B1C68A3E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LB30/C30 * C01</t>
        </r>
      </text>
    </comment>
    <comment ref="F89" authorId="0" shapeId="0" xr:uid="{EE3BA9F4-68FE-4BD5-B166-FDE26F317BF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 = (LB30s/LB30n * LB02n) + LB02n</t>
        </r>
      </text>
    </comment>
    <comment ref="F92" authorId="0" shapeId="0" xr:uid="{62CA0C32-E993-4D10-B917-317CC95506D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LB14 = LB14s + LB14n</t>
        </r>
      </text>
    </comment>
    <comment ref="F93" authorId="0" shapeId="0" xr:uid="{08C67A11-327E-4172-BB11-C9CF5D919D0C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LB15 = (LB14s/LB14n * LB15n) + LB15n</t>
        </r>
      </text>
    </comment>
    <comment ref="F94" authorId="0" shapeId="0" xr:uid="{1A8CF7D2-D15F-415D-8C8D-B0B8E229C21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LB16 = LB18/C18 * LB16</t>
        </r>
      </text>
    </comment>
    <comment ref="F95" authorId="0" shapeId="0" xr:uid="{D58CC77B-592C-4DA7-ABB5-F7EE3817642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LB17 = (LB14s/LB14n * LB17n) + LB17n</t>
        </r>
      </text>
    </comment>
    <comment ref="F96" authorId="0" shapeId="0" xr:uid="{B9CC3A0F-F9FE-4301-95C9-00C6FB82020B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LB18 = TH17/LB17 * TH18</t>
        </r>
      </text>
    </comment>
    <comment ref="F98" authorId="0" shapeId="0" xr:uid="{25279937-C6AE-4A0B-A36E-46BFD6700F7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LB26 = (LB14s/LB14n * LB26n) + LB26n</t>
        </r>
      </text>
    </comment>
    <comment ref="F99" authorId="0" shapeId="0" xr:uid="{31F5B115-E346-488A-871C-CB134B105DA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LB27 = (LB14s/LB14n * LB27n) + LB27n</t>
        </r>
      </text>
    </comment>
    <comment ref="F100" authorId="0" shapeId="0" xr:uid="{30B93188-8D74-4523-A6E5-9E064864FCF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LB28 = (LB03s/LB03n * LB28n) + LB28n</t>
        </r>
      </text>
    </comment>
    <comment ref="F101" authorId="0" shapeId="0" xr:uid="{56DD2903-2067-4770-8D19-F65213AAA2D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LB01= LB03/M03 * M01</t>
        </r>
      </text>
    </comment>
    <comment ref="H101" authorId="0" shapeId="0" xr:uid="{791685C9-FDED-47B3-9B46-7821CF12463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TH01 = TH03/M03 * M03</t>
        </r>
      </text>
    </comment>
    <comment ref="F102" authorId="0" shapeId="0" xr:uid="{8CCFCA8B-0A09-45D6-B7D6-8747A9CE499F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LB02 = LB27/C26 * C02</t>
        </r>
      </text>
    </comment>
    <comment ref="F103" authorId="0" shapeId="0" xr:uid="{6462DB94-5F14-4956-A1D2-C31C5B3BC25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LB03 = LB03s + LB03n</t>
        </r>
      </text>
    </comment>
    <comment ref="F104" authorId="0" shapeId="0" xr:uid="{63A02590-5195-4A82-B7C8-AB31162FC24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LB04 = LB26/C26 * C04</t>
        </r>
      </text>
    </comment>
    <comment ref="H104" authorId="0" shapeId="0" xr:uid="{592A8C45-E07E-4347-A743-76F97C61CD5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TH04 = TH02/C02 * C04</t>
        </r>
      </text>
    </comment>
    <comment ref="F106" authorId="0" shapeId="0" xr:uid="{0FB54472-E6D9-4596-BD79-60DE9B2CE00C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LB16 = LB16s + LB16n</t>
        </r>
      </text>
    </comment>
    <comment ref="H106" authorId="0" shapeId="0" xr:uid="{24940243-B89F-4DB2-A05F-488622F37D1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TH16 = TH18/M18 * M16</t>
        </r>
      </text>
    </comment>
    <comment ref="F107" authorId="0" shapeId="0" xr:uid="{1E4A3DB9-B31D-4591-8A11-4A403FF2EC0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LB17 = LB19/C19 * C17</t>
        </r>
      </text>
    </comment>
    <comment ref="H107" authorId="0" shapeId="0" xr:uid="{DD6525BA-CB95-4174-B5FE-C27187B758A1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TH17 = TH21/C21 * C17</t>
        </r>
      </text>
    </comment>
    <comment ref="F108" authorId="0" shapeId="0" xr:uid="{401E589C-B319-49C8-937C-447F08071FF4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LB18 = LB16/M16 * M18</t>
        </r>
      </text>
    </comment>
    <comment ref="F109" authorId="0" shapeId="0" xr:uid="{CB291B04-B408-4176-B954-A8CA0426D9FE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LB19 = (LB16s/LB16n * LB19n) + LB19n</t>
        </r>
      </text>
    </comment>
    <comment ref="H109" authorId="0" shapeId="0" xr:uid="{C51E3441-004B-4CB9-83B3-6DEF9FD24FB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TH19 = TH21/C21 * C19</t>
        </r>
      </text>
    </comment>
    <comment ref="F110" authorId="0" shapeId="0" xr:uid="{929371C2-35A3-4FE6-9163-48DD402DD63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LB20 = LB16/M16 * M20</t>
        </r>
      </text>
    </comment>
    <comment ref="F111" authorId="0" shapeId="0" xr:uid="{A4BFC98E-D481-429E-8AD2-4A31E8A854E6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LB21 = LB19/C19 * C21</t>
        </r>
      </text>
    </comment>
    <comment ref="F112" authorId="0" shapeId="0" xr:uid="{6ED41232-0DF8-4CBC-AEB1-925AACBD649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LB22 = (LB16s/LB16n * LB22n) + LB22n</t>
        </r>
      </text>
    </comment>
    <comment ref="H112" authorId="0" shapeId="0" xr:uid="{3CC7977F-3484-4DBC-9EA9-57A6982F1DC1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TH22 = TH18/M18 * M22</t>
        </r>
      </text>
    </comment>
    <comment ref="F114" authorId="0" shapeId="0" xr:uid="{4183197A-7C9F-4586-AADF-26D730C3D8B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LB01 = (LBN16s/LBN16n * LB01n) + LB01n</t>
        </r>
      </text>
    </comment>
    <comment ref="H114" authorId="0" shapeId="0" xr:uid="{90A373EF-10DD-48F7-AA2E-5526854D73B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TH01 = TH03/M03 * M01</t>
        </r>
      </text>
    </comment>
    <comment ref="F115" authorId="0" shapeId="0" xr:uid="{86EC4F4E-C604-4B2A-9B7E-229336D663BC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LB02 = (LBN16s/LBN16n * LB02n) + LB02n</t>
        </r>
      </text>
    </comment>
    <comment ref="F116" authorId="0" shapeId="0" xr:uid="{693126BA-B871-4850-A2E7-3C7701FB26D4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LB03 = LB06/TH06 * TH03</t>
        </r>
      </text>
    </comment>
    <comment ref="F117" authorId="0" shapeId="0" xr:uid="{851B106B-58C6-4F68-94F0-05D1DE5F009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No count conducted due to extreme weather. Effort assumed 0.</t>
        </r>
      </text>
    </comment>
    <comment ref="H117" authorId="0" shapeId="0" xr:uid="{EAB09B2B-F6CA-4E55-8F1B-CEEBFD00A12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No count conducted due to extreme weather. Effort assumed 0.</t>
        </r>
      </text>
    </comment>
    <comment ref="J117" authorId="0" shapeId="0" xr:uid="{E5FA6C3B-A29C-4B61-90F3-C69E2A97241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No count conducted due to extreme weather. Effort assumed 0.</t>
        </r>
      </text>
    </comment>
    <comment ref="F118" authorId="0" shapeId="0" xr:uid="{8DFAA8EE-BBDD-4673-838A-D5F2698B8FC6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No count conducted due to extreme weather. Effort assumed 0.</t>
        </r>
      </text>
    </comment>
    <comment ref="H118" authorId="0" shapeId="0" xr:uid="{DDBC3078-D40A-4F6A-91B5-29758C2FBA9E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No count conducted due to extreme weather. Effort assumed 0.</t>
        </r>
      </text>
    </comment>
    <comment ref="L118" authorId="0" shapeId="0" xr:uid="{442DF672-1286-4209-BC84-A2E5B3348F9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No count conducted due to extreme weather. Effort assumed 0.</t>
        </r>
      </text>
    </comment>
    <comment ref="F119" authorId="0" shapeId="0" xr:uid="{FC0D205A-4A2A-43B9-94DF-080BC294FB5D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LB06 = (LB16s/LB16n * LB06n) + LB06n</t>
        </r>
      </text>
    </comment>
    <comment ref="F121" authorId="0" shapeId="0" xr:uid="{97E4D48E-6BBF-4A03-84DF-1AEC14EE776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LB16 = (LB17s/LB17n * LB16n) + LB16n</t>
        </r>
      </text>
    </comment>
    <comment ref="F122" authorId="0" shapeId="0" xr:uid="{BFFCA325-2557-4734-8A03-B0FBE0E6327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LB17 = LB17s = LB17n</t>
        </r>
      </text>
    </comment>
    <comment ref="H122" authorId="0" shapeId="0" xr:uid="{F2F2BE60-F753-46E9-A2F9-58F949532AE6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TH17 = TH19/M19 * M17</t>
        </r>
      </text>
    </comment>
    <comment ref="F123" authorId="0" shapeId="0" xr:uid="{C295FB6F-9694-40B1-BADD-79E177E5328F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LB18 = LB16/C16 * C18</t>
        </r>
      </text>
    </comment>
    <comment ref="H123" authorId="0" shapeId="0" xr:uid="{8EE99E08-46F1-49C0-AA74-9D8BE3C7639E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TH18 = TH16/C16 * C18</t>
        </r>
      </text>
    </comment>
    <comment ref="F124" authorId="0" shapeId="0" xr:uid="{0562F1AC-B1E8-48DA-926E-E42082198AB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LB19 = (LB17s/LB17n * LB19n) + LB19n</t>
        </r>
      </text>
    </comment>
    <comment ref="F125" authorId="0" shapeId="0" xr:uid="{3C96B53B-C5C9-4FB8-B578-F6EBFE3C7EB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LB20 = LB16/C16 * C20</t>
        </r>
      </text>
    </comment>
    <comment ref="F126" authorId="0" shapeId="0" xr:uid="{1D5D955F-260A-4412-BB27-9C3013EAF40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LB21 = LB17/M17 * M21</t>
        </r>
      </text>
    </comment>
    <comment ref="H126" authorId="0" shapeId="0" xr:uid="{91C7ACF1-1C65-4BAF-B0F9-EC97BD548F1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TH21 = TH19/M19 * M21</t>
        </r>
      </text>
    </comment>
    <comment ref="F128" authorId="0" shapeId="0" xr:uid="{BE52EECE-F246-4C25-B01A-7C1F93425F7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LB29 = LB01/C01 * C29</t>
        </r>
      </text>
    </comment>
    <comment ref="H128" authorId="0" shapeId="0" xr:uid="{F6D48AC8-1E95-49AE-9E71-C53CF8EB2D3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TH29 = TH07/C07 *C29</t>
        </r>
      </text>
    </comment>
    <comment ref="F129" authorId="0" shapeId="0" xr:uid="{6C39B240-3187-40A2-8E59-C71303C6868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LB30 = LB30s + LB30n</t>
        </r>
      </text>
    </comment>
    <comment ref="F130" authorId="0" shapeId="0" xr:uid="{ADD90358-C8C6-4F16-BA76-239B77EAF3E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LB01 = (LB30s/LB30n * LB01n) + LB01n</t>
        </r>
      </text>
    </comment>
    <comment ref="F131" authorId="0" shapeId="0" xr:uid="{B1AAFDDF-E84C-463E-917E-E77D4770830B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LB02 = LB04/M04 * M02</t>
        </r>
      </text>
    </comment>
    <comment ref="F132" authorId="0" shapeId="0" xr:uid="{D8E04F4C-6E39-4656-B98C-68D85542FB2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LB03 = LB01/C01 * C03</t>
        </r>
      </text>
    </comment>
    <comment ref="H132" authorId="0" shapeId="0" xr:uid="{49C02C24-5A8D-4F94-B3DB-89A44D2ACFB8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TH03 = TH07/C07 * C03</t>
        </r>
      </text>
    </comment>
    <comment ref="F133" authorId="0" shapeId="0" xr:uid="{5CBC3E31-DA52-4E19-81E9-65CB920209F6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LB04 = (LB30s/LB30n * LB04n) + LB04n</t>
        </r>
      </text>
    </comment>
    <comment ref="H133" authorId="0" shapeId="0" xr:uid="{8962CC2E-BEEE-4E70-85CF-B073A76FF44C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TH04 = TH30/M30 * M04</t>
        </r>
      </text>
    </comment>
    <comment ref="F134" authorId="0" shapeId="0" xr:uid="{3C43901B-862B-41B4-AD01-73A8649EE02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LB05 = LB01/C01 * C05</t>
        </r>
      </text>
    </comment>
    <comment ref="H134" authorId="0" shapeId="0" xr:uid="{E27AE376-5EDF-4A22-8DFF-8DF37A09CFD4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TH05 = TH07/C07 * C05</t>
        </r>
      </text>
    </comment>
    <comment ref="F135" authorId="0" shapeId="0" xr:uid="{A9507E31-05BD-463B-B1F2-8B0CC4CEFC3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LB06 = LB30/M30 * M06</t>
        </r>
      </text>
    </comment>
    <comment ref="H135" authorId="0" shapeId="0" xr:uid="{A100F249-2EC5-4BAF-8759-784E4F17C68D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TH06 = TH02/M02 * M06</t>
        </r>
      </text>
    </comment>
    <comment ref="F136" authorId="0" shapeId="0" xr:uid="{ADDE35D6-4720-4259-AA60-EB6E562BEDC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LB07 = LB01/C01 * C07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2" authorId="0" shapeId="0" xr:uid="{3E4AF3CE-D2BB-4F71-8DF1-DE63CAD25E2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20 clams/digger</t>
        </r>
      </text>
    </comment>
    <comment ref="H2" authorId="0" shapeId="0" xr:uid="{4C6A0483-173A-4CEB-9B1E-6064E000B3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20 clams/digger</t>
        </r>
      </text>
    </comment>
    <comment ref="H3" authorId="0" shapeId="0" xr:uid="{A5CBC6B0-0569-441B-9E34-EB95002D920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20 clams/digger</t>
        </r>
      </text>
    </comment>
    <comment ref="F4" authorId="0" shapeId="0" xr:uid="{628FCA04-6CB6-4DD4-B985-3F40945C178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20 clams/digger</t>
        </r>
      </text>
    </comment>
    <comment ref="F5" authorId="0" shapeId="0" xr:uid="{02BC79D4-5D5A-44B5-89DA-82E19DDB6E9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20 clams/digger</t>
        </r>
      </text>
    </comment>
    <comment ref="F8" authorId="0" shapeId="0" xr:uid="{6CBCECBB-CB3B-42BC-A42A-06E01571570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18.5 clams/digger</t>
        </r>
      </text>
    </comment>
    <comment ref="F9" authorId="0" shapeId="0" xr:uid="{3E9714C6-58CC-4E31-9102-104413AB556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18.5 clams/digger</t>
        </r>
      </text>
    </comment>
    <comment ref="H9" authorId="0" shapeId="0" xr:uid="{2F53BC27-BF6F-47FE-930B-B174864001B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18.5 clams/digger</t>
        </r>
      </text>
    </comment>
    <comment ref="F12" authorId="0" shapeId="0" xr:uid="{CDCF9ABA-0CA4-47AC-B4EE-AFA250CB15F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</t>
        </r>
      </text>
    </comment>
    <comment ref="H12" authorId="0" shapeId="0" xr:uid="{7DC30C88-D5CC-4D7D-9595-A2529647055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</t>
        </r>
      </text>
    </comment>
    <comment ref="F13" authorId="0" shapeId="0" xr:uid="{A39B76E9-42EE-4885-B708-D0599E40604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</t>
        </r>
      </text>
    </comment>
    <comment ref="H13" authorId="0" shapeId="0" xr:uid="{43B84F39-B631-4D1E-8B33-59699C9B976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</t>
        </r>
      </text>
    </comment>
    <comment ref="F15" authorId="0" shapeId="0" xr:uid="{19FAA072-217F-4D50-A82B-70A5E50BCFE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19.0 clams/digger</t>
        </r>
      </text>
    </comment>
    <comment ref="H18" authorId="0" shapeId="0" xr:uid="{E3EE971D-220C-4FB8-A0C5-B458F243D28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</t>
        </r>
      </text>
    </comment>
    <comment ref="F20" authorId="0" shapeId="0" xr:uid="{DFB0E851-5B6D-4CF7-8C62-33626CF7F01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20.0 clams/digger</t>
        </r>
      </text>
    </comment>
    <comment ref="H20" authorId="0" shapeId="0" xr:uid="{773B58A5-AC55-449D-B532-5B317B0C30D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20.0 clams/digger</t>
        </r>
      </text>
    </comment>
    <comment ref="F23" authorId="0" shapeId="0" xr:uid="{3C04529C-0732-4C7D-987F-DB557A97A35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18.0 clams/digger</t>
        </r>
      </text>
    </comment>
    <comment ref="F24" authorId="0" shapeId="0" xr:uid="{B3C5F0DF-3AF0-4EB8-933A-DA04AC263A4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</t>
        </r>
      </text>
    </comment>
    <comment ref="F27" authorId="0" shapeId="0" xr:uid="{3EFF78C0-BD62-405A-BA29-7767E89C85C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extreme weather. CPUE assumed 0.</t>
        </r>
      </text>
    </comment>
    <comment ref="H27" authorId="0" shapeId="0" xr:uid="{8612C849-4336-47C4-BF0E-94A0FBEC021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extreme weather. CPUE assumed 0.</t>
        </r>
      </text>
    </comment>
    <comment ref="L27" authorId="0" shapeId="0" xr:uid="{4EE59CD1-44E8-4A6B-98AC-0E59047456B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No count conducted due to extreme weather. CPUE assumed 0.</t>
        </r>
      </text>
    </comment>
    <comment ref="F28" authorId="0" shapeId="0" xr:uid="{1624DF79-680B-40E8-8608-8EC410E28C8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8.0 clams/digger</t>
        </r>
      </text>
    </comment>
    <comment ref="H28" authorId="0" shapeId="0" xr:uid="{6951E1CA-24FB-43B8-A4B6-71EE1533E3F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8.0 clams/digger</t>
        </r>
      </text>
    </comment>
    <comment ref="J28" authorId="0" shapeId="0" xr:uid="{983E1057-3E6E-47D5-908F-0ACA45F9097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11.0 clams/digger</t>
        </r>
      </text>
    </comment>
    <comment ref="H30" authorId="0" shapeId="0" xr:uid="{1FBA81F5-4793-4564-ABB8-40313CD1F72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19.0 clams/digger</t>
        </r>
      </text>
    </comment>
    <comment ref="F31" authorId="0" shapeId="0" xr:uid="{B5661496-4BCD-450F-AFCD-06737BCFECA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18.0 clams/digger</t>
        </r>
      </text>
    </comment>
    <comment ref="F34" authorId="0" shapeId="0" xr:uid="{E4749208-A2D6-4503-ADF2-B9130DC5997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18.0 clams/digger</t>
        </r>
      </text>
    </comment>
    <comment ref="F35" authorId="0" shapeId="0" xr:uid="{A638C544-97AD-4CE7-BBB5-86A27FDC277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19.0 clams/digger</t>
        </r>
      </text>
    </comment>
    <comment ref="F36" authorId="0" shapeId="0" xr:uid="{52973276-2EF5-46BA-B0A8-F785FF34614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</t>
        </r>
      </text>
    </comment>
    <comment ref="H36" authorId="0" shapeId="0" xr:uid="{1D2203CB-434C-49CF-837A-0E7F0921600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</t>
        </r>
      </text>
    </comment>
    <comment ref="L36" authorId="0" shapeId="0" xr:uid="{EEF025AB-1E66-4197-86B1-E415D252357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</t>
        </r>
      </text>
    </comment>
    <comment ref="F37" authorId="0" shapeId="0" xr:uid="{7506F9B3-7B42-4BCC-B465-3CC0510A8A1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</t>
        </r>
      </text>
    </comment>
    <comment ref="H37" authorId="0" shapeId="0" xr:uid="{6BF0E913-B56B-49CF-A2F6-9D4F0592E0C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</t>
        </r>
      </text>
    </comment>
    <comment ref="F39" authorId="0" shapeId="0" xr:uid="{465389F2-0215-4E6F-BFE4-D08EA5B1638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19.5 clams/digger</t>
        </r>
      </text>
    </comment>
    <comment ref="H40" authorId="0" shapeId="0" xr:uid="{A377E60D-6E8A-4275-B149-9F8CC88EEEE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19.5 clams/digger</t>
        </r>
      </text>
    </comment>
    <comment ref="F41" authorId="0" shapeId="0" xr:uid="{1B911771-BF72-412B-91B8-11A88006915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19.5 clams/digger</t>
        </r>
      </text>
    </comment>
    <comment ref="H41" authorId="0" shapeId="0" xr:uid="{FA8AD0BE-BE38-4C57-98B4-4C74B125073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19.5 clams/digger</t>
        </r>
      </text>
    </comment>
    <comment ref="F42" authorId="0" shapeId="0" xr:uid="{7633D9FD-A593-4229-A0DE-3F6E91E08DF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18.0 clams/digger</t>
        </r>
      </text>
    </comment>
    <comment ref="F44" authorId="0" shapeId="0" xr:uid="{84007E60-7DC9-415D-96D9-EA06285F734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19.0 clams/digger</t>
        </r>
      </text>
    </comment>
    <comment ref="F45" authorId="0" shapeId="0" xr:uid="{7ED3E8D5-0A5F-4E5A-A628-BF8D3967FAF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</t>
        </r>
      </text>
    </comment>
    <comment ref="H45" authorId="0" shapeId="0" xr:uid="{A30D5931-8173-4A39-90AB-7A8401E1AA6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</t>
        </r>
      </text>
    </comment>
    <comment ref="F46" authorId="0" shapeId="0" xr:uid="{C10536B8-054A-462D-9939-516C22423A9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16.0 clams/digger</t>
        </r>
      </text>
    </comment>
    <comment ref="H46" authorId="0" shapeId="0" xr:uid="{5CEBD55F-68F0-4D2A-AE74-624F127F710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16.0 clams/digger</t>
        </r>
      </text>
    </comment>
    <comment ref="F47" authorId="0" shapeId="0" xr:uid="{66C6861E-4FFB-4752-92D5-8C5BBB4B9BF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</t>
        </r>
      </text>
    </comment>
    <comment ref="J47" authorId="0" shapeId="0" xr:uid="{BFD15957-30F0-4A60-B975-42DF079096C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</t>
        </r>
      </text>
    </comment>
    <comment ref="F49" authorId="0" shapeId="0" xr:uid="{2E8EE991-71A0-4AF7-9527-0C45D9CCB7A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19.0 clams/digger</t>
        </r>
      </text>
    </comment>
    <comment ref="H50" authorId="0" shapeId="0" xr:uid="{21286025-55CC-4A69-8D3D-A9E950C422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19.5 clams/digger</t>
        </r>
      </text>
    </comment>
    <comment ref="F54" authorId="0" shapeId="0" xr:uid="{7F3D68B5-9482-4D5F-9931-372274DDD9A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19.5 clams/digger</t>
        </r>
      </text>
    </comment>
    <comment ref="F55" authorId="0" shapeId="0" xr:uid="{6D00EE46-C5B8-4804-836E-D59298CEC83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19.5 clams/digger</t>
        </r>
      </text>
    </comment>
    <comment ref="H55" authorId="0" shapeId="0" xr:uid="{68E53672-BE27-4E71-A8DC-A3A84F50927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19.5 clams/digger</t>
        </r>
      </text>
    </comment>
    <comment ref="F56" authorId="0" shapeId="0" xr:uid="{9F16A8CA-B868-430D-9D5B-C8E92E379CC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</t>
        </r>
      </text>
    </comment>
    <comment ref="F57" authorId="0" shapeId="0" xr:uid="{4435B0BB-0AF2-4726-B99B-3E71B45845F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</t>
        </r>
      </text>
    </comment>
    <comment ref="H57" authorId="0" shapeId="0" xr:uid="{AC9A12F8-004B-4926-A816-86F293EF53B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</t>
        </r>
      </text>
    </comment>
    <comment ref="H59" authorId="0" shapeId="0" xr:uid="{F64EDDF6-1386-4353-B455-4FA46139217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</t>
        </r>
      </text>
    </comment>
    <comment ref="F60" authorId="0" shapeId="0" xr:uid="{387C80C4-4C97-4EE6-A368-659FD8C8E87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17.5 clams/digger</t>
        </r>
      </text>
    </comment>
    <comment ref="F64" authorId="0" shapeId="0" xr:uid="{5273FCE7-F5BC-47B7-9A50-020C90FD242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</t>
        </r>
      </text>
    </comment>
    <comment ref="H64" authorId="0" shapeId="0" xr:uid="{C065196F-1813-43CC-B7AF-E54FB8AAE6E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</t>
        </r>
      </text>
    </comment>
    <comment ref="F65" authorId="0" shapeId="0" xr:uid="{B15FD073-0FB4-4673-85CE-01A94813230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</t>
        </r>
      </text>
    </comment>
    <comment ref="F66" authorId="0" shapeId="0" xr:uid="{BE47CE27-D05A-4554-BADE-6DDF4DA6626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H66" authorId="0" shapeId="0" xr:uid="{374B6B80-6FCA-47FA-8D76-6EAC42D3869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F67" authorId="0" shapeId="0" xr:uid="{E92679FF-F77C-4A3F-9307-2CA644953CB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H67" authorId="0" shapeId="0" xr:uid="{A44FDA0C-9A03-459D-9F2A-253B3DF8057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L67" authorId="0" shapeId="0" xr:uid="{A6051C68-EEE3-4AD8-8F1A-69C2BA7817F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F69" authorId="0" shapeId="0" xr:uid="{0034A4EE-B2B0-4775-A173-DC0F659BDAF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</t>
        </r>
      </text>
    </comment>
    <comment ref="H69" authorId="0" shapeId="0" xr:uid="{90EB1902-A7AB-4360-92C9-F2C6AFC7B52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</t>
        </r>
      </text>
    </comment>
    <comment ref="F70" authorId="0" shapeId="0" xr:uid="{9C927D2D-C19B-4802-A6C6-26507BD50A9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</t>
        </r>
      </text>
    </comment>
    <comment ref="F71" authorId="0" shapeId="0" xr:uid="{7A150A97-95C3-4C9B-A2B3-13DD44F6CDB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</t>
        </r>
      </text>
    </comment>
    <comment ref="F72" authorId="0" shapeId="0" xr:uid="{49C1F696-C962-4134-9199-0CAA833BE73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3.0 clams/digger</t>
        </r>
      </text>
    </comment>
    <comment ref="H72" authorId="0" shapeId="0" xr:uid="{48DCA94D-EE1F-443A-BA94-6D82F950111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3.0 clams/digger</t>
        </r>
      </text>
    </comment>
    <comment ref="F73" authorId="0" shapeId="0" xr:uid="{6EFAFCB5-1D20-41E5-8370-1FB41CA6E71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H73" authorId="0" shapeId="0" xr:uid="{4DB7C3AB-DB93-4A14-9D74-81DCA99EB43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</t>
        </r>
      </text>
    </comment>
    <comment ref="F74" authorId="0" shapeId="0" xr:uid="{245B6322-E30F-44E7-BC42-2E3A559FC03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</t>
        </r>
      </text>
    </comment>
    <comment ref="J74" authorId="0" shapeId="0" xr:uid="{8143FF68-4C66-4A1C-89B9-61D5BD7E555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</t>
        </r>
      </text>
    </comment>
    <comment ref="F75" authorId="0" shapeId="0" xr:uid="{72FFA3EB-EAAA-46FB-AB71-94E8523E7FA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</t>
        </r>
      </text>
    </comment>
    <comment ref="F77" authorId="0" shapeId="0" xr:uid="{3C5EE51F-AD50-405D-A1EF-557FF736B76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</t>
        </r>
      </text>
    </comment>
    <comment ref="F78" authorId="0" shapeId="0" xr:uid="{9D77F2BE-1D35-413B-B28D-4DA4A971540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</t>
        </r>
      </text>
    </comment>
    <comment ref="H78" authorId="0" shapeId="0" xr:uid="{B02DF8CA-AF00-40AE-AB86-E02351DB117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</t>
        </r>
      </text>
    </comment>
    <comment ref="F79" authorId="0" shapeId="0" xr:uid="{8CA1E7C4-7C2A-400B-B133-B8987F9D4AC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</t>
        </r>
      </text>
    </comment>
    <comment ref="H79" authorId="0" shapeId="0" xr:uid="{A1E42079-451D-42DE-9BE7-422A4B73EAF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</t>
        </r>
      </text>
    </comment>
    <comment ref="F80" authorId="0" shapeId="0" xr:uid="{7C11486A-40BF-4C88-B320-B43AA728893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</t>
        </r>
      </text>
    </comment>
    <comment ref="F81" authorId="0" shapeId="0" xr:uid="{CFA2A70A-2972-4E1E-97CC-F821E188E80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</t>
        </r>
      </text>
    </comment>
    <comment ref="F82" authorId="0" shapeId="0" xr:uid="{B563D34B-0DC2-4CA8-A4B3-27CAC365449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</t>
        </r>
      </text>
    </comment>
    <comment ref="F83" authorId="0" shapeId="0" xr:uid="{38F2B408-3E84-4A94-BAD4-40797F88C0E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</t>
        </r>
      </text>
    </comment>
    <comment ref="F85" authorId="0" shapeId="0" xr:uid="{1DC349AD-5A4B-4ACD-B17E-3B2F07989EF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</t>
        </r>
      </text>
    </comment>
    <comment ref="F87" authorId="0" shapeId="0" xr:uid="{909BC65F-AC28-4044-8E97-5C7D5E5A31F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</t>
        </r>
      </text>
    </comment>
    <comment ref="F88" authorId="0" shapeId="0" xr:uid="{EB355353-7D03-4144-A320-362AEE3EFF9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</t>
        </r>
      </text>
    </comment>
    <comment ref="F89" authorId="0" shapeId="0" xr:uid="{E5C684A9-8761-419F-8343-9443D61DAF2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</t>
        </r>
      </text>
    </comment>
    <comment ref="F93" authorId="0" shapeId="0" xr:uid="{A10EC0B4-5C65-4238-80E1-1C46FF3DB6E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14.5 clams/digger</t>
        </r>
      </text>
    </comment>
    <comment ref="F94" authorId="0" shapeId="0" xr:uid="{794C953A-D404-4923-A353-B73A37FD14D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14.5 clams/digger</t>
        </r>
      </text>
    </comment>
    <comment ref="F95" authorId="0" shapeId="0" xr:uid="{D70BA259-987D-4E43-94F0-628C6718979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14.5 clams/digger</t>
        </r>
      </text>
    </comment>
    <comment ref="F96" authorId="0" shapeId="0" xr:uid="{A3B7EB07-F8A2-4D79-90E0-74187D1E7C7E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14.5 clams/digger</t>
        </r>
      </text>
    </comment>
    <comment ref="F98" authorId="0" shapeId="0" xr:uid="{0A59CDE3-D2A6-4D2A-952A-3B1CD65D84C1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10. clams/digger</t>
        </r>
      </text>
    </comment>
    <comment ref="F99" authorId="0" shapeId="0" xr:uid="{7C0EA9D2-00C9-4BEE-9B57-24EA1A931BC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8.0 clams/digger</t>
        </r>
      </text>
    </comment>
    <comment ref="F100" authorId="0" shapeId="0" xr:uid="{BA52D8D7-0A71-45A7-A13A-BBB44ADD7EF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5.0 clams/digger</t>
        </r>
      </text>
    </comment>
    <comment ref="F101" authorId="0" shapeId="0" xr:uid="{12A385BA-55A8-48AF-88D7-4A2B2C1F8CB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14.5 clams/digger</t>
        </r>
      </text>
    </comment>
    <comment ref="H101" authorId="0" shapeId="0" xr:uid="{226EA736-5958-4754-986C-A99C599823B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14.5 clams/digger</t>
        </r>
      </text>
    </comment>
    <comment ref="F102" authorId="0" shapeId="0" xr:uid="{38444762-BC1F-45F6-B6F9-90B3F3013494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15.0 clams/digger</t>
        </r>
      </text>
    </comment>
    <comment ref="F104" authorId="0" shapeId="0" xr:uid="{5C1A4A4C-EA3F-4774-AECA-5CB23A116AF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15.0 clams/digger</t>
        </r>
      </text>
    </comment>
    <comment ref="H104" authorId="0" shapeId="0" xr:uid="{9DC8001A-1776-426B-B2EB-52B026AE651B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15.0 clams/digger</t>
        </r>
      </text>
    </comment>
    <comment ref="H106" authorId="0" shapeId="0" xr:uid="{A76D5A13-7ABB-43C4-A8FD-F79F08744F3F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14.5 clams/digger</t>
        </r>
      </text>
    </comment>
    <comment ref="F107" authorId="0" shapeId="0" xr:uid="{8D9558E6-967C-4008-B090-FFD383463C6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14.5 clams/digger</t>
        </r>
      </text>
    </comment>
    <comment ref="H107" authorId="0" shapeId="0" xr:uid="{A3E14E22-8311-4C83-815E-5FE53D6809A6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14.5 clams/digger</t>
        </r>
      </text>
    </comment>
    <comment ref="F108" authorId="0" shapeId="0" xr:uid="{0C617E02-E3ED-4514-AC8B-1A47B61E725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14.0 clams/digger</t>
        </r>
      </text>
    </comment>
    <comment ref="F109" authorId="0" shapeId="0" xr:uid="{AA345AAA-78F2-41C4-9BF3-75A96A5E8DFD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14.0 clams/digger</t>
        </r>
      </text>
    </comment>
    <comment ref="H109" authorId="0" shapeId="0" xr:uid="{6F29295D-456E-4A3B-938B-9DB9C43143E1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14.0 clams/digger</t>
        </r>
      </text>
    </comment>
    <comment ref="F110" authorId="0" shapeId="0" xr:uid="{C3984914-87EA-4EDE-BBE2-6656D780C9AD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14.5 clams/digger</t>
        </r>
      </text>
    </comment>
    <comment ref="F111" authorId="0" shapeId="0" xr:uid="{C400B959-B3D7-44F7-9E2C-AC4A6437C98C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14.5 clams/digger</t>
        </r>
      </text>
    </comment>
    <comment ref="F112" authorId="0" shapeId="0" xr:uid="{7A1F5F30-29C9-4F4D-927B-9AF8D514610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15.0 clams/digger</t>
        </r>
      </text>
    </comment>
    <comment ref="H112" authorId="0" shapeId="0" xr:uid="{F12E24F5-B698-423A-A0A7-BD574A9E7E0D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15.0 clams/digger</t>
        </r>
      </text>
    </comment>
    <comment ref="F114" authorId="0" shapeId="0" xr:uid="{1133106E-CCE3-4A71-A48B-35E29398C0A2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15.0 clams/digger</t>
        </r>
      </text>
    </comment>
    <comment ref="H114" authorId="0" shapeId="0" xr:uid="{508A941D-20FA-4C89-8E16-2B4A93273F2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15.0 clams/digger</t>
        </r>
      </text>
    </comment>
    <comment ref="F115" authorId="0" shapeId="0" xr:uid="{37C2E917-61C2-4B30-A1C8-F1DB39F5B76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15.0 clams/digger</t>
        </r>
      </text>
    </comment>
    <comment ref="F116" authorId="0" shapeId="0" xr:uid="{C1A00B1B-7E32-48A5-A940-52836AA1475B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13.5 clams/digger</t>
        </r>
      </text>
    </comment>
    <comment ref="F119" authorId="0" shapeId="0" xr:uid="{565DB202-824B-47DE-A54B-50D6F4430BA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14.0 clams/digger</t>
        </r>
      </text>
    </comment>
    <comment ref="H122" authorId="0" shapeId="0" xr:uid="{AF428340-0DD7-48D0-96B8-2508EA4096B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19.5 clams/digger</t>
        </r>
      </text>
    </comment>
    <comment ref="F123" authorId="0" shapeId="0" xr:uid="{A58E6170-EE65-4910-B1CA-40CA4DAD57DE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19.0 clams/digger</t>
        </r>
      </text>
    </comment>
    <comment ref="H123" authorId="0" shapeId="0" xr:uid="{40CDB6E6-89E9-4C1C-9FC4-F8316EFBC50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19.0 clams/digger</t>
        </r>
      </text>
    </comment>
    <comment ref="F125" authorId="0" shapeId="0" xr:uid="{BAB57586-E288-4CD8-B468-46DFC5B0D18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20.0 clams/digger</t>
        </r>
      </text>
    </comment>
    <comment ref="F126" authorId="0" shapeId="0" xr:uid="{DA8BB7AA-F78E-453C-8557-D3A1471275CC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16.5 clams/digger</t>
        </r>
      </text>
    </comment>
    <comment ref="H126" authorId="0" shapeId="0" xr:uid="{723D1AD2-925B-4CCF-B894-9E577B636F4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16.5 clams/digger</t>
        </r>
      </text>
    </comment>
    <comment ref="F128" authorId="0" shapeId="0" xr:uid="{C1972883-8886-41E5-A764-D07E902C690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19.5 clams/digger</t>
        </r>
      </text>
    </comment>
    <comment ref="H128" authorId="0" shapeId="0" xr:uid="{C225DB8F-695D-41BA-8A2C-0E38AFD19FAD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19.5 clams/digger</t>
        </r>
      </text>
    </comment>
    <comment ref="F131" authorId="0" shapeId="0" xr:uid="{C28610E9-2670-4280-A84F-D0F4393899E3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20.0 clams/digger</t>
        </r>
      </text>
    </comment>
    <comment ref="F132" authorId="0" shapeId="0" xr:uid="{E0C44116-DA8B-44D9-A83D-673145CA3A8F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17.5 clams/digger</t>
        </r>
      </text>
    </comment>
    <comment ref="H132" authorId="0" shapeId="0" xr:uid="{2C7F3495-D3DB-4CA0-A97B-EF9BCA37E17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17.5 clams/digger</t>
        </r>
      </text>
    </comment>
    <comment ref="H133" authorId="0" shapeId="0" xr:uid="{6B01856A-44E4-45BF-8552-7570DC408976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20.0 clams/digger</t>
        </r>
      </text>
    </comment>
    <comment ref="F134" authorId="0" shapeId="0" xr:uid="{5533A140-6509-4E82-90F4-FE7DE52A2C5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11.5 clams/digger</t>
        </r>
      </text>
    </comment>
    <comment ref="H134" authorId="0" shapeId="0" xr:uid="{5AB46BCA-7528-4EB6-B39B-B6AB43F5420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11.5 clams/digger</t>
        </r>
      </text>
    </comment>
    <comment ref="F135" authorId="0" shapeId="0" xr:uid="{6FE3EDBF-5933-4970-81B1-A68ECB6EB1C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19.5 clams/digger</t>
        </r>
      </text>
    </comment>
    <comment ref="H135" authorId="0" shapeId="0" xr:uid="{CF099C18-A9B8-4EA0-9554-B62EE3511C0B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19.5 clams/digger</t>
        </r>
      </text>
    </comment>
    <comment ref="F136" authorId="0" shapeId="0" xr:uid="{632E3DE5-099F-4D91-99AD-AF8A1D97CD2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Assigned a CPUE of 17.0 clams/digger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E119" authorId="0" shapeId="0" xr:uid="{3FDBBE60-35B4-4A37-A5BA-8D2D7DA3240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  <comment ref="H119" authorId="0" shapeId="0" xr:uid="{AE3671F9-1A41-4F05-8825-29197211A65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  <comment ref="K119" authorId="0" shapeId="0" xr:uid="{D8CA2485-2AA8-4C8D-93C8-0D1434F01D2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  <comment ref="E120" authorId="0" shapeId="0" xr:uid="{834FDB81-6EA1-4073-BFDD-EA9798DE371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  <comment ref="H120" authorId="0" shapeId="0" xr:uid="{72267934-B378-4BC4-AFC0-A5A920D444E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  <comment ref="N120" authorId="0" shapeId="0" xr:uid="{3029AC58-B8F8-4853-AE4F-ACED5EE2550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Ayres, Daniel L (DFW)</author>
  </authors>
  <commentList>
    <comment ref="E119" authorId="0" shapeId="0" xr:uid="{8FFFE624-07B4-47E0-98B5-4661442A4342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  <comment ref="H119" authorId="0" shapeId="0" xr:uid="{95A48CCD-FDF3-412C-B89E-620DEC9CAF4D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  <comment ref="K119" authorId="0" shapeId="0" xr:uid="{1AB1F485-B768-41B5-8AA5-7A02393D19B1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  <comment ref="E120" authorId="0" shapeId="0" xr:uid="{F8DA7131-16C4-48A9-8F4B-51C35260E937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  <comment ref="H120" authorId="0" shapeId="0" xr:uid="{EDAA8B10-C9E7-4149-A3CA-AC9E634139B6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  <comment ref="N120" authorId="0" shapeId="0" xr:uid="{EE82705F-8769-4720-B0E0-0D763A0F924B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Ayres, Daniel L (DFW)</author>
  </authors>
  <commentList>
    <comment ref="E119" authorId="0" shapeId="0" xr:uid="{81CE5170-2258-4C4D-A482-1EA020677B0D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  <comment ref="I120" authorId="0" shapeId="0" xr:uid="{122F0F57-4CCC-49A0-A812-8E9D86303A9D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28 ft swell/40 knt winds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  <author>Deibert, John R (DFW)</author>
    <author>Ayres, Daniel L (DFW)</author>
  </authors>
  <commentList>
    <comment ref="I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J4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I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J5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I6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minus the agreed to 161,153 payback to QIN
37% exploitation rate</t>
        </r>
      </text>
    </comment>
    <comment ref="J6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I7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J7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I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25.4% exploitation rate</t>
        </r>
      </text>
    </comment>
    <comment ref="J8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sharedStrings.xml><?xml version="1.0" encoding="utf-8"?>
<sst xmlns="http://schemas.openxmlformats.org/spreadsheetml/2006/main" count="3142" uniqueCount="82">
  <si>
    <t>Date</t>
  </si>
  <si>
    <t>Day</t>
  </si>
  <si>
    <t>Tide</t>
  </si>
  <si>
    <t>Time</t>
  </si>
  <si>
    <t>Longbeach</t>
  </si>
  <si>
    <t>Twin Harbors</t>
  </si>
  <si>
    <t>Copalis</t>
  </si>
  <si>
    <t>Mocrocks</t>
  </si>
  <si>
    <t>Kalaloch</t>
  </si>
  <si>
    <t>Daily Totals</t>
  </si>
  <si>
    <t>CLOSED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</si>
  <si>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</si>
  <si>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</si>
  <si>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</si>
  <si>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</si>
  <si>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</si>
  <si>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</si>
  <si>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** - No beach count. Used data from another day with similar conditions to estimate count.</t>
  </si>
  <si>
    <t>Fri</t>
  </si>
  <si>
    <t>Sat</t>
  </si>
  <si>
    <t>Sun</t>
  </si>
  <si>
    <t>Mon</t>
  </si>
  <si>
    <t>Tue</t>
  </si>
  <si>
    <t>Wed</t>
  </si>
  <si>
    <t>Thu</t>
  </si>
  <si>
    <t>SEASON TOTALS :</t>
  </si>
  <si>
    <t># - Tide is not low enough for decent digging opportunity</t>
  </si>
  <si>
    <t>Effort</t>
  </si>
  <si>
    <t>Harvest</t>
  </si>
  <si>
    <t>CPUE</t>
  </si>
  <si>
    <t>EventID</t>
  </si>
  <si>
    <t>LocationID</t>
  </si>
  <si>
    <t>NHoles</t>
  </si>
  <si>
    <t>NClams</t>
  </si>
  <si>
    <t>NMorts</t>
  </si>
  <si>
    <t>NON-TRIBAL TOTAL ALLOWABLE CATCH (TAC)</t>
  </si>
  <si>
    <t>2018-2019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</si>
  <si>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</si>
  <si>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</si>
  <si>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</si>
  <si>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</si>
  <si>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</si>
  <si>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</si>
  <si>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</si>
  <si>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</si>
  <si>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LONG BEACH</t>
  </si>
  <si>
    <t>TWIN HARBORS</t>
  </si>
  <si>
    <t>COPALIS</t>
  </si>
  <si>
    <t>MOCROCKS</t>
  </si>
  <si>
    <t>KALALOCH</t>
  </si>
  <si>
    <t>COASTWIDE TAC</t>
  </si>
  <si>
    <t>2019-2020</t>
  </si>
  <si>
    <t>DAILY TOTALS</t>
  </si>
  <si>
    <t>DATE</t>
  </si>
  <si>
    <t>DAY</t>
  </si>
  <si>
    <t>TIDE</t>
  </si>
  <si>
    <t>TIME</t>
  </si>
  <si>
    <t>Tide Series Totals</t>
  </si>
  <si>
    <t>SEASON SUBTOTALS:</t>
  </si>
  <si>
    <t>WASTAGE</t>
  </si>
  <si>
    <t>SEASON TOTALS:</t>
  </si>
  <si>
    <t>Size (mm)</t>
  </si>
  <si>
    <t>*</t>
  </si>
  <si>
    <t>2020-2021</t>
  </si>
  <si>
    <t xml:space="preserve">FALL 2021 - SPRING 2022 SEASON TOTALS: </t>
  </si>
  <si>
    <t>Fall 2021 / Spring 2022 Harvest Rate (clams/day):</t>
  </si>
  <si>
    <t>2021-2022 State (non-Tribal) Recreational Razor Clam Effort, Harvest and CPUE totals.</t>
  </si>
  <si>
    <t>2021-2022</t>
  </si>
  <si>
    <t>32009</t>
  </si>
  <si>
    <t>33012</t>
  </si>
  <si>
    <t>42600</t>
  </si>
  <si>
    <t>21200</t>
  </si>
  <si>
    <t>22309</t>
  </si>
  <si>
    <t>12600</t>
  </si>
  <si>
    <t>12500</t>
  </si>
  <si>
    <t>12400</t>
  </si>
  <si>
    <t>+</t>
  </si>
  <si>
    <t>CROSS</t>
  </si>
  <si>
    <t>CHECK</t>
  </si>
  <si>
    <t>22307</t>
  </si>
  <si>
    <t>21100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</si>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</sst>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mmmm\ d\,\ yyyy;@"/>
    <numFmt numFmtId="165" formatCode="ddd"/>
    <numFmt numFmtId="166" formatCode="0.0"/>
    <numFmt numFmtId="167" formatCode="[$-409]h:mm\ AM/PM;@"/>
    <numFmt numFmtId="168" formatCode="0.0%"/>
    <numFmt numFmtId="169" formatCode="#,##0.0_);\(#,##0.0\)"/>
    <numFmt numFmtId="170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2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b/>
      <i/>
      <sz val="1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0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0"/>
      </right>
      <top/>
      <bottom style="thin">
        <color indexed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19" fillId="0" borderId="0"/>
  </cellStyleXfs>
  <cellXfs count="158">
    <xf numFmtId="0" fontId="0" fillId="0" borderId="0" xfId="0"/>
    <xf numFmtId="0" fontId="2" fillId="0" borderId="1" xfId="0" applyFont="1" applyBorder="1" applyAlignment="1">
      <alignment horizontal="center"/>
    </xf>
    <xf numFmtId="164" fontId="0" fillId="0" borderId="0" xfId="0" applyNumberFormat="1" applyBorder="1"/>
    <xf numFmtId="37" fontId="0" fillId="0" borderId="0" xfId="1" applyNumberFormat="1" applyFont="1" applyBorder="1" applyAlignment="1">
      <alignment horizontal="center"/>
    </xf>
    <xf numFmtId="164" fontId="0" fillId="0" borderId="0" xfId="0" applyNumberFormat="1" applyFill="1" applyBorder="1"/>
    <xf numFmtId="166" fontId="0" fillId="0" borderId="0" xfId="0" applyNumberFormat="1" applyAlignment="1">
      <alignment horizontal="center"/>
    </xf>
    <xf numFmtId="18" fontId="0" fillId="0" borderId="0" xfId="0" applyNumberFormat="1"/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Fill="1" applyBorder="1" applyAlignment="1">
      <alignment horizontal="center"/>
    </xf>
    <xf numFmtId="0" fontId="0" fillId="0" borderId="0" xfId="0" applyFill="1"/>
    <xf numFmtId="16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Alignment="1">
      <alignment horizontal="right"/>
    </xf>
    <xf numFmtId="3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Fill="1"/>
    <xf numFmtId="168" fontId="0" fillId="0" borderId="0" xfId="0" applyNumberFormat="1" applyFont="1" applyAlignment="1">
      <alignment horizontal="center"/>
    </xf>
    <xf numFmtId="0" fontId="4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7" fontId="2" fillId="0" borderId="1" xfId="0" applyNumberFormat="1" applyFont="1" applyBorder="1" applyAlignment="1">
      <alignment horizontal="center"/>
    </xf>
    <xf numFmtId="167" fontId="0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 applyFill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left"/>
    </xf>
    <xf numFmtId="164" fontId="3" fillId="0" borderId="0" xfId="0" applyNumberFormat="1" applyFont="1" applyBorder="1" applyAlignment="1"/>
    <xf numFmtId="164" fontId="4" fillId="0" borderId="0" xfId="0" applyNumberFormat="1" applyFont="1" applyBorder="1" applyAlignment="1">
      <alignment horizontal="left"/>
    </xf>
    <xf numFmtId="164" fontId="4" fillId="0" borderId="0" xfId="0" applyNumberFormat="1" applyFont="1" applyFill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/>
    <xf numFmtId="166" fontId="0" fillId="0" borderId="0" xfId="0" applyNumberFormat="1"/>
    <xf numFmtId="0" fontId="7" fillId="2" borderId="2" xfId="3" applyFont="1" applyFill="1" applyBorder="1" applyAlignment="1">
      <alignment horizontal="center"/>
    </xf>
    <xf numFmtId="10" fontId="0" fillId="0" borderId="0" xfId="0" applyNumberFormat="1"/>
    <xf numFmtId="0" fontId="0" fillId="0" borderId="0" xfId="0" applyAlignment="1"/>
    <xf numFmtId="0" fontId="0" fillId="0" borderId="5" xfId="0" applyBorder="1" applyAlignment="1"/>
    <xf numFmtId="3" fontId="0" fillId="0" borderId="6" xfId="0" applyNumberFormat="1" applyBorder="1" applyAlignment="1"/>
    <xf numFmtId="0" fontId="0" fillId="0" borderId="7" xfId="0" applyBorder="1" applyAlignment="1"/>
    <xf numFmtId="3" fontId="0" fillId="0" borderId="8" xfId="0" applyNumberFormat="1" applyBorder="1" applyAlignment="1"/>
    <xf numFmtId="3" fontId="0" fillId="3" borderId="8" xfId="0" applyNumberFormat="1" applyFill="1" applyBorder="1" applyAlignment="1"/>
    <xf numFmtId="3" fontId="10" fillId="3" borderId="0" xfId="0" applyNumberFormat="1" applyFont="1" applyFill="1" applyAlignment="1">
      <alignment horizontal="center"/>
    </xf>
    <xf numFmtId="0" fontId="0" fillId="0" borderId="9" xfId="0" applyBorder="1" applyAlignment="1"/>
    <xf numFmtId="3" fontId="0" fillId="0" borderId="10" xfId="0" applyNumberFormat="1" applyBorder="1" applyAlignment="1"/>
    <xf numFmtId="0" fontId="11" fillId="0" borderId="11" xfId="0" applyFont="1" applyBorder="1" applyAlignment="1"/>
    <xf numFmtId="3" fontId="0" fillId="0" borderId="12" xfId="0" applyNumberFormat="1" applyBorder="1" applyAlignment="1"/>
    <xf numFmtId="10" fontId="0" fillId="0" borderId="0" xfId="2" quotePrefix="1" applyNumberFormat="1" applyFont="1" applyAlignment="1">
      <alignment horizontal="center"/>
    </xf>
    <xf numFmtId="0" fontId="12" fillId="0" borderId="17" xfId="0" applyFont="1" applyBorder="1" applyAlignment="1"/>
    <xf numFmtId="0" fontId="12" fillId="0" borderId="18" xfId="0" applyFont="1" applyFill="1" applyBorder="1" applyAlignment="1"/>
    <xf numFmtId="0" fontId="12" fillId="0" borderId="17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3" fontId="12" fillId="0" borderId="17" xfId="0" applyNumberFormat="1" applyFont="1" applyFill="1" applyBorder="1" applyAlignment="1">
      <alignment horizontal="center"/>
    </xf>
    <xf numFmtId="16" fontId="12" fillId="0" borderId="0" xfId="0" applyNumberFormat="1" applyFont="1" applyBorder="1" applyAlignment="1">
      <alignment horizontal="center"/>
    </xf>
    <xf numFmtId="165" fontId="13" fillId="0" borderId="0" xfId="0" applyNumberFormat="1" applyFont="1" applyBorder="1" applyAlignment="1">
      <alignment horizontal="center"/>
    </xf>
    <xf numFmtId="3" fontId="12" fillId="0" borderId="22" xfId="0" applyNumberFormat="1" applyFont="1" applyFill="1" applyBorder="1" applyAlignment="1">
      <alignment horizontal="center"/>
    </xf>
    <xf numFmtId="3" fontId="12" fillId="0" borderId="0" xfId="0" applyNumberFormat="1" applyFont="1" applyBorder="1" applyAlignment="1">
      <alignment horizontal="center"/>
    </xf>
    <xf numFmtId="166" fontId="12" fillId="0" borderId="0" xfId="0" applyNumberFormat="1" applyFont="1" applyBorder="1" applyAlignment="1">
      <alignment horizontal="center"/>
    </xf>
    <xf numFmtId="166" fontId="12" fillId="0" borderId="23" xfId="0" applyNumberFormat="1" applyFont="1" applyFill="1" applyBorder="1" applyAlignment="1">
      <alignment horizontal="center"/>
    </xf>
    <xf numFmtId="3" fontId="12" fillId="0" borderId="17" xfId="0" applyNumberFormat="1" applyFont="1" applyBorder="1" applyAlignment="1"/>
    <xf numFmtId="3" fontId="12" fillId="0" borderId="21" xfId="0" applyNumberFormat="1" applyFont="1" applyFill="1" applyBorder="1" applyAlignment="1">
      <alignment horizontal="center"/>
    </xf>
    <xf numFmtId="3" fontId="14" fillId="0" borderId="26" xfId="0" applyNumberFormat="1" applyFont="1" applyFill="1" applyBorder="1" applyAlignment="1">
      <alignment horizontal="center"/>
    </xf>
    <xf numFmtId="3" fontId="14" fillId="0" borderId="24" xfId="0" applyNumberFormat="1" applyFont="1" applyFill="1" applyBorder="1" applyAlignment="1">
      <alignment horizontal="center"/>
    </xf>
    <xf numFmtId="166" fontId="14" fillId="0" borderId="24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0" xfId="0" applyNumberFormat="1" applyAlignment="1"/>
    <xf numFmtId="3" fontId="0" fillId="0" borderId="13" xfId="0" applyNumberFormat="1" applyBorder="1" applyAlignment="1"/>
    <xf numFmtId="3" fontId="0" fillId="0" borderId="14" xfId="0" applyNumberFormat="1" applyBorder="1" applyAlignment="1"/>
    <xf numFmtId="3" fontId="0" fillId="0" borderId="15" xfId="0" applyNumberFormat="1" applyBorder="1" applyAlignment="1"/>
    <xf numFmtId="3" fontId="15" fillId="0" borderId="16" xfId="0" applyNumberFormat="1" applyFont="1" applyBorder="1" applyAlignment="1"/>
    <xf numFmtId="166" fontId="2" fillId="0" borderId="1" xfId="0" applyNumberFormat="1" applyFont="1" applyBorder="1" applyAlignment="1">
      <alignment horizontal="center"/>
    </xf>
    <xf numFmtId="0" fontId="7" fillId="0" borderId="3" xfId="4" applyFont="1" applyFill="1" applyBorder="1" applyAlignment="1">
      <alignment horizontal="right" wrapText="1"/>
    </xf>
    <xf numFmtId="0" fontId="7" fillId="0" borderId="3" xfId="4" applyFont="1" applyFill="1" applyBorder="1" applyAlignment="1">
      <alignment wrapText="1"/>
    </xf>
    <xf numFmtId="16" fontId="14" fillId="0" borderId="18" xfId="0" applyNumberFormat="1" applyFont="1" applyFill="1" applyBorder="1" applyAlignment="1">
      <alignment horizontal="left"/>
    </xf>
    <xf numFmtId="0" fontId="14" fillId="0" borderId="18" xfId="0" applyFont="1" applyFill="1" applyBorder="1" applyAlignment="1"/>
    <xf numFmtId="3" fontId="14" fillId="0" borderId="18" xfId="0" applyNumberFormat="1" applyFont="1" applyFill="1" applyBorder="1" applyAlignment="1">
      <alignment horizontal="center"/>
    </xf>
    <xf numFmtId="166" fontId="14" fillId="0" borderId="18" xfId="0" applyNumberFormat="1" applyFont="1" applyFill="1" applyBorder="1" applyAlignment="1">
      <alignment horizontal="center"/>
    </xf>
    <xf numFmtId="16" fontId="14" fillId="0" borderId="0" xfId="0" applyNumberFormat="1" applyFont="1" applyFill="1" applyBorder="1" applyAlignment="1">
      <alignment horizontal="left"/>
    </xf>
    <xf numFmtId="0" fontId="14" fillId="0" borderId="0" xfId="0" applyFont="1" applyFill="1" applyBorder="1" applyAlignment="1"/>
    <xf numFmtId="3" fontId="14" fillId="0" borderId="0" xfId="0" applyNumberFormat="1" applyFont="1" applyFill="1" applyBorder="1" applyAlignment="1">
      <alignment horizontal="center"/>
    </xf>
    <xf numFmtId="166" fontId="14" fillId="0" borderId="0" xfId="0" applyNumberFormat="1" applyFont="1" applyFill="1" applyBorder="1" applyAlignment="1">
      <alignment horizontal="center"/>
    </xf>
    <xf numFmtId="16" fontId="14" fillId="0" borderId="27" xfId="0" applyNumberFormat="1" applyFont="1" applyFill="1" applyBorder="1" applyAlignment="1">
      <alignment horizontal="left"/>
    </xf>
    <xf numFmtId="0" fontId="14" fillId="0" borderId="28" xfId="0" applyFont="1" applyFill="1" applyBorder="1" applyAlignment="1"/>
    <xf numFmtId="3" fontId="14" fillId="0" borderId="28" xfId="0" applyNumberFormat="1" applyFont="1" applyFill="1" applyBorder="1" applyAlignment="1">
      <alignment horizontal="center"/>
    </xf>
    <xf numFmtId="166" fontId="14" fillId="0" borderId="28" xfId="0" applyNumberFormat="1" applyFont="1" applyFill="1" applyBorder="1" applyAlignment="1">
      <alignment horizontal="center"/>
    </xf>
    <xf numFmtId="3" fontId="14" fillId="0" borderId="29" xfId="0" applyNumberFormat="1" applyFont="1" applyFill="1" applyBorder="1" applyAlignment="1">
      <alignment horizontal="center"/>
    </xf>
    <xf numFmtId="0" fontId="16" fillId="0" borderId="30" xfId="0" applyFont="1" applyBorder="1" applyAlignment="1">
      <alignment horizontal="left"/>
    </xf>
    <xf numFmtId="0" fontId="14" fillId="0" borderId="1" xfId="0" applyFont="1" applyBorder="1" applyAlignment="1"/>
    <xf numFmtId="168" fontId="14" fillId="0" borderId="1" xfId="0" applyNumberFormat="1" applyFont="1" applyBorder="1" applyAlignment="1">
      <alignment horizontal="center"/>
    </xf>
    <xf numFmtId="0" fontId="14" fillId="0" borderId="31" xfId="0" applyFont="1" applyBorder="1" applyAlignment="1"/>
    <xf numFmtId="3" fontId="2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Fill="1" applyAlignment="1">
      <alignment horizontal="center"/>
    </xf>
    <xf numFmtId="3" fontId="0" fillId="0" borderId="0" xfId="1" applyNumberFormat="1" applyFont="1" applyBorder="1" applyAlignment="1">
      <alignment horizontal="center"/>
    </xf>
    <xf numFmtId="166" fontId="12" fillId="0" borderId="0" xfId="0" applyNumberFormat="1" applyFont="1" applyFill="1" applyBorder="1" applyAlignment="1">
      <alignment horizontal="center"/>
    </xf>
    <xf numFmtId="166" fontId="12" fillId="0" borderId="18" xfId="0" applyNumberFormat="1" applyFont="1" applyFill="1" applyBorder="1" applyAlignment="1">
      <alignment horizontal="center"/>
    </xf>
    <xf numFmtId="166" fontId="12" fillId="0" borderId="32" xfId="0" applyNumberFormat="1" applyFont="1" applyFill="1" applyBorder="1" applyAlignment="1">
      <alignment horizontal="center"/>
    </xf>
    <xf numFmtId="0" fontId="7" fillId="0" borderId="4" xfId="4" applyFont="1" applyFill="1" applyBorder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67" fontId="0" fillId="0" borderId="0" xfId="0" applyNumberFormat="1" applyFont="1" applyBorder="1" applyAlignment="1">
      <alignment horizontal="center"/>
    </xf>
    <xf numFmtId="3" fontId="0" fillId="0" borderId="0" xfId="0" applyNumberFormat="1" applyFont="1" applyBorder="1" applyAlignment="1">
      <alignment horizontal="center"/>
    </xf>
    <xf numFmtId="37" fontId="0" fillId="0" borderId="0" xfId="0" applyNumberFormat="1" applyFont="1"/>
    <xf numFmtId="166" fontId="0" fillId="0" borderId="0" xfId="0" applyNumberFormat="1" applyFont="1" applyBorder="1" applyAlignment="1">
      <alignment horizontal="center"/>
    </xf>
    <xf numFmtId="0" fontId="7" fillId="0" borderId="0" xfId="4" applyFont="1" applyFill="1" applyBorder="1" applyAlignment="1">
      <alignment wrapText="1"/>
    </xf>
    <xf numFmtId="0" fontId="7" fillId="0" borderId="0" xfId="4" applyFont="1" applyFill="1" applyBorder="1" applyAlignment="1">
      <alignment horizontal="right" wrapText="1"/>
    </xf>
    <xf numFmtId="166" fontId="14" fillId="0" borderId="14" xfId="0" applyNumberFormat="1" applyFont="1" applyFill="1" applyBorder="1" applyAlignment="1">
      <alignment horizontal="center"/>
    </xf>
    <xf numFmtId="37" fontId="0" fillId="0" borderId="0" xfId="0" applyNumberFormat="1" applyFont="1" applyAlignment="1">
      <alignment horizontal="center"/>
    </xf>
    <xf numFmtId="16" fontId="14" fillId="0" borderId="0" xfId="0" applyNumberFormat="1" applyFont="1" applyFill="1" applyBorder="1" applyAlignment="1">
      <alignment horizontal="center"/>
    </xf>
    <xf numFmtId="0" fontId="7" fillId="2" borderId="2" xfId="5" applyFont="1" applyFill="1" applyBorder="1" applyAlignment="1">
      <alignment horizontal="center"/>
    </xf>
    <xf numFmtId="0" fontId="7" fillId="0" borderId="3" xfId="5" applyFont="1" applyFill="1" applyBorder="1" applyAlignment="1">
      <alignment horizontal="right" wrapText="1"/>
    </xf>
    <xf numFmtId="0" fontId="7" fillId="0" borderId="3" xfId="5" applyFont="1" applyFill="1" applyBorder="1" applyAlignment="1">
      <alignment wrapText="1"/>
    </xf>
    <xf numFmtId="0" fontId="7" fillId="2" borderId="2" xfId="6" applyFont="1" applyFill="1" applyBorder="1" applyAlignment="1">
      <alignment horizontal="center"/>
    </xf>
    <xf numFmtId="0" fontId="7" fillId="0" borderId="3" xfId="6" applyFont="1" applyFill="1" applyBorder="1" applyAlignment="1">
      <alignment horizontal="right" wrapText="1"/>
    </xf>
    <xf numFmtId="0" fontId="7" fillId="0" borderId="3" xfId="6" applyFont="1" applyFill="1" applyBorder="1" applyAlignment="1">
      <alignment wrapText="1"/>
    </xf>
    <xf numFmtId="0" fontId="7" fillId="2" borderId="2" xfId="7" applyFont="1" applyFill="1" applyBorder="1" applyAlignment="1">
      <alignment horizontal="center"/>
    </xf>
    <xf numFmtId="0" fontId="7" fillId="0" borderId="3" xfId="7" applyFont="1" applyFill="1" applyBorder="1" applyAlignment="1">
      <alignment horizontal="right" wrapText="1"/>
    </xf>
    <xf numFmtId="0" fontId="7" fillId="0" borderId="3" xfId="7" applyFont="1" applyFill="1" applyBorder="1" applyAlignment="1">
      <alignment wrapText="1"/>
    </xf>
    <xf numFmtId="0" fontId="7" fillId="0" borderId="3" xfId="3" applyFont="1" applyFill="1" applyBorder="1" applyAlignment="1">
      <alignment horizontal="right" wrapText="1"/>
    </xf>
    <xf numFmtId="0" fontId="7" fillId="0" borderId="3" xfId="3" applyFont="1" applyFill="1" applyBorder="1" applyAlignment="1">
      <alignment wrapText="1"/>
    </xf>
    <xf numFmtId="3" fontId="12" fillId="4" borderId="22" xfId="0" applyNumberFormat="1" applyFont="1" applyFill="1" applyBorder="1" applyAlignment="1">
      <alignment horizontal="center"/>
    </xf>
    <xf numFmtId="3" fontId="12" fillId="4" borderId="0" xfId="0" applyNumberFormat="1" applyFont="1" applyFill="1" applyBorder="1" applyAlignment="1">
      <alignment horizontal="center"/>
    </xf>
    <xf numFmtId="166" fontId="12" fillId="4" borderId="0" xfId="0" applyNumberFormat="1" applyFont="1" applyFill="1" applyBorder="1" applyAlignment="1">
      <alignment horizontal="center"/>
    </xf>
    <xf numFmtId="3" fontId="12" fillId="5" borderId="22" xfId="0" applyNumberFormat="1" applyFont="1" applyFill="1" applyBorder="1" applyAlignment="1">
      <alignment horizontal="center"/>
    </xf>
    <xf numFmtId="3" fontId="12" fillId="5" borderId="0" xfId="0" applyNumberFormat="1" applyFont="1" applyFill="1" applyBorder="1" applyAlignment="1">
      <alignment horizontal="center"/>
    </xf>
    <xf numFmtId="166" fontId="12" fillId="5" borderId="0" xfId="0" applyNumberFormat="1" applyFont="1" applyFill="1" applyBorder="1" applyAlignment="1">
      <alignment horizontal="center"/>
    </xf>
    <xf numFmtId="16" fontId="12" fillId="0" borderId="0" xfId="0" applyNumberFormat="1" applyFont="1" applyFill="1" applyBorder="1" applyAlignment="1">
      <alignment horizontal="center"/>
    </xf>
    <xf numFmtId="165" fontId="13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7" fontId="0" fillId="0" borderId="0" xfId="0" applyNumberFormat="1" applyFont="1" applyFill="1" applyBorder="1" applyAlignment="1">
      <alignment horizontal="center"/>
    </xf>
    <xf numFmtId="3" fontId="12" fillId="0" borderId="0" xfId="0" applyNumberFormat="1" applyFont="1" applyFill="1" applyBorder="1" applyAlignment="1">
      <alignment horizontal="center"/>
    </xf>
    <xf numFmtId="0" fontId="12" fillId="0" borderId="0" xfId="0" applyFont="1" applyBorder="1" applyAlignment="1"/>
    <xf numFmtId="0" fontId="14" fillId="0" borderId="0" xfId="0" applyFont="1" applyBorder="1" applyAlignment="1"/>
    <xf numFmtId="3" fontId="0" fillId="0" borderId="0" xfId="0" applyNumberFormat="1" applyFill="1"/>
    <xf numFmtId="170" fontId="0" fillId="0" borderId="0" xfId="0" applyNumberFormat="1" applyFont="1" applyBorder="1" applyAlignment="1">
      <alignment horizontal="center"/>
    </xf>
    <xf numFmtId="166" fontId="12" fillId="0" borderId="28" xfId="0" applyNumberFormat="1" applyFont="1" applyFill="1" applyBorder="1" applyAlignment="1">
      <alignment horizontal="center"/>
    </xf>
    <xf numFmtId="0" fontId="7" fillId="0" borderId="0" xfId="3" applyFont="1" applyFill="1" applyBorder="1" applyAlignment="1">
      <alignment horizontal="right" wrapText="1"/>
    </xf>
    <xf numFmtId="0" fontId="19" fillId="0" borderId="0" xfId="9" applyProtection="1">
      <protection locked="0"/>
    </xf>
    <xf numFmtId="0" fontId="19" fillId="0" borderId="0" xfId="9" applyProtection="1">
      <protection locked="0"/>
    </xf>
    <xf numFmtId="0" fontId="19" fillId="0" borderId="0" xfId="9" applyProtection="1">
      <protection locked="0"/>
    </xf>
    <xf numFmtId="0" fontId="19" fillId="0" borderId="0" xfId="9" applyFill="1" applyBorder="1" applyProtection="1">
      <protection locked="0"/>
    </xf>
    <xf numFmtId="0" fontId="19" fillId="0" borderId="0" xfId="9" applyFill="1" applyProtection="1">
      <protection locked="0"/>
    </xf>
    <xf numFmtId="0" fontId="2" fillId="0" borderId="1" xfId="0" applyFont="1" applyBorder="1" applyAlignment="1">
      <alignment horizontal="center"/>
    </xf>
    <xf numFmtId="16" fontId="14" fillId="0" borderId="24" xfId="0" applyNumberFormat="1" applyFont="1" applyFill="1" applyBorder="1" applyAlignment="1">
      <alignment horizontal="center"/>
    </xf>
    <xf numFmtId="16" fontId="14" fillId="0" borderId="25" xfId="0" applyNumberFormat="1" applyFont="1" applyFill="1" applyBorder="1" applyAlignment="1">
      <alignment horizontal="center"/>
    </xf>
    <xf numFmtId="16" fontId="12" fillId="0" borderId="19" xfId="0" applyNumberFormat="1" applyFont="1" applyFill="1" applyBorder="1" applyAlignment="1">
      <alignment horizontal="center"/>
    </xf>
    <xf numFmtId="16" fontId="12" fillId="0" borderId="18" xfId="0" applyNumberFormat="1" applyFont="1" applyFill="1" applyBorder="1" applyAlignment="1">
      <alignment horizontal="center"/>
    </xf>
    <xf numFmtId="16" fontId="12" fillId="0" borderId="20" xfId="0" applyNumberFormat="1" applyFont="1" applyFill="1" applyBorder="1" applyAlignment="1">
      <alignment horizontal="center"/>
    </xf>
    <xf numFmtId="3" fontId="12" fillId="0" borderId="19" xfId="0" applyNumberFormat="1" applyFont="1" applyFill="1" applyBorder="1" applyAlignment="1">
      <alignment horizontal="center"/>
    </xf>
    <xf numFmtId="3" fontId="12" fillId="0" borderId="18" xfId="0" applyNumberFormat="1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</cellXfs>
  <cellStyles count="10">
    <cellStyle name="Comma" xfId="1" builtinId="3"/>
    <cellStyle name="Normal" xfId="0" builtinId="0"/>
    <cellStyle name="Normal 2" xfId="8" xr:uid="{5F026BFF-F180-40A1-98B2-919AFB767081}"/>
    <cellStyle name="Normal 3" xfId="9" xr:uid="{FA6E2879-CF0C-4935-9AA1-6F3A1A0A2A09}"/>
    <cellStyle name="Normal_Cop Wastage" xfId="5" xr:uid="{C1062809-FD54-4060-B587-28A7D6901E3C}"/>
    <cellStyle name="Normal_Copy Sheet" xfId="4" xr:uid="{00000000-0005-0000-0000-000002000000}"/>
    <cellStyle name="Normal_LB Wastage" xfId="3" xr:uid="{00000000-0005-0000-0000-000003000000}"/>
    <cellStyle name="Normal_Moc Wastage" xfId="6" xr:uid="{62C406E5-A92E-4E4C-BB7A-FDDD433B630E}"/>
    <cellStyle name="Normal_TH Wastage" xfId="7" xr:uid="{A5BF4D59-8031-4DC4-AE53-92F445AB51D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9"/>
  <sheetViews>
    <sheetView zoomScaleNormal="100" workbookViewId="0">
      <selection activeCell="Q2" sqref="Q2"/>
    </sheetView>
  </sheetViews>
  <sheetFormatPr defaultRowHeight="15" x14ac:dyDescent="0.25"/>
  <cols>
    <col min="1" max="1" width="18.7109375" style="21" customWidth="1"/>
    <col min="2" max="2" width="5.42578125" style="20" customWidth="1"/>
    <col min="3" max="3" width="7.7109375" style="20" customWidth="1"/>
    <col min="4" max="4" width="8.85546875" style="24" bestFit="1" customWidth="1"/>
    <col min="5" max="5" width="3.7109375" style="8" customWidth="1"/>
    <col min="6" max="6" width="12.7109375" style="93" customWidth="1"/>
    <col min="7" max="7" width="3.7109375" customWidth="1"/>
    <col min="8" max="8" width="12.7109375" style="93" customWidth="1"/>
    <col min="9" max="9" width="3.7109375" customWidth="1"/>
    <col min="10" max="10" width="12.7109375" style="93" customWidth="1"/>
    <col min="11" max="11" width="3.7109375" customWidth="1"/>
    <col min="12" max="12" width="12.7109375" style="93" customWidth="1"/>
    <col min="13" max="13" width="3.7109375" customWidth="1"/>
    <col min="14" max="14" width="12.7109375" style="20" customWidth="1"/>
    <col min="15" max="15" width="18.140625" style="93" bestFit="1" customWidth="1"/>
  </cols>
  <sheetData>
    <row r="1" spans="1:17" x14ac:dyDescent="0.25">
      <c r="A1" s="26" t="s">
        <v>0</v>
      </c>
      <c r="B1" s="1" t="s">
        <v>1</v>
      </c>
      <c r="C1" s="1" t="s">
        <v>2</v>
      </c>
      <c r="D1" s="22" t="s">
        <v>3</v>
      </c>
      <c r="E1" s="147" t="s">
        <v>4</v>
      </c>
      <c r="F1" s="147"/>
      <c r="G1" s="147" t="s">
        <v>5</v>
      </c>
      <c r="H1" s="147"/>
      <c r="I1" s="147" t="s">
        <v>6</v>
      </c>
      <c r="J1" s="147"/>
      <c r="K1" s="147" t="s">
        <v>7</v>
      </c>
      <c r="L1" s="147"/>
      <c r="M1" s="147" t="s">
        <v>8</v>
      </c>
      <c r="N1" s="147"/>
      <c r="O1" s="92" t="s">
        <v>9</v>
      </c>
    </row>
    <row r="2" spans="1:17" x14ac:dyDescent="0.25">
      <c r="A2" s="103">
        <v>44456</v>
      </c>
      <c r="B2" s="104" t="s">
        <v>18</v>
      </c>
      <c r="C2" s="104">
        <v>-0.4</v>
      </c>
      <c r="D2" s="105">
        <v>0.1875</v>
      </c>
      <c r="E2" s="102" t="s">
        <v>62</v>
      </c>
      <c r="F2" s="106">
        <f>CPUE!F2*Effort!F2</f>
        <v>12593.951925420553</v>
      </c>
      <c r="G2" s="104" t="s">
        <v>62</v>
      </c>
      <c r="H2" s="106">
        <f>CPUE!H2*Effort!H2</f>
        <v>6075.4191476586684</v>
      </c>
      <c r="I2" s="104"/>
      <c r="J2" s="106" t="s">
        <v>10</v>
      </c>
      <c r="K2" s="104"/>
      <c r="L2" s="106">
        <v>9619.6814040262907</v>
      </c>
      <c r="M2" s="104"/>
      <c r="N2" s="104" t="s">
        <v>10</v>
      </c>
      <c r="O2" s="14">
        <f t="shared" ref="O2:O65" si="0">SUM(F2:N2)</f>
        <v>28289.052477105513</v>
      </c>
      <c r="Q2" s="34">
        <f>SUM(O2:O28)</f>
        <v>2239984.4521005107</v>
      </c>
    </row>
    <row r="3" spans="1:17" x14ac:dyDescent="0.25">
      <c r="A3" s="103">
        <v>44457</v>
      </c>
      <c r="B3" s="104" t="s">
        <v>19</v>
      </c>
      <c r="C3" s="104">
        <v>-0.5</v>
      </c>
      <c r="D3" s="105">
        <v>0.22361111111111109</v>
      </c>
      <c r="E3" s="102"/>
      <c r="F3" s="106">
        <f>CPUE!F3*Effort!F3</f>
        <v>25491.192351109221</v>
      </c>
      <c r="G3" s="104" t="s">
        <v>62</v>
      </c>
      <c r="H3" s="106">
        <f>CPUE!H3*Effort!H3</f>
        <v>19987.424240666027</v>
      </c>
      <c r="I3" s="104"/>
      <c r="J3" s="106">
        <v>26711.365458876498</v>
      </c>
      <c r="K3" s="104"/>
      <c r="L3" s="106" t="s">
        <v>10</v>
      </c>
      <c r="M3" s="104"/>
      <c r="N3" s="104" t="s">
        <v>10</v>
      </c>
      <c r="O3" s="14">
        <f t="shared" si="0"/>
        <v>72189.982050651743</v>
      </c>
    </row>
    <row r="4" spans="1:17" x14ac:dyDescent="0.25">
      <c r="A4" s="103">
        <v>44458</v>
      </c>
      <c r="B4" s="104" t="s">
        <v>20</v>
      </c>
      <c r="C4" s="104">
        <v>-0.6</v>
      </c>
      <c r="D4" s="105">
        <v>0.25416666666666665</v>
      </c>
      <c r="E4" s="102" t="s">
        <v>62</v>
      </c>
      <c r="F4" s="106">
        <f>CPUE!F4*Effort!F4</f>
        <v>111059.75956750941</v>
      </c>
      <c r="G4" s="104"/>
      <c r="H4" s="106">
        <v>47195.998977054303</v>
      </c>
      <c r="I4" s="104"/>
      <c r="J4" s="106" t="s">
        <v>10</v>
      </c>
      <c r="K4" s="104"/>
      <c r="L4" s="106">
        <v>69378.065022825103</v>
      </c>
      <c r="M4" s="104"/>
      <c r="N4" s="104" t="s">
        <v>10</v>
      </c>
      <c r="O4" s="14">
        <f t="shared" si="0"/>
        <v>227633.82356738881</v>
      </c>
    </row>
    <row r="5" spans="1:17" x14ac:dyDescent="0.25">
      <c r="A5" s="103">
        <v>44459</v>
      </c>
      <c r="B5" s="104" t="s">
        <v>21</v>
      </c>
      <c r="C5" s="104">
        <v>-0.5</v>
      </c>
      <c r="D5" s="105">
        <v>0.28125</v>
      </c>
      <c r="E5" s="102" t="s">
        <v>62</v>
      </c>
      <c r="F5" s="106">
        <f>CPUE!F5*Effort!F5</f>
        <v>40965.493406679016</v>
      </c>
      <c r="G5" s="104"/>
      <c r="H5" s="106">
        <v>29905.0279064063</v>
      </c>
      <c r="I5" s="104"/>
      <c r="J5" s="106">
        <v>41409.558450377299</v>
      </c>
      <c r="K5" s="104"/>
      <c r="L5" s="106" t="s">
        <v>10</v>
      </c>
      <c r="M5" s="104"/>
      <c r="N5" s="104" t="s">
        <v>10</v>
      </c>
      <c r="O5" s="14">
        <f t="shared" si="0"/>
        <v>112280.07976346261</v>
      </c>
    </row>
    <row r="6" spans="1:17" x14ac:dyDescent="0.25">
      <c r="A6" s="103">
        <v>44460</v>
      </c>
      <c r="B6" s="104" t="s">
        <v>22</v>
      </c>
      <c r="C6" s="104">
        <v>-0.2</v>
      </c>
      <c r="D6" s="105">
        <v>0.30624999999999997</v>
      </c>
      <c r="E6" s="102"/>
      <c r="F6" s="106">
        <f>31578.948084252+22614.6015313031</f>
        <v>54193.549615555094</v>
      </c>
      <c r="G6" s="104"/>
      <c r="H6" s="106">
        <v>24836.2153846154</v>
      </c>
      <c r="I6" s="104"/>
      <c r="J6" s="106" t="s">
        <v>10</v>
      </c>
      <c r="K6" s="104"/>
      <c r="L6" s="106">
        <v>41859.955101252301</v>
      </c>
      <c r="M6" s="104"/>
      <c r="N6" s="104" t="s">
        <v>10</v>
      </c>
      <c r="O6" s="14">
        <f t="shared" si="0"/>
        <v>120889.72010142279</v>
      </c>
    </row>
    <row r="7" spans="1:17" x14ac:dyDescent="0.25">
      <c r="A7" s="103">
        <v>44461</v>
      </c>
      <c r="B7" s="104" t="s">
        <v>23</v>
      </c>
      <c r="C7" s="104">
        <v>0.3</v>
      </c>
      <c r="D7" s="105">
        <v>0.32916666666666666</v>
      </c>
      <c r="E7" s="102"/>
      <c r="F7" s="106">
        <f>CPUE!F7*Effort!F7</f>
        <v>57115.305763013937</v>
      </c>
      <c r="G7" s="104"/>
      <c r="H7" s="106">
        <v>29693.2373305775</v>
      </c>
      <c r="I7" s="104"/>
      <c r="J7" s="106">
        <v>52765.800472449897</v>
      </c>
      <c r="K7" s="104"/>
      <c r="L7" s="106" t="s">
        <v>10</v>
      </c>
      <c r="M7" s="104"/>
      <c r="N7" s="104" t="s">
        <v>10</v>
      </c>
      <c r="O7" s="14">
        <f t="shared" si="0"/>
        <v>139574.34356604132</v>
      </c>
    </row>
    <row r="8" spans="1:17" x14ac:dyDescent="0.25">
      <c r="A8" s="103">
        <v>44462</v>
      </c>
      <c r="B8" s="104" t="s">
        <v>24</v>
      </c>
      <c r="C8" s="104">
        <v>0.3</v>
      </c>
      <c r="D8" s="105">
        <v>0.87361111111111101</v>
      </c>
      <c r="E8" s="102" t="s">
        <v>62</v>
      </c>
      <c r="F8" s="106">
        <f>CPUE!F8*Effort!F8</f>
        <v>30265.655192949307</v>
      </c>
      <c r="G8" s="104"/>
      <c r="H8" s="106">
        <v>28236.4300735545</v>
      </c>
      <c r="I8" s="104"/>
      <c r="J8" s="106" t="s">
        <v>10</v>
      </c>
      <c r="K8" s="104"/>
      <c r="L8" s="106">
        <v>21116.388360813398</v>
      </c>
      <c r="M8" s="104"/>
      <c r="N8" s="104" t="s">
        <v>10</v>
      </c>
      <c r="O8" s="14">
        <f t="shared" si="0"/>
        <v>79618.473627317202</v>
      </c>
    </row>
    <row r="9" spans="1:17" x14ac:dyDescent="0.25">
      <c r="A9" s="103">
        <v>44463</v>
      </c>
      <c r="B9" s="104" t="s">
        <v>18</v>
      </c>
      <c r="C9" s="104">
        <v>0.4</v>
      </c>
      <c r="D9" s="105">
        <v>0.9</v>
      </c>
      <c r="E9" s="102" t="s">
        <v>62</v>
      </c>
      <c r="F9" s="106">
        <f>CPUE!F9*Effort!F9</f>
        <v>39992.113652129541</v>
      </c>
      <c r="G9" s="104" t="s">
        <v>62</v>
      </c>
      <c r="H9" s="106">
        <f>CPUE!H9*Effort!H9</f>
        <v>29745.294295610613</v>
      </c>
      <c r="I9" s="104"/>
      <c r="J9" s="106">
        <v>40269.543777773601</v>
      </c>
      <c r="K9" s="104"/>
      <c r="L9" s="106" t="s">
        <v>10</v>
      </c>
      <c r="M9" s="104"/>
      <c r="N9" s="104" t="s">
        <v>10</v>
      </c>
      <c r="O9" s="14">
        <f t="shared" si="0"/>
        <v>110006.95172551376</v>
      </c>
    </row>
    <row r="10" spans="1:17" x14ac:dyDescent="0.25">
      <c r="A10" s="103">
        <v>44464</v>
      </c>
      <c r="B10" s="104" t="s">
        <v>19</v>
      </c>
      <c r="C10" s="104">
        <v>0.5</v>
      </c>
      <c r="D10" s="105">
        <v>0.92708333333333337</v>
      </c>
      <c r="E10" s="102"/>
      <c r="F10" s="106">
        <f>CPUE!F10*Effort!F10</f>
        <v>57184.06611526887</v>
      </c>
      <c r="G10" s="104"/>
      <c r="H10" s="106">
        <v>47702.402393942</v>
      </c>
      <c r="I10" s="104"/>
      <c r="J10" s="106">
        <v>32170.787021718799</v>
      </c>
      <c r="K10" s="104"/>
      <c r="L10" s="106">
        <v>18922.141876608101</v>
      </c>
      <c r="M10" s="104"/>
      <c r="N10" s="104" t="s">
        <v>10</v>
      </c>
      <c r="O10" s="14">
        <f t="shared" si="0"/>
        <v>155979.39740753776</v>
      </c>
    </row>
    <row r="11" spans="1:17" x14ac:dyDescent="0.25">
      <c r="A11" s="103"/>
      <c r="B11" s="104"/>
      <c r="C11" s="104"/>
      <c r="D11" s="105"/>
      <c r="E11" s="102"/>
      <c r="F11" s="106"/>
      <c r="G11" s="104"/>
      <c r="H11" s="106"/>
      <c r="I11" s="104"/>
      <c r="J11" s="106"/>
      <c r="K11" s="104"/>
      <c r="L11" s="106"/>
      <c r="M11" s="104"/>
      <c r="N11" s="104"/>
      <c r="O11" s="14"/>
    </row>
    <row r="12" spans="1:17" x14ac:dyDescent="0.25">
      <c r="A12" s="103">
        <v>44472</v>
      </c>
      <c r="B12" s="104" t="s">
        <v>20</v>
      </c>
      <c r="C12" s="104">
        <v>0.2</v>
      </c>
      <c r="D12" s="105">
        <v>0.20277777777777781</v>
      </c>
      <c r="E12" s="102" t="s">
        <v>62</v>
      </c>
      <c r="F12" s="106">
        <f>CPUE!F12*Effort!F12</f>
        <v>18306.538901130185</v>
      </c>
      <c r="G12" s="104" t="s">
        <v>62</v>
      </c>
      <c r="H12" s="106">
        <f>CPUE!H12*Effort!H12</f>
        <v>13157.57056034404</v>
      </c>
      <c r="I12" s="104"/>
      <c r="J12" s="106">
        <v>13628.5993163652</v>
      </c>
      <c r="K12" s="104"/>
      <c r="L12" s="106" t="s">
        <v>10</v>
      </c>
      <c r="M12" s="104"/>
      <c r="N12" s="106" t="s">
        <v>10</v>
      </c>
      <c r="O12" s="14">
        <f t="shared" si="0"/>
        <v>45092.708777839427</v>
      </c>
    </row>
    <row r="13" spans="1:17" x14ac:dyDescent="0.25">
      <c r="A13" s="103">
        <v>44473</v>
      </c>
      <c r="B13" s="104" t="s">
        <v>21</v>
      </c>
      <c r="C13" s="104">
        <v>0</v>
      </c>
      <c r="D13" s="105">
        <v>0.23124999999999998</v>
      </c>
      <c r="E13" s="102" t="s">
        <v>62</v>
      </c>
      <c r="F13" s="106">
        <f>CPUE!F13*Effort!F13</f>
        <v>7925.8171162734325</v>
      </c>
      <c r="G13" s="104" t="s">
        <v>62</v>
      </c>
      <c r="H13" s="106">
        <f>CPUE!H13*Effort!H13</f>
        <v>4750.9747567664936</v>
      </c>
      <c r="I13" s="104"/>
      <c r="J13" s="106" t="s">
        <v>10</v>
      </c>
      <c r="K13" s="104"/>
      <c r="L13" s="106">
        <v>5923.3310822445001</v>
      </c>
      <c r="M13" s="104"/>
      <c r="N13" s="106" t="s">
        <v>10</v>
      </c>
      <c r="O13" s="14">
        <f t="shared" si="0"/>
        <v>18600.122955284423</v>
      </c>
    </row>
    <row r="14" spans="1:17" x14ac:dyDescent="0.25">
      <c r="A14" s="103">
        <v>44474</v>
      </c>
      <c r="B14" s="104" t="s">
        <v>22</v>
      </c>
      <c r="C14" s="104">
        <v>-0.1</v>
      </c>
      <c r="D14" s="105">
        <v>0.25833333333333336</v>
      </c>
      <c r="E14" s="102"/>
      <c r="F14" s="106">
        <f>CPUE!F14*Effort!F14</f>
        <v>5682.6542276690197</v>
      </c>
      <c r="G14" s="104"/>
      <c r="H14" s="106">
        <v>6365.5094015394798</v>
      </c>
      <c r="I14" s="104"/>
      <c r="J14" s="106">
        <v>5618.3510780799897</v>
      </c>
      <c r="K14" s="104"/>
      <c r="L14" s="106" t="s">
        <v>10</v>
      </c>
      <c r="M14" s="104"/>
      <c r="N14" s="106" t="s">
        <v>10</v>
      </c>
      <c r="O14" s="14">
        <f t="shared" si="0"/>
        <v>17666.514707288487</v>
      </c>
    </row>
    <row r="15" spans="1:17" x14ac:dyDescent="0.25">
      <c r="A15" s="103">
        <v>44475</v>
      </c>
      <c r="B15" s="104" t="s">
        <v>23</v>
      </c>
      <c r="C15" s="104">
        <v>-0.3</v>
      </c>
      <c r="D15" s="105">
        <v>0.80555555555555547</v>
      </c>
      <c r="E15" s="102" t="s">
        <v>62</v>
      </c>
      <c r="F15" s="106">
        <f>CPUE!F15*Effort!F15</f>
        <v>77176.406574995082</v>
      </c>
      <c r="G15" s="104"/>
      <c r="H15" s="106">
        <v>44090.2647856611</v>
      </c>
      <c r="I15" s="104"/>
      <c r="J15" s="106" t="s">
        <v>10</v>
      </c>
      <c r="K15" s="104"/>
      <c r="L15" s="106">
        <v>60261.807710894202</v>
      </c>
      <c r="M15" s="104"/>
      <c r="N15" s="106" t="s">
        <v>10</v>
      </c>
      <c r="O15" s="14">
        <f t="shared" si="0"/>
        <v>181528.47907155039</v>
      </c>
    </row>
    <row r="16" spans="1:17" x14ac:dyDescent="0.25">
      <c r="A16" s="103">
        <v>44476</v>
      </c>
      <c r="B16" s="104" t="s">
        <v>24</v>
      </c>
      <c r="C16" s="104">
        <v>-0.8</v>
      </c>
      <c r="D16" s="105">
        <v>0.83611111111111114</v>
      </c>
      <c r="E16" s="102"/>
      <c r="F16" s="106">
        <f>CPUE!F16*Effort!F16</f>
        <v>60762.177414545309</v>
      </c>
      <c r="G16" s="104"/>
      <c r="H16" s="106">
        <v>46960.366903304501</v>
      </c>
      <c r="I16" s="104"/>
      <c r="J16" s="106">
        <v>43947.378582145597</v>
      </c>
      <c r="K16" s="104"/>
      <c r="L16" s="106" t="s">
        <v>10</v>
      </c>
      <c r="M16" s="104"/>
      <c r="N16" s="106" t="s">
        <v>10</v>
      </c>
      <c r="O16" s="14">
        <f t="shared" si="0"/>
        <v>151669.92289999541</v>
      </c>
    </row>
    <row r="17" spans="1:15" x14ac:dyDescent="0.25">
      <c r="A17" s="103">
        <v>44477</v>
      </c>
      <c r="B17" s="104" t="s">
        <v>18</v>
      </c>
      <c r="C17" s="104">
        <v>-1.1000000000000001</v>
      </c>
      <c r="D17" s="105">
        <v>0.86805555555555547</v>
      </c>
      <c r="E17" s="102"/>
      <c r="F17" s="106">
        <f>(43384.314536755+70470.5895530587)</f>
        <v>113854.9040898137</v>
      </c>
      <c r="G17" s="104"/>
      <c r="H17" s="106">
        <v>73352.367716982902</v>
      </c>
      <c r="I17" s="104"/>
      <c r="J17" s="106" t="s">
        <v>10</v>
      </c>
      <c r="K17" s="104"/>
      <c r="L17" s="106">
        <v>82315.699822836701</v>
      </c>
      <c r="M17" s="104"/>
      <c r="N17" s="106" t="s">
        <v>10</v>
      </c>
      <c r="O17" s="14">
        <f t="shared" si="0"/>
        <v>269522.97162963334</v>
      </c>
    </row>
    <row r="18" spans="1:15" x14ac:dyDescent="0.25">
      <c r="A18" s="103">
        <v>44478</v>
      </c>
      <c r="B18" s="104" t="s">
        <v>19</v>
      </c>
      <c r="C18" s="104">
        <v>-1.1000000000000001</v>
      </c>
      <c r="D18" s="105">
        <v>0.90138888888888891</v>
      </c>
      <c r="E18" s="102"/>
      <c r="F18" s="106">
        <f>CPUE!F18*Effort!F18</f>
        <v>48636.070487616977</v>
      </c>
      <c r="G18" s="104" t="s">
        <v>62</v>
      </c>
      <c r="H18" s="106">
        <f>CPUE!H18*Effort!H18</f>
        <v>49665.758755907649</v>
      </c>
      <c r="I18" s="104"/>
      <c r="J18" s="106">
        <v>46151.109385120297</v>
      </c>
      <c r="K18" s="104"/>
      <c r="L18" s="106" t="s">
        <v>10</v>
      </c>
      <c r="M18" s="104"/>
      <c r="N18" s="106" t="s">
        <v>10</v>
      </c>
      <c r="O18" s="14">
        <f t="shared" si="0"/>
        <v>144452.93862864492</v>
      </c>
    </row>
    <row r="19" spans="1:15" x14ac:dyDescent="0.25">
      <c r="A19" s="103">
        <v>44479</v>
      </c>
      <c r="B19" s="104" t="s">
        <v>20</v>
      </c>
      <c r="C19" s="104">
        <v>-0.8</v>
      </c>
      <c r="D19" s="105">
        <v>0.93888888888888899</v>
      </c>
      <c r="E19" s="102"/>
      <c r="F19" s="106">
        <f>CPUE!F19*Effort!F19</f>
        <v>10026.921815059701</v>
      </c>
      <c r="G19" s="104"/>
      <c r="H19" s="106">
        <v>17719.972051304401</v>
      </c>
      <c r="I19" s="104"/>
      <c r="J19" s="106" t="s">
        <v>10</v>
      </c>
      <c r="K19" s="104"/>
      <c r="L19" s="106">
        <v>16536.600149613801</v>
      </c>
      <c r="M19" s="104"/>
      <c r="N19" s="106" t="s">
        <v>10</v>
      </c>
      <c r="O19" s="14">
        <f t="shared" si="0"/>
        <v>44283.494015977907</v>
      </c>
    </row>
    <row r="20" spans="1:15" x14ac:dyDescent="0.25">
      <c r="A20" s="103">
        <v>44480</v>
      </c>
      <c r="B20" s="104" t="s">
        <v>21</v>
      </c>
      <c r="C20" s="104">
        <v>-0.4</v>
      </c>
      <c r="D20" s="105">
        <v>0.98055555555555562</v>
      </c>
      <c r="E20" s="102" t="s">
        <v>62</v>
      </c>
      <c r="F20" s="106">
        <f>CPUE!F20*Effort!F20</f>
        <v>8800.0559145844454</v>
      </c>
      <c r="G20" s="104" t="s">
        <v>62</v>
      </c>
      <c r="H20" s="106">
        <f>CPUE!H20*Effort!H20</f>
        <v>9226.0008200214652</v>
      </c>
      <c r="I20" s="104"/>
      <c r="J20" s="106">
        <v>9469.5654137148103</v>
      </c>
      <c r="K20" s="104"/>
      <c r="L20" s="106" t="s">
        <v>10</v>
      </c>
      <c r="M20" s="104"/>
      <c r="N20" s="106" t="s">
        <v>10</v>
      </c>
      <c r="O20" s="14">
        <f t="shared" si="0"/>
        <v>27495.622148320719</v>
      </c>
    </row>
    <row r="21" spans="1:15" x14ac:dyDescent="0.25">
      <c r="A21" s="103"/>
      <c r="B21" s="104"/>
      <c r="C21" s="104"/>
      <c r="D21" s="105"/>
      <c r="E21" s="102"/>
      <c r="F21" s="106"/>
      <c r="G21" s="104"/>
      <c r="H21" s="106"/>
      <c r="I21" s="104"/>
      <c r="J21" s="106"/>
      <c r="K21" s="104"/>
      <c r="L21" s="106"/>
      <c r="M21" s="104"/>
      <c r="N21" s="106"/>
      <c r="O21" s="14"/>
    </row>
    <row r="22" spans="1:15" x14ac:dyDescent="0.25">
      <c r="A22" s="103">
        <v>44488</v>
      </c>
      <c r="B22" s="104" t="s">
        <v>22</v>
      </c>
      <c r="C22" s="104">
        <v>0.3</v>
      </c>
      <c r="D22" s="105">
        <v>0.78263888888888899</v>
      </c>
      <c r="E22" s="102"/>
      <c r="F22" s="106">
        <f>23042.4116706904+24300.4219816668</f>
        <v>47342.8336523572</v>
      </c>
      <c r="G22" s="104"/>
      <c r="H22" s="106">
        <v>41285.715141651803</v>
      </c>
      <c r="I22" s="104"/>
      <c r="J22" s="106">
        <v>31412.038680698501</v>
      </c>
      <c r="K22" s="104"/>
      <c r="L22" s="106" t="s">
        <v>10</v>
      </c>
      <c r="M22" s="104"/>
      <c r="N22" s="106" t="s">
        <v>10</v>
      </c>
      <c r="O22" s="14">
        <f t="shared" si="0"/>
        <v>120040.5874747075</v>
      </c>
    </row>
    <row r="23" spans="1:15" x14ac:dyDescent="0.25">
      <c r="A23" s="103">
        <v>44489</v>
      </c>
      <c r="B23" s="104" t="s">
        <v>23</v>
      </c>
      <c r="C23" s="104">
        <v>0</v>
      </c>
      <c r="D23" s="105">
        <v>0.80763888888888891</v>
      </c>
      <c r="E23" s="102" t="s">
        <v>62</v>
      </c>
      <c r="F23" s="106">
        <f>CPUE!F23*Effort!F23</f>
        <v>16327.334573915001</v>
      </c>
      <c r="G23" s="104"/>
      <c r="H23" s="106">
        <v>15822.708402571299</v>
      </c>
      <c r="I23" s="104"/>
      <c r="J23" s="106" t="s">
        <v>10</v>
      </c>
      <c r="K23" s="104"/>
      <c r="L23" s="106">
        <v>14729.0217015664</v>
      </c>
      <c r="M23" s="104"/>
      <c r="N23" s="106" t="s">
        <v>10</v>
      </c>
      <c r="O23" s="14">
        <f t="shared" si="0"/>
        <v>46879.064678052702</v>
      </c>
    </row>
    <row r="24" spans="1:15" x14ac:dyDescent="0.25">
      <c r="A24" s="103">
        <v>44490</v>
      </c>
      <c r="B24" s="104" t="s">
        <v>24</v>
      </c>
      <c r="C24" s="104">
        <v>-0.1</v>
      </c>
      <c r="D24" s="105">
        <v>0.83194444444444438</v>
      </c>
      <c r="E24" s="102" t="s">
        <v>62</v>
      </c>
      <c r="F24" s="106">
        <f>CPUE!F24*Effort!F24</f>
        <v>7861.0349056039904</v>
      </c>
      <c r="G24" s="104"/>
      <c r="H24" s="106">
        <v>4067.0556141172801</v>
      </c>
      <c r="I24" s="104"/>
      <c r="J24" s="106">
        <v>9307.3617662479792</v>
      </c>
      <c r="K24" s="104"/>
      <c r="L24" s="106" t="s">
        <v>10</v>
      </c>
      <c r="M24" s="104"/>
      <c r="N24" s="106" t="s">
        <v>10</v>
      </c>
      <c r="O24" s="14">
        <f t="shared" si="0"/>
        <v>21235.452285969252</v>
      </c>
    </row>
    <row r="25" spans="1:15" x14ac:dyDescent="0.25">
      <c r="A25" s="103">
        <v>44491</v>
      </c>
      <c r="B25" s="104" t="s">
        <v>18</v>
      </c>
      <c r="C25" s="104">
        <v>-0.1</v>
      </c>
      <c r="D25" s="105">
        <v>0.85555555555555562</v>
      </c>
      <c r="E25" s="102"/>
      <c r="F25" s="106">
        <f>CPUE!F25*Effort!F25</f>
        <v>12447.057745585525</v>
      </c>
      <c r="G25" s="104"/>
      <c r="H25" s="106">
        <v>5961.93840105459</v>
      </c>
      <c r="I25" s="104"/>
      <c r="J25" s="106" t="s">
        <v>10</v>
      </c>
      <c r="K25" s="104"/>
      <c r="L25" s="106">
        <v>15071.747461202</v>
      </c>
      <c r="M25" s="104"/>
      <c r="N25" s="106" t="s">
        <v>10</v>
      </c>
      <c r="O25" s="14">
        <f t="shared" si="0"/>
        <v>33480.743607842116</v>
      </c>
    </row>
    <row r="26" spans="1:15" x14ac:dyDescent="0.25">
      <c r="A26" s="103">
        <v>44492</v>
      </c>
      <c r="B26" s="104" t="s">
        <v>19</v>
      </c>
      <c r="C26" s="104">
        <v>0</v>
      </c>
      <c r="D26" s="105">
        <v>0.87986111111111109</v>
      </c>
      <c r="E26" s="102"/>
      <c r="F26" s="106">
        <f>CPUE!F26*Effort!F26</f>
        <v>23983.333293323689</v>
      </c>
      <c r="G26" s="104"/>
      <c r="H26" s="106">
        <v>19474.753450587799</v>
      </c>
      <c r="I26" s="104"/>
      <c r="J26" s="106">
        <v>27757.918189051099</v>
      </c>
      <c r="K26" s="104"/>
      <c r="L26" s="106" t="s">
        <v>10</v>
      </c>
      <c r="M26" s="104"/>
      <c r="N26" s="106" t="s">
        <v>10</v>
      </c>
      <c r="O26" s="14">
        <f t="shared" si="0"/>
        <v>71216.004932962591</v>
      </c>
    </row>
    <row r="27" spans="1:15" x14ac:dyDescent="0.25">
      <c r="A27" s="103">
        <v>44493</v>
      </c>
      <c r="B27" s="104" t="s">
        <v>20</v>
      </c>
      <c r="C27" s="104">
        <v>0.2</v>
      </c>
      <c r="D27" s="105">
        <v>0.90486111111111101</v>
      </c>
      <c r="E27" s="102" t="s">
        <v>76</v>
      </c>
      <c r="F27" s="106">
        <v>0</v>
      </c>
      <c r="G27" s="104" t="s">
        <v>76</v>
      </c>
      <c r="H27" s="106">
        <v>0</v>
      </c>
      <c r="I27" s="104"/>
      <c r="J27" s="106" t="s">
        <v>10</v>
      </c>
      <c r="K27" s="104" t="s">
        <v>76</v>
      </c>
      <c r="L27" s="106">
        <v>0</v>
      </c>
      <c r="M27" s="104"/>
      <c r="N27" s="106" t="s">
        <v>10</v>
      </c>
      <c r="O27" s="14">
        <f t="shared" si="0"/>
        <v>0</v>
      </c>
    </row>
    <row r="28" spans="1:15" x14ac:dyDescent="0.25">
      <c r="A28" s="103">
        <v>44494</v>
      </c>
      <c r="B28" s="104" t="s">
        <v>21</v>
      </c>
      <c r="C28" s="104">
        <v>0.5</v>
      </c>
      <c r="D28" s="105">
        <v>0.93402777777777779</v>
      </c>
      <c r="E28" s="102" t="s">
        <v>62</v>
      </c>
      <c r="F28" s="106">
        <v>86</v>
      </c>
      <c r="G28" s="104"/>
      <c r="H28" s="106">
        <v>72</v>
      </c>
      <c r="I28" s="104" t="s">
        <v>62</v>
      </c>
      <c r="J28" s="106">
        <v>200</v>
      </c>
      <c r="K28" s="104"/>
      <c r="L28" s="106" t="s">
        <v>10</v>
      </c>
      <c r="M28" s="104"/>
      <c r="N28" s="106" t="s">
        <v>10</v>
      </c>
      <c r="O28" s="14">
        <f t="shared" si="0"/>
        <v>358</v>
      </c>
    </row>
    <row r="29" spans="1:15" x14ac:dyDescent="0.25">
      <c r="A29" s="103"/>
      <c r="B29" s="104"/>
      <c r="C29" s="104"/>
      <c r="D29" s="105"/>
      <c r="E29" s="102"/>
      <c r="F29" s="106"/>
      <c r="G29" s="104"/>
      <c r="H29" s="106"/>
      <c r="I29" s="104"/>
      <c r="J29" s="106"/>
      <c r="K29" s="104"/>
      <c r="L29" s="106"/>
      <c r="M29" s="104"/>
      <c r="N29" s="106"/>
      <c r="O29" s="14"/>
    </row>
    <row r="30" spans="1:15" x14ac:dyDescent="0.25">
      <c r="A30" s="103">
        <v>44503</v>
      </c>
      <c r="B30" s="104" t="s">
        <v>23</v>
      </c>
      <c r="C30" s="104">
        <v>-0.3</v>
      </c>
      <c r="D30" s="105">
        <v>0.76111111111111107</v>
      </c>
      <c r="E30" s="102"/>
      <c r="F30" s="106">
        <f>23670.9714666302+19247.5139517877</f>
        <v>42918.485418417898</v>
      </c>
      <c r="G30" s="104" t="s">
        <v>62</v>
      </c>
      <c r="H30" s="106">
        <f>CPUE!H30*Effort!H30</f>
        <v>23559.067889912134</v>
      </c>
      <c r="I30" s="104"/>
      <c r="J30" s="106" t="s">
        <v>10</v>
      </c>
      <c r="K30" s="104"/>
      <c r="L30" s="106">
        <v>25530.096837896101</v>
      </c>
      <c r="M30" s="104"/>
      <c r="N30" s="106" t="s">
        <v>10</v>
      </c>
      <c r="O30" s="14">
        <f t="shared" si="0"/>
        <v>92007.650146226137</v>
      </c>
    </row>
    <row r="31" spans="1:15" x14ac:dyDescent="0.25">
      <c r="A31" s="103">
        <v>44504</v>
      </c>
      <c r="B31" s="104" t="s">
        <v>24</v>
      </c>
      <c r="C31" s="104">
        <v>-1.1000000000000001</v>
      </c>
      <c r="D31" s="105">
        <v>0.79236111111111107</v>
      </c>
      <c r="E31" s="102" t="s">
        <v>62</v>
      </c>
      <c r="F31" s="106">
        <f>CPUE!F31*Effort!F31</f>
        <v>35823.172173801846</v>
      </c>
      <c r="G31" s="104"/>
      <c r="H31" s="106">
        <v>20879.510063979698</v>
      </c>
      <c r="I31" s="104"/>
      <c r="J31" s="106">
        <v>35700.369286364097</v>
      </c>
      <c r="K31" s="104"/>
      <c r="L31" s="106" t="s">
        <v>10</v>
      </c>
      <c r="M31" s="104"/>
      <c r="N31" s="106" t="s">
        <v>10</v>
      </c>
      <c r="O31" s="14">
        <f t="shared" si="0"/>
        <v>92403.051524145645</v>
      </c>
    </row>
    <row r="32" spans="1:15" x14ac:dyDescent="0.25">
      <c r="A32" s="103">
        <v>44505</v>
      </c>
      <c r="B32" s="104" t="s">
        <v>18</v>
      </c>
      <c r="C32" s="104">
        <v>-1.6</v>
      </c>
      <c r="D32" s="105">
        <v>0.82361111111111107</v>
      </c>
      <c r="E32" s="102"/>
      <c r="F32" s="106">
        <f>CPUE!F32*Effort!F32</f>
        <v>60836.016840089942</v>
      </c>
      <c r="G32" s="104"/>
      <c r="H32" s="106">
        <v>29574.582330980898</v>
      </c>
      <c r="I32" s="104"/>
      <c r="J32" s="106" t="s">
        <v>10</v>
      </c>
      <c r="K32" s="104"/>
      <c r="L32" s="106">
        <v>38528.109574799797</v>
      </c>
      <c r="M32" s="104"/>
      <c r="N32" s="106" t="s">
        <v>10</v>
      </c>
      <c r="O32" s="14">
        <f t="shared" si="0"/>
        <v>128938.70874587065</v>
      </c>
    </row>
    <row r="33" spans="1:15" x14ac:dyDescent="0.25">
      <c r="A33" s="103">
        <v>44506</v>
      </c>
      <c r="B33" s="104" t="s">
        <v>19</v>
      </c>
      <c r="C33" s="104">
        <v>-1.8</v>
      </c>
      <c r="D33" s="105">
        <v>0.85625000000000007</v>
      </c>
      <c r="E33" s="102"/>
      <c r="F33" s="106">
        <f>CPUE!F33*Effort!F33</f>
        <v>58875.968260559705</v>
      </c>
      <c r="G33" s="104"/>
      <c r="H33" s="106">
        <v>40526.860589224001</v>
      </c>
      <c r="I33" s="104"/>
      <c r="J33" s="106">
        <v>52338.755688470097</v>
      </c>
      <c r="K33" s="104"/>
      <c r="L33" s="106" t="s">
        <v>10</v>
      </c>
      <c r="M33" s="104"/>
      <c r="N33" s="106" t="s">
        <v>10</v>
      </c>
      <c r="O33" s="14">
        <f t="shared" si="0"/>
        <v>151741.58453825381</v>
      </c>
    </row>
    <row r="34" spans="1:15" x14ac:dyDescent="0.25">
      <c r="A34" s="103">
        <v>44507</v>
      </c>
      <c r="B34" s="104" t="s">
        <v>20</v>
      </c>
      <c r="C34" s="104">
        <v>-1.6</v>
      </c>
      <c r="D34" s="105">
        <v>0.84930555555555554</v>
      </c>
      <c r="E34" s="102" t="s">
        <v>62</v>
      </c>
      <c r="F34" s="106">
        <f>CPUE!F34*Effort!F34</f>
        <v>21249.623960925306</v>
      </c>
      <c r="G34" s="104"/>
      <c r="H34" s="106">
        <v>14604.7109853743</v>
      </c>
      <c r="I34" s="104"/>
      <c r="J34" s="106" t="s">
        <v>10</v>
      </c>
      <c r="K34" s="104"/>
      <c r="L34" s="106">
        <v>14303.1564600688</v>
      </c>
      <c r="M34" s="104"/>
      <c r="N34" s="106" t="s">
        <v>10</v>
      </c>
      <c r="O34" s="14">
        <f t="shared" si="0"/>
        <v>50157.491406368405</v>
      </c>
    </row>
    <row r="35" spans="1:15" x14ac:dyDescent="0.25">
      <c r="A35" s="103">
        <v>44508</v>
      </c>
      <c r="B35" s="104" t="s">
        <v>21</v>
      </c>
      <c r="C35" s="104">
        <v>-1.2</v>
      </c>
      <c r="D35" s="105">
        <v>0.88611111111111107</v>
      </c>
      <c r="E35" s="102"/>
      <c r="F35" s="106">
        <f>CPUE!F35*Effort!F35</f>
        <v>9753.3430916136149</v>
      </c>
      <c r="G35" s="104"/>
      <c r="H35" s="106">
        <v>11486.4447683214</v>
      </c>
      <c r="I35" s="104"/>
      <c r="J35" s="106">
        <v>15299.3019937888</v>
      </c>
      <c r="K35" s="104"/>
      <c r="L35" s="106" t="s">
        <v>10</v>
      </c>
      <c r="M35" s="104"/>
      <c r="N35" s="106" t="s">
        <v>10</v>
      </c>
      <c r="O35" s="14">
        <f t="shared" si="0"/>
        <v>36539.089853723817</v>
      </c>
    </row>
    <row r="36" spans="1:15" x14ac:dyDescent="0.25">
      <c r="A36" s="103">
        <v>44509</v>
      </c>
      <c r="B36" s="104" t="s">
        <v>22</v>
      </c>
      <c r="C36" s="104">
        <v>-0.6</v>
      </c>
      <c r="D36" s="105">
        <v>0.92569444444444438</v>
      </c>
      <c r="E36" s="102" t="s">
        <v>62</v>
      </c>
      <c r="F36" s="106">
        <f>CPUE!F36*Effort!F36</f>
        <v>1770.7458842727983</v>
      </c>
      <c r="G36" s="104" t="s">
        <v>62</v>
      </c>
      <c r="H36" s="106">
        <f>CPUE!H36*Effort!H36</f>
        <v>1197.3118461175441</v>
      </c>
      <c r="I36" s="104"/>
      <c r="J36" s="106" t="s">
        <v>10</v>
      </c>
      <c r="K36" s="104"/>
      <c r="L36" s="106">
        <f>CPUE!L36*Effort!L36</f>
        <v>1246.153891862499</v>
      </c>
      <c r="M36" s="104"/>
      <c r="N36" s="106" t="s">
        <v>10</v>
      </c>
      <c r="O36" s="14">
        <f t="shared" si="0"/>
        <v>4214.2116222528412</v>
      </c>
    </row>
    <row r="37" spans="1:15" x14ac:dyDescent="0.25">
      <c r="A37" s="103">
        <v>44510</v>
      </c>
      <c r="B37" s="104" t="s">
        <v>23</v>
      </c>
      <c r="C37" s="104">
        <v>0</v>
      </c>
      <c r="D37" s="105">
        <v>0.96944444444444444</v>
      </c>
      <c r="E37" s="102" t="s">
        <v>62</v>
      </c>
      <c r="F37" s="106">
        <f>CPUE!F37*Effort!F37</f>
        <v>828.59378262032283</v>
      </c>
      <c r="G37" s="104"/>
      <c r="H37" s="106">
        <f>CPUE!H37*Effort!H37</f>
        <v>797.33333333333292</v>
      </c>
      <c r="I37" s="104"/>
      <c r="J37" s="106">
        <v>1269.2255892255901</v>
      </c>
      <c r="K37" s="104"/>
      <c r="L37" s="106" t="s">
        <v>10</v>
      </c>
      <c r="M37" s="104"/>
      <c r="N37" s="106" t="s">
        <v>10</v>
      </c>
      <c r="O37" s="14">
        <f t="shared" si="0"/>
        <v>2895.1527051792455</v>
      </c>
    </row>
    <row r="38" spans="1:15" x14ac:dyDescent="0.25">
      <c r="A38" s="103"/>
      <c r="B38" s="104"/>
      <c r="C38" s="104"/>
      <c r="D38" s="105"/>
      <c r="E38" s="102"/>
      <c r="F38" s="106"/>
      <c r="G38" s="104"/>
      <c r="H38" s="106"/>
      <c r="I38" s="104"/>
      <c r="J38" s="106"/>
      <c r="K38" s="104"/>
      <c r="L38" s="106"/>
      <c r="M38" s="104"/>
      <c r="N38" s="106"/>
      <c r="O38" s="14"/>
    </row>
    <row r="39" spans="1:15" x14ac:dyDescent="0.25">
      <c r="A39" s="103">
        <v>44516</v>
      </c>
      <c r="B39" s="104" t="s">
        <v>22</v>
      </c>
      <c r="C39" s="104">
        <v>0.5</v>
      </c>
      <c r="D39" s="105">
        <v>0.70138888888888884</v>
      </c>
      <c r="E39" s="102" t="s">
        <v>62</v>
      </c>
      <c r="F39" s="106">
        <f>CPUE!F39*Effort!F39</f>
        <v>30419.847741802165</v>
      </c>
      <c r="G39" s="104"/>
      <c r="H39" s="106">
        <v>24996.242745526499</v>
      </c>
      <c r="I39" s="104"/>
      <c r="J39" s="106">
        <v>28810.3588087727</v>
      </c>
      <c r="K39" s="104"/>
      <c r="L39" s="106" t="s">
        <v>10</v>
      </c>
      <c r="M39" s="104"/>
      <c r="N39" s="106" t="s">
        <v>10</v>
      </c>
      <c r="O39" s="14">
        <f t="shared" si="0"/>
        <v>84226.44929610136</v>
      </c>
    </row>
    <row r="40" spans="1:15" x14ac:dyDescent="0.25">
      <c r="A40" s="103">
        <v>44517</v>
      </c>
      <c r="B40" s="104" t="s">
        <v>23</v>
      </c>
      <c r="C40" s="104">
        <v>0.1</v>
      </c>
      <c r="D40" s="105">
        <v>0.72777777777777775</v>
      </c>
      <c r="E40" s="102"/>
      <c r="F40" s="106">
        <f>12004.7612024583+9615.38454820553</f>
        <v>21620.145750663829</v>
      </c>
      <c r="G40" s="104" t="s">
        <v>62</v>
      </c>
      <c r="H40" s="106">
        <f>CPUE!H40*Effort!H40</f>
        <v>15293.853128880935</v>
      </c>
      <c r="I40" s="104"/>
      <c r="J40" s="106" t="s">
        <v>10</v>
      </c>
      <c r="K40" s="104"/>
      <c r="L40" s="106">
        <v>16467.5136401173</v>
      </c>
      <c r="M40" s="104"/>
      <c r="N40" s="106" t="s">
        <v>10</v>
      </c>
      <c r="O40" s="14">
        <f t="shared" si="0"/>
        <v>53381.512519662065</v>
      </c>
    </row>
    <row r="41" spans="1:15" x14ac:dyDescent="0.25">
      <c r="A41" s="103">
        <v>44518</v>
      </c>
      <c r="B41" s="104" t="s">
        <v>24</v>
      </c>
      <c r="C41" s="104">
        <v>-0.2</v>
      </c>
      <c r="D41" s="105">
        <v>0.75208333333333333</v>
      </c>
      <c r="E41" s="102" t="s">
        <v>62</v>
      </c>
      <c r="F41" s="106">
        <f>CPUE!F41*Effort!F41</f>
        <v>11672.040032406068</v>
      </c>
      <c r="G41" s="104" t="s">
        <v>62</v>
      </c>
      <c r="H41" s="106">
        <f>CPUE!H41*Effort!H41</f>
        <v>9719.39633329551</v>
      </c>
      <c r="I41" s="104"/>
      <c r="J41" s="106">
        <v>16672.381521601299</v>
      </c>
      <c r="K41" s="104"/>
      <c r="L41" s="106" t="s">
        <v>10</v>
      </c>
      <c r="M41" s="104"/>
      <c r="N41" s="106" t="s">
        <v>10</v>
      </c>
      <c r="O41" s="14">
        <f t="shared" si="0"/>
        <v>38063.817887302881</v>
      </c>
    </row>
    <row r="42" spans="1:15" x14ac:dyDescent="0.25">
      <c r="A42" s="103">
        <v>44519</v>
      </c>
      <c r="B42" s="104" t="s">
        <v>18</v>
      </c>
      <c r="C42" s="104">
        <v>-0.3</v>
      </c>
      <c r="D42" s="105">
        <v>0.77569444444444446</v>
      </c>
      <c r="E42" s="102"/>
      <c r="F42" s="106">
        <f>CPUE!F42*Effort!F42</f>
        <v>27005.439015165459</v>
      </c>
      <c r="G42" s="104"/>
      <c r="H42" s="106">
        <v>18661.9546241319</v>
      </c>
      <c r="I42" s="104"/>
      <c r="J42" s="106" t="s">
        <v>10</v>
      </c>
      <c r="K42" s="104"/>
      <c r="L42" s="106">
        <v>19836.834111211501</v>
      </c>
      <c r="M42" s="104"/>
      <c r="N42" s="106" t="s">
        <v>10</v>
      </c>
      <c r="O42" s="14">
        <f t="shared" si="0"/>
        <v>65504.227750508857</v>
      </c>
    </row>
    <row r="43" spans="1:15" x14ac:dyDescent="0.25">
      <c r="A43" s="103">
        <v>44520</v>
      </c>
      <c r="B43" s="104" t="s">
        <v>19</v>
      </c>
      <c r="C43" s="104">
        <v>-0.3</v>
      </c>
      <c r="D43" s="105">
        <v>0.79861111111111116</v>
      </c>
      <c r="E43" s="102"/>
      <c r="F43" s="106">
        <f>17692.2212191512+21210.4070297193</f>
        <v>38902.628248870504</v>
      </c>
      <c r="G43" s="104"/>
      <c r="H43" s="106">
        <v>32371.381276169799</v>
      </c>
      <c r="I43" s="104"/>
      <c r="J43" s="106">
        <v>51165.128726531802</v>
      </c>
      <c r="K43" s="104"/>
      <c r="L43" s="106" t="s">
        <v>10</v>
      </c>
      <c r="M43" s="104"/>
      <c r="N43" s="106" t="s">
        <v>10</v>
      </c>
      <c r="O43" s="14">
        <f t="shared" si="0"/>
        <v>122439.13825157212</v>
      </c>
    </row>
    <row r="44" spans="1:15" x14ac:dyDescent="0.25">
      <c r="A44" s="103">
        <v>44521</v>
      </c>
      <c r="B44" s="104" t="s">
        <v>20</v>
      </c>
      <c r="C44" s="104">
        <v>-0.2</v>
      </c>
      <c r="D44" s="105">
        <v>0.8222222222222223</v>
      </c>
      <c r="E44" s="102"/>
      <c r="F44" s="106">
        <f>CPUE!F44*Effort!F44</f>
        <v>7988.5014563286513</v>
      </c>
      <c r="G44" s="104"/>
      <c r="H44" s="106">
        <v>10982.236252528999</v>
      </c>
      <c r="I44" s="104"/>
      <c r="J44" s="106" t="s">
        <v>10</v>
      </c>
      <c r="K44" s="104"/>
      <c r="L44" s="106">
        <v>13294.5879090039</v>
      </c>
      <c r="M44" s="104"/>
      <c r="N44" s="106" t="s">
        <v>10</v>
      </c>
      <c r="O44" s="14">
        <f t="shared" si="0"/>
        <v>32265.325617861548</v>
      </c>
    </row>
    <row r="45" spans="1:15" x14ac:dyDescent="0.25">
      <c r="A45" s="103">
        <v>44522</v>
      </c>
      <c r="B45" s="104" t="s">
        <v>21</v>
      </c>
      <c r="C45" s="104">
        <v>0</v>
      </c>
      <c r="D45" s="105">
        <v>0.84791666666666676</v>
      </c>
      <c r="E45" s="102" t="s">
        <v>62</v>
      </c>
      <c r="F45" s="106">
        <f>CPUE!F45*Effort!F45</f>
        <v>3613.3583681014666</v>
      </c>
      <c r="G45" s="104" t="s">
        <v>62</v>
      </c>
      <c r="H45" s="106">
        <f>CPUE!H45*Effort!H45</f>
        <v>3008.8709408383083</v>
      </c>
      <c r="I45" s="104"/>
      <c r="J45" s="106">
        <v>5120.2666666666701</v>
      </c>
      <c r="K45" s="104"/>
      <c r="L45" s="106" t="s">
        <v>10</v>
      </c>
      <c r="M45" s="104"/>
      <c r="N45" s="106" t="s">
        <v>10</v>
      </c>
      <c r="O45" s="14">
        <f t="shared" si="0"/>
        <v>11742.495975606445</v>
      </c>
    </row>
    <row r="46" spans="1:15" x14ac:dyDescent="0.25">
      <c r="A46" s="103">
        <v>44523</v>
      </c>
      <c r="B46" s="104" t="s">
        <v>22</v>
      </c>
      <c r="C46" s="104">
        <v>0.2</v>
      </c>
      <c r="D46" s="105">
        <v>0.875</v>
      </c>
      <c r="E46" s="102" t="s">
        <v>62</v>
      </c>
      <c r="F46" s="106">
        <f>CPUE!F46*Effort!F46</f>
        <v>2436.5903463970285</v>
      </c>
      <c r="G46" s="104" t="s">
        <v>62</v>
      </c>
      <c r="H46" s="106">
        <f>CPUE!H46*Effort!H46</f>
        <v>1731.9002023839405</v>
      </c>
      <c r="I46" s="104"/>
      <c r="J46" s="106" t="s">
        <v>10</v>
      </c>
      <c r="K46" s="104"/>
      <c r="L46" s="106">
        <v>2211.8974426057698</v>
      </c>
      <c r="M46" s="104"/>
      <c r="N46" s="106" t="s">
        <v>10</v>
      </c>
      <c r="O46" s="14">
        <f t="shared" si="0"/>
        <v>6380.3879913867386</v>
      </c>
    </row>
    <row r="47" spans="1:15" x14ac:dyDescent="0.25">
      <c r="A47" s="103">
        <v>44524</v>
      </c>
      <c r="B47" s="104" t="s">
        <v>23</v>
      </c>
      <c r="C47" s="104">
        <v>0.5</v>
      </c>
      <c r="D47" s="105">
        <v>0.90486111111111101</v>
      </c>
      <c r="E47" s="102" t="s">
        <v>62</v>
      </c>
      <c r="F47" s="106">
        <f>CPUE!F47*Effort!F47</f>
        <v>4966.3891674848683</v>
      </c>
      <c r="G47" s="104"/>
      <c r="H47" s="106">
        <v>3899.2328174119798</v>
      </c>
      <c r="I47" s="104" t="s">
        <v>62</v>
      </c>
      <c r="J47" s="106">
        <f>CPUE!J47*Effort!J47</f>
        <v>7004.2095522345289</v>
      </c>
      <c r="K47" s="104"/>
      <c r="L47" s="106" t="s">
        <v>10</v>
      </c>
      <c r="M47" s="104"/>
      <c r="N47" s="106" t="s">
        <v>10</v>
      </c>
      <c r="O47" s="14">
        <f t="shared" si="0"/>
        <v>15869.831537131377</v>
      </c>
    </row>
    <row r="48" spans="1:15" x14ac:dyDescent="0.25">
      <c r="A48" s="103"/>
      <c r="B48" s="104"/>
      <c r="C48" s="104"/>
      <c r="D48" s="105"/>
      <c r="E48" s="102"/>
      <c r="F48" s="106"/>
      <c r="G48" s="104"/>
      <c r="H48" s="106"/>
      <c r="I48" s="104"/>
      <c r="J48" s="106"/>
      <c r="K48" s="104"/>
      <c r="L48" s="106"/>
      <c r="M48" s="104"/>
      <c r="N48" s="106"/>
      <c r="O48" s="14"/>
    </row>
    <row r="49" spans="1:15" x14ac:dyDescent="0.25">
      <c r="A49" s="103">
        <v>44531</v>
      </c>
      <c r="B49" s="104" t="s">
        <v>23</v>
      </c>
      <c r="C49" s="104">
        <v>0.1</v>
      </c>
      <c r="D49" s="105">
        <v>0.67291666666666661</v>
      </c>
      <c r="E49" s="102" t="s">
        <v>62</v>
      </c>
      <c r="F49" s="106">
        <f>CPUE!F49*Effort!F49</f>
        <v>23237.187178826993</v>
      </c>
      <c r="G49" s="104"/>
      <c r="H49" s="106">
        <v>20235.8783184682</v>
      </c>
      <c r="I49" s="104"/>
      <c r="J49" s="106">
        <v>24847.4861200784</v>
      </c>
      <c r="K49" s="104"/>
      <c r="L49" s="106" t="s">
        <v>10</v>
      </c>
      <c r="M49" s="104"/>
      <c r="N49" s="106" t="s">
        <v>10</v>
      </c>
      <c r="O49" s="14">
        <f t="shared" si="0"/>
        <v>68320.551617373596</v>
      </c>
    </row>
    <row r="50" spans="1:15" x14ac:dyDescent="0.25">
      <c r="A50" s="103">
        <v>44532</v>
      </c>
      <c r="B50" s="104" t="s">
        <v>24</v>
      </c>
      <c r="C50" s="104">
        <v>-0.8</v>
      </c>
      <c r="D50" s="105">
        <v>0.70694444444444438</v>
      </c>
      <c r="E50" s="102"/>
      <c r="F50" s="106">
        <f>(28748.4376135807+17748.6981503331)</f>
        <v>46497.1357639138</v>
      </c>
      <c r="G50" s="104" t="s">
        <v>62</v>
      </c>
      <c r="H50" s="106">
        <f>CPUE!H50*Effort!H50</f>
        <v>21749.338090026988</v>
      </c>
      <c r="I50" s="104"/>
      <c r="J50" s="106" t="s">
        <v>10</v>
      </c>
      <c r="K50" s="104"/>
      <c r="L50" s="106">
        <v>31751.047370234101</v>
      </c>
      <c r="M50" s="104"/>
      <c r="N50" s="106" t="s">
        <v>10</v>
      </c>
      <c r="O50" s="14">
        <f t="shared" si="0"/>
        <v>99997.521224174881</v>
      </c>
    </row>
    <row r="51" spans="1:15" x14ac:dyDescent="0.25">
      <c r="A51" s="103">
        <v>44533</v>
      </c>
      <c r="B51" s="104" t="s">
        <v>18</v>
      </c>
      <c r="C51" s="104">
        <v>-1.5</v>
      </c>
      <c r="D51" s="105">
        <v>0.73958333333333337</v>
      </c>
      <c r="E51" s="102"/>
      <c r="F51" s="106">
        <f>CPUE!F51*Effort!F51</f>
        <v>66716.825490538453</v>
      </c>
      <c r="G51" s="104"/>
      <c r="H51" s="106">
        <v>54216.285888142404</v>
      </c>
      <c r="I51" s="104"/>
      <c r="J51" s="106">
        <v>72819.527360660606</v>
      </c>
      <c r="K51" s="104"/>
      <c r="L51" s="106" t="s">
        <v>10</v>
      </c>
      <c r="M51" s="104"/>
      <c r="N51" s="106" t="s">
        <v>10</v>
      </c>
      <c r="O51" s="14">
        <f t="shared" si="0"/>
        <v>193752.63873934146</v>
      </c>
    </row>
    <row r="52" spans="1:15" x14ac:dyDescent="0.25">
      <c r="A52" s="103">
        <v>44534</v>
      </c>
      <c r="B52" s="104" t="s">
        <v>19</v>
      </c>
      <c r="C52" s="104">
        <v>-1.9</v>
      </c>
      <c r="D52" s="105">
        <v>0.77222222222222225</v>
      </c>
      <c r="E52" s="102"/>
      <c r="F52" s="106">
        <f>CPUE!F52*Effort!F52</f>
        <v>62448.066078299918</v>
      </c>
      <c r="G52" s="104"/>
      <c r="H52" s="106">
        <v>47147.1192589364</v>
      </c>
      <c r="I52" s="104"/>
      <c r="J52" s="106" t="s">
        <v>10</v>
      </c>
      <c r="K52" s="104"/>
      <c r="L52" s="106">
        <v>71311.744772335296</v>
      </c>
      <c r="M52" s="104"/>
      <c r="N52" s="106" t="s">
        <v>10</v>
      </c>
      <c r="O52" s="14">
        <f t="shared" si="0"/>
        <v>180906.93010957161</v>
      </c>
    </row>
    <row r="53" spans="1:15" x14ac:dyDescent="0.25">
      <c r="A53" s="103">
        <v>44535</v>
      </c>
      <c r="B53" s="104" t="s">
        <v>20</v>
      </c>
      <c r="C53" s="104">
        <v>-2</v>
      </c>
      <c r="D53" s="105">
        <v>0.80555555555555547</v>
      </c>
      <c r="E53" s="102"/>
      <c r="F53" s="106">
        <f>CPUE!F53*Effort!F53</f>
        <v>23549.341885625316</v>
      </c>
      <c r="G53" s="104"/>
      <c r="H53" s="106">
        <v>26520.798513702201</v>
      </c>
      <c r="I53" s="104"/>
      <c r="J53" s="106">
        <v>38393.794631652803</v>
      </c>
      <c r="K53" s="104"/>
      <c r="L53" s="106" t="s">
        <v>10</v>
      </c>
      <c r="M53" s="104"/>
      <c r="N53" s="106" t="s">
        <v>10</v>
      </c>
      <c r="O53" s="14">
        <f t="shared" si="0"/>
        <v>88463.935030980327</v>
      </c>
    </row>
    <row r="54" spans="1:15" x14ac:dyDescent="0.25">
      <c r="A54" s="103">
        <v>44536</v>
      </c>
      <c r="B54" s="104" t="s">
        <v>21</v>
      </c>
      <c r="C54" s="104">
        <v>-1.7</v>
      </c>
      <c r="D54" s="105">
        <v>0.83958333333333324</v>
      </c>
      <c r="E54" s="102" t="s">
        <v>62</v>
      </c>
      <c r="F54" s="106">
        <f>CPUE!F54*Effort!F54</f>
        <v>11331.859850587047</v>
      </c>
      <c r="G54" s="104"/>
      <c r="H54" s="106">
        <v>6860.9453218255803</v>
      </c>
      <c r="I54" s="104"/>
      <c r="J54" s="106" t="s">
        <v>10</v>
      </c>
      <c r="K54" s="104"/>
      <c r="L54" s="106">
        <v>7877.3452479811003</v>
      </c>
      <c r="M54" s="104"/>
      <c r="N54" s="106" t="s">
        <v>10</v>
      </c>
      <c r="O54" s="14">
        <f t="shared" si="0"/>
        <v>26070.150420393729</v>
      </c>
    </row>
    <row r="55" spans="1:15" x14ac:dyDescent="0.25">
      <c r="A55" s="103">
        <v>44537</v>
      </c>
      <c r="B55" s="104" t="s">
        <v>22</v>
      </c>
      <c r="C55" s="104">
        <v>-1.2</v>
      </c>
      <c r="D55" s="105">
        <v>0.87430555555555556</v>
      </c>
      <c r="E55" s="102" t="s">
        <v>62</v>
      </c>
      <c r="F55" s="106">
        <f>CPUE!F55*Effort!F55</f>
        <v>6381.0823235237895</v>
      </c>
      <c r="G55" s="104" t="s">
        <v>62</v>
      </c>
      <c r="H55" s="106">
        <f>CPUE!H55*Effort!H55</f>
        <v>5570.540015835898</v>
      </c>
      <c r="I55" s="104"/>
      <c r="J55" s="106">
        <v>6686.5886789554697</v>
      </c>
      <c r="K55" s="104"/>
      <c r="L55" s="106" t="s">
        <v>10</v>
      </c>
      <c r="M55" s="104"/>
      <c r="N55" s="106" t="s">
        <v>10</v>
      </c>
      <c r="O55" s="14">
        <f t="shared" si="0"/>
        <v>18638.21101831516</v>
      </c>
    </row>
    <row r="56" spans="1:15" x14ac:dyDescent="0.25">
      <c r="A56" s="103">
        <v>44538</v>
      </c>
      <c r="B56" s="104" t="s">
        <v>23</v>
      </c>
      <c r="C56" s="104">
        <v>-0.6</v>
      </c>
      <c r="D56" s="105">
        <v>0.91041666666666676</v>
      </c>
      <c r="E56" s="102" t="s">
        <v>62</v>
      </c>
      <c r="F56" s="106">
        <f>CPUE!F56*Effort!F56</f>
        <v>3212.8729601748282</v>
      </c>
      <c r="G56" s="104"/>
      <c r="H56" s="106">
        <v>3289.5</v>
      </c>
      <c r="I56" s="104"/>
      <c r="J56" s="106" t="s">
        <v>10</v>
      </c>
      <c r="K56" s="104"/>
      <c r="L56" s="106">
        <v>1047.4695612371099</v>
      </c>
      <c r="M56" s="104"/>
      <c r="N56" s="106" t="s">
        <v>10</v>
      </c>
      <c r="O56" s="14">
        <f t="shared" si="0"/>
        <v>7549.8425214119379</v>
      </c>
    </row>
    <row r="57" spans="1:15" x14ac:dyDescent="0.25">
      <c r="A57" s="103">
        <v>44539</v>
      </c>
      <c r="B57" s="104" t="s">
        <v>24</v>
      </c>
      <c r="C57" s="104">
        <v>0.1</v>
      </c>
      <c r="D57" s="105">
        <v>0.94791666666666663</v>
      </c>
      <c r="E57" s="102" t="s">
        <v>62</v>
      </c>
      <c r="F57" s="106">
        <f>CPUE!F57*Effort!F57</f>
        <v>867.60344983408709</v>
      </c>
      <c r="G57" s="104" t="s">
        <v>62</v>
      </c>
      <c r="H57" s="106">
        <f>CPUE!H57*Effort!H57</f>
        <v>639.37203720893422</v>
      </c>
      <c r="I57" s="104"/>
      <c r="J57" s="106">
        <v>907.82610577761795</v>
      </c>
      <c r="K57" s="104"/>
      <c r="L57" s="106" t="s">
        <v>10</v>
      </c>
      <c r="M57" s="104"/>
      <c r="N57" s="106" t="s">
        <v>10</v>
      </c>
      <c r="O57" s="14">
        <f t="shared" si="0"/>
        <v>2414.8015928206391</v>
      </c>
    </row>
    <row r="58" spans="1:15" x14ac:dyDescent="0.25">
      <c r="A58" s="103"/>
      <c r="B58" s="104"/>
      <c r="C58" s="104"/>
      <c r="D58" s="105"/>
      <c r="E58" s="102"/>
      <c r="F58" s="106"/>
      <c r="G58" s="104"/>
      <c r="H58" s="106"/>
      <c r="I58" s="104"/>
      <c r="J58" s="106"/>
      <c r="K58" s="104"/>
      <c r="L58" s="106"/>
      <c r="M58" s="104"/>
      <c r="N58" s="106"/>
      <c r="O58" s="14"/>
    </row>
    <row r="59" spans="1:15" x14ac:dyDescent="0.25">
      <c r="A59" s="103">
        <v>44545</v>
      </c>
      <c r="B59" s="104" t="s">
        <v>23</v>
      </c>
      <c r="C59" s="104">
        <v>0.6</v>
      </c>
      <c r="D59" s="105">
        <v>0.68611111111111101</v>
      </c>
      <c r="E59" s="102"/>
      <c r="F59" s="106">
        <f>CPUE!F59*Effort!F59</f>
        <v>2456.4184970118172</v>
      </c>
      <c r="G59" s="104" t="s">
        <v>62</v>
      </c>
      <c r="H59" s="106">
        <f>CPUE!H59*Effort!H59</f>
        <v>2416.1708276528689</v>
      </c>
      <c r="I59" s="104"/>
      <c r="J59" s="106" t="s">
        <v>10</v>
      </c>
      <c r="K59" s="104"/>
      <c r="L59" s="106">
        <v>4625.4323787624999</v>
      </c>
      <c r="M59" s="104"/>
      <c r="N59" s="106" t="s">
        <v>10</v>
      </c>
      <c r="O59" s="14">
        <f t="shared" si="0"/>
        <v>9498.0217034271864</v>
      </c>
    </row>
    <row r="60" spans="1:15" x14ac:dyDescent="0.25">
      <c r="A60" s="103">
        <v>44546</v>
      </c>
      <c r="B60" s="104" t="s">
        <v>24</v>
      </c>
      <c r="C60" s="104">
        <v>0.1</v>
      </c>
      <c r="D60" s="105">
        <v>0.72013888888888899</v>
      </c>
      <c r="E60" s="102" t="s">
        <v>62</v>
      </c>
      <c r="F60" s="106">
        <f>CPUE!F60*Effort!F60</f>
        <v>15435.178271736608</v>
      </c>
      <c r="G60" s="104"/>
      <c r="H60" s="106">
        <v>14446.2192878961</v>
      </c>
      <c r="I60" s="104"/>
      <c r="J60" s="106">
        <v>20553.8461538462</v>
      </c>
      <c r="K60" s="104"/>
      <c r="L60" s="106" t="s">
        <v>10</v>
      </c>
      <c r="M60" s="104"/>
      <c r="N60" s="106" t="s">
        <v>10</v>
      </c>
      <c r="O60" s="14">
        <f t="shared" si="0"/>
        <v>50435.243713478907</v>
      </c>
    </row>
    <row r="61" spans="1:15" x14ac:dyDescent="0.25">
      <c r="A61" s="103">
        <v>44547</v>
      </c>
      <c r="B61" s="104" t="s">
        <v>18</v>
      </c>
      <c r="C61" s="104">
        <v>-0.2</v>
      </c>
      <c r="D61" s="105">
        <v>0.73819444444444438</v>
      </c>
      <c r="E61" s="102"/>
      <c r="F61" s="106">
        <f>CPUE!F61*Effort!F61</f>
        <v>25189.164093648393</v>
      </c>
      <c r="G61" s="104"/>
      <c r="H61" s="106">
        <v>16808.392133373502</v>
      </c>
      <c r="I61" s="104"/>
      <c r="J61" s="106" t="s">
        <v>10</v>
      </c>
      <c r="K61" s="104"/>
      <c r="L61" s="106">
        <v>8872.0747443678702</v>
      </c>
      <c r="M61" s="104"/>
      <c r="N61" s="106" t="s">
        <v>10</v>
      </c>
      <c r="O61" s="14">
        <f t="shared" si="0"/>
        <v>50869.630971389764</v>
      </c>
    </row>
    <row r="62" spans="1:15" x14ac:dyDescent="0.25">
      <c r="A62" s="103">
        <v>44548</v>
      </c>
      <c r="B62" s="104" t="s">
        <v>19</v>
      </c>
      <c r="C62" s="104">
        <v>-0.3</v>
      </c>
      <c r="D62" s="105">
        <v>0.76250000000000007</v>
      </c>
      <c r="E62" s="102"/>
      <c r="F62" s="106">
        <f>CPUE!F62*Effort!F62</f>
        <v>20481.18485164607</v>
      </c>
      <c r="G62" s="104"/>
      <c r="H62" s="106">
        <v>11465.8236896204</v>
      </c>
      <c r="I62" s="104"/>
      <c r="J62" s="106">
        <v>24137.971514922399</v>
      </c>
      <c r="K62" s="104"/>
      <c r="L62" s="106" t="s">
        <v>10</v>
      </c>
      <c r="M62" s="104"/>
      <c r="N62" s="106" t="s">
        <v>10</v>
      </c>
      <c r="O62" s="14">
        <f t="shared" si="0"/>
        <v>56084.98005618887</v>
      </c>
    </row>
    <row r="63" spans="1:15" x14ac:dyDescent="0.25">
      <c r="A63" s="103">
        <v>44549</v>
      </c>
      <c r="B63" s="104" t="s">
        <v>20</v>
      </c>
      <c r="C63" s="104">
        <v>-0.4</v>
      </c>
      <c r="D63" s="105">
        <v>0.78611111111111109</v>
      </c>
      <c r="E63" s="102"/>
      <c r="F63" s="106">
        <f>CPUE!F63*Effort!F63</f>
        <v>16138.992479188339</v>
      </c>
      <c r="G63" s="104"/>
      <c r="H63" s="106">
        <v>12103.68</v>
      </c>
      <c r="I63" s="104"/>
      <c r="J63" s="106" t="s">
        <v>10</v>
      </c>
      <c r="K63" s="104"/>
      <c r="L63" s="106">
        <v>14934.6133333333</v>
      </c>
      <c r="M63" s="104"/>
      <c r="N63" s="106" t="s">
        <v>10</v>
      </c>
      <c r="O63" s="14">
        <f t="shared" si="0"/>
        <v>43177.285812521637</v>
      </c>
    </row>
    <row r="64" spans="1:15" x14ac:dyDescent="0.25">
      <c r="A64" s="103">
        <v>44550</v>
      </c>
      <c r="B64" s="104" t="s">
        <v>21</v>
      </c>
      <c r="C64" s="104">
        <v>-0.3</v>
      </c>
      <c r="D64" s="105">
        <v>0.81041666666666667</v>
      </c>
      <c r="E64" s="102" t="s">
        <v>62</v>
      </c>
      <c r="F64" s="106">
        <f>CPUE!F64*Effort!F64</f>
        <v>3543.7624599606761</v>
      </c>
      <c r="G64" s="104" t="s">
        <v>62</v>
      </c>
      <c r="H64" s="106">
        <f>CPUE!H64*Effort!H64</f>
        <v>3367.0993373863857</v>
      </c>
      <c r="I64" s="104"/>
      <c r="J64" s="106">
        <v>4269.3396755461399</v>
      </c>
      <c r="K64" s="104"/>
      <c r="L64" s="106" t="s">
        <v>10</v>
      </c>
      <c r="M64" s="104"/>
      <c r="N64" s="106" t="s">
        <v>10</v>
      </c>
      <c r="O64" s="14">
        <f t="shared" si="0"/>
        <v>11180.201472893201</v>
      </c>
    </row>
    <row r="65" spans="1:15" x14ac:dyDescent="0.25">
      <c r="A65" s="103">
        <v>44551</v>
      </c>
      <c r="B65" s="104" t="s">
        <v>22</v>
      </c>
      <c r="C65" s="104">
        <v>-0.2</v>
      </c>
      <c r="D65" s="105">
        <v>0.83472222222222225</v>
      </c>
      <c r="E65" s="102" t="s">
        <v>62</v>
      </c>
      <c r="F65" s="106">
        <f>CPUE!F65*Effort!F65</f>
        <v>2007.8259744223492</v>
      </c>
      <c r="G65" s="104"/>
      <c r="H65" s="106">
        <v>2468.9777777777799</v>
      </c>
      <c r="I65" s="104"/>
      <c r="J65" s="106" t="s">
        <v>10</v>
      </c>
      <c r="K65" s="104"/>
      <c r="L65" s="106">
        <v>1095.82222222222</v>
      </c>
      <c r="M65" s="104"/>
      <c r="N65" s="106" t="s">
        <v>10</v>
      </c>
      <c r="O65" s="14">
        <f t="shared" si="0"/>
        <v>5572.6259744223489</v>
      </c>
    </row>
    <row r="66" spans="1:15" x14ac:dyDescent="0.25">
      <c r="A66" s="103">
        <v>44552</v>
      </c>
      <c r="B66" s="104" t="s">
        <v>23</v>
      </c>
      <c r="C66" s="104">
        <v>-0.1</v>
      </c>
      <c r="D66" s="105">
        <v>0.85972222222222217</v>
      </c>
      <c r="E66" s="102" t="s">
        <v>62</v>
      </c>
      <c r="F66" s="106">
        <f>CPUE!F66*Effort!F66</f>
        <v>509.93492159185143</v>
      </c>
      <c r="G66" s="104" t="s">
        <v>62</v>
      </c>
      <c r="H66" s="106">
        <f>CPUE!H66*Effort!H66</f>
        <v>484.51372122192248</v>
      </c>
      <c r="I66" s="104"/>
      <c r="J66" s="106">
        <v>488.74998057882101</v>
      </c>
      <c r="K66" s="104"/>
      <c r="L66" s="106" t="s">
        <v>10</v>
      </c>
      <c r="M66" s="104"/>
      <c r="N66" s="106" t="s">
        <v>10</v>
      </c>
      <c r="O66" s="14">
        <f t="shared" ref="O66:O129" si="1">SUM(F66:N66)</f>
        <v>1483.198623392595</v>
      </c>
    </row>
    <row r="67" spans="1:15" x14ac:dyDescent="0.25">
      <c r="A67" s="103">
        <v>44553</v>
      </c>
      <c r="B67" s="104" t="s">
        <v>24</v>
      </c>
      <c r="C67" s="104">
        <v>0.2</v>
      </c>
      <c r="D67" s="105">
        <v>0.88611111111111107</v>
      </c>
      <c r="E67" s="102" t="s">
        <v>62</v>
      </c>
      <c r="F67" s="106">
        <f>CPUE!F67*Effort!F67</f>
        <v>532.69117881942884</v>
      </c>
      <c r="G67" s="104" t="s">
        <v>62</v>
      </c>
      <c r="H67" s="106">
        <f>CPUE!H67*Effort!H67</f>
        <v>523.96319600150377</v>
      </c>
      <c r="I67" s="104"/>
      <c r="J67" s="106" t="s">
        <v>10</v>
      </c>
      <c r="K67" s="104"/>
      <c r="L67" s="106">
        <f>CPUE!L67*Effort!L67</f>
        <v>507.69232631435</v>
      </c>
      <c r="M67" s="104"/>
      <c r="N67" s="106" t="s">
        <v>10</v>
      </c>
      <c r="O67" s="14">
        <f t="shared" si="1"/>
        <v>1564.3467011352827</v>
      </c>
    </row>
    <row r="68" spans="1:15" x14ac:dyDescent="0.25">
      <c r="A68" s="103"/>
      <c r="B68" s="104"/>
      <c r="C68" s="104"/>
      <c r="D68" s="105"/>
      <c r="E68" s="102"/>
      <c r="F68" s="106"/>
      <c r="G68" s="104"/>
      <c r="H68" s="106"/>
      <c r="I68" s="104"/>
      <c r="J68" s="106"/>
      <c r="K68" s="104"/>
      <c r="L68" s="106"/>
      <c r="M68" s="104"/>
      <c r="N68" s="106"/>
      <c r="O68" s="14"/>
    </row>
    <row r="69" spans="1:15" x14ac:dyDescent="0.25">
      <c r="A69" s="103">
        <v>44560</v>
      </c>
      <c r="B69" s="104" t="s">
        <v>24</v>
      </c>
      <c r="C69" s="104">
        <v>-0.1</v>
      </c>
      <c r="D69" s="105">
        <v>0.65902777777777777</v>
      </c>
      <c r="E69" s="102"/>
      <c r="F69" s="106">
        <f>CPUE!F69*Effort!F69</f>
        <v>23310.915971598282</v>
      </c>
      <c r="G69" s="104" t="s">
        <v>62</v>
      </c>
      <c r="H69" s="106">
        <f>CPUE!H69*Effort!H69</f>
        <v>21618.676234194369</v>
      </c>
      <c r="I69" s="104"/>
      <c r="J69" s="106" t="s">
        <v>10</v>
      </c>
      <c r="K69" s="104"/>
      <c r="L69" s="106">
        <v>20855.915436478401</v>
      </c>
      <c r="M69" s="104"/>
      <c r="N69" s="106" t="s">
        <v>10</v>
      </c>
      <c r="O69" s="14">
        <f t="shared" si="1"/>
        <v>65785.507642271055</v>
      </c>
    </row>
    <row r="70" spans="1:15" x14ac:dyDescent="0.25">
      <c r="A70" s="103">
        <v>44561</v>
      </c>
      <c r="B70" s="104" t="s">
        <v>18</v>
      </c>
      <c r="C70" s="104">
        <v>-0.9</v>
      </c>
      <c r="D70" s="105">
        <v>0.6958333333333333</v>
      </c>
      <c r="E70" s="102"/>
      <c r="F70" s="106">
        <f>CPUE!F70*Effort!F70</f>
        <v>44988.64630225092</v>
      </c>
      <c r="G70" s="104"/>
      <c r="H70" s="106">
        <v>27843.145576943502</v>
      </c>
      <c r="I70" s="104"/>
      <c r="J70" s="106">
        <v>44364.958915043098</v>
      </c>
      <c r="K70" s="104"/>
      <c r="L70" s="106" t="s">
        <v>10</v>
      </c>
      <c r="M70" s="104"/>
      <c r="N70" s="106" t="s">
        <v>10</v>
      </c>
      <c r="O70" s="14">
        <f t="shared" si="1"/>
        <v>117196.75079423752</v>
      </c>
    </row>
    <row r="71" spans="1:15" x14ac:dyDescent="0.25">
      <c r="A71" s="103">
        <v>44562</v>
      </c>
      <c r="B71" s="104" t="s">
        <v>19</v>
      </c>
      <c r="C71" s="104">
        <v>-1.5</v>
      </c>
      <c r="D71" s="105">
        <v>0.73055555555555562</v>
      </c>
      <c r="E71" s="102"/>
      <c r="F71" s="106">
        <f>CPUE!F71*Effort!F71</f>
        <v>51494.113974726919</v>
      </c>
      <c r="G71" s="104"/>
      <c r="H71" s="106">
        <v>30025.277055085699</v>
      </c>
      <c r="I71" s="104"/>
      <c r="J71" s="106" t="s">
        <v>10</v>
      </c>
      <c r="K71" s="104"/>
      <c r="L71" s="106">
        <v>28106.315271801501</v>
      </c>
      <c r="M71" s="104"/>
      <c r="N71" s="106" t="s">
        <v>10</v>
      </c>
      <c r="O71" s="14">
        <f t="shared" si="1"/>
        <v>109625.70630161412</v>
      </c>
    </row>
    <row r="72" spans="1:15" x14ac:dyDescent="0.25">
      <c r="A72" s="103">
        <v>44563</v>
      </c>
      <c r="B72" s="104" t="s">
        <v>20</v>
      </c>
      <c r="C72" s="104">
        <v>-1.8</v>
      </c>
      <c r="D72" s="105">
        <v>0.76458333333333339</v>
      </c>
      <c r="E72" s="102" t="s">
        <v>62</v>
      </c>
      <c r="F72" s="106">
        <f>CPUE!F72*Effort!F72</f>
        <v>749.82769459621795</v>
      </c>
      <c r="G72" s="104" t="s">
        <v>62</v>
      </c>
      <c r="H72" s="106">
        <f>CPUE!H72*Effort!H72</f>
        <v>455.80460473597532</v>
      </c>
      <c r="I72" s="104"/>
      <c r="J72" s="106">
        <v>643.51006550299905</v>
      </c>
      <c r="K72" s="104"/>
      <c r="L72" s="106" t="s">
        <v>10</v>
      </c>
      <c r="M72" s="104"/>
      <c r="N72" s="106" t="s">
        <v>10</v>
      </c>
      <c r="O72" s="14">
        <f t="shared" si="1"/>
        <v>1849.1423648351924</v>
      </c>
    </row>
    <row r="73" spans="1:15" x14ac:dyDescent="0.25">
      <c r="A73" s="103">
        <v>44564</v>
      </c>
      <c r="B73" s="104" t="s">
        <v>21</v>
      </c>
      <c r="C73" s="104">
        <v>-1.9</v>
      </c>
      <c r="D73" s="105">
        <v>0.79722222222222217</v>
      </c>
      <c r="E73" s="102"/>
      <c r="F73" s="106">
        <f>CPUE!F73*Effort!F73</f>
        <v>1196.4472418162627</v>
      </c>
      <c r="G73" s="104" t="s">
        <v>62</v>
      </c>
      <c r="H73" s="106">
        <f>CPUE!H73*Effort!H73</f>
        <v>625.05988239560588</v>
      </c>
      <c r="I73" s="104"/>
      <c r="J73" s="106" t="s">
        <v>10</v>
      </c>
      <c r="K73" s="104"/>
      <c r="L73" s="106">
        <v>728.99410957958105</v>
      </c>
      <c r="M73" s="104"/>
      <c r="N73" s="106" t="s">
        <v>10</v>
      </c>
      <c r="O73" s="14">
        <f t="shared" si="1"/>
        <v>2550.5012337914495</v>
      </c>
    </row>
    <row r="74" spans="1:15" x14ac:dyDescent="0.25">
      <c r="A74" s="103">
        <v>44565</v>
      </c>
      <c r="B74" s="104" t="s">
        <v>22</v>
      </c>
      <c r="C74" s="104">
        <v>-1.6</v>
      </c>
      <c r="D74" s="105">
        <v>0.82916666666666661</v>
      </c>
      <c r="E74" s="102" t="s">
        <v>62</v>
      </c>
      <c r="F74" s="106">
        <f>CPUE!F74*Effort!F74</f>
        <v>2420.0623785555144</v>
      </c>
      <c r="G74" s="104"/>
      <c r="H74" s="106">
        <v>1726.1539094687901</v>
      </c>
      <c r="I74" s="104"/>
      <c r="J74" s="106">
        <f>CPUE!J74*Effort!J74</f>
        <v>2336.5385472421872</v>
      </c>
      <c r="K74" s="104"/>
      <c r="L74" s="106" t="s">
        <v>10</v>
      </c>
      <c r="M74" s="104"/>
      <c r="N74" s="106" t="s">
        <v>10</v>
      </c>
      <c r="O74" s="14">
        <f t="shared" si="1"/>
        <v>6482.7548352664926</v>
      </c>
    </row>
    <row r="75" spans="1:15" x14ac:dyDescent="0.25">
      <c r="A75" s="103">
        <v>44566</v>
      </c>
      <c r="B75" s="104" t="s">
        <v>23</v>
      </c>
      <c r="C75" s="104">
        <v>-1.1000000000000001</v>
      </c>
      <c r="D75" s="105">
        <v>0.86111111111111116</v>
      </c>
      <c r="E75" s="102" t="s">
        <v>62</v>
      </c>
      <c r="F75" s="106">
        <f>CPUE!F75*Effort!F75</f>
        <v>2375</v>
      </c>
      <c r="G75" s="104"/>
      <c r="H75" s="106" t="s">
        <v>10</v>
      </c>
      <c r="I75" s="104"/>
      <c r="J75" s="106" t="s">
        <v>10</v>
      </c>
      <c r="K75" s="104"/>
      <c r="L75" s="106" t="s">
        <v>10</v>
      </c>
      <c r="M75" s="104"/>
      <c r="N75" s="106" t="s">
        <v>10</v>
      </c>
      <c r="O75" s="14">
        <f t="shared" si="1"/>
        <v>2375</v>
      </c>
    </row>
    <row r="76" spans="1:15" x14ac:dyDescent="0.25">
      <c r="A76" s="103"/>
      <c r="B76" s="104"/>
      <c r="C76" s="104"/>
      <c r="D76" s="105"/>
      <c r="E76" s="102"/>
      <c r="F76" s="106"/>
      <c r="G76" s="104"/>
      <c r="H76" s="106"/>
      <c r="I76" s="104"/>
      <c r="J76" s="106"/>
      <c r="K76" s="104"/>
      <c r="L76" s="106"/>
      <c r="M76" s="104"/>
      <c r="N76" s="106"/>
      <c r="O76" s="14"/>
    </row>
    <row r="77" spans="1:15" x14ac:dyDescent="0.25">
      <c r="A77" s="103">
        <v>44210</v>
      </c>
      <c r="B77" s="104" t="s">
        <v>18</v>
      </c>
      <c r="C77" s="104">
        <v>0.4</v>
      </c>
      <c r="D77" s="105">
        <v>0.69652777777777775</v>
      </c>
      <c r="E77" s="102"/>
      <c r="F77" s="106">
        <f>CPUE!F77*Effort!F77</f>
        <v>22788.988241943676</v>
      </c>
      <c r="G77" s="104"/>
      <c r="H77" s="106" t="s">
        <v>10</v>
      </c>
      <c r="I77" s="104"/>
      <c r="J77" s="106" t="s">
        <v>10</v>
      </c>
      <c r="K77" s="104"/>
      <c r="L77" s="106" t="s">
        <v>10</v>
      </c>
      <c r="M77" s="104"/>
      <c r="N77" s="106" t="s">
        <v>10</v>
      </c>
      <c r="O77" s="14">
        <f t="shared" si="1"/>
        <v>22788.988241943676</v>
      </c>
    </row>
    <row r="78" spans="1:15" x14ac:dyDescent="0.25">
      <c r="A78" s="103">
        <v>44211</v>
      </c>
      <c r="B78" s="104" t="s">
        <v>19</v>
      </c>
      <c r="C78" s="104">
        <v>0.4</v>
      </c>
      <c r="D78" s="105">
        <v>0.72361111111111109</v>
      </c>
      <c r="E78" s="102"/>
      <c r="F78" s="106">
        <f>CPUE!F78*Effort!F78</f>
        <v>43070.486986449585</v>
      </c>
      <c r="G78" s="104" t="s">
        <v>62</v>
      </c>
      <c r="H78" s="106">
        <f>CPUE!H78*Effort!H78</f>
        <v>26940.179340442755</v>
      </c>
      <c r="I78" s="104"/>
      <c r="J78" s="106">
        <v>32250.326990152698</v>
      </c>
      <c r="K78" s="104"/>
      <c r="L78" s="106" t="s">
        <v>10</v>
      </c>
      <c r="M78" s="104"/>
      <c r="N78" s="106" t="s">
        <v>10</v>
      </c>
      <c r="O78" s="14">
        <f t="shared" si="1"/>
        <v>102260.99331704504</v>
      </c>
    </row>
    <row r="79" spans="1:15" x14ac:dyDescent="0.25">
      <c r="A79" s="103">
        <v>44212</v>
      </c>
      <c r="B79" s="104" t="s">
        <v>20</v>
      </c>
      <c r="C79" s="104">
        <v>-0.2</v>
      </c>
      <c r="D79" s="105">
        <v>0.74930555555555556</v>
      </c>
      <c r="E79" s="102"/>
      <c r="F79" s="106">
        <f>CPUE!F79*Effort!F79</f>
        <v>40962.119596412304</v>
      </c>
      <c r="G79" s="104" t="s">
        <v>62</v>
      </c>
      <c r="H79" s="106">
        <f>CPUE!H79*Effort!H79</f>
        <v>29400</v>
      </c>
      <c r="I79" s="104"/>
      <c r="J79" s="106" t="s">
        <v>10</v>
      </c>
      <c r="K79" s="104"/>
      <c r="L79" s="106">
        <v>41711.002755113797</v>
      </c>
      <c r="M79" s="104"/>
      <c r="N79" s="106" t="s">
        <v>10</v>
      </c>
      <c r="O79" s="14">
        <f t="shared" si="1"/>
        <v>112073.12235152611</v>
      </c>
    </row>
    <row r="80" spans="1:15" x14ac:dyDescent="0.25">
      <c r="A80" s="103">
        <v>44213</v>
      </c>
      <c r="B80" s="104" t="s">
        <v>21</v>
      </c>
      <c r="C80" s="104">
        <v>-0.3</v>
      </c>
      <c r="D80" s="105">
        <v>0.77361111111111114</v>
      </c>
      <c r="E80" s="102" t="s">
        <v>62</v>
      </c>
      <c r="F80" s="106">
        <f>CPUE!F80*Effort!F80</f>
        <v>9623.4024132724571</v>
      </c>
      <c r="G80" s="104"/>
      <c r="H80" s="106">
        <v>8734.7827897856096</v>
      </c>
      <c r="I80" s="104"/>
      <c r="J80" s="106">
        <v>9676.8124446380298</v>
      </c>
      <c r="K80" s="104"/>
      <c r="L80" s="106" t="s">
        <v>10</v>
      </c>
      <c r="M80" s="104"/>
      <c r="N80" s="106" t="s">
        <v>10</v>
      </c>
      <c r="O80" s="14">
        <f t="shared" si="1"/>
        <v>28034.997647696095</v>
      </c>
    </row>
    <row r="81" spans="1:15" x14ac:dyDescent="0.25">
      <c r="A81" s="103">
        <v>44214</v>
      </c>
      <c r="B81" s="104" t="s">
        <v>22</v>
      </c>
      <c r="C81" s="104">
        <v>-0.4</v>
      </c>
      <c r="D81" s="105">
        <v>0.79722222222222217</v>
      </c>
      <c r="E81" s="102" t="s">
        <v>62</v>
      </c>
      <c r="F81" s="106">
        <f>CPUE!F81*Effort!F81</f>
        <v>8487.4194200485126</v>
      </c>
      <c r="G81" s="104"/>
      <c r="H81" s="106">
        <v>5368.6736842105302</v>
      </c>
      <c r="I81" s="104"/>
      <c r="J81" s="106" t="s">
        <v>10</v>
      </c>
      <c r="K81" s="104"/>
      <c r="L81" s="106" t="s">
        <v>10</v>
      </c>
      <c r="M81" s="104"/>
      <c r="N81" s="106" t="s">
        <v>10</v>
      </c>
      <c r="O81" s="14">
        <f t="shared" si="1"/>
        <v>13856.093104259042</v>
      </c>
    </row>
    <row r="82" spans="1:15" x14ac:dyDescent="0.25">
      <c r="A82" s="103">
        <v>44215</v>
      </c>
      <c r="B82" s="104" t="s">
        <v>23</v>
      </c>
      <c r="C82" s="104">
        <v>-0.4</v>
      </c>
      <c r="D82" s="105">
        <v>0.82013888888888886</v>
      </c>
      <c r="E82" s="102"/>
      <c r="F82" s="106">
        <f>CPUE!F82*Effort!F82</f>
        <v>2518.6397532005467</v>
      </c>
      <c r="G82" s="104"/>
      <c r="H82" s="106" t="s">
        <v>10</v>
      </c>
      <c r="I82" s="104"/>
      <c r="J82" s="106">
        <v>2288.20503728003</v>
      </c>
      <c r="K82" s="104"/>
      <c r="L82" s="106" t="s">
        <v>10</v>
      </c>
      <c r="M82" s="104"/>
      <c r="N82" s="106" t="s">
        <v>10</v>
      </c>
      <c r="O82" s="14">
        <f t="shared" si="1"/>
        <v>4806.8447904805762</v>
      </c>
    </row>
    <row r="83" spans="1:15" x14ac:dyDescent="0.25">
      <c r="A83" s="103">
        <v>44216</v>
      </c>
      <c r="B83" s="104" t="s">
        <v>24</v>
      </c>
      <c r="C83" s="104">
        <v>-0.2</v>
      </c>
      <c r="D83" s="105">
        <v>0.84305555555555556</v>
      </c>
      <c r="E83" s="102"/>
      <c r="F83" s="106">
        <f>CPUE!F83*Effort!F83</f>
        <v>608.71694500211981</v>
      </c>
      <c r="G83" s="104"/>
      <c r="H83" s="106" t="s">
        <v>10</v>
      </c>
      <c r="I83" s="104"/>
      <c r="J83" s="106" t="s">
        <v>10</v>
      </c>
      <c r="K83" s="104"/>
      <c r="L83" s="106" t="s">
        <v>10</v>
      </c>
      <c r="M83" s="104"/>
      <c r="N83" s="106" t="s">
        <v>10</v>
      </c>
      <c r="O83" s="14">
        <f t="shared" si="1"/>
        <v>608.71694500211981</v>
      </c>
    </row>
    <row r="84" spans="1:15" x14ac:dyDescent="0.25">
      <c r="A84" s="103"/>
      <c r="B84" s="104"/>
      <c r="C84" s="104"/>
      <c r="D84" s="105"/>
      <c r="E84" s="102"/>
      <c r="F84" s="106"/>
      <c r="G84" s="104"/>
      <c r="H84" s="106"/>
      <c r="I84" s="104"/>
      <c r="J84" s="106"/>
      <c r="K84" s="104"/>
      <c r="L84" s="106"/>
      <c r="M84" s="104"/>
      <c r="N84" s="106"/>
      <c r="O84" s="14"/>
    </row>
    <row r="85" spans="1:15" x14ac:dyDescent="0.25">
      <c r="A85" s="103">
        <v>44590</v>
      </c>
      <c r="B85" s="104" t="s">
        <v>19</v>
      </c>
      <c r="C85" s="104">
        <v>-0.7</v>
      </c>
      <c r="D85" s="105">
        <v>0.6875</v>
      </c>
      <c r="E85" s="102"/>
      <c r="F85" s="106">
        <f>CPUE!F85*Effort!F85</f>
        <v>124608.29875363105</v>
      </c>
      <c r="G85" s="104"/>
      <c r="H85" s="106">
        <v>94560.320641956001</v>
      </c>
      <c r="I85" s="104"/>
      <c r="J85" s="106" t="s">
        <v>10</v>
      </c>
      <c r="K85" s="104"/>
      <c r="L85" s="106">
        <v>84429.720871000798</v>
      </c>
      <c r="M85" s="104"/>
      <c r="N85" s="106" t="s">
        <v>10</v>
      </c>
      <c r="O85" s="14">
        <f t="shared" si="1"/>
        <v>303598.34026658785</v>
      </c>
    </row>
    <row r="86" spans="1:15" x14ac:dyDescent="0.25">
      <c r="A86" s="103">
        <v>44591</v>
      </c>
      <c r="B86" s="104" t="s">
        <v>20</v>
      </c>
      <c r="C86" s="104">
        <v>-1.2</v>
      </c>
      <c r="D86" s="105">
        <v>0.72291666666666676</v>
      </c>
      <c r="E86" s="102"/>
      <c r="F86" s="106">
        <f>17548.596506906+8369.33064175516</f>
        <v>25917.927148661161</v>
      </c>
      <c r="G86" s="104"/>
      <c r="H86" s="106" t="s">
        <v>10</v>
      </c>
      <c r="I86" s="104"/>
      <c r="J86" s="106">
        <v>28499.178765106699</v>
      </c>
      <c r="K86" s="104"/>
      <c r="L86" s="106" t="s">
        <v>10</v>
      </c>
      <c r="M86" s="104"/>
      <c r="N86" s="106" t="s">
        <v>10</v>
      </c>
      <c r="O86" s="14">
        <f t="shared" si="1"/>
        <v>54417.10591376786</v>
      </c>
    </row>
    <row r="87" spans="1:15" x14ac:dyDescent="0.25">
      <c r="A87" s="103">
        <v>44592</v>
      </c>
      <c r="B87" s="104" t="s">
        <v>21</v>
      </c>
      <c r="C87" s="104">
        <v>-1.5</v>
      </c>
      <c r="D87" s="105">
        <v>0.75555555555555554</v>
      </c>
      <c r="E87" s="102"/>
      <c r="F87" s="106">
        <f>CPUE!F87*Effort!F87</f>
        <v>22670.269247655819</v>
      </c>
      <c r="G87" s="104"/>
      <c r="H87" s="106" t="s">
        <v>10</v>
      </c>
      <c r="I87" s="104"/>
      <c r="J87" s="106" t="s">
        <v>10</v>
      </c>
      <c r="K87" s="104"/>
      <c r="L87" s="106" t="s">
        <v>10</v>
      </c>
      <c r="M87" s="104"/>
      <c r="N87" s="106" t="s">
        <v>10</v>
      </c>
      <c r="O87" s="14">
        <f t="shared" si="1"/>
        <v>22670.269247655819</v>
      </c>
    </row>
    <row r="88" spans="1:15" x14ac:dyDescent="0.25">
      <c r="A88" s="103">
        <v>44593</v>
      </c>
      <c r="B88" s="104" t="s">
        <v>22</v>
      </c>
      <c r="C88" s="104">
        <v>-1.5</v>
      </c>
      <c r="D88" s="105">
        <v>0.78611111111111109</v>
      </c>
      <c r="E88" s="102" t="s">
        <v>62</v>
      </c>
      <c r="F88" s="106">
        <f>CPUE!F88*Effort!F88</f>
        <v>14655.387469795211</v>
      </c>
      <c r="G88" s="104"/>
      <c r="H88" s="106">
        <v>9411.8179778225203</v>
      </c>
      <c r="I88" s="104"/>
      <c r="J88" s="106">
        <v>14488.2319833488</v>
      </c>
      <c r="K88" s="104"/>
      <c r="L88" s="106" t="s">
        <v>10</v>
      </c>
      <c r="M88" s="104"/>
      <c r="N88" s="106" t="s">
        <v>10</v>
      </c>
      <c r="O88" s="14">
        <f t="shared" si="1"/>
        <v>38555.437430966529</v>
      </c>
    </row>
    <row r="89" spans="1:15" x14ac:dyDescent="0.25">
      <c r="A89" s="103">
        <v>44594</v>
      </c>
      <c r="B89" s="104" t="s">
        <v>23</v>
      </c>
      <c r="C89" s="104">
        <v>-1.2</v>
      </c>
      <c r="D89" s="105">
        <v>0.81527777777777777</v>
      </c>
      <c r="E89" s="102"/>
      <c r="F89" s="106">
        <f>CPUE!F89*Effort!F89</f>
        <v>6254.5794777610599</v>
      </c>
      <c r="G89" s="104"/>
      <c r="H89" s="106">
        <v>4601.7123450728504</v>
      </c>
      <c r="I89" s="104"/>
      <c r="J89" s="106" t="s">
        <v>10</v>
      </c>
      <c r="K89" s="104"/>
      <c r="L89" s="106">
        <v>5030.8530032627896</v>
      </c>
      <c r="M89" s="104"/>
      <c r="N89" s="106" t="s">
        <v>10</v>
      </c>
      <c r="O89" s="14">
        <f t="shared" si="1"/>
        <v>15887.144826096701</v>
      </c>
    </row>
    <row r="90" spans="1:15" x14ac:dyDescent="0.25">
      <c r="A90" s="103">
        <v>44595</v>
      </c>
      <c r="B90" s="104" t="s">
        <v>24</v>
      </c>
      <c r="C90" s="104">
        <v>-0.7</v>
      </c>
      <c r="D90" s="105">
        <v>0.84236111111111101</v>
      </c>
      <c r="E90" s="102"/>
      <c r="F90" s="106" t="s">
        <v>10</v>
      </c>
      <c r="G90" s="104"/>
      <c r="H90" s="106" t="s">
        <v>10</v>
      </c>
      <c r="I90" s="104"/>
      <c r="J90" s="106">
        <v>5251.1112199774097</v>
      </c>
      <c r="K90" s="104"/>
      <c r="L90" s="106" t="s">
        <v>10</v>
      </c>
      <c r="M90" s="104"/>
      <c r="N90" s="106" t="s">
        <v>10</v>
      </c>
      <c r="O90" s="14">
        <f t="shared" si="1"/>
        <v>5251.1112199774097</v>
      </c>
    </row>
    <row r="91" spans="1:15" x14ac:dyDescent="0.25">
      <c r="A91" s="103"/>
      <c r="B91" s="104"/>
      <c r="C91" s="104"/>
      <c r="D91" s="105"/>
      <c r="E91" s="102"/>
      <c r="F91" s="106"/>
      <c r="G91" s="104"/>
      <c r="H91" s="106"/>
      <c r="I91" s="104"/>
      <c r="J91" s="106"/>
      <c r="K91" s="104"/>
      <c r="L91" s="106"/>
      <c r="M91" s="104"/>
      <c r="N91" s="106"/>
      <c r="O91" s="14"/>
    </row>
    <row r="92" spans="1:15" x14ac:dyDescent="0.25">
      <c r="A92" s="103">
        <v>44606</v>
      </c>
      <c r="B92" s="104" t="s">
        <v>21</v>
      </c>
      <c r="C92" s="104">
        <v>0</v>
      </c>
      <c r="D92" s="105">
        <v>0.73263888888888884</v>
      </c>
      <c r="E92" s="102"/>
      <c r="F92" s="106">
        <f>8108.23166705581+8469.16965999881</f>
        <v>16577.40132705462</v>
      </c>
      <c r="G92" s="104"/>
      <c r="H92" s="106" t="s">
        <v>10</v>
      </c>
      <c r="I92" s="104"/>
      <c r="J92" s="106" t="s">
        <v>10</v>
      </c>
      <c r="K92" s="104"/>
      <c r="L92" s="106" t="s">
        <v>10</v>
      </c>
      <c r="M92" s="104"/>
      <c r="N92" s="106" t="s">
        <v>10</v>
      </c>
      <c r="O92" s="14">
        <f t="shared" si="1"/>
        <v>16577.40132705462</v>
      </c>
    </row>
    <row r="93" spans="1:15" x14ac:dyDescent="0.25">
      <c r="A93" s="103">
        <v>44607</v>
      </c>
      <c r="B93" s="104" t="s">
        <v>22</v>
      </c>
      <c r="C93" s="104">
        <v>-0.3</v>
      </c>
      <c r="D93" s="105">
        <v>0.75624999999999998</v>
      </c>
      <c r="E93" s="102"/>
      <c r="F93" s="106">
        <f>CPUE!F93*Effort!F93</f>
        <v>22654.223298041528</v>
      </c>
      <c r="G93" s="104"/>
      <c r="H93" s="106" t="s">
        <v>10</v>
      </c>
      <c r="I93" s="104"/>
      <c r="J93" s="106" t="s">
        <v>10</v>
      </c>
      <c r="K93" s="104"/>
      <c r="L93" s="106">
        <v>19505.993735341701</v>
      </c>
      <c r="M93" s="104"/>
      <c r="N93" s="106" t="s">
        <v>10</v>
      </c>
      <c r="O93" s="14">
        <f t="shared" si="1"/>
        <v>42160.217033383233</v>
      </c>
    </row>
    <row r="94" spans="1:15" x14ac:dyDescent="0.25">
      <c r="A94" s="103">
        <v>44608</v>
      </c>
      <c r="B94" s="104" t="s">
        <v>23</v>
      </c>
      <c r="C94" s="104">
        <v>-0.4</v>
      </c>
      <c r="D94" s="105">
        <v>0.77916666666666667</v>
      </c>
      <c r="E94" s="102"/>
      <c r="F94" s="106">
        <f>CPUE!F94*Effort!F94</f>
        <v>21446.382175067723</v>
      </c>
      <c r="G94" s="104"/>
      <c r="H94" s="106" t="s">
        <v>10</v>
      </c>
      <c r="I94" s="104"/>
      <c r="J94" s="106">
        <v>28557.258562262901</v>
      </c>
      <c r="K94" s="104"/>
      <c r="L94" s="106" t="s">
        <v>10</v>
      </c>
      <c r="M94" s="104"/>
      <c r="N94" s="106" t="s">
        <v>10</v>
      </c>
      <c r="O94" s="14">
        <f t="shared" si="1"/>
        <v>50003.640737330628</v>
      </c>
    </row>
    <row r="95" spans="1:15" x14ac:dyDescent="0.25">
      <c r="A95" s="103">
        <v>44609</v>
      </c>
      <c r="B95" s="104" t="s">
        <v>24</v>
      </c>
      <c r="C95" s="104">
        <v>-0.3</v>
      </c>
      <c r="D95" s="105">
        <v>0.80138888888888893</v>
      </c>
      <c r="E95" s="102"/>
      <c r="F95" s="106">
        <f>CPUE!F95*Effort!F95</f>
        <v>15714.994381115805</v>
      </c>
      <c r="G95" s="104"/>
      <c r="H95" s="106">
        <v>11465.486774045799</v>
      </c>
      <c r="I95" s="104"/>
      <c r="J95" s="106" t="s">
        <v>10</v>
      </c>
      <c r="K95" s="104"/>
      <c r="L95" s="106" t="s">
        <v>10</v>
      </c>
      <c r="M95" s="104"/>
      <c r="N95" s="106" t="s">
        <v>10</v>
      </c>
      <c r="O95" s="14">
        <f t="shared" si="1"/>
        <v>27180.481155161604</v>
      </c>
    </row>
    <row r="96" spans="1:15" x14ac:dyDescent="0.25">
      <c r="A96" s="103">
        <v>44610</v>
      </c>
      <c r="B96" s="104" t="s">
        <v>18</v>
      </c>
      <c r="C96" s="104">
        <v>-0.1</v>
      </c>
      <c r="D96" s="105">
        <v>0.82291666666666663</v>
      </c>
      <c r="E96" s="102"/>
      <c r="F96" s="106">
        <f>CPUE!F96*Effort!F96</f>
        <v>18029.897071289044</v>
      </c>
      <c r="G96" s="104"/>
      <c r="H96" s="106">
        <v>18543.334276269299</v>
      </c>
      <c r="I96" s="104"/>
      <c r="J96" s="106">
        <v>23367.7725637402</v>
      </c>
      <c r="K96" s="104"/>
      <c r="L96" s="106" t="s">
        <v>10</v>
      </c>
      <c r="M96" s="104"/>
      <c r="N96" s="106" t="s">
        <v>10</v>
      </c>
      <c r="O96" s="14">
        <f t="shared" si="1"/>
        <v>59941.00391129854</v>
      </c>
    </row>
    <row r="97" spans="1:15" x14ac:dyDescent="0.25">
      <c r="A97" s="103"/>
      <c r="B97" s="104"/>
      <c r="C97" s="104"/>
      <c r="D97" s="105"/>
      <c r="E97" s="102"/>
      <c r="F97" s="106"/>
      <c r="G97" s="104"/>
      <c r="H97" s="106"/>
      <c r="I97" s="104"/>
      <c r="J97" s="106"/>
      <c r="K97" s="104"/>
      <c r="L97" s="106"/>
      <c r="M97" s="104"/>
      <c r="N97" s="106"/>
      <c r="O97" s="14"/>
    </row>
    <row r="98" spans="1:15" x14ac:dyDescent="0.25">
      <c r="A98" s="103">
        <v>44618</v>
      </c>
      <c r="B98" s="104" t="s">
        <v>19</v>
      </c>
      <c r="C98" s="104">
        <v>0</v>
      </c>
      <c r="D98" s="105">
        <v>0.63750000000000007</v>
      </c>
      <c r="E98" s="102"/>
      <c r="F98" s="106">
        <f>CPUE!F98*Effort!F98</f>
        <v>41853.247199422804</v>
      </c>
      <c r="G98" s="104"/>
      <c r="H98" s="106">
        <v>21801.486617997401</v>
      </c>
      <c r="I98" s="104"/>
      <c r="J98" s="106">
        <v>62185.389685837399</v>
      </c>
      <c r="K98" s="104"/>
      <c r="L98" s="106" t="s">
        <v>10</v>
      </c>
      <c r="M98" s="104"/>
      <c r="N98" s="106" t="s">
        <v>10</v>
      </c>
      <c r="O98" s="14">
        <f t="shared" si="1"/>
        <v>125840.12350325761</v>
      </c>
    </row>
    <row r="99" spans="1:15" x14ac:dyDescent="0.25">
      <c r="A99" s="103">
        <v>44619</v>
      </c>
      <c r="B99" s="104" t="s">
        <v>20</v>
      </c>
      <c r="C99" s="104">
        <v>-0.4</v>
      </c>
      <c r="D99" s="105">
        <v>0.6777777777777777</v>
      </c>
      <c r="E99" s="102"/>
      <c r="F99" s="106">
        <f>CPUE!F99*Effort!F99</f>
        <v>13918.473017065235</v>
      </c>
      <c r="G99" s="104"/>
      <c r="H99" s="106" t="s">
        <v>10</v>
      </c>
      <c r="I99" s="104"/>
      <c r="J99" s="106" t="s">
        <v>10</v>
      </c>
      <c r="K99" s="104"/>
      <c r="L99" s="106">
        <v>23473.043964905199</v>
      </c>
      <c r="M99" s="104"/>
      <c r="N99" s="106" t="s">
        <v>10</v>
      </c>
      <c r="O99" s="14">
        <f t="shared" si="1"/>
        <v>37391.516981970432</v>
      </c>
    </row>
    <row r="100" spans="1:15" x14ac:dyDescent="0.25">
      <c r="A100" s="103">
        <v>44620</v>
      </c>
      <c r="B100" s="104" t="s">
        <v>21</v>
      </c>
      <c r="C100" s="104">
        <v>-0.8</v>
      </c>
      <c r="D100" s="105">
        <v>0.71250000000000002</v>
      </c>
      <c r="E100" s="102"/>
      <c r="F100" s="106">
        <f>CPUE!F100*Effort!F100</f>
        <v>890.48823158908772</v>
      </c>
      <c r="G100" s="104"/>
      <c r="H100" s="106" t="s">
        <v>10</v>
      </c>
      <c r="I100" s="104"/>
      <c r="J100" s="106" t="s">
        <v>10</v>
      </c>
      <c r="K100" s="104"/>
      <c r="L100" s="106" t="s">
        <v>10</v>
      </c>
      <c r="M100" s="104"/>
      <c r="N100" s="106" t="s">
        <v>10</v>
      </c>
      <c r="O100" s="14">
        <f t="shared" si="1"/>
        <v>890.48823158908772</v>
      </c>
    </row>
    <row r="101" spans="1:15" x14ac:dyDescent="0.25">
      <c r="A101" s="103">
        <v>44621</v>
      </c>
      <c r="B101" s="104" t="s">
        <v>22</v>
      </c>
      <c r="C101" s="104">
        <v>-0.9</v>
      </c>
      <c r="D101" s="105">
        <v>0.74305555555555547</v>
      </c>
      <c r="E101" s="102" t="s">
        <v>62</v>
      </c>
      <c r="F101" s="106">
        <f>CPUE!F101*Effort!F101</f>
        <v>7872.7382908042291</v>
      </c>
      <c r="G101" s="104" t="s">
        <v>62</v>
      </c>
      <c r="H101" s="106">
        <f>CPUE!H101*Effort!H101</f>
        <v>6985.4205976256044</v>
      </c>
      <c r="I101" s="104"/>
      <c r="J101" s="106" t="s">
        <v>10</v>
      </c>
      <c r="K101" s="104"/>
      <c r="L101" s="106">
        <v>7856.8778954086201</v>
      </c>
      <c r="M101" s="104"/>
      <c r="N101" s="106" t="s">
        <v>10</v>
      </c>
      <c r="O101" s="14">
        <f t="shared" si="1"/>
        <v>22715.036783838452</v>
      </c>
    </row>
    <row r="102" spans="1:15" x14ac:dyDescent="0.25">
      <c r="A102" s="103">
        <v>44622</v>
      </c>
      <c r="B102" s="104" t="s">
        <v>23</v>
      </c>
      <c r="C102" s="104">
        <v>-0.8</v>
      </c>
      <c r="D102" s="105">
        <v>0.77083333333333337</v>
      </c>
      <c r="E102" s="102" t="s">
        <v>62</v>
      </c>
      <c r="F102" s="106">
        <f>CPUE!F102*Effort!F102</f>
        <v>14181.398067412627</v>
      </c>
      <c r="G102" s="104"/>
      <c r="H102" s="106">
        <v>10112.3964750346</v>
      </c>
      <c r="I102" s="104"/>
      <c r="J102" s="106">
        <v>15590.882091674001</v>
      </c>
      <c r="K102" s="104"/>
      <c r="L102" s="106" t="s">
        <v>10</v>
      </c>
      <c r="M102" s="104"/>
      <c r="N102" s="106" t="s">
        <v>10</v>
      </c>
      <c r="O102" s="14">
        <f t="shared" si="1"/>
        <v>39884.676634121228</v>
      </c>
    </row>
    <row r="103" spans="1:15" x14ac:dyDescent="0.25">
      <c r="A103" s="103">
        <v>44623</v>
      </c>
      <c r="B103" s="104" t="s">
        <v>24</v>
      </c>
      <c r="C103" s="104">
        <v>-0.5</v>
      </c>
      <c r="D103" s="105">
        <v>0.79652777777777783</v>
      </c>
      <c r="E103" s="102"/>
      <c r="F103" s="106">
        <f>4802.43944225192+4400.64804711642</f>
        <v>9203.0874893683394</v>
      </c>
      <c r="G103" s="104"/>
      <c r="H103" s="106">
        <v>7621.4406685837503</v>
      </c>
      <c r="I103" s="104"/>
      <c r="J103" s="106" t="s">
        <v>10</v>
      </c>
      <c r="K103" s="104"/>
      <c r="L103" s="106">
        <v>9262.6227234862999</v>
      </c>
      <c r="M103" s="104"/>
      <c r="N103" s="106" t="s">
        <v>10</v>
      </c>
      <c r="O103" s="14">
        <f t="shared" si="1"/>
        <v>26087.150881438389</v>
      </c>
    </row>
    <row r="104" spans="1:15" x14ac:dyDescent="0.25">
      <c r="A104" s="103">
        <v>44624</v>
      </c>
      <c r="B104" s="104" t="s">
        <v>18</v>
      </c>
      <c r="C104" s="104">
        <v>0</v>
      </c>
      <c r="D104" s="105">
        <v>0.8208333333333333</v>
      </c>
      <c r="E104" s="102" t="s">
        <v>62</v>
      </c>
      <c r="F104" s="106">
        <f>CPUE!F104*Effort!F104</f>
        <v>12055.409896628014</v>
      </c>
      <c r="G104" s="104" t="s">
        <v>62</v>
      </c>
      <c r="H104" s="106">
        <f>CPUE!H104*Effort!H104</f>
        <v>8689.8472705577897</v>
      </c>
      <c r="I104" s="104"/>
      <c r="J104" s="106">
        <v>13413.274565669501</v>
      </c>
      <c r="K104" s="104"/>
      <c r="L104" s="106" t="s">
        <v>10</v>
      </c>
      <c r="M104" s="104"/>
      <c r="N104" s="106" t="s">
        <v>10</v>
      </c>
      <c r="O104" s="14">
        <f t="shared" si="1"/>
        <v>34158.531732855306</v>
      </c>
    </row>
    <row r="105" spans="1:15" x14ac:dyDescent="0.25">
      <c r="A105" s="103"/>
      <c r="B105" s="104"/>
      <c r="C105" s="104"/>
      <c r="D105" s="105"/>
      <c r="E105" s="102"/>
      <c r="F105" s="106"/>
      <c r="G105" s="104"/>
      <c r="H105" s="106"/>
      <c r="I105" s="104"/>
      <c r="J105" s="106"/>
      <c r="K105" s="104"/>
      <c r="L105" s="106"/>
      <c r="M105" s="104"/>
      <c r="N105" s="106"/>
      <c r="O105" s="14"/>
    </row>
    <row r="106" spans="1:15" x14ac:dyDescent="0.25">
      <c r="A106" s="103">
        <v>44636</v>
      </c>
      <c r="B106" s="104" t="s">
        <v>23</v>
      </c>
      <c r="C106" s="104">
        <v>0</v>
      </c>
      <c r="D106" s="105">
        <v>0.77430555555555547</v>
      </c>
      <c r="E106" s="102"/>
      <c r="F106" s="106">
        <f>8288.33711941559+8288.33711941559</f>
        <v>16576.67423883118</v>
      </c>
      <c r="G106" s="104" t="s">
        <v>62</v>
      </c>
      <c r="H106" s="106">
        <f>CPUE!H106*Effort!H106</f>
        <v>7659.3116820567429</v>
      </c>
      <c r="I106" s="104"/>
      <c r="J106" s="106" t="s">
        <v>10</v>
      </c>
      <c r="K106" s="104"/>
      <c r="L106" s="106">
        <v>13049.484618250701</v>
      </c>
      <c r="M106" s="104"/>
      <c r="N106" s="106" t="s">
        <v>10</v>
      </c>
      <c r="O106" s="14">
        <f t="shared" si="1"/>
        <v>37285.470539138623</v>
      </c>
    </row>
    <row r="107" spans="1:15" x14ac:dyDescent="0.25">
      <c r="A107" s="103">
        <v>44637</v>
      </c>
      <c r="B107" s="104" t="s">
        <v>24</v>
      </c>
      <c r="C107" s="104">
        <v>0</v>
      </c>
      <c r="D107" s="105">
        <v>0.79722222222222217</v>
      </c>
      <c r="E107" s="102" t="s">
        <v>62</v>
      </c>
      <c r="F107" s="106">
        <f>CPUE!F107*Effort!F107</f>
        <v>6909.1180610786032</v>
      </c>
      <c r="G107" s="104" t="s">
        <v>62</v>
      </c>
      <c r="H107" s="106">
        <f>CPUE!H107*Effort!H107</f>
        <v>6708.7609425629125</v>
      </c>
      <c r="I107" s="104"/>
      <c r="J107" s="106">
        <v>11083.4869409354</v>
      </c>
      <c r="K107" s="104"/>
      <c r="L107" s="106" t="s">
        <v>10</v>
      </c>
      <c r="M107" s="104"/>
      <c r="N107" s="106" t="s">
        <v>10</v>
      </c>
      <c r="O107" s="14">
        <f t="shared" si="1"/>
        <v>24701.365944576915</v>
      </c>
    </row>
    <row r="108" spans="1:15" x14ac:dyDescent="0.25">
      <c r="A108" s="103">
        <v>44638</v>
      </c>
      <c r="B108" s="104" t="s">
        <v>18</v>
      </c>
      <c r="C108" s="104">
        <v>0.2</v>
      </c>
      <c r="D108" s="105">
        <v>0.82013888888888886</v>
      </c>
      <c r="E108" s="102" t="s">
        <v>62</v>
      </c>
      <c r="F108" s="106">
        <f>CPUE!F108*Effort!F108</f>
        <v>25422.689224347814</v>
      </c>
      <c r="G108" s="104"/>
      <c r="H108" s="106">
        <v>13019.679950751701</v>
      </c>
      <c r="I108" s="104"/>
      <c r="J108" s="106" t="s">
        <v>10</v>
      </c>
      <c r="K108" s="104"/>
      <c r="L108" s="106">
        <v>19172.9673993346</v>
      </c>
      <c r="M108" s="104"/>
      <c r="N108" s="106" t="s">
        <v>10</v>
      </c>
      <c r="O108" s="14">
        <f t="shared" si="1"/>
        <v>57615.336574434114</v>
      </c>
    </row>
    <row r="109" spans="1:15" x14ac:dyDescent="0.25">
      <c r="A109" s="103">
        <v>44639</v>
      </c>
      <c r="B109" s="104" t="s">
        <v>19</v>
      </c>
      <c r="C109" s="104">
        <v>0.5</v>
      </c>
      <c r="D109" s="105">
        <v>0.84305555555555556</v>
      </c>
      <c r="E109" s="102"/>
      <c r="F109" s="106">
        <f>CPUE!F109*Effort!F109</f>
        <v>37243.666779873121</v>
      </c>
      <c r="G109" s="104" t="s">
        <v>62</v>
      </c>
      <c r="H109" s="106">
        <f>CPUE!H109*Effort!H109</f>
        <v>36163.639822306708</v>
      </c>
      <c r="I109" s="104"/>
      <c r="J109" s="106">
        <v>59142.673706219299</v>
      </c>
      <c r="K109" s="104"/>
      <c r="L109" s="106" t="s">
        <v>10</v>
      </c>
      <c r="M109" s="104"/>
      <c r="N109" s="106" t="s">
        <v>10</v>
      </c>
      <c r="O109" s="14">
        <f t="shared" si="1"/>
        <v>132549.98030839913</v>
      </c>
    </row>
    <row r="110" spans="1:15" x14ac:dyDescent="0.25">
      <c r="A110" s="103">
        <v>44640</v>
      </c>
      <c r="B110" s="104" t="s">
        <v>20</v>
      </c>
      <c r="C110" s="104">
        <v>0.2</v>
      </c>
      <c r="D110" s="105">
        <v>0.36527777777777781</v>
      </c>
      <c r="E110" s="102" t="s">
        <v>62</v>
      </c>
      <c r="F110" s="106">
        <f>CPUE!F110*Effort!F110</f>
        <v>39775.213336358058</v>
      </c>
      <c r="G110" s="104"/>
      <c r="H110" s="106">
        <v>14771.4409033682</v>
      </c>
      <c r="I110" s="104"/>
      <c r="J110" s="106" t="s">
        <v>10</v>
      </c>
      <c r="K110" s="104"/>
      <c r="L110" s="106">
        <v>24899.5172085064</v>
      </c>
      <c r="M110" s="104"/>
      <c r="N110" s="106" t="s">
        <v>10</v>
      </c>
      <c r="O110" s="14">
        <f t="shared" si="1"/>
        <v>79446.171448232664</v>
      </c>
    </row>
    <row r="111" spans="1:15" x14ac:dyDescent="0.25">
      <c r="A111" s="103">
        <v>44641</v>
      </c>
      <c r="B111" s="104" t="s">
        <v>21</v>
      </c>
      <c r="C111" s="104">
        <v>0</v>
      </c>
      <c r="D111" s="105">
        <v>0.39583333333333331</v>
      </c>
      <c r="E111" s="102" t="s">
        <v>62</v>
      </c>
      <c r="F111" s="106">
        <f>CPUE!F111*Effort!F111</f>
        <v>6028.072933580369</v>
      </c>
      <c r="G111" s="104"/>
      <c r="H111" s="106">
        <v>5791.8366219688596</v>
      </c>
      <c r="I111" s="104"/>
      <c r="J111" s="106">
        <v>9466.6664824193904</v>
      </c>
      <c r="K111" s="104"/>
      <c r="L111" s="106" t="s">
        <v>10</v>
      </c>
      <c r="M111" s="104"/>
      <c r="N111" s="106" t="s">
        <v>10</v>
      </c>
      <c r="O111" s="14">
        <f t="shared" si="1"/>
        <v>21286.576037968618</v>
      </c>
    </row>
    <row r="112" spans="1:15" x14ac:dyDescent="0.25">
      <c r="A112" s="103">
        <v>44642</v>
      </c>
      <c r="B112" s="104" t="s">
        <v>22</v>
      </c>
      <c r="C112" s="104">
        <v>-0.1</v>
      </c>
      <c r="D112" s="105">
        <v>0.4291666666666667</v>
      </c>
      <c r="E112" s="102"/>
      <c r="F112" s="106">
        <f>CPUE!F112*Effort!F112</f>
        <v>17088</v>
      </c>
      <c r="G112" s="104" t="s">
        <v>62</v>
      </c>
      <c r="H112" s="106">
        <f>CPUE!H112*Effort!H112</f>
        <v>7157.2381243107729</v>
      </c>
      <c r="I112" s="104"/>
      <c r="J112" s="106" t="s">
        <v>10</v>
      </c>
      <c r="K112" s="104"/>
      <c r="L112" s="106">
        <v>12024.389766096099</v>
      </c>
      <c r="M112" s="104"/>
      <c r="N112" s="106" t="s">
        <v>10</v>
      </c>
      <c r="O112" s="14">
        <f t="shared" si="1"/>
        <v>36269.627890406875</v>
      </c>
    </row>
    <row r="113" spans="1:15" x14ac:dyDescent="0.25">
      <c r="A113" s="103"/>
      <c r="B113" s="104"/>
      <c r="C113" s="104"/>
      <c r="D113" s="105"/>
      <c r="E113" s="102"/>
      <c r="F113" s="106"/>
      <c r="G113" s="104"/>
      <c r="H113" s="106"/>
      <c r="I113" s="104"/>
      <c r="J113" s="106"/>
      <c r="K113" s="104"/>
      <c r="L113" s="106"/>
      <c r="M113" s="104"/>
      <c r="N113" s="106"/>
      <c r="O113" s="14"/>
    </row>
    <row r="114" spans="1:15" x14ac:dyDescent="0.25">
      <c r="A114" s="103">
        <v>44652</v>
      </c>
      <c r="B114" s="104" t="s">
        <v>18</v>
      </c>
      <c r="C114" s="104">
        <v>0.5</v>
      </c>
      <c r="D114" s="105">
        <v>0.31666666666666665</v>
      </c>
      <c r="E114" s="102"/>
      <c r="F114" s="106">
        <f>CPUE!F114*Effort!F114</f>
        <v>9445.9737883140897</v>
      </c>
      <c r="G114" s="104" t="s">
        <v>62</v>
      </c>
      <c r="H114" s="106">
        <f>CPUE!H114*Effort!H114</f>
        <v>5598.1623928055869</v>
      </c>
      <c r="I114" s="104"/>
      <c r="J114" s="106" t="s">
        <v>10</v>
      </c>
      <c r="K114" s="104"/>
      <c r="L114" s="106">
        <v>7315.4833838393597</v>
      </c>
      <c r="M114" s="104"/>
      <c r="N114" s="106" t="s">
        <v>10</v>
      </c>
      <c r="O114" s="14">
        <f t="shared" si="1"/>
        <v>22359.619564959037</v>
      </c>
    </row>
    <row r="115" spans="1:15" x14ac:dyDescent="0.25">
      <c r="A115" s="103">
        <v>44653</v>
      </c>
      <c r="B115" s="104" t="s">
        <v>19</v>
      </c>
      <c r="C115" s="104">
        <v>0</v>
      </c>
      <c r="D115" s="105">
        <v>0.33819444444444446</v>
      </c>
      <c r="E115" s="102"/>
      <c r="F115" s="106">
        <f>CPUE!F115*Effort!F115</f>
        <v>38066.955499595999</v>
      </c>
      <c r="G115" s="104"/>
      <c r="H115" s="106">
        <v>28336.125562683199</v>
      </c>
      <c r="I115" s="104"/>
      <c r="J115" s="106">
        <v>43730.504567810996</v>
      </c>
      <c r="K115" s="104"/>
      <c r="L115" s="106" t="s">
        <v>10</v>
      </c>
      <c r="M115" s="104"/>
      <c r="N115" s="106" t="s">
        <v>10</v>
      </c>
      <c r="O115" s="14">
        <f t="shared" si="1"/>
        <v>110133.58563009021</v>
      </c>
    </row>
    <row r="116" spans="1:15" x14ac:dyDescent="0.25">
      <c r="A116" s="103">
        <v>44654</v>
      </c>
      <c r="B116" s="104" t="s">
        <v>20</v>
      </c>
      <c r="C116" s="104">
        <v>-0.1</v>
      </c>
      <c r="D116" s="105">
        <v>0.36458333333333331</v>
      </c>
      <c r="E116" s="102" t="s">
        <v>62</v>
      </c>
      <c r="F116" s="106">
        <f>CPUE!F116*Effort!F116</f>
        <v>30824.130650206735</v>
      </c>
      <c r="G116" s="104"/>
      <c r="H116" s="106">
        <v>21600.889515578099</v>
      </c>
      <c r="I116" s="104"/>
      <c r="J116" s="106" t="s">
        <v>10</v>
      </c>
      <c r="K116" s="104"/>
      <c r="L116" s="106">
        <v>27942.213147024198</v>
      </c>
      <c r="M116" s="104"/>
      <c r="N116" s="106" t="s">
        <v>10</v>
      </c>
      <c r="O116" s="14">
        <f t="shared" si="1"/>
        <v>80367.233312809039</v>
      </c>
    </row>
    <row r="117" spans="1:15" x14ac:dyDescent="0.25">
      <c r="A117" s="103">
        <v>44655</v>
      </c>
      <c r="B117" s="104" t="s">
        <v>21</v>
      </c>
      <c r="C117" s="104">
        <v>0</v>
      </c>
      <c r="D117" s="105">
        <v>0.39097222222222222</v>
      </c>
      <c r="E117" s="102" t="s">
        <v>76</v>
      </c>
      <c r="F117" s="106">
        <f>CPUE!F117*Effort!F117</f>
        <v>0</v>
      </c>
      <c r="G117" s="104" t="s">
        <v>76</v>
      </c>
      <c r="H117" s="106">
        <f>CPUE!H117*Effort!H117</f>
        <v>0</v>
      </c>
      <c r="I117" s="104" t="s">
        <v>76</v>
      </c>
      <c r="J117" s="106">
        <v>0</v>
      </c>
      <c r="K117" s="104"/>
      <c r="L117" s="106" t="s">
        <v>10</v>
      </c>
      <c r="M117" s="104"/>
      <c r="N117" s="106" t="s">
        <v>10</v>
      </c>
      <c r="O117" s="14">
        <f t="shared" si="1"/>
        <v>0</v>
      </c>
    </row>
    <row r="118" spans="1:15" x14ac:dyDescent="0.25">
      <c r="A118" s="103">
        <v>44656</v>
      </c>
      <c r="B118" s="104" t="s">
        <v>22</v>
      </c>
      <c r="C118" s="104">
        <v>0.2</v>
      </c>
      <c r="D118" s="105">
        <v>0.41736111111111113</v>
      </c>
      <c r="E118" s="102" t="s">
        <v>76</v>
      </c>
      <c r="F118" s="106">
        <f>CPUE!F118*Effort!F118</f>
        <v>0</v>
      </c>
      <c r="G118" s="104" t="s">
        <v>76</v>
      </c>
      <c r="H118" s="106">
        <f>CPUE!H118*Effort!H118</f>
        <v>0</v>
      </c>
      <c r="I118" s="104"/>
      <c r="J118" s="106" t="s">
        <v>10</v>
      </c>
      <c r="K118" s="104" t="s">
        <v>76</v>
      </c>
      <c r="L118" s="106">
        <v>0</v>
      </c>
      <c r="M118" s="104"/>
      <c r="N118" s="106" t="s">
        <v>10</v>
      </c>
      <c r="O118" s="14">
        <f t="shared" si="1"/>
        <v>0</v>
      </c>
    </row>
    <row r="119" spans="1:15" x14ac:dyDescent="0.25">
      <c r="A119" s="103">
        <v>44657</v>
      </c>
      <c r="B119" s="104" t="s">
        <v>23</v>
      </c>
      <c r="C119" s="104">
        <v>0.5</v>
      </c>
      <c r="D119" s="105">
        <v>0.4465277777777778</v>
      </c>
      <c r="E119" s="102"/>
      <c r="F119" s="106">
        <f>CPUE!F119*Effort!F119</f>
        <v>26095.790806059016</v>
      </c>
      <c r="G119" s="104"/>
      <c r="H119" s="106">
        <v>18651.514629562698</v>
      </c>
      <c r="I119" s="104"/>
      <c r="J119" s="106">
        <v>23378.962616531098</v>
      </c>
      <c r="K119" s="104"/>
      <c r="L119" s="106" t="s">
        <v>10</v>
      </c>
      <c r="M119" s="104"/>
      <c r="N119" s="106" t="s">
        <v>10</v>
      </c>
      <c r="O119" s="14">
        <f t="shared" si="1"/>
        <v>68126.268052152824</v>
      </c>
    </row>
    <row r="120" spans="1:15" x14ac:dyDescent="0.25">
      <c r="A120" s="103"/>
      <c r="B120" s="104"/>
      <c r="C120" s="104"/>
      <c r="D120" s="105"/>
      <c r="E120" s="102"/>
      <c r="F120" s="106"/>
      <c r="G120" s="104"/>
      <c r="H120" s="106"/>
      <c r="I120" s="104"/>
      <c r="J120" s="106"/>
      <c r="K120" s="104"/>
      <c r="L120" s="106"/>
      <c r="M120" s="104"/>
      <c r="N120" s="106"/>
      <c r="O120" s="14"/>
    </row>
    <row r="121" spans="1:15" x14ac:dyDescent="0.25">
      <c r="A121" s="103">
        <v>44667</v>
      </c>
      <c r="B121" s="104" t="s">
        <v>19</v>
      </c>
      <c r="C121" s="104">
        <v>-0.2</v>
      </c>
      <c r="D121" s="105">
        <v>0.29375000000000001</v>
      </c>
      <c r="E121" s="102"/>
      <c r="F121" s="106">
        <f>CPUE!F121*Effort!F121</f>
        <v>79127.008598381974</v>
      </c>
      <c r="G121" s="104"/>
      <c r="H121" s="106">
        <v>56397.301688339503</v>
      </c>
      <c r="I121" s="104"/>
      <c r="J121" s="106">
        <v>78435.377711650595</v>
      </c>
      <c r="K121" s="104"/>
      <c r="L121" s="106" t="s">
        <v>10</v>
      </c>
      <c r="M121" s="104"/>
      <c r="N121" s="106" t="s">
        <v>10</v>
      </c>
      <c r="O121" s="14">
        <f t="shared" si="1"/>
        <v>213959.68799837207</v>
      </c>
    </row>
    <row r="122" spans="1:15" x14ac:dyDescent="0.25">
      <c r="A122" s="103">
        <v>44668</v>
      </c>
      <c r="B122" s="104" t="s">
        <v>20</v>
      </c>
      <c r="C122" s="104">
        <v>-0.8</v>
      </c>
      <c r="D122" s="105">
        <v>0.32291666666666669</v>
      </c>
      <c r="E122" s="102"/>
      <c r="F122" s="106">
        <f>39311.5338420007+26428.0796700372</f>
        <v>65739.613512037904</v>
      </c>
      <c r="G122" s="104" t="s">
        <v>62</v>
      </c>
      <c r="H122" s="106">
        <f>CPUE!H122*Effort!H122</f>
        <v>55906.115812917866</v>
      </c>
      <c r="I122" s="104"/>
      <c r="J122" s="106" t="s">
        <v>10</v>
      </c>
      <c r="K122" s="104"/>
      <c r="L122" s="106">
        <v>77720.451314165897</v>
      </c>
      <c r="M122" s="104"/>
      <c r="N122" s="106" t="s">
        <v>10</v>
      </c>
      <c r="O122" s="14">
        <f t="shared" si="1"/>
        <v>199366.18063912168</v>
      </c>
    </row>
    <row r="123" spans="1:15" x14ac:dyDescent="0.25">
      <c r="A123" s="103">
        <v>44669</v>
      </c>
      <c r="B123" s="104" t="s">
        <v>21</v>
      </c>
      <c r="C123" s="104">
        <v>-1.2</v>
      </c>
      <c r="D123" s="105">
        <v>0.3527777777777778</v>
      </c>
      <c r="E123" s="102" t="s">
        <v>62</v>
      </c>
      <c r="F123" s="106">
        <f>CPUE!F123*Effort!F123</f>
        <v>37987.180453812332</v>
      </c>
      <c r="G123" s="104" t="s">
        <v>62</v>
      </c>
      <c r="H123" s="106">
        <f>CPUE!H123*Effort!H123</f>
        <v>26595.322932826875</v>
      </c>
      <c r="I123" s="104"/>
      <c r="J123" s="106">
        <v>37931.827119868198</v>
      </c>
      <c r="K123" s="104"/>
      <c r="L123" s="106" t="s">
        <v>10</v>
      </c>
      <c r="M123" s="104"/>
      <c r="N123" s="106" t="s">
        <v>10</v>
      </c>
      <c r="O123" s="14">
        <f t="shared" si="1"/>
        <v>102514.33050650739</v>
      </c>
    </row>
    <row r="124" spans="1:15" x14ac:dyDescent="0.25">
      <c r="A124" s="103">
        <v>44670</v>
      </c>
      <c r="B124" s="104" t="s">
        <v>22</v>
      </c>
      <c r="C124" s="104">
        <v>-1.3</v>
      </c>
      <c r="D124" s="105">
        <v>0.38472222222222219</v>
      </c>
      <c r="E124" s="102"/>
      <c r="F124" s="106">
        <f>CPUE!F124*Effort!F124</f>
        <v>51827.640873282879</v>
      </c>
      <c r="G124" s="104"/>
      <c r="H124" s="106">
        <v>34634.076330875199</v>
      </c>
      <c r="I124" s="104"/>
      <c r="J124" s="106" t="s">
        <v>10</v>
      </c>
      <c r="K124" s="104"/>
      <c r="L124" s="106">
        <v>47524.326160798002</v>
      </c>
      <c r="M124" s="104"/>
      <c r="N124" s="106" t="s">
        <v>10</v>
      </c>
      <c r="O124" s="14">
        <f t="shared" si="1"/>
        <v>133986.04336495607</v>
      </c>
    </row>
    <row r="125" spans="1:15" x14ac:dyDescent="0.25">
      <c r="A125" s="103">
        <v>44671</v>
      </c>
      <c r="B125" s="104" t="s">
        <v>23</v>
      </c>
      <c r="C125" s="104">
        <v>-1.2</v>
      </c>
      <c r="D125" s="105">
        <v>0.41944444444444445</v>
      </c>
      <c r="E125" s="102" t="s">
        <v>62</v>
      </c>
      <c r="F125" s="106">
        <f>CPUE!F125*Effort!F125</f>
        <v>41032.330088281291</v>
      </c>
      <c r="G125" s="104"/>
      <c r="H125" s="106">
        <v>28727.272104625899</v>
      </c>
      <c r="I125" s="104"/>
      <c r="J125" s="106">
        <v>55347.663165518097</v>
      </c>
      <c r="K125" s="104"/>
      <c r="L125" s="106" t="s">
        <v>10</v>
      </c>
      <c r="M125" s="104"/>
      <c r="N125" s="106" t="s">
        <v>10</v>
      </c>
      <c r="O125" s="14">
        <f t="shared" si="1"/>
        <v>125107.26535842528</v>
      </c>
    </row>
    <row r="126" spans="1:15" x14ac:dyDescent="0.25">
      <c r="A126" s="103">
        <v>44672</v>
      </c>
      <c r="B126" s="104" t="s">
        <v>24</v>
      </c>
      <c r="C126" s="104">
        <v>-0.9</v>
      </c>
      <c r="D126" s="105">
        <v>0.45763888888888887</v>
      </c>
      <c r="E126" s="102" t="s">
        <v>62</v>
      </c>
      <c r="F126" s="106">
        <f>CPUE!F126*Effort!F126</f>
        <v>22212.666502960172</v>
      </c>
      <c r="G126" s="104" t="s">
        <v>62</v>
      </c>
      <c r="H126" s="106">
        <f>CPUE!H126*Effort!H126</f>
        <v>18746.378037748371</v>
      </c>
      <c r="I126" s="104"/>
      <c r="J126" s="106" t="s">
        <v>10</v>
      </c>
      <c r="K126" s="104"/>
      <c r="L126" s="106">
        <v>26480.483446464401</v>
      </c>
      <c r="M126" s="104"/>
      <c r="N126" s="106" t="s">
        <v>10</v>
      </c>
      <c r="O126" s="14">
        <f t="shared" si="1"/>
        <v>67439.527987172944</v>
      </c>
    </row>
    <row r="127" spans="1:15" x14ac:dyDescent="0.25">
      <c r="A127" s="103"/>
      <c r="B127" s="104"/>
      <c r="C127" s="104"/>
      <c r="D127" s="105"/>
      <c r="E127" s="102"/>
      <c r="F127" s="106"/>
      <c r="G127" s="104"/>
      <c r="H127" s="106"/>
      <c r="I127" s="104"/>
      <c r="J127" s="106"/>
      <c r="K127" s="104"/>
      <c r="L127" s="106"/>
      <c r="M127" s="104"/>
      <c r="N127" s="106"/>
      <c r="O127" s="14"/>
    </row>
    <row r="128" spans="1:15" x14ac:dyDescent="0.25">
      <c r="A128" s="103">
        <v>44680</v>
      </c>
      <c r="B128" s="104" t="s">
        <v>18</v>
      </c>
      <c r="C128" s="104">
        <v>-0.1</v>
      </c>
      <c r="D128" s="105">
        <v>0.27152777777777776</v>
      </c>
      <c r="E128" s="102" t="s">
        <v>62</v>
      </c>
      <c r="F128" s="106">
        <f>CPUE!F128*Effort!F128</f>
        <v>16084.737662408088</v>
      </c>
      <c r="G128" s="104" t="s">
        <v>62</v>
      </c>
      <c r="H128" s="106">
        <f>CPUE!H128*Effort!H128</f>
        <v>11005.559163213031</v>
      </c>
      <c r="I128" s="104"/>
      <c r="J128" s="106">
        <v>16312.347826087</v>
      </c>
      <c r="K128" s="104"/>
      <c r="L128" s="106" t="s">
        <v>10</v>
      </c>
      <c r="M128" s="104"/>
      <c r="N128" s="106" t="s">
        <v>10</v>
      </c>
      <c r="O128" s="14">
        <f t="shared" si="1"/>
        <v>43402.64465170812</v>
      </c>
    </row>
    <row r="129" spans="1:16" x14ac:dyDescent="0.25">
      <c r="A129" s="103">
        <v>44681</v>
      </c>
      <c r="B129" s="104" t="s">
        <v>19</v>
      </c>
      <c r="C129" s="104">
        <v>-0.5</v>
      </c>
      <c r="D129" s="105">
        <v>0.2986111111111111</v>
      </c>
      <c r="E129" s="102"/>
      <c r="F129" s="106">
        <f>37406.9097753604+25187.6029568183</f>
        <v>62594.5127321787</v>
      </c>
      <c r="G129" s="104"/>
      <c r="H129" s="106">
        <v>26554.442065570802</v>
      </c>
      <c r="I129" s="104"/>
      <c r="J129" s="106" t="s">
        <v>10</v>
      </c>
      <c r="K129" s="104"/>
      <c r="L129" s="106">
        <v>30413.508439736601</v>
      </c>
      <c r="M129" s="104"/>
      <c r="N129" s="106" t="s">
        <v>10</v>
      </c>
      <c r="O129" s="14">
        <f t="shared" si="1"/>
        <v>119562.4632374861</v>
      </c>
    </row>
    <row r="130" spans="1:16" x14ac:dyDescent="0.25">
      <c r="A130" s="103">
        <v>44682</v>
      </c>
      <c r="B130" s="104" t="s">
        <v>20</v>
      </c>
      <c r="C130" s="104">
        <v>-0.8</v>
      </c>
      <c r="D130" s="105">
        <v>0.32430555555555557</v>
      </c>
      <c r="E130" s="102"/>
      <c r="F130" s="106">
        <f>CPUE!F130*Effort!F130</f>
        <v>81144.153490056662</v>
      </c>
      <c r="G130" s="104"/>
      <c r="H130" s="106">
        <v>33141.966101694903</v>
      </c>
      <c r="I130" s="104"/>
      <c r="J130" s="106">
        <v>80683.330127265799</v>
      </c>
      <c r="K130" s="104"/>
      <c r="L130" s="106" t="s">
        <v>10</v>
      </c>
      <c r="M130" s="104"/>
      <c r="N130" s="106" t="s">
        <v>10</v>
      </c>
      <c r="O130" s="14">
        <f t="shared" ref="O130:O136" si="2">SUM(F130:N130)</f>
        <v>194969.44971901737</v>
      </c>
    </row>
    <row r="131" spans="1:16" x14ac:dyDescent="0.25">
      <c r="A131" s="103">
        <v>44683</v>
      </c>
      <c r="B131" s="104" t="s">
        <v>21</v>
      </c>
      <c r="C131" s="104">
        <v>-0.8</v>
      </c>
      <c r="D131" s="105">
        <v>0.34861111111111115</v>
      </c>
      <c r="E131" s="102" t="s">
        <v>62</v>
      </c>
      <c r="F131" s="106">
        <f>CPUE!F131*Effort!F131</f>
        <v>18782.767869748714</v>
      </c>
      <c r="G131" s="104"/>
      <c r="H131" s="106">
        <v>16320</v>
      </c>
      <c r="I131" s="104"/>
      <c r="J131" s="106" t="s">
        <v>10</v>
      </c>
      <c r="K131" s="104"/>
      <c r="L131" s="106">
        <v>16365.740090424701</v>
      </c>
      <c r="M131" s="104"/>
      <c r="N131" s="106" t="s">
        <v>10</v>
      </c>
      <c r="O131" s="14">
        <f t="shared" si="2"/>
        <v>51468.507960173418</v>
      </c>
    </row>
    <row r="132" spans="1:16" x14ac:dyDescent="0.25">
      <c r="A132" s="103">
        <v>44684</v>
      </c>
      <c r="B132" s="104" t="s">
        <v>22</v>
      </c>
      <c r="C132" s="104">
        <v>-0.7</v>
      </c>
      <c r="D132" s="105">
        <v>0.37291666666666662</v>
      </c>
      <c r="E132" s="102" t="s">
        <v>62</v>
      </c>
      <c r="F132" s="106">
        <f>CPUE!F132*Effort!F132</f>
        <v>40949.218544971758</v>
      </c>
      <c r="G132" s="104" t="s">
        <v>62</v>
      </c>
      <c r="H132" s="106">
        <f>CPUE!H132*Effort!H132</f>
        <v>28018.426961186509</v>
      </c>
      <c r="I132" s="104"/>
      <c r="J132" s="106">
        <v>40483.998391310401</v>
      </c>
      <c r="K132" s="104"/>
      <c r="L132" s="106" t="s">
        <v>10</v>
      </c>
      <c r="M132" s="104"/>
      <c r="N132" s="106" t="s">
        <v>10</v>
      </c>
      <c r="O132" s="14">
        <f t="shared" si="2"/>
        <v>109451.64389746866</v>
      </c>
    </row>
    <row r="133" spans="1:16" x14ac:dyDescent="0.25">
      <c r="A133" s="103">
        <v>44685</v>
      </c>
      <c r="B133" s="104" t="s">
        <v>23</v>
      </c>
      <c r="C133" s="104">
        <v>-0.4</v>
      </c>
      <c r="D133" s="105">
        <v>0.39861111111111108</v>
      </c>
      <c r="E133" s="102"/>
      <c r="F133" s="106">
        <f>CPUE!F133*Effort!F133</f>
        <v>48191.675602613112</v>
      </c>
      <c r="G133" s="104" t="s">
        <v>62</v>
      </c>
      <c r="H133" s="106">
        <f>CPUE!H133*Effort!H133</f>
        <v>35843.169138571262</v>
      </c>
      <c r="I133" s="104"/>
      <c r="J133" s="106" t="s">
        <v>10</v>
      </c>
      <c r="K133" s="104"/>
      <c r="L133" s="106">
        <v>41990.213737597398</v>
      </c>
      <c r="M133" s="104"/>
      <c r="N133" s="106" t="s">
        <v>10</v>
      </c>
      <c r="O133" s="14">
        <f t="shared" si="2"/>
        <v>126025.05847878178</v>
      </c>
    </row>
    <row r="134" spans="1:16" x14ac:dyDescent="0.25">
      <c r="A134" s="103">
        <v>44686</v>
      </c>
      <c r="B134" s="104" t="s">
        <v>24</v>
      </c>
      <c r="C134" s="104">
        <v>-0.1</v>
      </c>
      <c r="D134" s="105">
        <v>0.42569444444444443</v>
      </c>
      <c r="E134" s="102" t="s">
        <v>62</v>
      </c>
      <c r="F134" s="106">
        <f>CPUE!F134*Effort!F134</f>
        <v>13972.577920791324</v>
      </c>
      <c r="G134" s="104" t="s">
        <v>62</v>
      </c>
      <c r="H134" s="106">
        <f>CPUE!H134*Effort!H134</f>
        <v>9560.369351205869</v>
      </c>
      <c r="I134" s="104"/>
      <c r="J134" s="106">
        <v>13763.7866666667</v>
      </c>
      <c r="K134" s="104"/>
      <c r="L134" s="106" t="s">
        <v>10</v>
      </c>
      <c r="M134" s="104"/>
      <c r="N134" s="106" t="s">
        <v>10</v>
      </c>
      <c r="O134" s="14">
        <f t="shared" si="2"/>
        <v>37296.733938663892</v>
      </c>
    </row>
    <row r="135" spans="1:16" x14ac:dyDescent="0.25">
      <c r="A135" s="103">
        <v>44687</v>
      </c>
      <c r="B135" s="104" t="s">
        <v>18</v>
      </c>
      <c r="C135" s="104">
        <v>0.2</v>
      </c>
      <c r="D135" s="105">
        <v>0.45624999999999999</v>
      </c>
      <c r="E135" s="102" t="s">
        <v>62</v>
      </c>
      <c r="F135" s="106">
        <f>CPUE!F135*Effort!F135</f>
        <v>36683.159815333485</v>
      </c>
      <c r="G135" s="104" t="s">
        <v>62</v>
      </c>
      <c r="H135" s="106">
        <f>CPUE!H135*Effort!H135</f>
        <v>18179.99854516063</v>
      </c>
      <c r="I135" s="104"/>
      <c r="J135" s="106" t="s">
        <v>10</v>
      </c>
      <c r="K135" s="104"/>
      <c r="L135" s="106">
        <v>18067.3405519097</v>
      </c>
      <c r="M135" s="104"/>
      <c r="N135" s="106" t="s">
        <v>10</v>
      </c>
      <c r="O135" s="14">
        <f t="shared" si="2"/>
        <v>72930.498912403811</v>
      </c>
    </row>
    <row r="136" spans="1:16" x14ac:dyDescent="0.25">
      <c r="A136" s="103">
        <v>44688</v>
      </c>
      <c r="B136" s="104" t="s">
        <v>19</v>
      </c>
      <c r="C136" s="104">
        <v>0.5</v>
      </c>
      <c r="D136" s="105">
        <v>0.4916666666666667</v>
      </c>
      <c r="E136" s="102" t="s">
        <v>62</v>
      </c>
      <c r="F136" s="106">
        <f>CPUE!F136*Effort!F136</f>
        <v>74976.716539392175</v>
      </c>
      <c r="G136" s="104"/>
      <c r="H136" s="106">
        <v>52338.181818181802</v>
      </c>
      <c r="I136" s="104"/>
      <c r="J136" s="106">
        <v>72090.8451351189</v>
      </c>
      <c r="K136" s="104"/>
      <c r="L136" s="106" t="s">
        <v>10</v>
      </c>
      <c r="M136" s="104"/>
      <c r="N136" s="106" t="s">
        <v>10</v>
      </c>
      <c r="O136" s="14">
        <f t="shared" si="2"/>
        <v>199405.74349269288</v>
      </c>
    </row>
    <row r="137" spans="1:16" x14ac:dyDescent="0.25">
      <c r="A137" s="103"/>
      <c r="B137" s="104"/>
      <c r="C137" s="104"/>
      <c r="D137" s="105"/>
      <c r="E137" s="102"/>
      <c r="F137" s="106"/>
      <c r="G137" s="104"/>
      <c r="H137" s="106"/>
      <c r="I137" s="104"/>
      <c r="J137" s="106"/>
      <c r="K137" s="104"/>
      <c r="L137" s="106"/>
      <c r="M137" s="104"/>
      <c r="N137" s="106"/>
      <c r="O137" s="14"/>
    </row>
    <row r="138" spans="1:16" x14ac:dyDescent="0.25">
      <c r="A138" s="27" t="s">
        <v>64</v>
      </c>
      <c r="B138" s="101"/>
      <c r="C138" s="101"/>
      <c r="E138" s="13"/>
      <c r="F138" s="14">
        <f>SUM(F2:F137)</f>
        <v>3187179.4805377112</v>
      </c>
      <c r="G138" s="15"/>
      <c r="H138" s="14">
        <f>SUM(H2:H137)</f>
        <v>2092914.11097769</v>
      </c>
      <c r="I138" s="15"/>
      <c r="J138" s="14">
        <f>SUM(J2:J137)</f>
        <v>1612069.4275431714</v>
      </c>
      <c r="K138" s="15"/>
      <c r="L138" s="14">
        <f>SUM(L2:L137)</f>
        <v>1233103.4905487637</v>
      </c>
      <c r="M138" s="15"/>
      <c r="N138" s="14">
        <f>SUM(N2:N137)</f>
        <v>0</v>
      </c>
      <c r="O138" s="14">
        <f>SUM(O2:O137)</f>
        <v>8125266.5096073402</v>
      </c>
      <c r="P138" s="34">
        <f>SUM(F138,H138,J138,L138,N138)</f>
        <v>8125266.5096073365</v>
      </c>
    </row>
    <row r="139" spans="1:16" x14ac:dyDescent="0.25">
      <c r="A139" s="28" t="s">
        <v>11</v>
      </c>
      <c r="B139" s="15"/>
      <c r="C139" s="15"/>
      <c r="D139" s="23"/>
      <c r="E139" s="13"/>
      <c r="F139" s="49">
        <f>+'LB Wastage'!F100</f>
        <v>4.1538461538461538E-2</v>
      </c>
      <c r="G139" s="16"/>
      <c r="H139" s="49">
        <f>+'TH Wastage'!F100</f>
        <v>1.2857142857142857E-2</v>
      </c>
      <c r="I139" s="16"/>
      <c r="J139" s="49">
        <f>+'Cop Wastage'!F100</f>
        <v>2.823529411764706E-2</v>
      </c>
      <c r="K139" s="17"/>
      <c r="L139" s="49">
        <f>+'Moc Wastage'!F100</f>
        <v>1.7999999999999999E-2</v>
      </c>
      <c r="M139" s="16"/>
      <c r="N139" s="49">
        <f>+'Kal Wastage'!F100</f>
        <v>0</v>
      </c>
      <c r="O139" s="14"/>
    </row>
    <row r="140" spans="1:16" x14ac:dyDescent="0.25">
      <c r="A140" s="27" t="s">
        <v>12</v>
      </c>
      <c r="B140" s="15"/>
      <c r="C140" s="15"/>
      <c r="D140" s="23"/>
      <c r="E140" s="13"/>
      <c r="F140" s="14">
        <f>+F138*F139</f>
        <v>132390.53226848954</v>
      </c>
      <c r="G140" s="16"/>
      <c r="H140" s="14">
        <f>+H138*H139</f>
        <v>26908.895712570298</v>
      </c>
      <c r="I140" s="16"/>
      <c r="J140" s="14">
        <f>+J138*J139</f>
        <v>45517.254424748375</v>
      </c>
      <c r="K140" s="16"/>
      <c r="L140" s="14">
        <f>+L138*L139</f>
        <v>22195.862829877744</v>
      </c>
      <c r="M140" s="16"/>
      <c r="N140" s="14">
        <f>+N138*N139</f>
        <v>0</v>
      </c>
      <c r="O140" s="14">
        <f>F140+H140+J140+L140+N140</f>
        <v>227012.54523568592</v>
      </c>
    </row>
    <row r="141" spans="1:16" x14ac:dyDescent="0.25">
      <c r="A141" s="28" t="s">
        <v>13</v>
      </c>
      <c r="B141" s="15"/>
      <c r="C141" s="15"/>
      <c r="D141" s="23"/>
      <c r="E141" s="13"/>
      <c r="F141" s="14">
        <f>F138+F140</f>
        <v>3319570.0128062009</v>
      </c>
      <c r="G141" s="16"/>
      <c r="H141" s="14">
        <f>H138+H140</f>
        <v>2119823.0066902605</v>
      </c>
      <c r="I141" s="16"/>
      <c r="J141" s="14">
        <f>J138+J140</f>
        <v>1657586.6819679199</v>
      </c>
      <c r="K141" s="16"/>
      <c r="L141" s="14">
        <f>L138+L140</f>
        <v>1255299.3533786414</v>
      </c>
      <c r="M141" s="16"/>
      <c r="N141" s="14">
        <f>N138+N140</f>
        <v>0</v>
      </c>
      <c r="O141" s="14">
        <f>O138+O140</f>
        <v>8352279.0548430262</v>
      </c>
    </row>
    <row r="142" spans="1:16" x14ac:dyDescent="0.25">
      <c r="A142" s="29" t="s">
        <v>65</v>
      </c>
      <c r="B142" s="15"/>
      <c r="C142" s="15"/>
      <c r="D142" s="23"/>
      <c r="E142" s="13"/>
      <c r="F142" s="14"/>
      <c r="G142" s="16"/>
      <c r="H142" s="14"/>
      <c r="I142" s="16"/>
      <c r="J142" s="14"/>
      <c r="K142" s="16"/>
      <c r="L142" s="14"/>
      <c r="M142" s="16"/>
      <c r="N142" s="14"/>
      <c r="O142" s="14"/>
    </row>
    <row r="143" spans="1:16" x14ac:dyDescent="0.25">
      <c r="A143" s="29" t="s">
        <v>14</v>
      </c>
      <c r="B143" s="15"/>
      <c r="C143" s="15"/>
      <c r="D143" s="23"/>
      <c r="E143" s="13"/>
      <c r="F143" s="18">
        <f>F141/TAC!B4</f>
        <v>0.38335647364976821</v>
      </c>
      <c r="G143" s="16"/>
      <c r="H143" s="18">
        <f>H141/TAC!B5</f>
        <v>0.62132504321800863</v>
      </c>
      <c r="I143" s="16"/>
      <c r="J143" s="18">
        <f>+J141/TAC!B6</f>
        <v>0.50171790993371623</v>
      </c>
      <c r="K143" s="16"/>
      <c r="L143" s="18">
        <f>L141/TAC!B7</f>
        <v>0.63756078780912306</v>
      </c>
      <c r="M143" s="16"/>
      <c r="N143" s="18">
        <f>N141/TAC!B8</f>
        <v>0</v>
      </c>
      <c r="O143" s="18">
        <f>O141/TAC!B9</f>
        <v>0.47876713402175203</v>
      </c>
    </row>
    <row r="144" spans="1:16" x14ac:dyDescent="0.25">
      <c r="A144" s="29" t="s">
        <v>15</v>
      </c>
      <c r="B144" s="15"/>
      <c r="C144" s="15"/>
      <c r="D144" s="23"/>
      <c r="E144" s="13"/>
      <c r="F144" s="14">
        <f>+TAC!B4-Harvest!F141</f>
        <v>5339655.1235324033</v>
      </c>
      <c r="G144" s="16"/>
      <c r="H144" s="14">
        <f>TAC!B5-Harvest!H141</f>
        <v>1291954.8217248474</v>
      </c>
      <c r="I144" s="16"/>
      <c r="J144" s="14">
        <f>+TAC!B6-Harvest!J141</f>
        <v>1646235.3446105404</v>
      </c>
      <c r="K144" s="16"/>
      <c r="L144" s="14">
        <f>TAC!B7-L141</f>
        <v>713609.92928329809</v>
      </c>
      <c r="M144" s="16"/>
      <c r="N144" s="14">
        <f>TAC!B8-N141</f>
        <v>101655.06316024926</v>
      </c>
      <c r="O144" s="14">
        <f>TAC!B9-Harvest!O141</f>
        <v>9093110.2823113352</v>
      </c>
    </row>
    <row r="145" spans="1:15" x14ac:dyDescent="0.25">
      <c r="A145" s="29"/>
      <c r="B145" s="15"/>
      <c r="C145" s="15"/>
      <c r="D145" s="23"/>
      <c r="E145" s="13"/>
      <c r="F145" s="14"/>
      <c r="G145" s="16"/>
      <c r="H145" s="14"/>
      <c r="I145" s="16"/>
      <c r="J145" s="14"/>
      <c r="K145" s="16"/>
      <c r="L145" s="14"/>
      <c r="M145" s="16"/>
      <c r="N145" s="15"/>
      <c r="O145" s="14"/>
    </row>
    <row r="146" spans="1:15" x14ac:dyDescent="0.25">
      <c r="A146" s="27" t="s">
        <v>16</v>
      </c>
      <c r="B146" s="15"/>
      <c r="C146" s="15"/>
      <c r="D146" s="23"/>
    </row>
    <row r="147" spans="1:15" x14ac:dyDescent="0.25">
      <c r="A147" s="30" t="s">
        <v>17</v>
      </c>
      <c r="B147" s="101"/>
      <c r="C147" s="101"/>
    </row>
    <row r="148" spans="1:15" x14ac:dyDescent="0.25">
      <c r="B148" s="101"/>
      <c r="C148" s="101"/>
      <c r="E148"/>
    </row>
    <row r="149" spans="1:15" x14ac:dyDescent="0.25">
      <c r="B149" s="101"/>
      <c r="C149" s="101"/>
      <c r="E149"/>
    </row>
    <row r="150" spans="1:15" x14ac:dyDescent="0.25">
      <c r="B150" s="101"/>
      <c r="C150" s="101"/>
      <c r="E150"/>
    </row>
    <row r="151" spans="1:15" x14ac:dyDescent="0.25">
      <c r="B151" s="101"/>
      <c r="C151" s="101"/>
      <c r="E151"/>
    </row>
    <row r="152" spans="1:15" x14ac:dyDescent="0.25">
      <c r="B152" s="101"/>
      <c r="C152" s="101"/>
      <c r="E152"/>
    </row>
    <row r="153" spans="1:15" x14ac:dyDescent="0.25">
      <c r="B153" s="101"/>
      <c r="C153" s="101"/>
      <c r="E153"/>
    </row>
    <row r="154" spans="1:15" x14ac:dyDescent="0.25">
      <c r="B154" s="101"/>
      <c r="C154" s="101"/>
      <c r="E154"/>
    </row>
    <row r="155" spans="1:15" x14ac:dyDescent="0.25">
      <c r="B155" s="101"/>
      <c r="C155" s="101"/>
      <c r="E155"/>
    </row>
    <row r="156" spans="1:15" x14ac:dyDescent="0.25">
      <c r="B156" s="101"/>
      <c r="C156" s="101"/>
      <c r="E156"/>
    </row>
    <row r="157" spans="1:15" x14ac:dyDescent="0.25">
      <c r="B157" s="101"/>
      <c r="C157" s="101"/>
      <c r="E157"/>
    </row>
    <row r="158" spans="1:15" x14ac:dyDescent="0.25">
      <c r="B158" s="101"/>
      <c r="C158" s="101"/>
      <c r="E158"/>
    </row>
    <row r="159" spans="1:15" x14ac:dyDescent="0.25">
      <c r="B159" s="101"/>
      <c r="C159" s="101"/>
      <c r="E159"/>
    </row>
    <row r="160" spans="1:15" x14ac:dyDescent="0.25">
      <c r="B160" s="101"/>
      <c r="C160" s="101"/>
      <c r="E160"/>
    </row>
    <row r="161" spans="1:14" x14ac:dyDescent="0.25">
      <c r="B161" s="101"/>
      <c r="C161" s="101"/>
      <c r="E161"/>
    </row>
    <row r="162" spans="1:14" x14ac:dyDescent="0.25">
      <c r="B162" s="101"/>
      <c r="C162" s="101"/>
      <c r="E162"/>
    </row>
    <row r="163" spans="1:14" x14ac:dyDescent="0.25">
      <c r="B163" s="101"/>
      <c r="C163" s="101"/>
      <c r="E163"/>
    </row>
    <row r="164" spans="1:14" x14ac:dyDescent="0.25">
      <c r="B164" s="101"/>
      <c r="C164" s="101"/>
      <c r="E164"/>
    </row>
    <row r="165" spans="1:14" x14ac:dyDescent="0.25">
      <c r="B165" s="101"/>
      <c r="C165" s="101"/>
      <c r="E165"/>
    </row>
    <row r="166" spans="1:14" x14ac:dyDescent="0.25">
      <c r="B166" s="101"/>
      <c r="C166" s="101"/>
      <c r="E166"/>
    </row>
    <row r="167" spans="1:14" x14ac:dyDescent="0.25">
      <c r="B167" s="101"/>
      <c r="C167" s="101"/>
      <c r="E167"/>
    </row>
    <row r="168" spans="1:14" x14ac:dyDescent="0.25">
      <c r="A168" s="4"/>
      <c r="B168" s="9"/>
      <c r="C168" s="11"/>
      <c r="D168" s="25"/>
      <c r="E168" s="7"/>
      <c r="F168" s="94"/>
      <c r="G168" s="10"/>
      <c r="H168" s="94"/>
      <c r="I168" s="10"/>
      <c r="J168" s="94"/>
      <c r="K168" s="7"/>
      <c r="L168" s="94"/>
      <c r="M168" s="10"/>
      <c r="N168" s="12"/>
    </row>
    <row r="169" spans="1:14" x14ac:dyDescent="0.25">
      <c r="A169" s="2"/>
      <c r="B169" s="9"/>
      <c r="C169" s="5"/>
    </row>
  </sheetData>
  <mergeCells count="5">
    <mergeCell ref="E1:F1"/>
    <mergeCell ref="G1:H1"/>
    <mergeCell ref="I1:J1"/>
    <mergeCell ref="K1:L1"/>
    <mergeCell ref="M1:N1"/>
  </mergeCells>
  <phoneticPr fontId="17" type="noConversion"/>
  <pageMargins left="0.28999999999999998" right="0.36" top="0.66" bottom="0.5" header="0.2" footer="0.25"/>
  <pageSetup paperSize="3" scale="6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68"/>
  <sheetViews>
    <sheetView tabSelected="1" workbookViewId="0">
      <selection activeCell="Q2" sqref="Q2"/>
    </sheetView>
  </sheetViews>
  <sheetFormatPr defaultRowHeight="15" x14ac:dyDescent="0.25"/>
  <cols>
    <col min="1" max="1" width="21.140625" customWidth="1"/>
    <col min="5" max="5" width="3.85546875" customWidth="1"/>
    <col min="6" max="6" width="14.42578125" style="93" customWidth="1"/>
    <col min="7" max="7" width="3.5703125" customWidth="1"/>
    <col min="8" max="8" width="15.28515625" style="93" customWidth="1"/>
    <col min="9" max="9" width="3.85546875" customWidth="1"/>
    <col min="10" max="10" width="16.28515625" style="93" customWidth="1"/>
    <col min="11" max="11" width="3" customWidth="1"/>
    <col min="12" max="12" width="15.42578125" style="93" customWidth="1"/>
    <col min="13" max="13" width="3" customWidth="1"/>
    <col min="14" max="14" width="16.42578125" customWidth="1"/>
    <col min="15" max="15" width="13.42578125" style="93" customWidth="1"/>
  </cols>
  <sheetData>
    <row r="1" spans="1:17" x14ac:dyDescent="0.25">
      <c r="A1" s="26" t="s">
        <v>0</v>
      </c>
      <c r="B1" s="1" t="s">
        <v>1</v>
      </c>
      <c r="C1" s="1" t="s">
        <v>2</v>
      </c>
      <c r="D1" s="22" t="s">
        <v>3</v>
      </c>
      <c r="E1" s="147" t="s">
        <v>4</v>
      </c>
      <c r="F1" s="147"/>
      <c r="G1" s="147" t="s">
        <v>5</v>
      </c>
      <c r="H1" s="147"/>
      <c r="I1" s="147" t="s">
        <v>6</v>
      </c>
      <c r="J1" s="147"/>
      <c r="K1" s="147" t="s">
        <v>7</v>
      </c>
      <c r="L1" s="147"/>
      <c r="M1" s="147" t="s">
        <v>8</v>
      </c>
      <c r="N1" s="147"/>
      <c r="O1" s="92" t="s">
        <v>9</v>
      </c>
    </row>
    <row r="2" spans="1:17" x14ac:dyDescent="0.25">
      <c r="A2" s="103">
        <v>44456</v>
      </c>
      <c r="B2" s="104" t="s">
        <v>18</v>
      </c>
      <c r="C2" s="104">
        <v>-0.4</v>
      </c>
      <c r="D2" s="105">
        <v>0.1875</v>
      </c>
      <c r="E2" s="102" t="s">
        <v>62</v>
      </c>
      <c r="F2" s="106">
        <f>F6/L6*L2</f>
        <v>629.69759627102769</v>
      </c>
      <c r="G2" s="104" t="s">
        <v>62</v>
      </c>
      <c r="H2" s="106">
        <f>H6/L6*L2</f>
        <v>303.77095738293343</v>
      </c>
      <c r="I2" s="104"/>
      <c r="J2" s="106" t="s">
        <v>10</v>
      </c>
      <c r="K2" s="104"/>
      <c r="L2" s="106">
        <v>486.38838559683501</v>
      </c>
      <c r="M2" s="104"/>
      <c r="N2" s="106" t="s">
        <v>10</v>
      </c>
      <c r="O2" s="112">
        <f t="shared" ref="O2:O56" si="0">SUM(F2:N2)</f>
        <v>1419.8569392507961</v>
      </c>
      <c r="Q2" s="34">
        <f>SUM(O2:O28)</f>
        <v>126278.09898665326</v>
      </c>
    </row>
    <row r="3" spans="1:17" x14ac:dyDescent="0.25">
      <c r="A3" s="103">
        <v>44457</v>
      </c>
      <c r="B3" s="104" t="s">
        <v>19</v>
      </c>
      <c r="C3" s="104">
        <v>-0.5</v>
      </c>
      <c r="D3" s="105">
        <v>0.22361111111111109</v>
      </c>
      <c r="E3" s="102"/>
      <c r="F3" s="106">
        <f>(1130.73007656515/1578.9474042126)*781.783698935879+781.783698935879</f>
        <v>1341.6417026899589</v>
      </c>
      <c r="G3" s="104" t="s">
        <v>62</v>
      </c>
      <c r="H3" s="106">
        <f>H5/J5*J3</f>
        <v>999.37121203330139</v>
      </c>
      <c r="I3" s="104"/>
      <c r="J3" s="106">
        <v>1358.2050233327</v>
      </c>
      <c r="K3" s="104"/>
      <c r="L3" s="106" t="s">
        <v>10</v>
      </c>
      <c r="M3" s="104"/>
      <c r="N3" s="106" t="s">
        <v>10</v>
      </c>
      <c r="O3" s="112">
        <f t="shared" si="0"/>
        <v>3699.2179380559601</v>
      </c>
    </row>
    <row r="4" spans="1:17" x14ac:dyDescent="0.25">
      <c r="A4" s="103">
        <v>44458</v>
      </c>
      <c r="B4" s="104" t="s">
        <v>20</v>
      </c>
      <c r="C4" s="104">
        <v>-0.6</v>
      </c>
      <c r="D4" s="105">
        <v>0.25416666666666665</v>
      </c>
      <c r="E4" s="102" t="s">
        <v>62</v>
      </c>
      <c r="F4" s="106">
        <f>F6/L6*L4</f>
        <v>5552.9879783754704</v>
      </c>
      <c r="G4" s="104"/>
      <c r="H4" s="106">
        <v>2499.7090367293599</v>
      </c>
      <c r="I4" s="104"/>
      <c r="J4" s="106" t="s">
        <v>10</v>
      </c>
      <c r="K4" s="104"/>
      <c r="L4" s="106">
        <v>4289.21576648068</v>
      </c>
      <c r="M4" s="104"/>
      <c r="N4" s="106" t="s">
        <v>10</v>
      </c>
      <c r="O4" s="112">
        <f t="shared" si="0"/>
        <v>12341.91278158551</v>
      </c>
    </row>
    <row r="5" spans="1:17" x14ac:dyDescent="0.25">
      <c r="A5" s="103">
        <v>44459</v>
      </c>
      <c r="B5" s="104" t="s">
        <v>21</v>
      </c>
      <c r="C5" s="104">
        <v>-0.5</v>
      </c>
      <c r="D5" s="105">
        <v>0.28125</v>
      </c>
      <c r="E5" s="102" t="s">
        <v>62</v>
      </c>
      <c r="F5" s="106">
        <f>F7/J7*J5</f>
        <v>2048.2746703339508</v>
      </c>
      <c r="G5" s="104"/>
      <c r="H5" s="106">
        <v>1523.4636857980599</v>
      </c>
      <c r="I5" s="104"/>
      <c r="J5" s="106">
        <v>2070.4779225188699</v>
      </c>
      <c r="K5" s="104"/>
      <c r="L5" s="106" t="s">
        <v>10</v>
      </c>
      <c r="M5" s="104"/>
      <c r="N5" s="106" t="s">
        <v>10</v>
      </c>
      <c r="O5" s="112">
        <f t="shared" si="0"/>
        <v>5642.2162786508807</v>
      </c>
    </row>
    <row r="6" spans="1:17" x14ac:dyDescent="0.25">
      <c r="A6" s="103">
        <v>44460</v>
      </c>
      <c r="B6" s="104" t="s">
        <v>22</v>
      </c>
      <c r="C6" s="104">
        <v>-0.2</v>
      </c>
      <c r="D6" s="105">
        <v>0.30624999999999997</v>
      </c>
      <c r="E6" s="102"/>
      <c r="F6" s="106">
        <f>1130.73007656515+1578.9474042126</f>
        <v>2709.6774807777501</v>
      </c>
      <c r="G6" s="104"/>
      <c r="H6" s="106">
        <v>1307.1692307692299</v>
      </c>
      <c r="I6" s="104"/>
      <c r="J6" s="106" t="s">
        <v>10</v>
      </c>
      <c r="K6" s="104"/>
      <c r="L6" s="106">
        <v>2092.9977550626199</v>
      </c>
      <c r="M6" s="104"/>
      <c r="N6" s="106" t="s">
        <v>10</v>
      </c>
      <c r="O6" s="112">
        <f t="shared" si="0"/>
        <v>6109.8444666096002</v>
      </c>
    </row>
    <row r="7" spans="1:17" x14ac:dyDescent="0.25">
      <c r="A7" s="103">
        <v>44461</v>
      </c>
      <c r="B7" s="104" t="s">
        <v>23</v>
      </c>
      <c r="C7" s="104">
        <v>0.3</v>
      </c>
      <c r="D7" s="105">
        <v>0.32916666666666666</v>
      </c>
      <c r="E7" s="102"/>
      <c r="F7" s="106">
        <f>(1130.73007656515/1578.9474042126)*1712.23023344867+1712.23023344867</f>
        <v>2938.4080135312638</v>
      </c>
      <c r="G7" s="104"/>
      <c r="H7" s="106">
        <v>1560.3865057799601</v>
      </c>
      <c r="I7" s="104"/>
      <c r="J7" s="106">
        <v>2970.2602914955201</v>
      </c>
      <c r="K7" s="104"/>
      <c r="L7" s="106" t="s">
        <v>10</v>
      </c>
      <c r="M7" s="104"/>
      <c r="N7" s="106" t="s">
        <v>10</v>
      </c>
      <c r="O7" s="112">
        <f t="shared" si="0"/>
        <v>7469.0548108067433</v>
      </c>
    </row>
    <row r="8" spans="1:17" x14ac:dyDescent="0.25">
      <c r="A8" s="103">
        <v>44462</v>
      </c>
      <c r="B8" s="104" t="s">
        <v>24</v>
      </c>
      <c r="C8" s="104">
        <v>0.3</v>
      </c>
      <c r="D8" s="105">
        <v>0.87361111111111101</v>
      </c>
      <c r="E8" s="102" t="s">
        <v>62</v>
      </c>
      <c r="F8" s="106">
        <f>F6/L6*L8</f>
        <v>1635.9813617810437</v>
      </c>
      <c r="G8" s="104"/>
      <c r="H8" s="106">
        <v>1534.58859095405</v>
      </c>
      <c r="I8" s="104"/>
      <c r="J8" s="106" t="s">
        <v>10</v>
      </c>
      <c r="K8" s="104"/>
      <c r="L8" s="106">
        <v>1263.6578861589101</v>
      </c>
      <c r="M8" s="104"/>
      <c r="N8" s="106" t="s">
        <v>10</v>
      </c>
      <c r="O8" s="112">
        <f t="shared" si="0"/>
        <v>4434.2278388940031</v>
      </c>
    </row>
    <row r="9" spans="1:17" x14ac:dyDescent="0.25">
      <c r="A9" s="103">
        <v>44463</v>
      </c>
      <c r="B9" s="104" t="s">
        <v>18</v>
      </c>
      <c r="C9" s="104">
        <v>0.4</v>
      </c>
      <c r="D9" s="105">
        <v>0.9</v>
      </c>
      <c r="E9" s="102" t="s">
        <v>62</v>
      </c>
      <c r="F9" s="106">
        <f>F7/J7*J9</f>
        <v>2161.7358730880833</v>
      </c>
      <c r="G9" s="104" t="s">
        <v>62</v>
      </c>
      <c r="H9" s="106">
        <f>H5/J5*J9</f>
        <v>1607.8537457086818</v>
      </c>
      <c r="I9" s="104"/>
      <c r="J9" s="106">
        <v>2185.16904220477</v>
      </c>
      <c r="K9" s="104"/>
      <c r="L9" s="106" t="s">
        <v>10</v>
      </c>
      <c r="M9" s="104"/>
      <c r="N9" s="106" t="s">
        <v>10</v>
      </c>
      <c r="O9" s="112">
        <f t="shared" si="0"/>
        <v>5954.7586610015351</v>
      </c>
    </row>
    <row r="10" spans="1:17" x14ac:dyDescent="0.25">
      <c r="A10" s="103">
        <v>44464</v>
      </c>
      <c r="B10" s="104" t="s">
        <v>19</v>
      </c>
      <c r="C10" s="104">
        <v>0.5</v>
      </c>
      <c r="D10" s="105">
        <v>0.92708333333333337</v>
      </c>
      <c r="E10" s="102"/>
      <c r="F10" s="106">
        <f>(1130.73007656515/1578.9474042126)*1763.04456535519+1763.04456535519</f>
        <v>3025.6119637708398</v>
      </c>
      <c r="G10" s="104"/>
      <c r="H10" s="106">
        <v>2889.6192115496101</v>
      </c>
      <c r="I10" s="104"/>
      <c r="J10" s="106">
        <v>1608.5393510859401</v>
      </c>
      <c r="K10" s="104"/>
      <c r="L10" s="106">
        <v>1124.0876362341401</v>
      </c>
      <c r="M10" s="104"/>
      <c r="N10" s="106" t="s">
        <v>10</v>
      </c>
      <c r="O10" s="112">
        <f t="shared" si="0"/>
        <v>8647.8581626405303</v>
      </c>
    </row>
    <row r="11" spans="1:17" x14ac:dyDescent="0.25">
      <c r="A11" s="103"/>
      <c r="B11" s="104"/>
      <c r="C11" s="104"/>
      <c r="D11" s="105"/>
      <c r="E11" s="102"/>
      <c r="F11" s="106"/>
      <c r="G11" s="104"/>
      <c r="H11" s="106"/>
      <c r="I11" s="104"/>
      <c r="J11" s="106"/>
      <c r="K11" s="104"/>
      <c r="L11" s="106"/>
      <c r="M11" s="104"/>
      <c r="N11" s="104"/>
      <c r="O11" s="112"/>
    </row>
    <row r="12" spans="1:17" x14ac:dyDescent="0.25">
      <c r="A12" s="103">
        <v>44472</v>
      </c>
      <c r="B12" s="104" t="s">
        <v>20</v>
      </c>
      <c r="C12" s="104">
        <v>0.2</v>
      </c>
      <c r="D12" s="105">
        <v>0.20277777777777781</v>
      </c>
      <c r="E12" s="102" t="s">
        <v>62</v>
      </c>
      <c r="F12" s="106">
        <f>F14/J14*J12</f>
        <v>1307.6099215092988</v>
      </c>
      <c r="G12" s="104" t="s">
        <v>62</v>
      </c>
      <c r="H12" s="106">
        <f>H14/J14*J12</f>
        <v>939.82646859600288</v>
      </c>
      <c r="I12" s="104"/>
      <c r="J12" s="106">
        <v>964.63770115833802</v>
      </c>
      <c r="K12" s="104"/>
      <c r="L12" s="106" t="s">
        <v>10</v>
      </c>
      <c r="M12" s="104"/>
      <c r="N12" s="106" t="s">
        <v>10</v>
      </c>
      <c r="O12" s="112">
        <f t="shared" si="0"/>
        <v>3212.0740912636397</v>
      </c>
    </row>
    <row r="13" spans="1:17" x14ac:dyDescent="0.25">
      <c r="A13" s="103">
        <v>44473</v>
      </c>
      <c r="B13" s="104" t="s">
        <v>21</v>
      </c>
      <c r="C13" s="104">
        <v>0</v>
      </c>
      <c r="D13" s="105">
        <v>0.23124999999999998</v>
      </c>
      <c r="E13" s="102" t="s">
        <v>62</v>
      </c>
      <c r="F13" s="106">
        <f>F17/L17*L13</f>
        <v>609.67823971334099</v>
      </c>
      <c r="G13" s="104" t="s">
        <v>62</v>
      </c>
      <c r="H13" s="106">
        <f>H15/L15*L13</f>
        <v>365.45959667434568</v>
      </c>
      <c r="I13" s="104"/>
      <c r="J13" s="106" t="s">
        <v>10</v>
      </c>
      <c r="K13" s="104"/>
      <c r="L13" s="106">
        <v>459.003515598283</v>
      </c>
      <c r="M13" s="104"/>
      <c r="N13" s="106" t="s">
        <v>10</v>
      </c>
      <c r="O13" s="112">
        <f t="shared" si="0"/>
        <v>1434.1413519859698</v>
      </c>
    </row>
    <row r="14" spans="1:17" x14ac:dyDescent="0.25">
      <c r="A14" s="103">
        <v>44474</v>
      </c>
      <c r="B14" s="104" t="s">
        <v>22</v>
      </c>
      <c r="C14" s="104">
        <v>-0.1</v>
      </c>
      <c r="D14" s="105">
        <v>0.25833333333333336</v>
      </c>
      <c r="E14" s="102"/>
      <c r="F14" s="106">
        <f>(2285.29416038091/3523.52947765293)*355.360551467962+355.360551467962</f>
        <v>585.84064202773402</v>
      </c>
      <c r="G14" s="104"/>
      <c r="H14" s="106">
        <v>421.06482422634701</v>
      </c>
      <c r="I14" s="104"/>
      <c r="J14" s="106">
        <v>432.18085215999901</v>
      </c>
      <c r="K14" s="104"/>
      <c r="L14" s="106" t="s">
        <v>10</v>
      </c>
      <c r="M14" s="104"/>
      <c r="N14" s="106" t="s">
        <v>10</v>
      </c>
      <c r="O14" s="112">
        <f t="shared" si="0"/>
        <v>1439.0863184140801</v>
      </c>
    </row>
    <row r="15" spans="1:17" x14ac:dyDescent="0.25">
      <c r="A15" s="103">
        <v>44475</v>
      </c>
      <c r="B15" s="104" t="s">
        <v>23</v>
      </c>
      <c r="C15" s="104">
        <v>-0.3</v>
      </c>
      <c r="D15" s="105">
        <v>0.80555555555555547</v>
      </c>
      <c r="E15" s="102" t="s">
        <v>62</v>
      </c>
      <c r="F15" s="106">
        <f>F17/L17*L15</f>
        <v>4061.9161355260571</v>
      </c>
      <c r="G15" s="104"/>
      <c r="H15" s="106">
        <v>2434.8355180141202</v>
      </c>
      <c r="I15" s="104"/>
      <c r="J15" s="106" t="s">
        <v>10</v>
      </c>
      <c r="K15" s="104"/>
      <c r="L15" s="106">
        <v>3058.0618838364198</v>
      </c>
      <c r="M15" s="104"/>
      <c r="N15" s="106" t="s">
        <v>10</v>
      </c>
      <c r="O15" s="112">
        <f t="shared" si="0"/>
        <v>9554.8135373765981</v>
      </c>
    </row>
    <row r="16" spans="1:17" x14ac:dyDescent="0.25">
      <c r="A16" s="103">
        <v>44476</v>
      </c>
      <c r="B16" s="104" t="s">
        <v>24</v>
      </c>
      <c r="C16" s="104">
        <v>-0.8</v>
      </c>
      <c r="D16" s="105">
        <v>0.83611111111111114</v>
      </c>
      <c r="E16" s="102"/>
      <c r="F16" s="106">
        <f>(2285.29416038091/3523.52947765293)*1842.86300107912+1842.86300107912</f>
        <v>3038.1088707272656</v>
      </c>
      <c r="G16" s="104"/>
      <c r="H16" s="106">
        <v>2380.1829800304999</v>
      </c>
      <c r="I16" s="104"/>
      <c r="J16" s="106">
        <v>2197.3689291072801</v>
      </c>
      <c r="K16" s="104"/>
      <c r="L16" s="106" t="s">
        <v>10</v>
      </c>
      <c r="M16" s="104"/>
      <c r="N16" s="106" t="s">
        <v>10</v>
      </c>
      <c r="O16" s="112">
        <f t="shared" si="0"/>
        <v>7615.6607798650457</v>
      </c>
    </row>
    <row r="17" spans="1:15" x14ac:dyDescent="0.25">
      <c r="A17" s="103">
        <v>44477</v>
      </c>
      <c r="B17" s="104" t="s">
        <v>18</v>
      </c>
      <c r="C17" s="104">
        <v>-1.1000000000000001</v>
      </c>
      <c r="D17" s="105">
        <v>0.86805555555555547</v>
      </c>
      <c r="E17" s="102"/>
      <c r="F17" s="106">
        <f>3523.52947765293+2285.29416038091</f>
        <v>5808.8236380338403</v>
      </c>
      <c r="G17" s="104"/>
      <c r="H17" s="106">
        <v>3703.6258594830101</v>
      </c>
      <c r="I17" s="104"/>
      <c r="J17" s="106" t="s">
        <v>10</v>
      </c>
      <c r="K17" s="104"/>
      <c r="L17" s="106">
        <v>4373.2419785911497</v>
      </c>
      <c r="M17" s="104"/>
      <c r="N17" s="106" t="s">
        <v>10</v>
      </c>
      <c r="O17" s="112">
        <f t="shared" si="0"/>
        <v>13885.691476108001</v>
      </c>
    </row>
    <row r="18" spans="1:15" x14ac:dyDescent="0.25">
      <c r="A18" s="103">
        <v>44478</v>
      </c>
      <c r="B18" s="104" t="s">
        <v>19</v>
      </c>
      <c r="C18" s="104">
        <v>-1.1000000000000001</v>
      </c>
      <c r="D18" s="105">
        <v>0.90138888888888891</v>
      </c>
      <c r="E18" s="102"/>
      <c r="F18" s="106">
        <f>(2285.29416038091/3523.52947765293*1915.69989952869)+1915.69989952869</f>
        <v>3158.1863952998037</v>
      </c>
      <c r="G18" s="104" t="s">
        <v>62</v>
      </c>
      <c r="H18" s="106">
        <f>H14/J14*J18</f>
        <v>3311.0505837271767</v>
      </c>
      <c r="I18" s="104"/>
      <c r="J18" s="106">
        <v>3398.4616631163699</v>
      </c>
      <c r="K18" s="104"/>
      <c r="L18" s="106" t="s">
        <v>10</v>
      </c>
      <c r="M18" s="104"/>
      <c r="N18" s="106" t="s">
        <v>10</v>
      </c>
      <c r="O18" s="112">
        <f t="shared" si="0"/>
        <v>9867.6986421433503</v>
      </c>
    </row>
    <row r="19" spans="1:15" x14ac:dyDescent="0.25">
      <c r="A19" s="103">
        <v>44479</v>
      </c>
      <c r="B19" s="104" t="s">
        <v>20</v>
      </c>
      <c r="C19" s="104">
        <v>-0.8</v>
      </c>
      <c r="D19" s="105">
        <v>0.93888888888888899</v>
      </c>
      <c r="E19" s="102"/>
      <c r="F19" s="106">
        <f>(2285.29416038091/3523.52947765293*304.107654036494)+304.107654036494</f>
        <v>501.34609075298499</v>
      </c>
      <c r="G19" s="104"/>
      <c r="H19" s="106">
        <v>897.81191726608904</v>
      </c>
      <c r="I19" s="104"/>
      <c r="J19" s="106" t="s">
        <v>10</v>
      </c>
      <c r="K19" s="104"/>
      <c r="L19" s="106">
        <v>859.04416361630103</v>
      </c>
      <c r="M19" s="104"/>
      <c r="N19" s="106" t="s">
        <v>10</v>
      </c>
      <c r="O19" s="112">
        <f t="shared" si="0"/>
        <v>2258.2021716353752</v>
      </c>
    </row>
    <row r="20" spans="1:15" x14ac:dyDescent="0.25">
      <c r="A20" s="103">
        <v>44480</v>
      </c>
      <c r="B20" s="104" t="s">
        <v>21</v>
      </c>
      <c r="C20" s="104">
        <v>-0.4</v>
      </c>
      <c r="D20" s="105">
        <v>0.98055555555555562</v>
      </c>
      <c r="E20" s="102" t="s">
        <v>62</v>
      </c>
      <c r="F20" s="106">
        <f>F18/J18*J20</f>
        <v>440.00279572922227</v>
      </c>
      <c r="G20" s="104" t="s">
        <v>62</v>
      </c>
      <c r="H20" s="106">
        <f>H18/J18*J20</f>
        <v>461.30004100107323</v>
      </c>
      <c r="I20" s="104"/>
      <c r="J20" s="106">
        <v>473.47827068574099</v>
      </c>
      <c r="K20" s="104"/>
      <c r="L20" s="106" t="s">
        <v>10</v>
      </c>
      <c r="M20" s="104"/>
      <c r="N20" s="106" t="s">
        <v>10</v>
      </c>
      <c r="O20" s="112">
        <f t="shared" si="0"/>
        <v>1374.7811074160363</v>
      </c>
    </row>
    <row r="21" spans="1:15" x14ac:dyDescent="0.25">
      <c r="A21" s="103"/>
      <c r="B21" s="104"/>
      <c r="C21" s="104"/>
      <c r="D21" s="105"/>
      <c r="E21" s="102"/>
      <c r="F21" s="106"/>
      <c r="G21" s="104"/>
      <c r="H21" s="106"/>
      <c r="I21" s="104"/>
      <c r="J21" s="106"/>
      <c r="K21" s="104"/>
      <c r="L21" s="106"/>
      <c r="M21" s="104"/>
      <c r="N21" s="106"/>
      <c r="O21" s="112"/>
    </row>
    <row r="22" spans="1:15" x14ac:dyDescent="0.25">
      <c r="A22" s="103">
        <v>44488</v>
      </c>
      <c r="B22" s="104" t="s">
        <v>22</v>
      </c>
      <c r="C22" s="104">
        <v>0.3</v>
      </c>
      <c r="D22" s="105">
        <v>0.78263888888888899</v>
      </c>
      <c r="E22" s="102"/>
      <c r="F22" s="106">
        <f>1567.51099800615+1232.01440116842</f>
        <v>2799.5253991745699</v>
      </c>
      <c r="G22" s="104"/>
      <c r="H22" s="106">
        <v>2333.54042104989</v>
      </c>
      <c r="I22" s="104"/>
      <c r="J22" s="106">
        <v>2476.1742203253398</v>
      </c>
      <c r="K22" s="104"/>
      <c r="L22" s="106" t="s">
        <v>10</v>
      </c>
      <c r="M22" s="104"/>
      <c r="N22" s="106" t="s">
        <v>10</v>
      </c>
      <c r="O22" s="112">
        <f t="shared" si="0"/>
        <v>7609.2400405497992</v>
      </c>
    </row>
    <row r="23" spans="1:15" x14ac:dyDescent="0.25">
      <c r="A23" s="103">
        <v>44489</v>
      </c>
      <c r="B23" s="104" t="s">
        <v>23</v>
      </c>
      <c r="C23" s="104">
        <v>0</v>
      </c>
      <c r="D23" s="105">
        <v>0.80763888888888891</v>
      </c>
      <c r="E23" s="102" t="s">
        <v>62</v>
      </c>
      <c r="F23" s="106">
        <f>F25/L25*L23</f>
        <v>907.07414299527784</v>
      </c>
      <c r="G23" s="104"/>
      <c r="H23" s="106">
        <v>1084.6211404988401</v>
      </c>
      <c r="I23" s="104"/>
      <c r="J23" s="106" t="s">
        <v>10</v>
      </c>
      <c r="K23" s="104"/>
      <c r="L23" s="106">
        <v>823.09238920517896</v>
      </c>
      <c r="M23" s="104"/>
      <c r="N23" s="106" t="s">
        <v>10</v>
      </c>
      <c r="O23" s="112">
        <f t="shared" si="0"/>
        <v>2814.7876726992972</v>
      </c>
    </row>
    <row r="24" spans="1:15" x14ac:dyDescent="0.25">
      <c r="A24" s="103">
        <v>44490</v>
      </c>
      <c r="B24" s="104" t="s">
        <v>24</v>
      </c>
      <c r="C24" s="104">
        <v>-0.1</v>
      </c>
      <c r="D24" s="105">
        <v>0.83194444444444438</v>
      </c>
      <c r="E24" s="102" t="s">
        <v>62</v>
      </c>
      <c r="F24" s="106">
        <f>F26/J26*J24</f>
        <v>561.50249325742789</v>
      </c>
      <c r="G24" s="104"/>
      <c r="H24" s="106">
        <v>359.280531282445</v>
      </c>
      <c r="I24" s="104"/>
      <c r="J24" s="106">
        <v>655.94740066890495</v>
      </c>
      <c r="K24" s="104"/>
      <c r="L24" s="106" t="s">
        <v>10</v>
      </c>
      <c r="M24" s="104"/>
      <c r="N24" s="106" t="s">
        <v>10</v>
      </c>
      <c r="O24" s="112">
        <f t="shared" si="0"/>
        <v>1576.7304252087779</v>
      </c>
    </row>
    <row r="25" spans="1:15" x14ac:dyDescent="0.25">
      <c r="A25" s="103">
        <v>44491</v>
      </c>
      <c r="B25" s="104" t="s">
        <v>18</v>
      </c>
      <c r="C25" s="104">
        <v>-0.1</v>
      </c>
      <c r="D25" s="105">
        <v>0.85555555555555562</v>
      </c>
      <c r="E25" s="102"/>
      <c r="F25" s="106">
        <f>(1567.51099800615/1232.01440116842*622.465670238644)+622.465670238644</f>
        <v>1414.4383801801732</v>
      </c>
      <c r="G25" s="104"/>
      <c r="H25" s="106">
        <v>743.55240829478998</v>
      </c>
      <c r="I25" s="104"/>
      <c r="J25" s="106" t="s">
        <v>10</v>
      </c>
      <c r="K25" s="104"/>
      <c r="L25" s="106">
        <v>1283.48214389798</v>
      </c>
      <c r="M25" s="104"/>
      <c r="N25" s="106" t="s">
        <v>10</v>
      </c>
      <c r="O25" s="112">
        <f t="shared" si="0"/>
        <v>3441.4729323729434</v>
      </c>
    </row>
    <row r="26" spans="1:15" x14ac:dyDescent="0.25">
      <c r="A26" s="103">
        <v>44492</v>
      </c>
      <c r="B26" s="104" t="s">
        <v>19</v>
      </c>
      <c r="C26" s="104">
        <v>0</v>
      </c>
      <c r="D26" s="105">
        <v>0.87986111111111109</v>
      </c>
      <c r="E26" s="102"/>
      <c r="F26" s="106">
        <f>(1567.51099800615/1232.01440116842*659.661187886277)+659.661187886277</f>
        <v>1498.9583308327306</v>
      </c>
      <c r="G26" s="104"/>
      <c r="H26" s="106">
        <v>1195.38128596959</v>
      </c>
      <c r="I26" s="104"/>
      <c r="J26" s="106">
        <v>1751.0836240756501</v>
      </c>
      <c r="K26" s="104"/>
      <c r="L26" s="106" t="s">
        <v>10</v>
      </c>
      <c r="M26" s="104"/>
      <c r="N26" s="106" t="s">
        <v>10</v>
      </c>
      <c r="O26" s="112">
        <f t="shared" si="0"/>
        <v>4445.4232408779708</v>
      </c>
    </row>
    <row r="27" spans="1:15" x14ac:dyDescent="0.25">
      <c r="A27" s="103">
        <v>44493</v>
      </c>
      <c r="B27" s="104" t="s">
        <v>20</v>
      </c>
      <c r="C27" s="104">
        <v>0.2</v>
      </c>
      <c r="D27" s="105">
        <v>0.90486111111111101</v>
      </c>
      <c r="E27" s="102" t="s">
        <v>76</v>
      </c>
      <c r="F27" s="106">
        <v>0</v>
      </c>
      <c r="G27" s="104" t="s">
        <v>76</v>
      </c>
      <c r="H27" s="106">
        <v>0</v>
      </c>
      <c r="I27" s="104"/>
      <c r="J27" s="106" t="s">
        <v>10</v>
      </c>
      <c r="K27" s="104" t="s">
        <v>76</v>
      </c>
      <c r="L27" s="106">
        <v>0</v>
      </c>
      <c r="M27" s="104"/>
      <c r="N27" s="106" t="s">
        <v>10</v>
      </c>
      <c r="O27" s="112">
        <f t="shared" si="0"/>
        <v>0</v>
      </c>
    </row>
    <row r="28" spans="1:15" x14ac:dyDescent="0.25">
      <c r="A28" s="103">
        <v>44494</v>
      </c>
      <c r="B28" s="104" t="s">
        <v>21</v>
      </c>
      <c r="C28" s="104">
        <v>0.5</v>
      </c>
      <c r="D28" s="105">
        <v>0.93402777777777779</v>
      </c>
      <c r="E28" s="102" t="s">
        <v>62</v>
      </c>
      <c r="F28" s="106">
        <f>F22/H22*H28</f>
        <v>10.797211124046115</v>
      </c>
      <c r="G28" s="104"/>
      <c r="H28" s="106">
        <v>9</v>
      </c>
      <c r="I28" s="104" t="s">
        <v>62</v>
      </c>
      <c r="J28" s="106">
        <f>J22/H22*H28</f>
        <v>9.5501101167561906</v>
      </c>
      <c r="K28" s="104"/>
      <c r="L28" s="106" t="s">
        <v>10</v>
      </c>
      <c r="M28" s="104"/>
      <c r="N28" s="106" t="s">
        <v>10</v>
      </c>
      <c r="O28" s="112">
        <f t="shared" si="0"/>
        <v>29.347321240802305</v>
      </c>
    </row>
    <row r="29" spans="1:15" x14ac:dyDescent="0.25">
      <c r="F29" s="14"/>
      <c r="G29" s="16"/>
      <c r="H29" s="14"/>
      <c r="I29" s="16"/>
      <c r="J29" s="14"/>
      <c r="K29" s="16"/>
      <c r="L29" s="14"/>
      <c r="M29" s="16"/>
      <c r="N29" s="16"/>
      <c r="O29" s="112"/>
    </row>
    <row r="30" spans="1:15" x14ac:dyDescent="0.25">
      <c r="A30" s="103">
        <v>44503</v>
      </c>
      <c r="B30" s="104" t="s">
        <v>23</v>
      </c>
      <c r="C30" s="104">
        <v>-0.3</v>
      </c>
      <c r="D30" s="105">
        <v>0.76111111111111107</v>
      </c>
      <c r="E30" s="102"/>
      <c r="F30" s="106">
        <f>1403.41728063025+969.953458987728</f>
        <v>2373.370739617978</v>
      </c>
      <c r="G30" s="104" t="s">
        <v>62</v>
      </c>
      <c r="H30" s="106">
        <f>H34/L34*L30</f>
        <v>1239.9509415743228</v>
      </c>
      <c r="I30" s="104"/>
      <c r="J30" s="106" t="s">
        <v>10</v>
      </c>
      <c r="K30" s="104"/>
      <c r="L30" s="106">
        <v>1290.5323676299099</v>
      </c>
      <c r="M30" s="104"/>
      <c r="N30" s="106" t="s">
        <v>10</v>
      </c>
      <c r="O30" s="112">
        <f t="shared" si="0"/>
        <v>4903.8540488222106</v>
      </c>
    </row>
    <row r="31" spans="1:15" x14ac:dyDescent="0.25">
      <c r="A31" s="103">
        <v>44504</v>
      </c>
      <c r="B31" s="104" t="s">
        <v>24</v>
      </c>
      <c r="C31" s="104">
        <v>-1.1000000000000001</v>
      </c>
      <c r="D31" s="105">
        <v>0.79236111111111107</v>
      </c>
      <c r="E31" s="102" t="s">
        <v>62</v>
      </c>
      <c r="F31" s="106">
        <f>F33/J33*J31</f>
        <v>1990.1762318778804</v>
      </c>
      <c r="G31" s="104"/>
      <c r="H31" s="106">
        <v>1162.8440010879799</v>
      </c>
      <c r="I31" s="104"/>
      <c r="J31" s="106">
        <v>1998.1549973711301</v>
      </c>
      <c r="K31" s="104"/>
      <c r="L31" s="106" t="s">
        <v>10</v>
      </c>
      <c r="M31" s="104"/>
      <c r="N31" s="106" t="s">
        <v>10</v>
      </c>
      <c r="O31" s="112">
        <f t="shared" si="0"/>
        <v>5151.1752303369904</v>
      </c>
    </row>
    <row r="32" spans="1:15" x14ac:dyDescent="0.25">
      <c r="A32" s="103">
        <v>44505</v>
      </c>
      <c r="B32" s="104" t="s">
        <v>18</v>
      </c>
      <c r="C32" s="104">
        <v>-1.6</v>
      </c>
      <c r="D32" s="105">
        <v>0.82361111111111107</v>
      </c>
      <c r="E32" s="102"/>
      <c r="F32" s="106">
        <f>(1403.41728063025/969.953458987728*1373.62285714286)+1373.62285714286</f>
        <v>3361.1059027674</v>
      </c>
      <c r="G32" s="104"/>
      <c r="H32" s="106">
        <v>1528.9665902279601</v>
      </c>
      <c r="I32" s="104"/>
      <c r="J32" s="106" t="s">
        <v>10</v>
      </c>
      <c r="K32" s="104"/>
      <c r="L32" s="106">
        <v>2365.3620990432</v>
      </c>
      <c r="M32" s="104"/>
      <c r="N32" s="106" t="s">
        <v>10</v>
      </c>
      <c r="O32" s="112">
        <f t="shared" si="0"/>
        <v>7255.4345920385604</v>
      </c>
    </row>
    <row r="33" spans="1:15" x14ac:dyDescent="0.25">
      <c r="A33" s="103">
        <v>44506</v>
      </c>
      <c r="B33" s="104" t="s">
        <v>19</v>
      </c>
      <c r="C33" s="104">
        <v>-1.8</v>
      </c>
      <c r="D33" s="105">
        <v>0.85625000000000007</v>
      </c>
      <c r="E33" s="102"/>
      <c r="F33" s="106">
        <f>(1403.41728063025/969.953458987728*1253.20507840723)+1253.20507840723</f>
        <v>3066.4566802374848</v>
      </c>
      <c r="G33" s="104"/>
      <c r="H33" s="106">
        <v>2199.1319699578899</v>
      </c>
      <c r="I33" s="104"/>
      <c r="J33" s="106">
        <v>3078.7503346158901</v>
      </c>
      <c r="K33" s="104"/>
      <c r="L33" s="106" t="s">
        <v>10</v>
      </c>
      <c r="M33" s="104"/>
      <c r="N33" s="106" t="s">
        <v>10</v>
      </c>
      <c r="O33" s="112">
        <f t="shared" si="0"/>
        <v>8344.3389848112638</v>
      </c>
    </row>
    <row r="34" spans="1:15" x14ac:dyDescent="0.25">
      <c r="A34" s="103">
        <v>44507</v>
      </c>
      <c r="B34" s="104" t="s">
        <v>20</v>
      </c>
      <c r="C34" s="104">
        <v>-1.6</v>
      </c>
      <c r="D34" s="105">
        <v>0.84930555555555554</v>
      </c>
      <c r="E34" s="102" t="s">
        <v>62</v>
      </c>
      <c r="F34" s="106">
        <f>F32/L32*L34</f>
        <v>1180.5346644958504</v>
      </c>
      <c r="G34" s="104"/>
      <c r="H34" s="106">
        <v>798.23319150831105</v>
      </c>
      <c r="I34" s="104"/>
      <c r="J34" s="106" t="s">
        <v>10</v>
      </c>
      <c r="K34" s="104"/>
      <c r="L34" s="106">
        <v>830.79558716255303</v>
      </c>
      <c r="M34" s="104"/>
      <c r="N34" s="106" t="s">
        <v>10</v>
      </c>
      <c r="O34" s="112">
        <f t="shared" si="0"/>
        <v>2809.5634431667145</v>
      </c>
    </row>
    <row r="35" spans="1:15" x14ac:dyDescent="0.25">
      <c r="A35" s="103">
        <v>44508</v>
      </c>
      <c r="B35" s="104" t="s">
        <v>21</v>
      </c>
      <c r="C35" s="104">
        <v>-1.2</v>
      </c>
      <c r="D35" s="105">
        <v>0.88611111111111107</v>
      </c>
      <c r="E35" s="102"/>
      <c r="F35" s="106">
        <f>(1403.41728063025/969.953458987728*209.790207712132)+209.790207712132</f>
        <v>513.33384692703237</v>
      </c>
      <c r="G35" s="104"/>
      <c r="H35" s="106">
        <v>574.32223841606901</v>
      </c>
      <c r="I35" s="104"/>
      <c r="J35" s="106">
        <v>783.14525745171204</v>
      </c>
      <c r="K35" s="104"/>
      <c r="L35" s="106" t="s">
        <v>10</v>
      </c>
      <c r="M35" s="104"/>
      <c r="N35" s="106" t="s">
        <v>10</v>
      </c>
      <c r="O35" s="112">
        <f t="shared" si="0"/>
        <v>1870.8013427948135</v>
      </c>
    </row>
    <row r="36" spans="1:15" x14ac:dyDescent="0.25">
      <c r="A36" s="103">
        <v>44509</v>
      </c>
      <c r="B36" s="104" t="s">
        <v>22</v>
      </c>
      <c r="C36" s="104">
        <v>-0.6</v>
      </c>
      <c r="D36" s="105">
        <v>0.92569444444444438</v>
      </c>
      <c r="E36" s="102" t="s">
        <v>62</v>
      </c>
      <c r="F36" s="106">
        <f>F32/L32*L36</f>
        <v>118.04972561818656</v>
      </c>
      <c r="G36" s="104" t="s">
        <v>62</v>
      </c>
      <c r="H36" s="106">
        <f>H34/L34*L36</f>
        <v>79.820789741169605</v>
      </c>
      <c r="I36" s="104"/>
      <c r="J36" s="106" t="s">
        <v>10</v>
      </c>
      <c r="K36" s="104"/>
      <c r="L36" s="106">
        <v>83.076926124166604</v>
      </c>
      <c r="M36" s="104"/>
      <c r="N36" s="106" t="s">
        <v>10</v>
      </c>
      <c r="O36" s="112">
        <f t="shared" si="0"/>
        <v>280.94744148352277</v>
      </c>
    </row>
    <row r="37" spans="1:15" x14ac:dyDescent="0.25">
      <c r="A37" s="103">
        <v>44510</v>
      </c>
      <c r="B37" s="104" t="s">
        <v>23</v>
      </c>
      <c r="C37" s="104">
        <v>0</v>
      </c>
      <c r="D37" s="105">
        <v>0.96944444444444444</v>
      </c>
      <c r="E37" s="102" t="s">
        <v>62</v>
      </c>
      <c r="F37" s="106">
        <f>F35/J35*J37</f>
        <v>63.737983278486375</v>
      </c>
      <c r="G37" s="104"/>
      <c r="H37" s="106">
        <v>61.3333333333333</v>
      </c>
      <c r="I37" s="104"/>
      <c r="J37" s="106">
        <v>97.239057239057203</v>
      </c>
      <c r="K37" s="104"/>
      <c r="L37" s="106" t="s">
        <v>10</v>
      </c>
      <c r="M37" s="104"/>
      <c r="N37" s="106" t="s">
        <v>10</v>
      </c>
      <c r="O37" s="112">
        <f t="shared" si="0"/>
        <v>222.31037385087689</v>
      </c>
    </row>
    <row r="38" spans="1:15" x14ac:dyDescent="0.25">
      <c r="A38" s="103"/>
      <c r="B38" s="104"/>
      <c r="C38" s="104"/>
      <c r="D38" s="105"/>
      <c r="E38" s="102"/>
      <c r="F38" s="106"/>
      <c r="G38" s="104"/>
      <c r="H38" s="106"/>
      <c r="I38" s="104"/>
      <c r="J38" s="106"/>
      <c r="K38" s="104"/>
      <c r="L38" s="106"/>
      <c r="M38" s="104"/>
      <c r="N38" s="106"/>
      <c r="O38" s="112"/>
    </row>
    <row r="39" spans="1:15" x14ac:dyDescent="0.25">
      <c r="A39" s="103">
        <v>44516</v>
      </c>
      <c r="B39" s="104" t="s">
        <v>22</v>
      </c>
      <c r="C39" s="104">
        <v>0.5</v>
      </c>
      <c r="D39" s="105">
        <v>0.70138888888888884</v>
      </c>
      <c r="E39" s="102" t="s">
        <v>62</v>
      </c>
      <c r="F39" s="106">
        <f>F43/H43*H39</f>
        <v>1559.9921918872906</v>
      </c>
      <c r="G39" s="104"/>
      <c r="H39" s="106">
        <v>1299.0173395313</v>
      </c>
      <c r="I39" s="104"/>
      <c r="J39" s="106">
        <v>1466.0892648251199</v>
      </c>
      <c r="K39" s="104"/>
      <c r="L39" s="106" t="s">
        <v>10</v>
      </c>
      <c r="M39" s="104"/>
      <c r="N39" s="106" t="s">
        <v>10</v>
      </c>
      <c r="O39" s="112">
        <f t="shared" si="0"/>
        <v>4325.0987962437102</v>
      </c>
    </row>
    <row r="40" spans="1:15" x14ac:dyDescent="0.25">
      <c r="A40" s="103">
        <v>44517</v>
      </c>
      <c r="B40" s="104" t="s">
        <v>23</v>
      </c>
      <c r="C40" s="104">
        <v>0.1</v>
      </c>
      <c r="D40" s="105">
        <v>0.72777777777777775</v>
      </c>
      <c r="E40" s="102"/>
      <c r="F40" s="106">
        <f>480.769227410277+622.653589339125</f>
        <v>1103.422816749402</v>
      </c>
      <c r="G40" s="104" t="s">
        <v>62</v>
      </c>
      <c r="H40" s="106">
        <f>H42/F42*F40</f>
        <v>784.30016045543255</v>
      </c>
      <c r="I40" s="104"/>
      <c r="J40" s="106" t="s">
        <v>10</v>
      </c>
      <c r="K40" s="104"/>
      <c r="L40" s="106">
        <v>846.46098150135799</v>
      </c>
      <c r="M40" s="104"/>
      <c r="N40" s="106" t="s">
        <v>10</v>
      </c>
      <c r="O40" s="112">
        <f t="shared" si="0"/>
        <v>2734.1839587061922</v>
      </c>
    </row>
    <row r="41" spans="1:15" x14ac:dyDescent="0.25">
      <c r="A41" s="103">
        <v>44518</v>
      </c>
      <c r="B41" s="104" t="s">
        <v>24</v>
      </c>
      <c r="C41" s="104">
        <v>-0.2</v>
      </c>
      <c r="D41" s="105">
        <v>0.75208333333333333</v>
      </c>
      <c r="E41" s="102" t="s">
        <v>62</v>
      </c>
      <c r="F41" s="106">
        <f>F43/J43*J41</f>
        <v>598.56615550800348</v>
      </c>
      <c r="G41" s="104" t="s">
        <v>62</v>
      </c>
      <c r="H41" s="106">
        <f>H43/J43*J41</f>
        <v>498.43058119464155</v>
      </c>
      <c r="I41" s="104"/>
      <c r="J41" s="106">
        <v>844.17121628361201</v>
      </c>
      <c r="K41" s="104"/>
      <c r="L41" s="106" t="s">
        <v>10</v>
      </c>
      <c r="M41" s="104"/>
      <c r="N41" s="106" t="s">
        <v>10</v>
      </c>
      <c r="O41" s="112">
        <f t="shared" si="0"/>
        <v>1941.167952986257</v>
      </c>
    </row>
    <row r="42" spans="1:15" x14ac:dyDescent="0.25">
      <c r="A42" s="103">
        <v>44519</v>
      </c>
      <c r="B42" s="104" t="s">
        <v>18</v>
      </c>
      <c r="C42" s="104">
        <v>-0.3</v>
      </c>
      <c r="D42" s="105">
        <v>0.77569444444444446</v>
      </c>
      <c r="E42" s="102"/>
      <c r="F42" s="106">
        <f>(1080.971157162/884.611060957561*675.211588669605)+675.211588669605</f>
        <v>1500.3021675091923</v>
      </c>
      <c r="G42" s="104"/>
      <c r="H42" s="106">
        <v>1066.39740709325</v>
      </c>
      <c r="I42" s="104"/>
      <c r="J42" s="106" t="s">
        <v>10</v>
      </c>
      <c r="K42" s="104"/>
      <c r="L42" s="106">
        <v>1368.05752491113</v>
      </c>
      <c r="M42" s="104"/>
      <c r="N42" s="106" t="s">
        <v>10</v>
      </c>
      <c r="O42" s="112">
        <f t="shared" si="0"/>
        <v>3934.757099513572</v>
      </c>
    </row>
    <row r="43" spans="1:15" x14ac:dyDescent="0.25">
      <c r="A43" s="103">
        <v>44520</v>
      </c>
      <c r="B43" s="104" t="s">
        <v>19</v>
      </c>
      <c r="C43" s="104">
        <v>-0.3</v>
      </c>
      <c r="D43" s="105">
        <v>0.79861111111111116</v>
      </c>
      <c r="E43" s="102"/>
      <c r="F43" s="106">
        <f>1080.971157162+884.611060957561</f>
        <v>1965.582218119561</v>
      </c>
      <c r="G43" s="104"/>
      <c r="H43" s="106">
        <v>1636.75523306477</v>
      </c>
      <c r="I43" s="104"/>
      <c r="J43" s="106">
        <v>2772.10449756751</v>
      </c>
      <c r="K43" s="104"/>
      <c r="L43" s="106" t="s">
        <v>10</v>
      </c>
      <c r="M43" s="104"/>
      <c r="N43" s="106" t="s">
        <v>10</v>
      </c>
      <c r="O43" s="112">
        <f t="shared" si="0"/>
        <v>6374.4419487518408</v>
      </c>
    </row>
    <row r="44" spans="1:15" x14ac:dyDescent="0.25">
      <c r="A44" s="103">
        <v>44521</v>
      </c>
      <c r="B44" s="104" t="s">
        <v>20</v>
      </c>
      <c r="C44" s="104">
        <v>-0.2</v>
      </c>
      <c r="D44" s="105">
        <v>0.8222222222222223</v>
      </c>
      <c r="E44" s="102"/>
      <c r="F44" s="106">
        <f>(1080.971157162/884.611060957561*189.222540289374)+189.222540289374</f>
        <v>420.44744506992902</v>
      </c>
      <c r="G44" s="104"/>
      <c r="H44" s="106">
        <v>595.52796265707502</v>
      </c>
      <c r="I44" s="104"/>
      <c r="J44" s="106" t="s">
        <v>10</v>
      </c>
      <c r="K44" s="104"/>
      <c r="L44" s="106">
        <v>726.48021360676898</v>
      </c>
      <c r="M44" s="104"/>
      <c r="N44" s="106" t="s">
        <v>10</v>
      </c>
      <c r="O44" s="112">
        <f t="shared" si="0"/>
        <v>1742.455621333773</v>
      </c>
    </row>
    <row r="45" spans="1:15" x14ac:dyDescent="0.25">
      <c r="A45" s="103">
        <v>44522</v>
      </c>
      <c r="B45" s="104" t="s">
        <v>21</v>
      </c>
      <c r="C45" s="104">
        <v>0</v>
      </c>
      <c r="D45" s="105">
        <v>0.84791666666666676</v>
      </c>
      <c r="E45" s="102" t="s">
        <v>62</v>
      </c>
      <c r="F45" s="106">
        <f>F43/J43*J45</f>
        <v>240.89055787343111</v>
      </c>
      <c r="G45" s="104" t="s">
        <v>62</v>
      </c>
      <c r="H45" s="106">
        <f>H43/J43*J45</f>
        <v>200.59139605588723</v>
      </c>
      <c r="I45" s="104"/>
      <c r="J45" s="106">
        <v>339.73333333333301</v>
      </c>
      <c r="K45" s="104"/>
      <c r="L45" s="106" t="s">
        <v>10</v>
      </c>
      <c r="M45" s="104"/>
      <c r="N45" s="106" t="s">
        <v>10</v>
      </c>
      <c r="O45" s="112">
        <f t="shared" si="0"/>
        <v>781.21528726265137</v>
      </c>
    </row>
    <row r="46" spans="1:15" x14ac:dyDescent="0.25">
      <c r="A46" s="103">
        <v>44523</v>
      </c>
      <c r="B46" s="104" t="s">
        <v>22</v>
      </c>
      <c r="C46" s="104">
        <v>0.2</v>
      </c>
      <c r="D46" s="105">
        <v>0.875</v>
      </c>
      <c r="E46" s="102" t="s">
        <v>62</v>
      </c>
      <c r="F46" s="106">
        <f>F42/L42*L46</f>
        <v>152.28689664981428</v>
      </c>
      <c r="G46" s="104" t="s">
        <v>62</v>
      </c>
      <c r="H46" s="106">
        <f>H42/L42*L46</f>
        <v>108.24376264899628</v>
      </c>
      <c r="I46" s="104"/>
      <c r="J46" s="106" t="s">
        <v>10</v>
      </c>
      <c r="K46" s="104"/>
      <c r="L46" s="106">
        <v>138.86351657614699</v>
      </c>
      <c r="M46" s="104"/>
      <c r="N46" s="106" t="s">
        <v>10</v>
      </c>
      <c r="O46" s="112">
        <f t="shared" si="0"/>
        <v>399.39417587495757</v>
      </c>
    </row>
    <row r="47" spans="1:15" x14ac:dyDescent="0.25">
      <c r="A47" s="103">
        <v>44524</v>
      </c>
      <c r="B47" s="104" t="s">
        <v>23</v>
      </c>
      <c r="C47" s="104">
        <v>0.5</v>
      </c>
      <c r="D47" s="105">
        <v>0.90486111111111101</v>
      </c>
      <c r="E47" s="102" t="s">
        <v>62</v>
      </c>
      <c r="F47" s="106">
        <f>F43/H43*H47</f>
        <v>331.0926111656579</v>
      </c>
      <c r="G47" s="104"/>
      <c r="H47" s="106">
        <v>275.70333052407898</v>
      </c>
      <c r="I47" s="104" t="s">
        <v>62</v>
      </c>
      <c r="J47" s="106">
        <f>J43/H43*H47</f>
        <v>466.94730348230195</v>
      </c>
      <c r="K47" s="104"/>
      <c r="L47" s="106" t="s">
        <v>10</v>
      </c>
      <c r="M47" s="104"/>
      <c r="N47" s="106" t="s">
        <v>10</v>
      </c>
      <c r="O47" s="112">
        <f t="shared" si="0"/>
        <v>1073.7432451720388</v>
      </c>
    </row>
    <row r="48" spans="1:15" x14ac:dyDescent="0.25">
      <c r="A48" s="103"/>
      <c r="B48" s="104"/>
      <c r="C48" s="104"/>
      <c r="D48" s="105"/>
      <c r="E48" s="102"/>
      <c r="F48" s="106"/>
      <c r="G48" s="104"/>
      <c r="H48" s="106"/>
      <c r="I48" s="104"/>
      <c r="J48" s="106"/>
      <c r="K48" s="104"/>
      <c r="L48" s="106"/>
      <c r="M48" s="104"/>
      <c r="N48" s="106"/>
      <c r="O48" s="112"/>
    </row>
    <row r="49" spans="1:15" x14ac:dyDescent="0.25">
      <c r="A49" s="103">
        <v>44531</v>
      </c>
      <c r="B49" s="104" t="s">
        <v>23</v>
      </c>
      <c r="C49" s="104">
        <v>0.1</v>
      </c>
      <c r="D49" s="105">
        <v>0.67291666666666661</v>
      </c>
      <c r="E49" s="102" t="s">
        <v>62</v>
      </c>
      <c r="F49" s="106">
        <f>F51/J51*J49</f>
        <v>1223.0098515172101</v>
      </c>
      <c r="G49" s="104"/>
      <c r="H49" s="106">
        <v>1067.65983766151</v>
      </c>
      <c r="I49" s="104"/>
      <c r="J49" s="106">
        <v>1287.0640292414701</v>
      </c>
      <c r="K49" s="104"/>
      <c r="L49" s="106" t="s">
        <v>10</v>
      </c>
      <c r="M49" s="104"/>
      <c r="N49" s="106" t="s">
        <v>10</v>
      </c>
      <c r="O49" s="112">
        <f t="shared" si="0"/>
        <v>3577.7337184201901</v>
      </c>
    </row>
    <row r="50" spans="1:15" x14ac:dyDescent="0.25">
      <c r="A50" s="103">
        <v>44532</v>
      </c>
      <c r="B50" s="104" t="s">
        <v>24</v>
      </c>
      <c r="C50" s="104">
        <v>-0.8</v>
      </c>
      <c r="D50" s="105">
        <v>0.70694444444444438</v>
      </c>
      <c r="E50" s="102"/>
      <c r="F50" s="106">
        <f>(887.434907516657+1437.42188067903)</f>
        <v>2324.8567881956869</v>
      </c>
      <c r="G50" s="104" t="s">
        <v>62</v>
      </c>
      <c r="H50" s="106">
        <f>H52/L52*L50</f>
        <v>1115.3506712834353</v>
      </c>
      <c r="I50" s="104"/>
      <c r="J50" s="106" t="s">
        <v>10</v>
      </c>
      <c r="K50" s="104"/>
      <c r="L50" s="106">
        <v>1611.5335221145999</v>
      </c>
      <c r="M50" s="104"/>
      <c r="N50" s="106" t="s">
        <v>10</v>
      </c>
      <c r="O50" s="112">
        <f t="shared" si="0"/>
        <v>5051.7409815937217</v>
      </c>
    </row>
    <row r="51" spans="1:15" x14ac:dyDescent="0.25">
      <c r="A51" s="103">
        <v>44533</v>
      </c>
      <c r="B51" s="104" t="s">
        <v>18</v>
      </c>
      <c r="C51" s="104">
        <v>-1.5</v>
      </c>
      <c r="D51" s="105">
        <v>0.73958333333333337</v>
      </c>
      <c r="E51" s="102"/>
      <c r="F51" s="106">
        <f>(887.434907516657/1437.42188067903*2171.04996602647)+2171.04996602647</f>
        <v>3511.4118679230764</v>
      </c>
      <c r="G51" s="104"/>
      <c r="H51" s="106">
        <v>2851.40437103452</v>
      </c>
      <c r="I51" s="104"/>
      <c r="J51" s="106">
        <v>3695.3192988992</v>
      </c>
      <c r="K51" s="104"/>
      <c r="L51" s="106" t="s">
        <v>10</v>
      </c>
      <c r="M51" s="104"/>
      <c r="N51" s="106" t="s">
        <v>10</v>
      </c>
      <c r="O51" s="112">
        <f t="shared" si="0"/>
        <v>10058.135537856797</v>
      </c>
    </row>
    <row r="52" spans="1:15" x14ac:dyDescent="0.25">
      <c r="A52" s="103">
        <v>44534</v>
      </c>
      <c r="B52" s="104" t="s">
        <v>19</v>
      </c>
      <c r="C52" s="104">
        <v>-1.9</v>
      </c>
      <c r="D52" s="105">
        <v>0.77222222222222225</v>
      </c>
      <c r="E52" s="102"/>
      <c r="F52" s="106">
        <f>(887.434907516657/1437.42188067903*2032.13913043478)+2032.13913043478</f>
        <v>3286.740319910522</v>
      </c>
      <c r="G52" s="104"/>
      <c r="H52" s="106">
        <v>2582.5409346912402</v>
      </c>
      <c r="I52" s="104"/>
      <c r="J52" s="106" t="s">
        <v>10</v>
      </c>
      <c r="K52" s="104"/>
      <c r="L52" s="106">
        <v>3731.4285055291698</v>
      </c>
      <c r="M52" s="104"/>
      <c r="N52" s="106" t="s">
        <v>10</v>
      </c>
      <c r="O52" s="112">
        <f t="shared" si="0"/>
        <v>9600.7097601309324</v>
      </c>
    </row>
    <row r="53" spans="1:15" x14ac:dyDescent="0.25">
      <c r="A53" s="103">
        <v>44535</v>
      </c>
      <c r="B53" s="104" t="s">
        <v>20</v>
      </c>
      <c r="C53" s="104">
        <v>-2</v>
      </c>
      <c r="D53" s="105">
        <v>0.80555555555555547</v>
      </c>
      <c r="E53" s="102"/>
      <c r="F53" s="106">
        <f>(887.434907516657/1437.42188067903*766.325398800385)+766.325398800385</f>
        <v>1239.4390466118587</v>
      </c>
      <c r="G53" s="104"/>
      <c r="H53" s="106">
        <v>1388.9351000259001</v>
      </c>
      <c r="I53" s="104"/>
      <c r="J53" s="106">
        <v>1983.4432651038301</v>
      </c>
      <c r="K53" s="104"/>
      <c r="L53" s="106" t="s">
        <v>10</v>
      </c>
      <c r="M53" s="104"/>
      <c r="N53" s="106" t="s">
        <v>10</v>
      </c>
      <c r="O53" s="112">
        <f t="shared" si="0"/>
        <v>4611.8174117415892</v>
      </c>
    </row>
    <row r="54" spans="1:15" x14ac:dyDescent="0.25">
      <c r="A54" s="103">
        <v>44536</v>
      </c>
      <c r="B54" s="104" t="s">
        <v>21</v>
      </c>
      <c r="C54" s="104">
        <v>-1.7</v>
      </c>
      <c r="D54" s="105">
        <v>0.83958333333333324</v>
      </c>
      <c r="E54" s="102" t="s">
        <v>62</v>
      </c>
      <c r="F54" s="106">
        <f>F50/L50*L54</f>
        <v>581.12101797882292</v>
      </c>
      <c r="G54" s="104"/>
      <c r="H54" s="106">
        <v>352.66541373869802</v>
      </c>
      <c r="I54" s="104"/>
      <c r="J54" s="106" t="s">
        <v>10</v>
      </c>
      <c r="K54" s="104"/>
      <c r="L54" s="106">
        <v>402.81879108994298</v>
      </c>
      <c r="M54" s="104"/>
      <c r="N54" s="106" t="s">
        <v>10</v>
      </c>
      <c r="O54" s="112">
        <f t="shared" si="0"/>
        <v>1336.6052228074639</v>
      </c>
    </row>
    <row r="55" spans="1:15" x14ac:dyDescent="0.25">
      <c r="A55" s="103">
        <v>44537</v>
      </c>
      <c r="B55" s="104" t="s">
        <v>22</v>
      </c>
      <c r="C55" s="104">
        <v>-1.2</v>
      </c>
      <c r="D55" s="105">
        <v>0.87430555555555556</v>
      </c>
      <c r="E55" s="102" t="s">
        <v>62</v>
      </c>
      <c r="F55" s="106">
        <f>F51/J51*J55</f>
        <v>327.23499094993792</v>
      </c>
      <c r="G55" s="104" t="s">
        <v>62</v>
      </c>
      <c r="H55" s="106">
        <f>H49/J49*J55</f>
        <v>285.6687187608153</v>
      </c>
      <c r="I55" s="104"/>
      <c r="J55" s="106">
        <v>344.37366586895098</v>
      </c>
      <c r="K55" s="104"/>
      <c r="L55" s="106" t="s">
        <v>10</v>
      </c>
      <c r="M55" s="104"/>
      <c r="N55" s="106" t="s">
        <v>10</v>
      </c>
      <c r="O55" s="112">
        <f t="shared" si="0"/>
        <v>957.2773755797042</v>
      </c>
    </row>
    <row r="56" spans="1:15" x14ac:dyDescent="0.25">
      <c r="A56" s="103">
        <v>44538</v>
      </c>
      <c r="B56" s="104" t="s">
        <v>23</v>
      </c>
      <c r="C56" s="104">
        <v>-0.6</v>
      </c>
      <c r="D56" s="105">
        <v>0.91041666666666676</v>
      </c>
      <c r="E56" s="102" t="s">
        <v>62</v>
      </c>
      <c r="F56" s="106">
        <f>F52/H52*H56</f>
        <v>214.1915306783219</v>
      </c>
      <c r="G56" s="104"/>
      <c r="H56" s="106">
        <v>168.3</v>
      </c>
      <c r="I56" s="104"/>
      <c r="J56" s="106" t="s">
        <v>10</v>
      </c>
      <c r="K56" s="104"/>
      <c r="L56" s="106">
        <v>105.923888214988</v>
      </c>
      <c r="M56" s="104"/>
      <c r="N56" s="106" t="s">
        <v>10</v>
      </c>
      <c r="O56" s="112">
        <f t="shared" si="0"/>
        <v>488.41541889330989</v>
      </c>
    </row>
    <row r="57" spans="1:15" x14ac:dyDescent="0.25">
      <c r="A57" s="103">
        <v>44539</v>
      </c>
      <c r="B57" s="104" t="s">
        <v>24</v>
      </c>
      <c r="C57" s="104">
        <v>0.1</v>
      </c>
      <c r="D57" s="105">
        <v>0.94791666666666663</v>
      </c>
      <c r="E57" s="102" t="s">
        <v>62</v>
      </c>
      <c r="F57" s="106">
        <f>F51/J51*J57</f>
        <v>69.408275986726963</v>
      </c>
      <c r="G57" s="104" t="s">
        <v>62</v>
      </c>
      <c r="H57" s="106">
        <f>H53/J53*J57</f>
        <v>51.14976297671474</v>
      </c>
      <c r="I57" s="104"/>
      <c r="J57" s="106">
        <v>73.043479775210699</v>
      </c>
      <c r="K57" s="104"/>
      <c r="L57" s="106" t="s">
        <v>10</v>
      </c>
      <c r="M57" s="104"/>
      <c r="N57" s="106" t="s">
        <v>10</v>
      </c>
      <c r="O57" s="112">
        <f>SUM(F57:N57)</f>
        <v>193.6015187386524</v>
      </c>
    </row>
    <row r="58" spans="1:15" x14ac:dyDescent="0.25">
      <c r="A58" s="103"/>
      <c r="B58" s="104"/>
      <c r="C58" s="104"/>
      <c r="D58" s="105"/>
      <c r="E58" s="102"/>
      <c r="F58" s="106"/>
      <c r="G58" s="104"/>
      <c r="H58" s="106"/>
      <c r="I58" s="104"/>
      <c r="J58" s="106"/>
      <c r="K58" s="104"/>
      <c r="L58" s="106"/>
      <c r="M58" s="104"/>
      <c r="N58" s="106"/>
      <c r="O58" s="112"/>
    </row>
    <row r="59" spans="1:15" x14ac:dyDescent="0.25">
      <c r="A59" s="103">
        <v>44545</v>
      </c>
      <c r="B59" s="104" t="s">
        <v>23</v>
      </c>
      <c r="C59" s="104">
        <v>0.6</v>
      </c>
      <c r="D59" s="105">
        <v>0.68611111111111101</v>
      </c>
      <c r="E59" s="102"/>
      <c r="F59" s="106">
        <f>(1080.971157162/884.611060957561*88.4409699178597)+88.4409699178597</f>
        <v>196.51347976094536</v>
      </c>
      <c r="G59" s="104" t="s">
        <v>62</v>
      </c>
      <c r="H59" s="106">
        <f>H63/F63*F59</f>
        <v>193.29366621222951</v>
      </c>
      <c r="I59" s="104"/>
      <c r="J59" s="106" t="s">
        <v>10</v>
      </c>
      <c r="K59" s="104"/>
      <c r="L59" s="106">
        <v>371.68653043627302</v>
      </c>
      <c r="M59" s="104"/>
      <c r="N59" s="106" t="s">
        <v>10</v>
      </c>
      <c r="O59" s="112">
        <f t="shared" ref="O59:O122" si="1">SUM(F59:N59)</f>
        <v>761.49367640944797</v>
      </c>
    </row>
    <row r="60" spans="1:15" x14ac:dyDescent="0.25">
      <c r="A60" s="103">
        <v>44546</v>
      </c>
      <c r="B60" s="104" t="s">
        <v>24</v>
      </c>
      <c r="C60" s="104">
        <v>0.1</v>
      </c>
      <c r="D60" s="105">
        <v>0.72013888888888899</v>
      </c>
      <c r="E60" s="102" t="s">
        <v>62</v>
      </c>
      <c r="F60" s="106">
        <f>F62/J62*J60</f>
        <v>882.01018695637754</v>
      </c>
      <c r="G60" s="104"/>
      <c r="H60" s="106">
        <v>838.04034543043701</v>
      </c>
      <c r="I60" s="104"/>
      <c r="J60" s="106">
        <v>1041.3948717948699</v>
      </c>
      <c r="K60" s="104"/>
      <c r="L60" s="106" t="s">
        <v>10</v>
      </c>
      <c r="M60" s="104"/>
      <c r="N60" s="106" t="s">
        <v>10</v>
      </c>
      <c r="O60" s="112">
        <f t="shared" si="1"/>
        <v>2761.4454041816844</v>
      </c>
    </row>
    <row r="61" spans="1:15" x14ac:dyDescent="0.25">
      <c r="A61" s="103">
        <v>44547</v>
      </c>
      <c r="B61" s="104" t="s">
        <v>18</v>
      </c>
      <c r="C61" s="104">
        <v>-0.2</v>
      </c>
      <c r="D61" s="105">
        <v>0.73819444444444438</v>
      </c>
      <c r="E61" s="102"/>
      <c r="F61" s="106">
        <f>(1080.971157162/884.611060957561*581.353504792885)+581.353504792885</f>
        <v>1291.7520048024817</v>
      </c>
      <c r="G61" s="104"/>
      <c r="H61" s="106">
        <v>851.77662838041397</v>
      </c>
      <c r="I61" s="104"/>
      <c r="J61" s="106" t="s">
        <v>10</v>
      </c>
      <c r="K61" s="104"/>
      <c r="L61" s="106">
        <v>628.72970629378597</v>
      </c>
      <c r="M61" s="104"/>
      <c r="N61" s="106" t="s">
        <v>10</v>
      </c>
      <c r="O61" s="112">
        <f t="shared" si="1"/>
        <v>2772.2583394766816</v>
      </c>
    </row>
    <row r="62" spans="1:15" x14ac:dyDescent="0.25">
      <c r="A62" s="103">
        <v>44548</v>
      </c>
      <c r="B62" s="104" t="s">
        <v>19</v>
      </c>
      <c r="C62" s="104">
        <v>-0.3</v>
      </c>
      <c r="D62" s="105">
        <v>0.76250000000000007</v>
      </c>
      <c r="E62" s="102"/>
      <c r="F62" s="106">
        <f>(1080.971157162/884.611060957561*472.695661973863)+472.695661973863</f>
        <v>1050.3171718792858</v>
      </c>
      <c r="G62" s="104"/>
      <c r="H62" s="106">
        <v>689.32807753229099</v>
      </c>
      <c r="I62" s="104"/>
      <c r="J62" s="106">
        <v>1240.1159677391299</v>
      </c>
      <c r="K62" s="104"/>
      <c r="L62" s="106" t="s">
        <v>10</v>
      </c>
      <c r="M62" s="104"/>
      <c r="N62" s="106" t="s">
        <v>10</v>
      </c>
      <c r="O62" s="112">
        <f t="shared" si="1"/>
        <v>2979.7612171507067</v>
      </c>
    </row>
    <row r="63" spans="1:15" x14ac:dyDescent="0.25">
      <c r="A63" s="103">
        <v>44549</v>
      </c>
      <c r="B63" s="104" t="s">
        <v>20</v>
      </c>
      <c r="C63" s="104">
        <v>-0.4</v>
      </c>
      <c r="D63" s="105">
        <v>0.78611111111111109</v>
      </c>
      <c r="E63" s="102"/>
      <c r="F63" s="106">
        <f>(1080.971157162/884.611060957561*372.48)+372.48</f>
        <v>827.64063995837637</v>
      </c>
      <c r="G63" s="104"/>
      <c r="H63" s="106">
        <v>814.08</v>
      </c>
      <c r="I63" s="104"/>
      <c r="J63" s="106" t="s">
        <v>10</v>
      </c>
      <c r="K63" s="104"/>
      <c r="L63" s="106">
        <v>788.8</v>
      </c>
      <c r="M63" s="104"/>
      <c r="N63" s="106" t="s">
        <v>10</v>
      </c>
      <c r="O63" s="112">
        <f t="shared" si="1"/>
        <v>2430.5206399583767</v>
      </c>
    </row>
    <row r="64" spans="1:15" x14ac:dyDescent="0.25">
      <c r="A64" s="103">
        <v>44550</v>
      </c>
      <c r="B64" s="104" t="s">
        <v>21</v>
      </c>
      <c r="C64" s="104">
        <v>-0.3</v>
      </c>
      <c r="D64" s="105">
        <v>0.81041666666666667</v>
      </c>
      <c r="E64" s="102" t="s">
        <v>62</v>
      </c>
      <c r="F64" s="106">
        <f>F62/J62*J64</f>
        <v>272.59711230466741</v>
      </c>
      <c r="G64" s="104" t="s">
        <v>62</v>
      </c>
      <c r="H64" s="93">
        <f>H60/J60*J64</f>
        <v>259.00764133741427</v>
      </c>
      <c r="I64" s="104"/>
      <c r="J64" s="106">
        <v>321.857093056694</v>
      </c>
      <c r="K64" s="104"/>
      <c r="L64" s="106" t="s">
        <v>10</v>
      </c>
      <c r="M64" s="104"/>
      <c r="N64" s="106" t="s">
        <v>10</v>
      </c>
      <c r="O64" s="112">
        <f t="shared" si="1"/>
        <v>853.46184669877573</v>
      </c>
    </row>
    <row r="65" spans="1:15" x14ac:dyDescent="0.25">
      <c r="A65" s="103">
        <v>44551</v>
      </c>
      <c r="B65" s="104" t="s">
        <v>22</v>
      </c>
      <c r="C65" s="104">
        <v>-0.2</v>
      </c>
      <c r="D65" s="105">
        <v>0.83472222222222225</v>
      </c>
      <c r="E65" s="102" t="s">
        <v>62</v>
      </c>
      <c r="F65" s="106">
        <f>F63/L63*L65</f>
        <v>154.44815187864225</v>
      </c>
      <c r="G65" s="104"/>
      <c r="H65" s="106">
        <v>179.2</v>
      </c>
      <c r="I65" s="104"/>
      <c r="J65" s="106" t="s">
        <v>10</v>
      </c>
      <c r="K65" s="104"/>
      <c r="L65" s="106">
        <v>147.19999999999999</v>
      </c>
      <c r="M65" s="104"/>
      <c r="N65" s="106" t="s">
        <v>10</v>
      </c>
      <c r="O65" s="112">
        <f t="shared" si="1"/>
        <v>480.84815187864223</v>
      </c>
    </row>
    <row r="66" spans="1:15" x14ac:dyDescent="0.25">
      <c r="A66" s="103">
        <v>44552</v>
      </c>
      <c r="B66" s="104" t="s">
        <v>23</v>
      </c>
      <c r="C66" s="104">
        <v>-0.1</v>
      </c>
      <c r="D66" s="105">
        <v>0.85972222222222217</v>
      </c>
      <c r="E66" s="102" t="s">
        <v>62</v>
      </c>
      <c r="F66" s="106">
        <f>F62/J62*J66</f>
        <v>101.98698431837029</v>
      </c>
      <c r="G66" s="104" t="s">
        <v>62</v>
      </c>
      <c r="H66" s="106">
        <f>H60/J60*J66</f>
        <v>96.902744244384493</v>
      </c>
      <c r="I66" s="104"/>
      <c r="J66" s="106">
        <v>120.41666188173799</v>
      </c>
      <c r="K66" s="104"/>
      <c r="L66" s="106" t="s">
        <v>10</v>
      </c>
      <c r="M66" s="104"/>
      <c r="N66" s="106" t="s">
        <v>10</v>
      </c>
      <c r="O66" s="112">
        <f t="shared" si="1"/>
        <v>319.30639044449276</v>
      </c>
    </row>
    <row r="67" spans="1:15" x14ac:dyDescent="0.25">
      <c r="A67" s="103">
        <v>44553</v>
      </c>
      <c r="B67" s="104" t="s">
        <v>24</v>
      </c>
      <c r="C67" s="104">
        <v>0.2</v>
      </c>
      <c r="D67" s="105">
        <v>0.88611111111111107</v>
      </c>
      <c r="E67" s="102" t="s">
        <v>62</v>
      </c>
      <c r="F67" s="106">
        <f>F63/L63*L67</f>
        <v>106.53823576388578</v>
      </c>
      <c r="G67" s="104" t="s">
        <v>62</v>
      </c>
      <c r="H67" s="106">
        <f>H63/L63*L67</f>
        <v>104.79263920030075</v>
      </c>
      <c r="I67" s="104"/>
      <c r="J67" s="106" t="s">
        <v>10</v>
      </c>
      <c r="K67" s="104"/>
      <c r="L67" s="106">
        <v>101.53846526287001</v>
      </c>
      <c r="M67" s="104"/>
      <c r="N67" s="106" t="s">
        <v>10</v>
      </c>
      <c r="O67" s="112">
        <f t="shared" si="1"/>
        <v>312.86934022705657</v>
      </c>
    </row>
    <row r="68" spans="1:15" x14ac:dyDescent="0.25">
      <c r="A68" s="103"/>
      <c r="B68" s="104"/>
      <c r="C68" s="104"/>
      <c r="D68" s="105"/>
      <c r="E68" s="102"/>
      <c r="F68" s="106"/>
      <c r="G68" s="104"/>
      <c r="H68" s="106"/>
      <c r="I68" s="104"/>
      <c r="J68" s="106"/>
      <c r="K68" s="104"/>
      <c r="L68" s="106"/>
      <c r="M68" s="104"/>
      <c r="N68" s="106"/>
      <c r="O68" s="112"/>
    </row>
    <row r="69" spans="1:15" x14ac:dyDescent="0.25">
      <c r="A69" s="103">
        <v>44560</v>
      </c>
      <c r="B69" s="104" t="s">
        <v>24</v>
      </c>
      <c r="C69" s="104">
        <v>-0.1</v>
      </c>
      <c r="D69" s="105">
        <v>0.65902777777777777</v>
      </c>
      <c r="E69" s="102"/>
      <c r="F69" s="106">
        <f>(1080.971157162/884.611060957561*723.523243259347)+723.523243259347</f>
        <v>1607.6493773516056</v>
      </c>
      <c r="G69" s="104" t="s">
        <v>62</v>
      </c>
      <c r="H69" s="106">
        <f>H71/L71*L69</f>
        <v>1490.9431885651288</v>
      </c>
      <c r="I69" s="104"/>
      <c r="J69" s="106" t="s">
        <v>10</v>
      </c>
      <c r="K69" s="104"/>
      <c r="L69" s="106">
        <v>1467.8650160571301</v>
      </c>
      <c r="M69" s="104"/>
      <c r="N69" s="106" t="s">
        <v>10</v>
      </c>
      <c r="O69" s="112">
        <f t="shared" si="1"/>
        <v>4566.4575819738639</v>
      </c>
    </row>
    <row r="70" spans="1:15" x14ac:dyDescent="0.25">
      <c r="A70" s="103">
        <v>44561</v>
      </c>
      <c r="B70" s="104" t="s">
        <v>18</v>
      </c>
      <c r="C70" s="104">
        <v>-0.9</v>
      </c>
      <c r="D70" s="105">
        <v>0.6958333333333333</v>
      </c>
      <c r="E70" s="102"/>
      <c r="F70" s="106">
        <f>(1080.971157162/884.611060957561*1396.35573832067)+1396.35573832067</f>
        <v>3102.6652622242013</v>
      </c>
      <c r="G70" s="104"/>
      <c r="H70" s="106">
        <v>1886.04545239916</v>
      </c>
      <c r="I70" s="104"/>
      <c r="J70" s="106">
        <v>2995.5826959729902</v>
      </c>
      <c r="K70" s="104"/>
      <c r="L70" s="106" t="s">
        <v>10</v>
      </c>
      <c r="M70" s="104"/>
      <c r="N70" s="106" t="s">
        <v>10</v>
      </c>
      <c r="O70" s="112">
        <f t="shared" si="1"/>
        <v>7984.2934105963514</v>
      </c>
    </row>
    <row r="71" spans="1:15" x14ac:dyDescent="0.25">
      <c r="A71" s="103">
        <v>44562</v>
      </c>
      <c r="B71" s="104" t="s">
        <v>19</v>
      </c>
      <c r="C71" s="104">
        <v>-1.5</v>
      </c>
      <c r="D71" s="105">
        <v>0.73055555555555562</v>
      </c>
      <c r="E71" s="102"/>
      <c r="F71" s="106">
        <f>(1080.971157162/884.611060957561*1598.27217416744)+1598.27217416744</f>
        <v>3551.3182051535805</v>
      </c>
      <c r="G71" s="104"/>
      <c r="H71" s="106">
        <v>2022.87718369201</v>
      </c>
      <c r="I71" s="104"/>
      <c r="J71" s="106" t="s">
        <v>10</v>
      </c>
      <c r="K71" s="104"/>
      <c r="L71" s="106">
        <v>1991.56525379033</v>
      </c>
      <c r="M71" s="104"/>
      <c r="N71" s="106" t="s">
        <v>10</v>
      </c>
      <c r="O71" s="112">
        <f t="shared" si="1"/>
        <v>7565.7606426359198</v>
      </c>
    </row>
    <row r="72" spans="1:15" x14ac:dyDescent="0.25">
      <c r="A72" s="103">
        <v>44563</v>
      </c>
      <c r="B72" s="104" t="s">
        <v>20</v>
      </c>
      <c r="C72" s="104">
        <v>-1.8</v>
      </c>
      <c r="D72" s="105">
        <v>0.76458333333333339</v>
      </c>
      <c r="E72" s="102" t="s">
        <v>62</v>
      </c>
      <c r="F72" s="106">
        <f>F70/J70*J72</f>
        <v>249.94256486540598</v>
      </c>
      <c r="G72" s="104" t="s">
        <v>62</v>
      </c>
      <c r="H72" s="106">
        <f>H70/J70*J72</f>
        <v>151.93486824532511</v>
      </c>
      <c r="I72" s="104"/>
      <c r="J72" s="106">
        <v>241.316274563625</v>
      </c>
      <c r="K72" s="104"/>
      <c r="L72" s="106" t="s">
        <v>10</v>
      </c>
      <c r="M72" s="104"/>
      <c r="N72" s="106" t="s">
        <v>10</v>
      </c>
      <c r="O72" s="112">
        <f t="shared" si="1"/>
        <v>643.19370767435612</v>
      </c>
    </row>
    <row r="73" spans="1:15" x14ac:dyDescent="0.25">
      <c r="A73" s="103">
        <v>44564</v>
      </c>
      <c r="B73" s="104" t="s">
        <v>21</v>
      </c>
      <c r="C73" s="104">
        <v>-1.9</v>
      </c>
      <c r="D73" s="105">
        <v>0.79722222222222217</v>
      </c>
      <c r="E73" s="102"/>
      <c r="F73" s="106">
        <f>(1080.971157162/884.611060957561*107.692311642438)+107.692311642438</f>
        <v>239.28944836325252</v>
      </c>
      <c r="G73" s="104" t="s">
        <v>62</v>
      </c>
      <c r="H73" s="106">
        <f>H71/L71*L73</f>
        <v>125.01197647912117</v>
      </c>
      <c r="I73" s="104"/>
      <c r="J73" s="106" t="s">
        <v>10</v>
      </c>
      <c r="K73" s="104"/>
      <c r="L73" s="106">
        <v>123.076927591358</v>
      </c>
      <c r="M73" s="104"/>
      <c r="N73" s="106" t="s">
        <v>10</v>
      </c>
      <c r="O73" s="112">
        <f t="shared" si="1"/>
        <v>487.37835243373172</v>
      </c>
    </row>
    <row r="74" spans="1:15" x14ac:dyDescent="0.25">
      <c r="A74" s="103">
        <v>44565</v>
      </c>
      <c r="B74" s="104" t="s">
        <v>22</v>
      </c>
      <c r="C74" s="104">
        <v>-1.6</v>
      </c>
      <c r="D74" s="105">
        <v>0.82916666666666661</v>
      </c>
      <c r="E74" s="102" t="s">
        <v>62</v>
      </c>
      <c r="F74" s="106">
        <f>F70/J70*J74</f>
        <v>193.60499028444116</v>
      </c>
      <c r="G74" s="104"/>
      <c r="H74" s="106">
        <v>137.30769734410899</v>
      </c>
      <c r="I74" s="104"/>
      <c r="J74" s="106">
        <v>186.92308377937499</v>
      </c>
      <c r="K74" s="104"/>
      <c r="L74" s="106" t="s">
        <v>10</v>
      </c>
      <c r="M74" s="104"/>
      <c r="N74" s="106" t="s">
        <v>10</v>
      </c>
      <c r="O74" s="112">
        <f t="shared" si="1"/>
        <v>517.83577140792511</v>
      </c>
    </row>
    <row r="75" spans="1:15" x14ac:dyDescent="0.25">
      <c r="A75" s="103">
        <v>44566</v>
      </c>
      <c r="B75" s="104" t="s">
        <v>23</v>
      </c>
      <c r="C75" s="104">
        <v>-1.1000000000000001</v>
      </c>
      <c r="D75" s="105">
        <v>0.86111111111111116</v>
      </c>
      <c r="E75" s="102" t="s">
        <v>62</v>
      </c>
      <c r="F75" s="106">
        <v>190</v>
      </c>
      <c r="G75" s="104"/>
      <c r="H75" s="106" t="s">
        <v>10</v>
      </c>
      <c r="I75" s="104"/>
      <c r="J75" s="106" t="s">
        <v>10</v>
      </c>
      <c r="K75" s="104"/>
      <c r="L75" s="106" t="s">
        <v>10</v>
      </c>
      <c r="M75" s="104"/>
      <c r="N75" s="106" t="s">
        <v>10</v>
      </c>
      <c r="O75" s="112">
        <f t="shared" si="1"/>
        <v>190</v>
      </c>
    </row>
    <row r="76" spans="1:15" x14ac:dyDescent="0.25">
      <c r="A76" s="103"/>
      <c r="B76" s="104"/>
      <c r="C76" s="104"/>
      <c r="D76" s="105"/>
      <c r="E76" s="102"/>
      <c r="F76" s="106"/>
      <c r="G76" s="104"/>
      <c r="H76" s="106"/>
      <c r="I76" s="104"/>
      <c r="J76" s="106"/>
      <c r="K76" s="104"/>
      <c r="L76" s="106"/>
      <c r="M76" s="104"/>
      <c r="N76" s="106"/>
      <c r="O76" s="112"/>
    </row>
    <row r="77" spans="1:15" x14ac:dyDescent="0.25">
      <c r="A77" s="103">
        <v>44210</v>
      </c>
      <c r="B77" s="104" t="s">
        <v>18</v>
      </c>
      <c r="C77" s="104">
        <v>0.4</v>
      </c>
      <c r="D77" s="105">
        <v>0.69652777777777775</v>
      </c>
      <c r="E77" s="102"/>
      <c r="F77" s="106">
        <f>811.151087484611+708.114795311634</f>
        <v>1519.265882796245</v>
      </c>
      <c r="G77" s="104"/>
      <c r="H77" s="106" t="s">
        <v>10</v>
      </c>
      <c r="I77" s="104"/>
      <c r="J77" s="106" t="s">
        <v>10</v>
      </c>
      <c r="K77" s="104"/>
      <c r="L77" s="106" t="s">
        <v>10</v>
      </c>
      <c r="M77" s="104"/>
      <c r="N77" s="106" t="s">
        <v>10</v>
      </c>
      <c r="O77" s="112">
        <f t="shared" si="1"/>
        <v>1519.265882796245</v>
      </c>
    </row>
    <row r="78" spans="1:15" x14ac:dyDescent="0.25">
      <c r="A78" s="103">
        <v>44211</v>
      </c>
      <c r="B78" s="104" t="s">
        <v>19</v>
      </c>
      <c r="C78" s="104">
        <v>0.4</v>
      </c>
      <c r="D78" s="105">
        <v>0.72361111111111109</v>
      </c>
      <c r="E78" s="102"/>
      <c r="F78" s="106">
        <f>(811.151087484611/708.114795311634*1672.89398461799)+1672.89398461799</f>
        <v>3589.207248870799</v>
      </c>
      <c r="G78" s="104" t="s">
        <v>62</v>
      </c>
      <c r="H78" s="106">
        <f>H80/J80*J78</f>
        <v>2245.0149450368963</v>
      </c>
      <c r="I78" s="104"/>
      <c r="J78" s="106">
        <v>2308.17449631311</v>
      </c>
      <c r="K78" s="104"/>
      <c r="L78" s="106" t="s">
        <v>10</v>
      </c>
      <c r="M78" s="104"/>
      <c r="N78" s="106" t="s">
        <v>10</v>
      </c>
      <c r="O78" s="112">
        <f t="shared" si="1"/>
        <v>8142.3966902208049</v>
      </c>
    </row>
    <row r="79" spans="1:15" x14ac:dyDescent="0.25">
      <c r="A79" s="103">
        <v>44212</v>
      </c>
      <c r="B79" s="104" t="s">
        <v>20</v>
      </c>
      <c r="C79" s="104">
        <v>-0.2</v>
      </c>
      <c r="D79" s="105">
        <v>0.74930555555555556</v>
      </c>
      <c r="E79" s="102"/>
      <c r="F79" s="106">
        <f>(811.151087484611/708.114795311634*1363.71704546814)+1363.71704546814</f>
        <v>2925.8656854580217</v>
      </c>
      <c r="G79" s="104" t="s">
        <v>81</v>
      </c>
      <c r="H79" s="106">
        <v>2100</v>
      </c>
      <c r="I79" s="104"/>
      <c r="J79" s="106" t="s">
        <v>10</v>
      </c>
      <c r="K79" s="104"/>
      <c r="L79" s="106">
        <v>3004.3100811890999</v>
      </c>
      <c r="M79" s="104"/>
      <c r="N79" s="106" t="s">
        <v>10</v>
      </c>
      <c r="O79" s="112">
        <f t="shared" si="1"/>
        <v>8030.1757666471221</v>
      </c>
    </row>
    <row r="80" spans="1:15" x14ac:dyDescent="0.25">
      <c r="A80" s="103">
        <v>44213</v>
      </c>
      <c r="B80" s="104" t="s">
        <v>21</v>
      </c>
      <c r="C80" s="104">
        <v>-0.3</v>
      </c>
      <c r="D80" s="105">
        <v>0.77361111111111114</v>
      </c>
      <c r="E80" s="102" t="s">
        <v>62</v>
      </c>
      <c r="F80" s="106">
        <f>F82/J82*J80</f>
        <v>740.26172409788137</v>
      </c>
      <c r="G80" s="104"/>
      <c r="H80" s="106">
        <v>693.23672934806405</v>
      </c>
      <c r="I80" s="104"/>
      <c r="J80" s="106">
        <v>712.73972680053498</v>
      </c>
      <c r="K80" s="104"/>
      <c r="L80" s="106" t="s">
        <v>10</v>
      </c>
      <c r="M80" s="104"/>
      <c r="N80" s="106" t="s">
        <v>10</v>
      </c>
      <c r="O80" s="112">
        <f t="shared" si="1"/>
        <v>2146.2381802464806</v>
      </c>
    </row>
    <row r="81" spans="1:15" x14ac:dyDescent="0.25">
      <c r="A81" s="103">
        <v>44214</v>
      </c>
      <c r="B81" s="104" t="s">
        <v>22</v>
      </c>
      <c r="C81" s="104">
        <v>-0.4</v>
      </c>
      <c r="D81" s="105">
        <v>0.79722222222222217</v>
      </c>
      <c r="E81" s="102" t="s">
        <v>62</v>
      </c>
      <c r="F81" s="106">
        <f>F78/H78*H81</f>
        <v>606.24424428917951</v>
      </c>
      <c r="G81" s="104"/>
      <c r="H81" s="106">
        <v>379.2</v>
      </c>
      <c r="I81" s="104"/>
      <c r="J81" s="106" t="s">
        <v>10</v>
      </c>
      <c r="K81" s="104"/>
      <c r="L81" s="106" t="s">
        <v>10</v>
      </c>
      <c r="M81" s="104"/>
      <c r="N81" s="106" t="s">
        <v>10</v>
      </c>
      <c r="O81" s="112">
        <f t="shared" si="1"/>
        <v>985.44424428917955</v>
      </c>
    </row>
    <row r="82" spans="1:15" x14ac:dyDescent="0.25">
      <c r="A82" s="103">
        <v>44215</v>
      </c>
      <c r="B82" s="104" t="s">
        <v>23</v>
      </c>
      <c r="C82" s="104">
        <v>-0.4</v>
      </c>
      <c r="D82" s="105">
        <v>0.82013888888888886</v>
      </c>
      <c r="E82" s="102"/>
      <c r="F82" s="106">
        <f>(811.151087484611/708.114795311634*78.2608711877257)+78.2608711877257</f>
        <v>167.90931688003644</v>
      </c>
      <c r="G82" s="104"/>
      <c r="H82" s="106" t="s">
        <v>10</v>
      </c>
      <c r="I82" s="104"/>
      <c r="J82" s="106">
        <v>161.66666024261099</v>
      </c>
      <c r="K82" s="104"/>
      <c r="L82" s="106" t="s">
        <v>10</v>
      </c>
      <c r="M82" s="104"/>
      <c r="N82" s="106" t="s">
        <v>10</v>
      </c>
      <c r="O82" s="112">
        <f t="shared" si="1"/>
        <v>329.57597712264743</v>
      </c>
    </row>
    <row r="83" spans="1:15" x14ac:dyDescent="0.25">
      <c r="A83" s="103">
        <v>44216</v>
      </c>
      <c r="B83" s="104" t="s">
        <v>24</v>
      </c>
      <c r="C83" s="104">
        <v>-0.2</v>
      </c>
      <c r="D83" s="105">
        <v>0.84305555555555556</v>
      </c>
      <c r="E83" s="102"/>
      <c r="F83" s="106">
        <f>(708.114795311634/811.151087484611*25)+25</f>
        <v>46.824380384778451</v>
      </c>
      <c r="G83" s="104"/>
      <c r="H83" s="106" t="s">
        <v>10</v>
      </c>
      <c r="I83" s="104"/>
      <c r="J83" s="106" t="s">
        <v>10</v>
      </c>
      <c r="K83" s="104"/>
      <c r="L83" s="106" t="s">
        <v>10</v>
      </c>
      <c r="M83" s="104"/>
      <c r="N83" s="106" t="s">
        <v>10</v>
      </c>
      <c r="O83" s="112">
        <f t="shared" si="1"/>
        <v>46.824380384778451</v>
      </c>
    </row>
    <row r="84" spans="1:15" x14ac:dyDescent="0.25">
      <c r="A84" s="103"/>
      <c r="B84" s="104"/>
      <c r="C84" s="104"/>
      <c r="D84" s="105"/>
      <c r="E84" s="102"/>
      <c r="F84" s="106"/>
      <c r="G84" s="104"/>
      <c r="H84" s="106"/>
      <c r="I84" s="104"/>
      <c r="J84" s="106"/>
      <c r="K84" s="104"/>
      <c r="L84" s="106"/>
      <c r="M84" s="104"/>
      <c r="N84" s="106"/>
      <c r="O84" s="112"/>
    </row>
    <row r="85" spans="1:15" x14ac:dyDescent="0.25">
      <c r="A85" s="103">
        <v>44590</v>
      </c>
      <c r="B85" s="104" t="s">
        <v>19</v>
      </c>
      <c r="C85" s="104">
        <v>-0.7</v>
      </c>
      <c r="D85" s="105">
        <v>0.6875</v>
      </c>
      <c r="E85" s="102"/>
      <c r="F85" s="106">
        <f>(971.922268074793/1169.90643379373*4694.02458359085)+4694.02458359085</f>
        <v>8593.6757761124863</v>
      </c>
      <c r="G85" s="104"/>
      <c r="H85" s="106">
        <v>6499.7116184049601</v>
      </c>
      <c r="I85" s="104"/>
      <c r="J85" s="106" t="s">
        <v>10</v>
      </c>
      <c r="K85" s="104"/>
      <c r="L85" s="106">
        <v>6202.1832867322901</v>
      </c>
      <c r="M85" s="104"/>
      <c r="N85" s="106" t="s">
        <v>10</v>
      </c>
      <c r="O85" s="112">
        <f t="shared" si="1"/>
        <v>21295.570681249737</v>
      </c>
    </row>
    <row r="86" spans="1:15" x14ac:dyDescent="0.25">
      <c r="A86" s="103">
        <v>44591</v>
      </c>
      <c r="B86" s="104" t="s">
        <v>20</v>
      </c>
      <c r="C86" s="104">
        <v>-1.2</v>
      </c>
      <c r="D86" s="105">
        <v>0.72291666666666676</v>
      </c>
      <c r="E86" s="102"/>
      <c r="F86" s="106">
        <f>971.922268074793+1169.90643379373</f>
        <v>2141.8287018685232</v>
      </c>
      <c r="G86" s="104"/>
      <c r="H86" s="106" t="s">
        <v>10</v>
      </c>
      <c r="I86" s="104"/>
      <c r="J86" s="106">
        <v>2066.0385458712799</v>
      </c>
      <c r="K86" s="104"/>
      <c r="L86" s="106" t="s">
        <v>10</v>
      </c>
      <c r="M86" s="104"/>
      <c r="N86" s="106" t="s">
        <v>10</v>
      </c>
      <c r="O86" s="112">
        <f t="shared" si="1"/>
        <v>4207.8672477398031</v>
      </c>
    </row>
    <row r="87" spans="1:15" x14ac:dyDescent="0.25">
      <c r="A87" s="103">
        <v>44592</v>
      </c>
      <c r="B87" s="104" t="s">
        <v>21</v>
      </c>
      <c r="C87" s="104">
        <v>-1.5</v>
      </c>
      <c r="D87" s="105">
        <v>0.75555555555555554</v>
      </c>
      <c r="E87" s="102"/>
      <c r="F87" s="106">
        <f>(971.922268074793/1169.90643379373*853.994494985585)+853.994494985585</f>
        <v>1563.4668446659184</v>
      </c>
      <c r="G87" s="104"/>
      <c r="H87" s="106" t="s">
        <v>10</v>
      </c>
      <c r="I87" s="104"/>
      <c r="J87" s="106" t="s">
        <v>10</v>
      </c>
      <c r="K87" s="104"/>
      <c r="L87" s="106" t="s">
        <v>10</v>
      </c>
      <c r="M87" s="104"/>
      <c r="N87" s="106" t="s">
        <v>10</v>
      </c>
      <c r="O87" s="112">
        <f t="shared" si="1"/>
        <v>1563.4668446659184</v>
      </c>
    </row>
    <row r="88" spans="1:15" x14ac:dyDescent="0.25">
      <c r="A88" s="103">
        <v>44593</v>
      </c>
      <c r="B88" s="104" t="s">
        <v>22</v>
      </c>
      <c r="C88" s="104">
        <v>-1.5</v>
      </c>
      <c r="D88" s="105">
        <v>0.78611111111111109</v>
      </c>
      <c r="E88" s="102" t="s">
        <v>62</v>
      </c>
      <c r="F88" s="106">
        <f>F86/J86*J88</f>
        <v>1010.7163772272559</v>
      </c>
      <c r="G88" s="104"/>
      <c r="H88" s="106">
        <v>649.09089502224299</v>
      </c>
      <c r="I88" s="104"/>
      <c r="J88" s="106">
        <v>974.95144801877404</v>
      </c>
      <c r="K88" s="104"/>
      <c r="L88" s="106" t="s">
        <v>10</v>
      </c>
      <c r="M88" s="104"/>
      <c r="N88" s="106" t="s">
        <v>10</v>
      </c>
      <c r="O88" s="112">
        <f t="shared" si="1"/>
        <v>2634.758720268273</v>
      </c>
    </row>
    <row r="89" spans="1:15" x14ac:dyDescent="0.25">
      <c r="A89" s="103">
        <v>44594</v>
      </c>
      <c r="B89" s="104" t="s">
        <v>23</v>
      </c>
      <c r="C89" s="104">
        <v>-1.2</v>
      </c>
      <c r="D89" s="105">
        <v>0.81527777777777777</v>
      </c>
      <c r="E89" s="102"/>
      <c r="F89" s="106">
        <f>(971.922268074793/1169.90643379373*235.611513216151)+235.611513216151</f>
        <v>431.3503088111076</v>
      </c>
      <c r="G89" s="104"/>
      <c r="H89" s="106">
        <v>306.78082300485698</v>
      </c>
      <c r="I89" s="104"/>
      <c r="J89" s="106" t="s">
        <v>10</v>
      </c>
      <c r="K89" s="104"/>
      <c r="L89" s="106">
        <v>457.35027302389</v>
      </c>
      <c r="M89" s="104"/>
      <c r="N89" s="106" t="s">
        <v>10</v>
      </c>
      <c r="O89" s="112">
        <f t="shared" si="1"/>
        <v>1195.4814048398546</v>
      </c>
    </row>
    <row r="90" spans="1:15" x14ac:dyDescent="0.25">
      <c r="A90" s="103">
        <v>44595</v>
      </c>
      <c r="B90" s="104" t="s">
        <v>24</v>
      </c>
      <c r="C90" s="104">
        <v>-0.7</v>
      </c>
      <c r="D90" s="105">
        <v>0.84236111111111101</v>
      </c>
      <c r="E90" s="102"/>
      <c r="F90" s="106" t="s">
        <v>10</v>
      </c>
      <c r="G90" s="104"/>
      <c r="H90" s="106" t="s">
        <v>10</v>
      </c>
      <c r="I90" s="104"/>
      <c r="J90" s="106">
        <v>399.541071085238</v>
      </c>
      <c r="K90" s="104"/>
      <c r="L90" s="106" t="s">
        <v>10</v>
      </c>
      <c r="M90" s="104"/>
      <c r="N90" s="106" t="s">
        <v>10</v>
      </c>
      <c r="O90" s="112">
        <f t="shared" si="1"/>
        <v>399.541071085238</v>
      </c>
    </row>
    <row r="91" spans="1:15" x14ac:dyDescent="0.25">
      <c r="A91" s="103"/>
      <c r="B91" s="104"/>
      <c r="C91" s="104"/>
      <c r="D91" s="105"/>
      <c r="E91" s="102"/>
      <c r="F91" s="106"/>
      <c r="G91" s="104"/>
      <c r="H91" s="106"/>
      <c r="I91" s="104"/>
      <c r="J91" s="106"/>
      <c r="K91" s="104"/>
      <c r="L91" s="106"/>
      <c r="M91" s="104"/>
      <c r="N91" s="106"/>
      <c r="O91" s="112"/>
    </row>
    <row r="92" spans="1:15" x14ac:dyDescent="0.25">
      <c r="A92" s="103">
        <v>44606</v>
      </c>
      <c r="B92" s="104" t="s">
        <v>21</v>
      </c>
      <c r="C92" s="104">
        <v>0</v>
      </c>
      <c r="D92" s="105">
        <v>0.73263888888888884</v>
      </c>
      <c r="E92" s="102"/>
      <c r="F92" s="106">
        <f>567.765563798803+540.548777803721</f>
        <v>1108.3143416025241</v>
      </c>
      <c r="G92" s="104"/>
      <c r="H92" s="106" t="s">
        <v>10</v>
      </c>
      <c r="I92" s="104"/>
      <c r="J92" s="106" t="s">
        <v>10</v>
      </c>
      <c r="K92" s="104"/>
      <c r="L92" s="106" t="s">
        <v>10</v>
      </c>
      <c r="M92" s="104"/>
      <c r="N92" s="106" t="s">
        <v>10</v>
      </c>
      <c r="O92" s="112">
        <f t="shared" si="1"/>
        <v>1108.3143416025241</v>
      </c>
    </row>
    <row r="93" spans="1:15" x14ac:dyDescent="0.25">
      <c r="A93" s="103">
        <v>44607</v>
      </c>
      <c r="B93" s="104" t="s">
        <v>22</v>
      </c>
      <c r="C93" s="104">
        <v>-0.3</v>
      </c>
      <c r="D93" s="105">
        <v>0.75624999999999998</v>
      </c>
      <c r="E93" s="102"/>
      <c r="F93" s="106">
        <f>(540.548777803721/567.765563798803*800.363490842337)+800.363490842337</f>
        <v>1562.36022745114</v>
      </c>
      <c r="G93" s="104"/>
      <c r="H93" s="106" t="s">
        <v>10</v>
      </c>
      <c r="I93" s="104"/>
      <c r="J93" s="106" t="s">
        <v>10</v>
      </c>
      <c r="K93" s="104"/>
      <c r="L93" s="106">
        <v>1300.3995823561199</v>
      </c>
      <c r="M93" s="104"/>
      <c r="N93" s="106" t="s">
        <v>10</v>
      </c>
      <c r="O93" s="112">
        <f t="shared" si="1"/>
        <v>2862.7598098072599</v>
      </c>
    </row>
    <row r="94" spans="1:15" x14ac:dyDescent="0.25">
      <c r="A94" s="103">
        <v>44608</v>
      </c>
      <c r="B94" s="104" t="s">
        <v>23</v>
      </c>
      <c r="C94" s="104">
        <v>-0.4</v>
      </c>
      <c r="D94" s="105">
        <v>0.77916666666666667</v>
      </c>
      <c r="E94" s="102" t="s">
        <v>62</v>
      </c>
      <c r="F94" s="106">
        <f>F96/J96*J94</f>
        <v>1479.0608396598429</v>
      </c>
      <c r="G94" s="104"/>
      <c r="H94" s="106" t="s">
        <v>10</v>
      </c>
      <c r="I94" s="104"/>
      <c r="J94" s="106">
        <v>1903.8172374841899</v>
      </c>
      <c r="K94" s="104"/>
      <c r="L94" s="106" t="s">
        <v>10</v>
      </c>
      <c r="M94" s="104"/>
      <c r="N94" s="106" t="s">
        <v>10</v>
      </c>
      <c r="O94" s="112">
        <f t="shared" si="1"/>
        <v>3382.8780771440329</v>
      </c>
    </row>
    <row r="95" spans="1:15" x14ac:dyDescent="0.25">
      <c r="A95" s="103">
        <v>44609</v>
      </c>
      <c r="B95" s="104" t="s">
        <v>24</v>
      </c>
      <c r="C95" s="104">
        <v>-0.3</v>
      </c>
      <c r="D95" s="105">
        <v>0.80138888888888893</v>
      </c>
      <c r="E95" s="102"/>
      <c r="F95" s="106">
        <f>(567.765563798803/540.548777803721*528.589052764883)+528.589052764883</f>
        <v>1083.792715939021</v>
      </c>
      <c r="G95" s="104"/>
      <c r="H95" s="106">
        <v>1088.4955798144699</v>
      </c>
      <c r="I95" s="104"/>
      <c r="J95" s="106" t="s">
        <v>10</v>
      </c>
      <c r="K95" s="104"/>
      <c r="L95" s="106" t="s">
        <v>10</v>
      </c>
      <c r="M95" s="104"/>
      <c r="N95" s="106" t="s">
        <v>10</v>
      </c>
      <c r="O95" s="112">
        <f t="shared" si="1"/>
        <v>2172.2882957534912</v>
      </c>
    </row>
    <row r="96" spans="1:15" x14ac:dyDescent="0.25">
      <c r="A96" s="103">
        <v>44610</v>
      </c>
      <c r="B96" s="104" t="s">
        <v>18</v>
      </c>
      <c r="C96" s="104">
        <v>-0.1</v>
      </c>
      <c r="D96" s="105">
        <v>0.82291666666666663</v>
      </c>
      <c r="E96" s="102" t="s">
        <v>62</v>
      </c>
      <c r="F96" s="106">
        <f>F95/H95*H96</f>
        <v>1243.4411773302788</v>
      </c>
      <c r="G96" s="104"/>
      <c r="H96" s="106">
        <v>1248.8367981977301</v>
      </c>
      <c r="I96" s="104"/>
      <c r="J96" s="106">
        <v>1600.5323673794601</v>
      </c>
      <c r="K96" s="104"/>
      <c r="L96" s="106" t="s">
        <v>10</v>
      </c>
      <c r="M96" s="104"/>
      <c r="N96" s="106" t="s">
        <v>10</v>
      </c>
      <c r="O96" s="112">
        <f t="shared" si="1"/>
        <v>4092.810342907469</v>
      </c>
    </row>
    <row r="97" spans="1:15" x14ac:dyDescent="0.25">
      <c r="A97" s="103"/>
      <c r="B97" s="104"/>
      <c r="C97" s="104"/>
      <c r="D97" s="105"/>
      <c r="E97" s="102"/>
      <c r="F97" s="106"/>
      <c r="G97" s="104"/>
      <c r="H97" s="106"/>
      <c r="I97" s="104"/>
      <c r="J97" s="106"/>
      <c r="K97" s="104"/>
      <c r="L97" s="106"/>
      <c r="M97" s="104"/>
      <c r="N97" s="106"/>
      <c r="O97" s="112"/>
    </row>
    <row r="98" spans="1:15" x14ac:dyDescent="0.25">
      <c r="A98" s="103">
        <v>44618</v>
      </c>
      <c r="B98" s="104" t="s">
        <v>19</v>
      </c>
      <c r="C98" s="104">
        <v>0</v>
      </c>
      <c r="D98" s="105">
        <v>0.63750000000000007</v>
      </c>
      <c r="E98" s="102"/>
      <c r="F98" s="106">
        <f>(567.765563798803/540.548777803721*2041.27301899325)+2041.27301899325</f>
        <v>4185.3247199422804</v>
      </c>
      <c r="G98" s="104"/>
      <c r="H98" s="106">
        <v>2089.9921381914801</v>
      </c>
      <c r="I98" s="104"/>
      <c r="J98" s="106">
        <v>4656.7400110362096</v>
      </c>
      <c r="K98" s="104"/>
      <c r="L98" s="106" t="s">
        <v>10</v>
      </c>
      <c r="M98" s="104"/>
      <c r="N98" s="106" t="s">
        <v>10</v>
      </c>
      <c r="O98" s="112">
        <f t="shared" si="1"/>
        <v>10932.05686916997</v>
      </c>
    </row>
    <row r="99" spans="1:15" x14ac:dyDescent="0.25">
      <c r="A99" s="103">
        <v>44619</v>
      </c>
      <c r="B99" s="104" t="s">
        <v>20</v>
      </c>
      <c r="C99" s="104">
        <v>-0.4</v>
      </c>
      <c r="D99" s="105">
        <v>0.6777777777777777</v>
      </c>
      <c r="E99" s="102"/>
      <c r="F99" s="106">
        <f>(540.548777803721/567.765563798803*891.26673984998)+891.26673984998</f>
        <v>1739.8091271331543</v>
      </c>
      <c r="G99" s="104"/>
      <c r="H99" s="106" t="s">
        <v>10</v>
      </c>
      <c r="I99" s="104"/>
      <c r="J99" s="106" t="s">
        <v>10</v>
      </c>
      <c r="K99" s="104"/>
      <c r="L99" s="106">
        <v>2066.08699935596</v>
      </c>
      <c r="M99" s="104"/>
      <c r="N99" s="106" t="s">
        <v>10</v>
      </c>
      <c r="O99" s="112">
        <f t="shared" si="1"/>
        <v>3805.8961264891141</v>
      </c>
    </row>
    <row r="100" spans="1:15" x14ac:dyDescent="0.25">
      <c r="A100" s="103">
        <v>44620</v>
      </c>
      <c r="B100" s="104" t="s">
        <v>21</v>
      </c>
      <c r="C100" s="104">
        <v>-0.8</v>
      </c>
      <c r="D100" s="105">
        <v>0.71250000000000002</v>
      </c>
      <c r="E100" s="102"/>
      <c r="F100" s="106">
        <f>(320.162629483461/293.376536474428*85.1611005947666)+85.1611005947666</f>
        <v>178.09764631781755</v>
      </c>
      <c r="G100" s="104"/>
      <c r="H100" s="106" t="s">
        <v>10</v>
      </c>
      <c r="I100" s="104"/>
      <c r="J100" s="106" t="s">
        <v>10</v>
      </c>
      <c r="K100" s="104"/>
      <c r="L100" s="106" t="s">
        <v>10</v>
      </c>
      <c r="M100" s="104"/>
      <c r="N100" s="106" t="s">
        <v>10</v>
      </c>
      <c r="O100" s="112">
        <f t="shared" si="1"/>
        <v>178.09764631781755</v>
      </c>
    </row>
    <row r="101" spans="1:15" x14ac:dyDescent="0.25">
      <c r="A101" s="103">
        <v>44621</v>
      </c>
      <c r="B101" s="104" t="s">
        <v>22</v>
      </c>
      <c r="C101" s="104">
        <v>-0.9</v>
      </c>
      <c r="D101" s="105">
        <v>0.74305555555555547</v>
      </c>
      <c r="E101" s="102" t="s">
        <v>62</v>
      </c>
      <c r="F101" s="106">
        <f>F103/L103*L101</f>
        <v>542.94746833132615</v>
      </c>
      <c r="G101" s="104" t="s">
        <v>62</v>
      </c>
      <c r="H101" s="106">
        <f>H103/L103*L101</f>
        <v>481.7531446638348</v>
      </c>
      <c r="I101" s="104"/>
      <c r="J101" s="106" t="s">
        <v>10</v>
      </c>
      <c r="K101" s="104"/>
      <c r="L101" s="106">
        <v>546.45982271002799</v>
      </c>
      <c r="M101" s="104"/>
      <c r="N101" s="106" t="s">
        <v>10</v>
      </c>
      <c r="O101" s="112">
        <f t="shared" si="1"/>
        <v>1571.160435705189</v>
      </c>
    </row>
    <row r="102" spans="1:15" x14ac:dyDescent="0.25">
      <c r="A102" s="103">
        <v>44622</v>
      </c>
      <c r="B102" s="104" t="s">
        <v>23</v>
      </c>
      <c r="C102" s="104">
        <v>-0.8</v>
      </c>
      <c r="D102" s="105">
        <v>0.77083333333333337</v>
      </c>
      <c r="E102" s="102" t="s">
        <v>62</v>
      </c>
      <c r="F102" s="106">
        <f>F98/J98*J102</f>
        <v>945.42653782750847</v>
      </c>
      <c r="G102" s="104"/>
      <c r="H102" s="106">
        <v>681.48758853493996</v>
      </c>
      <c r="I102" s="104"/>
      <c r="J102" s="106">
        <v>1051.9149363057099</v>
      </c>
      <c r="K102" s="104"/>
      <c r="L102" s="106" t="s">
        <v>10</v>
      </c>
      <c r="M102" s="104"/>
      <c r="N102" s="106" t="s">
        <v>10</v>
      </c>
      <c r="O102" s="112">
        <f t="shared" si="1"/>
        <v>2678.8290626681583</v>
      </c>
    </row>
    <row r="103" spans="1:15" x14ac:dyDescent="0.25">
      <c r="A103" s="103">
        <v>44623</v>
      </c>
      <c r="B103" s="104" t="s">
        <v>24</v>
      </c>
      <c r="C103" s="104">
        <v>-0.5</v>
      </c>
      <c r="D103" s="105">
        <v>0.79652777777777783</v>
      </c>
      <c r="E103" s="102"/>
      <c r="F103" s="106">
        <f>320.162629483461+293.376536474428</f>
        <v>613.53916595788905</v>
      </c>
      <c r="G103" s="104"/>
      <c r="H103" s="106">
        <v>544.38861918455302</v>
      </c>
      <c r="I103" s="104"/>
      <c r="J103" s="106" t="s">
        <v>10</v>
      </c>
      <c r="K103" s="104"/>
      <c r="L103" s="106">
        <v>617.50818156575303</v>
      </c>
      <c r="M103" s="104"/>
      <c r="N103" s="106" t="s">
        <v>10</v>
      </c>
      <c r="O103" s="112">
        <f t="shared" si="1"/>
        <v>1775.4359667081953</v>
      </c>
    </row>
    <row r="104" spans="1:15" x14ac:dyDescent="0.25">
      <c r="A104" s="103">
        <v>44624</v>
      </c>
      <c r="B104" s="104" t="s">
        <v>18</v>
      </c>
      <c r="C104" s="104">
        <v>0</v>
      </c>
      <c r="D104" s="105">
        <v>0.8208333333333333</v>
      </c>
      <c r="E104" s="102" t="s">
        <v>62</v>
      </c>
      <c r="F104" s="106">
        <f>F98/J98*J104</f>
        <v>803.6939931085343</v>
      </c>
      <c r="G104" s="104" t="s">
        <v>62</v>
      </c>
      <c r="H104" s="106">
        <f>H102/J102*J104</f>
        <v>579.32315137051933</v>
      </c>
      <c r="I104" s="104"/>
      <c r="J104" s="106">
        <v>894.21830437796598</v>
      </c>
      <c r="K104" s="104"/>
      <c r="L104" s="106" t="s">
        <v>10</v>
      </c>
      <c r="M104" s="104"/>
      <c r="N104" s="106" t="s">
        <v>10</v>
      </c>
      <c r="O104" s="112">
        <f t="shared" si="1"/>
        <v>2277.2354488570195</v>
      </c>
    </row>
    <row r="105" spans="1:15" x14ac:dyDescent="0.25">
      <c r="A105" s="103"/>
      <c r="B105" s="104"/>
      <c r="C105" s="104"/>
      <c r="D105" s="105"/>
      <c r="E105" s="102"/>
      <c r="F105" s="106"/>
      <c r="G105" s="104"/>
      <c r="H105" s="106"/>
      <c r="I105" s="104"/>
      <c r="J105" s="106"/>
      <c r="K105" s="104"/>
      <c r="L105" s="106"/>
      <c r="M105" s="104"/>
      <c r="N105" s="106"/>
      <c r="O105" s="112"/>
    </row>
    <row r="106" spans="1:15" x14ac:dyDescent="0.25">
      <c r="A106" s="103">
        <v>44636</v>
      </c>
      <c r="B106" s="104" t="s">
        <v>23</v>
      </c>
      <c r="C106" s="104">
        <v>0</v>
      </c>
      <c r="D106" s="105">
        <v>0.77430555555555547</v>
      </c>
      <c r="E106" s="102"/>
      <c r="F106" s="106">
        <f>552.555807961039+552.555807961039</f>
        <v>1105.111615922078</v>
      </c>
      <c r="G106" s="104" t="s">
        <v>62</v>
      </c>
      <c r="H106" s="106">
        <f>H108/L108*L106</f>
        <v>528.2283918659823</v>
      </c>
      <c r="I106" s="104"/>
      <c r="J106" s="106" t="s">
        <v>10</v>
      </c>
      <c r="K106" s="104"/>
      <c r="L106" s="106">
        <v>895.09100269589499</v>
      </c>
      <c r="M106" s="104"/>
      <c r="N106" s="106" t="s">
        <v>10</v>
      </c>
      <c r="O106" s="112">
        <f t="shared" si="1"/>
        <v>2528.4310104839551</v>
      </c>
    </row>
    <row r="107" spans="1:15" x14ac:dyDescent="0.25">
      <c r="A107" s="103">
        <v>44637</v>
      </c>
      <c r="B107" s="104" t="s">
        <v>24</v>
      </c>
      <c r="C107" s="104">
        <v>0</v>
      </c>
      <c r="D107" s="105">
        <v>0.79722222222222217</v>
      </c>
      <c r="E107" s="102" t="s">
        <v>62</v>
      </c>
      <c r="F107" s="106">
        <f>F109/J109*J107</f>
        <v>476.49090076404161</v>
      </c>
      <c r="G107" s="104" t="s">
        <v>62</v>
      </c>
      <c r="H107" s="106">
        <f>H111/J111*J107</f>
        <v>462.67316845261468</v>
      </c>
      <c r="I107" s="104"/>
      <c r="J107" s="106">
        <v>742.273098023069</v>
      </c>
      <c r="K107" s="104"/>
      <c r="L107" s="106" t="s">
        <v>10</v>
      </c>
      <c r="M107" s="104"/>
      <c r="N107" s="106" t="s">
        <v>10</v>
      </c>
      <c r="O107" s="112">
        <f t="shared" si="1"/>
        <v>1681.4371672397253</v>
      </c>
    </row>
    <row r="108" spans="1:15" x14ac:dyDescent="0.25">
      <c r="A108" s="103">
        <v>44638</v>
      </c>
      <c r="B108" s="104" t="s">
        <v>18</v>
      </c>
      <c r="C108" s="104">
        <v>0.2</v>
      </c>
      <c r="D108" s="105">
        <v>0.82013888888888886</v>
      </c>
      <c r="E108" s="102" t="s">
        <v>62</v>
      </c>
      <c r="F108" s="106">
        <f>F106/L106*L108</f>
        <v>1815.9063731677011</v>
      </c>
      <c r="G108" s="104"/>
      <c r="H108" s="106">
        <v>867.97866338344397</v>
      </c>
      <c r="I108" s="104"/>
      <c r="J108" s="106" t="s">
        <v>10</v>
      </c>
      <c r="K108" s="104"/>
      <c r="L108" s="106">
        <v>1470.80297857909</v>
      </c>
      <c r="M108" s="104"/>
      <c r="N108" s="106" t="s">
        <v>10</v>
      </c>
      <c r="O108" s="112">
        <f t="shared" si="1"/>
        <v>4154.6880151302357</v>
      </c>
    </row>
    <row r="109" spans="1:15" x14ac:dyDescent="0.25">
      <c r="A109" s="103">
        <v>44639</v>
      </c>
      <c r="B109" s="104" t="s">
        <v>19</v>
      </c>
      <c r="C109" s="104">
        <v>0.5</v>
      </c>
      <c r="D109" s="105">
        <v>0.84305555555555556</v>
      </c>
      <c r="E109" s="102"/>
      <c r="F109" s="106">
        <f>(552.555807961039/552.555807961039*1330.13095642404)+1330.13095642404</f>
        <v>2660.2619128480801</v>
      </c>
      <c r="G109" s="104" t="s">
        <v>62</v>
      </c>
      <c r="H109" s="106">
        <f>H111/J111*J109</f>
        <v>2583.1171301647646</v>
      </c>
      <c r="I109" s="104"/>
      <c r="J109" s="106">
        <v>4144.1312907260799</v>
      </c>
      <c r="K109" s="104"/>
      <c r="L109" s="106" t="s">
        <v>10</v>
      </c>
      <c r="M109" s="104"/>
      <c r="N109" s="106" t="s">
        <v>10</v>
      </c>
      <c r="O109" s="112">
        <f t="shared" si="1"/>
        <v>9387.5103337389246</v>
      </c>
    </row>
    <row r="110" spans="1:15" x14ac:dyDescent="0.25">
      <c r="A110" s="103">
        <v>44640</v>
      </c>
      <c r="B110" s="104" t="s">
        <v>20</v>
      </c>
      <c r="C110" s="104">
        <v>0.2</v>
      </c>
      <c r="D110" s="105">
        <v>0.36527777777777781</v>
      </c>
      <c r="E110" s="102" t="s">
        <v>62</v>
      </c>
      <c r="F110" s="106">
        <f>F106/L106*L110</f>
        <v>2743.1181611281418</v>
      </c>
      <c r="G110" s="104"/>
      <c r="H110" s="106">
        <v>1007.57576303541</v>
      </c>
      <c r="I110" s="104"/>
      <c r="J110" s="106" t="s">
        <v>10</v>
      </c>
      <c r="K110" s="104"/>
      <c r="L110" s="106">
        <v>2221.8030739897999</v>
      </c>
      <c r="M110" s="104"/>
      <c r="N110" s="106" t="s">
        <v>10</v>
      </c>
      <c r="O110" s="112">
        <f t="shared" si="1"/>
        <v>5972.4969981533523</v>
      </c>
    </row>
    <row r="111" spans="1:15" x14ac:dyDescent="0.25">
      <c r="A111" s="103">
        <v>44641</v>
      </c>
      <c r="B111" s="104" t="s">
        <v>21</v>
      </c>
      <c r="C111" s="104">
        <v>0</v>
      </c>
      <c r="D111" s="105">
        <v>0.39583333333333331</v>
      </c>
      <c r="E111" s="102" t="s">
        <v>62</v>
      </c>
      <c r="F111" s="106">
        <f>F109/J109*J111</f>
        <v>415.72916783312888</v>
      </c>
      <c r="G111" s="104"/>
      <c r="H111" s="106">
        <v>403.67346153116301</v>
      </c>
      <c r="I111" s="104"/>
      <c r="J111" s="106">
        <v>647.61903501460597</v>
      </c>
      <c r="K111" s="104"/>
      <c r="L111" s="106" t="s">
        <v>10</v>
      </c>
      <c r="M111" s="104"/>
      <c r="N111" s="106" t="s">
        <v>10</v>
      </c>
      <c r="O111" s="112">
        <f t="shared" si="1"/>
        <v>1467.0216643788979</v>
      </c>
    </row>
    <row r="112" spans="1:15" x14ac:dyDescent="0.25">
      <c r="A112" s="103">
        <v>44642</v>
      </c>
      <c r="B112" s="104" t="s">
        <v>22</v>
      </c>
      <c r="C112" s="104">
        <v>-0.1</v>
      </c>
      <c r="D112" s="105">
        <v>0.4291666666666667</v>
      </c>
      <c r="E112" s="102"/>
      <c r="F112" s="106">
        <f>(552.555807961039/552.555807961039*569.6)+569.6</f>
        <v>1139.2</v>
      </c>
      <c r="G112" s="104" t="s">
        <v>62</v>
      </c>
      <c r="H112" s="106">
        <f>H108/L108*L112</f>
        <v>477.14920828738485</v>
      </c>
      <c r="I112" s="104"/>
      <c r="J112" s="106" t="s">
        <v>10</v>
      </c>
      <c r="K112" s="104"/>
      <c r="L112" s="106">
        <v>808.53655323749797</v>
      </c>
      <c r="M112" s="104"/>
      <c r="N112" s="106" t="s">
        <v>10</v>
      </c>
      <c r="O112" s="112">
        <f t="shared" si="1"/>
        <v>2424.885761524883</v>
      </c>
    </row>
    <row r="113" spans="1:15" x14ac:dyDescent="0.25">
      <c r="A113" s="103"/>
      <c r="B113" s="104"/>
      <c r="C113" s="104"/>
      <c r="D113" s="105"/>
      <c r="E113" s="102"/>
      <c r="F113" s="106"/>
      <c r="G113" s="104"/>
      <c r="H113" s="106"/>
      <c r="I113" s="104"/>
      <c r="J113" s="106"/>
      <c r="K113" s="104"/>
      <c r="L113" s="106"/>
      <c r="M113" s="104"/>
      <c r="N113" s="106"/>
      <c r="O113" s="112"/>
    </row>
    <row r="114" spans="1:15" x14ac:dyDescent="0.25">
      <c r="A114" s="103">
        <v>44652</v>
      </c>
      <c r="B114" s="104" t="s">
        <v>18</v>
      </c>
      <c r="C114" s="104">
        <v>0.5</v>
      </c>
      <c r="D114" s="105">
        <v>0.31666666666666665</v>
      </c>
      <c r="E114" s="102"/>
      <c r="F114" s="106">
        <f>(552.555807961039/552.555807961039*314.865792943803)+314.865792943803</f>
        <v>629.731585887606</v>
      </c>
      <c r="G114" s="104" t="s">
        <v>62</v>
      </c>
      <c r="H114" s="106">
        <f>H116/L116*L114</f>
        <v>373.21082618703912</v>
      </c>
      <c r="I114" s="104"/>
      <c r="J114" s="106" t="s">
        <v>10</v>
      </c>
      <c r="K114" s="104"/>
      <c r="L114" s="106">
        <v>493.79512840915697</v>
      </c>
      <c r="M114" s="104"/>
      <c r="N114" s="106" t="s">
        <v>10</v>
      </c>
      <c r="O114" s="112">
        <f t="shared" si="1"/>
        <v>1496.7375404838021</v>
      </c>
    </row>
    <row r="115" spans="1:15" x14ac:dyDescent="0.25">
      <c r="A115" s="103">
        <v>44653</v>
      </c>
      <c r="B115" s="104" t="s">
        <v>19</v>
      </c>
      <c r="C115" s="104">
        <v>0</v>
      </c>
      <c r="D115" s="105">
        <v>0.33819444444444446</v>
      </c>
      <c r="E115" s="102"/>
      <c r="F115" s="106">
        <f>(552.555807961039/552.555807961039*1268.8985166532)+1268.8985166532</f>
        <v>2537.7970333064</v>
      </c>
      <c r="G115" s="104"/>
      <c r="H115" s="106">
        <v>1889.07503751221</v>
      </c>
      <c r="I115" s="104"/>
      <c r="J115" s="106">
        <v>2915.3669711873999</v>
      </c>
      <c r="K115" s="104"/>
      <c r="L115" s="106" t="s">
        <v>10</v>
      </c>
      <c r="M115" s="104"/>
      <c r="N115" s="106" t="s">
        <v>10</v>
      </c>
      <c r="O115" s="112">
        <f t="shared" si="1"/>
        <v>7342.2390420060101</v>
      </c>
    </row>
    <row r="116" spans="1:15" x14ac:dyDescent="0.25">
      <c r="A116" s="103">
        <v>44654</v>
      </c>
      <c r="B116" s="104" t="s">
        <v>20</v>
      </c>
      <c r="C116" s="104">
        <v>-0.1</v>
      </c>
      <c r="D116" s="105">
        <v>0.36458333333333331</v>
      </c>
      <c r="E116" s="102" t="s">
        <v>62</v>
      </c>
      <c r="F116" s="106">
        <f>F119/H119*H116</f>
        <v>2283.2689370523508</v>
      </c>
      <c r="G116" s="104"/>
      <c r="H116" s="106">
        <v>1570.05293079231</v>
      </c>
      <c r="I116" s="104"/>
      <c r="J116" s="106" t="s">
        <v>10</v>
      </c>
      <c r="K116" s="104"/>
      <c r="L116" s="106">
        <v>2077.3365459157899</v>
      </c>
      <c r="M116" s="104"/>
      <c r="N116" s="106" t="s">
        <v>10</v>
      </c>
      <c r="O116" s="112">
        <f t="shared" si="1"/>
        <v>5930.6584137604514</v>
      </c>
    </row>
    <row r="117" spans="1:15" x14ac:dyDescent="0.25">
      <c r="A117" s="103">
        <v>44655</v>
      </c>
      <c r="B117" s="104" t="s">
        <v>21</v>
      </c>
      <c r="C117" s="104">
        <v>0</v>
      </c>
      <c r="D117" s="105">
        <v>0.39097222222222222</v>
      </c>
      <c r="E117" s="102" t="s">
        <v>76</v>
      </c>
      <c r="F117" s="106">
        <v>0</v>
      </c>
      <c r="G117" s="104" t="s">
        <v>76</v>
      </c>
      <c r="H117" s="106">
        <v>0</v>
      </c>
      <c r="I117" s="104" t="s">
        <v>76</v>
      </c>
      <c r="J117" s="106">
        <v>0</v>
      </c>
      <c r="K117" s="104"/>
      <c r="L117" s="106" t="s">
        <v>10</v>
      </c>
      <c r="M117" s="104"/>
      <c r="N117" s="106" t="s">
        <v>10</v>
      </c>
      <c r="O117" s="112">
        <f t="shared" si="1"/>
        <v>0</v>
      </c>
    </row>
    <row r="118" spans="1:15" x14ac:dyDescent="0.25">
      <c r="A118" s="103">
        <v>44656</v>
      </c>
      <c r="B118" s="104" t="s">
        <v>22</v>
      </c>
      <c r="C118" s="104">
        <v>0.2</v>
      </c>
      <c r="D118" s="105">
        <v>0.41736111111111113</v>
      </c>
      <c r="E118" s="102" t="s">
        <v>76</v>
      </c>
      <c r="F118" s="106">
        <v>0</v>
      </c>
      <c r="G118" s="104" t="s">
        <v>76</v>
      </c>
      <c r="H118" s="106">
        <v>0</v>
      </c>
      <c r="I118" s="104"/>
      <c r="J118" s="106" t="s">
        <v>10</v>
      </c>
      <c r="K118" s="104" t="s">
        <v>76</v>
      </c>
      <c r="L118" s="106">
        <v>0</v>
      </c>
      <c r="M118" s="104"/>
      <c r="N118" s="106" t="s">
        <v>10</v>
      </c>
      <c r="O118" s="112">
        <f t="shared" si="1"/>
        <v>0</v>
      </c>
    </row>
    <row r="119" spans="1:15" x14ac:dyDescent="0.25">
      <c r="A119" s="103">
        <v>44657</v>
      </c>
      <c r="B119" s="104" t="s">
        <v>23</v>
      </c>
      <c r="C119" s="104">
        <v>0.5</v>
      </c>
      <c r="D119" s="105">
        <v>0.4465277777777778</v>
      </c>
      <c r="E119" s="102"/>
      <c r="F119" s="106">
        <f>(552.555807961039/552.555807961039*931.992528787822)+931.992528787822</f>
        <v>1863.9850575756441</v>
      </c>
      <c r="G119" s="104"/>
      <c r="H119" s="106">
        <v>1281.7391570078601</v>
      </c>
      <c r="I119" s="104"/>
      <c r="J119" s="106">
        <v>1558.5975077687399</v>
      </c>
      <c r="K119" s="104"/>
      <c r="L119" s="106" t="s">
        <v>10</v>
      </c>
      <c r="M119" s="104"/>
      <c r="N119" s="106" t="s">
        <v>10</v>
      </c>
      <c r="O119" s="112">
        <f t="shared" si="1"/>
        <v>4704.3217223522443</v>
      </c>
    </row>
    <row r="120" spans="1:15" x14ac:dyDescent="0.25">
      <c r="A120" s="103"/>
      <c r="B120" s="104"/>
      <c r="C120" s="104"/>
      <c r="D120" s="105"/>
      <c r="E120" s="102"/>
      <c r="F120" s="106"/>
      <c r="G120" s="104"/>
      <c r="H120" s="106"/>
      <c r="I120" s="104"/>
      <c r="J120" s="106"/>
      <c r="K120" s="104"/>
      <c r="L120" s="106"/>
      <c r="M120" s="104"/>
      <c r="N120" s="106"/>
      <c r="O120" s="112"/>
    </row>
    <row r="121" spans="1:15" x14ac:dyDescent="0.25">
      <c r="A121" s="103">
        <v>44667</v>
      </c>
      <c r="B121" s="104" t="s">
        <v>19</v>
      </c>
      <c r="C121" s="104">
        <v>-0.2</v>
      </c>
      <c r="D121" s="105">
        <v>0.29375000000000001</v>
      </c>
      <c r="E121" s="102"/>
      <c r="F121" s="106">
        <f>(1965.57669210003/1431.52098212702*1718.74996186133)+1718.74996186133</f>
        <v>4078.7117834217515</v>
      </c>
      <c r="G121" s="104"/>
      <c r="H121" s="106">
        <v>2855.5595791564301</v>
      </c>
      <c r="I121" s="104"/>
      <c r="J121" s="106">
        <v>4141.3879431751502</v>
      </c>
      <c r="K121" s="104"/>
      <c r="L121" s="106" t="s">
        <v>10</v>
      </c>
      <c r="M121" s="104"/>
      <c r="N121" s="106" t="s">
        <v>10</v>
      </c>
      <c r="O121" s="112">
        <f t="shared" si="1"/>
        <v>11075.659305753332</v>
      </c>
    </row>
    <row r="122" spans="1:15" x14ac:dyDescent="0.25">
      <c r="A122" s="103">
        <v>44668</v>
      </c>
      <c r="B122" s="104" t="s">
        <v>20</v>
      </c>
      <c r="C122" s="104">
        <v>-0.8</v>
      </c>
      <c r="D122" s="105">
        <v>0.32291666666666669</v>
      </c>
      <c r="E122" s="102"/>
      <c r="F122" s="106">
        <f>1965.57669210003+1431.52098212702</f>
        <v>3397.09767422705</v>
      </c>
      <c r="G122" s="104" t="s">
        <v>62</v>
      </c>
      <c r="H122" s="106">
        <f>H124/L124*L122</f>
        <v>2866.9802980983523</v>
      </c>
      <c r="I122" s="104"/>
      <c r="J122" s="106" t="s">
        <v>10</v>
      </c>
      <c r="K122" s="104"/>
      <c r="L122" s="106">
        <v>4036.2070126921899</v>
      </c>
      <c r="M122" s="104"/>
      <c r="N122" s="106" t="s">
        <v>10</v>
      </c>
      <c r="O122" s="112">
        <f t="shared" si="1"/>
        <v>10300.284985017592</v>
      </c>
    </row>
    <row r="123" spans="1:15" x14ac:dyDescent="0.25">
      <c r="A123" s="103">
        <v>44669</v>
      </c>
      <c r="B123" s="104" t="s">
        <v>21</v>
      </c>
      <c r="C123" s="104">
        <v>-1.2</v>
      </c>
      <c r="D123" s="105">
        <v>0.3527777777777778</v>
      </c>
      <c r="E123" s="102" t="s">
        <v>62</v>
      </c>
      <c r="F123" s="106">
        <f>F121/J121*J123</f>
        <v>1999.3252870427543</v>
      </c>
      <c r="G123" s="104" t="s">
        <v>62</v>
      </c>
      <c r="H123" s="106">
        <f>H121/J121*J123</f>
        <v>1399.7538385698356</v>
      </c>
      <c r="I123" s="104"/>
      <c r="J123" s="106">
        <v>2030.0482303992901</v>
      </c>
      <c r="K123" s="104"/>
      <c r="L123" s="106" t="s">
        <v>10</v>
      </c>
      <c r="M123" s="104"/>
      <c r="N123" s="106" t="s">
        <v>10</v>
      </c>
      <c r="O123" s="112">
        <f t="shared" ref="O123:O136" si="2">SUM(F123:N123)</f>
        <v>5429.1273560118798</v>
      </c>
    </row>
    <row r="124" spans="1:15" x14ac:dyDescent="0.25">
      <c r="A124" s="103">
        <v>44670</v>
      </c>
      <c r="B124" s="104" t="s">
        <v>22</v>
      </c>
      <c r="C124" s="104">
        <v>-1.3</v>
      </c>
      <c r="D124" s="105">
        <v>0.38472222222222219</v>
      </c>
      <c r="E124" s="102"/>
      <c r="F124" s="106">
        <f>(1965.57669210003/1431.52098212702*1149.46968945576)+1149.46968945576</f>
        <v>2727.7705722780461</v>
      </c>
      <c r="G124" s="104"/>
      <c r="H124" s="106">
        <v>1753.624118019</v>
      </c>
      <c r="I124" s="104"/>
      <c r="J124" s="106" t="s">
        <v>10</v>
      </c>
      <c r="K124" s="104"/>
      <c r="L124" s="106">
        <v>2468.7961641973002</v>
      </c>
      <c r="M124" s="104"/>
      <c r="N124" s="106" t="s">
        <v>10</v>
      </c>
      <c r="O124" s="112">
        <f t="shared" si="2"/>
        <v>6950.1908544943453</v>
      </c>
    </row>
    <row r="125" spans="1:15" x14ac:dyDescent="0.25">
      <c r="A125" s="103">
        <v>44671</v>
      </c>
      <c r="B125" s="104" t="s">
        <v>23</v>
      </c>
      <c r="C125" s="104">
        <v>-1.2</v>
      </c>
      <c r="D125" s="105">
        <v>0.41944444444444445</v>
      </c>
      <c r="E125" s="102" t="s">
        <v>62</v>
      </c>
      <c r="F125" s="106">
        <f>F121/H121*H125</f>
        <v>2051.6165044140644</v>
      </c>
      <c r="G125" s="104"/>
      <c r="H125" s="106">
        <v>1436.36360523129</v>
      </c>
      <c r="I125" s="104"/>
      <c r="J125" s="106">
        <v>2767.3831582759099</v>
      </c>
      <c r="K125" s="104"/>
      <c r="L125" s="106" t="s">
        <v>10</v>
      </c>
      <c r="M125" s="104"/>
      <c r="N125" s="106" t="s">
        <v>10</v>
      </c>
      <c r="O125" s="112">
        <f t="shared" si="2"/>
        <v>6255.3632679212642</v>
      </c>
    </row>
    <row r="126" spans="1:15" x14ac:dyDescent="0.25">
      <c r="A126" s="103">
        <v>44672</v>
      </c>
      <c r="B126" s="104" t="s">
        <v>24</v>
      </c>
      <c r="C126" s="104">
        <v>-0.9</v>
      </c>
      <c r="D126" s="105">
        <v>0.45763888888888887</v>
      </c>
      <c r="E126" s="102" t="s">
        <v>62</v>
      </c>
      <c r="F126" s="106">
        <f>F122/L122*L126</f>
        <v>1346.2222123006165</v>
      </c>
      <c r="G126" s="104" t="s">
        <v>62</v>
      </c>
      <c r="H126" s="106">
        <f>H124/L124*L126</f>
        <v>1136.1441234999013</v>
      </c>
      <c r="I126" s="104"/>
      <c r="J126" s="106" t="s">
        <v>10</v>
      </c>
      <c r="K126" s="104"/>
      <c r="L126" s="106">
        <v>1599.4922887126199</v>
      </c>
      <c r="M126" s="104"/>
      <c r="N126" s="106" t="s">
        <v>10</v>
      </c>
      <c r="O126" s="112">
        <f t="shared" si="2"/>
        <v>4081.8586245131378</v>
      </c>
    </row>
    <row r="127" spans="1:15" x14ac:dyDescent="0.25">
      <c r="A127" s="103"/>
      <c r="B127" s="104"/>
      <c r="C127" s="104"/>
      <c r="D127" s="105"/>
      <c r="E127" s="102"/>
      <c r="F127" s="106"/>
      <c r="G127" s="104"/>
      <c r="H127" s="106"/>
      <c r="I127" s="104"/>
      <c r="J127" s="106"/>
      <c r="K127" s="104"/>
      <c r="L127" s="106"/>
      <c r="M127" s="104"/>
      <c r="N127" s="106"/>
      <c r="O127" s="112"/>
    </row>
    <row r="128" spans="1:15" x14ac:dyDescent="0.25">
      <c r="A128" s="103">
        <v>44680</v>
      </c>
      <c r="B128" s="104" t="s">
        <v>18</v>
      </c>
      <c r="C128" s="104">
        <v>-0.1</v>
      </c>
      <c r="D128" s="105">
        <v>0.27152777777777776</v>
      </c>
      <c r="E128" s="102" t="s">
        <v>62</v>
      </c>
      <c r="F128" s="106">
        <f>F130/J130*J128</f>
        <v>824.8583416619532</v>
      </c>
      <c r="G128" s="104" t="s">
        <v>62</v>
      </c>
      <c r="H128" s="106">
        <f>H136/J136*J128</f>
        <v>564.38764939554005</v>
      </c>
      <c r="I128" s="104"/>
      <c r="J128" s="106">
        <v>820.17391304347802</v>
      </c>
      <c r="K128" s="104"/>
      <c r="L128" s="106" t="s">
        <v>10</v>
      </c>
      <c r="M128" s="104"/>
      <c r="N128" s="106" t="s">
        <v>10</v>
      </c>
      <c r="O128" s="112">
        <f t="shared" si="2"/>
        <v>2209.4199041009715</v>
      </c>
    </row>
    <row r="129" spans="1:16" x14ac:dyDescent="0.25">
      <c r="A129" s="103">
        <v>44681</v>
      </c>
      <c r="B129" s="104" t="s">
        <v>19</v>
      </c>
      <c r="C129" s="104">
        <v>-0.5</v>
      </c>
      <c r="D129" s="105">
        <v>0.2986111111111111</v>
      </c>
      <c r="E129" s="102"/>
      <c r="F129" s="106">
        <f>1870.34548876802+1259.38014784092</f>
        <v>3129.72563660894</v>
      </c>
      <c r="G129" s="104"/>
      <c r="H129" s="106">
        <v>1327.7221032785401</v>
      </c>
      <c r="I129" s="104"/>
      <c r="J129" s="106" t="s">
        <v>10</v>
      </c>
      <c r="K129" s="104"/>
      <c r="L129" s="106">
        <v>1555.4242618798901</v>
      </c>
      <c r="M129" s="104"/>
      <c r="N129" s="106" t="s">
        <v>10</v>
      </c>
      <c r="O129" s="112">
        <f t="shared" si="2"/>
        <v>6012.8720017673704</v>
      </c>
    </row>
    <row r="130" spans="1:16" x14ac:dyDescent="0.25">
      <c r="A130" s="103">
        <v>44682</v>
      </c>
      <c r="B130" s="104" t="s">
        <v>20</v>
      </c>
      <c r="C130" s="104">
        <v>-0.8</v>
      </c>
      <c r="D130" s="105">
        <v>0.32430555555555557</v>
      </c>
      <c r="E130" s="102"/>
      <c r="F130" s="106">
        <f>(1870.34548876802/1259.38014784092*1632.59256375997)+1632.59256375997</f>
        <v>4057.2076745028335</v>
      </c>
      <c r="G130" s="104"/>
      <c r="H130" s="106">
        <v>1672.02711864407</v>
      </c>
      <c r="I130" s="104"/>
      <c r="J130" s="106">
        <v>4034.16650636329</v>
      </c>
      <c r="K130" s="104"/>
      <c r="L130" s="106" t="s">
        <v>10</v>
      </c>
      <c r="M130" s="104"/>
      <c r="N130" s="106" t="s">
        <v>10</v>
      </c>
      <c r="O130" s="112">
        <f t="shared" si="2"/>
        <v>9763.401299510193</v>
      </c>
    </row>
    <row r="131" spans="1:16" x14ac:dyDescent="0.25">
      <c r="A131" s="103">
        <v>44683</v>
      </c>
      <c r="B131" s="104" t="s">
        <v>21</v>
      </c>
      <c r="C131" s="104">
        <v>-0.8</v>
      </c>
      <c r="D131" s="105">
        <v>0.34861111111111115</v>
      </c>
      <c r="E131" s="102" t="s">
        <v>62</v>
      </c>
      <c r="F131" s="106">
        <f>F133/L133*L131</f>
        <v>939.13839348743568</v>
      </c>
      <c r="G131" s="104"/>
      <c r="H131" s="106">
        <v>816</v>
      </c>
      <c r="I131" s="104"/>
      <c r="J131" s="106" t="s">
        <v>10</v>
      </c>
      <c r="K131" s="104"/>
      <c r="L131" s="106">
        <v>818.28700452123303</v>
      </c>
      <c r="M131" s="104"/>
      <c r="N131" s="106" t="s">
        <v>10</v>
      </c>
      <c r="O131" s="112">
        <f t="shared" si="2"/>
        <v>2573.4253980086687</v>
      </c>
    </row>
    <row r="132" spans="1:16" x14ac:dyDescent="0.25">
      <c r="A132" s="103">
        <v>44684</v>
      </c>
      <c r="B132" s="104" t="s">
        <v>22</v>
      </c>
      <c r="C132" s="104">
        <v>-0.7</v>
      </c>
      <c r="D132" s="105">
        <v>0.37291666666666662</v>
      </c>
      <c r="E132" s="102" t="s">
        <v>62</v>
      </c>
      <c r="F132" s="106">
        <f>F130/J130*J132</f>
        <v>2339.9553454269576</v>
      </c>
      <c r="G132" s="104" t="s">
        <v>62</v>
      </c>
      <c r="H132" s="106">
        <f>H136/J136*J132</f>
        <v>1601.0529692106577</v>
      </c>
      <c r="I132" s="104"/>
      <c r="J132" s="106">
        <v>2326.66657421324</v>
      </c>
      <c r="K132" s="104"/>
      <c r="L132" s="106" t="s">
        <v>10</v>
      </c>
      <c r="M132" s="104"/>
      <c r="N132" s="106" t="s">
        <v>10</v>
      </c>
      <c r="O132" s="112">
        <f t="shared" si="2"/>
        <v>6267.6748888508555</v>
      </c>
    </row>
    <row r="133" spans="1:16" x14ac:dyDescent="0.25">
      <c r="A133" s="103">
        <v>44685</v>
      </c>
      <c r="B133" s="104" t="s">
        <v>23</v>
      </c>
      <c r="C133" s="104">
        <v>-0.4</v>
      </c>
      <c r="D133" s="105">
        <v>0.39861111111111108</v>
      </c>
      <c r="E133" s="102"/>
      <c r="F133" s="106">
        <f>(1870.34548876802/1259.38014784092*969.6)+969.6</f>
        <v>2409.5837801306557</v>
      </c>
      <c r="G133" s="104" t="s">
        <v>62</v>
      </c>
      <c r="H133" s="106">
        <f>H129/L129*L133</f>
        <v>1792.1584569285633</v>
      </c>
      <c r="I133" s="104"/>
      <c r="J133" s="106" t="s">
        <v>10</v>
      </c>
      <c r="K133" s="104"/>
      <c r="L133" s="106">
        <v>2099.5106868798698</v>
      </c>
      <c r="M133" s="104"/>
      <c r="N133" s="106" t="s">
        <v>10</v>
      </c>
      <c r="O133" s="112">
        <f t="shared" si="2"/>
        <v>6301.2529239390897</v>
      </c>
    </row>
    <row r="134" spans="1:16" x14ac:dyDescent="0.25">
      <c r="A134" s="103">
        <v>44686</v>
      </c>
      <c r="B134" s="104" t="s">
        <v>24</v>
      </c>
      <c r="C134" s="104">
        <v>-0.1</v>
      </c>
      <c r="D134" s="105">
        <v>0.42569444444444443</v>
      </c>
      <c r="E134" s="102" t="s">
        <v>62</v>
      </c>
      <c r="F134" s="106">
        <f>F130/J130*J134</f>
        <v>1215.0067757209847</v>
      </c>
      <c r="G134" s="104" t="s">
        <v>62</v>
      </c>
      <c r="H134" s="106">
        <f>H136/J136*J134</f>
        <v>831.33646532224952</v>
      </c>
      <c r="I134" s="104"/>
      <c r="J134" s="106">
        <v>1208.10666666667</v>
      </c>
      <c r="K134" s="104"/>
      <c r="L134" s="106" t="s">
        <v>10</v>
      </c>
      <c r="M134" s="104"/>
      <c r="N134" s="106" t="s">
        <v>10</v>
      </c>
      <c r="O134" s="112">
        <f t="shared" si="2"/>
        <v>3254.4499077099044</v>
      </c>
    </row>
    <row r="135" spans="1:16" x14ac:dyDescent="0.25">
      <c r="A135" s="103">
        <v>44687</v>
      </c>
      <c r="B135" s="104" t="s">
        <v>18</v>
      </c>
      <c r="C135" s="104">
        <v>0.2</v>
      </c>
      <c r="D135" s="105">
        <v>0.45624999999999999</v>
      </c>
      <c r="E135" s="102" t="s">
        <v>62</v>
      </c>
      <c r="F135" s="106">
        <f>F129/L129*L135</f>
        <v>1881.1876828376146</v>
      </c>
      <c r="G135" s="104" t="s">
        <v>62</v>
      </c>
      <c r="H135" s="106">
        <f>H131/L131*L135</f>
        <v>932.30761770054517</v>
      </c>
      <c r="I135" s="104"/>
      <c r="J135" s="106" t="s">
        <v>10</v>
      </c>
      <c r="K135" s="104"/>
      <c r="L135" s="106">
        <v>934.92059777022803</v>
      </c>
      <c r="M135" s="104"/>
      <c r="N135" s="106" t="s">
        <v>10</v>
      </c>
      <c r="O135" s="112">
        <f t="shared" si="2"/>
        <v>3748.415898308388</v>
      </c>
    </row>
    <row r="136" spans="1:16" x14ac:dyDescent="0.25">
      <c r="A136" s="103">
        <v>44688</v>
      </c>
      <c r="B136" s="104" t="s">
        <v>19</v>
      </c>
      <c r="C136" s="104">
        <v>0.5</v>
      </c>
      <c r="D136" s="105">
        <v>0.4916666666666667</v>
      </c>
      <c r="E136" s="102" t="s">
        <v>62</v>
      </c>
      <c r="F136" s="106">
        <f>F130/J130*J136</f>
        <v>4410.3950905524807</v>
      </c>
      <c r="G136" s="104"/>
      <c r="H136" s="106">
        <v>3017.69696969697</v>
      </c>
      <c r="I136" s="104"/>
      <c r="J136" s="106">
        <v>4385.3481462015998</v>
      </c>
      <c r="K136" s="104"/>
      <c r="L136" s="106" t="s">
        <v>10</v>
      </c>
      <c r="M136" s="104"/>
      <c r="N136" s="106" t="s">
        <v>10</v>
      </c>
      <c r="O136" s="112">
        <f t="shared" si="2"/>
        <v>11813.44020645105</v>
      </c>
    </row>
    <row r="137" spans="1:16" x14ac:dyDescent="0.25">
      <c r="A137" s="103"/>
      <c r="B137" s="104"/>
      <c r="C137" s="104"/>
      <c r="D137" s="105"/>
      <c r="E137" s="102"/>
      <c r="F137" s="106"/>
      <c r="G137" s="104"/>
      <c r="H137" s="106"/>
      <c r="I137" s="104"/>
      <c r="J137" s="106"/>
      <c r="K137" s="104"/>
      <c r="L137" s="106"/>
      <c r="M137" s="104"/>
      <c r="N137" s="106"/>
      <c r="O137" s="14"/>
    </row>
    <row r="138" spans="1:16" x14ac:dyDescent="0.25">
      <c r="A138" s="31" t="s">
        <v>25</v>
      </c>
      <c r="C138" s="20"/>
      <c r="D138" s="20"/>
      <c r="E138" s="8"/>
      <c r="F138" s="14">
        <f>SUM(F2:F137)</f>
        <v>189383.68962063623</v>
      </c>
      <c r="G138" s="16"/>
      <c r="H138" s="14">
        <f>SUM(H2:H137)</f>
        <v>123715.15358287375</v>
      </c>
      <c r="I138" s="16"/>
      <c r="J138" s="14">
        <f>SUM(J2:J137)</f>
        <v>96380.323897872571</v>
      </c>
      <c r="K138" s="16"/>
      <c r="L138" s="14">
        <f>SUM(L2:L137)</f>
        <v>74908.370853627872</v>
      </c>
      <c r="M138" s="16"/>
      <c r="N138" s="107">
        <f>SUM(N2:N38)</f>
        <v>0</v>
      </c>
      <c r="O138" s="14">
        <f>SUM(O2:O137)</f>
        <v>484387.53795501054</v>
      </c>
      <c r="P138" s="34">
        <f>SUM(F138,H138,J138,L138,N138)</f>
        <v>484387.53795501043</v>
      </c>
    </row>
    <row r="139" spans="1:16" x14ac:dyDescent="0.25">
      <c r="A139" s="32" t="s">
        <v>16</v>
      </c>
      <c r="C139" s="20"/>
      <c r="D139" s="20"/>
      <c r="E139" s="8"/>
    </row>
    <row r="140" spans="1:16" x14ac:dyDescent="0.25">
      <c r="A140" s="19" t="s">
        <v>17</v>
      </c>
      <c r="C140" s="20"/>
      <c r="D140" s="20"/>
      <c r="E140" s="8"/>
    </row>
    <row r="141" spans="1:16" x14ac:dyDescent="0.25">
      <c r="A141" t="s">
        <v>26</v>
      </c>
      <c r="C141" s="20"/>
      <c r="D141" s="20"/>
      <c r="E141" s="8"/>
    </row>
    <row r="168" spans="1:14" x14ac:dyDescent="0.25">
      <c r="A168" s="2"/>
      <c r="B168" s="9"/>
      <c r="C168" s="5"/>
      <c r="D168" s="6"/>
      <c r="E168" s="8"/>
      <c r="F168" s="95"/>
      <c r="G168" s="8"/>
      <c r="H168" s="95"/>
      <c r="J168" s="95"/>
      <c r="L168" s="95"/>
      <c r="N168" s="3"/>
    </row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37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44"/>
  <sheetViews>
    <sheetView workbookViewId="0">
      <selection activeCell="Q3" sqref="Q3"/>
    </sheetView>
  </sheetViews>
  <sheetFormatPr defaultRowHeight="15" x14ac:dyDescent="0.25"/>
  <cols>
    <col min="1" max="1" width="20.7109375" customWidth="1"/>
    <col min="5" max="5" width="3.5703125" customWidth="1"/>
    <col min="6" max="6" width="15" style="5" customWidth="1"/>
    <col min="7" max="7" width="4" customWidth="1"/>
    <col min="8" max="8" width="13.85546875" style="35" customWidth="1"/>
    <col min="9" max="9" width="3.28515625" customWidth="1"/>
    <col min="10" max="10" width="14.28515625" style="35" customWidth="1"/>
    <col min="11" max="11" width="3.28515625" customWidth="1"/>
    <col min="12" max="12" width="15.42578125" style="35" customWidth="1"/>
    <col min="13" max="13" width="3.42578125" customWidth="1"/>
    <col min="14" max="14" width="16" customWidth="1"/>
    <col min="15" max="15" width="13.85546875" style="35" customWidth="1"/>
  </cols>
  <sheetData>
    <row r="1" spans="1:17" x14ac:dyDescent="0.25">
      <c r="A1" s="26" t="s">
        <v>0</v>
      </c>
      <c r="B1" s="1" t="s">
        <v>1</v>
      </c>
      <c r="C1" s="1" t="s">
        <v>2</v>
      </c>
      <c r="D1" s="22" t="s">
        <v>3</v>
      </c>
      <c r="E1" s="147" t="s">
        <v>4</v>
      </c>
      <c r="F1" s="147"/>
      <c r="G1" s="147" t="s">
        <v>5</v>
      </c>
      <c r="H1" s="147"/>
      <c r="I1" s="147" t="s">
        <v>6</v>
      </c>
      <c r="J1" s="147"/>
      <c r="K1" s="147" t="s">
        <v>7</v>
      </c>
      <c r="L1" s="147"/>
      <c r="M1" s="147" t="s">
        <v>8</v>
      </c>
      <c r="N1" s="147"/>
      <c r="O1" s="72" t="s">
        <v>9</v>
      </c>
    </row>
    <row r="2" spans="1:17" x14ac:dyDescent="0.25">
      <c r="A2" s="103">
        <v>44456</v>
      </c>
      <c r="B2" s="104" t="s">
        <v>18</v>
      </c>
      <c r="C2" s="104">
        <v>-0.4</v>
      </c>
      <c r="D2" s="105">
        <v>0.1875</v>
      </c>
      <c r="E2" s="104" t="s">
        <v>62</v>
      </c>
      <c r="F2" s="108">
        <v>20</v>
      </c>
      <c r="G2" s="104" t="s">
        <v>62</v>
      </c>
      <c r="H2" s="108">
        <v>20</v>
      </c>
      <c r="I2" s="104"/>
      <c r="J2" s="108" t="s">
        <v>10</v>
      </c>
      <c r="K2" s="104"/>
      <c r="L2" s="108">
        <f>+Harvest!L2/Effort!L2</f>
        <v>19.777777777777775</v>
      </c>
      <c r="M2" s="104"/>
      <c r="N2" s="104" t="s">
        <v>10</v>
      </c>
      <c r="O2" s="108">
        <f>+Harvest!O2/Effort!O2</f>
        <v>19.923875212408763</v>
      </c>
      <c r="Q2" s="34">
        <f>AVERAGE(O2:O28)</f>
        <v>16.257000688885746</v>
      </c>
    </row>
    <row r="3" spans="1:17" x14ac:dyDescent="0.25">
      <c r="A3" s="103">
        <v>44457</v>
      </c>
      <c r="B3" s="104" t="s">
        <v>19</v>
      </c>
      <c r="C3" s="104">
        <v>-0.5</v>
      </c>
      <c r="D3" s="105">
        <v>0.22361111111111109</v>
      </c>
      <c r="E3" s="104"/>
      <c r="F3" s="108">
        <v>19</v>
      </c>
      <c r="G3" s="104" t="s">
        <v>62</v>
      </c>
      <c r="H3" s="108">
        <v>20</v>
      </c>
      <c r="I3" s="104"/>
      <c r="J3" s="108">
        <f>+Harvest!J3/Effort!J3</f>
        <v>19.666666666666714</v>
      </c>
      <c r="K3" s="104"/>
      <c r="L3" s="108" t="s">
        <v>10</v>
      </c>
      <c r="M3" s="104"/>
      <c r="N3" s="104" t="s">
        <v>10</v>
      </c>
      <c r="O3" s="108">
        <f>+Harvest!O3/Effort!O3</f>
        <v>19.514930793342106</v>
      </c>
    </row>
    <row r="4" spans="1:17" x14ac:dyDescent="0.25">
      <c r="A4" s="103">
        <v>44458</v>
      </c>
      <c r="B4" s="104" t="s">
        <v>20</v>
      </c>
      <c r="C4" s="104">
        <v>-0.6</v>
      </c>
      <c r="D4" s="105">
        <v>0.25416666666666665</v>
      </c>
      <c r="E4" s="104" t="s">
        <v>62</v>
      </c>
      <c r="F4" s="108">
        <v>20</v>
      </c>
      <c r="G4" s="104"/>
      <c r="H4" s="108">
        <f>+Harvest!H4/Effort!H4</f>
        <v>18.88059701492536</v>
      </c>
      <c r="I4" s="104"/>
      <c r="J4" s="108" t="s">
        <v>10</v>
      </c>
      <c r="K4" s="104"/>
      <c r="L4" s="108">
        <f>+Harvest!L4/Effort!L4</f>
        <v>16.175000000000026</v>
      </c>
      <c r="M4" s="104"/>
      <c r="N4" s="104" t="s">
        <v>10</v>
      </c>
      <c r="O4" s="108">
        <f>+Harvest!O4/Effort!O4</f>
        <v>18.443966311852815</v>
      </c>
    </row>
    <row r="5" spans="1:17" x14ac:dyDescent="0.25">
      <c r="A5" s="103">
        <v>44459</v>
      </c>
      <c r="B5" s="104" t="s">
        <v>21</v>
      </c>
      <c r="C5" s="104">
        <v>-0.5</v>
      </c>
      <c r="D5" s="105">
        <v>0.28125</v>
      </c>
      <c r="E5" s="104" t="s">
        <v>62</v>
      </c>
      <c r="F5" s="108">
        <v>20</v>
      </c>
      <c r="G5" s="104"/>
      <c r="H5" s="108">
        <f>+Harvest!H5/Effort!H5</f>
        <v>19.629629629629587</v>
      </c>
      <c r="I5" s="104"/>
      <c r="J5" s="108">
        <f>+Harvest!J5/Effort!J5</f>
        <v>19.99999999999995</v>
      </c>
      <c r="K5" s="104"/>
      <c r="L5" s="108" t="s">
        <v>10</v>
      </c>
      <c r="M5" s="104"/>
      <c r="N5" s="104" t="s">
        <v>10</v>
      </c>
      <c r="O5" s="108">
        <f>+Harvest!O5/Effort!O5</f>
        <v>19.899995714150482</v>
      </c>
    </row>
    <row r="6" spans="1:17" x14ac:dyDescent="0.25">
      <c r="A6" s="103">
        <v>44460</v>
      </c>
      <c r="B6" s="104" t="s">
        <v>22</v>
      </c>
      <c r="C6" s="104">
        <v>-0.2</v>
      </c>
      <c r="D6" s="105">
        <v>0.30624999999999997</v>
      </c>
      <c r="E6" s="104"/>
      <c r="F6" s="108">
        <f>+Harvest!F6/Effort!F6</f>
        <v>20.000000000000032</v>
      </c>
      <c r="G6" s="104"/>
      <c r="H6" s="108">
        <f>+Harvest!H6/Effort!H6</f>
        <v>19.000000000000025</v>
      </c>
      <c r="I6" s="104"/>
      <c r="J6" s="108" t="s">
        <v>10</v>
      </c>
      <c r="K6" s="104"/>
      <c r="L6" s="108">
        <f>+Harvest!L6/Effort!L6</f>
        <v>19.999999999999954</v>
      </c>
      <c r="M6" s="104"/>
      <c r="N6" s="104" t="s">
        <v>10</v>
      </c>
      <c r="O6" s="108">
        <f>+Harvest!O6/Effort!O6</f>
        <v>19.786055236280905</v>
      </c>
    </row>
    <row r="7" spans="1:17" x14ac:dyDescent="0.25">
      <c r="A7" s="103">
        <v>44461</v>
      </c>
      <c r="B7" s="104" t="s">
        <v>23</v>
      </c>
      <c r="C7" s="104">
        <v>0.3</v>
      </c>
      <c r="D7" s="105">
        <v>0.32916666666666666</v>
      </c>
      <c r="E7" s="104"/>
      <c r="F7" s="108">
        <v>19.4375</v>
      </c>
      <c r="G7" s="104"/>
      <c r="H7" s="108">
        <f>+Harvest!H7/Effort!H7</f>
        <v>19.029411764705898</v>
      </c>
      <c r="I7" s="104"/>
      <c r="J7" s="108">
        <f>+Harvest!J7/Effort!J7</f>
        <v>17.764705882352963</v>
      </c>
      <c r="K7" s="104"/>
      <c r="L7" s="108" t="s">
        <v>10</v>
      </c>
      <c r="M7" s="104"/>
      <c r="N7" s="104" t="s">
        <v>10</v>
      </c>
      <c r="O7" s="108">
        <f>+Harvest!O7/Effort!O7</f>
        <v>18.687015573121187</v>
      </c>
    </row>
    <row r="8" spans="1:17" x14ac:dyDescent="0.25">
      <c r="A8" s="103">
        <v>44462</v>
      </c>
      <c r="B8" s="104" t="s">
        <v>24</v>
      </c>
      <c r="C8" s="104">
        <v>0.3</v>
      </c>
      <c r="D8" s="105">
        <v>0.87361111111111101</v>
      </c>
      <c r="E8" s="102" t="s">
        <v>62</v>
      </c>
      <c r="F8" s="108">
        <v>18.5</v>
      </c>
      <c r="G8" s="102"/>
      <c r="H8" s="108">
        <f>+Harvest!H8/Effort!H8</f>
        <v>18.399999999999988</v>
      </c>
      <c r="I8" s="102"/>
      <c r="J8" s="108" t="s">
        <v>10</v>
      </c>
      <c r="K8" s="102"/>
      <c r="L8" s="108">
        <f>+Harvest!L8/Effort!L8</f>
        <v>16.710526315789501</v>
      </c>
      <c r="M8" s="102"/>
      <c r="N8" s="104" t="s">
        <v>10</v>
      </c>
      <c r="O8" s="108">
        <f>+Harvest!O8/Effort!O8</f>
        <v>17.955431367093635</v>
      </c>
    </row>
    <row r="9" spans="1:17" x14ac:dyDescent="0.25">
      <c r="A9" s="103">
        <v>44463</v>
      </c>
      <c r="B9" s="104" t="s">
        <v>18</v>
      </c>
      <c r="C9" s="104">
        <v>0.4</v>
      </c>
      <c r="D9" s="105">
        <v>0.9</v>
      </c>
      <c r="E9" s="102" t="s">
        <v>62</v>
      </c>
      <c r="F9" s="108">
        <v>18.5</v>
      </c>
      <c r="G9" s="104" t="s">
        <v>62</v>
      </c>
      <c r="H9" s="108">
        <v>18.5</v>
      </c>
      <c r="I9" s="104"/>
      <c r="J9" s="108">
        <f>+Harvest!J9/Effort!J9</f>
        <v>18.42857142857142</v>
      </c>
      <c r="K9" s="104"/>
      <c r="L9" s="108" t="s">
        <v>10</v>
      </c>
      <c r="M9" s="104"/>
      <c r="N9" s="106" t="s">
        <v>10</v>
      </c>
      <c r="O9" s="108">
        <f>+Harvest!O9/Effort!O9</f>
        <v>18.473788441832774</v>
      </c>
    </row>
    <row r="10" spans="1:17" x14ac:dyDescent="0.25">
      <c r="A10" s="103">
        <v>44464</v>
      </c>
      <c r="B10" s="104" t="s">
        <v>19</v>
      </c>
      <c r="C10" s="104">
        <v>0.5</v>
      </c>
      <c r="D10" s="105">
        <v>0.92708333333333337</v>
      </c>
      <c r="E10" s="102"/>
      <c r="F10" s="108">
        <v>18.899999999999999</v>
      </c>
      <c r="G10" s="104"/>
      <c r="H10" s="108">
        <f>+Harvest!H10/Effort!H10</f>
        <v>16.508196721311503</v>
      </c>
      <c r="I10" s="104"/>
      <c r="J10" s="108">
        <f>+Harvest!J10/Effort!J10</f>
        <v>20</v>
      </c>
      <c r="K10" s="104"/>
      <c r="L10" s="108">
        <f>+Harvest!L10/Effort!L10</f>
        <v>16.8333333333334</v>
      </c>
      <c r="M10" s="104"/>
      <c r="N10" s="106" t="s">
        <v>10</v>
      </c>
      <c r="O10" s="108">
        <f>+Harvest!O10/Effort!O10</f>
        <v>18.036766384696477</v>
      </c>
    </row>
    <row r="11" spans="1:17" x14ac:dyDescent="0.25">
      <c r="A11" s="103"/>
      <c r="B11" s="104"/>
      <c r="C11" s="104"/>
      <c r="D11" s="105"/>
      <c r="E11" s="102"/>
      <c r="F11" s="108"/>
      <c r="G11" s="104"/>
      <c r="H11" s="106"/>
      <c r="I11" s="104"/>
      <c r="J11" s="106"/>
      <c r="K11" s="104"/>
      <c r="L11" s="106"/>
      <c r="M11" s="104"/>
      <c r="N11" s="104"/>
      <c r="O11" s="108"/>
    </row>
    <row r="12" spans="1:17" x14ac:dyDescent="0.25">
      <c r="A12" s="103">
        <v>44472</v>
      </c>
      <c r="B12" s="104" t="s">
        <v>20</v>
      </c>
      <c r="C12" s="104">
        <v>0.2</v>
      </c>
      <c r="D12" s="105">
        <v>0.20277777777777781</v>
      </c>
      <c r="E12" s="102" t="s">
        <v>62</v>
      </c>
      <c r="F12" s="108">
        <v>14</v>
      </c>
      <c r="G12" s="104" t="s">
        <v>62</v>
      </c>
      <c r="H12" s="108">
        <v>14</v>
      </c>
      <c r="I12" s="104"/>
      <c r="J12" s="108">
        <f>+Harvest!J12/Effort!J12</f>
        <v>14.12820512820509</v>
      </c>
      <c r="K12" s="104"/>
      <c r="L12" s="106" t="s">
        <v>10</v>
      </c>
      <c r="M12" s="104"/>
      <c r="N12" s="106" t="s">
        <v>10</v>
      </c>
      <c r="O12" s="108">
        <f>+Harvest!O12/Effort!O12</f>
        <v>14.038502069577049</v>
      </c>
    </row>
    <row r="13" spans="1:17" x14ac:dyDescent="0.25">
      <c r="A13" s="103">
        <v>44473</v>
      </c>
      <c r="B13" s="104" t="s">
        <v>21</v>
      </c>
      <c r="C13" s="104">
        <v>0</v>
      </c>
      <c r="D13" s="105">
        <v>0.23124999999999998</v>
      </c>
      <c r="E13" s="102" t="s">
        <v>62</v>
      </c>
      <c r="F13" s="108">
        <v>13</v>
      </c>
      <c r="G13" s="104" t="s">
        <v>62</v>
      </c>
      <c r="H13" s="108">
        <v>13</v>
      </c>
      <c r="I13" s="104"/>
      <c r="J13" s="106" t="s">
        <v>10</v>
      </c>
      <c r="K13" s="104"/>
      <c r="L13" s="108">
        <f>+Harvest!L13/Effort!L13</f>
        <v>12.904761904761886</v>
      </c>
      <c r="M13" s="104"/>
      <c r="N13" s="106" t="s">
        <v>10</v>
      </c>
      <c r="O13" s="108">
        <f>+Harvest!O13/Effort!O13</f>
        <v>12.96951861092866</v>
      </c>
    </row>
    <row r="14" spans="1:17" x14ac:dyDescent="0.25">
      <c r="A14" s="103">
        <v>44474</v>
      </c>
      <c r="B14" s="104" t="s">
        <v>22</v>
      </c>
      <c r="C14" s="104">
        <v>-0.1</v>
      </c>
      <c r="D14" s="105">
        <v>0.25833333333333336</v>
      </c>
      <c r="E14" s="102"/>
      <c r="F14" s="108">
        <v>9.6999999999999993</v>
      </c>
      <c r="G14" s="104"/>
      <c r="H14" s="108">
        <f>+Harvest!H14/Effort!H14</f>
        <v>15.117647058823525</v>
      </c>
      <c r="I14" s="104"/>
      <c r="J14" s="108">
        <f>+Harvest!J14/Effort!J14</f>
        <v>13.000000000000005</v>
      </c>
      <c r="K14" s="104"/>
      <c r="L14" s="106" t="s">
        <v>10</v>
      </c>
      <c r="M14" s="104"/>
      <c r="N14" s="106" t="s">
        <v>10</v>
      </c>
      <c r="O14" s="108">
        <f>+Harvest!O14/Effort!O14</f>
        <v>12.276202255023563</v>
      </c>
    </row>
    <row r="15" spans="1:17" x14ac:dyDescent="0.25">
      <c r="A15" s="103">
        <v>44475</v>
      </c>
      <c r="B15" s="104" t="s">
        <v>23</v>
      </c>
      <c r="C15" s="104">
        <v>-0.3</v>
      </c>
      <c r="D15" s="105">
        <v>0.80555555555555547</v>
      </c>
      <c r="E15" s="102" t="s">
        <v>62</v>
      </c>
      <c r="F15" s="108">
        <v>19</v>
      </c>
      <c r="G15" s="104"/>
      <c r="H15" s="108">
        <f>+Harvest!H15/Effort!H15</f>
        <v>18.108108108108109</v>
      </c>
      <c r="I15" s="104"/>
      <c r="J15" s="106" t="s">
        <v>10</v>
      </c>
      <c r="K15" s="104"/>
      <c r="L15" s="108">
        <f>+Harvest!L15/Effort!L15</f>
        <v>19.705882352941192</v>
      </c>
      <c r="M15" s="104"/>
      <c r="N15" s="106" t="s">
        <v>10</v>
      </c>
      <c r="O15" s="108">
        <f>+Harvest!O15/Effort!O15</f>
        <v>18.998641717229312</v>
      </c>
    </row>
    <row r="16" spans="1:17" x14ac:dyDescent="0.25">
      <c r="A16" s="103">
        <v>44476</v>
      </c>
      <c r="B16" s="104" t="s">
        <v>24</v>
      </c>
      <c r="C16" s="104">
        <v>-0.8</v>
      </c>
      <c r="D16" s="105">
        <v>0.83611111111111114</v>
      </c>
      <c r="E16" s="102"/>
      <c r="F16" s="108">
        <v>20</v>
      </c>
      <c r="G16" s="104"/>
      <c r="H16" s="108">
        <f>+Harvest!H16/Effort!H16</f>
        <v>19.729729729729748</v>
      </c>
      <c r="I16" s="104"/>
      <c r="J16" s="108">
        <f>+Harvest!J16/Effort!J16</f>
        <v>19.999999999999996</v>
      </c>
      <c r="K16" s="104"/>
      <c r="L16" s="106" t="s">
        <v>10</v>
      </c>
      <c r="M16" s="104"/>
      <c r="N16" s="106" t="s">
        <v>10</v>
      </c>
      <c r="O16" s="108">
        <f>+Harvest!O16/Effort!O16</f>
        <v>19.915530284777613</v>
      </c>
    </row>
    <row r="17" spans="1:15" x14ac:dyDescent="0.25">
      <c r="A17" s="103">
        <v>44477</v>
      </c>
      <c r="B17" s="104" t="s">
        <v>18</v>
      </c>
      <c r="C17" s="104">
        <v>-1.1000000000000001</v>
      </c>
      <c r="D17" s="105">
        <v>0.86805555555555547</v>
      </c>
      <c r="E17" s="102"/>
      <c r="F17" s="108">
        <f>+Harvest!F17/Effort!F17</f>
        <v>19.600337552742623</v>
      </c>
      <c r="G17" s="104"/>
      <c r="H17" s="108">
        <f>+Harvest!H17/Effort!H17</f>
        <v>19.805555555555543</v>
      </c>
      <c r="I17" s="104"/>
      <c r="J17" s="106" t="s">
        <v>10</v>
      </c>
      <c r="K17" s="104"/>
      <c r="L17" s="108">
        <f>+Harvest!L17/Effort!L17</f>
        <v>18.822580645161302</v>
      </c>
      <c r="M17" s="104"/>
      <c r="N17" s="106" t="s">
        <v>10</v>
      </c>
      <c r="O17" s="108">
        <f>+Harvest!O17/Effort!O17</f>
        <v>19.410122433829095</v>
      </c>
    </row>
    <row r="18" spans="1:15" x14ac:dyDescent="0.25">
      <c r="A18" s="103">
        <v>44478</v>
      </c>
      <c r="B18" s="104" t="s">
        <v>19</v>
      </c>
      <c r="C18" s="104">
        <v>-1.1000000000000001</v>
      </c>
      <c r="D18" s="105">
        <v>0.90138888888888891</v>
      </c>
      <c r="E18" s="102"/>
      <c r="F18" s="108">
        <v>15.4</v>
      </c>
      <c r="G18" s="104" t="s">
        <v>62</v>
      </c>
      <c r="H18" s="108">
        <v>15</v>
      </c>
      <c r="I18" s="104"/>
      <c r="J18" s="108">
        <f>+Harvest!J18/Effort!J18</f>
        <v>13.579999999999998</v>
      </c>
      <c r="K18" s="104"/>
      <c r="L18" s="106" t="s">
        <v>10</v>
      </c>
      <c r="M18" s="104"/>
      <c r="N18" s="106" t="s">
        <v>10</v>
      </c>
      <c r="O18" s="108">
        <f>+Harvest!O18/Effort!O18</f>
        <v>14.638969416000373</v>
      </c>
    </row>
    <row r="19" spans="1:15" x14ac:dyDescent="0.25">
      <c r="A19" s="103">
        <v>44479</v>
      </c>
      <c r="B19" s="104" t="s">
        <v>20</v>
      </c>
      <c r="C19" s="104">
        <v>-0.8</v>
      </c>
      <c r="D19" s="105">
        <v>0.93888888888888899</v>
      </c>
      <c r="E19" s="102"/>
      <c r="F19" s="108">
        <v>20</v>
      </c>
      <c r="G19" s="104"/>
      <c r="H19" s="108">
        <f>+Harvest!H19/Effort!H19</f>
        <v>19.736842105263172</v>
      </c>
      <c r="I19" s="104"/>
      <c r="J19" s="106" t="s">
        <v>10</v>
      </c>
      <c r="K19" s="104"/>
      <c r="L19" s="108">
        <f>+Harvest!L19/Effort!L19</f>
        <v>19.250000000000007</v>
      </c>
      <c r="M19" s="104"/>
      <c r="N19" s="106" t="s">
        <v>10</v>
      </c>
      <c r="O19" s="108">
        <f>+Harvest!O19/Effort!O19</f>
        <v>19.610066172201087</v>
      </c>
    </row>
    <row r="20" spans="1:15" x14ac:dyDescent="0.25">
      <c r="A20" s="103">
        <v>44480</v>
      </c>
      <c r="B20" s="104" t="s">
        <v>21</v>
      </c>
      <c r="C20" s="104">
        <v>-0.4</v>
      </c>
      <c r="D20" s="105">
        <v>0.98055555555555562</v>
      </c>
      <c r="E20" s="102" t="s">
        <v>62</v>
      </c>
      <c r="F20" s="108">
        <v>20</v>
      </c>
      <c r="G20" s="104" t="s">
        <v>62</v>
      </c>
      <c r="H20" s="108">
        <v>20</v>
      </c>
      <c r="I20" s="104"/>
      <c r="J20" s="108">
        <f>+Harvest!J20/Effort!J20</f>
        <v>19.999999999999979</v>
      </c>
      <c r="K20" s="104"/>
      <c r="L20" s="106" t="s">
        <v>10</v>
      </c>
      <c r="M20" s="104"/>
      <c r="N20" s="106" t="s">
        <v>10</v>
      </c>
      <c r="O20" s="108">
        <f>+Harvest!O20/Effort!O20</f>
        <v>19.999999999999996</v>
      </c>
    </row>
    <row r="21" spans="1:15" x14ac:dyDescent="0.25">
      <c r="A21" s="103"/>
      <c r="B21" s="104"/>
      <c r="C21" s="104"/>
      <c r="D21" s="105"/>
      <c r="E21" s="102"/>
      <c r="F21" s="108"/>
      <c r="G21" s="104"/>
      <c r="H21" s="106"/>
      <c r="I21" s="104"/>
      <c r="J21" s="106"/>
      <c r="K21" s="104"/>
      <c r="L21" s="106"/>
      <c r="M21" s="104"/>
      <c r="N21" s="106"/>
      <c r="O21" s="108"/>
    </row>
    <row r="22" spans="1:15" x14ac:dyDescent="0.25">
      <c r="A22" s="103">
        <v>44488</v>
      </c>
      <c r="B22" s="104" t="s">
        <v>22</v>
      </c>
      <c r="C22" s="104">
        <v>0.3</v>
      </c>
      <c r="D22" s="105">
        <v>0.78263888888888899</v>
      </c>
      <c r="E22" s="102"/>
      <c r="F22" s="108">
        <f>+Harvest!F22/Effort!F22</f>
        <v>16.911021298937335</v>
      </c>
      <c r="G22" s="104"/>
      <c r="H22" s="108">
        <f>+Harvest!H22/Effort!H22</f>
        <v>17.692307692307651</v>
      </c>
      <c r="I22" s="104"/>
      <c r="J22" s="108">
        <f>+Harvest!J22/Effort!J22</f>
        <v>12.685714285714248</v>
      </c>
      <c r="K22" s="104"/>
      <c r="L22" s="106" t="s">
        <v>10</v>
      </c>
      <c r="M22" s="104"/>
      <c r="N22" s="106" t="s">
        <v>10</v>
      </c>
      <c r="O22" s="108">
        <f>+Harvest!O22/Effort!O22</f>
        <v>15.775634207228146</v>
      </c>
    </row>
    <row r="23" spans="1:15" x14ac:dyDescent="0.25">
      <c r="A23" s="103">
        <v>44489</v>
      </c>
      <c r="B23" s="104" t="s">
        <v>23</v>
      </c>
      <c r="C23" s="104">
        <v>0</v>
      </c>
      <c r="D23" s="105">
        <v>0.80763888888888891</v>
      </c>
      <c r="E23" s="102" t="s">
        <v>62</v>
      </c>
      <c r="F23" s="108">
        <v>18</v>
      </c>
      <c r="G23" s="104"/>
      <c r="H23" s="108">
        <f>+Harvest!H23/Effort!H23</f>
        <v>14.588235294117634</v>
      </c>
      <c r="I23" s="104"/>
      <c r="J23" s="106" t="s">
        <v>10</v>
      </c>
      <c r="K23" s="104"/>
      <c r="L23" s="108">
        <f>+Harvest!L23/Effort!L23</f>
        <v>17.89473684210531</v>
      </c>
      <c r="M23" s="104"/>
      <c r="N23" s="106" t="s">
        <v>10</v>
      </c>
      <c r="O23" s="108">
        <f>+Harvest!O23/Effort!O23</f>
        <v>16.654565149881122</v>
      </c>
    </row>
    <row r="24" spans="1:15" x14ac:dyDescent="0.25">
      <c r="A24" s="103">
        <v>44490</v>
      </c>
      <c r="B24" s="104" t="s">
        <v>24</v>
      </c>
      <c r="C24" s="104">
        <v>-0.1</v>
      </c>
      <c r="D24" s="105">
        <v>0.83194444444444438</v>
      </c>
      <c r="E24" s="102" t="s">
        <v>62</v>
      </c>
      <c r="F24" s="108">
        <v>14</v>
      </c>
      <c r="G24" s="104"/>
      <c r="H24" s="108">
        <f>+Harvest!H24/Effort!H24</f>
        <v>11.320000000000007</v>
      </c>
      <c r="I24" s="104"/>
      <c r="J24" s="108">
        <f>+Harvest!J24/Effort!J24</f>
        <v>14.189189189189195</v>
      </c>
      <c r="K24" s="104"/>
      <c r="L24" s="106" t="s">
        <v>10</v>
      </c>
      <c r="M24" s="104"/>
      <c r="N24" s="106" t="s">
        <v>10</v>
      </c>
      <c r="O24" s="108">
        <f>+Harvest!O24/Effort!O24</f>
        <v>13.468029757310877</v>
      </c>
    </row>
    <row r="25" spans="1:15" x14ac:dyDescent="0.25">
      <c r="A25" s="103">
        <v>44491</v>
      </c>
      <c r="B25" s="104" t="s">
        <v>18</v>
      </c>
      <c r="C25" s="104">
        <v>-0.1</v>
      </c>
      <c r="D25" s="105">
        <v>0.85555555555555562</v>
      </c>
      <c r="E25" s="102"/>
      <c r="F25" s="108">
        <v>8.8000000000000007</v>
      </c>
      <c r="G25" s="104"/>
      <c r="H25" s="108">
        <f>+Harvest!H25/Effort!H25</f>
        <v>8.0181818181818194</v>
      </c>
      <c r="I25" s="104"/>
      <c r="J25" s="106" t="s">
        <v>10</v>
      </c>
      <c r="K25" s="104"/>
      <c r="L25" s="108">
        <f>+Harvest!L25/Effort!L25</f>
        <v>11.742857142857147</v>
      </c>
      <c r="M25" s="104"/>
      <c r="N25" s="106" t="s">
        <v>10</v>
      </c>
      <c r="O25" s="108">
        <f>+Harvest!O25/Effort!O25</f>
        <v>9.7286087282275027</v>
      </c>
    </row>
    <row r="26" spans="1:15" x14ac:dyDescent="0.25">
      <c r="A26" s="103">
        <v>44492</v>
      </c>
      <c r="B26" s="104" t="s">
        <v>19</v>
      </c>
      <c r="C26" s="104">
        <v>0</v>
      </c>
      <c r="D26" s="105">
        <v>0.87986111111111109</v>
      </c>
      <c r="E26" s="102"/>
      <c r="F26" s="108">
        <v>16</v>
      </c>
      <c r="G26" s="104"/>
      <c r="H26" s="108">
        <f>+Harvest!H26/Effort!H26</f>
        <v>16.291666666666579</v>
      </c>
      <c r="I26" s="104"/>
      <c r="J26" s="108">
        <f>+Harvest!J26/Effort!J26</f>
        <v>15.851851851851883</v>
      </c>
      <c r="K26" s="104"/>
      <c r="L26" s="106" t="s">
        <v>10</v>
      </c>
      <c r="M26" s="104"/>
      <c r="N26" s="106" t="s">
        <v>10</v>
      </c>
      <c r="O26" s="108">
        <f>+Harvest!O26/Effort!O26</f>
        <v>16.02007302209034</v>
      </c>
    </row>
    <row r="27" spans="1:15" x14ac:dyDescent="0.25">
      <c r="A27" s="103">
        <v>44493</v>
      </c>
      <c r="B27" s="104" t="s">
        <v>20</v>
      </c>
      <c r="C27" s="104">
        <v>0.2</v>
      </c>
      <c r="D27" s="105">
        <v>0.90486111111111101</v>
      </c>
      <c r="E27" s="102" t="s">
        <v>62</v>
      </c>
      <c r="F27" s="108">
        <v>0</v>
      </c>
      <c r="G27" s="104" t="s">
        <v>62</v>
      </c>
      <c r="H27" s="108">
        <v>0</v>
      </c>
      <c r="I27" s="104"/>
      <c r="J27" s="106" t="s">
        <v>10</v>
      </c>
      <c r="K27" s="104"/>
      <c r="L27" s="108">
        <v>0</v>
      </c>
      <c r="M27" s="104"/>
      <c r="N27" s="106" t="s">
        <v>10</v>
      </c>
      <c r="O27" s="108">
        <v>0</v>
      </c>
    </row>
    <row r="28" spans="1:15" x14ac:dyDescent="0.25">
      <c r="A28" s="103">
        <v>44494</v>
      </c>
      <c r="B28" s="104" t="s">
        <v>21</v>
      </c>
      <c r="C28" s="104">
        <v>0.5</v>
      </c>
      <c r="D28" s="105">
        <v>0.93402777777777779</v>
      </c>
      <c r="E28" s="102" t="s">
        <v>62</v>
      </c>
      <c r="F28" s="108">
        <v>8</v>
      </c>
      <c r="G28" s="104" t="s">
        <v>62</v>
      </c>
      <c r="H28" s="108">
        <v>8</v>
      </c>
      <c r="I28" s="104"/>
      <c r="J28" s="108">
        <v>11</v>
      </c>
      <c r="K28" s="104"/>
      <c r="L28" s="106" t="s">
        <v>10</v>
      </c>
      <c r="M28" s="104"/>
      <c r="N28" s="106" t="s">
        <v>10</v>
      </c>
      <c r="O28" s="108">
        <f>+Harvest!O28/Effort!O28</f>
        <v>12.198728363059718</v>
      </c>
    </row>
    <row r="29" spans="1:15" x14ac:dyDescent="0.25">
      <c r="A29" s="103"/>
      <c r="B29" s="104"/>
      <c r="C29" s="104"/>
      <c r="D29" s="105"/>
      <c r="E29" s="102"/>
      <c r="F29" s="108"/>
      <c r="G29" s="104"/>
      <c r="H29" s="106"/>
      <c r="I29" s="104"/>
      <c r="J29" s="106"/>
      <c r="K29" s="104"/>
      <c r="L29" s="106"/>
      <c r="M29" s="104"/>
      <c r="N29" s="106"/>
      <c r="O29" s="108"/>
    </row>
    <row r="30" spans="1:15" x14ac:dyDescent="0.25">
      <c r="A30" s="103">
        <v>44503</v>
      </c>
      <c r="B30" s="104" t="s">
        <v>23</v>
      </c>
      <c r="C30" s="104">
        <v>-0.3</v>
      </c>
      <c r="D30" s="105">
        <v>0.76111111111111107</v>
      </c>
      <c r="E30" s="102"/>
      <c r="F30" s="108">
        <f>+Harvest!F30/Effort!F30</f>
        <v>18.083346483544386</v>
      </c>
      <c r="G30" s="104" t="s">
        <v>62</v>
      </c>
      <c r="H30" s="108">
        <v>19</v>
      </c>
      <c r="I30" s="104"/>
      <c r="J30" s="106" t="s">
        <v>10</v>
      </c>
      <c r="K30" s="104"/>
      <c r="L30" s="108">
        <f>+Harvest!L30/Effort!L30</f>
        <v>19.782608695652218</v>
      </c>
      <c r="M30" s="104"/>
      <c r="N30" s="106" t="s">
        <v>10</v>
      </c>
      <c r="O30" s="108">
        <f>+Harvest!O30/Effort!O30</f>
        <v>18.762314137045777</v>
      </c>
    </row>
    <row r="31" spans="1:15" x14ac:dyDescent="0.25">
      <c r="A31" s="103">
        <v>44504</v>
      </c>
      <c r="B31" s="104" t="s">
        <v>24</v>
      </c>
      <c r="C31" s="104">
        <v>-1.1000000000000001</v>
      </c>
      <c r="D31" s="105">
        <v>0.79236111111111107</v>
      </c>
      <c r="E31" s="102" t="s">
        <v>62</v>
      </c>
      <c r="F31" s="108">
        <v>18</v>
      </c>
      <c r="G31" s="104"/>
      <c r="H31" s="108">
        <f>+Harvest!H31/Effort!H31</f>
        <v>17.955555555555531</v>
      </c>
      <c r="I31" s="104"/>
      <c r="J31" s="108">
        <f>+Harvest!J31/Effort!J31</f>
        <v>17.866666666666621</v>
      </c>
      <c r="K31" s="104"/>
      <c r="L31" s="106" t="s">
        <v>10</v>
      </c>
      <c r="M31" s="104"/>
      <c r="N31" s="106" t="s">
        <v>10</v>
      </c>
      <c r="O31" s="108">
        <f>+Harvest!O31/Effort!O31</f>
        <v>17.938246592729602</v>
      </c>
    </row>
    <row r="32" spans="1:15" x14ac:dyDescent="0.25">
      <c r="A32" s="103">
        <v>44505</v>
      </c>
      <c r="B32" s="104" t="s">
        <v>18</v>
      </c>
      <c r="C32" s="104">
        <v>-1.6</v>
      </c>
      <c r="D32" s="105">
        <v>0.82361111111111107</v>
      </c>
      <c r="E32" s="102"/>
      <c r="F32" s="108">
        <v>18.100000000000001</v>
      </c>
      <c r="G32" s="104"/>
      <c r="H32" s="108">
        <f>+Harvest!H32/Effort!H32</f>
        <v>19.342857142857188</v>
      </c>
      <c r="I32" s="104"/>
      <c r="J32" s="106" t="s">
        <v>10</v>
      </c>
      <c r="K32" s="104"/>
      <c r="L32" s="108">
        <f>+Harvest!L32/Effort!L32</f>
        <v>16.288461538461529</v>
      </c>
      <c r="M32" s="104"/>
      <c r="N32" s="106" t="s">
        <v>10</v>
      </c>
      <c r="O32" s="108">
        <f>+Harvest!O32/Effort!O32</f>
        <v>17.77132811414991</v>
      </c>
    </row>
    <row r="33" spans="1:15" x14ac:dyDescent="0.25">
      <c r="A33" s="103">
        <v>44506</v>
      </c>
      <c r="B33" s="104" t="s">
        <v>19</v>
      </c>
      <c r="C33" s="104">
        <v>-1.8</v>
      </c>
      <c r="D33" s="105">
        <v>0.85625000000000007</v>
      </c>
      <c r="E33" s="102"/>
      <c r="F33" s="108">
        <v>19.2</v>
      </c>
      <c r="G33" s="104"/>
      <c r="H33" s="108">
        <f>+Harvest!H33/Effort!H33</f>
        <v>18.428571428571441</v>
      </c>
      <c r="I33" s="104"/>
      <c r="J33" s="108">
        <f>+Harvest!J33/Effort!J33</f>
        <v>16.999999999999989</v>
      </c>
      <c r="K33" s="104"/>
      <c r="L33" s="106" t="s">
        <v>10</v>
      </c>
      <c r="M33" s="104"/>
      <c r="N33" s="106" t="s">
        <v>10</v>
      </c>
      <c r="O33" s="108">
        <f>+Harvest!O33/Effort!O33</f>
        <v>18.184973646739493</v>
      </c>
    </row>
    <row r="34" spans="1:15" x14ac:dyDescent="0.25">
      <c r="A34" s="103">
        <v>44507</v>
      </c>
      <c r="B34" s="104" t="s">
        <v>20</v>
      </c>
      <c r="C34" s="104">
        <v>-1.6</v>
      </c>
      <c r="D34" s="105">
        <v>0.84930555555555554</v>
      </c>
      <c r="E34" s="102" t="s">
        <v>62</v>
      </c>
      <c r="F34" s="108">
        <v>18</v>
      </c>
      <c r="G34" s="104"/>
      <c r="H34" s="108">
        <f>+Harvest!H34/Effort!H34</f>
        <v>18.296296296296319</v>
      </c>
      <c r="I34" s="104"/>
      <c r="J34" s="106" t="s">
        <v>10</v>
      </c>
      <c r="K34" s="104"/>
      <c r="L34" s="108">
        <f>+Harvest!L34/Effort!L34</f>
        <v>17.216216216216193</v>
      </c>
      <c r="M34" s="104"/>
      <c r="N34" s="106" t="s">
        <v>10</v>
      </c>
      <c r="O34" s="108">
        <f>+Harvest!O34/Effort!O34</f>
        <v>17.852414590729051</v>
      </c>
    </row>
    <row r="35" spans="1:15" x14ac:dyDescent="0.25">
      <c r="A35" s="103">
        <v>44508</v>
      </c>
      <c r="B35" s="104" t="s">
        <v>21</v>
      </c>
      <c r="C35" s="104">
        <v>-1.2</v>
      </c>
      <c r="D35" s="105">
        <v>0.88611111111111107</v>
      </c>
      <c r="E35" s="102"/>
      <c r="F35" s="108">
        <v>19</v>
      </c>
      <c r="G35" s="104"/>
      <c r="H35" s="108">
        <f>+Harvest!H35/Effort!H35</f>
        <v>20.000000000000036</v>
      </c>
      <c r="I35" s="104"/>
      <c r="J35" s="108">
        <f>+Harvest!J35/Effort!J35</f>
        <v>19.535714285714281</v>
      </c>
      <c r="K35" s="104"/>
      <c r="L35" s="106" t="s">
        <v>10</v>
      </c>
      <c r="M35" s="104"/>
      <c r="N35" s="106" t="s">
        <v>10</v>
      </c>
      <c r="O35" s="108">
        <f>+Harvest!O35/Effort!O35</f>
        <v>19.531250602556021</v>
      </c>
    </row>
    <row r="36" spans="1:15" x14ac:dyDescent="0.25">
      <c r="A36" s="103">
        <v>44509</v>
      </c>
      <c r="B36" s="104" t="s">
        <v>22</v>
      </c>
      <c r="C36" s="104">
        <v>-0.6</v>
      </c>
      <c r="D36" s="105">
        <v>0.92569444444444438</v>
      </c>
      <c r="E36" s="102" t="s">
        <v>62</v>
      </c>
      <c r="F36" s="108">
        <v>15</v>
      </c>
      <c r="G36" s="104" t="s">
        <v>62</v>
      </c>
      <c r="H36" s="108">
        <v>15</v>
      </c>
      <c r="I36" s="104"/>
      <c r="J36" s="106" t="s">
        <v>10</v>
      </c>
      <c r="K36" s="104"/>
      <c r="L36" s="108">
        <v>15</v>
      </c>
      <c r="M36" s="104"/>
      <c r="N36" s="106" t="s">
        <v>10</v>
      </c>
      <c r="O36" s="108">
        <f>+Harvest!O36/Effort!O36</f>
        <v>14.999999999999998</v>
      </c>
    </row>
    <row r="37" spans="1:15" x14ac:dyDescent="0.25">
      <c r="A37" s="103">
        <v>44510</v>
      </c>
      <c r="B37" s="104" t="s">
        <v>23</v>
      </c>
      <c r="C37" s="104">
        <v>0</v>
      </c>
      <c r="D37" s="105">
        <v>0.96944444444444444</v>
      </c>
      <c r="E37" s="102" t="s">
        <v>62</v>
      </c>
      <c r="F37" s="108">
        <v>13</v>
      </c>
      <c r="G37" s="104"/>
      <c r="H37" s="108">
        <v>13</v>
      </c>
      <c r="I37" s="104"/>
      <c r="J37" s="108">
        <f>+Harvest!J37/Effort!J37</f>
        <v>13.052631578947382</v>
      </c>
      <c r="K37" s="104"/>
      <c r="L37" s="106" t="s">
        <v>10</v>
      </c>
      <c r="M37" s="104"/>
      <c r="N37" s="106" t="s">
        <v>10</v>
      </c>
      <c r="O37" s="108">
        <f>+Harvest!O37/Effort!O37</f>
        <v>13.023021170938604</v>
      </c>
    </row>
    <row r="38" spans="1:15" x14ac:dyDescent="0.25">
      <c r="A38" s="103"/>
      <c r="B38" s="104"/>
      <c r="C38" s="104"/>
      <c r="D38" s="105"/>
      <c r="E38" s="102"/>
      <c r="F38" s="108"/>
      <c r="G38" s="104"/>
      <c r="H38" s="106"/>
      <c r="I38" s="104"/>
      <c r="J38" s="108"/>
      <c r="K38" s="104"/>
      <c r="L38" s="106"/>
      <c r="M38" s="104"/>
      <c r="N38" s="106"/>
      <c r="O38" s="108"/>
    </row>
    <row r="39" spans="1:15" x14ac:dyDescent="0.25">
      <c r="A39" s="103">
        <v>44516</v>
      </c>
      <c r="B39" s="104" t="s">
        <v>22</v>
      </c>
      <c r="C39" s="104">
        <v>0.5</v>
      </c>
      <c r="D39" s="105">
        <v>0.70138888888888884</v>
      </c>
      <c r="E39" s="102" t="s">
        <v>62</v>
      </c>
      <c r="F39" s="108">
        <v>19.5</v>
      </c>
      <c r="G39" s="104"/>
      <c r="H39" s="108">
        <f>+Harvest!H39/Effort!H39</f>
        <v>19.242424242424217</v>
      </c>
      <c r="I39" s="104"/>
      <c r="J39" s="108">
        <f>+Harvest!J39/Effort!J39</f>
        <v>19.651162790697672</v>
      </c>
      <c r="K39" s="104"/>
      <c r="L39" s="106" t="s">
        <v>10</v>
      </c>
      <c r="M39" s="104"/>
      <c r="N39" s="106" t="s">
        <v>10</v>
      </c>
      <c r="O39" s="108">
        <f>+Harvest!O39/Effort!O39</f>
        <v>19.473878693649933</v>
      </c>
    </row>
    <row r="40" spans="1:15" x14ac:dyDescent="0.25">
      <c r="A40" s="103">
        <v>44517</v>
      </c>
      <c r="B40" s="104" t="s">
        <v>23</v>
      </c>
      <c r="C40" s="104">
        <v>0.1</v>
      </c>
      <c r="D40" s="105">
        <v>0.72777777777777775</v>
      </c>
      <c r="E40" s="102"/>
      <c r="F40" s="108">
        <f>+Harvest!F40/Effort!F40</f>
        <v>19.593709158883538</v>
      </c>
      <c r="G40" s="104" t="s">
        <v>62</v>
      </c>
      <c r="H40" s="108">
        <v>19.5</v>
      </c>
      <c r="I40" s="104"/>
      <c r="J40" s="106" t="s">
        <v>10</v>
      </c>
      <c r="K40" s="104"/>
      <c r="L40" s="108">
        <f>+Harvest!L40/Effort!L40</f>
        <v>19.454545454545421</v>
      </c>
      <c r="M40" s="104"/>
      <c r="N40" s="106" t="s">
        <v>10</v>
      </c>
      <c r="O40" s="108">
        <f>+Harvest!O40/Effort!O40</f>
        <v>19.523745777852504</v>
      </c>
    </row>
    <row r="41" spans="1:15" x14ac:dyDescent="0.25">
      <c r="A41" s="103">
        <v>44518</v>
      </c>
      <c r="B41" s="104" t="s">
        <v>24</v>
      </c>
      <c r="C41" s="104">
        <v>-0.2</v>
      </c>
      <c r="D41" s="105">
        <v>0.75208333333333333</v>
      </c>
      <c r="E41" s="102" t="s">
        <v>62</v>
      </c>
      <c r="F41" s="108">
        <v>19.5</v>
      </c>
      <c r="G41" s="104" t="s">
        <v>62</v>
      </c>
      <c r="H41" s="108">
        <v>19.5</v>
      </c>
      <c r="I41" s="104"/>
      <c r="J41" s="108">
        <f>+Harvest!J41/Effort!J41</f>
        <v>19.749999999999954</v>
      </c>
      <c r="K41" s="104"/>
      <c r="L41" s="106" t="s">
        <v>10</v>
      </c>
      <c r="M41" s="104"/>
      <c r="N41" s="106" t="s">
        <v>10</v>
      </c>
      <c r="O41" s="108">
        <f>+Harvest!O41/Effort!O41</f>
        <v>19.608719497324383</v>
      </c>
    </row>
    <row r="42" spans="1:15" x14ac:dyDescent="0.25">
      <c r="A42" s="103">
        <v>44519</v>
      </c>
      <c r="B42" s="104" t="s">
        <v>18</v>
      </c>
      <c r="C42" s="104">
        <v>-0.3</v>
      </c>
      <c r="D42" s="105">
        <v>0.77569444444444446</v>
      </c>
      <c r="E42" s="102"/>
      <c r="F42" s="108">
        <v>18</v>
      </c>
      <c r="G42" s="104"/>
      <c r="H42" s="108">
        <f>+Harvest!H42/Effort!H42</f>
        <v>17.500000000000025</v>
      </c>
      <c r="I42" s="104"/>
      <c r="J42" s="106" t="s">
        <v>10</v>
      </c>
      <c r="K42" s="104"/>
      <c r="L42" s="108">
        <f>+Harvest!L42/Effort!L42</f>
        <v>14.500000000000085</v>
      </c>
      <c r="M42" s="104"/>
      <c r="N42" s="106" t="s">
        <v>10</v>
      </c>
      <c r="O42" s="108">
        <f>+Harvest!O42/Effort!O42</f>
        <v>16.647591221985905</v>
      </c>
    </row>
    <row r="43" spans="1:15" x14ac:dyDescent="0.25">
      <c r="A43" s="103">
        <v>44520</v>
      </c>
      <c r="B43" s="104" t="s">
        <v>19</v>
      </c>
      <c r="C43" s="104">
        <v>-0.3</v>
      </c>
      <c r="D43" s="105">
        <v>0.79861111111111116</v>
      </c>
      <c r="E43" s="102"/>
      <c r="F43" s="108">
        <f>+Harvest!F43/Effort!F43</f>
        <v>19.791910961673221</v>
      </c>
      <c r="G43" s="104"/>
      <c r="H43" s="108">
        <f>+Harvest!H43/Effort!H43</f>
        <v>19.777777777777718</v>
      </c>
      <c r="I43" s="104"/>
      <c r="J43" s="108">
        <f>+Harvest!J43/Effort!J43</f>
        <v>18.457142857142873</v>
      </c>
      <c r="K43" s="104"/>
      <c r="L43" s="106" t="s">
        <v>10</v>
      </c>
      <c r="M43" s="104"/>
      <c r="N43" s="106" t="s">
        <v>10</v>
      </c>
      <c r="O43" s="108">
        <f>+Harvest!O43/Effort!O43</f>
        <v>19.20782073724062</v>
      </c>
    </row>
    <row r="44" spans="1:15" x14ac:dyDescent="0.25">
      <c r="A44" s="103">
        <v>44521</v>
      </c>
      <c r="B44" s="104" t="s">
        <v>20</v>
      </c>
      <c r="C44" s="104">
        <v>-0.2</v>
      </c>
      <c r="D44" s="105">
        <v>0.8222222222222223</v>
      </c>
      <c r="E44" s="102"/>
      <c r="F44" s="108">
        <v>19</v>
      </c>
      <c r="G44" s="104"/>
      <c r="H44" s="108">
        <f>+Harvest!H44/Effort!H44</f>
        <v>18.441176470588232</v>
      </c>
      <c r="I44" s="104"/>
      <c r="J44" s="106" t="s">
        <v>10</v>
      </c>
      <c r="K44" s="104"/>
      <c r="L44" s="108">
        <f>+Harvest!L44/Effort!L44</f>
        <v>18.300000000000036</v>
      </c>
      <c r="M44" s="104"/>
      <c r="N44" s="106" t="s">
        <v>10</v>
      </c>
      <c r="O44" s="108">
        <f>+Harvest!O44/Effort!O44</f>
        <v>18.517157753012878</v>
      </c>
    </row>
    <row r="45" spans="1:15" x14ac:dyDescent="0.25">
      <c r="A45" s="103">
        <v>44522</v>
      </c>
      <c r="B45" s="104" t="s">
        <v>21</v>
      </c>
      <c r="C45" s="104">
        <v>0</v>
      </c>
      <c r="D45" s="105">
        <v>0.84791666666666676</v>
      </c>
      <c r="E45" s="102" t="s">
        <v>62</v>
      </c>
      <c r="F45" s="108">
        <v>15</v>
      </c>
      <c r="G45" s="104" t="s">
        <v>62</v>
      </c>
      <c r="H45" s="108">
        <v>15</v>
      </c>
      <c r="I45" s="104"/>
      <c r="J45" s="108">
        <f>+Harvest!J45/Effort!J45</f>
        <v>15.071428571428596</v>
      </c>
      <c r="K45" s="104"/>
      <c r="L45" s="106" t="s">
        <v>10</v>
      </c>
      <c r="M45" s="104"/>
      <c r="N45" s="106" t="s">
        <v>10</v>
      </c>
      <c r="O45" s="108">
        <f>+Harvest!O45/Effort!O45</f>
        <v>15.031062713521267</v>
      </c>
    </row>
    <row r="46" spans="1:15" x14ac:dyDescent="0.25">
      <c r="A46" s="103">
        <v>44523</v>
      </c>
      <c r="B46" s="104" t="s">
        <v>22</v>
      </c>
      <c r="C46" s="104">
        <v>0.2</v>
      </c>
      <c r="D46" s="105">
        <v>0.875</v>
      </c>
      <c r="E46" s="102" t="s">
        <v>62</v>
      </c>
      <c r="F46" s="108">
        <v>16</v>
      </c>
      <c r="G46" s="104" t="s">
        <v>62</v>
      </c>
      <c r="H46" s="108">
        <v>16</v>
      </c>
      <c r="I46" s="104"/>
      <c r="J46" s="106" t="s">
        <v>10</v>
      </c>
      <c r="K46" s="104"/>
      <c r="L46" s="108">
        <f>+Harvest!L46/Effort!L46</f>
        <v>15.928571428571427</v>
      </c>
      <c r="M46" s="104"/>
      <c r="N46" s="106" t="s">
        <v>10</v>
      </c>
      <c r="O46" s="108">
        <f>+Harvest!O46/Effort!O46</f>
        <v>15.975165329862778</v>
      </c>
    </row>
    <row r="47" spans="1:15" x14ac:dyDescent="0.25">
      <c r="A47" s="103">
        <v>44524</v>
      </c>
      <c r="B47" s="104" t="s">
        <v>23</v>
      </c>
      <c r="C47" s="104">
        <v>0.5</v>
      </c>
      <c r="D47" s="105">
        <v>0.90486111111111101</v>
      </c>
      <c r="E47" s="102" t="s">
        <v>62</v>
      </c>
      <c r="F47" s="108">
        <v>15</v>
      </c>
      <c r="G47" s="104"/>
      <c r="H47" s="108">
        <f>+Harvest!H47/Effort!H47</f>
        <v>14.142857142857164</v>
      </c>
      <c r="I47" s="104" t="s">
        <v>62</v>
      </c>
      <c r="J47" s="108">
        <v>15</v>
      </c>
      <c r="K47" s="104"/>
      <c r="L47" s="106" t="s">
        <v>10</v>
      </c>
      <c r="M47" s="104"/>
      <c r="N47" s="106" t="s">
        <v>10</v>
      </c>
      <c r="O47" s="108">
        <f>+Harvest!O47/Effort!O47</f>
        <v>14.779912803631802</v>
      </c>
    </row>
    <row r="48" spans="1:15" x14ac:dyDescent="0.25">
      <c r="A48" s="103"/>
      <c r="B48" s="104"/>
      <c r="C48" s="104"/>
      <c r="D48" s="105"/>
      <c r="E48" s="102"/>
      <c r="F48" s="106"/>
      <c r="G48" s="104"/>
      <c r="H48" s="106"/>
      <c r="I48" s="104"/>
      <c r="J48" s="106"/>
      <c r="K48" s="104"/>
      <c r="L48" s="106"/>
      <c r="M48" s="104"/>
      <c r="N48" s="106"/>
      <c r="O48" s="108"/>
    </row>
    <row r="49" spans="1:15" x14ac:dyDescent="0.25">
      <c r="A49" s="103">
        <v>44531</v>
      </c>
      <c r="B49" s="104" t="s">
        <v>23</v>
      </c>
      <c r="C49" s="104">
        <v>0.1</v>
      </c>
      <c r="D49" s="105">
        <v>0.67291666666666661</v>
      </c>
      <c r="E49" s="102" t="s">
        <v>62</v>
      </c>
      <c r="F49" s="108">
        <v>19</v>
      </c>
      <c r="G49" s="104"/>
      <c r="H49" s="108">
        <f>+Harvest!H49/Effort!H49</f>
        <v>18.953488372093066</v>
      </c>
      <c r="I49" s="104"/>
      <c r="J49" s="108">
        <f>+Harvest!J49/Effort!J49</f>
        <v>19.305555555555571</v>
      </c>
      <c r="K49" s="104"/>
      <c r="L49" s="108" t="s">
        <v>10</v>
      </c>
      <c r="M49" s="104"/>
      <c r="N49" s="106" t="s">
        <v>10</v>
      </c>
      <c r="O49" s="108">
        <f>+Harvest!O49/Effort!O49</f>
        <v>19.096041515225373</v>
      </c>
    </row>
    <row r="50" spans="1:15" x14ac:dyDescent="0.25">
      <c r="A50" s="103">
        <v>44532</v>
      </c>
      <c r="B50" s="104" t="s">
        <v>24</v>
      </c>
      <c r="C50" s="104">
        <v>-0.8</v>
      </c>
      <c r="D50" s="105">
        <v>0.70694444444444438</v>
      </c>
      <c r="E50" s="102"/>
      <c r="F50" s="108">
        <f>+Harvest!F50/Effort!F50</f>
        <v>20.000000000000025</v>
      </c>
      <c r="G50" s="104" t="s">
        <v>62</v>
      </c>
      <c r="H50" s="108">
        <v>19.5</v>
      </c>
      <c r="I50" s="104"/>
      <c r="J50" s="108" t="s">
        <v>10</v>
      </c>
      <c r="K50" s="104"/>
      <c r="L50" s="108">
        <f>+Harvest!L50/Effort!L50</f>
        <v>19.702380952380963</v>
      </c>
      <c r="M50" s="104"/>
      <c r="N50" s="106" t="s">
        <v>10</v>
      </c>
      <c r="O50" s="108">
        <f>+Harvest!O50/Effort!O50</f>
        <v>19.794665163657637</v>
      </c>
    </row>
    <row r="51" spans="1:15" x14ac:dyDescent="0.25">
      <c r="A51" s="103">
        <v>44533</v>
      </c>
      <c r="B51" s="104" t="s">
        <v>18</v>
      </c>
      <c r="C51" s="104">
        <v>-1.5</v>
      </c>
      <c r="D51" s="105">
        <v>0.73958333333333337</v>
      </c>
      <c r="E51" s="102"/>
      <c r="F51" s="108">
        <v>19</v>
      </c>
      <c r="G51" s="104"/>
      <c r="H51" s="108">
        <f>+Harvest!H51/Effort!H51</f>
        <v>19.013888888888864</v>
      </c>
      <c r="I51" s="104"/>
      <c r="J51" s="108">
        <f>+Harvest!J51/Effort!J51</f>
        <v>19.705882352941149</v>
      </c>
      <c r="K51" s="104"/>
      <c r="L51" s="108" t="s">
        <v>10</v>
      </c>
      <c r="M51" s="104"/>
      <c r="N51" s="106" t="s">
        <v>10</v>
      </c>
      <c r="O51" s="108">
        <f>+Harvest!O51/Effort!O51</f>
        <v>19.263275784075045</v>
      </c>
    </row>
    <row r="52" spans="1:15" x14ac:dyDescent="0.25">
      <c r="A52" s="103">
        <v>44534</v>
      </c>
      <c r="B52" s="104" t="s">
        <v>19</v>
      </c>
      <c r="C52" s="104">
        <v>-1.9</v>
      </c>
      <c r="D52" s="105">
        <v>0.77222222222222225</v>
      </c>
      <c r="E52" s="102"/>
      <c r="F52" s="108">
        <v>19</v>
      </c>
      <c r="G52" s="104"/>
      <c r="H52" s="108">
        <f>+Harvest!H52/Effort!H52</f>
        <v>18.256097560975601</v>
      </c>
      <c r="I52" s="104"/>
      <c r="J52" s="108" t="s">
        <v>10</v>
      </c>
      <c r="K52" s="104"/>
      <c r="L52" s="108">
        <f>+Harvest!L52/Effort!L52</f>
        <v>19.111111111111125</v>
      </c>
      <c r="M52" s="104"/>
      <c r="N52" s="106" t="s">
        <v>10</v>
      </c>
      <c r="O52" s="108">
        <f>+Harvest!O52/Effort!O52</f>
        <v>18.843078754534126</v>
      </c>
    </row>
    <row r="53" spans="1:15" x14ac:dyDescent="0.25">
      <c r="A53" s="103">
        <v>44535</v>
      </c>
      <c r="B53" s="104" t="s">
        <v>20</v>
      </c>
      <c r="C53" s="104">
        <v>-2</v>
      </c>
      <c r="D53" s="105">
        <v>0.80555555555555547</v>
      </c>
      <c r="E53" s="102"/>
      <c r="F53" s="108">
        <v>19</v>
      </c>
      <c r="G53" s="104"/>
      <c r="H53" s="108">
        <f>+Harvest!H53/Effort!H53</f>
        <v>19.094339622641588</v>
      </c>
      <c r="I53" s="104"/>
      <c r="J53" s="108">
        <f>+Harvest!J53/Effort!J53</f>
        <v>19.357142857142904</v>
      </c>
      <c r="K53" s="104"/>
      <c r="L53" s="108" t="s">
        <v>10</v>
      </c>
      <c r="M53" s="104"/>
      <c r="N53" s="106" t="s">
        <v>10</v>
      </c>
      <c r="O53" s="108">
        <f>+Harvest!O53/Effort!O53</f>
        <v>19.182011587395682</v>
      </c>
    </row>
    <row r="54" spans="1:15" x14ac:dyDescent="0.25">
      <c r="A54" s="103">
        <v>44536</v>
      </c>
      <c r="B54" s="104" t="s">
        <v>21</v>
      </c>
      <c r="C54" s="104">
        <v>-1.7</v>
      </c>
      <c r="D54" s="105">
        <v>0.83958333333333324</v>
      </c>
      <c r="E54" s="102" t="s">
        <v>62</v>
      </c>
      <c r="F54" s="108">
        <v>19.5</v>
      </c>
      <c r="G54" s="104"/>
      <c r="H54" s="108">
        <f>+Harvest!H54/Effort!H54</f>
        <v>19.454545454545457</v>
      </c>
      <c r="I54" s="104"/>
      <c r="J54" s="108" t="s">
        <v>10</v>
      </c>
      <c r="K54" s="104"/>
      <c r="L54" s="108">
        <f>+Harvest!L54/Effort!L54</f>
        <v>19.555555555555539</v>
      </c>
      <c r="M54" s="104"/>
      <c r="N54" s="106" t="s">
        <v>10</v>
      </c>
      <c r="O54" s="108">
        <f>+Harvest!O54/Effort!O54</f>
        <v>19.504749776179125</v>
      </c>
    </row>
    <row r="55" spans="1:15" x14ac:dyDescent="0.25">
      <c r="A55" s="103">
        <v>44537</v>
      </c>
      <c r="B55" s="104" t="s">
        <v>22</v>
      </c>
      <c r="C55" s="104">
        <v>-1.2</v>
      </c>
      <c r="D55" s="105">
        <v>0.87430555555555556</v>
      </c>
      <c r="E55" s="102" t="s">
        <v>62</v>
      </c>
      <c r="F55" s="108">
        <v>19.5</v>
      </c>
      <c r="G55" s="104" t="s">
        <v>62</v>
      </c>
      <c r="H55" s="108">
        <v>19.5</v>
      </c>
      <c r="I55" s="104"/>
      <c r="J55" s="108">
        <f>+Harvest!J55/Effort!J55</f>
        <v>19.416666666666682</v>
      </c>
      <c r="K55" s="104"/>
      <c r="L55" s="108" t="s">
        <v>10</v>
      </c>
      <c r="M55" s="104"/>
      <c r="N55" s="106" t="s">
        <v>10</v>
      </c>
      <c r="O55" s="108">
        <f>+Harvest!O55/Effort!O55</f>
        <v>19.470021431383255</v>
      </c>
    </row>
    <row r="56" spans="1:15" x14ac:dyDescent="0.25">
      <c r="A56" s="103">
        <v>44538</v>
      </c>
      <c r="B56" s="104" t="s">
        <v>23</v>
      </c>
      <c r="C56" s="104">
        <v>-0.6</v>
      </c>
      <c r="D56" s="105">
        <v>0.91041666666666676</v>
      </c>
      <c r="E56" s="102" t="s">
        <v>62</v>
      </c>
      <c r="F56" s="108">
        <v>15</v>
      </c>
      <c r="G56" s="104"/>
      <c r="H56" s="108">
        <f>+Harvest!H56/Effort!H56</f>
        <v>19.545454545454543</v>
      </c>
      <c r="I56" s="104"/>
      <c r="J56" s="108" t="s">
        <v>10</v>
      </c>
      <c r="K56" s="104"/>
      <c r="L56" s="108">
        <f>+Harvest!L56/Effort!L56</f>
        <v>9.8888888888889497</v>
      </c>
      <c r="M56" s="104"/>
      <c r="N56" s="106" t="s">
        <v>10</v>
      </c>
      <c r="O56" s="108">
        <f>+Harvest!O56/Effort!O56</f>
        <v>15.457830013882374</v>
      </c>
    </row>
    <row r="57" spans="1:15" x14ac:dyDescent="0.25">
      <c r="A57" s="103">
        <v>44539</v>
      </c>
      <c r="B57" s="104" t="s">
        <v>24</v>
      </c>
      <c r="C57" s="104">
        <v>0.1</v>
      </c>
      <c r="D57" s="105">
        <v>0.94791666666666663</v>
      </c>
      <c r="E57" s="102" t="s">
        <v>62</v>
      </c>
      <c r="F57" s="108">
        <v>12.5</v>
      </c>
      <c r="G57" s="104" t="s">
        <v>62</v>
      </c>
      <c r="H57" s="108">
        <v>12.5</v>
      </c>
      <c r="I57" s="104"/>
      <c r="J57" s="108">
        <f>+Harvest!J57/Effort!J57</f>
        <v>12.428571428571418</v>
      </c>
      <c r="K57" s="104"/>
      <c r="L57" s="108" t="s">
        <v>10</v>
      </c>
      <c r="M57" s="104"/>
      <c r="N57" s="106" t="s">
        <v>10</v>
      </c>
      <c r="O57" s="108">
        <f>+Harvest!O57/Effort!O57</f>
        <v>12.473050875600006</v>
      </c>
    </row>
    <row r="58" spans="1:15" x14ac:dyDescent="0.25">
      <c r="A58" s="103"/>
      <c r="B58" s="104"/>
      <c r="C58" s="104"/>
      <c r="D58" s="105"/>
      <c r="E58" s="102"/>
      <c r="F58" s="106"/>
      <c r="G58" s="104"/>
      <c r="H58" s="106"/>
      <c r="I58" s="104"/>
      <c r="J58" s="106"/>
      <c r="K58" s="104"/>
      <c r="L58" s="106"/>
      <c r="M58" s="104"/>
      <c r="N58" s="106"/>
      <c r="O58" s="108"/>
    </row>
    <row r="59" spans="1:15" x14ac:dyDescent="0.25">
      <c r="A59" s="103">
        <v>44545</v>
      </c>
      <c r="B59" s="104" t="s">
        <v>23</v>
      </c>
      <c r="C59" s="104">
        <v>0.6</v>
      </c>
      <c r="D59" s="105">
        <v>0.68611111111111101</v>
      </c>
      <c r="E59" s="102"/>
      <c r="F59" s="139">
        <v>12.5</v>
      </c>
      <c r="G59" s="104" t="s">
        <v>62</v>
      </c>
      <c r="H59" s="108">
        <v>12.5</v>
      </c>
      <c r="I59" s="104"/>
      <c r="J59" s="106" t="s">
        <v>10</v>
      </c>
      <c r="K59" s="104"/>
      <c r="L59" s="108">
        <f>+Harvest!L59/Effort!L59</f>
        <v>12.444444444444422</v>
      </c>
      <c r="M59" s="104"/>
      <c r="N59" s="106" t="s">
        <v>10</v>
      </c>
      <c r="O59" s="108">
        <f>+Harvest!O59/Effort!O59</f>
        <v>12.472883226308225</v>
      </c>
    </row>
    <row r="60" spans="1:15" x14ac:dyDescent="0.25">
      <c r="A60" s="103">
        <v>44546</v>
      </c>
      <c r="B60" s="104" t="s">
        <v>24</v>
      </c>
      <c r="C60" s="104">
        <v>0.1</v>
      </c>
      <c r="D60" s="105">
        <v>0.72013888888888899</v>
      </c>
      <c r="E60" s="102" t="s">
        <v>62</v>
      </c>
      <c r="F60" s="139">
        <v>17.5</v>
      </c>
      <c r="G60" s="104"/>
      <c r="H60" s="108">
        <f>+Harvest!H60/Effort!H60</f>
        <v>17.238095238095234</v>
      </c>
      <c r="I60" s="104"/>
      <c r="J60" s="108">
        <f>+Harvest!J60/Effort!J60</f>
        <v>19.736842105263239</v>
      </c>
      <c r="K60" s="104"/>
      <c r="L60" s="106" t="s">
        <v>10</v>
      </c>
      <c r="M60" s="104"/>
      <c r="N60" s="106" t="s">
        <v>10</v>
      </c>
      <c r="O60" s="108">
        <f>+Harvest!O60/Effort!O60</f>
        <v>18.26407418271037</v>
      </c>
    </row>
    <row r="61" spans="1:15" x14ac:dyDescent="0.25">
      <c r="A61" s="103">
        <v>44547</v>
      </c>
      <c r="B61" s="104" t="s">
        <v>18</v>
      </c>
      <c r="C61" s="104">
        <v>-0.2</v>
      </c>
      <c r="D61" s="105">
        <v>0.73819444444444438</v>
      </c>
      <c r="E61" s="102"/>
      <c r="F61" s="139">
        <v>19.5</v>
      </c>
      <c r="G61" s="104"/>
      <c r="H61" s="108">
        <f>+Harvest!H61/Effort!H61</f>
        <v>19.733333333333331</v>
      </c>
      <c r="I61" s="104"/>
      <c r="J61" s="106" t="s">
        <v>10</v>
      </c>
      <c r="K61" s="104"/>
      <c r="L61" s="108">
        <f>+Harvest!L61/Effort!L61</f>
        <v>14.111111111111114</v>
      </c>
      <c r="M61" s="104"/>
      <c r="N61" s="106" t="s">
        <v>10</v>
      </c>
      <c r="O61" s="108">
        <f>+Harvest!O61/Effort!O61</f>
        <v>18.349527620500336</v>
      </c>
    </row>
    <row r="62" spans="1:15" x14ac:dyDescent="0.25">
      <c r="A62" s="103">
        <v>44548</v>
      </c>
      <c r="B62" s="104" t="s">
        <v>19</v>
      </c>
      <c r="C62" s="104">
        <v>-0.3</v>
      </c>
      <c r="D62" s="105">
        <v>0.76250000000000007</v>
      </c>
      <c r="E62" s="102"/>
      <c r="F62" s="139">
        <v>19.5</v>
      </c>
      <c r="G62" s="104"/>
      <c r="H62" s="108">
        <f>+Harvest!H62/Effort!H62</f>
        <v>16.633333333333276</v>
      </c>
      <c r="I62" s="104"/>
      <c r="J62" s="108">
        <f>+Harvest!J62/Effort!J62</f>
        <v>19.464285714285754</v>
      </c>
      <c r="K62" s="104"/>
      <c r="L62" s="106" t="s">
        <v>10</v>
      </c>
      <c r="M62" s="104"/>
      <c r="N62" s="106" t="s">
        <v>10</v>
      </c>
      <c r="O62" s="108">
        <f>+Harvest!O62/Effort!O62</f>
        <v>18.821971281919758</v>
      </c>
    </row>
    <row r="63" spans="1:15" x14ac:dyDescent="0.25">
      <c r="A63" s="103">
        <v>44549</v>
      </c>
      <c r="B63" s="104" t="s">
        <v>20</v>
      </c>
      <c r="C63" s="104">
        <v>-0.4</v>
      </c>
      <c r="D63" s="105">
        <v>0.78611111111111109</v>
      </c>
      <c r="E63" s="102"/>
      <c r="F63" s="139">
        <v>19.5</v>
      </c>
      <c r="G63" s="104"/>
      <c r="H63" s="108">
        <f>+Harvest!H63/Effort!H63</f>
        <v>14.867924528301886</v>
      </c>
      <c r="I63" s="104"/>
      <c r="J63" s="106" t="s">
        <v>10</v>
      </c>
      <c r="K63" s="104"/>
      <c r="L63" s="108">
        <f>+Harvest!L63/Effort!L63</f>
        <v>18.933333333333291</v>
      </c>
      <c r="M63" s="104"/>
      <c r="N63" s="106" t="s">
        <v>10</v>
      </c>
      <c r="O63" s="108">
        <f>+Harvest!O63/Effort!O63</f>
        <v>17.764624213707997</v>
      </c>
    </row>
    <row r="64" spans="1:15" x14ac:dyDescent="0.25">
      <c r="A64" s="103">
        <v>44550</v>
      </c>
      <c r="B64" s="104" t="s">
        <v>21</v>
      </c>
      <c r="C64" s="104">
        <v>-0.3</v>
      </c>
      <c r="D64" s="105">
        <v>0.81041666666666667</v>
      </c>
      <c r="E64" s="102" t="s">
        <v>62</v>
      </c>
      <c r="F64" s="139">
        <v>13</v>
      </c>
      <c r="G64" s="104" t="s">
        <v>62</v>
      </c>
      <c r="H64" s="108">
        <v>13</v>
      </c>
      <c r="I64" s="104"/>
      <c r="J64" s="108">
        <f>+Harvest!J64/Effort!J64</f>
        <v>13.264705882352919</v>
      </c>
      <c r="K64" s="104"/>
      <c r="L64" s="106" t="s">
        <v>10</v>
      </c>
      <c r="M64" s="104"/>
      <c r="N64" s="106" t="s">
        <v>10</v>
      </c>
      <c r="O64" s="108">
        <f>+Harvest!O64/Effort!O64</f>
        <v>13.099825746327927</v>
      </c>
    </row>
    <row r="65" spans="1:15" x14ac:dyDescent="0.25">
      <c r="A65" s="103">
        <v>44551</v>
      </c>
      <c r="B65" s="104" t="s">
        <v>22</v>
      </c>
      <c r="C65" s="104">
        <v>-0.2</v>
      </c>
      <c r="D65" s="105">
        <v>0.83472222222222225</v>
      </c>
      <c r="E65" s="102" t="s">
        <v>62</v>
      </c>
      <c r="F65" s="139">
        <v>13</v>
      </c>
      <c r="G65" s="104"/>
      <c r="H65" s="108">
        <f>+Harvest!H65/Effort!H65</f>
        <v>13.777777777777791</v>
      </c>
      <c r="I65" s="104"/>
      <c r="J65" s="106" t="s">
        <v>10</v>
      </c>
      <c r="K65" s="104"/>
      <c r="L65" s="108">
        <f>+Harvest!L65/Effort!L65</f>
        <v>7.4444444444444304</v>
      </c>
      <c r="M65" s="104"/>
      <c r="N65" s="106" t="s">
        <v>10</v>
      </c>
      <c r="O65" s="108">
        <f>+Harvest!O65/Effort!O65</f>
        <v>11.58915959778667</v>
      </c>
    </row>
    <row r="66" spans="1:15" x14ac:dyDescent="0.25">
      <c r="A66" s="103">
        <v>44552</v>
      </c>
      <c r="B66" s="104" t="s">
        <v>23</v>
      </c>
      <c r="C66" s="104">
        <v>-0.1</v>
      </c>
      <c r="D66" s="105">
        <v>0.85972222222222217</v>
      </c>
      <c r="E66" s="102" t="s">
        <v>62</v>
      </c>
      <c r="F66" s="139">
        <v>5</v>
      </c>
      <c r="G66" s="104" t="s">
        <v>62</v>
      </c>
      <c r="H66" s="108">
        <v>5</v>
      </c>
      <c r="I66" s="104"/>
      <c r="J66" s="108">
        <f>+Harvest!J66/Effort!J66</f>
        <v>4.0588235294117823</v>
      </c>
      <c r="K66" s="104"/>
      <c r="L66" s="106" t="s">
        <v>10</v>
      </c>
      <c r="M66" s="104"/>
      <c r="N66" s="106" t="s">
        <v>10</v>
      </c>
      <c r="O66" s="108">
        <f>+Harvest!O66/Effort!O66</f>
        <v>4.6450640130562295</v>
      </c>
    </row>
    <row r="67" spans="1:15" x14ac:dyDescent="0.25">
      <c r="A67" s="103">
        <v>44553</v>
      </c>
      <c r="B67" s="104" t="s">
        <v>24</v>
      </c>
      <c r="C67" s="104">
        <v>0.2</v>
      </c>
      <c r="D67" s="105">
        <v>0.88611111111111107</v>
      </c>
      <c r="E67" s="102" t="s">
        <v>62</v>
      </c>
      <c r="F67" s="139">
        <v>5</v>
      </c>
      <c r="G67" s="104" t="s">
        <v>62</v>
      </c>
      <c r="H67" s="108">
        <v>5</v>
      </c>
      <c r="I67" s="104"/>
      <c r="J67" s="106" t="s">
        <v>10</v>
      </c>
      <c r="K67" s="104"/>
      <c r="L67" s="108">
        <v>5</v>
      </c>
      <c r="M67" s="104"/>
      <c r="N67" s="106" t="s">
        <v>10</v>
      </c>
      <c r="O67" s="108">
        <f>+Harvest!O67/Effort!O67</f>
        <v>5</v>
      </c>
    </row>
    <row r="68" spans="1:15" x14ac:dyDescent="0.25">
      <c r="A68" s="103"/>
      <c r="B68" s="104"/>
      <c r="C68" s="104"/>
      <c r="D68" s="105"/>
      <c r="E68" s="102"/>
      <c r="F68" s="108"/>
      <c r="G68" s="104"/>
      <c r="H68" s="106"/>
      <c r="I68" s="104"/>
      <c r="J68" s="106"/>
      <c r="K68" s="104"/>
      <c r="L68" s="106"/>
      <c r="M68" s="104"/>
      <c r="N68" s="106"/>
      <c r="O68" s="108"/>
    </row>
    <row r="69" spans="1:15" x14ac:dyDescent="0.25">
      <c r="A69" s="103">
        <v>44560</v>
      </c>
      <c r="B69" s="104" t="s">
        <v>24</v>
      </c>
      <c r="C69" s="104">
        <v>-0.1</v>
      </c>
      <c r="D69" s="105">
        <v>0.65902777777777777</v>
      </c>
      <c r="E69" s="102"/>
      <c r="F69" s="139">
        <v>14.5</v>
      </c>
      <c r="G69" s="104" t="s">
        <v>62</v>
      </c>
      <c r="H69" s="139">
        <v>14.5</v>
      </c>
      <c r="I69" s="104"/>
      <c r="J69" s="106" t="s">
        <v>10</v>
      </c>
      <c r="K69" s="104"/>
      <c r="L69" s="108">
        <f>+Harvest!L69/Effort!L69</f>
        <v>14.208333333333341</v>
      </c>
      <c r="M69" s="104"/>
      <c r="N69" s="106" t="s">
        <v>10</v>
      </c>
      <c r="O69" s="108">
        <f>+Harvest!O69/Effort!O69</f>
        <v>14.406245204589219</v>
      </c>
    </row>
    <row r="70" spans="1:15" x14ac:dyDescent="0.25">
      <c r="A70" s="103">
        <v>44561</v>
      </c>
      <c r="B70" s="104" t="s">
        <v>18</v>
      </c>
      <c r="C70" s="104">
        <v>-0.9</v>
      </c>
      <c r="D70" s="105">
        <v>0.6958333333333333</v>
      </c>
      <c r="E70" s="102"/>
      <c r="F70" s="139">
        <v>14.5</v>
      </c>
      <c r="G70" s="104"/>
      <c r="H70" s="108">
        <f>+Harvest!H70/Effort!H70</f>
        <v>14.762711864406764</v>
      </c>
      <c r="I70" s="104"/>
      <c r="J70" s="108">
        <f>+Harvest!J70/Effort!J70</f>
        <v>14.810126582278507</v>
      </c>
      <c r="K70" s="104"/>
      <c r="L70" s="106" t="s">
        <v>10</v>
      </c>
      <c r="M70" s="104"/>
      <c r="N70" s="106" t="s">
        <v>10</v>
      </c>
      <c r="O70" s="108">
        <f>+Harvest!O70/Effort!O70</f>
        <v>14.678412323712942</v>
      </c>
    </row>
    <row r="71" spans="1:15" x14ac:dyDescent="0.25">
      <c r="A71" s="103">
        <v>44562</v>
      </c>
      <c r="B71" s="104" t="s">
        <v>19</v>
      </c>
      <c r="C71" s="104">
        <v>-1.5</v>
      </c>
      <c r="D71" s="105">
        <v>0.73055555555555562</v>
      </c>
      <c r="E71" s="102"/>
      <c r="F71" s="139">
        <v>14.5</v>
      </c>
      <c r="G71" s="104"/>
      <c r="H71" s="108">
        <f>+Harvest!H71/Effort!H71</f>
        <v>14.842857142857147</v>
      </c>
      <c r="I71" s="104"/>
      <c r="J71" s="106" t="s">
        <v>10</v>
      </c>
      <c r="K71" s="104"/>
      <c r="L71" s="108">
        <f>+Harvest!L71/Effort!L71</f>
        <v>14.112676056338</v>
      </c>
      <c r="M71" s="104"/>
      <c r="N71" s="106" t="s">
        <v>10</v>
      </c>
      <c r="O71" s="108">
        <f>+Harvest!O71/Effort!O71</f>
        <v>14.489713788172446</v>
      </c>
    </row>
    <row r="72" spans="1:15" x14ac:dyDescent="0.25">
      <c r="A72" s="103">
        <v>44563</v>
      </c>
      <c r="B72" s="104" t="s">
        <v>20</v>
      </c>
      <c r="C72" s="104">
        <v>-1.8</v>
      </c>
      <c r="D72" s="105">
        <v>0.76458333333333339</v>
      </c>
      <c r="E72" s="102" t="s">
        <v>62</v>
      </c>
      <c r="F72" s="139">
        <v>3</v>
      </c>
      <c r="G72" s="104" t="s">
        <v>62</v>
      </c>
      <c r="H72" s="139">
        <v>3</v>
      </c>
      <c r="I72" s="104"/>
      <c r="J72" s="108">
        <f>+Harvest!J72/Effort!J72</f>
        <v>2.6666666666666625</v>
      </c>
      <c r="K72" s="104"/>
      <c r="L72" s="106" t="s">
        <v>10</v>
      </c>
      <c r="M72" s="104"/>
      <c r="N72" s="106" t="s">
        <v>10</v>
      </c>
      <c r="O72" s="108">
        <f>+Harvest!O72/Effort!O72</f>
        <v>2.8749385181662857</v>
      </c>
    </row>
    <row r="73" spans="1:15" x14ac:dyDescent="0.25">
      <c r="A73" s="103">
        <v>44564</v>
      </c>
      <c r="B73" s="104" t="s">
        <v>21</v>
      </c>
      <c r="C73" s="104">
        <v>-1.9</v>
      </c>
      <c r="D73" s="105">
        <v>0.79722222222222217</v>
      </c>
      <c r="E73" s="102"/>
      <c r="F73" s="139">
        <v>5</v>
      </c>
      <c r="G73" s="104" t="s">
        <v>62</v>
      </c>
      <c r="H73" s="139">
        <v>5</v>
      </c>
      <c r="I73" s="104"/>
      <c r="J73" s="106" t="s">
        <v>10</v>
      </c>
      <c r="K73" s="104"/>
      <c r="L73" s="108">
        <f>+Harvest!L73/Effort!L73</f>
        <v>5.9230769230769154</v>
      </c>
      <c r="M73" s="104"/>
      <c r="N73" s="106" t="s">
        <v>10</v>
      </c>
      <c r="O73" s="108">
        <f>+Harvest!O73/Effort!O73</f>
        <v>5.2331032370549089</v>
      </c>
    </row>
    <row r="74" spans="1:15" x14ac:dyDescent="0.25">
      <c r="A74" s="103">
        <v>44565</v>
      </c>
      <c r="B74" s="104" t="s">
        <v>22</v>
      </c>
      <c r="C74" s="104">
        <v>-1.6</v>
      </c>
      <c r="D74" s="105">
        <v>0.82916666666666661</v>
      </c>
      <c r="E74" s="102" t="s">
        <v>62</v>
      </c>
      <c r="F74" s="139">
        <v>12.5</v>
      </c>
      <c r="G74" s="104"/>
      <c r="H74" s="108">
        <f>+Harvest!H74/Effort!H74</f>
        <v>12.571428571428509</v>
      </c>
      <c r="I74" s="104"/>
      <c r="J74" s="108">
        <v>12.5</v>
      </c>
      <c r="K74" s="104"/>
      <c r="L74" s="106" t="s">
        <v>10</v>
      </c>
      <c r="M74" s="104"/>
      <c r="N74" s="106" t="s">
        <v>10</v>
      </c>
      <c r="O74" s="108">
        <f>+Harvest!O74/Effort!O74</f>
        <v>12.518939774362753</v>
      </c>
    </row>
    <row r="75" spans="1:15" x14ac:dyDescent="0.25">
      <c r="A75" s="103">
        <v>44566</v>
      </c>
      <c r="B75" s="104" t="s">
        <v>23</v>
      </c>
      <c r="C75" s="104">
        <v>-1.1000000000000001</v>
      </c>
      <c r="D75" s="105">
        <v>0.86111111111111116</v>
      </c>
      <c r="E75" s="102" t="s">
        <v>62</v>
      </c>
      <c r="F75" s="139">
        <v>12.5</v>
      </c>
      <c r="G75" s="104"/>
      <c r="H75" s="106" t="s">
        <v>10</v>
      </c>
      <c r="I75" s="104"/>
      <c r="J75" s="106" t="s">
        <v>10</v>
      </c>
      <c r="K75" s="104"/>
      <c r="L75" s="106" t="s">
        <v>10</v>
      </c>
      <c r="M75" s="104"/>
      <c r="N75" s="106" t="s">
        <v>10</v>
      </c>
      <c r="O75" s="108">
        <f>+Harvest!O75/Effort!O75</f>
        <v>12.5</v>
      </c>
    </row>
    <row r="76" spans="1:15" x14ac:dyDescent="0.25">
      <c r="A76" s="103"/>
      <c r="B76" s="104"/>
      <c r="C76" s="104"/>
      <c r="D76" s="105"/>
      <c r="E76" s="102"/>
      <c r="F76" s="106"/>
      <c r="G76" s="104"/>
      <c r="H76" s="106"/>
      <c r="I76" s="104"/>
      <c r="J76" s="106"/>
      <c r="K76" s="104"/>
      <c r="L76" s="106"/>
      <c r="M76" s="104"/>
      <c r="N76" s="106"/>
      <c r="O76" s="108"/>
    </row>
    <row r="77" spans="1:15" x14ac:dyDescent="0.25">
      <c r="A77" s="103">
        <v>44210</v>
      </c>
      <c r="B77" s="104" t="s">
        <v>18</v>
      </c>
      <c r="C77" s="104">
        <v>0.4</v>
      </c>
      <c r="D77" s="105">
        <v>0.69652777777777775</v>
      </c>
      <c r="E77" s="102"/>
      <c r="F77" s="108">
        <v>15</v>
      </c>
      <c r="G77" s="108"/>
      <c r="H77" s="108" t="s">
        <v>10</v>
      </c>
      <c r="I77" s="104"/>
      <c r="J77" s="106" t="s">
        <v>10</v>
      </c>
      <c r="K77" s="104"/>
      <c r="L77" s="106" t="s">
        <v>10</v>
      </c>
      <c r="M77" s="104"/>
      <c r="N77" s="106" t="s">
        <v>10</v>
      </c>
      <c r="O77" s="108">
        <f>+Harvest!O77/Effort!O77</f>
        <v>15</v>
      </c>
    </row>
    <row r="78" spans="1:15" x14ac:dyDescent="0.25">
      <c r="A78" s="103">
        <v>44211</v>
      </c>
      <c r="B78" s="104" t="s">
        <v>19</v>
      </c>
      <c r="C78" s="104">
        <v>0.4</v>
      </c>
      <c r="D78" s="105">
        <v>0.72361111111111109</v>
      </c>
      <c r="E78" s="102"/>
      <c r="F78" s="108">
        <v>12</v>
      </c>
      <c r="G78" s="108" t="s">
        <v>62</v>
      </c>
      <c r="H78" s="108">
        <v>12</v>
      </c>
      <c r="I78" s="104"/>
      <c r="J78" s="108">
        <f>+Harvest!J78/Effort!J78</f>
        <v>13.972222222222255</v>
      </c>
      <c r="K78" s="104"/>
      <c r="L78" s="106" t="s">
        <v>10</v>
      </c>
      <c r="M78" s="104"/>
      <c r="N78" s="106" t="s">
        <v>10</v>
      </c>
      <c r="O78" s="108">
        <f>+Harvest!O78/Effort!O78</f>
        <v>12.559077776186305</v>
      </c>
    </row>
    <row r="79" spans="1:15" x14ac:dyDescent="0.25">
      <c r="A79" s="103">
        <v>44212</v>
      </c>
      <c r="B79" s="104" t="s">
        <v>20</v>
      </c>
      <c r="C79" s="104">
        <v>-0.2</v>
      </c>
      <c r="D79" s="105">
        <v>0.74930555555555556</v>
      </c>
      <c r="E79" s="102"/>
      <c r="F79" s="108">
        <v>14</v>
      </c>
      <c r="G79" s="108" t="s">
        <v>62</v>
      </c>
      <c r="H79" s="108">
        <v>14</v>
      </c>
      <c r="I79" s="104"/>
      <c r="J79" s="106" t="s">
        <v>10</v>
      </c>
      <c r="K79" s="104"/>
      <c r="L79" s="108">
        <f>+Harvest!L79/Effort!L79</f>
        <v>13.883720930232563</v>
      </c>
      <c r="M79" s="104"/>
      <c r="N79" s="106" t="s">
        <v>10</v>
      </c>
      <c r="O79" s="108">
        <f>+Harvest!O79/Effort!O79</f>
        <v>13.956496795128126</v>
      </c>
    </row>
    <row r="80" spans="1:15" x14ac:dyDescent="0.25">
      <c r="A80" s="103">
        <v>44213</v>
      </c>
      <c r="B80" s="104" t="s">
        <v>21</v>
      </c>
      <c r="C80" s="104">
        <v>-0.3</v>
      </c>
      <c r="D80" s="105">
        <v>0.77361111111111114</v>
      </c>
      <c r="E80" s="102" t="s">
        <v>62</v>
      </c>
      <c r="F80" s="108">
        <v>13</v>
      </c>
      <c r="G80" s="108"/>
      <c r="H80" s="108">
        <f>+Harvest!H80/Effort!H80</f>
        <v>12.600000000000003</v>
      </c>
      <c r="I80" s="104"/>
      <c r="J80" s="108">
        <f>+Harvest!J80/Effort!J80</f>
        <v>13.576923076923073</v>
      </c>
      <c r="K80" s="104"/>
      <c r="L80" s="106" t="s">
        <v>10</v>
      </c>
      <c r="M80" s="104"/>
      <c r="N80" s="106" t="s">
        <v>10</v>
      </c>
      <c r="O80" s="108">
        <f>+Harvest!O80/Effort!O80</f>
        <v>13.062388837233559</v>
      </c>
    </row>
    <row r="81" spans="1:15" x14ac:dyDescent="0.25">
      <c r="A81" s="103">
        <v>44214</v>
      </c>
      <c r="B81" s="104" t="s">
        <v>22</v>
      </c>
      <c r="C81" s="104">
        <v>-0.4</v>
      </c>
      <c r="D81" s="105">
        <v>0.79722222222222217</v>
      </c>
      <c r="E81" s="102" t="s">
        <v>62</v>
      </c>
      <c r="F81" s="108">
        <v>14</v>
      </c>
      <c r="G81" s="108"/>
      <c r="H81" s="108">
        <f>+Harvest!H81/Effort!H81</f>
        <v>14.157894736842115</v>
      </c>
      <c r="I81" s="104"/>
      <c r="J81" s="106" t="s">
        <v>10</v>
      </c>
      <c r="K81" s="104"/>
      <c r="L81" s="106" t="s">
        <v>10</v>
      </c>
      <c r="M81" s="104"/>
      <c r="N81" s="106" t="s">
        <v>10</v>
      </c>
      <c r="O81" s="108">
        <f>+Harvest!O81/Effort!O81</f>
        <v>14.060758063743846</v>
      </c>
    </row>
    <row r="82" spans="1:15" x14ac:dyDescent="0.25">
      <c r="A82" s="103">
        <v>44215</v>
      </c>
      <c r="B82" s="104" t="s">
        <v>23</v>
      </c>
      <c r="C82" s="104">
        <v>-0.4</v>
      </c>
      <c r="D82" s="105">
        <v>0.82013888888888886</v>
      </c>
      <c r="E82" s="102"/>
      <c r="F82" s="108">
        <v>15</v>
      </c>
      <c r="G82" s="108"/>
      <c r="H82" s="108" t="s">
        <v>10</v>
      </c>
      <c r="I82" s="104"/>
      <c r="J82" s="108">
        <f>+Harvest!J82/Effort!J82</f>
        <v>14.153846153846139</v>
      </c>
      <c r="K82" s="104"/>
      <c r="L82" s="106" t="s">
        <v>10</v>
      </c>
      <c r="M82" s="104"/>
      <c r="N82" s="106" t="s">
        <v>10</v>
      </c>
      <c r="O82" s="108">
        <f>+Harvest!O82/Effort!O82</f>
        <v>14.58493677981806</v>
      </c>
    </row>
    <row r="83" spans="1:15" x14ac:dyDescent="0.25">
      <c r="A83" s="103">
        <v>44216</v>
      </c>
      <c r="B83" s="104" t="s">
        <v>24</v>
      </c>
      <c r="C83" s="104">
        <v>-0.2</v>
      </c>
      <c r="D83" s="105">
        <v>0.84305555555555556</v>
      </c>
      <c r="E83" s="102"/>
      <c r="F83" s="108">
        <v>13</v>
      </c>
      <c r="G83" s="108"/>
      <c r="H83" s="108" t="s">
        <v>10</v>
      </c>
      <c r="I83" s="104"/>
      <c r="J83" s="106" t="s">
        <v>10</v>
      </c>
      <c r="K83" s="104"/>
      <c r="L83" s="106" t="s">
        <v>10</v>
      </c>
      <c r="M83" s="104"/>
      <c r="N83" s="106" t="s">
        <v>10</v>
      </c>
      <c r="O83" s="108">
        <f>+Harvest!O83/Effort!O83</f>
        <v>12.999999999999998</v>
      </c>
    </row>
    <row r="84" spans="1:15" x14ac:dyDescent="0.25">
      <c r="A84" s="103"/>
      <c r="B84" s="104"/>
      <c r="C84" s="104"/>
      <c r="D84" s="105"/>
      <c r="E84" s="102"/>
      <c r="F84" s="106"/>
      <c r="G84" s="104"/>
      <c r="H84" s="106"/>
      <c r="I84" s="104"/>
      <c r="J84" s="106"/>
      <c r="K84" s="104"/>
      <c r="L84" s="106"/>
      <c r="M84" s="104"/>
      <c r="N84" s="106"/>
      <c r="O84" s="108"/>
    </row>
    <row r="85" spans="1:15" x14ac:dyDescent="0.25">
      <c r="A85" s="103">
        <v>44590</v>
      </c>
      <c r="B85" s="104" t="s">
        <v>19</v>
      </c>
      <c r="C85" s="104">
        <v>-0.7</v>
      </c>
      <c r="D85" s="105">
        <v>0.6875</v>
      </c>
      <c r="E85" s="102"/>
      <c r="F85" s="108">
        <v>14.5</v>
      </c>
      <c r="G85" s="104"/>
      <c r="H85" s="108">
        <f>+Harvest!H85/Effort!H85</f>
        <v>14.548387096774189</v>
      </c>
      <c r="I85" s="104"/>
      <c r="J85" s="106" t="s">
        <v>10</v>
      </c>
      <c r="K85" s="104"/>
      <c r="L85" s="108">
        <f>+Harvest!L85/Effort!L85</f>
        <v>13.612903225806443</v>
      </c>
      <c r="M85" s="104"/>
      <c r="N85" s="106" t="s">
        <v>10</v>
      </c>
      <c r="O85" s="108">
        <f>+Harvest!O85/Effort!O85</f>
        <v>14.256407814132881</v>
      </c>
    </row>
    <row r="86" spans="1:15" x14ac:dyDescent="0.25">
      <c r="A86" s="103">
        <v>44591</v>
      </c>
      <c r="B86" s="104" t="s">
        <v>20</v>
      </c>
      <c r="C86" s="104">
        <v>-1.2</v>
      </c>
      <c r="D86" s="105">
        <v>0.72291666666666676</v>
      </c>
      <c r="E86" s="102"/>
      <c r="F86" s="108">
        <f>+Harvest!F86/Effort!F86</f>
        <v>12.100840336134473</v>
      </c>
      <c r="G86" s="104"/>
      <c r="H86" s="106" t="s">
        <v>10</v>
      </c>
      <c r="I86" s="104"/>
      <c r="J86" s="108">
        <f>+Harvest!J86/Effort!J86</f>
        <v>13.794117647058787</v>
      </c>
      <c r="K86" s="104"/>
      <c r="L86" s="106" t="s">
        <v>10</v>
      </c>
      <c r="M86" s="104"/>
      <c r="N86" s="106" t="s">
        <v>10</v>
      </c>
      <c r="O86" s="108">
        <f>+Harvest!O86/Effort!O86</f>
        <v>12.9322297282542</v>
      </c>
    </row>
    <row r="87" spans="1:15" x14ac:dyDescent="0.25">
      <c r="A87" s="103">
        <v>44592</v>
      </c>
      <c r="B87" s="104" t="s">
        <v>21</v>
      </c>
      <c r="C87" s="104">
        <v>-1.5</v>
      </c>
      <c r="D87" s="105">
        <v>0.75555555555555554</v>
      </c>
      <c r="E87" s="102"/>
      <c r="F87" s="108">
        <v>14.5</v>
      </c>
      <c r="G87" s="104"/>
      <c r="H87" s="106" t="s">
        <v>10</v>
      </c>
      <c r="I87" s="104"/>
      <c r="J87" s="106" t="s">
        <v>10</v>
      </c>
      <c r="K87" s="104"/>
      <c r="L87" s="106" t="s">
        <v>10</v>
      </c>
      <c r="M87" s="104"/>
      <c r="N87" s="106" t="s">
        <v>10</v>
      </c>
      <c r="O87" s="108">
        <f>+Harvest!O87/Effort!O87</f>
        <v>14.500000000000002</v>
      </c>
    </row>
    <row r="88" spans="1:15" x14ac:dyDescent="0.25">
      <c r="A88" s="103">
        <v>44593</v>
      </c>
      <c r="B88" s="104" t="s">
        <v>22</v>
      </c>
      <c r="C88" s="104">
        <v>-1.5</v>
      </c>
      <c r="D88" s="105">
        <v>0.78611111111111109</v>
      </c>
      <c r="E88" s="102" t="s">
        <v>62</v>
      </c>
      <c r="F88" s="108">
        <v>14.5</v>
      </c>
      <c r="G88" s="104"/>
      <c r="H88" s="108">
        <f>+Harvest!H88/Effort!H88</f>
        <v>14.499999999999995</v>
      </c>
      <c r="I88" s="104"/>
      <c r="J88" s="108">
        <f>+Harvest!J88/Effort!J88</f>
        <v>14.860465116279112</v>
      </c>
      <c r="K88" s="104"/>
      <c r="L88" s="106" t="s">
        <v>10</v>
      </c>
      <c r="M88" s="104"/>
      <c r="N88" s="106" t="s">
        <v>10</v>
      </c>
      <c r="O88" s="108">
        <f>+Harvest!O88/Effort!O88</f>
        <v>14.633384504764363</v>
      </c>
    </row>
    <row r="89" spans="1:15" x14ac:dyDescent="0.25">
      <c r="A89" s="103">
        <v>44594</v>
      </c>
      <c r="B89" s="104" t="s">
        <v>23</v>
      </c>
      <c r="C89" s="104">
        <v>-1.2</v>
      </c>
      <c r="D89" s="105">
        <v>0.81527777777777777</v>
      </c>
      <c r="E89" s="102"/>
      <c r="F89" s="108">
        <v>14.5</v>
      </c>
      <c r="G89" s="104"/>
      <c r="H89" s="108">
        <f>+Harvest!H89/Effort!H89</f>
        <v>14.999999999999986</v>
      </c>
      <c r="I89" s="104"/>
      <c r="J89" s="106" t="s">
        <v>10</v>
      </c>
      <c r="K89" s="104"/>
      <c r="L89" s="108">
        <f>+Harvest!L89/Effort!L89</f>
        <v>11</v>
      </c>
      <c r="M89" s="104"/>
      <c r="N89" s="106" t="s">
        <v>10</v>
      </c>
      <c r="O89" s="108">
        <f>+Harvest!O89/Effort!O89</f>
        <v>13.289328267071562</v>
      </c>
    </row>
    <row r="90" spans="1:15" x14ac:dyDescent="0.25">
      <c r="A90" s="103">
        <v>44595</v>
      </c>
      <c r="B90" s="104" t="s">
        <v>24</v>
      </c>
      <c r="C90" s="104">
        <v>-0.7</v>
      </c>
      <c r="D90" s="105">
        <v>0.84236111111111101</v>
      </c>
      <c r="E90" s="102"/>
      <c r="F90" s="108" t="s">
        <v>10</v>
      </c>
      <c r="G90" s="104"/>
      <c r="H90" s="106" t="s">
        <v>10</v>
      </c>
      <c r="I90" s="104"/>
      <c r="J90" s="108">
        <f>+Harvest!J90/Effort!J90</f>
        <v>13.142857142857133</v>
      </c>
      <c r="K90" s="104"/>
      <c r="L90" s="106" t="s">
        <v>10</v>
      </c>
      <c r="M90" s="104"/>
      <c r="N90" s="106" t="s">
        <v>10</v>
      </c>
      <c r="O90" s="108">
        <f>+Harvest!O90/Effort!O90</f>
        <v>13.142857142857133</v>
      </c>
    </row>
    <row r="91" spans="1:15" x14ac:dyDescent="0.25">
      <c r="A91" s="103"/>
      <c r="B91" s="104"/>
      <c r="C91" s="104"/>
      <c r="D91" s="105"/>
      <c r="E91" s="102"/>
      <c r="F91" s="106"/>
      <c r="G91" s="104"/>
      <c r="H91" s="106"/>
      <c r="I91" s="104"/>
      <c r="J91" s="106"/>
      <c r="K91" s="104"/>
      <c r="L91" s="106"/>
      <c r="M91" s="104"/>
      <c r="N91" s="106"/>
      <c r="O91" s="108"/>
    </row>
    <row r="92" spans="1:15" x14ac:dyDescent="0.25">
      <c r="A92" s="103">
        <v>44606</v>
      </c>
      <c r="B92" s="104" t="s">
        <v>21</v>
      </c>
      <c r="C92" s="104">
        <v>0</v>
      </c>
      <c r="D92" s="105">
        <v>0.73263888888888884</v>
      </c>
      <c r="E92" s="102"/>
      <c r="F92" s="108">
        <f>+Harvest!F92/Effort!F92</f>
        <v>14.957310128356879</v>
      </c>
      <c r="G92" s="104"/>
      <c r="H92" s="106" t="s">
        <v>10</v>
      </c>
      <c r="I92" s="104"/>
      <c r="J92" s="106" t="s">
        <v>10</v>
      </c>
      <c r="K92" s="104"/>
      <c r="L92" s="106" t="s">
        <v>10</v>
      </c>
      <c r="M92" s="104"/>
      <c r="N92" s="106" t="s">
        <v>10</v>
      </c>
      <c r="O92" s="108">
        <f>+Harvest!O92/Effort!O92</f>
        <v>14.957310128356879</v>
      </c>
    </row>
    <row r="93" spans="1:15" x14ac:dyDescent="0.25">
      <c r="A93" s="103">
        <v>44607</v>
      </c>
      <c r="B93" s="104" t="s">
        <v>22</v>
      </c>
      <c r="C93" s="104">
        <v>-0.3</v>
      </c>
      <c r="D93" s="105">
        <v>0.75624999999999998</v>
      </c>
      <c r="E93" s="102"/>
      <c r="F93" s="139">
        <v>14.5</v>
      </c>
      <c r="G93" s="104"/>
      <c r="H93" s="106" t="s">
        <v>10</v>
      </c>
      <c r="I93" s="104"/>
      <c r="J93" s="106" t="s">
        <v>10</v>
      </c>
      <c r="K93" s="104"/>
      <c r="L93" s="108">
        <f>+Harvest!L93/Effort!L93</f>
        <v>14.999999999999924</v>
      </c>
      <c r="M93" s="104"/>
      <c r="N93" s="106" t="s">
        <v>10</v>
      </c>
      <c r="O93" s="108">
        <f>+Harvest!O93/Effort!O93</f>
        <v>14.727123417392722</v>
      </c>
    </row>
    <row r="94" spans="1:15" x14ac:dyDescent="0.25">
      <c r="A94" s="103">
        <v>44608</v>
      </c>
      <c r="B94" s="104" t="s">
        <v>23</v>
      </c>
      <c r="C94" s="104">
        <v>-0.4</v>
      </c>
      <c r="D94" s="105">
        <v>0.77916666666666667</v>
      </c>
      <c r="E94" s="102"/>
      <c r="F94" s="139">
        <v>14.5</v>
      </c>
      <c r="G94" s="104"/>
      <c r="H94" s="106" t="s">
        <v>10</v>
      </c>
      <c r="I94" s="104"/>
      <c r="J94" s="108">
        <f>+Harvest!J94/Effort!J94</f>
        <v>15.000000000000027</v>
      </c>
      <c r="K94" s="104"/>
      <c r="L94" s="106" t="s">
        <v>10</v>
      </c>
      <c r="M94" s="104"/>
      <c r="N94" s="106" t="s">
        <v>10</v>
      </c>
      <c r="O94" s="108">
        <f>+Harvest!O94/Effort!O94</f>
        <v>14.781390164538768</v>
      </c>
    </row>
    <row r="95" spans="1:15" x14ac:dyDescent="0.25">
      <c r="A95" s="103">
        <v>44609</v>
      </c>
      <c r="B95" s="104" t="s">
        <v>24</v>
      </c>
      <c r="C95" s="104">
        <v>-0.3</v>
      </c>
      <c r="D95" s="105">
        <v>0.80138888888888893</v>
      </c>
      <c r="E95" s="102"/>
      <c r="F95" s="139">
        <v>14.5</v>
      </c>
      <c r="G95" s="104"/>
      <c r="H95" s="108">
        <f>+Harvest!H95/Effort!H95</f>
        <v>10.533333333333379</v>
      </c>
      <c r="I95" s="104"/>
      <c r="J95" s="106" t="s">
        <v>10</v>
      </c>
      <c r="K95" s="104"/>
      <c r="L95" s="106" t="s">
        <v>10</v>
      </c>
      <c r="M95" s="104"/>
      <c r="N95" s="106" t="s">
        <v>10</v>
      </c>
      <c r="O95" s="108">
        <f>+Harvest!O95/Effort!O95</f>
        <v>12.512372878082299</v>
      </c>
    </row>
    <row r="96" spans="1:15" x14ac:dyDescent="0.25">
      <c r="A96" s="103">
        <v>44610</v>
      </c>
      <c r="B96" s="104" t="s">
        <v>18</v>
      </c>
      <c r="C96" s="104">
        <v>-0.1</v>
      </c>
      <c r="D96" s="105">
        <v>0.82291666666666663</v>
      </c>
      <c r="E96" s="102"/>
      <c r="F96" s="139">
        <v>14.5</v>
      </c>
      <c r="G96" s="104"/>
      <c r="H96" s="108">
        <f>+Harvest!H96/Effort!H96</f>
        <v>14.848484848484826</v>
      </c>
      <c r="I96" s="104"/>
      <c r="J96" s="108">
        <f>+Harvest!J96/Effort!J96</f>
        <v>14.600000000000051</v>
      </c>
      <c r="K96" s="104"/>
      <c r="L96" s="106" t="s">
        <v>10</v>
      </c>
      <c r="M96" s="104"/>
      <c r="N96" s="106" t="s">
        <v>10</v>
      </c>
      <c r="O96" s="108">
        <f>+Harvest!O96/Effort!O96</f>
        <v>14.645438925644763</v>
      </c>
    </row>
    <row r="97" spans="1:15" x14ac:dyDescent="0.25">
      <c r="A97" s="103"/>
      <c r="B97" s="104"/>
      <c r="C97" s="104"/>
      <c r="D97" s="105"/>
      <c r="E97" s="102"/>
      <c r="F97" s="106"/>
      <c r="G97" s="104"/>
      <c r="H97" s="108"/>
      <c r="I97" s="104"/>
      <c r="J97" s="108"/>
      <c r="K97" s="104"/>
      <c r="L97" s="106"/>
      <c r="M97" s="104"/>
      <c r="N97" s="106"/>
      <c r="O97" s="108"/>
    </row>
    <row r="98" spans="1:15" x14ac:dyDescent="0.25">
      <c r="A98" s="103">
        <v>44618</v>
      </c>
      <c r="B98" s="104" t="s">
        <v>19</v>
      </c>
      <c r="C98" s="104">
        <v>0</v>
      </c>
      <c r="D98" s="105">
        <v>0.63750000000000007</v>
      </c>
      <c r="E98" s="102"/>
      <c r="F98" s="108">
        <v>10</v>
      </c>
      <c r="G98" s="104"/>
      <c r="H98" s="108">
        <f>+Harvest!H98/Effort!H98</f>
        <v>10.431372549019608</v>
      </c>
      <c r="I98" s="104"/>
      <c r="J98" s="108">
        <f>+Harvest!J98/Effort!J98</f>
        <v>13.353846153846158</v>
      </c>
      <c r="K98" s="104"/>
      <c r="L98" s="106" t="s">
        <v>10</v>
      </c>
      <c r="M98" s="104"/>
      <c r="N98" s="106" t="s">
        <v>10</v>
      </c>
      <c r="O98" s="108">
        <f>+Harvest!O98/Effort!O98</f>
        <v>11.511111313200859</v>
      </c>
    </row>
    <row r="99" spans="1:15" x14ac:dyDescent="0.25">
      <c r="A99" s="103">
        <v>44619</v>
      </c>
      <c r="B99" s="104" t="s">
        <v>20</v>
      </c>
      <c r="C99" s="104">
        <v>-0.4</v>
      </c>
      <c r="D99" s="105">
        <v>0.6777777777777777</v>
      </c>
      <c r="E99" s="102"/>
      <c r="F99" s="108">
        <v>8</v>
      </c>
      <c r="G99" s="104"/>
      <c r="H99" s="106" t="s">
        <v>10</v>
      </c>
      <c r="I99" s="104"/>
      <c r="J99" s="106" t="s">
        <v>10</v>
      </c>
      <c r="K99" s="104"/>
      <c r="L99" s="108">
        <f>+Harvest!L99/Effort!L99</f>
        <v>11.361111111111105</v>
      </c>
      <c r="M99" s="104"/>
      <c r="N99" s="106" t="s">
        <v>10</v>
      </c>
      <c r="O99" s="108">
        <f>+Harvest!O99/Effort!O99</f>
        <v>9.824628875634497</v>
      </c>
    </row>
    <row r="100" spans="1:15" x14ac:dyDescent="0.25">
      <c r="A100" s="103">
        <v>44620</v>
      </c>
      <c r="B100" s="104" t="s">
        <v>21</v>
      </c>
      <c r="C100" s="104">
        <v>-0.8</v>
      </c>
      <c r="D100" s="105">
        <v>0.71250000000000002</v>
      </c>
      <c r="E100" s="102"/>
      <c r="F100" s="108">
        <v>5</v>
      </c>
      <c r="G100" s="104"/>
      <c r="H100" s="106" t="s">
        <v>10</v>
      </c>
      <c r="I100" s="104"/>
      <c r="J100" s="106" t="s">
        <v>10</v>
      </c>
      <c r="K100" s="104"/>
      <c r="L100" s="106" t="s">
        <v>10</v>
      </c>
      <c r="M100" s="104"/>
      <c r="N100" s="106" t="s">
        <v>10</v>
      </c>
      <c r="O100" s="108">
        <f>+Harvest!O100/Effort!O100</f>
        <v>5</v>
      </c>
    </row>
    <row r="101" spans="1:15" x14ac:dyDescent="0.25">
      <c r="A101" s="103">
        <v>44621</v>
      </c>
      <c r="B101" s="104" t="s">
        <v>22</v>
      </c>
      <c r="C101" s="104">
        <v>-0.9</v>
      </c>
      <c r="D101" s="105">
        <v>0.74305555555555547</v>
      </c>
      <c r="E101" s="102" t="s">
        <v>62</v>
      </c>
      <c r="F101" s="108">
        <v>14.5</v>
      </c>
      <c r="G101" s="104" t="s">
        <v>62</v>
      </c>
      <c r="H101" s="108">
        <v>14.5</v>
      </c>
      <c r="I101" s="104"/>
      <c r="J101" s="106" t="s">
        <v>10</v>
      </c>
      <c r="K101" s="104"/>
      <c r="L101" s="108">
        <f>+Harvest!L101/Effort!L101</f>
        <v>14.377777777777769</v>
      </c>
      <c r="M101" s="104"/>
      <c r="N101" s="106" t="s">
        <v>10</v>
      </c>
      <c r="O101" s="108">
        <f>+Harvest!O101/Effort!O101</f>
        <v>14.457490315839825</v>
      </c>
    </row>
    <row r="102" spans="1:15" x14ac:dyDescent="0.25">
      <c r="A102" s="103">
        <v>44622</v>
      </c>
      <c r="B102" s="104" t="s">
        <v>23</v>
      </c>
      <c r="C102" s="104">
        <v>-0.8</v>
      </c>
      <c r="D102" s="105">
        <v>0.77083333333333337</v>
      </c>
      <c r="E102" s="102" t="s">
        <v>62</v>
      </c>
      <c r="F102" s="108">
        <v>15</v>
      </c>
      <c r="G102" s="104"/>
      <c r="H102" s="108">
        <f>+Harvest!H102/Effort!H102</f>
        <v>14.838709677419367</v>
      </c>
      <c r="I102" s="104"/>
      <c r="J102" s="108">
        <f>+Harvest!J102/Effort!J102</f>
        <v>14.821428571428653</v>
      </c>
      <c r="K102" s="104"/>
      <c r="L102" s="106" t="s">
        <v>10</v>
      </c>
      <c r="M102" s="104"/>
      <c r="N102" s="106" t="s">
        <v>10</v>
      </c>
      <c r="O102" s="108">
        <f>+Harvest!O102/Effort!O102</f>
        <v>14.888847216849076</v>
      </c>
    </row>
    <row r="103" spans="1:15" x14ac:dyDescent="0.25">
      <c r="A103" s="103">
        <v>44623</v>
      </c>
      <c r="B103" s="104" t="s">
        <v>24</v>
      </c>
      <c r="C103" s="104">
        <v>-0.5</v>
      </c>
      <c r="D103" s="105">
        <v>0.79652777777777783</v>
      </c>
      <c r="E103" s="102"/>
      <c r="F103" s="108">
        <f>+Harvest!F103/Effort!F103</f>
        <v>15.000000000000005</v>
      </c>
      <c r="G103" s="104"/>
      <c r="H103" s="108">
        <f>+Harvest!H103/Effort!H103</f>
        <v>14.000000000000014</v>
      </c>
      <c r="I103" s="104"/>
      <c r="J103" s="106" t="s">
        <v>10</v>
      </c>
      <c r="K103" s="104"/>
      <c r="L103" s="108">
        <f>+Harvest!L103/Effort!L103</f>
        <v>15.000000000000007</v>
      </c>
      <c r="M103" s="104"/>
      <c r="N103" s="106" t="s">
        <v>10</v>
      </c>
      <c r="O103" s="108">
        <f>+Harvest!O103/Effort!O103</f>
        <v>14.693377497475236</v>
      </c>
    </row>
    <row r="104" spans="1:15" x14ac:dyDescent="0.25">
      <c r="A104" s="103">
        <v>44624</v>
      </c>
      <c r="B104" s="104" t="s">
        <v>18</v>
      </c>
      <c r="C104" s="104">
        <v>0</v>
      </c>
      <c r="D104" s="105">
        <v>0.8208333333333333</v>
      </c>
      <c r="E104" s="102" t="s">
        <v>62</v>
      </c>
      <c r="F104" s="108">
        <v>15</v>
      </c>
      <c r="G104" s="104" t="s">
        <v>62</v>
      </c>
      <c r="H104" s="108">
        <v>15</v>
      </c>
      <c r="I104" s="104"/>
      <c r="J104" s="108">
        <f>+Harvest!J104/Effort!J104</f>
        <v>15.000000000000012</v>
      </c>
      <c r="K104" s="104"/>
      <c r="L104" s="106" t="s">
        <v>10</v>
      </c>
      <c r="M104" s="104"/>
      <c r="N104" s="106" t="s">
        <v>10</v>
      </c>
      <c r="O104" s="108">
        <f>+Harvest!O104/Effort!O104</f>
        <v>15.000000000000005</v>
      </c>
    </row>
    <row r="105" spans="1:15" x14ac:dyDescent="0.25">
      <c r="A105" s="103"/>
      <c r="B105" s="104"/>
      <c r="C105" s="104"/>
      <c r="D105" s="105"/>
      <c r="E105" s="102"/>
      <c r="F105" s="106"/>
      <c r="G105" s="104"/>
      <c r="H105" s="106"/>
      <c r="I105" s="104"/>
      <c r="J105" s="106"/>
      <c r="K105" s="104"/>
      <c r="L105" s="106"/>
      <c r="M105" s="104"/>
      <c r="N105" s="106"/>
      <c r="O105" s="108"/>
    </row>
    <row r="106" spans="1:15" x14ac:dyDescent="0.25">
      <c r="A106" s="103">
        <v>44636</v>
      </c>
      <c r="B106" s="104" t="s">
        <v>23</v>
      </c>
      <c r="C106" s="104">
        <v>0</v>
      </c>
      <c r="D106" s="105">
        <v>0.77430555555555547</v>
      </c>
      <c r="E106" s="102"/>
      <c r="F106" s="108">
        <f>+Harvest!F106/Effort!F106</f>
        <v>15.000000000000009</v>
      </c>
      <c r="G106" s="104" t="s">
        <v>62</v>
      </c>
      <c r="H106" s="108">
        <v>14.5</v>
      </c>
      <c r="I106" s="104"/>
      <c r="J106" s="106" t="s">
        <v>10</v>
      </c>
      <c r="K106" s="104"/>
      <c r="L106" s="108">
        <f>+Harvest!L106/Effort!L106</f>
        <v>14.578947368421076</v>
      </c>
      <c r="M106" s="104"/>
      <c r="N106" s="106" t="s">
        <v>10</v>
      </c>
      <c r="O106" s="108">
        <f>+Harvest!O106/Effort!O106</f>
        <v>14.746485225239342</v>
      </c>
    </row>
    <row r="107" spans="1:15" x14ac:dyDescent="0.25">
      <c r="A107" s="103">
        <v>44637</v>
      </c>
      <c r="B107" s="104" t="s">
        <v>24</v>
      </c>
      <c r="C107" s="104">
        <v>0</v>
      </c>
      <c r="D107" s="105">
        <v>0.79722222222222217</v>
      </c>
      <c r="E107" s="102" t="s">
        <v>62</v>
      </c>
      <c r="F107" s="108">
        <v>14.5</v>
      </c>
      <c r="G107" s="104" t="s">
        <v>62</v>
      </c>
      <c r="H107" s="108">
        <v>14.5</v>
      </c>
      <c r="I107" s="104"/>
      <c r="J107" s="108">
        <f>+Harvest!J107/Effort!J107</f>
        <v>14.931818181818221</v>
      </c>
      <c r="K107" s="104"/>
      <c r="L107" s="106" t="s">
        <v>10</v>
      </c>
      <c r="M107" s="104"/>
      <c r="N107" s="106" t="s">
        <v>10</v>
      </c>
      <c r="O107" s="108">
        <f>+Harvest!O107/Effort!O107</f>
        <v>14.690626819631376</v>
      </c>
    </row>
    <row r="108" spans="1:15" x14ac:dyDescent="0.25">
      <c r="A108" s="103">
        <v>44638</v>
      </c>
      <c r="B108" s="104" t="s">
        <v>18</v>
      </c>
      <c r="C108" s="104">
        <v>0.2</v>
      </c>
      <c r="D108" s="105">
        <v>0.82013888888888886</v>
      </c>
      <c r="E108" s="102" t="s">
        <v>62</v>
      </c>
      <c r="F108" s="108">
        <v>14</v>
      </c>
      <c r="G108" s="104"/>
      <c r="H108" s="108">
        <f>+Harvest!H108/Effort!H108</f>
        <v>15.000000000000048</v>
      </c>
      <c r="I108" s="104"/>
      <c r="J108" s="106" t="s">
        <v>10</v>
      </c>
      <c r="K108" s="104"/>
      <c r="L108" s="108">
        <f>+Harvest!L108/Effort!L108</f>
        <v>13.03571428571431</v>
      </c>
      <c r="M108" s="104"/>
      <c r="N108" s="106" t="s">
        <v>10</v>
      </c>
      <c r="O108" s="108">
        <f>+Harvest!O108/Effort!O108</f>
        <v>13.867548264662675</v>
      </c>
    </row>
    <row r="109" spans="1:15" x14ac:dyDescent="0.25">
      <c r="A109" s="103">
        <v>44639</v>
      </c>
      <c r="B109" s="104" t="s">
        <v>19</v>
      </c>
      <c r="C109" s="104">
        <v>0.5</v>
      </c>
      <c r="D109" s="105">
        <v>0.84305555555555556</v>
      </c>
      <c r="E109" s="102"/>
      <c r="F109" s="108">
        <v>14</v>
      </c>
      <c r="G109" s="104" t="s">
        <v>62</v>
      </c>
      <c r="H109" s="108">
        <v>14</v>
      </c>
      <c r="I109" s="104"/>
      <c r="J109" s="108">
        <f>+Harvest!J109/Effort!J109</f>
        <v>14.271428571428562</v>
      </c>
      <c r="K109" s="104"/>
      <c r="L109" s="106" t="s">
        <v>10</v>
      </c>
      <c r="M109" s="104"/>
      <c r="N109" s="106" t="s">
        <v>10</v>
      </c>
      <c r="O109" s="108">
        <f>+Harvest!O109/Effort!O109</f>
        <v>14.119822572339707</v>
      </c>
    </row>
    <row r="110" spans="1:15" x14ac:dyDescent="0.25">
      <c r="A110" s="103">
        <v>44640</v>
      </c>
      <c r="B110" s="104" t="s">
        <v>20</v>
      </c>
      <c r="C110" s="104">
        <v>0.2</v>
      </c>
      <c r="D110" s="105">
        <v>0.36527777777777781</v>
      </c>
      <c r="E110" s="102" t="s">
        <v>62</v>
      </c>
      <c r="F110" s="108">
        <v>14.5</v>
      </c>
      <c r="G110" s="104"/>
      <c r="H110" s="108">
        <f>+Harvest!H110/Effort!H110</f>
        <v>14.660377358490587</v>
      </c>
      <c r="I110" s="104"/>
      <c r="J110" s="106" t="s">
        <v>10</v>
      </c>
      <c r="K110" s="104"/>
      <c r="L110" s="108">
        <f>+Harvest!L110/Effort!L110</f>
        <v>11.206896551724148</v>
      </c>
      <c r="M110" s="104"/>
      <c r="N110" s="106" t="s">
        <v>10</v>
      </c>
      <c r="O110" s="108">
        <f>+Harvest!O110/Effort!O110</f>
        <v>13.30200274237003</v>
      </c>
    </row>
    <row r="111" spans="1:15" x14ac:dyDescent="0.25">
      <c r="A111" s="103">
        <v>44641</v>
      </c>
      <c r="B111" s="104" t="s">
        <v>21</v>
      </c>
      <c r="C111" s="104">
        <v>0</v>
      </c>
      <c r="D111" s="105">
        <v>0.39583333333333331</v>
      </c>
      <c r="E111" s="102" t="s">
        <v>62</v>
      </c>
      <c r="F111" s="108">
        <v>14.5</v>
      </c>
      <c r="G111" s="104"/>
      <c r="H111" s="108">
        <f>+Harvest!H111/Effort!H111</f>
        <v>14.34782608695652</v>
      </c>
      <c r="I111" s="104"/>
      <c r="J111" s="108">
        <f>+Harvest!J111/Effort!J111</f>
        <v>14.617647058823534</v>
      </c>
      <c r="K111" s="104"/>
      <c r="L111" s="106" t="s">
        <v>10</v>
      </c>
      <c r="M111" s="104"/>
      <c r="N111" s="106" t="s">
        <v>10</v>
      </c>
      <c r="O111" s="108">
        <f>+Harvest!O111/Effort!O111</f>
        <v>14.510062499302522</v>
      </c>
    </row>
    <row r="112" spans="1:15" x14ac:dyDescent="0.25">
      <c r="A112" s="103">
        <v>44642</v>
      </c>
      <c r="B112" s="104" t="s">
        <v>22</v>
      </c>
      <c r="C112" s="104">
        <v>-0.1</v>
      </c>
      <c r="D112" s="105">
        <v>0.4291666666666667</v>
      </c>
      <c r="E112" s="102"/>
      <c r="F112" s="108">
        <v>15</v>
      </c>
      <c r="G112" s="104" t="s">
        <v>62</v>
      </c>
      <c r="H112" s="108">
        <v>15</v>
      </c>
      <c r="I112" s="104"/>
      <c r="J112" s="106" t="s">
        <v>10</v>
      </c>
      <c r="K112" s="104"/>
      <c r="L112" s="108">
        <f>+Harvest!L112/Effort!L112</f>
        <v>14.871794871794842</v>
      </c>
      <c r="M112" s="104"/>
      <c r="N112" s="106" t="s">
        <v>10</v>
      </c>
      <c r="O112" s="108">
        <f>+Harvest!O112/Effort!O112</f>
        <v>14.957252199624783</v>
      </c>
    </row>
    <row r="113" spans="1:15" x14ac:dyDescent="0.25">
      <c r="A113" s="103"/>
      <c r="B113" s="104"/>
      <c r="C113" s="104"/>
      <c r="D113" s="105"/>
      <c r="E113" s="102"/>
      <c r="F113" s="106"/>
      <c r="G113" s="104"/>
      <c r="H113" s="106"/>
      <c r="I113" s="104"/>
      <c r="J113" s="106"/>
      <c r="K113" s="104"/>
      <c r="L113" s="106"/>
      <c r="M113" s="104"/>
      <c r="N113" s="106"/>
      <c r="O113" s="108"/>
    </row>
    <row r="114" spans="1:15" x14ac:dyDescent="0.25">
      <c r="A114" s="103">
        <v>44652</v>
      </c>
      <c r="B114" s="104" t="s">
        <v>18</v>
      </c>
      <c r="C114" s="104">
        <v>0.5</v>
      </c>
      <c r="D114" s="105">
        <v>0.31666666666666665</v>
      </c>
      <c r="E114" s="102"/>
      <c r="F114" s="108">
        <v>15</v>
      </c>
      <c r="G114" s="108" t="s">
        <v>62</v>
      </c>
      <c r="H114" s="108">
        <v>15</v>
      </c>
      <c r="I114" s="108"/>
      <c r="J114" s="108" t="s">
        <v>10</v>
      </c>
      <c r="K114" s="108"/>
      <c r="L114" s="108">
        <f>+Harvest!L114/Effort!L114</f>
        <v>14.81481481481481</v>
      </c>
      <c r="M114" s="104"/>
      <c r="N114" s="106" t="s">
        <v>10</v>
      </c>
      <c r="O114" s="108">
        <f>+Harvest!O114/Effort!O114</f>
        <v>14.93890475796549</v>
      </c>
    </row>
    <row r="115" spans="1:15" x14ac:dyDescent="0.25">
      <c r="A115" s="103">
        <v>44653</v>
      </c>
      <c r="B115" s="104" t="s">
        <v>19</v>
      </c>
      <c r="C115" s="104">
        <v>0</v>
      </c>
      <c r="D115" s="105">
        <v>0.33819444444444446</v>
      </c>
      <c r="E115" s="102"/>
      <c r="F115" s="108">
        <v>15</v>
      </c>
      <c r="G115" s="108"/>
      <c r="H115" s="108">
        <f>+Harvest!H115/Effort!H115</f>
        <v>15.000000000000027</v>
      </c>
      <c r="I115" s="108"/>
      <c r="J115" s="108">
        <f>+Harvest!J115/Effort!J115</f>
        <v>14.999999999999998</v>
      </c>
      <c r="K115" s="108"/>
      <c r="L115" s="108" t="s">
        <v>10</v>
      </c>
      <c r="M115" s="104"/>
      <c r="N115" s="106" t="s">
        <v>10</v>
      </c>
      <c r="O115" s="108">
        <f>+Harvest!O115/Effort!O115</f>
        <v>15.000000000000007</v>
      </c>
    </row>
    <row r="116" spans="1:15" x14ac:dyDescent="0.25">
      <c r="A116" s="103">
        <v>44654</v>
      </c>
      <c r="B116" s="104" t="s">
        <v>20</v>
      </c>
      <c r="C116" s="104">
        <v>-0.1</v>
      </c>
      <c r="D116" s="105">
        <v>0.36458333333333331</v>
      </c>
      <c r="E116" s="102" t="s">
        <v>62</v>
      </c>
      <c r="F116" s="108">
        <v>13.5</v>
      </c>
      <c r="G116" s="108"/>
      <c r="H116" s="108">
        <f>+Harvest!H116/Effort!H116</f>
        <v>13.75806451612905</v>
      </c>
      <c r="I116" s="108"/>
      <c r="J116" s="108" t="s">
        <v>10</v>
      </c>
      <c r="K116" s="108"/>
      <c r="L116" s="108">
        <f>+Harvest!L116/Effort!L116</f>
        <v>13.450980392156884</v>
      </c>
      <c r="M116" s="104"/>
      <c r="N116" s="106" t="s">
        <v>10</v>
      </c>
      <c r="O116" s="108">
        <f>+Harvest!O116/Effort!O116</f>
        <v>13.551148575061939</v>
      </c>
    </row>
    <row r="117" spans="1:15" x14ac:dyDescent="0.25">
      <c r="A117" s="103">
        <v>44655</v>
      </c>
      <c r="B117" s="104" t="s">
        <v>21</v>
      </c>
      <c r="C117" s="104">
        <v>0</v>
      </c>
      <c r="D117" s="105">
        <v>0.39097222222222222</v>
      </c>
      <c r="E117" s="102" t="s">
        <v>76</v>
      </c>
      <c r="F117" s="108">
        <v>0</v>
      </c>
      <c r="G117" s="108" t="s">
        <v>76</v>
      </c>
      <c r="H117" s="108">
        <v>0</v>
      </c>
      <c r="I117" s="108" t="s">
        <v>76</v>
      </c>
      <c r="J117" s="108">
        <v>0</v>
      </c>
      <c r="K117" s="108"/>
      <c r="L117" s="108" t="s">
        <v>10</v>
      </c>
      <c r="M117" s="104"/>
      <c r="N117" s="106" t="s">
        <v>10</v>
      </c>
      <c r="O117" s="108" t="e">
        <f>+Harvest!O117/Effort!O117</f>
        <v>#DIV/0!</v>
      </c>
    </row>
    <row r="118" spans="1:15" x14ac:dyDescent="0.25">
      <c r="A118" s="103">
        <v>44656</v>
      </c>
      <c r="B118" s="104" t="s">
        <v>22</v>
      </c>
      <c r="C118" s="104">
        <v>0.2</v>
      </c>
      <c r="D118" s="105">
        <v>0.41736111111111113</v>
      </c>
      <c r="E118" s="102" t="s">
        <v>76</v>
      </c>
      <c r="F118" s="108">
        <v>0</v>
      </c>
      <c r="G118" s="108" t="s">
        <v>76</v>
      </c>
      <c r="H118" s="108">
        <v>0</v>
      </c>
      <c r="I118" s="108"/>
      <c r="J118" s="108" t="s">
        <v>10</v>
      </c>
      <c r="K118" s="108" t="s">
        <v>76</v>
      </c>
      <c r="L118" s="108">
        <v>0</v>
      </c>
      <c r="M118" s="104"/>
      <c r="N118" s="106" t="s">
        <v>10</v>
      </c>
      <c r="O118" s="108" t="e">
        <f>+Harvest!O118/Effort!O118</f>
        <v>#DIV/0!</v>
      </c>
    </row>
    <row r="119" spans="1:15" x14ac:dyDescent="0.25">
      <c r="A119" s="103">
        <v>44657</v>
      </c>
      <c r="B119" s="104" t="s">
        <v>23</v>
      </c>
      <c r="C119" s="104">
        <v>0.5</v>
      </c>
      <c r="D119" s="105">
        <v>0.4465277777777778</v>
      </c>
      <c r="E119" s="102"/>
      <c r="F119" s="108">
        <v>14</v>
      </c>
      <c r="G119" s="108"/>
      <c r="H119" s="108">
        <f>+Harvest!H119/Effort!H119</f>
        <v>14.551724137931069</v>
      </c>
      <c r="I119" s="108"/>
      <c r="J119" s="108">
        <f>+Harvest!J119/Effort!J119</f>
        <v>15</v>
      </c>
      <c r="K119" s="108"/>
      <c r="L119" s="108" t="s">
        <v>10</v>
      </c>
      <c r="M119" s="104"/>
      <c r="N119" s="106" t="s">
        <v>10</v>
      </c>
      <c r="O119" s="108">
        <f>+Harvest!O119/Effort!O119</f>
        <v>14.481634563481446</v>
      </c>
    </row>
    <row r="120" spans="1:15" x14ac:dyDescent="0.25">
      <c r="A120" s="103"/>
      <c r="B120" s="104"/>
      <c r="C120" s="104"/>
      <c r="D120" s="105"/>
      <c r="E120" s="102"/>
      <c r="F120" s="106"/>
      <c r="G120" s="104"/>
      <c r="H120" s="108"/>
      <c r="I120" s="104"/>
      <c r="J120" s="106"/>
      <c r="K120" s="104"/>
      <c r="L120" s="106"/>
      <c r="M120" s="104"/>
      <c r="N120" s="106"/>
      <c r="O120" s="108"/>
    </row>
    <row r="121" spans="1:15" x14ac:dyDescent="0.25">
      <c r="A121" s="103">
        <v>44667</v>
      </c>
      <c r="B121" s="104" t="s">
        <v>19</v>
      </c>
      <c r="C121" s="104">
        <v>-0.2</v>
      </c>
      <c r="D121" s="105">
        <v>0.29375000000000001</v>
      </c>
      <c r="E121" s="102"/>
      <c r="F121" s="108">
        <v>19.399999999999999</v>
      </c>
      <c r="G121" s="104"/>
      <c r="H121" s="108">
        <f>+Harvest!H121/Effort!H121</f>
        <v>19.750000000000004</v>
      </c>
      <c r="I121" s="104"/>
      <c r="J121" s="108">
        <f>+Harvest!J121/Effort!J121</f>
        <v>18.939393939393945</v>
      </c>
      <c r="K121" s="104"/>
      <c r="L121" s="106" t="s">
        <v>10</v>
      </c>
      <c r="M121" s="104"/>
      <c r="N121" s="106" t="s">
        <v>10</v>
      </c>
      <c r="O121" s="108">
        <f>+Harvest!O121/Effort!O121</f>
        <v>19.318009166933219</v>
      </c>
    </row>
    <row r="122" spans="1:15" x14ac:dyDescent="0.25">
      <c r="A122" s="103">
        <v>44668</v>
      </c>
      <c r="B122" s="104" t="s">
        <v>20</v>
      </c>
      <c r="C122" s="104">
        <v>-0.8</v>
      </c>
      <c r="D122" s="105">
        <v>0.32291666666666669</v>
      </c>
      <c r="E122" s="102"/>
      <c r="F122" s="108">
        <f>+Harvest!F122/Effort!F122</f>
        <v>19.351699543639352</v>
      </c>
      <c r="G122" s="104" t="s">
        <v>62</v>
      </c>
      <c r="H122" s="108">
        <v>19.5</v>
      </c>
      <c r="I122" s="104"/>
      <c r="J122" s="106" t="s">
        <v>10</v>
      </c>
      <c r="K122" s="104"/>
      <c r="L122" s="108">
        <f>+Harvest!L122/Effort!L122</f>
        <v>19.255813953488374</v>
      </c>
      <c r="M122" s="104"/>
      <c r="N122" s="106" t="s">
        <v>10</v>
      </c>
      <c r="O122" s="108">
        <f>+Harvest!O122/Effort!O122</f>
        <v>19.355404333871562</v>
      </c>
    </row>
    <row r="123" spans="1:15" x14ac:dyDescent="0.25">
      <c r="A123" s="103">
        <v>44669</v>
      </c>
      <c r="B123" s="104" t="s">
        <v>21</v>
      </c>
      <c r="C123" s="104">
        <v>-1.2</v>
      </c>
      <c r="D123" s="105">
        <v>0.3527777777777778</v>
      </c>
      <c r="E123" s="102" t="s">
        <v>62</v>
      </c>
      <c r="F123" s="108">
        <v>19</v>
      </c>
      <c r="G123" s="104" t="s">
        <v>62</v>
      </c>
      <c r="H123" s="108">
        <v>19</v>
      </c>
      <c r="I123" s="104"/>
      <c r="J123" s="108">
        <f>+Harvest!J123/Effort!J123</f>
        <v>18.685185185185176</v>
      </c>
      <c r="K123" s="104"/>
      <c r="L123" s="106" t="s">
        <v>10</v>
      </c>
      <c r="M123" s="104"/>
      <c r="N123" s="106" t="s">
        <v>10</v>
      </c>
      <c r="O123" s="108">
        <f>+Harvest!O123/Effort!O123</f>
        <v>18.882285086384901</v>
      </c>
    </row>
    <row r="124" spans="1:15" x14ac:dyDescent="0.25">
      <c r="A124" s="103">
        <v>44670</v>
      </c>
      <c r="B124" s="104" t="s">
        <v>22</v>
      </c>
      <c r="C124" s="104">
        <v>-1.3</v>
      </c>
      <c r="D124" s="105">
        <v>0.38472222222222219</v>
      </c>
      <c r="E124" s="102"/>
      <c r="F124" s="108">
        <v>19</v>
      </c>
      <c r="G124" s="104"/>
      <c r="H124" s="108">
        <f>+Harvest!H124/Effort!H124</f>
        <v>19.749999999999972</v>
      </c>
      <c r="I124" s="104"/>
      <c r="J124" s="106" t="s">
        <v>10</v>
      </c>
      <c r="K124" s="104"/>
      <c r="L124" s="108">
        <f>+Harvest!L124/Effort!L124</f>
        <v>19.249999999999989</v>
      </c>
      <c r="M124" s="104"/>
      <c r="N124" s="106" t="s">
        <v>10</v>
      </c>
      <c r="O124" s="108">
        <f>+Harvest!O124/Effort!O124</f>
        <v>19.278037994929868</v>
      </c>
    </row>
    <row r="125" spans="1:15" x14ac:dyDescent="0.25">
      <c r="A125" s="103">
        <v>44671</v>
      </c>
      <c r="B125" s="104" t="s">
        <v>23</v>
      </c>
      <c r="C125" s="104">
        <v>-1.2</v>
      </c>
      <c r="D125" s="105">
        <v>0.41944444444444445</v>
      </c>
      <c r="E125" s="102" t="s">
        <v>62</v>
      </c>
      <c r="F125" s="108">
        <v>20</v>
      </c>
      <c r="G125" s="104"/>
      <c r="H125" s="108">
        <f>+Harvest!H125/Effort!H125</f>
        <v>20.000000000000071</v>
      </c>
      <c r="I125" s="104"/>
      <c r="J125" s="108">
        <f>+Harvest!J125/Effort!J125</f>
        <v>19.999999999999964</v>
      </c>
      <c r="K125" s="104"/>
      <c r="L125" s="106" t="s">
        <v>10</v>
      </c>
      <c r="M125" s="104"/>
      <c r="N125" s="106" t="s">
        <v>10</v>
      </c>
      <c r="O125" s="108">
        <f>+Harvest!O125/Effort!O125</f>
        <v>20</v>
      </c>
    </row>
    <row r="126" spans="1:15" x14ac:dyDescent="0.25">
      <c r="A126" s="103">
        <v>44672</v>
      </c>
      <c r="B126" s="104" t="s">
        <v>24</v>
      </c>
      <c r="C126" s="104">
        <v>-0.9</v>
      </c>
      <c r="D126" s="105">
        <v>0.45763888888888887</v>
      </c>
      <c r="E126" s="102" t="s">
        <v>62</v>
      </c>
      <c r="F126" s="108">
        <v>16.5</v>
      </c>
      <c r="G126" s="104" t="s">
        <v>62</v>
      </c>
      <c r="H126" s="108">
        <v>16.5</v>
      </c>
      <c r="I126" s="104"/>
      <c r="J126" s="106" t="s">
        <v>10</v>
      </c>
      <c r="K126" s="104"/>
      <c r="L126" s="108">
        <f>+Harvest!L126/Effort!L126</f>
        <v>16.555555555555504</v>
      </c>
      <c r="M126" s="104"/>
      <c r="N126" s="106" t="s">
        <v>10</v>
      </c>
      <c r="O126" s="108">
        <f>+Harvest!O126/Effort!O126</f>
        <v>16.521769662029087</v>
      </c>
    </row>
    <row r="127" spans="1:15" x14ac:dyDescent="0.25">
      <c r="A127" s="103"/>
      <c r="B127" s="104"/>
      <c r="C127" s="104"/>
      <c r="D127" s="105"/>
      <c r="E127" s="102"/>
      <c r="F127" s="106"/>
      <c r="G127" s="104"/>
      <c r="H127" s="106"/>
      <c r="I127" s="104"/>
      <c r="J127" s="106"/>
      <c r="K127" s="104"/>
      <c r="L127" s="106"/>
      <c r="M127" s="104"/>
      <c r="N127" s="106"/>
      <c r="O127" s="108"/>
    </row>
    <row r="128" spans="1:15" x14ac:dyDescent="0.25">
      <c r="A128" s="103">
        <v>44680</v>
      </c>
      <c r="B128" s="104" t="s">
        <v>18</v>
      </c>
      <c r="C128" s="104">
        <v>-0.1</v>
      </c>
      <c r="D128" s="105">
        <v>0.27152777777777776</v>
      </c>
      <c r="E128" s="102" t="s">
        <v>62</v>
      </c>
      <c r="F128" s="108">
        <v>19.5</v>
      </c>
      <c r="G128" s="104" t="s">
        <v>62</v>
      </c>
      <c r="H128" s="108">
        <v>19.5</v>
      </c>
      <c r="I128" s="104"/>
      <c r="J128" s="108">
        <f>+Harvest!J128/Effort!J128</f>
        <v>19.888888888888946</v>
      </c>
      <c r="K128" s="104"/>
      <c r="L128" s="106" t="s">
        <v>10</v>
      </c>
      <c r="M128" s="104"/>
      <c r="N128" s="106" t="s">
        <v>10</v>
      </c>
      <c r="O128" s="108">
        <f>+Harvest!O128/Effort!O128</f>
        <v>19.644362111134761</v>
      </c>
    </row>
    <row r="129" spans="1:15" x14ac:dyDescent="0.25">
      <c r="A129" s="103">
        <v>44681</v>
      </c>
      <c r="B129" s="104" t="s">
        <v>19</v>
      </c>
      <c r="C129" s="104">
        <v>-0.5</v>
      </c>
      <c r="D129" s="105">
        <v>0.2986111111111111</v>
      </c>
      <c r="E129" s="102"/>
      <c r="F129" s="108">
        <f>+Harvest!F129/Effort!F129</f>
        <v>19.999999999999968</v>
      </c>
      <c r="G129" s="104"/>
      <c r="H129" s="108">
        <f>+Harvest!H129/Effort!H129</f>
        <v>20</v>
      </c>
      <c r="I129" s="104"/>
      <c r="J129" s="106" t="s">
        <v>10</v>
      </c>
      <c r="K129" s="104"/>
      <c r="L129" s="108">
        <f>+Harvest!L129/Effort!L129</f>
        <v>19.553191489361719</v>
      </c>
      <c r="M129" s="104"/>
      <c r="N129" s="106" t="s">
        <v>10</v>
      </c>
      <c r="O129" s="108">
        <f>+Harvest!O129/Effort!O129</f>
        <v>19.884418494580121</v>
      </c>
    </row>
    <row r="130" spans="1:15" x14ac:dyDescent="0.25">
      <c r="A130" s="103">
        <v>44682</v>
      </c>
      <c r="B130" s="104" t="s">
        <v>20</v>
      </c>
      <c r="C130" s="104">
        <v>-0.8</v>
      </c>
      <c r="D130" s="105">
        <v>0.32430555555555557</v>
      </c>
      <c r="E130" s="102"/>
      <c r="F130" s="108">
        <v>20</v>
      </c>
      <c r="G130" s="104"/>
      <c r="H130" s="108">
        <f>+Harvest!H130/Effort!H130</f>
        <v>19.821428571428537</v>
      </c>
      <c r="I130" s="104"/>
      <c r="J130" s="108">
        <f>+Harvest!J130/Effort!J130</f>
        <v>20</v>
      </c>
      <c r="K130" s="104"/>
      <c r="L130" s="106" t="s">
        <v>10</v>
      </c>
      <c r="M130" s="104"/>
      <c r="N130" s="106" t="s">
        <v>10</v>
      </c>
      <c r="O130" s="108">
        <f>+Harvest!O130/Effort!O130</f>
        <v>19.969418826285317</v>
      </c>
    </row>
    <row r="131" spans="1:15" x14ac:dyDescent="0.25">
      <c r="A131" s="103">
        <v>44683</v>
      </c>
      <c r="B131" s="104" t="s">
        <v>21</v>
      </c>
      <c r="C131" s="104">
        <v>-0.8</v>
      </c>
      <c r="D131" s="105">
        <v>0.34861111111111115</v>
      </c>
      <c r="E131" s="102" t="s">
        <v>62</v>
      </c>
      <c r="F131" s="108">
        <v>20</v>
      </c>
      <c r="G131" s="104"/>
      <c r="H131" s="108">
        <f>+Harvest!H131/Effort!H131</f>
        <v>20</v>
      </c>
      <c r="I131" s="104"/>
      <c r="J131" s="106" t="s">
        <v>10</v>
      </c>
      <c r="K131" s="104"/>
      <c r="L131" s="108">
        <f>+Harvest!L131/Effort!L131</f>
        <v>20.00000000000005</v>
      </c>
      <c r="M131" s="104"/>
      <c r="N131" s="106" t="s">
        <v>10</v>
      </c>
      <c r="O131" s="108">
        <f>+Harvest!O131/Effort!O131</f>
        <v>20.000000000000018</v>
      </c>
    </row>
    <row r="132" spans="1:15" x14ac:dyDescent="0.25">
      <c r="A132" s="103">
        <v>44684</v>
      </c>
      <c r="B132" s="104" t="s">
        <v>22</v>
      </c>
      <c r="C132" s="104">
        <v>-0.7</v>
      </c>
      <c r="D132" s="105">
        <v>0.37291666666666662</v>
      </c>
      <c r="E132" s="102" t="s">
        <v>62</v>
      </c>
      <c r="F132" s="108">
        <v>17.5</v>
      </c>
      <c r="G132" s="104" t="s">
        <v>62</v>
      </c>
      <c r="H132" s="108">
        <v>17.5</v>
      </c>
      <c r="I132" s="104"/>
      <c r="J132" s="108">
        <f>+Harvest!J132/Effort!J132</f>
        <v>17.400000000000009</v>
      </c>
      <c r="K132" s="104"/>
      <c r="L132" s="106" t="s">
        <v>10</v>
      </c>
      <c r="M132" s="104"/>
      <c r="N132" s="106" t="s">
        <v>10</v>
      </c>
      <c r="O132" s="108">
        <f>+Harvest!O132/Effort!O132</f>
        <v>17.462878314279642</v>
      </c>
    </row>
    <row r="133" spans="1:15" x14ac:dyDescent="0.25">
      <c r="A133" s="103">
        <v>44685</v>
      </c>
      <c r="B133" s="104" t="s">
        <v>23</v>
      </c>
      <c r="C133" s="104">
        <v>-0.4</v>
      </c>
      <c r="D133" s="105">
        <v>0.39861111111111108</v>
      </c>
      <c r="E133" s="102"/>
      <c r="F133" s="108">
        <v>20</v>
      </c>
      <c r="G133" s="104" t="s">
        <v>62</v>
      </c>
      <c r="H133" s="108">
        <v>20</v>
      </c>
      <c r="I133" s="104"/>
      <c r="J133" s="106" t="s">
        <v>10</v>
      </c>
      <c r="K133" s="104"/>
      <c r="L133" s="108">
        <f>+Harvest!L133/Effort!L133</f>
        <v>20</v>
      </c>
      <c r="M133" s="104"/>
      <c r="N133" s="106" t="s">
        <v>10</v>
      </c>
      <c r="O133" s="108">
        <f>+Harvest!O133/Effort!O133</f>
        <v>19.999999999999996</v>
      </c>
    </row>
    <row r="134" spans="1:15" x14ac:dyDescent="0.25">
      <c r="A134" s="103">
        <v>44686</v>
      </c>
      <c r="B134" s="104" t="s">
        <v>24</v>
      </c>
      <c r="C134" s="104">
        <v>-0.1</v>
      </c>
      <c r="D134" s="105">
        <v>0.42569444444444443</v>
      </c>
      <c r="E134" s="102" t="s">
        <v>62</v>
      </c>
      <c r="F134" s="108">
        <v>11.5</v>
      </c>
      <c r="G134" s="104" t="s">
        <v>62</v>
      </c>
      <c r="H134" s="108">
        <v>11.5</v>
      </c>
      <c r="I134" s="104"/>
      <c r="J134" s="108">
        <f>+Harvest!J134/Effort!J134</f>
        <v>11.392857142857139</v>
      </c>
      <c r="K134" s="104"/>
      <c r="L134" s="106" t="s">
        <v>10</v>
      </c>
      <c r="M134" s="104"/>
      <c r="N134" s="106" t="s">
        <v>10</v>
      </c>
      <c r="O134" s="108">
        <f>+Harvest!O134/Effort!O134</f>
        <v>11.460226765299611</v>
      </c>
    </row>
    <row r="135" spans="1:15" x14ac:dyDescent="0.25">
      <c r="A135" s="103">
        <v>44687</v>
      </c>
      <c r="B135" s="104" t="s">
        <v>18</v>
      </c>
      <c r="C135" s="104">
        <v>0.2</v>
      </c>
      <c r="D135" s="105">
        <v>0.45624999999999999</v>
      </c>
      <c r="E135" s="102" t="s">
        <v>62</v>
      </c>
      <c r="F135" s="108">
        <v>19.5</v>
      </c>
      <c r="G135" s="104" t="s">
        <v>62</v>
      </c>
      <c r="H135" s="108">
        <v>19.5</v>
      </c>
      <c r="I135" s="104"/>
      <c r="J135" s="106" t="s">
        <v>10</v>
      </c>
      <c r="K135" s="104"/>
      <c r="L135" s="108">
        <f>+Harvest!L135/Effort!L135</f>
        <v>19.325000000000045</v>
      </c>
      <c r="M135" s="104"/>
      <c r="N135" s="106" t="s">
        <v>10</v>
      </c>
      <c r="O135" s="108">
        <f>+Harvest!O135/Effort!O135</f>
        <v>19.456351933977338</v>
      </c>
    </row>
    <row r="136" spans="1:15" x14ac:dyDescent="0.25">
      <c r="A136" s="103">
        <v>44688</v>
      </c>
      <c r="B136" s="104" t="s">
        <v>19</v>
      </c>
      <c r="C136" s="104">
        <v>0.5</v>
      </c>
      <c r="D136" s="105">
        <v>0.4916666666666667</v>
      </c>
      <c r="E136" s="102" t="s">
        <v>62</v>
      </c>
      <c r="F136" s="108">
        <v>17</v>
      </c>
      <c r="G136" s="104"/>
      <c r="H136" s="108">
        <f>+Harvest!H136/Effort!H136</f>
        <v>17.343749999999993</v>
      </c>
      <c r="I136" s="104"/>
      <c r="J136" s="108">
        <f>+Harvest!J136/Effort!J136</f>
        <v>16.439024390243883</v>
      </c>
      <c r="K136" s="104"/>
      <c r="L136" s="106" t="s">
        <v>10</v>
      </c>
      <c r="M136" s="104"/>
      <c r="N136" s="106" t="s">
        <v>10</v>
      </c>
      <c r="O136" s="108">
        <f>+Harvest!O136/Effort!O136</f>
        <v>16.87956598652795</v>
      </c>
    </row>
    <row r="137" spans="1:15" x14ac:dyDescent="0.25">
      <c r="A137" s="103"/>
      <c r="B137" s="104"/>
      <c r="C137" s="104"/>
      <c r="D137" s="105"/>
      <c r="E137" s="102"/>
      <c r="F137" s="106"/>
      <c r="G137" s="104"/>
      <c r="H137" s="106"/>
      <c r="I137" s="104"/>
      <c r="J137" s="106"/>
      <c r="K137" s="104"/>
      <c r="L137" s="106"/>
      <c r="M137" s="104"/>
      <c r="N137" s="106"/>
      <c r="O137" s="14"/>
    </row>
    <row r="138" spans="1:15" ht="14.1" customHeight="1" x14ac:dyDescent="0.25">
      <c r="A138" s="31" t="s">
        <v>25</v>
      </c>
      <c r="C138" s="33"/>
      <c r="D138" s="33"/>
      <c r="E138" s="8"/>
      <c r="F138" s="5">
        <f>Harvest!F138/Effort!F138</f>
        <v>16.829218434396896</v>
      </c>
      <c r="H138" s="5">
        <f>Harvest!H138/Effort!H138</f>
        <v>16.917200927820844</v>
      </c>
      <c r="J138" s="5">
        <f>Harvest!J138/Effort!J138</f>
        <v>16.726125855847588</v>
      </c>
      <c r="L138" s="5">
        <f>Harvest!L138/Effort!L138</f>
        <v>16.461491239186969</v>
      </c>
      <c r="N138" s="66">
        <v>0</v>
      </c>
      <c r="O138" s="108">
        <f>+Harvest!O138/Effort!O138</f>
        <v>16.774309561948325</v>
      </c>
    </row>
    <row r="139" spans="1:15" ht="14.1" customHeight="1" x14ac:dyDescent="0.25">
      <c r="A139" s="32" t="s">
        <v>16</v>
      </c>
      <c r="C139" s="33"/>
      <c r="D139" s="33"/>
      <c r="E139" s="8"/>
      <c r="F139" s="35"/>
    </row>
    <row r="140" spans="1:15" ht="14.1" customHeight="1" x14ac:dyDescent="0.25">
      <c r="A140" s="19" t="s">
        <v>17</v>
      </c>
      <c r="C140" s="33"/>
      <c r="D140" s="33"/>
      <c r="E140" s="8"/>
      <c r="F140" s="35"/>
    </row>
    <row r="141" spans="1:15" ht="14.1" customHeight="1" x14ac:dyDescent="0.25"/>
    <row r="142" spans="1:15" ht="14.1" customHeight="1" x14ac:dyDescent="0.25"/>
    <row r="143" spans="1:15" ht="14.1" customHeight="1" x14ac:dyDescent="0.25"/>
    <row r="144" spans="1:15" ht="14.1" customHeight="1" x14ac:dyDescent="0.25"/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38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46"/>
  <sheetViews>
    <sheetView topLeftCell="A106" zoomScale="90" zoomScaleNormal="90" workbookViewId="0">
      <selection activeCell="L137" sqref="L137"/>
    </sheetView>
  </sheetViews>
  <sheetFormatPr defaultRowHeight="15" x14ac:dyDescent="0.25"/>
  <cols>
    <col min="1" max="1" width="8.7109375" customWidth="1"/>
    <col min="20" max="20" width="10.85546875" style="34" customWidth="1"/>
    <col min="24" max="24" width="9.85546875" customWidth="1"/>
  </cols>
  <sheetData>
    <row r="1" spans="1:24" ht="15.75" thickBot="1" x14ac:dyDescent="0.3">
      <c r="A1" s="50" t="s">
        <v>66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61"/>
      <c r="U1" s="50"/>
      <c r="V1" s="136"/>
    </row>
    <row r="2" spans="1:24" ht="15.75" thickTop="1" x14ac:dyDescent="0.25">
      <c r="A2" s="51"/>
      <c r="B2" s="51"/>
      <c r="C2" s="51"/>
      <c r="D2" s="51"/>
      <c r="E2" s="155" t="s">
        <v>45</v>
      </c>
      <c r="F2" s="156"/>
      <c r="G2" s="157"/>
      <c r="H2" s="155" t="s">
        <v>46</v>
      </c>
      <c r="I2" s="156"/>
      <c r="J2" s="157"/>
      <c r="K2" s="155" t="s">
        <v>47</v>
      </c>
      <c r="L2" s="156"/>
      <c r="M2" s="157"/>
      <c r="N2" s="155" t="s">
        <v>48</v>
      </c>
      <c r="O2" s="156"/>
      <c r="P2" s="157"/>
      <c r="Q2" s="150" t="s">
        <v>49</v>
      </c>
      <c r="R2" s="151"/>
      <c r="S2" s="152"/>
      <c r="T2" s="153" t="s">
        <v>52</v>
      </c>
      <c r="U2" s="154"/>
      <c r="V2" s="135"/>
      <c r="W2" s="101" t="s">
        <v>77</v>
      </c>
      <c r="X2" s="101" t="s">
        <v>78</v>
      </c>
    </row>
    <row r="3" spans="1:24" ht="15.75" thickBot="1" x14ac:dyDescent="0.3">
      <c r="A3" s="52" t="s">
        <v>53</v>
      </c>
      <c r="B3" s="52" t="s">
        <v>54</v>
      </c>
      <c r="C3" s="52" t="s">
        <v>55</v>
      </c>
      <c r="D3" s="52" t="s">
        <v>56</v>
      </c>
      <c r="E3" s="53" t="s">
        <v>27</v>
      </c>
      <c r="F3" s="52" t="s">
        <v>28</v>
      </c>
      <c r="G3" s="52" t="s">
        <v>29</v>
      </c>
      <c r="H3" s="53" t="s">
        <v>27</v>
      </c>
      <c r="I3" s="52" t="s">
        <v>28</v>
      </c>
      <c r="J3" s="52" t="s">
        <v>29</v>
      </c>
      <c r="K3" s="53" t="s">
        <v>27</v>
      </c>
      <c r="L3" s="52" t="s">
        <v>28</v>
      </c>
      <c r="M3" s="52" t="s">
        <v>29</v>
      </c>
      <c r="N3" s="53" t="s">
        <v>27</v>
      </c>
      <c r="O3" s="52" t="s">
        <v>28</v>
      </c>
      <c r="P3" s="52" t="s">
        <v>29</v>
      </c>
      <c r="Q3" s="53" t="s">
        <v>27</v>
      </c>
      <c r="R3" s="52" t="s">
        <v>28</v>
      </c>
      <c r="S3" s="52" t="s">
        <v>29</v>
      </c>
      <c r="T3" s="62" t="s">
        <v>27</v>
      </c>
      <c r="U3" s="54" t="s">
        <v>28</v>
      </c>
      <c r="V3" s="135"/>
    </row>
    <row r="4" spans="1:24" ht="15.75" thickTop="1" x14ac:dyDescent="0.25">
      <c r="A4" s="55">
        <v>44456</v>
      </c>
      <c r="B4" s="56" t="s">
        <v>18</v>
      </c>
      <c r="C4" s="104">
        <v>-0.4</v>
      </c>
      <c r="D4" s="105">
        <v>0.1875</v>
      </c>
      <c r="E4" s="57">
        <f>Effort!F2</f>
        <v>629.69759627102769</v>
      </c>
      <c r="F4" s="58">
        <f>Harvest!F2</f>
        <v>12593.951925420553</v>
      </c>
      <c r="G4" s="59">
        <f>+CPUE!F2</f>
        <v>20</v>
      </c>
      <c r="H4" s="57">
        <f>Effort!H2</f>
        <v>303.77095738293343</v>
      </c>
      <c r="I4" s="58">
        <f>Harvest!H2</f>
        <v>6075.4191476586684</v>
      </c>
      <c r="J4" s="59">
        <f>CPUE!H2</f>
        <v>20</v>
      </c>
      <c r="K4" s="57" t="str">
        <f>Effort!J2</f>
        <v>CLOSED</v>
      </c>
      <c r="L4" s="58" t="str">
        <f>Harvest!J2</f>
        <v>CLOSED</v>
      </c>
      <c r="M4" s="59" t="str">
        <f>CPUE!J2</f>
        <v>CLOSED</v>
      </c>
      <c r="N4" s="125">
        <f>Effort!L2</f>
        <v>486.38838559683501</v>
      </c>
      <c r="O4" s="126">
        <f>Harvest!L2</f>
        <v>9619.6814040262907</v>
      </c>
      <c r="P4" s="127">
        <f>CPUE!L2</f>
        <v>19.777777777777775</v>
      </c>
      <c r="Q4" s="57" t="s">
        <v>10</v>
      </c>
      <c r="R4" s="58" t="s">
        <v>10</v>
      </c>
      <c r="S4" s="60" t="s">
        <v>10</v>
      </c>
      <c r="T4" s="57">
        <f>SUM(E4+H4+N4)</f>
        <v>1419.8569392507961</v>
      </c>
      <c r="U4" s="58">
        <f>SUM(F4+I4+O4)</f>
        <v>28289.052477105513</v>
      </c>
      <c r="V4" s="58"/>
    </row>
    <row r="5" spans="1:24" x14ac:dyDescent="0.25">
      <c r="A5" s="55">
        <v>44457</v>
      </c>
      <c r="B5" s="56" t="s">
        <v>19</v>
      </c>
      <c r="C5" s="104">
        <v>-0.5</v>
      </c>
      <c r="D5" s="105">
        <v>0.22361111111111109</v>
      </c>
      <c r="E5" s="125">
        <f>Effort!F3</f>
        <v>1341.6417026899589</v>
      </c>
      <c r="F5" s="126">
        <f>Harvest!F3</f>
        <v>25491.192351109221</v>
      </c>
      <c r="G5" s="127">
        <f>+CPUE!F3</f>
        <v>19</v>
      </c>
      <c r="H5" s="57">
        <f>Effort!H3</f>
        <v>999.37121203330139</v>
      </c>
      <c r="I5" s="58">
        <f>Harvest!H3</f>
        <v>19987.424240666027</v>
      </c>
      <c r="J5" s="59">
        <f>CPUE!H3</f>
        <v>20</v>
      </c>
      <c r="K5" s="125">
        <f>Effort!J3</f>
        <v>1358.2050233327</v>
      </c>
      <c r="L5" s="126">
        <f>Harvest!J3</f>
        <v>26711.365458876498</v>
      </c>
      <c r="M5" s="127">
        <f>CPUE!J3</f>
        <v>19.666666666666714</v>
      </c>
      <c r="N5" s="57" t="str">
        <f>Effort!L3</f>
        <v>CLOSED</v>
      </c>
      <c r="O5" s="58" t="str">
        <f>Harvest!L3</f>
        <v>CLOSED</v>
      </c>
      <c r="P5" s="59" t="str">
        <f>CPUE!L3</f>
        <v>CLOSED</v>
      </c>
      <c r="Q5" s="57" t="s">
        <v>10</v>
      </c>
      <c r="R5" s="58" t="s">
        <v>10</v>
      </c>
      <c r="S5" s="60" t="s">
        <v>10</v>
      </c>
      <c r="T5" s="57">
        <f>SUM(E5+H5+K5)</f>
        <v>3699.2179380559601</v>
      </c>
      <c r="U5" s="58">
        <f>SUM(F5+I5+L5)</f>
        <v>72189.982050651743</v>
      </c>
      <c r="V5" s="58"/>
    </row>
    <row r="6" spans="1:24" x14ac:dyDescent="0.25">
      <c r="A6" s="55">
        <v>44458</v>
      </c>
      <c r="B6" s="56" t="s">
        <v>20</v>
      </c>
      <c r="C6" s="104">
        <v>-0.6</v>
      </c>
      <c r="D6" s="105">
        <v>0.25416666666666665</v>
      </c>
      <c r="E6" s="57">
        <f>Effort!F4</f>
        <v>5552.9879783754704</v>
      </c>
      <c r="F6" s="58">
        <f>Harvest!F4</f>
        <v>111059.75956750941</v>
      </c>
      <c r="G6" s="59">
        <f>+CPUE!F4</f>
        <v>20</v>
      </c>
      <c r="H6" s="125">
        <f>Effort!H4</f>
        <v>2499.7090367293599</v>
      </c>
      <c r="I6" s="126">
        <f>Harvest!H4</f>
        <v>47195.998977054303</v>
      </c>
      <c r="J6" s="127">
        <f>CPUE!H4</f>
        <v>18.88059701492536</v>
      </c>
      <c r="K6" s="57" t="str">
        <f>Effort!J4</f>
        <v>CLOSED</v>
      </c>
      <c r="L6" s="58" t="str">
        <f>Harvest!J4</f>
        <v>CLOSED</v>
      </c>
      <c r="M6" s="59" t="str">
        <f>CPUE!J4</f>
        <v>CLOSED</v>
      </c>
      <c r="N6" s="125">
        <f>Effort!L4</f>
        <v>4289.21576648068</v>
      </c>
      <c r="O6" s="126">
        <f>Harvest!L4</f>
        <v>69378.065022825103</v>
      </c>
      <c r="P6" s="127">
        <f>CPUE!L4</f>
        <v>16.175000000000026</v>
      </c>
      <c r="Q6" s="57" t="s">
        <v>10</v>
      </c>
      <c r="R6" s="58" t="s">
        <v>10</v>
      </c>
      <c r="S6" s="60" t="s">
        <v>10</v>
      </c>
      <c r="T6" s="57">
        <f>SUM(E6+H6+N6)</f>
        <v>12341.91278158551</v>
      </c>
      <c r="U6" s="58">
        <f>SUM(F6+I6+O6)</f>
        <v>227633.82356738881</v>
      </c>
      <c r="V6" s="58"/>
    </row>
    <row r="7" spans="1:24" x14ac:dyDescent="0.25">
      <c r="A7" s="55">
        <v>44459</v>
      </c>
      <c r="B7" s="56" t="s">
        <v>21</v>
      </c>
      <c r="C7" s="104">
        <v>-0.5</v>
      </c>
      <c r="D7" s="105">
        <v>0.28125</v>
      </c>
      <c r="E7" s="57">
        <f>Effort!F5</f>
        <v>2048.2746703339508</v>
      </c>
      <c r="F7" s="58">
        <f>Harvest!F5</f>
        <v>40965.493406679016</v>
      </c>
      <c r="G7" s="59">
        <f>+CPUE!F5</f>
        <v>20</v>
      </c>
      <c r="H7" s="125">
        <f>Effort!H5</f>
        <v>1523.4636857980599</v>
      </c>
      <c r="I7" s="126">
        <f>Harvest!H5</f>
        <v>29905.0279064063</v>
      </c>
      <c r="J7" s="127">
        <f>CPUE!H5</f>
        <v>19.629629629629587</v>
      </c>
      <c r="K7" s="125">
        <f>Effort!J5</f>
        <v>2070.4779225188699</v>
      </c>
      <c r="L7" s="126">
        <f>Harvest!J5</f>
        <v>41409.558450377299</v>
      </c>
      <c r="M7" s="127">
        <f>CPUE!J5</f>
        <v>19.99999999999995</v>
      </c>
      <c r="N7" s="57" t="str">
        <f>Effort!L5</f>
        <v>CLOSED</v>
      </c>
      <c r="O7" s="58" t="str">
        <f>Harvest!L5</f>
        <v>CLOSED</v>
      </c>
      <c r="P7" s="59" t="str">
        <f>CPUE!L5</f>
        <v>CLOSED</v>
      </c>
      <c r="Q7" s="57" t="s">
        <v>10</v>
      </c>
      <c r="R7" s="58" t="s">
        <v>10</v>
      </c>
      <c r="S7" s="60" t="s">
        <v>10</v>
      </c>
      <c r="T7" s="57">
        <f>SUM(E7+H7+K7)</f>
        <v>5642.2162786508807</v>
      </c>
      <c r="U7" s="58">
        <f>SUM(F7+I7+L7)</f>
        <v>112280.07976346261</v>
      </c>
      <c r="V7" s="58"/>
    </row>
    <row r="8" spans="1:24" x14ac:dyDescent="0.25">
      <c r="A8" s="55">
        <v>44460</v>
      </c>
      <c r="B8" s="56" t="s">
        <v>22</v>
      </c>
      <c r="C8" s="104">
        <v>-0.2</v>
      </c>
      <c r="D8" s="105">
        <v>0.30624999999999997</v>
      </c>
      <c r="E8" s="125">
        <f>Effort!F6</f>
        <v>2709.6774807777501</v>
      </c>
      <c r="F8" s="126">
        <f>Harvest!F6</f>
        <v>54193.549615555094</v>
      </c>
      <c r="G8" s="127">
        <f>+CPUE!F6</f>
        <v>20.000000000000032</v>
      </c>
      <c r="H8" s="125">
        <f>Effort!H6</f>
        <v>1307.1692307692299</v>
      </c>
      <c r="I8" s="126">
        <f>Harvest!H6</f>
        <v>24836.2153846154</v>
      </c>
      <c r="J8" s="127">
        <f>CPUE!H6</f>
        <v>19.000000000000025</v>
      </c>
      <c r="K8" s="57" t="str">
        <f>Effort!J6</f>
        <v>CLOSED</v>
      </c>
      <c r="L8" s="58" t="str">
        <f>Harvest!J6</f>
        <v>CLOSED</v>
      </c>
      <c r="M8" s="59" t="str">
        <f>CPUE!J6</f>
        <v>CLOSED</v>
      </c>
      <c r="N8" s="125">
        <f>Effort!L6</f>
        <v>2092.9977550626199</v>
      </c>
      <c r="O8" s="126">
        <f>Harvest!L6</f>
        <v>41859.955101252301</v>
      </c>
      <c r="P8" s="127">
        <f>CPUE!L6</f>
        <v>19.999999999999954</v>
      </c>
      <c r="Q8" s="57" t="s">
        <v>10</v>
      </c>
      <c r="R8" s="58" t="s">
        <v>10</v>
      </c>
      <c r="S8" s="60" t="s">
        <v>10</v>
      </c>
      <c r="T8" s="57">
        <f>SUM(E8+H8+N8)</f>
        <v>6109.8444666096002</v>
      </c>
      <c r="U8" s="58">
        <f>SUM(F8+I8+O8)</f>
        <v>120889.72010142279</v>
      </c>
      <c r="V8" s="58"/>
    </row>
    <row r="9" spans="1:24" x14ac:dyDescent="0.25">
      <c r="A9" s="55">
        <v>44461</v>
      </c>
      <c r="B9" s="56" t="s">
        <v>23</v>
      </c>
      <c r="C9" s="104">
        <v>0.3</v>
      </c>
      <c r="D9" s="105">
        <v>0.32916666666666666</v>
      </c>
      <c r="E9" s="125">
        <f>Effort!F7</f>
        <v>2938.4080135312638</v>
      </c>
      <c r="F9" s="126">
        <f>Harvest!F7</f>
        <v>57115.305763013937</v>
      </c>
      <c r="G9" s="127">
        <f>+CPUE!F7</f>
        <v>19.4375</v>
      </c>
      <c r="H9" s="125">
        <f>Effort!H7</f>
        <v>1560.3865057799601</v>
      </c>
      <c r="I9" s="126">
        <f>Harvest!H7</f>
        <v>29693.2373305775</v>
      </c>
      <c r="J9" s="127">
        <f>CPUE!H7</f>
        <v>19.029411764705898</v>
      </c>
      <c r="K9" s="125">
        <f>Effort!J7</f>
        <v>2970.2602914955201</v>
      </c>
      <c r="L9" s="126">
        <f>Harvest!J7</f>
        <v>52765.800472449897</v>
      </c>
      <c r="M9" s="127">
        <f>CPUE!J7</f>
        <v>17.764705882352963</v>
      </c>
      <c r="N9" s="57" t="str">
        <f>Effort!L7</f>
        <v>CLOSED</v>
      </c>
      <c r="O9" s="58" t="str">
        <f>Harvest!L7</f>
        <v>CLOSED</v>
      </c>
      <c r="P9" s="59" t="str">
        <f>CPUE!L7</f>
        <v>CLOSED</v>
      </c>
      <c r="Q9" s="57" t="s">
        <v>10</v>
      </c>
      <c r="R9" s="58" t="s">
        <v>10</v>
      </c>
      <c r="S9" s="60" t="s">
        <v>10</v>
      </c>
      <c r="T9" s="57">
        <f>SUM(E9+H9+K9)</f>
        <v>7469.0548108067433</v>
      </c>
      <c r="U9" s="58">
        <f>SUM(F9+I9+L9)</f>
        <v>139574.34356604132</v>
      </c>
      <c r="V9" s="58"/>
    </row>
    <row r="10" spans="1:24" x14ac:dyDescent="0.25">
      <c r="A10" s="55">
        <v>44462</v>
      </c>
      <c r="B10" s="56" t="s">
        <v>24</v>
      </c>
      <c r="C10" s="104">
        <v>0.3</v>
      </c>
      <c r="D10" s="105">
        <v>0.87361111111111101</v>
      </c>
      <c r="E10" s="57">
        <f>Effort!F8</f>
        <v>1635.9813617810437</v>
      </c>
      <c r="F10" s="58">
        <f>Harvest!F8</f>
        <v>30265.655192949307</v>
      </c>
      <c r="G10" s="59">
        <f>+CPUE!F8</f>
        <v>18.5</v>
      </c>
      <c r="H10" s="125">
        <f>Effort!H8</f>
        <v>1534.58859095405</v>
      </c>
      <c r="I10" s="126">
        <f>Harvest!H8</f>
        <v>28236.4300735545</v>
      </c>
      <c r="J10" s="127">
        <f>CPUE!H8</f>
        <v>18.399999999999988</v>
      </c>
      <c r="K10" s="57" t="str">
        <f>Effort!J8</f>
        <v>CLOSED</v>
      </c>
      <c r="L10" s="58" t="str">
        <f>Harvest!J8</f>
        <v>CLOSED</v>
      </c>
      <c r="M10" s="59" t="str">
        <f>CPUE!J8</f>
        <v>CLOSED</v>
      </c>
      <c r="N10" s="125">
        <f>Effort!L8</f>
        <v>1263.6578861589101</v>
      </c>
      <c r="O10" s="126">
        <f>Harvest!L8</f>
        <v>21116.388360813398</v>
      </c>
      <c r="P10" s="127">
        <f>CPUE!L8</f>
        <v>16.710526315789501</v>
      </c>
      <c r="Q10" s="57" t="s">
        <v>10</v>
      </c>
      <c r="R10" s="58" t="s">
        <v>10</v>
      </c>
      <c r="S10" s="60" t="s">
        <v>10</v>
      </c>
      <c r="T10" s="57">
        <f>SUM(E10+H10+N10)</f>
        <v>4434.2278388940031</v>
      </c>
      <c r="U10" s="58">
        <f>SUM(F10+I10+O10)</f>
        <v>79618.473627317202</v>
      </c>
      <c r="V10" s="58"/>
    </row>
    <row r="11" spans="1:24" x14ac:dyDescent="0.25">
      <c r="A11" s="55">
        <v>44463</v>
      </c>
      <c r="B11" s="56" t="s">
        <v>18</v>
      </c>
      <c r="C11" s="104">
        <v>0.4</v>
      </c>
      <c r="D11" s="105">
        <v>0.9</v>
      </c>
      <c r="E11" s="57">
        <f>Effort!F9</f>
        <v>2161.7358730880833</v>
      </c>
      <c r="F11" s="58">
        <f>Harvest!F9</f>
        <v>39992.113652129541</v>
      </c>
      <c r="G11" s="59">
        <f>+CPUE!F9</f>
        <v>18.5</v>
      </c>
      <c r="H11" s="57">
        <f>Effort!H9</f>
        <v>1607.8537457086818</v>
      </c>
      <c r="I11" s="58">
        <f>Harvest!H9</f>
        <v>29745.294295610613</v>
      </c>
      <c r="J11" s="59">
        <f>CPUE!H9</f>
        <v>18.5</v>
      </c>
      <c r="K11" s="125">
        <f>Effort!J9</f>
        <v>2185.16904220477</v>
      </c>
      <c r="L11" s="126">
        <f>Harvest!J9</f>
        <v>40269.543777773601</v>
      </c>
      <c r="M11" s="127">
        <f>CPUE!J9</f>
        <v>18.42857142857142</v>
      </c>
      <c r="N11" s="57" t="str">
        <f>Effort!L9</f>
        <v>CLOSED</v>
      </c>
      <c r="O11" s="58" t="str">
        <f>Harvest!L9</f>
        <v>CLOSED</v>
      </c>
      <c r="P11" s="59" t="str">
        <f>CPUE!L9</f>
        <v>CLOSED</v>
      </c>
      <c r="Q11" s="57" t="s">
        <v>10</v>
      </c>
      <c r="R11" s="58" t="s">
        <v>10</v>
      </c>
      <c r="S11" s="60" t="s">
        <v>10</v>
      </c>
      <c r="T11" s="57">
        <f>SUM(E11+H11+K11)</f>
        <v>5954.7586610015351</v>
      </c>
      <c r="U11" s="58">
        <f>SUM(F11+I11+L11)</f>
        <v>110006.95172551376</v>
      </c>
      <c r="V11" s="58"/>
    </row>
    <row r="12" spans="1:24" x14ac:dyDescent="0.25">
      <c r="A12" s="55">
        <v>44464</v>
      </c>
      <c r="B12" s="56" t="s">
        <v>19</v>
      </c>
      <c r="C12" s="104">
        <v>0.5</v>
      </c>
      <c r="D12" s="105">
        <v>0.92708333333333337</v>
      </c>
      <c r="E12" s="125">
        <f>Effort!F10</f>
        <v>3025.6119637708398</v>
      </c>
      <c r="F12" s="126">
        <f>Harvest!F10</f>
        <v>57184.06611526887</v>
      </c>
      <c r="G12" s="127">
        <f>+CPUE!F10</f>
        <v>18.899999999999999</v>
      </c>
      <c r="H12" s="125">
        <f>Effort!H10</f>
        <v>2889.6192115496101</v>
      </c>
      <c r="I12" s="126">
        <f>Harvest!H10</f>
        <v>47702.402393942</v>
      </c>
      <c r="J12" s="127">
        <f>CPUE!H10</f>
        <v>16.508196721311503</v>
      </c>
      <c r="K12" s="125">
        <f>Effort!J10</f>
        <v>1608.5393510859401</v>
      </c>
      <c r="L12" s="126">
        <f>Harvest!J10</f>
        <v>32170.787021718799</v>
      </c>
      <c r="M12" s="127">
        <f>CPUE!J10</f>
        <v>20</v>
      </c>
      <c r="N12" s="125">
        <f>Effort!L10</f>
        <v>1124.0876362341401</v>
      </c>
      <c r="O12" s="126">
        <f>Harvest!L10</f>
        <v>18922.141876608101</v>
      </c>
      <c r="P12" s="127">
        <f>CPUE!L10</f>
        <v>16.8333333333334</v>
      </c>
      <c r="Q12" s="57" t="s">
        <v>10</v>
      </c>
      <c r="R12" s="58" t="s">
        <v>10</v>
      </c>
      <c r="S12" s="60" t="s">
        <v>10</v>
      </c>
      <c r="T12" s="57">
        <f>SUM(E12+H12+N12+K12)</f>
        <v>8647.8581626405303</v>
      </c>
      <c r="U12" s="58">
        <f>SUM(F12+I12+O12+L12)</f>
        <v>155979.39740753776</v>
      </c>
      <c r="V12" s="58"/>
    </row>
    <row r="13" spans="1:24" x14ac:dyDescent="0.25">
      <c r="A13" s="148" t="s">
        <v>57</v>
      </c>
      <c r="B13" s="148"/>
      <c r="C13" s="148"/>
      <c r="D13" s="149"/>
      <c r="E13" s="63">
        <f>SUM(E4:E12)</f>
        <v>22044.016640619389</v>
      </c>
      <c r="F13" s="64">
        <f>SUM(F4:F12)</f>
        <v>428861.08758963493</v>
      </c>
      <c r="G13" s="65">
        <f>+F13/E13</f>
        <v>19.454761560984963</v>
      </c>
      <c r="H13" s="63">
        <f>SUM(H4:H12)</f>
        <v>14225.932176705188</v>
      </c>
      <c r="I13" s="64">
        <f>SUM(I4:I12)</f>
        <v>263377.4497500853</v>
      </c>
      <c r="J13" s="65">
        <f>+I13/H13</f>
        <v>18.513897471081936</v>
      </c>
      <c r="K13" s="63">
        <f>SUM(K4:K12)</f>
        <v>10192.6516306378</v>
      </c>
      <c r="L13" s="64">
        <f>SUM(L4:L12)</f>
        <v>193327.05518119608</v>
      </c>
      <c r="M13" s="65">
        <f>+L13/K13</f>
        <v>18.967297440057681</v>
      </c>
      <c r="N13" s="63">
        <f>SUM(N4:N12)</f>
        <v>9256.3474295331853</v>
      </c>
      <c r="O13" s="64">
        <f>SUM(O4:O12)</f>
        <v>160896.23176552521</v>
      </c>
      <c r="P13" s="65">
        <f>+O13/N13</f>
        <v>17.382259362064534</v>
      </c>
      <c r="Q13" s="63"/>
      <c r="R13" s="64"/>
      <c r="S13" s="65"/>
      <c r="T13" s="63">
        <f>SUM(T4:T12)</f>
        <v>55718.947877495557</v>
      </c>
      <c r="U13" s="64">
        <f>SUM(U4:U12)</f>
        <v>1046461.8242864416</v>
      </c>
      <c r="V13" s="81"/>
      <c r="W13" s="34">
        <f>SUM(H13,K13,N13,Q13,E13)</f>
        <v>55718.947877495564</v>
      </c>
      <c r="X13" s="34">
        <f>SUM(R13,O13,L13,I13,F13)</f>
        <v>1046461.8242864414</v>
      </c>
    </row>
    <row r="14" spans="1:24" x14ac:dyDescent="0.25">
      <c r="A14" s="55">
        <v>44472</v>
      </c>
      <c r="B14" s="56" t="s">
        <v>20</v>
      </c>
      <c r="C14" s="104">
        <v>0.2</v>
      </c>
      <c r="D14" s="105">
        <v>0.20277777777777781</v>
      </c>
      <c r="E14" s="128">
        <f>Effort!F12</f>
        <v>1307.6099215092988</v>
      </c>
      <c r="F14" s="129">
        <f>Harvest!F12</f>
        <v>18306.538901130185</v>
      </c>
      <c r="G14" s="130">
        <f>+CPUE!F12</f>
        <v>14</v>
      </c>
      <c r="H14" s="128">
        <f>Effort!H12</f>
        <v>939.82646859600288</v>
      </c>
      <c r="I14" s="129">
        <f>Harvest!H12</f>
        <v>13157.57056034404</v>
      </c>
      <c r="J14" s="130">
        <f>CPUE!H12</f>
        <v>14</v>
      </c>
      <c r="K14" s="125">
        <f>Effort!J12</f>
        <v>964.63770115833802</v>
      </c>
      <c r="L14" s="126">
        <f>Harvest!J12</f>
        <v>13628.5993163652</v>
      </c>
      <c r="M14" s="127">
        <f>CPUE!J12</f>
        <v>14.12820512820509</v>
      </c>
      <c r="N14" s="128" t="str">
        <f>Effort!L12</f>
        <v>CLOSED</v>
      </c>
      <c r="O14" s="129" t="str">
        <f>Harvest!L12</f>
        <v>CLOSED</v>
      </c>
      <c r="P14" s="130" t="str">
        <f>CPUE!L12</f>
        <v>CLOSED</v>
      </c>
      <c r="Q14" s="57" t="s">
        <v>10</v>
      </c>
      <c r="R14" s="58" t="s">
        <v>10</v>
      </c>
      <c r="S14" s="60" t="s">
        <v>10</v>
      </c>
      <c r="T14" s="57">
        <f>SUM(E14+H14+K14)</f>
        <v>3212.0740912636397</v>
      </c>
      <c r="U14" s="58">
        <f>SUM(F14+I14+L14)</f>
        <v>45092.708777839427</v>
      </c>
      <c r="V14" s="58"/>
    </row>
    <row r="15" spans="1:24" x14ac:dyDescent="0.25">
      <c r="A15" s="55">
        <v>44473</v>
      </c>
      <c r="B15" s="56" t="s">
        <v>21</v>
      </c>
      <c r="C15" s="104">
        <v>0</v>
      </c>
      <c r="D15" s="105">
        <v>0.23124999999999998</v>
      </c>
      <c r="E15" s="128">
        <f>Effort!F13</f>
        <v>609.67823971334099</v>
      </c>
      <c r="F15" s="129">
        <f>Harvest!F13</f>
        <v>7925.8171162734325</v>
      </c>
      <c r="G15" s="130">
        <f>+CPUE!F13</f>
        <v>13</v>
      </c>
      <c r="H15" s="128">
        <f>Effort!H13</f>
        <v>365.45959667434568</v>
      </c>
      <c r="I15" s="129">
        <f>Harvest!H13</f>
        <v>4750.9747567664936</v>
      </c>
      <c r="J15" s="130">
        <f>CPUE!H13</f>
        <v>13</v>
      </c>
      <c r="K15" s="128" t="str">
        <f>Effort!J13</f>
        <v>CLOSED</v>
      </c>
      <c r="L15" s="129" t="str">
        <f>Harvest!J13</f>
        <v>CLOSED</v>
      </c>
      <c r="M15" s="130" t="str">
        <f>CPUE!J13</f>
        <v>CLOSED</v>
      </c>
      <c r="N15" s="125">
        <f>Effort!L13</f>
        <v>459.003515598283</v>
      </c>
      <c r="O15" s="126">
        <f>Harvest!L13</f>
        <v>5923.3310822445001</v>
      </c>
      <c r="P15" s="127">
        <f>CPUE!L13</f>
        <v>12.904761904761886</v>
      </c>
      <c r="Q15" s="57" t="s">
        <v>10</v>
      </c>
      <c r="R15" s="58" t="s">
        <v>10</v>
      </c>
      <c r="S15" s="60" t="s">
        <v>10</v>
      </c>
      <c r="T15" s="57">
        <f>SUM(E15+H15+N15)</f>
        <v>1434.1413519859698</v>
      </c>
      <c r="U15" s="58">
        <f>SUM(F15+I15+O15)</f>
        <v>18600.122955284423</v>
      </c>
      <c r="V15" s="58"/>
    </row>
    <row r="16" spans="1:24" x14ac:dyDescent="0.25">
      <c r="A16" s="55">
        <v>44474</v>
      </c>
      <c r="B16" s="56" t="s">
        <v>22</v>
      </c>
      <c r="C16" s="104">
        <v>-0.1</v>
      </c>
      <c r="D16" s="105">
        <v>0.25833333333333336</v>
      </c>
      <c r="E16" s="125">
        <f>Effort!F14</f>
        <v>585.84064202773402</v>
      </c>
      <c r="F16" s="126">
        <f>Harvest!F14</f>
        <v>5682.6542276690197</v>
      </c>
      <c r="G16" s="127">
        <f>+CPUE!F14</f>
        <v>9.6999999999999993</v>
      </c>
      <c r="H16" s="125">
        <f>Effort!H14</f>
        <v>421.06482422634701</v>
      </c>
      <c r="I16" s="126">
        <f>Harvest!H14</f>
        <v>6365.5094015394798</v>
      </c>
      <c r="J16" s="127">
        <f>CPUE!H14</f>
        <v>15.117647058823525</v>
      </c>
      <c r="K16" s="125">
        <f>Effort!J14</f>
        <v>432.18085215999901</v>
      </c>
      <c r="L16" s="126">
        <f>Harvest!J14</f>
        <v>5618.3510780799897</v>
      </c>
      <c r="M16" s="127">
        <f>CPUE!J14</f>
        <v>13.000000000000005</v>
      </c>
      <c r="N16" s="128" t="str">
        <f>Effort!L14</f>
        <v>CLOSED</v>
      </c>
      <c r="O16" s="129" t="str">
        <f>Harvest!L14</f>
        <v>CLOSED</v>
      </c>
      <c r="P16" s="130" t="str">
        <f>CPUE!L14</f>
        <v>CLOSED</v>
      </c>
      <c r="Q16" s="57" t="s">
        <v>10</v>
      </c>
      <c r="R16" s="58" t="s">
        <v>10</v>
      </c>
      <c r="S16" s="60" t="s">
        <v>10</v>
      </c>
      <c r="T16" s="57">
        <f>SUM(E16+H16+K16)</f>
        <v>1439.0863184140801</v>
      </c>
      <c r="U16" s="58">
        <f>SUM(F16+I16+L16)</f>
        <v>17666.514707288487</v>
      </c>
      <c r="V16" s="58"/>
    </row>
    <row r="17" spans="1:24" x14ac:dyDescent="0.25">
      <c r="A17" s="55">
        <v>44475</v>
      </c>
      <c r="B17" s="56" t="s">
        <v>23</v>
      </c>
      <c r="C17" s="104">
        <v>-0.3</v>
      </c>
      <c r="D17" s="105">
        <v>0.80555555555555547</v>
      </c>
      <c r="E17" s="128">
        <f>Effort!F15</f>
        <v>4061.9161355260571</v>
      </c>
      <c r="F17" s="129">
        <f>Harvest!F15</f>
        <v>77176.406574995082</v>
      </c>
      <c r="G17" s="130">
        <f>+CPUE!F15</f>
        <v>19</v>
      </c>
      <c r="H17" s="125">
        <f>Effort!H15</f>
        <v>2434.8355180141202</v>
      </c>
      <c r="I17" s="126">
        <f>Harvest!H15</f>
        <v>44090.2647856611</v>
      </c>
      <c r="J17" s="127">
        <f>CPUE!H15</f>
        <v>18.108108108108109</v>
      </c>
      <c r="K17" s="128" t="str">
        <f>Effort!J15</f>
        <v>CLOSED</v>
      </c>
      <c r="L17" s="129" t="str">
        <f>Harvest!J15</f>
        <v>CLOSED</v>
      </c>
      <c r="M17" s="130" t="str">
        <f>CPUE!J15</f>
        <v>CLOSED</v>
      </c>
      <c r="N17" s="125">
        <f>Effort!L15</f>
        <v>3058.0618838364198</v>
      </c>
      <c r="O17" s="126">
        <f>Harvest!L15</f>
        <v>60261.807710894202</v>
      </c>
      <c r="P17" s="127">
        <f>CPUE!L15</f>
        <v>19.705882352941192</v>
      </c>
      <c r="Q17" s="57" t="s">
        <v>10</v>
      </c>
      <c r="R17" s="58" t="s">
        <v>10</v>
      </c>
      <c r="S17" s="60" t="s">
        <v>10</v>
      </c>
      <c r="T17" s="57">
        <f>SUM(E17+H17+N17)</f>
        <v>9554.8135373765981</v>
      </c>
      <c r="U17" s="58">
        <f>SUM(F17+I17+O17)</f>
        <v>181528.47907155039</v>
      </c>
      <c r="V17" s="58"/>
    </row>
    <row r="18" spans="1:24" x14ac:dyDescent="0.25">
      <c r="A18" s="55">
        <v>44476</v>
      </c>
      <c r="B18" s="56" t="s">
        <v>24</v>
      </c>
      <c r="C18" s="104">
        <v>-0.8</v>
      </c>
      <c r="D18" s="105">
        <v>0.83611111111111114</v>
      </c>
      <c r="E18" s="125">
        <f>Effort!F16</f>
        <v>3038.1088707272656</v>
      </c>
      <c r="F18" s="126">
        <f>Harvest!F16</f>
        <v>60762.177414545309</v>
      </c>
      <c r="G18" s="127">
        <f>+CPUE!F16</f>
        <v>20</v>
      </c>
      <c r="H18" s="125">
        <f>Effort!H16</f>
        <v>2380.1829800304999</v>
      </c>
      <c r="I18" s="126">
        <f>Harvest!H16</f>
        <v>46960.366903304501</v>
      </c>
      <c r="J18" s="127">
        <f>CPUE!H16</f>
        <v>19.729729729729748</v>
      </c>
      <c r="K18" s="125">
        <f>Effort!J16</f>
        <v>2197.3689291072801</v>
      </c>
      <c r="L18" s="126">
        <f>Harvest!J16</f>
        <v>43947.378582145597</v>
      </c>
      <c r="M18" s="127">
        <f>CPUE!J16</f>
        <v>19.999999999999996</v>
      </c>
      <c r="N18" s="128" t="str">
        <f>Effort!L16</f>
        <v>CLOSED</v>
      </c>
      <c r="O18" s="129" t="str">
        <f>Harvest!L16</f>
        <v>CLOSED</v>
      </c>
      <c r="P18" s="130" t="str">
        <f>CPUE!L16</f>
        <v>CLOSED</v>
      </c>
      <c r="Q18" s="57" t="s">
        <v>10</v>
      </c>
      <c r="R18" s="58" t="s">
        <v>10</v>
      </c>
      <c r="S18" s="60" t="s">
        <v>10</v>
      </c>
      <c r="T18" s="57">
        <f>SUM(E18+H18+K18)</f>
        <v>7615.6607798650457</v>
      </c>
      <c r="U18" s="58">
        <f>SUM(F18+I18+L18)</f>
        <v>151669.92289999541</v>
      </c>
      <c r="V18" s="58"/>
    </row>
    <row r="19" spans="1:24" x14ac:dyDescent="0.25">
      <c r="A19" s="55">
        <v>44477</v>
      </c>
      <c r="B19" s="56" t="s">
        <v>18</v>
      </c>
      <c r="C19" s="104">
        <v>-1.1000000000000001</v>
      </c>
      <c r="D19" s="105">
        <v>0.86805555555555547</v>
      </c>
      <c r="E19" s="125">
        <f>Effort!F17</f>
        <v>5808.8236380338403</v>
      </c>
      <c r="F19" s="126">
        <f>Harvest!F17</f>
        <v>113854.9040898137</v>
      </c>
      <c r="G19" s="127">
        <f>+CPUE!F17</f>
        <v>19.600337552742623</v>
      </c>
      <c r="H19" s="125">
        <f>Effort!H17</f>
        <v>3703.6258594830101</v>
      </c>
      <c r="I19" s="126">
        <f>Harvest!H17</f>
        <v>73352.367716982902</v>
      </c>
      <c r="J19" s="127">
        <f>CPUE!H17</f>
        <v>19.805555555555543</v>
      </c>
      <c r="K19" s="128" t="str">
        <f>Effort!J17</f>
        <v>CLOSED</v>
      </c>
      <c r="L19" s="129" t="str">
        <f>Harvest!J17</f>
        <v>CLOSED</v>
      </c>
      <c r="M19" s="130" t="str">
        <f>CPUE!J17</f>
        <v>CLOSED</v>
      </c>
      <c r="N19" s="125">
        <f>Effort!L17</f>
        <v>4373.2419785911497</v>
      </c>
      <c r="O19" s="126">
        <f>Harvest!L17</f>
        <v>82315.699822836701</v>
      </c>
      <c r="P19" s="127">
        <f>CPUE!L17</f>
        <v>18.822580645161302</v>
      </c>
      <c r="Q19" s="57" t="s">
        <v>10</v>
      </c>
      <c r="R19" s="58" t="s">
        <v>10</v>
      </c>
      <c r="S19" s="60" t="s">
        <v>10</v>
      </c>
      <c r="T19" s="57">
        <f>SUM(E19+H19+N19)</f>
        <v>13885.691476108001</v>
      </c>
      <c r="U19" s="58">
        <f>SUM(F19+I19+O19)</f>
        <v>269522.97162963334</v>
      </c>
      <c r="V19" s="58"/>
    </row>
    <row r="20" spans="1:24" x14ac:dyDescent="0.25">
      <c r="A20" s="55">
        <v>44478</v>
      </c>
      <c r="B20" s="56" t="s">
        <v>19</v>
      </c>
      <c r="C20" s="104">
        <v>-1.1000000000000001</v>
      </c>
      <c r="D20" s="105">
        <v>0.90138888888888891</v>
      </c>
      <c r="E20" s="125">
        <f>Effort!F18</f>
        <v>3158.1863952998037</v>
      </c>
      <c r="F20" s="126">
        <f>Harvest!F18</f>
        <v>48636.070487616977</v>
      </c>
      <c r="G20" s="127">
        <f>+CPUE!F18</f>
        <v>15.4</v>
      </c>
      <c r="H20" s="128">
        <f>Effort!H18</f>
        <v>3311.0505837271767</v>
      </c>
      <c r="I20" s="129">
        <f>Harvest!H18</f>
        <v>49665.758755907649</v>
      </c>
      <c r="J20" s="130">
        <f>CPUE!H18</f>
        <v>15</v>
      </c>
      <c r="K20" s="125">
        <f>Effort!J18</f>
        <v>3398.4616631163699</v>
      </c>
      <c r="L20" s="126">
        <f>Harvest!J18</f>
        <v>46151.109385120297</v>
      </c>
      <c r="M20" s="127">
        <f>CPUE!J18</f>
        <v>13.579999999999998</v>
      </c>
      <c r="N20" s="128" t="str">
        <f>Effort!L18</f>
        <v>CLOSED</v>
      </c>
      <c r="O20" s="129" t="str">
        <f>Harvest!L18</f>
        <v>CLOSED</v>
      </c>
      <c r="P20" s="130" t="str">
        <f>CPUE!L18</f>
        <v>CLOSED</v>
      </c>
      <c r="Q20" s="57" t="s">
        <v>10</v>
      </c>
      <c r="R20" s="58" t="s">
        <v>10</v>
      </c>
      <c r="S20" s="60" t="s">
        <v>10</v>
      </c>
      <c r="T20" s="57">
        <f>SUM(E20+H20+K20)</f>
        <v>9867.6986421433503</v>
      </c>
      <c r="U20" s="58">
        <f>SUM(F20+I20+L20)</f>
        <v>144452.93862864492</v>
      </c>
      <c r="V20" s="58"/>
    </row>
    <row r="21" spans="1:24" x14ac:dyDescent="0.25">
      <c r="A21" s="55">
        <v>44479</v>
      </c>
      <c r="B21" s="56" t="s">
        <v>20</v>
      </c>
      <c r="C21" s="104">
        <v>-0.8</v>
      </c>
      <c r="D21" s="105">
        <v>0.93888888888888899</v>
      </c>
      <c r="E21" s="125">
        <f>Effort!F19</f>
        <v>501.34609075298499</v>
      </c>
      <c r="F21" s="126">
        <f>Harvest!F19</f>
        <v>10026.921815059701</v>
      </c>
      <c r="G21" s="127">
        <f>+CPUE!F19</f>
        <v>20</v>
      </c>
      <c r="H21" s="125">
        <f>Effort!H19</f>
        <v>897.81191726608904</v>
      </c>
      <c r="I21" s="126">
        <f>Harvest!H19</f>
        <v>17719.972051304401</v>
      </c>
      <c r="J21" s="127">
        <f>CPUE!H19</f>
        <v>19.736842105263172</v>
      </c>
      <c r="K21" s="128" t="str">
        <f>Effort!J19</f>
        <v>CLOSED</v>
      </c>
      <c r="L21" s="129" t="str">
        <f>Harvest!J19</f>
        <v>CLOSED</v>
      </c>
      <c r="M21" s="130" t="str">
        <f>CPUE!J19</f>
        <v>CLOSED</v>
      </c>
      <c r="N21" s="125">
        <f>Effort!L19</f>
        <v>859.04416361630103</v>
      </c>
      <c r="O21" s="126">
        <f>Harvest!L19</f>
        <v>16536.600149613801</v>
      </c>
      <c r="P21" s="127">
        <f>CPUE!L19</f>
        <v>19.250000000000007</v>
      </c>
      <c r="Q21" s="57" t="s">
        <v>10</v>
      </c>
      <c r="R21" s="58" t="s">
        <v>10</v>
      </c>
      <c r="S21" s="60" t="s">
        <v>10</v>
      </c>
      <c r="T21" s="57">
        <f>SUM(E21+H21+N21)</f>
        <v>2258.2021716353752</v>
      </c>
      <c r="U21" s="58">
        <f>SUM(F21+I21+O21)</f>
        <v>44283.494015977907</v>
      </c>
      <c r="V21" s="58"/>
    </row>
    <row r="22" spans="1:24" x14ac:dyDescent="0.25">
      <c r="A22" s="55">
        <v>44480</v>
      </c>
      <c r="B22" s="56" t="s">
        <v>21</v>
      </c>
      <c r="C22" s="104">
        <v>-0.4</v>
      </c>
      <c r="D22" s="105">
        <v>0.98055555555555562</v>
      </c>
      <c r="E22" s="128">
        <f>Effort!F20</f>
        <v>440.00279572922227</v>
      </c>
      <c r="F22" s="129">
        <f>Harvest!F20</f>
        <v>8800.0559145844454</v>
      </c>
      <c r="G22" s="130">
        <f>+CPUE!F20</f>
        <v>20</v>
      </c>
      <c r="H22" s="128">
        <f>Effort!H20</f>
        <v>461.30004100107323</v>
      </c>
      <c r="I22" s="129">
        <f>Harvest!H20</f>
        <v>9226.0008200214652</v>
      </c>
      <c r="J22" s="130">
        <f>CPUE!H20</f>
        <v>20</v>
      </c>
      <c r="K22" s="125">
        <f>Effort!J20</f>
        <v>473.47827068574099</v>
      </c>
      <c r="L22" s="126">
        <f>Harvest!J20</f>
        <v>9469.5654137148103</v>
      </c>
      <c r="M22" s="127">
        <f>CPUE!J20</f>
        <v>19.999999999999979</v>
      </c>
      <c r="N22" s="128" t="str">
        <f>Effort!L20</f>
        <v>CLOSED</v>
      </c>
      <c r="O22" s="129" t="str">
        <f>Harvest!L20</f>
        <v>CLOSED</v>
      </c>
      <c r="P22" s="130" t="str">
        <f>CPUE!L20</f>
        <v>CLOSED</v>
      </c>
      <c r="Q22" s="57" t="s">
        <v>10</v>
      </c>
      <c r="R22" s="58" t="s">
        <v>10</v>
      </c>
      <c r="S22" s="60" t="s">
        <v>10</v>
      </c>
      <c r="T22" s="57">
        <f>SUM(E22+H22+K22)</f>
        <v>1374.7811074160363</v>
      </c>
      <c r="U22" s="58">
        <f>SUM(F22+I22+L22)</f>
        <v>27495.622148320719</v>
      </c>
      <c r="V22" s="58"/>
    </row>
    <row r="23" spans="1:24" x14ac:dyDescent="0.25">
      <c r="A23" s="148" t="s">
        <v>57</v>
      </c>
      <c r="B23" s="148"/>
      <c r="C23" s="148"/>
      <c r="D23" s="149"/>
      <c r="E23" s="63">
        <f>SUM(E14:E22)</f>
        <v>19511.512729319547</v>
      </c>
      <c r="F23" s="64">
        <f>SUM(F14:F22)</f>
        <v>351171.5465416878</v>
      </c>
      <c r="G23" s="65">
        <f>+F23/E23</f>
        <v>17.998171203506409</v>
      </c>
      <c r="H23" s="63">
        <f>SUM(H14:H22)</f>
        <v>14915.157789018665</v>
      </c>
      <c r="I23" s="64">
        <f>SUM(I14:I22)</f>
        <v>265288.78575183207</v>
      </c>
      <c r="J23" s="65">
        <f>+I23/H23</f>
        <v>17.786522241632053</v>
      </c>
      <c r="K23" s="63">
        <f>SUM(K14:K22)</f>
        <v>7466.1274162277286</v>
      </c>
      <c r="L23" s="64">
        <f>SUM(L14:L22)</f>
        <v>118815.00377542588</v>
      </c>
      <c r="M23" s="65">
        <f>+L23/K23</f>
        <v>15.913873036399012</v>
      </c>
      <c r="N23" s="63">
        <f>SUM(N14:N22)</f>
        <v>8749.3515416421542</v>
      </c>
      <c r="O23" s="64">
        <f>SUM(O14:O22)</f>
        <v>165037.43876558921</v>
      </c>
      <c r="P23" s="65">
        <f>+O23/N23</f>
        <v>18.862819487832986</v>
      </c>
      <c r="Q23" s="63"/>
      <c r="R23" s="64"/>
      <c r="S23" s="65"/>
      <c r="T23" s="63">
        <f>SUM(T14:T22)</f>
        <v>50642.149476208106</v>
      </c>
      <c r="U23" s="64">
        <f>SUM(U14:U22)</f>
        <v>900312.77483453508</v>
      </c>
      <c r="V23" s="81"/>
      <c r="W23" s="34">
        <f>SUM(H23,K23,N23,Q23,E23)</f>
        <v>50642.149476208098</v>
      </c>
      <c r="X23" s="34">
        <f>SUM(R23,O23,L23,I23,F23)</f>
        <v>900312.77483453497</v>
      </c>
    </row>
    <row r="24" spans="1:24" x14ac:dyDescent="0.25">
      <c r="A24" s="131">
        <v>44488</v>
      </c>
      <c r="B24" s="132" t="s">
        <v>22</v>
      </c>
      <c r="C24" s="133">
        <v>0.3</v>
      </c>
      <c r="D24" s="134">
        <v>0.78263888888888899</v>
      </c>
      <c r="E24" s="125">
        <f>Effort!F22</f>
        <v>2799.5253991745699</v>
      </c>
      <c r="F24" s="126">
        <f>Harvest!F22</f>
        <v>47342.8336523572</v>
      </c>
      <c r="G24" s="127">
        <f>+CPUE!F22</f>
        <v>16.911021298937335</v>
      </c>
      <c r="H24" s="125">
        <f>Effort!H22</f>
        <v>2333.54042104989</v>
      </c>
      <c r="I24" s="126">
        <f>Harvest!H22</f>
        <v>41285.715141651803</v>
      </c>
      <c r="J24" s="127">
        <f>CPUE!H22</f>
        <v>17.692307692307651</v>
      </c>
      <c r="K24" s="125">
        <f>Effort!J22</f>
        <v>2476.1742203253398</v>
      </c>
      <c r="L24" s="126">
        <f>Harvest!J22</f>
        <v>31412.038680698501</v>
      </c>
      <c r="M24" s="127">
        <f>CPUE!J22</f>
        <v>12.685714285714248</v>
      </c>
      <c r="N24" s="57" t="str">
        <f>Effort!L22</f>
        <v>CLOSED</v>
      </c>
      <c r="O24" s="135" t="str">
        <f>Harvest!L22</f>
        <v>CLOSED</v>
      </c>
      <c r="P24" s="96" t="str">
        <f>CPUE!L22</f>
        <v>CLOSED</v>
      </c>
      <c r="Q24" s="57" t="s">
        <v>10</v>
      </c>
      <c r="R24" s="58" t="s">
        <v>10</v>
      </c>
      <c r="S24" s="60" t="s">
        <v>10</v>
      </c>
      <c r="T24" s="57">
        <f>SUM(E24+H24+K24)</f>
        <v>7609.2400405497992</v>
      </c>
      <c r="U24" s="58">
        <f>SUM(F24+I24+L24)</f>
        <v>120040.5874747075</v>
      </c>
      <c r="V24" s="58"/>
    </row>
    <row r="25" spans="1:24" x14ac:dyDescent="0.25">
      <c r="A25" s="131">
        <v>44489</v>
      </c>
      <c r="B25" s="132" t="s">
        <v>23</v>
      </c>
      <c r="C25" s="133">
        <v>0</v>
      </c>
      <c r="D25" s="134">
        <v>0.80763888888888891</v>
      </c>
      <c r="E25" s="57">
        <f>Effort!F23</f>
        <v>907.07414299527784</v>
      </c>
      <c r="F25" s="135">
        <f>Harvest!F23</f>
        <v>16327.334573915001</v>
      </c>
      <c r="G25" s="96">
        <f>+CPUE!F23</f>
        <v>18</v>
      </c>
      <c r="H25" s="125">
        <f>Effort!H23</f>
        <v>1084.6211404988401</v>
      </c>
      <c r="I25" s="126">
        <f>Harvest!H23</f>
        <v>15822.708402571299</v>
      </c>
      <c r="J25" s="127">
        <f>CPUE!H23</f>
        <v>14.588235294117634</v>
      </c>
      <c r="K25" s="57" t="str">
        <f>Effort!J23</f>
        <v>CLOSED</v>
      </c>
      <c r="L25" s="135" t="str">
        <f>Harvest!J23</f>
        <v>CLOSED</v>
      </c>
      <c r="M25" s="96" t="str">
        <f>CPUE!J23</f>
        <v>CLOSED</v>
      </c>
      <c r="N25" s="125">
        <f>Effort!L23</f>
        <v>823.09238920517896</v>
      </c>
      <c r="O25" s="126">
        <f>Harvest!L23</f>
        <v>14729.0217015664</v>
      </c>
      <c r="P25" s="127">
        <f>CPUE!L23</f>
        <v>17.89473684210531</v>
      </c>
      <c r="Q25" s="57" t="s">
        <v>10</v>
      </c>
      <c r="R25" s="58" t="s">
        <v>10</v>
      </c>
      <c r="S25" s="60" t="s">
        <v>10</v>
      </c>
      <c r="T25" s="57">
        <f>SUM(E25+H25+N25)</f>
        <v>2814.7876726992972</v>
      </c>
      <c r="U25" s="58">
        <f>SUM(F25+I25+O25)</f>
        <v>46879.064678052702</v>
      </c>
      <c r="V25" s="58"/>
    </row>
    <row r="26" spans="1:24" x14ac:dyDescent="0.25">
      <c r="A26" s="131">
        <v>44490</v>
      </c>
      <c r="B26" s="132" t="s">
        <v>24</v>
      </c>
      <c r="C26" s="133">
        <v>-0.1</v>
      </c>
      <c r="D26" s="134">
        <v>0.83194444444444438</v>
      </c>
      <c r="E26" s="57">
        <f>Effort!F24</f>
        <v>561.50249325742789</v>
      </c>
      <c r="F26" s="135">
        <f>Harvest!F24</f>
        <v>7861.0349056039904</v>
      </c>
      <c r="G26" s="96">
        <f>+CPUE!F24</f>
        <v>14</v>
      </c>
      <c r="H26" s="125">
        <f>Effort!H24</f>
        <v>359.280531282445</v>
      </c>
      <c r="I26" s="126">
        <f>Harvest!H24</f>
        <v>4067.0556141172801</v>
      </c>
      <c r="J26" s="127">
        <f>CPUE!H24</f>
        <v>11.320000000000007</v>
      </c>
      <c r="K26" s="125">
        <f>Effort!J24</f>
        <v>655.94740066890495</v>
      </c>
      <c r="L26" s="126">
        <f>Harvest!J24</f>
        <v>9307.3617662479792</v>
      </c>
      <c r="M26" s="127">
        <f>CPUE!J24</f>
        <v>14.189189189189195</v>
      </c>
      <c r="N26" s="57" t="str">
        <f>Effort!L24</f>
        <v>CLOSED</v>
      </c>
      <c r="O26" s="135" t="str">
        <f>Harvest!L24</f>
        <v>CLOSED</v>
      </c>
      <c r="P26" s="96" t="str">
        <f>CPUE!L24</f>
        <v>CLOSED</v>
      </c>
      <c r="Q26" s="57" t="s">
        <v>10</v>
      </c>
      <c r="R26" s="58" t="s">
        <v>10</v>
      </c>
      <c r="S26" s="60" t="s">
        <v>10</v>
      </c>
      <c r="T26" s="57">
        <f>SUM(E26+H26+K26)</f>
        <v>1576.7304252087779</v>
      </c>
      <c r="U26" s="58">
        <f>SUM(F26+I26+L26)</f>
        <v>21235.452285969252</v>
      </c>
      <c r="V26" s="58"/>
    </row>
    <row r="27" spans="1:24" x14ac:dyDescent="0.25">
      <c r="A27" s="131">
        <v>44491</v>
      </c>
      <c r="B27" s="132" t="s">
        <v>18</v>
      </c>
      <c r="C27" s="133">
        <v>-0.1</v>
      </c>
      <c r="D27" s="134">
        <v>0.85555555555555562</v>
      </c>
      <c r="E27" s="125">
        <f>Effort!F25</f>
        <v>1414.4383801801732</v>
      </c>
      <c r="F27" s="126">
        <f>Harvest!F25</f>
        <v>12447.057745585525</v>
      </c>
      <c r="G27" s="127">
        <f>+CPUE!F25</f>
        <v>8.8000000000000007</v>
      </c>
      <c r="H27" s="125">
        <f>Effort!H25</f>
        <v>743.55240829478998</v>
      </c>
      <c r="I27" s="126">
        <f>Harvest!H25</f>
        <v>5961.93840105459</v>
      </c>
      <c r="J27" s="127">
        <f>CPUE!H25</f>
        <v>8.0181818181818194</v>
      </c>
      <c r="K27" s="57" t="str">
        <f>Effort!J25</f>
        <v>CLOSED</v>
      </c>
      <c r="L27" s="135" t="str">
        <f>Harvest!J25</f>
        <v>CLOSED</v>
      </c>
      <c r="M27" s="96" t="str">
        <f>CPUE!J25</f>
        <v>CLOSED</v>
      </c>
      <c r="N27" s="125">
        <f>Effort!L25</f>
        <v>1283.48214389798</v>
      </c>
      <c r="O27" s="126">
        <f>Harvest!L25</f>
        <v>15071.747461202</v>
      </c>
      <c r="P27" s="127">
        <f>CPUE!L25</f>
        <v>11.742857142857147</v>
      </c>
      <c r="Q27" s="57" t="s">
        <v>10</v>
      </c>
      <c r="R27" s="58" t="s">
        <v>10</v>
      </c>
      <c r="S27" s="60" t="s">
        <v>10</v>
      </c>
      <c r="T27" s="57">
        <f>SUM(E27+H27+N27)</f>
        <v>3441.4729323729434</v>
      </c>
      <c r="U27" s="58">
        <f>SUM(F27+I27+O27)</f>
        <v>33480.743607842116</v>
      </c>
      <c r="V27" s="58"/>
    </row>
    <row r="28" spans="1:24" x14ac:dyDescent="0.25">
      <c r="A28" s="131">
        <v>44492</v>
      </c>
      <c r="B28" s="132" t="s">
        <v>19</v>
      </c>
      <c r="C28" s="133">
        <v>0</v>
      </c>
      <c r="D28" s="134">
        <v>0.87986111111111109</v>
      </c>
      <c r="E28" s="125">
        <f>Effort!F26</f>
        <v>1498.9583308327306</v>
      </c>
      <c r="F28" s="126">
        <f>Harvest!F26</f>
        <v>23983.333293323689</v>
      </c>
      <c r="G28" s="127">
        <f>+CPUE!F26</f>
        <v>16</v>
      </c>
      <c r="H28" s="125">
        <f>Effort!H26</f>
        <v>1195.38128596959</v>
      </c>
      <c r="I28" s="126">
        <f>Harvest!H26</f>
        <v>19474.753450587799</v>
      </c>
      <c r="J28" s="127">
        <f>CPUE!H26</f>
        <v>16.291666666666579</v>
      </c>
      <c r="K28" s="125">
        <f>Effort!J26</f>
        <v>1751.0836240756501</v>
      </c>
      <c r="L28" s="126">
        <f>Harvest!J26</f>
        <v>27757.918189051099</v>
      </c>
      <c r="M28" s="127">
        <f>CPUE!J26</f>
        <v>15.851851851851883</v>
      </c>
      <c r="N28" s="57" t="str">
        <f>Effort!L26</f>
        <v>CLOSED</v>
      </c>
      <c r="O28" s="135" t="str">
        <f>Harvest!L26</f>
        <v>CLOSED</v>
      </c>
      <c r="P28" s="96" t="str">
        <f>CPUE!L26</f>
        <v>CLOSED</v>
      </c>
      <c r="Q28" s="57" t="s">
        <v>10</v>
      </c>
      <c r="R28" s="58" t="s">
        <v>10</v>
      </c>
      <c r="S28" s="60" t="s">
        <v>10</v>
      </c>
      <c r="T28" s="57">
        <f>SUM(E28+H28+K28)</f>
        <v>4445.4232408779708</v>
      </c>
      <c r="U28" s="58">
        <f>SUM(F28+I28+L28)</f>
        <v>71216.004932962591</v>
      </c>
      <c r="V28" s="58"/>
    </row>
    <row r="29" spans="1:24" x14ac:dyDescent="0.25">
      <c r="A29" s="131">
        <v>44493</v>
      </c>
      <c r="B29" s="132" t="s">
        <v>20</v>
      </c>
      <c r="C29" s="133">
        <v>0.2</v>
      </c>
      <c r="D29" s="134">
        <v>0.90486111111111101</v>
      </c>
      <c r="E29" s="57">
        <f>Effort!F27</f>
        <v>0</v>
      </c>
      <c r="F29" s="135">
        <f>Harvest!F27</f>
        <v>0</v>
      </c>
      <c r="G29" s="96">
        <f>+CPUE!F27</f>
        <v>0</v>
      </c>
      <c r="H29" s="57">
        <f>Effort!H27</f>
        <v>0</v>
      </c>
      <c r="I29" s="135">
        <f>Harvest!H27</f>
        <v>0</v>
      </c>
      <c r="J29" s="96">
        <f>CPUE!H27</f>
        <v>0</v>
      </c>
      <c r="K29" s="57" t="str">
        <f>Effort!J27</f>
        <v>CLOSED</v>
      </c>
      <c r="L29" s="135" t="str">
        <f>Harvest!J27</f>
        <v>CLOSED</v>
      </c>
      <c r="M29" s="96" t="str">
        <f>CPUE!J27</f>
        <v>CLOSED</v>
      </c>
      <c r="N29" s="57">
        <f>Effort!L27</f>
        <v>0</v>
      </c>
      <c r="O29" s="135">
        <f>Harvest!L27</f>
        <v>0</v>
      </c>
      <c r="P29" s="96">
        <f>CPUE!L27</f>
        <v>0</v>
      </c>
      <c r="Q29" s="57" t="s">
        <v>10</v>
      </c>
      <c r="R29" s="58" t="s">
        <v>10</v>
      </c>
      <c r="S29" s="60" t="s">
        <v>10</v>
      </c>
      <c r="T29" s="57">
        <f>SUM(E29+H29+N29)</f>
        <v>0</v>
      </c>
      <c r="U29" s="58">
        <f>SUM(F29+I29+O29)</f>
        <v>0</v>
      </c>
      <c r="V29" s="58"/>
    </row>
    <row r="30" spans="1:24" x14ac:dyDescent="0.25">
      <c r="A30" s="131">
        <v>44494</v>
      </c>
      <c r="B30" s="132" t="s">
        <v>21</v>
      </c>
      <c r="C30" s="133">
        <v>0.5</v>
      </c>
      <c r="D30" s="134">
        <v>0.93402777777777779</v>
      </c>
      <c r="E30" s="57">
        <f>Effort!F28</f>
        <v>10.797211124046115</v>
      </c>
      <c r="F30" s="135">
        <f>Harvest!F28</f>
        <v>86</v>
      </c>
      <c r="G30" s="96">
        <f>+CPUE!F28</f>
        <v>8</v>
      </c>
      <c r="H30" s="125">
        <f>Effort!H28</f>
        <v>9</v>
      </c>
      <c r="I30" s="126">
        <f>Harvest!H28</f>
        <v>72</v>
      </c>
      <c r="J30" s="127">
        <f>CPUE!H28</f>
        <v>8</v>
      </c>
      <c r="K30" s="57">
        <f>Effort!J28</f>
        <v>9.5501101167561906</v>
      </c>
      <c r="L30" s="135">
        <f>Harvest!J28</f>
        <v>200</v>
      </c>
      <c r="M30" s="96">
        <f>CPUE!J28</f>
        <v>11</v>
      </c>
      <c r="N30" s="57" t="str">
        <f>Effort!L28</f>
        <v>CLOSED</v>
      </c>
      <c r="O30" s="135" t="str">
        <f>Harvest!L28</f>
        <v>CLOSED</v>
      </c>
      <c r="P30" s="96" t="str">
        <f>CPUE!L28</f>
        <v>CLOSED</v>
      </c>
      <c r="Q30" s="57" t="s">
        <v>10</v>
      </c>
      <c r="R30" s="58" t="s">
        <v>10</v>
      </c>
      <c r="S30" s="60" t="s">
        <v>10</v>
      </c>
      <c r="T30" s="57">
        <f>SUM(E30+H30+K30)</f>
        <v>29.347321240802305</v>
      </c>
      <c r="U30" s="58">
        <f>SUM(F30+I30+L30)</f>
        <v>358</v>
      </c>
      <c r="V30" s="58"/>
    </row>
    <row r="31" spans="1:24" x14ac:dyDescent="0.25">
      <c r="A31" s="148" t="s">
        <v>57</v>
      </c>
      <c r="B31" s="148"/>
      <c r="C31" s="148"/>
      <c r="D31" s="149"/>
      <c r="E31" s="63">
        <f>SUM(E24:E30)</f>
        <v>7192.2959575642244</v>
      </c>
      <c r="F31" s="64">
        <f>SUM(F24:F30)</f>
        <v>108047.59417078539</v>
      </c>
      <c r="G31" s="65">
        <f>+F31/E31</f>
        <v>15.022684662628549</v>
      </c>
      <c r="H31" s="63">
        <f>SUM(H24:H30)</f>
        <v>5725.3757870955542</v>
      </c>
      <c r="I31" s="64">
        <f>SUM(I24:I30)</f>
        <v>86684.171009982761</v>
      </c>
      <c r="J31" s="65">
        <f>+I31/H31</f>
        <v>15.140346107125499</v>
      </c>
      <c r="K31" s="63">
        <f>SUM(K24:K30)</f>
        <v>4892.7553551866513</v>
      </c>
      <c r="L31" s="64">
        <f>SUM(L24:L30)</f>
        <v>68677.318635997581</v>
      </c>
      <c r="M31" s="65">
        <f>+L31/K31</f>
        <v>14.036532311633971</v>
      </c>
      <c r="N31" s="63">
        <f>SUM(N24:N30)</f>
        <v>2106.574533103159</v>
      </c>
      <c r="O31" s="64">
        <f>SUM(O24:O30)</f>
        <v>29800.7691627684</v>
      </c>
      <c r="P31" s="65">
        <f>+O31/N31</f>
        <v>14.146553418582061</v>
      </c>
      <c r="Q31" s="63"/>
      <c r="R31" s="64"/>
      <c r="S31" s="65"/>
      <c r="T31" s="63">
        <f>SUM(T24:T30)</f>
        <v>19917.001632949592</v>
      </c>
      <c r="U31" s="64">
        <f>SUM(U24:U30)</f>
        <v>293209.85297953413</v>
      </c>
      <c r="V31" s="81"/>
      <c r="W31" s="34">
        <f>SUM(H31,K31,N31,Q31,E31)</f>
        <v>19917.001632949588</v>
      </c>
      <c r="X31" s="34">
        <f>SUM(R31,O31,L31,I31,F31)</f>
        <v>293209.85297953413</v>
      </c>
    </row>
    <row r="32" spans="1:24" x14ac:dyDescent="0.25">
      <c r="A32" s="55">
        <v>44503</v>
      </c>
      <c r="B32" s="56" t="s">
        <v>23</v>
      </c>
      <c r="C32" s="104">
        <v>-0.3</v>
      </c>
      <c r="D32" s="105">
        <v>0.76111111111111107</v>
      </c>
      <c r="E32" s="125">
        <f>Effort!F30</f>
        <v>2373.370739617978</v>
      </c>
      <c r="F32" s="126">
        <f>Harvest!F30</f>
        <v>42918.485418417898</v>
      </c>
      <c r="G32" s="127">
        <f>+CPUE!F30</f>
        <v>18.083346483544386</v>
      </c>
      <c r="H32" s="57">
        <f>Effort!H30</f>
        <v>1239.9509415743228</v>
      </c>
      <c r="I32" s="135">
        <f>Harvest!H30</f>
        <v>23559.067889912134</v>
      </c>
      <c r="J32" s="96">
        <f>CPUE!H30</f>
        <v>19</v>
      </c>
      <c r="K32" s="57" t="str">
        <f>Effort!J30</f>
        <v>CLOSED</v>
      </c>
      <c r="L32" s="135" t="str">
        <f>Harvest!J30</f>
        <v>CLOSED</v>
      </c>
      <c r="M32" s="96" t="str">
        <f>CPUE!J30</f>
        <v>CLOSED</v>
      </c>
      <c r="N32" s="125">
        <f>Effort!L30</f>
        <v>1290.5323676299099</v>
      </c>
      <c r="O32" s="126">
        <f>Harvest!L30</f>
        <v>25530.096837896101</v>
      </c>
      <c r="P32" s="127">
        <f>CPUE!L30</f>
        <v>19.782608695652218</v>
      </c>
      <c r="Q32" s="57" t="s">
        <v>10</v>
      </c>
      <c r="R32" s="58" t="s">
        <v>10</v>
      </c>
      <c r="S32" s="60" t="s">
        <v>10</v>
      </c>
      <c r="T32" s="57">
        <f>SUM(E32+H32+N32)</f>
        <v>4903.8540488222106</v>
      </c>
      <c r="U32" s="58">
        <f>SUM(F32+I32+O32)</f>
        <v>92007.650146226137</v>
      </c>
      <c r="V32" s="58"/>
    </row>
    <row r="33" spans="1:24" x14ac:dyDescent="0.25">
      <c r="A33" s="55">
        <v>44504</v>
      </c>
      <c r="B33" s="56" t="s">
        <v>24</v>
      </c>
      <c r="C33" s="104">
        <v>-1.1000000000000001</v>
      </c>
      <c r="D33" s="105">
        <v>0.79236111111111107</v>
      </c>
      <c r="E33" s="57">
        <f>Effort!F31</f>
        <v>1990.1762318778804</v>
      </c>
      <c r="F33" s="135">
        <f>Harvest!F31</f>
        <v>35823.172173801846</v>
      </c>
      <c r="G33" s="96">
        <f>+CPUE!F31</f>
        <v>18</v>
      </c>
      <c r="H33" s="125">
        <f>Effort!H31</f>
        <v>1162.8440010879799</v>
      </c>
      <c r="I33" s="126">
        <f>Harvest!H31</f>
        <v>20879.510063979698</v>
      </c>
      <c r="J33" s="127">
        <f>CPUE!H31</f>
        <v>17.955555555555531</v>
      </c>
      <c r="K33" s="125">
        <f>Effort!J31</f>
        <v>1998.1549973711301</v>
      </c>
      <c r="L33" s="126">
        <f>Harvest!J31</f>
        <v>35700.369286364097</v>
      </c>
      <c r="M33" s="127">
        <f>CPUE!J31</f>
        <v>17.866666666666621</v>
      </c>
      <c r="N33" s="57" t="str">
        <f>Effort!L31</f>
        <v>CLOSED</v>
      </c>
      <c r="O33" s="135" t="str">
        <f>Harvest!L31</f>
        <v>CLOSED</v>
      </c>
      <c r="P33" s="96" t="str">
        <f>CPUE!L31</f>
        <v>CLOSED</v>
      </c>
      <c r="Q33" s="57" t="s">
        <v>10</v>
      </c>
      <c r="R33" s="58" t="s">
        <v>10</v>
      </c>
      <c r="S33" s="60" t="s">
        <v>10</v>
      </c>
      <c r="T33" s="57">
        <f>SUM(E33+H33+K33)</f>
        <v>5151.1752303369904</v>
      </c>
      <c r="U33" s="58">
        <f>SUM(F33+I33+L33)</f>
        <v>92403.051524145645</v>
      </c>
      <c r="V33" s="58"/>
    </row>
    <row r="34" spans="1:24" x14ac:dyDescent="0.25">
      <c r="A34" s="55">
        <v>44505</v>
      </c>
      <c r="B34" s="56" t="s">
        <v>18</v>
      </c>
      <c r="C34" s="104">
        <v>-1.6</v>
      </c>
      <c r="D34" s="105">
        <v>0.82361111111111107</v>
      </c>
      <c r="E34" s="125">
        <f>Effort!F32</f>
        <v>3361.1059027674</v>
      </c>
      <c r="F34" s="126">
        <f>Harvest!F32</f>
        <v>60836.016840089942</v>
      </c>
      <c r="G34" s="127">
        <f>+CPUE!F32</f>
        <v>18.100000000000001</v>
      </c>
      <c r="H34" s="125">
        <f>Effort!H32</f>
        <v>1528.9665902279601</v>
      </c>
      <c r="I34" s="126">
        <f>Harvest!H32</f>
        <v>29574.582330980898</v>
      </c>
      <c r="J34" s="127">
        <f>CPUE!H32</f>
        <v>19.342857142857188</v>
      </c>
      <c r="K34" s="57" t="str">
        <f>Effort!J32</f>
        <v>CLOSED</v>
      </c>
      <c r="L34" s="135" t="str">
        <f>Harvest!J32</f>
        <v>CLOSED</v>
      </c>
      <c r="M34" s="96" t="str">
        <f>CPUE!J32</f>
        <v>CLOSED</v>
      </c>
      <c r="N34" s="125">
        <f>Effort!L32</f>
        <v>2365.3620990432</v>
      </c>
      <c r="O34" s="126">
        <f>Harvest!L32</f>
        <v>38528.109574799797</v>
      </c>
      <c r="P34" s="127">
        <f>CPUE!L32</f>
        <v>16.288461538461529</v>
      </c>
      <c r="Q34" s="57" t="s">
        <v>10</v>
      </c>
      <c r="R34" s="58" t="s">
        <v>10</v>
      </c>
      <c r="S34" s="60" t="s">
        <v>10</v>
      </c>
      <c r="T34" s="57">
        <f>SUM(E34+H34+N34)</f>
        <v>7255.4345920385604</v>
      </c>
      <c r="U34" s="58">
        <f>SUM(F34+I34+O34)</f>
        <v>128938.70874587065</v>
      </c>
      <c r="V34" s="58"/>
    </row>
    <row r="35" spans="1:24" x14ac:dyDescent="0.25">
      <c r="A35" s="55">
        <v>44506</v>
      </c>
      <c r="B35" s="56" t="s">
        <v>19</v>
      </c>
      <c r="C35" s="104">
        <v>-1.8</v>
      </c>
      <c r="D35" s="105">
        <v>0.85625000000000007</v>
      </c>
      <c r="E35" s="125">
        <f>Effort!F33</f>
        <v>3066.4566802374848</v>
      </c>
      <c r="F35" s="126">
        <f>Harvest!F33</f>
        <v>58875.968260559705</v>
      </c>
      <c r="G35" s="127">
        <f>+CPUE!F33</f>
        <v>19.2</v>
      </c>
      <c r="H35" s="125">
        <f>Effort!H33</f>
        <v>2199.1319699578899</v>
      </c>
      <c r="I35" s="126">
        <f>Harvest!H33</f>
        <v>40526.860589224001</v>
      </c>
      <c r="J35" s="127">
        <f>CPUE!H33</f>
        <v>18.428571428571441</v>
      </c>
      <c r="K35" s="125">
        <f>Effort!J33</f>
        <v>3078.7503346158901</v>
      </c>
      <c r="L35" s="126">
        <f>Harvest!J33</f>
        <v>52338.755688470097</v>
      </c>
      <c r="M35" s="127">
        <f>CPUE!J33</f>
        <v>16.999999999999989</v>
      </c>
      <c r="N35" s="57" t="str">
        <f>Effort!L33</f>
        <v>CLOSED</v>
      </c>
      <c r="O35" s="135" t="str">
        <f>Harvest!L33</f>
        <v>CLOSED</v>
      </c>
      <c r="P35" s="96" t="str">
        <f>CPUE!L33</f>
        <v>CLOSED</v>
      </c>
      <c r="Q35" s="57" t="s">
        <v>10</v>
      </c>
      <c r="R35" s="58" t="s">
        <v>10</v>
      </c>
      <c r="S35" s="60" t="s">
        <v>10</v>
      </c>
      <c r="T35" s="57">
        <f>SUM(E35+H35+K35)</f>
        <v>8344.3389848112638</v>
      </c>
      <c r="U35" s="58">
        <f>SUM(F35+I35+L35)</f>
        <v>151741.58453825381</v>
      </c>
      <c r="V35" s="58"/>
    </row>
    <row r="36" spans="1:24" x14ac:dyDescent="0.25">
      <c r="A36" s="55">
        <v>44507</v>
      </c>
      <c r="B36" s="56" t="s">
        <v>20</v>
      </c>
      <c r="C36" s="104">
        <v>-1.6</v>
      </c>
      <c r="D36" s="105">
        <v>0.84930555555555554</v>
      </c>
      <c r="E36" s="57">
        <f>Effort!F34</f>
        <v>1180.5346644958504</v>
      </c>
      <c r="F36" s="135">
        <f>Harvest!F34</f>
        <v>21249.623960925306</v>
      </c>
      <c r="G36" s="96">
        <f>+CPUE!F34</f>
        <v>18</v>
      </c>
      <c r="H36" s="125">
        <f>Effort!H34</f>
        <v>798.23319150831105</v>
      </c>
      <c r="I36" s="126">
        <f>Harvest!H34</f>
        <v>14604.7109853743</v>
      </c>
      <c r="J36" s="127">
        <f>CPUE!H34</f>
        <v>18.296296296296319</v>
      </c>
      <c r="K36" s="57" t="str">
        <f>Effort!J34</f>
        <v>CLOSED</v>
      </c>
      <c r="L36" s="135" t="str">
        <f>Harvest!J34</f>
        <v>CLOSED</v>
      </c>
      <c r="M36" s="96" t="str">
        <f>CPUE!J34</f>
        <v>CLOSED</v>
      </c>
      <c r="N36" s="125">
        <f>Effort!L34</f>
        <v>830.79558716255303</v>
      </c>
      <c r="O36" s="126">
        <f>Harvest!L34</f>
        <v>14303.1564600688</v>
      </c>
      <c r="P36" s="127">
        <f>CPUE!L34</f>
        <v>17.216216216216193</v>
      </c>
      <c r="Q36" s="57" t="s">
        <v>10</v>
      </c>
      <c r="R36" s="58" t="s">
        <v>10</v>
      </c>
      <c r="S36" s="60" t="s">
        <v>10</v>
      </c>
      <c r="T36" s="57">
        <f>SUM(E36+H36+N36)</f>
        <v>2809.5634431667145</v>
      </c>
      <c r="U36" s="58">
        <f>SUM(F36+I36+O36)</f>
        <v>50157.491406368405</v>
      </c>
      <c r="V36" s="58"/>
    </row>
    <row r="37" spans="1:24" x14ac:dyDescent="0.25">
      <c r="A37" s="55">
        <v>44508</v>
      </c>
      <c r="B37" s="56" t="s">
        <v>21</v>
      </c>
      <c r="C37" s="104">
        <v>-1.2</v>
      </c>
      <c r="D37" s="105">
        <v>0.88611111111111107</v>
      </c>
      <c r="E37" s="125">
        <f>Effort!F35</f>
        <v>513.33384692703237</v>
      </c>
      <c r="F37" s="126">
        <f>Harvest!F35</f>
        <v>9753.3430916136149</v>
      </c>
      <c r="G37" s="127">
        <f>+CPUE!F35</f>
        <v>19</v>
      </c>
      <c r="H37" s="125">
        <f>Effort!H35</f>
        <v>574.32223841606901</v>
      </c>
      <c r="I37" s="126">
        <f>Harvest!H35</f>
        <v>11486.4447683214</v>
      </c>
      <c r="J37" s="127">
        <f>CPUE!H35</f>
        <v>20.000000000000036</v>
      </c>
      <c r="K37" s="125">
        <f>Effort!J35</f>
        <v>783.14525745171204</v>
      </c>
      <c r="L37" s="126">
        <f>Harvest!J35</f>
        <v>15299.3019937888</v>
      </c>
      <c r="M37" s="127">
        <f>CPUE!J35</f>
        <v>19.535714285714281</v>
      </c>
      <c r="N37" s="57" t="str">
        <f>Effort!L35</f>
        <v>CLOSED</v>
      </c>
      <c r="O37" s="135" t="str">
        <f>Harvest!L35</f>
        <v>CLOSED</v>
      </c>
      <c r="P37" s="96" t="str">
        <f>CPUE!L35</f>
        <v>CLOSED</v>
      </c>
      <c r="Q37" s="57" t="s">
        <v>10</v>
      </c>
      <c r="R37" s="58" t="s">
        <v>10</v>
      </c>
      <c r="S37" s="60" t="s">
        <v>10</v>
      </c>
      <c r="T37" s="57">
        <f>SUM(E37+H37+K37)</f>
        <v>1870.8013427948135</v>
      </c>
      <c r="U37" s="58">
        <f>SUM(F37+I37+L37)</f>
        <v>36539.089853723817</v>
      </c>
      <c r="V37" s="58"/>
    </row>
    <row r="38" spans="1:24" x14ac:dyDescent="0.25">
      <c r="A38" s="55">
        <v>44509</v>
      </c>
      <c r="B38" s="56" t="s">
        <v>22</v>
      </c>
      <c r="C38" s="104">
        <v>-0.6</v>
      </c>
      <c r="D38" s="105">
        <v>0.92569444444444438</v>
      </c>
      <c r="E38" s="57">
        <f>Effort!F36</f>
        <v>118.04972561818656</v>
      </c>
      <c r="F38" s="135">
        <f>Harvest!F36</f>
        <v>1770.7458842727983</v>
      </c>
      <c r="G38" s="96">
        <f>+CPUE!F36</f>
        <v>15</v>
      </c>
      <c r="H38" s="57">
        <f>Effort!H36</f>
        <v>79.820789741169605</v>
      </c>
      <c r="I38" s="135">
        <f>Harvest!H36</f>
        <v>1197.3118461175441</v>
      </c>
      <c r="J38" s="96">
        <f>CPUE!H36</f>
        <v>15</v>
      </c>
      <c r="K38" s="57" t="str">
        <f>Effort!J36</f>
        <v>CLOSED</v>
      </c>
      <c r="L38" s="135" t="str">
        <f>Harvest!J36</f>
        <v>CLOSED</v>
      </c>
      <c r="M38" s="96" t="str">
        <f>CPUE!J36</f>
        <v>CLOSED</v>
      </c>
      <c r="N38" s="125">
        <f>Effort!L36</f>
        <v>83.076926124166604</v>
      </c>
      <c r="O38" s="126">
        <f>Harvest!L36</f>
        <v>1246.153891862499</v>
      </c>
      <c r="P38" s="127">
        <f>CPUE!L36</f>
        <v>15</v>
      </c>
      <c r="Q38" s="57" t="s">
        <v>10</v>
      </c>
      <c r="R38" s="58" t="s">
        <v>10</v>
      </c>
      <c r="S38" s="60" t="s">
        <v>10</v>
      </c>
      <c r="T38" s="57">
        <f>SUM(E38+H38+N38)</f>
        <v>280.94744148352277</v>
      </c>
      <c r="U38" s="58">
        <f>SUM(F38+I38+O38)</f>
        <v>4214.2116222528412</v>
      </c>
      <c r="V38" s="58"/>
    </row>
    <row r="39" spans="1:24" x14ac:dyDescent="0.25">
      <c r="A39" s="55">
        <v>44510</v>
      </c>
      <c r="B39" s="56" t="s">
        <v>23</v>
      </c>
      <c r="C39" s="104">
        <v>0</v>
      </c>
      <c r="D39" s="105">
        <v>0.96944444444444444</v>
      </c>
      <c r="E39" s="57">
        <f>Effort!F37</f>
        <v>63.737983278486375</v>
      </c>
      <c r="F39" s="135">
        <f>Harvest!F37</f>
        <v>828.59378262032283</v>
      </c>
      <c r="G39" s="96">
        <f>+CPUE!F37</f>
        <v>13</v>
      </c>
      <c r="H39" s="125">
        <f>Effort!H37</f>
        <v>61.3333333333333</v>
      </c>
      <c r="I39" s="126">
        <f>Harvest!H37</f>
        <v>797.33333333333292</v>
      </c>
      <c r="J39" s="127">
        <f>CPUE!H37</f>
        <v>13</v>
      </c>
      <c r="K39" s="125">
        <f>Effort!J37</f>
        <v>97.239057239057203</v>
      </c>
      <c r="L39" s="126">
        <f>Harvest!J37</f>
        <v>1269.2255892255901</v>
      </c>
      <c r="M39" s="127">
        <f>CPUE!J37</f>
        <v>13.052631578947382</v>
      </c>
      <c r="N39" s="57" t="str">
        <f>Effort!L37</f>
        <v>CLOSED</v>
      </c>
      <c r="O39" s="135" t="str">
        <f>Harvest!L37</f>
        <v>CLOSED</v>
      </c>
      <c r="P39" s="96" t="str">
        <f>CPUE!L37</f>
        <v>CLOSED</v>
      </c>
      <c r="Q39" s="57" t="s">
        <v>10</v>
      </c>
      <c r="R39" s="58" t="s">
        <v>10</v>
      </c>
      <c r="S39" s="60" t="s">
        <v>10</v>
      </c>
      <c r="T39" s="57">
        <f>SUM(E39+H39+K39)</f>
        <v>222.31037385087689</v>
      </c>
      <c r="U39" s="58">
        <f>SUM(F39+I39+L39)</f>
        <v>2895.1527051792455</v>
      </c>
      <c r="V39" s="58"/>
    </row>
    <row r="40" spans="1:24" x14ac:dyDescent="0.25">
      <c r="A40" s="148" t="s">
        <v>57</v>
      </c>
      <c r="B40" s="148"/>
      <c r="C40" s="148"/>
      <c r="D40" s="149"/>
      <c r="E40" s="63">
        <f>SUM(E32:E39)</f>
        <v>12666.765774820298</v>
      </c>
      <c r="F40" s="64">
        <f>SUM(F32:F39)</f>
        <v>232055.94941230144</v>
      </c>
      <c r="G40" s="65">
        <f>+F40/E40</f>
        <v>18.320063190368231</v>
      </c>
      <c r="H40" s="63">
        <f>SUM(H32:H39)</f>
        <v>7644.6030558470356</v>
      </c>
      <c r="I40" s="64">
        <f>SUM(I32:I39)</f>
        <v>142625.82180724331</v>
      </c>
      <c r="J40" s="65">
        <f>+I40/H40</f>
        <v>18.657060512534372</v>
      </c>
      <c r="K40" s="63">
        <f>SUM(K32:K39)</f>
        <v>5957.2896466777884</v>
      </c>
      <c r="L40" s="64">
        <f>SUM(L32:L39)</f>
        <v>104607.65255784859</v>
      </c>
      <c r="M40" s="65">
        <f>+L40/K40</f>
        <v>17.559604914658685</v>
      </c>
      <c r="N40" s="63">
        <f>SUM(N32:N39)</f>
        <v>4569.7669799598298</v>
      </c>
      <c r="O40" s="64">
        <f>SUM(O32:O39)</f>
        <v>79607.516764627202</v>
      </c>
      <c r="P40" s="65">
        <f>+O40/N40</f>
        <v>17.420476167326804</v>
      </c>
      <c r="Q40" s="63"/>
      <c r="R40" s="64"/>
      <c r="S40" s="65"/>
      <c r="T40" s="63">
        <f>SUM(T32:T39)</f>
        <v>30838.425457304951</v>
      </c>
      <c r="U40" s="64">
        <f>SUM(U32:U39)</f>
        <v>558896.9405420206</v>
      </c>
      <c r="V40" s="81"/>
      <c r="W40" s="34">
        <f>SUM(H40,K40,N40,Q40,E40)</f>
        <v>30838.425457304951</v>
      </c>
      <c r="X40" s="34">
        <f>SUM(R40,O40,L40,I40,F40)</f>
        <v>558896.94054202049</v>
      </c>
    </row>
    <row r="41" spans="1:24" x14ac:dyDescent="0.25">
      <c r="A41" s="131">
        <v>44516</v>
      </c>
      <c r="B41" s="132" t="s">
        <v>22</v>
      </c>
      <c r="C41" s="133">
        <v>0.5</v>
      </c>
      <c r="D41" s="134">
        <v>0.70138888888888884</v>
      </c>
      <c r="E41" s="57">
        <f>Effort!F39</f>
        <v>1559.9921918872906</v>
      </c>
      <c r="F41" s="135">
        <f>Harvest!F39</f>
        <v>30419.847741802165</v>
      </c>
      <c r="G41" s="96">
        <f>+CPUE!F39</f>
        <v>19.5</v>
      </c>
      <c r="H41" s="125">
        <f>Effort!H39</f>
        <v>1299.0173395313</v>
      </c>
      <c r="I41" s="126">
        <f>Harvest!H39</f>
        <v>24996.242745526499</v>
      </c>
      <c r="J41" s="127">
        <f>CPUE!H39</f>
        <v>19.242424242424217</v>
      </c>
      <c r="K41" s="125">
        <f>Effort!J39</f>
        <v>1466.0892648251199</v>
      </c>
      <c r="L41" s="126">
        <f>Harvest!J39</f>
        <v>28810.3588087727</v>
      </c>
      <c r="M41" s="127">
        <f>CPUE!J39</f>
        <v>19.651162790697672</v>
      </c>
      <c r="N41" s="57" t="str">
        <f>Effort!L39</f>
        <v>CLOSED</v>
      </c>
      <c r="O41" s="135" t="str">
        <f>Harvest!L39</f>
        <v>CLOSED</v>
      </c>
      <c r="P41" s="96" t="str">
        <f>CPUE!L39</f>
        <v>CLOSED</v>
      </c>
      <c r="Q41" s="57" t="s">
        <v>10</v>
      </c>
      <c r="R41" s="135" t="s">
        <v>10</v>
      </c>
      <c r="S41" s="60" t="s">
        <v>10</v>
      </c>
      <c r="T41" s="57">
        <f>SUM(E41+H41+K41)</f>
        <v>4325.0987962437102</v>
      </c>
      <c r="U41" s="135">
        <f>SUM(F41+I41+L41)</f>
        <v>84226.44929610136</v>
      </c>
      <c r="V41" s="81"/>
      <c r="W41" s="34"/>
      <c r="X41" s="34"/>
    </row>
    <row r="42" spans="1:24" x14ac:dyDescent="0.25">
      <c r="A42" s="131">
        <v>44517</v>
      </c>
      <c r="B42" s="132" t="s">
        <v>23</v>
      </c>
      <c r="C42" s="133">
        <v>0.1</v>
      </c>
      <c r="D42" s="134">
        <v>0.72777777777777775</v>
      </c>
      <c r="E42" s="125">
        <f>Effort!F40</f>
        <v>1103.422816749402</v>
      </c>
      <c r="F42" s="126">
        <f>Harvest!F40</f>
        <v>21620.145750663829</v>
      </c>
      <c r="G42" s="127">
        <f>+CPUE!F40</f>
        <v>19.593709158883538</v>
      </c>
      <c r="H42" s="57">
        <f>Effort!H40</f>
        <v>784.30016045543255</v>
      </c>
      <c r="I42" s="135">
        <f>Harvest!H40</f>
        <v>15293.853128880935</v>
      </c>
      <c r="J42" s="96">
        <f>CPUE!H40</f>
        <v>19.5</v>
      </c>
      <c r="K42" s="57" t="str">
        <f>Effort!J40</f>
        <v>CLOSED</v>
      </c>
      <c r="L42" s="135" t="str">
        <f>Harvest!J40</f>
        <v>CLOSED</v>
      </c>
      <c r="M42" s="96" t="str">
        <f>CPUE!J40</f>
        <v>CLOSED</v>
      </c>
      <c r="N42" s="125">
        <f>Effort!L40</f>
        <v>846.46098150135799</v>
      </c>
      <c r="O42" s="126">
        <f>Harvest!L40</f>
        <v>16467.5136401173</v>
      </c>
      <c r="P42" s="127">
        <f>CPUE!L40</f>
        <v>19.454545454545421</v>
      </c>
      <c r="Q42" s="57" t="s">
        <v>10</v>
      </c>
      <c r="R42" s="135" t="s">
        <v>10</v>
      </c>
      <c r="S42" s="60" t="s">
        <v>10</v>
      </c>
      <c r="T42" s="57">
        <f>SUM(E42+H42+N42)</f>
        <v>2734.1839587061922</v>
      </c>
      <c r="U42" s="135">
        <f>SUM(F42+I42+O42)</f>
        <v>53381.512519662065</v>
      </c>
      <c r="V42" s="81"/>
      <c r="W42" s="34"/>
      <c r="X42" s="34"/>
    </row>
    <row r="43" spans="1:24" x14ac:dyDescent="0.25">
      <c r="A43" s="131">
        <v>44518</v>
      </c>
      <c r="B43" s="132" t="s">
        <v>24</v>
      </c>
      <c r="C43" s="133">
        <v>-0.2</v>
      </c>
      <c r="D43" s="134">
        <v>0.75208333333333333</v>
      </c>
      <c r="E43" s="57">
        <f>Effort!F41</f>
        <v>598.56615550800348</v>
      </c>
      <c r="F43" s="135">
        <f>Harvest!F41</f>
        <v>11672.040032406068</v>
      </c>
      <c r="G43" s="96">
        <f>+CPUE!F41</f>
        <v>19.5</v>
      </c>
      <c r="H43" s="57">
        <f>Effort!H41</f>
        <v>498.43058119464155</v>
      </c>
      <c r="I43" s="135">
        <f>Harvest!H41</f>
        <v>9719.39633329551</v>
      </c>
      <c r="J43" s="96">
        <f>CPUE!H41</f>
        <v>19.5</v>
      </c>
      <c r="K43" s="125">
        <f>Effort!J41</f>
        <v>844.17121628361201</v>
      </c>
      <c r="L43" s="126">
        <f>Harvest!J41</f>
        <v>16672.381521601299</v>
      </c>
      <c r="M43" s="127">
        <f>CPUE!J41</f>
        <v>19.749999999999954</v>
      </c>
      <c r="N43" s="57" t="str">
        <f>Effort!L41</f>
        <v>CLOSED</v>
      </c>
      <c r="O43" s="135" t="str">
        <f>Harvest!L41</f>
        <v>CLOSED</v>
      </c>
      <c r="P43" s="96" t="str">
        <f>CPUE!L41</f>
        <v>CLOSED</v>
      </c>
      <c r="Q43" s="57" t="s">
        <v>10</v>
      </c>
      <c r="R43" s="135" t="s">
        <v>10</v>
      </c>
      <c r="S43" s="60" t="s">
        <v>10</v>
      </c>
      <c r="T43" s="57">
        <f>SUM(E43+H43+K43)</f>
        <v>1941.167952986257</v>
      </c>
      <c r="U43" s="135">
        <f>SUM(F43+I43+L43)</f>
        <v>38063.817887302881</v>
      </c>
      <c r="V43" s="81"/>
      <c r="W43" s="34"/>
      <c r="X43" s="34"/>
    </row>
    <row r="44" spans="1:24" x14ac:dyDescent="0.25">
      <c r="A44" s="131">
        <v>44519</v>
      </c>
      <c r="B44" s="132" t="s">
        <v>18</v>
      </c>
      <c r="C44" s="133">
        <v>-0.3</v>
      </c>
      <c r="D44" s="134">
        <v>0.77569444444444446</v>
      </c>
      <c r="E44" s="125">
        <f>Effort!F42</f>
        <v>1500.3021675091923</v>
      </c>
      <c r="F44" s="126">
        <f>Harvest!F42</f>
        <v>27005.439015165459</v>
      </c>
      <c r="G44" s="127">
        <f>+CPUE!F42</f>
        <v>18</v>
      </c>
      <c r="H44" s="125">
        <f>Effort!H42</f>
        <v>1066.39740709325</v>
      </c>
      <c r="I44" s="126">
        <f>Harvest!H42</f>
        <v>18661.9546241319</v>
      </c>
      <c r="J44" s="127">
        <f>CPUE!H42</f>
        <v>17.500000000000025</v>
      </c>
      <c r="K44" s="57" t="str">
        <f>Effort!J42</f>
        <v>CLOSED</v>
      </c>
      <c r="L44" s="135" t="str">
        <f>Harvest!J42</f>
        <v>CLOSED</v>
      </c>
      <c r="M44" s="96" t="str">
        <f>CPUE!J42</f>
        <v>CLOSED</v>
      </c>
      <c r="N44" s="125">
        <f>Effort!L42</f>
        <v>1368.05752491113</v>
      </c>
      <c r="O44" s="126">
        <f>Harvest!L42</f>
        <v>19836.834111211501</v>
      </c>
      <c r="P44" s="127">
        <f>CPUE!L42</f>
        <v>14.500000000000085</v>
      </c>
      <c r="Q44" s="57" t="s">
        <v>10</v>
      </c>
      <c r="R44" s="135" t="s">
        <v>10</v>
      </c>
      <c r="S44" s="60" t="s">
        <v>10</v>
      </c>
      <c r="T44" s="57">
        <f>SUM(E44+H44+N44)</f>
        <v>3934.757099513572</v>
      </c>
      <c r="U44" s="135">
        <f>SUM(F44+I44+O44)</f>
        <v>65504.227750508857</v>
      </c>
      <c r="V44" s="81"/>
      <c r="W44" s="34"/>
      <c r="X44" s="34"/>
    </row>
    <row r="45" spans="1:24" x14ac:dyDescent="0.25">
      <c r="A45" s="131">
        <v>44520</v>
      </c>
      <c r="B45" s="132" t="s">
        <v>19</v>
      </c>
      <c r="C45" s="133">
        <v>-0.3</v>
      </c>
      <c r="D45" s="134">
        <v>0.79861111111111116</v>
      </c>
      <c r="E45" s="125">
        <f>Effort!F43</f>
        <v>1965.582218119561</v>
      </c>
      <c r="F45" s="126">
        <f>Harvest!F43</f>
        <v>38902.628248870504</v>
      </c>
      <c r="G45" s="127">
        <f>+CPUE!F43</f>
        <v>19.791910961673221</v>
      </c>
      <c r="H45" s="125">
        <f>Effort!H43</f>
        <v>1636.75523306477</v>
      </c>
      <c r="I45" s="126">
        <f>Harvest!H43</f>
        <v>32371.381276169799</v>
      </c>
      <c r="J45" s="127">
        <f>CPUE!H43</f>
        <v>19.777777777777718</v>
      </c>
      <c r="K45" s="125">
        <f>Effort!J43</f>
        <v>2772.10449756751</v>
      </c>
      <c r="L45" s="126">
        <f>Harvest!J43</f>
        <v>51165.128726531802</v>
      </c>
      <c r="M45" s="127">
        <f>CPUE!J43</f>
        <v>18.457142857142873</v>
      </c>
      <c r="N45" s="57" t="str">
        <f>Effort!L43</f>
        <v>CLOSED</v>
      </c>
      <c r="O45" s="135" t="str">
        <f>Harvest!L43</f>
        <v>CLOSED</v>
      </c>
      <c r="P45" s="96" t="str">
        <f>CPUE!L43</f>
        <v>CLOSED</v>
      </c>
      <c r="Q45" s="57" t="s">
        <v>10</v>
      </c>
      <c r="R45" s="135" t="s">
        <v>10</v>
      </c>
      <c r="S45" s="60" t="s">
        <v>10</v>
      </c>
      <c r="T45" s="57">
        <f>SUM(E45+H45+K45)</f>
        <v>6374.4419487518408</v>
      </c>
      <c r="U45" s="135">
        <f>SUM(F45+I45+L45)</f>
        <v>122439.13825157212</v>
      </c>
      <c r="V45" s="81"/>
      <c r="W45" s="34"/>
      <c r="X45" s="34"/>
    </row>
    <row r="46" spans="1:24" x14ac:dyDescent="0.25">
      <c r="A46" s="131">
        <v>44521</v>
      </c>
      <c r="B46" s="132" t="s">
        <v>20</v>
      </c>
      <c r="C46" s="133">
        <v>-0.2</v>
      </c>
      <c r="D46" s="134">
        <v>0.8222222222222223</v>
      </c>
      <c r="E46" s="125">
        <f>Effort!F44</f>
        <v>420.44744506992902</v>
      </c>
      <c r="F46" s="126">
        <f>Harvest!F44</f>
        <v>7988.5014563286513</v>
      </c>
      <c r="G46" s="127">
        <f>+CPUE!F44</f>
        <v>19</v>
      </c>
      <c r="H46" s="125">
        <f>Effort!H44</f>
        <v>595.52796265707502</v>
      </c>
      <c r="I46" s="126">
        <f>Harvest!H44</f>
        <v>10982.236252528999</v>
      </c>
      <c r="J46" s="127">
        <f>CPUE!H44</f>
        <v>18.441176470588232</v>
      </c>
      <c r="K46" s="57" t="str">
        <f>Effort!J44</f>
        <v>CLOSED</v>
      </c>
      <c r="L46" s="135" t="str">
        <f>Harvest!J44</f>
        <v>CLOSED</v>
      </c>
      <c r="M46" s="96" t="str">
        <f>CPUE!J44</f>
        <v>CLOSED</v>
      </c>
      <c r="N46" s="125">
        <f>Effort!L44</f>
        <v>726.48021360676898</v>
      </c>
      <c r="O46" s="126">
        <f>Harvest!L44</f>
        <v>13294.5879090039</v>
      </c>
      <c r="P46" s="127">
        <f>CPUE!L44</f>
        <v>18.300000000000036</v>
      </c>
      <c r="Q46" s="57" t="s">
        <v>10</v>
      </c>
      <c r="R46" s="135" t="s">
        <v>10</v>
      </c>
      <c r="S46" s="60" t="s">
        <v>10</v>
      </c>
      <c r="T46" s="57">
        <f>SUM(E46+H46+N46)</f>
        <v>1742.455621333773</v>
      </c>
      <c r="U46" s="135">
        <f>SUM(F46+I46+O46)</f>
        <v>32265.325617861548</v>
      </c>
      <c r="V46" s="81"/>
      <c r="W46" s="34"/>
      <c r="X46" s="34"/>
    </row>
    <row r="47" spans="1:24" x14ac:dyDescent="0.25">
      <c r="A47" s="131">
        <v>44522</v>
      </c>
      <c r="B47" s="132" t="s">
        <v>21</v>
      </c>
      <c r="C47" s="133">
        <v>0</v>
      </c>
      <c r="D47" s="134">
        <v>0.84791666666666676</v>
      </c>
      <c r="E47" s="57">
        <f>Effort!F45</f>
        <v>240.89055787343111</v>
      </c>
      <c r="F47" s="135">
        <f>Harvest!F45</f>
        <v>3613.3583681014666</v>
      </c>
      <c r="G47" s="96">
        <f>+CPUE!F45</f>
        <v>15</v>
      </c>
      <c r="H47" s="57">
        <f>Effort!H45</f>
        <v>200.59139605588723</v>
      </c>
      <c r="I47" s="135">
        <f>Harvest!H45</f>
        <v>3008.8709408383083</v>
      </c>
      <c r="J47" s="96">
        <f>CPUE!H45</f>
        <v>15</v>
      </c>
      <c r="K47" s="125">
        <f>Effort!J45</f>
        <v>339.73333333333301</v>
      </c>
      <c r="L47" s="126">
        <f>Harvest!J45</f>
        <v>5120.2666666666701</v>
      </c>
      <c r="M47" s="127">
        <f>CPUE!J45</f>
        <v>15.071428571428596</v>
      </c>
      <c r="N47" s="57" t="str">
        <f>Effort!L45</f>
        <v>CLOSED</v>
      </c>
      <c r="O47" s="135" t="str">
        <f>Harvest!L45</f>
        <v>CLOSED</v>
      </c>
      <c r="P47" s="96" t="str">
        <f>CPUE!L45</f>
        <v>CLOSED</v>
      </c>
      <c r="Q47" s="57" t="s">
        <v>10</v>
      </c>
      <c r="R47" s="135" t="s">
        <v>10</v>
      </c>
      <c r="S47" s="60" t="s">
        <v>10</v>
      </c>
      <c r="T47" s="57">
        <f>SUM(E47+H47+K47)</f>
        <v>781.21528726265137</v>
      </c>
      <c r="U47" s="135">
        <f>SUM(F47+I47+L47)</f>
        <v>11742.495975606445</v>
      </c>
      <c r="V47" s="81"/>
      <c r="W47" s="34"/>
      <c r="X47" s="34"/>
    </row>
    <row r="48" spans="1:24" x14ac:dyDescent="0.25">
      <c r="A48" s="131">
        <v>44523</v>
      </c>
      <c r="B48" s="132" t="s">
        <v>22</v>
      </c>
      <c r="C48" s="133">
        <v>0.2</v>
      </c>
      <c r="D48" s="134">
        <v>0.875</v>
      </c>
      <c r="E48" s="57">
        <f>Effort!F46</f>
        <v>152.28689664981428</v>
      </c>
      <c r="F48" s="135">
        <f>Harvest!F46</f>
        <v>2436.5903463970285</v>
      </c>
      <c r="G48" s="96">
        <f>+CPUE!F46</f>
        <v>16</v>
      </c>
      <c r="H48" s="57">
        <f>Effort!H46</f>
        <v>108.24376264899628</v>
      </c>
      <c r="I48" s="135">
        <f>Harvest!H46</f>
        <v>1731.9002023839405</v>
      </c>
      <c r="J48" s="96">
        <f>CPUE!H46</f>
        <v>16</v>
      </c>
      <c r="K48" s="57" t="str">
        <f>Effort!J46</f>
        <v>CLOSED</v>
      </c>
      <c r="L48" s="135" t="str">
        <f>Harvest!J46</f>
        <v>CLOSED</v>
      </c>
      <c r="M48" s="96" t="str">
        <f>CPUE!J46</f>
        <v>CLOSED</v>
      </c>
      <c r="N48" s="125">
        <f>Effort!L46</f>
        <v>138.86351657614699</v>
      </c>
      <c r="O48" s="126">
        <f>Harvest!L46</f>
        <v>2211.8974426057698</v>
      </c>
      <c r="P48" s="127">
        <f>CPUE!L46</f>
        <v>15.928571428571427</v>
      </c>
      <c r="Q48" s="57" t="s">
        <v>10</v>
      </c>
      <c r="R48" s="135" t="s">
        <v>10</v>
      </c>
      <c r="S48" s="60" t="s">
        <v>10</v>
      </c>
      <c r="T48" s="57">
        <f>SUM(E48+H48+N48)</f>
        <v>399.39417587495757</v>
      </c>
      <c r="U48" s="135">
        <f>SUM(F48+I48+O48)</f>
        <v>6380.3879913867386</v>
      </c>
      <c r="V48" s="81"/>
      <c r="W48" s="34"/>
      <c r="X48" s="34"/>
    </row>
    <row r="49" spans="1:24" x14ac:dyDescent="0.25">
      <c r="A49" s="131">
        <v>44524</v>
      </c>
      <c r="B49" s="132" t="s">
        <v>23</v>
      </c>
      <c r="C49" s="133">
        <v>0.5</v>
      </c>
      <c r="D49" s="134">
        <v>0.90486111111111101</v>
      </c>
      <c r="E49" s="57">
        <f>Effort!F47</f>
        <v>331.0926111656579</v>
      </c>
      <c r="F49" s="135">
        <f>Harvest!F47</f>
        <v>4966.3891674848683</v>
      </c>
      <c r="G49" s="96">
        <f>+CPUE!F47</f>
        <v>15</v>
      </c>
      <c r="H49" s="125">
        <f>Effort!H47</f>
        <v>275.70333052407898</v>
      </c>
      <c r="I49" s="126">
        <f>Harvest!H47</f>
        <v>3899.2328174119798</v>
      </c>
      <c r="J49" s="127">
        <f>CPUE!H47</f>
        <v>14.142857142857164</v>
      </c>
      <c r="K49" s="57">
        <f>Effort!J47</f>
        <v>466.94730348230195</v>
      </c>
      <c r="L49" s="135">
        <f>Harvest!J47</f>
        <v>7004.2095522345289</v>
      </c>
      <c r="M49" s="96">
        <f>CPUE!J47</f>
        <v>15</v>
      </c>
      <c r="N49" s="57" t="str">
        <f>Effort!L47</f>
        <v>CLOSED</v>
      </c>
      <c r="O49" s="135" t="str">
        <f>Harvest!L47</f>
        <v>CLOSED</v>
      </c>
      <c r="P49" s="96" t="str">
        <f>CPUE!L47</f>
        <v>CLOSED</v>
      </c>
      <c r="Q49" s="57" t="s">
        <v>10</v>
      </c>
      <c r="R49" s="135" t="s">
        <v>10</v>
      </c>
      <c r="S49" s="60" t="s">
        <v>10</v>
      </c>
      <c r="T49" s="57">
        <f>SUM(E49+H49+K49)</f>
        <v>1073.7432451720388</v>
      </c>
      <c r="U49" s="135">
        <f>SUM(F49+I49+L49)</f>
        <v>15869.831537131377</v>
      </c>
      <c r="V49" s="81"/>
      <c r="W49" s="34"/>
      <c r="X49" s="34"/>
    </row>
    <row r="50" spans="1:24" x14ac:dyDescent="0.25">
      <c r="A50" s="148" t="s">
        <v>57</v>
      </c>
      <c r="B50" s="148"/>
      <c r="C50" s="148"/>
      <c r="D50" s="149"/>
      <c r="E50" s="63">
        <f>SUM(E41:E49)</f>
        <v>7872.5830605322817</v>
      </c>
      <c r="F50" s="64">
        <f>SUM(F41:F49)</f>
        <v>148624.94012722</v>
      </c>
      <c r="G50" s="65">
        <f>+F50/E50</f>
        <v>18.878802419033629</v>
      </c>
      <c r="H50" s="63">
        <f>SUM(H41:H49)</f>
        <v>6464.9671732254328</v>
      </c>
      <c r="I50" s="64">
        <f>SUM(I41:I49)</f>
        <v>120665.06832116787</v>
      </c>
      <c r="J50" s="65">
        <f>+I50/H50</f>
        <v>18.664451819786571</v>
      </c>
      <c r="K50" s="63">
        <f>SUM(K41:K49)</f>
        <v>5889.0456154918766</v>
      </c>
      <c r="L50" s="64">
        <f>SUM(L41:L49)</f>
        <v>108772.34527580699</v>
      </c>
      <c r="M50" s="65">
        <f>+L50/K50</f>
        <v>18.470284045630013</v>
      </c>
      <c r="N50" s="63">
        <f>SUM(N41:N49)</f>
        <v>3079.8622365954043</v>
      </c>
      <c r="O50" s="64">
        <f>SUM(O41:O49)</f>
        <v>51810.833102938472</v>
      </c>
      <c r="P50" s="65">
        <f>+O50/N50</f>
        <v>16.822451500367144</v>
      </c>
      <c r="Q50" s="63"/>
      <c r="R50" s="64"/>
      <c r="S50" s="65"/>
      <c r="T50" s="63">
        <f>SUM(T41:T49)</f>
        <v>23306.458085844992</v>
      </c>
      <c r="U50" s="64">
        <f>SUM(U41:U49)</f>
        <v>429873.18682713341</v>
      </c>
      <c r="V50" s="81"/>
      <c r="W50" s="34">
        <f>SUM(H50,K50,N50,Q50,E50)</f>
        <v>23306.458085844995</v>
      </c>
      <c r="X50" s="34">
        <f>SUM(R50,O50,L50,I50,F50)</f>
        <v>429873.18682713329</v>
      </c>
    </row>
    <row r="51" spans="1:24" s="10" customFormat="1" x14ac:dyDescent="0.25">
      <c r="A51" s="131">
        <v>44531</v>
      </c>
      <c r="B51" s="104" t="s">
        <v>23</v>
      </c>
      <c r="C51" s="104">
        <v>0.1</v>
      </c>
      <c r="D51" s="105">
        <v>0.67291666666666661</v>
      </c>
      <c r="E51" s="125">
        <f>Effort!F49</f>
        <v>1223.0098515172101</v>
      </c>
      <c r="F51" s="126">
        <f>Harvest!F49</f>
        <v>23237.187178826993</v>
      </c>
      <c r="G51" s="127">
        <f>+CPUE!F49</f>
        <v>19</v>
      </c>
      <c r="H51" s="57">
        <f>Effort!H49</f>
        <v>1067.65983766151</v>
      </c>
      <c r="I51" s="135">
        <f>Harvest!H49</f>
        <v>20235.8783184682</v>
      </c>
      <c r="J51" s="96">
        <f>CPUE!H49</f>
        <v>18.953488372093066</v>
      </c>
      <c r="K51" s="125">
        <f>Effort!J49</f>
        <v>1287.0640292414701</v>
      </c>
      <c r="L51" s="126">
        <f>Harvest!J49</f>
        <v>24847.4861200784</v>
      </c>
      <c r="M51" s="127">
        <f>CPUE!J49</f>
        <v>19.305555555555571</v>
      </c>
      <c r="N51" s="57" t="str">
        <f>Effort!L49</f>
        <v>CLOSED</v>
      </c>
      <c r="O51" s="135" t="str">
        <f>Harvest!L49</f>
        <v>CLOSED</v>
      </c>
      <c r="P51" s="96" t="str">
        <f>CPUE!L49</f>
        <v>CLOSED</v>
      </c>
      <c r="Q51" s="57" t="s">
        <v>10</v>
      </c>
      <c r="R51" s="135" t="s">
        <v>10</v>
      </c>
      <c r="S51" s="60" t="s">
        <v>10</v>
      </c>
      <c r="T51" s="57">
        <f>SUM(E51+H51+K51)</f>
        <v>3577.7337184201901</v>
      </c>
      <c r="U51" s="135">
        <f>SUM(F51+I51+L51)</f>
        <v>68320.551617373596</v>
      </c>
      <c r="V51" s="81"/>
      <c r="W51" s="138"/>
      <c r="X51" s="138"/>
    </row>
    <row r="52" spans="1:24" s="10" customFormat="1" x14ac:dyDescent="0.25">
      <c r="A52" s="131">
        <v>44532</v>
      </c>
      <c r="B52" s="104" t="s">
        <v>24</v>
      </c>
      <c r="C52" s="104">
        <v>-0.8</v>
      </c>
      <c r="D52" s="105">
        <v>0.70694444444444438</v>
      </c>
      <c r="E52" s="57">
        <f>Effort!F50</f>
        <v>2324.8567881956869</v>
      </c>
      <c r="F52" s="135">
        <f>Harvest!F50</f>
        <v>46497.1357639138</v>
      </c>
      <c r="G52" s="96">
        <f>+CPUE!F50</f>
        <v>20.000000000000025</v>
      </c>
      <c r="H52" s="125">
        <f>Effort!H50</f>
        <v>1115.3506712834353</v>
      </c>
      <c r="I52" s="126">
        <f>Harvest!H50</f>
        <v>21749.338090026988</v>
      </c>
      <c r="J52" s="127">
        <f>CPUE!H50</f>
        <v>19.5</v>
      </c>
      <c r="K52" s="57" t="str">
        <f>Effort!J50</f>
        <v>CLOSED</v>
      </c>
      <c r="L52" s="135" t="str">
        <f>Harvest!J50</f>
        <v>CLOSED</v>
      </c>
      <c r="M52" s="96" t="str">
        <f>CPUE!J50</f>
        <v>CLOSED</v>
      </c>
      <c r="N52" s="125">
        <f>Effort!L50</f>
        <v>1611.5335221145999</v>
      </c>
      <c r="O52" s="126">
        <f>Harvest!L50</f>
        <v>31751.047370234101</v>
      </c>
      <c r="P52" s="127">
        <f>CPUE!L50</f>
        <v>19.702380952380963</v>
      </c>
      <c r="Q52" s="57" t="s">
        <v>10</v>
      </c>
      <c r="R52" s="135" t="s">
        <v>10</v>
      </c>
      <c r="S52" s="60" t="s">
        <v>10</v>
      </c>
      <c r="T52" s="57">
        <f>SUM(E52+H52+N52)</f>
        <v>5051.7409815937217</v>
      </c>
      <c r="U52" s="135">
        <f>SUM(F52+I52+O52)</f>
        <v>99997.521224174881</v>
      </c>
      <c r="V52" s="81"/>
      <c r="W52" s="138"/>
      <c r="X52" s="138"/>
    </row>
    <row r="53" spans="1:24" s="10" customFormat="1" x14ac:dyDescent="0.25">
      <c r="A53" s="131">
        <v>44533</v>
      </c>
      <c r="B53" s="104" t="s">
        <v>18</v>
      </c>
      <c r="C53" s="104">
        <v>-1.5</v>
      </c>
      <c r="D53" s="105">
        <v>0.73958333333333337</v>
      </c>
      <c r="E53" s="57">
        <f>Effort!F51</f>
        <v>3511.4118679230764</v>
      </c>
      <c r="F53" s="135">
        <f>Harvest!F51</f>
        <v>66716.825490538453</v>
      </c>
      <c r="G53" s="96">
        <f>+CPUE!F51</f>
        <v>19</v>
      </c>
      <c r="H53" s="57">
        <f>Effort!H51</f>
        <v>2851.40437103452</v>
      </c>
      <c r="I53" s="135">
        <f>Harvest!H51</f>
        <v>54216.285888142404</v>
      </c>
      <c r="J53" s="96">
        <f>CPUE!H51</f>
        <v>19.013888888888864</v>
      </c>
      <c r="K53" s="125">
        <f>Effort!J51</f>
        <v>3695.3192988992</v>
      </c>
      <c r="L53" s="126">
        <f>Harvest!J51</f>
        <v>72819.527360660606</v>
      </c>
      <c r="M53" s="127">
        <f>CPUE!J51</f>
        <v>19.705882352941149</v>
      </c>
      <c r="N53" s="57" t="str">
        <f>Effort!L51</f>
        <v>CLOSED</v>
      </c>
      <c r="O53" s="135" t="str">
        <f>Harvest!L51</f>
        <v>CLOSED</v>
      </c>
      <c r="P53" s="96" t="str">
        <f>CPUE!L51</f>
        <v>CLOSED</v>
      </c>
      <c r="Q53" s="57" t="s">
        <v>10</v>
      </c>
      <c r="R53" s="135" t="s">
        <v>10</v>
      </c>
      <c r="S53" s="60" t="s">
        <v>10</v>
      </c>
      <c r="T53" s="57">
        <f>SUM(E53+H53+K53)</f>
        <v>10058.135537856797</v>
      </c>
      <c r="U53" s="135">
        <f>SUM(F53+I53+L53)</f>
        <v>193752.63873934146</v>
      </c>
      <c r="V53" s="81"/>
      <c r="W53" s="138"/>
      <c r="X53" s="138"/>
    </row>
    <row r="54" spans="1:24" s="10" customFormat="1" x14ac:dyDescent="0.25">
      <c r="A54" s="131">
        <v>44534</v>
      </c>
      <c r="B54" s="104" t="s">
        <v>19</v>
      </c>
      <c r="C54" s="104">
        <v>-1.9</v>
      </c>
      <c r="D54" s="105">
        <v>0.77222222222222225</v>
      </c>
      <c r="E54" s="57">
        <f>Effort!F52</f>
        <v>3286.740319910522</v>
      </c>
      <c r="F54" s="135">
        <f>Harvest!F52</f>
        <v>62448.066078299918</v>
      </c>
      <c r="G54" s="96">
        <f>+CPUE!F52</f>
        <v>19</v>
      </c>
      <c r="H54" s="57">
        <f>Effort!H52</f>
        <v>2582.5409346912402</v>
      </c>
      <c r="I54" s="135">
        <f>Harvest!H52</f>
        <v>47147.1192589364</v>
      </c>
      <c r="J54" s="96">
        <f>CPUE!H52</f>
        <v>18.256097560975601</v>
      </c>
      <c r="K54" s="57" t="str">
        <f>Effort!J52</f>
        <v>CLOSED</v>
      </c>
      <c r="L54" s="135" t="str">
        <f>Harvest!J52</f>
        <v>CLOSED</v>
      </c>
      <c r="M54" s="96" t="str">
        <f>CPUE!J52</f>
        <v>CLOSED</v>
      </c>
      <c r="N54" s="125">
        <f>Effort!L52</f>
        <v>3731.4285055291698</v>
      </c>
      <c r="O54" s="126">
        <f>Harvest!L52</f>
        <v>71311.744772335296</v>
      </c>
      <c r="P54" s="127">
        <f>CPUE!L52</f>
        <v>19.111111111111125</v>
      </c>
      <c r="Q54" s="57" t="s">
        <v>10</v>
      </c>
      <c r="R54" s="135" t="s">
        <v>10</v>
      </c>
      <c r="S54" s="60" t="s">
        <v>10</v>
      </c>
      <c r="T54" s="57">
        <f>SUM(E54+H54+N54)</f>
        <v>9600.7097601309324</v>
      </c>
      <c r="U54" s="135">
        <f>SUM(F54+I54+O54)</f>
        <v>180906.93010957161</v>
      </c>
      <c r="V54" s="81"/>
      <c r="W54" s="138"/>
      <c r="X54" s="138"/>
    </row>
    <row r="55" spans="1:24" s="10" customFormat="1" x14ac:dyDescent="0.25">
      <c r="A55" s="131">
        <v>44535</v>
      </c>
      <c r="B55" s="104" t="s">
        <v>20</v>
      </c>
      <c r="C55" s="104">
        <v>-2</v>
      </c>
      <c r="D55" s="105">
        <v>0.80555555555555547</v>
      </c>
      <c r="E55" s="57">
        <f>Effort!F53</f>
        <v>1239.4390466118587</v>
      </c>
      <c r="F55" s="135">
        <f>Harvest!F53</f>
        <v>23549.341885625316</v>
      </c>
      <c r="G55" s="96">
        <f>+CPUE!F53</f>
        <v>19</v>
      </c>
      <c r="H55" s="57">
        <f>Effort!H53</f>
        <v>1388.9351000259001</v>
      </c>
      <c r="I55" s="135">
        <f>Harvest!H53</f>
        <v>26520.798513702201</v>
      </c>
      <c r="J55" s="96">
        <f>CPUE!H53</f>
        <v>19.094339622641588</v>
      </c>
      <c r="K55" s="125">
        <f>Effort!J53</f>
        <v>1983.4432651038301</v>
      </c>
      <c r="L55" s="126">
        <f>Harvest!J53</f>
        <v>38393.794631652803</v>
      </c>
      <c r="M55" s="127">
        <f>CPUE!J53</f>
        <v>19.357142857142904</v>
      </c>
      <c r="N55" s="57" t="str">
        <f>Effort!L53</f>
        <v>CLOSED</v>
      </c>
      <c r="O55" s="135" t="str">
        <f>Harvest!L53</f>
        <v>CLOSED</v>
      </c>
      <c r="P55" s="96" t="str">
        <f>CPUE!L53</f>
        <v>CLOSED</v>
      </c>
      <c r="Q55" s="57" t="s">
        <v>10</v>
      </c>
      <c r="R55" s="135" t="s">
        <v>10</v>
      </c>
      <c r="S55" s="60" t="s">
        <v>10</v>
      </c>
      <c r="T55" s="57">
        <f>SUM(E55+H55+K55)</f>
        <v>4611.8174117415892</v>
      </c>
      <c r="U55" s="135">
        <f>SUM(F55+I55+L55)</f>
        <v>88463.935030980327</v>
      </c>
      <c r="V55" s="81"/>
      <c r="W55" s="138"/>
      <c r="X55" s="138"/>
    </row>
    <row r="56" spans="1:24" s="10" customFormat="1" x14ac:dyDescent="0.25">
      <c r="A56" s="131">
        <v>44536</v>
      </c>
      <c r="B56" s="104" t="s">
        <v>21</v>
      </c>
      <c r="C56" s="104">
        <v>-1.7</v>
      </c>
      <c r="D56" s="105">
        <v>0.83958333333333324</v>
      </c>
      <c r="E56" s="125">
        <f>Effort!F54</f>
        <v>581.12101797882292</v>
      </c>
      <c r="F56" s="126">
        <f>Harvest!F54</f>
        <v>11331.859850587047</v>
      </c>
      <c r="G56" s="127">
        <f>+CPUE!F54</f>
        <v>19.5</v>
      </c>
      <c r="H56" s="57">
        <f>Effort!H54</f>
        <v>352.66541373869802</v>
      </c>
      <c r="I56" s="135">
        <f>Harvest!H54</f>
        <v>6860.9453218255803</v>
      </c>
      <c r="J56" s="96">
        <f>CPUE!H54</f>
        <v>19.454545454545457</v>
      </c>
      <c r="K56" s="57" t="str">
        <f>Effort!J54</f>
        <v>CLOSED</v>
      </c>
      <c r="L56" s="135" t="str">
        <f>Harvest!J54</f>
        <v>CLOSED</v>
      </c>
      <c r="M56" s="96" t="str">
        <f>CPUE!J54</f>
        <v>CLOSED</v>
      </c>
      <c r="N56" s="125">
        <f>Effort!L54</f>
        <v>402.81879108994298</v>
      </c>
      <c r="O56" s="126">
        <f>Harvest!L54</f>
        <v>7877.3452479811003</v>
      </c>
      <c r="P56" s="127">
        <f>CPUE!L54</f>
        <v>19.555555555555539</v>
      </c>
      <c r="Q56" s="57" t="s">
        <v>10</v>
      </c>
      <c r="R56" s="135" t="s">
        <v>10</v>
      </c>
      <c r="S56" s="60" t="s">
        <v>10</v>
      </c>
      <c r="T56" s="57">
        <f>SUM(E56+H56+N56)</f>
        <v>1336.6052228074639</v>
      </c>
      <c r="U56" s="135">
        <f>SUM(F56+I56+O56)</f>
        <v>26070.150420393729</v>
      </c>
      <c r="V56" s="81"/>
      <c r="W56" s="138"/>
      <c r="X56" s="138"/>
    </row>
    <row r="57" spans="1:24" s="10" customFormat="1" x14ac:dyDescent="0.25">
      <c r="A57" s="131">
        <v>44537</v>
      </c>
      <c r="B57" s="104" t="s">
        <v>22</v>
      </c>
      <c r="C57" s="104">
        <v>-1.2</v>
      </c>
      <c r="D57" s="105">
        <v>0.87430555555555556</v>
      </c>
      <c r="E57" s="125">
        <f>Effort!F55</f>
        <v>327.23499094993792</v>
      </c>
      <c r="F57" s="126">
        <f>Harvest!F55</f>
        <v>6381.0823235237895</v>
      </c>
      <c r="G57" s="127">
        <f>+CPUE!F55</f>
        <v>19.5</v>
      </c>
      <c r="H57" s="125">
        <f>Effort!H55</f>
        <v>285.6687187608153</v>
      </c>
      <c r="I57" s="126">
        <f>Harvest!H55</f>
        <v>5570.540015835898</v>
      </c>
      <c r="J57" s="127">
        <f>CPUE!H55</f>
        <v>19.5</v>
      </c>
      <c r="K57" s="125">
        <f>Effort!J55</f>
        <v>344.37366586895098</v>
      </c>
      <c r="L57" s="126">
        <f>Harvest!J55</f>
        <v>6686.5886789554697</v>
      </c>
      <c r="M57" s="127">
        <f>CPUE!J55</f>
        <v>19.416666666666682</v>
      </c>
      <c r="N57" s="57" t="str">
        <f>Effort!L55</f>
        <v>CLOSED</v>
      </c>
      <c r="O57" s="135" t="str">
        <f>Harvest!L55</f>
        <v>CLOSED</v>
      </c>
      <c r="P57" s="96" t="str">
        <f>CPUE!L55</f>
        <v>CLOSED</v>
      </c>
      <c r="Q57" s="57" t="s">
        <v>10</v>
      </c>
      <c r="R57" s="135" t="s">
        <v>10</v>
      </c>
      <c r="S57" s="60" t="s">
        <v>10</v>
      </c>
      <c r="T57" s="57">
        <f>SUM(E57+H57+K57)</f>
        <v>957.2773755797042</v>
      </c>
      <c r="U57" s="135">
        <f>SUM(F57+I57+L57)</f>
        <v>18638.21101831516</v>
      </c>
      <c r="V57" s="81"/>
      <c r="W57" s="138"/>
      <c r="X57" s="138"/>
    </row>
    <row r="58" spans="1:24" s="10" customFormat="1" x14ac:dyDescent="0.25">
      <c r="A58" s="131">
        <v>44538</v>
      </c>
      <c r="B58" s="104" t="s">
        <v>23</v>
      </c>
      <c r="C58" s="104">
        <v>-0.6</v>
      </c>
      <c r="D58" s="105">
        <v>0.91041666666666676</v>
      </c>
      <c r="E58" s="125">
        <f>Effort!F56</f>
        <v>214.1915306783219</v>
      </c>
      <c r="F58" s="126">
        <f>Harvest!F56</f>
        <v>3212.8729601748282</v>
      </c>
      <c r="G58" s="127">
        <f>+CPUE!F56</f>
        <v>15</v>
      </c>
      <c r="H58" s="57">
        <f>Effort!H56</f>
        <v>168.3</v>
      </c>
      <c r="I58" s="135">
        <f>Harvest!H56</f>
        <v>3289.5</v>
      </c>
      <c r="J58" s="96">
        <f>CPUE!H56</f>
        <v>19.545454545454543</v>
      </c>
      <c r="K58" s="57" t="str">
        <f>Effort!J56</f>
        <v>CLOSED</v>
      </c>
      <c r="L58" s="135" t="str">
        <f>Harvest!J56</f>
        <v>CLOSED</v>
      </c>
      <c r="M58" s="96" t="str">
        <f>CPUE!J56</f>
        <v>CLOSED</v>
      </c>
      <c r="N58" s="125">
        <f>Effort!L56</f>
        <v>105.923888214988</v>
      </c>
      <c r="O58" s="126">
        <f>Harvest!L56</f>
        <v>1047.4695612371099</v>
      </c>
      <c r="P58" s="127">
        <f>CPUE!L56</f>
        <v>9.8888888888889497</v>
      </c>
      <c r="Q58" s="57" t="s">
        <v>10</v>
      </c>
      <c r="R58" s="135" t="s">
        <v>10</v>
      </c>
      <c r="S58" s="60" t="s">
        <v>10</v>
      </c>
      <c r="T58" s="57">
        <f>SUM(E58+H58+N58)</f>
        <v>488.41541889330989</v>
      </c>
      <c r="U58" s="135">
        <f>SUM(F58+I58+O58)</f>
        <v>7549.8425214119379</v>
      </c>
      <c r="V58" s="81"/>
      <c r="W58" s="138"/>
      <c r="X58" s="138"/>
    </row>
    <row r="59" spans="1:24" s="10" customFormat="1" x14ac:dyDescent="0.25">
      <c r="A59" s="131">
        <v>44539</v>
      </c>
      <c r="B59" s="104" t="s">
        <v>24</v>
      </c>
      <c r="C59" s="104">
        <v>0.1</v>
      </c>
      <c r="D59" s="105">
        <v>0.94791666666666663</v>
      </c>
      <c r="E59" s="125">
        <f>Effort!F57</f>
        <v>69.408275986726963</v>
      </c>
      <c r="F59" s="126">
        <f>Harvest!F57</f>
        <v>867.60344983408709</v>
      </c>
      <c r="G59" s="127">
        <f>+CPUE!F57</f>
        <v>12.5</v>
      </c>
      <c r="H59" s="125">
        <f>Effort!H57</f>
        <v>51.14976297671474</v>
      </c>
      <c r="I59" s="126">
        <f>Harvest!H57</f>
        <v>639.37203720893422</v>
      </c>
      <c r="J59" s="127">
        <f>CPUE!H57</f>
        <v>12.5</v>
      </c>
      <c r="K59" s="125">
        <f>Effort!J57</f>
        <v>73.043479775210699</v>
      </c>
      <c r="L59" s="126">
        <f>Harvest!J57</f>
        <v>907.82610577761795</v>
      </c>
      <c r="M59" s="127">
        <f>CPUE!J57</f>
        <v>12.428571428571418</v>
      </c>
      <c r="N59" s="57" t="str">
        <f>Effort!L57</f>
        <v>CLOSED</v>
      </c>
      <c r="O59" s="135" t="str">
        <f>Harvest!L57</f>
        <v>CLOSED</v>
      </c>
      <c r="P59" s="96" t="str">
        <f>CPUE!L57</f>
        <v>CLOSED</v>
      </c>
      <c r="Q59" s="57" t="s">
        <v>10</v>
      </c>
      <c r="R59" s="135" t="s">
        <v>10</v>
      </c>
      <c r="S59" s="60" t="s">
        <v>10</v>
      </c>
      <c r="T59" s="57">
        <f>SUM(E59+H59+K59)</f>
        <v>193.6015187386524</v>
      </c>
      <c r="U59" s="135">
        <f>SUM(F59+I59+L59)</f>
        <v>2414.8015928206391</v>
      </c>
      <c r="V59" s="81"/>
      <c r="W59" s="138"/>
      <c r="X59" s="138"/>
    </row>
    <row r="60" spans="1:24" s="10" customFormat="1" x14ac:dyDescent="0.25">
      <c r="A60" s="148" t="s">
        <v>57</v>
      </c>
      <c r="B60" s="148"/>
      <c r="C60" s="148"/>
      <c r="D60" s="149"/>
      <c r="E60" s="63">
        <f>SUM(E51:E59)</f>
        <v>12777.413689752164</v>
      </c>
      <c r="F60" s="64">
        <f>SUM(F51:F59)</f>
        <v>244241.97498132425</v>
      </c>
      <c r="G60" s="65">
        <f>+F60/E60</f>
        <v>19.115134010039373</v>
      </c>
      <c r="H60" s="63">
        <f>SUM(H51:H59)</f>
        <v>9863.6748101728317</v>
      </c>
      <c r="I60" s="64">
        <f>SUM(I51:I59)</f>
        <v>186229.77744414663</v>
      </c>
      <c r="J60" s="65">
        <f>+I60/H60</f>
        <v>18.880364674236812</v>
      </c>
      <c r="K60" s="63">
        <f>SUM(K51:K59)</f>
        <v>7383.243738888661</v>
      </c>
      <c r="L60" s="64">
        <f>SUM(L51:L59)</f>
        <v>143655.22289712488</v>
      </c>
      <c r="M60" s="65">
        <f>+L60/K60</f>
        <v>19.45692543515408</v>
      </c>
      <c r="N60" s="63">
        <f>SUM(N51:N59)</f>
        <v>5851.7047069487016</v>
      </c>
      <c r="O60" s="64">
        <f>SUM(O51:O59)</f>
        <v>111987.6069517876</v>
      </c>
      <c r="P60" s="65">
        <f>+O60/N60</f>
        <v>19.137603922290559</v>
      </c>
      <c r="Q60" s="63"/>
      <c r="R60" s="64"/>
      <c r="S60" s="65"/>
      <c r="T60" s="63">
        <f>SUM(T51:T59)</f>
        <v>35876.036945762353</v>
      </c>
      <c r="U60" s="64">
        <f>SUM(U51:U59)</f>
        <v>686114.5822743834</v>
      </c>
      <c r="V60" s="81"/>
      <c r="W60" s="138">
        <f>SUM(H60,K60,N60,Q60,E60)</f>
        <v>35876.03694576236</v>
      </c>
      <c r="X60" s="138">
        <f>SUM(R60,O60,L60,I60,F60)</f>
        <v>686114.5822743834</v>
      </c>
    </row>
    <row r="61" spans="1:24" x14ac:dyDescent="0.25">
      <c r="A61" s="55">
        <v>44545</v>
      </c>
      <c r="B61" s="104" t="s">
        <v>23</v>
      </c>
      <c r="C61" s="104">
        <v>0.6</v>
      </c>
      <c r="D61" s="105">
        <v>0.68611111111111101</v>
      </c>
      <c r="E61" s="125">
        <f>Effort!F59</f>
        <v>196.51347976094536</v>
      </c>
      <c r="F61" s="126">
        <f>Harvest!F59</f>
        <v>2456.4184970118172</v>
      </c>
      <c r="G61" s="127">
        <f>+CPUE!F59</f>
        <v>12.5</v>
      </c>
      <c r="H61" s="57">
        <f>Effort!H59</f>
        <v>193.29366621222951</v>
      </c>
      <c r="I61" s="135">
        <f>Harvest!H59</f>
        <v>2416.1708276528689</v>
      </c>
      <c r="J61" s="96">
        <f>CPUE!H59</f>
        <v>12.5</v>
      </c>
      <c r="K61" s="57" t="str">
        <f>Effort!J59</f>
        <v>CLOSED</v>
      </c>
      <c r="L61" s="135" t="str">
        <f>Harvest!J59</f>
        <v>CLOSED</v>
      </c>
      <c r="M61" s="96" t="str">
        <f>CPUE!J59</f>
        <v>CLOSED</v>
      </c>
      <c r="N61" s="125">
        <f>Effort!L59</f>
        <v>371.68653043627302</v>
      </c>
      <c r="O61" s="126">
        <f>Harvest!L59</f>
        <v>4625.4323787624999</v>
      </c>
      <c r="P61" s="127">
        <f>CPUE!L59</f>
        <v>12.444444444444422</v>
      </c>
      <c r="Q61" s="57" t="s">
        <v>10</v>
      </c>
      <c r="R61" s="58" t="s">
        <v>10</v>
      </c>
      <c r="S61" s="60" t="s">
        <v>10</v>
      </c>
      <c r="T61" s="57">
        <f>SUM(E61+H61+N61)</f>
        <v>761.49367640944797</v>
      </c>
      <c r="U61" s="58">
        <f>SUM(F61+I61+O61)</f>
        <v>9498.0217034271864</v>
      </c>
      <c r="V61" s="58"/>
    </row>
    <row r="62" spans="1:24" x14ac:dyDescent="0.25">
      <c r="A62" s="55">
        <v>44546</v>
      </c>
      <c r="B62" s="104" t="s">
        <v>24</v>
      </c>
      <c r="C62" s="104">
        <v>0.1</v>
      </c>
      <c r="D62" s="105">
        <v>0.72013888888888899</v>
      </c>
      <c r="E62" s="57">
        <f>Effort!F60</f>
        <v>882.01018695637754</v>
      </c>
      <c r="F62" s="135">
        <f>Harvest!F60</f>
        <v>15435.178271736608</v>
      </c>
      <c r="G62" s="96">
        <f>+CPUE!F60</f>
        <v>17.5</v>
      </c>
      <c r="H62" s="125">
        <f>Effort!H60</f>
        <v>838.04034543043701</v>
      </c>
      <c r="I62" s="126">
        <f>Harvest!H60</f>
        <v>14446.2192878961</v>
      </c>
      <c r="J62" s="127">
        <f>CPUE!H60</f>
        <v>17.238095238095234</v>
      </c>
      <c r="K62" s="125">
        <f>Effort!J60</f>
        <v>1041.3948717948699</v>
      </c>
      <c r="L62" s="126">
        <f>Harvest!J60</f>
        <v>20553.8461538462</v>
      </c>
      <c r="M62" s="127">
        <f>CPUE!J60</f>
        <v>19.736842105263239</v>
      </c>
      <c r="N62" s="57" t="str">
        <f>Effort!L60</f>
        <v>CLOSED</v>
      </c>
      <c r="O62" s="135" t="str">
        <f>Harvest!L60</f>
        <v>CLOSED</v>
      </c>
      <c r="P62" s="96" t="str">
        <f>CPUE!L60</f>
        <v>CLOSED</v>
      </c>
      <c r="Q62" s="57" t="s">
        <v>10</v>
      </c>
      <c r="R62" s="58" t="s">
        <v>10</v>
      </c>
      <c r="S62" s="60" t="s">
        <v>10</v>
      </c>
      <c r="T62" s="57">
        <f>SUM(E62+H62+K62)</f>
        <v>2761.4454041816844</v>
      </c>
      <c r="U62" s="58">
        <f>SUM(F62+I62+L62)</f>
        <v>50435.243713478907</v>
      </c>
      <c r="V62" s="58"/>
    </row>
    <row r="63" spans="1:24" x14ac:dyDescent="0.25">
      <c r="A63" s="55">
        <v>44547</v>
      </c>
      <c r="B63" s="104" t="s">
        <v>18</v>
      </c>
      <c r="C63" s="104">
        <v>-0.2</v>
      </c>
      <c r="D63" s="105">
        <v>0.73819444444444438</v>
      </c>
      <c r="E63" s="125">
        <f>Effort!F61</f>
        <v>1291.7520048024817</v>
      </c>
      <c r="F63" s="126">
        <f>Harvest!F61</f>
        <v>25189.164093648393</v>
      </c>
      <c r="G63" s="127">
        <f>+CPUE!F61</f>
        <v>19.5</v>
      </c>
      <c r="H63" s="125">
        <f>Effort!H61</f>
        <v>851.77662838041397</v>
      </c>
      <c r="I63" s="126">
        <f>Harvest!H61</f>
        <v>16808.392133373502</v>
      </c>
      <c r="J63" s="127">
        <f>CPUE!H61</f>
        <v>19.733333333333331</v>
      </c>
      <c r="K63" s="57" t="str">
        <f>Effort!J61</f>
        <v>CLOSED</v>
      </c>
      <c r="L63" s="135" t="str">
        <f>Harvest!J61</f>
        <v>CLOSED</v>
      </c>
      <c r="M63" s="96" t="str">
        <f>CPUE!J61</f>
        <v>CLOSED</v>
      </c>
      <c r="N63" s="125">
        <f>Effort!L61</f>
        <v>628.72970629378597</v>
      </c>
      <c r="O63" s="126">
        <f>Harvest!L61</f>
        <v>8872.0747443678702</v>
      </c>
      <c r="P63" s="127">
        <f>CPUE!L61</f>
        <v>14.111111111111114</v>
      </c>
      <c r="Q63" s="57" t="s">
        <v>10</v>
      </c>
      <c r="R63" s="58" t="s">
        <v>10</v>
      </c>
      <c r="S63" s="60" t="s">
        <v>10</v>
      </c>
      <c r="T63" s="57">
        <f>SUM(E63+H63+N63)</f>
        <v>2772.2583394766816</v>
      </c>
      <c r="U63" s="58">
        <f>SUM(F63+I63+O63)</f>
        <v>50869.630971389764</v>
      </c>
      <c r="V63" s="58"/>
    </row>
    <row r="64" spans="1:24" x14ac:dyDescent="0.25">
      <c r="A64" s="55">
        <v>44548</v>
      </c>
      <c r="B64" s="104" t="s">
        <v>19</v>
      </c>
      <c r="C64" s="104">
        <v>-0.3</v>
      </c>
      <c r="D64" s="105">
        <v>0.76250000000000007</v>
      </c>
      <c r="E64" s="125">
        <f>Effort!F62</f>
        <v>1050.3171718792858</v>
      </c>
      <c r="F64" s="126">
        <f>Harvest!F62</f>
        <v>20481.18485164607</v>
      </c>
      <c r="G64" s="127">
        <f>+CPUE!F62</f>
        <v>19.5</v>
      </c>
      <c r="H64" s="125">
        <f>Effort!H62</f>
        <v>689.32807753229099</v>
      </c>
      <c r="I64" s="126">
        <f>Harvest!H62</f>
        <v>11465.8236896204</v>
      </c>
      <c r="J64" s="127">
        <f>CPUE!H62</f>
        <v>16.633333333333276</v>
      </c>
      <c r="K64" s="125">
        <f>Effort!J62</f>
        <v>1240.1159677391299</v>
      </c>
      <c r="L64" s="126">
        <f>Harvest!J62</f>
        <v>24137.971514922399</v>
      </c>
      <c r="M64" s="127">
        <f>CPUE!J62</f>
        <v>19.464285714285754</v>
      </c>
      <c r="N64" s="57" t="str">
        <f>Effort!L62</f>
        <v>CLOSED</v>
      </c>
      <c r="O64" s="135" t="str">
        <f>Harvest!L62</f>
        <v>CLOSED</v>
      </c>
      <c r="P64" s="96" t="str">
        <f>CPUE!L62</f>
        <v>CLOSED</v>
      </c>
      <c r="Q64" s="57" t="s">
        <v>10</v>
      </c>
      <c r="R64" s="58" t="s">
        <v>10</v>
      </c>
      <c r="S64" s="60" t="s">
        <v>10</v>
      </c>
      <c r="T64" s="57">
        <f>SUM(E64+H64+K64)</f>
        <v>2979.7612171507067</v>
      </c>
      <c r="U64" s="58">
        <f>SUM(F64+I64+L64)</f>
        <v>56084.98005618887</v>
      </c>
      <c r="V64" s="58"/>
    </row>
    <row r="65" spans="1:24" x14ac:dyDescent="0.25">
      <c r="A65" s="55">
        <v>44549</v>
      </c>
      <c r="B65" s="104" t="s">
        <v>20</v>
      </c>
      <c r="C65" s="104">
        <v>-0.4</v>
      </c>
      <c r="D65" s="105">
        <v>0.78611111111111109</v>
      </c>
      <c r="E65" s="125">
        <f>Effort!F63</f>
        <v>827.64063995837637</v>
      </c>
      <c r="F65" s="126">
        <f>Harvest!F63</f>
        <v>16138.992479188339</v>
      </c>
      <c r="G65" s="127">
        <f>+CPUE!F63</f>
        <v>19.5</v>
      </c>
      <c r="H65" s="125">
        <f>Effort!H63</f>
        <v>814.08</v>
      </c>
      <c r="I65" s="126">
        <f>Harvest!H63</f>
        <v>12103.68</v>
      </c>
      <c r="J65" s="127">
        <f>CPUE!H63</f>
        <v>14.867924528301886</v>
      </c>
      <c r="K65" s="57" t="str">
        <f>Effort!J63</f>
        <v>CLOSED</v>
      </c>
      <c r="L65" s="135" t="str">
        <f>Harvest!J63</f>
        <v>CLOSED</v>
      </c>
      <c r="M65" s="96" t="str">
        <f>CPUE!J63</f>
        <v>CLOSED</v>
      </c>
      <c r="N65" s="125">
        <f>Effort!L63</f>
        <v>788.8</v>
      </c>
      <c r="O65" s="126">
        <f>Harvest!L63</f>
        <v>14934.6133333333</v>
      </c>
      <c r="P65" s="127">
        <f>CPUE!L63</f>
        <v>18.933333333333291</v>
      </c>
      <c r="Q65" s="57" t="s">
        <v>10</v>
      </c>
      <c r="R65" s="58" t="s">
        <v>10</v>
      </c>
      <c r="S65" s="60" t="s">
        <v>10</v>
      </c>
      <c r="T65" s="57">
        <f>SUM(E65+H65+N65)</f>
        <v>2430.5206399583767</v>
      </c>
      <c r="U65" s="58">
        <f>SUM(F65+I65+O65)</f>
        <v>43177.285812521637</v>
      </c>
      <c r="V65" s="58"/>
    </row>
    <row r="66" spans="1:24" x14ac:dyDescent="0.25">
      <c r="A66" s="55">
        <v>44550</v>
      </c>
      <c r="B66" s="104" t="s">
        <v>21</v>
      </c>
      <c r="C66" s="104">
        <v>-0.3</v>
      </c>
      <c r="D66" s="105">
        <v>0.81041666666666667</v>
      </c>
      <c r="E66" s="57">
        <f>Effort!F64</f>
        <v>272.59711230466741</v>
      </c>
      <c r="F66" s="135">
        <f>Harvest!F64</f>
        <v>3543.7624599606761</v>
      </c>
      <c r="G66" s="96">
        <f>+CPUE!F64</f>
        <v>13</v>
      </c>
      <c r="H66" s="57">
        <f>Effort!H64</f>
        <v>259.00764133741427</v>
      </c>
      <c r="I66" s="135">
        <f>Harvest!H64</f>
        <v>3367.0993373863857</v>
      </c>
      <c r="J66" s="96">
        <f>CPUE!H64</f>
        <v>13</v>
      </c>
      <c r="K66" s="125">
        <f>Effort!J64</f>
        <v>321.857093056694</v>
      </c>
      <c r="L66" s="126">
        <f>Harvest!J64</f>
        <v>4269.3396755461399</v>
      </c>
      <c r="M66" s="127">
        <f>CPUE!J64</f>
        <v>13.264705882352919</v>
      </c>
      <c r="N66" s="57" t="str">
        <f>Effort!L64</f>
        <v>CLOSED</v>
      </c>
      <c r="O66" s="135" t="str">
        <f>Harvest!L64</f>
        <v>CLOSED</v>
      </c>
      <c r="P66" s="96" t="str">
        <f>CPUE!L64</f>
        <v>CLOSED</v>
      </c>
      <c r="Q66" s="57" t="s">
        <v>10</v>
      </c>
      <c r="R66" s="58" t="s">
        <v>10</v>
      </c>
      <c r="S66" s="60" t="s">
        <v>10</v>
      </c>
      <c r="T66" s="57">
        <f>SUM(E66+H66+K66)</f>
        <v>853.46184669877573</v>
      </c>
      <c r="U66" s="58">
        <f>SUM(F66+I66+L66)</f>
        <v>11180.201472893201</v>
      </c>
      <c r="V66" s="58"/>
    </row>
    <row r="67" spans="1:24" x14ac:dyDescent="0.25">
      <c r="A67" s="55">
        <v>44551</v>
      </c>
      <c r="B67" s="104" t="s">
        <v>22</v>
      </c>
      <c r="C67" s="104">
        <v>-0.2</v>
      </c>
      <c r="D67" s="105">
        <v>0.83472222222222225</v>
      </c>
      <c r="E67" s="57">
        <f>Effort!F65</f>
        <v>154.44815187864225</v>
      </c>
      <c r="F67" s="135">
        <f>Harvest!F65</f>
        <v>2007.8259744223492</v>
      </c>
      <c r="G67" s="96">
        <f>+CPUE!F65</f>
        <v>13</v>
      </c>
      <c r="H67" s="125">
        <f>Effort!H65</f>
        <v>179.2</v>
      </c>
      <c r="I67" s="126">
        <f>Harvest!H65</f>
        <v>2468.9777777777799</v>
      </c>
      <c r="J67" s="127">
        <f>CPUE!H65</f>
        <v>13.777777777777791</v>
      </c>
      <c r="K67" s="57" t="str">
        <f>Effort!J65</f>
        <v>CLOSED</v>
      </c>
      <c r="L67" s="135" t="str">
        <f>Harvest!J65</f>
        <v>CLOSED</v>
      </c>
      <c r="M67" s="96" t="str">
        <f>CPUE!J65</f>
        <v>CLOSED</v>
      </c>
      <c r="N67" s="125">
        <f>Effort!L65</f>
        <v>147.19999999999999</v>
      </c>
      <c r="O67" s="126">
        <f>Harvest!L65</f>
        <v>1095.82222222222</v>
      </c>
      <c r="P67" s="127">
        <f>CPUE!L65</f>
        <v>7.4444444444444304</v>
      </c>
      <c r="Q67" s="57" t="s">
        <v>10</v>
      </c>
      <c r="R67" s="58" t="s">
        <v>10</v>
      </c>
      <c r="S67" s="60" t="s">
        <v>10</v>
      </c>
      <c r="T67" s="57">
        <f>SUM(E67+H67+N67)</f>
        <v>480.84815187864223</v>
      </c>
      <c r="U67" s="58">
        <f>SUM(F67+I67+O67)</f>
        <v>5572.6259744223489</v>
      </c>
      <c r="V67" s="58"/>
    </row>
    <row r="68" spans="1:24" x14ac:dyDescent="0.25">
      <c r="A68" s="55">
        <v>44552</v>
      </c>
      <c r="B68" s="104" t="s">
        <v>23</v>
      </c>
      <c r="C68" s="104">
        <v>-0.1</v>
      </c>
      <c r="D68" s="105">
        <v>0.85972222222222217</v>
      </c>
      <c r="E68" s="57">
        <f>Effort!F66</f>
        <v>101.98698431837029</v>
      </c>
      <c r="F68" s="135">
        <f>Harvest!F66</f>
        <v>509.93492159185143</v>
      </c>
      <c r="G68" s="96">
        <f>+CPUE!F66</f>
        <v>5</v>
      </c>
      <c r="H68" s="57">
        <f>Effort!H66</f>
        <v>96.902744244384493</v>
      </c>
      <c r="I68" s="135">
        <f>Harvest!H66</f>
        <v>484.51372122192248</v>
      </c>
      <c r="J68" s="96">
        <f>CPUE!H66</f>
        <v>5</v>
      </c>
      <c r="K68" s="125">
        <f>Effort!J66</f>
        <v>120.41666188173799</v>
      </c>
      <c r="L68" s="126">
        <f>Harvest!J66</f>
        <v>488.74998057882101</v>
      </c>
      <c r="M68" s="127">
        <f>CPUE!J66</f>
        <v>4.0588235294117823</v>
      </c>
      <c r="N68" s="57" t="str">
        <f>Effort!L66</f>
        <v>CLOSED</v>
      </c>
      <c r="O68" s="135" t="str">
        <f>Harvest!L66</f>
        <v>CLOSED</v>
      </c>
      <c r="P68" s="96" t="str">
        <f>CPUE!L66</f>
        <v>CLOSED</v>
      </c>
      <c r="Q68" s="57" t="s">
        <v>10</v>
      </c>
      <c r="R68" s="58" t="s">
        <v>10</v>
      </c>
      <c r="S68" s="60" t="s">
        <v>10</v>
      </c>
      <c r="T68" s="57">
        <f>SUM(E68+H68+K68)</f>
        <v>319.30639044449276</v>
      </c>
      <c r="U68" s="58">
        <f>SUM(F68+I68+L68)</f>
        <v>1483.198623392595</v>
      </c>
      <c r="V68" s="58"/>
    </row>
    <row r="69" spans="1:24" x14ac:dyDescent="0.25">
      <c r="A69" s="55">
        <v>44553</v>
      </c>
      <c r="B69" s="104" t="s">
        <v>24</v>
      </c>
      <c r="C69" s="104">
        <v>0.2</v>
      </c>
      <c r="D69" s="105">
        <v>0.88611111111111107</v>
      </c>
      <c r="E69" s="57">
        <f>Effort!F67</f>
        <v>106.53823576388578</v>
      </c>
      <c r="F69" s="135">
        <f>Harvest!F67</f>
        <v>532.69117881942884</v>
      </c>
      <c r="G69" s="96">
        <f>+CPUE!F67</f>
        <v>5</v>
      </c>
      <c r="H69" s="57">
        <f>Effort!H67</f>
        <v>104.79263920030075</v>
      </c>
      <c r="I69" s="135">
        <f>Harvest!H67</f>
        <v>523.96319600150377</v>
      </c>
      <c r="J69" s="96">
        <f>CPUE!H67</f>
        <v>5</v>
      </c>
      <c r="K69" s="57" t="str">
        <f>Effort!J67</f>
        <v>CLOSED</v>
      </c>
      <c r="L69" s="135" t="str">
        <f>Harvest!J67</f>
        <v>CLOSED</v>
      </c>
      <c r="M69" s="96" t="str">
        <f>CPUE!J67</f>
        <v>CLOSED</v>
      </c>
      <c r="N69" s="125">
        <f>Effort!L67</f>
        <v>101.53846526287001</v>
      </c>
      <c r="O69" s="126">
        <f>Harvest!L67</f>
        <v>507.69232631435</v>
      </c>
      <c r="P69" s="127">
        <f>CPUE!L67</f>
        <v>5</v>
      </c>
      <c r="Q69" s="57" t="s">
        <v>10</v>
      </c>
      <c r="R69" s="58" t="s">
        <v>10</v>
      </c>
      <c r="S69" s="60" t="s">
        <v>10</v>
      </c>
      <c r="T69" s="57">
        <f>SUM(E69+H69+N69)</f>
        <v>312.86934022705657</v>
      </c>
      <c r="U69" s="58">
        <f>SUM(F69+I69+O69)</f>
        <v>1564.3467011352827</v>
      </c>
      <c r="V69" s="58"/>
    </row>
    <row r="70" spans="1:24" x14ac:dyDescent="0.25">
      <c r="A70" s="148" t="s">
        <v>57</v>
      </c>
      <c r="B70" s="148"/>
      <c r="C70" s="148"/>
      <c r="D70" s="149"/>
      <c r="E70" s="63">
        <f>SUM(E61:E69)</f>
        <v>4883.8039676230328</v>
      </c>
      <c r="F70" s="64">
        <f>SUM(F61:F69)</f>
        <v>86295.152728025525</v>
      </c>
      <c r="G70" s="65">
        <f>+F70/E70</f>
        <v>17.669659408959799</v>
      </c>
      <c r="H70" s="63">
        <f>SUM(H61:H69)</f>
        <v>4026.4217423374703</v>
      </c>
      <c r="I70" s="64">
        <f>SUM(I61:I69)</f>
        <v>64084.83997093045</v>
      </c>
      <c r="J70" s="65">
        <f>+I70/H70</f>
        <v>15.916077368916424</v>
      </c>
      <c r="K70" s="63">
        <f>SUM(K61:K69)</f>
        <v>2723.7845944724318</v>
      </c>
      <c r="L70" s="64">
        <f>SUM(L61:L69)</f>
        <v>49449.907324893553</v>
      </c>
      <c r="M70" s="65">
        <f>+L70/K70</f>
        <v>18.15485241573278</v>
      </c>
      <c r="N70" s="63">
        <f>SUM(N61:N69)</f>
        <v>2037.9547019929289</v>
      </c>
      <c r="O70" s="64">
        <f>SUM(O61:O69)</f>
        <v>30035.635005000244</v>
      </c>
      <c r="P70" s="65">
        <f>+O70/N70</f>
        <v>14.738126895376135</v>
      </c>
      <c r="Q70" s="63"/>
      <c r="R70" s="64"/>
      <c r="S70" s="65"/>
      <c r="T70" s="63">
        <f>SUM(T61:T69)</f>
        <v>13671.965006425866</v>
      </c>
      <c r="U70" s="64">
        <f>SUM(U61:U69)</f>
        <v>229865.53502884982</v>
      </c>
      <c r="V70" s="81"/>
      <c r="W70" s="34">
        <f>SUM(H70,K70,N70,Q70,E70)</f>
        <v>13671.965006425864</v>
      </c>
      <c r="X70" s="34">
        <f>SUM(R70,O70,L70,I70,F70)</f>
        <v>229865.53502884979</v>
      </c>
    </row>
    <row r="71" spans="1:24" x14ac:dyDescent="0.25">
      <c r="A71" s="55">
        <v>44560</v>
      </c>
      <c r="B71" s="104" t="s">
        <v>24</v>
      </c>
      <c r="C71" s="104">
        <v>-0.1</v>
      </c>
      <c r="D71" s="105">
        <v>0.65902777777777777</v>
      </c>
      <c r="E71" s="125">
        <f>Effort!F69</f>
        <v>1607.6493773516056</v>
      </c>
      <c r="F71" s="126">
        <f>Harvest!F69</f>
        <v>23310.915971598282</v>
      </c>
      <c r="G71" s="127">
        <f>+CPUE!F69</f>
        <v>14.5</v>
      </c>
      <c r="H71" s="57">
        <f>Effort!H69</f>
        <v>1490.9431885651288</v>
      </c>
      <c r="I71" s="135">
        <f>Harvest!H69</f>
        <v>21618.676234194369</v>
      </c>
      <c r="J71" s="96">
        <f>CPUE!H69</f>
        <v>14.5</v>
      </c>
      <c r="K71" s="57" t="str">
        <f>Effort!J69</f>
        <v>CLOSED</v>
      </c>
      <c r="L71" s="135" t="str">
        <f>Harvest!J69</f>
        <v>CLOSED</v>
      </c>
      <c r="M71" s="96" t="str">
        <f>CPUE!J69</f>
        <v>CLOSED</v>
      </c>
      <c r="N71" s="125">
        <f>Effort!L69</f>
        <v>1467.8650160571301</v>
      </c>
      <c r="O71" s="126">
        <f>Harvest!L69</f>
        <v>20855.915436478401</v>
      </c>
      <c r="P71" s="127">
        <f>CPUE!L69</f>
        <v>14.208333333333341</v>
      </c>
      <c r="Q71" s="57" t="s">
        <v>10</v>
      </c>
      <c r="R71" s="58" t="s">
        <v>10</v>
      </c>
      <c r="S71" s="60" t="s">
        <v>10</v>
      </c>
      <c r="T71" s="57">
        <f>SUM(E71+H71+N71)</f>
        <v>4566.4575819738639</v>
      </c>
      <c r="U71" s="58">
        <f>SUM(F71+I71+O71)</f>
        <v>65785.507642271055</v>
      </c>
      <c r="V71" s="58"/>
    </row>
    <row r="72" spans="1:24" x14ac:dyDescent="0.25">
      <c r="A72" s="55">
        <v>44561</v>
      </c>
      <c r="B72" s="104" t="s">
        <v>18</v>
      </c>
      <c r="C72" s="104">
        <v>-0.9</v>
      </c>
      <c r="D72" s="105">
        <v>0.6958333333333333</v>
      </c>
      <c r="E72" s="125">
        <f>Effort!F70</f>
        <v>3102.6652622242013</v>
      </c>
      <c r="F72" s="126">
        <f>Harvest!F70</f>
        <v>44988.64630225092</v>
      </c>
      <c r="G72" s="127">
        <f>+CPUE!F70</f>
        <v>14.5</v>
      </c>
      <c r="H72" s="125">
        <f>Effort!H70</f>
        <v>1886.04545239916</v>
      </c>
      <c r="I72" s="126">
        <f>Harvest!H70</f>
        <v>27843.145576943502</v>
      </c>
      <c r="J72" s="127">
        <f>CPUE!H70</f>
        <v>14.762711864406764</v>
      </c>
      <c r="K72" s="125">
        <f>Effort!J70</f>
        <v>2995.5826959729902</v>
      </c>
      <c r="L72" s="126">
        <f>Harvest!J70</f>
        <v>44364.958915043098</v>
      </c>
      <c r="M72" s="127">
        <f>CPUE!J70</f>
        <v>14.810126582278507</v>
      </c>
      <c r="N72" s="57" t="str">
        <f>Effort!L70</f>
        <v>CLOSED</v>
      </c>
      <c r="O72" s="135" t="str">
        <f>Harvest!L70</f>
        <v>CLOSED</v>
      </c>
      <c r="P72" s="96" t="str">
        <f>CPUE!L70</f>
        <v>CLOSED</v>
      </c>
      <c r="Q72" s="57" t="s">
        <v>10</v>
      </c>
      <c r="R72" s="58" t="s">
        <v>10</v>
      </c>
      <c r="S72" s="60" t="s">
        <v>10</v>
      </c>
      <c r="T72" s="57">
        <f>SUM(E72+H72+K72)</f>
        <v>7984.2934105963514</v>
      </c>
      <c r="U72" s="58">
        <f>SUM(F72+I72+L72)</f>
        <v>117196.75079423752</v>
      </c>
      <c r="V72" s="58"/>
    </row>
    <row r="73" spans="1:24" x14ac:dyDescent="0.25">
      <c r="A73" s="55">
        <v>44562</v>
      </c>
      <c r="B73" s="104" t="s">
        <v>19</v>
      </c>
      <c r="C73" s="104">
        <v>-1.5</v>
      </c>
      <c r="D73" s="105">
        <v>0.73055555555555562</v>
      </c>
      <c r="E73" s="125">
        <f>Effort!F71</f>
        <v>3551.3182051535805</v>
      </c>
      <c r="F73" s="126">
        <f>Harvest!F71</f>
        <v>51494.113974726919</v>
      </c>
      <c r="G73" s="127">
        <f>+CPUE!F71</f>
        <v>14.5</v>
      </c>
      <c r="H73" s="125">
        <f>Effort!H71</f>
        <v>2022.87718369201</v>
      </c>
      <c r="I73" s="126">
        <f>Harvest!H71</f>
        <v>30025.277055085699</v>
      </c>
      <c r="J73" s="127">
        <f>CPUE!H71</f>
        <v>14.842857142857147</v>
      </c>
      <c r="K73" s="57" t="str">
        <f>Effort!J71</f>
        <v>CLOSED</v>
      </c>
      <c r="L73" s="135" t="str">
        <f>Harvest!J71</f>
        <v>CLOSED</v>
      </c>
      <c r="M73" s="96" t="str">
        <f>CPUE!J71</f>
        <v>CLOSED</v>
      </c>
      <c r="N73" s="125">
        <f>Effort!L71</f>
        <v>1991.56525379033</v>
      </c>
      <c r="O73" s="126">
        <f>Harvest!L71</f>
        <v>28106.315271801501</v>
      </c>
      <c r="P73" s="127">
        <f>CPUE!L71</f>
        <v>14.112676056338</v>
      </c>
      <c r="Q73" s="57" t="s">
        <v>10</v>
      </c>
      <c r="R73" s="58" t="s">
        <v>10</v>
      </c>
      <c r="S73" s="60" t="s">
        <v>10</v>
      </c>
      <c r="T73" s="57">
        <f>SUM(E73+H73+N73)</f>
        <v>7565.7606426359198</v>
      </c>
      <c r="U73" s="58">
        <f>SUM(F73+I73+O73)</f>
        <v>109625.70630161412</v>
      </c>
      <c r="V73" s="58"/>
    </row>
    <row r="74" spans="1:24" x14ac:dyDescent="0.25">
      <c r="A74" s="55">
        <v>44563</v>
      </c>
      <c r="B74" s="104" t="s">
        <v>20</v>
      </c>
      <c r="C74" s="104">
        <v>-1.8</v>
      </c>
      <c r="D74" s="105">
        <v>0.76458333333333339</v>
      </c>
      <c r="E74" s="57">
        <f>Effort!F72</f>
        <v>249.94256486540598</v>
      </c>
      <c r="F74" s="135">
        <f>Harvest!F72</f>
        <v>749.82769459621795</v>
      </c>
      <c r="G74" s="96">
        <f>+CPUE!F72</f>
        <v>3</v>
      </c>
      <c r="H74" s="57">
        <f>Effort!H72</f>
        <v>151.93486824532511</v>
      </c>
      <c r="I74" s="135">
        <f>Harvest!H72</f>
        <v>455.80460473597532</v>
      </c>
      <c r="J74" s="96">
        <f>CPUE!H72</f>
        <v>3</v>
      </c>
      <c r="K74" s="125">
        <f>Effort!J72</f>
        <v>241.316274563625</v>
      </c>
      <c r="L74" s="126">
        <f>Harvest!J72</f>
        <v>643.51006550299905</v>
      </c>
      <c r="M74" s="127">
        <f>CPUE!J72</f>
        <v>2.6666666666666625</v>
      </c>
      <c r="N74" s="57" t="str">
        <f>Effort!L72</f>
        <v>CLOSED</v>
      </c>
      <c r="O74" s="135" t="str">
        <f>Harvest!L72</f>
        <v>CLOSED</v>
      </c>
      <c r="P74" s="96" t="str">
        <f>CPUE!L72</f>
        <v>CLOSED</v>
      </c>
      <c r="Q74" s="57" t="s">
        <v>10</v>
      </c>
      <c r="R74" s="58" t="s">
        <v>10</v>
      </c>
      <c r="S74" s="60" t="s">
        <v>10</v>
      </c>
      <c r="T74" s="57">
        <f>SUM(E74+H74+K74)</f>
        <v>643.19370767435612</v>
      </c>
      <c r="U74" s="58">
        <f>SUM(F74+I74+L74)</f>
        <v>1849.1423648351924</v>
      </c>
      <c r="V74" s="58"/>
    </row>
    <row r="75" spans="1:24" x14ac:dyDescent="0.25">
      <c r="A75" s="55">
        <v>44564</v>
      </c>
      <c r="B75" s="104" t="s">
        <v>21</v>
      </c>
      <c r="C75" s="104">
        <v>-1.9</v>
      </c>
      <c r="D75" s="105">
        <v>0.79722222222222217</v>
      </c>
      <c r="E75" s="125">
        <f>Effort!F73</f>
        <v>239.28944836325252</v>
      </c>
      <c r="F75" s="126">
        <f>Harvest!F73</f>
        <v>1196.4472418162627</v>
      </c>
      <c r="G75" s="127">
        <f>+CPUE!F73</f>
        <v>5</v>
      </c>
      <c r="H75" s="57">
        <f>Effort!H73</f>
        <v>125.01197647912117</v>
      </c>
      <c r="I75" s="135">
        <f>Harvest!H73</f>
        <v>625.05988239560588</v>
      </c>
      <c r="J75" s="96">
        <f>CPUE!H73</f>
        <v>5</v>
      </c>
      <c r="K75" s="57" t="str">
        <f>Effort!J73</f>
        <v>CLOSED</v>
      </c>
      <c r="L75" s="135" t="str">
        <f>Harvest!J73</f>
        <v>CLOSED</v>
      </c>
      <c r="M75" s="96" t="str">
        <f>CPUE!J73</f>
        <v>CLOSED</v>
      </c>
      <c r="N75" s="125">
        <f>Effort!L73</f>
        <v>123.076927591358</v>
      </c>
      <c r="O75" s="126">
        <f>Harvest!L73</f>
        <v>728.99410957958105</v>
      </c>
      <c r="P75" s="127">
        <f>CPUE!L73</f>
        <v>5.9230769230769154</v>
      </c>
      <c r="Q75" s="57" t="s">
        <v>10</v>
      </c>
      <c r="R75" s="58" t="s">
        <v>10</v>
      </c>
      <c r="S75" s="60" t="s">
        <v>10</v>
      </c>
      <c r="T75" s="57">
        <f>SUM(E75+H75+N75)</f>
        <v>487.37835243373172</v>
      </c>
      <c r="U75" s="58">
        <f>SUM(F75+I75+O75)</f>
        <v>2550.5012337914495</v>
      </c>
      <c r="V75" s="58"/>
    </row>
    <row r="76" spans="1:24" x14ac:dyDescent="0.25">
      <c r="A76" s="55">
        <v>44565</v>
      </c>
      <c r="B76" s="104" t="s">
        <v>22</v>
      </c>
      <c r="C76" s="104">
        <v>-1.6</v>
      </c>
      <c r="D76" s="105">
        <v>0.82916666666666661</v>
      </c>
      <c r="E76" s="57">
        <f>Effort!F74</f>
        <v>193.60499028444116</v>
      </c>
      <c r="F76" s="135">
        <f>Harvest!F74</f>
        <v>2420.0623785555144</v>
      </c>
      <c r="G76" s="96">
        <f>+CPUE!F74</f>
        <v>12.5</v>
      </c>
      <c r="H76" s="125">
        <f>Effort!H74</f>
        <v>137.30769734410899</v>
      </c>
      <c r="I76" s="126">
        <f>Harvest!H74</f>
        <v>1726.1539094687901</v>
      </c>
      <c r="J76" s="127">
        <f>CPUE!H74</f>
        <v>12.571428571428509</v>
      </c>
      <c r="K76" s="125">
        <f>Effort!J74</f>
        <v>186.92308377937499</v>
      </c>
      <c r="L76" s="126">
        <f>Harvest!J74</f>
        <v>2336.5385472421872</v>
      </c>
      <c r="M76" s="127">
        <f>CPUE!J74</f>
        <v>12.5</v>
      </c>
      <c r="N76" s="57" t="str">
        <f>Effort!L74</f>
        <v>CLOSED</v>
      </c>
      <c r="O76" s="135" t="str">
        <f>Harvest!L74</f>
        <v>CLOSED</v>
      </c>
      <c r="P76" s="96" t="str">
        <f>CPUE!L74</f>
        <v>CLOSED</v>
      </c>
      <c r="Q76" s="57" t="s">
        <v>10</v>
      </c>
      <c r="R76" s="58" t="s">
        <v>10</v>
      </c>
      <c r="S76" s="60" t="s">
        <v>10</v>
      </c>
      <c r="T76" s="57">
        <f>SUM(E76+H76+K76)</f>
        <v>517.83577140792511</v>
      </c>
      <c r="U76" s="58">
        <f>SUM(F76+I76+L76)</f>
        <v>6482.7548352664926</v>
      </c>
      <c r="V76" s="58"/>
    </row>
    <row r="77" spans="1:24" x14ac:dyDescent="0.25">
      <c r="A77" s="55">
        <v>44566</v>
      </c>
      <c r="B77" s="104" t="s">
        <v>23</v>
      </c>
      <c r="C77" s="104">
        <v>-1.1000000000000001</v>
      </c>
      <c r="D77" s="105">
        <v>0.86111111111111116</v>
      </c>
      <c r="E77" s="57">
        <f>Effort!F75</f>
        <v>190</v>
      </c>
      <c r="F77" s="135">
        <f>Harvest!F75</f>
        <v>2375</v>
      </c>
      <c r="G77" s="96">
        <f>+CPUE!F75</f>
        <v>12.5</v>
      </c>
      <c r="H77" s="57" t="str">
        <f>Effort!H75</f>
        <v>CLOSED</v>
      </c>
      <c r="I77" s="135" t="str">
        <f>Harvest!H75</f>
        <v>CLOSED</v>
      </c>
      <c r="J77" s="96" t="str">
        <f>CPUE!H75</f>
        <v>CLOSED</v>
      </c>
      <c r="K77" s="57" t="str">
        <f>Effort!J75</f>
        <v>CLOSED</v>
      </c>
      <c r="L77" s="135" t="str">
        <f>Harvest!J75</f>
        <v>CLOSED</v>
      </c>
      <c r="M77" s="96" t="str">
        <f>CPUE!J75</f>
        <v>CLOSED</v>
      </c>
      <c r="N77" s="57" t="str">
        <f>Effort!L75</f>
        <v>CLOSED</v>
      </c>
      <c r="O77" s="135" t="str">
        <f>Harvest!L75</f>
        <v>CLOSED</v>
      </c>
      <c r="P77" s="96" t="str">
        <f>CPUE!L75</f>
        <v>CLOSED</v>
      </c>
      <c r="Q77" s="57" t="s">
        <v>10</v>
      </c>
      <c r="R77" s="58" t="s">
        <v>10</v>
      </c>
      <c r="S77" s="60" t="s">
        <v>10</v>
      </c>
      <c r="T77" s="57">
        <f>SUM(E77)</f>
        <v>190</v>
      </c>
      <c r="U77" s="58">
        <f>SUM(F77)</f>
        <v>2375</v>
      </c>
      <c r="V77" s="58"/>
    </row>
    <row r="78" spans="1:24" x14ac:dyDescent="0.25">
      <c r="A78" s="148" t="s">
        <v>57</v>
      </c>
      <c r="B78" s="148"/>
      <c r="C78" s="148"/>
      <c r="D78" s="149"/>
      <c r="E78" s="63">
        <f>SUM(E71:E77)</f>
        <v>9134.4698482424847</v>
      </c>
      <c r="F78" s="64">
        <f>SUM(F71:F77)</f>
        <v>126535.01356354411</v>
      </c>
      <c r="G78" s="65">
        <f>+F78/E78</f>
        <v>13.852474819640468</v>
      </c>
      <c r="H78" s="63">
        <f>SUM(H71:H77)</f>
        <v>5814.1203667248556</v>
      </c>
      <c r="I78" s="64">
        <f>SUM(I71:I77)</f>
        <v>82294.117262823944</v>
      </c>
      <c r="J78" s="65">
        <f>+I78/H78</f>
        <v>14.154181900637351</v>
      </c>
      <c r="K78" s="63">
        <f>SUM(K71:K77)</f>
        <v>3423.82205431599</v>
      </c>
      <c r="L78" s="64">
        <f>SUM(L71:L77)</f>
        <v>47345.007527788279</v>
      </c>
      <c r="M78" s="65">
        <f>+L78/K78</f>
        <v>13.828115707154311</v>
      </c>
      <c r="N78" s="63">
        <f>SUM(N71:N77)</f>
        <v>3582.5071974388184</v>
      </c>
      <c r="O78" s="64">
        <f>SUM(O71:O77)</f>
        <v>49691.224817859482</v>
      </c>
      <c r="P78" s="65">
        <f>+O78/N78</f>
        <v>13.870516395161577</v>
      </c>
      <c r="Q78" s="63"/>
      <c r="R78" s="64"/>
      <c r="S78" s="65"/>
      <c r="T78" s="63">
        <f>SUM(T71:T77)</f>
        <v>21954.919466722145</v>
      </c>
      <c r="U78" s="64">
        <f>SUM(U71:U77)</f>
        <v>305865.36317201587</v>
      </c>
      <c r="V78" s="81"/>
      <c r="W78" s="34">
        <f>SUM(H78,K78,N78,Q78,E78)</f>
        <v>21954.919466722145</v>
      </c>
      <c r="X78" s="34">
        <f>SUM(R78,O78,L78,I78,F78)</f>
        <v>305865.36317201582</v>
      </c>
    </row>
    <row r="79" spans="1:24" x14ac:dyDescent="0.25">
      <c r="A79" s="55">
        <v>44210</v>
      </c>
      <c r="B79" s="104" t="s">
        <v>18</v>
      </c>
      <c r="C79" s="104">
        <v>0.4</v>
      </c>
      <c r="D79" s="105">
        <v>0.69652777777777775</v>
      </c>
      <c r="E79" s="125">
        <f>Effort!F77</f>
        <v>1519.265882796245</v>
      </c>
      <c r="F79" s="126">
        <f>Harvest!F77</f>
        <v>22788.988241943676</v>
      </c>
      <c r="G79" s="127">
        <f>+CPUE!F77</f>
        <v>15</v>
      </c>
      <c r="H79" s="57" t="str">
        <f>Effort!H77</f>
        <v>CLOSED</v>
      </c>
      <c r="I79" s="135" t="str">
        <f>Harvest!H77</f>
        <v>CLOSED</v>
      </c>
      <c r="J79" s="96" t="str">
        <f>CPUE!H77</f>
        <v>CLOSED</v>
      </c>
      <c r="K79" s="57" t="str">
        <f>Effort!J77</f>
        <v>CLOSED</v>
      </c>
      <c r="L79" s="135" t="str">
        <f>Harvest!J77</f>
        <v>CLOSED</v>
      </c>
      <c r="M79" s="96" t="str">
        <f>CPUE!J77</f>
        <v>CLOSED</v>
      </c>
      <c r="N79" s="57" t="str">
        <f>Effort!L77</f>
        <v>CLOSED</v>
      </c>
      <c r="O79" s="135" t="str">
        <f>Harvest!L77</f>
        <v>CLOSED</v>
      </c>
      <c r="P79" s="96" t="str">
        <f>CPUE!L77</f>
        <v>CLOSED</v>
      </c>
      <c r="Q79" s="57" t="s">
        <v>10</v>
      </c>
      <c r="R79" s="58" t="s">
        <v>10</v>
      </c>
      <c r="S79" s="60" t="s">
        <v>10</v>
      </c>
      <c r="T79" s="57">
        <f>SUM(E79)</f>
        <v>1519.265882796245</v>
      </c>
      <c r="U79" s="58">
        <f>SUM(F79)</f>
        <v>22788.988241943676</v>
      </c>
      <c r="V79" s="58"/>
    </row>
    <row r="80" spans="1:24" x14ac:dyDescent="0.25">
      <c r="A80" s="55">
        <v>44211</v>
      </c>
      <c r="B80" s="104" t="s">
        <v>19</v>
      </c>
      <c r="C80" s="104">
        <v>0.4</v>
      </c>
      <c r="D80" s="105">
        <v>0.72361111111111109</v>
      </c>
      <c r="E80" s="125">
        <f>Effort!F78</f>
        <v>3589.207248870799</v>
      </c>
      <c r="F80" s="126">
        <f>Harvest!F78</f>
        <v>43070.486986449585</v>
      </c>
      <c r="G80" s="127">
        <f>+CPUE!F78</f>
        <v>12</v>
      </c>
      <c r="H80" s="57">
        <f>Effort!H78</f>
        <v>2245.0149450368963</v>
      </c>
      <c r="I80" s="135">
        <f>Harvest!H78</f>
        <v>26940.179340442755</v>
      </c>
      <c r="J80" s="96">
        <f>CPUE!H78</f>
        <v>12</v>
      </c>
      <c r="K80" s="125">
        <f>Effort!J78</f>
        <v>2308.17449631311</v>
      </c>
      <c r="L80" s="126">
        <f>Harvest!J78</f>
        <v>32250.326990152698</v>
      </c>
      <c r="M80" s="127">
        <f>CPUE!J78</f>
        <v>13.972222222222255</v>
      </c>
      <c r="N80" s="57" t="str">
        <f>Effort!L78</f>
        <v>CLOSED</v>
      </c>
      <c r="O80" s="135" t="str">
        <f>Harvest!L78</f>
        <v>CLOSED</v>
      </c>
      <c r="P80" s="96" t="str">
        <f>CPUE!L78</f>
        <v>CLOSED</v>
      </c>
      <c r="Q80" s="57" t="s">
        <v>10</v>
      </c>
      <c r="R80" s="58" t="s">
        <v>10</v>
      </c>
      <c r="S80" s="60" t="s">
        <v>10</v>
      </c>
      <c r="T80" s="57">
        <f>SUM(E80+H80+K80)</f>
        <v>8142.3966902208049</v>
      </c>
      <c r="U80" s="58">
        <f>SUM(F80+I80+L80)</f>
        <v>102260.99331704504</v>
      </c>
      <c r="V80" s="58"/>
    </row>
    <row r="81" spans="1:24" x14ac:dyDescent="0.25">
      <c r="A81" s="55">
        <v>44212</v>
      </c>
      <c r="B81" s="104" t="s">
        <v>20</v>
      </c>
      <c r="C81" s="104">
        <v>-0.2</v>
      </c>
      <c r="D81" s="105">
        <v>0.74930555555555556</v>
      </c>
      <c r="E81" s="125">
        <f>Effort!F79</f>
        <v>2925.8656854580217</v>
      </c>
      <c r="F81" s="126">
        <f>Harvest!F79</f>
        <v>40962.119596412304</v>
      </c>
      <c r="G81" s="127">
        <f>+CPUE!F79</f>
        <v>14</v>
      </c>
      <c r="H81" s="57">
        <f>Effort!H79</f>
        <v>2100</v>
      </c>
      <c r="I81" s="135">
        <f>Harvest!H79</f>
        <v>29400</v>
      </c>
      <c r="J81" s="96">
        <f>CPUE!H79</f>
        <v>14</v>
      </c>
      <c r="K81" s="57" t="str">
        <f>Effort!J79</f>
        <v>CLOSED</v>
      </c>
      <c r="L81" s="135" t="str">
        <f>Harvest!J79</f>
        <v>CLOSED</v>
      </c>
      <c r="M81" s="96" t="str">
        <f>CPUE!J79</f>
        <v>CLOSED</v>
      </c>
      <c r="N81" s="125">
        <f>Effort!L79</f>
        <v>3004.3100811890999</v>
      </c>
      <c r="O81" s="126">
        <f>Harvest!L79</f>
        <v>41711.002755113797</v>
      </c>
      <c r="P81" s="127">
        <f>CPUE!L79</f>
        <v>13.883720930232563</v>
      </c>
      <c r="Q81" s="57" t="s">
        <v>10</v>
      </c>
      <c r="R81" s="58" t="s">
        <v>10</v>
      </c>
      <c r="S81" s="60" t="s">
        <v>10</v>
      </c>
      <c r="T81" s="57">
        <f>SUM(E81+H81+N81)</f>
        <v>8030.1757666471221</v>
      </c>
      <c r="U81" s="58">
        <f>SUM(F81+I81+O81)</f>
        <v>112073.12235152611</v>
      </c>
      <c r="V81" s="58"/>
    </row>
    <row r="82" spans="1:24" x14ac:dyDescent="0.25">
      <c r="A82" s="55">
        <v>44213</v>
      </c>
      <c r="B82" s="104" t="s">
        <v>21</v>
      </c>
      <c r="C82" s="104">
        <v>-0.3</v>
      </c>
      <c r="D82" s="105">
        <v>0.77361111111111114</v>
      </c>
      <c r="E82" s="57">
        <f>Effort!F80</f>
        <v>740.26172409788137</v>
      </c>
      <c r="F82" s="135">
        <f>Harvest!F80</f>
        <v>9623.4024132724571</v>
      </c>
      <c r="G82" s="96">
        <f>+CPUE!F80</f>
        <v>13</v>
      </c>
      <c r="H82" s="125">
        <f>Effort!H80</f>
        <v>693.23672934806405</v>
      </c>
      <c r="I82" s="126">
        <f>Harvest!H80</f>
        <v>8734.7827897856096</v>
      </c>
      <c r="J82" s="127">
        <f>CPUE!H80</f>
        <v>12.600000000000003</v>
      </c>
      <c r="K82" s="125">
        <f>Effort!J80</f>
        <v>712.73972680053498</v>
      </c>
      <c r="L82" s="126">
        <f>Harvest!J80</f>
        <v>9676.8124446380298</v>
      </c>
      <c r="M82" s="127">
        <f>CPUE!J80</f>
        <v>13.576923076923073</v>
      </c>
      <c r="N82" s="57" t="str">
        <f>Effort!L80</f>
        <v>CLOSED</v>
      </c>
      <c r="O82" s="135" t="str">
        <f>Harvest!L80</f>
        <v>CLOSED</v>
      </c>
      <c r="P82" s="96" t="str">
        <f>CPUE!L80</f>
        <v>CLOSED</v>
      </c>
      <c r="Q82" s="57" t="s">
        <v>10</v>
      </c>
      <c r="R82" s="58" t="s">
        <v>10</v>
      </c>
      <c r="S82" s="60" t="s">
        <v>10</v>
      </c>
      <c r="T82" s="57">
        <f>SUM(E82+H82+K82)</f>
        <v>2146.2381802464806</v>
      </c>
      <c r="U82" s="58">
        <f>SUM(F82+I82+L82)</f>
        <v>28034.997647696095</v>
      </c>
      <c r="V82" s="58"/>
    </row>
    <row r="83" spans="1:24" x14ac:dyDescent="0.25">
      <c r="A83" s="55">
        <v>44214</v>
      </c>
      <c r="B83" s="104" t="s">
        <v>22</v>
      </c>
      <c r="C83" s="104">
        <v>-0.4</v>
      </c>
      <c r="D83" s="105">
        <v>0.79722222222222217</v>
      </c>
      <c r="E83" s="57">
        <f>Effort!F81</f>
        <v>606.24424428917951</v>
      </c>
      <c r="F83" s="135">
        <f>Harvest!F81</f>
        <v>8487.4194200485126</v>
      </c>
      <c r="G83" s="96">
        <f>+CPUE!F81</f>
        <v>14</v>
      </c>
      <c r="H83" s="125">
        <f>Effort!H81</f>
        <v>379.2</v>
      </c>
      <c r="I83" s="126">
        <f>Harvest!H81</f>
        <v>5368.6736842105302</v>
      </c>
      <c r="J83" s="127">
        <f>CPUE!H81</f>
        <v>14.157894736842115</v>
      </c>
      <c r="K83" s="57" t="str">
        <f>Effort!J81</f>
        <v>CLOSED</v>
      </c>
      <c r="L83" s="135" t="str">
        <f>Harvest!J81</f>
        <v>CLOSED</v>
      </c>
      <c r="M83" s="96" t="str">
        <f>CPUE!J81</f>
        <v>CLOSED</v>
      </c>
      <c r="N83" s="57" t="str">
        <f>Effort!L81</f>
        <v>CLOSED</v>
      </c>
      <c r="O83" s="135" t="str">
        <f>Harvest!L81</f>
        <v>CLOSED</v>
      </c>
      <c r="P83" s="96" t="str">
        <f>CPUE!L81</f>
        <v>CLOSED</v>
      </c>
      <c r="Q83" s="57" t="s">
        <v>10</v>
      </c>
      <c r="R83" s="58" t="s">
        <v>10</v>
      </c>
      <c r="S83" s="60" t="s">
        <v>10</v>
      </c>
      <c r="T83" s="57">
        <f>SUM(E83+H83)</f>
        <v>985.44424428917955</v>
      </c>
      <c r="U83" s="58">
        <f>SUM(F83+I83)</f>
        <v>13856.093104259042</v>
      </c>
      <c r="V83" s="58"/>
    </row>
    <row r="84" spans="1:24" x14ac:dyDescent="0.25">
      <c r="A84" s="55">
        <v>44215</v>
      </c>
      <c r="B84" s="104" t="s">
        <v>23</v>
      </c>
      <c r="C84" s="104">
        <v>-0.4</v>
      </c>
      <c r="D84" s="105">
        <v>0.82013888888888886</v>
      </c>
      <c r="E84" s="125">
        <f>Effort!F82</f>
        <v>167.90931688003644</v>
      </c>
      <c r="F84" s="126">
        <f>Harvest!F82</f>
        <v>2518.6397532005467</v>
      </c>
      <c r="G84" s="127">
        <f>+CPUE!F82</f>
        <v>15</v>
      </c>
      <c r="H84" s="57" t="str">
        <f>Effort!H82</f>
        <v>CLOSED</v>
      </c>
      <c r="I84" s="135" t="str">
        <f>Harvest!H82</f>
        <v>CLOSED</v>
      </c>
      <c r="J84" s="96" t="str">
        <f>CPUE!H82</f>
        <v>CLOSED</v>
      </c>
      <c r="K84" s="125">
        <f>Effort!J82</f>
        <v>161.66666024261099</v>
      </c>
      <c r="L84" s="126">
        <f>Harvest!J82</f>
        <v>2288.20503728003</v>
      </c>
      <c r="M84" s="127">
        <f>CPUE!J82</f>
        <v>14.153846153846139</v>
      </c>
      <c r="N84" s="57" t="str">
        <f>Effort!L82</f>
        <v>CLOSED</v>
      </c>
      <c r="O84" s="135" t="str">
        <f>Harvest!L82</f>
        <v>CLOSED</v>
      </c>
      <c r="P84" s="96" t="str">
        <f>CPUE!L82</f>
        <v>CLOSED</v>
      </c>
      <c r="Q84" s="57" t="s">
        <v>10</v>
      </c>
      <c r="R84" s="58" t="s">
        <v>10</v>
      </c>
      <c r="S84" s="60" t="s">
        <v>10</v>
      </c>
      <c r="T84" s="57">
        <f>SUM(E84+K84)</f>
        <v>329.57597712264743</v>
      </c>
      <c r="U84" s="58">
        <f>SUM(F84+L84)</f>
        <v>4806.8447904805762</v>
      </c>
      <c r="V84" s="58"/>
    </row>
    <row r="85" spans="1:24" x14ac:dyDescent="0.25">
      <c r="A85" s="55">
        <v>44216</v>
      </c>
      <c r="B85" s="104" t="s">
        <v>24</v>
      </c>
      <c r="C85" s="104">
        <v>-0.2</v>
      </c>
      <c r="D85" s="105">
        <v>0.84305555555555556</v>
      </c>
      <c r="E85" s="125">
        <f>Effort!F83</f>
        <v>46.824380384778451</v>
      </c>
      <c r="F85" s="126">
        <f>Harvest!F83</f>
        <v>608.71694500211981</v>
      </c>
      <c r="G85" s="127">
        <f>+CPUE!F83</f>
        <v>13</v>
      </c>
      <c r="H85" s="57" t="str">
        <f>Effort!H83</f>
        <v>CLOSED</v>
      </c>
      <c r="I85" s="135" t="str">
        <f>Harvest!H83</f>
        <v>CLOSED</v>
      </c>
      <c r="J85" s="96" t="str">
        <f>CPUE!H83</f>
        <v>CLOSED</v>
      </c>
      <c r="K85" s="57" t="str">
        <f>Effort!J83</f>
        <v>CLOSED</v>
      </c>
      <c r="L85" s="135" t="str">
        <f>Harvest!J83</f>
        <v>CLOSED</v>
      </c>
      <c r="M85" s="96" t="str">
        <f>CPUE!J83</f>
        <v>CLOSED</v>
      </c>
      <c r="N85" s="57" t="str">
        <f>Effort!L83</f>
        <v>CLOSED</v>
      </c>
      <c r="O85" s="135" t="str">
        <f>Harvest!L83</f>
        <v>CLOSED</v>
      </c>
      <c r="P85" s="96" t="str">
        <f>CPUE!L83</f>
        <v>CLOSED</v>
      </c>
      <c r="Q85" s="57" t="s">
        <v>10</v>
      </c>
      <c r="R85" s="58" t="s">
        <v>10</v>
      </c>
      <c r="S85" s="60" t="s">
        <v>10</v>
      </c>
      <c r="T85" s="57">
        <f>SUM(E85)</f>
        <v>46.824380384778451</v>
      </c>
      <c r="U85" s="58">
        <f>SUM(F85)</f>
        <v>608.71694500211981</v>
      </c>
      <c r="V85" s="58"/>
    </row>
    <row r="86" spans="1:24" x14ac:dyDescent="0.25">
      <c r="A86" s="148" t="s">
        <v>57</v>
      </c>
      <c r="B86" s="148"/>
      <c r="C86" s="148"/>
      <c r="D86" s="149"/>
      <c r="E86" s="63">
        <f>SUM(E79:E85)</f>
        <v>9595.5784827769421</v>
      </c>
      <c r="F86" s="64">
        <f>SUM(F79:F85)</f>
        <v>128059.7733563292</v>
      </c>
      <c r="G86" s="65">
        <f>+F86/E86</f>
        <v>13.345706419491339</v>
      </c>
      <c r="H86" s="63">
        <f>SUM(H79:H85)</f>
        <v>5417.4516743849599</v>
      </c>
      <c r="I86" s="64">
        <f>SUM(I79:I85)</f>
        <v>70443.635814438894</v>
      </c>
      <c r="J86" s="65">
        <f>+I86/H86</f>
        <v>13.003094452602813</v>
      </c>
      <c r="K86" s="63">
        <f>SUM(K79:K85)</f>
        <v>3182.580883356256</v>
      </c>
      <c r="L86" s="64">
        <f>SUM(L79:L85)</f>
        <v>44215.344472070756</v>
      </c>
      <c r="M86" s="65">
        <f>+L86/K86</f>
        <v>13.892920900549919</v>
      </c>
      <c r="N86" s="63">
        <f>SUM(N79:N85)</f>
        <v>3004.3100811890999</v>
      </c>
      <c r="O86" s="64">
        <f>SUM(O79:O85)</f>
        <v>41711.002755113797</v>
      </c>
      <c r="P86" s="65">
        <f>+O86/N86</f>
        <v>13.883720930232563</v>
      </c>
      <c r="Q86" s="63"/>
      <c r="R86" s="64"/>
      <c r="S86" s="65"/>
      <c r="T86" s="63">
        <f>SUM(T79:T85)</f>
        <v>21199.921121707263</v>
      </c>
      <c r="U86" s="64">
        <f>SUM(U79:U85)</f>
        <v>284429.75639795267</v>
      </c>
      <c r="V86" s="81"/>
      <c r="W86" s="34">
        <f>SUM(H86,K86,N86,Q86,E86)</f>
        <v>21199.921121707259</v>
      </c>
      <c r="X86" s="34">
        <f>SUM(R86,O86,L86,I86,F86)</f>
        <v>284429.75639795262</v>
      </c>
    </row>
    <row r="87" spans="1:24" x14ac:dyDescent="0.25">
      <c r="A87" s="131">
        <v>44590</v>
      </c>
      <c r="B87" s="104" t="s">
        <v>19</v>
      </c>
      <c r="C87" s="104">
        <v>-0.7</v>
      </c>
      <c r="D87" s="105">
        <v>0.6875</v>
      </c>
      <c r="E87" s="125">
        <f>Effort!F85</f>
        <v>8593.6757761124863</v>
      </c>
      <c r="F87" s="126">
        <f>Harvest!F85</f>
        <v>124608.29875363105</v>
      </c>
      <c r="G87" s="127">
        <f>+CPUE!F85</f>
        <v>14.5</v>
      </c>
      <c r="H87" s="125">
        <f>Effort!H85</f>
        <v>6499.7116184049601</v>
      </c>
      <c r="I87" s="126">
        <f>Harvest!H85</f>
        <v>94560.320641956001</v>
      </c>
      <c r="J87" s="127">
        <f>CPUE!H85</f>
        <v>14.548387096774189</v>
      </c>
      <c r="K87" s="57" t="str">
        <f>Effort!J85</f>
        <v>CLOSED</v>
      </c>
      <c r="L87" s="135" t="str">
        <f>Harvest!J85</f>
        <v>CLOSED</v>
      </c>
      <c r="M87" s="96" t="str">
        <f>CPUE!J85</f>
        <v>CLOSED</v>
      </c>
      <c r="N87" s="125">
        <f>Effort!L85</f>
        <v>6202.1832867322901</v>
      </c>
      <c r="O87" s="126">
        <f>Harvest!L85</f>
        <v>84429.720871000798</v>
      </c>
      <c r="P87" s="127">
        <f>CPUE!L85</f>
        <v>13.612903225806443</v>
      </c>
      <c r="Q87" s="57" t="s">
        <v>10</v>
      </c>
      <c r="R87" s="135" t="s">
        <v>10</v>
      </c>
      <c r="S87" s="60" t="s">
        <v>10</v>
      </c>
      <c r="T87" s="57">
        <f>SUM(E87+H87+N87)</f>
        <v>21295.570681249737</v>
      </c>
      <c r="U87" s="135">
        <f>SUM(F87+I87+O87)</f>
        <v>303598.34026658785</v>
      </c>
      <c r="V87" s="81"/>
      <c r="W87" s="34"/>
      <c r="X87" s="34"/>
    </row>
    <row r="88" spans="1:24" x14ac:dyDescent="0.25">
      <c r="A88" s="131">
        <v>44591</v>
      </c>
      <c r="B88" s="104" t="s">
        <v>20</v>
      </c>
      <c r="C88" s="104">
        <v>-1.2</v>
      </c>
      <c r="D88" s="105">
        <v>0.72291666666666676</v>
      </c>
      <c r="E88" s="125">
        <f>Effort!F86</f>
        <v>2141.8287018685232</v>
      </c>
      <c r="F88" s="126">
        <f>Harvest!F86</f>
        <v>25917.927148661161</v>
      </c>
      <c r="G88" s="127">
        <f>+CPUE!F86</f>
        <v>12.100840336134473</v>
      </c>
      <c r="H88" s="57" t="str">
        <f>Effort!H86</f>
        <v>CLOSED</v>
      </c>
      <c r="I88" s="135" t="str">
        <f>Harvest!H86</f>
        <v>CLOSED</v>
      </c>
      <c r="J88" s="96" t="str">
        <f>CPUE!H86</f>
        <v>CLOSED</v>
      </c>
      <c r="K88" s="125">
        <f>Effort!J86</f>
        <v>2066.0385458712799</v>
      </c>
      <c r="L88" s="126">
        <f>Harvest!J86</f>
        <v>28499.178765106699</v>
      </c>
      <c r="M88" s="127">
        <f>CPUE!J86</f>
        <v>13.794117647058787</v>
      </c>
      <c r="N88" s="57" t="str">
        <f>Effort!L86</f>
        <v>CLOSED</v>
      </c>
      <c r="O88" s="135" t="str">
        <f>Harvest!L86</f>
        <v>CLOSED</v>
      </c>
      <c r="P88" s="96" t="str">
        <f>CPUE!L86</f>
        <v>CLOSED</v>
      </c>
      <c r="Q88" s="57" t="s">
        <v>10</v>
      </c>
      <c r="R88" s="135" t="s">
        <v>10</v>
      </c>
      <c r="S88" s="60" t="s">
        <v>10</v>
      </c>
      <c r="T88" s="57">
        <f>SUM(E88+K88)</f>
        <v>4207.8672477398031</v>
      </c>
      <c r="U88" s="135">
        <f>SUM(F88+L88)</f>
        <v>54417.10591376786</v>
      </c>
      <c r="V88" s="81"/>
      <c r="W88" s="34"/>
      <c r="X88" s="34"/>
    </row>
    <row r="89" spans="1:24" x14ac:dyDescent="0.25">
      <c r="A89" s="131">
        <v>44592</v>
      </c>
      <c r="B89" s="104" t="s">
        <v>21</v>
      </c>
      <c r="C89" s="104">
        <v>-1.5</v>
      </c>
      <c r="D89" s="105">
        <v>0.75555555555555554</v>
      </c>
      <c r="E89" s="125">
        <f>Effort!F87</f>
        <v>1563.4668446659184</v>
      </c>
      <c r="F89" s="126">
        <f>Harvest!F87</f>
        <v>22670.269247655819</v>
      </c>
      <c r="G89" s="127">
        <f>+CPUE!F87</f>
        <v>14.5</v>
      </c>
      <c r="H89" s="57" t="str">
        <f>Effort!H87</f>
        <v>CLOSED</v>
      </c>
      <c r="I89" s="135" t="str">
        <f>Harvest!H87</f>
        <v>CLOSED</v>
      </c>
      <c r="J89" s="96" t="str">
        <f>CPUE!H87</f>
        <v>CLOSED</v>
      </c>
      <c r="K89" s="57" t="str">
        <f>Effort!J87</f>
        <v>CLOSED</v>
      </c>
      <c r="L89" s="135" t="str">
        <f>Harvest!J87</f>
        <v>CLOSED</v>
      </c>
      <c r="M89" s="96" t="str">
        <f>CPUE!J87</f>
        <v>CLOSED</v>
      </c>
      <c r="N89" s="57" t="str">
        <f>Effort!L87</f>
        <v>CLOSED</v>
      </c>
      <c r="O89" s="135" t="str">
        <f>Harvest!L87</f>
        <v>CLOSED</v>
      </c>
      <c r="P89" s="96" t="str">
        <f>CPUE!L87</f>
        <v>CLOSED</v>
      </c>
      <c r="Q89" s="57" t="s">
        <v>10</v>
      </c>
      <c r="R89" s="135" t="s">
        <v>10</v>
      </c>
      <c r="S89" s="60" t="s">
        <v>10</v>
      </c>
      <c r="T89" s="57">
        <f>SUM(E89)</f>
        <v>1563.4668446659184</v>
      </c>
      <c r="U89" s="135">
        <f>SUM(F89)</f>
        <v>22670.269247655819</v>
      </c>
      <c r="V89" s="81"/>
      <c r="W89" s="34"/>
      <c r="X89" s="34"/>
    </row>
    <row r="90" spans="1:24" x14ac:dyDescent="0.25">
      <c r="A90" s="131">
        <v>44593</v>
      </c>
      <c r="B90" s="104" t="s">
        <v>22</v>
      </c>
      <c r="C90" s="104">
        <v>-1.5</v>
      </c>
      <c r="D90" s="105">
        <v>0.78611111111111109</v>
      </c>
      <c r="E90" s="57">
        <f>Effort!F88</f>
        <v>1010.7163772272559</v>
      </c>
      <c r="F90" s="135">
        <f>Harvest!F88</f>
        <v>14655.387469795211</v>
      </c>
      <c r="G90" s="96">
        <f>+CPUE!F88</f>
        <v>14.5</v>
      </c>
      <c r="H90" s="125">
        <f>Effort!H88</f>
        <v>649.09089502224299</v>
      </c>
      <c r="I90" s="126">
        <f>Harvest!H88</f>
        <v>9411.8179778225203</v>
      </c>
      <c r="J90" s="127">
        <f>CPUE!H88</f>
        <v>14.499999999999995</v>
      </c>
      <c r="K90" s="125">
        <f>Effort!J88</f>
        <v>974.95144801877404</v>
      </c>
      <c r="L90" s="126">
        <f>Harvest!J88</f>
        <v>14488.2319833488</v>
      </c>
      <c r="M90" s="127">
        <f>CPUE!J88</f>
        <v>14.860465116279112</v>
      </c>
      <c r="N90" s="57" t="str">
        <f>Effort!L88</f>
        <v>CLOSED</v>
      </c>
      <c r="O90" s="135" t="str">
        <f>Harvest!L88</f>
        <v>CLOSED</v>
      </c>
      <c r="P90" s="96" t="str">
        <f>CPUE!L88</f>
        <v>CLOSED</v>
      </c>
      <c r="Q90" s="57" t="s">
        <v>10</v>
      </c>
      <c r="R90" s="135" t="s">
        <v>10</v>
      </c>
      <c r="S90" s="60" t="s">
        <v>10</v>
      </c>
      <c r="T90" s="57">
        <f>SUM(E90+H90+K90)</f>
        <v>2634.758720268273</v>
      </c>
      <c r="U90" s="135">
        <f>SUM(F90+I90+L90)</f>
        <v>38555.437430966529</v>
      </c>
      <c r="V90" s="81"/>
      <c r="W90" s="34"/>
      <c r="X90" s="34"/>
    </row>
    <row r="91" spans="1:24" x14ac:dyDescent="0.25">
      <c r="A91" s="131">
        <v>44594</v>
      </c>
      <c r="B91" s="104" t="s">
        <v>23</v>
      </c>
      <c r="C91" s="104">
        <v>-1.2</v>
      </c>
      <c r="D91" s="105">
        <v>0.81527777777777777</v>
      </c>
      <c r="E91" s="125">
        <f>Effort!F89</f>
        <v>431.3503088111076</v>
      </c>
      <c r="F91" s="126">
        <f>Harvest!F89</f>
        <v>6254.5794777610599</v>
      </c>
      <c r="G91" s="127">
        <f>+CPUE!F89</f>
        <v>14.5</v>
      </c>
      <c r="H91" s="125">
        <f>Effort!H89</f>
        <v>306.78082300485698</v>
      </c>
      <c r="I91" s="126">
        <f>Harvest!H89</f>
        <v>4601.7123450728504</v>
      </c>
      <c r="J91" s="127">
        <f>CPUE!H89</f>
        <v>14.999999999999986</v>
      </c>
      <c r="K91" s="57" t="str">
        <f>Effort!J89</f>
        <v>CLOSED</v>
      </c>
      <c r="L91" s="135" t="str">
        <f>Harvest!J89</f>
        <v>CLOSED</v>
      </c>
      <c r="M91" s="96" t="str">
        <f>CPUE!J89</f>
        <v>CLOSED</v>
      </c>
      <c r="N91" s="125">
        <f>Effort!L89</f>
        <v>457.35027302389</v>
      </c>
      <c r="O91" s="126">
        <f>Harvest!L89</f>
        <v>5030.8530032627896</v>
      </c>
      <c r="P91" s="127">
        <f>CPUE!L89</f>
        <v>11</v>
      </c>
      <c r="Q91" s="57" t="s">
        <v>10</v>
      </c>
      <c r="R91" s="135" t="s">
        <v>10</v>
      </c>
      <c r="S91" s="60" t="s">
        <v>10</v>
      </c>
      <c r="T91" s="57">
        <f>SUM(E91+H91+N91)</f>
        <v>1195.4814048398546</v>
      </c>
      <c r="U91" s="135">
        <f>SUM(F91+I91+O91)</f>
        <v>15887.144826096701</v>
      </c>
      <c r="V91" s="81"/>
      <c r="W91" s="34"/>
      <c r="X91" s="34"/>
    </row>
    <row r="92" spans="1:24" x14ac:dyDescent="0.25">
      <c r="A92" s="131">
        <v>44595</v>
      </c>
      <c r="B92" s="104" t="s">
        <v>24</v>
      </c>
      <c r="C92" s="104">
        <v>-0.7</v>
      </c>
      <c r="D92" s="105">
        <v>0.84236111111111101</v>
      </c>
      <c r="E92" s="57" t="str">
        <f>Effort!F90</f>
        <v>CLOSED</v>
      </c>
      <c r="F92" s="135" t="str">
        <f>Harvest!F90</f>
        <v>CLOSED</v>
      </c>
      <c r="G92" s="96" t="str">
        <f>+CPUE!F90</f>
        <v>CLOSED</v>
      </c>
      <c r="H92" s="57" t="str">
        <f>Effort!H90</f>
        <v>CLOSED</v>
      </c>
      <c r="I92" s="135" t="str">
        <f>Harvest!H90</f>
        <v>CLOSED</v>
      </c>
      <c r="J92" s="96" t="str">
        <f>CPUE!H90</f>
        <v>CLOSED</v>
      </c>
      <c r="K92" s="125">
        <f>Effort!J90</f>
        <v>399.541071085238</v>
      </c>
      <c r="L92" s="126">
        <f>Harvest!J90</f>
        <v>5251.1112199774097</v>
      </c>
      <c r="M92" s="127">
        <f>CPUE!J90</f>
        <v>13.142857142857133</v>
      </c>
      <c r="N92" s="57" t="str">
        <f>Effort!L90</f>
        <v>CLOSED</v>
      </c>
      <c r="O92" s="135" t="str">
        <f>Harvest!L90</f>
        <v>CLOSED</v>
      </c>
      <c r="P92" s="96" t="str">
        <f>CPUE!L90</f>
        <v>CLOSED</v>
      </c>
      <c r="Q92" s="57" t="s">
        <v>10</v>
      </c>
      <c r="R92" s="135" t="s">
        <v>10</v>
      </c>
      <c r="S92" s="60" t="s">
        <v>10</v>
      </c>
      <c r="T92" s="57">
        <f>SUM(K92)</f>
        <v>399.541071085238</v>
      </c>
      <c r="U92" s="135">
        <f>SUM(L92)</f>
        <v>5251.1112199774097</v>
      </c>
      <c r="V92" s="81"/>
      <c r="W92" s="34"/>
      <c r="X92" s="34"/>
    </row>
    <row r="93" spans="1:24" x14ac:dyDescent="0.25">
      <c r="A93" s="148" t="s">
        <v>57</v>
      </c>
      <c r="B93" s="148"/>
      <c r="C93" s="148"/>
      <c r="D93" s="149"/>
      <c r="E93" s="63">
        <f>SUM(E87:E92)</f>
        <v>13741.038008685291</v>
      </c>
      <c r="F93" s="64">
        <f>SUM(F87:F92)</f>
        <v>194106.46209750429</v>
      </c>
      <c r="G93" s="65">
        <f>+F93/E93</f>
        <v>14.126040694656075</v>
      </c>
      <c r="H93" s="63">
        <f>SUM(H87:H92)</f>
        <v>7455.5833364320597</v>
      </c>
      <c r="I93" s="64">
        <f>SUM(I87:I92)</f>
        <v>108573.85096485137</v>
      </c>
      <c r="J93" s="65">
        <f>+I93/H93</f>
        <v>14.562757341105709</v>
      </c>
      <c r="K93" s="63">
        <f>SUM(K87:K92)</f>
        <v>3440.5310649752919</v>
      </c>
      <c r="L93" s="64">
        <f>SUM(L87:L92)</f>
        <v>48238.521968432906</v>
      </c>
      <c r="M93" s="65">
        <f>+L93/K93</f>
        <v>14.020661652935644</v>
      </c>
      <c r="N93" s="63">
        <f>SUM(N87:N92)</f>
        <v>6659.5335597561798</v>
      </c>
      <c r="O93" s="64">
        <f>SUM(O87:O92)</f>
        <v>89460.573874263588</v>
      </c>
      <c r="P93" s="65">
        <f>+O93/N93</f>
        <v>13.433459426479553</v>
      </c>
      <c r="Q93" s="63"/>
      <c r="R93" s="64"/>
      <c r="S93" s="65"/>
      <c r="T93" s="63">
        <f>SUM(T87:T92)</f>
        <v>31296.685969848826</v>
      </c>
      <c r="U93" s="64">
        <f>SUM(U87:U92)</f>
        <v>440379.40890505223</v>
      </c>
      <c r="V93" s="81"/>
      <c r="W93" s="34">
        <f>SUM(H93,K93,N93,Q93,E93)</f>
        <v>31296.685969848819</v>
      </c>
      <c r="X93" s="34">
        <f>SUM(R93,O93,L93,I93,F93)</f>
        <v>440379.40890505217</v>
      </c>
    </row>
    <row r="94" spans="1:24" s="10" customFormat="1" x14ac:dyDescent="0.25">
      <c r="A94" s="131">
        <v>44606</v>
      </c>
      <c r="B94" s="104" t="s">
        <v>21</v>
      </c>
      <c r="C94" s="104">
        <v>0</v>
      </c>
      <c r="D94" s="105">
        <v>0.73263888888888884</v>
      </c>
      <c r="E94" s="125">
        <f>Effort!F92</f>
        <v>1108.3143416025241</v>
      </c>
      <c r="F94" s="126">
        <f>Harvest!F92</f>
        <v>16577.40132705462</v>
      </c>
      <c r="G94" s="127">
        <f>+CPUE!F92</f>
        <v>14.957310128356879</v>
      </c>
      <c r="H94" s="57" t="str">
        <f>Effort!H92</f>
        <v>CLOSED</v>
      </c>
      <c r="I94" s="135" t="str">
        <f>Harvest!H92</f>
        <v>CLOSED</v>
      </c>
      <c r="J94" s="96" t="str">
        <f>CPUE!H92</f>
        <v>CLOSED</v>
      </c>
      <c r="K94" s="57" t="str">
        <f>Effort!J92</f>
        <v>CLOSED</v>
      </c>
      <c r="L94" s="135" t="str">
        <f>Harvest!J92</f>
        <v>CLOSED</v>
      </c>
      <c r="M94" s="96" t="str">
        <f>CPUE!J92</f>
        <v>CLOSED</v>
      </c>
      <c r="N94" s="57" t="str">
        <f>Effort!L92</f>
        <v>CLOSED</v>
      </c>
      <c r="O94" s="135" t="str">
        <f>Harvest!L92</f>
        <v>CLOSED</v>
      </c>
      <c r="P94" s="96" t="str">
        <f>CPUE!L92</f>
        <v>CLOSED</v>
      </c>
      <c r="Q94" s="57" t="s">
        <v>10</v>
      </c>
      <c r="R94" s="135" t="s">
        <v>10</v>
      </c>
      <c r="S94" s="60" t="s">
        <v>10</v>
      </c>
      <c r="T94" s="57">
        <f>SUM(E94)</f>
        <v>1108.3143416025241</v>
      </c>
      <c r="U94" s="135">
        <f>SUM(F94)</f>
        <v>16577.40132705462</v>
      </c>
      <c r="V94" s="81"/>
      <c r="W94" s="138"/>
      <c r="X94" s="138"/>
    </row>
    <row r="95" spans="1:24" s="10" customFormat="1" x14ac:dyDescent="0.25">
      <c r="A95" s="131">
        <v>44607</v>
      </c>
      <c r="B95" s="104" t="s">
        <v>22</v>
      </c>
      <c r="C95" s="104">
        <v>-0.3</v>
      </c>
      <c r="D95" s="105">
        <v>0.75624999999999998</v>
      </c>
      <c r="E95" s="125">
        <f>Effort!F93</f>
        <v>1562.36022745114</v>
      </c>
      <c r="F95" s="126">
        <f>Harvest!F93</f>
        <v>22654.223298041528</v>
      </c>
      <c r="G95" s="127">
        <f>+CPUE!F93</f>
        <v>14.5</v>
      </c>
      <c r="H95" s="57" t="str">
        <f>Effort!H93</f>
        <v>CLOSED</v>
      </c>
      <c r="I95" s="135" t="str">
        <f>Harvest!H93</f>
        <v>CLOSED</v>
      </c>
      <c r="J95" s="96" t="str">
        <f>CPUE!H93</f>
        <v>CLOSED</v>
      </c>
      <c r="K95" s="57" t="str">
        <f>Effort!J93</f>
        <v>CLOSED</v>
      </c>
      <c r="L95" s="135" t="str">
        <f>Harvest!J93</f>
        <v>CLOSED</v>
      </c>
      <c r="M95" s="96" t="str">
        <f>CPUE!J93</f>
        <v>CLOSED</v>
      </c>
      <c r="N95" s="125">
        <f>Effort!L93</f>
        <v>1300.3995823561199</v>
      </c>
      <c r="O95" s="126">
        <f>Harvest!L93</f>
        <v>19505.993735341701</v>
      </c>
      <c r="P95" s="127">
        <f>CPUE!L93</f>
        <v>14.999999999999924</v>
      </c>
      <c r="Q95" s="57" t="s">
        <v>10</v>
      </c>
      <c r="R95" s="135" t="s">
        <v>10</v>
      </c>
      <c r="S95" s="60" t="s">
        <v>10</v>
      </c>
      <c r="T95" s="57">
        <f>SUM(E95+N95)</f>
        <v>2862.7598098072599</v>
      </c>
      <c r="U95" s="135">
        <f>SUM(F95+O95)</f>
        <v>42160.217033383233</v>
      </c>
      <c r="V95" s="81"/>
      <c r="W95" s="138"/>
      <c r="X95" s="138"/>
    </row>
    <row r="96" spans="1:24" s="10" customFormat="1" x14ac:dyDescent="0.25">
      <c r="A96" s="131">
        <v>44608</v>
      </c>
      <c r="B96" s="104" t="s">
        <v>23</v>
      </c>
      <c r="C96" s="104">
        <v>-0.4</v>
      </c>
      <c r="D96" s="105">
        <v>0.77916666666666667</v>
      </c>
      <c r="E96" s="57">
        <f>Effort!F94</f>
        <v>1479.0608396598429</v>
      </c>
      <c r="F96" s="135">
        <f>Harvest!F94</f>
        <v>21446.382175067723</v>
      </c>
      <c r="G96" s="96">
        <f>+CPUE!F94</f>
        <v>14.5</v>
      </c>
      <c r="H96" s="57" t="str">
        <f>Effort!H94</f>
        <v>CLOSED</v>
      </c>
      <c r="I96" s="135" t="str">
        <f>Harvest!H94</f>
        <v>CLOSED</v>
      </c>
      <c r="J96" s="96" t="str">
        <f>CPUE!H94</f>
        <v>CLOSED</v>
      </c>
      <c r="K96" s="125">
        <f>Effort!J94</f>
        <v>1903.8172374841899</v>
      </c>
      <c r="L96" s="126">
        <f>Harvest!J94</f>
        <v>28557.258562262901</v>
      </c>
      <c r="M96" s="127">
        <f>CPUE!J94</f>
        <v>15.000000000000027</v>
      </c>
      <c r="N96" s="57" t="str">
        <f>Effort!L94</f>
        <v>CLOSED</v>
      </c>
      <c r="O96" s="135" t="str">
        <f>Harvest!L94</f>
        <v>CLOSED</v>
      </c>
      <c r="P96" s="96" t="str">
        <f>CPUE!L94</f>
        <v>CLOSED</v>
      </c>
      <c r="Q96" s="57" t="s">
        <v>10</v>
      </c>
      <c r="R96" s="135" t="s">
        <v>10</v>
      </c>
      <c r="S96" s="60" t="s">
        <v>10</v>
      </c>
      <c r="T96" s="57">
        <f>SUM(E96+K96)</f>
        <v>3382.8780771440329</v>
      </c>
      <c r="U96" s="135">
        <f>SUM(F96+L96)</f>
        <v>50003.640737330628</v>
      </c>
      <c r="V96" s="81"/>
      <c r="W96" s="138"/>
      <c r="X96" s="138"/>
    </row>
    <row r="97" spans="1:24" s="10" customFormat="1" x14ac:dyDescent="0.25">
      <c r="A97" s="131">
        <v>44609</v>
      </c>
      <c r="B97" s="104" t="s">
        <v>24</v>
      </c>
      <c r="C97" s="104">
        <v>-0.3</v>
      </c>
      <c r="D97" s="105">
        <v>0.80138888888888893</v>
      </c>
      <c r="E97" s="125">
        <f>Effort!F95</f>
        <v>1083.792715939021</v>
      </c>
      <c r="F97" s="126">
        <f>Harvest!F95</f>
        <v>15714.994381115805</v>
      </c>
      <c r="G97" s="127">
        <f>+CPUE!F95</f>
        <v>14.5</v>
      </c>
      <c r="H97" s="125">
        <f>Effort!H95</f>
        <v>1088.4955798144699</v>
      </c>
      <c r="I97" s="126">
        <f>Harvest!H95</f>
        <v>11465.486774045799</v>
      </c>
      <c r="J97" s="127">
        <f>CPUE!H95</f>
        <v>10.533333333333379</v>
      </c>
      <c r="K97" s="57" t="str">
        <f>Effort!J95</f>
        <v>CLOSED</v>
      </c>
      <c r="L97" s="135" t="str">
        <f>Harvest!J95</f>
        <v>CLOSED</v>
      </c>
      <c r="M97" s="96" t="str">
        <f>CPUE!J95</f>
        <v>CLOSED</v>
      </c>
      <c r="N97" s="57" t="str">
        <f>Effort!L95</f>
        <v>CLOSED</v>
      </c>
      <c r="O97" s="135" t="str">
        <f>Harvest!L95</f>
        <v>CLOSED</v>
      </c>
      <c r="P97" s="96" t="str">
        <f>CPUE!L95</f>
        <v>CLOSED</v>
      </c>
      <c r="Q97" s="57" t="s">
        <v>10</v>
      </c>
      <c r="R97" s="135" t="s">
        <v>10</v>
      </c>
      <c r="S97" s="60" t="s">
        <v>10</v>
      </c>
      <c r="T97" s="57">
        <f>SUM(E97+H97)</f>
        <v>2172.2882957534912</v>
      </c>
      <c r="U97" s="135">
        <f>SUM(F97+I97)</f>
        <v>27180.481155161604</v>
      </c>
      <c r="V97" s="81"/>
      <c r="W97" s="138"/>
      <c r="X97" s="138"/>
    </row>
    <row r="98" spans="1:24" s="10" customFormat="1" x14ac:dyDescent="0.25">
      <c r="A98" s="131">
        <v>44610</v>
      </c>
      <c r="B98" s="104" t="s">
        <v>18</v>
      </c>
      <c r="C98" s="104">
        <v>-0.1</v>
      </c>
      <c r="D98" s="105">
        <v>0.82291666666666663</v>
      </c>
      <c r="E98" s="57">
        <f>Effort!F96</f>
        <v>1243.4411773302788</v>
      </c>
      <c r="F98" s="135">
        <f>Harvest!F96</f>
        <v>18029.897071289044</v>
      </c>
      <c r="G98" s="96">
        <f>+CPUE!F96</f>
        <v>14.5</v>
      </c>
      <c r="H98" s="125">
        <f>Effort!H96</f>
        <v>1248.8367981977301</v>
      </c>
      <c r="I98" s="126">
        <f>Harvest!H96</f>
        <v>18543.334276269299</v>
      </c>
      <c r="J98" s="127">
        <f>CPUE!H96</f>
        <v>14.848484848484826</v>
      </c>
      <c r="K98" s="125">
        <f>Effort!J96</f>
        <v>1600.5323673794601</v>
      </c>
      <c r="L98" s="126">
        <f>Harvest!J96</f>
        <v>23367.7725637402</v>
      </c>
      <c r="M98" s="127">
        <f>CPUE!J96</f>
        <v>14.600000000000051</v>
      </c>
      <c r="N98" s="57" t="str">
        <f>Effort!L96</f>
        <v>CLOSED</v>
      </c>
      <c r="O98" s="135" t="str">
        <f>Harvest!L96</f>
        <v>CLOSED</v>
      </c>
      <c r="P98" s="96" t="str">
        <f>CPUE!L96</f>
        <v>CLOSED</v>
      </c>
      <c r="Q98" s="57" t="s">
        <v>10</v>
      </c>
      <c r="R98" s="135" t="s">
        <v>10</v>
      </c>
      <c r="S98" s="60" t="s">
        <v>10</v>
      </c>
      <c r="T98" s="57">
        <f>SUM(E98+H98+K98)</f>
        <v>4092.810342907469</v>
      </c>
      <c r="U98" s="135">
        <f>SUM(F98+I98+L98)</f>
        <v>59941.00391129854</v>
      </c>
      <c r="V98" s="81"/>
      <c r="W98" s="138"/>
      <c r="X98" s="138"/>
    </row>
    <row r="99" spans="1:24" s="10" customFormat="1" x14ac:dyDescent="0.25">
      <c r="A99" s="148" t="s">
        <v>57</v>
      </c>
      <c r="B99" s="148"/>
      <c r="C99" s="148"/>
      <c r="D99" s="149"/>
      <c r="E99" s="63">
        <f>SUM(E94:E98)</f>
        <v>6476.9693019828073</v>
      </c>
      <c r="F99" s="64">
        <f>SUM(F94:F98)</f>
        <v>94422.898252568717</v>
      </c>
      <c r="G99" s="65">
        <f>+F99/E99</f>
        <v>14.578253169065174</v>
      </c>
      <c r="H99" s="63">
        <f>SUM(H94:H98)</f>
        <v>2337.3323780122</v>
      </c>
      <c r="I99" s="64">
        <f>SUM(I94:I98)</f>
        <v>30008.821050315099</v>
      </c>
      <c r="J99" s="65">
        <f>+I99/H99</f>
        <v>12.838918988422305</v>
      </c>
      <c r="K99" s="63">
        <f>SUM(K94:K98)</f>
        <v>3504.3496048636498</v>
      </c>
      <c r="L99" s="64">
        <f>SUM(L94:L98)</f>
        <v>51925.031126003101</v>
      </c>
      <c r="M99" s="65">
        <f>+L99/K99</f>
        <v>14.817309053279644</v>
      </c>
      <c r="N99" s="63">
        <f>SUM(N94:N98)</f>
        <v>1300.3995823561199</v>
      </c>
      <c r="O99" s="64">
        <f>SUM(O94:O98)</f>
        <v>19505.993735341701</v>
      </c>
      <c r="P99" s="65">
        <f>+O99/N99</f>
        <v>14.999999999999924</v>
      </c>
      <c r="Q99" s="63"/>
      <c r="R99" s="64"/>
      <c r="S99" s="65"/>
      <c r="T99" s="63">
        <f>SUM(T94:T98)</f>
        <v>13619.050867214777</v>
      </c>
      <c r="U99" s="64">
        <f>SUM(U94:U98)</f>
        <v>195862.74416422861</v>
      </c>
      <c r="V99" s="81"/>
      <c r="W99" s="138">
        <f>SUM(H99,K99,N99,Q99,E99)</f>
        <v>13619.050867214777</v>
      </c>
      <c r="X99" s="138">
        <f>SUM(R99,O99,L99,I99,F99)</f>
        <v>195862.74416422861</v>
      </c>
    </row>
    <row r="100" spans="1:24" s="10" customFormat="1" x14ac:dyDescent="0.25">
      <c r="A100" s="131">
        <v>44618</v>
      </c>
      <c r="B100" s="104" t="s">
        <v>19</v>
      </c>
      <c r="C100" s="104">
        <v>0</v>
      </c>
      <c r="D100" s="105">
        <v>0.63750000000000007</v>
      </c>
      <c r="E100" s="125">
        <f>Effort!F98</f>
        <v>4185.3247199422804</v>
      </c>
      <c r="F100" s="126">
        <f>Harvest!F98</f>
        <v>41853.247199422804</v>
      </c>
      <c r="G100" s="127">
        <f>+CPUE!F98</f>
        <v>10</v>
      </c>
      <c r="H100" s="125">
        <f>Effort!H98</f>
        <v>2089.9921381914801</v>
      </c>
      <c r="I100" s="126">
        <f>Harvest!H98</f>
        <v>21801.486617997401</v>
      </c>
      <c r="J100" s="127">
        <f>CPUE!H98</f>
        <v>10.431372549019608</v>
      </c>
      <c r="K100" s="125">
        <f>Effort!J98</f>
        <v>4656.7400110362096</v>
      </c>
      <c r="L100" s="126">
        <f>Harvest!J98</f>
        <v>62185.389685837399</v>
      </c>
      <c r="M100" s="127">
        <f>CPUE!J98</f>
        <v>13.353846153846158</v>
      </c>
      <c r="N100" s="57" t="str">
        <f>Effort!L98</f>
        <v>CLOSED</v>
      </c>
      <c r="O100" s="135" t="str">
        <f>Harvest!L98</f>
        <v>CLOSED</v>
      </c>
      <c r="P100" s="96" t="str">
        <f>CPUE!L98</f>
        <v>CLOSED</v>
      </c>
      <c r="Q100" s="57" t="s">
        <v>10</v>
      </c>
      <c r="R100" s="58" t="s">
        <v>10</v>
      </c>
      <c r="S100" s="60" t="s">
        <v>10</v>
      </c>
      <c r="T100" s="57">
        <f>SUM(E100+H100+K100)</f>
        <v>10932.05686916997</v>
      </c>
      <c r="U100" s="58">
        <f>SUM(F100+I100+L100)</f>
        <v>125840.12350325761</v>
      </c>
      <c r="V100" s="58"/>
      <c r="W100"/>
      <c r="X100"/>
    </row>
    <row r="101" spans="1:24" s="10" customFormat="1" x14ac:dyDescent="0.25">
      <c r="A101" s="131">
        <v>44619</v>
      </c>
      <c r="B101" s="104" t="s">
        <v>20</v>
      </c>
      <c r="C101" s="104">
        <v>-0.4</v>
      </c>
      <c r="D101" s="105">
        <v>0.6777777777777777</v>
      </c>
      <c r="E101" s="125">
        <f>Effort!F99</f>
        <v>1739.8091271331543</v>
      </c>
      <c r="F101" s="126">
        <f>Harvest!F99</f>
        <v>13918.473017065235</v>
      </c>
      <c r="G101" s="127">
        <f>+CPUE!F99</f>
        <v>8</v>
      </c>
      <c r="H101" s="57" t="str">
        <f>Effort!H99</f>
        <v>CLOSED</v>
      </c>
      <c r="I101" s="135" t="str">
        <f>Harvest!H99</f>
        <v>CLOSED</v>
      </c>
      <c r="J101" s="96" t="str">
        <f>CPUE!H99</f>
        <v>CLOSED</v>
      </c>
      <c r="K101" s="57" t="str">
        <f>Effort!J99</f>
        <v>CLOSED</v>
      </c>
      <c r="L101" s="135" t="str">
        <f>Harvest!J99</f>
        <v>CLOSED</v>
      </c>
      <c r="M101" s="96" t="str">
        <f>CPUE!J99</f>
        <v>CLOSED</v>
      </c>
      <c r="N101" s="57">
        <f>Effort!L99</f>
        <v>2066.08699935596</v>
      </c>
      <c r="O101" s="135">
        <f>Harvest!L99</f>
        <v>23473.043964905199</v>
      </c>
      <c r="P101" s="96">
        <f>CPUE!L99</f>
        <v>11.361111111111105</v>
      </c>
      <c r="Q101" s="57" t="s">
        <v>10</v>
      </c>
      <c r="R101" s="58" t="s">
        <v>10</v>
      </c>
      <c r="S101" s="60" t="s">
        <v>10</v>
      </c>
      <c r="T101" s="57">
        <f>SUM(E101+N101)</f>
        <v>3805.8961264891141</v>
      </c>
      <c r="U101" s="58">
        <f>SUM(F101+O101)</f>
        <v>37391.516981970432</v>
      </c>
      <c r="V101" s="58"/>
      <c r="W101"/>
      <c r="X101"/>
    </row>
    <row r="102" spans="1:24" s="10" customFormat="1" x14ac:dyDescent="0.25">
      <c r="A102" s="131">
        <v>44620</v>
      </c>
      <c r="B102" s="104" t="s">
        <v>21</v>
      </c>
      <c r="C102" s="104">
        <v>-0.8</v>
      </c>
      <c r="D102" s="105">
        <v>0.71250000000000002</v>
      </c>
      <c r="E102" s="125">
        <f>Effort!F100</f>
        <v>178.09764631781755</v>
      </c>
      <c r="F102" s="126">
        <f>Harvest!F100</f>
        <v>890.48823158908772</v>
      </c>
      <c r="G102" s="127">
        <f>+CPUE!F100</f>
        <v>5</v>
      </c>
      <c r="H102" s="57" t="str">
        <f>Effort!H100</f>
        <v>CLOSED</v>
      </c>
      <c r="I102" s="135" t="str">
        <f>Harvest!H100</f>
        <v>CLOSED</v>
      </c>
      <c r="J102" s="96" t="str">
        <f>CPUE!H100</f>
        <v>CLOSED</v>
      </c>
      <c r="K102" s="57" t="str">
        <f>Effort!J100</f>
        <v>CLOSED</v>
      </c>
      <c r="L102" s="135" t="str">
        <f>Harvest!J100</f>
        <v>CLOSED</v>
      </c>
      <c r="M102" s="96" t="str">
        <f>CPUE!J100</f>
        <v>CLOSED</v>
      </c>
      <c r="N102" s="57" t="str">
        <f>Effort!L100</f>
        <v>CLOSED</v>
      </c>
      <c r="O102" s="135" t="str">
        <f>Harvest!L100</f>
        <v>CLOSED</v>
      </c>
      <c r="P102" s="96" t="str">
        <f>CPUE!L100</f>
        <v>CLOSED</v>
      </c>
      <c r="Q102" s="57" t="s">
        <v>10</v>
      </c>
      <c r="R102" s="58" t="s">
        <v>10</v>
      </c>
      <c r="S102" s="60" t="s">
        <v>10</v>
      </c>
      <c r="T102" s="57">
        <f>SUM(E102)</f>
        <v>178.09764631781755</v>
      </c>
      <c r="U102" s="58">
        <f>SUM(F102)</f>
        <v>890.48823158908772</v>
      </c>
      <c r="V102" s="58"/>
      <c r="W102"/>
      <c r="X102"/>
    </row>
    <row r="103" spans="1:24" s="10" customFormat="1" x14ac:dyDescent="0.25">
      <c r="A103" s="131">
        <v>44621</v>
      </c>
      <c r="B103" s="104" t="s">
        <v>22</v>
      </c>
      <c r="C103" s="104">
        <v>-0.9</v>
      </c>
      <c r="D103" s="105">
        <v>0.74305555555555547</v>
      </c>
      <c r="E103" s="57">
        <f>Effort!F101</f>
        <v>542.94746833132615</v>
      </c>
      <c r="F103" s="135">
        <f>Harvest!F101</f>
        <v>7872.7382908042291</v>
      </c>
      <c r="G103" s="96">
        <f>+CPUE!F101</f>
        <v>14.5</v>
      </c>
      <c r="H103" s="57">
        <f>Effort!H101</f>
        <v>481.7531446638348</v>
      </c>
      <c r="I103" s="135">
        <f>Harvest!H101</f>
        <v>6985.4205976256044</v>
      </c>
      <c r="J103" s="96">
        <f>CPUE!H101</f>
        <v>14.5</v>
      </c>
      <c r="K103" s="57" t="str">
        <f>Effort!J101</f>
        <v>CLOSED</v>
      </c>
      <c r="L103" s="135" t="str">
        <f>Harvest!J101</f>
        <v>CLOSED</v>
      </c>
      <c r="M103" s="96" t="str">
        <f>CPUE!J101</f>
        <v>CLOSED</v>
      </c>
      <c r="N103" s="125">
        <f>Effort!L101</f>
        <v>546.45982271002799</v>
      </c>
      <c r="O103" s="126">
        <f>Harvest!L101</f>
        <v>7856.8778954086201</v>
      </c>
      <c r="P103" s="127">
        <f>CPUE!L101</f>
        <v>14.377777777777769</v>
      </c>
      <c r="Q103" s="57" t="s">
        <v>10</v>
      </c>
      <c r="R103" s="58" t="s">
        <v>10</v>
      </c>
      <c r="S103" s="60" t="s">
        <v>10</v>
      </c>
      <c r="T103" s="57">
        <f>SUM(E103+H103+N103)</f>
        <v>1571.160435705189</v>
      </c>
      <c r="U103" s="58">
        <f>SUM(F103+I103+O103)</f>
        <v>22715.036783838452</v>
      </c>
      <c r="V103" s="58"/>
      <c r="W103"/>
      <c r="X103"/>
    </row>
    <row r="104" spans="1:24" s="10" customFormat="1" x14ac:dyDescent="0.25">
      <c r="A104" s="131">
        <v>44622</v>
      </c>
      <c r="B104" s="104" t="s">
        <v>23</v>
      </c>
      <c r="C104" s="104">
        <v>-0.8</v>
      </c>
      <c r="D104" s="105">
        <v>0.77083333333333337</v>
      </c>
      <c r="E104" s="57">
        <f>Effort!F102</f>
        <v>945.42653782750847</v>
      </c>
      <c r="F104" s="135">
        <f>Harvest!F102</f>
        <v>14181.398067412627</v>
      </c>
      <c r="G104" s="96">
        <f>+CPUE!F102</f>
        <v>15</v>
      </c>
      <c r="H104" s="125">
        <f>Effort!H102</f>
        <v>681.48758853493996</v>
      </c>
      <c r="I104" s="126">
        <f>Harvest!H102</f>
        <v>10112.3964750346</v>
      </c>
      <c r="J104" s="127">
        <f>CPUE!H102</f>
        <v>14.838709677419367</v>
      </c>
      <c r="K104" s="125">
        <f>Effort!J102</f>
        <v>1051.9149363057099</v>
      </c>
      <c r="L104" s="126">
        <f>Harvest!J102</f>
        <v>15590.882091674001</v>
      </c>
      <c r="M104" s="127">
        <f>CPUE!J102</f>
        <v>14.821428571428653</v>
      </c>
      <c r="N104" s="57" t="str">
        <f>Effort!L102</f>
        <v>CLOSED</v>
      </c>
      <c r="O104" s="135" t="str">
        <f>Harvest!L102</f>
        <v>CLOSED</v>
      </c>
      <c r="P104" s="96" t="str">
        <f>CPUE!L102</f>
        <v>CLOSED</v>
      </c>
      <c r="Q104" s="57" t="s">
        <v>10</v>
      </c>
      <c r="R104" s="58" t="s">
        <v>10</v>
      </c>
      <c r="S104" s="60" t="s">
        <v>10</v>
      </c>
      <c r="T104" s="57">
        <f>SUM(E104+H104+K104)</f>
        <v>2678.8290626681583</v>
      </c>
      <c r="U104" s="58">
        <f>SUM(F104+I104+L104)</f>
        <v>39884.676634121228</v>
      </c>
      <c r="V104" s="58"/>
      <c r="W104"/>
      <c r="X104"/>
    </row>
    <row r="105" spans="1:24" s="10" customFormat="1" x14ac:dyDescent="0.25">
      <c r="A105" s="131">
        <v>44623</v>
      </c>
      <c r="B105" s="104" t="s">
        <v>24</v>
      </c>
      <c r="C105" s="104">
        <v>-0.5</v>
      </c>
      <c r="D105" s="105">
        <v>0.79652777777777783</v>
      </c>
      <c r="E105" s="125">
        <f>Effort!F103</f>
        <v>613.53916595788905</v>
      </c>
      <c r="F105" s="126">
        <f>Harvest!F103</f>
        <v>9203.0874893683394</v>
      </c>
      <c r="G105" s="127">
        <f>+CPUE!F103</f>
        <v>15.000000000000005</v>
      </c>
      <c r="H105" s="125">
        <f>Effort!H103</f>
        <v>544.38861918455302</v>
      </c>
      <c r="I105" s="126">
        <f>Harvest!H103</f>
        <v>7621.4406685837503</v>
      </c>
      <c r="J105" s="127">
        <f>CPUE!H103</f>
        <v>14.000000000000014</v>
      </c>
      <c r="K105" s="57" t="str">
        <f>Effort!J103</f>
        <v>CLOSED</v>
      </c>
      <c r="L105" s="135" t="str">
        <f>Harvest!J103</f>
        <v>CLOSED</v>
      </c>
      <c r="M105" s="96" t="str">
        <f>CPUE!J103</f>
        <v>CLOSED</v>
      </c>
      <c r="N105" s="125">
        <f>Effort!L103</f>
        <v>617.50818156575303</v>
      </c>
      <c r="O105" s="126">
        <f>Harvest!L103</f>
        <v>9262.6227234862999</v>
      </c>
      <c r="P105" s="127">
        <f>CPUE!L103</f>
        <v>15.000000000000007</v>
      </c>
      <c r="Q105" s="57" t="s">
        <v>10</v>
      </c>
      <c r="R105" s="58" t="s">
        <v>10</v>
      </c>
      <c r="S105" s="60" t="s">
        <v>10</v>
      </c>
      <c r="T105" s="57">
        <f>SUM(E105+H105+N105)</f>
        <v>1775.4359667081953</v>
      </c>
      <c r="U105" s="58">
        <f>SUM(F105+I105+O105)</f>
        <v>26087.150881438389</v>
      </c>
      <c r="V105" s="58"/>
      <c r="W105"/>
      <c r="X105"/>
    </row>
    <row r="106" spans="1:24" s="10" customFormat="1" x14ac:dyDescent="0.25">
      <c r="A106" s="131">
        <v>44624</v>
      </c>
      <c r="B106" s="104" t="s">
        <v>18</v>
      </c>
      <c r="C106" s="104">
        <v>0</v>
      </c>
      <c r="D106" s="105">
        <v>0.8208333333333333</v>
      </c>
      <c r="E106" s="57">
        <f>Effort!F104</f>
        <v>803.6939931085343</v>
      </c>
      <c r="F106" s="135">
        <f>Harvest!F104</f>
        <v>12055.409896628014</v>
      </c>
      <c r="G106" s="96">
        <f>+CPUE!F104</f>
        <v>15</v>
      </c>
      <c r="H106" s="57">
        <f>Effort!H104</f>
        <v>579.32315137051933</v>
      </c>
      <c r="I106" s="135">
        <f>Harvest!H104</f>
        <v>8689.8472705577897</v>
      </c>
      <c r="J106" s="96">
        <f>CPUE!H104</f>
        <v>15</v>
      </c>
      <c r="K106" s="125">
        <f>Effort!J104</f>
        <v>894.21830437796598</v>
      </c>
      <c r="L106" s="126">
        <f>Harvest!J104</f>
        <v>13413.274565669501</v>
      </c>
      <c r="M106" s="127">
        <f>CPUE!J104</f>
        <v>15.000000000000012</v>
      </c>
      <c r="N106" s="57" t="str">
        <f>Effort!L104</f>
        <v>CLOSED</v>
      </c>
      <c r="O106" s="135" t="str">
        <f>Harvest!L104</f>
        <v>CLOSED</v>
      </c>
      <c r="P106" s="96" t="str">
        <f>CPUE!L104</f>
        <v>CLOSED</v>
      </c>
      <c r="Q106" s="57" t="s">
        <v>10</v>
      </c>
      <c r="R106" s="58" t="s">
        <v>10</v>
      </c>
      <c r="S106" s="60" t="s">
        <v>10</v>
      </c>
      <c r="T106" s="57">
        <f>SUM(E106+H106+K106)</f>
        <v>2277.2354488570195</v>
      </c>
      <c r="U106" s="58">
        <f>SUM(F106+I106+L106)</f>
        <v>34158.531732855306</v>
      </c>
      <c r="V106" s="58"/>
      <c r="W106"/>
      <c r="X106"/>
    </row>
    <row r="107" spans="1:24" s="10" customFormat="1" x14ac:dyDescent="0.25">
      <c r="A107" s="148" t="s">
        <v>57</v>
      </c>
      <c r="B107" s="148"/>
      <c r="C107" s="148"/>
      <c r="D107" s="149"/>
      <c r="E107" s="63">
        <f>SUM(E100:E106)</f>
        <v>9008.8386586185097</v>
      </c>
      <c r="F107" s="64">
        <f>SUM(F100:F106)</f>
        <v>99974.842192290322</v>
      </c>
      <c r="G107" s="65">
        <f>+F107/E107</f>
        <v>11.0974173232248</v>
      </c>
      <c r="H107" s="63">
        <f>SUM(H100:H106)</f>
        <v>4376.9446419453279</v>
      </c>
      <c r="I107" s="64">
        <f>SUM(I100:I106)</f>
        <v>55210.59162979915</v>
      </c>
      <c r="J107" s="65">
        <f>+I107/H107</f>
        <v>12.613957028540545</v>
      </c>
      <c r="K107" s="63">
        <f>SUM(K100:K106)</f>
        <v>6602.873251719886</v>
      </c>
      <c r="L107" s="64">
        <f>SUM(L100:L106)</f>
        <v>91189.546343180904</v>
      </c>
      <c r="M107" s="65">
        <f>+L107/K107</f>
        <v>13.8105856142897</v>
      </c>
      <c r="N107" s="63">
        <f>SUM(N100:N106)</f>
        <v>3230.0550036317409</v>
      </c>
      <c r="O107" s="64">
        <f>SUM(O100:O106)</f>
        <v>40592.544583800118</v>
      </c>
      <c r="P107" s="65">
        <f>+O107/N107</f>
        <v>12.56713725870288</v>
      </c>
      <c r="Q107" s="63"/>
      <c r="R107" s="64"/>
      <c r="S107" s="65"/>
      <c r="T107" s="63">
        <f>SUM(T100:T106)</f>
        <v>23218.711555915466</v>
      </c>
      <c r="U107" s="64">
        <f>SUM(U100:U106)</f>
        <v>286967.52474907052</v>
      </c>
      <c r="V107" s="81"/>
      <c r="W107" s="34">
        <f>SUM(H107,K107,N107,Q107,E107)</f>
        <v>23218.711555915463</v>
      </c>
      <c r="X107" s="34">
        <f>SUM(R107,O107,L107,I107,F107)</f>
        <v>286967.52474907052</v>
      </c>
    </row>
    <row r="108" spans="1:24" x14ac:dyDescent="0.25">
      <c r="A108" s="55">
        <v>44636</v>
      </c>
      <c r="B108" s="104" t="s">
        <v>23</v>
      </c>
      <c r="C108" s="104">
        <v>0</v>
      </c>
      <c r="D108" s="105">
        <v>0.77430555555555547</v>
      </c>
      <c r="E108" s="125">
        <f>Effort!F106</f>
        <v>1105.111615922078</v>
      </c>
      <c r="F108" s="126">
        <f>Harvest!F106</f>
        <v>16576.67423883118</v>
      </c>
      <c r="G108" s="127">
        <f>+CPUE!F106</f>
        <v>15.000000000000009</v>
      </c>
      <c r="H108" s="57">
        <f>Effort!H106</f>
        <v>528.2283918659823</v>
      </c>
      <c r="I108" s="135">
        <f>Harvest!H106</f>
        <v>7659.3116820567429</v>
      </c>
      <c r="J108" s="96">
        <f>CPUE!H106</f>
        <v>14.5</v>
      </c>
      <c r="K108" s="57" t="str">
        <f>Effort!J106</f>
        <v>CLOSED</v>
      </c>
      <c r="L108" s="135" t="str">
        <f>Harvest!J106</f>
        <v>CLOSED</v>
      </c>
      <c r="M108" s="96" t="str">
        <f>CPUE!J106</f>
        <v>CLOSED</v>
      </c>
      <c r="N108" s="125">
        <f>Effort!L106</f>
        <v>895.09100269589499</v>
      </c>
      <c r="O108" s="126">
        <f>Harvest!L106</f>
        <v>13049.484618250701</v>
      </c>
      <c r="P108" s="127">
        <f>CPUE!L106</f>
        <v>14.578947368421076</v>
      </c>
      <c r="Q108" s="57" t="s">
        <v>10</v>
      </c>
      <c r="R108" s="58" t="s">
        <v>10</v>
      </c>
      <c r="S108" s="60" t="s">
        <v>10</v>
      </c>
      <c r="T108" s="57">
        <f>SUM(E108+H108+N108)</f>
        <v>2528.4310104839551</v>
      </c>
      <c r="U108" s="58">
        <f>SUM(F108+I108+O108)</f>
        <v>37285.470539138623</v>
      </c>
      <c r="V108" s="58"/>
    </row>
    <row r="109" spans="1:24" x14ac:dyDescent="0.25">
      <c r="A109" s="55">
        <v>44637</v>
      </c>
      <c r="B109" s="104" t="s">
        <v>24</v>
      </c>
      <c r="C109" s="104">
        <v>0</v>
      </c>
      <c r="D109" s="105">
        <v>0.79722222222222217</v>
      </c>
      <c r="E109" s="57">
        <f>Effort!F107</f>
        <v>476.49090076404161</v>
      </c>
      <c r="F109" s="135">
        <f>Harvest!F107</f>
        <v>6909.1180610786032</v>
      </c>
      <c r="G109" s="96">
        <f>+CPUE!F107</f>
        <v>14.5</v>
      </c>
      <c r="H109" s="57">
        <f>Effort!H107</f>
        <v>462.67316845261468</v>
      </c>
      <c r="I109" s="135">
        <f>Harvest!H107</f>
        <v>6708.7609425629125</v>
      </c>
      <c r="J109" s="96">
        <f>CPUE!H107</f>
        <v>14.5</v>
      </c>
      <c r="K109" s="125">
        <f>Effort!J107</f>
        <v>742.273098023069</v>
      </c>
      <c r="L109" s="126">
        <f>Harvest!J107</f>
        <v>11083.4869409354</v>
      </c>
      <c r="M109" s="127">
        <f>CPUE!J107</f>
        <v>14.931818181818221</v>
      </c>
      <c r="N109" s="57" t="str">
        <f>Effort!L107</f>
        <v>CLOSED</v>
      </c>
      <c r="O109" s="135" t="str">
        <f>Harvest!L107</f>
        <v>CLOSED</v>
      </c>
      <c r="P109" s="96" t="str">
        <f>CPUE!L107</f>
        <v>CLOSED</v>
      </c>
      <c r="Q109" s="57" t="s">
        <v>10</v>
      </c>
      <c r="R109" s="58" t="s">
        <v>10</v>
      </c>
      <c r="S109" s="60" t="s">
        <v>10</v>
      </c>
      <c r="T109" s="57">
        <f>SUM(E109+H109+K109)</f>
        <v>1681.4371672397253</v>
      </c>
      <c r="U109" s="58">
        <f>SUM(F109+I109+L109)</f>
        <v>24701.365944576915</v>
      </c>
      <c r="V109" s="58"/>
    </row>
    <row r="110" spans="1:24" x14ac:dyDescent="0.25">
      <c r="A110" s="55">
        <v>44638</v>
      </c>
      <c r="B110" s="104" t="s">
        <v>18</v>
      </c>
      <c r="C110" s="104">
        <v>0.2</v>
      </c>
      <c r="D110" s="105">
        <v>0.82013888888888886</v>
      </c>
      <c r="E110" s="57">
        <f>Effort!F108</f>
        <v>1815.9063731677011</v>
      </c>
      <c r="F110" s="135">
        <f>Harvest!F108</f>
        <v>25422.689224347814</v>
      </c>
      <c r="G110" s="96">
        <f>+CPUE!F108</f>
        <v>14</v>
      </c>
      <c r="H110" s="125">
        <f>Effort!H108</f>
        <v>867.97866338344397</v>
      </c>
      <c r="I110" s="126">
        <f>Harvest!H108</f>
        <v>13019.679950751701</v>
      </c>
      <c r="J110" s="127">
        <f>CPUE!H108</f>
        <v>15.000000000000048</v>
      </c>
      <c r="K110" s="57" t="str">
        <f>Effort!J108</f>
        <v>CLOSED</v>
      </c>
      <c r="L110" s="135" t="str">
        <f>Harvest!J108</f>
        <v>CLOSED</v>
      </c>
      <c r="M110" s="96" t="str">
        <f>CPUE!J108</f>
        <v>CLOSED</v>
      </c>
      <c r="N110" s="125">
        <f>Effort!L108</f>
        <v>1470.80297857909</v>
      </c>
      <c r="O110" s="126">
        <f>Harvest!L108</f>
        <v>19172.9673993346</v>
      </c>
      <c r="P110" s="127">
        <f>CPUE!L108</f>
        <v>13.03571428571431</v>
      </c>
      <c r="Q110" s="57" t="s">
        <v>10</v>
      </c>
      <c r="R110" s="58" t="s">
        <v>10</v>
      </c>
      <c r="S110" s="60" t="s">
        <v>10</v>
      </c>
      <c r="T110" s="57">
        <f>SUM(E110+H110+N110)</f>
        <v>4154.6880151302357</v>
      </c>
      <c r="U110" s="58">
        <f>SUM(F110+I110+O110)</f>
        <v>57615.336574434114</v>
      </c>
      <c r="V110" s="58"/>
    </row>
    <row r="111" spans="1:24" x14ac:dyDescent="0.25">
      <c r="A111" s="55">
        <v>44639</v>
      </c>
      <c r="B111" s="104" t="s">
        <v>19</v>
      </c>
      <c r="C111" s="104">
        <v>0.5</v>
      </c>
      <c r="D111" s="105">
        <v>0.84305555555555556</v>
      </c>
      <c r="E111" s="125">
        <f>Effort!F109</f>
        <v>2660.2619128480801</v>
      </c>
      <c r="F111" s="126">
        <f>Harvest!F109</f>
        <v>37243.666779873121</v>
      </c>
      <c r="G111" s="127">
        <f>+CPUE!F109</f>
        <v>14</v>
      </c>
      <c r="H111" s="57">
        <f>Effort!H109</f>
        <v>2583.1171301647646</v>
      </c>
      <c r="I111" s="135">
        <f>Harvest!H109</f>
        <v>36163.639822306708</v>
      </c>
      <c r="J111" s="96">
        <f>CPUE!H109</f>
        <v>14</v>
      </c>
      <c r="K111" s="125">
        <f>Effort!J109</f>
        <v>4144.1312907260799</v>
      </c>
      <c r="L111" s="126">
        <f>Harvest!J109</f>
        <v>59142.673706219299</v>
      </c>
      <c r="M111" s="127">
        <f>CPUE!J109</f>
        <v>14.271428571428562</v>
      </c>
      <c r="N111" s="57" t="str">
        <f>Effort!L109</f>
        <v>CLOSED</v>
      </c>
      <c r="O111" s="135" t="str">
        <f>Harvest!L109</f>
        <v>CLOSED</v>
      </c>
      <c r="P111" s="96" t="str">
        <f>CPUE!L109</f>
        <v>CLOSED</v>
      </c>
      <c r="Q111" s="57" t="s">
        <v>10</v>
      </c>
      <c r="R111" s="58" t="s">
        <v>10</v>
      </c>
      <c r="S111" s="60" t="s">
        <v>10</v>
      </c>
      <c r="T111" s="57">
        <f>SUM(E111+H111+K111)</f>
        <v>9387.5103337389246</v>
      </c>
      <c r="U111" s="58">
        <f>SUM(F111+I111+L111)</f>
        <v>132549.98030839913</v>
      </c>
      <c r="V111" s="58"/>
    </row>
    <row r="112" spans="1:24" x14ac:dyDescent="0.25">
      <c r="A112" s="55">
        <v>44640</v>
      </c>
      <c r="B112" s="104" t="s">
        <v>20</v>
      </c>
      <c r="C112" s="104">
        <v>0.2</v>
      </c>
      <c r="D112" s="105">
        <v>0.36527777777777781</v>
      </c>
      <c r="E112" s="57">
        <f>Effort!F110</f>
        <v>2743.1181611281418</v>
      </c>
      <c r="F112" s="135">
        <f>Harvest!F110</f>
        <v>39775.213336358058</v>
      </c>
      <c r="G112" s="96">
        <f>+CPUE!F110</f>
        <v>14.5</v>
      </c>
      <c r="H112" s="125">
        <f>Effort!H110</f>
        <v>1007.57576303541</v>
      </c>
      <c r="I112" s="126">
        <f>Harvest!H110</f>
        <v>14771.4409033682</v>
      </c>
      <c r="J112" s="127">
        <f>CPUE!H110</f>
        <v>14.660377358490587</v>
      </c>
      <c r="K112" s="57" t="str">
        <f>Effort!J110</f>
        <v>CLOSED</v>
      </c>
      <c r="L112" s="135" t="str">
        <f>Harvest!J110</f>
        <v>CLOSED</v>
      </c>
      <c r="M112" s="96" t="str">
        <f>CPUE!J110</f>
        <v>CLOSED</v>
      </c>
      <c r="N112" s="125">
        <f>Effort!L110</f>
        <v>2221.8030739897999</v>
      </c>
      <c r="O112" s="126">
        <f>Harvest!L110</f>
        <v>24899.5172085064</v>
      </c>
      <c r="P112" s="127">
        <f>CPUE!L110</f>
        <v>11.206896551724148</v>
      </c>
      <c r="Q112" s="57" t="s">
        <v>10</v>
      </c>
      <c r="R112" s="58" t="s">
        <v>10</v>
      </c>
      <c r="S112" s="60" t="s">
        <v>10</v>
      </c>
      <c r="T112" s="57">
        <f>SUM(E112+H112+N112)</f>
        <v>5972.4969981533523</v>
      </c>
      <c r="U112" s="58">
        <f>SUM(F112+I112+O112)</f>
        <v>79446.171448232664</v>
      </c>
      <c r="V112" s="58"/>
    </row>
    <row r="113" spans="1:24" x14ac:dyDescent="0.25">
      <c r="A113" s="55">
        <v>44641</v>
      </c>
      <c r="B113" s="104" t="s">
        <v>21</v>
      </c>
      <c r="C113" s="104">
        <v>0</v>
      </c>
      <c r="D113" s="105">
        <v>0.39583333333333331</v>
      </c>
      <c r="E113" s="57">
        <f>Effort!F111</f>
        <v>415.72916783312888</v>
      </c>
      <c r="F113" s="135">
        <f>Harvest!F111</f>
        <v>6028.072933580369</v>
      </c>
      <c r="G113" s="96">
        <f>+CPUE!F111</f>
        <v>14.5</v>
      </c>
      <c r="H113" s="125">
        <f>Effort!H111</f>
        <v>403.67346153116301</v>
      </c>
      <c r="I113" s="126">
        <f>Harvest!H111</f>
        <v>5791.8366219688596</v>
      </c>
      <c r="J113" s="127">
        <f>CPUE!H111</f>
        <v>14.34782608695652</v>
      </c>
      <c r="K113" s="125">
        <f>Effort!J111</f>
        <v>647.61903501460597</v>
      </c>
      <c r="L113" s="126">
        <f>Harvest!J111</f>
        <v>9466.6664824193904</v>
      </c>
      <c r="M113" s="127">
        <f>CPUE!J111</f>
        <v>14.617647058823534</v>
      </c>
      <c r="N113" s="57" t="str">
        <f>Effort!L111</f>
        <v>CLOSED</v>
      </c>
      <c r="O113" s="135" t="str">
        <f>Harvest!L111</f>
        <v>CLOSED</v>
      </c>
      <c r="P113" s="96" t="str">
        <f>CPUE!L111</f>
        <v>CLOSED</v>
      </c>
      <c r="Q113" s="57" t="s">
        <v>10</v>
      </c>
      <c r="R113" s="58" t="s">
        <v>10</v>
      </c>
      <c r="S113" s="60" t="s">
        <v>10</v>
      </c>
      <c r="T113" s="57">
        <f>SUM(E113+H113+K113)</f>
        <v>1467.0216643788979</v>
      </c>
      <c r="U113" s="58">
        <f>SUM(F113+I113+L113)</f>
        <v>21286.576037968618</v>
      </c>
      <c r="V113" s="58"/>
    </row>
    <row r="114" spans="1:24" x14ac:dyDescent="0.25">
      <c r="A114" s="55">
        <v>44642</v>
      </c>
      <c r="B114" s="104" t="s">
        <v>22</v>
      </c>
      <c r="C114" s="104">
        <v>-0.1</v>
      </c>
      <c r="D114" s="105">
        <v>0.4291666666666667</v>
      </c>
      <c r="E114" s="125">
        <f>Effort!F112</f>
        <v>1139.2</v>
      </c>
      <c r="F114" s="126">
        <f>Harvest!F112</f>
        <v>17088</v>
      </c>
      <c r="G114" s="127">
        <f>+CPUE!F112</f>
        <v>15</v>
      </c>
      <c r="H114" s="57">
        <f>Effort!H112</f>
        <v>477.14920828738485</v>
      </c>
      <c r="I114" s="135">
        <f>Harvest!H112</f>
        <v>7157.2381243107729</v>
      </c>
      <c r="J114" s="96">
        <f>CPUE!H112</f>
        <v>15</v>
      </c>
      <c r="K114" s="57" t="str">
        <f>Effort!J112</f>
        <v>CLOSED</v>
      </c>
      <c r="L114" s="135" t="str">
        <f>Harvest!J112</f>
        <v>CLOSED</v>
      </c>
      <c r="M114" s="96" t="str">
        <f>CPUE!J112</f>
        <v>CLOSED</v>
      </c>
      <c r="N114" s="125">
        <f>Effort!L112</f>
        <v>808.53655323749797</v>
      </c>
      <c r="O114" s="126">
        <f>Harvest!L112</f>
        <v>12024.389766096099</v>
      </c>
      <c r="P114" s="127">
        <f>CPUE!L112</f>
        <v>14.871794871794842</v>
      </c>
      <c r="Q114" s="57" t="s">
        <v>10</v>
      </c>
      <c r="R114" s="58" t="s">
        <v>10</v>
      </c>
      <c r="S114" s="60" t="s">
        <v>10</v>
      </c>
      <c r="T114" s="57">
        <f>SUM(E114,H114,N114)</f>
        <v>2424.885761524883</v>
      </c>
      <c r="U114" s="58">
        <f>SUM(F114,I114,O114)</f>
        <v>36269.627890406875</v>
      </c>
      <c r="V114" s="58"/>
    </row>
    <row r="115" spans="1:24" x14ac:dyDescent="0.25">
      <c r="A115" s="148" t="s">
        <v>57</v>
      </c>
      <c r="B115" s="148"/>
      <c r="C115" s="148"/>
      <c r="D115" s="149"/>
      <c r="E115" s="63">
        <f>SUM(E108:E114)</f>
        <v>10355.818131663173</v>
      </c>
      <c r="F115" s="64">
        <f>SUM(F108:F114)</f>
        <v>149043.43457406916</v>
      </c>
      <c r="G115" s="65">
        <f>+F115/E115</f>
        <v>14.392241412425459</v>
      </c>
      <c r="H115" s="63">
        <f>SUM(H108:H114)</f>
        <v>6330.3957867207637</v>
      </c>
      <c r="I115" s="64">
        <f>SUM(I108:I114)</f>
        <v>91271.908047325895</v>
      </c>
      <c r="J115" s="65">
        <f>+I115/H115</f>
        <v>14.418041323543541</v>
      </c>
      <c r="K115" s="63">
        <f>SUM(K108:K114)</f>
        <v>5534.0234237637551</v>
      </c>
      <c r="L115" s="64">
        <f>SUM(L108:L114)</f>
        <v>79692.827129574085</v>
      </c>
      <c r="M115" s="65">
        <f>+L115/K115</f>
        <v>14.400522192834169</v>
      </c>
      <c r="N115" s="63">
        <f>SUM(N108:N114)</f>
        <v>5396.2336085022835</v>
      </c>
      <c r="O115" s="64">
        <f>SUM(O108:O114)</f>
        <v>69146.358992187801</v>
      </c>
      <c r="P115" s="65">
        <f>+O115/N115</f>
        <v>12.813818675907783</v>
      </c>
      <c r="Q115" s="63"/>
      <c r="R115" s="64"/>
      <c r="S115" s="65"/>
      <c r="T115" s="63">
        <f>SUM(T108:T114)</f>
        <v>27616.470950649971</v>
      </c>
      <c r="U115" s="64">
        <f>SUM(U108:U114)</f>
        <v>389154.52874315693</v>
      </c>
      <c r="V115" s="81"/>
      <c r="W115" s="34">
        <f>SUM(H115,K115,N115,Q115,E115)</f>
        <v>27616.470950649978</v>
      </c>
      <c r="X115" s="34">
        <f>SUM(R115,O115,L115,I115,F115)</f>
        <v>389154.52874315693</v>
      </c>
    </row>
    <row r="116" spans="1:24" x14ac:dyDescent="0.25">
      <c r="A116" s="131">
        <v>44652</v>
      </c>
      <c r="B116" s="104" t="s">
        <v>18</v>
      </c>
      <c r="C116" s="104">
        <v>0.5</v>
      </c>
      <c r="D116" s="105">
        <v>0.31666666666666665</v>
      </c>
      <c r="E116" s="125">
        <f>Effort!F114</f>
        <v>629.731585887606</v>
      </c>
      <c r="F116" s="126">
        <f>Harvest!F114</f>
        <v>9445.9737883140897</v>
      </c>
      <c r="G116" s="127">
        <f>+CPUE!F114</f>
        <v>15</v>
      </c>
      <c r="H116" s="57">
        <f>Effort!H114</f>
        <v>373.21082618703912</v>
      </c>
      <c r="I116" s="135">
        <f>Harvest!H114</f>
        <v>5598.1623928055869</v>
      </c>
      <c r="J116" s="96">
        <f>CPUE!H114</f>
        <v>15</v>
      </c>
      <c r="K116" s="57" t="str">
        <f>Effort!J114</f>
        <v>CLOSED</v>
      </c>
      <c r="L116" s="135" t="str">
        <f>Harvest!J114</f>
        <v>CLOSED</v>
      </c>
      <c r="M116" s="96" t="str">
        <f>CPUE!J114</f>
        <v>CLOSED</v>
      </c>
      <c r="N116" s="125">
        <f>Effort!L114</f>
        <v>493.79512840915697</v>
      </c>
      <c r="O116" s="126">
        <f>Harvest!L114</f>
        <v>7315.4833838393597</v>
      </c>
      <c r="P116" s="127">
        <f>CPUE!L114</f>
        <v>14.81481481481481</v>
      </c>
      <c r="Q116" s="57" t="s">
        <v>10</v>
      </c>
      <c r="R116" s="135" t="s">
        <v>10</v>
      </c>
      <c r="S116" s="60" t="s">
        <v>10</v>
      </c>
      <c r="T116" s="57">
        <f>SUM(E116+H116+N116)</f>
        <v>1496.7375404838021</v>
      </c>
      <c r="U116" s="135">
        <f>SUM(F116+I116+O116)</f>
        <v>22359.619564959037</v>
      </c>
      <c r="V116" s="81"/>
      <c r="W116" s="34"/>
      <c r="X116" s="34"/>
    </row>
    <row r="117" spans="1:24" x14ac:dyDescent="0.25">
      <c r="A117" s="131">
        <v>44653</v>
      </c>
      <c r="B117" s="104" t="s">
        <v>19</v>
      </c>
      <c r="C117" s="104">
        <v>0</v>
      </c>
      <c r="D117" s="105">
        <v>0.33819444444444446</v>
      </c>
      <c r="E117" s="125">
        <f>Effort!F115</f>
        <v>2537.7970333064</v>
      </c>
      <c r="F117" s="126">
        <f>Harvest!F115</f>
        <v>38066.955499595999</v>
      </c>
      <c r="G117" s="127">
        <f>+CPUE!F115</f>
        <v>15</v>
      </c>
      <c r="H117" s="125">
        <f>Effort!H115</f>
        <v>1889.07503751221</v>
      </c>
      <c r="I117" s="126">
        <f>Harvest!H115</f>
        <v>28336.125562683199</v>
      </c>
      <c r="J117" s="127">
        <f>CPUE!H115</f>
        <v>15.000000000000027</v>
      </c>
      <c r="K117" s="125">
        <f>Effort!J115</f>
        <v>2915.3669711873999</v>
      </c>
      <c r="L117" s="126">
        <f>Harvest!J115</f>
        <v>43730.504567810996</v>
      </c>
      <c r="M117" s="127">
        <f>CPUE!J115</f>
        <v>14.999999999999998</v>
      </c>
      <c r="N117" s="57" t="str">
        <f>Effort!L115</f>
        <v>CLOSED</v>
      </c>
      <c r="O117" s="135" t="str">
        <f>Harvest!L115</f>
        <v>CLOSED</v>
      </c>
      <c r="P117" s="96" t="str">
        <f>CPUE!L115</f>
        <v>CLOSED</v>
      </c>
      <c r="Q117" s="57" t="s">
        <v>10</v>
      </c>
      <c r="R117" s="135" t="s">
        <v>10</v>
      </c>
      <c r="S117" s="60" t="s">
        <v>10</v>
      </c>
      <c r="T117" s="57">
        <f>SUM(E117+K117,H117)</f>
        <v>7342.2390420060092</v>
      </c>
      <c r="U117" s="135">
        <f>SUM(F117+L117,I117)</f>
        <v>110133.58563009019</v>
      </c>
      <c r="V117" s="81"/>
      <c r="W117" s="34"/>
      <c r="X117" s="34"/>
    </row>
    <row r="118" spans="1:24" x14ac:dyDescent="0.25">
      <c r="A118" s="131">
        <v>44654</v>
      </c>
      <c r="B118" s="104" t="s">
        <v>20</v>
      </c>
      <c r="C118" s="104">
        <v>-0.1</v>
      </c>
      <c r="D118" s="105">
        <v>0.36458333333333331</v>
      </c>
      <c r="E118" s="57">
        <f>Effort!F116</f>
        <v>2283.2689370523508</v>
      </c>
      <c r="F118" s="135">
        <f>Harvest!F116</f>
        <v>30824.130650206735</v>
      </c>
      <c r="G118" s="96">
        <f>+CPUE!F116</f>
        <v>13.5</v>
      </c>
      <c r="H118" s="125">
        <f>Effort!H116</f>
        <v>1570.05293079231</v>
      </c>
      <c r="I118" s="126">
        <f>Harvest!H116</f>
        <v>21600.889515578099</v>
      </c>
      <c r="J118" s="127">
        <f>CPUE!H116</f>
        <v>13.75806451612905</v>
      </c>
      <c r="K118" s="57" t="str">
        <f>Effort!J116</f>
        <v>CLOSED</v>
      </c>
      <c r="L118" s="135" t="str">
        <f>Harvest!J116</f>
        <v>CLOSED</v>
      </c>
      <c r="M118" s="96" t="str">
        <f>CPUE!J116</f>
        <v>CLOSED</v>
      </c>
      <c r="N118" s="125">
        <f>Effort!L116</f>
        <v>2077.3365459157899</v>
      </c>
      <c r="O118" s="126">
        <f>Harvest!L116</f>
        <v>27942.213147024198</v>
      </c>
      <c r="P118" s="127">
        <f>CPUE!L116</f>
        <v>13.450980392156884</v>
      </c>
      <c r="Q118" s="57" t="s">
        <v>10</v>
      </c>
      <c r="R118" s="135" t="s">
        <v>10</v>
      </c>
      <c r="S118" s="60" t="s">
        <v>10</v>
      </c>
      <c r="T118" s="57">
        <f>SUM(E118,H118,N118)</f>
        <v>5930.6584137604514</v>
      </c>
      <c r="U118" s="135">
        <f>SUM(F118,I118,O118)</f>
        <v>80367.233312809039</v>
      </c>
      <c r="V118" s="81"/>
      <c r="W118" s="34"/>
      <c r="X118" s="34"/>
    </row>
    <row r="119" spans="1:24" x14ac:dyDescent="0.25">
      <c r="A119" s="131">
        <v>44655</v>
      </c>
      <c r="B119" s="104" t="s">
        <v>21</v>
      </c>
      <c r="C119" s="104">
        <v>0</v>
      </c>
      <c r="D119" s="105">
        <v>0.39097222222222222</v>
      </c>
      <c r="E119" s="57">
        <f>Effort!F117</f>
        <v>0</v>
      </c>
      <c r="F119" s="135">
        <f>Harvest!F117</f>
        <v>0</v>
      </c>
      <c r="G119" s="96">
        <f>+CPUE!F117</f>
        <v>0</v>
      </c>
      <c r="H119" s="57">
        <f>Effort!H117</f>
        <v>0</v>
      </c>
      <c r="I119" s="135">
        <f>Harvest!H117</f>
        <v>0</v>
      </c>
      <c r="J119" s="96">
        <f>CPUE!H117</f>
        <v>0</v>
      </c>
      <c r="K119" s="57">
        <f>Effort!J117</f>
        <v>0</v>
      </c>
      <c r="L119" s="135">
        <f>Harvest!J117</f>
        <v>0</v>
      </c>
      <c r="M119" s="96">
        <f>CPUE!J117</f>
        <v>0</v>
      </c>
      <c r="N119" s="57" t="str">
        <f>Effort!L117</f>
        <v>CLOSED</v>
      </c>
      <c r="O119" s="135" t="str">
        <f>Harvest!L117</f>
        <v>CLOSED</v>
      </c>
      <c r="P119" s="96" t="str">
        <f>CPUE!L117</f>
        <v>CLOSED</v>
      </c>
      <c r="Q119" s="57" t="s">
        <v>10</v>
      </c>
      <c r="R119" s="135" t="s">
        <v>10</v>
      </c>
      <c r="S119" s="60" t="s">
        <v>10</v>
      </c>
      <c r="T119" s="57">
        <f>SUM(E119+H119+K119)</f>
        <v>0</v>
      </c>
      <c r="U119" s="135">
        <f>SUM(F119+I119+L119)</f>
        <v>0</v>
      </c>
      <c r="V119" s="81"/>
      <c r="W119" s="34"/>
      <c r="X119" s="34"/>
    </row>
    <row r="120" spans="1:24" x14ac:dyDescent="0.25">
      <c r="A120" s="131">
        <v>44656</v>
      </c>
      <c r="B120" s="104" t="s">
        <v>22</v>
      </c>
      <c r="C120" s="104">
        <v>0.2</v>
      </c>
      <c r="D120" s="105">
        <v>0.41736111111111113</v>
      </c>
      <c r="E120" s="57">
        <f>Effort!F118</f>
        <v>0</v>
      </c>
      <c r="F120" s="135">
        <f>Harvest!F118</f>
        <v>0</v>
      </c>
      <c r="G120" s="96">
        <f>+CPUE!F118</f>
        <v>0</v>
      </c>
      <c r="H120" s="57">
        <f>Effort!H118</f>
        <v>0</v>
      </c>
      <c r="I120" s="135">
        <f>Harvest!H118</f>
        <v>0</v>
      </c>
      <c r="J120" s="96">
        <f>CPUE!H118</f>
        <v>0</v>
      </c>
      <c r="K120" s="57" t="str">
        <f>Effort!J118</f>
        <v>CLOSED</v>
      </c>
      <c r="L120" s="135" t="str">
        <f>Harvest!J118</f>
        <v>CLOSED</v>
      </c>
      <c r="M120" s="96" t="str">
        <f>CPUE!J118</f>
        <v>CLOSED</v>
      </c>
      <c r="N120" s="57">
        <f>Effort!L118</f>
        <v>0</v>
      </c>
      <c r="O120" s="135">
        <f>Harvest!L118</f>
        <v>0</v>
      </c>
      <c r="P120" s="96">
        <f>CPUE!L118</f>
        <v>0</v>
      </c>
      <c r="Q120" s="57" t="s">
        <v>10</v>
      </c>
      <c r="R120" s="135" t="s">
        <v>10</v>
      </c>
      <c r="S120" s="60" t="s">
        <v>10</v>
      </c>
      <c r="T120" s="57">
        <f>SUM(E120+H120+N120)</f>
        <v>0</v>
      </c>
      <c r="U120" s="135">
        <f>SUM(F120+I120+O120)</f>
        <v>0</v>
      </c>
      <c r="V120" s="81"/>
      <c r="W120" s="34"/>
      <c r="X120" s="34"/>
    </row>
    <row r="121" spans="1:24" x14ac:dyDescent="0.25">
      <c r="A121" s="131">
        <v>44657</v>
      </c>
      <c r="B121" s="104" t="s">
        <v>23</v>
      </c>
      <c r="C121" s="104">
        <v>0.5</v>
      </c>
      <c r="D121" s="105">
        <v>0.4465277777777778</v>
      </c>
      <c r="E121" s="125">
        <f>Effort!F119</f>
        <v>1863.9850575756441</v>
      </c>
      <c r="F121" s="126">
        <f>Harvest!F119</f>
        <v>26095.790806059016</v>
      </c>
      <c r="G121" s="127">
        <f>+CPUE!F119</f>
        <v>14</v>
      </c>
      <c r="H121" s="125">
        <f>Effort!H119</f>
        <v>1281.7391570078601</v>
      </c>
      <c r="I121" s="126">
        <f>Harvest!H119</f>
        <v>18651.514629562698</v>
      </c>
      <c r="J121" s="127">
        <f>CPUE!H119</f>
        <v>14.551724137931069</v>
      </c>
      <c r="K121" s="125">
        <f>Effort!J119</f>
        <v>1558.5975077687399</v>
      </c>
      <c r="L121" s="126">
        <f>Harvest!J119</f>
        <v>23378.962616531098</v>
      </c>
      <c r="M121" s="127">
        <f>CPUE!J119</f>
        <v>15</v>
      </c>
      <c r="N121" s="57" t="str">
        <f>Effort!L119</f>
        <v>CLOSED</v>
      </c>
      <c r="O121" s="135" t="str">
        <f>Harvest!L119</f>
        <v>CLOSED</v>
      </c>
      <c r="P121" s="96" t="str">
        <f>CPUE!L119</f>
        <v>CLOSED</v>
      </c>
      <c r="Q121" s="57" t="s">
        <v>10</v>
      </c>
      <c r="R121" s="135" t="s">
        <v>10</v>
      </c>
      <c r="S121" s="60" t="s">
        <v>10</v>
      </c>
      <c r="T121" s="57">
        <f>SUM(K121,H121,E121)</f>
        <v>4704.3217223522443</v>
      </c>
      <c r="U121" s="135">
        <f>SUM(L121,I121,F121)</f>
        <v>68126.268052152809</v>
      </c>
      <c r="V121" s="81"/>
      <c r="W121" s="34"/>
      <c r="X121" s="34"/>
    </row>
    <row r="122" spans="1:24" x14ac:dyDescent="0.25">
      <c r="A122" s="148" t="s">
        <v>57</v>
      </c>
      <c r="B122" s="148"/>
      <c r="C122" s="148"/>
      <c r="D122" s="149"/>
      <c r="E122" s="63">
        <f>SUM(E116:E121)</f>
        <v>7314.7826138220007</v>
      </c>
      <c r="F122" s="64">
        <f>SUM(F116:F121)</f>
        <v>104432.85074417584</v>
      </c>
      <c r="G122" s="65">
        <f>+F122/E122</f>
        <v>14.276958900574805</v>
      </c>
      <c r="H122" s="63">
        <f>SUM(H116:H121)</f>
        <v>5114.0779514994192</v>
      </c>
      <c r="I122" s="64">
        <f>SUM(I116:I121)</f>
        <v>74186.692100629589</v>
      </c>
      <c r="J122" s="65">
        <f>+I122/H122</f>
        <v>14.506367091819252</v>
      </c>
      <c r="K122" s="63">
        <f>SUM(K116:K121)</f>
        <v>4473.9644789561398</v>
      </c>
      <c r="L122" s="64">
        <f>SUM(L116:L121)</f>
        <v>67109.467184342095</v>
      </c>
      <c r="M122" s="65">
        <f>+L122/K122</f>
        <v>15</v>
      </c>
      <c r="N122" s="63">
        <f>SUM(N116:N121)</f>
        <v>2571.1316743249467</v>
      </c>
      <c r="O122" s="64">
        <f>SUM(O116:O121)</f>
        <v>35257.696530863555</v>
      </c>
      <c r="P122" s="65">
        <f>+O122/N122</f>
        <v>13.712909721016331</v>
      </c>
      <c r="Q122" s="63"/>
      <c r="R122" s="64"/>
      <c r="S122" s="65"/>
      <c r="T122" s="63">
        <f>SUM(T116:T121)</f>
        <v>19473.956718602509</v>
      </c>
      <c r="U122" s="64">
        <f>SUM(U116:U121)</f>
        <v>280986.70656001108</v>
      </c>
      <c r="V122" s="81"/>
      <c r="W122" s="34">
        <f>SUM(H122,K122,N122,Q122,E122)</f>
        <v>19473.956718602509</v>
      </c>
      <c r="X122" s="34">
        <f>SUM(R122,O122,L122,I122,F122)</f>
        <v>280986.70656001108</v>
      </c>
    </row>
    <row r="123" spans="1:24" x14ac:dyDescent="0.25">
      <c r="A123" s="131">
        <v>44667</v>
      </c>
      <c r="B123" s="104" t="s">
        <v>19</v>
      </c>
      <c r="C123" s="104">
        <v>-0.2</v>
      </c>
      <c r="D123" s="105">
        <v>0.29375000000000001</v>
      </c>
      <c r="E123" s="125">
        <f>Effort!F121</f>
        <v>4078.7117834217515</v>
      </c>
      <c r="F123" s="126">
        <f>Harvest!F121</f>
        <v>79127.008598381974</v>
      </c>
      <c r="G123" s="127">
        <f>+CPUE!F121</f>
        <v>19.399999999999999</v>
      </c>
      <c r="H123" s="125">
        <f>Effort!H121</f>
        <v>2855.5595791564301</v>
      </c>
      <c r="I123" s="126">
        <f>Harvest!H121</f>
        <v>56397.301688339503</v>
      </c>
      <c r="J123" s="127">
        <f>CPUE!H121</f>
        <v>19.750000000000004</v>
      </c>
      <c r="K123" s="125">
        <f>Effort!J121</f>
        <v>4141.3879431751502</v>
      </c>
      <c r="L123" s="126">
        <f>Harvest!J121</f>
        <v>78435.377711650595</v>
      </c>
      <c r="M123" s="127">
        <f>CPUE!J121</f>
        <v>18.939393939393945</v>
      </c>
      <c r="N123" s="57" t="str">
        <f>Effort!L121</f>
        <v>CLOSED</v>
      </c>
      <c r="O123" s="135" t="str">
        <f>Harvest!L121</f>
        <v>CLOSED</v>
      </c>
      <c r="P123" s="96" t="str">
        <f>CPUE!L121</f>
        <v>CLOSED</v>
      </c>
      <c r="Q123" s="57" t="s">
        <v>10</v>
      </c>
      <c r="R123" s="135" t="s">
        <v>10</v>
      </c>
      <c r="S123" s="60" t="s">
        <v>10</v>
      </c>
      <c r="T123" s="57">
        <f>SUM(K123,H123,E123)</f>
        <v>11075.659305753332</v>
      </c>
      <c r="U123" s="135">
        <f>SUM(L123,I123,F123)</f>
        <v>213959.68799837207</v>
      </c>
      <c r="V123" s="81"/>
      <c r="W123" s="34"/>
      <c r="X123" s="34"/>
    </row>
    <row r="124" spans="1:24" x14ac:dyDescent="0.25">
      <c r="A124" s="131">
        <v>44668</v>
      </c>
      <c r="B124" s="104" t="s">
        <v>20</v>
      </c>
      <c r="C124" s="104">
        <v>-0.8</v>
      </c>
      <c r="D124" s="105">
        <v>0.32291666666666669</v>
      </c>
      <c r="E124" s="125">
        <f>Effort!F122</f>
        <v>3397.09767422705</v>
      </c>
      <c r="F124" s="126">
        <f>Harvest!F122</f>
        <v>65739.613512037904</v>
      </c>
      <c r="G124" s="127">
        <f>+CPUE!F122</f>
        <v>19.351699543639352</v>
      </c>
      <c r="H124" s="57">
        <f>Effort!H122</f>
        <v>2866.9802980983523</v>
      </c>
      <c r="I124" s="135">
        <f>Harvest!H122</f>
        <v>55906.115812917866</v>
      </c>
      <c r="J124" s="96">
        <f>CPUE!H122</f>
        <v>19.5</v>
      </c>
      <c r="K124" s="57" t="str">
        <f>Effort!J122</f>
        <v>CLOSED</v>
      </c>
      <c r="L124" s="135" t="str">
        <f>Harvest!J122</f>
        <v>CLOSED</v>
      </c>
      <c r="M124" s="96" t="str">
        <f>CPUE!J122</f>
        <v>CLOSED</v>
      </c>
      <c r="N124" s="125">
        <f>Effort!L122</f>
        <v>4036.2070126921899</v>
      </c>
      <c r="O124" s="126">
        <f>Harvest!L122</f>
        <v>77720.451314165897</v>
      </c>
      <c r="P124" s="127">
        <f>CPUE!L122</f>
        <v>19.255813953488374</v>
      </c>
      <c r="Q124" s="57" t="s">
        <v>10</v>
      </c>
      <c r="R124" s="135" t="s">
        <v>10</v>
      </c>
      <c r="S124" s="60" t="s">
        <v>10</v>
      </c>
      <c r="T124" s="57">
        <f>SUM(E124+H124+N124)</f>
        <v>10300.284985017592</v>
      </c>
      <c r="U124" s="135">
        <f>SUM(F124+I124+O124)</f>
        <v>199366.18063912168</v>
      </c>
      <c r="V124" s="81"/>
      <c r="W124" s="34"/>
      <c r="X124" s="34"/>
    </row>
    <row r="125" spans="1:24" x14ac:dyDescent="0.25">
      <c r="A125" s="131">
        <v>44669</v>
      </c>
      <c r="B125" s="104" t="s">
        <v>21</v>
      </c>
      <c r="C125" s="104">
        <v>-1.2</v>
      </c>
      <c r="D125" s="105">
        <v>0.3527777777777778</v>
      </c>
      <c r="E125" s="57">
        <f>Effort!F123</f>
        <v>1999.3252870427543</v>
      </c>
      <c r="F125" s="135">
        <f>Harvest!F123</f>
        <v>37987.180453812332</v>
      </c>
      <c r="G125" s="96">
        <f>+CPUE!F123</f>
        <v>19</v>
      </c>
      <c r="H125" s="57">
        <f>Effort!H123</f>
        <v>1399.7538385698356</v>
      </c>
      <c r="I125" s="135">
        <f>Harvest!H123</f>
        <v>26595.322932826875</v>
      </c>
      <c r="J125" s="96">
        <f>CPUE!H123</f>
        <v>19</v>
      </c>
      <c r="K125" s="125">
        <f>Effort!J123</f>
        <v>2030.0482303992901</v>
      </c>
      <c r="L125" s="126">
        <f>Harvest!J123</f>
        <v>37931.827119868198</v>
      </c>
      <c r="M125" s="127">
        <f>CPUE!J123</f>
        <v>18.685185185185176</v>
      </c>
      <c r="N125" s="57" t="str">
        <f>Effort!L123</f>
        <v>CLOSED</v>
      </c>
      <c r="O125" s="135" t="str">
        <f>Harvest!L123</f>
        <v>CLOSED</v>
      </c>
      <c r="P125" s="96" t="str">
        <f>CPUE!L123</f>
        <v>CLOSED</v>
      </c>
      <c r="Q125" s="57" t="s">
        <v>10</v>
      </c>
      <c r="R125" s="135" t="s">
        <v>10</v>
      </c>
      <c r="S125" s="60" t="s">
        <v>10</v>
      </c>
      <c r="T125" s="57">
        <f>SUM(E125,H125,K125)</f>
        <v>5429.1273560118798</v>
      </c>
      <c r="U125" s="135">
        <f>SUM(F125,I125,L125)</f>
        <v>102514.33050650739</v>
      </c>
      <c r="V125" s="81"/>
      <c r="W125" s="34"/>
      <c r="X125" s="34"/>
    </row>
    <row r="126" spans="1:24" x14ac:dyDescent="0.25">
      <c r="A126" s="131">
        <v>44670</v>
      </c>
      <c r="B126" s="104" t="s">
        <v>22</v>
      </c>
      <c r="C126" s="104">
        <v>-1.3</v>
      </c>
      <c r="D126" s="105">
        <v>0.38472222222222219</v>
      </c>
      <c r="E126" s="125">
        <f>Effort!F124</f>
        <v>2727.7705722780461</v>
      </c>
      <c r="F126" s="126">
        <f>Harvest!F124</f>
        <v>51827.640873282879</v>
      </c>
      <c r="G126" s="127">
        <f>+CPUE!F124</f>
        <v>19</v>
      </c>
      <c r="H126" s="125">
        <f>Effort!H124</f>
        <v>1753.624118019</v>
      </c>
      <c r="I126" s="126">
        <f>Harvest!H124</f>
        <v>34634.076330875199</v>
      </c>
      <c r="J126" s="127">
        <f>CPUE!H124</f>
        <v>19.749999999999972</v>
      </c>
      <c r="K126" s="57" t="str">
        <f>Effort!J124</f>
        <v>CLOSED</v>
      </c>
      <c r="L126" s="135" t="str">
        <f>Harvest!J124</f>
        <v>CLOSED</v>
      </c>
      <c r="M126" s="96" t="str">
        <f>CPUE!J124</f>
        <v>CLOSED</v>
      </c>
      <c r="N126" s="125">
        <f>Effort!L124</f>
        <v>2468.7961641973002</v>
      </c>
      <c r="O126" s="126">
        <f>Harvest!L124</f>
        <v>47524.326160798002</v>
      </c>
      <c r="P126" s="127">
        <f>CPUE!L124</f>
        <v>19.249999999999989</v>
      </c>
      <c r="Q126" s="57" t="s">
        <v>10</v>
      </c>
      <c r="R126" s="135" t="s">
        <v>10</v>
      </c>
      <c r="S126" s="60" t="s">
        <v>10</v>
      </c>
      <c r="T126" s="57">
        <f>SUM(E126+H126+N126)</f>
        <v>6950.1908544943453</v>
      </c>
      <c r="U126" s="135">
        <f>SUM(F126+I126+O126)</f>
        <v>133986.04336495607</v>
      </c>
      <c r="V126" s="81"/>
      <c r="W126" s="34"/>
      <c r="X126" s="34"/>
    </row>
    <row r="127" spans="1:24" x14ac:dyDescent="0.25">
      <c r="A127" s="131">
        <v>44671</v>
      </c>
      <c r="B127" s="104" t="s">
        <v>23</v>
      </c>
      <c r="C127" s="104">
        <v>-1.2</v>
      </c>
      <c r="D127" s="105">
        <v>0.41944444444444445</v>
      </c>
      <c r="E127" s="57">
        <f>Effort!F125</f>
        <v>2051.6165044140644</v>
      </c>
      <c r="F127" s="135">
        <f>Harvest!F125</f>
        <v>41032.330088281291</v>
      </c>
      <c r="G127" s="96">
        <f>+CPUE!F125</f>
        <v>20</v>
      </c>
      <c r="H127" s="125">
        <f>Effort!H125</f>
        <v>1436.36360523129</v>
      </c>
      <c r="I127" s="126">
        <f>Harvest!H125</f>
        <v>28727.272104625899</v>
      </c>
      <c r="J127" s="127">
        <f>CPUE!H125</f>
        <v>20.000000000000071</v>
      </c>
      <c r="K127" s="125">
        <f>Effort!J125</f>
        <v>2767.3831582759099</v>
      </c>
      <c r="L127" s="126">
        <f>Harvest!J125</f>
        <v>55347.663165518097</v>
      </c>
      <c r="M127" s="127">
        <f>CPUE!J125</f>
        <v>19.999999999999964</v>
      </c>
      <c r="N127" s="57" t="str">
        <f>Effort!L125</f>
        <v>CLOSED</v>
      </c>
      <c r="O127" s="135" t="str">
        <f>Harvest!L125</f>
        <v>CLOSED</v>
      </c>
      <c r="P127" s="96" t="str">
        <f>CPUE!L125</f>
        <v>CLOSED</v>
      </c>
      <c r="Q127" s="57" t="s">
        <v>10</v>
      </c>
      <c r="R127" s="135" t="s">
        <v>10</v>
      </c>
      <c r="S127" s="60" t="s">
        <v>10</v>
      </c>
      <c r="T127" s="57">
        <f>SUM(E127,H127,K127)</f>
        <v>6255.3632679212642</v>
      </c>
      <c r="U127" s="135">
        <f>SUM(F127,I127,L127)</f>
        <v>125107.26535842528</v>
      </c>
      <c r="V127" s="81"/>
      <c r="W127" s="34"/>
      <c r="X127" s="34"/>
    </row>
    <row r="128" spans="1:24" x14ac:dyDescent="0.25">
      <c r="A128" s="131">
        <v>44672</v>
      </c>
      <c r="B128" s="104" t="s">
        <v>24</v>
      </c>
      <c r="C128" s="104">
        <v>-0.9</v>
      </c>
      <c r="D128" s="105">
        <v>0.45763888888888887</v>
      </c>
      <c r="E128" s="57">
        <f>Effort!F126</f>
        <v>1346.2222123006165</v>
      </c>
      <c r="F128" s="135">
        <f>Harvest!F126</f>
        <v>22212.666502960172</v>
      </c>
      <c r="G128" s="96">
        <f>+CPUE!F126</f>
        <v>16.5</v>
      </c>
      <c r="H128" s="57">
        <f>Effort!H126</f>
        <v>1136.1441234999013</v>
      </c>
      <c r="I128" s="135">
        <f>Harvest!H126</f>
        <v>18746.378037748371</v>
      </c>
      <c r="J128" s="96">
        <f>CPUE!H126</f>
        <v>16.5</v>
      </c>
      <c r="K128" s="57" t="str">
        <f>Effort!J126</f>
        <v>CLOSED</v>
      </c>
      <c r="L128" s="135" t="str">
        <f>Harvest!J126</f>
        <v>CLOSED</v>
      </c>
      <c r="M128" s="96" t="str">
        <f>CPUE!J126</f>
        <v>CLOSED</v>
      </c>
      <c r="N128" s="125">
        <f>Effort!L126</f>
        <v>1599.4922887126199</v>
      </c>
      <c r="O128" s="126">
        <f>Harvest!L126</f>
        <v>26480.483446464401</v>
      </c>
      <c r="P128" s="127">
        <f>CPUE!L126</f>
        <v>16.555555555555504</v>
      </c>
      <c r="Q128" s="57" t="s">
        <v>10</v>
      </c>
      <c r="R128" s="135" t="s">
        <v>10</v>
      </c>
      <c r="S128" s="60" t="s">
        <v>10</v>
      </c>
      <c r="T128" s="57">
        <f>SUM(N128,H128,E128)</f>
        <v>4081.8586245131382</v>
      </c>
      <c r="U128" s="135">
        <f>SUM(O128,I128,F128)</f>
        <v>67439.527987172944</v>
      </c>
      <c r="V128" s="81"/>
      <c r="W128" s="34"/>
      <c r="X128" s="34"/>
    </row>
    <row r="129" spans="1:24" x14ac:dyDescent="0.25">
      <c r="A129" s="148" t="s">
        <v>57</v>
      </c>
      <c r="B129" s="148"/>
      <c r="C129" s="148"/>
      <c r="D129" s="149"/>
      <c r="E129" s="63">
        <f>SUM(E123:E128)</f>
        <v>15600.744033684283</v>
      </c>
      <c r="F129" s="64">
        <f>SUM(F123:F128)</f>
        <v>297926.44002875651</v>
      </c>
      <c r="G129" s="65">
        <f>+F129/E129</f>
        <v>19.096937901518661</v>
      </c>
      <c r="H129" s="63">
        <f>SUM(H123:H128)</f>
        <v>11448.42556257481</v>
      </c>
      <c r="I129" s="64">
        <f>SUM(I123:I128)</f>
        <v>221006.4669073337</v>
      </c>
      <c r="J129" s="65">
        <f>+I129/H129</f>
        <v>19.304529317097487</v>
      </c>
      <c r="K129" s="63">
        <f>SUM(K123:K128)</f>
        <v>8938.8193318503509</v>
      </c>
      <c r="L129" s="64">
        <f>SUM(L123:L128)</f>
        <v>171714.8679970369</v>
      </c>
      <c r="M129" s="65">
        <f>+L129/K129</f>
        <v>19.210016627720748</v>
      </c>
      <c r="N129" s="63">
        <f>SUM(N123:N128)</f>
        <v>8104.4954656021091</v>
      </c>
      <c r="O129" s="64">
        <f>SUM(O123:O128)</f>
        <v>151725.2609214283</v>
      </c>
      <c r="P129" s="65">
        <f>+O129/N129</f>
        <v>18.721123549935399</v>
      </c>
      <c r="Q129" s="63"/>
      <c r="R129" s="64"/>
      <c r="S129" s="65"/>
      <c r="T129" s="63">
        <f>SUM(T123:T128)</f>
        <v>44092.484393711544</v>
      </c>
      <c r="U129" s="64">
        <f>SUM(U123:U128)</f>
        <v>842373.03585455543</v>
      </c>
      <c r="V129" s="81"/>
      <c r="W129" s="34">
        <f>SUM(H129,K129,N129,Q129,E129)</f>
        <v>44092.484393711551</v>
      </c>
      <c r="X129" s="34">
        <f>SUM(R129,O129,L129,I129,F129)</f>
        <v>842373.03585455543</v>
      </c>
    </row>
    <row r="130" spans="1:24" s="10" customFormat="1" x14ac:dyDescent="0.25">
      <c r="A130" s="131">
        <v>44680</v>
      </c>
      <c r="B130" s="104" t="s">
        <v>18</v>
      </c>
      <c r="C130" s="104">
        <v>-0.1</v>
      </c>
      <c r="D130" s="105">
        <v>0.27152777777777776</v>
      </c>
      <c r="E130" s="57">
        <f>Effort!F128</f>
        <v>824.8583416619532</v>
      </c>
      <c r="F130" s="135">
        <f>Harvest!F128</f>
        <v>16084.737662408088</v>
      </c>
      <c r="G130" s="96">
        <f>+CPUE!F128</f>
        <v>19.5</v>
      </c>
      <c r="H130" s="57">
        <f>Effort!H128</f>
        <v>564.38764939554005</v>
      </c>
      <c r="I130" s="135">
        <f>Harvest!H128</f>
        <v>11005.559163213031</v>
      </c>
      <c r="J130" s="96">
        <f>CPUE!H128</f>
        <v>19.5</v>
      </c>
      <c r="K130" s="125">
        <f>Effort!J128</f>
        <v>820.17391304347802</v>
      </c>
      <c r="L130" s="126">
        <f>Harvest!J128</f>
        <v>16312.347826087</v>
      </c>
      <c r="M130" s="127">
        <f>CPUE!J128</f>
        <v>19.888888888888946</v>
      </c>
      <c r="N130" s="57" t="str">
        <f>Effort!L128</f>
        <v>CLOSED</v>
      </c>
      <c r="O130" s="135" t="str">
        <f>Harvest!L128</f>
        <v>CLOSED</v>
      </c>
      <c r="P130" s="96" t="str">
        <f>CPUE!L128</f>
        <v>CLOSED</v>
      </c>
      <c r="Q130" s="57" t="s">
        <v>10</v>
      </c>
      <c r="R130" s="135" t="s">
        <v>10</v>
      </c>
      <c r="S130" s="60" t="s">
        <v>10</v>
      </c>
      <c r="T130" s="57">
        <f>SUM(E130+H130+K130)</f>
        <v>2209.4199041009715</v>
      </c>
      <c r="U130" s="135">
        <f>SUM(F130+I130+L130)</f>
        <v>43402.64465170812</v>
      </c>
      <c r="V130" s="81"/>
      <c r="W130" s="138"/>
      <c r="X130" s="138"/>
    </row>
    <row r="131" spans="1:24" s="10" customFormat="1" x14ac:dyDescent="0.25">
      <c r="A131" s="131">
        <v>44681</v>
      </c>
      <c r="B131" s="104" t="s">
        <v>19</v>
      </c>
      <c r="C131" s="104">
        <v>-0.5</v>
      </c>
      <c r="D131" s="105">
        <v>0.2986111111111111</v>
      </c>
      <c r="E131" s="125">
        <f>Effort!F129</f>
        <v>3129.72563660894</v>
      </c>
      <c r="F131" s="126">
        <f>Harvest!F129</f>
        <v>62594.5127321787</v>
      </c>
      <c r="G131" s="127">
        <f>+CPUE!F129</f>
        <v>19.999999999999968</v>
      </c>
      <c r="H131" s="125">
        <f>Effort!H129</f>
        <v>1327.7221032785401</v>
      </c>
      <c r="I131" s="126">
        <f>Harvest!H129</f>
        <v>26554.442065570802</v>
      </c>
      <c r="J131" s="127">
        <f>CPUE!H129</f>
        <v>20</v>
      </c>
      <c r="K131" s="57" t="str">
        <f>Effort!J129</f>
        <v>CLOSED</v>
      </c>
      <c r="L131" s="135" t="str">
        <f>Harvest!J129</f>
        <v>CLOSED</v>
      </c>
      <c r="M131" s="96" t="str">
        <f>CPUE!J129</f>
        <v>CLOSED</v>
      </c>
      <c r="N131" s="125">
        <f>Effort!L129</f>
        <v>1555.4242618798901</v>
      </c>
      <c r="O131" s="126">
        <f>Harvest!L129</f>
        <v>30413.508439736601</v>
      </c>
      <c r="P131" s="127">
        <f>CPUE!L129</f>
        <v>19.553191489361719</v>
      </c>
      <c r="Q131" s="57" t="s">
        <v>10</v>
      </c>
      <c r="R131" s="135" t="s">
        <v>10</v>
      </c>
      <c r="S131" s="60" t="s">
        <v>10</v>
      </c>
      <c r="T131" s="57">
        <f>SUM(E131+H131+N131)</f>
        <v>6012.8720017673704</v>
      </c>
      <c r="U131" s="135">
        <f>SUM(F131+I131+O131)</f>
        <v>119562.4632374861</v>
      </c>
      <c r="V131" s="81"/>
      <c r="W131" s="138"/>
      <c r="X131" s="138"/>
    </row>
    <row r="132" spans="1:24" s="10" customFormat="1" x14ac:dyDescent="0.25">
      <c r="A132" s="131">
        <v>44682</v>
      </c>
      <c r="B132" s="104" t="s">
        <v>20</v>
      </c>
      <c r="C132" s="104">
        <v>-0.8</v>
      </c>
      <c r="D132" s="105">
        <v>0.32430555555555557</v>
      </c>
      <c r="E132" s="125">
        <f>Effort!F130</f>
        <v>4057.2076745028335</v>
      </c>
      <c r="F132" s="126">
        <f>Harvest!F130</f>
        <v>81144.153490056662</v>
      </c>
      <c r="G132" s="127">
        <f>+CPUE!F130</f>
        <v>20</v>
      </c>
      <c r="H132" s="125">
        <f>Effort!H130</f>
        <v>1672.02711864407</v>
      </c>
      <c r="I132" s="126">
        <f>Harvest!H130</f>
        <v>33141.966101694903</v>
      </c>
      <c r="J132" s="127">
        <f>CPUE!H130</f>
        <v>19.821428571428537</v>
      </c>
      <c r="K132" s="125">
        <f>Effort!J130</f>
        <v>4034.16650636329</v>
      </c>
      <c r="L132" s="126">
        <f>Harvest!J130</f>
        <v>80683.330127265799</v>
      </c>
      <c r="M132" s="127">
        <f>CPUE!J130</f>
        <v>20</v>
      </c>
      <c r="N132" s="57" t="str">
        <f>Effort!L130</f>
        <v>CLOSED</v>
      </c>
      <c r="O132" s="135" t="str">
        <f>Harvest!L130</f>
        <v>CLOSED</v>
      </c>
      <c r="P132" s="96" t="str">
        <f>CPUE!L130</f>
        <v>CLOSED</v>
      </c>
      <c r="Q132" s="57" t="s">
        <v>10</v>
      </c>
      <c r="R132" s="135" t="s">
        <v>10</v>
      </c>
      <c r="S132" s="60" t="s">
        <v>10</v>
      </c>
      <c r="T132" s="57">
        <f>SUM(E132+H132+K132)</f>
        <v>9763.401299510193</v>
      </c>
      <c r="U132" s="135">
        <f>SUM(F132+I132+L132)</f>
        <v>194969.44971901737</v>
      </c>
      <c r="V132" s="81"/>
      <c r="W132" s="138"/>
      <c r="X132" s="138"/>
    </row>
    <row r="133" spans="1:24" s="10" customFormat="1" x14ac:dyDescent="0.25">
      <c r="A133" s="131">
        <v>44683</v>
      </c>
      <c r="B133" s="104" t="s">
        <v>21</v>
      </c>
      <c r="C133" s="104">
        <v>-0.8</v>
      </c>
      <c r="D133" s="105">
        <v>0.34861111111111115</v>
      </c>
      <c r="E133" s="57">
        <f>Effort!F131</f>
        <v>939.13839348743568</v>
      </c>
      <c r="F133" s="135">
        <f>Harvest!F131</f>
        <v>18782.767869748714</v>
      </c>
      <c r="G133" s="96">
        <f>+CPUE!F131</f>
        <v>20</v>
      </c>
      <c r="H133" s="125">
        <f>Effort!H131</f>
        <v>816</v>
      </c>
      <c r="I133" s="126">
        <f>Harvest!H131</f>
        <v>16320</v>
      </c>
      <c r="J133" s="127">
        <f>CPUE!H131</f>
        <v>20</v>
      </c>
      <c r="K133" s="57" t="str">
        <f>Effort!J131</f>
        <v>CLOSED</v>
      </c>
      <c r="L133" s="135" t="str">
        <f>Harvest!J131</f>
        <v>CLOSED</v>
      </c>
      <c r="M133" s="96" t="str">
        <f>CPUE!J131</f>
        <v>CLOSED</v>
      </c>
      <c r="N133" s="125">
        <f>Effort!L131</f>
        <v>818.28700452123303</v>
      </c>
      <c r="O133" s="126">
        <f>Harvest!L131</f>
        <v>16365.740090424701</v>
      </c>
      <c r="P133" s="127">
        <f>CPUE!L131</f>
        <v>20.00000000000005</v>
      </c>
      <c r="Q133" s="57" t="s">
        <v>10</v>
      </c>
      <c r="R133" s="135" t="s">
        <v>10</v>
      </c>
      <c r="S133" s="60" t="s">
        <v>10</v>
      </c>
      <c r="T133" s="57">
        <f>SUM(E133+H133+N133)</f>
        <v>2573.4253980086687</v>
      </c>
      <c r="U133" s="135">
        <f>SUM(F133+I133+O133)</f>
        <v>51468.507960173418</v>
      </c>
      <c r="V133" s="81"/>
      <c r="W133" s="138"/>
      <c r="X133" s="138"/>
    </row>
    <row r="134" spans="1:24" s="10" customFormat="1" x14ac:dyDescent="0.25">
      <c r="A134" s="131">
        <v>44684</v>
      </c>
      <c r="B134" s="104" t="s">
        <v>22</v>
      </c>
      <c r="C134" s="104">
        <v>-0.7</v>
      </c>
      <c r="D134" s="105">
        <v>0.37291666666666662</v>
      </c>
      <c r="E134" s="57">
        <f>Effort!F132</f>
        <v>2339.9553454269576</v>
      </c>
      <c r="F134" s="135">
        <f>Harvest!F132</f>
        <v>40949.218544971758</v>
      </c>
      <c r="G134" s="96">
        <f>+CPUE!F132</f>
        <v>17.5</v>
      </c>
      <c r="H134" s="57">
        <f>Effort!H132</f>
        <v>1601.0529692106577</v>
      </c>
      <c r="I134" s="135">
        <f>Harvest!H132</f>
        <v>28018.426961186509</v>
      </c>
      <c r="J134" s="96">
        <f>CPUE!H132</f>
        <v>17.5</v>
      </c>
      <c r="K134" s="125">
        <f>Effort!J132</f>
        <v>2326.66657421324</v>
      </c>
      <c r="L134" s="126">
        <f>Harvest!J132</f>
        <v>40483.998391310401</v>
      </c>
      <c r="M134" s="127">
        <f>CPUE!J132</f>
        <v>17.400000000000009</v>
      </c>
      <c r="N134" s="57" t="str">
        <f>Effort!L132</f>
        <v>CLOSED</v>
      </c>
      <c r="O134" s="135" t="str">
        <f>Harvest!L132</f>
        <v>CLOSED</v>
      </c>
      <c r="P134" s="96" t="str">
        <f>CPUE!L132</f>
        <v>CLOSED</v>
      </c>
      <c r="Q134" s="57" t="s">
        <v>10</v>
      </c>
      <c r="R134" s="135" t="s">
        <v>10</v>
      </c>
      <c r="S134" s="60" t="s">
        <v>10</v>
      </c>
      <c r="T134" s="57">
        <f>SUM(E134+H134+K134)</f>
        <v>6267.6748888508555</v>
      </c>
      <c r="U134" s="135">
        <f>SUM(F134+I134+L134)</f>
        <v>109451.64389746866</v>
      </c>
      <c r="V134" s="81"/>
      <c r="W134" s="138"/>
      <c r="X134" s="138"/>
    </row>
    <row r="135" spans="1:24" s="10" customFormat="1" x14ac:dyDescent="0.25">
      <c r="A135" s="131">
        <v>44685</v>
      </c>
      <c r="B135" s="104" t="s">
        <v>23</v>
      </c>
      <c r="C135" s="104">
        <v>-0.4</v>
      </c>
      <c r="D135" s="105">
        <v>0.39861111111111108</v>
      </c>
      <c r="E135" s="125">
        <f>Effort!F133</f>
        <v>2409.5837801306557</v>
      </c>
      <c r="F135" s="126">
        <f>Harvest!F133</f>
        <v>48191.675602613112</v>
      </c>
      <c r="G135" s="127">
        <f>+CPUE!F133</f>
        <v>20</v>
      </c>
      <c r="H135" s="57">
        <f>Effort!H133</f>
        <v>1792.1584569285633</v>
      </c>
      <c r="I135" s="135">
        <f>Harvest!H133</f>
        <v>35843.169138571262</v>
      </c>
      <c r="J135" s="96">
        <f>CPUE!H133</f>
        <v>20</v>
      </c>
      <c r="K135" s="57" t="str">
        <f>Effort!J133</f>
        <v>CLOSED</v>
      </c>
      <c r="L135" s="135" t="str">
        <f>Harvest!J133</f>
        <v>CLOSED</v>
      </c>
      <c r="M135" s="96" t="str">
        <f>CPUE!J133</f>
        <v>CLOSED</v>
      </c>
      <c r="N135" s="125">
        <f>Effort!L133</f>
        <v>2099.5106868798698</v>
      </c>
      <c r="O135" s="126">
        <f>Harvest!L133</f>
        <v>41990.213737597398</v>
      </c>
      <c r="P135" s="127">
        <f>CPUE!L133</f>
        <v>20</v>
      </c>
      <c r="Q135" s="57" t="s">
        <v>10</v>
      </c>
      <c r="R135" s="135" t="s">
        <v>10</v>
      </c>
      <c r="S135" s="60" t="s">
        <v>10</v>
      </c>
      <c r="T135" s="57">
        <f>SUM(E135+H135+N135)</f>
        <v>6301.2529239390897</v>
      </c>
      <c r="U135" s="135">
        <f>SUM(F135+I135+O135)</f>
        <v>126025.05847878178</v>
      </c>
      <c r="V135" s="81"/>
      <c r="W135" s="138"/>
      <c r="X135" s="138"/>
    </row>
    <row r="136" spans="1:24" s="10" customFormat="1" x14ac:dyDescent="0.25">
      <c r="A136" s="131">
        <v>44686</v>
      </c>
      <c r="B136" s="104" t="s">
        <v>24</v>
      </c>
      <c r="C136" s="104">
        <v>-0.1</v>
      </c>
      <c r="D136" s="105">
        <v>0.42569444444444443</v>
      </c>
      <c r="E136" s="57">
        <f>Effort!F134</f>
        <v>1215.0067757209847</v>
      </c>
      <c r="F136" s="135">
        <f>Harvest!F134</f>
        <v>13972.577920791324</v>
      </c>
      <c r="G136" s="96">
        <f>+CPUE!F134</f>
        <v>11.5</v>
      </c>
      <c r="H136" s="57">
        <f>Effort!H134</f>
        <v>831.33646532224952</v>
      </c>
      <c r="I136" s="135">
        <f>Harvest!H134</f>
        <v>9560.369351205869</v>
      </c>
      <c r="J136" s="96">
        <f>CPUE!H134</f>
        <v>11.5</v>
      </c>
      <c r="K136" s="125">
        <f>Effort!J134</f>
        <v>1208.10666666667</v>
      </c>
      <c r="L136" s="126">
        <f>Harvest!J134</f>
        <v>13763.7866666667</v>
      </c>
      <c r="M136" s="127">
        <f>CPUE!J134</f>
        <v>11.392857142857139</v>
      </c>
      <c r="N136" s="57" t="str">
        <f>Effort!L134</f>
        <v>CLOSED</v>
      </c>
      <c r="O136" s="135" t="str">
        <f>Harvest!L134</f>
        <v>CLOSED</v>
      </c>
      <c r="P136" s="96" t="str">
        <f>CPUE!L134</f>
        <v>CLOSED</v>
      </c>
      <c r="Q136" s="57" t="s">
        <v>10</v>
      </c>
      <c r="R136" s="135" t="s">
        <v>10</v>
      </c>
      <c r="S136" s="60" t="s">
        <v>10</v>
      </c>
      <c r="T136" s="57">
        <f>SUM(E136+H136+K136)</f>
        <v>3254.4499077099044</v>
      </c>
      <c r="U136" s="135">
        <f>SUM(F136+I136+L136)</f>
        <v>37296.733938663892</v>
      </c>
      <c r="V136" s="81"/>
      <c r="W136" s="138"/>
      <c r="X136" s="138"/>
    </row>
    <row r="137" spans="1:24" s="10" customFormat="1" x14ac:dyDescent="0.25">
      <c r="A137" s="131">
        <v>44687</v>
      </c>
      <c r="B137" s="104" t="s">
        <v>18</v>
      </c>
      <c r="C137" s="104">
        <v>0.2</v>
      </c>
      <c r="D137" s="105">
        <v>0.45624999999999999</v>
      </c>
      <c r="E137" s="57">
        <f>Effort!F135</f>
        <v>1881.1876828376146</v>
      </c>
      <c r="F137" s="135">
        <f>Harvest!F135</f>
        <v>36683.159815333485</v>
      </c>
      <c r="G137" s="96">
        <f>+CPUE!F135</f>
        <v>19.5</v>
      </c>
      <c r="H137" s="57">
        <f>Effort!H135</f>
        <v>932.30761770054517</v>
      </c>
      <c r="I137" s="135">
        <f>Harvest!H135</f>
        <v>18179.99854516063</v>
      </c>
      <c r="J137" s="96">
        <f>CPUE!H135</f>
        <v>19.5</v>
      </c>
      <c r="K137" s="57" t="str">
        <f>Effort!J135</f>
        <v>CLOSED</v>
      </c>
      <c r="L137" s="135" t="str">
        <f>Harvest!J135</f>
        <v>CLOSED</v>
      </c>
      <c r="M137" s="96" t="str">
        <f>CPUE!J135</f>
        <v>CLOSED</v>
      </c>
      <c r="N137" s="125">
        <f>Effort!L135</f>
        <v>934.92059777022803</v>
      </c>
      <c r="O137" s="126">
        <f>Harvest!L135</f>
        <v>18067.3405519097</v>
      </c>
      <c r="P137" s="127">
        <f>CPUE!L135</f>
        <v>19.325000000000045</v>
      </c>
      <c r="Q137" s="57" t="s">
        <v>10</v>
      </c>
      <c r="R137" s="135" t="s">
        <v>10</v>
      </c>
      <c r="S137" s="60" t="s">
        <v>10</v>
      </c>
      <c r="T137" s="57">
        <f>SUM(E137+H137+N137)</f>
        <v>3748.415898308388</v>
      </c>
      <c r="U137" s="135">
        <f>SUM(F137+I137+O137)</f>
        <v>72930.498912403811</v>
      </c>
      <c r="V137" s="81"/>
      <c r="W137" s="138"/>
      <c r="X137" s="138"/>
    </row>
    <row r="138" spans="1:24" s="10" customFormat="1" x14ac:dyDescent="0.25">
      <c r="A138" s="131">
        <v>44688</v>
      </c>
      <c r="B138" s="104" t="s">
        <v>19</v>
      </c>
      <c r="C138" s="104">
        <v>0.5</v>
      </c>
      <c r="D138" s="105">
        <v>0.4916666666666667</v>
      </c>
      <c r="E138" s="57">
        <f>Effort!F136</f>
        <v>4410.3950905524807</v>
      </c>
      <c r="F138" s="135">
        <f>Harvest!F136</f>
        <v>74976.716539392175</v>
      </c>
      <c r="G138" s="96">
        <f>+CPUE!F136</f>
        <v>17</v>
      </c>
      <c r="H138" s="125">
        <f>Effort!H136</f>
        <v>3017.69696969697</v>
      </c>
      <c r="I138" s="126">
        <f>Harvest!H136</f>
        <v>52338.181818181802</v>
      </c>
      <c r="J138" s="127">
        <f>CPUE!H136</f>
        <v>17.343749999999993</v>
      </c>
      <c r="K138" s="125">
        <f>Effort!J136</f>
        <v>4385.3481462015998</v>
      </c>
      <c r="L138" s="126">
        <f>Harvest!J136</f>
        <v>72090.8451351189</v>
      </c>
      <c r="M138" s="127">
        <f>CPUE!J136</f>
        <v>16.439024390243883</v>
      </c>
      <c r="N138" s="57" t="str">
        <f>Effort!L136</f>
        <v>CLOSED</v>
      </c>
      <c r="O138" s="135" t="str">
        <f>Harvest!L136</f>
        <v>CLOSED</v>
      </c>
      <c r="P138" s="96" t="str">
        <f>CPUE!L136</f>
        <v>CLOSED</v>
      </c>
      <c r="Q138" s="57" t="s">
        <v>10</v>
      </c>
      <c r="R138" s="135" t="s">
        <v>10</v>
      </c>
      <c r="S138" s="60" t="s">
        <v>10</v>
      </c>
      <c r="T138" s="57">
        <f>SUM(E138+H138+K138)</f>
        <v>11813.44020645105</v>
      </c>
      <c r="U138" s="135">
        <f>SUM(F138+I138+L138)</f>
        <v>199405.74349269288</v>
      </c>
      <c r="V138" s="81"/>
      <c r="W138" s="138"/>
      <c r="X138" s="138"/>
    </row>
    <row r="139" spans="1:24" s="10" customFormat="1" x14ac:dyDescent="0.25">
      <c r="A139" s="148" t="s">
        <v>57</v>
      </c>
      <c r="B139" s="148"/>
      <c r="C139" s="148"/>
      <c r="D139" s="149"/>
      <c r="E139" s="63">
        <f>SUM(E130:E138)</f>
        <v>21207.058720929854</v>
      </c>
      <c r="F139" s="64">
        <f>SUM(F130:F138)</f>
        <v>393379.52017749404</v>
      </c>
      <c r="G139" s="65">
        <f>+F139/E139</f>
        <v>18.549461542691752</v>
      </c>
      <c r="H139" s="63">
        <f>SUM(H130:H138)</f>
        <v>12554.689350177136</v>
      </c>
      <c r="I139" s="64">
        <f>SUM(I130:I138)</f>
        <v>230962.11314478485</v>
      </c>
      <c r="J139" s="65">
        <f>+I139/H139</f>
        <v>18.396481721112931</v>
      </c>
      <c r="K139" s="63">
        <f>SUM(K130:K138)</f>
        <v>12774.461806488278</v>
      </c>
      <c r="L139" s="64">
        <f>SUM(L130:L138)</f>
        <v>223334.30814644881</v>
      </c>
      <c r="M139" s="65">
        <f>+L139/K139</f>
        <v>17.482874153885298</v>
      </c>
      <c r="N139" s="63">
        <f>SUM(N130:N138)</f>
        <v>5408.1425510512199</v>
      </c>
      <c r="O139" s="64">
        <f>SUM(O130:O138)</f>
        <v>106836.8028196684</v>
      </c>
      <c r="P139" s="65">
        <f>+O139/N139</f>
        <v>19.754805242495273</v>
      </c>
      <c r="Q139" s="63"/>
      <c r="R139" s="64"/>
      <c r="S139" s="65"/>
      <c r="T139" s="63">
        <f>SUM(T130:T138)</f>
        <v>51944.352428646496</v>
      </c>
      <c r="U139" s="64">
        <f>SUM(U130:U138)</f>
        <v>954512.74428839586</v>
      </c>
      <c r="V139" s="81"/>
      <c r="W139" s="138">
        <f>SUM(H139,K139,N139,Q139,E139)</f>
        <v>51944.352428646489</v>
      </c>
      <c r="X139" s="138">
        <f>SUM(R139,O139,L139,I139,F139)</f>
        <v>954512.74428839609</v>
      </c>
    </row>
    <row r="140" spans="1:24" s="10" customFormat="1" ht="15.75" thickBot="1" x14ac:dyDescent="0.3">
      <c r="A140" s="113"/>
      <c r="B140" s="113"/>
      <c r="C140" s="113"/>
      <c r="D140" s="113"/>
      <c r="E140" s="81"/>
      <c r="F140" s="81"/>
      <c r="G140" s="82"/>
      <c r="H140" s="81"/>
      <c r="I140" s="81"/>
      <c r="J140" s="82"/>
      <c r="K140" s="81"/>
      <c r="L140" s="81"/>
      <c r="M140" s="82"/>
      <c r="N140" s="81"/>
      <c r="O140" s="81"/>
      <c r="P140" s="82"/>
      <c r="Q140" s="81"/>
      <c r="R140" s="81"/>
      <c r="S140" s="82"/>
      <c r="T140" s="81"/>
      <c r="U140" s="81"/>
      <c r="V140" s="81"/>
      <c r="W140" s="138"/>
      <c r="X140" s="138"/>
    </row>
    <row r="141" spans="1:24" ht="15.75" thickTop="1" x14ac:dyDescent="0.25">
      <c r="A141" s="75" t="s">
        <v>58</v>
      </c>
      <c r="B141" s="76"/>
      <c r="C141" s="76"/>
      <c r="D141" s="76"/>
      <c r="E141" s="77">
        <f>+SUM(E13,E23,E31,E40,E50,E60,E70,E78,E86,E93,E99,E107,E115,E122,E129,E139)</f>
        <v>189383.68962063629</v>
      </c>
      <c r="F141" s="77">
        <f>SUM(F13,F23,F31,F40,F50,F60,F70,F78,F86,F93,F99,F107,F115,F122,F129,F139)</f>
        <v>3187179.4805377107</v>
      </c>
      <c r="G141" s="78">
        <f>+F141/E141</f>
        <v>16.829218434396889</v>
      </c>
      <c r="H141" s="77">
        <f>SUM(H13,H23,H31,H40,H50,H60,H70,H78,H86,H93,H99,H107,H115,H122,H129,H139)</f>
        <v>123715.15358287373</v>
      </c>
      <c r="I141" s="77">
        <f>SUM(I13,I23,I31,I40,I50,I60,I70,I78,I86,I93,I99,I107,I115,I122,I129,I139)</f>
        <v>2092914.1109776909</v>
      </c>
      <c r="J141" s="78">
        <f>+I141/H141</f>
        <v>16.917200927820854</v>
      </c>
      <c r="K141" s="77">
        <f>SUM(K13,K23,K31,K40,K50,K60,K70,K78,K86,K93,K99,K107,K115,K122,K129,K139)</f>
        <v>96380.323897872542</v>
      </c>
      <c r="L141" s="77">
        <f>SUM(L13,L23,L31,L40,L50,L60,L70,L78,L86,L93,L99,L107,L115,L122,L129,L139)</f>
        <v>1612069.4275431712</v>
      </c>
      <c r="M141" s="78">
        <f>+L141/K141</f>
        <v>16.726125855847588</v>
      </c>
      <c r="N141" s="77">
        <f>SUM(N13,N23,N31,N40,N50,N60,N70,N78,N86,N93,N99,N107,N115,N122,N129,N139)</f>
        <v>74908.370853627886</v>
      </c>
      <c r="O141" s="77">
        <f>SUM(O13,O23,O31,O40,O50,O60,O70,O78,O86,O93,O99,O107,O115,O122,O129,O139)</f>
        <v>1233103.490548763</v>
      </c>
      <c r="P141" s="78">
        <f>+O141/N141</f>
        <v>16.461491239186955</v>
      </c>
      <c r="Q141" s="77">
        <f>+Q13</f>
        <v>0</v>
      </c>
      <c r="R141" s="77">
        <f>+R13</f>
        <v>0</v>
      </c>
      <c r="S141" s="78">
        <v>0</v>
      </c>
      <c r="T141" s="77">
        <f>SUM(T13,T23,T31,T40,T50,T60,T70,T78,T86,T93,T99,T107,T115,T122,T129,T139)</f>
        <v>484387.53795501043</v>
      </c>
      <c r="U141" s="77">
        <f>SUM(U13,U23,U31,U40,U50,U60,U70,U78,U86,U93,U99,U107,U115,U122,U129,U139)</f>
        <v>8125266.5096073374</v>
      </c>
      <c r="V141" s="81"/>
      <c r="W141" s="34">
        <f>SUM(W4:W139)</f>
        <v>484387.53795501043</v>
      </c>
      <c r="X141" s="34">
        <f>SUM(X4:X139)</f>
        <v>8125266.5096073374</v>
      </c>
    </row>
    <row r="142" spans="1:24" x14ac:dyDescent="0.25">
      <c r="A142" s="79" t="s">
        <v>59</v>
      </c>
      <c r="B142" s="80"/>
      <c r="C142" s="80"/>
      <c r="D142" s="80"/>
      <c r="E142" s="81"/>
      <c r="F142" s="81">
        <f>Harvest!F140</f>
        <v>132390.53226848954</v>
      </c>
      <c r="G142" s="82"/>
      <c r="H142" s="81"/>
      <c r="I142" s="81">
        <f>Harvest!H140</f>
        <v>26908.895712570298</v>
      </c>
      <c r="J142" s="82"/>
      <c r="K142" s="81"/>
      <c r="L142" s="81">
        <f>Harvest!J140</f>
        <v>45517.254424748375</v>
      </c>
      <c r="M142" s="82"/>
      <c r="N142" s="81"/>
      <c r="O142" s="81">
        <f>Harvest!L140</f>
        <v>22195.862829877744</v>
      </c>
      <c r="P142" s="82"/>
      <c r="Q142" s="81"/>
      <c r="R142" s="81">
        <f>Harvest!N140</f>
        <v>0</v>
      </c>
      <c r="S142" s="82"/>
      <c r="T142" s="81"/>
      <c r="U142" s="81">
        <f>F142+I142+L142+O142+R142</f>
        <v>227012.54523568592</v>
      </c>
      <c r="V142" s="81"/>
      <c r="W142" s="34">
        <f>SUM(H141,K141,N141,Q141,E141)</f>
        <v>484387.53795501043</v>
      </c>
      <c r="X142" s="34">
        <f>SUM(R141,O141,L141,I141,F141)</f>
        <v>8125266.5096073356</v>
      </c>
    </row>
    <row r="143" spans="1:24" x14ac:dyDescent="0.25">
      <c r="A143" s="83" t="s">
        <v>60</v>
      </c>
      <c r="B143" s="84"/>
      <c r="C143" s="84"/>
      <c r="D143" s="84"/>
      <c r="E143" s="85">
        <f>Effort!F138</f>
        <v>189383.68962063623</v>
      </c>
      <c r="F143" s="85">
        <f>F141+F142</f>
        <v>3319570.0128062004</v>
      </c>
      <c r="G143" s="86"/>
      <c r="H143" s="85">
        <f>Effort!H138</f>
        <v>123715.15358287375</v>
      </c>
      <c r="I143" s="85">
        <f>I141+I142</f>
        <v>2119823.0066902614</v>
      </c>
      <c r="J143" s="86"/>
      <c r="K143" s="85">
        <f>Effort!J138</f>
        <v>96380.323897872571</v>
      </c>
      <c r="L143" s="85">
        <f>L141+L142</f>
        <v>1657586.6819679197</v>
      </c>
      <c r="M143" s="86"/>
      <c r="N143" s="85">
        <f>Effort!L138</f>
        <v>74908.370853627872</v>
      </c>
      <c r="O143" s="85">
        <f>O141+O142</f>
        <v>1255299.3533786407</v>
      </c>
      <c r="P143" s="86"/>
      <c r="Q143" s="85">
        <f>Effort!N138</f>
        <v>0</v>
      </c>
      <c r="R143" s="85">
        <f>R141+R142</f>
        <v>0</v>
      </c>
      <c r="S143" s="86"/>
      <c r="T143" s="85">
        <f>SUM(T141:T142)</f>
        <v>484387.53795501043</v>
      </c>
      <c r="U143" s="87">
        <f>SUM(U141:U142)</f>
        <v>8352279.0548430234</v>
      </c>
      <c r="V143" s="81"/>
    </row>
    <row r="144" spans="1:24" x14ac:dyDescent="0.25">
      <c r="A144" s="88" t="s">
        <v>14</v>
      </c>
      <c r="B144" s="89"/>
      <c r="C144" s="89"/>
      <c r="D144" s="89"/>
      <c r="E144" s="89"/>
      <c r="F144" s="90">
        <f>Harvest!F143</f>
        <v>0.38335647364976821</v>
      </c>
      <c r="G144" s="89"/>
      <c r="H144" s="89"/>
      <c r="I144" s="90">
        <f>Harvest!H143</f>
        <v>0.62132504321800863</v>
      </c>
      <c r="J144" s="89"/>
      <c r="K144" s="89"/>
      <c r="L144" s="90">
        <f>Harvest!J143</f>
        <v>0.50171790993371623</v>
      </c>
      <c r="M144" s="89"/>
      <c r="N144" s="89"/>
      <c r="O144" s="90">
        <f>Harvest!L143</f>
        <v>0.63756078780912306</v>
      </c>
      <c r="P144" s="89"/>
      <c r="Q144" s="89"/>
      <c r="R144" s="90">
        <f>Harvest!N143</f>
        <v>0</v>
      </c>
      <c r="S144" s="89"/>
      <c r="T144" s="89"/>
      <c r="U144" s="91"/>
      <c r="V144" s="137"/>
    </row>
    <row r="146" spans="6:6" x14ac:dyDescent="0.25">
      <c r="F146" s="34"/>
    </row>
  </sheetData>
  <mergeCells count="22">
    <mergeCell ref="A23:D23"/>
    <mergeCell ref="A78:D78"/>
    <mergeCell ref="A122:D122"/>
    <mergeCell ref="A115:D115"/>
    <mergeCell ref="A40:D40"/>
    <mergeCell ref="A31:D31"/>
    <mergeCell ref="A139:D139"/>
    <mergeCell ref="A129:D129"/>
    <mergeCell ref="Q2:S2"/>
    <mergeCell ref="T2:U2"/>
    <mergeCell ref="E2:G2"/>
    <mergeCell ref="H2:J2"/>
    <mergeCell ref="K2:M2"/>
    <mergeCell ref="N2:P2"/>
    <mergeCell ref="A13:D13"/>
    <mergeCell ref="A70:D70"/>
    <mergeCell ref="A60:D60"/>
    <mergeCell ref="A50:D50"/>
    <mergeCell ref="A107:D107"/>
    <mergeCell ref="A99:D99"/>
    <mergeCell ref="A93:D93"/>
    <mergeCell ref="A86:D86"/>
  </mergeCells>
  <phoneticPr fontId="17" type="noConversion"/>
  <pageMargins left="0.7" right="0.7" top="0.75" bottom="0.75" header="0.3" footer="0.3"/>
  <pageSetup scale="42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FD5E-4554-456C-879B-68A9CCB6CA1E}">
  <sheetPr>
    <pageSetUpPr fitToPage="1"/>
  </sheetPr>
  <dimension ref="A1:X146"/>
  <sheetViews>
    <sheetView topLeftCell="A118" zoomScale="90" zoomScaleNormal="90" workbookViewId="0">
      <selection activeCell="Z146" sqref="Z146"/>
    </sheetView>
  </sheetViews>
  <sheetFormatPr defaultRowHeight="15" x14ac:dyDescent="0.25"/>
  <cols>
    <col min="20" max="20" width="10.85546875" style="34" customWidth="1"/>
    <col min="24" max="24" width="9.85546875" customWidth="1"/>
  </cols>
  <sheetData>
    <row r="1" spans="1:24" ht="15.75" thickBot="1" x14ac:dyDescent="0.3">
      <c r="A1" s="50" t="s">
        <v>66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61"/>
      <c r="U1" s="50"/>
      <c r="V1" s="136"/>
    </row>
    <row r="2" spans="1:24" ht="15.75" thickTop="1" x14ac:dyDescent="0.25">
      <c r="A2" s="51"/>
      <c r="B2" s="51"/>
      <c r="C2" s="51"/>
      <c r="D2" s="51"/>
      <c r="E2" s="155" t="s">
        <v>45</v>
      </c>
      <c r="F2" s="156"/>
      <c r="G2" s="157"/>
      <c r="H2" s="155" t="s">
        <v>46</v>
      </c>
      <c r="I2" s="156"/>
      <c r="J2" s="157"/>
      <c r="K2" s="155" t="s">
        <v>47</v>
      </c>
      <c r="L2" s="156"/>
      <c r="M2" s="157"/>
      <c r="N2" s="155" t="s">
        <v>48</v>
      </c>
      <c r="O2" s="156"/>
      <c r="P2" s="157"/>
      <c r="Q2" s="150" t="s">
        <v>49</v>
      </c>
      <c r="R2" s="151"/>
      <c r="S2" s="152"/>
      <c r="T2" s="153" t="s">
        <v>52</v>
      </c>
      <c r="U2" s="154"/>
      <c r="V2" s="135"/>
      <c r="W2" s="101" t="s">
        <v>77</v>
      </c>
      <c r="X2" s="101" t="s">
        <v>78</v>
      </c>
    </row>
    <row r="3" spans="1:24" ht="15.75" thickBot="1" x14ac:dyDescent="0.3">
      <c r="A3" s="52" t="s">
        <v>53</v>
      </c>
      <c r="B3" s="52" t="s">
        <v>54</v>
      </c>
      <c r="C3" s="52" t="s">
        <v>55</v>
      </c>
      <c r="D3" s="52" t="s">
        <v>56</v>
      </c>
      <c r="E3" s="53" t="s">
        <v>27</v>
      </c>
      <c r="F3" s="52" t="s">
        <v>28</v>
      </c>
      <c r="G3" s="52" t="s">
        <v>29</v>
      </c>
      <c r="H3" s="53" t="s">
        <v>27</v>
      </c>
      <c r="I3" s="52" t="s">
        <v>28</v>
      </c>
      <c r="J3" s="52" t="s">
        <v>29</v>
      </c>
      <c r="K3" s="53" t="s">
        <v>27</v>
      </c>
      <c r="L3" s="52" t="s">
        <v>28</v>
      </c>
      <c r="M3" s="52" t="s">
        <v>29</v>
      </c>
      <c r="N3" s="53" t="s">
        <v>27</v>
      </c>
      <c r="O3" s="52" t="s">
        <v>28</v>
      </c>
      <c r="P3" s="52" t="s">
        <v>29</v>
      </c>
      <c r="Q3" s="53" t="s">
        <v>27</v>
      </c>
      <c r="R3" s="52" t="s">
        <v>28</v>
      </c>
      <c r="S3" s="52" t="s">
        <v>29</v>
      </c>
      <c r="T3" s="62" t="s">
        <v>27</v>
      </c>
      <c r="U3" s="54" t="s">
        <v>28</v>
      </c>
      <c r="V3" s="135"/>
    </row>
    <row r="4" spans="1:24" ht="15.75" thickTop="1" x14ac:dyDescent="0.25">
      <c r="A4" s="55">
        <v>44456</v>
      </c>
      <c r="B4" s="56" t="s">
        <v>18</v>
      </c>
      <c r="C4" s="104">
        <v>-0.4</v>
      </c>
      <c r="D4" s="105">
        <v>0.1875</v>
      </c>
      <c r="E4" s="57">
        <f>Effort!F2</f>
        <v>629.69759627102769</v>
      </c>
      <c r="F4" s="135">
        <f>Harvest!F2</f>
        <v>12593.951925420553</v>
      </c>
      <c r="G4" s="96">
        <f>+CPUE!F2</f>
        <v>20</v>
      </c>
      <c r="H4" s="57">
        <f>Effort!H2</f>
        <v>303.77095738293343</v>
      </c>
      <c r="I4" s="135">
        <f>Harvest!H2</f>
        <v>6075.4191476586684</v>
      </c>
      <c r="J4" s="96">
        <f>CPUE!H2</f>
        <v>20</v>
      </c>
      <c r="K4" s="57" t="str">
        <f>Effort!J2</f>
        <v>CLOSED</v>
      </c>
      <c r="L4" s="135" t="str">
        <f>Harvest!J2</f>
        <v>CLOSED</v>
      </c>
      <c r="M4" s="96" t="str">
        <f>CPUE!J2</f>
        <v>CLOSED</v>
      </c>
      <c r="N4" s="57">
        <f>Effort!L2</f>
        <v>486.38838559683501</v>
      </c>
      <c r="O4" s="135">
        <f>Harvest!L2</f>
        <v>9619.6814040262907</v>
      </c>
      <c r="P4" s="96">
        <f>CPUE!L2</f>
        <v>19.777777777777775</v>
      </c>
      <c r="Q4" s="57" t="s">
        <v>10</v>
      </c>
      <c r="R4" s="58" t="s">
        <v>10</v>
      </c>
      <c r="S4" s="60" t="s">
        <v>10</v>
      </c>
      <c r="T4" s="57">
        <f>SUM(E4+H4+N4)</f>
        <v>1419.8569392507961</v>
      </c>
      <c r="U4" s="58">
        <f>SUM(F4+I4+O4)</f>
        <v>28289.052477105513</v>
      </c>
      <c r="V4" s="58"/>
    </row>
    <row r="5" spans="1:24" x14ac:dyDescent="0.25">
      <c r="A5" s="55">
        <v>44457</v>
      </c>
      <c r="B5" s="56" t="s">
        <v>19</v>
      </c>
      <c r="C5" s="104">
        <v>-0.5</v>
      </c>
      <c r="D5" s="105">
        <v>0.22361111111111109</v>
      </c>
      <c r="E5" s="57">
        <f>Effort!F3</f>
        <v>1341.6417026899589</v>
      </c>
      <c r="F5" s="135">
        <f>Harvest!F3</f>
        <v>25491.192351109221</v>
      </c>
      <c r="G5" s="96">
        <f>+CPUE!F3</f>
        <v>19</v>
      </c>
      <c r="H5" s="57">
        <f>Effort!H3</f>
        <v>999.37121203330139</v>
      </c>
      <c r="I5" s="135">
        <f>Harvest!H3</f>
        <v>19987.424240666027</v>
      </c>
      <c r="J5" s="96">
        <f>CPUE!H3</f>
        <v>20</v>
      </c>
      <c r="K5" s="57">
        <f>Effort!J3</f>
        <v>1358.2050233327</v>
      </c>
      <c r="L5" s="135">
        <f>Harvest!J3</f>
        <v>26711.365458876498</v>
      </c>
      <c r="M5" s="96">
        <f>CPUE!J3</f>
        <v>19.666666666666714</v>
      </c>
      <c r="N5" s="57" t="str">
        <f>Effort!L3</f>
        <v>CLOSED</v>
      </c>
      <c r="O5" s="135" t="str">
        <f>Harvest!L3</f>
        <v>CLOSED</v>
      </c>
      <c r="P5" s="96" t="str">
        <f>CPUE!L3</f>
        <v>CLOSED</v>
      </c>
      <c r="Q5" s="57" t="s">
        <v>10</v>
      </c>
      <c r="R5" s="58" t="s">
        <v>10</v>
      </c>
      <c r="S5" s="60" t="s">
        <v>10</v>
      </c>
      <c r="T5" s="57">
        <f>SUM(E5+H5+K5)</f>
        <v>3699.2179380559601</v>
      </c>
      <c r="U5" s="58">
        <f>SUM(F5+I5+L5)</f>
        <v>72189.982050651743</v>
      </c>
      <c r="V5" s="58"/>
    </row>
    <row r="6" spans="1:24" x14ac:dyDescent="0.25">
      <c r="A6" s="55">
        <v>44458</v>
      </c>
      <c r="B6" s="56" t="s">
        <v>20</v>
      </c>
      <c r="C6" s="104">
        <v>-0.6</v>
      </c>
      <c r="D6" s="105">
        <v>0.25416666666666665</v>
      </c>
      <c r="E6" s="57">
        <f>Effort!F4</f>
        <v>5552.9879783754704</v>
      </c>
      <c r="F6" s="135">
        <f>Harvest!F4</f>
        <v>111059.75956750941</v>
      </c>
      <c r="G6" s="96">
        <f>+CPUE!F4</f>
        <v>20</v>
      </c>
      <c r="H6" s="57">
        <f>Effort!H4</f>
        <v>2499.7090367293599</v>
      </c>
      <c r="I6" s="135">
        <f>Harvest!H4</f>
        <v>47195.998977054303</v>
      </c>
      <c r="J6" s="96">
        <f>CPUE!H4</f>
        <v>18.88059701492536</v>
      </c>
      <c r="K6" s="57" t="str">
        <f>Effort!J4</f>
        <v>CLOSED</v>
      </c>
      <c r="L6" s="135" t="str">
        <f>Harvest!J4</f>
        <v>CLOSED</v>
      </c>
      <c r="M6" s="96" t="str">
        <f>CPUE!J4</f>
        <v>CLOSED</v>
      </c>
      <c r="N6" s="57">
        <f>Effort!L4</f>
        <v>4289.21576648068</v>
      </c>
      <c r="O6" s="135">
        <f>Harvest!L4</f>
        <v>69378.065022825103</v>
      </c>
      <c r="P6" s="96">
        <f>CPUE!L4</f>
        <v>16.175000000000026</v>
      </c>
      <c r="Q6" s="57" t="s">
        <v>10</v>
      </c>
      <c r="R6" s="58" t="s">
        <v>10</v>
      </c>
      <c r="S6" s="60" t="s">
        <v>10</v>
      </c>
      <c r="T6" s="57">
        <f>SUM(E6+H6+N6)</f>
        <v>12341.91278158551</v>
      </c>
      <c r="U6" s="58">
        <f>SUM(F6+I6+O6)</f>
        <v>227633.82356738881</v>
      </c>
      <c r="V6" s="58"/>
    </row>
    <row r="7" spans="1:24" x14ac:dyDescent="0.25">
      <c r="A7" s="55">
        <v>44459</v>
      </c>
      <c r="B7" s="56" t="s">
        <v>21</v>
      </c>
      <c r="C7" s="104">
        <v>-0.5</v>
      </c>
      <c r="D7" s="105">
        <v>0.28125</v>
      </c>
      <c r="E7" s="57">
        <f>Effort!F5</f>
        <v>2048.2746703339508</v>
      </c>
      <c r="F7" s="135">
        <f>Harvest!F5</f>
        <v>40965.493406679016</v>
      </c>
      <c r="G7" s="96">
        <f>+CPUE!F5</f>
        <v>20</v>
      </c>
      <c r="H7" s="57">
        <f>Effort!H5</f>
        <v>1523.4636857980599</v>
      </c>
      <c r="I7" s="135">
        <f>Harvest!H5</f>
        <v>29905.0279064063</v>
      </c>
      <c r="J7" s="96">
        <f>CPUE!H5</f>
        <v>19.629629629629587</v>
      </c>
      <c r="K7" s="57">
        <f>Effort!J5</f>
        <v>2070.4779225188699</v>
      </c>
      <c r="L7" s="135">
        <f>Harvest!J5</f>
        <v>41409.558450377299</v>
      </c>
      <c r="M7" s="96">
        <f>CPUE!J5</f>
        <v>19.99999999999995</v>
      </c>
      <c r="N7" s="57" t="str">
        <f>Effort!L5</f>
        <v>CLOSED</v>
      </c>
      <c r="O7" s="135" t="str">
        <f>Harvest!L5</f>
        <v>CLOSED</v>
      </c>
      <c r="P7" s="96" t="str">
        <f>CPUE!L5</f>
        <v>CLOSED</v>
      </c>
      <c r="Q7" s="57" t="s">
        <v>10</v>
      </c>
      <c r="R7" s="58" t="s">
        <v>10</v>
      </c>
      <c r="S7" s="60" t="s">
        <v>10</v>
      </c>
      <c r="T7" s="57">
        <f>SUM(E7+H7+K7)</f>
        <v>5642.2162786508807</v>
      </c>
      <c r="U7" s="58">
        <f>SUM(F7+I7+L7)</f>
        <v>112280.07976346261</v>
      </c>
      <c r="V7" s="58"/>
    </row>
    <row r="8" spans="1:24" x14ac:dyDescent="0.25">
      <c r="A8" s="55">
        <v>44460</v>
      </c>
      <c r="B8" s="56" t="s">
        <v>22</v>
      </c>
      <c r="C8" s="104">
        <v>-0.2</v>
      </c>
      <c r="D8" s="105">
        <v>0.30624999999999997</v>
      </c>
      <c r="E8" s="57">
        <f>Effort!F6</f>
        <v>2709.6774807777501</v>
      </c>
      <c r="F8" s="135">
        <f>Harvest!F6</f>
        <v>54193.549615555094</v>
      </c>
      <c r="G8" s="96">
        <f>+CPUE!F6</f>
        <v>20.000000000000032</v>
      </c>
      <c r="H8" s="57">
        <f>Effort!H6</f>
        <v>1307.1692307692299</v>
      </c>
      <c r="I8" s="135">
        <f>Harvest!H6</f>
        <v>24836.2153846154</v>
      </c>
      <c r="J8" s="96">
        <f>CPUE!H6</f>
        <v>19.000000000000025</v>
      </c>
      <c r="K8" s="57" t="str">
        <f>Effort!J6</f>
        <v>CLOSED</v>
      </c>
      <c r="L8" s="135" t="str">
        <f>Harvest!J6</f>
        <v>CLOSED</v>
      </c>
      <c r="M8" s="96" t="str">
        <f>CPUE!J6</f>
        <v>CLOSED</v>
      </c>
      <c r="N8" s="57">
        <f>Effort!L6</f>
        <v>2092.9977550626199</v>
      </c>
      <c r="O8" s="135">
        <f>Harvest!L6</f>
        <v>41859.955101252301</v>
      </c>
      <c r="P8" s="96">
        <f>CPUE!L6</f>
        <v>19.999999999999954</v>
      </c>
      <c r="Q8" s="57" t="s">
        <v>10</v>
      </c>
      <c r="R8" s="58" t="s">
        <v>10</v>
      </c>
      <c r="S8" s="60" t="s">
        <v>10</v>
      </c>
      <c r="T8" s="57">
        <f>SUM(E8+H8+N8)</f>
        <v>6109.8444666096002</v>
      </c>
      <c r="U8" s="58">
        <f>SUM(F8+I8+O8)</f>
        <v>120889.72010142279</v>
      </c>
      <c r="V8" s="58"/>
    </row>
    <row r="9" spans="1:24" x14ac:dyDescent="0.25">
      <c r="A9" s="55">
        <v>44461</v>
      </c>
      <c r="B9" s="56" t="s">
        <v>23</v>
      </c>
      <c r="C9" s="104">
        <v>0.3</v>
      </c>
      <c r="D9" s="105">
        <v>0.32916666666666666</v>
      </c>
      <c r="E9" s="57">
        <f>Effort!F7</f>
        <v>2938.4080135312638</v>
      </c>
      <c r="F9" s="135">
        <f>Harvest!F7</f>
        <v>57115.305763013937</v>
      </c>
      <c r="G9" s="96">
        <f>+CPUE!F7</f>
        <v>19.4375</v>
      </c>
      <c r="H9" s="57">
        <f>Effort!H7</f>
        <v>1560.3865057799601</v>
      </c>
      <c r="I9" s="135">
        <f>Harvest!H7</f>
        <v>29693.2373305775</v>
      </c>
      <c r="J9" s="96">
        <f>CPUE!H7</f>
        <v>19.029411764705898</v>
      </c>
      <c r="K9" s="57">
        <f>Effort!J7</f>
        <v>2970.2602914955201</v>
      </c>
      <c r="L9" s="135">
        <f>Harvest!J7</f>
        <v>52765.800472449897</v>
      </c>
      <c r="M9" s="96">
        <f>CPUE!J7</f>
        <v>17.764705882352963</v>
      </c>
      <c r="N9" s="57" t="str">
        <f>Effort!L7</f>
        <v>CLOSED</v>
      </c>
      <c r="O9" s="135" t="str">
        <f>Harvest!L7</f>
        <v>CLOSED</v>
      </c>
      <c r="P9" s="96" t="str">
        <f>CPUE!L7</f>
        <v>CLOSED</v>
      </c>
      <c r="Q9" s="57" t="s">
        <v>10</v>
      </c>
      <c r="R9" s="58" t="s">
        <v>10</v>
      </c>
      <c r="S9" s="60" t="s">
        <v>10</v>
      </c>
      <c r="T9" s="57">
        <f>SUM(E9+H9+K9)</f>
        <v>7469.0548108067433</v>
      </c>
      <c r="U9" s="58">
        <f>SUM(F9+I9+L9)</f>
        <v>139574.34356604132</v>
      </c>
      <c r="V9" s="58"/>
    </row>
    <row r="10" spans="1:24" x14ac:dyDescent="0.25">
      <c r="A10" s="55">
        <v>44462</v>
      </c>
      <c r="B10" s="56" t="s">
        <v>24</v>
      </c>
      <c r="C10" s="104">
        <v>0.3</v>
      </c>
      <c r="D10" s="105">
        <v>0.87361111111111101</v>
      </c>
      <c r="E10" s="57">
        <f>Effort!F8</f>
        <v>1635.9813617810437</v>
      </c>
      <c r="F10" s="135">
        <f>Harvest!F8</f>
        <v>30265.655192949307</v>
      </c>
      <c r="G10" s="96">
        <f>+CPUE!F8</f>
        <v>18.5</v>
      </c>
      <c r="H10" s="57">
        <f>Effort!H8</f>
        <v>1534.58859095405</v>
      </c>
      <c r="I10" s="135">
        <f>Harvest!H8</f>
        <v>28236.4300735545</v>
      </c>
      <c r="J10" s="96">
        <f>CPUE!H8</f>
        <v>18.399999999999988</v>
      </c>
      <c r="K10" s="57" t="str">
        <f>Effort!J8</f>
        <v>CLOSED</v>
      </c>
      <c r="L10" s="135" t="str">
        <f>Harvest!J8</f>
        <v>CLOSED</v>
      </c>
      <c r="M10" s="96" t="str">
        <f>CPUE!J8</f>
        <v>CLOSED</v>
      </c>
      <c r="N10" s="57">
        <f>Effort!L8</f>
        <v>1263.6578861589101</v>
      </c>
      <c r="O10" s="135">
        <f>Harvest!L8</f>
        <v>21116.388360813398</v>
      </c>
      <c r="P10" s="96">
        <f>CPUE!L8</f>
        <v>16.710526315789501</v>
      </c>
      <c r="Q10" s="57" t="s">
        <v>10</v>
      </c>
      <c r="R10" s="58" t="s">
        <v>10</v>
      </c>
      <c r="S10" s="60" t="s">
        <v>10</v>
      </c>
      <c r="T10" s="57">
        <f>SUM(E10+H10+N10)</f>
        <v>4434.2278388940031</v>
      </c>
      <c r="U10" s="58">
        <f>SUM(F10+I10+O10)</f>
        <v>79618.473627317202</v>
      </c>
      <c r="V10" s="58"/>
    </row>
    <row r="11" spans="1:24" x14ac:dyDescent="0.25">
      <c r="A11" s="55">
        <v>44463</v>
      </c>
      <c r="B11" s="56" t="s">
        <v>18</v>
      </c>
      <c r="C11" s="104">
        <v>0.4</v>
      </c>
      <c r="D11" s="105">
        <v>0.9</v>
      </c>
      <c r="E11" s="57">
        <f>Effort!F9</f>
        <v>2161.7358730880833</v>
      </c>
      <c r="F11" s="135">
        <f>Harvest!F9</f>
        <v>39992.113652129541</v>
      </c>
      <c r="G11" s="96">
        <f>+CPUE!F9</f>
        <v>18.5</v>
      </c>
      <c r="H11" s="57">
        <f>Effort!H9</f>
        <v>1607.8537457086818</v>
      </c>
      <c r="I11" s="135">
        <f>Harvest!H9</f>
        <v>29745.294295610613</v>
      </c>
      <c r="J11" s="96">
        <f>CPUE!H9</f>
        <v>18.5</v>
      </c>
      <c r="K11" s="57">
        <f>Effort!J9</f>
        <v>2185.16904220477</v>
      </c>
      <c r="L11" s="135">
        <f>Harvest!J9</f>
        <v>40269.543777773601</v>
      </c>
      <c r="M11" s="96">
        <f>CPUE!J9</f>
        <v>18.42857142857142</v>
      </c>
      <c r="N11" s="57" t="str">
        <f>Effort!L9</f>
        <v>CLOSED</v>
      </c>
      <c r="O11" s="135" t="str">
        <f>Harvest!L9</f>
        <v>CLOSED</v>
      </c>
      <c r="P11" s="96" t="str">
        <f>CPUE!L9</f>
        <v>CLOSED</v>
      </c>
      <c r="Q11" s="57" t="s">
        <v>10</v>
      </c>
      <c r="R11" s="58" t="s">
        <v>10</v>
      </c>
      <c r="S11" s="60" t="s">
        <v>10</v>
      </c>
      <c r="T11" s="57">
        <f>SUM(E11+H11+K11)</f>
        <v>5954.7586610015351</v>
      </c>
      <c r="U11" s="58">
        <f>SUM(F11+I11+L11)</f>
        <v>110006.95172551376</v>
      </c>
      <c r="V11" s="58"/>
    </row>
    <row r="12" spans="1:24" x14ac:dyDescent="0.25">
      <c r="A12" s="55">
        <v>44464</v>
      </c>
      <c r="B12" s="56" t="s">
        <v>19</v>
      </c>
      <c r="C12" s="104">
        <v>0.5</v>
      </c>
      <c r="D12" s="105">
        <v>0.92708333333333337</v>
      </c>
      <c r="E12" s="57">
        <f>Effort!F10</f>
        <v>3025.6119637708398</v>
      </c>
      <c r="F12" s="135">
        <f>Harvest!F10</f>
        <v>57184.06611526887</v>
      </c>
      <c r="G12" s="96">
        <f>+CPUE!F10</f>
        <v>18.899999999999999</v>
      </c>
      <c r="H12" s="57">
        <f>Effort!H10</f>
        <v>2889.6192115496101</v>
      </c>
      <c r="I12" s="135">
        <f>Harvest!H10</f>
        <v>47702.402393942</v>
      </c>
      <c r="J12" s="96">
        <f>CPUE!H10</f>
        <v>16.508196721311503</v>
      </c>
      <c r="K12" s="57">
        <f>Effort!J10</f>
        <v>1608.5393510859401</v>
      </c>
      <c r="L12" s="135">
        <f>Harvest!J10</f>
        <v>32170.787021718799</v>
      </c>
      <c r="M12" s="96">
        <f>CPUE!J10</f>
        <v>20</v>
      </c>
      <c r="N12" s="57">
        <f>Effort!L10</f>
        <v>1124.0876362341401</v>
      </c>
      <c r="O12" s="135">
        <f>Harvest!L10</f>
        <v>18922.141876608101</v>
      </c>
      <c r="P12" s="96">
        <f>CPUE!L10</f>
        <v>16.8333333333334</v>
      </c>
      <c r="Q12" s="57" t="s">
        <v>10</v>
      </c>
      <c r="R12" s="58" t="s">
        <v>10</v>
      </c>
      <c r="S12" s="60" t="s">
        <v>10</v>
      </c>
      <c r="T12" s="57">
        <f>SUM(E12+H12+N12+K12)</f>
        <v>8647.8581626405303</v>
      </c>
      <c r="U12" s="58">
        <f>SUM(F12+I12+O12+L12)</f>
        <v>155979.39740753776</v>
      </c>
      <c r="V12" s="58"/>
    </row>
    <row r="13" spans="1:24" x14ac:dyDescent="0.25">
      <c r="A13" s="148" t="s">
        <v>57</v>
      </c>
      <c r="B13" s="148"/>
      <c r="C13" s="148"/>
      <c r="D13" s="149"/>
      <c r="E13" s="63">
        <f>SUM(E4:E12)</f>
        <v>22044.016640619389</v>
      </c>
      <c r="F13" s="64">
        <f>SUM(F4:F12)</f>
        <v>428861.08758963493</v>
      </c>
      <c r="G13" s="65">
        <f>+F13/E13</f>
        <v>19.454761560984963</v>
      </c>
      <c r="H13" s="63">
        <f>SUM(H4:H12)</f>
        <v>14225.932176705188</v>
      </c>
      <c r="I13" s="64">
        <f>SUM(I4:I12)</f>
        <v>263377.4497500853</v>
      </c>
      <c r="J13" s="65">
        <f>+I13/H13</f>
        <v>18.513897471081936</v>
      </c>
      <c r="K13" s="63">
        <f>SUM(K4:K12)</f>
        <v>10192.6516306378</v>
      </c>
      <c r="L13" s="64">
        <f>SUM(L4:L12)</f>
        <v>193327.05518119608</v>
      </c>
      <c r="M13" s="65">
        <f>+L13/K13</f>
        <v>18.967297440057681</v>
      </c>
      <c r="N13" s="63">
        <f>SUM(N4:N12)</f>
        <v>9256.3474295331853</v>
      </c>
      <c r="O13" s="64">
        <f>SUM(O4:O12)</f>
        <v>160896.23176552521</v>
      </c>
      <c r="P13" s="65">
        <f>+O13/N13</f>
        <v>17.382259362064534</v>
      </c>
      <c r="Q13" s="63"/>
      <c r="R13" s="64"/>
      <c r="S13" s="65"/>
      <c r="T13" s="63">
        <f>SUM(T4:T12)</f>
        <v>55718.947877495557</v>
      </c>
      <c r="U13" s="64">
        <f>SUM(U4:U12)</f>
        <v>1046461.8242864416</v>
      </c>
      <c r="V13" s="81"/>
      <c r="W13" s="34">
        <f>SUM(H13,K13,N13,Q13,E13)</f>
        <v>55718.947877495564</v>
      </c>
      <c r="X13" s="34">
        <f>SUM(R13,O13,L13,I13,F13)</f>
        <v>1046461.8242864414</v>
      </c>
    </row>
    <row r="14" spans="1:24" x14ac:dyDescent="0.25">
      <c r="A14" s="55">
        <v>44472</v>
      </c>
      <c r="B14" s="56" t="s">
        <v>20</v>
      </c>
      <c r="C14" s="104">
        <v>0.2</v>
      </c>
      <c r="D14" s="105">
        <v>0.20277777777777781</v>
      </c>
      <c r="E14" s="57">
        <f>Effort!F12</f>
        <v>1307.6099215092988</v>
      </c>
      <c r="F14" s="135">
        <f>Harvest!F12</f>
        <v>18306.538901130185</v>
      </c>
      <c r="G14" s="96">
        <f>+CPUE!F12</f>
        <v>14</v>
      </c>
      <c r="H14" s="57">
        <f>Effort!H12</f>
        <v>939.82646859600288</v>
      </c>
      <c r="I14" s="135">
        <f>Harvest!H12</f>
        <v>13157.57056034404</v>
      </c>
      <c r="J14" s="96">
        <f>CPUE!H12</f>
        <v>14</v>
      </c>
      <c r="K14" s="57">
        <f>Effort!J12</f>
        <v>964.63770115833802</v>
      </c>
      <c r="L14" s="135">
        <f>Harvest!J12</f>
        <v>13628.5993163652</v>
      </c>
      <c r="M14" s="96">
        <f>CPUE!J12</f>
        <v>14.12820512820509</v>
      </c>
      <c r="N14" s="57" t="str">
        <f>Effort!L12</f>
        <v>CLOSED</v>
      </c>
      <c r="O14" s="135" t="str">
        <f>Harvest!L12</f>
        <v>CLOSED</v>
      </c>
      <c r="P14" s="96" t="str">
        <f>CPUE!L12</f>
        <v>CLOSED</v>
      </c>
      <c r="Q14" s="57" t="s">
        <v>10</v>
      </c>
      <c r="R14" s="58" t="s">
        <v>10</v>
      </c>
      <c r="S14" s="60" t="s">
        <v>10</v>
      </c>
      <c r="T14" s="57">
        <f>SUM(E14+H14+K14)</f>
        <v>3212.0740912636397</v>
      </c>
      <c r="U14" s="58">
        <f>SUM(F14+I14+L14)</f>
        <v>45092.708777839427</v>
      </c>
      <c r="V14" s="58"/>
    </row>
    <row r="15" spans="1:24" x14ac:dyDescent="0.25">
      <c r="A15" s="55">
        <v>44473</v>
      </c>
      <c r="B15" s="56" t="s">
        <v>21</v>
      </c>
      <c r="C15" s="104">
        <v>0</v>
      </c>
      <c r="D15" s="105">
        <v>0.23124999999999998</v>
      </c>
      <c r="E15" s="57">
        <f>Effort!F13</f>
        <v>609.67823971334099</v>
      </c>
      <c r="F15" s="135">
        <f>Harvest!F13</f>
        <v>7925.8171162734325</v>
      </c>
      <c r="G15" s="96">
        <f>+CPUE!F13</f>
        <v>13</v>
      </c>
      <c r="H15" s="57">
        <f>Effort!H13</f>
        <v>365.45959667434568</v>
      </c>
      <c r="I15" s="135">
        <f>Harvest!H13</f>
        <v>4750.9747567664936</v>
      </c>
      <c r="J15" s="96">
        <f>CPUE!H13</f>
        <v>13</v>
      </c>
      <c r="K15" s="57" t="str">
        <f>Effort!J13</f>
        <v>CLOSED</v>
      </c>
      <c r="L15" s="135" t="str">
        <f>Harvest!J13</f>
        <v>CLOSED</v>
      </c>
      <c r="M15" s="96" t="str">
        <f>CPUE!J13</f>
        <v>CLOSED</v>
      </c>
      <c r="N15" s="57">
        <f>Effort!L13</f>
        <v>459.003515598283</v>
      </c>
      <c r="O15" s="135">
        <f>Harvest!L13</f>
        <v>5923.3310822445001</v>
      </c>
      <c r="P15" s="96">
        <f>CPUE!L13</f>
        <v>12.904761904761886</v>
      </c>
      <c r="Q15" s="57" t="s">
        <v>10</v>
      </c>
      <c r="R15" s="58" t="s">
        <v>10</v>
      </c>
      <c r="S15" s="60" t="s">
        <v>10</v>
      </c>
      <c r="T15" s="57">
        <f>SUM(E15+H15+N15)</f>
        <v>1434.1413519859698</v>
      </c>
      <c r="U15" s="58">
        <f>SUM(F15+I15+O15)</f>
        <v>18600.122955284423</v>
      </c>
      <c r="V15" s="58"/>
    </row>
    <row r="16" spans="1:24" x14ac:dyDescent="0.25">
      <c r="A16" s="55">
        <v>44474</v>
      </c>
      <c r="B16" s="56" t="s">
        <v>22</v>
      </c>
      <c r="C16" s="104">
        <v>-0.1</v>
      </c>
      <c r="D16" s="105">
        <v>0.25833333333333336</v>
      </c>
      <c r="E16" s="57">
        <f>Effort!F14</f>
        <v>585.84064202773402</v>
      </c>
      <c r="F16" s="135">
        <f>Harvest!F14</f>
        <v>5682.6542276690197</v>
      </c>
      <c r="G16" s="96">
        <f>+CPUE!F14</f>
        <v>9.6999999999999993</v>
      </c>
      <c r="H16" s="57">
        <f>Effort!H14</f>
        <v>421.06482422634701</v>
      </c>
      <c r="I16" s="135">
        <f>Harvest!H14</f>
        <v>6365.5094015394798</v>
      </c>
      <c r="J16" s="96">
        <f>CPUE!H14</f>
        <v>15.117647058823525</v>
      </c>
      <c r="K16" s="57">
        <f>Effort!J14</f>
        <v>432.18085215999901</v>
      </c>
      <c r="L16" s="135">
        <f>Harvest!J14</f>
        <v>5618.3510780799897</v>
      </c>
      <c r="M16" s="96">
        <f>CPUE!J14</f>
        <v>13.000000000000005</v>
      </c>
      <c r="N16" s="57" t="str">
        <f>Effort!L14</f>
        <v>CLOSED</v>
      </c>
      <c r="O16" s="135" t="str">
        <f>Harvest!L14</f>
        <v>CLOSED</v>
      </c>
      <c r="P16" s="96" t="str">
        <f>CPUE!L14</f>
        <v>CLOSED</v>
      </c>
      <c r="Q16" s="57" t="s">
        <v>10</v>
      </c>
      <c r="R16" s="58" t="s">
        <v>10</v>
      </c>
      <c r="S16" s="60" t="s">
        <v>10</v>
      </c>
      <c r="T16" s="57">
        <f>SUM(E16+H16+K16)</f>
        <v>1439.0863184140801</v>
      </c>
      <c r="U16" s="58">
        <f>SUM(F16+I16+L16)</f>
        <v>17666.514707288487</v>
      </c>
      <c r="V16" s="58"/>
    </row>
    <row r="17" spans="1:24" x14ac:dyDescent="0.25">
      <c r="A17" s="55">
        <v>44475</v>
      </c>
      <c r="B17" s="56" t="s">
        <v>23</v>
      </c>
      <c r="C17" s="104">
        <v>-0.3</v>
      </c>
      <c r="D17" s="105">
        <v>0.80555555555555547</v>
      </c>
      <c r="E17" s="57">
        <f>Effort!F15</f>
        <v>4061.9161355260571</v>
      </c>
      <c r="F17" s="135">
        <f>Harvest!F15</f>
        <v>77176.406574995082</v>
      </c>
      <c r="G17" s="96">
        <f>+CPUE!F15</f>
        <v>19</v>
      </c>
      <c r="H17" s="57">
        <f>Effort!H15</f>
        <v>2434.8355180141202</v>
      </c>
      <c r="I17" s="135">
        <f>Harvest!H15</f>
        <v>44090.2647856611</v>
      </c>
      <c r="J17" s="96">
        <f>CPUE!H15</f>
        <v>18.108108108108109</v>
      </c>
      <c r="K17" s="57" t="str">
        <f>Effort!J15</f>
        <v>CLOSED</v>
      </c>
      <c r="L17" s="135" t="str">
        <f>Harvest!J15</f>
        <v>CLOSED</v>
      </c>
      <c r="M17" s="96" t="str">
        <f>CPUE!J15</f>
        <v>CLOSED</v>
      </c>
      <c r="N17" s="57">
        <f>Effort!L15</f>
        <v>3058.0618838364198</v>
      </c>
      <c r="O17" s="135">
        <f>Harvest!L15</f>
        <v>60261.807710894202</v>
      </c>
      <c r="P17" s="96">
        <f>CPUE!L15</f>
        <v>19.705882352941192</v>
      </c>
      <c r="Q17" s="57" t="s">
        <v>10</v>
      </c>
      <c r="R17" s="58" t="s">
        <v>10</v>
      </c>
      <c r="S17" s="60" t="s">
        <v>10</v>
      </c>
      <c r="T17" s="57">
        <f>SUM(E17+H17+N17)</f>
        <v>9554.8135373765981</v>
      </c>
      <c r="U17" s="58">
        <f>SUM(F17+I17+O17)</f>
        <v>181528.47907155039</v>
      </c>
      <c r="V17" s="58"/>
    </row>
    <row r="18" spans="1:24" x14ac:dyDescent="0.25">
      <c r="A18" s="55">
        <v>44476</v>
      </c>
      <c r="B18" s="56" t="s">
        <v>24</v>
      </c>
      <c r="C18" s="104">
        <v>-0.8</v>
      </c>
      <c r="D18" s="105">
        <v>0.83611111111111114</v>
      </c>
      <c r="E18" s="57">
        <f>Effort!F16</f>
        <v>3038.1088707272656</v>
      </c>
      <c r="F18" s="135">
        <f>Harvest!F16</f>
        <v>60762.177414545309</v>
      </c>
      <c r="G18" s="96">
        <f>+CPUE!F16</f>
        <v>20</v>
      </c>
      <c r="H18" s="57">
        <f>Effort!H16</f>
        <v>2380.1829800304999</v>
      </c>
      <c r="I18" s="135">
        <f>Harvest!H16</f>
        <v>46960.366903304501</v>
      </c>
      <c r="J18" s="96">
        <f>CPUE!H16</f>
        <v>19.729729729729748</v>
      </c>
      <c r="K18" s="57">
        <f>Effort!J16</f>
        <v>2197.3689291072801</v>
      </c>
      <c r="L18" s="135">
        <f>Harvest!J16</f>
        <v>43947.378582145597</v>
      </c>
      <c r="M18" s="96">
        <f>CPUE!J16</f>
        <v>19.999999999999996</v>
      </c>
      <c r="N18" s="57" t="str">
        <f>Effort!L16</f>
        <v>CLOSED</v>
      </c>
      <c r="O18" s="135" t="str">
        <f>Harvest!L16</f>
        <v>CLOSED</v>
      </c>
      <c r="P18" s="96" t="str">
        <f>CPUE!L16</f>
        <v>CLOSED</v>
      </c>
      <c r="Q18" s="57" t="s">
        <v>10</v>
      </c>
      <c r="R18" s="58" t="s">
        <v>10</v>
      </c>
      <c r="S18" s="60" t="s">
        <v>10</v>
      </c>
      <c r="T18" s="57">
        <f>SUM(E18+H18+K18)</f>
        <v>7615.6607798650457</v>
      </c>
      <c r="U18" s="58">
        <f>SUM(F18+I18+L18)</f>
        <v>151669.92289999541</v>
      </c>
      <c r="V18" s="58"/>
    </row>
    <row r="19" spans="1:24" x14ac:dyDescent="0.25">
      <c r="A19" s="55">
        <v>44477</v>
      </c>
      <c r="B19" s="56" t="s">
        <v>18</v>
      </c>
      <c r="C19" s="104">
        <v>-1.1000000000000001</v>
      </c>
      <c r="D19" s="105">
        <v>0.86805555555555547</v>
      </c>
      <c r="E19" s="57">
        <f>Effort!F17</f>
        <v>5808.8236380338403</v>
      </c>
      <c r="F19" s="135">
        <f>Harvest!F17</f>
        <v>113854.9040898137</v>
      </c>
      <c r="G19" s="96">
        <f>+CPUE!F17</f>
        <v>19.600337552742623</v>
      </c>
      <c r="H19" s="57">
        <f>Effort!H17</f>
        <v>3703.6258594830101</v>
      </c>
      <c r="I19" s="135">
        <f>Harvest!H17</f>
        <v>73352.367716982902</v>
      </c>
      <c r="J19" s="96">
        <f>CPUE!H17</f>
        <v>19.805555555555543</v>
      </c>
      <c r="K19" s="57" t="str">
        <f>Effort!J17</f>
        <v>CLOSED</v>
      </c>
      <c r="L19" s="135" t="str">
        <f>Harvest!J17</f>
        <v>CLOSED</v>
      </c>
      <c r="M19" s="96" t="str">
        <f>CPUE!J17</f>
        <v>CLOSED</v>
      </c>
      <c r="N19" s="57">
        <f>Effort!L17</f>
        <v>4373.2419785911497</v>
      </c>
      <c r="O19" s="135">
        <f>Harvest!L17</f>
        <v>82315.699822836701</v>
      </c>
      <c r="P19" s="96">
        <f>CPUE!L17</f>
        <v>18.822580645161302</v>
      </c>
      <c r="Q19" s="57" t="s">
        <v>10</v>
      </c>
      <c r="R19" s="58" t="s">
        <v>10</v>
      </c>
      <c r="S19" s="60" t="s">
        <v>10</v>
      </c>
      <c r="T19" s="57">
        <f>SUM(E19+H19+N19)</f>
        <v>13885.691476108001</v>
      </c>
      <c r="U19" s="58">
        <f>SUM(F19+I19+O19)</f>
        <v>269522.97162963334</v>
      </c>
      <c r="V19" s="58"/>
    </row>
    <row r="20" spans="1:24" x14ac:dyDescent="0.25">
      <c r="A20" s="55">
        <v>44478</v>
      </c>
      <c r="B20" s="56" t="s">
        <v>19</v>
      </c>
      <c r="C20" s="104">
        <v>-1.1000000000000001</v>
      </c>
      <c r="D20" s="105">
        <v>0.90138888888888891</v>
      </c>
      <c r="E20" s="57">
        <f>Effort!F18</f>
        <v>3158.1863952998037</v>
      </c>
      <c r="F20" s="135">
        <f>Harvest!F18</f>
        <v>48636.070487616977</v>
      </c>
      <c r="G20" s="96">
        <f>+CPUE!F18</f>
        <v>15.4</v>
      </c>
      <c r="H20" s="57">
        <f>Effort!H18</f>
        <v>3311.0505837271767</v>
      </c>
      <c r="I20" s="135">
        <f>Harvest!H18</f>
        <v>49665.758755907649</v>
      </c>
      <c r="J20" s="96">
        <f>CPUE!H18</f>
        <v>15</v>
      </c>
      <c r="K20" s="57">
        <f>Effort!J18</f>
        <v>3398.4616631163699</v>
      </c>
      <c r="L20" s="135">
        <f>Harvest!J18</f>
        <v>46151.109385120297</v>
      </c>
      <c r="M20" s="96">
        <f>CPUE!J18</f>
        <v>13.579999999999998</v>
      </c>
      <c r="N20" s="57" t="str">
        <f>Effort!L18</f>
        <v>CLOSED</v>
      </c>
      <c r="O20" s="135" t="str">
        <f>Harvest!L18</f>
        <v>CLOSED</v>
      </c>
      <c r="P20" s="96" t="str">
        <f>CPUE!L18</f>
        <v>CLOSED</v>
      </c>
      <c r="Q20" s="57" t="s">
        <v>10</v>
      </c>
      <c r="R20" s="58" t="s">
        <v>10</v>
      </c>
      <c r="S20" s="60" t="s">
        <v>10</v>
      </c>
      <c r="T20" s="57">
        <f>SUM(E20+H20+K20)</f>
        <v>9867.6986421433503</v>
      </c>
      <c r="U20" s="58">
        <f>SUM(F20+I20+L20)</f>
        <v>144452.93862864492</v>
      </c>
      <c r="V20" s="58"/>
    </row>
    <row r="21" spans="1:24" x14ac:dyDescent="0.25">
      <c r="A21" s="55">
        <v>44479</v>
      </c>
      <c r="B21" s="56" t="s">
        <v>20</v>
      </c>
      <c r="C21" s="104">
        <v>-0.8</v>
      </c>
      <c r="D21" s="105">
        <v>0.93888888888888899</v>
      </c>
      <c r="E21" s="57">
        <f>Effort!F19</f>
        <v>501.34609075298499</v>
      </c>
      <c r="F21" s="135">
        <f>Harvest!F19</f>
        <v>10026.921815059701</v>
      </c>
      <c r="G21" s="96">
        <f>+CPUE!F19</f>
        <v>20</v>
      </c>
      <c r="H21" s="57">
        <f>Effort!H19</f>
        <v>897.81191726608904</v>
      </c>
      <c r="I21" s="135">
        <f>Harvest!H19</f>
        <v>17719.972051304401</v>
      </c>
      <c r="J21" s="96">
        <f>CPUE!H19</f>
        <v>19.736842105263172</v>
      </c>
      <c r="K21" s="57" t="str">
        <f>Effort!J19</f>
        <v>CLOSED</v>
      </c>
      <c r="L21" s="135" t="str">
        <f>Harvest!J19</f>
        <v>CLOSED</v>
      </c>
      <c r="M21" s="96" t="str">
        <f>CPUE!J19</f>
        <v>CLOSED</v>
      </c>
      <c r="N21" s="57">
        <f>Effort!L19</f>
        <v>859.04416361630103</v>
      </c>
      <c r="O21" s="135">
        <f>Harvest!L19</f>
        <v>16536.600149613801</v>
      </c>
      <c r="P21" s="96">
        <f>CPUE!L19</f>
        <v>19.250000000000007</v>
      </c>
      <c r="Q21" s="57" t="s">
        <v>10</v>
      </c>
      <c r="R21" s="58" t="s">
        <v>10</v>
      </c>
      <c r="S21" s="60" t="s">
        <v>10</v>
      </c>
      <c r="T21" s="57">
        <f>SUM(E21+H21+N21)</f>
        <v>2258.2021716353752</v>
      </c>
      <c r="U21" s="58">
        <f>SUM(F21+I21+O21)</f>
        <v>44283.494015977907</v>
      </c>
      <c r="V21" s="58"/>
    </row>
    <row r="22" spans="1:24" x14ac:dyDescent="0.25">
      <c r="A22" s="55">
        <v>44480</v>
      </c>
      <c r="B22" s="56" t="s">
        <v>21</v>
      </c>
      <c r="C22" s="104">
        <v>-0.4</v>
      </c>
      <c r="D22" s="105">
        <v>0.98055555555555562</v>
      </c>
      <c r="E22" s="57">
        <f>Effort!F20</f>
        <v>440.00279572922227</v>
      </c>
      <c r="F22" s="135">
        <f>Harvest!F20</f>
        <v>8800.0559145844454</v>
      </c>
      <c r="G22" s="96">
        <f>+CPUE!F20</f>
        <v>20</v>
      </c>
      <c r="H22" s="57">
        <f>Effort!H20</f>
        <v>461.30004100107323</v>
      </c>
      <c r="I22" s="135">
        <f>Harvest!H20</f>
        <v>9226.0008200214652</v>
      </c>
      <c r="J22" s="96">
        <f>CPUE!H20</f>
        <v>20</v>
      </c>
      <c r="K22" s="57">
        <f>Effort!J20</f>
        <v>473.47827068574099</v>
      </c>
      <c r="L22" s="135">
        <f>Harvest!J20</f>
        <v>9469.5654137148103</v>
      </c>
      <c r="M22" s="96">
        <f>CPUE!J20</f>
        <v>19.999999999999979</v>
      </c>
      <c r="N22" s="57" t="str">
        <f>Effort!L20</f>
        <v>CLOSED</v>
      </c>
      <c r="O22" s="135" t="str">
        <f>Harvest!L20</f>
        <v>CLOSED</v>
      </c>
      <c r="P22" s="96" t="str">
        <f>CPUE!L20</f>
        <v>CLOSED</v>
      </c>
      <c r="Q22" s="57" t="s">
        <v>10</v>
      </c>
      <c r="R22" s="58" t="s">
        <v>10</v>
      </c>
      <c r="S22" s="60" t="s">
        <v>10</v>
      </c>
      <c r="T22" s="57">
        <f>SUM(E22+H22+K22)</f>
        <v>1374.7811074160363</v>
      </c>
      <c r="U22" s="58">
        <f>SUM(F22+I22+L22)</f>
        <v>27495.622148320719</v>
      </c>
      <c r="V22" s="58"/>
    </row>
    <row r="23" spans="1:24" x14ac:dyDescent="0.25">
      <c r="A23" s="148" t="s">
        <v>57</v>
      </c>
      <c r="B23" s="148"/>
      <c r="C23" s="148"/>
      <c r="D23" s="149"/>
      <c r="E23" s="63">
        <f>SUM(E14:E22)</f>
        <v>19511.512729319547</v>
      </c>
      <c r="F23" s="64">
        <f>SUM(F14:F22)</f>
        <v>351171.5465416878</v>
      </c>
      <c r="G23" s="65">
        <f>+F23/E23</f>
        <v>17.998171203506409</v>
      </c>
      <c r="H23" s="63">
        <f>SUM(H14:H22)</f>
        <v>14915.157789018665</v>
      </c>
      <c r="I23" s="64">
        <f>SUM(I14:I22)</f>
        <v>265288.78575183207</v>
      </c>
      <c r="J23" s="65">
        <f>+I23/H23</f>
        <v>17.786522241632053</v>
      </c>
      <c r="K23" s="63">
        <f>SUM(K14:K22)</f>
        <v>7466.1274162277286</v>
      </c>
      <c r="L23" s="64">
        <f>SUM(L14:L22)</f>
        <v>118815.00377542588</v>
      </c>
      <c r="M23" s="65">
        <f>+L23/K23</f>
        <v>15.913873036399012</v>
      </c>
      <c r="N23" s="63">
        <f>SUM(N14:N22)</f>
        <v>8749.3515416421542</v>
      </c>
      <c r="O23" s="64">
        <f>SUM(O14:O22)</f>
        <v>165037.43876558921</v>
      </c>
      <c r="P23" s="65">
        <f>+O23/N23</f>
        <v>18.862819487832986</v>
      </c>
      <c r="Q23" s="63"/>
      <c r="R23" s="64"/>
      <c r="S23" s="65"/>
      <c r="T23" s="63">
        <f>SUM(T14:T22)</f>
        <v>50642.149476208106</v>
      </c>
      <c r="U23" s="64">
        <f>SUM(U14:U22)</f>
        <v>900312.77483453508</v>
      </c>
      <c r="V23" s="81"/>
      <c r="W23" s="34">
        <f>SUM(H23,K23,N23,Q23,E23)</f>
        <v>50642.149476208098</v>
      </c>
      <c r="X23" s="34">
        <f>SUM(R23,O23,L23,I23,F23)</f>
        <v>900312.77483453497</v>
      </c>
    </row>
    <row r="24" spans="1:24" x14ac:dyDescent="0.25">
      <c r="A24" s="131">
        <v>44488</v>
      </c>
      <c r="B24" s="132" t="s">
        <v>22</v>
      </c>
      <c r="C24" s="133">
        <v>0.3</v>
      </c>
      <c r="D24" s="134">
        <v>0.78263888888888899</v>
      </c>
      <c r="E24" s="57">
        <f>Effort!F22</f>
        <v>2799.5253991745699</v>
      </c>
      <c r="F24" s="135">
        <f>Harvest!F22</f>
        <v>47342.8336523572</v>
      </c>
      <c r="G24" s="96">
        <f>+CPUE!F22</f>
        <v>16.911021298937335</v>
      </c>
      <c r="H24" s="57">
        <f>Effort!H22</f>
        <v>2333.54042104989</v>
      </c>
      <c r="I24" s="135">
        <f>Harvest!H22</f>
        <v>41285.715141651803</v>
      </c>
      <c r="J24" s="96">
        <f>CPUE!H22</f>
        <v>17.692307692307651</v>
      </c>
      <c r="K24" s="57">
        <f>Effort!J22</f>
        <v>2476.1742203253398</v>
      </c>
      <c r="L24" s="135">
        <f>Harvest!J22</f>
        <v>31412.038680698501</v>
      </c>
      <c r="M24" s="96">
        <f>CPUE!J22</f>
        <v>12.685714285714248</v>
      </c>
      <c r="N24" s="57" t="str">
        <f>Effort!L22</f>
        <v>CLOSED</v>
      </c>
      <c r="O24" s="135" t="str">
        <f>Harvest!L22</f>
        <v>CLOSED</v>
      </c>
      <c r="P24" s="96" t="str">
        <f>CPUE!L22</f>
        <v>CLOSED</v>
      </c>
      <c r="Q24" s="57" t="s">
        <v>10</v>
      </c>
      <c r="R24" s="58" t="s">
        <v>10</v>
      </c>
      <c r="S24" s="60" t="s">
        <v>10</v>
      </c>
      <c r="T24" s="57">
        <f>SUM(E24+H24+K24)</f>
        <v>7609.2400405497992</v>
      </c>
      <c r="U24" s="58">
        <f>SUM(F24+I24+L24)</f>
        <v>120040.5874747075</v>
      </c>
      <c r="V24" s="58"/>
    </row>
    <row r="25" spans="1:24" x14ac:dyDescent="0.25">
      <c r="A25" s="131">
        <v>44489</v>
      </c>
      <c r="B25" s="132" t="s">
        <v>23</v>
      </c>
      <c r="C25" s="133">
        <v>0</v>
      </c>
      <c r="D25" s="134">
        <v>0.80763888888888891</v>
      </c>
      <c r="E25" s="57">
        <f>Effort!F23</f>
        <v>907.07414299527784</v>
      </c>
      <c r="F25" s="135">
        <f>Harvest!F23</f>
        <v>16327.334573915001</v>
      </c>
      <c r="G25" s="96">
        <f>+CPUE!F23</f>
        <v>18</v>
      </c>
      <c r="H25" s="57">
        <f>Effort!H23</f>
        <v>1084.6211404988401</v>
      </c>
      <c r="I25" s="135">
        <f>Harvest!H23</f>
        <v>15822.708402571299</v>
      </c>
      <c r="J25" s="96">
        <f>CPUE!H23</f>
        <v>14.588235294117634</v>
      </c>
      <c r="K25" s="57" t="str">
        <f>Effort!J23</f>
        <v>CLOSED</v>
      </c>
      <c r="L25" s="135" t="str">
        <f>Harvest!J23</f>
        <v>CLOSED</v>
      </c>
      <c r="M25" s="96" t="str">
        <f>CPUE!J23</f>
        <v>CLOSED</v>
      </c>
      <c r="N25" s="57">
        <f>Effort!L23</f>
        <v>823.09238920517896</v>
      </c>
      <c r="O25" s="135">
        <f>Harvest!L23</f>
        <v>14729.0217015664</v>
      </c>
      <c r="P25" s="96">
        <f>CPUE!L23</f>
        <v>17.89473684210531</v>
      </c>
      <c r="Q25" s="57" t="s">
        <v>10</v>
      </c>
      <c r="R25" s="58" t="s">
        <v>10</v>
      </c>
      <c r="S25" s="60" t="s">
        <v>10</v>
      </c>
      <c r="T25" s="57">
        <f>SUM(E25+H25+N25)</f>
        <v>2814.7876726992972</v>
      </c>
      <c r="U25" s="58">
        <f>SUM(F25+I25+O25)</f>
        <v>46879.064678052702</v>
      </c>
      <c r="V25" s="58"/>
    </row>
    <row r="26" spans="1:24" x14ac:dyDescent="0.25">
      <c r="A26" s="131">
        <v>44490</v>
      </c>
      <c r="B26" s="132" t="s">
        <v>24</v>
      </c>
      <c r="C26" s="133">
        <v>-0.1</v>
      </c>
      <c r="D26" s="134">
        <v>0.83194444444444438</v>
      </c>
      <c r="E26" s="57">
        <f>Effort!F24</f>
        <v>561.50249325742789</v>
      </c>
      <c r="F26" s="135">
        <f>Harvest!F24</f>
        <v>7861.0349056039904</v>
      </c>
      <c r="G26" s="96">
        <f>+CPUE!F24</f>
        <v>14</v>
      </c>
      <c r="H26" s="57">
        <f>Effort!H24</f>
        <v>359.280531282445</v>
      </c>
      <c r="I26" s="135">
        <f>Harvest!H24</f>
        <v>4067.0556141172801</v>
      </c>
      <c r="J26" s="96">
        <f>CPUE!H24</f>
        <v>11.320000000000007</v>
      </c>
      <c r="K26" s="57">
        <f>Effort!J24</f>
        <v>655.94740066890495</v>
      </c>
      <c r="L26" s="135">
        <f>Harvest!J24</f>
        <v>9307.3617662479792</v>
      </c>
      <c r="M26" s="96">
        <f>CPUE!J24</f>
        <v>14.189189189189195</v>
      </c>
      <c r="N26" s="57" t="str">
        <f>Effort!L24</f>
        <v>CLOSED</v>
      </c>
      <c r="O26" s="135" t="str">
        <f>Harvest!L24</f>
        <v>CLOSED</v>
      </c>
      <c r="P26" s="96" t="str">
        <f>CPUE!L24</f>
        <v>CLOSED</v>
      </c>
      <c r="Q26" s="57" t="s">
        <v>10</v>
      </c>
      <c r="R26" s="58" t="s">
        <v>10</v>
      </c>
      <c r="S26" s="60" t="s">
        <v>10</v>
      </c>
      <c r="T26" s="57">
        <f t="shared" ref="T26:U30" si="0">SUM(E26+H26+K26)</f>
        <v>1576.7304252087779</v>
      </c>
      <c r="U26" s="58">
        <f t="shared" si="0"/>
        <v>21235.452285969252</v>
      </c>
      <c r="V26" s="58"/>
    </row>
    <row r="27" spans="1:24" x14ac:dyDescent="0.25">
      <c r="A27" s="131">
        <v>44491</v>
      </c>
      <c r="B27" s="132" t="s">
        <v>18</v>
      </c>
      <c r="C27" s="133">
        <v>-0.1</v>
      </c>
      <c r="D27" s="134">
        <v>0.85555555555555562</v>
      </c>
      <c r="E27" s="57">
        <f>Effort!F25</f>
        <v>1414.4383801801732</v>
      </c>
      <c r="F27" s="135">
        <f>Harvest!F25</f>
        <v>12447.057745585525</v>
      </c>
      <c r="G27" s="96">
        <f>+CPUE!F25</f>
        <v>8.8000000000000007</v>
      </c>
      <c r="H27" s="57">
        <f>Effort!H25</f>
        <v>743.55240829478998</v>
      </c>
      <c r="I27" s="135">
        <f>Harvest!H25</f>
        <v>5961.93840105459</v>
      </c>
      <c r="J27" s="96">
        <f>CPUE!H25</f>
        <v>8.0181818181818194</v>
      </c>
      <c r="K27" s="57" t="str">
        <f>Effort!J25</f>
        <v>CLOSED</v>
      </c>
      <c r="L27" s="135" t="str">
        <f>Harvest!J25</f>
        <v>CLOSED</v>
      </c>
      <c r="M27" s="96" t="str">
        <f>CPUE!J25</f>
        <v>CLOSED</v>
      </c>
      <c r="N27" s="57">
        <f>Effort!L25</f>
        <v>1283.48214389798</v>
      </c>
      <c r="O27" s="135">
        <f>Harvest!L25</f>
        <v>15071.747461202</v>
      </c>
      <c r="P27" s="96">
        <f>CPUE!L25</f>
        <v>11.742857142857147</v>
      </c>
      <c r="Q27" s="57" t="s">
        <v>10</v>
      </c>
      <c r="R27" s="58" t="s">
        <v>10</v>
      </c>
      <c r="S27" s="60" t="s">
        <v>10</v>
      </c>
      <c r="T27" s="57">
        <f>SUM(E27+H27+N27)</f>
        <v>3441.4729323729434</v>
      </c>
      <c r="U27" s="58">
        <f>SUM(F27+I27+O27)</f>
        <v>33480.743607842116</v>
      </c>
      <c r="V27" s="58"/>
    </row>
    <row r="28" spans="1:24" x14ac:dyDescent="0.25">
      <c r="A28" s="131">
        <v>44492</v>
      </c>
      <c r="B28" s="132" t="s">
        <v>19</v>
      </c>
      <c r="C28" s="133">
        <v>0</v>
      </c>
      <c r="D28" s="134">
        <v>0.87986111111111109</v>
      </c>
      <c r="E28" s="57">
        <f>Effort!F26</f>
        <v>1498.9583308327306</v>
      </c>
      <c r="F28" s="135">
        <f>Harvest!F26</f>
        <v>23983.333293323689</v>
      </c>
      <c r="G28" s="96">
        <f>+CPUE!F26</f>
        <v>16</v>
      </c>
      <c r="H28" s="57">
        <f>Effort!H26</f>
        <v>1195.38128596959</v>
      </c>
      <c r="I28" s="135">
        <f>Harvest!H26</f>
        <v>19474.753450587799</v>
      </c>
      <c r="J28" s="96">
        <f>CPUE!H26</f>
        <v>16.291666666666579</v>
      </c>
      <c r="K28" s="57">
        <f>Effort!J26</f>
        <v>1751.0836240756501</v>
      </c>
      <c r="L28" s="135">
        <f>Harvest!J26</f>
        <v>27757.918189051099</v>
      </c>
      <c r="M28" s="96">
        <f>CPUE!J26</f>
        <v>15.851851851851883</v>
      </c>
      <c r="N28" s="57" t="str">
        <f>Effort!L26</f>
        <v>CLOSED</v>
      </c>
      <c r="O28" s="135" t="str">
        <f>Harvest!L26</f>
        <v>CLOSED</v>
      </c>
      <c r="P28" s="96" t="str">
        <f>CPUE!L26</f>
        <v>CLOSED</v>
      </c>
      <c r="Q28" s="57" t="s">
        <v>10</v>
      </c>
      <c r="R28" s="58" t="s">
        <v>10</v>
      </c>
      <c r="S28" s="60" t="s">
        <v>10</v>
      </c>
      <c r="T28" s="57">
        <f t="shared" si="0"/>
        <v>4445.4232408779708</v>
      </c>
      <c r="U28" s="58">
        <f t="shared" si="0"/>
        <v>71216.004932962591</v>
      </c>
      <c r="V28" s="58"/>
    </row>
    <row r="29" spans="1:24" x14ac:dyDescent="0.25">
      <c r="A29" s="131">
        <v>44493</v>
      </c>
      <c r="B29" s="132" t="s">
        <v>20</v>
      </c>
      <c r="C29" s="133">
        <v>0.2</v>
      </c>
      <c r="D29" s="134">
        <v>0.90486111111111101</v>
      </c>
      <c r="E29" s="57">
        <f>Effort!F27</f>
        <v>0</v>
      </c>
      <c r="F29" s="135">
        <f>Harvest!F27</f>
        <v>0</v>
      </c>
      <c r="G29" s="96">
        <f>+CPUE!F27</f>
        <v>0</v>
      </c>
      <c r="H29" s="57">
        <f>Effort!H27</f>
        <v>0</v>
      </c>
      <c r="I29" s="135">
        <f>Harvest!H27</f>
        <v>0</v>
      </c>
      <c r="J29" s="96">
        <f>CPUE!H27</f>
        <v>0</v>
      </c>
      <c r="K29" s="57" t="str">
        <f>Effort!J27</f>
        <v>CLOSED</v>
      </c>
      <c r="L29" s="135" t="str">
        <f>Harvest!J27</f>
        <v>CLOSED</v>
      </c>
      <c r="M29" s="96" t="str">
        <f>CPUE!J27</f>
        <v>CLOSED</v>
      </c>
      <c r="N29" s="57">
        <f>Effort!L27</f>
        <v>0</v>
      </c>
      <c r="O29" s="135">
        <f>Harvest!L27</f>
        <v>0</v>
      </c>
      <c r="P29" s="96">
        <f>CPUE!L27</f>
        <v>0</v>
      </c>
      <c r="Q29" s="57" t="s">
        <v>10</v>
      </c>
      <c r="R29" s="58" t="s">
        <v>10</v>
      </c>
      <c r="S29" s="60" t="s">
        <v>10</v>
      </c>
      <c r="T29" s="57">
        <f>SUM(E29+H29+N29)</f>
        <v>0</v>
      </c>
      <c r="U29" s="58">
        <f>SUM(F29+I29+O29)</f>
        <v>0</v>
      </c>
      <c r="V29" s="58"/>
    </row>
    <row r="30" spans="1:24" x14ac:dyDescent="0.25">
      <c r="A30" s="131">
        <v>44494</v>
      </c>
      <c r="B30" s="132" t="s">
        <v>21</v>
      </c>
      <c r="C30" s="133">
        <v>0.5</v>
      </c>
      <c r="D30" s="134">
        <v>0.93402777777777779</v>
      </c>
      <c r="E30" s="57">
        <f>Effort!F28</f>
        <v>10.797211124046115</v>
      </c>
      <c r="F30" s="135">
        <f>Harvest!F28</f>
        <v>86</v>
      </c>
      <c r="G30" s="96">
        <f>+CPUE!F28</f>
        <v>8</v>
      </c>
      <c r="H30" s="57">
        <f>Effort!H28</f>
        <v>9</v>
      </c>
      <c r="I30" s="135">
        <f>Harvest!H28</f>
        <v>72</v>
      </c>
      <c r="J30" s="96">
        <f>CPUE!H28</f>
        <v>8</v>
      </c>
      <c r="K30" s="57">
        <f>Effort!J28</f>
        <v>9.5501101167561906</v>
      </c>
      <c r="L30" s="135">
        <f>Harvest!J28</f>
        <v>200</v>
      </c>
      <c r="M30" s="96">
        <f>CPUE!J28</f>
        <v>11</v>
      </c>
      <c r="N30" s="57" t="str">
        <f>Effort!L28</f>
        <v>CLOSED</v>
      </c>
      <c r="O30" s="135" t="str">
        <f>Harvest!L28</f>
        <v>CLOSED</v>
      </c>
      <c r="P30" s="96" t="str">
        <f>CPUE!L28</f>
        <v>CLOSED</v>
      </c>
      <c r="Q30" s="57" t="s">
        <v>10</v>
      </c>
      <c r="R30" s="58" t="s">
        <v>10</v>
      </c>
      <c r="S30" s="60" t="s">
        <v>10</v>
      </c>
      <c r="T30" s="57">
        <f t="shared" si="0"/>
        <v>29.347321240802305</v>
      </c>
      <c r="U30" s="58">
        <f t="shared" si="0"/>
        <v>358</v>
      </c>
      <c r="V30" s="58"/>
    </row>
    <row r="31" spans="1:24" x14ac:dyDescent="0.25">
      <c r="A31" s="148" t="s">
        <v>57</v>
      </c>
      <c r="B31" s="148"/>
      <c r="C31" s="148"/>
      <c r="D31" s="149"/>
      <c r="E31" s="63">
        <f>SUM(E24:E30)</f>
        <v>7192.2959575642244</v>
      </c>
      <c r="F31" s="64">
        <f>SUM(F24:F30)</f>
        <v>108047.59417078539</v>
      </c>
      <c r="G31" s="65">
        <f>+F31/E31</f>
        <v>15.022684662628549</v>
      </c>
      <c r="H31" s="63">
        <f>SUM(H24:H30)</f>
        <v>5725.3757870955542</v>
      </c>
      <c r="I31" s="64">
        <f>SUM(I24:I30)</f>
        <v>86684.171009982761</v>
      </c>
      <c r="J31" s="65">
        <f>+I31/H31</f>
        <v>15.140346107125499</v>
      </c>
      <c r="K31" s="63">
        <f>SUM(K24:K30)</f>
        <v>4892.7553551866513</v>
      </c>
      <c r="L31" s="64">
        <f>SUM(L24:L30)</f>
        <v>68677.318635997581</v>
      </c>
      <c r="M31" s="65">
        <f>+L31/K31</f>
        <v>14.036532311633971</v>
      </c>
      <c r="N31" s="63">
        <f>SUM(N24:N30)</f>
        <v>2106.574533103159</v>
      </c>
      <c r="O31" s="64">
        <f>SUM(O24:O30)</f>
        <v>29800.7691627684</v>
      </c>
      <c r="P31" s="65">
        <f>+O31/N31</f>
        <v>14.146553418582061</v>
      </c>
      <c r="Q31" s="63"/>
      <c r="R31" s="64"/>
      <c r="S31" s="65"/>
      <c r="T31" s="63">
        <f>SUM(T24:T30)</f>
        <v>19917.001632949592</v>
      </c>
      <c r="U31" s="64">
        <f>SUM(U24:U30)</f>
        <v>293209.85297953413</v>
      </c>
      <c r="V31" s="81"/>
      <c r="W31" s="34">
        <f>SUM(H31,K31,N31,Q31,E31)</f>
        <v>19917.001632949588</v>
      </c>
      <c r="X31" s="34">
        <f>SUM(R31,O31,L31,I31,F31)</f>
        <v>293209.85297953413</v>
      </c>
    </row>
    <row r="32" spans="1:24" x14ac:dyDescent="0.25">
      <c r="A32" s="55">
        <v>44503</v>
      </c>
      <c r="B32" s="56" t="s">
        <v>23</v>
      </c>
      <c r="C32" s="104">
        <v>-0.3</v>
      </c>
      <c r="D32" s="105">
        <v>0.76111111111111107</v>
      </c>
      <c r="E32" s="57">
        <f>Effort!F30</f>
        <v>2373.370739617978</v>
      </c>
      <c r="F32" s="135">
        <f>Harvest!F30</f>
        <v>42918.485418417898</v>
      </c>
      <c r="G32" s="96">
        <f>+CPUE!F30</f>
        <v>18.083346483544386</v>
      </c>
      <c r="H32" s="57">
        <f>Effort!H30</f>
        <v>1239.9509415743228</v>
      </c>
      <c r="I32" s="135">
        <f>Harvest!H30</f>
        <v>23559.067889912134</v>
      </c>
      <c r="J32" s="96">
        <f>CPUE!H30</f>
        <v>19</v>
      </c>
      <c r="K32" s="57" t="str">
        <f>Effort!J30</f>
        <v>CLOSED</v>
      </c>
      <c r="L32" s="135" t="str">
        <f>Harvest!J30</f>
        <v>CLOSED</v>
      </c>
      <c r="M32" s="96" t="str">
        <f>CPUE!J30</f>
        <v>CLOSED</v>
      </c>
      <c r="N32" s="57">
        <f>Effort!L30</f>
        <v>1290.5323676299099</v>
      </c>
      <c r="O32" s="135">
        <f>Harvest!L30</f>
        <v>25530.096837896101</v>
      </c>
      <c r="P32" s="96">
        <f>CPUE!L30</f>
        <v>19.782608695652218</v>
      </c>
      <c r="Q32" s="57" t="s">
        <v>10</v>
      </c>
      <c r="R32" s="58" t="s">
        <v>10</v>
      </c>
      <c r="S32" s="60" t="s">
        <v>10</v>
      </c>
      <c r="T32" s="57">
        <f>SUM(E32+H32+N32)</f>
        <v>4903.8540488222106</v>
      </c>
      <c r="U32" s="58">
        <f>SUM(F32+I32+O32)</f>
        <v>92007.650146226137</v>
      </c>
      <c r="V32" s="58"/>
    </row>
    <row r="33" spans="1:24" x14ac:dyDescent="0.25">
      <c r="A33" s="55">
        <v>44504</v>
      </c>
      <c r="B33" s="56" t="s">
        <v>24</v>
      </c>
      <c r="C33" s="104">
        <v>-1.1000000000000001</v>
      </c>
      <c r="D33" s="105">
        <v>0.79236111111111107</v>
      </c>
      <c r="E33" s="57">
        <f>Effort!F31</f>
        <v>1990.1762318778804</v>
      </c>
      <c r="F33" s="135">
        <f>Harvest!F31</f>
        <v>35823.172173801846</v>
      </c>
      <c r="G33" s="96">
        <f>+CPUE!F31</f>
        <v>18</v>
      </c>
      <c r="H33" s="57">
        <f>Effort!H31</f>
        <v>1162.8440010879799</v>
      </c>
      <c r="I33" s="135">
        <f>Harvest!H31</f>
        <v>20879.510063979698</v>
      </c>
      <c r="J33" s="96">
        <f>CPUE!H31</f>
        <v>17.955555555555531</v>
      </c>
      <c r="K33" s="57">
        <f>Effort!J31</f>
        <v>1998.1549973711301</v>
      </c>
      <c r="L33" s="135">
        <f>Harvest!J31</f>
        <v>35700.369286364097</v>
      </c>
      <c r="M33" s="96">
        <f>CPUE!J31</f>
        <v>17.866666666666621</v>
      </c>
      <c r="N33" s="57" t="str">
        <f>Effort!L31</f>
        <v>CLOSED</v>
      </c>
      <c r="O33" s="135" t="str">
        <f>Harvest!L31</f>
        <v>CLOSED</v>
      </c>
      <c r="P33" s="96" t="str">
        <f>CPUE!L31</f>
        <v>CLOSED</v>
      </c>
      <c r="Q33" s="57" t="s">
        <v>10</v>
      </c>
      <c r="R33" s="58" t="s">
        <v>10</v>
      </c>
      <c r="S33" s="60" t="s">
        <v>10</v>
      </c>
      <c r="T33" s="57">
        <f>SUM(E33+H33+K33)</f>
        <v>5151.1752303369904</v>
      </c>
      <c r="U33" s="58">
        <f>SUM(F33+I33+L33)</f>
        <v>92403.051524145645</v>
      </c>
      <c r="V33" s="58"/>
    </row>
    <row r="34" spans="1:24" x14ac:dyDescent="0.25">
      <c r="A34" s="55">
        <v>44505</v>
      </c>
      <c r="B34" s="56" t="s">
        <v>18</v>
      </c>
      <c r="C34" s="104">
        <v>-1.6</v>
      </c>
      <c r="D34" s="105">
        <v>0.82361111111111107</v>
      </c>
      <c r="E34" s="57">
        <f>Effort!F32</f>
        <v>3361.1059027674</v>
      </c>
      <c r="F34" s="135">
        <f>Harvest!F32</f>
        <v>60836.016840089942</v>
      </c>
      <c r="G34" s="96">
        <f>+CPUE!F32</f>
        <v>18.100000000000001</v>
      </c>
      <c r="H34" s="57">
        <f>Effort!H32</f>
        <v>1528.9665902279601</v>
      </c>
      <c r="I34" s="135">
        <f>Harvest!H32</f>
        <v>29574.582330980898</v>
      </c>
      <c r="J34" s="96">
        <f>CPUE!H32</f>
        <v>19.342857142857188</v>
      </c>
      <c r="K34" s="57" t="str">
        <f>Effort!J32</f>
        <v>CLOSED</v>
      </c>
      <c r="L34" s="135" t="str">
        <f>Harvest!J32</f>
        <v>CLOSED</v>
      </c>
      <c r="M34" s="96" t="str">
        <f>CPUE!J32</f>
        <v>CLOSED</v>
      </c>
      <c r="N34" s="57">
        <f>Effort!L32</f>
        <v>2365.3620990432</v>
      </c>
      <c r="O34" s="135">
        <f>Harvest!L32</f>
        <v>38528.109574799797</v>
      </c>
      <c r="P34" s="96">
        <f>CPUE!L32</f>
        <v>16.288461538461529</v>
      </c>
      <c r="Q34" s="57" t="s">
        <v>10</v>
      </c>
      <c r="R34" s="58" t="s">
        <v>10</v>
      </c>
      <c r="S34" s="60" t="s">
        <v>10</v>
      </c>
      <c r="T34" s="57">
        <f>SUM(E34+H34+N34)</f>
        <v>7255.4345920385604</v>
      </c>
      <c r="U34" s="58">
        <f>SUM(F34+I34+O34)</f>
        <v>128938.70874587065</v>
      </c>
      <c r="V34" s="58"/>
    </row>
    <row r="35" spans="1:24" x14ac:dyDescent="0.25">
      <c r="A35" s="55">
        <v>44506</v>
      </c>
      <c r="B35" s="56" t="s">
        <v>19</v>
      </c>
      <c r="C35" s="104">
        <v>-1.8</v>
      </c>
      <c r="D35" s="105">
        <v>0.85625000000000007</v>
      </c>
      <c r="E35" s="57">
        <f>Effort!F33</f>
        <v>3066.4566802374848</v>
      </c>
      <c r="F35" s="135">
        <f>Harvest!F33</f>
        <v>58875.968260559705</v>
      </c>
      <c r="G35" s="96">
        <f>+CPUE!F33</f>
        <v>19.2</v>
      </c>
      <c r="H35" s="57">
        <f>Effort!H33</f>
        <v>2199.1319699578899</v>
      </c>
      <c r="I35" s="135">
        <f>Harvest!H33</f>
        <v>40526.860589224001</v>
      </c>
      <c r="J35" s="96">
        <f>CPUE!H33</f>
        <v>18.428571428571441</v>
      </c>
      <c r="K35" s="57">
        <f>Effort!J33</f>
        <v>3078.7503346158901</v>
      </c>
      <c r="L35" s="135">
        <f>Harvest!J33</f>
        <v>52338.755688470097</v>
      </c>
      <c r="M35" s="96">
        <f>CPUE!J33</f>
        <v>16.999999999999989</v>
      </c>
      <c r="N35" s="57" t="str">
        <f>Effort!L33</f>
        <v>CLOSED</v>
      </c>
      <c r="O35" s="135" t="str">
        <f>Harvest!L33</f>
        <v>CLOSED</v>
      </c>
      <c r="P35" s="96" t="str">
        <f>CPUE!L33</f>
        <v>CLOSED</v>
      </c>
      <c r="Q35" s="57" t="s">
        <v>10</v>
      </c>
      <c r="R35" s="58" t="s">
        <v>10</v>
      </c>
      <c r="S35" s="60" t="s">
        <v>10</v>
      </c>
      <c r="T35" s="57">
        <f>SUM(E35+H35+K35)</f>
        <v>8344.3389848112638</v>
      </c>
      <c r="U35" s="58">
        <f>SUM(F35+I35+L35)</f>
        <v>151741.58453825381</v>
      </c>
      <c r="V35" s="58"/>
    </row>
    <row r="36" spans="1:24" x14ac:dyDescent="0.25">
      <c r="A36" s="55">
        <v>44507</v>
      </c>
      <c r="B36" s="56" t="s">
        <v>20</v>
      </c>
      <c r="C36" s="104">
        <v>-1.6</v>
      </c>
      <c r="D36" s="105">
        <v>0.84930555555555554</v>
      </c>
      <c r="E36" s="57">
        <f>Effort!F34</f>
        <v>1180.5346644958504</v>
      </c>
      <c r="F36" s="135">
        <f>Harvest!F34</f>
        <v>21249.623960925306</v>
      </c>
      <c r="G36" s="96">
        <f>+CPUE!F34</f>
        <v>18</v>
      </c>
      <c r="H36" s="57">
        <f>Effort!H34</f>
        <v>798.23319150831105</v>
      </c>
      <c r="I36" s="135">
        <f>Harvest!H34</f>
        <v>14604.7109853743</v>
      </c>
      <c r="J36" s="96">
        <f>CPUE!H34</f>
        <v>18.296296296296319</v>
      </c>
      <c r="K36" s="57" t="str">
        <f>Effort!J34</f>
        <v>CLOSED</v>
      </c>
      <c r="L36" s="135" t="str">
        <f>Harvest!J34</f>
        <v>CLOSED</v>
      </c>
      <c r="M36" s="96" t="str">
        <f>CPUE!J34</f>
        <v>CLOSED</v>
      </c>
      <c r="N36" s="57">
        <f>Effort!L34</f>
        <v>830.79558716255303</v>
      </c>
      <c r="O36" s="135">
        <f>Harvest!L34</f>
        <v>14303.1564600688</v>
      </c>
      <c r="P36" s="96">
        <f>CPUE!L34</f>
        <v>17.216216216216193</v>
      </c>
      <c r="Q36" s="57" t="s">
        <v>10</v>
      </c>
      <c r="R36" s="58" t="s">
        <v>10</v>
      </c>
      <c r="S36" s="60" t="s">
        <v>10</v>
      </c>
      <c r="T36" s="57">
        <f>SUM(E36+H36+N36)</f>
        <v>2809.5634431667145</v>
      </c>
      <c r="U36" s="58">
        <f>SUM(F36+I36+O36)</f>
        <v>50157.491406368405</v>
      </c>
      <c r="V36" s="58"/>
    </row>
    <row r="37" spans="1:24" x14ac:dyDescent="0.25">
      <c r="A37" s="55">
        <v>44508</v>
      </c>
      <c r="B37" s="56" t="s">
        <v>21</v>
      </c>
      <c r="C37" s="104">
        <v>-1.2</v>
      </c>
      <c r="D37" s="105">
        <v>0.88611111111111107</v>
      </c>
      <c r="E37" s="57">
        <f>Effort!F35</f>
        <v>513.33384692703237</v>
      </c>
      <c r="F37" s="135">
        <f>Harvest!F35</f>
        <v>9753.3430916136149</v>
      </c>
      <c r="G37" s="96">
        <f>+CPUE!F35</f>
        <v>19</v>
      </c>
      <c r="H37" s="57">
        <f>Effort!H35</f>
        <v>574.32223841606901</v>
      </c>
      <c r="I37" s="135">
        <f>Harvest!H35</f>
        <v>11486.4447683214</v>
      </c>
      <c r="J37" s="96">
        <f>CPUE!H35</f>
        <v>20.000000000000036</v>
      </c>
      <c r="K37" s="57">
        <f>Effort!J35</f>
        <v>783.14525745171204</v>
      </c>
      <c r="L37" s="135">
        <f>Harvest!J35</f>
        <v>15299.3019937888</v>
      </c>
      <c r="M37" s="96">
        <f>CPUE!J35</f>
        <v>19.535714285714281</v>
      </c>
      <c r="N37" s="57" t="str">
        <f>Effort!L35</f>
        <v>CLOSED</v>
      </c>
      <c r="O37" s="135" t="str">
        <f>Harvest!L35</f>
        <v>CLOSED</v>
      </c>
      <c r="P37" s="96" t="str">
        <f>CPUE!L35</f>
        <v>CLOSED</v>
      </c>
      <c r="Q37" s="57" t="s">
        <v>10</v>
      </c>
      <c r="R37" s="58" t="s">
        <v>10</v>
      </c>
      <c r="S37" s="60" t="s">
        <v>10</v>
      </c>
      <c r="T37" s="57">
        <f>SUM(E37+H37+K37)</f>
        <v>1870.8013427948135</v>
      </c>
      <c r="U37" s="58">
        <f>SUM(F37+I37+L37)</f>
        <v>36539.089853723817</v>
      </c>
      <c r="V37" s="58"/>
    </row>
    <row r="38" spans="1:24" x14ac:dyDescent="0.25">
      <c r="A38" s="55">
        <v>44509</v>
      </c>
      <c r="B38" s="56" t="s">
        <v>22</v>
      </c>
      <c r="C38" s="104">
        <v>-0.6</v>
      </c>
      <c r="D38" s="105">
        <v>0.92569444444444438</v>
      </c>
      <c r="E38" s="57">
        <f>Effort!F36</f>
        <v>118.04972561818656</v>
      </c>
      <c r="F38" s="135">
        <f>Harvest!F36</f>
        <v>1770.7458842727983</v>
      </c>
      <c r="G38" s="96">
        <f>+CPUE!F36</f>
        <v>15</v>
      </c>
      <c r="H38" s="57">
        <f>Effort!H36</f>
        <v>79.820789741169605</v>
      </c>
      <c r="I38" s="135">
        <f>Harvest!H36</f>
        <v>1197.3118461175441</v>
      </c>
      <c r="J38" s="96">
        <f>CPUE!H36</f>
        <v>15</v>
      </c>
      <c r="K38" s="57" t="str">
        <f>Effort!J36</f>
        <v>CLOSED</v>
      </c>
      <c r="L38" s="135" t="str">
        <f>Harvest!J36</f>
        <v>CLOSED</v>
      </c>
      <c r="M38" s="96" t="str">
        <f>CPUE!J36</f>
        <v>CLOSED</v>
      </c>
      <c r="N38" s="57">
        <f>Effort!L36</f>
        <v>83.076926124166604</v>
      </c>
      <c r="O38" s="135">
        <f>Harvest!L36</f>
        <v>1246.153891862499</v>
      </c>
      <c r="P38" s="96">
        <f>CPUE!L36</f>
        <v>15</v>
      </c>
      <c r="Q38" s="57" t="s">
        <v>10</v>
      </c>
      <c r="R38" s="58" t="s">
        <v>10</v>
      </c>
      <c r="S38" s="60" t="s">
        <v>10</v>
      </c>
      <c r="T38" s="57">
        <f>SUM(E38+H38+N38)</f>
        <v>280.94744148352277</v>
      </c>
      <c r="U38" s="58">
        <f>SUM(F38+I38+O38)</f>
        <v>4214.2116222528412</v>
      </c>
      <c r="V38" s="58"/>
    </row>
    <row r="39" spans="1:24" x14ac:dyDescent="0.25">
      <c r="A39" s="55">
        <v>44510</v>
      </c>
      <c r="B39" s="56" t="s">
        <v>23</v>
      </c>
      <c r="C39" s="104">
        <v>0</v>
      </c>
      <c r="D39" s="105">
        <v>0.96944444444444444</v>
      </c>
      <c r="E39" s="57">
        <f>Effort!F37</f>
        <v>63.737983278486375</v>
      </c>
      <c r="F39" s="135">
        <f>Harvest!F37</f>
        <v>828.59378262032283</v>
      </c>
      <c r="G39" s="96">
        <f>+CPUE!F37</f>
        <v>13</v>
      </c>
      <c r="H39" s="57">
        <f>Effort!H37</f>
        <v>61.3333333333333</v>
      </c>
      <c r="I39" s="135">
        <f>Harvest!H37</f>
        <v>797.33333333333292</v>
      </c>
      <c r="J39" s="96">
        <f>CPUE!H37</f>
        <v>13</v>
      </c>
      <c r="K39" s="57">
        <f>Effort!J37</f>
        <v>97.239057239057203</v>
      </c>
      <c r="L39" s="135">
        <f>Harvest!J37</f>
        <v>1269.2255892255901</v>
      </c>
      <c r="M39" s="96">
        <f>CPUE!J37</f>
        <v>13.052631578947382</v>
      </c>
      <c r="N39" s="57" t="str">
        <f>Effort!L37</f>
        <v>CLOSED</v>
      </c>
      <c r="O39" s="135" t="str">
        <f>Harvest!L37</f>
        <v>CLOSED</v>
      </c>
      <c r="P39" s="96" t="str">
        <f>CPUE!L37</f>
        <v>CLOSED</v>
      </c>
      <c r="Q39" s="57" t="s">
        <v>10</v>
      </c>
      <c r="R39" s="58" t="s">
        <v>10</v>
      </c>
      <c r="S39" s="60" t="s">
        <v>10</v>
      </c>
      <c r="T39" s="57">
        <f>SUM(E39+H39+K39)</f>
        <v>222.31037385087689</v>
      </c>
      <c r="U39" s="58">
        <f>SUM(F39+I39+L39)</f>
        <v>2895.1527051792455</v>
      </c>
      <c r="V39" s="58"/>
    </row>
    <row r="40" spans="1:24" x14ac:dyDescent="0.25">
      <c r="A40" s="148" t="s">
        <v>57</v>
      </c>
      <c r="B40" s="148"/>
      <c r="C40" s="148"/>
      <c r="D40" s="149"/>
      <c r="E40" s="63">
        <f>SUM(E32:E39)</f>
        <v>12666.765774820298</v>
      </c>
      <c r="F40" s="64">
        <f>SUM(F32:F39)</f>
        <v>232055.94941230144</v>
      </c>
      <c r="G40" s="65">
        <f>+F40/E40</f>
        <v>18.320063190368231</v>
      </c>
      <c r="H40" s="63">
        <f>SUM(H32:H39)</f>
        <v>7644.6030558470356</v>
      </c>
      <c r="I40" s="64">
        <f>SUM(I32:I39)</f>
        <v>142625.82180724331</v>
      </c>
      <c r="J40" s="65">
        <f>+I40/H40</f>
        <v>18.657060512534372</v>
      </c>
      <c r="K40" s="63">
        <f>SUM(K32:K39)</f>
        <v>5957.2896466777884</v>
      </c>
      <c r="L40" s="64">
        <f>SUM(L32:L39)</f>
        <v>104607.65255784859</v>
      </c>
      <c r="M40" s="65">
        <f>+L40/K40</f>
        <v>17.559604914658685</v>
      </c>
      <c r="N40" s="63">
        <f>SUM(N32:N39)</f>
        <v>4569.7669799598298</v>
      </c>
      <c r="O40" s="64">
        <f>SUM(O32:O39)</f>
        <v>79607.516764627202</v>
      </c>
      <c r="P40" s="65">
        <f>+O40/N40</f>
        <v>17.420476167326804</v>
      </c>
      <c r="Q40" s="63"/>
      <c r="R40" s="64"/>
      <c r="S40" s="65"/>
      <c r="T40" s="63">
        <f>SUM(T32:T39)</f>
        <v>30838.425457304951</v>
      </c>
      <c r="U40" s="64">
        <f>SUM(U32:U39)</f>
        <v>558896.9405420206</v>
      </c>
      <c r="V40" s="81"/>
      <c r="W40" s="34">
        <f>SUM(H40,K40,N40,Q40,E40)</f>
        <v>30838.425457304951</v>
      </c>
      <c r="X40" s="34">
        <f>SUM(R40,O40,L40,I40,F40)</f>
        <v>558896.94054202049</v>
      </c>
    </row>
    <row r="41" spans="1:24" x14ac:dyDescent="0.25">
      <c r="A41" s="131">
        <v>44516</v>
      </c>
      <c r="B41" s="132" t="s">
        <v>22</v>
      </c>
      <c r="C41" s="133">
        <v>0.5</v>
      </c>
      <c r="D41" s="134">
        <v>0.70138888888888884</v>
      </c>
      <c r="E41" s="57">
        <f>Effort!F39</f>
        <v>1559.9921918872906</v>
      </c>
      <c r="F41" s="135">
        <f>Harvest!F39</f>
        <v>30419.847741802165</v>
      </c>
      <c r="G41" s="96">
        <f>+CPUE!F39</f>
        <v>19.5</v>
      </c>
      <c r="H41" s="57">
        <f>Effort!H39</f>
        <v>1299.0173395313</v>
      </c>
      <c r="I41" s="135">
        <f>Harvest!H39</f>
        <v>24996.242745526499</v>
      </c>
      <c r="J41" s="96">
        <f>CPUE!H39</f>
        <v>19.242424242424217</v>
      </c>
      <c r="K41" s="57">
        <f>Effort!J39</f>
        <v>1466.0892648251199</v>
      </c>
      <c r="L41" s="135">
        <f>Harvest!J39</f>
        <v>28810.3588087727</v>
      </c>
      <c r="M41" s="96">
        <f>CPUE!J39</f>
        <v>19.651162790697672</v>
      </c>
      <c r="N41" s="57" t="str">
        <f>Effort!L39</f>
        <v>CLOSED</v>
      </c>
      <c r="O41" s="135" t="str">
        <f>Harvest!L39</f>
        <v>CLOSED</v>
      </c>
      <c r="P41" s="96" t="str">
        <f>CPUE!L39</f>
        <v>CLOSED</v>
      </c>
      <c r="Q41" s="57" t="s">
        <v>10</v>
      </c>
      <c r="R41" s="135" t="s">
        <v>10</v>
      </c>
      <c r="S41" s="60" t="s">
        <v>10</v>
      </c>
      <c r="T41" s="57">
        <f>SUM(E41+H41+K41)</f>
        <v>4325.0987962437102</v>
      </c>
      <c r="U41" s="135">
        <f>SUM(F41+I41+L41)</f>
        <v>84226.44929610136</v>
      </c>
      <c r="V41" s="81"/>
      <c r="W41" s="34"/>
      <c r="X41" s="34"/>
    </row>
    <row r="42" spans="1:24" x14ac:dyDescent="0.25">
      <c r="A42" s="131">
        <v>44517</v>
      </c>
      <c r="B42" s="132" t="s">
        <v>23</v>
      </c>
      <c r="C42" s="133">
        <v>0.1</v>
      </c>
      <c r="D42" s="134">
        <v>0.72777777777777775</v>
      </c>
      <c r="E42" s="57">
        <f>Effort!F40</f>
        <v>1103.422816749402</v>
      </c>
      <c r="F42" s="135">
        <f>Harvest!F40</f>
        <v>21620.145750663829</v>
      </c>
      <c r="G42" s="96">
        <f>+CPUE!F40</f>
        <v>19.593709158883538</v>
      </c>
      <c r="H42" s="57">
        <f>Effort!H40</f>
        <v>784.30016045543255</v>
      </c>
      <c r="I42" s="135">
        <f>Harvest!H40</f>
        <v>15293.853128880935</v>
      </c>
      <c r="J42" s="96">
        <f>CPUE!H40</f>
        <v>19.5</v>
      </c>
      <c r="K42" s="57" t="str">
        <f>Effort!J40</f>
        <v>CLOSED</v>
      </c>
      <c r="L42" s="135" t="str">
        <f>Harvest!J40</f>
        <v>CLOSED</v>
      </c>
      <c r="M42" s="96" t="str">
        <f>CPUE!J40</f>
        <v>CLOSED</v>
      </c>
      <c r="N42" s="57">
        <f>Effort!L40</f>
        <v>846.46098150135799</v>
      </c>
      <c r="O42" s="135">
        <f>Harvest!L40</f>
        <v>16467.5136401173</v>
      </c>
      <c r="P42" s="96">
        <f>CPUE!L40</f>
        <v>19.454545454545421</v>
      </c>
      <c r="Q42" s="57" t="s">
        <v>10</v>
      </c>
      <c r="R42" s="135" t="s">
        <v>10</v>
      </c>
      <c r="S42" s="60" t="s">
        <v>10</v>
      </c>
      <c r="T42" s="57">
        <f>SUM(E42+H42+N42)</f>
        <v>2734.1839587061922</v>
      </c>
      <c r="U42" s="135">
        <f>SUM(F42+I42+O42)</f>
        <v>53381.512519662065</v>
      </c>
      <c r="V42" s="81"/>
      <c r="W42" s="34"/>
      <c r="X42" s="34"/>
    </row>
    <row r="43" spans="1:24" x14ac:dyDescent="0.25">
      <c r="A43" s="131">
        <v>44518</v>
      </c>
      <c r="B43" s="132" t="s">
        <v>24</v>
      </c>
      <c r="C43" s="133">
        <v>-0.2</v>
      </c>
      <c r="D43" s="134">
        <v>0.75208333333333333</v>
      </c>
      <c r="E43" s="57">
        <f>Effort!F41</f>
        <v>598.56615550800348</v>
      </c>
      <c r="F43" s="135">
        <f>Harvest!F41</f>
        <v>11672.040032406068</v>
      </c>
      <c r="G43" s="96">
        <f>+CPUE!F41</f>
        <v>19.5</v>
      </c>
      <c r="H43" s="57">
        <f>Effort!H41</f>
        <v>498.43058119464155</v>
      </c>
      <c r="I43" s="135">
        <f>Harvest!H41</f>
        <v>9719.39633329551</v>
      </c>
      <c r="J43" s="96">
        <f>CPUE!H41</f>
        <v>19.5</v>
      </c>
      <c r="K43" s="57">
        <f>Effort!J41</f>
        <v>844.17121628361201</v>
      </c>
      <c r="L43" s="135">
        <f>Harvest!J41</f>
        <v>16672.381521601299</v>
      </c>
      <c r="M43" s="96">
        <f>CPUE!J41</f>
        <v>19.749999999999954</v>
      </c>
      <c r="N43" s="57" t="str">
        <f>Effort!L41</f>
        <v>CLOSED</v>
      </c>
      <c r="O43" s="135" t="str">
        <f>Harvest!L41</f>
        <v>CLOSED</v>
      </c>
      <c r="P43" s="96" t="str">
        <f>CPUE!L41</f>
        <v>CLOSED</v>
      </c>
      <c r="Q43" s="57" t="s">
        <v>10</v>
      </c>
      <c r="R43" s="135" t="s">
        <v>10</v>
      </c>
      <c r="S43" s="60" t="s">
        <v>10</v>
      </c>
      <c r="T43" s="57">
        <f>SUM(E43+H43+K43)</f>
        <v>1941.167952986257</v>
      </c>
      <c r="U43" s="135">
        <f>SUM(F43+I43+L43)</f>
        <v>38063.817887302881</v>
      </c>
      <c r="V43" s="81"/>
      <c r="W43" s="34"/>
      <c r="X43" s="34"/>
    </row>
    <row r="44" spans="1:24" x14ac:dyDescent="0.25">
      <c r="A44" s="131">
        <v>44519</v>
      </c>
      <c r="B44" s="132" t="s">
        <v>18</v>
      </c>
      <c r="C44" s="133">
        <v>-0.3</v>
      </c>
      <c r="D44" s="134">
        <v>0.77569444444444446</v>
      </c>
      <c r="E44" s="57">
        <f>Effort!F42</f>
        <v>1500.3021675091923</v>
      </c>
      <c r="F44" s="135">
        <f>Harvest!F42</f>
        <v>27005.439015165459</v>
      </c>
      <c r="G44" s="96">
        <f>+CPUE!F42</f>
        <v>18</v>
      </c>
      <c r="H44" s="57">
        <f>Effort!H42</f>
        <v>1066.39740709325</v>
      </c>
      <c r="I44" s="135">
        <f>Harvest!H42</f>
        <v>18661.9546241319</v>
      </c>
      <c r="J44" s="96">
        <f>CPUE!H42</f>
        <v>17.500000000000025</v>
      </c>
      <c r="K44" s="57" t="str">
        <f>Effort!J42</f>
        <v>CLOSED</v>
      </c>
      <c r="L44" s="135" t="str">
        <f>Harvest!J42</f>
        <v>CLOSED</v>
      </c>
      <c r="M44" s="96" t="str">
        <f>CPUE!J42</f>
        <v>CLOSED</v>
      </c>
      <c r="N44" s="57">
        <f>Effort!L42</f>
        <v>1368.05752491113</v>
      </c>
      <c r="O44" s="135">
        <f>Harvest!L42</f>
        <v>19836.834111211501</v>
      </c>
      <c r="P44" s="96">
        <f>CPUE!L42</f>
        <v>14.500000000000085</v>
      </c>
      <c r="Q44" s="57" t="s">
        <v>10</v>
      </c>
      <c r="R44" s="135" t="s">
        <v>10</v>
      </c>
      <c r="S44" s="60" t="s">
        <v>10</v>
      </c>
      <c r="T44" s="57">
        <f>SUM(E44+H44+N44)</f>
        <v>3934.757099513572</v>
      </c>
      <c r="U44" s="135">
        <f>SUM(F44+I44+O44)</f>
        <v>65504.227750508857</v>
      </c>
      <c r="V44" s="81"/>
      <c r="W44" s="34"/>
      <c r="X44" s="34"/>
    </row>
    <row r="45" spans="1:24" x14ac:dyDescent="0.25">
      <c r="A45" s="131">
        <v>44520</v>
      </c>
      <c r="B45" s="132" t="s">
        <v>19</v>
      </c>
      <c r="C45" s="133">
        <v>-0.3</v>
      </c>
      <c r="D45" s="134">
        <v>0.79861111111111116</v>
      </c>
      <c r="E45" s="57">
        <f>Effort!F43</f>
        <v>1965.582218119561</v>
      </c>
      <c r="F45" s="135">
        <f>Harvest!F43</f>
        <v>38902.628248870504</v>
      </c>
      <c r="G45" s="96">
        <f>+CPUE!F43</f>
        <v>19.791910961673221</v>
      </c>
      <c r="H45" s="57">
        <f>Effort!H43</f>
        <v>1636.75523306477</v>
      </c>
      <c r="I45" s="135">
        <f>Harvest!H43</f>
        <v>32371.381276169799</v>
      </c>
      <c r="J45" s="96">
        <f>CPUE!H43</f>
        <v>19.777777777777718</v>
      </c>
      <c r="K45" s="57">
        <f>Effort!J43</f>
        <v>2772.10449756751</v>
      </c>
      <c r="L45" s="135">
        <f>Harvest!J43</f>
        <v>51165.128726531802</v>
      </c>
      <c r="M45" s="96">
        <f>CPUE!J43</f>
        <v>18.457142857142873</v>
      </c>
      <c r="N45" s="57" t="str">
        <f>Effort!L43</f>
        <v>CLOSED</v>
      </c>
      <c r="O45" s="135" t="str">
        <f>Harvest!L43</f>
        <v>CLOSED</v>
      </c>
      <c r="P45" s="96" t="str">
        <f>CPUE!L43</f>
        <v>CLOSED</v>
      </c>
      <c r="Q45" s="57" t="s">
        <v>10</v>
      </c>
      <c r="R45" s="135" t="s">
        <v>10</v>
      </c>
      <c r="S45" s="60" t="s">
        <v>10</v>
      </c>
      <c r="T45" s="57">
        <f>SUM(E45+H45+K45)</f>
        <v>6374.4419487518408</v>
      </c>
      <c r="U45" s="135">
        <f>SUM(F45+I45+L45)</f>
        <v>122439.13825157212</v>
      </c>
      <c r="V45" s="81"/>
      <c r="W45" s="34"/>
      <c r="X45" s="34"/>
    </row>
    <row r="46" spans="1:24" x14ac:dyDescent="0.25">
      <c r="A46" s="131">
        <v>44521</v>
      </c>
      <c r="B46" s="132" t="s">
        <v>20</v>
      </c>
      <c r="C46" s="133">
        <v>-0.2</v>
      </c>
      <c r="D46" s="134">
        <v>0.8222222222222223</v>
      </c>
      <c r="E46" s="57">
        <f>Effort!F44</f>
        <v>420.44744506992902</v>
      </c>
      <c r="F46" s="135">
        <f>Harvest!F44</f>
        <v>7988.5014563286513</v>
      </c>
      <c r="G46" s="96">
        <f>+CPUE!F44</f>
        <v>19</v>
      </c>
      <c r="H46" s="57">
        <f>Effort!H44</f>
        <v>595.52796265707502</v>
      </c>
      <c r="I46" s="135">
        <f>Harvest!H44</f>
        <v>10982.236252528999</v>
      </c>
      <c r="J46" s="96">
        <f>CPUE!H44</f>
        <v>18.441176470588232</v>
      </c>
      <c r="K46" s="57" t="str">
        <f>Effort!J44</f>
        <v>CLOSED</v>
      </c>
      <c r="L46" s="135" t="str">
        <f>Harvest!J44</f>
        <v>CLOSED</v>
      </c>
      <c r="M46" s="96" t="str">
        <f>CPUE!J44</f>
        <v>CLOSED</v>
      </c>
      <c r="N46" s="57">
        <f>Effort!L44</f>
        <v>726.48021360676898</v>
      </c>
      <c r="O46" s="135">
        <f>Harvest!L44</f>
        <v>13294.5879090039</v>
      </c>
      <c r="P46" s="96">
        <f>CPUE!L44</f>
        <v>18.300000000000036</v>
      </c>
      <c r="Q46" s="57" t="s">
        <v>10</v>
      </c>
      <c r="R46" s="135" t="s">
        <v>10</v>
      </c>
      <c r="S46" s="60" t="s">
        <v>10</v>
      </c>
      <c r="T46" s="57">
        <f>SUM(E46+H46+N46)</f>
        <v>1742.455621333773</v>
      </c>
      <c r="U46" s="135">
        <f>SUM(F46+I46+O46)</f>
        <v>32265.325617861548</v>
      </c>
      <c r="V46" s="81"/>
      <c r="W46" s="34"/>
      <c r="X46" s="34"/>
    </row>
    <row r="47" spans="1:24" x14ac:dyDescent="0.25">
      <c r="A47" s="131">
        <v>44522</v>
      </c>
      <c r="B47" s="132" t="s">
        <v>21</v>
      </c>
      <c r="C47" s="133">
        <v>0</v>
      </c>
      <c r="D47" s="134">
        <v>0.84791666666666676</v>
      </c>
      <c r="E47" s="57">
        <f>Effort!F45</f>
        <v>240.89055787343111</v>
      </c>
      <c r="F47" s="135">
        <f>Harvest!F45</f>
        <v>3613.3583681014666</v>
      </c>
      <c r="G47" s="96">
        <f>+CPUE!F45</f>
        <v>15</v>
      </c>
      <c r="H47" s="57">
        <f>Effort!H45</f>
        <v>200.59139605588723</v>
      </c>
      <c r="I47" s="135">
        <f>Harvest!H45</f>
        <v>3008.8709408383083</v>
      </c>
      <c r="J47" s="96">
        <f>CPUE!H45</f>
        <v>15</v>
      </c>
      <c r="K47" s="57">
        <f>Effort!J45</f>
        <v>339.73333333333301</v>
      </c>
      <c r="L47" s="135">
        <f>Harvest!J45</f>
        <v>5120.2666666666701</v>
      </c>
      <c r="M47" s="96">
        <f>CPUE!J45</f>
        <v>15.071428571428596</v>
      </c>
      <c r="N47" s="57" t="str">
        <f>Effort!L45</f>
        <v>CLOSED</v>
      </c>
      <c r="O47" s="135" t="str">
        <f>Harvest!L45</f>
        <v>CLOSED</v>
      </c>
      <c r="P47" s="96" t="str">
        <f>CPUE!L45</f>
        <v>CLOSED</v>
      </c>
      <c r="Q47" s="57" t="s">
        <v>10</v>
      </c>
      <c r="R47" s="135" t="s">
        <v>10</v>
      </c>
      <c r="S47" s="60" t="s">
        <v>10</v>
      </c>
      <c r="T47" s="57">
        <f>SUM(E47+H47+K47)</f>
        <v>781.21528726265137</v>
      </c>
      <c r="U47" s="135">
        <f>SUM(F47+I47+L47)</f>
        <v>11742.495975606445</v>
      </c>
      <c r="V47" s="81"/>
      <c r="W47" s="34"/>
      <c r="X47" s="34"/>
    </row>
    <row r="48" spans="1:24" x14ac:dyDescent="0.25">
      <c r="A48" s="131">
        <v>44523</v>
      </c>
      <c r="B48" s="132" t="s">
        <v>22</v>
      </c>
      <c r="C48" s="133">
        <v>0.2</v>
      </c>
      <c r="D48" s="134">
        <v>0.875</v>
      </c>
      <c r="E48" s="57">
        <f>Effort!F46</f>
        <v>152.28689664981428</v>
      </c>
      <c r="F48" s="135">
        <f>Harvest!F46</f>
        <v>2436.5903463970285</v>
      </c>
      <c r="G48" s="96">
        <f>+CPUE!F46</f>
        <v>16</v>
      </c>
      <c r="H48" s="57">
        <f>Effort!H46</f>
        <v>108.24376264899628</v>
      </c>
      <c r="I48" s="135">
        <f>Harvest!H46</f>
        <v>1731.9002023839405</v>
      </c>
      <c r="J48" s="96">
        <f>CPUE!H46</f>
        <v>16</v>
      </c>
      <c r="K48" s="57" t="str">
        <f>Effort!J46</f>
        <v>CLOSED</v>
      </c>
      <c r="L48" s="135" t="str">
        <f>Harvest!J46</f>
        <v>CLOSED</v>
      </c>
      <c r="M48" s="96" t="str">
        <f>CPUE!J46</f>
        <v>CLOSED</v>
      </c>
      <c r="N48" s="57">
        <f>Effort!L46</f>
        <v>138.86351657614699</v>
      </c>
      <c r="O48" s="135">
        <f>Harvest!L46</f>
        <v>2211.8974426057698</v>
      </c>
      <c r="P48" s="96">
        <f>CPUE!L46</f>
        <v>15.928571428571427</v>
      </c>
      <c r="Q48" s="57" t="s">
        <v>10</v>
      </c>
      <c r="R48" s="135" t="s">
        <v>10</v>
      </c>
      <c r="S48" s="60" t="s">
        <v>10</v>
      </c>
      <c r="T48" s="57">
        <f>SUM(E48+H48+N48)</f>
        <v>399.39417587495757</v>
      </c>
      <c r="U48" s="135">
        <f>SUM(F48+I48+O48)</f>
        <v>6380.3879913867386</v>
      </c>
      <c r="V48" s="81"/>
      <c r="W48" s="34"/>
      <c r="X48" s="34"/>
    </row>
    <row r="49" spans="1:24" x14ac:dyDescent="0.25">
      <c r="A49" s="131">
        <v>44524</v>
      </c>
      <c r="B49" s="132" t="s">
        <v>23</v>
      </c>
      <c r="C49" s="133">
        <v>0.5</v>
      </c>
      <c r="D49" s="134">
        <v>0.90486111111111101</v>
      </c>
      <c r="E49" s="57">
        <f>Effort!F47</f>
        <v>331.0926111656579</v>
      </c>
      <c r="F49" s="135">
        <f>Harvest!F47</f>
        <v>4966.3891674848683</v>
      </c>
      <c r="G49" s="96">
        <f>+CPUE!F47</f>
        <v>15</v>
      </c>
      <c r="H49" s="57">
        <f>Effort!H47</f>
        <v>275.70333052407898</v>
      </c>
      <c r="I49" s="135">
        <f>Harvest!H47</f>
        <v>3899.2328174119798</v>
      </c>
      <c r="J49" s="96">
        <f>CPUE!H47</f>
        <v>14.142857142857164</v>
      </c>
      <c r="K49" s="57">
        <f>Effort!J47</f>
        <v>466.94730348230195</v>
      </c>
      <c r="L49" s="135">
        <f>Harvest!J47</f>
        <v>7004.2095522345289</v>
      </c>
      <c r="M49" s="96">
        <f>CPUE!J47</f>
        <v>15</v>
      </c>
      <c r="N49" s="57" t="str">
        <f>Effort!L47</f>
        <v>CLOSED</v>
      </c>
      <c r="O49" s="135" t="str">
        <f>Harvest!L47</f>
        <v>CLOSED</v>
      </c>
      <c r="P49" s="96" t="str">
        <f>CPUE!L47</f>
        <v>CLOSED</v>
      </c>
      <c r="Q49" s="57" t="s">
        <v>10</v>
      </c>
      <c r="R49" s="135" t="s">
        <v>10</v>
      </c>
      <c r="S49" s="60" t="s">
        <v>10</v>
      </c>
      <c r="T49" s="57">
        <f>SUM(E49+H49+K49)</f>
        <v>1073.7432451720388</v>
      </c>
      <c r="U49" s="135">
        <f>SUM(F49+I49+L49)</f>
        <v>15869.831537131377</v>
      </c>
      <c r="V49" s="81"/>
      <c r="W49" s="34"/>
      <c r="X49" s="34"/>
    </row>
    <row r="50" spans="1:24" x14ac:dyDescent="0.25">
      <c r="A50" s="148" t="s">
        <v>57</v>
      </c>
      <c r="B50" s="148"/>
      <c r="C50" s="148"/>
      <c r="D50" s="149"/>
      <c r="E50" s="63">
        <f>SUM(E41:E49)</f>
        <v>7872.5830605322817</v>
      </c>
      <c r="F50" s="64">
        <f>SUM(F41:F49)</f>
        <v>148624.94012722</v>
      </c>
      <c r="G50" s="65">
        <f>+F50/E50</f>
        <v>18.878802419033629</v>
      </c>
      <c r="H50" s="63">
        <f>SUM(H41:H49)</f>
        <v>6464.9671732254328</v>
      </c>
      <c r="I50" s="64">
        <f>SUM(I41:I49)</f>
        <v>120665.06832116787</v>
      </c>
      <c r="J50" s="65">
        <f>+I50/H50</f>
        <v>18.664451819786571</v>
      </c>
      <c r="K50" s="63">
        <f>SUM(K41:K49)</f>
        <v>5889.0456154918766</v>
      </c>
      <c r="L50" s="64">
        <f>SUM(L41:L49)</f>
        <v>108772.34527580699</v>
      </c>
      <c r="M50" s="65">
        <f>+L50/K50</f>
        <v>18.470284045630013</v>
      </c>
      <c r="N50" s="63">
        <f>SUM(N41:N49)</f>
        <v>3079.8622365954043</v>
      </c>
      <c r="O50" s="64">
        <f>SUM(O41:O49)</f>
        <v>51810.833102938472</v>
      </c>
      <c r="P50" s="65">
        <f>+O50/N50</f>
        <v>16.822451500367144</v>
      </c>
      <c r="Q50" s="63"/>
      <c r="R50" s="64"/>
      <c r="S50" s="65"/>
      <c r="T50" s="63">
        <f>SUM(T41:T49)</f>
        <v>23306.458085844992</v>
      </c>
      <c r="U50" s="64">
        <f>SUM(U41:U49)</f>
        <v>429873.18682713341</v>
      </c>
      <c r="V50" s="81"/>
      <c r="W50" s="34">
        <f>SUM(H50,K50,N50,Q50,E50)</f>
        <v>23306.458085844995</v>
      </c>
      <c r="X50" s="34">
        <f>SUM(R50,O50,L50,I50,F50)</f>
        <v>429873.18682713329</v>
      </c>
    </row>
    <row r="51" spans="1:24" s="10" customFormat="1" x14ac:dyDescent="0.25">
      <c r="A51" s="131">
        <v>44531</v>
      </c>
      <c r="B51" s="104" t="s">
        <v>23</v>
      </c>
      <c r="C51" s="104">
        <v>0.1</v>
      </c>
      <c r="D51" s="105">
        <v>0.67291666666666661</v>
      </c>
      <c r="E51" s="57">
        <f>Effort!F49</f>
        <v>1223.0098515172101</v>
      </c>
      <c r="F51" s="135">
        <f>Harvest!F49</f>
        <v>23237.187178826993</v>
      </c>
      <c r="G51" s="96">
        <f>+CPUE!F49</f>
        <v>19</v>
      </c>
      <c r="H51" s="57">
        <f>Effort!H49</f>
        <v>1067.65983766151</v>
      </c>
      <c r="I51" s="135">
        <f>Harvest!H49</f>
        <v>20235.8783184682</v>
      </c>
      <c r="J51" s="96">
        <f>CPUE!H49</f>
        <v>18.953488372093066</v>
      </c>
      <c r="K51" s="57">
        <f>Effort!J49</f>
        <v>1287.0640292414701</v>
      </c>
      <c r="L51" s="135">
        <f>Harvest!J49</f>
        <v>24847.4861200784</v>
      </c>
      <c r="M51" s="96">
        <f>CPUE!J49</f>
        <v>19.305555555555571</v>
      </c>
      <c r="N51" s="57" t="str">
        <f>Effort!L49</f>
        <v>CLOSED</v>
      </c>
      <c r="O51" s="135" t="str">
        <f>Harvest!L49</f>
        <v>CLOSED</v>
      </c>
      <c r="P51" s="96" t="str">
        <f>CPUE!L49</f>
        <v>CLOSED</v>
      </c>
      <c r="Q51" s="57" t="s">
        <v>10</v>
      </c>
      <c r="R51" s="135" t="s">
        <v>10</v>
      </c>
      <c r="S51" s="60" t="s">
        <v>10</v>
      </c>
      <c r="T51" s="57">
        <f>SUM(E51+H51+K51)</f>
        <v>3577.7337184201901</v>
      </c>
      <c r="U51" s="135">
        <f>SUM(F51+I51+L51)</f>
        <v>68320.551617373596</v>
      </c>
      <c r="V51" s="81"/>
      <c r="W51" s="138"/>
      <c r="X51" s="138"/>
    </row>
    <row r="52" spans="1:24" s="10" customFormat="1" x14ac:dyDescent="0.25">
      <c r="A52" s="131">
        <v>44532</v>
      </c>
      <c r="B52" s="104" t="s">
        <v>24</v>
      </c>
      <c r="C52" s="104">
        <v>-0.8</v>
      </c>
      <c r="D52" s="105">
        <v>0.70694444444444438</v>
      </c>
      <c r="E52" s="57">
        <f>Effort!F50</f>
        <v>2324.8567881956869</v>
      </c>
      <c r="F52" s="135">
        <f>Harvest!F50</f>
        <v>46497.1357639138</v>
      </c>
      <c r="G52" s="96">
        <f>+CPUE!F50</f>
        <v>20.000000000000025</v>
      </c>
      <c r="H52" s="57">
        <f>Effort!H50</f>
        <v>1115.3506712834353</v>
      </c>
      <c r="I52" s="135">
        <f>Harvest!H50</f>
        <v>21749.338090026988</v>
      </c>
      <c r="J52" s="96">
        <f>CPUE!H50</f>
        <v>19.5</v>
      </c>
      <c r="K52" s="57" t="str">
        <f>Effort!J50</f>
        <v>CLOSED</v>
      </c>
      <c r="L52" s="135" t="str">
        <f>Harvest!J50</f>
        <v>CLOSED</v>
      </c>
      <c r="M52" s="96" t="str">
        <f>CPUE!J50</f>
        <v>CLOSED</v>
      </c>
      <c r="N52" s="57">
        <f>Effort!L50</f>
        <v>1611.5335221145999</v>
      </c>
      <c r="O52" s="135">
        <f>Harvest!L50</f>
        <v>31751.047370234101</v>
      </c>
      <c r="P52" s="96">
        <f>CPUE!L50</f>
        <v>19.702380952380963</v>
      </c>
      <c r="Q52" s="57" t="s">
        <v>10</v>
      </c>
      <c r="R52" s="135" t="s">
        <v>10</v>
      </c>
      <c r="S52" s="60" t="s">
        <v>10</v>
      </c>
      <c r="T52" s="57">
        <f>SUM(E52+H52+N52)</f>
        <v>5051.7409815937217</v>
      </c>
      <c r="U52" s="135">
        <f>SUM(F52+I52+O52)</f>
        <v>99997.521224174881</v>
      </c>
      <c r="V52" s="81"/>
      <c r="W52" s="138"/>
      <c r="X52" s="138"/>
    </row>
    <row r="53" spans="1:24" s="10" customFormat="1" x14ac:dyDescent="0.25">
      <c r="A53" s="131">
        <v>44533</v>
      </c>
      <c r="B53" s="104" t="s">
        <v>18</v>
      </c>
      <c r="C53" s="104">
        <v>-1.5</v>
      </c>
      <c r="D53" s="105">
        <v>0.73958333333333337</v>
      </c>
      <c r="E53" s="57">
        <f>Effort!F51</f>
        <v>3511.4118679230764</v>
      </c>
      <c r="F53" s="135">
        <f>Harvest!F51</f>
        <v>66716.825490538453</v>
      </c>
      <c r="G53" s="96">
        <f>+CPUE!F51</f>
        <v>19</v>
      </c>
      <c r="H53" s="57">
        <f>Effort!H51</f>
        <v>2851.40437103452</v>
      </c>
      <c r="I53" s="135">
        <f>Harvest!H51</f>
        <v>54216.285888142404</v>
      </c>
      <c r="J53" s="96">
        <f>CPUE!H51</f>
        <v>19.013888888888864</v>
      </c>
      <c r="K53" s="57">
        <f>Effort!J51</f>
        <v>3695.3192988992</v>
      </c>
      <c r="L53" s="135">
        <f>Harvest!J51</f>
        <v>72819.527360660606</v>
      </c>
      <c r="M53" s="96">
        <f>CPUE!J51</f>
        <v>19.705882352941149</v>
      </c>
      <c r="N53" s="57" t="str">
        <f>Effort!L51</f>
        <v>CLOSED</v>
      </c>
      <c r="O53" s="135" t="str">
        <f>Harvest!L51</f>
        <v>CLOSED</v>
      </c>
      <c r="P53" s="96" t="str">
        <f>CPUE!L51</f>
        <v>CLOSED</v>
      </c>
      <c r="Q53" s="57" t="s">
        <v>10</v>
      </c>
      <c r="R53" s="135" t="s">
        <v>10</v>
      </c>
      <c r="S53" s="60" t="s">
        <v>10</v>
      </c>
      <c r="T53" s="57">
        <f>SUM(E53+H53+K53)</f>
        <v>10058.135537856797</v>
      </c>
      <c r="U53" s="135">
        <f>SUM(F53+I53+L53)</f>
        <v>193752.63873934146</v>
      </c>
      <c r="V53" s="81"/>
      <c r="W53" s="138"/>
      <c r="X53" s="138"/>
    </row>
    <row r="54" spans="1:24" s="10" customFormat="1" x14ac:dyDescent="0.25">
      <c r="A54" s="131">
        <v>44534</v>
      </c>
      <c r="B54" s="104" t="s">
        <v>19</v>
      </c>
      <c r="C54" s="104">
        <v>-1.9</v>
      </c>
      <c r="D54" s="105">
        <v>0.77222222222222225</v>
      </c>
      <c r="E54" s="57">
        <f>Effort!F52</f>
        <v>3286.740319910522</v>
      </c>
      <c r="F54" s="135">
        <f>Harvest!F52</f>
        <v>62448.066078299918</v>
      </c>
      <c r="G54" s="96">
        <f>+CPUE!F52</f>
        <v>19</v>
      </c>
      <c r="H54" s="57">
        <f>Effort!H52</f>
        <v>2582.5409346912402</v>
      </c>
      <c r="I54" s="135">
        <f>Harvest!H52</f>
        <v>47147.1192589364</v>
      </c>
      <c r="J54" s="96">
        <f>CPUE!H52</f>
        <v>18.256097560975601</v>
      </c>
      <c r="K54" s="57" t="str">
        <f>Effort!J52</f>
        <v>CLOSED</v>
      </c>
      <c r="L54" s="135" t="str">
        <f>Harvest!J52</f>
        <v>CLOSED</v>
      </c>
      <c r="M54" s="96" t="str">
        <f>CPUE!J52</f>
        <v>CLOSED</v>
      </c>
      <c r="N54" s="57">
        <f>Effort!L52</f>
        <v>3731.4285055291698</v>
      </c>
      <c r="O54" s="135">
        <f>Harvest!L52</f>
        <v>71311.744772335296</v>
      </c>
      <c r="P54" s="96">
        <f>CPUE!L52</f>
        <v>19.111111111111125</v>
      </c>
      <c r="Q54" s="57" t="s">
        <v>10</v>
      </c>
      <c r="R54" s="135" t="s">
        <v>10</v>
      </c>
      <c r="S54" s="60" t="s">
        <v>10</v>
      </c>
      <c r="T54" s="57">
        <f>SUM(E54+H54+N54)</f>
        <v>9600.7097601309324</v>
      </c>
      <c r="U54" s="135">
        <f>SUM(F54+I54+O54)</f>
        <v>180906.93010957161</v>
      </c>
      <c r="V54" s="81"/>
      <c r="W54" s="138"/>
      <c r="X54" s="138"/>
    </row>
    <row r="55" spans="1:24" s="10" customFormat="1" x14ac:dyDescent="0.25">
      <c r="A55" s="131">
        <v>44535</v>
      </c>
      <c r="B55" s="104" t="s">
        <v>20</v>
      </c>
      <c r="C55" s="104">
        <v>-2</v>
      </c>
      <c r="D55" s="105">
        <v>0.80555555555555547</v>
      </c>
      <c r="E55" s="57">
        <f>Effort!F53</f>
        <v>1239.4390466118587</v>
      </c>
      <c r="F55" s="135">
        <f>Harvest!F53</f>
        <v>23549.341885625316</v>
      </c>
      <c r="G55" s="96">
        <f>+CPUE!F53</f>
        <v>19</v>
      </c>
      <c r="H55" s="57">
        <f>Effort!H53</f>
        <v>1388.9351000259001</v>
      </c>
      <c r="I55" s="135">
        <f>Harvest!H53</f>
        <v>26520.798513702201</v>
      </c>
      <c r="J55" s="96">
        <f>CPUE!H53</f>
        <v>19.094339622641588</v>
      </c>
      <c r="K55" s="57">
        <f>Effort!J53</f>
        <v>1983.4432651038301</v>
      </c>
      <c r="L55" s="135">
        <f>Harvest!J53</f>
        <v>38393.794631652803</v>
      </c>
      <c r="M55" s="96">
        <f>CPUE!J53</f>
        <v>19.357142857142904</v>
      </c>
      <c r="N55" s="57" t="str">
        <f>Effort!L53</f>
        <v>CLOSED</v>
      </c>
      <c r="O55" s="135" t="str">
        <f>Harvest!L53</f>
        <v>CLOSED</v>
      </c>
      <c r="P55" s="96" t="str">
        <f>CPUE!L53</f>
        <v>CLOSED</v>
      </c>
      <c r="Q55" s="57" t="s">
        <v>10</v>
      </c>
      <c r="R55" s="135" t="s">
        <v>10</v>
      </c>
      <c r="S55" s="60" t="s">
        <v>10</v>
      </c>
      <c r="T55" s="57">
        <f>SUM(E55+H55+K55)</f>
        <v>4611.8174117415892</v>
      </c>
      <c r="U55" s="135">
        <f>SUM(F55+I55+L55)</f>
        <v>88463.935030980327</v>
      </c>
      <c r="V55" s="81"/>
      <c r="W55" s="138"/>
      <c r="X55" s="138"/>
    </row>
    <row r="56" spans="1:24" s="10" customFormat="1" x14ac:dyDescent="0.25">
      <c r="A56" s="131">
        <v>44536</v>
      </c>
      <c r="B56" s="104" t="s">
        <v>21</v>
      </c>
      <c r="C56" s="104">
        <v>-1.7</v>
      </c>
      <c r="D56" s="105">
        <v>0.83958333333333324</v>
      </c>
      <c r="E56" s="57">
        <f>Effort!F54</f>
        <v>581.12101797882292</v>
      </c>
      <c r="F56" s="135">
        <f>Harvest!F54</f>
        <v>11331.859850587047</v>
      </c>
      <c r="G56" s="96">
        <f>+CPUE!F54</f>
        <v>19.5</v>
      </c>
      <c r="H56" s="57">
        <f>Effort!H54</f>
        <v>352.66541373869802</v>
      </c>
      <c r="I56" s="135">
        <f>Harvest!H54</f>
        <v>6860.9453218255803</v>
      </c>
      <c r="J56" s="96">
        <f>CPUE!H54</f>
        <v>19.454545454545457</v>
      </c>
      <c r="K56" s="57" t="str">
        <f>Effort!J54</f>
        <v>CLOSED</v>
      </c>
      <c r="L56" s="135" t="str">
        <f>Harvest!J54</f>
        <v>CLOSED</v>
      </c>
      <c r="M56" s="96" t="str">
        <f>CPUE!J54</f>
        <v>CLOSED</v>
      </c>
      <c r="N56" s="57">
        <f>Effort!L54</f>
        <v>402.81879108994298</v>
      </c>
      <c r="O56" s="135">
        <f>Harvest!L54</f>
        <v>7877.3452479811003</v>
      </c>
      <c r="P56" s="96">
        <f>CPUE!L54</f>
        <v>19.555555555555539</v>
      </c>
      <c r="Q56" s="57" t="s">
        <v>10</v>
      </c>
      <c r="R56" s="135" t="s">
        <v>10</v>
      </c>
      <c r="S56" s="60" t="s">
        <v>10</v>
      </c>
      <c r="T56" s="57">
        <f>SUM(E56+H56+N56)</f>
        <v>1336.6052228074639</v>
      </c>
      <c r="U56" s="135">
        <f>SUM(F56+I56+O56)</f>
        <v>26070.150420393729</v>
      </c>
      <c r="V56" s="81"/>
      <c r="W56" s="138"/>
      <c r="X56" s="138"/>
    </row>
    <row r="57" spans="1:24" s="10" customFormat="1" x14ac:dyDescent="0.25">
      <c r="A57" s="131">
        <v>44537</v>
      </c>
      <c r="B57" s="104" t="s">
        <v>22</v>
      </c>
      <c r="C57" s="104">
        <v>-1.2</v>
      </c>
      <c r="D57" s="105">
        <v>0.87430555555555556</v>
      </c>
      <c r="E57" s="57">
        <f>Effort!F55</f>
        <v>327.23499094993792</v>
      </c>
      <c r="F57" s="135">
        <f>Harvest!F55</f>
        <v>6381.0823235237895</v>
      </c>
      <c r="G57" s="96">
        <f>+CPUE!F55</f>
        <v>19.5</v>
      </c>
      <c r="H57" s="57">
        <f>Effort!H55</f>
        <v>285.6687187608153</v>
      </c>
      <c r="I57" s="135">
        <f>Harvest!H55</f>
        <v>5570.540015835898</v>
      </c>
      <c r="J57" s="96">
        <f>CPUE!H55</f>
        <v>19.5</v>
      </c>
      <c r="K57" s="57">
        <f>Effort!J55</f>
        <v>344.37366586895098</v>
      </c>
      <c r="L57" s="135">
        <f>Harvest!J55</f>
        <v>6686.5886789554697</v>
      </c>
      <c r="M57" s="96">
        <f>CPUE!J55</f>
        <v>19.416666666666682</v>
      </c>
      <c r="N57" s="57" t="str">
        <f>Effort!L55</f>
        <v>CLOSED</v>
      </c>
      <c r="O57" s="135" t="str">
        <f>Harvest!L55</f>
        <v>CLOSED</v>
      </c>
      <c r="P57" s="96" t="str">
        <f>CPUE!L55</f>
        <v>CLOSED</v>
      </c>
      <c r="Q57" s="57" t="s">
        <v>10</v>
      </c>
      <c r="R57" s="135" t="s">
        <v>10</v>
      </c>
      <c r="S57" s="60" t="s">
        <v>10</v>
      </c>
      <c r="T57" s="57">
        <f>SUM(E57+H57+K57)</f>
        <v>957.2773755797042</v>
      </c>
      <c r="U57" s="135">
        <f>SUM(F57+I57+L57)</f>
        <v>18638.21101831516</v>
      </c>
      <c r="V57" s="81"/>
      <c r="W57" s="138"/>
      <c r="X57" s="138"/>
    </row>
    <row r="58" spans="1:24" s="10" customFormat="1" x14ac:dyDescent="0.25">
      <c r="A58" s="131">
        <v>44538</v>
      </c>
      <c r="B58" s="104" t="s">
        <v>23</v>
      </c>
      <c r="C58" s="104">
        <v>-0.6</v>
      </c>
      <c r="D58" s="105">
        <v>0.91041666666666676</v>
      </c>
      <c r="E58" s="57">
        <f>Effort!F56</f>
        <v>214.1915306783219</v>
      </c>
      <c r="F58" s="135">
        <f>Harvest!F56</f>
        <v>3212.8729601748282</v>
      </c>
      <c r="G58" s="96">
        <f>+CPUE!F56</f>
        <v>15</v>
      </c>
      <c r="H58" s="57">
        <f>Effort!H56</f>
        <v>168.3</v>
      </c>
      <c r="I58" s="135">
        <f>Harvest!H56</f>
        <v>3289.5</v>
      </c>
      <c r="J58" s="96">
        <f>CPUE!H56</f>
        <v>19.545454545454543</v>
      </c>
      <c r="K58" s="57" t="str">
        <f>Effort!J56</f>
        <v>CLOSED</v>
      </c>
      <c r="L58" s="135" t="str">
        <f>Harvest!J56</f>
        <v>CLOSED</v>
      </c>
      <c r="M58" s="96" t="str">
        <f>CPUE!J56</f>
        <v>CLOSED</v>
      </c>
      <c r="N58" s="57">
        <f>Effort!L56</f>
        <v>105.923888214988</v>
      </c>
      <c r="O58" s="135">
        <f>Harvest!L56</f>
        <v>1047.4695612371099</v>
      </c>
      <c r="P58" s="96">
        <f>CPUE!L56</f>
        <v>9.8888888888889497</v>
      </c>
      <c r="Q58" s="57" t="s">
        <v>10</v>
      </c>
      <c r="R58" s="135" t="s">
        <v>10</v>
      </c>
      <c r="S58" s="60" t="s">
        <v>10</v>
      </c>
      <c r="T58" s="57">
        <f>SUM(E58+H58+N58)</f>
        <v>488.41541889330989</v>
      </c>
      <c r="U58" s="135">
        <f>SUM(F58+I58+O58)</f>
        <v>7549.8425214119379</v>
      </c>
      <c r="V58" s="81"/>
      <c r="W58" s="138"/>
      <c r="X58" s="138"/>
    </row>
    <row r="59" spans="1:24" s="10" customFormat="1" x14ac:dyDescent="0.25">
      <c r="A59" s="131">
        <v>44539</v>
      </c>
      <c r="B59" s="104" t="s">
        <v>24</v>
      </c>
      <c r="C59" s="104">
        <v>0.1</v>
      </c>
      <c r="D59" s="105">
        <v>0.94791666666666663</v>
      </c>
      <c r="E59" s="57">
        <f>Effort!F57</f>
        <v>69.408275986726963</v>
      </c>
      <c r="F59" s="135">
        <f>Harvest!F57</f>
        <v>867.60344983408709</v>
      </c>
      <c r="G59" s="96">
        <f>+CPUE!F57</f>
        <v>12.5</v>
      </c>
      <c r="H59" s="57">
        <f>Effort!H57</f>
        <v>51.14976297671474</v>
      </c>
      <c r="I59" s="135">
        <f>Harvest!H57</f>
        <v>639.37203720893422</v>
      </c>
      <c r="J59" s="96">
        <f>CPUE!H57</f>
        <v>12.5</v>
      </c>
      <c r="K59" s="57">
        <f>Effort!J57</f>
        <v>73.043479775210699</v>
      </c>
      <c r="L59" s="135">
        <f>Harvest!J57</f>
        <v>907.82610577761795</v>
      </c>
      <c r="M59" s="96">
        <f>CPUE!J57</f>
        <v>12.428571428571418</v>
      </c>
      <c r="N59" s="57" t="str">
        <f>Effort!L57</f>
        <v>CLOSED</v>
      </c>
      <c r="O59" s="135" t="str">
        <f>Harvest!L57</f>
        <v>CLOSED</v>
      </c>
      <c r="P59" s="96" t="str">
        <f>CPUE!L57</f>
        <v>CLOSED</v>
      </c>
      <c r="Q59" s="57" t="s">
        <v>10</v>
      </c>
      <c r="R59" s="135" t="s">
        <v>10</v>
      </c>
      <c r="S59" s="60" t="s">
        <v>10</v>
      </c>
      <c r="T59" s="57">
        <f>SUM(E59+H59+K59)</f>
        <v>193.6015187386524</v>
      </c>
      <c r="U59" s="135">
        <f>SUM(F59+I59+L59)</f>
        <v>2414.8015928206391</v>
      </c>
      <c r="V59" s="81"/>
      <c r="W59" s="138"/>
      <c r="X59" s="138"/>
    </row>
    <row r="60" spans="1:24" s="10" customFormat="1" x14ac:dyDescent="0.25">
      <c r="A60" s="148" t="s">
        <v>57</v>
      </c>
      <c r="B60" s="148"/>
      <c r="C60" s="148"/>
      <c r="D60" s="149"/>
      <c r="E60" s="63">
        <f>SUM(E51:E59)</f>
        <v>12777.413689752164</v>
      </c>
      <c r="F60" s="64">
        <f>SUM(F51:F59)</f>
        <v>244241.97498132425</v>
      </c>
      <c r="G60" s="65">
        <f>+F60/E60</f>
        <v>19.115134010039373</v>
      </c>
      <c r="H60" s="63">
        <f>SUM(H51:H59)</f>
        <v>9863.6748101728317</v>
      </c>
      <c r="I60" s="64">
        <f>SUM(I51:I59)</f>
        <v>186229.77744414663</v>
      </c>
      <c r="J60" s="65">
        <f>+I60/H60</f>
        <v>18.880364674236812</v>
      </c>
      <c r="K60" s="63">
        <f>SUM(K51:K59)</f>
        <v>7383.243738888661</v>
      </c>
      <c r="L60" s="64">
        <f>SUM(L51:L59)</f>
        <v>143655.22289712488</v>
      </c>
      <c r="M60" s="65">
        <f>+L60/K60</f>
        <v>19.45692543515408</v>
      </c>
      <c r="N60" s="63">
        <f>SUM(N51:N59)</f>
        <v>5851.7047069487016</v>
      </c>
      <c r="O60" s="64">
        <f>SUM(O51:O59)</f>
        <v>111987.6069517876</v>
      </c>
      <c r="P60" s="65">
        <f>+O60/N60</f>
        <v>19.137603922290559</v>
      </c>
      <c r="Q60" s="63"/>
      <c r="R60" s="64"/>
      <c r="S60" s="65"/>
      <c r="T60" s="63">
        <f>SUM(T51:T59)</f>
        <v>35876.036945762353</v>
      </c>
      <c r="U60" s="64">
        <f>SUM(U51:U59)</f>
        <v>686114.5822743834</v>
      </c>
      <c r="V60" s="81"/>
      <c r="W60" s="138">
        <f>SUM(H60,K60,N60,Q60,E60)</f>
        <v>35876.03694576236</v>
      </c>
      <c r="X60" s="138">
        <f>SUM(R60,O60,L60,I60,F60)</f>
        <v>686114.5822743834</v>
      </c>
    </row>
    <row r="61" spans="1:24" x14ac:dyDescent="0.25">
      <c r="A61" s="55">
        <v>44545</v>
      </c>
      <c r="B61" s="104" t="s">
        <v>23</v>
      </c>
      <c r="C61" s="104">
        <v>0.6</v>
      </c>
      <c r="D61" s="105">
        <v>0.68611111111111101</v>
      </c>
      <c r="E61" s="57">
        <f>Effort!F59</f>
        <v>196.51347976094536</v>
      </c>
      <c r="F61" s="135">
        <f>Harvest!F59</f>
        <v>2456.4184970118172</v>
      </c>
      <c r="G61" s="96">
        <f>+CPUE!F59</f>
        <v>12.5</v>
      </c>
      <c r="H61" s="57">
        <f>Effort!H59</f>
        <v>193.29366621222951</v>
      </c>
      <c r="I61" s="135">
        <f>Harvest!H59</f>
        <v>2416.1708276528689</v>
      </c>
      <c r="J61" s="96">
        <f>CPUE!H59</f>
        <v>12.5</v>
      </c>
      <c r="K61" s="57" t="str">
        <f>Effort!J59</f>
        <v>CLOSED</v>
      </c>
      <c r="L61" s="135" t="str">
        <f>Harvest!J59</f>
        <v>CLOSED</v>
      </c>
      <c r="M61" s="96" t="str">
        <f>CPUE!J59</f>
        <v>CLOSED</v>
      </c>
      <c r="N61" s="57">
        <f>Effort!L59</f>
        <v>371.68653043627302</v>
      </c>
      <c r="O61" s="135">
        <f>Harvest!L59</f>
        <v>4625.4323787624999</v>
      </c>
      <c r="P61" s="96">
        <f>CPUE!L59</f>
        <v>12.444444444444422</v>
      </c>
      <c r="Q61" s="57" t="s">
        <v>10</v>
      </c>
      <c r="R61" s="58" t="s">
        <v>10</v>
      </c>
      <c r="S61" s="60" t="s">
        <v>10</v>
      </c>
      <c r="T61" s="57">
        <f>SUM(E61+H61+N61)</f>
        <v>761.49367640944797</v>
      </c>
      <c r="U61" s="58">
        <f>SUM(F61+I61+O61)</f>
        <v>9498.0217034271864</v>
      </c>
      <c r="V61" s="58"/>
    </row>
    <row r="62" spans="1:24" x14ac:dyDescent="0.25">
      <c r="A62" s="55">
        <v>44546</v>
      </c>
      <c r="B62" s="104" t="s">
        <v>24</v>
      </c>
      <c r="C62" s="104">
        <v>0.1</v>
      </c>
      <c r="D62" s="105">
        <v>0.72013888888888899</v>
      </c>
      <c r="E62" s="57">
        <f>Effort!F60</f>
        <v>882.01018695637754</v>
      </c>
      <c r="F62" s="135">
        <f>Harvest!F60</f>
        <v>15435.178271736608</v>
      </c>
      <c r="G62" s="96">
        <f>+CPUE!F60</f>
        <v>17.5</v>
      </c>
      <c r="H62" s="57">
        <f>Effort!H60</f>
        <v>838.04034543043701</v>
      </c>
      <c r="I62" s="135">
        <f>Harvest!H60</f>
        <v>14446.2192878961</v>
      </c>
      <c r="J62" s="96">
        <f>CPUE!H60</f>
        <v>17.238095238095234</v>
      </c>
      <c r="K62" s="57">
        <f>Effort!J60</f>
        <v>1041.3948717948699</v>
      </c>
      <c r="L62" s="135">
        <f>Harvest!J60</f>
        <v>20553.8461538462</v>
      </c>
      <c r="M62" s="96">
        <f>CPUE!J60</f>
        <v>19.736842105263239</v>
      </c>
      <c r="N62" s="57" t="str">
        <f>Effort!L60</f>
        <v>CLOSED</v>
      </c>
      <c r="O62" s="135" t="str">
        <f>Harvest!L60</f>
        <v>CLOSED</v>
      </c>
      <c r="P62" s="96" t="str">
        <f>CPUE!L60</f>
        <v>CLOSED</v>
      </c>
      <c r="Q62" s="57" t="s">
        <v>10</v>
      </c>
      <c r="R62" s="58" t="s">
        <v>10</v>
      </c>
      <c r="S62" s="60" t="s">
        <v>10</v>
      </c>
      <c r="T62" s="57">
        <f>SUM(E62+H62+K62)</f>
        <v>2761.4454041816844</v>
      </c>
      <c r="U62" s="58">
        <f>SUM(F62+I62+L62)</f>
        <v>50435.243713478907</v>
      </c>
      <c r="V62" s="58"/>
    </row>
    <row r="63" spans="1:24" x14ac:dyDescent="0.25">
      <c r="A63" s="55">
        <v>44547</v>
      </c>
      <c r="B63" s="104" t="s">
        <v>18</v>
      </c>
      <c r="C63" s="104">
        <v>-0.2</v>
      </c>
      <c r="D63" s="105">
        <v>0.73819444444444438</v>
      </c>
      <c r="E63" s="57">
        <f>Effort!F61</f>
        <v>1291.7520048024817</v>
      </c>
      <c r="F63" s="135">
        <f>Harvest!F61</f>
        <v>25189.164093648393</v>
      </c>
      <c r="G63" s="96">
        <f>+CPUE!F61</f>
        <v>19.5</v>
      </c>
      <c r="H63" s="57">
        <f>Effort!H61</f>
        <v>851.77662838041397</v>
      </c>
      <c r="I63" s="135">
        <f>Harvest!H61</f>
        <v>16808.392133373502</v>
      </c>
      <c r="J63" s="96">
        <f>CPUE!H61</f>
        <v>19.733333333333331</v>
      </c>
      <c r="K63" s="57" t="str">
        <f>Effort!J61</f>
        <v>CLOSED</v>
      </c>
      <c r="L63" s="135" t="str">
        <f>Harvest!J61</f>
        <v>CLOSED</v>
      </c>
      <c r="M63" s="96" t="str">
        <f>CPUE!J61</f>
        <v>CLOSED</v>
      </c>
      <c r="N63" s="57">
        <f>Effort!L61</f>
        <v>628.72970629378597</v>
      </c>
      <c r="O63" s="135">
        <f>Harvest!L61</f>
        <v>8872.0747443678702</v>
      </c>
      <c r="P63" s="96">
        <f>CPUE!L61</f>
        <v>14.111111111111114</v>
      </c>
      <c r="Q63" s="57" t="s">
        <v>10</v>
      </c>
      <c r="R63" s="58" t="s">
        <v>10</v>
      </c>
      <c r="S63" s="60" t="s">
        <v>10</v>
      </c>
      <c r="T63" s="57">
        <f>SUM(E63+H63+N63)</f>
        <v>2772.2583394766816</v>
      </c>
      <c r="U63" s="58">
        <f>SUM(F63+I63+O63)</f>
        <v>50869.630971389764</v>
      </c>
      <c r="V63" s="58"/>
    </row>
    <row r="64" spans="1:24" x14ac:dyDescent="0.25">
      <c r="A64" s="55">
        <v>44548</v>
      </c>
      <c r="B64" s="104" t="s">
        <v>19</v>
      </c>
      <c r="C64" s="104">
        <v>-0.3</v>
      </c>
      <c r="D64" s="105">
        <v>0.76250000000000007</v>
      </c>
      <c r="E64" s="57">
        <f>Effort!F62</f>
        <v>1050.3171718792858</v>
      </c>
      <c r="F64" s="135">
        <f>Harvest!F62</f>
        <v>20481.18485164607</v>
      </c>
      <c r="G64" s="96">
        <f>+CPUE!F62</f>
        <v>19.5</v>
      </c>
      <c r="H64" s="57">
        <f>Effort!H62</f>
        <v>689.32807753229099</v>
      </c>
      <c r="I64" s="135">
        <f>Harvest!H62</f>
        <v>11465.8236896204</v>
      </c>
      <c r="J64" s="96">
        <f>CPUE!H62</f>
        <v>16.633333333333276</v>
      </c>
      <c r="K64" s="57">
        <f>Effort!J62</f>
        <v>1240.1159677391299</v>
      </c>
      <c r="L64" s="135">
        <f>Harvest!J62</f>
        <v>24137.971514922399</v>
      </c>
      <c r="M64" s="96">
        <f>CPUE!J62</f>
        <v>19.464285714285754</v>
      </c>
      <c r="N64" s="57" t="str">
        <f>Effort!L62</f>
        <v>CLOSED</v>
      </c>
      <c r="O64" s="135" t="str">
        <f>Harvest!L62</f>
        <v>CLOSED</v>
      </c>
      <c r="P64" s="96" t="str">
        <f>CPUE!L62</f>
        <v>CLOSED</v>
      </c>
      <c r="Q64" s="57" t="s">
        <v>10</v>
      </c>
      <c r="R64" s="58" t="s">
        <v>10</v>
      </c>
      <c r="S64" s="60" t="s">
        <v>10</v>
      </c>
      <c r="T64" s="57">
        <f>SUM(E64+H64+K64)</f>
        <v>2979.7612171507067</v>
      </c>
      <c r="U64" s="58">
        <f>SUM(F64+I64+L64)</f>
        <v>56084.98005618887</v>
      </c>
      <c r="V64" s="58"/>
    </row>
    <row r="65" spans="1:24" x14ac:dyDescent="0.25">
      <c r="A65" s="55">
        <v>44549</v>
      </c>
      <c r="B65" s="104" t="s">
        <v>20</v>
      </c>
      <c r="C65" s="104">
        <v>-0.4</v>
      </c>
      <c r="D65" s="105">
        <v>0.78611111111111109</v>
      </c>
      <c r="E65" s="57">
        <f>Effort!F63</f>
        <v>827.64063995837637</v>
      </c>
      <c r="F65" s="135">
        <f>Harvest!F63</f>
        <v>16138.992479188339</v>
      </c>
      <c r="G65" s="96">
        <f>+CPUE!F63</f>
        <v>19.5</v>
      </c>
      <c r="H65" s="57">
        <f>Effort!H63</f>
        <v>814.08</v>
      </c>
      <c r="I65" s="135">
        <f>Harvest!H63</f>
        <v>12103.68</v>
      </c>
      <c r="J65" s="96">
        <f>CPUE!H63</f>
        <v>14.867924528301886</v>
      </c>
      <c r="K65" s="57" t="str">
        <f>Effort!J63</f>
        <v>CLOSED</v>
      </c>
      <c r="L65" s="135" t="str">
        <f>Harvest!J63</f>
        <v>CLOSED</v>
      </c>
      <c r="M65" s="96" t="str">
        <f>CPUE!J63</f>
        <v>CLOSED</v>
      </c>
      <c r="N65" s="57">
        <f>Effort!L63</f>
        <v>788.8</v>
      </c>
      <c r="O65" s="135">
        <f>Harvest!L63</f>
        <v>14934.6133333333</v>
      </c>
      <c r="P65" s="96">
        <f>CPUE!L63</f>
        <v>18.933333333333291</v>
      </c>
      <c r="Q65" s="57" t="s">
        <v>10</v>
      </c>
      <c r="R65" s="58" t="s">
        <v>10</v>
      </c>
      <c r="S65" s="60" t="s">
        <v>10</v>
      </c>
      <c r="T65" s="57">
        <f>SUM(E65+H65+N65)</f>
        <v>2430.5206399583767</v>
      </c>
      <c r="U65" s="58">
        <f>SUM(F65+I65+O65)</f>
        <v>43177.285812521637</v>
      </c>
      <c r="V65" s="58"/>
    </row>
    <row r="66" spans="1:24" x14ac:dyDescent="0.25">
      <c r="A66" s="55">
        <v>44550</v>
      </c>
      <c r="B66" s="104" t="s">
        <v>21</v>
      </c>
      <c r="C66" s="104">
        <v>-0.3</v>
      </c>
      <c r="D66" s="105">
        <v>0.81041666666666667</v>
      </c>
      <c r="E66" s="57">
        <f>Effort!F64</f>
        <v>272.59711230466741</v>
      </c>
      <c r="F66" s="135">
        <f>Harvest!F64</f>
        <v>3543.7624599606761</v>
      </c>
      <c r="G66" s="96">
        <f>+CPUE!F64</f>
        <v>13</v>
      </c>
      <c r="H66" s="57">
        <f>Effort!H64</f>
        <v>259.00764133741427</v>
      </c>
      <c r="I66" s="135">
        <f>Harvest!H64</f>
        <v>3367.0993373863857</v>
      </c>
      <c r="J66" s="96">
        <f>CPUE!H64</f>
        <v>13</v>
      </c>
      <c r="K66" s="57">
        <f>Effort!J64</f>
        <v>321.857093056694</v>
      </c>
      <c r="L66" s="135">
        <f>Harvest!J64</f>
        <v>4269.3396755461399</v>
      </c>
      <c r="M66" s="96">
        <f>CPUE!J64</f>
        <v>13.264705882352919</v>
      </c>
      <c r="N66" s="57" t="str">
        <f>Effort!L64</f>
        <v>CLOSED</v>
      </c>
      <c r="O66" s="135" t="str">
        <f>Harvest!L64</f>
        <v>CLOSED</v>
      </c>
      <c r="P66" s="96" t="str">
        <f>CPUE!L64</f>
        <v>CLOSED</v>
      </c>
      <c r="Q66" s="57" t="s">
        <v>10</v>
      </c>
      <c r="R66" s="58" t="s">
        <v>10</v>
      </c>
      <c r="S66" s="60" t="s">
        <v>10</v>
      </c>
      <c r="T66" s="57">
        <f>SUM(E66+H66+K66)</f>
        <v>853.46184669877573</v>
      </c>
      <c r="U66" s="58">
        <f>SUM(F66+I66+L66)</f>
        <v>11180.201472893201</v>
      </c>
      <c r="V66" s="58"/>
    </row>
    <row r="67" spans="1:24" x14ac:dyDescent="0.25">
      <c r="A67" s="55">
        <v>44551</v>
      </c>
      <c r="B67" s="104" t="s">
        <v>22</v>
      </c>
      <c r="C67" s="104">
        <v>-0.2</v>
      </c>
      <c r="D67" s="105">
        <v>0.83472222222222225</v>
      </c>
      <c r="E67" s="57">
        <f>Effort!F65</f>
        <v>154.44815187864225</v>
      </c>
      <c r="F67" s="135">
        <f>Harvest!F65</f>
        <v>2007.8259744223492</v>
      </c>
      <c r="G67" s="96">
        <f>+CPUE!F65</f>
        <v>13</v>
      </c>
      <c r="H67" s="57">
        <f>Effort!H65</f>
        <v>179.2</v>
      </c>
      <c r="I67" s="135">
        <f>Harvest!H65</f>
        <v>2468.9777777777799</v>
      </c>
      <c r="J67" s="96">
        <f>CPUE!H65</f>
        <v>13.777777777777791</v>
      </c>
      <c r="K67" s="57" t="str">
        <f>Effort!J65</f>
        <v>CLOSED</v>
      </c>
      <c r="L67" s="135" t="str">
        <f>Harvest!J65</f>
        <v>CLOSED</v>
      </c>
      <c r="M67" s="96" t="str">
        <f>CPUE!J65</f>
        <v>CLOSED</v>
      </c>
      <c r="N67" s="57">
        <f>Effort!L65</f>
        <v>147.19999999999999</v>
      </c>
      <c r="O67" s="135">
        <f>Harvest!L65</f>
        <v>1095.82222222222</v>
      </c>
      <c r="P67" s="96">
        <f>CPUE!L65</f>
        <v>7.4444444444444304</v>
      </c>
      <c r="Q67" s="57" t="s">
        <v>10</v>
      </c>
      <c r="R67" s="58" t="s">
        <v>10</v>
      </c>
      <c r="S67" s="60" t="s">
        <v>10</v>
      </c>
      <c r="T67" s="57">
        <f>SUM(E67+H67+N67)</f>
        <v>480.84815187864223</v>
      </c>
      <c r="U67" s="58">
        <f>SUM(F67+I67+O67)</f>
        <v>5572.6259744223489</v>
      </c>
      <c r="V67" s="58"/>
    </row>
    <row r="68" spans="1:24" x14ac:dyDescent="0.25">
      <c r="A68" s="55">
        <v>44552</v>
      </c>
      <c r="B68" s="104" t="s">
        <v>23</v>
      </c>
      <c r="C68" s="104">
        <v>-0.1</v>
      </c>
      <c r="D68" s="105">
        <v>0.85972222222222217</v>
      </c>
      <c r="E68" s="57">
        <f>Effort!F66</f>
        <v>101.98698431837029</v>
      </c>
      <c r="F68" s="135">
        <f>Harvest!F66</f>
        <v>509.93492159185143</v>
      </c>
      <c r="G68" s="96">
        <f>+CPUE!F66</f>
        <v>5</v>
      </c>
      <c r="H68" s="57">
        <f>Effort!H66</f>
        <v>96.902744244384493</v>
      </c>
      <c r="I68" s="135">
        <f>Harvest!H66</f>
        <v>484.51372122192248</v>
      </c>
      <c r="J68" s="96">
        <f>CPUE!H66</f>
        <v>5</v>
      </c>
      <c r="K68" s="57">
        <f>Effort!J66</f>
        <v>120.41666188173799</v>
      </c>
      <c r="L68" s="135">
        <f>Harvest!J66</f>
        <v>488.74998057882101</v>
      </c>
      <c r="M68" s="96">
        <f>CPUE!J66</f>
        <v>4.0588235294117823</v>
      </c>
      <c r="N68" s="57" t="str">
        <f>Effort!L66</f>
        <v>CLOSED</v>
      </c>
      <c r="O68" s="135" t="str">
        <f>Harvest!L66</f>
        <v>CLOSED</v>
      </c>
      <c r="P68" s="96" t="str">
        <f>CPUE!L66</f>
        <v>CLOSED</v>
      </c>
      <c r="Q68" s="57" t="s">
        <v>10</v>
      </c>
      <c r="R68" s="58" t="s">
        <v>10</v>
      </c>
      <c r="S68" s="60" t="s">
        <v>10</v>
      </c>
      <c r="T68" s="57">
        <f>SUM(E68+H68+K68)</f>
        <v>319.30639044449276</v>
      </c>
      <c r="U68" s="58">
        <f>SUM(F68+I68+L68)</f>
        <v>1483.198623392595</v>
      </c>
      <c r="V68" s="58"/>
    </row>
    <row r="69" spans="1:24" x14ac:dyDescent="0.25">
      <c r="A69" s="55">
        <v>44553</v>
      </c>
      <c r="B69" s="104" t="s">
        <v>24</v>
      </c>
      <c r="C69" s="104">
        <v>0.2</v>
      </c>
      <c r="D69" s="105">
        <v>0.88611111111111107</v>
      </c>
      <c r="E69" s="57">
        <f>Effort!F67</f>
        <v>106.53823576388578</v>
      </c>
      <c r="F69" s="135">
        <f>Harvest!F67</f>
        <v>532.69117881942884</v>
      </c>
      <c r="G69" s="96">
        <f>+CPUE!F67</f>
        <v>5</v>
      </c>
      <c r="H69" s="57">
        <f>Effort!H67</f>
        <v>104.79263920030075</v>
      </c>
      <c r="I69" s="135">
        <f>Harvest!H67</f>
        <v>523.96319600150377</v>
      </c>
      <c r="J69" s="96">
        <f>CPUE!H67</f>
        <v>5</v>
      </c>
      <c r="K69" s="57" t="str">
        <f>Effort!J67</f>
        <v>CLOSED</v>
      </c>
      <c r="L69" s="135" t="str">
        <f>Harvest!J67</f>
        <v>CLOSED</v>
      </c>
      <c r="M69" s="96" t="str">
        <f>CPUE!J67</f>
        <v>CLOSED</v>
      </c>
      <c r="N69" s="57">
        <f>Effort!L67</f>
        <v>101.53846526287001</v>
      </c>
      <c r="O69" s="135">
        <f>Harvest!L67</f>
        <v>507.69232631435</v>
      </c>
      <c r="P69" s="96">
        <f>CPUE!L67</f>
        <v>5</v>
      </c>
      <c r="Q69" s="57" t="s">
        <v>10</v>
      </c>
      <c r="R69" s="58" t="s">
        <v>10</v>
      </c>
      <c r="S69" s="60" t="s">
        <v>10</v>
      </c>
      <c r="T69" s="57">
        <f>SUM(E69+H69+N69)</f>
        <v>312.86934022705657</v>
      </c>
      <c r="U69" s="58">
        <f>SUM(F69+I69+O69)</f>
        <v>1564.3467011352827</v>
      </c>
      <c r="V69" s="58"/>
    </row>
    <row r="70" spans="1:24" x14ac:dyDescent="0.25">
      <c r="A70" s="148" t="s">
        <v>57</v>
      </c>
      <c r="B70" s="148"/>
      <c r="C70" s="148"/>
      <c r="D70" s="149"/>
      <c r="E70" s="63">
        <f>SUM(E61:E69)</f>
        <v>4883.8039676230328</v>
      </c>
      <c r="F70" s="64">
        <f>SUM(F61:F69)</f>
        <v>86295.152728025525</v>
      </c>
      <c r="G70" s="65">
        <f>+F70/E70</f>
        <v>17.669659408959799</v>
      </c>
      <c r="H70" s="63">
        <f>SUM(H61:H69)</f>
        <v>4026.4217423374703</v>
      </c>
      <c r="I70" s="64">
        <f>SUM(I61:I69)</f>
        <v>64084.83997093045</v>
      </c>
      <c r="J70" s="65">
        <f>+I70/H70</f>
        <v>15.916077368916424</v>
      </c>
      <c r="K70" s="63">
        <f>SUM(K61:K69)</f>
        <v>2723.7845944724318</v>
      </c>
      <c r="L70" s="64">
        <f>SUM(L61:L69)</f>
        <v>49449.907324893553</v>
      </c>
      <c r="M70" s="65">
        <f>+L70/K70</f>
        <v>18.15485241573278</v>
      </c>
      <c r="N70" s="63">
        <f>SUM(N61:N69)</f>
        <v>2037.9547019929289</v>
      </c>
      <c r="O70" s="64">
        <f>SUM(O61:O69)</f>
        <v>30035.635005000244</v>
      </c>
      <c r="P70" s="65">
        <f>+O70/N70</f>
        <v>14.738126895376135</v>
      </c>
      <c r="Q70" s="63"/>
      <c r="R70" s="64"/>
      <c r="S70" s="65"/>
      <c r="T70" s="63">
        <f>SUM(T61:T69)</f>
        <v>13671.965006425866</v>
      </c>
      <c r="U70" s="64">
        <f>SUM(U61:U69)</f>
        <v>229865.53502884982</v>
      </c>
      <c r="V70" s="81"/>
      <c r="W70" s="34">
        <f>SUM(H70,K70,N70,Q70,E70)</f>
        <v>13671.965006425864</v>
      </c>
      <c r="X70" s="34">
        <f>SUM(R70,O70,L70,I70,F70)</f>
        <v>229865.53502884979</v>
      </c>
    </row>
    <row r="71" spans="1:24" x14ac:dyDescent="0.25">
      <c r="A71" s="55">
        <v>44560</v>
      </c>
      <c r="B71" s="104" t="s">
        <v>24</v>
      </c>
      <c r="C71" s="104">
        <v>-0.1</v>
      </c>
      <c r="D71" s="105">
        <v>0.65902777777777777</v>
      </c>
      <c r="E71" s="57">
        <f>Effort!F69</f>
        <v>1607.6493773516056</v>
      </c>
      <c r="F71" s="135">
        <f>Harvest!F69</f>
        <v>23310.915971598282</v>
      </c>
      <c r="G71" s="96">
        <f>+CPUE!F69</f>
        <v>14.5</v>
      </c>
      <c r="H71" s="57">
        <f>Effort!H69</f>
        <v>1490.9431885651288</v>
      </c>
      <c r="I71" s="135">
        <f>Harvest!H69</f>
        <v>21618.676234194369</v>
      </c>
      <c r="J71" s="96">
        <f>CPUE!H69</f>
        <v>14.5</v>
      </c>
      <c r="K71" s="57" t="str">
        <f>Effort!J69</f>
        <v>CLOSED</v>
      </c>
      <c r="L71" s="135" t="str">
        <f>Harvest!J69</f>
        <v>CLOSED</v>
      </c>
      <c r="M71" s="96" t="str">
        <f>CPUE!J69</f>
        <v>CLOSED</v>
      </c>
      <c r="N71" s="57">
        <f>Effort!L69</f>
        <v>1467.8650160571301</v>
      </c>
      <c r="O71" s="135">
        <f>Harvest!L69</f>
        <v>20855.915436478401</v>
      </c>
      <c r="P71" s="96">
        <f>CPUE!L69</f>
        <v>14.208333333333341</v>
      </c>
      <c r="Q71" s="57" t="s">
        <v>10</v>
      </c>
      <c r="R71" s="58" t="s">
        <v>10</v>
      </c>
      <c r="S71" s="60" t="s">
        <v>10</v>
      </c>
      <c r="T71" s="57">
        <f>SUM(E71+H71+N71)</f>
        <v>4566.4575819738639</v>
      </c>
      <c r="U71" s="58">
        <f>SUM(F71+I71+O71)</f>
        <v>65785.507642271055</v>
      </c>
      <c r="V71" s="58"/>
    </row>
    <row r="72" spans="1:24" x14ac:dyDescent="0.25">
      <c r="A72" s="55">
        <v>44561</v>
      </c>
      <c r="B72" s="104" t="s">
        <v>18</v>
      </c>
      <c r="C72" s="104">
        <v>-0.9</v>
      </c>
      <c r="D72" s="105">
        <v>0.6958333333333333</v>
      </c>
      <c r="E72" s="57">
        <f>Effort!F70</f>
        <v>3102.6652622242013</v>
      </c>
      <c r="F72" s="135">
        <f>Harvest!F70</f>
        <v>44988.64630225092</v>
      </c>
      <c r="G72" s="96">
        <f>+CPUE!F70</f>
        <v>14.5</v>
      </c>
      <c r="H72" s="57">
        <f>Effort!H70</f>
        <v>1886.04545239916</v>
      </c>
      <c r="I72" s="135">
        <f>Harvest!H70</f>
        <v>27843.145576943502</v>
      </c>
      <c r="J72" s="96">
        <f>CPUE!H70</f>
        <v>14.762711864406764</v>
      </c>
      <c r="K72" s="57">
        <f>Effort!J70</f>
        <v>2995.5826959729902</v>
      </c>
      <c r="L72" s="135">
        <f>Harvest!J70</f>
        <v>44364.958915043098</v>
      </c>
      <c r="M72" s="96">
        <f>CPUE!J70</f>
        <v>14.810126582278507</v>
      </c>
      <c r="N72" s="57" t="str">
        <f>Effort!L70</f>
        <v>CLOSED</v>
      </c>
      <c r="O72" s="135" t="str">
        <f>Harvest!L70</f>
        <v>CLOSED</v>
      </c>
      <c r="P72" s="96" t="str">
        <f>CPUE!L70</f>
        <v>CLOSED</v>
      </c>
      <c r="Q72" s="57" t="s">
        <v>10</v>
      </c>
      <c r="R72" s="58" t="s">
        <v>10</v>
      </c>
      <c r="S72" s="60" t="s">
        <v>10</v>
      </c>
      <c r="T72" s="57">
        <f>SUM(E72+H72+K72)</f>
        <v>7984.2934105963514</v>
      </c>
      <c r="U72" s="58">
        <f>SUM(F72+I72+L72)</f>
        <v>117196.75079423752</v>
      </c>
      <c r="V72" s="58"/>
    </row>
    <row r="73" spans="1:24" x14ac:dyDescent="0.25">
      <c r="A73" s="55">
        <v>44562</v>
      </c>
      <c r="B73" s="104" t="s">
        <v>19</v>
      </c>
      <c r="C73" s="104">
        <v>-1.5</v>
      </c>
      <c r="D73" s="105">
        <v>0.73055555555555562</v>
      </c>
      <c r="E73" s="57">
        <f>Effort!F71</f>
        <v>3551.3182051535805</v>
      </c>
      <c r="F73" s="135">
        <f>Harvest!F71</f>
        <v>51494.113974726919</v>
      </c>
      <c r="G73" s="96">
        <f>+CPUE!F71</f>
        <v>14.5</v>
      </c>
      <c r="H73" s="57">
        <f>Effort!H71</f>
        <v>2022.87718369201</v>
      </c>
      <c r="I73" s="135">
        <f>Harvest!H71</f>
        <v>30025.277055085699</v>
      </c>
      <c r="J73" s="96">
        <f>CPUE!H71</f>
        <v>14.842857142857147</v>
      </c>
      <c r="K73" s="57" t="str">
        <f>Effort!J71</f>
        <v>CLOSED</v>
      </c>
      <c r="L73" s="135" t="str">
        <f>Harvest!J71</f>
        <v>CLOSED</v>
      </c>
      <c r="M73" s="96" t="str">
        <f>CPUE!J71</f>
        <v>CLOSED</v>
      </c>
      <c r="N73" s="57">
        <f>Effort!L71</f>
        <v>1991.56525379033</v>
      </c>
      <c r="O73" s="135">
        <f>Harvest!L71</f>
        <v>28106.315271801501</v>
      </c>
      <c r="P73" s="96">
        <f>CPUE!L71</f>
        <v>14.112676056338</v>
      </c>
      <c r="Q73" s="57" t="s">
        <v>10</v>
      </c>
      <c r="R73" s="58" t="s">
        <v>10</v>
      </c>
      <c r="S73" s="60" t="s">
        <v>10</v>
      </c>
      <c r="T73" s="57">
        <f>SUM(E73+H73+N73)</f>
        <v>7565.7606426359198</v>
      </c>
      <c r="U73" s="58">
        <f>SUM(F73+I73+O73)</f>
        <v>109625.70630161412</v>
      </c>
      <c r="V73" s="58"/>
    </row>
    <row r="74" spans="1:24" x14ac:dyDescent="0.25">
      <c r="A74" s="55">
        <v>44563</v>
      </c>
      <c r="B74" s="104" t="s">
        <v>20</v>
      </c>
      <c r="C74" s="104">
        <v>-1.8</v>
      </c>
      <c r="D74" s="105">
        <v>0.76458333333333339</v>
      </c>
      <c r="E74" s="57">
        <f>Effort!F72</f>
        <v>249.94256486540598</v>
      </c>
      <c r="F74" s="135">
        <f>Harvest!F72</f>
        <v>749.82769459621795</v>
      </c>
      <c r="G74" s="96">
        <f>+CPUE!F72</f>
        <v>3</v>
      </c>
      <c r="H74" s="57">
        <f>Effort!H72</f>
        <v>151.93486824532511</v>
      </c>
      <c r="I74" s="135">
        <f>Harvest!H72</f>
        <v>455.80460473597532</v>
      </c>
      <c r="J74" s="96">
        <f>CPUE!H72</f>
        <v>3</v>
      </c>
      <c r="K74" s="57">
        <f>Effort!J72</f>
        <v>241.316274563625</v>
      </c>
      <c r="L74" s="135">
        <f>Harvest!J72</f>
        <v>643.51006550299905</v>
      </c>
      <c r="M74" s="96">
        <f>CPUE!J72</f>
        <v>2.6666666666666625</v>
      </c>
      <c r="N74" s="57" t="str">
        <f>Effort!L72</f>
        <v>CLOSED</v>
      </c>
      <c r="O74" s="135" t="str">
        <f>Harvest!L72</f>
        <v>CLOSED</v>
      </c>
      <c r="P74" s="96" t="str">
        <f>CPUE!L72</f>
        <v>CLOSED</v>
      </c>
      <c r="Q74" s="57" t="s">
        <v>10</v>
      </c>
      <c r="R74" s="58" t="s">
        <v>10</v>
      </c>
      <c r="S74" s="60" t="s">
        <v>10</v>
      </c>
      <c r="T74" s="57">
        <f>SUM(E74+H74+K74)</f>
        <v>643.19370767435612</v>
      </c>
      <c r="U74" s="58">
        <f>SUM(F74+I74+L74)</f>
        <v>1849.1423648351924</v>
      </c>
      <c r="V74" s="58"/>
    </row>
    <row r="75" spans="1:24" x14ac:dyDescent="0.25">
      <c r="A75" s="55">
        <v>44564</v>
      </c>
      <c r="B75" s="104" t="s">
        <v>21</v>
      </c>
      <c r="C75" s="104">
        <v>-1.9</v>
      </c>
      <c r="D75" s="105">
        <v>0.79722222222222217</v>
      </c>
      <c r="E75" s="57">
        <f>Effort!F73</f>
        <v>239.28944836325252</v>
      </c>
      <c r="F75" s="135">
        <f>Harvest!F73</f>
        <v>1196.4472418162627</v>
      </c>
      <c r="G75" s="96">
        <f>+CPUE!F73</f>
        <v>5</v>
      </c>
      <c r="H75" s="57">
        <f>Effort!H73</f>
        <v>125.01197647912117</v>
      </c>
      <c r="I75" s="135">
        <f>Harvest!H73</f>
        <v>625.05988239560588</v>
      </c>
      <c r="J75" s="96">
        <f>CPUE!H73</f>
        <v>5</v>
      </c>
      <c r="K75" s="57" t="str">
        <f>Effort!J73</f>
        <v>CLOSED</v>
      </c>
      <c r="L75" s="135" t="str">
        <f>Harvest!J73</f>
        <v>CLOSED</v>
      </c>
      <c r="M75" s="96" t="str">
        <f>CPUE!J73</f>
        <v>CLOSED</v>
      </c>
      <c r="N75" s="57">
        <f>Effort!L73</f>
        <v>123.076927591358</v>
      </c>
      <c r="O75" s="135">
        <f>Harvest!L73</f>
        <v>728.99410957958105</v>
      </c>
      <c r="P75" s="96">
        <f>CPUE!L73</f>
        <v>5.9230769230769154</v>
      </c>
      <c r="Q75" s="57" t="s">
        <v>10</v>
      </c>
      <c r="R75" s="58" t="s">
        <v>10</v>
      </c>
      <c r="S75" s="60" t="s">
        <v>10</v>
      </c>
      <c r="T75" s="57">
        <f>SUM(E75+H75+N75)</f>
        <v>487.37835243373172</v>
      </c>
      <c r="U75" s="58">
        <f>SUM(F75+I75+O75)</f>
        <v>2550.5012337914495</v>
      </c>
      <c r="V75" s="58"/>
    </row>
    <row r="76" spans="1:24" x14ac:dyDescent="0.25">
      <c r="A76" s="55">
        <v>44565</v>
      </c>
      <c r="B76" s="104" t="s">
        <v>22</v>
      </c>
      <c r="C76" s="104">
        <v>-1.6</v>
      </c>
      <c r="D76" s="105">
        <v>0.82916666666666661</v>
      </c>
      <c r="E76" s="57">
        <f>Effort!F74</f>
        <v>193.60499028444116</v>
      </c>
      <c r="F76" s="135">
        <f>Harvest!F74</f>
        <v>2420.0623785555144</v>
      </c>
      <c r="G76" s="96">
        <f>+CPUE!F74</f>
        <v>12.5</v>
      </c>
      <c r="H76" s="57">
        <f>Effort!H74</f>
        <v>137.30769734410899</v>
      </c>
      <c r="I76" s="135">
        <f>Harvest!H74</f>
        <v>1726.1539094687901</v>
      </c>
      <c r="J76" s="96">
        <f>CPUE!H74</f>
        <v>12.571428571428509</v>
      </c>
      <c r="K76" s="57">
        <f>Effort!J74</f>
        <v>186.92308377937499</v>
      </c>
      <c r="L76" s="135">
        <f>Harvest!J74</f>
        <v>2336.5385472421872</v>
      </c>
      <c r="M76" s="96">
        <f>CPUE!J74</f>
        <v>12.5</v>
      </c>
      <c r="N76" s="57" t="str">
        <f>Effort!L74</f>
        <v>CLOSED</v>
      </c>
      <c r="O76" s="135" t="str">
        <f>Harvest!L74</f>
        <v>CLOSED</v>
      </c>
      <c r="P76" s="96" t="str">
        <f>CPUE!L74</f>
        <v>CLOSED</v>
      </c>
      <c r="Q76" s="57" t="s">
        <v>10</v>
      </c>
      <c r="R76" s="58" t="s">
        <v>10</v>
      </c>
      <c r="S76" s="60" t="s">
        <v>10</v>
      </c>
      <c r="T76" s="57">
        <f>SUM(E76+H76+K76)</f>
        <v>517.83577140792511</v>
      </c>
      <c r="U76" s="58">
        <f>SUM(F76+I76+L76)</f>
        <v>6482.7548352664926</v>
      </c>
      <c r="V76" s="58"/>
    </row>
    <row r="77" spans="1:24" x14ac:dyDescent="0.25">
      <c r="A77" s="55">
        <v>44566</v>
      </c>
      <c r="B77" s="104" t="s">
        <v>23</v>
      </c>
      <c r="C77" s="104">
        <v>-1.1000000000000001</v>
      </c>
      <c r="D77" s="105">
        <v>0.86111111111111116</v>
      </c>
      <c r="E77" s="57">
        <f>Effort!F75</f>
        <v>190</v>
      </c>
      <c r="F77" s="135">
        <f>Harvest!F75</f>
        <v>2375</v>
      </c>
      <c r="G77" s="96">
        <f>+CPUE!F75</f>
        <v>12.5</v>
      </c>
      <c r="H77" s="57" t="str">
        <f>Effort!H75</f>
        <v>CLOSED</v>
      </c>
      <c r="I77" s="135" t="str">
        <f>Harvest!H75</f>
        <v>CLOSED</v>
      </c>
      <c r="J77" s="96" t="str">
        <f>CPUE!H75</f>
        <v>CLOSED</v>
      </c>
      <c r="K77" s="57" t="str">
        <f>Effort!J75</f>
        <v>CLOSED</v>
      </c>
      <c r="L77" s="135" t="str">
        <f>Harvest!J75</f>
        <v>CLOSED</v>
      </c>
      <c r="M77" s="96" t="str">
        <f>CPUE!J75</f>
        <v>CLOSED</v>
      </c>
      <c r="N77" s="57" t="str">
        <f>Effort!L75</f>
        <v>CLOSED</v>
      </c>
      <c r="O77" s="135" t="str">
        <f>Harvest!L75</f>
        <v>CLOSED</v>
      </c>
      <c r="P77" s="96" t="str">
        <f>CPUE!L75</f>
        <v>CLOSED</v>
      </c>
      <c r="Q77" s="57" t="s">
        <v>10</v>
      </c>
      <c r="R77" s="58" t="s">
        <v>10</v>
      </c>
      <c r="S77" s="60" t="s">
        <v>10</v>
      </c>
      <c r="T77" s="57">
        <f>SUM(E77)</f>
        <v>190</v>
      </c>
      <c r="U77" s="58">
        <f>SUM(F77)</f>
        <v>2375</v>
      </c>
      <c r="V77" s="58"/>
    </row>
    <row r="78" spans="1:24" x14ac:dyDescent="0.25">
      <c r="A78" s="148" t="s">
        <v>57</v>
      </c>
      <c r="B78" s="148"/>
      <c r="C78" s="148"/>
      <c r="D78" s="149"/>
      <c r="E78" s="63">
        <f>SUM(E71:E77)</f>
        <v>9134.4698482424847</v>
      </c>
      <c r="F78" s="64">
        <f>SUM(F71:F77)</f>
        <v>126535.01356354411</v>
      </c>
      <c r="G78" s="65">
        <f>+F78/E78</f>
        <v>13.852474819640468</v>
      </c>
      <c r="H78" s="63">
        <f>SUM(H71:H77)</f>
        <v>5814.1203667248556</v>
      </c>
      <c r="I78" s="64">
        <f>SUM(I71:I77)</f>
        <v>82294.117262823944</v>
      </c>
      <c r="J78" s="65">
        <f>+I78/H78</f>
        <v>14.154181900637351</v>
      </c>
      <c r="K78" s="63">
        <f>SUM(K71:K77)</f>
        <v>3423.82205431599</v>
      </c>
      <c r="L78" s="64">
        <f>SUM(L71:L77)</f>
        <v>47345.007527788279</v>
      </c>
      <c r="M78" s="65">
        <f>+L78/K78</f>
        <v>13.828115707154311</v>
      </c>
      <c r="N78" s="63">
        <f>SUM(N71:N77)</f>
        <v>3582.5071974388184</v>
      </c>
      <c r="O78" s="64">
        <f>SUM(O71:O77)</f>
        <v>49691.224817859482</v>
      </c>
      <c r="P78" s="65">
        <f>+O78/N78</f>
        <v>13.870516395161577</v>
      </c>
      <c r="Q78" s="63"/>
      <c r="R78" s="64"/>
      <c r="S78" s="65"/>
      <c r="T78" s="63">
        <f>SUM(T71:T77)</f>
        <v>21954.919466722145</v>
      </c>
      <c r="U78" s="64">
        <f>SUM(U71:U77)</f>
        <v>305865.36317201587</v>
      </c>
      <c r="V78" s="81"/>
      <c r="W78" s="34">
        <f>SUM(H78,K78,N78,Q78,E78)</f>
        <v>21954.919466722145</v>
      </c>
      <c r="X78" s="34">
        <f>SUM(R78,O78,L78,I78,F78)</f>
        <v>305865.36317201582</v>
      </c>
    </row>
    <row r="79" spans="1:24" x14ac:dyDescent="0.25">
      <c r="A79" s="55">
        <v>44210</v>
      </c>
      <c r="B79" s="104" t="s">
        <v>18</v>
      </c>
      <c r="C79" s="104">
        <v>0.4</v>
      </c>
      <c r="D79" s="105">
        <v>0.69652777777777775</v>
      </c>
      <c r="E79" s="57">
        <f>Effort!F77</f>
        <v>1519.265882796245</v>
      </c>
      <c r="F79" s="135">
        <f>Harvest!F77</f>
        <v>22788.988241943676</v>
      </c>
      <c r="G79" s="96">
        <f>+CPUE!F77</f>
        <v>15</v>
      </c>
      <c r="H79" s="57" t="str">
        <f>Effort!H77</f>
        <v>CLOSED</v>
      </c>
      <c r="I79" s="135" t="str">
        <f>Harvest!H77</f>
        <v>CLOSED</v>
      </c>
      <c r="J79" s="96" t="str">
        <f>CPUE!H77</f>
        <v>CLOSED</v>
      </c>
      <c r="K79" s="57" t="str">
        <f>Effort!J77</f>
        <v>CLOSED</v>
      </c>
      <c r="L79" s="135" t="str">
        <f>Harvest!J77</f>
        <v>CLOSED</v>
      </c>
      <c r="M79" s="96" t="str">
        <f>CPUE!J77</f>
        <v>CLOSED</v>
      </c>
      <c r="N79" s="57" t="str">
        <f>Effort!L77</f>
        <v>CLOSED</v>
      </c>
      <c r="O79" s="135" t="str">
        <f>Harvest!L77</f>
        <v>CLOSED</v>
      </c>
      <c r="P79" s="96" t="str">
        <f>CPUE!L77</f>
        <v>CLOSED</v>
      </c>
      <c r="Q79" s="57" t="s">
        <v>10</v>
      </c>
      <c r="R79" s="58" t="s">
        <v>10</v>
      </c>
      <c r="S79" s="60" t="s">
        <v>10</v>
      </c>
      <c r="T79" s="57">
        <f>SUM(E79)</f>
        <v>1519.265882796245</v>
      </c>
      <c r="U79" s="58">
        <f>SUM(F79)</f>
        <v>22788.988241943676</v>
      </c>
      <c r="V79" s="58"/>
    </row>
    <row r="80" spans="1:24" x14ac:dyDescent="0.25">
      <c r="A80" s="55">
        <v>44211</v>
      </c>
      <c r="B80" s="104" t="s">
        <v>19</v>
      </c>
      <c r="C80" s="104">
        <v>0.4</v>
      </c>
      <c r="D80" s="105">
        <v>0.72361111111111109</v>
      </c>
      <c r="E80" s="57">
        <f>Effort!F78</f>
        <v>3589.207248870799</v>
      </c>
      <c r="F80" s="135">
        <f>Harvest!F78</f>
        <v>43070.486986449585</v>
      </c>
      <c r="G80" s="96">
        <f>+CPUE!F78</f>
        <v>12</v>
      </c>
      <c r="H80" s="57">
        <f>Effort!H78</f>
        <v>2245.0149450368963</v>
      </c>
      <c r="I80" s="135">
        <f>Harvest!H78</f>
        <v>26940.179340442755</v>
      </c>
      <c r="J80" s="96">
        <f>CPUE!H78</f>
        <v>12</v>
      </c>
      <c r="K80" s="57">
        <f>Effort!J78</f>
        <v>2308.17449631311</v>
      </c>
      <c r="L80" s="135">
        <f>Harvest!J78</f>
        <v>32250.326990152698</v>
      </c>
      <c r="M80" s="96">
        <f>CPUE!J78</f>
        <v>13.972222222222255</v>
      </c>
      <c r="N80" s="57" t="str">
        <f>Effort!L78</f>
        <v>CLOSED</v>
      </c>
      <c r="O80" s="135" t="str">
        <f>Harvest!L78</f>
        <v>CLOSED</v>
      </c>
      <c r="P80" s="96" t="str">
        <f>CPUE!L78</f>
        <v>CLOSED</v>
      </c>
      <c r="Q80" s="57" t="s">
        <v>10</v>
      </c>
      <c r="R80" s="58" t="s">
        <v>10</v>
      </c>
      <c r="S80" s="60" t="s">
        <v>10</v>
      </c>
      <c r="T80" s="57">
        <f>SUM(E80+H80+K80)</f>
        <v>8142.3966902208049</v>
      </c>
      <c r="U80" s="58">
        <f>SUM(F80+I80+L80)</f>
        <v>102260.99331704504</v>
      </c>
      <c r="V80" s="58"/>
    </row>
    <row r="81" spans="1:24" x14ac:dyDescent="0.25">
      <c r="A81" s="55">
        <v>44212</v>
      </c>
      <c r="B81" s="104" t="s">
        <v>20</v>
      </c>
      <c r="C81" s="104">
        <v>-0.2</v>
      </c>
      <c r="D81" s="105">
        <v>0.74930555555555556</v>
      </c>
      <c r="E81" s="57">
        <f>Effort!F79</f>
        <v>2925.8656854580217</v>
      </c>
      <c r="F81" s="135">
        <f>Harvest!F79</f>
        <v>40962.119596412304</v>
      </c>
      <c r="G81" s="96">
        <f>+CPUE!F79</f>
        <v>14</v>
      </c>
      <c r="H81" s="57">
        <f>Effort!H79</f>
        <v>2100</v>
      </c>
      <c r="I81" s="135">
        <f>Harvest!H79</f>
        <v>29400</v>
      </c>
      <c r="J81" s="96">
        <f>CPUE!H79</f>
        <v>14</v>
      </c>
      <c r="K81" s="57" t="str">
        <f>Effort!J79</f>
        <v>CLOSED</v>
      </c>
      <c r="L81" s="135" t="str">
        <f>Harvest!J79</f>
        <v>CLOSED</v>
      </c>
      <c r="M81" s="96" t="str">
        <f>CPUE!J79</f>
        <v>CLOSED</v>
      </c>
      <c r="N81" s="57">
        <f>Effort!L79</f>
        <v>3004.3100811890999</v>
      </c>
      <c r="O81" s="135">
        <f>Harvest!L79</f>
        <v>41711.002755113797</v>
      </c>
      <c r="P81" s="96">
        <f>CPUE!L79</f>
        <v>13.883720930232563</v>
      </c>
      <c r="Q81" s="57" t="s">
        <v>10</v>
      </c>
      <c r="R81" s="58" t="s">
        <v>10</v>
      </c>
      <c r="S81" s="60" t="s">
        <v>10</v>
      </c>
      <c r="T81" s="57">
        <f>SUM(E81+H81+N81)</f>
        <v>8030.1757666471221</v>
      </c>
      <c r="U81" s="58">
        <f>SUM(F81+I81+O81)</f>
        <v>112073.12235152611</v>
      </c>
      <c r="V81" s="58"/>
    </row>
    <row r="82" spans="1:24" x14ac:dyDescent="0.25">
      <c r="A82" s="55">
        <v>44213</v>
      </c>
      <c r="B82" s="104" t="s">
        <v>21</v>
      </c>
      <c r="C82" s="104">
        <v>-0.3</v>
      </c>
      <c r="D82" s="105">
        <v>0.77361111111111114</v>
      </c>
      <c r="E82" s="57">
        <f>Effort!F80</f>
        <v>740.26172409788137</v>
      </c>
      <c r="F82" s="135">
        <f>Harvest!F80</f>
        <v>9623.4024132724571</v>
      </c>
      <c r="G82" s="96">
        <f>+CPUE!F80</f>
        <v>13</v>
      </c>
      <c r="H82" s="57">
        <f>Effort!H80</f>
        <v>693.23672934806405</v>
      </c>
      <c r="I82" s="135">
        <f>Harvest!H80</f>
        <v>8734.7827897856096</v>
      </c>
      <c r="J82" s="96">
        <f>CPUE!H80</f>
        <v>12.600000000000003</v>
      </c>
      <c r="K82" s="57">
        <f>Effort!J80</f>
        <v>712.73972680053498</v>
      </c>
      <c r="L82" s="135">
        <f>Harvest!J80</f>
        <v>9676.8124446380298</v>
      </c>
      <c r="M82" s="96">
        <f>CPUE!J80</f>
        <v>13.576923076923073</v>
      </c>
      <c r="N82" s="57" t="str">
        <f>Effort!L80</f>
        <v>CLOSED</v>
      </c>
      <c r="O82" s="135" t="str">
        <f>Harvest!L80</f>
        <v>CLOSED</v>
      </c>
      <c r="P82" s="96" t="str">
        <f>CPUE!L80</f>
        <v>CLOSED</v>
      </c>
      <c r="Q82" s="57" t="s">
        <v>10</v>
      </c>
      <c r="R82" s="58" t="s">
        <v>10</v>
      </c>
      <c r="S82" s="60" t="s">
        <v>10</v>
      </c>
      <c r="T82" s="57">
        <f>SUM(E82+H82+K82)</f>
        <v>2146.2381802464806</v>
      </c>
      <c r="U82" s="58">
        <f>SUM(F82+I82+L82)</f>
        <v>28034.997647696095</v>
      </c>
      <c r="V82" s="58"/>
    </row>
    <row r="83" spans="1:24" x14ac:dyDescent="0.25">
      <c r="A83" s="55">
        <v>44214</v>
      </c>
      <c r="B83" s="104" t="s">
        <v>22</v>
      </c>
      <c r="C83" s="104">
        <v>-0.4</v>
      </c>
      <c r="D83" s="105">
        <v>0.79722222222222217</v>
      </c>
      <c r="E83" s="57">
        <f>Effort!F81</f>
        <v>606.24424428917951</v>
      </c>
      <c r="F83" s="135">
        <f>Harvest!F81</f>
        <v>8487.4194200485126</v>
      </c>
      <c r="G83" s="96">
        <f>+CPUE!F81</f>
        <v>14</v>
      </c>
      <c r="H83" s="57">
        <f>Effort!H81</f>
        <v>379.2</v>
      </c>
      <c r="I83" s="135">
        <f>Harvest!H81</f>
        <v>5368.6736842105302</v>
      </c>
      <c r="J83" s="96">
        <f>CPUE!H81</f>
        <v>14.157894736842115</v>
      </c>
      <c r="K83" s="57" t="str">
        <f>Effort!J81</f>
        <v>CLOSED</v>
      </c>
      <c r="L83" s="135" t="str">
        <f>Harvest!J81</f>
        <v>CLOSED</v>
      </c>
      <c r="M83" s="96" t="str">
        <f>CPUE!J81</f>
        <v>CLOSED</v>
      </c>
      <c r="N83" s="57" t="str">
        <f>Effort!L81</f>
        <v>CLOSED</v>
      </c>
      <c r="O83" s="135" t="str">
        <f>Harvest!L81</f>
        <v>CLOSED</v>
      </c>
      <c r="P83" s="96" t="str">
        <f>CPUE!L81</f>
        <v>CLOSED</v>
      </c>
      <c r="Q83" s="57" t="s">
        <v>10</v>
      </c>
      <c r="R83" s="58" t="s">
        <v>10</v>
      </c>
      <c r="S83" s="60" t="s">
        <v>10</v>
      </c>
      <c r="T83" s="57">
        <f>SUM(E83+H83)</f>
        <v>985.44424428917955</v>
      </c>
      <c r="U83" s="58">
        <f>SUM(F83+I83)</f>
        <v>13856.093104259042</v>
      </c>
      <c r="V83" s="58"/>
    </row>
    <row r="84" spans="1:24" x14ac:dyDescent="0.25">
      <c r="A84" s="55">
        <v>44215</v>
      </c>
      <c r="B84" s="104" t="s">
        <v>23</v>
      </c>
      <c r="C84" s="104">
        <v>-0.4</v>
      </c>
      <c r="D84" s="105">
        <v>0.82013888888888886</v>
      </c>
      <c r="E84" s="57">
        <f>Effort!F82</f>
        <v>167.90931688003644</v>
      </c>
      <c r="F84" s="135">
        <f>Harvest!F82</f>
        <v>2518.6397532005467</v>
      </c>
      <c r="G84" s="96">
        <f>+CPUE!F82</f>
        <v>15</v>
      </c>
      <c r="H84" s="57" t="str">
        <f>Effort!H82</f>
        <v>CLOSED</v>
      </c>
      <c r="I84" s="135" t="str">
        <f>Harvest!H82</f>
        <v>CLOSED</v>
      </c>
      <c r="J84" s="96" t="str">
        <f>CPUE!H82</f>
        <v>CLOSED</v>
      </c>
      <c r="K84" s="57">
        <f>Effort!J82</f>
        <v>161.66666024261099</v>
      </c>
      <c r="L84" s="135">
        <f>Harvest!J82</f>
        <v>2288.20503728003</v>
      </c>
      <c r="M84" s="96">
        <f>CPUE!J82</f>
        <v>14.153846153846139</v>
      </c>
      <c r="N84" s="57" t="str">
        <f>Effort!L82</f>
        <v>CLOSED</v>
      </c>
      <c r="O84" s="135" t="str">
        <f>Harvest!L82</f>
        <v>CLOSED</v>
      </c>
      <c r="P84" s="96" t="str">
        <f>CPUE!L82</f>
        <v>CLOSED</v>
      </c>
      <c r="Q84" s="57" t="s">
        <v>10</v>
      </c>
      <c r="R84" s="58" t="s">
        <v>10</v>
      </c>
      <c r="S84" s="60" t="s">
        <v>10</v>
      </c>
      <c r="T84" s="57">
        <f>SUM(E84+K84)</f>
        <v>329.57597712264743</v>
      </c>
      <c r="U84" s="58">
        <f>SUM(F84+L84)</f>
        <v>4806.8447904805762</v>
      </c>
      <c r="V84" s="58"/>
    </row>
    <row r="85" spans="1:24" x14ac:dyDescent="0.25">
      <c r="A85" s="55">
        <v>44216</v>
      </c>
      <c r="B85" s="104" t="s">
        <v>24</v>
      </c>
      <c r="C85" s="104">
        <v>-0.2</v>
      </c>
      <c r="D85" s="105">
        <v>0.84305555555555556</v>
      </c>
      <c r="E85" s="57">
        <f>Effort!F83</f>
        <v>46.824380384778451</v>
      </c>
      <c r="F85" s="135">
        <f>Harvest!F83</f>
        <v>608.71694500211981</v>
      </c>
      <c r="G85" s="96">
        <f>+CPUE!F83</f>
        <v>13</v>
      </c>
      <c r="H85" s="57" t="str">
        <f>Effort!H83</f>
        <v>CLOSED</v>
      </c>
      <c r="I85" s="135" t="str">
        <f>Harvest!H83</f>
        <v>CLOSED</v>
      </c>
      <c r="J85" s="96" t="str">
        <f>CPUE!H83</f>
        <v>CLOSED</v>
      </c>
      <c r="K85" s="57" t="str">
        <f>Effort!J83</f>
        <v>CLOSED</v>
      </c>
      <c r="L85" s="135" t="str">
        <f>Harvest!J83</f>
        <v>CLOSED</v>
      </c>
      <c r="M85" s="96" t="str">
        <f>CPUE!J83</f>
        <v>CLOSED</v>
      </c>
      <c r="N85" s="57" t="str">
        <f>Effort!L83</f>
        <v>CLOSED</v>
      </c>
      <c r="O85" s="135" t="str">
        <f>Harvest!L83</f>
        <v>CLOSED</v>
      </c>
      <c r="P85" s="96" t="str">
        <f>CPUE!L83</f>
        <v>CLOSED</v>
      </c>
      <c r="Q85" s="57" t="s">
        <v>10</v>
      </c>
      <c r="R85" s="58" t="s">
        <v>10</v>
      </c>
      <c r="S85" s="60" t="s">
        <v>10</v>
      </c>
      <c r="T85" s="57">
        <f>SUM(E85)</f>
        <v>46.824380384778451</v>
      </c>
      <c r="U85" s="58">
        <f>SUM(F85)</f>
        <v>608.71694500211981</v>
      </c>
      <c r="V85" s="58"/>
    </row>
    <row r="86" spans="1:24" x14ac:dyDescent="0.25">
      <c r="A86" s="148" t="s">
        <v>57</v>
      </c>
      <c r="B86" s="148"/>
      <c r="C86" s="148"/>
      <c r="D86" s="149"/>
      <c r="E86" s="63">
        <f>SUM(E79:E85)</f>
        <v>9595.5784827769421</v>
      </c>
      <c r="F86" s="64">
        <f>SUM(F79:F85)</f>
        <v>128059.7733563292</v>
      </c>
      <c r="G86" s="65">
        <f>+F86/E86</f>
        <v>13.345706419491339</v>
      </c>
      <c r="H86" s="63">
        <f>SUM(H79:H85)</f>
        <v>5417.4516743849599</v>
      </c>
      <c r="I86" s="64">
        <f>SUM(I79:I85)</f>
        <v>70443.635814438894</v>
      </c>
      <c r="J86" s="65">
        <f>+I86/H86</f>
        <v>13.003094452602813</v>
      </c>
      <c r="K86" s="63">
        <f>SUM(K79:K85)</f>
        <v>3182.580883356256</v>
      </c>
      <c r="L86" s="64">
        <f>SUM(L79:L85)</f>
        <v>44215.344472070756</v>
      </c>
      <c r="M86" s="65">
        <f>+L86/K86</f>
        <v>13.892920900549919</v>
      </c>
      <c r="N86" s="63">
        <f>SUM(N79:N85)</f>
        <v>3004.3100811890999</v>
      </c>
      <c r="O86" s="64">
        <f>SUM(O79:O85)</f>
        <v>41711.002755113797</v>
      </c>
      <c r="P86" s="65">
        <f>+O86/N86</f>
        <v>13.883720930232563</v>
      </c>
      <c r="Q86" s="63"/>
      <c r="R86" s="64"/>
      <c r="S86" s="65"/>
      <c r="T86" s="63">
        <f>SUM(T79:T85)</f>
        <v>21199.921121707263</v>
      </c>
      <c r="U86" s="64">
        <f>SUM(U79:U85)</f>
        <v>284429.75639795267</v>
      </c>
      <c r="V86" s="81"/>
      <c r="W86" s="34">
        <f>SUM(H86,K86,N86,Q86,E86)</f>
        <v>21199.921121707259</v>
      </c>
      <c r="X86" s="34">
        <f>SUM(R86,O86,L86,I86,F86)</f>
        <v>284429.75639795262</v>
      </c>
    </row>
    <row r="87" spans="1:24" x14ac:dyDescent="0.25">
      <c r="A87" s="131">
        <v>44590</v>
      </c>
      <c r="B87" s="104" t="s">
        <v>19</v>
      </c>
      <c r="C87" s="104">
        <v>-0.7</v>
      </c>
      <c r="D87" s="105">
        <v>0.6875</v>
      </c>
      <c r="E87" s="57">
        <f>Effort!F85</f>
        <v>8593.6757761124863</v>
      </c>
      <c r="F87" s="135">
        <f>Harvest!F85</f>
        <v>124608.29875363105</v>
      </c>
      <c r="G87" s="96">
        <f>+CPUE!F85</f>
        <v>14.5</v>
      </c>
      <c r="H87" s="57">
        <f>Effort!H85</f>
        <v>6499.7116184049601</v>
      </c>
      <c r="I87" s="135">
        <f>Harvest!H85</f>
        <v>94560.320641956001</v>
      </c>
      <c r="J87" s="96">
        <f>CPUE!H85</f>
        <v>14.548387096774189</v>
      </c>
      <c r="K87" s="57" t="str">
        <f>Effort!J85</f>
        <v>CLOSED</v>
      </c>
      <c r="L87" s="135" t="str">
        <f>Harvest!J85</f>
        <v>CLOSED</v>
      </c>
      <c r="M87" s="96" t="str">
        <f>CPUE!J85</f>
        <v>CLOSED</v>
      </c>
      <c r="N87" s="57">
        <f>Effort!L85</f>
        <v>6202.1832867322901</v>
      </c>
      <c r="O87" s="135">
        <f>Harvest!L85</f>
        <v>84429.720871000798</v>
      </c>
      <c r="P87" s="96">
        <f>CPUE!L85</f>
        <v>13.612903225806443</v>
      </c>
      <c r="Q87" s="57" t="s">
        <v>10</v>
      </c>
      <c r="R87" s="135" t="s">
        <v>10</v>
      </c>
      <c r="S87" s="60" t="s">
        <v>10</v>
      </c>
      <c r="T87" s="57">
        <f>SUM(E87+H87+N87)</f>
        <v>21295.570681249737</v>
      </c>
      <c r="U87" s="135">
        <f>SUM(F87+I87+O87)</f>
        <v>303598.34026658785</v>
      </c>
      <c r="V87" s="81"/>
      <c r="W87" s="34"/>
      <c r="X87" s="34"/>
    </row>
    <row r="88" spans="1:24" x14ac:dyDescent="0.25">
      <c r="A88" s="131">
        <v>44591</v>
      </c>
      <c r="B88" s="104" t="s">
        <v>20</v>
      </c>
      <c r="C88" s="104">
        <v>-1.2</v>
      </c>
      <c r="D88" s="105">
        <v>0.72291666666666676</v>
      </c>
      <c r="E88" s="57">
        <f>Effort!F86</f>
        <v>2141.8287018685232</v>
      </c>
      <c r="F88" s="135">
        <f>Harvest!F86</f>
        <v>25917.927148661161</v>
      </c>
      <c r="G88" s="96">
        <f>+CPUE!F86</f>
        <v>12.100840336134473</v>
      </c>
      <c r="H88" s="57" t="str">
        <f>Effort!H86</f>
        <v>CLOSED</v>
      </c>
      <c r="I88" s="135" t="str">
        <f>Harvest!H86</f>
        <v>CLOSED</v>
      </c>
      <c r="J88" s="96" t="str">
        <f>CPUE!H86</f>
        <v>CLOSED</v>
      </c>
      <c r="K88" s="57">
        <f>Effort!J86</f>
        <v>2066.0385458712799</v>
      </c>
      <c r="L88" s="135">
        <f>Harvest!J86</f>
        <v>28499.178765106699</v>
      </c>
      <c r="M88" s="96">
        <f>CPUE!J86</f>
        <v>13.794117647058787</v>
      </c>
      <c r="N88" s="57" t="str">
        <f>Effort!L86</f>
        <v>CLOSED</v>
      </c>
      <c r="O88" s="135" t="str">
        <f>Harvest!L86</f>
        <v>CLOSED</v>
      </c>
      <c r="P88" s="96" t="str">
        <f>CPUE!L86</f>
        <v>CLOSED</v>
      </c>
      <c r="Q88" s="57" t="s">
        <v>10</v>
      </c>
      <c r="R88" s="135" t="s">
        <v>10</v>
      </c>
      <c r="S88" s="60" t="s">
        <v>10</v>
      </c>
      <c r="T88" s="57">
        <f>SUM(E88+K88)</f>
        <v>4207.8672477398031</v>
      </c>
      <c r="U88" s="135">
        <f>SUM(F88+L88)</f>
        <v>54417.10591376786</v>
      </c>
      <c r="V88" s="81"/>
      <c r="W88" s="34"/>
      <c r="X88" s="34"/>
    </row>
    <row r="89" spans="1:24" x14ac:dyDescent="0.25">
      <c r="A89" s="131">
        <v>44592</v>
      </c>
      <c r="B89" s="104" t="s">
        <v>21</v>
      </c>
      <c r="C89" s="104">
        <v>-1.5</v>
      </c>
      <c r="D89" s="105">
        <v>0.75555555555555554</v>
      </c>
      <c r="E89" s="57">
        <f>Effort!F87</f>
        <v>1563.4668446659184</v>
      </c>
      <c r="F89" s="135">
        <f>Harvest!F87</f>
        <v>22670.269247655819</v>
      </c>
      <c r="G89" s="96">
        <f>+CPUE!F87</f>
        <v>14.5</v>
      </c>
      <c r="H89" s="57" t="str">
        <f>Effort!H87</f>
        <v>CLOSED</v>
      </c>
      <c r="I89" s="135" t="str">
        <f>Harvest!H87</f>
        <v>CLOSED</v>
      </c>
      <c r="J89" s="96" t="str">
        <f>CPUE!H87</f>
        <v>CLOSED</v>
      </c>
      <c r="K89" s="57" t="str">
        <f>Effort!J87</f>
        <v>CLOSED</v>
      </c>
      <c r="L89" s="135" t="str">
        <f>Harvest!J87</f>
        <v>CLOSED</v>
      </c>
      <c r="M89" s="96" t="str">
        <f>CPUE!J87</f>
        <v>CLOSED</v>
      </c>
      <c r="N89" s="57" t="str">
        <f>Effort!L87</f>
        <v>CLOSED</v>
      </c>
      <c r="O89" s="135" t="str">
        <f>Harvest!L87</f>
        <v>CLOSED</v>
      </c>
      <c r="P89" s="96" t="str">
        <f>CPUE!L87</f>
        <v>CLOSED</v>
      </c>
      <c r="Q89" s="57" t="s">
        <v>10</v>
      </c>
      <c r="R89" s="135" t="s">
        <v>10</v>
      </c>
      <c r="S89" s="60" t="s">
        <v>10</v>
      </c>
      <c r="T89" s="57">
        <f>SUM(E89)</f>
        <v>1563.4668446659184</v>
      </c>
      <c r="U89" s="135">
        <f>SUM(F89)</f>
        <v>22670.269247655819</v>
      </c>
      <c r="V89" s="81"/>
      <c r="W89" s="34"/>
      <c r="X89" s="34"/>
    </row>
    <row r="90" spans="1:24" x14ac:dyDescent="0.25">
      <c r="A90" s="131">
        <v>44593</v>
      </c>
      <c r="B90" s="104" t="s">
        <v>22</v>
      </c>
      <c r="C90" s="104">
        <v>-1.5</v>
      </c>
      <c r="D90" s="105">
        <v>0.78611111111111109</v>
      </c>
      <c r="E90" s="57">
        <f>Effort!F88</f>
        <v>1010.7163772272559</v>
      </c>
      <c r="F90" s="135">
        <f>Harvest!F88</f>
        <v>14655.387469795211</v>
      </c>
      <c r="G90" s="96">
        <f>+CPUE!F88</f>
        <v>14.5</v>
      </c>
      <c r="H90" s="57">
        <f>Effort!H88</f>
        <v>649.09089502224299</v>
      </c>
      <c r="I90" s="135">
        <f>Harvest!H88</f>
        <v>9411.8179778225203</v>
      </c>
      <c r="J90" s="96">
        <f>CPUE!H88</f>
        <v>14.499999999999995</v>
      </c>
      <c r="K90" s="57">
        <f>Effort!J88</f>
        <v>974.95144801877404</v>
      </c>
      <c r="L90" s="135">
        <f>Harvest!J88</f>
        <v>14488.2319833488</v>
      </c>
      <c r="M90" s="96">
        <f>CPUE!J88</f>
        <v>14.860465116279112</v>
      </c>
      <c r="N90" s="57" t="str">
        <f>Effort!L88</f>
        <v>CLOSED</v>
      </c>
      <c r="O90" s="135" t="str">
        <f>Harvest!L88</f>
        <v>CLOSED</v>
      </c>
      <c r="P90" s="96" t="str">
        <f>CPUE!L88</f>
        <v>CLOSED</v>
      </c>
      <c r="Q90" s="57" t="s">
        <v>10</v>
      </c>
      <c r="R90" s="135" t="s">
        <v>10</v>
      </c>
      <c r="S90" s="60" t="s">
        <v>10</v>
      </c>
      <c r="T90" s="57">
        <f>SUM(E90+H90+K90)</f>
        <v>2634.758720268273</v>
      </c>
      <c r="U90" s="135">
        <f>SUM(F90+I90+L90)</f>
        <v>38555.437430966529</v>
      </c>
      <c r="V90" s="81"/>
      <c r="W90" s="34"/>
      <c r="X90" s="34"/>
    </row>
    <row r="91" spans="1:24" x14ac:dyDescent="0.25">
      <c r="A91" s="131">
        <v>44594</v>
      </c>
      <c r="B91" s="104" t="s">
        <v>23</v>
      </c>
      <c r="C91" s="104">
        <v>-1.2</v>
      </c>
      <c r="D91" s="105">
        <v>0.81527777777777777</v>
      </c>
      <c r="E91" s="57">
        <f>Effort!F89</f>
        <v>431.3503088111076</v>
      </c>
      <c r="F91" s="135">
        <f>Harvest!F89</f>
        <v>6254.5794777610599</v>
      </c>
      <c r="G91" s="96">
        <f>+CPUE!F89</f>
        <v>14.5</v>
      </c>
      <c r="H91" s="57">
        <f>Effort!H89</f>
        <v>306.78082300485698</v>
      </c>
      <c r="I91" s="135">
        <f>Harvest!H89</f>
        <v>4601.7123450728504</v>
      </c>
      <c r="J91" s="96">
        <f>CPUE!H89</f>
        <v>14.999999999999986</v>
      </c>
      <c r="K91" s="57" t="str">
        <f>Effort!J89</f>
        <v>CLOSED</v>
      </c>
      <c r="L91" s="135" t="str">
        <f>Harvest!J89</f>
        <v>CLOSED</v>
      </c>
      <c r="M91" s="96" t="str">
        <f>CPUE!J89</f>
        <v>CLOSED</v>
      </c>
      <c r="N91" s="57">
        <f>Effort!L89</f>
        <v>457.35027302389</v>
      </c>
      <c r="O91" s="135">
        <f>Harvest!L89</f>
        <v>5030.8530032627896</v>
      </c>
      <c r="P91" s="96">
        <f>CPUE!L89</f>
        <v>11</v>
      </c>
      <c r="Q91" s="57" t="s">
        <v>10</v>
      </c>
      <c r="R91" s="135" t="s">
        <v>10</v>
      </c>
      <c r="S91" s="60" t="s">
        <v>10</v>
      </c>
      <c r="T91" s="57">
        <f>SUM(E91+H91+N91)</f>
        <v>1195.4814048398546</v>
      </c>
      <c r="U91" s="135">
        <f>SUM(F91+I91+O91)</f>
        <v>15887.144826096701</v>
      </c>
      <c r="V91" s="81"/>
      <c r="W91" s="34"/>
      <c r="X91" s="34"/>
    </row>
    <row r="92" spans="1:24" x14ac:dyDescent="0.25">
      <c r="A92" s="131">
        <v>44595</v>
      </c>
      <c r="B92" s="104" t="s">
        <v>24</v>
      </c>
      <c r="C92" s="104">
        <v>-0.7</v>
      </c>
      <c r="D92" s="105">
        <v>0.84236111111111101</v>
      </c>
      <c r="E92" s="57" t="str">
        <f>Effort!F90</f>
        <v>CLOSED</v>
      </c>
      <c r="F92" s="135" t="str">
        <f>Harvest!F90</f>
        <v>CLOSED</v>
      </c>
      <c r="G92" s="96" t="str">
        <f>+CPUE!F90</f>
        <v>CLOSED</v>
      </c>
      <c r="H92" s="57" t="str">
        <f>Effort!H90</f>
        <v>CLOSED</v>
      </c>
      <c r="I92" s="135" t="str">
        <f>Harvest!H90</f>
        <v>CLOSED</v>
      </c>
      <c r="J92" s="96" t="str">
        <f>CPUE!H90</f>
        <v>CLOSED</v>
      </c>
      <c r="K92" s="57">
        <f>Effort!J90</f>
        <v>399.541071085238</v>
      </c>
      <c r="L92" s="135">
        <f>Harvest!J90</f>
        <v>5251.1112199774097</v>
      </c>
      <c r="M92" s="96">
        <f>CPUE!J90</f>
        <v>13.142857142857133</v>
      </c>
      <c r="N92" s="57" t="str">
        <f>Effort!L90</f>
        <v>CLOSED</v>
      </c>
      <c r="O92" s="135" t="str">
        <f>Harvest!L90</f>
        <v>CLOSED</v>
      </c>
      <c r="P92" s="96" t="str">
        <f>CPUE!L90</f>
        <v>CLOSED</v>
      </c>
      <c r="Q92" s="57" t="s">
        <v>10</v>
      </c>
      <c r="R92" s="135" t="s">
        <v>10</v>
      </c>
      <c r="S92" s="60" t="s">
        <v>10</v>
      </c>
      <c r="T92" s="57">
        <f>SUM(K92)</f>
        <v>399.541071085238</v>
      </c>
      <c r="U92" s="135">
        <f>SUM(L92)</f>
        <v>5251.1112199774097</v>
      </c>
      <c r="V92" s="81"/>
      <c r="W92" s="34"/>
      <c r="X92" s="34"/>
    </row>
    <row r="93" spans="1:24" x14ac:dyDescent="0.25">
      <c r="A93" s="148" t="s">
        <v>57</v>
      </c>
      <c r="B93" s="148"/>
      <c r="C93" s="148"/>
      <c r="D93" s="149"/>
      <c r="E93" s="63">
        <f>SUM(E87:E92)</f>
        <v>13741.038008685291</v>
      </c>
      <c r="F93" s="64">
        <f>SUM(F87:F92)</f>
        <v>194106.46209750429</v>
      </c>
      <c r="G93" s="65">
        <f>+F93/E93</f>
        <v>14.126040694656075</v>
      </c>
      <c r="H93" s="63">
        <f>SUM(H87:H92)</f>
        <v>7455.5833364320597</v>
      </c>
      <c r="I93" s="64">
        <f>SUM(I87:I92)</f>
        <v>108573.85096485137</v>
      </c>
      <c r="J93" s="65">
        <f>+I93/H93</f>
        <v>14.562757341105709</v>
      </c>
      <c r="K93" s="63">
        <f>SUM(K87:K92)</f>
        <v>3440.5310649752919</v>
      </c>
      <c r="L93" s="64">
        <f>SUM(L87:L92)</f>
        <v>48238.521968432906</v>
      </c>
      <c r="M93" s="65">
        <f>+L93/K93</f>
        <v>14.020661652935644</v>
      </c>
      <c r="N93" s="63">
        <f>SUM(N87:N92)</f>
        <v>6659.5335597561798</v>
      </c>
      <c r="O93" s="64">
        <f>SUM(O87:O92)</f>
        <v>89460.573874263588</v>
      </c>
      <c r="P93" s="65">
        <f>+O93/N93</f>
        <v>13.433459426479553</v>
      </c>
      <c r="Q93" s="63"/>
      <c r="R93" s="64"/>
      <c r="S93" s="65"/>
      <c r="T93" s="63">
        <f>SUM(T87:T92)</f>
        <v>31296.685969848826</v>
      </c>
      <c r="U93" s="64">
        <f>SUM(U87:U92)</f>
        <v>440379.40890505223</v>
      </c>
      <c r="V93" s="81"/>
      <c r="W93" s="34">
        <f>SUM(H93,K93,N93,Q93,E93)</f>
        <v>31296.685969848819</v>
      </c>
      <c r="X93" s="34">
        <f>SUM(R93,O93,L93,I93,F93)</f>
        <v>440379.40890505217</v>
      </c>
    </row>
    <row r="94" spans="1:24" s="10" customFormat="1" x14ac:dyDescent="0.25">
      <c r="A94" s="131">
        <v>44606</v>
      </c>
      <c r="B94" s="104" t="s">
        <v>21</v>
      </c>
      <c r="C94" s="104">
        <v>0</v>
      </c>
      <c r="D94" s="105">
        <v>0.73263888888888884</v>
      </c>
      <c r="E94" s="57">
        <f>Effort!F92</f>
        <v>1108.3143416025241</v>
      </c>
      <c r="F94" s="135">
        <f>Harvest!F92</f>
        <v>16577.40132705462</v>
      </c>
      <c r="G94" s="96">
        <f>+CPUE!F92</f>
        <v>14.957310128356879</v>
      </c>
      <c r="H94" s="57" t="str">
        <f>Effort!H92</f>
        <v>CLOSED</v>
      </c>
      <c r="I94" s="135" t="str">
        <f>Harvest!H92</f>
        <v>CLOSED</v>
      </c>
      <c r="J94" s="96" t="str">
        <f>CPUE!H92</f>
        <v>CLOSED</v>
      </c>
      <c r="K94" s="57" t="str">
        <f>Effort!J92</f>
        <v>CLOSED</v>
      </c>
      <c r="L94" s="135" t="str">
        <f>Harvest!J92</f>
        <v>CLOSED</v>
      </c>
      <c r="M94" s="96" t="str">
        <f>CPUE!J92</f>
        <v>CLOSED</v>
      </c>
      <c r="N94" s="57" t="str">
        <f>Effort!L92</f>
        <v>CLOSED</v>
      </c>
      <c r="O94" s="135" t="str">
        <f>Harvest!L92</f>
        <v>CLOSED</v>
      </c>
      <c r="P94" s="96" t="str">
        <f>CPUE!L92</f>
        <v>CLOSED</v>
      </c>
      <c r="Q94" s="57" t="s">
        <v>10</v>
      </c>
      <c r="R94" s="135" t="s">
        <v>10</v>
      </c>
      <c r="S94" s="60" t="s">
        <v>10</v>
      </c>
      <c r="T94" s="57">
        <f>SUM(E94)</f>
        <v>1108.3143416025241</v>
      </c>
      <c r="U94" s="135">
        <f>SUM(F94)</f>
        <v>16577.40132705462</v>
      </c>
      <c r="V94" s="81"/>
      <c r="W94" s="138"/>
      <c r="X94" s="138"/>
    </row>
    <row r="95" spans="1:24" s="10" customFormat="1" x14ac:dyDescent="0.25">
      <c r="A95" s="131">
        <v>44607</v>
      </c>
      <c r="B95" s="104" t="s">
        <v>22</v>
      </c>
      <c r="C95" s="104">
        <v>-0.3</v>
      </c>
      <c r="D95" s="105">
        <v>0.75624999999999998</v>
      </c>
      <c r="E95" s="57">
        <f>Effort!F93</f>
        <v>1562.36022745114</v>
      </c>
      <c r="F95" s="135">
        <f>Harvest!F93</f>
        <v>22654.223298041528</v>
      </c>
      <c r="G95" s="96">
        <f>+CPUE!F93</f>
        <v>14.5</v>
      </c>
      <c r="H95" s="57" t="str">
        <f>Effort!H93</f>
        <v>CLOSED</v>
      </c>
      <c r="I95" s="135" t="str">
        <f>Harvest!H93</f>
        <v>CLOSED</v>
      </c>
      <c r="J95" s="96" t="str">
        <f>CPUE!H93</f>
        <v>CLOSED</v>
      </c>
      <c r="K95" s="57" t="str">
        <f>Effort!J93</f>
        <v>CLOSED</v>
      </c>
      <c r="L95" s="135" t="str">
        <f>Harvest!J93</f>
        <v>CLOSED</v>
      </c>
      <c r="M95" s="96" t="str">
        <f>CPUE!J93</f>
        <v>CLOSED</v>
      </c>
      <c r="N95" s="57">
        <f>Effort!L93</f>
        <v>1300.3995823561199</v>
      </c>
      <c r="O95" s="135">
        <f>Harvest!L93</f>
        <v>19505.993735341701</v>
      </c>
      <c r="P95" s="96">
        <f>CPUE!L93</f>
        <v>14.999999999999924</v>
      </c>
      <c r="Q95" s="57" t="s">
        <v>10</v>
      </c>
      <c r="R95" s="135" t="s">
        <v>10</v>
      </c>
      <c r="S95" s="60" t="s">
        <v>10</v>
      </c>
      <c r="T95" s="57">
        <f>SUM(E95+N95)</f>
        <v>2862.7598098072599</v>
      </c>
      <c r="U95" s="135">
        <f>SUM(F95+O95)</f>
        <v>42160.217033383233</v>
      </c>
      <c r="V95" s="81"/>
      <c r="W95" s="138"/>
      <c r="X95" s="138"/>
    </row>
    <row r="96" spans="1:24" s="10" customFormat="1" x14ac:dyDescent="0.25">
      <c r="A96" s="131">
        <v>44608</v>
      </c>
      <c r="B96" s="104" t="s">
        <v>23</v>
      </c>
      <c r="C96" s="104">
        <v>-0.4</v>
      </c>
      <c r="D96" s="105">
        <v>0.77916666666666667</v>
      </c>
      <c r="E96" s="57">
        <f>Effort!F94</f>
        <v>1479.0608396598429</v>
      </c>
      <c r="F96" s="135">
        <f>Harvest!F94</f>
        <v>21446.382175067723</v>
      </c>
      <c r="G96" s="96">
        <f>+CPUE!F94</f>
        <v>14.5</v>
      </c>
      <c r="H96" s="57" t="str">
        <f>Effort!H94</f>
        <v>CLOSED</v>
      </c>
      <c r="I96" s="135" t="str">
        <f>Harvest!H94</f>
        <v>CLOSED</v>
      </c>
      <c r="J96" s="96" t="str">
        <f>CPUE!H94</f>
        <v>CLOSED</v>
      </c>
      <c r="K96" s="57">
        <f>Effort!J94</f>
        <v>1903.8172374841899</v>
      </c>
      <c r="L96" s="135">
        <f>Harvest!J94</f>
        <v>28557.258562262901</v>
      </c>
      <c r="M96" s="96">
        <f>CPUE!J94</f>
        <v>15.000000000000027</v>
      </c>
      <c r="N96" s="57" t="str">
        <f>Effort!L94</f>
        <v>CLOSED</v>
      </c>
      <c r="O96" s="135" t="str">
        <f>Harvest!L94</f>
        <v>CLOSED</v>
      </c>
      <c r="P96" s="96" t="str">
        <f>CPUE!L94</f>
        <v>CLOSED</v>
      </c>
      <c r="Q96" s="57" t="s">
        <v>10</v>
      </c>
      <c r="R96" s="135" t="s">
        <v>10</v>
      </c>
      <c r="S96" s="60" t="s">
        <v>10</v>
      </c>
      <c r="T96" s="57">
        <f>SUM(E96+K96)</f>
        <v>3382.8780771440329</v>
      </c>
      <c r="U96" s="135">
        <f>SUM(F96+L96)</f>
        <v>50003.640737330628</v>
      </c>
      <c r="V96" s="81"/>
      <c r="W96" s="138"/>
      <c r="X96" s="138"/>
    </row>
    <row r="97" spans="1:24" s="10" customFormat="1" x14ac:dyDescent="0.25">
      <c r="A97" s="131">
        <v>44609</v>
      </c>
      <c r="B97" s="104" t="s">
        <v>24</v>
      </c>
      <c r="C97" s="104">
        <v>-0.3</v>
      </c>
      <c r="D97" s="105">
        <v>0.80138888888888893</v>
      </c>
      <c r="E97" s="57">
        <f>Effort!F95</f>
        <v>1083.792715939021</v>
      </c>
      <c r="F97" s="135">
        <f>Harvest!F95</f>
        <v>15714.994381115805</v>
      </c>
      <c r="G97" s="96">
        <f>+CPUE!F95</f>
        <v>14.5</v>
      </c>
      <c r="H97" s="57">
        <f>Effort!H95</f>
        <v>1088.4955798144699</v>
      </c>
      <c r="I97" s="135">
        <f>Harvest!H95</f>
        <v>11465.486774045799</v>
      </c>
      <c r="J97" s="96">
        <f>CPUE!H95</f>
        <v>10.533333333333379</v>
      </c>
      <c r="K97" s="57" t="str">
        <f>Effort!J95</f>
        <v>CLOSED</v>
      </c>
      <c r="L97" s="135" t="str">
        <f>Harvest!J95</f>
        <v>CLOSED</v>
      </c>
      <c r="M97" s="96" t="str">
        <f>CPUE!J95</f>
        <v>CLOSED</v>
      </c>
      <c r="N97" s="57" t="str">
        <f>Effort!L95</f>
        <v>CLOSED</v>
      </c>
      <c r="O97" s="135" t="str">
        <f>Harvest!L95</f>
        <v>CLOSED</v>
      </c>
      <c r="P97" s="96" t="str">
        <f>CPUE!L95</f>
        <v>CLOSED</v>
      </c>
      <c r="Q97" s="57" t="s">
        <v>10</v>
      </c>
      <c r="R97" s="135" t="s">
        <v>10</v>
      </c>
      <c r="S97" s="60" t="s">
        <v>10</v>
      </c>
      <c r="T97" s="57">
        <f>SUM(E97+H97)</f>
        <v>2172.2882957534912</v>
      </c>
      <c r="U97" s="135">
        <f>SUM(F97+I97)</f>
        <v>27180.481155161604</v>
      </c>
      <c r="V97" s="81"/>
      <c r="W97" s="138"/>
      <c r="X97" s="138"/>
    </row>
    <row r="98" spans="1:24" s="10" customFormat="1" x14ac:dyDescent="0.25">
      <c r="A98" s="131">
        <v>44610</v>
      </c>
      <c r="B98" s="104" t="s">
        <v>18</v>
      </c>
      <c r="C98" s="104">
        <v>-0.1</v>
      </c>
      <c r="D98" s="105">
        <v>0.82291666666666663</v>
      </c>
      <c r="E98" s="57">
        <f>Effort!F96</f>
        <v>1243.4411773302788</v>
      </c>
      <c r="F98" s="135">
        <f>Harvest!F96</f>
        <v>18029.897071289044</v>
      </c>
      <c r="G98" s="96">
        <f>+CPUE!F96</f>
        <v>14.5</v>
      </c>
      <c r="H98" s="57">
        <f>Effort!H96</f>
        <v>1248.8367981977301</v>
      </c>
      <c r="I98" s="135">
        <f>Harvest!H96</f>
        <v>18543.334276269299</v>
      </c>
      <c r="J98" s="96">
        <f>CPUE!H96</f>
        <v>14.848484848484826</v>
      </c>
      <c r="K98" s="57">
        <f>Effort!J96</f>
        <v>1600.5323673794601</v>
      </c>
      <c r="L98" s="135">
        <f>Harvest!J96</f>
        <v>23367.7725637402</v>
      </c>
      <c r="M98" s="96">
        <f>CPUE!J96</f>
        <v>14.600000000000051</v>
      </c>
      <c r="N98" s="57" t="str">
        <f>Effort!L96</f>
        <v>CLOSED</v>
      </c>
      <c r="O98" s="135" t="str">
        <f>Harvest!L96</f>
        <v>CLOSED</v>
      </c>
      <c r="P98" s="96" t="str">
        <f>CPUE!L96</f>
        <v>CLOSED</v>
      </c>
      <c r="Q98" s="57" t="s">
        <v>10</v>
      </c>
      <c r="R98" s="135" t="s">
        <v>10</v>
      </c>
      <c r="S98" s="60" t="s">
        <v>10</v>
      </c>
      <c r="T98" s="57">
        <f>SUM(E98+H98+K98)</f>
        <v>4092.810342907469</v>
      </c>
      <c r="U98" s="135">
        <f>SUM(F98+I98+L98)</f>
        <v>59941.00391129854</v>
      </c>
      <c r="V98" s="81"/>
      <c r="W98" s="138"/>
      <c r="X98" s="138"/>
    </row>
    <row r="99" spans="1:24" s="10" customFormat="1" x14ac:dyDescent="0.25">
      <c r="A99" s="148" t="s">
        <v>57</v>
      </c>
      <c r="B99" s="148"/>
      <c r="C99" s="148"/>
      <c r="D99" s="149"/>
      <c r="E99" s="63">
        <f>SUM(E94:E98)</f>
        <v>6476.9693019828073</v>
      </c>
      <c r="F99" s="64">
        <f>SUM(F94:F98)</f>
        <v>94422.898252568717</v>
      </c>
      <c r="G99" s="65">
        <f>+F99/E99</f>
        <v>14.578253169065174</v>
      </c>
      <c r="H99" s="63">
        <f>SUM(H94:H98)</f>
        <v>2337.3323780122</v>
      </c>
      <c r="I99" s="64">
        <f>SUM(I94:I98)</f>
        <v>30008.821050315099</v>
      </c>
      <c r="J99" s="65">
        <f>+I99/H99</f>
        <v>12.838918988422305</v>
      </c>
      <c r="K99" s="63">
        <f>SUM(K94:K98)</f>
        <v>3504.3496048636498</v>
      </c>
      <c r="L99" s="64">
        <f>SUM(L94:L98)</f>
        <v>51925.031126003101</v>
      </c>
      <c r="M99" s="65">
        <f>+L99/K99</f>
        <v>14.817309053279644</v>
      </c>
      <c r="N99" s="63">
        <f>SUM(N94:N98)</f>
        <v>1300.3995823561199</v>
      </c>
      <c r="O99" s="64">
        <f>SUM(O94:O98)</f>
        <v>19505.993735341701</v>
      </c>
      <c r="P99" s="65">
        <f>+O99/N99</f>
        <v>14.999999999999924</v>
      </c>
      <c r="Q99" s="63"/>
      <c r="R99" s="64"/>
      <c r="S99" s="65"/>
      <c r="T99" s="63">
        <f>SUM(T94:T98)</f>
        <v>13619.050867214777</v>
      </c>
      <c r="U99" s="64">
        <f>SUM(U94:U98)</f>
        <v>195862.74416422861</v>
      </c>
      <c r="V99" s="81"/>
      <c r="W99" s="138">
        <f>SUM(H99,K99,N99,Q99,E99)</f>
        <v>13619.050867214777</v>
      </c>
      <c r="X99" s="138">
        <f>SUM(R99,O99,L99,I99,F99)</f>
        <v>195862.74416422861</v>
      </c>
    </row>
    <row r="100" spans="1:24" s="10" customFormat="1" x14ac:dyDescent="0.25">
      <c r="A100" s="131">
        <v>44618</v>
      </c>
      <c r="B100" s="104" t="s">
        <v>19</v>
      </c>
      <c r="C100" s="104">
        <v>0</v>
      </c>
      <c r="D100" s="105">
        <v>0.63750000000000007</v>
      </c>
      <c r="E100" s="57">
        <f>Effort!F98</f>
        <v>4185.3247199422804</v>
      </c>
      <c r="F100" s="135">
        <f>Harvest!F98</f>
        <v>41853.247199422804</v>
      </c>
      <c r="G100" s="96">
        <f>+CPUE!F98</f>
        <v>10</v>
      </c>
      <c r="H100" s="57">
        <f>Effort!H98</f>
        <v>2089.9921381914801</v>
      </c>
      <c r="I100" s="135">
        <f>Harvest!H98</f>
        <v>21801.486617997401</v>
      </c>
      <c r="J100" s="96">
        <f>CPUE!H98</f>
        <v>10.431372549019608</v>
      </c>
      <c r="K100" s="57">
        <f>Effort!J98</f>
        <v>4656.7400110362096</v>
      </c>
      <c r="L100" s="135">
        <f>Harvest!J98</f>
        <v>62185.389685837399</v>
      </c>
      <c r="M100" s="96">
        <f>CPUE!J98</f>
        <v>13.353846153846158</v>
      </c>
      <c r="N100" s="57" t="str">
        <f>Effort!L98</f>
        <v>CLOSED</v>
      </c>
      <c r="O100" s="135" t="str">
        <f>Harvest!L98</f>
        <v>CLOSED</v>
      </c>
      <c r="P100" s="96" t="str">
        <f>CPUE!L98</f>
        <v>CLOSED</v>
      </c>
      <c r="Q100" s="57" t="s">
        <v>10</v>
      </c>
      <c r="R100" s="58" t="s">
        <v>10</v>
      </c>
      <c r="S100" s="60" t="s">
        <v>10</v>
      </c>
      <c r="T100" s="57">
        <f>SUM(E100+H100+K100)</f>
        <v>10932.05686916997</v>
      </c>
      <c r="U100" s="58">
        <f>SUM(F100+I100+L100)</f>
        <v>125840.12350325761</v>
      </c>
      <c r="V100" s="58"/>
      <c r="W100"/>
      <c r="X100"/>
    </row>
    <row r="101" spans="1:24" s="10" customFormat="1" x14ac:dyDescent="0.25">
      <c r="A101" s="131">
        <v>44619</v>
      </c>
      <c r="B101" s="104" t="s">
        <v>20</v>
      </c>
      <c r="C101" s="104">
        <v>-0.4</v>
      </c>
      <c r="D101" s="105">
        <v>0.6777777777777777</v>
      </c>
      <c r="E101" s="57">
        <f>Effort!F99</f>
        <v>1739.8091271331543</v>
      </c>
      <c r="F101" s="135">
        <f>Harvest!F99</f>
        <v>13918.473017065235</v>
      </c>
      <c r="G101" s="96">
        <f>+CPUE!F99</f>
        <v>8</v>
      </c>
      <c r="H101" s="57" t="str">
        <f>Effort!H99</f>
        <v>CLOSED</v>
      </c>
      <c r="I101" s="135" t="str">
        <f>Harvest!H99</f>
        <v>CLOSED</v>
      </c>
      <c r="J101" s="96" t="str">
        <f>CPUE!H99</f>
        <v>CLOSED</v>
      </c>
      <c r="K101" s="57" t="str">
        <f>Effort!J99</f>
        <v>CLOSED</v>
      </c>
      <c r="L101" s="135" t="str">
        <f>Harvest!J99</f>
        <v>CLOSED</v>
      </c>
      <c r="M101" s="96" t="str">
        <f>CPUE!J99</f>
        <v>CLOSED</v>
      </c>
      <c r="N101" s="57">
        <f>Effort!L99</f>
        <v>2066.08699935596</v>
      </c>
      <c r="O101" s="135">
        <f>Harvest!L99</f>
        <v>23473.043964905199</v>
      </c>
      <c r="P101" s="96">
        <f>CPUE!L99</f>
        <v>11.361111111111105</v>
      </c>
      <c r="Q101" s="57" t="s">
        <v>10</v>
      </c>
      <c r="R101" s="58" t="s">
        <v>10</v>
      </c>
      <c r="S101" s="60" t="s">
        <v>10</v>
      </c>
      <c r="T101" s="57">
        <f>SUM(E101+N101)</f>
        <v>3805.8961264891141</v>
      </c>
      <c r="U101" s="58">
        <f>SUM(F101+O101)</f>
        <v>37391.516981970432</v>
      </c>
      <c r="V101" s="58"/>
      <c r="W101"/>
      <c r="X101"/>
    </row>
    <row r="102" spans="1:24" s="10" customFormat="1" x14ac:dyDescent="0.25">
      <c r="A102" s="131">
        <v>44620</v>
      </c>
      <c r="B102" s="104" t="s">
        <v>21</v>
      </c>
      <c r="C102" s="104">
        <v>-0.8</v>
      </c>
      <c r="D102" s="105">
        <v>0.71250000000000002</v>
      </c>
      <c r="E102" s="57">
        <f>Effort!F100</f>
        <v>178.09764631781755</v>
      </c>
      <c r="F102" s="135">
        <f>Harvest!F100</f>
        <v>890.48823158908772</v>
      </c>
      <c r="G102" s="96">
        <f>+CPUE!F100</f>
        <v>5</v>
      </c>
      <c r="H102" s="57" t="str">
        <f>Effort!H100</f>
        <v>CLOSED</v>
      </c>
      <c r="I102" s="135" t="str">
        <f>Harvest!H100</f>
        <v>CLOSED</v>
      </c>
      <c r="J102" s="96" t="str">
        <f>CPUE!H100</f>
        <v>CLOSED</v>
      </c>
      <c r="K102" s="57" t="str">
        <f>Effort!J100</f>
        <v>CLOSED</v>
      </c>
      <c r="L102" s="135" t="str">
        <f>Harvest!J100</f>
        <v>CLOSED</v>
      </c>
      <c r="M102" s="96" t="str">
        <f>CPUE!J100</f>
        <v>CLOSED</v>
      </c>
      <c r="N102" s="57" t="str">
        <f>Effort!L100</f>
        <v>CLOSED</v>
      </c>
      <c r="O102" s="135" t="str">
        <f>Harvest!L100</f>
        <v>CLOSED</v>
      </c>
      <c r="P102" s="96" t="str">
        <f>CPUE!L100</f>
        <v>CLOSED</v>
      </c>
      <c r="Q102" s="57" t="s">
        <v>10</v>
      </c>
      <c r="R102" s="58" t="s">
        <v>10</v>
      </c>
      <c r="S102" s="60" t="s">
        <v>10</v>
      </c>
      <c r="T102" s="57">
        <f>SUM(E102)</f>
        <v>178.09764631781755</v>
      </c>
      <c r="U102" s="58">
        <f>SUM(F102)</f>
        <v>890.48823158908772</v>
      </c>
      <c r="V102" s="58"/>
      <c r="W102"/>
      <c r="X102"/>
    </row>
    <row r="103" spans="1:24" s="10" customFormat="1" x14ac:dyDescent="0.25">
      <c r="A103" s="131">
        <v>44621</v>
      </c>
      <c r="B103" s="104" t="s">
        <v>22</v>
      </c>
      <c r="C103" s="104">
        <v>-0.9</v>
      </c>
      <c r="D103" s="105">
        <v>0.74305555555555547</v>
      </c>
      <c r="E103" s="57">
        <f>Effort!F101</f>
        <v>542.94746833132615</v>
      </c>
      <c r="F103" s="135">
        <f>Harvest!F101</f>
        <v>7872.7382908042291</v>
      </c>
      <c r="G103" s="96">
        <f>+CPUE!F101</f>
        <v>14.5</v>
      </c>
      <c r="H103" s="57">
        <f>Effort!H101</f>
        <v>481.7531446638348</v>
      </c>
      <c r="I103" s="135">
        <f>Harvest!H101</f>
        <v>6985.4205976256044</v>
      </c>
      <c r="J103" s="96">
        <f>CPUE!H101</f>
        <v>14.5</v>
      </c>
      <c r="K103" s="57" t="str">
        <f>Effort!J101</f>
        <v>CLOSED</v>
      </c>
      <c r="L103" s="135" t="str">
        <f>Harvest!J101</f>
        <v>CLOSED</v>
      </c>
      <c r="M103" s="96" t="str">
        <f>CPUE!J101</f>
        <v>CLOSED</v>
      </c>
      <c r="N103" s="57">
        <f>Effort!L101</f>
        <v>546.45982271002799</v>
      </c>
      <c r="O103" s="135">
        <f>Harvest!L101</f>
        <v>7856.8778954086201</v>
      </c>
      <c r="P103" s="96">
        <f>CPUE!L101</f>
        <v>14.377777777777769</v>
      </c>
      <c r="Q103" s="57" t="s">
        <v>10</v>
      </c>
      <c r="R103" s="58" t="s">
        <v>10</v>
      </c>
      <c r="S103" s="60" t="s">
        <v>10</v>
      </c>
      <c r="T103" s="57">
        <f>SUM(E103+H103+N103)</f>
        <v>1571.160435705189</v>
      </c>
      <c r="U103" s="58">
        <f>SUM(F103+I103+O103)</f>
        <v>22715.036783838452</v>
      </c>
      <c r="V103" s="58"/>
      <c r="W103"/>
      <c r="X103"/>
    </row>
    <row r="104" spans="1:24" s="10" customFormat="1" x14ac:dyDescent="0.25">
      <c r="A104" s="131">
        <v>44622</v>
      </c>
      <c r="B104" s="104" t="s">
        <v>23</v>
      </c>
      <c r="C104" s="104">
        <v>-0.8</v>
      </c>
      <c r="D104" s="105">
        <v>0.77083333333333337</v>
      </c>
      <c r="E104" s="57">
        <f>Effort!F102</f>
        <v>945.42653782750847</v>
      </c>
      <c r="F104" s="135">
        <f>Harvest!F102</f>
        <v>14181.398067412627</v>
      </c>
      <c r="G104" s="96">
        <f>+CPUE!F102</f>
        <v>15</v>
      </c>
      <c r="H104" s="57">
        <f>Effort!H102</f>
        <v>681.48758853493996</v>
      </c>
      <c r="I104" s="135">
        <f>Harvest!H102</f>
        <v>10112.3964750346</v>
      </c>
      <c r="J104" s="96">
        <f>CPUE!H102</f>
        <v>14.838709677419367</v>
      </c>
      <c r="K104" s="57">
        <f>Effort!J102</f>
        <v>1051.9149363057099</v>
      </c>
      <c r="L104" s="135">
        <f>Harvest!J102</f>
        <v>15590.882091674001</v>
      </c>
      <c r="M104" s="96">
        <f>CPUE!J102</f>
        <v>14.821428571428653</v>
      </c>
      <c r="N104" s="57" t="str">
        <f>Effort!L102</f>
        <v>CLOSED</v>
      </c>
      <c r="O104" s="135" t="str">
        <f>Harvest!L102</f>
        <v>CLOSED</v>
      </c>
      <c r="P104" s="96" t="str">
        <f>CPUE!L102</f>
        <v>CLOSED</v>
      </c>
      <c r="Q104" s="57" t="s">
        <v>10</v>
      </c>
      <c r="R104" s="58" t="s">
        <v>10</v>
      </c>
      <c r="S104" s="60" t="s">
        <v>10</v>
      </c>
      <c r="T104" s="57">
        <f>SUM(E104+H104+K104)</f>
        <v>2678.8290626681583</v>
      </c>
      <c r="U104" s="58">
        <f>SUM(F104+I104+L104)</f>
        <v>39884.676634121228</v>
      </c>
      <c r="V104" s="58"/>
      <c r="W104"/>
      <c r="X104"/>
    </row>
    <row r="105" spans="1:24" s="10" customFormat="1" x14ac:dyDescent="0.25">
      <c r="A105" s="131">
        <v>44623</v>
      </c>
      <c r="B105" s="104" t="s">
        <v>24</v>
      </c>
      <c r="C105" s="104">
        <v>-0.5</v>
      </c>
      <c r="D105" s="105">
        <v>0.79652777777777783</v>
      </c>
      <c r="E105" s="57">
        <f>Effort!F103</f>
        <v>613.53916595788905</v>
      </c>
      <c r="F105" s="135">
        <f>Harvest!F103</f>
        <v>9203.0874893683394</v>
      </c>
      <c r="G105" s="96">
        <f>+CPUE!F103</f>
        <v>15.000000000000005</v>
      </c>
      <c r="H105" s="57">
        <f>Effort!H103</f>
        <v>544.38861918455302</v>
      </c>
      <c r="I105" s="135">
        <f>Harvest!H103</f>
        <v>7621.4406685837503</v>
      </c>
      <c r="J105" s="96">
        <f>CPUE!H103</f>
        <v>14.000000000000014</v>
      </c>
      <c r="K105" s="57" t="str">
        <f>Effort!J103</f>
        <v>CLOSED</v>
      </c>
      <c r="L105" s="135" t="str">
        <f>Harvest!J103</f>
        <v>CLOSED</v>
      </c>
      <c r="M105" s="96" t="str">
        <f>CPUE!J103</f>
        <v>CLOSED</v>
      </c>
      <c r="N105" s="57">
        <f>Effort!L103</f>
        <v>617.50818156575303</v>
      </c>
      <c r="O105" s="135">
        <f>Harvest!L103</f>
        <v>9262.6227234862999</v>
      </c>
      <c r="P105" s="96">
        <f>CPUE!L103</f>
        <v>15.000000000000007</v>
      </c>
      <c r="Q105" s="57" t="s">
        <v>10</v>
      </c>
      <c r="R105" s="58" t="s">
        <v>10</v>
      </c>
      <c r="S105" s="60" t="s">
        <v>10</v>
      </c>
      <c r="T105" s="57">
        <f>SUM(E105+H105+N105)</f>
        <v>1775.4359667081953</v>
      </c>
      <c r="U105" s="58">
        <f>SUM(F105+I105+O105)</f>
        <v>26087.150881438389</v>
      </c>
      <c r="V105" s="58"/>
      <c r="W105"/>
      <c r="X105"/>
    </row>
    <row r="106" spans="1:24" s="10" customFormat="1" x14ac:dyDescent="0.25">
      <c r="A106" s="131">
        <v>44624</v>
      </c>
      <c r="B106" s="104" t="s">
        <v>18</v>
      </c>
      <c r="C106" s="104">
        <v>0</v>
      </c>
      <c r="D106" s="105">
        <v>0.8208333333333333</v>
      </c>
      <c r="E106" s="57">
        <f>Effort!F104</f>
        <v>803.6939931085343</v>
      </c>
      <c r="F106" s="135">
        <f>Harvest!F104</f>
        <v>12055.409896628014</v>
      </c>
      <c r="G106" s="96">
        <f>+CPUE!F104</f>
        <v>15</v>
      </c>
      <c r="H106" s="57">
        <f>Effort!H104</f>
        <v>579.32315137051933</v>
      </c>
      <c r="I106" s="135">
        <f>Harvest!H104</f>
        <v>8689.8472705577897</v>
      </c>
      <c r="J106" s="96">
        <f>CPUE!H104</f>
        <v>15</v>
      </c>
      <c r="K106" s="57">
        <f>Effort!J104</f>
        <v>894.21830437796598</v>
      </c>
      <c r="L106" s="135">
        <f>Harvest!J104</f>
        <v>13413.274565669501</v>
      </c>
      <c r="M106" s="96">
        <f>CPUE!J104</f>
        <v>15.000000000000012</v>
      </c>
      <c r="N106" s="57" t="str">
        <f>Effort!L104</f>
        <v>CLOSED</v>
      </c>
      <c r="O106" s="135" t="str">
        <f>Harvest!L104</f>
        <v>CLOSED</v>
      </c>
      <c r="P106" s="96" t="str">
        <f>CPUE!L104</f>
        <v>CLOSED</v>
      </c>
      <c r="Q106" s="57" t="s">
        <v>10</v>
      </c>
      <c r="R106" s="58" t="s">
        <v>10</v>
      </c>
      <c r="S106" s="60" t="s">
        <v>10</v>
      </c>
      <c r="T106" s="57">
        <f>SUM(E106+H106+K106)</f>
        <v>2277.2354488570195</v>
      </c>
      <c r="U106" s="58">
        <f>SUM(F106+I106+L106)</f>
        <v>34158.531732855306</v>
      </c>
      <c r="V106" s="58"/>
      <c r="W106"/>
      <c r="X106"/>
    </row>
    <row r="107" spans="1:24" s="10" customFormat="1" x14ac:dyDescent="0.25">
      <c r="A107" s="148" t="s">
        <v>57</v>
      </c>
      <c r="B107" s="148"/>
      <c r="C107" s="148"/>
      <c r="D107" s="149"/>
      <c r="E107" s="63">
        <f>SUM(E100:E106)</f>
        <v>9008.8386586185097</v>
      </c>
      <c r="F107" s="64">
        <f>SUM(F100:F106)</f>
        <v>99974.842192290322</v>
      </c>
      <c r="G107" s="65">
        <f>+F107/E107</f>
        <v>11.0974173232248</v>
      </c>
      <c r="H107" s="63">
        <f>SUM(H100:H106)</f>
        <v>4376.9446419453279</v>
      </c>
      <c r="I107" s="64">
        <f>SUM(I100:I106)</f>
        <v>55210.59162979915</v>
      </c>
      <c r="J107" s="65">
        <f>+I107/H107</f>
        <v>12.613957028540545</v>
      </c>
      <c r="K107" s="63">
        <f>SUM(K100:K106)</f>
        <v>6602.873251719886</v>
      </c>
      <c r="L107" s="64">
        <f>SUM(L100:L106)</f>
        <v>91189.546343180904</v>
      </c>
      <c r="M107" s="65">
        <f>+L107/K107</f>
        <v>13.8105856142897</v>
      </c>
      <c r="N107" s="63">
        <f>SUM(N100:N106)</f>
        <v>3230.0550036317409</v>
      </c>
      <c r="O107" s="64">
        <f>SUM(O100:O106)</f>
        <v>40592.544583800118</v>
      </c>
      <c r="P107" s="65">
        <f>+O107/N107</f>
        <v>12.56713725870288</v>
      </c>
      <c r="Q107" s="63"/>
      <c r="R107" s="64"/>
      <c r="S107" s="65"/>
      <c r="T107" s="63">
        <f>SUM(T100:T106)</f>
        <v>23218.711555915466</v>
      </c>
      <c r="U107" s="64">
        <f>SUM(U100:U106)</f>
        <v>286967.52474907052</v>
      </c>
      <c r="V107" s="81"/>
      <c r="W107" s="34">
        <f>SUM(H107,K107,N107,Q107,E107)</f>
        <v>23218.711555915463</v>
      </c>
      <c r="X107" s="34">
        <f>SUM(R107,O107,L107,I107,F107)</f>
        <v>286967.52474907052</v>
      </c>
    </row>
    <row r="108" spans="1:24" x14ac:dyDescent="0.25">
      <c r="A108" s="55">
        <v>44636</v>
      </c>
      <c r="B108" s="104" t="s">
        <v>23</v>
      </c>
      <c r="C108" s="104">
        <v>0</v>
      </c>
      <c r="D108" s="105">
        <v>0.77430555555555547</v>
      </c>
      <c r="E108" s="57">
        <f>Effort!F106</f>
        <v>1105.111615922078</v>
      </c>
      <c r="F108" s="135">
        <f>Harvest!F106</f>
        <v>16576.67423883118</v>
      </c>
      <c r="G108" s="96">
        <f>+CPUE!F106</f>
        <v>15.000000000000009</v>
      </c>
      <c r="H108" s="57">
        <f>Effort!H106</f>
        <v>528.2283918659823</v>
      </c>
      <c r="I108" s="135">
        <f>Harvest!H106</f>
        <v>7659.3116820567429</v>
      </c>
      <c r="J108" s="96">
        <f>CPUE!H106</f>
        <v>14.5</v>
      </c>
      <c r="K108" s="57" t="str">
        <f>Effort!J106</f>
        <v>CLOSED</v>
      </c>
      <c r="L108" s="135" t="str">
        <f>Harvest!J106</f>
        <v>CLOSED</v>
      </c>
      <c r="M108" s="96" t="str">
        <f>CPUE!J106</f>
        <v>CLOSED</v>
      </c>
      <c r="N108" s="57">
        <f>Effort!L106</f>
        <v>895.09100269589499</v>
      </c>
      <c r="O108" s="135">
        <f>Harvest!L106</f>
        <v>13049.484618250701</v>
      </c>
      <c r="P108" s="96">
        <f>CPUE!L106</f>
        <v>14.578947368421076</v>
      </c>
      <c r="Q108" s="57" t="s">
        <v>10</v>
      </c>
      <c r="R108" s="58" t="s">
        <v>10</v>
      </c>
      <c r="S108" s="60" t="s">
        <v>10</v>
      </c>
      <c r="T108" s="57">
        <f>SUM(E108+H108+N108)</f>
        <v>2528.4310104839551</v>
      </c>
      <c r="U108" s="58">
        <f>SUM(F108+I108+O108)</f>
        <v>37285.470539138623</v>
      </c>
      <c r="V108" s="58"/>
    </row>
    <row r="109" spans="1:24" x14ac:dyDescent="0.25">
      <c r="A109" s="55">
        <v>44637</v>
      </c>
      <c r="B109" s="104" t="s">
        <v>24</v>
      </c>
      <c r="C109" s="104">
        <v>0</v>
      </c>
      <c r="D109" s="105">
        <v>0.79722222222222217</v>
      </c>
      <c r="E109" s="57">
        <f>Effort!F107</f>
        <v>476.49090076404161</v>
      </c>
      <c r="F109" s="135">
        <f>Harvest!F107</f>
        <v>6909.1180610786032</v>
      </c>
      <c r="G109" s="96">
        <f>+CPUE!F107</f>
        <v>14.5</v>
      </c>
      <c r="H109" s="57">
        <f>Effort!H107</f>
        <v>462.67316845261468</v>
      </c>
      <c r="I109" s="135">
        <f>Harvest!H107</f>
        <v>6708.7609425629125</v>
      </c>
      <c r="J109" s="96">
        <f>CPUE!H107</f>
        <v>14.5</v>
      </c>
      <c r="K109" s="57">
        <f>Effort!J107</f>
        <v>742.273098023069</v>
      </c>
      <c r="L109" s="135">
        <f>Harvest!J107</f>
        <v>11083.4869409354</v>
      </c>
      <c r="M109" s="96">
        <f>CPUE!J107</f>
        <v>14.931818181818221</v>
      </c>
      <c r="N109" s="57" t="str">
        <f>Effort!L107</f>
        <v>CLOSED</v>
      </c>
      <c r="O109" s="135" t="str">
        <f>Harvest!L107</f>
        <v>CLOSED</v>
      </c>
      <c r="P109" s="96" t="str">
        <f>CPUE!L107</f>
        <v>CLOSED</v>
      </c>
      <c r="Q109" s="57" t="s">
        <v>10</v>
      </c>
      <c r="R109" s="58" t="s">
        <v>10</v>
      </c>
      <c r="S109" s="60" t="s">
        <v>10</v>
      </c>
      <c r="T109" s="57">
        <f>SUM(E109+H109+K109)</f>
        <v>1681.4371672397253</v>
      </c>
      <c r="U109" s="58">
        <f>SUM(F109+I109+L109)</f>
        <v>24701.365944576915</v>
      </c>
      <c r="V109" s="58"/>
    </row>
    <row r="110" spans="1:24" x14ac:dyDescent="0.25">
      <c r="A110" s="55">
        <v>44638</v>
      </c>
      <c r="B110" s="104" t="s">
        <v>18</v>
      </c>
      <c r="C110" s="104">
        <v>0.2</v>
      </c>
      <c r="D110" s="105">
        <v>0.82013888888888886</v>
      </c>
      <c r="E110" s="57">
        <f>Effort!F108</f>
        <v>1815.9063731677011</v>
      </c>
      <c r="F110" s="135">
        <f>Harvest!F108</f>
        <v>25422.689224347814</v>
      </c>
      <c r="G110" s="96">
        <f>+CPUE!F108</f>
        <v>14</v>
      </c>
      <c r="H110" s="57">
        <f>Effort!H108</f>
        <v>867.97866338344397</v>
      </c>
      <c r="I110" s="135">
        <f>Harvest!H108</f>
        <v>13019.679950751701</v>
      </c>
      <c r="J110" s="96">
        <f>CPUE!H108</f>
        <v>15.000000000000048</v>
      </c>
      <c r="K110" s="57" t="str">
        <f>Effort!J108</f>
        <v>CLOSED</v>
      </c>
      <c r="L110" s="135" t="str">
        <f>Harvest!J108</f>
        <v>CLOSED</v>
      </c>
      <c r="M110" s="96" t="str">
        <f>CPUE!J108</f>
        <v>CLOSED</v>
      </c>
      <c r="N110" s="57">
        <f>Effort!L108</f>
        <v>1470.80297857909</v>
      </c>
      <c r="O110" s="135">
        <f>Harvest!L108</f>
        <v>19172.9673993346</v>
      </c>
      <c r="P110" s="96">
        <f>CPUE!L108</f>
        <v>13.03571428571431</v>
      </c>
      <c r="Q110" s="57" t="s">
        <v>10</v>
      </c>
      <c r="R110" s="58" t="s">
        <v>10</v>
      </c>
      <c r="S110" s="60" t="s">
        <v>10</v>
      </c>
      <c r="T110" s="57">
        <f>SUM(E110+H110+N110)</f>
        <v>4154.6880151302357</v>
      </c>
      <c r="U110" s="58">
        <f>SUM(F110+I110+O110)</f>
        <v>57615.336574434114</v>
      </c>
      <c r="V110" s="58"/>
    </row>
    <row r="111" spans="1:24" x14ac:dyDescent="0.25">
      <c r="A111" s="55">
        <v>44639</v>
      </c>
      <c r="B111" s="104" t="s">
        <v>19</v>
      </c>
      <c r="C111" s="104">
        <v>0.5</v>
      </c>
      <c r="D111" s="105">
        <v>0.84305555555555556</v>
      </c>
      <c r="E111" s="57">
        <f>Effort!F109</f>
        <v>2660.2619128480801</v>
      </c>
      <c r="F111" s="135">
        <f>Harvest!F109</f>
        <v>37243.666779873121</v>
      </c>
      <c r="G111" s="96">
        <f>+CPUE!F109</f>
        <v>14</v>
      </c>
      <c r="H111" s="57">
        <f>Effort!H109</f>
        <v>2583.1171301647646</v>
      </c>
      <c r="I111" s="135">
        <f>Harvest!H109</f>
        <v>36163.639822306708</v>
      </c>
      <c r="J111" s="96">
        <f>CPUE!H109</f>
        <v>14</v>
      </c>
      <c r="K111" s="57">
        <f>Effort!J109</f>
        <v>4144.1312907260799</v>
      </c>
      <c r="L111" s="135">
        <f>Harvest!J109</f>
        <v>59142.673706219299</v>
      </c>
      <c r="M111" s="96">
        <f>CPUE!J109</f>
        <v>14.271428571428562</v>
      </c>
      <c r="N111" s="57" t="str">
        <f>Effort!L109</f>
        <v>CLOSED</v>
      </c>
      <c r="O111" s="135" t="str">
        <f>Harvest!L109</f>
        <v>CLOSED</v>
      </c>
      <c r="P111" s="96" t="str">
        <f>CPUE!L109</f>
        <v>CLOSED</v>
      </c>
      <c r="Q111" s="57" t="s">
        <v>10</v>
      </c>
      <c r="R111" s="58" t="s">
        <v>10</v>
      </c>
      <c r="S111" s="60" t="s">
        <v>10</v>
      </c>
      <c r="T111" s="57">
        <f>SUM(E111+H111+K111)</f>
        <v>9387.5103337389246</v>
      </c>
      <c r="U111" s="58">
        <f>SUM(F111+I111+L111)</f>
        <v>132549.98030839913</v>
      </c>
      <c r="V111" s="58"/>
    </row>
    <row r="112" spans="1:24" x14ac:dyDescent="0.25">
      <c r="A112" s="55">
        <v>44640</v>
      </c>
      <c r="B112" s="104" t="s">
        <v>20</v>
      </c>
      <c r="C112" s="104">
        <v>0.2</v>
      </c>
      <c r="D112" s="105">
        <v>0.36527777777777781</v>
      </c>
      <c r="E112" s="57">
        <f>Effort!F110</f>
        <v>2743.1181611281418</v>
      </c>
      <c r="F112" s="135">
        <f>Harvest!F110</f>
        <v>39775.213336358058</v>
      </c>
      <c r="G112" s="96">
        <f>+CPUE!F110</f>
        <v>14.5</v>
      </c>
      <c r="H112" s="57">
        <f>Effort!H110</f>
        <v>1007.57576303541</v>
      </c>
      <c r="I112" s="135">
        <f>Harvest!H110</f>
        <v>14771.4409033682</v>
      </c>
      <c r="J112" s="96">
        <f>CPUE!H110</f>
        <v>14.660377358490587</v>
      </c>
      <c r="K112" s="57" t="str">
        <f>Effort!J110</f>
        <v>CLOSED</v>
      </c>
      <c r="L112" s="135" t="str">
        <f>Harvest!J110</f>
        <v>CLOSED</v>
      </c>
      <c r="M112" s="96" t="str">
        <f>CPUE!J110</f>
        <v>CLOSED</v>
      </c>
      <c r="N112" s="57">
        <f>Effort!L110</f>
        <v>2221.8030739897999</v>
      </c>
      <c r="O112" s="135">
        <f>Harvest!L110</f>
        <v>24899.5172085064</v>
      </c>
      <c r="P112" s="96">
        <f>CPUE!L110</f>
        <v>11.206896551724148</v>
      </c>
      <c r="Q112" s="57" t="s">
        <v>10</v>
      </c>
      <c r="R112" s="58" t="s">
        <v>10</v>
      </c>
      <c r="S112" s="60" t="s">
        <v>10</v>
      </c>
      <c r="T112" s="57">
        <f>SUM(E112+H112+N112)</f>
        <v>5972.4969981533523</v>
      </c>
      <c r="U112" s="58">
        <f>SUM(F112+I112+O112)</f>
        <v>79446.171448232664</v>
      </c>
      <c r="V112" s="58"/>
    </row>
    <row r="113" spans="1:24" x14ac:dyDescent="0.25">
      <c r="A113" s="55">
        <v>44641</v>
      </c>
      <c r="B113" s="104" t="s">
        <v>21</v>
      </c>
      <c r="C113" s="104">
        <v>0</v>
      </c>
      <c r="D113" s="105">
        <v>0.39583333333333331</v>
      </c>
      <c r="E113" s="57">
        <f>Effort!F111</f>
        <v>415.72916783312888</v>
      </c>
      <c r="F113" s="135">
        <f>Harvest!F111</f>
        <v>6028.072933580369</v>
      </c>
      <c r="G113" s="96">
        <f>+CPUE!F111</f>
        <v>14.5</v>
      </c>
      <c r="H113" s="57">
        <f>Effort!H111</f>
        <v>403.67346153116301</v>
      </c>
      <c r="I113" s="135">
        <f>Harvest!H111</f>
        <v>5791.8366219688596</v>
      </c>
      <c r="J113" s="96">
        <f>CPUE!H111</f>
        <v>14.34782608695652</v>
      </c>
      <c r="K113" s="57">
        <f>Effort!J111</f>
        <v>647.61903501460597</v>
      </c>
      <c r="L113" s="135">
        <f>Harvest!J111</f>
        <v>9466.6664824193904</v>
      </c>
      <c r="M113" s="96">
        <f>CPUE!J111</f>
        <v>14.617647058823534</v>
      </c>
      <c r="N113" s="57" t="str">
        <f>Effort!L111</f>
        <v>CLOSED</v>
      </c>
      <c r="O113" s="135" t="str">
        <f>Harvest!L111</f>
        <v>CLOSED</v>
      </c>
      <c r="P113" s="96" t="str">
        <f>CPUE!L111</f>
        <v>CLOSED</v>
      </c>
      <c r="Q113" s="57" t="s">
        <v>10</v>
      </c>
      <c r="R113" s="58" t="s">
        <v>10</v>
      </c>
      <c r="S113" s="60" t="s">
        <v>10</v>
      </c>
      <c r="T113" s="57">
        <f>SUM(E113+H113+K113)</f>
        <v>1467.0216643788979</v>
      </c>
      <c r="U113" s="58">
        <f>SUM(F113+I113+L113)</f>
        <v>21286.576037968618</v>
      </c>
      <c r="V113" s="58"/>
    </row>
    <row r="114" spans="1:24" x14ac:dyDescent="0.25">
      <c r="A114" s="55">
        <v>44642</v>
      </c>
      <c r="B114" s="104" t="s">
        <v>22</v>
      </c>
      <c r="C114" s="104">
        <v>-0.1</v>
      </c>
      <c r="D114" s="105">
        <v>0.4291666666666667</v>
      </c>
      <c r="E114" s="57">
        <f>Effort!F112</f>
        <v>1139.2</v>
      </c>
      <c r="F114" s="135">
        <f>Harvest!F112</f>
        <v>17088</v>
      </c>
      <c r="G114" s="96">
        <f>+CPUE!F112</f>
        <v>15</v>
      </c>
      <c r="H114" s="57">
        <f>Effort!H112</f>
        <v>477.14920828738485</v>
      </c>
      <c r="I114" s="135">
        <f>Harvest!H112</f>
        <v>7157.2381243107729</v>
      </c>
      <c r="J114" s="96">
        <f>CPUE!H112</f>
        <v>15</v>
      </c>
      <c r="K114" s="57" t="str">
        <f>Effort!J112</f>
        <v>CLOSED</v>
      </c>
      <c r="L114" s="135" t="str">
        <f>Harvest!J112</f>
        <v>CLOSED</v>
      </c>
      <c r="M114" s="96" t="str">
        <f>CPUE!J112</f>
        <v>CLOSED</v>
      </c>
      <c r="N114" s="57">
        <f>Effort!L112</f>
        <v>808.53655323749797</v>
      </c>
      <c r="O114" s="135">
        <f>Harvest!L112</f>
        <v>12024.389766096099</v>
      </c>
      <c r="P114" s="96">
        <f>CPUE!L112</f>
        <v>14.871794871794842</v>
      </c>
      <c r="Q114" s="57" t="s">
        <v>10</v>
      </c>
      <c r="R114" s="58" t="s">
        <v>10</v>
      </c>
      <c r="S114" s="60" t="s">
        <v>10</v>
      </c>
      <c r="T114" s="57">
        <f>SUM(E114,H114,N114)</f>
        <v>2424.885761524883</v>
      </c>
      <c r="U114" s="58">
        <f>SUM(F114,I114,O114)</f>
        <v>36269.627890406875</v>
      </c>
      <c r="V114" s="58"/>
    </row>
    <row r="115" spans="1:24" x14ac:dyDescent="0.25">
      <c r="A115" s="148" t="s">
        <v>57</v>
      </c>
      <c r="B115" s="148"/>
      <c r="C115" s="148"/>
      <c r="D115" s="149"/>
      <c r="E115" s="63">
        <f>SUM(E108:E114)</f>
        <v>10355.818131663173</v>
      </c>
      <c r="F115" s="64">
        <f>SUM(F108:F114)</f>
        <v>149043.43457406916</v>
      </c>
      <c r="G115" s="65">
        <f>+F115/E115</f>
        <v>14.392241412425459</v>
      </c>
      <c r="H115" s="63">
        <f>SUM(H108:H114)</f>
        <v>6330.3957867207637</v>
      </c>
      <c r="I115" s="64">
        <f>SUM(I108:I114)</f>
        <v>91271.908047325895</v>
      </c>
      <c r="J115" s="65">
        <f>+I115/H115</f>
        <v>14.418041323543541</v>
      </c>
      <c r="K115" s="63">
        <f>SUM(K108:K114)</f>
        <v>5534.0234237637551</v>
      </c>
      <c r="L115" s="64">
        <f>SUM(L108:L114)</f>
        <v>79692.827129574085</v>
      </c>
      <c r="M115" s="65">
        <f>+L115/K115</f>
        <v>14.400522192834169</v>
      </c>
      <c r="N115" s="63">
        <f>SUM(N108:N114)</f>
        <v>5396.2336085022835</v>
      </c>
      <c r="O115" s="64">
        <f>SUM(O108:O114)</f>
        <v>69146.358992187801</v>
      </c>
      <c r="P115" s="65">
        <f>+O115/N115</f>
        <v>12.813818675907783</v>
      </c>
      <c r="Q115" s="63"/>
      <c r="R115" s="64"/>
      <c r="S115" s="65"/>
      <c r="T115" s="63">
        <f>SUM(T108:T114)</f>
        <v>27616.470950649971</v>
      </c>
      <c r="U115" s="64">
        <f>SUM(U108:U114)</f>
        <v>389154.52874315693</v>
      </c>
      <c r="V115" s="81"/>
      <c r="W115" s="34">
        <f>SUM(H115,K115,N115,Q115,E115)</f>
        <v>27616.470950649978</v>
      </c>
      <c r="X115" s="34">
        <f>SUM(R115,O115,L115,I115,F115)</f>
        <v>389154.52874315693</v>
      </c>
    </row>
    <row r="116" spans="1:24" x14ac:dyDescent="0.25">
      <c r="A116" s="131">
        <v>44652</v>
      </c>
      <c r="B116" s="104" t="s">
        <v>18</v>
      </c>
      <c r="C116" s="104">
        <v>0.5</v>
      </c>
      <c r="D116" s="105">
        <v>0.31666666666666665</v>
      </c>
      <c r="E116" s="57">
        <f>Effort!F114</f>
        <v>629.731585887606</v>
      </c>
      <c r="F116" s="135">
        <f>Harvest!F114</f>
        <v>9445.9737883140897</v>
      </c>
      <c r="G116" s="96">
        <f>+CPUE!F114</f>
        <v>15</v>
      </c>
      <c r="H116" s="57">
        <f>Effort!H114</f>
        <v>373.21082618703912</v>
      </c>
      <c r="I116" s="135">
        <f>Harvest!H114</f>
        <v>5598.1623928055869</v>
      </c>
      <c r="J116" s="96">
        <f>CPUE!H114</f>
        <v>15</v>
      </c>
      <c r="K116" s="57" t="str">
        <f>Effort!J114</f>
        <v>CLOSED</v>
      </c>
      <c r="L116" s="135" t="str">
        <f>Harvest!J114</f>
        <v>CLOSED</v>
      </c>
      <c r="M116" s="96" t="str">
        <f>CPUE!J114</f>
        <v>CLOSED</v>
      </c>
      <c r="N116" s="57">
        <f>Effort!L114</f>
        <v>493.79512840915697</v>
      </c>
      <c r="O116" s="135">
        <f>Harvest!L114</f>
        <v>7315.4833838393597</v>
      </c>
      <c r="P116" s="96">
        <f>CPUE!L114</f>
        <v>14.81481481481481</v>
      </c>
      <c r="Q116" s="57" t="s">
        <v>10</v>
      </c>
      <c r="R116" s="135" t="s">
        <v>10</v>
      </c>
      <c r="S116" s="60" t="s">
        <v>10</v>
      </c>
      <c r="T116" s="57">
        <f>SUM(E116+H116+N116)</f>
        <v>1496.7375404838021</v>
      </c>
      <c r="U116" s="135">
        <f>SUM(F116+I116+O116)</f>
        <v>22359.619564959037</v>
      </c>
      <c r="V116" s="81"/>
      <c r="W116" s="34"/>
      <c r="X116" s="34"/>
    </row>
    <row r="117" spans="1:24" x14ac:dyDescent="0.25">
      <c r="A117" s="131">
        <v>44653</v>
      </c>
      <c r="B117" s="104" t="s">
        <v>19</v>
      </c>
      <c r="C117" s="104">
        <v>0</v>
      </c>
      <c r="D117" s="105">
        <v>0.33819444444444446</v>
      </c>
      <c r="E117" s="57">
        <f>Effort!F115</f>
        <v>2537.7970333064</v>
      </c>
      <c r="F117" s="135">
        <f>Harvest!F115</f>
        <v>38066.955499595999</v>
      </c>
      <c r="G117" s="96">
        <f>+CPUE!F115</f>
        <v>15</v>
      </c>
      <c r="H117" s="57">
        <f>Effort!H115</f>
        <v>1889.07503751221</v>
      </c>
      <c r="I117" s="135">
        <f>Harvest!H115</f>
        <v>28336.125562683199</v>
      </c>
      <c r="J117" s="96">
        <f>CPUE!H115</f>
        <v>15.000000000000027</v>
      </c>
      <c r="K117" s="57">
        <f>Effort!J115</f>
        <v>2915.3669711873999</v>
      </c>
      <c r="L117" s="135">
        <f>Harvest!J115</f>
        <v>43730.504567810996</v>
      </c>
      <c r="M117" s="96">
        <f>CPUE!J115</f>
        <v>14.999999999999998</v>
      </c>
      <c r="N117" s="57" t="str">
        <f>Effort!L115</f>
        <v>CLOSED</v>
      </c>
      <c r="O117" s="135" t="str">
        <f>Harvest!L115</f>
        <v>CLOSED</v>
      </c>
      <c r="P117" s="96" t="str">
        <f>CPUE!L115</f>
        <v>CLOSED</v>
      </c>
      <c r="Q117" s="57" t="s">
        <v>10</v>
      </c>
      <c r="R117" s="135" t="s">
        <v>10</v>
      </c>
      <c r="S117" s="60" t="s">
        <v>10</v>
      </c>
      <c r="T117" s="57">
        <f>SUM(E117+K117,H117)</f>
        <v>7342.2390420060092</v>
      </c>
      <c r="U117" s="135">
        <f>SUM(F117+L117,I117)</f>
        <v>110133.58563009019</v>
      </c>
      <c r="V117" s="81"/>
      <c r="W117" s="34"/>
      <c r="X117" s="34"/>
    </row>
    <row r="118" spans="1:24" x14ac:dyDescent="0.25">
      <c r="A118" s="131">
        <v>44654</v>
      </c>
      <c r="B118" s="104" t="s">
        <v>20</v>
      </c>
      <c r="C118" s="104">
        <v>-0.1</v>
      </c>
      <c r="D118" s="105">
        <v>0.36458333333333331</v>
      </c>
      <c r="E118" s="57">
        <f>Effort!F116</f>
        <v>2283.2689370523508</v>
      </c>
      <c r="F118" s="135">
        <f>Harvest!F116</f>
        <v>30824.130650206735</v>
      </c>
      <c r="G118" s="96">
        <f>+CPUE!F116</f>
        <v>13.5</v>
      </c>
      <c r="H118" s="57">
        <f>Effort!H116</f>
        <v>1570.05293079231</v>
      </c>
      <c r="I118" s="135">
        <f>Harvest!H116</f>
        <v>21600.889515578099</v>
      </c>
      <c r="J118" s="96">
        <f>CPUE!H116</f>
        <v>13.75806451612905</v>
      </c>
      <c r="K118" s="57" t="str">
        <f>Effort!J116</f>
        <v>CLOSED</v>
      </c>
      <c r="L118" s="135" t="str">
        <f>Harvest!J116</f>
        <v>CLOSED</v>
      </c>
      <c r="M118" s="96" t="str">
        <f>CPUE!J116</f>
        <v>CLOSED</v>
      </c>
      <c r="N118" s="57">
        <f>Effort!L116</f>
        <v>2077.3365459157899</v>
      </c>
      <c r="O118" s="135">
        <f>Harvest!L116</f>
        <v>27942.213147024198</v>
      </c>
      <c r="P118" s="96">
        <f>CPUE!L116</f>
        <v>13.450980392156884</v>
      </c>
      <c r="Q118" s="57" t="s">
        <v>10</v>
      </c>
      <c r="R118" s="135" t="s">
        <v>10</v>
      </c>
      <c r="S118" s="60" t="s">
        <v>10</v>
      </c>
      <c r="T118" s="57">
        <f>SUM(E118,H118,N118)</f>
        <v>5930.6584137604514</v>
      </c>
      <c r="U118" s="135">
        <f>SUM(F118,I118,O118)</f>
        <v>80367.233312809039</v>
      </c>
      <c r="V118" s="81"/>
      <c r="W118" s="34"/>
      <c r="X118" s="34"/>
    </row>
    <row r="119" spans="1:24" x14ac:dyDescent="0.25">
      <c r="A119" s="131">
        <v>44655</v>
      </c>
      <c r="B119" s="104" t="s">
        <v>21</v>
      </c>
      <c r="C119" s="104">
        <v>0</v>
      </c>
      <c r="D119" s="105">
        <v>0.39097222222222222</v>
      </c>
      <c r="E119" s="57">
        <f>Effort!F117</f>
        <v>0</v>
      </c>
      <c r="F119" s="135">
        <f>Harvest!F117</f>
        <v>0</v>
      </c>
      <c r="G119" s="96">
        <f>+CPUE!F117</f>
        <v>0</v>
      </c>
      <c r="H119" s="57">
        <f>Effort!H117</f>
        <v>0</v>
      </c>
      <c r="I119" s="135">
        <f>Harvest!H117</f>
        <v>0</v>
      </c>
      <c r="J119" s="96">
        <f>CPUE!H117</f>
        <v>0</v>
      </c>
      <c r="K119" s="57">
        <f>Effort!J117</f>
        <v>0</v>
      </c>
      <c r="L119" s="135">
        <f>Harvest!J117</f>
        <v>0</v>
      </c>
      <c r="M119" s="96">
        <f>CPUE!J117</f>
        <v>0</v>
      </c>
      <c r="N119" s="57" t="str">
        <f>Effort!L117</f>
        <v>CLOSED</v>
      </c>
      <c r="O119" s="135" t="str">
        <f>Harvest!L117</f>
        <v>CLOSED</v>
      </c>
      <c r="P119" s="96" t="str">
        <f>CPUE!L117</f>
        <v>CLOSED</v>
      </c>
      <c r="Q119" s="57" t="s">
        <v>10</v>
      </c>
      <c r="R119" s="135" t="s">
        <v>10</v>
      </c>
      <c r="S119" s="60" t="s">
        <v>10</v>
      </c>
      <c r="T119" s="57">
        <f>SUM(E119+H119+K119)</f>
        <v>0</v>
      </c>
      <c r="U119" s="135">
        <f>SUM(F119+I119+L119)</f>
        <v>0</v>
      </c>
      <c r="V119" s="81"/>
      <c r="W119" s="34"/>
      <c r="X119" s="34"/>
    </row>
    <row r="120" spans="1:24" x14ac:dyDescent="0.25">
      <c r="A120" s="131">
        <v>44656</v>
      </c>
      <c r="B120" s="104" t="s">
        <v>22</v>
      </c>
      <c r="C120" s="104">
        <v>0.2</v>
      </c>
      <c r="D120" s="105">
        <v>0.41736111111111113</v>
      </c>
      <c r="E120" s="57">
        <f>Effort!F118</f>
        <v>0</v>
      </c>
      <c r="F120" s="135">
        <f>Harvest!F118</f>
        <v>0</v>
      </c>
      <c r="G120" s="96">
        <f>+CPUE!F118</f>
        <v>0</v>
      </c>
      <c r="H120" s="57">
        <f>Effort!H118</f>
        <v>0</v>
      </c>
      <c r="I120" s="135">
        <f>Harvest!H118</f>
        <v>0</v>
      </c>
      <c r="J120" s="96">
        <f>CPUE!H118</f>
        <v>0</v>
      </c>
      <c r="K120" s="57" t="str">
        <f>Effort!J118</f>
        <v>CLOSED</v>
      </c>
      <c r="L120" s="135" t="str">
        <f>Harvest!J118</f>
        <v>CLOSED</v>
      </c>
      <c r="M120" s="96" t="str">
        <f>CPUE!J118</f>
        <v>CLOSED</v>
      </c>
      <c r="N120" s="57">
        <f>Effort!L118</f>
        <v>0</v>
      </c>
      <c r="O120" s="135">
        <f>Harvest!L118</f>
        <v>0</v>
      </c>
      <c r="P120" s="96">
        <f>CPUE!L118</f>
        <v>0</v>
      </c>
      <c r="Q120" s="57" t="s">
        <v>10</v>
      </c>
      <c r="R120" s="135" t="s">
        <v>10</v>
      </c>
      <c r="S120" s="60" t="s">
        <v>10</v>
      </c>
      <c r="T120" s="57">
        <f>SUM(E120+H120+N120)</f>
        <v>0</v>
      </c>
      <c r="U120" s="135">
        <f>SUM(F120+I120+O120)</f>
        <v>0</v>
      </c>
      <c r="V120" s="81"/>
      <c r="W120" s="34"/>
      <c r="X120" s="34"/>
    </row>
    <row r="121" spans="1:24" x14ac:dyDescent="0.25">
      <c r="A121" s="131">
        <v>44657</v>
      </c>
      <c r="B121" s="104" t="s">
        <v>23</v>
      </c>
      <c r="C121" s="104">
        <v>0.5</v>
      </c>
      <c r="D121" s="105">
        <v>0.4465277777777778</v>
      </c>
      <c r="E121" s="57">
        <f>Effort!F119</f>
        <v>1863.9850575756441</v>
      </c>
      <c r="F121" s="135">
        <f>Harvest!F119</f>
        <v>26095.790806059016</v>
      </c>
      <c r="G121" s="96">
        <f>+CPUE!F119</f>
        <v>14</v>
      </c>
      <c r="H121" s="57">
        <f>Effort!H119</f>
        <v>1281.7391570078601</v>
      </c>
      <c r="I121" s="135">
        <f>Harvest!H119</f>
        <v>18651.514629562698</v>
      </c>
      <c r="J121" s="96">
        <f>CPUE!H119</f>
        <v>14.551724137931069</v>
      </c>
      <c r="K121" s="57">
        <f>Effort!J119</f>
        <v>1558.5975077687399</v>
      </c>
      <c r="L121" s="135">
        <f>Harvest!J119</f>
        <v>23378.962616531098</v>
      </c>
      <c r="M121" s="96">
        <f>CPUE!J119</f>
        <v>15</v>
      </c>
      <c r="N121" s="57" t="str">
        <f>Effort!L119</f>
        <v>CLOSED</v>
      </c>
      <c r="O121" s="135" t="str">
        <f>Harvest!L119</f>
        <v>CLOSED</v>
      </c>
      <c r="P121" s="96" t="str">
        <f>CPUE!L119</f>
        <v>CLOSED</v>
      </c>
      <c r="Q121" s="57" t="s">
        <v>10</v>
      </c>
      <c r="R121" s="135" t="s">
        <v>10</v>
      </c>
      <c r="S121" s="60" t="s">
        <v>10</v>
      </c>
      <c r="T121" s="57">
        <f>SUM(K121,H121,E121)</f>
        <v>4704.3217223522443</v>
      </c>
      <c r="U121" s="135">
        <f>SUM(L121,I121,F121)</f>
        <v>68126.268052152809</v>
      </c>
      <c r="V121" s="81"/>
      <c r="W121" s="34"/>
      <c r="X121" s="34"/>
    </row>
    <row r="122" spans="1:24" x14ac:dyDescent="0.25">
      <c r="A122" s="148" t="s">
        <v>57</v>
      </c>
      <c r="B122" s="148"/>
      <c r="C122" s="148"/>
      <c r="D122" s="149"/>
      <c r="E122" s="63">
        <f>SUM(E116:E121)</f>
        <v>7314.7826138220007</v>
      </c>
      <c r="F122" s="64">
        <f>SUM(F116:F121)</f>
        <v>104432.85074417584</v>
      </c>
      <c r="G122" s="65">
        <f>+F122/E122</f>
        <v>14.276958900574805</v>
      </c>
      <c r="H122" s="63">
        <f>SUM(H116:H121)</f>
        <v>5114.0779514994192</v>
      </c>
      <c r="I122" s="64">
        <f>SUM(I116:I121)</f>
        <v>74186.692100629589</v>
      </c>
      <c r="J122" s="65">
        <f>+I122/H122</f>
        <v>14.506367091819252</v>
      </c>
      <c r="K122" s="63">
        <f>SUM(K116:K121)</f>
        <v>4473.9644789561398</v>
      </c>
      <c r="L122" s="64">
        <f>SUM(L116:L121)</f>
        <v>67109.467184342095</v>
      </c>
      <c r="M122" s="65">
        <f>+L122/K122</f>
        <v>15</v>
      </c>
      <c r="N122" s="63">
        <f>SUM(N116:N121)</f>
        <v>2571.1316743249467</v>
      </c>
      <c r="O122" s="64">
        <f>SUM(O116:O121)</f>
        <v>35257.696530863555</v>
      </c>
      <c r="P122" s="65">
        <f>+O122/N122</f>
        <v>13.712909721016331</v>
      </c>
      <c r="Q122" s="63"/>
      <c r="R122" s="64"/>
      <c r="S122" s="65"/>
      <c r="T122" s="63">
        <f>SUM(T116:T121)</f>
        <v>19473.956718602509</v>
      </c>
      <c r="U122" s="64">
        <f>SUM(U116:U121)</f>
        <v>280986.70656001108</v>
      </c>
      <c r="V122" s="81"/>
      <c r="W122" s="34">
        <f>SUM(H122,K122,N122,Q122,E122)</f>
        <v>19473.956718602509</v>
      </c>
      <c r="X122" s="34">
        <f>SUM(R122,O122,L122,I122,F122)</f>
        <v>280986.70656001108</v>
      </c>
    </row>
    <row r="123" spans="1:24" x14ac:dyDescent="0.25">
      <c r="A123" s="131">
        <v>44667</v>
      </c>
      <c r="B123" s="104" t="s">
        <v>19</v>
      </c>
      <c r="C123" s="104">
        <v>-0.2</v>
      </c>
      <c r="D123" s="105">
        <v>0.29375000000000001</v>
      </c>
      <c r="E123" s="57">
        <f>Effort!F121</f>
        <v>4078.7117834217515</v>
      </c>
      <c r="F123" s="135">
        <f>Harvest!F121</f>
        <v>79127.008598381974</v>
      </c>
      <c r="G123" s="96">
        <f>+CPUE!F121</f>
        <v>19.399999999999999</v>
      </c>
      <c r="H123" s="57">
        <f>Effort!H121</f>
        <v>2855.5595791564301</v>
      </c>
      <c r="I123" s="135">
        <f>Harvest!H121</f>
        <v>56397.301688339503</v>
      </c>
      <c r="J123" s="96">
        <f>CPUE!H121</f>
        <v>19.750000000000004</v>
      </c>
      <c r="K123" s="57">
        <f>Effort!J121</f>
        <v>4141.3879431751502</v>
      </c>
      <c r="L123" s="135">
        <f>Harvest!J121</f>
        <v>78435.377711650595</v>
      </c>
      <c r="M123" s="96">
        <f>CPUE!J121</f>
        <v>18.939393939393945</v>
      </c>
      <c r="N123" s="57" t="str">
        <f>Effort!L121</f>
        <v>CLOSED</v>
      </c>
      <c r="O123" s="135" t="str">
        <f>Harvest!L121</f>
        <v>CLOSED</v>
      </c>
      <c r="P123" s="96" t="str">
        <f>CPUE!L121</f>
        <v>CLOSED</v>
      </c>
      <c r="Q123" s="57" t="s">
        <v>10</v>
      </c>
      <c r="R123" s="135" t="s">
        <v>10</v>
      </c>
      <c r="S123" s="60" t="s">
        <v>10</v>
      </c>
      <c r="T123" s="57">
        <f>SUM(K123,H123,E123)</f>
        <v>11075.659305753332</v>
      </c>
      <c r="U123" s="135">
        <f>SUM(L123,I123,F123)</f>
        <v>213959.68799837207</v>
      </c>
      <c r="V123" s="81"/>
      <c r="W123" s="34"/>
      <c r="X123" s="34"/>
    </row>
    <row r="124" spans="1:24" x14ac:dyDescent="0.25">
      <c r="A124" s="131">
        <v>44668</v>
      </c>
      <c r="B124" s="104" t="s">
        <v>20</v>
      </c>
      <c r="C124" s="104">
        <v>-0.8</v>
      </c>
      <c r="D124" s="105">
        <v>0.32291666666666669</v>
      </c>
      <c r="E124" s="57">
        <f>Effort!F122</f>
        <v>3397.09767422705</v>
      </c>
      <c r="F124" s="135">
        <f>Harvest!F122</f>
        <v>65739.613512037904</v>
      </c>
      <c r="G124" s="96">
        <f>+CPUE!F122</f>
        <v>19.351699543639352</v>
      </c>
      <c r="H124" s="57">
        <f>Effort!H122</f>
        <v>2866.9802980983523</v>
      </c>
      <c r="I124" s="135">
        <f>Harvest!H122</f>
        <v>55906.115812917866</v>
      </c>
      <c r="J124" s="96">
        <f>CPUE!H122</f>
        <v>19.5</v>
      </c>
      <c r="K124" s="57" t="str">
        <f>Effort!J122</f>
        <v>CLOSED</v>
      </c>
      <c r="L124" s="135" t="str">
        <f>Harvest!J122</f>
        <v>CLOSED</v>
      </c>
      <c r="M124" s="96" t="str">
        <f>CPUE!J122</f>
        <v>CLOSED</v>
      </c>
      <c r="N124" s="57">
        <f>Effort!L122</f>
        <v>4036.2070126921899</v>
      </c>
      <c r="O124" s="135">
        <f>Harvest!L122</f>
        <v>77720.451314165897</v>
      </c>
      <c r="P124" s="96">
        <f>CPUE!L122</f>
        <v>19.255813953488374</v>
      </c>
      <c r="Q124" s="57" t="s">
        <v>10</v>
      </c>
      <c r="R124" s="135" t="s">
        <v>10</v>
      </c>
      <c r="S124" s="60" t="s">
        <v>10</v>
      </c>
      <c r="T124" s="57">
        <f>SUM(E124+H124+N124)</f>
        <v>10300.284985017592</v>
      </c>
      <c r="U124" s="135">
        <f>SUM(F124+I124+O124)</f>
        <v>199366.18063912168</v>
      </c>
      <c r="V124" s="81"/>
      <c r="W124" s="34"/>
      <c r="X124" s="34"/>
    </row>
    <row r="125" spans="1:24" x14ac:dyDescent="0.25">
      <c r="A125" s="131">
        <v>44669</v>
      </c>
      <c r="B125" s="104" t="s">
        <v>21</v>
      </c>
      <c r="C125" s="104">
        <v>-1.2</v>
      </c>
      <c r="D125" s="105">
        <v>0.3527777777777778</v>
      </c>
      <c r="E125" s="57">
        <f>Effort!F123</f>
        <v>1999.3252870427543</v>
      </c>
      <c r="F125" s="135">
        <f>Harvest!F123</f>
        <v>37987.180453812332</v>
      </c>
      <c r="G125" s="96">
        <f>+CPUE!F123</f>
        <v>19</v>
      </c>
      <c r="H125" s="57">
        <f>Effort!H123</f>
        <v>1399.7538385698356</v>
      </c>
      <c r="I125" s="135">
        <f>Harvest!H123</f>
        <v>26595.322932826875</v>
      </c>
      <c r="J125" s="96">
        <f>CPUE!H123</f>
        <v>19</v>
      </c>
      <c r="K125" s="57">
        <f>Effort!J123</f>
        <v>2030.0482303992901</v>
      </c>
      <c r="L125" s="135">
        <f>Harvest!J123</f>
        <v>37931.827119868198</v>
      </c>
      <c r="M125" s="96">
        <f>CPUE!J123</f>
        <v>18.685185185185176</v>
      </c>
      <c r="N125" s="57" t="str">
        <f>Effort!L123</f>
        <v>CLOSED</v>
      </c>
      <c r="O125" s="135" t="str">
        <f>Harvest!L123</f>
        <v>CLOSED</v>
      </c>
      <c r="P125" s="96" t="str">
        <f>CPUE!L123</f>
        <v>CLOSED</v>
      </c>
      <c r="Q125" s="57" t="s">
        <v>10</v>
      </c>
      <c r="R125" s="135" t="s">
        <v>10</v>
      </c>
      <c r="S125" s="60" t="s">
        <v>10</v>
      </c>
      <c r="T125" s="57">
        <f>SUM(E125,H125,K125)</f>
        <v>5429.1273560118798</v>
      </c>
      <c r="U125" s="135">
        <f>SUM(F125,I125,L125)</f>
        <v>102514.33050650739</v>
      </c>
      <c r="V125" s="81"/>
      <c r="W125" s="34"/>
      <c r="X125" s="34"/>
    </row>
    <row r="126" spans="1:24" x14ac:dyDescent="0.25">
      <c r="A126" s="131">
        <v>44670</v>
      </c>
      <c r="B126" s="104" t="s">
        <v>22</v>
      </c>
      <c r="C126" s="104">
        <v>-1.3</v>
      </c>
      <c r="D126" s="105">
        <v>0.38472222222222219</v>
      </c>
      <c r="E126" s="57">
        <f>Effort!F124</f>
        <v>2727.7705722780461</v>
      </c>
      <c r="F126" s="135">
        <f>Harvest!F124</f>
        <v>51827.640873282879</v>
      </c>
      <c r="G126" s="96">
        <f>+CPUE!F124</f>
        <v>19</v>
      </c>
      <c r="H126" s="57">
        <f>Effort!H124</f>
        <v>1753.624118019</v>
      </c>
      <c r="I126" s="135">
        <f>Harvest!H124</f>
        <v>34634.076330875199</v>
      </c>
      <c r="J126" s="96">
        <f>CPUE!H124</f>
        <v>19.749999999999972</v>
      </c>
      <c r="K126" s="57" t="str">
        <f>Effort!J124</f>
        <v>CLOSED</v>
      </c>
      <c r="L126" s="135" t="str">
        <f>Harvest!J124</f>
        <v>CLOSED</v>
      </c>
      <c r="M126" s="96" t="str">
        <f>CPUE!J124</f>
        <v>CLOSED</v>
      </c>
      <c r="N126" s="57">
        <f>Effort!L124</f>
        <v>2468.7961641973002</v>
      </c>
      <c r="O126" s="135">
        <f>Harvest!L124</f>
        <v>47524.326160798002</v>
      </c>
      <c r="P126" s="96">
        <f>CPUE!L124</f>
        <v>19.249999999999989</v>
      </c>
      <c r="Q126" s="57" t="s">
        <v>10</v>
      </c>
      <c r="R126" s="135" t="s">
        <v>10</v>
      </c>
      <c r="S126" s="60" t="s">
        <v>10</v>
      </c>
      <c r="T126" s="57">
        <f>SUM(E126+H126+N126)</f>
        <v>6950.1908544943453</v>
      </c>
      <c r="U126" s="135">
        <f>SUM(F126+I126+O126)</f>
        <v>133986.04336495607</v>
      </c>
      <c r="V126" s="81"/>
      <c r="W126" s="34"/>
      <c r="X126" s="34"/>
    </row>
    <row r="127" spans="1:24" x14ac:dyDescent="0.25">
      <c r="A127" s="131">
        <v>44671</v>
      </c>
      <c r="B127" s="104" t="s">
        <v>23</v>
      </c>
      <c r="C127" s="104">
        <v>-1.2</v>
      </c>
      <c r="D127" s="105">
        <v>0.41944444444444445</v>
      </c>
      <c r="E127" s="57">
        <f>Effort!F125</f>
        <v>2051.6165044140644</v>
      </c>
      <c r="F127" s="135">
        <f>Harvest!F125</f>
        <v>41032.330088281291</v>
      </c>
      <c r="G127" s="96">
        <f>+CPUE!F125</f>
        <v>20</v>
      </c>
      <c r="H127" s="57">
        <f>Effort!H125</f>
        <v>1436.36360523129</v>
      </c>
      <c r="I127" s="135">
        <f>Harvest!H125</f>
        <v>28727.272104625899</v>
      </c>
      <c r="J127" s="96">
        <f>CPUE!H125</f>
        <v>20.000000000000071</v>
      </c>
      <c r="K127" s="57">
        <f>Effort!J125</f>
        <v>2767.3831582759099</v>
      </c>
      <c r="L127" s="135">
        <f>Harvest!J125</f>
        <v>55347.663165518097</v>
      </c>
      <c r="M127" s="96">
        <f>CPUE!J125</f>
        <v>19.999999999999964</v>
      </c>
      <c r="N127" s="57" t="str">
        <f>Effort!L125</f>
        <v>CLOSED</v>
      </c>
      <c r="O127" s="135" t="str">
        <f>Harvest!L125</f>
        <v>CLOSED</v>
      </c>
      <c r="P127" s="96" t="str">
        <f>CPUE!L125</f>
        <v>CLOSED</v>
      </c>
      <c r="Q127" s="57" t="s">
        <v>10</v>
      </c>
      <c r="R127" s="135" t="s">
        <v>10</v>
      </c>
      <c r="S127" s="60" t="s">
        <v>10</v>
      </c>
      <c r="T127" s="57">
        <f>SUM(E127,H127,K127)</f>
        <v>6255.3632679212642</v>
      </c>
      <c r="U127" s="135">
        <f>SUM(F127,I127,L127)</f>
        <v>125107.26535842528</v>
      </c>
      <c r="V127" s="81"/>
      <c r="W127" s="34"/>
      <c r="X127" s="34"/>
    </row>
    <row r="128" spans="1:24" x14ac:dyDescent="0.25">
      <c r="A128" s="131">
        <v>44672</v>
      </c>
      <c r="B128" s="104" t="s">
        <v>24</v>
      </c>
      <c r="C128" s="104">
        <v>-0.9</v>
      </c>
      <c r="D128" s="105">
        <v>0.45763888888888887</v>
      </c>
      <c r="E128" s="57">
        <f>Effort!F126</f>
        <v>1346.2222123006165</v>
      </c>
      <c r="F128" s="135">
        <f>Harvest!F126</f>
        <v>22212.666502960172</v>
      </c>
      <c r="G128" s="96">
        <f>+CPUE!F126</f>
        <v>16.5</v>
      </c>
      <c r="H128" s="57">
        <f>Effort!H126</f>
        <v>1136.1441234999013</v>
      </c>
      <c r="I128" s="135">
        <f>Harvest!H126</f>
        <v>18746.378037748371</v>
      </c>
      <c r="J128" s="96">
        <f>CPUE!H126</f>
        <v>16.5</v>
      </c>
      <c r="K128" s="57" t="str">
        <f>Effort!J126</f>
        <v>CLOSED</v>
      </c>
      <c r="L128" s="135" t="str">
        <f>Harvest!J126</f>
        <v>CLOSED</v>
      </c>
      <c r="M128" s="96" t="str">
        <f>CPUE!J126</f>
        <v>CLOSED</v>
      </c>
      <c r="N128" s="57">
        <f>Effort!L126</f>
        <v>1599.4922887126199</v>
      </c>
      <c r="O128" s="135">
        <f>Harvest!L126</f>
        <v>26480.483446464401</v>
      </c>
      <c r="P128" s="96">
        <f>CPUE!L126</f>
        <v>16.555555555555504</v>
      </c>
      <c r="Q128" s="57" t="s">
        <v>10</v>
      </c>
      <c r="R128" s="135" t="s">
        <v>10</v>
      </c>
      <c r="S128" s="60" t="s">
        <v>10</v>
      </c>
      <c r="T128" s="57">
        <f>SUM(N128,H128,E128)</f>
        <v>4081.8586245131382</v>
      </c>
      <c r="U128" s="135">
        <f>SUM(O128,I128,F128)</f>
        <v>67439.527987172944</v>
      </c>
      <c r="V128" s="81"/>
      <c r="W128" s="34"/>
      <c r="X128" s="34"/>
    </row>
    <row r="129" spans="1:24" x14ac:dyDescent="0.25">
      <c r="A129" s="148" t="s">
        <v>57</v>
      </c>
      <c r="B129" s="148"/>
      <c r="C129" s="148"/>
      <c r="D129" s="149"/>
      <c r="E129" s="63">
        <f>SUM(E123:E128)</f>
        <v>15600.744033684283</v>
      </c>
      <c r="F129" s="64">
        <f>SUM(F123:F128)</f>
        <v>297926.44002875651</v>
      </c>
      <c r="G129" s="65">
        <f>+F129/E129</f>
        <v>19.096937901518661</v>
      </c>
      <c r="H129" s="63">
        <f>SUM(H123:H128)</f>
        <v>11448.42556257481</v>
      </c>
      <c r="I129" s="64">
        <f>SUM(I123:I128)</f>
        <v>221006.4669073337</v>
      </c>
      <c r="J129" s="65">
        <f>+I129/H129</f>
        <v>19.304529317097487</v>
      </c>
      <c r="K129" s="63">
        <f>SUM(K123:K128)</f>
        <v>8938.8193318503509</v>
      </c>
      <c r="L129" s="64">
        <f>SUM(L123:L128)</f>
        <v>171714.8679970369</v>
      </c>
      <c r="M129" s="65">
        <f>+L129/K129</f>
        <v>19.210016627720748</v>
      </c>
      <c r="N129" s="63">
        <f>SUM(N123:N128)</f>
        <v>8104.4954656021091</v>
      </c>
      <c r="O129" s="64">
        <f>SUM(O123:O128)</f>
        <v>151725.2609214283</v>
      </c>
      <c r="P129" s="65">
        <f>+O129/N129</f>
        <v>18.721123549935399</v>
      </c>
      <c r="Q129" s="63"/>
      <c r="R129" s="64"/>
      <c r="S129" s="65"/>
      <c r="T129" s="63">
        <f>SUM(T123:T128)</f>
        <v>44092.484393711544</v>
      </c>
      <c r="U129" s="64">
        <f>SUM(U123:U128)</f>
        <v>842373.03585455543</v>
      </c>
      <c r="V129" s="81"/>
      <c r="W129" s="34">
        <f>SUM(H129,K129,N129,Q129,E129)</f>
        <v>44092.484393711551</v>
      </c>
      <c r="X129" s="34">
        <f>SUM(R129,O129,L129,I129,F129)</f>
        <v>842373.03585455543</v>
      </c>
    </row>
    <row r="130" spans="1:24" s="10" customFormat="1" x14ac:dyDescent="0.25">
      <c r="A130" s="131">
        <v>44680</v>
      </c>
      <c r="B130" s="104" t="s">
        <v>18</v>
      </c>
      <c r="C130" s="104">
        <v>-0.1</v>
      </c>
      <c r="D130" s="105">
        <v>0.27152777777777776</v>
      </c>
      <c r="E130" s="57">
        <f>Effort!F128</f>
        <v>824.8583416619532</v>
      </c>
      <c r="F130" s="135">
        <f>Harvest!F128</f>
        <v>16084.737662408088</v>
      </c>
      <c r="G130" s="96">
        <f>+CPUE!F128</f>
        <v>19.5</v>
      </c>
      <c r="H130" s="57">
        <f>Effort!H128</f>
        <v>564.38764939554005</v>
      </c>
      <c r="I130" s="135">
        <f>Harvest!H128</f>
        <v>11005.559163213031</v>
      </c>
      <c r="J130" s="96">
        <f>CPUE!H128</f>
        <v>19.5</v>
      </c>
      <c r="K130" s="57">
        <f>Effort!J128</f>
        <v>820.17391304347802</v>
      </c>
      <c r="L130" s="135">
        <f>Harvest!J128</f>
        <v>16312.347826087</v>
      </c>
      <c r="M130" s="96">
        <f>CPUE!J128</f>
        <v>19.888888888888946</v>
      </c>
      <c r="N130" s="57" t="str">
        <f>Effort!L128</f>
        <v>CLOSED</v>
      </c>
      <c r="O130" s="135" t="str">
        <f>Harvest!L128</f>
        <v>CLOSED</v>
      </c>
      <c r="P130" s="96" t="str">
        <f>CPUE!L128</f>
        <v>CLOSED</v>
      </c>
      <c r="Q130" s="57" t="s">
        <v>10</v>
      </c>
      <c r="R130" s="135" t="s">
        <v>10</v>
      </c>
      <c r="S130" s="60" t="s">
        <v>10</v>
      </c>
      <c r="T130" s="57">
        <f>SUM(E130+H130+K130)</f>
        <v>2209.4199041009715</v>
      </c>
      <c r="U130" s="135">
        <f>SUM(F130+I130+L130)</f>
        <v>43402.64465170812</v>
      </c>
      <c r="V130" s="81"/>
      <c r="W130" s="138"/>
      <c r="X130" s="138"/>
    </row>
    <row r="131" spans="1:24" s="10" customFormat="1" x14ac:dyDescent="0.25">
      <c r="A131" s="131">
        <v>44681</v>
      </c>
      <c r="B131" s="104" t="s">
        <v>19</v>
      </c>
      <c r="C131" s="104">
        <v>-0.5</v>
      </c>
      <c r="D131" s="105">
        <v>0.2986111111111111</v>
      </c>
      <c r="E131" s="57">
        <f>Effort!F129</f>
        <v>3129.72563660894</v>
      </c>
      <c r="F131" s="135">
        <f>Harvest!F129</f>
        <v>62594.5127321787</v>
      </c>
      <c r="G131" s="96">
        <f>+CPUE!F129</f>
        <v>19.999999999999968</v>
      </c>
      <c r="H131" s="57">
        <f>Effort!H129</f>
        <v>1327.7221032785401</v>
      </c>
      <c r="I131" s="135">
        <f>Harvest!H129</f>
        <v>26554.442065570802</v>
      </c>
      <c r="J131" s="96">
        <f>CPUE!H129</f>
        <v>20</v>
      </c>
      <c r="K131" s="57" t="str">
        <f>Effort!J129</f>
        <v>CLOSED</v>
      </c>
      <c r="L131" s="135" t="str">
        <f>Harvest!J129</f>
        <v>CLOSED</v>
      </c>
      <c r="M131" s="96" t="str">
        <f>CPUE!J129</f>
        <v>CLOSED</v>
      </c>
      <c r="N131" s="57">
        <f>Effort!L129</f>
        <v>1555.4242618798901</v>
      </c>
      <c r="O131" s="135">
        <f>Harvest!L129</f>
        <v>30413.508439736601</v>
      </c>
      <c r="P131" s="96">
        <f>CPUE!L129</f>
        <v>19.553191489361719</v>
      </c>
      <c r="Q131" s="57" t="s">
        <v>10</v>
      </c>
      <c r="R131" s="135" t="s">
        <v>10</v>
      </c>
      <c r="S131" s="60" t="s">
        <v>10</v>
      </c>
      <c r="T131" s="57">
        <f>SUM(E131+H131+N131)</f>
        <v>6012.8720017673704</v>
      </c>
      <c r="U131" s="135">
        <f>SUM(F131+I131+O131)</f>
        <v>119562.4632374861</v>
      </c>
      <c r="V131" s="81"/>
      <c r="W131" s="138"/>
      <c r="X131" s="138"/>
    </row>
    <row r="132" spans="1:24" s="10" customFormat="1" x14ac:dyDescent="0.25">
      <c r="A132" s="131">
        <v>44682</v>
      </c>
      <c r="B132" s="104" t="s">
        <v>20</v>
      </c>
      <c r="C132" s="104">
        <v>-0.8</v>
      </c>
      <c r="D132" s="105">
        <v>0.32430555555555557</v>
      </c>
      <c r="E132" s="57">
        <f>Effort!F130</f>
        <v>4057.2076745028335</v>
      </c>
      <c r="F132" s="135">
        <f>Harvest!F130</f>
        <v>81144.153490056662</v>
      </c>
      <c r="G132" s="96">
        <f>+CPUE!F130</f>
        <v>20</v>
      </c>
      <c r="H132" s="57">
        <f>Effort!H130</f>
        <v>1672.02711864407</v>
      </c>
      <c r="I132" s="135">
        <f>Harvest!H130</f>
        <v>33141.966101694903</v>
      </c>
      <c r="J132" s="96">
        <f>CPUE!H130</f>
        <v>19.821428571428537</v>
      </c>
      <c r="K132" s="57">
        <f>Effort!J130</f>
        <v>4034.16650636329</v>
      </c>
      <c r="L132" s="135">
        <f>Harvest!J130</f>
        <v>80683.330127265799</v>
      </c>
      <c r="M132" s="96">
        <f>CPUE!J130</f>
        <v>20</v>
      </c>
      <c r="N132" s="57" t="str">
        <f>Effort!L130</f>
        <v>CLOSED</v>
      </c>
      <c r="O132" s="135" t="str">
        <f>Harvest!L130</f>
        <v>CLOSED</v>
      </c>
      <c r="P132" s="96" t="str">
        <f>CPUE!L130</f>
        <v>CLOSED</v>
      </c>
      <c r="Q132" s="57" t="s">
        <v>10</v>
      </c>
      <c r="R132" s="135" t="s">
        <v>10</v>
      </c>
      <c r="S132" s="60" t="s">
        <v>10</v>
      </c>
      <c r="T132" s="57">
        <f>SUM(E132+H132+K132)</f>
        <v>9763.401299510193</v>
      </c>
      <c r="U132" s="135">
        <f>SUM(F132+I132+L132)</f>
        <v>194969.44971901737</v>
      </c>
      <c r="V132" s="81"/>
      <c r="W132" s="138"/>
      <c r="X132" s="138"/>
    </row>
    <row r="133" spans="1:24" s="10" customFormat="1" x14ac:dyDescent="0.25">
      <c r="A133" s="131">
        <v>44683</v>
      </c>
      <c r="B133" s="104" t="s">
        <v>21</v>
      </c>
      <c r="C133" s="104">
        <v>-0.8</v>
      </c>
      <c r="D133" s="105">
        <v>0.34861111111111115</v>
      </c>
      <c r="E133" s="57">
        <f>Effort!F131</f>
        <v>939.13839348743568</v>
      </c>
      <c r="F133" s="135">
        <f>Harvest!F131</f>
        <v>18782.767869748714</v>
      </c>
      <c r="G133" s="96">
        <f>+CPUE!F131</f>
        <v>20</v>
      </c>
      <c r="H133" s="57">
        <f>Effort!H131</f>
        <v>816</v>
      </c>
      <c r="I133" s="135">
        <f>Harvest!H131</f>
        <v>16320</v>
      </c>
      <c r="J133" s="96">
        <f>CPUE!H131</f>
        <v>20</v>
      </c>
      <c r="K133" s="57" t="str">
        <f>Effort!J131</f>
        <v>CLOSED</v>
      </c>
      <c r="L133" s="135" t="str">
        <f>Harvest!J131</f>
        <v>CLOSED</v>
      </c>
      <c r="M133" s="96" t="str">
        <f>CPUE!J131</f>
        <v>CLOSED</v>
      </c>
      <c r="N133" s="57">
        <f>Effort!L131</f>
        <v>818.28700452123303</v>
      </c>
      <c r="O133" s="135">
        <f>Harvest!L131</f>
        <v>16365.740090424701</v>
      </c>
      <c r="P133" s="96">
        <f>CPUE!L131</f>
        <v>20.00000000000005</v>
      </c>
      <c r="Q133" s="57" t="s">
        <v>10</v>
      </c>
      <c r="R133" s="135" t="s">
        <v>10</v>
      </c>
      <c r="S133" s="60" t="s">
        <v>10</v>
      </c>
      <c r="T133" s="57">
        <f>SUM(E133+H133+N133)</f>
        <v>2573.4253980086687</v>
      </c>
      <c r="U133" s="135">
        <f>SUM(F133+I133+O133)</f>
        <v>51468.507960173418</v>
      </c>
      <c r="V133" s="81"/>
      <c r="W133" s="138"/>
      <c r="X133" s="138"/>
    </row>
    <row r="134" spans="1:24" s="10" customFormat="1" x14ac:dyDescent="0.25">
      <c r="A134" s="131">
        <v>44684</v>
      </c>
      <c r="B134" s="104" t="s">
        <v>22</v>
      </c>
      <c r="C134" s="104">
        <v>-0.7</v>
      </c>
      <c r="D134" s="105">
        <v>0.37291666666666662</v>
      </c>
      <c r="E134" s="57">
        <f>Effort!F132</f>
        <v>2339.9553454269576</v>
      </c>
      <c r="F134" s="135">
        <f>Harvest!F132</f>
        <v>40949.218544971758</v>
      </c>
      <c r="G134" s="96">
        <f>+CPUE!F132</f>
        <v>17.5</v>
      </c>
      <c r="H134" s="57">
        <f>Effort!H132</f>
        <v>1601.0529692106577</v>
      </c>
      <c r="I134" s="135">
        <f>Harvest!H132</f>
        <v>28018.426961186509</v>
      </c>
      <c r="J134" s="96">
        <f>CPUE!H132</f>
        <v>17.5</v>
      </c>
      <c r="K134" s="57">
        <f>Effort!J132</f>
        <v>2326.66657421324</v>
      </c>
      <c r="L134" s="135">
        <f>Harvest!J132</f>
        <v>40483.998391310401</v>
      </c>
      <c r="M134" s="96">
        <f>CPUE!J132</f>
        <v>17.400000000000009</v>
      </c>
      <c r="N134" s="57" t="str">
        <f>Effort!L132</f>
        <v>CLOSED</v>
      </c>
      <c r="O134" s="135" t="str">
        <f>Harvest!L132</f>
        <v>CLOSED</v>
      </c>
      <c r="P134" s="96" t="str">
        <f>CPUE!L132</f>
        <v>CLOSED</v>
      </c>
      <c r="Q134" s="57" t="s">
        <v>10</v>
      </c>
      <c r="R134" s="135" t="s">
        <v>10</v>
      </c>
      <c r="S134" s="60" t="s">
        <v>10</v>
      </c>
      <c r="T134" s="57">
        <f>SUM(E134+H134+K134)</f>
        <v>6267.6748888508555</v>
      </c>
      <c r="U134" s="135">
        <f>SUM(F134+I134+L134)</f>
        <v>109451.64389746866</v>
      </c>
      <c r="V134" s="81"/>
      <c r="W134" s="138"/>
      <c r="X134" s="138"/>
    </row>
    <row r="135" spans="1:24" s="10" customFormat="1" x14ac:dyDescent="0.25">
      <c r="A135" s="131">
        <v>44685</v>
      </c>
      <c r="B135" s="104" t="s">
        <v>23</v>
      </c>
      <c r="C135" s="104">
        <v>-0.4</v>
      </c>
      <c r="D135" s="105">
        <v>0.39861111111111108</v>
      </c>
      <c r="E135" s="57">
        <f>Effort!F133</f>
        <v>2409.5837801306557</v>
      </c>
      <c r="F135" s="135">
        <f>Harvest!F133</f>
        <v>48191.675602613112</v>
      </c>
      <c r="G135" s="96">
        <f>+CPUE!F133</f>
        <v>20</v>
      </c>
      <c r="H135" s="57">
        <f>Effort!H133</f>
        <v>1792.1584569285633</v>
      </c>
      <c r="I135" s="135">
        <f>Harvest!H133</f>
        <v>35843.169138571262</v>
      </c>
      <c r="J135" s="96">
        <f>CPUE!H133</f>
        <v>20</v>
      </c>
      <c r="K135" s="57" t="str">
        <f>Effort!J133</f>
        <v>CLOSED</v>
      </c>
      <c r="L135" s="135" t="str">
        <f>Harvest!J133</f>
        <v>CLOSED</v>
      </c>
      <c r="M135" s="96" t="str">
        <f>CPUE!J133</f>
        <v>CLOSED</v>
      </c>
      <c r="N135" s="57">
        <f>Effort!L133</f>
        <v>2099.5106868798698</v>
      </c>
      <c r="O135" s="135">
        <f>Harvest!L133</f>
        <v>41990.213737597398</v>
      </c>
      <c r="P135" s="96">
        <f>CPUE!L133</f>
        <v>20</v>
      </c>
      <c r="Q135" s="57" t="s">
        <v>10</v>
      </c>
      <c r="R135" s="135" t="s">
        <v>10</v>
      </c>
      <c r="S135" s="60" t="s">
        <v>10</v>
      </c>
      <c r="T135" s="57">
        <f>SUM(E135+H135+N135)</f>
        <v>6301.2529239390897</v>
      </c>
      <c r="U135" s="135">
        <f>SUM(F135+I135+O135)</f>
        <v>126025.05847878178</v>
      </c>
      <c r="V135" s="81"/>
      <c r="W135" s="138"/>
      <c r="X135" s="138"/>
    </row>
    <row r="136" spans="1:24" s="10" customFormat="1" x14ac:dyDescent="0.25">
      <c r="A136" s="131">
        <v>44686</v>
      </c>
      <c r="B136" s="104" t="s">
        <v>24</v>
      </c>
      <c r="C136" s="104">
        <v>-0.1</v>
      </c>
      <c r="D136" s="105">
        <v>0.42569444444444443</v>
      </c>
      <c r="E136" s="57">
        <f>Effort!F134</f>
        <v>1215.0067757209847</v>
      </c>
      <c r="F136" s="135">
        <f>Harvest!F134</f>
        <v>13972.577920791324</v>
      </c>
      <c r="G136" s="96">
        <f>+CPUE!F134</f>
        <v>11.5</v>
      </c>
      <c r="H136" s="57">
        <f>Effort!H134</f>
        <v>831.33646532224952</v>
      </c>
      <c r="I136" s="135">
        <f>Harvest!H134</f>
        <v>9560.369351205869</v>
      </c>
      <c r="J136" s="96">
        <f>CPUE!H134</f>
        <v>11.5</v>
      </c>
      <c r="K136" s="57">
        <f>Effort!J134</f>
        <v>1208.10666666667</v>
      </c>
      <c r="L136" s="135">
        <f>Harvest!J134</f>
        <v>13763.7866666667</v>
      </c>
      <c r="M136" s="96">
        <f>CPUE!J134</f>
        <v>11.392857142857139</v>
      </c>
      <c r="N136" s="57" t="str">
        <f>Effort!L134</f>
        <v>CLOSED</v>
      </c>
      <c r="O136" s="135" t="str">
        <f>Harvest!L134</f>
        <v>CLOSED</v>
      </c>
      <c r="P136" s="96" t="str">
        <f>CPUE!L134</f>
        <v>CLOSED</v>
      </c>
      <c r="Q136" s="57" t="s">
        <v>10</v>
      </c>
      <c r="R136" s="135" t="s">
        <v>10</v>
      </c>
      <c r="S136" s="60" t="s">
        <v>10</v>
      </c>
      <c r="T136" s="57">
        <f>SUM(E136+H136+K136)</f>
        <v>3254.4499077099044</v>
      </c>
      <c r="U136" s="135">
        <f>SUM(F136+I136+L136)</f>
        <v>37296.733938663892</v>
      </c>
      <c r="V136" s="81"/>
      <c r="W136" s="138"/>
      <c r="X136" s="138"/>
    </row>
    <row r="137" spans="1:24" s="10" customFormat="1" x14ac:dyDescent="0.25">
      <c r="A137" s="131">
        <v>44687</v>
      </c>
      <c r="B137" s="104" t="s">
        <v>18</v>
      </c>
      <c r="C137" s="104">
        <v>0.2</v>
      </c>
      <c r="D137" s="105">
        <v>0.45624999999999999</v>
      </c>
      <c r="E137" s="57">
        <f>Effort!F135</f>
        <v>1881.1876828376146</v>
      </c>
      <c r="F137" s="135">
        <f>Harvest!F135</f>
        <v>36683.159815333485</v>
      </c>
      <c r="G137" s="96">
        <f>+CPUE!F135</f>
        <v>19.5</v>
      </c>
      <c r="H137" s="57">
        <f>Effort!H135</f>
        <v>932.30761770054517</v>
      </c>
      <c r="I137" s="135">
        <f>Harvest!H135</f>
        <v>18179.99854516063</v>
      </c>
      <c r="J137" s="96">
        <f>CPUE!H135</f>
        <v>19.5</v>
      </c>
      <c r="K137" s="57" t="str">
        <f>Effort!J135</f>
        <v>CLOSED</v>
      </c>
      <c r="L137" s="135" t="str">
        <f>Harvest!J135</f>
        <v>CLOSED</v>
      </c>
      <c r="M137" s="96" t="str">
        <f>CPUE!J135</f>
        <v>CLOSED</v>
      </c>
      <c r="N137" s="57">
        <f>Effort!L135</f>
        <v>934.92059777022803</v>
      </c>
      <c r="O137" s="135">
        <f>Harvest!L135</f>
        <v>18067.3405519097</v>
      </c>
      <c r="P137" s="96">
        <f>CPUE!L135</f>
        <v>19.325000000000045</v>
      </c>
      <c r="Q137" s="57" t="s">
        <v>10</v>
      </c>
      <c r="R137" s="135" t="s">
        <v>10</v>
      </c>
      <c r="S137" s="60" t="s">
        <v>10</v>
      </c>
      <c r="T137" s="57">
        <f>SUM(E137+H137+N137)</f>
        <v>3748.415898308388</v>
      </c>
      <c r="U137" s="135">
        <f>SUM(F137+I137+O137)</f>
        <v>72930.498912403811</v>
      </c>
      <c r="V137" s="81"/>
      <c r="W137" s="138"/>
      <c r="X137" s="138"/>
    </row>
    <row r="138" spans="1:24" s="10" customFormat="1" x14ac:dyDescent="0.25">
      <c r="A138" s="131">
        <v>44688</v>
      </c>
      <c r="B138" s="104" t="s">
        <v>19</v>
      </c>
      <c r="C138" s="104">
        <v>0.5</v>
      </c>
      <c r="D138" s="105">
        <v>0.4916666666666667</v>
      </c>
      <c r="E138" s="57">
        <f>Effort!F136</f>
        <v>4410.3950905524807</v>
      </c>
      <c r="F138" s="135">
        <f>Harvest!F136</f>
        <v>74976.716539392175</v>
      </c>
      <c r="G138" s="96">
        <f>+CPUE!F136</f>
        <v>17</v>
      </c>
      <c r="H138" s="57">
        <f>Effort!H136</f>
        <v>3017.69696969697</v>
      </c>
      <c r="I138" s="135">
        <f>Harvest!H136</f>
        <v>52338.181818181802</v>
      </c>
      <c r="J138" s="96">
        <f>CPUE!H136</f>
        <v>17.343749999999993</v>
      </c>
      <c r="K138" s="57">
        <f>Effort!J136</f>
        <v>4385.3481462015998</v>
      </c>
      <c r="L138" s="135">
        <f>Harvest!J136</f>
        <v>72090.8451351189</v>
      </c>
      <c r="M138" s="96">
        <f>CPUE!J136</f>
        <v>16.439024390243883</v>
      </c>
      <c r="N138" s="57" t="str">
        <f>Effort!L136</f>
        <v>CLOSED</v>
      </c>
      <c r="O138" s="135" t="str">
        <f>Harvest!L136</f>
        <v>CLOSED</v>
      </c>
      <c r="P138" s="96" t="str">
        <f>CPUE!L136</f>
        <v>CLOSED</v>
      </c>
      <c r="Q138" s="57" t="s">
        <v>10</v>
      </c>
      <c r="R138" s="135" t="s">
        <v>10</v>
      </c>
      <c r="S138" s="60" t="s">
        <v>10</v>
      </c>
      <c r="T138" s="57">
        <f>SUM(E138+H138+K138)</f>
        <v>11813.44020645105</v>
      </c>
      <c r="U138" s="135">
        <f>SUM(F138+I138+L138)</f>
        <v>199405.74349269288</v>
      </c>
      <c r="V138" s="81"/>
      <c r="W138" s="138"/>
      <c r="X138" s="138"/>
    </row>
    <row r="139" spans="1:24" s="10" customFormat="1" x14ac:dyDescent="0.25">
      <c r="A139" s="148" t="s">
        <v>57</v>
      </c>
      <c r="B139" s="148"/>
      <c r="C139" s="148"/>
      <c r="D139" s="149"/>
      <c r="E139" s="63">
        <f>SUM(E130:E138)</f>
        <v>21207.058720929854</v>
      </c>
      <c r="F139" s="64">
        <f>SUM(F130:F138)</f>
        <v>393379.52017749404</v>
      </c>
      <c r="G139" s="65">
        <f>+F139/E139</f>
        <v>18.549461542691752</v>
      </c>
      <c r="H139" s="63">
        <f>SUM(H130:H138)</f>
        <v>12554.689350177136</v>
      </c>
      <c r="I139" s="64">
        <f>SUM(I130:I138)</f>
        <v>230962.11314478485</v>
      </c>
      <c r="J139" s="65">
        <f>+I139/H139</f>
        <v>18.396481721112931</v>
      </c>
      <c r="K139" s="63">
        <f>SUM(K130:K138)</f>
        <v>12774.461806488278</v>
      </c>
      <c r="L139" s="64">
        <f>SUM(L130:L138)</f>
        <v>223334.30814644881</v>
      </c>
      <c r="M139" s="65">
        <f>+L139/K139</f>
        <v>17.482874153885298</v>
      </c>
      <c r="N139" s="63">
        <f>SUM(N130:N138)</f>
        <v>5408.1425510512199</v>
      </c>
      <c r="O139" s="64">
        <f>SUM(O130:O138)</f>
        <v>106836.8028196684</v>
      </c>
      <c r="P139" s="65">
        <f>+O139/N139</f>
        <v>19.754805242495273</v>
      </c>
      <c r="Q139" s="63"/>
      <c r="R139" s="64"/>
      <c r="S139" s="65"/>
      <c r="T139" s="63">
        <f>SUM(T130:T138)</f>
        <v>51944.352428646496</v>
      </c>
      <c r="U139" s="64">
        <f>SUM(U130:U138)</f>
        <v>954512.74428839586</v>
      </c>
      <c r="V139" s="81"/>
      <c r="W139" s="138">
        <f>SUM(H139,K139,N139,Q139,E139)</f>
        <v>51944.352428646489</v>
      </c>
      <c r="X139" s="138">
        <f>SUM(R139,O139,L139,I139,F139)</f>
        <v>954512.74428839609</v>
      </c>
    </row>
    <row r="140" spans="1:24" ht="15.75" thickBot="1" x14ac:dyDescent="0.3">
      <c r="A140" s="113"/>
      <c r="B140" s="113"/>
      <c r="C140" s="113"/>
      <c r="D140" s="113"/>
      <c r="E140" s="81"/>
      <c r="F140" s="81"/>
      <c r="G140" s="82"/>
      <c r="H140" s="81"/>
      <c r="I140" s="81"/>
      <c r="J140" s="82"/>
      <c r="K140" s="81"/>
      <c r="L140" s="81"/>
      <c r="M140" s="82"/>
      <c r="N140" s="81"/>
      <c r="O140" s="81"/>
      <c r="P140" s="82"/>
      <c r="Q140" s="81"/>
      <c r="R140" s="81"/>
      <c r="S140" s="82"/>
      <c r="T140" s="81"/>
      <c r="U140" s="81"/>
      <c r="V140" s="81"/>
    </row>
    <row r="141" spans="1:24" ht="15.75" thickTop="1" x14ac:dyDescent="0.25">
      <c r="A141" s="75" t="s">
        <v>58</v>
      </c>
      <c r="B141" s="76"/>
      <c r="C141" s="76"/>
      <c r="D141" s="76"/>
      <c r="E141" s="77">
        <f>+SUM(E13,E23,E31,E40,E50,E60,E70,E78,E86,E93,E99,E107,E115,E122,E129,E139)</f>
        <v>189383.68962063629</v>
      </c>
      <c r="F141" s="77">
        <f>SUM(F13,F23,F31,F40,F50,F60,F70,F78,F86,F93,F99,F107,F115,F122,F129,F139)</f>
        <v>3187179.4805377107</v>
      </c>
      <c r="G141" s="78">
        <f>+F141/E141</f>
        <v>16.829218434396889</v>
      </c>
      <c r="H141" s="77">
        <f>SUM(H13,H23,H31,H40,H50,H60,H70,H78,H86,H93,H99,H107,H115,H122,H129,H139)</f>
        <v>123715.15358287373</v>
      </c>
      <c r="I141" s="77">
        <f>SUM(I13,I23,I31,I40,I50,I60,I70,I78,I86,I93,I99,I107,I115,I122,I129,I139)</f>
        <v>2092914.1109776909</v>
      </c>
      <c r="J141" s="78">
        <f>+I141/H141</f>
        <v>16.917200927820854</v>
      </c>
      <c r="K141" s="77">
        <f>SUM(K13,K23,K31,K40,K50,K60,K70,K78,K86,K93,K99,K107,K115,K122,K129,K139)</f>
        <v>96380.323897872542</v>
      </c>
      <c r="L141" s="77">
        <f>SUM(L13,L23,L31,L40,L50,L60,L70,L78,L86,L93,L99,L107,L115,L122,L129,L139)</f>
        <v>1612069.4275431712</v>
      </c>
      <c r="M141" s="78">
        <f>+L141/K141</f>
        <v>16.726125855847588</v>
      </c>
      <c r="N141" s="77">
        <f>SUM(N13,N23,N31,N40,N50,N60,N70,N78,N86,N93,N99,N107,N115,N122,N129,N139)</f>
        <v>74908.370853627886</v>
      </c>
      <c r="O141" s="77">
        <f>SUM(O13,O23,O31,O40,O50,O60,O70,O78,O86,O93,O99,O107,O115,O122,O129,O139)</f>
        <v>1233103.490548763</v>
      </c>
      <c r="P141" s="78">
        <f>+O141/N141</f>
        <v>16.461491239186955</v>
      </c>
      <c r="Q141" s="77">
        <f>+Q13</f>
        <v>0</v>
      </c>
      <c r="R141" s="77">
        <f>+R13</f>
        <v>0</v>
      </c>
      <c r="S141" s="78">
        <v>0</v>
      </c>
      <c r="T141" s="77">
        <f>SUM(T13,T23,T31,T40,T50,T60,T70,T78,T86,T93,T99,T107,T115,T122,T129,T139)</f>
        <v>484387.53795501043</v>
      </c>
      <c r="U141" s="77">
        <f>SUM(U13,U23,U31,U40,U50,U60,U70,U78,U86,U93,U99,U107,U115,U122,U129,U139)</f>
        <v>8125266.5096073374</v>
      </c>
      <c r="V141" s="81"/>
      <c r="W141" s="34">
        <f>SUM(W4:W139)</f>
        <v>484387.53795501043</v>
      </c>
      <c r="X141" s="34">
        <f>SUM(X4:X139)</f>
        <v>8125266.5096073374</v>
      </c>
    </row>
    <row r="142" spans="1:24" x14ac:dyDescent="0.25">
      <c r="A142" s="79" t="s">
        <v>59</v>
      </c>
      <c r="B142" s="80"/>
      <c r="C142" s="80"/>
      <c r="D142" s="80"/>
      <c r="E142" s="81"/>
      <c r="F142" s="81">
        <f>Harvest!F140</f>
        <v>132390.53226848954</v>
      </c>
      <c r="G142" s="82"/>
      <c r="H142" s="81"/>
      <c r="I142" s="81">
        <f>Harvest!H140</f>
        <v>26908.895712570298</v>
      </c>
      <c r="J142" s="82"/>
      <c r="K142" s="81"/>
      <c r="L142" s="81">
        <f>Harvest!J140</f>
        <v>45517.254424748375</v>
      </c>
      <c r="M142" s="82"/>
      <c r="N142" s="81"/>
      <c r="O142" s="81">
        <f>Harvest!L140</f>
        <v>22195.862829877744</v>
      </c>
      <c r="P142" s="82"/>
      <c r="Q142" s="81"/>
      <c r="R142" s="81">
        <f>Harvest!N140</f>
        <v>0</v>
      </c>
      <c r="S142" s="82"/>
      <c r="T142" s="81"/>
      <c r="U142" s="81">
        <f>F142+I142+L142+O142+R142</f>
        <v>227012.54523568592</v>
      </c>
      <c r="V142" s="81"/>
      <c r="W142" s="34">
        <f>SUM(H141,K141,N141,Q141,E141)</f>
        <v>484387.53795501043</v>
      </c>
      <c r="X142" s="34">
        <f>SUM(R141,O141,L141,I141,F141)</f>
        <v>8125266.5096073356</v>
      </c>
    </row>
    <row r="143" spans="1:24" x14ac:dyDescent="0.25">
      <c r="A143" s="83" t="s">
        <v>60</v>
      </c>
      <c r="B143" s="84"/>
      <c r="C143" s="84"/>
      <c r="D143" s="84"/>
      <c r="E143" s="85">
        <f>Effort!F138</f>
        <v>189383.68962063623</v>
      </c>
      <c r="F143" s="85">
        <f>F141+F142</f>
        <v>3319570.0128062004</v>
      </c>
      <c r="G143" s="86"/>
      <c r="H143" s="85">
        <f>Effort!H138</f>
        <v>123715.15358287375</v>
      </c>
      <c r="I143" s="85">
        <f>I141+I142</f>
        <v>2119823.0066902614</v>
      </c>
      <c r="J143" s="86"/>
      <c r="K143" s="85">
        <f>Effort!J138</f>
        <v>96380.323897872571</v>
      </c>
      <c r="L143" s="85">
        <f>L141+L142</f>
        <v>1657586.6819679197</v>
      </c>
      <c r="M143" s="86"/>
      <c r="N143" s="85">
        <f>Effort!L138</f>
        <v>74908.370853627872</v>
      </c>
      <c r="O143" s="85">
        <f>O141+O142</f>
        <v>1255299.3533786407</v>
      </c>
      <c r="P143" s="86"/>
      <c r="Q143" s="85">
        <f>Effort!N138</f>
        <v>0</v>
      </c>
      <c r="R143" s="85">
        <f>R141+R142</f>
        <v>0</v>
      </c>
      <c r="S143" s="86"/>
      <c r="T143" s="85">
        <f>SUM(T141:T142)</f>
        <v>484387.53795501043</v>
      </c>
      <c r="U143" s="87">
        <f>SUM(U141:U142)</f>
        <v>8352279.0548430234</v>
      </c>
      <c r="V143" s="81"/>
    </row>
    <row r="144" spans="1:24" x14ac:dyDescent="0.25">
      <c r="A144" s="88" t="s">
        <v>14</v>
      </c>
      <c r="B144" s="89"/>
      <c r="C144" s="89"/>
      <c r="D144" s="89"/>
      <c r="E144" s="89"/>
      <c r="F144" s="90">
        <f>Harvest!F143</f>
        <v>0.38335647364976821</v>
      </c>
      <c r="G144" s="89"/>
      <c r="H144" s="89"/>
      <c r="I144" s="90">
        <f>Harvest!H143</f>
        <v>0.62132504321800863</v>
      </c>
      <c r="J144" s="89"/>
      <c r="K144" s="89"/>
      <c r="L144" s="90">
        <f>Harvest!J143</f>
        <v>0.50171790993371623</v>
      </c>
      <c r="M144" s="89"/>
      <c r="N144" s="89"/>
      <c r="O144" s="90">
        <f>Harvest!L143</f>
        <v>0.63756078780912306</v>
      </c>
      <c r="P144" s="89"/>
      <c r="Q144" s="89"/>
      <c r="R144" s="90">
        <f>Harvest!N143</f>
        <v>0</v>
      </c>
      <c r="S144" s="89"/>
      <c r="T144" s="89"/>
      <c r="U144" s="91"/>
      <c r="V144" s="137"/>
    </row>
    <row r="146" spans="6:6" x14ac:dyDescent="0.25">
      <c r="F146" s="34"/>
    </row>
  </sheetData>
  <mergeCells count="22">
    <mergeCell ref="A50:D50"/>
    <mergeCell ref="A99:D99"/>
    <mergeCell ref="A93:D93"/>
    <mergeCell ref="A86:D86"/>
    <mergeCell ref="A78:D78"/>
    <mergeCell ref="A70:D70"/>
    <mergeCell ref="A139:D139"/>
    <mergeCell ref="A129:D129"/>
    <mergeCell ref="Q2:S2"/>
    <mergeCell ref="T2:U2"/>
    <mergeCell ref="A40:D40"/>
    <mergeCell ref="A13:D13"/>
    <mergeCell ref="A23:D23"/>
    <mergeCell ref="A31:D31"/>
    <mergeCell ref="E2:G2"/>
    <mergeCell ref="H2:J2"/>
    <mergeCell ref="N2:P2"/>
    <mergeCell ref="K2:M2"/>
    <mergeCell ref="A122:D122"/>
    <mergeCell ref="A115:D115"/>
    <mergeCell ref="A107:D107"/>
    <mergeCell ref="A60:D60"/>
  </mergeCells>
  <pageMargins left="0.7" right="0.7" top="0.75" bottom="0.75" header="0.3" footer="0.3"/>
  <pageSetup scale="57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45"/>
  <sheetViews>
    <sheetView topLeftCell="A107" zoomScale="90" zoomScaleNormal="90" workbookViewId="0">
      <selection activeCell="U141" sqref="U141"/>
    </sheetView>
  </sheetViews>
  <sheetFormatPr defaultRowHeight="15" x14ac:dyDescent="0.25"/>
  <cols>
    <col min="17" max="17" width="10.85546875" style="34" customWidth="1"/>
    <col min="21" max="21" width="10.140625" customWidth="1"/>
  </cols>
  <sheetData>
    <row r="1" spans="1:21" ht="15.75" thickBot="1" x14ac:dyDescent="0.3">
      <c r="A1" s="50" t="s">
        <v>66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61"/>
      <c r="R1" s="50"/>
    </row>
    <row r="2" spans="1:21" ht="15.75" thickTop="1" x14ac:dyDescent="0.25">
      <c r="A2" s="51"/>
      <c r="B2" s="51"/>
      <c r="C2" s="51"/>
      <c r="D2" s="51"/>
      <c r="E2" s="155" t="s">
        <v>47</v>
      </c>
      <c r="F2" s="156"/>
      <c r="G2" s="156"/>
      <c r="H2" s="157"/>
      <c r="I2" s="155" t="s">
        <v>48</v>
      </c>
      <c r="J2" s="156"/>
      <c r="K2" s="156"/>
      <c r="L2" s="157"/>
      <c r="M2" s="150" t="s">
        <v>49</v>
      </c>
      <c r="N2" s="151"/>
      <c r="O2" s="151"/>
      <c r="P2" s="152"/>
      <c r="Q2" s="153" t="s">
        <v>52</v>
      </c>
      <c r="R2" s="154"/>
    </row>
    <row r="3" spans="1:21" ht="15.75" thickBot="1" x14ac:dyDescent="0.3">
      <c r="A3" s="52" t="s">
        <v>53</v>
      </c>
      <c r="B3" s="52" t="s">
        <v>54</v>
      </c>
      <c r="C3" s="52" t="s">
        <v>55</v>
      </c>
      <c r="D3" s="52" t="s">
        <v>56</v>
      </c>
      <c r="E3" s="53" t="s">
        <v>27</v>
      </c>
      <c r="F3" s="52" t="s">
        <v>28</v>
      </c>
      <c r="G3" s="52" t="s">
        <v>29</v>
      </c>
      <c r="H3" s="52" t="s">
        <v>61</v>
      </c>
      <c r="I3" s="53" t="s">
        <v>27</v>
      </c>
      <c r="J3" s="52" t="s">
        <v>28</v>
      </c>
      <c r="K3" s="52" t="s">
        <v>29</v>
      </c>
      <c r="L3" s="52" t="s">
        <v>61</v>
      </c>
      <c r="M3" s="53" t="s">
        <v>27</v>
      </c>
      <c r="N3" s="52" t="s">
        <v>28</v>
      </c>
      <c r="O3" s="52" t="s">
        <v>29</v>
      </c>
      <c r="P3" s="52" t="s">
        <v>61</v>
      </c>
      <c r="Q3" s="62" t="s">
        <v>27</v>
      </c>
      <c r="R3" s="54" t="s">
        <v>28</v>
      </c>
      <c r="T3" s="101" t="s">
        <v>77</v>
      </c>
      <c r="U3" s="101" t="s">
        <v>78</v>
      </c>
    </row>
    <row r="4" spans="1:21" ht="15.75" thickTop="1" x14ac:dyDescent="0.25">
      <c r="A4" s="55">
        <v>44456</v>
      </c>
      <c r="B4" s="56" t="s">
        <v>18</v>
      </c>
      <c r="C4" s="104">
        <v>-0.4</v>
      </c>
      <c r="D4" s="105">
        <v>0.1875</v>
      </c>
      <c r="E4" s="57" t="str">
        <f>Effort!J2</f>
        <v>CLOSED</v>
      </c>
      <c r="F4" s="58" t="str">
        <f>Harvest!J2</f>
        <v>CLOSED</v>
      </c>
      <c r="G4" s="59" t="str">
        <f>CPUE!J2</f>
        <v>CLOSED</v>
      </c>
      <c r="H4" s="59"/>
      <c r="I4" s="57">
        <f>Effort!L2</f>
        <v>486.38838559683501</v>
      </c>
      <c r="J4" s="58">
        <f>Harvest!L2</f>
        <v>9619.6814040262907</v>
      </c>
      <c r="K4" s="59">
        <f>CPUE!L2</f>
        <v>19.777777777777775</v>
      </c>
      <c r="L4" s="59"/>
      <c r="M4" s="57" t="s">
        <v>10</v>
      </c>
      <c r="N4" s="58" t="s">
        <v>10</v>
      </c>
      <c r="O4" s="97" t="s">
        <v>10</v>
      </c>
      <c r="P4" s="96"/>
      <c r="Q4" s="57">
        <f t="shared" ref="Q4:R11" si="0">SUM(E4,I4)</f>
        <v>486.38838559683501</v>
      </c>
      <c r="R4" s="58">
        <f t="shared" si="0"/>
        <v>9619.6814040262907</v>
      </c>
    </row>
    <row r="5" spans="1:21" x14ac:dyDescent="0.25">
      <c r="A5" s="55">
        <v>44457</v>
      </c>
      <c r="B5" s="56" t="s">
        <v>19</v>
      </c>
      <c r="C5" s="104">
        <v>-0.5</v>
      </c>
      <c r="D5" s="105">
        <v>0.22361111111111109</v>
      </c>
      <c r="E5" s="57">
        <f>Effort!J3</f>
        <v>1358.2050233327</v>
      </c>
      <c r="F5" s="58">
        <f>Harvest!J3</f>
        <v>26711.365458876498</v>
      </c>
      <c r="G5" s="59">
        <f>CPUE!J3</f>
        <v>19.666666666666714</v>
      </c>
      <c r="H5" s="59"/>
      <c r="I5" s="57" t="str">
        <f>Effort!L3</f>
        <v>CLOSED</v>
      </c>
      <c r="J5" s="58" t="str">
        <f>Harvest!L3</f>
        <v>CLOSED</v>
      </c>
      <c r="K5" s="59" t="str">
        <f>CPUE!L3</f>
        <v>CLOSED</v>
      </c>
      <c r="L5" s="59"/>
      <c r="M5" s="57" t="s">
        <v>10</v>
      </c>
      <c r="N5" s="58" t="s">
        <v>10</v>
      </c>
      <c r="O5" s="96" t="s">
        <v>10</v>
      </c>
      <c r="P5" s="96"/>
      <c r="Q5" s="57">
        <f t="shared" si="0"/>
        <v>1358.2050233327</v>
      </c>
      <c r="R5" s="58">
        <f t="shared" si="0"/>
        <v>26711.365458876498</v>
      </c>
    </row>
    <row r="6" spans="1:21" x14ac:dyDescent="0.25">
      <c r="A6" s="55">
        <v>44458</v>
      </c>
      <c r="B6" s="56" t="s">
        <v>20</v>
      </c>
      <c r="C6" s="104">
        <v>-0.6</v>
      </c>
      <c r="D6" s="105">
        <v>0.25416666666666665</v>
      </c>
      <c r="E6" s="57" t="str">
        <f>Effort!J4</f>
        <v>CLOSED</v>
      </c>
      <c r="F6" s="58" t="str">
        <f>Harvest!J4</f>
        <v>CLOSED</v>
      </c>
      <c r="G6" s="59" t="str">
        <f>CPUE!J4</f>
        <v>CLOSED</v>
      </c>
      <c r="H6" s="59"/>
      <c r="I6" s="57">
        <f>Effort!L4</f>
        <v>4289.21576648068</v>
      </c>
      <c r="J6" s="58">
        <f>Harvest!L4</f>
        <v>69378.065022825103</v>
      </c>
      <c r="K6" s="59">
        <f>CPUE!L4</f>
        <v>16.175000000000026</v>
      </c>
      <c r="L6" s="59"/>
      <c r="M6" s="57" t="s">
        <v>10</v>
      </c>
      <c r="N6" s="58" t="s">
        <v>10</v>
      </c>
      <c r="O6" s="96" t="s">
        <v>10</v>
      </c>
      <c r="P6" s="60"/>
      <c r="Q6" s="57">
        <f t="shared" si="0"/>
        <v>4289.21576648068</v>
      </c>
      <c r="R6" s="58">
        <f t="shared" si="0"/>
        <v>69378.065022825103</v>
      </c>
    </row>
    <row r="7" spans="1:21" x14ac:dyDescent="0.25">
      <c r="A7" s="55">
        <v>44459</v>
      </c>
      <c r="B7" s="56" t="s">
        <v>21</v>
      </c>
      <c r="C7" s="104">
        <v>-0.5</v>
      </c>
      <c r="D7" s="105">
        <v>0.28125</v>
      </c>
      <c r="E7" s="57">
        <f>Effort!J5</f>
        <v>2070.4779225188699</v>
      </c>
      <c r="F7" s="58">
        <f>Harvest!J5</f>
        <v>41409.558450377299</v>
      </c>
      <c r="G7" s="59">
        <f>CPUE!J5</f>
        <v>19.99999999999995</v>
      </c>
      <c r="H7" s="59"/>
      <c r="I7" s="57" t="str">
        <f>Effort!L5</f>
        <v>CLOSED</v>
      </c>
      <c r="J7" s="58" t="str">
        <f>Harvest!L5</f>
        <v>CLOSED</v>
      </c>
      <c r="K7" s="59" t="str">
        <f>CPUE!L5</f>
        <v>CLOSED</v>
      </c>
      <c r="L7" s="59"/>
      <c r="M7" s="57" t="s">
        <v>10</v>
      </c>
      <c r="N7" s="58" t="s">
        <v>10</v>
      </c>
      <c r="O7" s="96" t="s">
        <v>10</v>
      </c>
      <c r="P7" s="96"/>
      <c r="Q7" s="57">
        <f t="shared" si="0"/>
        <v>2070.4779225188699</v>
      </c>
      <c r="R7" s="58">
        <f t="shared" si="0"/>
        <v>41409.558450377299</v>
      </c>
    </row>
    <row r="8" spans="1:21" x14ac:dyDescent="0.25">
      <c r="A8" s="55">
        <v>44460</v>
      </c>
      <c r="B8" s="56" t="s">
        <v>22</v>
      </c>
      <c r="C8" s="104">
        <v>-0.2</v>
      </c>
      <c r="D8" s="105">
        <v>0.30624999999999997</v>
      </c>
      <c r="E8" s="57" t="str">
        <f>Effort!J6</f>
        <v>CLOSED</v>
      </c>
      <c r="F8" s="58" t="str">
        <f>Harvest!J6</f>
        <v>CLOSED</v>
      </c>
      <c r="G8" s="59" t="str">
        <f>CPUE!J6</f>
        <v>CLOSED</v>
      </c>
      <c r="H8" s="59"/>
      <c r="I8" s="57">
        <f>Effort!L6</f>
        <v>2092.9977550626199</v>
      </c>
      <c r="J8" s="58">
        <f>Harvest!L6</f>
        <v>41859.955101252301</v>
      </c>
      <c r="K8" s="59">
        <f>CPUE!L6</f>
        <v>19.999999999999954</v>
      </c>
      <c r="L8" s="59"/>
      <c r="M8" s="57" t="s">
        <v>10</v>
      </c>
      <c r="N8" s="58" t="s">
        <v>10</v>
      </c>
      <c r="O8" s="96" t="s">
        <v>10</v>
      </c>
      <c r="P8" s="60"/>
      <c r="Q8" s="57">
        <f t="shared" si="0"/>
        <v>2092.9977550626199</v>
      </c>
      <c r="R8" s="58">
        <f t="shared" si="0"/>
        <v>41859.955101252301</v>
      </c>
    </row>
    <row r="9" spans="1:21" x14ac:dyDescent="0.25">
      <c r="A9" s="55">
        <v>44461</v>
      </c>
      <c r="B9" s="56" t="s">
        <v>23</v>
      </c>
      <c r="C9" s="104">
        <v>0.3</v>
      </c>
      <c r="D9" s="105">
        <v>0.32916666666666666</v>
      </c>
      <c r="E9" s="57">
        <f>Effort!J7</f>
        <v>2970.2602914955201</v>
      </c>
      <c r="F9" s="58">
        <f>Harvest!J7</f>
        <v>52765.800472449897</v>
      </c>
      <c r="G9" s="59">
        <f>CPUE!J7</f>
        <v>17.764705882352963</v>
      </c>
      <c r="H9" s="59"/>
      <c r="I9" s="57" t="str">
        <f>Effort!L7</f>
        <v>CLOSED</v>
      </c>
      <c r="J9" s="58" t="str">
        <f>Harvest!L7</f>
        <v>CLOSED</v>
      </c>
      <c r="K9" s="59" t="str">
        <f>CPUE!L7</f>
        <v>CLOSED</v>
      </c>
      <c r="L9" s="59"/>
      <c r="M9" s="57" t="s">
        <v>10</v>
      </c>
      <c r="N9" s="58" t="s">
        <v>10</v>
      </c>
      <c r="O9" s="96" t="s">
        <v>10</v>
      </c>
      <c r="P9" s="60"/>
      <c r="Q9" s="57">
        <f t="shared" si="0"/>
        <v>2970.2602914955201</v>
      </c>
      <c r="R9" s="58">
        <f t="shared" si="0"/>
        <v>52765.800472449897</v>
      </c>
    </row>
    <row r="10" spans="1:21" x14ac:dyDescent="0.25">
      <c r="A10" s="55">
        <v>44462</v>
      </c>
      <c r="B10" s="56" t="s">
        <v>24</v>
      </c>
      <c r="C10" s="104">
        <v>0.3</v>
      </c>
      <c r="D10" s="105">
        <v>0.87361111111111101</v>
      </c>
      <c r="E10" s="57" t="str">
        <f>Effort!J8</f>
        <v>CLOSED</v>
      </c>
      <c r="F10" s="58" t="str">
        <f>Harvest!J8</f>
        <v>CLOSED</v>
      </c>
      <c r="G10" s="59" t="str">
        <f>CPUE!J8</f>
        <v>CLOSED</v>
      </c>
      <c r="H10" s="59"/>
      <c r="I10" s="57">
        <f>Effort!L8</f>
        <v>1263.6578861589101</v>
      </c>
      <c r="J10" s="58">
        <f>Harvest!L8</f>
        <v>21116.388360813398</v>
      </c>
      <c r="K10" s="59">
        <f>CPUE!L8</f>
        <v>16.710526315789501</v>
      </c>
      <c r="L10" s="59"/>
      <c r="M10" s="57" t="s">
        <v>10</v>
      </c>
      <c r="N10" s="58" t="s">
        <v>10</v>
      </c>
      <c r="O10" s="96" t="s">
        <v>10</v>
      </c>
      <c r="P10" s="60"/>
      <c r="Q10" s="57">
        <f t="shared" si="0"/>
        <v>1263.6578861589101</v>
      </c>
      <c r="R10" s="58">
        <f t="shared" si="0"/>
        <v>21116.388360813398</v>
      </c>
    </row>
    <row r="11" spans="1:21" x14ac:dyDescent="0.25">
      <c r="A11" s="55">
        <v>44463</v>
      </c>
      <c r="B11" s="56" t="s">
        <v>18</v>
      </c>
      <c r="C11" s="104">
        <v>0.4</v>
      </c>
      <c r="D11" s="105">
        <v>0.9</v>
      </c>
      <c r="E11" s="57">
        <f>Effort!J9</f>
        <v>2185.16904220477</v>
      </c>
      <c r="F11" s="58">
        <f>Harvest!J9</f>
        <v>40269.543777773601</v>
      </c>
      <c r="G11" s="59">
        <f>CPUE!J9</f>
        <v>18.42857142857142</v>
      </c>
      <c r="H11" s="59"/>
      <c r="I11" s="57" t="str">
        <f>Effort!L9</f>
        <v>CLOSED</v>
      </c>
      <c r="J11" s="58" t="str">
        <f>Harvest!L9</f>
        <v>CLOSED</v>
      </c>
      <c r="K11" s="59" t="str">
        <f>CPUE!L9</f>
        <v>CLOSED</v>
      </c>
      <c r="L11" s="59"/>
      <c r="M11" s="57" t="s">
        <v>10</v>
      </c>
      <c r="N11" s="58" t="s">
        <v>10</v>
      </c>
      <c r="O11" s="96" t="s">
        <v>10</v>
      </c>
      <c r="P11" s="60"/>
      <c r="Q11" s="57">
        <f>SUM(E11,I11)</f>
        <v>2185.16904220477</v>
      </c>
      <c r="R11" s="58">
        <f t="shared" si="0"/>
        <v>40269.543777773601</v>
      </c>
    </row>
    <row r="12" spans="1:21" x14ac:dyDescent="0.25">
      <c r="A12" s="55">
        <v>44464</v>
      </c>
      <c r="B12" s="56" t="s">
        <v>19</v>
      </c>
      <c r="C12" s="104">
        <v>0.5</v>
      </c>
      <c r="D12" s="105">
        <v>0.92708333333333337</v>
      </c>
      <c r="E12" s="57">
        <f>Effort!J10</f>
        <v>1608.5393510859401</v>
      </c>
      <c r="F12" s="58">
        <f>Harvest!J10</f>
        <v>32170.787021718799</v>
      </c>
      <c r="G12" s="59">
        <f>CPUE!J10</f>
        <v>20</v>
      </c>
      <c r="H12" s="59"/>
      <c r="I12" s="57">
        <f>Effort!L10</f>
        <v>1124.0876362341401</v>
      </c>
      <c r="J12" s="58">
        <f>Harvest!L10</f>
        <v>18922.141876608101</v>
      </c>
      <c r="K12" s="59">
        <f>CPUE!L10</f>
        <v>16.8333333333334</v>
      </c>
      <c r="L12" s="59"/>
      <c r="M12" s="57" t="s">
        <v>10</v>
      </c>
      <c r="N12" s="58" t="s">
        <v>10</v>
      </c>
      <c r="O12" s="96" t="s">
        <v>10</v>
      </c>
      <c r="P12" s="98"/>
      <c r="Q12" s="57">
        <f>SUM(E12,I12)</f>
        <v>2732.6269873200799</v>
      </c>
      <c r="R12" s="58">
        <f>SUM(F12,J12)</f>
        <v>51092.9288983269</v>
      </c>
    </row>
    <row r="13" spans="1:21" x14ac:dyDescent="0.25">
      <c r="A13" s="148" t="s">
        <v>57</v>
      </c>
      <c r="B13" s="148"/>
      <c r="C13" s="148"/>
      <c r="D13" s="149"/>
      <c r="E13" s="63">
        <f>SUM(E4:E12)</f>
        <v>10192.6516306378</v>
      </c>
      <c r="F13" s="64">
        <f>SUM(F4:F12)</f>
        <v>193327.05518119608</v>
      </c>
      <c r="G13" s="65">
        <f>+F13/E13</f>
        <v>18.967297440057681</v>
      </c>
      <c r="H13" s="65">
        <v>129.65</v>
      </c>
      <c r="I13" s="63">
        <f>SUM(I4:I12)</f>
        <v>9256.3474295331853</v>
      </c>
      <c r="J13" s="64">
        <f>SUM(J4:J12)</f>
        <v>160896.23176552521</v>
      </c>
      <c r="K13" s="65">
        <f>+J13/I13</f>
        <v>17.382259362064534</v>
      </c>
      <c r="L13" s="65">
        <v>113.5</v>
      </c>
      <c r="M13" s="63"/>
      <c r="N13" s="64"/>
      <c r="O13" s="111"/>
      <c r="P13" s="65"/>
      <c r="Q13" s="63">
        <f>SUM(Q4:Q12)</f>
        <v>19448.999060170987</v>
      </c>
      <c r="R13" s="64">
        <f>SUM(R4:R12)</f>
        <v>354223.28694672126</v>
      </c>
      <c r="T13" s="34">
        <f>SUM(E13,I13)</f>
        <v>19448.999060170987</v>
      </c>
      <c r="U13" s="34">
        <f>SUM(F13,J13)</f>
        <v>354223.28694672126</v>
      </c>
    </row>
    <row r="14" spans="1:21" x14ac:dyDescent="0.25">
      <c r="A14" s="55">
        <v>44472</v>
      </c>
      <c r="B14" s="56" t="s">
        <v>20</v>
      </c>
      <c r="C14" s="104">
        <v>0.2</v>
      </c>
      <c r="D14" s="105">
        <v>0.20277777777777781</v>
      </c>
      <c r="E14" s="57">
        <f>Effort!J12</f>
        <v>964.63770115833802</v>
      </c>
      <c r="F14" s="58">
        <f>Harvest!J12</f>
        <v>13628.5993163652</v>
      </c>
      <c r="G14" s="59">
        <f>CPUE!J12</f>
        <v>14.12820512820509</v>
      </c>
      <c r="H14" s="59"/>
      <c r="I14" s="57" t="str">
        <f>Effort!L12</f>
        <v>CLOSED</v>
      </c>
      <c r="J14" s="58" t="str">
        <f>Harvest!L12</f>
        <v>CLOSED</v>
      </c>
      <c r="K14" s="59" t="str">
        <f>CPUE!L12</f>
        <v>CLOSED</v>
      </c>
      <c r="L14" s="59"/>
      <c r="M14" s="57" t="s">
        <v>10</v>
      </c>
      <c r="N14" s="58" t="s">
        <v>10</v>
      </c>
      <c r="O14" s="96" t="s">
        <v>10</v>
      </c>
      <c r="P14" s="96"/>
      <c r="Q14" s="57">
        <f t="shared" ref="Q14:R29" si="1">SUM(E14,I14)</f>
        <v>964.63770115833802</v>
      </c>
      <c r="R14" s="58">
        <f t="shared" si="1"/>
        <v>13628.5993163652</v>
      </c>
    </row>
    <row r="15" spans="1:21" x14ac:dyDescent="0.25">
      <c r="A15" s="55">
        <v>44473</v>
      </c>
      <c r="B15" s="56" t="s">
        <v>21</v>
      </c>
      <c r="C15" s="104">
        <v>0</v>
      </c>
      <c r="D15" s="105">
        <v>0.23124999999999998</v>
      </c>
      <c r="E15" s="57" t="str">
        <f>Effort!J13</f>
        <v>CLOSED</v>
      </c>
      <c r="F15" s="58" t="str">
        <f>Harvest!J13</f>
        <v>CLOSED</v>
      </c>
      <c r="G15" s="59" t="str">
        <f>CPUE!J13</f>
        <v>CLOSED</v>
      </c>
      <c r="H15" s="59"/>
      <c r="I15" s="57">
        <f>Effort!L13</f>
        <v>459.003515598283</v>
      </c>
      <c r="J15" s="58">
        <f>Harvest!L13</f>
        <v>5923.3310822445001</v>
      </c>
      <c r="K15" s="59">
        <f>CPUE!L13</f>
        <v>12.904761904761886</v>
      </c>
      <c r="L15" s="59"/>
      <c r="M15" s="57" t="s">
        <v>10</v>
      </c>
      <c r="N15" s="58" t="s">
        <v>10</v>
      </c>
      <c r="O15" s="96" t="s">
        <v>10</v>
      </c>
      <c r="P15" s="96"/>
      <c r="Q15" s="57">
        <f t="shared" si="1"/>
        <v>459.003515598283</v>
      </c>
      <c r="R15" s="58">
        <f t="shared" si="1"/>
        <v>5923.3310822445001</v>
      </c>
    </row>
    <row r="16" spans="1:21" x14ac:dyDescent="0.25">
      <c r="A16" s="55">
        <v>44474</v>
      </c>
      <c r="B16" s="56" t="s">
        <v>22</v>
      </c>
      <c r="C16" s="104">
        <v>-0.1</v>
      </c>
      <c r="D16" s="105">
        <v>0.25833333333333336</v>
      </c>
      <c r="E16" s="57">
        <f>Effort!J14</f>
        <v>432.18085215999901</v>
      </c>
      <c r="F16" s="58">
        <f>Harvest!J14</f>
        <v>5618.3510780799897</v>
      </c>
      <c r="G16" s="59">
        <f>CPUE!J14</f>
        <v>13.000000000000005</v>
      </c>
      <c r="H16" s="59"/>
      <c r="I16" s="57" t="str">
        <f>Effort!L14</f>
        <v>CLOSED</v>
      </c>
      <c r="J16" s="58" t="str">
        <f>Harvest!L14</f>
        <v>CLOSED</v>
      </c>
      <c r="K16" s="59" t="str">
        <f>CPUE!L14</f>
        <v>CLOSED</v>
      </c>
      <c r="L16" s="59"/>
      <c r="M16" s="57" t="s">
        <v>10</v>
      </c>
      <c r="N16" s="58" t="s">
        <v>10</v>
      </c>
      <c r="O16" s="96" t="s">
        <v>10</v>
      </c>
      <c r="P16" s="60"/>
      <c r="Q16" s="57">
        <f t="shared" si="1"/>
        <v>432.18085215999901</v>
      </c>
      <c r="R16" s="58">
        <f t="shared" si="1"/>
        <v>5618.3510780799897</v>
      </c>
    </row>
    <row r="17" spans="1:21" x14ac:dyDescent="0.25">
      <c r="A17" s="55">
        <v>44475</v>
      </c>
      <c r="B17" s="56" t="s">
        <v>23</v>
      </c>
      <c r="C17" s="104">
        <v>-0.3</v>
      </c>
      <c r="D17" s="105">
        <v>0.80555555555555547</v>
      </c>
      <c r="E17" s="57" t="str">
        <f>Effort!J15</f>
        <v>CLOSED</v>
      </c>
      <c r="F17" s="58" t="str">
        <f>Harvest!J15</f>
        <v>CLOSED</v>
      </c>
      <c r="G17" s="59" t="str">
        <f>CPUE!J15</f>
        <v>CLOSED</v>
      </c>
      <c r="H17" s="59"/>
      <c r="I17" s="57">
        <f>Effort!L15</f>
        <v>3058.0618838364198</v>
      </c>
      <c r="J17" s="58">
        <f>Harvest!L15</f>
        <v>60261.807710894202</v>
      </c>
      <c r="K17" s="59">
        <f>CPUE!L15</f>
        <v>19.705882352941192</v>
      </c>
      <c r="L17" s="59"/>
      <c r="M17" s="57" t="s">
        <v>10</v>
      </c>
      <c r="N17" s="58" t="s">
        <v>10</v>
      </c>
      <c r="O17" s="96" t="s">
        <v>10</v>
      </c>
      <c r="P17" s="96"/>
      <c r="Q17" s="57">
        <f t="shared" si="1"/>
        <v>3058.0618838364198</v>
      </c>
      <c r="R17" s="58">
        <f t="shared" si="1"/>
        <v>60261.807710894202</v>
      </c>
    </row>
    <row r="18" spans="1:21" x14ac:dyDescent="0.25">
      <c r="A18" s="55">
        <v>44476</v>
      </c>
      <c r="B18" s="56" t="s">
        <v>24</v>
      </c>
      <c r="C18" s="104">
        <v>-0.8</v>
      </c>
      <c r="D18" s="105">
        <v>0.83611111111111114</v>
      </c>
      <c r="E18" s="57">
        <f>Effort!J16</f>
        <v>2197.3689291072801</v>
      </c>
      <c r="F18" s="58">
        <f>Harvest!J16</f>
        <v>43947.378582145597</v>
      </c>
      <c r="G18" s="59">
        <f>CPUE!J16</f>
        <v>19.999999999999996</v>
      </c>
      <c r="H18" s="59"/>
      <c r="I18" s="57" t="str">
        <f>Effort!L16</f>
        <v>CLOSED</v>
      </c>
      <c r="J18" s="58" t="str">
        <f>Harvest!L16</f>
        <v>CLOSED</v>
      </c>
      <c r="K18" s="59" t="str">
        <f>CPUE!L16</f>
        <v>CLOSED</v>
      </c>
      <c r="L18" s="59"/>
      <c r="M18" s="57" t="s">
        <v>10</v>
      </c>
      <c r="N18" s="58" t="s">
        <v>10</v>
      </c>
      <c r="O18" s="96" t="s">
        <v>10</v>
      </c>
      <c r="P18" s="60"/>
      <c r="Q18" s="57">
        <f t="shared" si="1"/>
        <v>2197.3689291072801</v>
      </c>
      <c r="R18" s="58">
        <f t="shared" si="1"/>
        <v>43947.378582145597</v>
      </c>
    </row>
    <row r="19" spans="1:21" x14ac:dyDescent="0.25">
      <c r="A19" s="55">
        <v>44477</v>
      </c>
      <c r="B19" s="56" t="s">
        <v>18</v>
      </c>
      <c r="C19" s="104">
        <v>-1.1000000000000001</v>
      </c>
      <c r="D19" s="105">
        <v>0.86805555555555547</v>
      </c>
      <c r="E19" s="57" t="str">
        <f>Effort!J17</f>
        <v>CLOSED</v>
      </c>
      <c r="F19" s="58" t="str">
        <f>Harvest!J17</f>
        <v>CLOSED</v>
      </c>
      <c r="G19" s="59" t="str">
        <f>CPUE!J17</f>
        <v>CLOSED</v>
      </c>
      <c r="H19" s="59"/>
      <c r="I19" s="57">
        <f>Effort!L17</f>
        <v>4373.2419785911497</v>
      </c>
      <c r="J19" s="58">
        <f>Harvest!L17</f>
        <v>82315.699822836701</v>
      </c>
      <c r="K19" s="59">
        <f>CPUE!L17</f>
        <v>18.822580645161302</v>
      </c>
      <c r="L19" s="59"/>
      <c r="M19" s="57" t="s">
        <v>10</v>
      </c>
      <c r="N19" s="58" t="s">
        <v>10</v>
      </c>
      <c r="O19" s="96" t="s">
        <v>10</v>
      </c>
      <c r="P19" s="60"/>
      <c r="Q19" s="57">
        <f t="shared" si="1"/>
        <v>4373.2419785911497</v>
      </c>
      <c r="R19" s="58">
        <f t="shared" si="1"/>
        <v>82315.699822836701</v>
      </c>
    </row>
    <row r="20" spans="1:21" x14ac:dyDescent="0.25">
      <c r="A20" s="55">
        <v>44478</v>
      </c>
      <c r="B20" s="56" t="s">
        <v>19</v>
      </c>
      <c r="C20" s="104">
        <v>-1.1000000000000001</v>
      </c>
      <c r="D20" s="105">
        <v>0.90138888888888891</v>
      </c>
      <c r="E20" s="57">
        <f>Effort!J18</f>
        <v>3398.4616631163699</v>
      </c>
      <c r="F20" s="58">
        <f>Harvest!J18</f>
        <v>46151.109385120297</v>
      </c>
      <c r="G20" s="59">
        <f>CPUE!J18</f>
        <v>13.579999999999998</v>
      </c>
      <c r="H20" s="59"/>
      <c r="I20" s="57" t="str">
        <f>Effort!L18</f>
        <v>CLOSED</v>
      </c>
      <c r="J20" s="58" t="str">
        <f>Harvest!L18</f>
        <v>CLOSED</v>
      </c>
      <c r="K20" s="59" t="str">
        <f>CPUE!L18</f>
        <v>CLOSED</v>
      </c>
      <c r="L20" s="59"/>
      <c r="M20" s="57" t="s">
        <v>10</v>
      </c>
      <c r="N20" s="58" t="s">
        <v>10</v>
      </c>
      <c r="O20" s="96" t="s">
        <v>10</v>
      </c>
      <c r="P20" s="60"/>
      <c r="Q20" s="57">
        <f t="shared" si="1"/>
        <v>3398.4616631163699</v>
      </c>
      <c r="R20" s="58">
        <f t="shared" si="1"/>
        <v>46151.109385120297</v>
      </c>
    </row>
    <row r="21" spans="1:21" x14ac:dyDescent="0.25">
      <c r="A21" s="55">
        <v>44479</v>
      </c>
      <c r="B21" s="56" t="s">
        <v>20</v>
      </c>
      <c r="C21" s="104">
        <v>-0.8</v>
      </c>
      <c r="D21" s="105">
        <v>0.93888888888888899</v>
      </c>
      <c r="E21" s="57" t="str">
        <f>Effort!J19</f>
        <v>CLOSED</v>
      </c>
      <c r="F21" s="58" t="str">
        <f>Harvest!J19</f>
        <v>CLOSED</v>
      </c>
      <c r="G21" s="59" t="str">
        <f>CPUE!J19</f>
        <v>CLOSED</v>
      </c>
      <c r="H21" s="59"/>
      <c r="I21" s="57">
        <f>Effort!L19</f>
        <v>859.04416361630103</v>
      </c>
      <c r="J21" s="58">
        <f>Harvest!L19</f>
        <v>16536.600149613801</v>
      </c>
      <c r="K21" s="59">
        <f>CPUE!L19</f>
        <v>19.250000000000007</v>
      </c>
      <c r="L21" s="59"/>
      <c r="M21" s="57" t="s">
        <v>10</v>
      </c>
      <c r="N21" s="58" t="s">
        <v>10</v>
      </c>
      <c r="O21" s="96" t="s">
        <v>10</v>
      </c>
      <c r="P21" s="60"/>
      <c r="Q21" s="57">
        <f t="shared" si="1"/>
        <v>859.04416361630103</v>
      </c>
      <c r="R21" s="58">
        <f t="shared" si="1"/>
        <v>16536.600149613801</v>
      </c>
    </row>
    <row r="22" spans="1:21" x14ac:dyDescent="0.25">
      <c r="A22" s="55">
        <v>44480</v>
      </c>
      <c r="B22" s="56" t="s">
        <v>21</v>
      </c>
      <c r="C22" s="104">
        <v>-0.4</v>
      </c>
      <c r="D22" s="105">
        <v>0.98055555555555562</v>
      </c>
      <c r="E22" s="57">
        <f>Effort!J20</f>
        <v>473.47827068574099</v>
      </c>
      <c r="F22" s="58">
        <f>Harvest!J20</f>
        <v>9469.5654137148103</v>
      </c>
      <c r="G22" s="59">
        <f>CPUE!J20</f>
        <v>19.999999999999979</v>
      </c>
      <c r="H22" s="59"/>
      <c r="I22" s="57" t="str">
        <f>Effort!L20</f>
        <v>CLOSED</v>
      </c>
      <c r="J22" s="58" t="str">
        <f>Harvest!L20</f>
        <v>CLOSED</v>
      </c>
      <c r="K22" s="59" t="str">
        <f>CPUE!L20</f>
        <v>CLOSED</v>
      </c>
      <c r="L22" s="59"/>
      <c r="M22" s="57" t="s">
        <v>10</v>
      </c>
      <c r="N22" s="58" t="s">
        <v>10</v>
      </c>
      <c r="O22" s="96" t="s">
        <v>10</v>
      </c>
      <c r="P22" s="98"/>
      <c r="Q22" s="57">
        <f t="shared" si="1"/>
        <v>473.47827068574099</v>
      </c>
      <c r="R22" s="58">
        <f t="shared" si="1"/>
        <v>9469.5654137148103</v>
      </c>
    </row>
    <row r="23" spans="1:21" x14ac:dyDescent="0.25">
      <c r="A23" s="148" t="s">
        <v>57</v>
      </c>
      <c r="B23" s="148"/>
      <c r="C23" s="148"/>
      <c r="D23" s="149"/>
      <c r="E23" s="63">
        <f>SUM(E14:E22)</f>
        <v>7466.1274162277286</v>
      </c>
      <c r="F23" s="64">
        <f>SUM(F14:F22)</f>
        <v>118815.00377542588</v>
      </c>
      <c r="G23" s="65">
        <f>+F23/E23</f>
        <v>15.913873036399012</v>
      </c>
      <c r="H23" s="65">
        <v>115.28205128205128</v>
      </c>
      <c r="I23" s="63">
        <f>SUM(I14:I22)</f>
        <v>8749.3515416421542</v>
      </c>
      <c r="J23" s="64">
        <f>SUM(J14:J22)</f>
        <v>165037.43876558921</v>
      </c>
      <c r="K23" s="65">
        <f>+J23/I23</f>
        <v>18.862819487832986</v>
      </c>
      <c r="L23" s="65">
        <v>118.47368421052632</v>
      </c>
      <c r="M23" s="63"/>
      <c r="N23" s="64"/>
      <c r="O23" s="111"/>
      <c r="P23" s="65"/>
      <c r="Q23" s="63">
        <f>SUM(Q14:Q22)</f>
        <v>16215.478957869882</v>
      </c>
      <c r="R23" s="64">
        <f>SUM(R14:R22)</f>
        <v>283852.44254101504</v>
      </c>
      <c r="T23" s="34">
        <f>SUM(E23,I23)</f>
        <v>16215.478957869884</v>
      </c>
      <c r="U23" s="34">
        <f>SUM(F23,J23)</f>
        <v>283852.4425410151</v>
      </c>
    </row>
    <row r="24" spans="1:21" x14ac:dyDescent="0.25">
      <c r="A24" s="131">
        <v>44488</v>
      </c>
      <c r="B24" s="132" t="s">
        <v>22</v>
      </c>
      <c r="C24" s="133">
        <v>0.3</v>
      </c>
      <c r="D24" s="134">
        <v>0.78263888888888899</v>
      </c>
      <c r="E24" s="57">
        <f>Effort!J22</f>
        <v>2476.1742203253398</v>
      </c>
      <c r="F24" s="58">
        <f>Harvest!J22</f>
        <v>31412.038680698501</v>
      </c>
      <c r="G24" s="59">
        <f>CPUE!J22</f>
        <v>12.685714285714248</v>
      </c>
      <c r="H24" s="59"/>
      <c r="I24" s="57" t="str">
        <f>Effort!L22</f>
        <v>CLOSED</v>
      </c>
      <c r="J24" s="58" t="str">
        <f>Harvest!L22</f>
        <v>CLOSED</v>
      </c>
      <c r="K24" s="59" t="str">
        <f>CPUE!L22</f>
        <v>CLOSED</v>
      </c>
      <c r="L24" s="59"/>
      <c r="M24" s="57" t="s">
        <v>10</v>
      </c>
      <c r="N24" s="58" t="s">
        <v>10</v>
      </c>
      <c r="O24" s="96" t="s">
        <v>10</v>
      </c>
      <c r="P24" s="60"/>
      <c r="Q24" s="57">
        <f t="shared" si="1"/>
        <v>2476.1742203253398</v>
      </c>
      <c r="R24" s="58">
        <f t="shared" si="1"/>
        <v>31412.038680698501</v>
      </c>
      <c r="S24" s="82"/>
      <c r="T24" s="81"/>
      <c r="U24" s="81"/>
    </row>
    <row r="25" spans="1:21" x14ac:dyDescent="0.25">
      <c r="A25" s="131">
        <v>44489</v>
      </c>
      <c r="B25" s="132" t="s">
        <v>23</v>
      </c>
      <c r="C25" s="133">
        <v>0</v>
      </c>
      <c r="D25" s="134">
        <v>0.80763888888888891</v>
      </c>
      <c r="E25" s="57" t="str">
        <f>Effort!J23</f>
        <v>CLOSED</v>
      </c>
      <c r="F25" s="58" t="str">
        <f>Harvest!J23</f>
        <v>CLOSED</v>
      </c>
      <c r="G25" s="59" t="str">
        <f>CPUE!J23</f>
        <v>CLOSED</v>
      </c>
      <c r="H25" s="59"/>
      <c r="I25" s="57">
        <f>Effort!L23</f>
        <v>823.09238920517896</v>
      </c>
      <c r="J25" s="58">
        <f>Harvest!L23</f>
        <v>14729.0217015664</v>
      </c>
      <c r="K25" s="59">
        <f>CPUE!L23</f>
        <v>17.89473684210531</v>
      </c>
      <c r="L25" s="59"/>
      <c r="M25" s="57" t="s">
        <v>10</v>
      </c>
      <c r="N25" s="58" t="s">
        <v>10</v>
      </c>
      <c r="O25" s="96" t="s">
        <v>10</v>
      </c>
      <c r="P25" s="96"/>
      <c r="Q25" s="57">
        <f t="shared" si="1"/>
        <v>823.09238920517896</v>
      </c>
      <c r="R25" s="58">
        <f t="shared" si="1"/>
        <v>14729.0217015664</v>
      </c>
      <c r="S25" s="82"/>
      <c r="T25" s="81"/>
      <c r="U25" s="81"/>
    </row>
    <row r="26" spans="1:21" x14ac:dyDescent="0.25">
      <c r="A26" s="131">
        <v>44490</v>
      </c>
      <c r="B26" s="132" t="s">
        <v>24</v>
      </c>
      <c r="C26" s="133">
        <v>-0.1</v>
      </c>
      <c r="D26" s="134">
        <v>0.83194444444444438</v>
      </c>
      <c r="E26" s="57">
        <f>Effort!J24</f>
        <v>655.94740066890495</v>
      </c>
      <c r="F26" s="58">
        <f>Harvest!J24</f>
        <v>9307.3617662479792</v>
      </c>
      <c r="G26" s="59">
        <f>CPUE!J24</f>
        <v>14.189189189189195</v>
      </c>
      <c r="H26" s="59"/>
      <c r="I26" s="57" t="str">
        <f>Effort!L24</f>
        <v>CLOSED</v>
      </c>
      <c r="J26" s="58" t="str">
        <f>Harvest!L24</f>
        <v>CLOSED</v>
      </c>
      <c r="K26" s="59" t="str">
        <f>CPUE!L24</f>
        <v>CLOSED</v>
      </c>
      <c r="L26" s="59"/>
      <c r="M26" s="57" t="s">
        <v>10</v>
      </c>
      <c r="N26" s="58" t="s">
        <v>10</v>
      </c>
      <c r="O26" s="96" t="s">
        <v>10</v>
      </c>
      <c r="P26" s="60"/>
      <c r="Q26" s="57">
        <f t="shared" si="1"/>
        <v>655.94740066890495</v>
      </c>
      <c r="R26" s="58">
        <f t="shared" si="1"/>
        <v>9307.3617662479792</v>
      </c>
      <c r="S26" s="82"/>
      <c r="T26" s="81"/>
      <c r="U26" s="81"/>
    </row>
    <row r="27" spans="1:21" x14ac:dyDescent="0.25">
      <c r="A27" s="131">
        <v>44491</v>
      </c>
      <c r="B27" s="132" t="s">
        <v>18</v>
      </c>
      <c r="C27" s="133">
        <v>-0.1</v>
      </c>
      <c r="D27" s="134">
        <v>0.85555555555555562</v>
      </c>
      <c r="E27" s="57" t="str">
        <f>Effort!J25</f>
        <v>CLOSED</v>
      </c>
      <c r="F27" s="58" t="str">
        <f>Harvest!J25</f>
        <v>CLOSED</v>
      </c>
      <c r="G27" s="59" t="str">
        <f>CPUE!J25</f>
        <v>CLOSED</v>
      </c>
      <c r="H27" s="59"/>
      <c r="I27" s="57">
        <f>Effort!L25</f>
        <v>1283.48214389798</v>
      </c>
      <c r="J27" s="58">
        <f>Harvest!L25</f>
        <v>15071.747461202</v>
      </c>
      <c r="K27" s="59">
        <f>CPUE!L25</f>
        <v>11.742857142857147</v>
      </c>
      <c r="L27" s="59"/>
      <c r="M27" s="57" t="s">
        <v>10</v>
      </c>
      <c r="N27" s="58" t="s">
        <v>10</v>
      </c>
      <c r="O27" s="96" t="s">
        <v>10</v>
      </c>
      <c r="P27" s="60"/>
      <c r="Q27" s="57">
        <f t="shared" si="1"/>
        <v>1283.48214389798</v>
      </c>
      <c r="R27" s="58">
        <f t="shared" si="1"/>
        <v>15071.747461202</v>
      </c>
      <c r="S27" s="82"/>
      <c r="T27" s="81"/>
      <c r="U27" s="81"/>
    </row>
    <row r="28" spans="1:21" x14ac:dyDescent="0.25">
      <c r="A28" s="131">
        <v>44492</v>
      </c>
      <c r="B28" s="132" t="s">
        <v>19</v>
      </c>
      <c r="C28" s="133">
        <v>0</v>
      </c>
      <c r="D28" s="134">
        <v>0.87986111111111109</v>
      </c>
      <c r="E28" s="57">
        <f>Effort!J26</f>
        <v>1751.0836240756501</v>
      </c>
      <c r="F28" s="58">
        <f>Harvest!J26</f>
        <v>27757.918189051099</v>
      </c>
      <c r="G28" s="59">
        <f>CPUE!J26</f>
        <v>15.851851851851883</v>
      </c>
      <c r="H28" s="59"/>
      <c r="I28" s="57" t="str">
        <f>Effort!L26</f>
        <v>CLOSED</v>
      </c>
      <c r="J28" s="58" t="str">
        <f>Harvest!L26</f>
        <v>CLOSED</v>
      </c>
      <c r="K28" s="59" t="str">
        <f>CPUE!L26</f>
        <v>CLOSED</v>
      </c>
      <c r="L28" s="59"/>
      <c r="M28" s="57" t="s">
        <v>10</v>
      </c>
      <c r="N28" s="58" t="s">
        <v>10</v>
      </c>
      <c r="O28" s="96" t="s">
        <v>10</v>
      </c>
      <c r="P28" s="60"/>
      <c r="Q28" s="57">
        <f t="shared" si="1"/>
        <v>1751.0836240756501</v>
      </c>
      <c r="R28" s="58">
        <f t="shared" si="1"/>
        <v>27757.918189051099</v>
      </c>
      <c r="S28" s="82"/>
      <c r="T28" s="81"/>
      <c r="U28" s="81"/>
    </row>
    <row r="29" spans="1:21" x14ac:dyDescent="0.25">
      <c r="A29" s="131">
        <v>44493</v>
      </c>
      <c r="B29" s="132" t="s">
        <v>20</v>
      </c>
      <c r="C29" s="133">
        <v>0.2</v>
      </c>
      <c r="D29" s="134">
        <v>0.90486111111111101</v>
      </c>
      <c r="E29" s="57" t="str">
        <f>Effort!J27</f>
        <v>CLOSED</v>
      </c>
      <c r="F29" s="58" t="str">
        <f>Harvest!J27</f>
        <v>CLOSED</v>
      </c>
      <c r="G29" s="59" t="str">
        <f>CPUE!J27</f>
        <v>CLOSED</v>
      </c>
      <c r="H29" s="59"/>
      <c r="I29" s="57">
        <f>Effort!L27</f>
        <v>0</v>
      </c>
      <c r="J29" s="58">
        <f>Harvest!L27</f>
        <v>0</v>
      </c>
      <c r="K29" s="59">
        <f>CPUE!L27</f>
        <v>0</v>
      </c>
      <c r="L29" s="59"/>
      <c r="M29" s="57" t="s">
        <v>10</v>
      </c>
      <c r="N29" s="58" t="s">
        <v>10</v>
      </c>
      <c r="O29" s="96" t="s">
        <v>10</v>
      </c>
      <c r="P29" s="60"/>
      <c r="Q29" s="57">
        <f t="shared" si="1"/>
        <v>0</v>
      </c>
      <c r="R29" s="58">
        <f t="shared" si="1"/>
        <v>0</v>
      </c>
      <c r="S29" s="82"/>
      <c r="T29" s="81"/>
      <c r="U29" s="81"/>
    </row>
    <row r="30" spans="1:21" x14ac:dyDescent="0.25">
      <c r="A30" s="131">
        <v>44494</v>
      </c>
      <c r="B30" s="132" t="s">
        <v>21</v>
      </c>
      <c r="C30" s="133">
        <v>0.5</v>
      </c>
      <c r="D30" s="134">
        <v>0.93402777777777779</v>
      </c>
      <c r="E30" s="57">
        <f>Effort!J28</f>
        <v>9.5501101167561906</v>
      </c>
      <c r="F30" s="58">
        <f>Harvest!J28</f>
        <v>200</v>
      </c>
      <c r="G30" s="59">
        <f>CPUE!J28</f>
        <v>11</v>
      </c>
      <c r="H30" s="59"/>
      <c r="I30" s="57" t="str">
        <f>Effort!L28</f>
        <v>CLOSED</v>
      </c>
      <c r="J30" s="58" t="str">
        <f>Harvest!L28</f>
        <v>CLOSED</v>
      </c>
      <c r="K30" s="59" t="str">
        <f>CPUE!L28</f>
        <v>CLOSED</v>
      </c>
      <c r="L30" s="59"/>
      <c r="M30" s="57" t="s">
        <v>10</v>
      </c>
      <c r="N30" s="58" t="s">
        <v>10</v>
      </c>
      <c r="O30" s="96" t="s">
        <v>10</v>
      </c>
      <c r="P30" s="98"/>
      <c r="Q30" s="57">
        <f t="shared" ref="Q30:R39" si="2">SUM(E30,I30)</f>
        <v>9.5501101167561906</v>
      </c>
      <c r="R30" s="58">
        <f t="shared" si="2"/>
        <v>200</v>
      </c>
      <c r="S30" s="82"/>
      <c r="T30" s="81"/>
      <c r="U30" s="81"/>
    </row>
    <row r="31" spans="1:21" x14ac:dyDescent="0.25">
      <c r="A31" s="148" t="s">
        <v>57</v>
      </c>
      <c r="B31" s="148"/>
      <c r="C31" s="148"/>
      <c r="D31" s="149"/>
      <c r="E31" s="63">
        <f>SUM(E24:E30)</f>
        <v>4892.7553551866513</v>
      </c>
      <c r="F31" s="64">
        <f>SUM(F24:F30)</f>
        <v>68677.318635997581</v>
      </c>
      <c r="G31" s="65">
        <f>+F31/E31</f>
        <v>14.036532311633971</v>
      </c>
      <c r="H31" s="65">
        <v>108.5</v>
      </c>
      <c r="I31" s="63">
        <f>SUM(I24:I30)</f>
        <v>2106.574533103159</v>
      </c>
      <c r="J31" s="64">
        <f>SUM(J24:J30)</f>
        <v>29800.7691627684</v>
      </c>
      <c r="K31" s="65">
        <f>+J31/I31</f>
        <v>14.146553418582061</v>
      </c>
      <c r="L31" s="65">
        <v>110.7</v>
      </c>
      <c r="M31" s="63"/>
      <c r="N31" s="64"/>
      <c r="O31" s="111"/>
      <c r="P31" s="65"/>
      <c r="Q31" s="63">
        <f>SUM(Q24:Q30)</f>
        <v>6999.3298882898098</v>
      </c>
      <c r="R31" s="64">
        <f>SUM(R24:R30)</f>
        <v>98478.087798765977</v>
      </c>
      <c r="S31" s="82"/>
      <c r="T31" s="34">
        <f>SUM(E31,I31)</f>
        <v>6999.3298882898107</v>
      </c>
      <c r="U31" s="34">
        <f>SUM(F31,J31)</f>
        <v>98478.087798765977</v>
      </c>
    </row>
    <row r="32" spans="1:21" x14ac:dyDescent="0.25">
      <c r="A32" s="55">
        <v>44503</v>
      </c>
      <c r="B32" s="56" t="s">
        <v>23</v>
      </c>
      <c r="C32" s="104">
        <v>-0.3</v>
      </c>
      <c r="D32" s="105">
        <v>0.76111111111111107</v>
      </c>
      <c r="E32" s="57" t="str">
        <f>Effort!J30</f>
        <v>CLOSED</v>
      </c>
      <c r="F32" s="58" t="str">
        <f>Harvest!J30</f>
        <v>CLOSED</v>
      </c>
      <c r="G32" s="59" t="str">
        <f>CPUE!J30</f>
        <v>CLOSED</v>
      </c>
      <c r="H32" s="59"/>
      <c r="I32" s="57">
        <f>Effort!L30</f>
        <v>1290.5323676299099</v>
      </c>
      <c r="J32" s="58">
        <f>Harvest!L30</f>
        <v>25530.096837896101</v>
      </c>
      <c r="K32" s="59">
        <f>CPUE!L30</f>
        <v>19.782608695652218</v>
      </c>
      <c r="L32" s="59"/>
      <c r="M32" s="57" t="s">
        <v>10</v>
      </c>
      <c r="N32" s="58" t="s">
        <v>10</v>
      </c>
      <c r="O32" s="96" t="s">
        <v>10</v>
      </c>
      <c r="P32" s="96"/>
      <c r="Q32" s="57">
        <f t="shared" si="2"/>
        <v>1290.5323676299099</v>
      </c>
      <c r="R32" s="58">
        <f t="shared" si="2"/>
        <v>25530.096837896101</v>
      </c>
    </row>
    <row r="33" spans="1:21" x14ac:dyDescent="0.25">
      <c r="A33" s="55">
        <v>44504</v>
      </c>
      <c r="B33" s="56" t="s">
        <v>24</v>
      </c>
      <c r="C33" s="104">
        <v>-1.1000000000000001</v>
      </c>
      <c r="D33" s="105">
        <v>0.79236111111111107</v>
      </c>
      <c r="E33" s="57">
        <f>Effort!J31</f>
        <v>1998.1549973711301</v>
      </c>
      <c r="F33" s="58">
        <f>Harvest!J31</f>
        <v>35700.369286364097</v>
      </c>
      <c r="G33" s="59">
        <f>CPUE!J31</f>
        <v>17.866666666666621</v>
      </c>
      <c r="H33" s="59"/>
      <c r="I33" s="57" t="str">
        <f>Effort!L31</f>
        <v>CLOSED</v>
      </c>
      <c r="J33" s="58" t="str">
        <f>Harvest!L31</f>
        <v>CLOSED</v>
      </c>
      <c r="K33" s="59" t="str">
        <f>CPUE!L31</f>
        <v>CLOSED</v>
      </c>
      <c r="L33" s="59"/>
      <c r="M33" s="57" t="s">
        <v>10</v>
      </c>
      <c r="N33" s="58" t="s">
        <v>10</v>
      </c>
      <c r="O33" s="96" t="s">
        <v>10</v>
      </c>
      <c r="P33" s="60"/>
      <c r="Q33" s="57">
        <f t="shared" si="2"/>
        <v>1998.1549973711301</v>
      </c>
      <c r="R33" s="58">
        <f t="shared" si="2"/>
        <v>35700.369286364097</v>
      </c>
    </row>
    <row r="34" spans="1:21" x14ac:dyDescent="0.25">
      <c r="A34" s="55">
        <v>44505</v>
      </c>
      <c r="B34" s="56" t="s">
        <v>18</v>
      </c>
      <c r="C34" s="104">
        <v>-1.6</v>
      </c>
      <c r="D34" s="105">
        <v>0.82361111111111107</v>
      </c>
      <c r="E34" s="57" t="str">
        <f>Effort!J32</f>
        <v>CLOSED</v>
      </c>
      <c r="F34" s="58" t="str">
        <f>Harvest!J32</f>
        <v>CLOSED</v>
      </c>
      <c r="G34" s="59" t="str">
        <f>CPUE!J32</f>
        <v>CLOSED</v>
      </c>
      <c r="H34" s="59"/>
      <c r="I34" s="57">
        <f>Effort!L32</f>
        <v>2365.3620990432</v>
      </c>
      <c r="J34" s="58">
        <f>Harvest!L32</f>
        <v>38528.109574799797</v>
      </c>
      <c r="K34" s="59">
        <f>CPUE!L32</f>
        <v>16.288461538461529</v>
      </c>
      <c r="L34" s="59"/>
      <c r="M34" s="57" t="s">
        <v>10</v>
      </c>
      <c r="N34" s="58" t="s">
        <v>10</v>
      </c>
      <c r="O34" s="96" t="s">
        <v>10</v>
      </c>
      <c r="P34" s="96"/>
      <c r="Q34" s="57">
        <f t="shared" si="2"/>
        <v>2365.3620990432</v>
      </c>
      <c r="R34" s="58">
        <f t="shared" si="2"/>
        <v>38528.109574799797</v>
      </c>
    </row>
    <row r="35" spans="1:21" x14ac:dyDescent="0.25">
      <c r="A35" s="55">
        <v>44506</v>
      </c>
      <c r="B35" s="56" t="s">
        <v>19</v>
      </c>
      <c r="C35" s="104">
        <v>-1.8</v>
      </c>
      <c r="D35" s="105">
        <v>0.85625000000000007</v>
      </c>
      <c r="E35" s="57">
        <f>Effort!J33</f>
        <v>3078.7503346158901</v>
      </c>
      <c r="F35" s="58">
        <f>Harvest!J33</f>
        <v>52338.755688470097</v>
      </c>
      <c r="G35" s="59">
        <f>CPUE!J33</f>
        <v>16.999999999999989</v>
      </c>
      <c r="H35" s="59"/>
      <c r="I35" s="57" t="str">
        <f>Effort!L33</f>
        <v>CLOSED</v>
      </c>
      <c r="J35" s="58" t="str">
        <f>Harvest!L33</f>
        <v>CLOSED</v>
      </c>
      <c r="K35" s="59" t="str">
        <f>CPUE!L33</f>
        <v>CLOSED</v>
      </c>
      <c r="L35" s="59"/>
      <c r="M35" s="57" t="s">
        <v>10</v>
      </c>
      <c r="N35" s="58" t="s">
        <v>10</v>
      </c>
      <c r="O35" s="96" t="s">
        <v>10</v>
      </c>
      <c r="P35" s="60"/>
      <c r="Q35" s="57">
        <f t="shared" si="2"/>
        <v>3078.7503346158901</v>
      </c>
      <c r="R35" s="58">
        <f t="shared" si="2"/>
        <v>52338.755688470097</v>
      </c>
    </row>
    <row r="36" spans="1:21" x14ac:dyDescent="0.25">
      <c r="A36" s="55">
        <v>44507</v>
      </c>
      <c r="B36" s="56" t="s">
        <v>20</v>
      </c>
      <c r="C36" s="104">
        <v>-1.6</v>
      </c>
      <c r="D36" s="105">
        <v>0.84930555555555554</v>
      </c>
      <c r="E36" s="57" t="str">
        <f>Effort!J34</f>
        <v>CLOSED</v>
      </c>
      <c r="F36" s="58" t="str">
        <f>Harvest!J34</f>
        <v>CLOSED</v>
      </c>
      <c r="G36" s="59" t="str">
        <f>CPUE!J34</f>
        <v>CLOSED</v>
      </c>
      <c r="H36" s="59"/>
      <c r="I36" s="57">
        <f>Effort!L34</f>
        <v>830.79558716255303</v>
      </c>
      <c r="J36" s="58">
        <f>Harvest!L34</f>
        <v>14303.1564600688</v>
      </c>
      <c r="K36" s="59">
        <f>CPUE!L34</f>
        <v>17.216216216216193</v>
      </c>
      <c r="L36" s="59"/>
      <c r="M36" s="57" t="s">
        <v>10</v>
      </c>
      <c r="N36" s="58" t="s">
        <v>10</v>
      </c>
      <c r="O36" s="96" t="s">
        <v>10</v>
      </c>
      <c r="P36" s="60"/>
      <c r="Q36" s="57">
        <f t="shared" si="2"/>
        <v>830.79558716255303</v>
      </c>
      <c r="R36" s="58">
        <f t="shared" si="2"/>
        <v>14303.1564600688</v>
      </c>
    </row>
    <row r="37" spans="1:21" x14ac:dyDescent="0.25">
      <c r="A37" s="55">
        <v>44508</v>
      </c>
      <c r="B37" s="56" t="s">
        <v>21</v>
      </c>
      <c r="C37" s="104">
        <v>-1.2</v>
      </c>
      <c r="D37" s="105">
        <v>0.88611111111111107</v>
      </c>
      <c r="E37" s="57">
        <f>Effort!J35</f>
        <v>783.14525745171204</v>
      </c>
      <c r="F37" s="58">
        <f>Harvest!J35</f>
        <v>15299.3019937888</v>
      </c>
      <c r="G37" s="59">
        <f>CPUE!J35</f>
        <v>19.535714285714281</v>
      </c>
      <c r="H37" s="59"/>
      <c r="I37" s="57" t="str">
        <f>Effort!L35</f>
        <v>CLOSED</v>
      </c>
      <c r="J37" s="58" t="str">
        <f>Harvest!L35</f>
        <v>CLOSED</v>
      </c>
      <c r="K37" s="59" t="str">
        <f>CPUE!L35</f>
        <v>CLOSED</v>
      </c>
      <c r="L37" s="59"/>
      <c r="M37" s="57" t="s">
        <v>10</v>
      </c>
      <c r="N37" s="58" t="s">
        <v>10</v>
      </c>
      <c r="O37" s="96" t="s">
        <v>10</v>
      </c>
      <c r="P37" s="60"/>
      <c r="Q37" s="57">
        <f t="shared" si="2"/>
        <v>783.14525745171204</v>
      </c>
      <c r="R37" s="58">
        <f t="shared" si="2"/>
        <v>15299.3019937888</v>
      </c>
    </row>
    <row r="38" spans="1:21" x14ac:dyDescent="0.25">
      <c r="A38" s="55">
        <v>44509</v>
      </c>
      <c r="B38" s="56" t="s">
        <v>22</v>
      </c>
      <c r="C38" s="104">
        <v>-0.6</v>
      </c>
      <c r="D38" s="105">
        <v>0.92569444444444438</v>
      </c>
      <c r="E38" s="57" t="str">
        <f>Effort!J36</f>
        <v>CLOSED</v>
      </c>
      <c r="F38" s="58" t="str">
        <f>Harvest!J36</f>
        <v>CLOSED</v>
      </c>
      <c r="G38" s="59" t="str">
        <f>CPUE!J36</f>
        <v>CLOSED</v>
      </c>
      <c r="H38" s="59"/>
      <c r="I38" s="57">
        <f>Effort!L36</f>
        <v>83.076926124166604</v>
      </c>
      <c r="J38" s="58">
        <f>Harvest!L36</f>
        <v>1246.153891862499</v>
      </c>
      <c r="K38" s="59">
        <f>CPUE!L36</f>
        <v>15</v>
      </c>
      <c r="L38" s="59"/>
      <c r="M38" s="57" t="s">
        <v>10</v>
      </c>
      <c r="N38" s="58" t="s">
        <v>10</v>
      </c>
      <c r="O38" s="96" t="s">
        <v>10</v>
      </c>
      <c r="P38" s="60"/>
      <c r="Q38" s="57">
        <f t="shared" si="2"/>
        <v>83.076926124166604</v>
      </c>
      <c r="R38" s="58">
        <f t="shared" si="2"/>
        <v>1246.153891862499</v>
      </c>
    </row>
    <row r="39" spans="1:21" x14ac:dyDescent="0.25">
      <c r="A39" s="55">
        <v>44510</v>
      </c>
      <c r="B39" s="56" t="s">
        <v>23</v>
      </c>
      <c r="C39" s="104">
        <v>0</v>
      </c>
      <c r="D39" s="105">
        <v>0.96944444444444444</v>
      </c>
      <c r="E39" s="57">
        <f>Effort!J37</f>
        <v>97.239057239057203</v>
      </c>
      <c r="F39" s="58">
        <f>Harvest!J37</f>
        <v>1269.2255892255901</v>
      </c>
      <c r="G39" s="59">
        <f>CPUE!J37</f>
        <v>13.052631578947382</v>
      </c>
      <c r="H39" s="59"/>
      <c r="I39" s="57" t="str">
        <f>Effort!L37</f>
        <v>CLOSED</v>
      </c>
      <c r="J39" s="58" t="str">
        <f>Harvest!L37</f>
        <v>CLOSED</v>
      </c>
      <c r="K39" s="59" t="str">
        <f>CPUE!L37</f>
        <v>CLOSED</v>
      </c>
      <c r="L39" s="59"/>
      <c r="M39" s="57" t="s">
        <v>10</v>
      </c>
      <c r="N39" s="58" t="s">
        <v>10</v>
      </c>
      <c r="O39" s="96" t="s">
        <v>10</v>
      </c>
      <c r="P39" s="98"/>
      <c r="Q39" s="57">
        <f t="shared" si="2"/>
        <v>97.239057239057203</v>
      </c>
      <c r="R39" s="58">
        <f t="shared" si="2"/>
        <v>1269.2255892255901</v>
      </c>
    </row>
    <row r="40" spans="1:21" x14ac:dyDescent="0.25">
      <c r="A40" s="148" t="s">
        <v>57</v>
      </c>
      <c r="B40" s="148"/>
      <c r="C40" s="148"/>
      <c r="D40" s="149"/>
      <c r="E40" s="63">
        <f>SUM(E32:E39)</f>
        <v>5957.2896466777884</v>
      </c>
      <c r="F40" s="64">
        <f>SUM(F32:F39)</f>
        <v>104607.65255784859</v>
      </c>
      <c r="G40" s="65">
        <f>+F40/E40</f>
        <v>17.559604914658685</v>
      </c>
      <c r="H40" s="65"/>
      <c r="I40" s="63">
        <f>SUM(I32:I39)</f>
        <v>4569.7669799598298</v>
      </c>
      <c r="J40" s="64">
        <f>SUM(J32:J39)</f>
        <v>79607.516764627202</v>
      </c>
      <c r="K40" s="65">
        <f>+J40/I40</f>
        <v>17.420476167326804</v>
      </c>
      <c r="L40" s="65"/>
      <c r="M40" s="63"/>
      <c r="N40" s="64"/>
      <c r="O40" s="111"/>
      <c r="P40" s="65"/>
      <c r="Q40" s="63">
        <f>SUM(Q32:Q39)</f>
        <v>10527.056626637617</v>
      </c>
      <c r="R40" s="64">
        <f>SUM(R32:R39)</f>
        <v>184215.16932247576</v>
      </c>
      <c r="T40" s="34">
        <f>SUM(E40,I40)</f>
        <v>10527.056626637619</v>
      </c>
      <c r="U40" s="34">
        <f>SUM(F40,J40)</f>
        <v>184215.16932247579</v>
      </c>
    </row>
    <row r="41" spans="1:21" x14ac:dyDescent="0.25">
      <c r="A41" s="131">
        <v>44516</v>
      </c>
      <c r="B41" s="132" t="s">
        <v>22</v>
      </c>
      <c r="C41" s="133">
        <v>0.5</v>
      </c>
      <c r="D41" s="134">
        <v>0.70138888888888884</v>
      </c>
      <c r="E41" s="57">
        <f>Effort!J39</f>
        <v>1466.0892648251199</v>
      </c>
      <c r="F41" s="58">
        <f>Harvest!J39</f>
        <v>28810.3588087727</v>
      </c>
      <c r="G41" s="59">
        <f>CPUE!J39</f>
        <v>19.651162790697672</v>
      </c>
      <c r="H41" s="59"/>
      <c r="I41" s="57" t="str">
        <f>Effort!L39</f>
        <v>CLOSED</v>
      </c>
      <c r="J41" s="58" t="str">
        <f>Harvest!L39</f>
        <v>CLOSED</v>
      </c>
      <c r="K41" s="59" t="str">
        <f>CPUE!L39</f>
        <v>CLOSED</v>
      </c>
      <c r="L41" s="59"/>
      <c r="M41" s="57" t="s">
        <v>10</v>
      </c>
      <c r="N41" s="58" t="s">
        <v>10</v>
      </c>
      <c r="O41" s="96" t="s">
        <v>10</v>
      </c>
      <c r="P41" s="96"/>
      <c r="Q41" s="57">
        <f t="shared" ref="Q41:Q49" si="3">SUM(E41,I41)</f>
        <v>1466.0892648251199</v>
      </c>
      <c r="R41" s="58">
        <f t="shared" ref="R41:R49" si="4">SUM(F41,J41)</f>
        <v>28810.3588087727</v>
      </c>
    </row>
    <row r="42" spans="1:21" x14ac:dyDescent="0.25">
      <c r="A42" s="131">
        <v>44517</v>
      </c>
      <c r="B42" s="132" t="s">
        <v>23</v>
      </c>
      <c r="C42" s="133">
        <v>0.1</v>
      </c>
      <c r="D42" s="134">
        <v>0.72777777777777775</v>
      </c>
      <c r="E42" s="57" t="str">
        <f>Effort!J40</f>
        <v>CLOSED</v>
      </c>
      <c r="F42" s="58" t="str">
        <f>Harvest!J40</f>
        <v>CLOSED</v>
      </c>
      <c r="G42" s="59" t="str">
        <f>CPUE!J40</f>
        <v>CLOSED</v>
      </c>
      <c r="H42" s="59"/>
      <c r="I42" s="57">
        <f>Effort!L40</f>
        <v>846.46098150135799</v>
      </c>
      <c r="J42" s="58">
        <f>Harvest!L40</f>
        <v>16467.5136401173</v>
      </c>
      <c r="K42" s="59">
        <f>CPUE!L40</f>
        <v>19.454545454545421</v>
      </c>
      <c r="L42" s="59"/>
      <c r="M42" s="57" t="s">
        <v>10</v>
      </c>
      <c r="N42" s="58" t="s">
        <v>10</v>
      </c>
      <c r="O42" s="96" t="s">
        <v>10</v>
      </c>
      <c r="P42" s="96"/>
      <c r="Q42" s="57">
        <f t="shared" si="3"/>
        <v>846.46098150135799</v>
      </c>
      <c r="R42" s="58">
        <f t="shared" si="4"/>
        <v>16467.5136401173</v>
      </c>
    </row>
    <row r="43" spans="1:21" x14ac:dyDescent="0.25">
      <c r="A43" s="131">
        <v>44518</v>
      </c>
      <c r="B43" s="132" t="s">
        <v>24</v>
      </c>
      <c r="C43" s="133">
        <v>-0.2</v>
      </c>
      <c r="D43" s="134">
        <v>0.75208333333333333</v>
      </c>
      <c r="E43" s="57">
        <f>Effort!J41</f>
        <v>844.17121628361201</v>
      </c>
      <c r="F43" s="58">
        <f>Harvest!J41</f>
        <v>16672.381521601299</v>
      </c>
      <c r="G43" s="59">
        <f>CPUE!J41</f>
        <v>19.749999999999954</v>
      </c>
      <c r="H43" s="59"/>
      <c r="I43" s="57" t="str">
        <f>Effort!L41</f>
        <v>CLOSED</v>
      </c>
      <c r="J43" s="58" t="str">
        <f>Harvest!L41</f>
        <v>CLOSED</v>
      </c>
      <c r="K43" s="59" t="str">
        <f>CPUE!L41</f>
        <v>CLOSED</v>
      </c>
      <c r="L43" s="59"/>
      <c r="M43" s="57" t="s">
        <v>10</v>
      </c>
      <c r="N43" s="58" t="s">
        <v>10</v>
      </c>
      <c r="O43" s="96" t="s">
        <v>10</v>
      </c>
      <c r="P43" s="60"/>
      <c r="Q43" s="57">
        <f t="shared" si="3"/>
        <v>844.17121628361201</v>
      </c>
      <c r="R43" s="58">
        <f t="shared" si="4"/>
        <v>16672.381521601299</v>
      </c>
    </row>
    <row r="44" spans="1:21" x14ac:dyDescent="0.25">
      <c r="A44" s="131">
        <v>44519</v>
      </c>
      <c r="B44" s="132" t="s">
        <v>18</v>
      </c>
      <c r="C44" s="133">
        <v>-0.3</v>
      </c>
      <c r="D44" s="134">
        <v>0.77569444444444446</v>
      </c>
      <c r="E44" s="57" t="str">
        <f>Effort!J42</f>
        <v>CLOSED</v>
      </c>
      <c r="F44" s="58" t="str">
        <f>Harvest!J42</f>
        <v>CLOSED</v>
      </c>
      <c r="G44" s="59" t="str">
        <f>CPUE!J42</f>
        <v>CLOSED</v>
      </c>
      <c r="H44" s="59"/>
      <c r="I44" s="57">
        <f>Effort!L42</f>
        <v>1368.05752491113</v>
      </c>
      <c r="J44" s="58">
        <f>Harvest!L42</f>
        <v>19836.834111211501</v>
      </c>
      <c r="K44" s="59">
        <f>CPUE!L42</f>
        <v>14.500000000000085</v>
      </c>
      <c r="L44" s="59"/>
      <c r="M44" s="57" t="s">
        <v>10</v>
      </c>
      <c r="N44" s="58" t="s">
        <v>10</v>
      </c>
      <c r="O44" s="96" t="s">
        <v>10</v>
      </c>
      <c r="P44" s="96"/>
      <c r="Q44" s="57">
        <f t="shared" si="3"/>
        <v>1368.05752491113</v>
      </c>
      <c r="R44" s="58">
        <f t="shared" si="4"/>
        <v>19836.834111211501</v>
      </c>
    </row>
    <row r="45" spans="1:21" x14ac:dyDescent="0.25">
      <c r="A45" s="131">
        <v>44520</v>
      </c>
      <c r="B45" s="132" t="s">
        <v>19</v>
      </c>
      <c r="C45" s="133">
        <v>-0.3</v>
      </c>
      <c r="D45" s="134">
        <v>0.79861111111111116</v>
      </c>
      <c r="E45" s="57">
        <f>Effort!J43</f>
        <v>2772.10449756751</v>
      </c>
      <c r="F45" s="58">
        <f>Harvest!J43</f>
        <v>51165.128726531802</v>
      </c>
      <c r="G45" s="59">
        <f>CPUE!J43</f>
        <v>18.457142857142873</v>
      </c>
      <c r="H45" s="59"/>
      <c r="I45" s="57" t="str">
        <f>Effort!L43</f>
        <v>CLOSED</v>
      </c>
      <c r="J45" s="58" t="str">
        <f>Harvest!L43</f>
        <v>CLOSED</v>
      </c>
      <c r="K45" s="59" t="str">
        <f>CPUE!L43</f>
        <v>CLOSED</v>
      </c>
      <c r="L45" s="59"/>
      <c r="M45" s="57" t="s">
        <v>10</v>
      </c>
      <c r="N45" s="58" t="s">
        <v>10</v>
      </c>
      <c r="O45" s="96" t="s">
        <v>10</v>
      </c>
      <c r="P45" s="60"/>
      <c r="Q45" s="57">
        <f t="shared" si="3"/>
        <v>2772.10449756751</v>
      </c>
      <c r="R45" s="58">
        <f t="shared" si="4"/>
        <v>51165.128726531802</v>
      </c>
    </row>
    <row r="46" spans="1:21" x14ac:dyDescent="0.25">
      <c r="A46" s="131">
        <v>44521</v>
      </c>
      <c r="B46" s="132" t="s">
        <v>20</v>
      </c>
      <c r="C46" s="133">
        <v>-0.2</v>
      </c>
      <c r="D46" s="134">
        <v>0.8222222222222223</v>
      </c>
      <c r="E46" s="57" t="str">
        <f>Effort!J44</f>
        <v>CLOSED</v>
      </c>
      <c r="F46" s="58" t="str">
        <f>Harvest!J44</f>
        <v>CLOSED</v>
      </c>
      <c r="G46" s="59" t="str">
        <f>CPUE!J44</f>
        <v>CLOSED</v>
      </c>
      <c r="H46" s="59"/>
      <c r="I46" s="57">
        <f>Effort!L44</f>
        <v>726.48021360676898</v>
      </c>
      <c r="J46" s="58">
        <f>Harvest!L44</f>
        <v>13294.5879090039</v>
      </c>
      <c r="K46" s="59">
        <f>CPUE!L44</f>
        <v>18.300000000000036</v>
      </c>
      <c r="L46" s="59"/>
      <c r="M46" s="57" t="s">
        <v>10</v>
      </c>
      <c r="N46" s="58" t="s">
        <v>10</v>
      </c>
      <c r="O46" s="96" t="s">
        <v>10</v>
      </c>
      <c r="P46" s="60"/>
      <c r="Q46" s="57">
        <f t="shared" si="3"/>
        <v>726.48021360676898</v>
      </c>
      <c r="R46" s="58">
        <f t="shared" si="4"/>
        <v>13294.5879090039</v>
      </c>
    </row>
    <row r="47" spans="1:21" x14ac:dyDescent="0.25">
      <c r="A47" s="131">
        <v>44522</v>
      </c>
      <c r="B47" s="132" t="s">
        <v>21</v>
      </c>
      <c r="C47" s="133">
        <v>0</v>
      </c>
      <c r="D47" s="134">
        <v>0.84791666666666676</v>
      </c>
      <c r="E47" s="57">
        <f>Effort!J45</f>
        <v>339.73333333333301</v>
      </c>
      <c r="F47" s="58">
        <f>Harvest!J45</f>
        <v>5120.2666666666701</v>
      </c>
      <c r="G47" s="59">
        <f>CPUE!J45</f>
        <v>15.071428571428596</v>
      </c>
      <c r="H47" s="59"/>
      <c r="I47" s="57" t="str">
        <f>Effort!L45</f>
        <v>CLOSED</v>
      </c>
      <c r="J47" s="58" t="str">
        <f>Harvest!L45</f>
        <v>CLOSED</v>
      </c>
      <c r="K47" s="59" t="str">
        <f>CPUE!L45</f>
        <v>CLOSED</v>
      </c>
      <c r="L47" s="59"/>
      <c r="M47" s="57" t="s">
        <v>10</v>
      </c>
      <c r="N47" s="58" t="s">
        <v>10</v>
      </c>
      <c r="O47" s="96" t="s">
        <v>10</v>
      </c>
      <c r="P47" s="60"/>
      <c r="Q47" s="57">
        <f t="shared" si="3"/>
        <v>339.73333333333301</v>
      </c>
      <c r="R47" s="58">
        <f t="shared" si="4"/>
        <v>5120.2666666666701</v>
      </c>
    </row>
    <row r="48" spans="1:21" x14ac:dyDescent="0.25">
      <c r="A48" s="131">
        <v>44523</v>
      </c>
      <c r="B48" s="132" t="s">
        <v>22</v>
      </c>
      <c r="C48" s="133">
        <v>0.2</v>
      </c>
      <c r="D48" s="134">
        <v>0.875</v>
      </c>
      <c r="E48" s="57" t="str">
        <f>Effort!J46</f>
        <v>CLOSED</v>
      </c>
      <c r="F48" s="58" t="str">
        <f>Harvest!J46</f>
        <v>CLOSED</v>
      </c>
      <c r="G48" s="59" t="str">
        <f>CPUE!J46</f>
        <v>CLOSED</v>
      </c>
      <c r="H48" s="59"/>
      <c r="I48" s="57">
        <f>Effort!L46</f>
        <v>138.86351657614699</v>
      </c>
      <c r="J48" s="58">
        <f>Harvest!L46</f>
        <v>2211.8974426057698</v>
      </c>
      <c r="K48" s="59">
        <f>CPUE!L46</f>
        <v>15.928571428571427</v>
      </c>
      <c r="L48" s="59"/>
      <c r="M48" s="57" t="s">
        <v>10</v>
      </c>
      <c r="N48" s="58" t="s">
        <v>10</v>
      </c>
      <c r="O48" s="96" t="s">
        <v>10</v>
      </c>
      <c r="P48" s="60"/>
      <c r="Q48" s="57">
        <f t="shared" si="3"/>
        <v>138.86351657614699</v>
      </c>
      <c r="R48" s="58">
        <f t="shared" si="4"/>
        <v>2211.8974426057698</v>
      </c>
    </row>
    <row r="49" spans="1:21" x14ac:dyDescent="0.25">
      <c r="A49" s="131">
        <v>44524</v>
      </c>
      <c r="B49" s="132" t="s">
        <v>23</v>
      </c>
      <c r="C49" s="133">
        <v>0.5</v>
      </c>
      <c r="D49" s="134">
        <v>0.90486111111111101</v>
      </c>
      <c r="E49" s="57">
        <f>Effort!J47</f>
        <v>466.94730348230195</v>
      </c>
      <c r="F49" s="58">
        <f>Harvest!J47</f>
        <v>7004.2095522345289</v>
      </c>
      <c r="G49" s="59">
        <f>CPUE!J47</f>
        <v>15</v>
      </c>
      <c r="H49" s="59"/>
      <c r="I49" s="57" t="str">
        <f>Effort!L47</f>
        <v>CLOSED</v>
      </c>
      <c r="J49" s="58" t="str">
        <f>Harvest!L47</f>
        <v>CLOSED</v>
      </c>
      <c r="K49" s="59" t="str">
        <f>CPUE!L47</f>
        <v>CLOSED</v>
      </c>
      <c r="L49" s="59"/>
      <c r="M49" s="57" t="s">
        <v>10</v>
      </c>
      <c r="N49" s="58" t="s">
        <v>10</v>
      </c>
      <c r="O49" s="96" t="s">
        <v>10</v>
      </c>
      <c r="P49" s="98"/>
      <c r="Q49" s="57">
        <f t="shared" si="3"/>
        <v>466.94730348230195</v>
      </c>
      <c r="R49" s="58">
        <f t="shared" si="4"/>
        <v>7004.2095522345289</v>
      </c>
    </row>
    <row r="50" spans="1:21" x14ac:dyDescent="0.25">
      <c r="A50" s="148" t="s">
        <v>57</v>
      </c>
      <c r="B50" s="148"/>
      <c r="C50" s="148"/>
      <c r="D50" s="149"/>
      <c r="E50" s="63">
        <f>SUM(E41:E49)</f>
        <v>5889.0456154918766</v>
      </c>
      <c r="F50" s="64">
        <f>SUM(F41:F49)</f>
        <v>108772.34527580699</v>
      </c>
      <c r="G50" s="65">
        <f>+F50/E50</f>
        <v>18.470284045630013</v>
      </c>
      <c r="H50" s="65"/>
      <c r="I50" s="63">
        <f>SUM(I41:I49)</f>
        <v>3079.8622365954043</v>
      </c>
      <c r="J50" s="64">
        <f>SUM(J41:J49)</f>
        <v>51810.833102938472</v>
      </c>
      <c r="K50" s="65">
        <f>+J50/I50</f>
        <v>16.822451500367144</v>
      </c>
      <c r="L50" s="65"/>
      <c r="M50" s="63"/>
      <c r="N50" s="64"/>
      <c r="O50" s="111"/>
      <c r="P50" s="65"/>
      <c r="Q50" s="63">
        <f>SUM(Q41:Q49)</f>
        <v>8968.9078520872808</v>
      </c>
      <c r="R50" s="64">
        <f>SUM(R41:R49)</f>
        <v>160583.17837874548</v>
      </c>
      <c r="T50" s="34">
        <f>SUM(E50,I50)</f>
        <v>8968.9078520872808</v>
      </c>
      <c r="U50" s="34">
        <f>SUM(F50,J50)</f>
        <v>160583.17837874545</v>
      </c>
    </row>
    <row r="51" spans="1:21" x14ac:dyDescent="0.25">
      <c r="A51" s="131">
        <v>44531</v>
      </c>
      <c r="B51" s="104" t="s">
        <v>23</v>
      </c>
      <c r="C51" s="104">
        <v>0.1</v>
      </c>
      <c r="D51" s="105">
        <v>0.67291666666666661</v>
      </c>
      <c r="E51" s="57">
        <f>Effort!J49</f>
        <v>1287.0640292414701</v>
      </c>
      <c r="F51" s="58">
        <f>Harvest!J49</f>
        <v>24847.4861200784</v>
      </c>
      <c r="G51" s="59">
        <f>CPUE!J49</f>
        <v>19.305555555555571</v>
      </c>
      <c r="H51" s="59"/>
      <c r="I51" s="57" t="str">
        <f>Effort!L49</f>
        <v>CLOSED</v>
      </c>
      <c r="J51" s="58" t="str">
        <f>Harvest!L49</f>
        <v>CLOSED</v>
      </c>
      <c r="K51" s="59" t="str">
        <f>CPUE!L49</f>
        <v>CLOSED</v>
      </c>
      <c r="L51" s="59"/>
      <c r="M51" s="57" t="s">
        <v>10</v>
      </c>
      <c r="N51" s="58" t="s">
        <v>10</v>
      </c>
      <c r="O51" s="96" t="s">
        <v>10</v>
      </c>
      <c r="P51" s="96"/>
      <c r="Q51" s="57">
        <f t="shared" ref="Q51:Q59" si="5">SUM(E51,I51)</f>
        <v>1287.0640292414701</v>
      </c>
      <c r="R51" s="58">
        <f t="shared" ref="R51:R59" si="6">SUM(F51,J51)</f>
        <v>24847.4861200784</v>
      </c>
    </row>
    <row r="52" spans="1:21" x14ac:dyDescent="0.25">
      <c r="A52" s="131">
        <v>44532</v>
      </c>
      <c r="B52" s="104" t="s">
        <v>24</v>
      </c>
      <c r="C52" s="104">
        <v>-0.8</v>
      </c>
      <c r="D52" s="105">
        <v>0.70694444444444438</v>
      </c>
      <c r="E52" s="57" t="str">
        <f>Effort!J50</f>
        <v>CLOSED</v>
      </c>
      <c r="F52" s="58" t="str">
        <f>Harvest!J50</f>
        <v>CLOSED</v>
      </c>
      <c r="G52" s="59" t="str">
        <f>CPUE!J50</f>
        <v>CLOSED</v>
      </c>
      <c r="H52" s="59"/>
      <c r="I52" s="57">
        <f>Effort!L50</f>
        <v>1611.5335221145999</v>
      </c>
      <c r="J52" s="58">
        <f>Harvest!L50</f>
        <v>31751.047370234101</v>
      </c>
      <c r="K52" s="59">
        <f>CPUE!L50</f>
        <v>19.702380952380963</v>
      </c>
      <c r="L52" s="59"/>
      <c r="M52" s="57" t="s">
        <v>10</v>
      </c>
      <c r="N52" s="58" t="s">
        <v>10</v>
      </c>
      <c r="O52" s="96" t="s">
        <v>10</v>
      </c>
      <c r="P52" s="96"/>
      <c r="Q52" s="57">
        <f t="shared" si="5"/>
        <v>1611.5335221145999</v>
      </c>
      <c r="R52" s="58">
        <f t="shared" si="6"/>
        <v>31751.047370234101</v>
      </c>
    </row>
    <row r="53" spans="1:21" x14ac:dyDescent="0.25">
      <c r="A53" s="131">
        <v>44533</v>
      </c>
      <c r="B53" s="104" t="s">
        <v>18</v>
      </c>
      <c r="C53" s="104">
        <v>-1.5</v>
      </c>
      <c r="D53" s="105">
        <v>0.73958333333333337</v>
      </c>
      <c r="E53" s="57">
        <f>Effort!J51</f>
        <v>3695.3192988992</v>
      </c>
      <c r="F53" s="58">
        <f>Harvest!J51</f>
        <v>72819.527360660606</v>
      </c>
      <c r="G53" s="59">
        <f>CPUE!J51</f>
        <v>19.705882352941149</v>
      </c>
      <c r="H53" s="59"/>
      <c r="I53" s="57" t="str">
        <f>Effort!L51</f>
        <v>CLOSED</v>
      </c>
      <c r="J53" s="58" t="str">
        <f>Harvest!L51</f>
        <v>CLOSED</v>
      </c>
      <c r="K53" s="59" t="str">
        <f>CPUE!L51</f>
        <v>CLOSED</v>
      </c>
      <c r="L53" s="59"/>
      <c r="M53" s="57" t="s">
        <v>10</v>
      </c>
      <c r="N53" s="58" t="s">
        <v>10</v>
      </c>
      <c r="O53" s="96" t="s">
        <v>10</v>
      </c>
      <c r="P53" s="60"/>
      <c r="Q53" s="57">
        <f t="shared" si="5"/>
        <v>3695.3192988992</v>
      </c>
      <c r="R53" s="58">
        <f t="shared" si="6"/>
        <v>72819.527360660606</v>
      </c>
    </row>
    <row r="54" spans="1:21" x14ac:dyDescent="0.25">
      <c r="A54" s="131">
        <v>44534</v>
      </c>
      <c r="B54" s="104" t="s">
        <v>19</v>
      </c>
      <c r="C54" s="104">
        <v>-1.9</v>
      </c>
      <c r="D54" s="105">
        <v>0.77222222222222225</v>
      </c>
      <c r="E54" s="57" t="str">
        <f>Effort!J52</f>
        <v>CLOSED</v>
      </c>
      <c r="F54" s="58" t="str">
        <f>Harvest!J52</f>
        <v>CLOSED</v>
      </c>
      <c r="G54" s="59" t="str">
        <f>CPUE!J52</f>
        <v>CLOSED</v>
      </c>
      <c r="H54" s="59"/>
      <c r="I54" s="57">
        <f>Effort!L52</f>
        <v>3731.4285055291698</v>
      </c>
      <c r="J54" s="58">
        <f>Harvest!L52</f>
        <v>71311.744772335296</v>
      </c>
      <c r="K54" s="59">
        <f>CPUE!L52</f>
        <v>19.111111111111125</v>
      </c>
      <c r="L54" s="59"/>
      <c r="M54" s="57" t="s">
        <v>10</v>
      </c>
      <c r="N54" s="58" t="s">
        <v>10</v>
      </c>
      <c r="O54" s="96" t="s">
        <v>10</v>
      </c>
      <c r="P54" s="96"/>
      <c r="Q54" s="57">
        <f t="shared" si="5"/>
        <v>3731.4285055291698</v>
      </c>
      <c r="R54" s="58">
        <f t="shared" si="6"/>
        <v>71311.744772335296</v>
      </c>
    </row>
    <row r="55" spans="1:21" x14ac:dyDescent="0.25">
      <c r="A55" s="131">
        <v>44535</v>
      </c>
      <c r="B55" s="104" t="s">
        <v>20</v>
      </c>
      <c r="C55" s="104">
        <v>-2</v>
      </c>
      <c r="D55" s="105">
        <v>0.80555555555555547</v>
      </c>
      <c r="E55" s="57">
        <f>Effort!J53</f>
        <v>1983.4432651038301</v>
      </c>
      <c r="F55" s="58">
        <f>Harvest!J53</f>
        <v>38393.794631652803</v>
      </c>
      <c r="G55" s="59">
        <f>CPUE!J53</f>
        <v>19.357142857142904</v>
      </c>
      <c r="H55" s="59"/>
      <c r="I55" s="57" t="str">
        <f>Effort!L53</f>
        <v>CLOSED</v>
      </c>
      <c r="J55" s="58" t="str">
        <f>Harvest!L53</f>
        <v>CLOSED</v>
      </c>
      <c r="K55" s="59" t="str">
        <f>CPUE!L53</f>
        <v>CLOSED</v>
      </c>
      <c r="L55" s="59"/>
      <c r="M55" s="57" t="s">
        <v>10</v>
      </c>
      <c r="N55" s="58" t="s">
        <v>10</v>
      </c>
      <c r="O55" s="96" t="s">
        <v>10</v>
      </c>
      <c r="P55" s="60"/>
      <c r="Q55" s="57">
        <f t="shared" si="5"/>
        <v>1983.4432651038301</v>
      </c>
      <c r="R55" s="58">
        <f t="shared" si="6"/>
        <v>38393.794631652803</v>
      </c>
    </row>
    <row r="56" spans="1:21" x14ac:dyDescent="0.25">
      <c r="A56" s="131">
        <v>44536</v>
      </c>
      <c r="B56" s="104" t="s">
        <v>21</v>
      </c>
      <c r="C56" s="104">
        <v>-1.7</v>
      </c>
      <c r="D56" s="105">
        <v>0.83958333333333324</v>
      </c>
      <c r="E56" s="57" t="str">
        <f>Effort!J54</f>
        <v>CLOSED</v>
      </c>
      <c r="F56" s="58" t="str">
        <f>Harvest!J54</f>
        <v>CLOSED</v>
      </c>
      <c r="G56" s="59" t="str">
        <f>CPUE!J54</f>
        <v>CLOSED</v>
      </c>
      <c r="H56" s="59"/>
      <c r="I56" s="57">
        <f>Effort!L54</f>
        <v>402.81879108994298</v>
      </c>
      <c r="J56" s="58">
        <f>Harvest!L54</f>
        <v>7877.3452479811003</v>
      </c>
      <c r="K56" s="59">
        <f>CPUE!L54</f>
        <v>19.555555555555539</v>
      </c>
      <c r="L56" s="59"/>
      <c r="M56" s="57" t="s">
        <v>10</v>
      </c>
      <c r="N56" s="58" t="s">
        <v>10</v>
      </c>
      <c r="O56" s="96" t="s">
        <v>10</v>
      </c>
      <c r="P56" s="60"/>
      <c r="Q56" s="57">
        <f t="shared" si="5"/>
        <v>402.81879108994298</v>
      </c>
      <c r="R56" s="58">
        <f t="shared" si="6"/>
        <v>7877.3452479811003</v>
      </c>
    </row>
    <row r="57" spans="1:21" x14ac:dyDescent="0.25">
      <c r="A57" s="131">
        <v>44537</v>
      </c>
      <c r="B57" s="104" t="s">
        <v>22</v>
      </c>
      <c r="C57" s="104">
        <v>-1.2</v>
      </c>
      <c r="D57" s="105">
        <v>0.87430555555555556</v>
      </c>
      <c r="E57" s="57">
        <f>Effort!J55</f>
        <v>344.37366586895098</v>
      </c>
      <c r="F57" s="58">
        <f>Harvest!J55</f>
        <v>6686.5886789554697</v>
      </c>
      <c r="G57" s="59">
        <f>CPUE!J55</f>
        <v>19.416666666666682</v>
      </c>
      <c r="H57" s="59"/>
      <c r="I57" s="57" t="str">
        <f>Effort!L55</f>
        <v>CLOSED</v>
      </c>
      <c r="J57" s="58" t="str">
        <f>Harvest!L55</f>
        <v>CLOSED</v>
      </c>
      <c r="K57" s="59" t="str">
        <f>CPUE!L55</f>
        <v>CLOSED</v>
      </c>
      <c r="L57" s="59"/>
      <c r="M57" s="57" t="s">
        <v>10</v>
      </c>
      <c r="N57" s="58" t="s">
        <v>10</v>
      </c>
      <c r="O57" s="96" t="s">
        <v>10</v>
      </c>
      <c r="P57" s="60"/>
      <c r="Q57" s="57">
        <f t="shared" si="5"/>
        <v>344.37366586895098</v>
      </c>
      <c r="R57" s="58">
        <f t="shared" si="6"/>
        <v>6686.5886789554697</v>
      </c>
    </row>
    <row r="58" spans="1:21" x14ac:dyDescent="0.25">
      <c r="A58" s="131">
        <v>44538</v>
      </c>
      <c r="B58" s="104" t="s">
        <v>23</v>
      </c>
      <c r="C58" s="104">
        <v>-0.6</v>
      </c>
      <c r="D58" s="105">
        <v>0.91041666666666676</v>
      </c>
      <c r="E58" s="57" t="str">
        <f>Effort!J56</f>
        <v>CLOSED</v>
      </c>
      <c r="F58" s="58" t="str">
        <f>Harvest!J56</f>
        <v>CLOSED</v>
      </c>
      <c r="G58" s="59" t="str">
        <f>CPUE!J56</f>
        <v>CLOSED</v>
      </c>
      <c r="H58" s="59"/>
      <c r="I58" s="57">
        <f>Effort!L56</f>
        <v>105.923888214988</v>
      </c>
      <c r="J58" s="58">
        <f>Harvest!L56</f>
        <v>1047.4695612371099</v>
      </c>
      <c r="K58" s="59">
        <f>CPUE!L56</f>
        <v>9.8888888888889497</v>
      </c>
      <c r="L58" s="59"/>
      <c r="M58" s="57" t="s">
        <v>10</v>
      </c>
      <c r="N58" s="58" t="s">
        <v>10</v>
      </c>
      <c r="O58" s="96" t="s">
        <v>10</v>
      </c>
      <c r="P58" s="60"/>
      <c r="Q58" s="57">
        <f t="shared" si="5"/>
        <v>105.923888214988</v>
      </c>
      <c r="R58" s="58">
        <f t="shared" si="6"/>
        <v>1047.4695612371099</v>
      </c>
    </row>
    <row r="59" spans="1:21" x14ac:dyDescent="0.25">
      <c r="A59" s="131">
        <v>44539</v>
      </c>
      <c r="B59" s="104" t="s">
        <v>24</v>
      </c>
      <c r="C59" s="104">
        <v>0.1</v>
      </c>
      <c r="D59" s="105">
        <v>0.94791666666666663</v>
      </c>
      <c r="E59" s="57">
        <f>Effort!J57</f>
        <v>73.043479775210699</v>
      </c>
      <c r="F59" s="58">
        <f>Harvest!J57</f>
        <v>907.82610577761795</v>
      </c>
      <c r="G59" s="59">
        <f>CPUE!J57</f>
        <v>12.428571428571418</v>
      </c>
      <c r="H59" s="59"/>
      <c r="I59" s="57" t="str">
        <f>Effort!L57</f>
        <v>CLOSED</v>
      </c>
      <c r="J59" s="58" t="str">
        <f>Harvest!L57</f>
        <v>CLOSED</v>
      </c>
      <c r="K59" s="59" t="str">
        <f>CPUE!L57</f>
        <v>CLOSED</v>
      </c>
      <c r="L59" s="59"/>
      <c r="M59" s="57" t="s">
        <v>10</v>
      </c>
      <c r="N59" s="58" t="s">
        <v>10</v>
      </c>
      <c r="O59" s="96" t="s">
        <v>10</v>
      </c>
      <c r="P59" s="98"/>
      <c r="Q59" s="57">
        <f t="shared" si="5"/>
        <v>73.043479775210699</v>
      </c>
      <c r="R59" s="58">
        <f t="shared" si="6"/>
        <v>907.82610577761795</v>
      </c>
    </row>
    <row r="60" spans="1:21" x14ac:dyDescent="0.25">
      <c r="A60" s="148" t="s">
        <v>57</v>
      </c>
      <c r="B60" s="148"/>
      <c r="C60" s="148"/>
      <c r="D60" s="149"/>
      <c r="E60" s="63">
        <f>SUM(E51:E59)</f>
        <v>7383.243738888661</v>
      </c>
      <c r="F60" s="64">
        <f>SUM(F51:F59)</f>
        <v>143655.22289712488</v>
      </c>
      <c r="G60" s="65">
        <f>+F60/E60</f>
        <v>19.45692543515408</v>
      </c>
      <c r="H60" s="65"/>
      <c r="I60" s="63">
        <f>SUM(I51:I59)</f>
        <v>5851.7047069487016</v>
      </c>
      <c r="J60" s="64">
        <f>SUM(J51:J59)</f>
        <v>111987.6069517876</v>
      </c>
      <c r="K60" s="65">
        <f>+J60/I60</f>
        <v>19.137603922290559</v>
      </c>
      <c r="L60" s="65"/>
      <c r="M60" s="63"/>
      <c r="N60" s="64"/>
      <c r="O60" s="86"/>
      <c r="P60" s="65"/>
      <c r="Q60" s="63">
        <f>SUM(Q51:Q59)</f>
        <v>13234.948445837361</v>
      </c>
      <c r="R60" s="64">
        <f>SUM(R51:R59)</f>
        <v>255642.82984891252</v>
      </c>
      <c r="T60" s="34">
        <f>SUM(E60,I60)</f>
        <v>13234.948445837363</v>
      </c>
      <c r="U60" s="34">
        <f>SUM(F60,J60)</f>
        <v>255642.82984891249</v>
      </c>
    </row>
    <row r="61" spans="1:21" x14ac:dyDescent="0.25">
      <c r="A61" s="55">
        <v>44545</v>
      </c>
      <c r="B61" s="104" t="s">
        <v>23</v>
      </c>
      <c r="C61" s="104">
        <v>0.6</v>
      </c>
      <c r="D61" s="105">
        <v>0.68611111111111101</v>
      </c>
      <c r="E61" s="57" t="str">
        <f>Effort!J59</f>
        <v>CLOSED</v>
      </c>
      <c r="F61" s="58" t="str">
        <f>Harvest!J59</f>
        <v>CLOSED</v>
      </c>
      <c r="G61" s="59" t="str">
        <f>CPUE!J59</f>
        <v>CLOSED</v>
      </c>
      <c r="H61" s="59"/>
      <c r="I61" s="57">
        <f>Effort!L59</f>
        <v>371.68653043627302</v>
      </c>
      <c r="J61" s="58">
        <f>Harvest!L59</f>
        <v>4625.4323787624999</v>
      </c>
      <c r="K61" s="59">
        <f>CPUE!L59</f>
        <v>12.444444444444422</v>
      </c>
      <c r="L61" s="59"/>
      <c r="M61" s="57" t="s">
        <v>10</v>
      </c>
      <c r="N61" s="58" t="s">
        <v>10</v>
      </c>
      <c r="O61" s="140" t="s">
        <v>10</v>
      </c>
      <c r="P61" s="96"/>
      <c r="Q61" s="57">
        <f t="shared" ref="Q61:Q67" si="7">SUM(E61,I61)</f>
        <v>371.68653043627302</v>
      </c>
      <c r="R61" s="58">
        <f t="shared" ref="R61:R68" si="8">SUM(F61,J61)</f>
        <v>4625.4323787624999</v>
      </c>
    </row>
    <row r="62" spans="1:21" x14ac:dyDescent="0.25">
      <c r="A62" s="55">
        <v>44546</v>
      </c>
      <c r="B62" s="104" t="s">
        <v>24</v>
      </c>
      <c r="C62" s="104">
        <v>0.1</v>
      </c>
      <c r="D62" s="105">
        <v>0.72013888888888899</v>
      </c>
      <c r="E62" s="57">
        <f>Effort!J60</f>
        <v>1041.3948717948699</v>
      </c>
      <c r="F62" s="58">
        <f>Harvest!J60</f>
        <v>20553.8461538462</v>
      </c>
      <c r="G62" s="59">
        <f>CPUE!J60</f>
        <v>19.736842105263239</v>
      </c>
      <c r="H62" s="59"/>
      <c r="I62" s="57" t="str">
        <f>Effort!L60</f>
        <v>CLOSED</v>
      </c>
      <c r="J62" s="58" t="str">
        <f>Harvest!L60</f>
        <v>CLOSED</v>
      </c>
      <c r="K62" s="59" t="str">
        <f>CPUE!L60</f>
        <v>CLOSED</v>
      </c>
      <c r="L62" s="59"/>
      <c r="M62" s="57" t="s">
        <v>10</v>
      </c>
      <c r="N62" s="58" t="s">
        <v>10</v>
      </c>
      <c r="O62" s="96" t="s">
        <v>10</v>
      </c>
      <c r="P62" s="96"/>
      <c r="Q62" s="57">
        <f t="shared" si="7"/>
        <v>1041.3948717948699</v>
      </c>
      <c r="R62" s="58">
        <f t="shared" si="8"/>
        <v>20553.8461538462</v>
      </c>
    </row>
    <row r="63" spans="1:21" x14ac:dyDescent="0.25">
      <c r="A63" s="55">
        <v>44547</v>
      </c>
      <c r="B63" s="104" t="s">
        <v>18</v>
      </c>
      <c r="C63" s="104">
        <v>-0.2</v>
      </c>
      <c r="D63" s="105">
        <v>0.73819444444444438</v>
      </c>
      <c r="E63" s="57" t="str">
        <f>Effort!J61</f>
        <v>CLOSED</v>
      </c>
      <c r="F63" s="58" t="str">
        <f>Harvest!J61</f>
        <v>CLOSED</v>
      </c>
      <c r="G63" s="59" t="str">
        <f>CPUE!J61</f>
        <v>CLOSED</v>
      </c>
      <c r="H63" s="59"/>
      <c r="I63" s="57">
        <f>Effort!L61</f>
        <v>628.72970629378597</v>
      </c>
      <c r="J63" s="58">
        <f>Harvest!L61</f>
        <v>8872.0747443678702</v>
      </c>
      <c r="K63" s="59">
        <f>CPUE!L61</f>
        <v>14.111111111111114</v>
      </c>
      <c r="L63" s="59"/>
      <c r="M63" s="57" t="s">
        <v>10</v>
      </c>
      <c r="N63" s="58" t="s">
        <v>10</v>
      </c>
      <c r="O63" s="96" t="s">
        <v>10</v>
      </c>
      <c r="P63" s="60"/>
      <c r="Q63" s="57">
        <f t="shared" si="7"/>
        <v>628.72970629378597</v>
      </c>
      <c r="R63" s="58">
        <f t="shared" si="8"/>
        <v>8872.0747443678702</v>
      </c>
    </row>
    <row r="64" spans="1:21" x14ac:dyDescent="0.25">
      <c r="A64" s="55">
        <v>44548</v>
      </c>
      <c r="B64" s="104" t="s">
        <v>19</v>
      </c>
      <c r="C64" s="104">
        <v>-0.3</v>
      </c>
      <c r="D64" s="105">
        <v>0.76250000000000007</v>
      </c>
      <c r="E64" s="57">
        <f>Effort!J62</f>
        <v>1240.1159677391299</v>
      </c>
      <c r="F64" s="58">
        <f>Harvest!J62</f>
        <v>24137.971514922399</v>
      </c>
      <c r="G64" s="59">
        <f>CPUE!J62</f>
        <v>19.464285714285754</v>
      </c>
      <c r="H64" s="59"/>
      <c r="I64" s="57" t="str">
        <f>Effort!L62</f>
        <v>CLOSED</v>
      </c>
      <c r="J64" s="58" t="str">
        <f>Harvest!L62</f>
        <v>CLOSED</v>
      </c>
      <c r="K64" s="59" t="str">
        <f>CPUE!L62</f>
        <v>CLOSED</v>
      </c>
      <c r="L64" s="59"/>
      <c r="M64" s="57" t="s">
        <v>10</v>
      </c>
      <c r="N64" s="58" t="s">
        <v>10</v>
      </c>
      <c r="O64" s="96" t="s">
        <v>10</v>
      </c>
      <c r="P64" s="96"/>
      <c r="Q64" s="57">
        <f t="shared" si="7"/>
        <v>1240.1159677391299</v>
      </c>
      <c r="R64" s="58">
        <f t="shared" si="8"/>
        <v>24137.971514922399</v>
      </c>
    </row>
    <row r="65" spans="1:21" x14ac:dyDescent="0.25">
      <c r="A65" s="55">
        <v>44549</v>
      </c>
      <c r="B65" s="104" t="s">
        <v>20</v>
      </c>
      <c r="C65" s="104">
        <v>-0.4</v>
      </c>
      <c r="D65" s="105">
        <v>0.78611111111111109</v>
      </c>
      <c r="E65" s="57" t="str">
        <f>Effort!J63</f>
        <v>CLOSED</v>
      </c>
      <c r="F65" s="58" t="str">
        <f>Harvest!J63</f>
        <v>CLOSED</v>
      </c>
      <c r="G65" s="59" t="str">
        <f>CPUE!J63</f>
        <v>CLOSED</v>
      </c>
      <c r="H65" s="59"/>
      <c r="I65" s="57">
        <f>Effort!L63</f>
        <v>788.8</v>
      </c>
      <c r="J65" s="58">
        <f>Harvest!L63</f>
        <v>14934.6133333333</v>
      </c>
      <c r="K65" s="59">
        <f>CPUE!L63</f>
        <v>18.933333333333291</v>
      </c>
      <c r="L65" s="59"/>
      <c r="M65" s="57" t="s">
        <v>10</v>
      </c>
      <c r="N65" s="58" t="s">
        <v>10</v>
      </c>
      <c r="O65" s="96" t="s">
        <v>10</v>
      </c>
      <c r="P65" s="60"/>
      <c r="Q65" s="57">
        <f t="shared" si="7"/>
        <v>788.8</v>
      </c>
      <c r="R65" s="58">
        <f t="shared" si="8"/>
        <v>14934.6133333333</v>
      </c>
    </row>
    <row r="66" spans="1:21" x14ac:dyDescent="0.25">
      <c r="A66" s="55">
        <v>44550</v>
      </c>
      <c r="B66" s="104" t="s">
        <v>21</v>
      </c>
      <c r="C66" s="104">
        <v>-0.3</v>
      </c>
      <c r="D66" s="105">
        <v>0.81041666666666667</v>
      </c>
      <c r="E66" s="57">
        <f>Effort!J64</f>
        <v>321.857093056694</v>
      </c>
      <c r="F66" s="58">
        <f>Harvest!J64</f>
        <v>4269.3396755461399</v>
      </c>
      <c r="G66" s="59">
        <f>CPUE!J64</f>
        <v>13.264705882352919</v>
      </c>
      <c r="H66" s="59"/>
      <c r="I66" s="57" t="str">
        <f>Effort!L64</f>
        <v>CLOSED</v>
      </c>
      <c r="J66" s="58" t="str">
        <f>Harvest!L64</f>
        <v>CLOSED</v>
      </c>
      <c r="K66" s="59" t="str">
        <f>CPUE!L64</f>
        <v>CLOSED</v>
      </c>
      <c r="L66" s="59"/>
      <c r="M66" s="57" t="s">
        <v>10</v>
      </c>
      <c r="N66" s="58" t="s">
        <v>10</v>
      </c>
      <c r="O66" s="96" t="s">
        <v>10</v>
      </c>
      <c r="P66" s="60"/>
      <c r="Q66" s="57">
        <f t="shared" si="7"/>
        <v>321.857093056694</v>
      </c>
      <c r="R66" s="58">
        <f t="shared" si="8"/>
        <v>4269.3396755461399</v>
      </c>
    </row>
    <row r="67" spans="1:21" x14ac:dyDescent="0.25">
      <c r="A67" s="55">
        <v>44551</v>
      </c>
      <c r="B67" s="104" t="s">
        <v>22</v>
      </c>
      <c r="C67" s="104">
        <v>-0.2</v>
      </c>
      <c r="D67" s="105">
        <v>0.83472222222222225</v>
      </c>
      <c r="E67" s="57" t="str">
        <f>Effort!J65</f>
        <v>CLOSED</v>
      </c>
      <c r="F67" s="58" t="str">
        <f>Harvest!J65</f>
        <v>CLOSED</v>
      </c>
      <c r="G67" s="59" t="str">
        <f>CPUE!J65</f>
        <v>CLOSED</v>
      </c>
      <c r="H67" s="59"/>
      <c r="I67" s="57">
        <f>Effort!L65</f>
        <v>147.19999999999999</v>
      </c>
      <c r="J67" s="58">
        <f>Harvest!L65</f>
        <v>1095.82222222222</v>
      </c>
      <c r="K67" s="59">
        <f>CPUE!L65</f>
        <v>7.4444444444444304</v>
      </c>
      <c r="L67" s="59"/>
      <c r="M67" s="57" t="s">
        <v>10</v>
      </c>
      <c r="N67" s="58" t="s">
        <v>10</v>
      </c>
      <c r="O67" s="96" t="s">
        <v>10</v>
      </c>
      <c r="P67" s="60"/>
      <c r="Q67" s="57">
        <f t="shared" si="7"/>
        <v>147.19999999999999</v>
      </c>
      <c r="R67" s="58">
        <f t="shared" si="8"/>
        <v>1095.82222222222</v>
      </c>
    </row>
    <row r="68" spans="1:21" x14ac:dyDescent="0.25">
      <c r="A68" s="55">
        <v>44552</v>
      </c>
      <c r="B68" s="104" t="s">
        <v>23</v>
      </c>
      <c r="C68" s="104">
        <v>-0.1</v>
      </c>
      <c r="D68" s="105">
        <v>0.85972222222222217</v>
      </c>
      <c r="E68" s="57">
        <f>Effort!J66</f>
        <v>120.41666188173799</v>
      </c>
      <c r="F68" s="58">
        <f>Harvest!J66</f>
        <v>488.74998057882101</v>
      </c>
      <c r="G68" s="59">
        <f>CPUE!J66</f>
        <v>4.0588235294117823</v>
      </c>
      <c r="H68" s="59"/>
      <c r="I68" s="57" t="str">
        <f>Effort!L66</f>
        <v>CLOSED</v>
      </c>
      <c r="J68" s="58" t="str">
        <f>Harvest!L66</f>
        <v>CLOSED</v>
      </c>
      <c r="K68" s="59" t="str">
        <f>CPUE!L66</f>
        <v>CLOSED</v>
      </c>
      <c r="L68" s="59"/>
      <c r="M68" s="57" t="s">
        <v>10</v>
      </c>
      <c r="N68" s="58" t="s">
        <v>10</v>
      </c>
      <c r="O68" s="96" t="s">
        <v>10</v>
      </c>
      <c r="P68" s="60"/>
      <c r="Q68" s="57">
        <f>SUM(E68,I68)</f>
        <v>120.41666188173799</v>
      </c>
      <c r="R68" s="58">
        <f t="shared" si="8"/>
        <v>488.74998057882101</v>
      </c>
    </row>
    <row r="69" spans="1:21" x14ac:dyDescent="0.25">
      <c r="A69" s="55">
        <v>44553</v>
      </c>
      <c r="B69" s="104" t="s">
        <v>24</v>
      </c>
      <c r="C69" s="104">
        <v>0.2</v>
      </c>
      <c r="D69" s="105">
        <v>0.88611111111111107</v>
      </c>
      <c r="E69" s="57" t="str">
        <f>Effort!J67</f>
        <v>CLOSED</v>
      </c>
      <c r="F69" s="58" t="str">
        <f>Harvest!J67</f>
        <v>CLOSED</v>
      </c>
      <c r="G69" s="59" t="str">
        <f>CPUE!J67</f>
        <v>CLOSED</v>
      </c>
      <c r="H69" s="59"/>
      <c r="I69" s="57">
        <f>Effort!L67</f>
        <v>101.53846526287001</v>
      </c>
      <c r="J69" s="58">
        <f>Harvest!L67</f>
        <v>507.69232631435</v>
      </c>
      <c r="K69" s="59">
        <f>CPUE!L67</f>
        <v>5</v>
      </c>
      <c r="L69" s="59"/>
      <c r="M69" s="57" t="s">
        <v>10</v>
      </c>
      <c r="N69" s="58" t="s">
        <v>10</v>
      </c>
      <c r="O69" s="96" t="s">
        <v>10</v>
      </c>
      <c r="P69" s="98"/>
      <c r="Q69" s="57">
        <f>SUM(E69,I69)</f>
        <v>101.53846526287001</v>
      </c>
      <c r="R69" s="58">
        <f>SUM(F69,J69)</f>
        <v>507.69232631435</v>
      </c>
    </row>
    <row r="70" spans="1:21" x14ac:dyDescent="0.25">
      <c r="A70" s="148" t="s">
        <v>57</v>
      </c>
      <c r="B70" s="148"/>
      <c r="C70" s="148"/>
      <c r="D70" s="149"/>
      <c r="E70" s="63">
        <f>SUM(E61:E69)</f>
        <v>2723.7845944724318</v>
      </c>
      <c r="F70" s="64">
        <f>SUM(F61:F69)</f>
        <v>49449.907324893553</v>
      </c>
      <c r="G70" s="65">
        <f>+F70/E70</f>
        <v>18.15485241573278</v>
      </c>
      <c r="H70" s="65"/>
      <c r="I70" s="63">
        <f>SUM(I61:I69)</f>
        <v>2037.9547019929289</v>
      </c>
      <c r="J70" s="64">
        <f>SUM(J61:J69)</f>
        <v>30035.635005000244</v>
      </c>
      <c r="K70" s="65">
        <f>+J70/I70</f>
        <v>14.738126895376135</v>
      </c>
      <c r="L70" s="65"/>
      <c r="M70" s="63"/>
      <c r="N70" s="64"/>
      <c r="O70" s="111"/>
      <c r="P70" s="65"/>
      <c r="Q70" s="63">
        <f>SUM(Q61:Q69)</f>
        <v>4761.7392964653609</v>
      </c>
      <c r="R70" s="64">
        <f>SUM(R61:R69)</f>
        <v>79485.542329893826</v>
      </c>
      <c r="T70" s="34">
        <f>SUM(E70,I70)</f>
        <v>4761.7392964653609</v>
      </c>
      <c r="U70" s="34">
        <f>SUM(F70,J70)</f>
        <v>79485.542329893797</v>
      </c>
    </row>
    <row r="71" spans="1:21" x14ac:dyDescent="0.25">
      <c r="A71" s="55">
        <v>44560</v>
      </c>
      <c r="B71" s="104" t="s">
        <v>24</v>
      </c>
      <c r="C71" s="104">
        <v>-0.1</v>
      </c>
      <c r="D71" s="105">
        <v>0.65902777777777777</v>
      </c>
      <c r="E71" s="57" t="str">
        <f>Effort!J69</f>
        <v>CLOSED</v>
      </c>
      <c r="F71" s="58" t="str">
        <f>Harvest!J69</f>
        <v>CLOSED</v>
      </c>
      <c r="G71" s="59" t="str">
        <f>CPUE!J69</f>
        <v>CLOSED</v>
      </c>
      <c r="H71" s="59"/>
      <c r="I71" s="57">
        <f>Effort!L69</f>
        <v>1467.8650160571301</v>
      </c>
      <c r="J71" s="58">
        <f>Harvest!L69</f>
        <v>20855.915436478401</v>
      </c>
      <c r="K71" s="59">
        <f>CPUE!L69</f>
        <v>14.208333333333341</v>
      </c>
      <c r="L71" s="59"/>
      <c r="M71" s="57" t="s">
        <v>10</v>
      </c>
      <c r="N71" s="58" t="s">
        <v>10</v>
      </c>
      <c r="O71" s="96" t="s">
        <v>10</v>
      </c>
      <c r="P71" s="60"/>
      <c r="Q71" s="57">
        <f t="shared" ref="Q71:Q77" si="9">SUM(E71,I71)</f>
        <v>1467.8650160571301</v>
      </c>
      <c r="R71" s="58">
        <f t="shared" ref="R71:R76" si="10">SUM(F71,J71)</f>
        <v>20855.915436478401</v>
      </c>
    </row>
    <row r="72" spans="1:21" x14ac:dyDescent="0.25">
      <c r="A72" s="55">
        <v>44561</v>
      </c>
      <c r="B72" s="104" t="s">
        <v>18</v>
      </c>
      <c r="C72" s="104">
        <v>-0.9</v>
      </c>
      <c r="D72" s="105">
        <v>0.6958333333333333</v>
      </c>
      <c r="E72" s="57">
        <f>Effort!J70</f>
        <v>2995.5826959729902</v>
      </c>
      <c r="F72" s="58">
        <f>Harvest!J70</f>
        <v>44364.958915043098</v>
      </c>
      <c r="G72" s="59">
        <f>CPUE!J70</f>
        <v>14.810126582278507</v>
      </c>
      <c r="H72" s="59"/>
      <c r="I72" s="57" t="str">
        <f>Effort!L70</f>
        <v>CLOSED</v>
      </c>
      <c r="J72" s="58" t="str">
        <f>Harvest!L70</f>
        <v>CLOSED</v>
      </c>
      <c r="K72" s="59" t="str">
        <f>CPUE!L70</f>
        <v>CLOSED</v>
      </c>
      <c r="L72" s="59"/>
      <c r="M72" s="57" t="s">
        <v>10</v>
      </c>
      <c r="N72" s="58" t="s">
        <v>10</v>
      </c>
      <c r="O72" s="96" t="s">
        <v>10</v>
      </c>
      <c r="P72" s="96"/>
      <c r="Q72" s="57">
        <f t="shared" si="9"/>
        <v>2995.5826959729902</v>
      </c>
      <c r="R72" s="58">
        <f t="shared" si="10"/>
        <v>44364.958915043098</v>
      </c>
    </row>
    <row r="73" spans="1:21" x14ac:dyDescent="0.25">
      <c r="A73" s="55">
        <v>44562</v>
      </c>
      <c r="B73" s="104" t="s">
        <v>19</v>
      </c>
      <c r="C73" s="104">
        <v>-1.5</v>
      </c>
      <c r="D73" s="105">
        <v>0.73055555555555562</v>
      </c>
      <c r="E73" s="57" t="str">
        <f>Effort!J71</f>
        <v>CLOSED</v>
      </c>
      <c r="F73" s="58" t="str">
        <f>Harvest!J71</f>
        <v>CLOSED</v>
      </c>
      <c r="G73" s="59" t="str">
        <f>CPUE!J71</f>
        <v>CLOSED</v>
      </c>
      <c r="H73" s="59"/>
      <c r="I73" s="57">
        <f>Effort!L71</f>
        <v>1991.56525379033</v>
      </c>
      <c r="J73" s="58">
        <f>Harvest!L71</f>
        <v>28106.315271801501</v>
      </c>
      <c r="K73" s="59">
        <f>CPUE!L71</f>
        <v>14.112676056338</v>
      </c>
      <c r="L73" s="59"/>
      <c r="M73" s="57" t="s">
        <v>10</v>
      </c>
      <c r="N73" s="58" t="s">
        <v>10</v>
      </c>
      <c r="O73" s="96" t="s">
        <v>10</v>
      </c>
      <c r="P73" s="60"/>
      <c r="Q73" s="57">
        <f t="shared" si="9"/>
        <v>1991.56525379033</v>
      </c>
      <c r="R73" s="58">
        <f t="shared" si="10"/>
        <v>28106.315271801501</v>
      </c>
    </row>
    <row r="74" spans="1:21" x14ac:dyDescent="0.25">
      <c r="A74" s="55">
        <v>44563</v>
      </c>
      <c r="B74" s="104" t="s">
        <v>20</v>
      </c>
      <c r="C74" s="104">
        <v>-1.8</v>
      </c>
      <c r="D74" s="105">
        <v>0.76458333333333339</v>
      </c>
      <c r="E74" s="57">
        <f>Effort!J72</f>
        <v>241.316274563625</v>
      </c>
      <c r="F74" s="58">
        <f>Harvest!J72</f>
        <v>643.51006550299905</v>
      </c>
      <c r="G74" s="59">
        <f>CPUE!J72</f>
        <v>2.6666666666666625</v>
      </c>
      <c r="H74" s="59"/>
      <c r="I74" s="57" t="str">
        <f>Effort!L72</f>
        <v>CLOSED</v>
      </c>
      <c r="J74" s="58" t="str">
        <f>Harvest!L72</f>
        <v>CLOSED</v>
      </c>
      <c r="K74" s="59" t="str">
        <f>CPUE!L72</f>
        <v>CLOSED</v>
      </c>
      <c r="L74" s="59"/>
      <c r="M74" s="57" t="s">
        <v>10</v>
      </c>
      <c r="N74" s="58" t="s">
        <v>10</v>
      </c>
      <c r="O74" s="96" t="s">
        <v>10</v>
      </c>
      <c r="P74" s="60"/>
      <c r="Q74" s="57">
        <f t="shared" si="9"/>
        <v>241.316274563625</v>
      </c>
      <c r="R74" s="58">
        <f t="shared" si="10"/>
        <v>643.51006550299905</v>
      </c>
    </row>
    <row r="75" spans="1:21" x14ac:dyDescent="0.25">
      <c r="A75" s="55">
        <v>44564</v>
      </c>
      <c r="B75" s="104" t="s">
        <v>21</v>
      </c>
      <c r="C75" s="104">
        <v>-1.9</v>
      </c>
      <c r="D75" s="105">
        <v>0.79722222222222217</v>
      </c>
      <c r="E75" s="57" t="str">
        <f>Effort!J73</f>
        <v>CLOSED</v>
      </c>
      <c r="F75" s="58" t="str">
        <f>Harvest!J73</f>
        <v>CLOSED</v>
      </c>
      <c r="G75" s="59" t="str">
        <f>CPUE!J73</f>
        <v>CLOSED</v>
      </c>
      <c r="H75" s="59"/>
      <c r="I75" s="57">
        <f>Effort!L73</f>
        <v>123.076927591358</v>
      </c>
      <c r="J75" s="58">
        <f>Harvest!L73</f>
        <v>728.99410957958105</v>
      </c>
      <c r="K75" s="59">
        <f>CPUE!L73</f>
        <v>5.9230769230769154</v>
      </c>
      <c r="L75" s="59"/>
      <c r="M75" s="57" t="s">
        <v>10</v>
      </c>
      <c r="N75" s="58" t="s">
        <v>10</v>
      </c>
      <c r="O75" s="96" t="s">
        <v>10</v>
      </c>
      <c r="P75" s="60"/>
      <c r="Q75" s="57">
        <f t="shared" si="9"/>
        <v>123.076927591358</v>
      </c>
      <c r="R75" s="58">
        <f t="shared" si="10"/>
        <v>728.99410957958105</v>
      </c>
    </row>
    <row r="76" spans="1:21" x14ac:dyDescent="0.25">
      <c r="A76" s="55">
        <v>44565</v>
      </c>
      <c r="B76" s="104" t="s">
        <v>22</v>
      </c>
      <c r="C76" s="104">
        <v>-1.6</v>
      </c>
      <c r="D76" s="105">
        <v>0.82916666666666661</v>
      </c>
      <c r="E76" s="57">
        <f>Effort!J74</f>
        <v>186.92308377937499</v>
      </c>
      <c r="F76" s="58">
        <f>Harvest!J74</f>
        <v>2336.5385472421872</v>
      </c>
      <c r="G76" s="59">
        <f>CPUE!J74</f>
        <v>12.5</v>
      </c>
      <c r="H76" s="59"/>
      <c r="I76" s="57" t="str">
        <f>Effort!L74</f>
        <v>CLOSED</v>
      </c>
      <c r="J76" s="58" t="str">
        <f>Harvest!L74</f>
        <v>CLOSED</v>
      </c>
      <c r="K76" s="59" t="str">
        <f>CPUE!L74</f>
        <v>CLOSED</v>
      </c>
      <c r="L76" s="59"/>
      <c r="M76" s="57" t="s">
        <v>10</v>
      </c>
      <c r="N76" s="58" t="s">
        <v>10</v>
      </c>
      <c r="O76" s="96" t="s">
        <v>10</v>
      </c>
      <c r="P76" s="60"/>
      <c r="Q76" s="57">
        <f t="shared" si="9"/>
        <v>186.92308377937499</v>
      </c>
      <c r="R76" s="58">
        <f t="shared" si="10"/>
        <v>2336.5385472421872</v>
      </c>
    </row>
    <row r="77" spans="1:21" x14ac:dyDescent="0.25">
      <c r="A77" s="55">
        <v>44566</v>
      </c>
      <c r="B77" s="104" t="s">
        <v>23</v>
      </c>
      <c r="C77" s="104">
        <v>-1.1000000000000001</v>
      </c>
      <c r="D77" s="105">
        <v>0.86111111111111116</v>
      </c>
      <c r="E77" s="57" t="str">
        <f>Effort!J75</f>
        <v>CLOSED</v>
      </c>
      <c r="F77" s="58" t="str">
        <f>Harvest!J75</f>
        <v>CLOSED</v>
      </c>
      <c r="G77" s="59" t="str">
        <f>CPUE!J75</f>
        <v>CLOSED</v>
      </c>
      <c r="H77" s="59"/>
      <c r="I77" s="57" t="str">
        <f>Effort!L75</f>
        <v>CLOSED</v>
      </c>
      <c r="J77" s="58" t="str">
        <f>Harvest!L75</f>
        <v>CLOSED</v>
      </c>
      <c r="K77" s="59" t="str">
        <f>CPUE!L75</f>
        <v>CLOSED</v>
      </c>
      <c r="L77" s="59"/>
      <c r="M77" s="57" t="s">
        <v>10</v>
      </c>
      <c r="N77" s="58" t="s">
        <v>10</v>
      </c>
      <c r="O77" s="96" t="s">
        <v>10</v>
      </c>
      <c r="P77" s="98"/>
      <c r="Q77" s="57">
        <f t="shared" si="9"/>
        <v>0</v>
      </c>
      <c r="R77" s="58">
        <f>SUM(F77,J77)</f>
        <v>0</v>
      </c>
    </row>
    <row r="78" spans="1:21" x14ac:dyDescent="0.25">
      <c r="A78" s="148" t="s">
        <v>57</v>
      </c>
      <c r="B78" s="148"/>
      <c r="C78" s="148"/>
      <c r="D78" s="149"/>
      <c r="E78" s="63">
        <f>SUM(E71:E77)</f>
        <v>3423.82205431599</v>
      </c>
      <c r="F78" s="64">
        <f>SUM(F71:F77)</f>
        <v>47345.007527788279</v>
      </c>
      <c r="G78" s="65">
        <f>+F78/E78</f>
        <v>13.828115707154311</v>
      </c>
      <c r="H78" s="65"/>
      <c r="I78" s="63">
        <f>SUM(I71:I77)</f>
        <v>3582.5071974388184</v>
      </c>
      <c r="J78" s="64">
        <f>SUM(J71:J77)</f>
        <v>49691.224817859482</v>
      </c>
      <c r="K78" s="65">
        <f>+J78/I78</f>
        <v>13.870516395161577</v>
      </c>
      <c r="L78" s="65"/>
      <c r="M78" s="63"/>
      <c r="N78" s="64"/>
      <c r="O78" s="111"/>
      <c r="P78" s="65"/>
      <c r="Q78" s="63">
        <f>SUM(Q71:Q77)</f>
        <v>7006.329251754807</v>
      </c>
      <c r="R78" s="64">
        <f>SUM(R71:R77)</f>
        <v>97036.232345647775</v>
      </c>
      <c r="T78" s="34">
        <f>SUM(E78,I78)</f>
        <v>7006.3292517548089</v>
      </c>
      <c r="U78" s="34">
        <f>SUM(F78,J78)</f>
        <v>97036.232345647761</v>
      </c>
    </row>
    <row r="79" spans="1:21" x14ac:dyDescent="0.25">
      <c r="A79" s="55">
        <v>44210</v>
      </c>
      <c r="B79" s="104" t="s">
        <v>18</v>
      </c>
      <c r="C79" s="104">
        <v>0.4</v>
      </c>
      <c r="D79" s="105">
        <v>0.69652777777777775</v>
      </c>
      <c r="E79" s="57" t="str">
        <f>Effort!J77</f>
        <v>CLOSED</v>
      </c>
      <c r="F79" s="58" t="str">
        <f>Harvest!J77</f>
        <v>CLOSED</v>
      </c>
      <c r="G79" s="59" t="str">
        <f>CPUE!J77</f>
        <v>CLOSED</v>
      </c>
      <c r="H79" s="59"/>
      <c r="I79" s="57" t="str">
        <f>Effort!L77</f>
        <v>CLOSED</v>
      </c>
      <c r="J79" s="58" t="str">
        <f>Harvest!L77</f>
        <v>CLOSED</v>
      </c>
      <c r="K79" s="59" t="str">
        <f>CPUE!L77</f>
        <v>CLOSED</v>
      </c>
      <c r="L79" s="59"/>
      <c r="M79" s="57" t="s">
        <v>10</v>
      </c>
      <c r="N79" s="58" t="s">
        <v>10</v>
      </c>
      <c r="O79" s="96" t="s">
        <v>10</v>
      </c>
      <c r="P79" s="60"/>
      <c r="Q79" s="57">
        <f t="shared" ref="Q79:Q85" si="11">SUM(E79,I79)</f>
        <v>0</v>
      </c>
      <c r="R79" s="58">
        <f t="shared" ref="R79:R84" si="12">SUM(F79,J79)</f>
        <v>0</v>
      </c>
    </row>
    <row r="80" spans="1:21" x14ac:dyDescent="0.25">
      <c r="A80" s="55">
        <v>44211</v>
      </c>
      <c r="B80" s="104" t="s">
        <v>19</v>
      </c>
      <c r="C80" s="104">
        <v>0.4</v>
      </c>
      <c r="D80" s="105">
        <v>0.72361111111111109</v>
      </c>
      <c r="E80" s="57">
        <f>Effort!J78</f>
        <v>2308.17449631311</v>
      </c>
      <c r="F80" s="58">
        <f>Harvest!J78</f>
        <v>32250.326990152698</v>
      </c>
      <c r="G80" s="59">
        <f>CPUE!J78</f>
        <v>13.972222222222255</v>
      </c>
      <c r="H80" s="59"/>
      <c r="I80" s="57" t="str">
        <f>Effort!L78</f>
        <v>CLOSED</v>
      </c>
      <c r="J80" s="58" t="str">
        <f>Harvest!L78</f>
        <v>CLOSED</v>
      </c>
      <c r="K80" s="59" t="str">
        <f>CPUE!L78</f>
        <v>CLOSED</v>
      </c>
      <c r="L80" s="59"/>
      <c r="M80" s="57" t="s">
        <v>10</v>
      </c>
      <c r="N80" s="58" t="s">
        <v>10</v>
      </c>
      <c r="O80" s="96" t="s">
        <v>10</v>
      </c>
      <c r="P80" s="96"/>
      <c r="Q80" s="57">
        <f t="shared" si="11"/>
        <v>2308.17449631311</v>
      </c>
      <c r="R80" s="58">
        <f t="shared" si="12"/>
        <v>32250.326990152698</v>
      </c>
    </row>
    <row r="81" spans="1:21" x14ac:dyDescent="0.25">
      <c r="A81" s="55">
        <v>44212</v>
      </c>
      <c r="B81" s="104" t="s">
        <v>20</v>
      </c>
      <c r="C81" s="104">
        <v>-0.2</v>
      </c>
      <c r="D81" s="105">
        <v>0.74930555555555556</v>
      </c>
      <c r="E81" s="57" t="str">
        <f>Effort!J79</f>
        <v>CLOSED</v>
      </c>
      <c r="F81" s="58" t="str">
        <f>Harvest!J79</f>
        <v>CLOSED</v>
      </c>
      <c r="G81" s="59" t="str">
        <f>CPUE!J79</f>
        <v>CLOSED</v>
      </c>
      <c r="H81" s="59"/>
      <c r="I81" s="57">
        <f>Effort!L79</f>
        <v>3004.3100811890999</v>
      </c>
      <c r="J81" s="58">
        <f>Harvest!L79</f>
        <v>41711.002755113797</v>
      </c>
      <c r="K81" s="59">
        <f>CPUE!L79</f>
        <v>13.883720930232563</v>
      </c>
      <c r="L81" s="59"/>
      <c r="M81" s="57" t="s">
        <v>10</v>
      </c>
      <c r="N81" s="58" t="s">
        <v>10</v>
      </c>
      <c r="O81" s="96" t="s">
        <v>10</v>
      </c>
      <c r="P81" s="60"/>
      <c r="Q81" s="57">
        <f t="shared" si="11"/>
        <v>3004.3100811890999</v>
      </c>
      <c r="R81" s="58">
        <f t="shared" si="12"/>
        <v>41711.002755113797</v>
      </c>
    </row>
    <row r="82" spans="1:21" x14ac:dyDescent="0.25">
      <c r="A82" s="55">
        <v>44213</v>
      </c>
      <c r="B82" s="104" t="s">
        <v>21</v>
      </c>
      <c r="C82" s="104">
        <v>-0.3</v>
      </c>
      <c r="D82" s="105">
        <v>0.77361111111111114</v>
      </c>
      <c r="E82" s="57">
        <f>Effort!J80</f>
        <v>712.73972680053498</v>
      </c>
      <c r="F82" s="58">
        <f>Harvest!J80</f>
        <v>9676.8124446380298</v>
      </c>
      <c r="G82" s="59">
        <f>CPUE!J80</f>
        <v>13.576923076923073</v>
      </c>
      <c r="H82" s="59"/>
      <c r="I82" s="57" t="str">
        <f>Effort!L80</f>
        <v>CLOSED</v>
      </c>
      <c r="J82" s="58" t="str">
        <f>Harvest!L80</f>
        <v>CLOSED</v>
      </c>
      <c r="K82" s="59" t="str">
        <f>CPUE!L80</f>
        <v>CLOSED</v>
      </c>
      <c r="L82" s="59"/>
      <c r="M82" s="57" t="s">
        <v>10</v>
      </c>
      <c r="N82" s="58" t="s">
        <v>10</v>
      </c>
      <c r="O82" s="96" t="s">
        <v>10</v>
      </c>
      <c r="P82" s="60"/>
      <c r="Q82" s="57">
        <f t="shared" si="11"/>
        <v>712.73972680053498</v>
      </c>
      <c r="R82" s="58">
        <f t="shared" si="12"/>
        <v>9676.8124446380298</v>
      </c>
    </row>
    <row r="83" spans="1:21" x14ac:dyDescent="0.25">
      <c r="A83" s="55">
        <v>44214</v>
      </c>
      <c r="B83" s="104" t="s">
        <v>22</v>
      </c>
      <c r="C83" s="104">
        <v>-0.4</v>
      </c>
      <c r="D83" s="105">
        <v>0.79722222222222217</v>
      </c>
      <c r="E83" s="57" t="str">
        <f>Effort!J81</f>
        <v>CLOSED</v>
      </c>
      <c r="F83" s="58" t="str">
        <f>Harvest!J81</f>
        <v>CLOSED</v>
      </c>
      <c r="G83" s="59" t="str">
        <f>CPUE!J81</f>
        <v>CLOSED</v>
      </c>
      <c r="H83" s="59"/>
      <c r="I83" s="57" t="str">
        <f>Effort!L81</f>
        <v>CLOSED</v>
      </c>
      <c r="J83" s="58" t="str">
        <f>Harvest!L81</f>
        <v>CLOSED</v>
      </c>
      <c r="K83" s="59" t="str">
        <f>CPUE!L81</f>
        <v>CLOSED</v>
      </c>
      <c r="L83" s="59"/>
      <c r="M83" s="57" t="s">
        <v>10</v>
      </c>
      <c r="N83" s="58" t="s">
        <v>10</v>
      </c>
      <c r="O83" s="96" t="s">
        <v>10</v>
      </c>
      <c r="P83" s="60"/>
      <c r="Q83" s="57">
        <f t="shared" si="11"/>
        <v>0</v>
      </c>
      <c r="R83" s="58">
        <f t="shared" si="12"/>
        <v>0</v>
      </c>
    </row>
    <row r="84" spans="1:21" x14ac:dyDescent="0.25">
      <c r="A84" s="55">
        <v>44215</v>
      </c>
      <c r="B84" s="104" t="s">
        <v>23</v>
      </c>
      <c r="C84" s="104">
        <v>-0.4</v>
      </c>
      <c r="D84" s="105">
        <v>0.82013888888888886</v>
      </c>
      <c r="E84" s="57">
        <f>Effort!J82</f>
        <v>161.66666024261099</v>
      </c>
      <c r="F84" s="58">
        <f>Harvest!J82</f>
        <v>2288.20503728003</v>
      </c>
      <c r="G84" s="59">
        <f>CPUE!J82</f>
        <v>14.153846153846139</v>
      </c>
      <c r="H84" s="59"/>
      <c r="I84" s="57" t="str">
        <f>Effort!L82</f>
        <v>CLOSED</v>
      </c>
      <c r="J84" s="58" t="str">
        <f>Harvest!L82</f>
        <v>CLOSED</v>
      </c>
      <c r="K84" s="59" t="str">
        <f>CPUE!L82</f>
        <v>CLOSED</v>
      </c>
      <c r="L84" s="59"/>
      <c r="M84" s="57" t="s">
        <v>10</v>
      </c>
      <c r="N84" s="58" t="s">
        <v>10</v>
      </c>
      <c r="O84" s="96" t="s">
        <v>10</v>
      </c>
      <c r="P84" s="60"/>
      <c r="Q84" s="57">
        <f t="shared" si="11"/>
        <v>161.66666024261099</v>
      </c>
      <c r="R84" s="58">
        <f t="shared" si="12"/>
        <v>2288.20503728003</v>
      </c>
    </row>
    <row r="85" spans="1:21" x14ac:dyDescent="0.25">
      <c r="A85" s="55">
        <v>44216</v>
      </c>
      <c r="B85" s="104" t="s">
        <v>24</v>
      </c>
      <c r="C85" s="104">
        <v>-0.2</v>
      </c>
      <c r="D85" s="105">
        <v>0.84305555555555556</v>
      </c>
      <c r="E85" s="57" t="str">
        <f>Effort!J83</f>
        <v>CLOSED</v>
      </c>
      <c r="F85" s="58">
        <f>Harvest!J137</f>
        <v>0</v>
      </c>
      <c r="G85" s="59" t="str">
        <f>CPUE!J83</f>
        <v>CLOSED</v>
      </c>
      <c r="H85" s="59"/>
      <c r="I85" s="57" t="str">
        <f>Effort!L83</f>
        <v>CLOSED</v>
      </c>
      <c r="J85" s="58" t="str">
        <f>Harvest!L83</f>
        <v>CLOSED</v>
      </c>
      <c r="K85" s="59" t="str">
        <f>CPUE!L83</f>
        <v>CLOSED</v>
      </c>
      <c r="L85" s="59"/>
      <c r="M85" s="57" t="s">
        <v>10</v>
      </c>
      <c r="N85" s="58" t="s">
        <v>10</v>
      </c>
      <c r="O85" s="96" t="s">
        <v>10</v>
      </c>
      <c r="P85" s="98"/>
      <c r="Q85" s="57">
        <f t="shared" si="11"/>
        <v>0</v>
      </c>
      <c r="R85" s="58">
        <f>SUM(F85,J85)</f>
        <v>0</v>
      </c>
    </row>
    <row r="86" spans="1:21" x14ac:dyDescent="0.25">
      <c r="A86" s="148" t="s">
        <v>57</v>
      </c>
      <c r="B86" s="148"/>
      <c r="C86" s="148"/>
      <c r="D86" s="149"/>
      <c r="E86" s="63">
        <f>SUM(E79:E85)</f>
        <v>3182.580883356256</v>
      </c>
      <c r="F86" s="64">
        <f>SUM(F79:F85)</f>
        <v>44215.344472070756</v>
      </c>
      <c r="G86" s="65">
        <f>+F86/E86</f>
        <v>13.892920900549919</v>
      </c>
      <c r="H86" s="65"/>
      <c r="I86" s="63">
        <f>SUM(I79:I85)</f>
        <v>3004.3100811890999</v>
      </c>
      <c r="J86" s="64">
        <f>SUM(J79:J85)</f>
        <v>41711.002755113797</v>
      </c>
      <c r="K86" s="65">
        <f>+J86/I86</f>
        <v>13.883720930232563</v>
      </c>
      <c r="L86" s="65"/>
      <c r="M86" s="63"/>
      <c r="N86" s="64"/>
      <c r="O86" s="111"/>
      <c r="P86" s="65"/>
      <c r="Q86" s="63">
        <f>SUM(Q79:Q85)</f>
        <v>6186.8909645453559</v>
      </c>
      <c r="R86" s="64">
        <f>SUM(R79:R85)</f>
        <v>85926.347227184553</v>
      </c>
      <c r="T86" s="34">
        <f>SUM(E86,I86)</f>
        <v>6186.8909645453559</v>
      </c>
      <c r="U86" s="34">
        <f>SUM(F86,J86)</f>
        <v>85926.347227184553</v>
      </c>
    </row>
    <row r="87" spans="1:21" x14ac:dyDescent="0.25">
      <c r="A87" s="131">
        <v>44590</v>
      </c>
      <c r="B87" s="104" t="s">
        <v>19</v>
      </c>
      <c r="C87" s="104">
        <v>-0.7</v>
      </c>
      <c r="D87" s="105">
        <v>0.6875</v>
      </c>
      <c r="E87" s="57" t="str">
        <f>Effort!J85</f>
        <v>CLOSED</v>
      </c>
      <c r="F87" s="58" t="str">
        <f>Harvest!J85</f>
        <v>CLOSED</v>
      </c>
      <c r="G87" s="59" t="str">
        <f>CPUE!J85</f>
        <v>CLOSED</v>
      </c>
      <c r="H87" s="59"/>
      <c r="I87" s="57">
        <f>Effort!L85</f>
        <v>6202.1832867322901</v>
      </c>
      <c r="J87" s="58">
        <f>Harvest!L85</f>
        <v>84429.720871000798</v>
      </c>
      <c r="K87" s="59">
        <f>CPUE!L85</f>
        <v>13.612903225806443</v>
      </c>
      <c r="L87" s="59"/>
      <c r="M87" s="57" t="s">
        <v>10</v>
      </c>
      <c r="N87" s="58" t="s">
        <v>10</v>
      </c>
      <c r="O87" s="96" t="s">
        <v>10</v>
      </c>
      <c r="P87" s="96"/>
      <c r="Q87" s="57">
        <f t="shared" ref="Q87:Q98" si="13">SUM(E87,I87)</f>
        <v>6202.1832867322901</v>
      </c>
      <c r="R87" s="58">
        <f t="shared" ref="R87:R98" si="14">SUM(F87,J87)</f>
        <v>84429.720871000798</v>
      </c>
    </row>
    <row r="88" spans="1:21" x14ac:dyDescent="0.25">
      <c r="A88" s="131">
        <v>44591</v>
      </c>
      <c r="B88" s="104" t="s">
        <v>20</v>
      </c>
      <c r="C88" s="104">
        <v>-1.2</v>
      </c>
      <c r="D88" s="105">
        <v>0.72291666666666676</v>
      </c>
      <c r="E88" s="57">
        <f>Effort!J86</f>
        <v>2066.0385458712799</v>
      </c>
      <c r="F88" s="58">
        <f>Harvest!J86</f>
        <v>28499.178765106699</v>
      </c>
      <c r="G88" s="59">
        <f>CPUE!J86</f>
        <v>13.794117647058787</v>
      </c>
      <c r="H88" s="59"/>
      <c r="I88" s="57" t="str">
        <f>Effort!L86</f>
        <v>CLOSED</v>
      </c>
      <c r="J88" s="58" t="str">
        <f>Harvest!L86</f>
        <v>CLOSED</v>
      </c>
      <c r="K88" s="59" t="str">
        <f>CPUE!L86</f>
        <v>CLOSED</v>
      </c>
      <c r="L88" s="59"/>
      <c r="M88" s="57" t="s">
        <v>10</v>
      </c>
      <c r="N88" s="58" t="s">
        <v>10</v>
      </c>
      <c r="O88" s="96" t="s">
        <v>10</v>
      </c>
      <c r="P88" s="60"/>
      <c r="Q88" s="57">
        <f t="shared" si="13"/>
        <v>2066.0385458712799</v>
      </c>
      <c r="R88" s="58">
        <f t="shared" si="14"/>
        <v>28499.178765106699</v>
      </c>
    </row>
    <row r="89" spans="1:21" x14ac:dyDescent="0.25">
      <c r="A89" s="131">
        <v>44592</v>
      </c>
      <c r="B89" s="104" t="s">
        <v>21</v>
      </c>
      <c r="C89" s="104">
        <v>-1.5</v>
      </c>
      <c r="D89" s="105">
        <v>0.75555555555555554</v>
      </c>
      <c r="E89" s="57" t="str">
        <f>Effort!J87</f>
        <v>CLOSED</v>
      </c>
      <c r="F89" s="58" t="str">
        <f>Harvest!J87</f>
        <v>CLOSED</v>
      </c>
      <c r="G89" s="59" t="str">
        <f>CPUE!J87</f>
        <v>CLOSED</v>
      </c>
      <c r="H89" s="59"/>
      <c r="I89" s="57" t="str">
        <f>Effort!L87</f>
        <v>CLOSED</v>
      </c>
      <c r="J89" s="58" t="str">
        <f>Harvest!L87</f>
        <v>CLOSED</v>
      </c>
      <c r="K89" s="59" t="str">
        <f>CPUE!L87</f>
        <v>CLOSED</v>
      </c>
      <c r="L89" s="59"/>
      <c r="M89" s="57" t="s">
        <v>10</v>
      </c>
      <c r="N89" s="58" t="s">
        <v>10</v>
      </c>
      <c r="O89" s="96" t="s">
        <v>10</v>
      </c>
      <c r="P89" s="60"/>
      <c r="Q89" s="57">
        <f t="shared" si="13"/>
        <v>0</v>
      </c>
      <c r="R89" s="58">
        <f t="shared" si="14"/>
        <v>0</v>
      </c>
    </row>
    <row r="90" spans="1:21" x14ac:dyDescent="0.25">
      <c r="A90" s="131">
        <v>44593</v>
      </c>
      <c r="B90" s="104" t="s">
        <v>22</v>
      </c>
      <c r="C90" s="104">
        <v>-1.5</v>
      </c>
      <c r="D90" s="105">
        <v>0.78611111111111109</v>
      </c>
      <c r="E90" s="57">
        <f>Effort!J88</f>
        <v>974.95144801877404</v>
      </c>
      <c r="F90" s="58">
        <f>Harvest!J88</f>
        <v>14488.2319833488</v>
      </c>
      <c r="G90" s="59">
        <f>CPUE!J88</f>
        <v>14.860465116279112</v>
      </c>
      <c r="H90" s="59"/>
      <c r="I90" s="57" t="str">
        <f>Effort!L88</f>
        <v>CLOSED</v>
      </c>
      <c r="J90" s="58" t="str">
        <f>Harvest!L88</f>
        <v>CLOSED</v>
      </c>
      <c r="K90" s="59" t="str">
        <f>CPUE!L88</f>
        <v>CLOSED</v>
      </c>
      <c r="L90" s="59"/>
      <c r="M90" s="57" t="s">
        <v>10</v>
      </c>
      <c r="N90" s="58" t="s">
        <v>10</v>
      </c>
      <c r="O90" s="96" t="s">
        <v>10</v>
      </c>
      <c r="P90" s="60"/>
      <c r="Q90" s="57">
        <f t="shared" si="13"/>
        <v>974.95144801877404</v>
      </c>
      <c r="R90" s="58">
        <f t="shared" si="14"/>
        <v>14488.2319833488</v>
      </c>
    </row>
    <row r="91" spans="1:21" x14ac:dyDescent="0.25">
      <c r="A91" s="131">
        <v>44594</v>
      </c>
      <c r="B91" s="104" t="s">
        <v>23</v>
      </c>
      <c r="C91" s="104">
        <v>-1.2</v>
      </c>
      <c r="D91" s="105">
        <v>0.81527777777777777</v>
      </c>
      <c r="E91" s="57" t="str">
        <f>Effort!J89</f>
        <v>CLOSED</v>
      </c>
      <c r="F91" s="58" t="str">
        <f>Harvest!J89</f>
        <v>CLOSED</v>
      </c>
      <c r="G91" s="59" t="str">
        <f>CPUE!J89</f>
        <v>CLOSED</v>
      </c>
      <c r="H91" s="59"/>
      <c r="I91" s="57">
        <f>Effort!L89</f>
        <v>457.35027302389</v>
      </c>
      <c r="J91" s="58">
        <f>Harvest!L89</f>
        <v>5030.8530032627896</v>
      </c>
      <c r="K91" s="59">
        <f>CPUE!L89</f>
        <v>11</v>
      </c>
      <c r="L91" s="59"/>
      <c r="M91" s="57" t="s">
        <v>10</v>
      </c>
      <c r="N91" s="58" t="s">
        <v>10</v>
      </c>
      <c r="O91" s="96" t="s">
        <v>10</v>
      </c>
      <c r="P91" s="60"/>
      <c r="Q91" s="57">
        <f t="shared" si="13"/>
        <v>457.35027302389</v>
      </c>
      <c r="R91" s="58">
        <f t="shared" si="14"/>
        <v>5030.8530032627896</v>
      </c>
    </row>
    <row r="92" spans="1:21" x14ac:dyDescent="0.25">
      <c r="A92" s="131">
        <v>44595</v>
      </c>
      <c r="B92" s="104" t="s">
        <v>24</v>
      </c>
      <c r="C92" s="104">
        <v>-0.7</v>
      </c>
      <c r="D92" s="105">
        <v>0.84236111111111101</v>
      </c>
      <c r="E92" s="57">
        <f>Effort!J90</f>
        <v>399.541071085238</v>
      </c>
      <c r="F92" s="58">
        <f>Harvest!J90</f>
        <v>5251.1112199774097</v>
      </c>
      <c r="G92" s="59">
        <f>CPUE!J90</f>
        <v>13.142857142857133</v>
      </c>
      <c r="H92" s="59"/>
      <c r="I92" s="57" t="str">
        <f>Effort!L90</f>
        <v>CLOSED</v>
      </c>
      <c r="J92" s="58" t="str">
        <f>Harvest!L90</f>
        <v>CLOSED</v>
      </c>
      <c r="K92" s="59" t="str">
        <f>CPUE!L90</f>
        <v>CLOSED</v>
      </c>
      <c r="L92" s="59"/>
      <c r="M92" s="57" t="s">
        <v>10</v>
      </c>
      <c r="N92" s="58" t="s">
        <v>10</v>
      </c>
      <c r="O92" s="96" t="s">
        <v>10</v>
      </c>
      <c r="P92" s="98"/>
      <c r="Q92" s="57">
        <f t="shared" si="13"/>
        <v>399.541071085238</v>
      </c>
      <c r="R92" s="58">
        <f t="shared" si="14"/>
        <v>5251.1112199774097</v>
      </c>
    </row>
    <row r="93" spans="1:21" x14ac:dyDescent="0.25">
      <c r="A93" s="148" t="s">
        <v>57</v>
      </c>
      <c r="B93" s="148"/>
      <c r="C93" s="148"/>
      <c r="D93" s="149"/>
      <c r="E93" s="63">
        <f>SUM(E87:E92)</f>
        <v>3440.5310649752919</v>
      </c>
      <c r="F93" s="64">
        <f>SUM(F87:F92)</f>
        <v>48238.521968432906</v>
      </c>
      <c r="G93" s="65">
        <f>+F93/E93</f>
        <v>14.020661652935644</v>
      </c>
      <c r="H93" s="65"/>
      <c r="I93" s="63">
        <f>SUM(I87:I92)</f>
        <v>6659.5335597561798</v>
      </c>
      <c r="J93" s="64">
        <f>SUM(J87:J92)</f>
        <v>89460.573874263588</v>
      </c>
      <c r="K93" s="65">
        <f>+J93/I93</f>
        <v>13.433459426479553</v>
      </c>
      <c r="L93" s="65"/>
      <c r="M93" s="63"/>
      <c r="N93" s="64"/>
      <c r="O93" s="111"/>
      <c r="P93" s="65"/>
      <c r="Q93" s="63">
        <f>SUM(Q87:Q92)</f>
        <v>10100.064624731471</v>
      </c>
      <c r="R93" s="64">
        <f>SUM(R87:R92)</f>
        <v>137699.09584269649</v>
      </c>
      <c r="T93" s="34">
        <f>SUM(E93,I93)</f>
        <v>10100.064624731473</v>
      </c>
      <c r="U93" s="34">
        <f>SUM(F93,J93)</f>
        <v>137699.09584269649</v>
      </c>
    </row>
    <row r="94" spans="1:21" x14ac:dyDescent="0.25">
      <c r="A94" s="131">
        <v>44606</v>
      </c>
      <c r="B94" s="104" t="s">
        <v>21</v>
      </c>
      <c r="C94" s="104">
        <v>0</v>
      </c>
      <c r="D94" s="105">
        <v>0.73263888888888884</v>
      </c>
      <c r="E94" s="57" t="str">
        <f>Effort!J92</f>
        <v>CLOSED</v>
      </c>
      <c r="F94" s="58" t="str">
        <f>Harvest!J92</f>
        <v>CLOSED</v>
      </c>
      <c r="G94" s="59" t="str">
        <f>CPUE!J92</f>
        <v>CLOSED</v>
      </c>
      <c r="H94" s="59"/>
      <c r="I94" s="57" t="str">
        <f>Effort!L92</f>
        <v>CLOSED</v>
      </c>
      <c r="J94" s="58" t="str">
        <f>Harvest!L92</f>
        <v>CLOSED</v>
      </c>
      <c r="K94" s="59" t="str">
        <f>CPUE!L92</f>
        <v>CLOSED</v>
      </c>
      <c r="L94" s="59"/>
      <c r="M94" s="57" t="s">
        <v>10</v>
      </c>
      <c r="N94" s="58" t="s">
        <v>10</v>
      </c>
      <c r="O94" s="96" t="s">
        <v>10</v>
      </c>
      <c r="P94" s="60"/>
      <c r="Q94" s="57">
        <f t="shared" si="13"/>
        <v>0</v>
      </c>
      <c r="R94" s="58">
        <f t="shared" si="14"/>
        <v>0</v>
      </c>
    </row>
    <row r="95" spans="1:21" x14ac:dyDescent="0.25">
      <c r="A95" s="131">
        <v>44607</v>
      </c>
      <c r="B95" s="104" t="s">
        <v>22</v>
      </c>
      <c r="C95" s="104">
        <v>-0.3</v>
      </c>
      <c r="D95" s="105">
        <v>0.75624999999999998</v>
      </c>
      <c r="E95" s="57" t="str">
        <f>Effort!J93</f>
        <v>CLOSED</v>
      </c>
      <c r="F95" s="58" t="str">
        <f>Harvest!J93</f>
        <v>CLOSED</v>
      </c>
      <c r="G95" s="59" t="str">
        <f>CPUE!J93</f>
        <v>CLOSED</v>
      </c>
      <c r="H95" s="59"/>
      <c r="I95" s="57">
        <f>Effort!L93</f>
        <v>1300.3995823561199</v>
      </c>
      <c r="J95" s="58">
        <f>Harvest!L93</f>
        <v>19505.993735341701</v>
      </c>
      <c r="K95" s="59">
        <f>CPUE!L93</f>
        <v>14.999999999999924</v>
      </c>
      <c r="L95" s="59"/>
      <c r="M95" s="57" t="s">
        <v>10</v>
      </c>
      <c r="N95" s="58" t="s">
        <v>10</v>
      </c>
      <c r="O95" s="96" t="s">
        <v>10</v>
      </c>
      <c r="P95" s="60"/>
      <c r="Q95" s="57">
        <f t="shared" si="13"/>
        <v>1300.3995823561199</v>
      </c>
      <c r="R95" s="58">
        <f t="shared" si="14"/>
        <v>19505.993735341701</v>
      </c>
    </row>
    <row r="96" spans="1:21" x14ac:dyDescent="0.25">
      <c r="A96" s="131">
        <v>44608</v>
      </c>
      <c r="B96" s="104" t="s">
        <v>23</v>
      </c>
      <c r="C96" s="104">
        <v>-0.4</v>
      </c>
      <c r="D96" s="105">
        <v>0.77916666666666667</v>
      </c>
      <c r="E96" s="57">
        <f>Effort!J94</f>
        <v>1903.8172374841899</v>
      </c>
      <c r="F96" s="58">
        <f>Harvest!J94</f>
        <v>28557.258562262901</v>
      </c>
      <c r="G96" s="59">
        <f>CPUE!J94</f>
        <v>15.000000000000027</v>
      </c>
      <c r="H96" s="59"/>
      <c r="I96" s="57" t="str">
        <f>Effort!L94</f>
        <v>CLOSED</v>
      </c>
      <c r="J96" s="58" t="str">
        <f>Harvest!L94</f>
        <v>CLOSED</v>
      </c>
      <c r="K96" s="59" t="str">
        <f>CPUE!L94</f>
        <v>CLOSED</v>
      </c>
      <c r="L96" s="59"/>
      <c r="M96" s="57" t="s">
        <v>10</v>
      </c>
      <c r="N96" s="58" t="s">
        <v>10</v>
      </c>
      <c r="O96" s="96" t="s">
        <v>10</v>
      </c>
      <c r="P96" s="60"/>
      <c r="Q96" s="57">
        <f t="shared" si="13"/>
        <v>1903.8172374841899</v>
      </c>
      <c r="R96" s="58">
        <f t="shared" si="14"/>
        <v>28557.258562262901</v>
      </c>
    </row>
    <row r="97" spans="1:21" x14ac:dyDescent="0.25">
      <c r="A97" s="131">
        <v>44609</v>
      </c>
      <c r="B97" s="104" t="s">
        <v>24</v>
      </c>
      <c r="C97" s="104">
        <v>-0.3</v>
      </c>
      <c r="D97" s="105">
        <v>0.80138888888888893</v>
      </c>
      <c r="E97" s="57" t="str">
        <f>Effort!J95</f>
        <v>CLOSED</v>
      </c>
      <c r="F97" s="58" t="str">
        <f>Harvest!J95</f>
        <v>CLOSED</v>
      </c>
      <c r="G97" s="59" t="str">
        <f>CPUE!J95</f>
        <v>CLOSED</v>
      </c>
      <c r="H97" s="59"/>
      <c r="I97" s="57" t="str">
        <f>Effort!L95</f>
        <v>CLOSED</v>
      </c>
      <c r="J97" s="58" t="str">
        <f>Harvest!L95</f>
        <v>CLOSED</v>
      </c>
      <c r="K97" s="59" t="str">
        <f>CPUE!L95</f>
        <v>CLOSED</v>
      </c>
      <c r="L97" s="59"/>
      <c r="M97" s="57" t="s">
        <v>10</v>
      </c>
      <c r="N97" s="58" t="s">
        <v>10</v>
      </c>
      <c r="O97" s="96" t="s">
        <v>10</v>
      </c>
      <c r="P97" s="60"/>
      <c r="Q97" s="57">
        <f t="shared" si="13"/>
        <v>0</v>
      </c>
      <c r="R97" s="58">
        <f t="shared" si="14"/>
        <v>0</v>
      </c>
    </row>
    <row r="98" spans="1:21" x14ac:dyDescent="0.25">
      <c r="A98" s="131">
        <v>44610</v>
      </c>
      <c r="B98" s="104" t="s">
        <v>18</v>
      </c>
      <c r="C98" s="104">
        <v>-0.1</v>
      </c>
      <c r="D98" s="105">
        <v>0.82291666666666663</v>
      </c>
      <c r="E98" s="57">
        <f>Effort!J96</f>
        <v>1600.5323673794601</v>
      </c>
      <c r="F98" s="58">
        <f>Harvest!J96</f>
        <v>23367.7725637402</v>
      </c>
      <c r="G98" s="59">
        <f>CPUE!J96</f>
        <v>14.600000000000051</v>
      </c>
      <c r="H98" s="59"/>
      <c r="I98" s="57" t="str">
        <f>Effort!L96</f>
        <v>CLOSED</v>
      </c>
      <c r="J98" s="58" t="str">
        <f>Harvest!L96</f>
        <v>CLOSED</v>
      </c>
      <c r="K98" s="59" t="str">
        <f>CPUE!L96</f>
        <v>CLOSED</v>
      </c>
      <c r="L98" s="59"/>
      <c r="M98" s="57" t="s">
        <v>10</v>
      </c>
      <c r="N98" s="58" t="s">
        <v>10</v>
      </c>
      <c r="O98" s="96" t="s">
        <v>10</v>
      </c>
      <c r="P98" s="98"/>
      <c r="Q98" s="57">
        <f t="shared" si="13"/>
        <v>1600.5323673794601</v>
      </c>
      <c r="R98" s="58">
        <f t="shared" si="14"/>
        <v>23367.7725637402</v>
      </c>
    </row>
    <row r="99" spans="1:21" x14ac:dyDescent="0.25">
      <c r="A99" s="148" t="s">
        <v>57</v>
      </c>
      <c r="B99" s="148"/>
      <c r="C99" s="148"/>
      <c r="D99" s="149"/>
      <c r="E99" s="63">
        <f>SUM(E94:E98)</f>
        <v>3504.3496048636498</v>
      </c>
      <c r="F99" s="64">
        <f>SUM(F94:F98)</f>
        <v>51925.031126003101</v>
      </c>
      <c r="G99" s="65">
        <f>+F99/E99</f>
        <v>14.817309053279644</v>
      </c>
      <c r="H99" s="65"/>
      <c r="I99" s="63">
        <f>SUM(I94:I98)</f>
        <v>1300.3995823561199</v>
      </c>
      <c r="J99" s="64">
        <f>SUM(J94:J98)</f>
        <v>19505.993735341701</v>
      </c>
      <c r="K99" s="65">
        <f>+J99/I99</f>
        <v>14.999999999999924</v>
      </c>
      <c r="L99" s="65"/>
      <c r="M99" s="63"/>
      <c r="N99" s="64"/>
      <c r="O99" s="111"/>
      <c r="P99" s="65"/>
      <c r="Q99" s="63">
        <f>SUM(Q94:Q98)</f>
        <v>4804.7491872197697</v>
      </c>
      <c r="R99" s="64">
        <f>SUM(R94:R98)</f>
        <v>71431.024861344806</v>
      </c>
      <c r="T99" s="34">
        <f>SUM(E99,I99)</f>
        <v>4804.7491872197697</v>
      </c>
      <c r="U99" s="34">
        <f>SUM(F99,J99)</f>
        <v>71431.024861344806</v>
      </c>
    </row>
    <row r="100" spans="1:21" x14ac:dyDescent="0.25">
      <c r="A100" s="131">
        <v>44618</v>
      </c>
      <c r="B100" s="104" t="s">
        <v>19</v>
      </c>
      <c r="C100" s="104">
        <v>0</v>
      </c>
      <c r="D100" s="105">
        <v>0.63750000000000007</v>
      </c>
      <c r="E100" s="57">
        <f>Effort!J98</f>
        <v>4656.7400110362096</v>
      </c>
      <c r="F100" s="58">
        <f>Harvest!J98</f>
        <v>62185.389685837399</v>
      </c>
      <c r="G100" s="59">
        <f>CPUE!J98</f>
        <v>13.353846153846158</v>
      </c>
      <c r="H100" s="59"/>
      <c r="I100" s="57" t="str">
        <f>Effort!L98</f>
        <v>CLOSED</v>
      </c>
      <c r="J100" s="58" t="str">
        <f>Harvest!L98</f>
        <v>CLOSED</v>
      </c>
      <c r="K100" s="59" t="str">
        <f>CPUE!L98</f>
        <v>CLOSED</v>
      </c>
      <c r="L100" s="59"/>
      <c r="M100" s="57" t="s">
        <v>10</v>
      </c>
      <c r="N100" s="58" t="s">
        <v>10</v>
      </c>
      <c r="O100" s="96" t="s">
        <v>10</v>
      </c>
      <c r="P100" s="60"/>
      <c r="Q100" s="57">
        <f t="shared" ref="Q100:Q106" si="15">SUM(E100,I100)</f>
        <v>4656.7400110362096</v>
      </c>
      <c r="R100" s="58">
        <f t="shared" ref="R100:R106" si="16">SUM(F100,J100)</f>
        <v>62185.389685837399</v>
      </c>
      <c r="S100" s="82"/>
      <c r="T100" s="81"/>
      <c r="U100" s="81"/>
    </row>
    <row r="101" spans="1:21" x14ac:dyDescent="0.25">
      <c r="A101" s="131">
        <v>44619</v>
      </c>
      <c r="B101" s="104" t="s">
        <v>20</v>
      </c>
      <c r="C101" s="104">
        <v>-0.4</v>
      </c>
      <c r="D101" s="105">
        <v>0.6777777777777777</v>
      </c>
      <c r="E101" s="57" t="str">
        <f>Effort!J99</f>
        <v>CLOSED</v>
      </c>
      <c r="F101" s="58" t="str">
        <f>Harvest!J99</f>
        <v>CLOSED</v>
      </c>
      <c r="G101" s="59" t="str">
        <f>CPUE!J99</f>
        <v>CLOSED</v>
      </c>
      <c r="H101" s="59"/>
      <c r="I101" s="57">
        <f>Effort!L99</f>
        <v>2066.08699935596</v>
      </c>
      <c r="J101" s="58">
        <f>Harvest!L99</f>
        <v>23473.043964905199</v>
      </c>
      <c r="K101" s="59">
        <f>CPUE!L99</f>
        <v>11.361111111111105</v>
      </c>
      <c r="L101" s="59"/>
      <c r="M101" s="57" t="s">
        <v>10</v>
      </c>
      <c r="N101" s="58" t="s">
        <v>10</v>
      </c>
      <c r="O101" s="96" t="s">
        <v>10</v>
      </c>
      <c r="P101" s="96"/>
      <c r="Q101" s="57">
        <f t="shared" si="15"/>
        <v>2066.08699935596</v>
      </c>
      <c r="R101" s="58">
        <f t="shared" si="16"/>
        <v>23473.043964905199</v>
      </c>
      <c r="S101" s="82"/>
      <c r="T101" s="81"/>
      <c r="U101" s="81"/>
    </row>
    <row r="102" spans="1:21" x14ac:dyDescent="0.25">
      <c r="A102" s="131">
        <v>44620</v>
      </c>
      <c r="B102" s="104" t="s">
        <v>21</v>
      </c>
      <c r="C102" s="104">
        <v>-0.8</v>
      </c>
      <c r="D102" s="105">
        <v>0.71250000000000002</v>
      </c>
      <c r="E102" s="57" t="str">
        <f>Effort!J100</f>
        <v>CLOSED</v>
      </c>
      <c r="F102" s="58" t="str">
        <f>Harvest!J100</f>
        <v>CLOSED</v>
      </c>
      <c r="G102" s="59" t="str">
        <f>CPUE!J100</f>
        <v>CLOSED</v>
      </c>
      <c r="H102" s="59"/>
      <c r="I102" s="57" t="str">
        <f>Effort!L100</f>
        <v>CLOSED</v>
      </c>
      <c r="J102" s="58" t="str">
        <f>Harvest!L100</f>
        <v>CLOSED</v>
      </c>
      <c r="K102" s="59" t="str">
        <f>CPUE!L100</f>
        <v>CLOSED</v>
      </c>
      <c r="L102" s="59"/>
      <c r="M102" s="57" t="s">
        <v>10</v>
      </c>
      <c r="N102" s="58" t="s">
        <v>10</v>
      </c>
      <c r="O102" s="96" t="s">
        <v>10</v>
      </c>
      <c r="P102" s="60"/>
      <c r="Q102" s="57">
        <f t="shared" si="15"/>
        <v>0</v>
      </c>
      <c r="R102" s="58">
        <f t="shared" si="16"/>
        <v>0</v>
      </c>
      <c r="S102" s="82"/>
      <c r="T102" s="81"/>
      <c r="U102" s="81"/>
    </row>
    <row r="103" spans="1:21" x14ac:dyDescent="0.25">
      <c r="A103" s="131">
        <v>44621</v>
      </c>
      <c r="B103" s="104" t="s">
        <v>22</v>
      </c>
      <c r="C103" s="104">
        <v>-0.9</v>
      </c>
      <c r="D103" s="105">
        <v>0.74305555555555547</v>
      </c>
      <c r="E103" s="57" t="str">
        <f>Effort!J101</f>
        <v>CLOSED</v>
      </c>
      <c r="F103" s="58" t="str">
        <f>Harvest!J101</f>
        <v>CLOSED</v>
      </c>
      <c r="G103" s="59" t="str">
        <f>CPUE!J101</f>
        <v>CLOSED</v>
      </c>
      <c r="H103" s="59"/>
      <c r="I103" s="57">
        <f>Effort!L101</f>
        <v>546.45982271002799</v>
      </c>
      <c r="J103" s="58">
        <f>Harvest!L101</f>
        <v>7856.8778954086201</v>
      </c>
      <c r="K103" s="59">
        <f>CPUE!L101</f>
        <v>14.377777777777769</v>
      </c>
      <c r="L103" s="59"/>
      <c r="M103" s="57" t="s">
        <v>10</v>
      </c>
      <c r="N103" s="58" t="s">
        <v>10</v>
      </c>
      <c r="O103" s="96" t="s">
        <v>10</v>
      </c>
      <c r="P103" s="60"/>
      <c r="Q103" s="57">
        <f t="shared" si="15"/>
        <v>546.45982271002799</v>
      </c>
      <c r="R103" s="58">
        <f t="shared" si="16"/>
        <v>7856.8778954086201</v>
      </c>
      <c r="S103" s="82"/>
      <c r="T103" s="81"/>
      <c r="U103" s="81"/>
    </row>
    <row r="104" spans="1:21" x14ac:dyDescent="0.25">
      <c r="A104" s="131">
        <v>44622</v>
      </c>
      <c r="B104" s="104" t="s">
        <v>23</v>
      </c>
      <c r="C104" s="104">
        <v>-0.8</v>
      </c>
      <c r="D104" s="105">
        <v>0.77083333333333337</v>
      </c>
      <c r="E104" s="57">
        <f>Effort!J102</f>
        <v>1051.9149363057099</v>
      </c>
      <c r="F104" s="58">
        <f>Harvest!J102</f>
        <v>15590.882091674001</v>
      </c>
      <c r="G104" s="59">
        <f>CPUE!J102</f>
        <v>14.821428571428653</v>
      </c>
      <c r="H104" s="59"/>
      <c r="I104" s="57" t="str">
        <f>Effort!L102</f>
        <v>CLOSED</v>
      </c>
      <c r="J104" s="58" t="str">
        <f>Harvest!L102</f>
        <v>CLOSED</v>
      </c>
      <c r="K104" s="59" t="str">
        <f>CPUE!L102</f>
        <v>CLOSED</v>
      </c>
      <c r="L104" s="59"/>
      <c r="M104" s="57" t="s">
        <v>10</v>
      </c>
      <c r="N104" s="58" t="s">
        <v>10</v>
      </c>
      <c r="O104" s="96" t="s">
        <v>10</v>
      </c>
      <c r="P104" s="60"/>
      <c r="Q104" s="57">
        <f t="shared" si="15"/>
        <v>1051.9149363057099</v>
      </c>
      <c r="R104" s="58">
        <f t="shared" si="16"/>
        <v>15590.882091674001</v>
      </c>
      <c r="S104" s="82"/>
      <c r="T104" s="81"/>
      <c r="U104" s="81"/>
    </row>
    <row r="105" spans="1:21" x14ac:dyDescent="0.25">
      <c r="A105" s="131">
        <v>44623</v>
      </c>
      <c r="B105" s="104" t="s">
        <v>24</v>
      </c>
      <c r="C105" s="104">
        <v>-0.5</v>
      </c>
      <c r="D105" s="105">
        <v>0.79652777777777783</v>
      </c>
      <c r="E105" s="57" t="str">
        <f>Effort!J103</f>
        <v>CLOSED</v>
      </c>
      <c r="F105" s="58" t="str">
        <f>Harvest!J103</f>
        <v>CLOSED</v>
      </c>
      <c r="G105" s="59" t="str">
        <f>CPUE!J103</f>
        <v>CLOSED</v>
      </c>
      <c r="H105" s="59"/>
      <c r="I105" s="57">
        <f>Effort!L103</f>
        <v>617.50818156575303</v>
      </c>
      <c r="J105" s="58">
        <f>Harvest!L103</f>
        <v>9262.6227234862999</v>
      </c>
      <c r="K105" s="59">
        <f>CPUE!L103</f>
        <v>15.000000000000007</v>
      </c>
      <c r="L105" s="59"/>
      <c r="M105" s="57" t="s">
        <v>10</v>
      </c>
      <c r="N105" s="58" t="s">
        <v>10</v>
      </c>
      <c r="O105" s="96" t="s">
        <v>10</v>
      </c>
      <c r="P105" s="60"/>
      <c r="Q105" s="57">
        <f t="shared" si="15"/>
        <v>617.50818156575303</v>
      </c>
      <c r="R105" s="58">
        <f t="shared" si="16"/>
        <v>9262.6227234862999</v>
      </c>
      <c r="S105" s="82"/>
      <c r="T105" s="81"/>
      <c r="U105" s="81"/>
    </row>
    <row r="106" spans="1:21" x14ac:dyDescent="0.25">
      <c r="A106" s="131">
        <v>44624</v>
      </c>
      <c r="B106" s="104" t="s">
        <v>18</v>
      </c>
      <c r="C106" s="104">
        <v>0</v>
      </c>
      <c r="D106" s="105">
        <v>0.8208333333333333</v>
      </c>
      <c r="E106" s="57">
        <f>Effort!J104</f>
        <v>894.21830437796598</v>
      </c>
      <c r="F106" s="58">
        <f>Harvest!J104</f>
        <v>13413.274565669501</v>
      </c>
      <c r="G106" s="59">
        <f>CPUE!J104</f>
        <v>15.000000000000012</v>
      </c>
      <c r="H106" s="59"/>
      <c r="I106" s="57" t="str">
        <f>Effort!L104</f>
        <v>CLOSED</v>
      </c>
      <c r="J106" s="58" t="str">
        <f>Harvest!L104</f>
        <v>CLOSED</v>
      </c>
      <c r="K106" s="59" t="str">
        <f>CPUE!L104</f>
        <v>CLOSED</v>
      </c>
      <c r="L106" s="59"/>
      <c r="M106" s="57" t="s">
        <v>10</v>
      </c>
      <c r="N106" s="58" t="s">
        <v>10</v>
      </c>
      <c r="O106" s="96" t="s">
        <v>10</v>
      </c>
      <c r="P106" s="98"/>
      <c r="Q106" s="57">
        <f t="shared" si="15"/>
        <v>894.21830437796598</v>
      </c>
      <c r="R106" s="58">
        <f t="shared" si="16"/>
        <v>13413.274565669501</v>
      </c>
      <c r="S106" s="82"/>
      <c r="T106" s="81"/>
      <c r="U106" s="81"/>
    </row>
    <row r="107" spans="1:21" x14ac:dyDescent="0.25">
      <c r="A107" s="148" t="s">
        <v>57</v>
      </c>
      <c r="B107" s="148"/>
      <c r="C107" s="148"/>
      <c r="D107" s="149"/>
      <c r="E107" s="63">
        <f>SUM(E100:E106)</f>
        <v>6602.873251719886</v>
      </c>
      <c r="F107" s="64">
        <f>SUM(F100:F106)</f>
        <v>91189.546343180904</v>
      </c>
      <c r="G107" s="65">
        <f>+F107/E107</f>
        <v>13.8105856142897</v>
      </c>
      <c r="H107" s="65"/>
      <c r="I107" s="63">
        <f>SUM(I100:I106)</f>
        <v>3230.0550036317409</v>
      </c>
      <c r="J107" s="64">
        <f>SUM(J100:J106)</f>
        <v>40592.544583800118</v>
      </c>
      <c r="K107" s="65">
        <f>+J107/I107</f>
        <v>12.56713725870288</v>
      </c>
      <c r="L107" s="65"/>
      <c r="M107" s="63"/>
      <c r="N107" s="64"/>
      <c r="O107" s="111"/>
      <c r="P107" s="65"/>
      <c r="Q107" s="63">
        <f>SUM(Q100:Q106)</f>
        <v>9832.9282553516259</v>
      </c>
      <c r="R107" s="64">
        <f>SUM(R100:R106)</f>
        <v>131782.09092698104</v>
      </c>
      <c r="S107" s="82"/>
      <c r="T107" s="34">
        <f>SUM(E107,I107)</f>
        <v>9832.9282553516277</v>
      </c>
      <c r="U107" s="34">
        <f>SUM(F107,J107)</f>
        <v>131782.09092698101</v>
      </c>
    </row>
    <row r="108" spans="1:21" x14ac:dyDescent="0.25">
      <c r="A108" s="55">
        <v>44636</v>
      </c>
      <c r="B108" s="104" t="s">
        <v>23</v>
      </c>
      <c r="C108" s="104">
        <v>0</v>
      </c>
      <c r="D108" s="105">
        <v>0.77430555555555547</v>
      </c>
      <c r="E108" s="57" t="str">
        <f>Effort!J106</f>
        <v>CLOSED</v>
      </c>
      <c r="F108" s="58" t="str">
        <f>Harvest!J106</f>
        <v>CLOSED</v>
      </c>
      <c r="G108" s="59" t="str">
        <f>CPUE!J106</f>
        <v>CLOSED</v>
      </c>
      <c r="H108" s="59"/>
      <c r="I108" s="57">
        <f>Effort!L106</f>
        <v>895.09100269589499</v>
      </c>
      <c r="J108" s="58">
        <f>Harvest!L106</f>
        <v>13049.484618250701</v>
      </c>
      <c r="K108" s="59">
        <f>CPUE!L106</f>
        <v>14.578947368421076</v>
      </c>
      <c r="L108" s="59"/>
      <c r="M108" s="57" t="s">
        <v>10</v>
      </c>
      <c r="N108" s="58" t="s">
        <v>10</v>
      </c>
      <c r="O108" s="96" t="s">
        <v>10</v>
      </c>
      <c r="P108" s="60"/>
      <c r="Q108" s="57">
        <f t="shared" ref="Q108:Q114" si="17">SUM(E108,I108)</f>
        <v>895.09100269589499</v>
      </c>
      <c r="R108" s="58">
        <f t="shared" ref="R108:R113" si="18">SUM(F108,J108)</f>
        <v>13049.484618250701</v>
      </c>
    </row>
    <row r="109" spans="1:21" x14ac:dyDescent="0.25">
      <c r="A109" s="55">
        <v>44637</v>
      </c>
      <c r="B109" s="104" t="s">
        <v>24</v>
      </c>
      <c r="C109" s="104">
        <v>0</v>
      </c>
      <c r="D109" s="105">
        <v>0.79722222222222217</v>
      </c>
      <c r="E109" s="57">
        <f>Effort!J107</f>
        <v>742.273098023069</v>
      </c>
      <c r="F109" s="58">
        <f>Harvest!J107</f>
        <v>11083.4869409354</v>
      </c>
      <c r="G109" s="59">
        <f>CPUE!J107</f>
        <v>14.931818181818221</v>
      </c>
      <c r="H109" s="59"/>
      <c r="I109" s="57" t="str">
        <f>Effort!L107</f>
        <v>CLOSED</v>
      </c>
      <c r="J109" s="58" t="str">
        <f>Harvest!L107</f>
        <v>CLOSED</v>
      </c>
      <c r="K109" s="59" t="str">
        <f>CPUE!L107</f>
        <v>CLOSED</v>
      </c>
      <c r="L109" s="59"/>
      <c r="M109" s="57" t="s">
        <v>10</v>
      </c>
      <c r="N109" s="58" t="s">
        <v>10</v>
      </c>
      <c r="O109" s="96" t="s">
        <v>10</v>
      </c>
      <c r="P109" s="96"/>
      <c r="Q109" s="57">
        <f t="shared" si="17"/>
        <v>742.273098023069</v>
      </c>
      <c r="R109" s="58">
        <f t="shared" si="18"/>
        <v>11083.4869409354</v>
      </c>
    </row>
    <row r="110" spans="1:21" x14ac:dyDescent="0.25">
      <c r="A110" s="55">
        <v>44638</v>
      </c>
      <c r="B110" s="104" t="s">
        <v>18</v>
      </c>
      <c r="C110" s="104">
        <v>0.2</v>
      </c>
      <c r="D110" s="105">
        <v>0.82013888888888886</v>
      </c>
      <c r="E110" s="57" t="str">
        <f>Effort!J108</f>
        <v>CLOSED</v>
      </c>
      <c r="F110" s="58" t="str">
        <f>Harvest!J108</f>
        <v>CLOSED</v>
      </c>
      <c r="G110" s="59" t="str">
        <f>CPUE!J108</f>
        <v>CLOSED</v>
      </c>
      <c r="H110" s="59"/>
      <c r="I110" s="57">
        <f>Effort!L108</f>
        <v>1470.80297857909</v>
      </c>
      <c r="J110" s="58">
        <f>Harvest!L108</f>
        <v>19172.9673993346</v>
      </c>
      <c r="K110" s="59">
        <f>CPUE!L108</f>
        <v>13.03571428571431</v>
      </c>
      <c r="L110" s="59"/>
      <c r="M110" s="57" t="s">
        <v>10</v>
      </c>
      <c r="N110" s="58" t="s">
        <v>10</v>
      </c>
      <c r="O110" s="96" t="s">
        <v>10</v>
      </c>
      <c r="P110" s="60"/>
      <c r="Q110" s="57">
        <f t="shared" si="17"/>
        <v>1470.80297857909</v>
      </c>
      <c r="R110" s="58">
        <f t="shared" si="18"/>
        <v>19172.9673993346</v>
      </c>
    </row>
    <row r="111" spans="1:21" x14ac:dyDescent="0.25">
      <c r="A111" s="55">
        <v>44639</v>
      </c>
      <c r="B111" s="104" t="s">
        <v>19</v>
      </c>
      <c r="C111" s="104">
        <v>0.5</v>
      </c>
      <c r="D111" s="105">
        <v>0.84305555555555556</v>
      </c>
      <c r="E111" s="57">
        <f>Effort!J109</f>
        <v>4144.1312907260799</v>
      </c>
      <c r="F111" s="58">
        <f>Harvest!J109</f>
        <v>59142.673706219299</v>
      </c>
      <c r="G111" s="59">
        <f>CPUE!J109</f>
        <v>14.271428571428562</v>
      </c>
      <c r="H111" s="59"/>
      <c r="I111" s="57" t="str">
        <f>Effort!L109</f>
        <v>CLOSED</v>
      </c>
      <c r="J111" s="58" t="str">
        <f>Harvest!L109</f>
        <v>CLOSED</v>
      </c>
      <c r="K111" s="59" t="str">
        <f>CPUE!L109</f>
        <v>CLOSED</v>
      </c>
      <c r="L111" s="59"/>
      <c r="M111" s="57" t="s">
        <v>10</v>
      </c>
      <c r="N111" s="58" t="s">
        <v>10</v>
      </c>
      <c r="O111" s="96" t="s">
        <v>10</v>
      </c>
      <c r="P111" s="60"/>
      <c r="Q111" s="57">
        <f t="shared" si="17"/>
        <v>4144.1312907260799</v>
      </c>
      <c r="R111" s="58">
        <f t="shared" si="18"/>
        <v>59142.673706219299</v>
      </c>
    </row>
    <row r="112" spans="1:21" x14ac:dyDescent="0.25">
      <c r="A112" s="55">
        <v>44640</v>
      </c>
      <c r="B112" s="104" t="s">
        <v>20</v>
      </c>
      <c r="C112" s="104">
        <v>0.2</v>
      </c>
      <c r="D112" s="105">
        <v>0.36527777777777781</v>
      </c>
      <c r="E112" s="57" t="str">
        <f>Effort!J110</f>
        <v>CLOSED</v>
      </c>
      <c r="F112" s="58" t="str">
        <f>Harvest!J110</f>
        <v>CLOSED</v>
      </c>
      <c r="G112" s="59" t="str">
        <f>CPUE!J110</f>
        <v>CLOSED</v>
      </c>
      <c r="H112" s="59"/>
      <c r="I112" s="57">
        <f>Effort!L110</f>
        <v>2221.8030739897999</v>
      </c>
      <c r="J112" s="58">
        <f>Harvest!L110</f>
        <v>24899.5172085064</v>
      </c>
      <c r="K112" s="59">
        <f>CPUE!L110</f>
        <v>11.206896551724148</v>
      </c>
      <c r="L112" s="59"/>
      <c r="M112" s="57" t="s">
        <v>10</v>
      </c>
      <c r="N112" s="58" t="s">
        <v>10</v>
      </c>
      <c r="O112" s="96" t="s">
        <v>10</v>
      </c>
      <c r="P112" s="60"/>
      <c r="Q112" s="57">
        <f t="shared" si="17"/>
        <v>2221.8030739897999</v>
      </c>
      <c r="R112" s="58">
        <f t="shared" si="18"/>
        <v>24899.5172085064</v>
      </c>
    </row>
    <row r="113" spans="1:21" x14ac:dyDescent="0.25">
      <c r="A113" s="55">
        <v>44641</v>
      </c>
      <c r="B113" s="104" t="s">
        <v>21</v>
      </c>
      <c r="C113" s="104">
        <v>0</v>
      </c>
      <c r="D113" s="105">
        <v>0.39583333333333331</v>
      </c>
      <c r="E113" s="57">
        <f>Effort!J111</f>
        <v>647.61903501460597</v>
      </c>
      <c r="F113" s="58">
        <f>Harvest!J111</f>
        <v>9466.6664824193904</v>
      </c>
      <c r="G113" s="59">
        <f>CPUE!J111</f>
        <v>14.617647058823534</v>
      </c>
      <c r="H113" s="59"/>
      <c r="I113" s="57" t="str">
        <f>Effort!L111</f>
        <v>CLOSED</v>
      </c>
      <c r="J113" s="58" t="str">
        <f>Harvest!L111</f>
        <v>CLOSED</v>
      </c>
      <c r="K113" s="59" t="str">
        <f>CPUE!L111</f>
        <v>CLOSED</v>
      </c>
      <c r="L113" s="59"/>
      <c r="M113" s="57" t="s">
        <v>10</v>
      </c>
      <c r="N113" s="58" t="s">
        <v>10</v>
      </c>
      <c r="O113" s="96" t="s">
        <v>10</v>
      </c>
      <c r="P113" s="60"/>
      <c r="Q113" s="57">
        <f t="shared" si="17"/>
        <v>647.61903501460597</v>
      </c>
      <c r="R113" s="58">
        <f t="shared" si="18"/>
        <v>9466.6664824193904</v>
      </c>
    </row>
    <row r="114" spans="1:21" x14ac:dyDescent="0.25">
      <c r="A114" s="55">
        <v>44642</v>
      </c>
      <c r="B114" s="104" t="s">
        <v>22</v>
      </c>
      <c r="C114" s="104">
        <v>-0.1</v>
      </c>
      <c r="D114" s="105">
        <v>0.4291666666666667</v>
      </c>
      <c r="E114" s="57" t="str">
        <f>Effort!J112</f>
        <v>CLOSED</v>
      </c>
      <c r="F114" s="58" t="str">
        <f>Harvest!J112</f>
        <v>CLOSED</v>
      </c>
      <c r="G114" s="59" t="str">
        <f>CPUE!J112</f>
        <v>CLOSED</v>
      </c>
      <c r="H114" s="59"/>
      <c r="I114" s="57">
        <f>Effort!L112</f>
        <v>808.53655323749797</v>
      </c>
      <c r="J114" s="58">
        <f>Harvest!L112</f>
        <v>12024.389766096099</v>
      </c>
      <c r="K114" s="59">
        <f>CPUE!L112</f>
        <v>14.871794871794842</v>
      </c>
      <c r="L114" s="59"/>
      <c r="M114" s="57" t="s">
        <v>10</v>
      </c>
      <c r="N114" s="58" t="s">
        <v>10</v>
      </c>
      <c r="O114" s="96" t="s">
        <v>10</v>
      </c>
      <c r="P114" s="98"/>
      <c r="Q114" s="57">
        <f t="shared" si="17"/>
        <v>808.53655323749797</v>
      </c>
      <c r="R114" s="58">
        <f>SUM(F114,J114)</f>
        <v>12024.389766096099</v>
      </c>
    </row>
    <row r="115" spans="1:21" x14ac:dyDescent="0.25">
      <c r="A115" s="148" t="s">
        <v>57</v>
      </c>
      <c r="B115" s="148"/>
      <c r="C115" s="148"/>
      <c r="D115" s="149"/>
      <c r="E115" s="63">
        <f>SUM(E108:E114)</f>
        <v>5534.0234237637551</v>
      </c>
      <c r="F115" s="64">
        <f>SUM(F108:F114)</f>
        <v>79692.827129574085</v>
      </c>
      <c r="G115" s="65">
        <f>+F115/E115</f>
        <v>14.400522192834169</v>
      </c>
      <c r="H115" s="65"/>
      <c r="I115" s="63">
        <f>SUM(I108:I114)</f>
        <v>5396.2336085022835</v>
      </c>
      <c r="J115" s="64">
        <f>SUM(J108:J114)</f>
        <v>69146.358992187801</v>
      </c>
      <c r="K115" s="65">
        <f>+J115/I115</f>
        <v>12.813818675907783</v>
      </c>
      <c r="L115" s="65"/>
      <c r="M115" s="63"/>
      <c r="N115" s="64"/>
      <c r="O115" s="111"/>
      <c r="P115" s="65"/>
      <c r="Q115" s="63">
        <f>SUM(Q108:Q114)</f>
        <v>10930.257032266038</v>
      </c>
      <c r="R115" s="64">
        <f>SUM(R108:R114)</f>
        <v>148839.18612176192</v>
      </c>
      <c r="T115" s="34">
        <f>SUM(E115,I115)</f>
        <v>10930.257032266039</v>
      </c>
      <c r="U115" s="34">
        <f>SUM(F115,J115)</f>
        <v>148839.18612176189</v>
      </c>
    </row>
    <row r="116" spans="1:21" x14ac:dyDescent="0.25">
      <c r="A116" s="131">
        <v>44652</v>
      </c>
      <c r="B116" s="104" t="s">
        <v>18</v>
      </c>
      <c r="C116" s="104">
        <v>0.5</v>
      </c>
      <c r="D116" s="105">
        <v>0.31666666666666665</v>
      </c>
      <c r="E116" s="57" t="str">
        <f>Effort!J114</f>
        <v>CLOSED</v>
      </c>
      <c r="F116" s="58" t="str">
        <f>Harvest!J114</f>
        <v>CLOSED</v>
      </c>
      <c r="G116" s="59" t="str">
        <f>CPUE!J114</f>
        <v>CLOSED</v>
      </c>
      <c r="H116" s="59"/>
      <c r="I116" s="57">
        <f>Effort!L114</f>
        <v>493.79512840915697</v>
      </c>
      <c r="J116" s="58">
        <f>Harvest!L114</f>
        <v>7315.4833838393597</v>
      </c>
      <c r="K116" s="59">
        <f>CPUE!L114</f>
        <v>14.81481481481481</v>
      </c>
      <c r="L116" s="59"/>
      <c r="M116" s="57" t="s">
        <v>10</v>
      </c>
      <c r="N116" s="58" t="s">
        <v>10</v>
      </c>
      <c r="O116" s="96" t="s">
        <v>10</v>
      </c>
      <c r="P116" s="96"/>
      <c r="Q116" s="57">
        <f t="shared" ref="Q116:Q121" si="19">SUM(E116,I116)</f>
        <v>493.79512840915697</v>
      </c>
      <c r="R116" s="58">
        <f t="shared" ref="R116:R121" si="20">SUM(F116,J116)</f>
        <v>7315.4833838393597</v>
      </c>
    </row>
    <row r="117" spans="1:21" x14ac:dyDescent="0.25">
      <c r="A117" s="131">
        <v>44653</v>
      </c>
      <c r="B117" s="104" t="s">
        <v>19</v>
      </c>
      <c r="C117" s="104">
        <v>0</v>
      </c>
      <c r="D117" s="105">
        <v>0.33819444444444446</v>
      </c>
      <c r="E117" s="57">
        <f>Effort!J115</f>
        <v>2915.3669711873999</v>
      </c>
      <c r="F117" s="58">
        <f>Harvest!J115</f>
        <v>43730.504567810996</v>
      </c>
      <c r="G117" s="59">
        <f>CPUE!J115</f>
        <v>14.999999999999998</v>
      </c>
      <c r="H117" s="59"/>
      <c r="I117" s="57" t="str">
        <f>Effort!L115</f>
        <v>CLOSED</v>
      </c>
      <c r="J117" s="58" t="str">
        <f>Harvest!L115</f>
        <v>CLOSED</v>
      </c>
      <c r="K117" s="59" t="str">
        <f>CPUE!L115</f>
        <v>CLOSED</v>
      </c>
      <c r="L117" s="59"/>
      <c r="M117" s="57" t="s">
        <v>10</v>
      </c>
      <c r="N117" s="58" t="s">
        <v>10</v>
      </c>
      <c r="O117" s="96" t="s">
        <v>10</v>
      </c>
      <c r="P117" s="60"/>
      <c r="Q117" s="57">
        <f t="shared" si="19"/>
        <v>2915.3669711873999</v>
      </c>
      <c r="R117" s="58">
        <f t="shared" si="20"/>
        <v>43730.504567810996</v>
      </c>
    </row>
    <row r="118" spans="1:21" x14ac:dyDescent="0.25">
      <c r="A118" s="131">
        <v>44654</v>
      </c>
      <c r="B118" s="104" t="s">
        <v>20</v>
      </c>
      <c r="C118" s="104">
        <v>-0.1</v>
      </c>
      <c r="D118" s="105">
        <v>0.36458333333333331</v>
      </c>
      <c r="E118" s="57" t="str">
        <f>Effort!J116</f>
        <v>CLOSED</v>
      </c>
      <c r="F118" s="58" t="str">
        <f>Harvest!J116</f>
        <v>CLOSED</v>
      </c>
      <c r="G118" s="59" t="str">
        <f>CPUE!J116</f>
        <v>CLOSED</v>
      </c>
      <c r="H118" s="59"/>
      <c r="I118" s="57">
        <f>Effort!L116</f>
        <v>2077.3365459157899</v>
      </c>
      <c r="J118" s="58">
        <f>Harvest!L116</f>
        <v>27942.213147024198</v>
      </c>
      <c r="K118" s="59">
        <f>CPUE!L116</f>
        <v>13.450980392156884</v>
      </c>
      <c r="L118" s="59"/>
      <c r="M118" s="57" t="s">
        <v>10</v>
      </c>
      <c r="N118" s="58" t="s">
        <v>10</v>
      </c>
      <c r="O118" s="96" t="s">
        <v>10</v>
      </c>
      <c r="P118" s="60"/>
      <c r="Q118" s="57">
        <f t="shared" si="19"/>
        <v>2077.3365459157899</v>
      </c>
      <c r="R118" s="58">
        <f t="shared" si="20"/>
        <v>27942.213147024198</v>
      </c>
    </row>
    <row r="119" spans="1:21" x14ac:dyDescent="0.25">
      <c r="A119" s="131">
        <v>44655</v>
      </c>
      <c r="B119" s="104" t="s">
        <v>21</v>
      </c>
      <c r="C119" s="104">
        <v>0</v>
      </c>
      <c r="D119" s="105">
        <v>0.39097222222222222</v>
      </c>
      <c r="E119" s="57">
        <f>Effort!J117</f>
        <v>0</v>
      </c>
      <c r="F119" s="58">
        <f>Harvest!J117</f>
        <v>0</v>
      </c>
      <c r="G119" s="59">
        <f>CPUE!J117</f>
        <v>0</v>
      </c>
      <c r="H119" s="59"/>
      <c r="I119" s="57" t="str">
        <f>Effort!L117</f>
        <v>CLOSED</v>
      </c>
      <c r="J119" s="58" t="str">
        <f>Harvest!L117</f>
        <v>CLOSED</v>
      </c>
      <c r="K119" s="59" t="str">
        <f>CPUE!L117</f>
        <v>CLOSED</v>
      </c>
      <c r="L119" s="59"/>
      <c r="M119" s="57" t="s">
        <v>10</v>
      </c>
      <c r="N119" s="58" t="s">
        <v>10</v>
      </c>
      <c r="O119" s="96" t="s">
        <v>10</v>
      </c>
      <c r="P119" s="60"/>
      <c r="Q119" s="57">
        <f t="shared" si="19"/>
        <v>0</v>
      </c>
      <c r="R119" s="58">
        <f t="shared" si="20"/>
        <v>0</v>
      </c>
    </row>
    <row r="120" spans="1:21" x14ac:dyDescent="0.25">
      <c r="A120" s="131">
        <v>44656</v>
      </c>
      <c r="B120" s="104" t="s">
        <v>22</v>
      </c>
      <c r="C120" s="104">
        <v>0.2</v>
      </c>
      <c r="D120" s="105">
        <v>0.41736111111111113</v>
      </c>
      <c r="E120" s="57" t="str">
        <f>Effort!J118</f>
        <v>CLOSED</v>
      </c>
      <c r="F120" s="58" t="str">
        <f>Harvest!J118</f>
        <v>CLOSED</v>
      </c>
      <c r="G120" s="59" t="str">
        <f>CPUE!J118</f>
        <v>CLOSED</v>
      </c>
      <c r="H120" s="59"/>
      <c r="I120" s="57">
        <f>Effort!L118</f>
        <v>0</v>
      </c>
      <c r="J120" s="58">
        <f>Harvest!L118</f>
        <v>0</v>
      </c>
      <c r="K120" s="59">
        <f>CPUE!L118</f>
        <v>0</v>
      </c>
      <c r="L120" s="59"/>
      <c r="M120" s="57" t="s">
        <v>10</v>
      </c>
      <c r="N120" s="58" t="s">
        <v>10</v>
      </c>
      <c r="O120" s="96" t="s">
        <v>10</v>
      </c>
      <c r="P120" s="60"/>
      <c r="Q120" s="57">
        <f t="shared" si="19"/>
        <v>0</v>
      </c>
      <c r="R120" s="58">
        <f t="shared" si="20"/>
        <v>0</v>
      </c>
    </row>
    <row r="121" spans="1:21" x14ac:dyDescent="0.25">
      <c r="A121" s="131">
        <v>44657</v>
      </c>
      <c r="B121" s="104" t="s">
        <v>23</v>
      </c>
      <c r="C121" s="104">
        <v>0.5</v>
      </c>
      <c r="D121" s="105">
        <v>0.4465277777777778</v>
      </c>
      <c r="E121" s="57">
        <f>Effort!J119</f>
        <v>1558.5975077687399</v>
      </c>
      <c r="F121" s="58">
        <f>Harvest!J119</f>
        <v>23378.962616531098</v>
      </c>
      <c r="G121" s="59">
        <f>CPUE!J119</f>
        <v>15</v>
      </c>
      <c r="H121" s="59"/>
      <c r="I121" s="57" t="str">
        <f>Effort!L119</f>
        <v>CLOSED</v>
      </c>
      <c r="J121" s="58" t="str">
        <f>Harvest!L119</f>
        <v>CLOSED</v>
      </c>
      <c r="K121" s="59" t="str">
        <f>CPUE!L119</f>
        <v>CLOSED</v>
      </c>
      <c r="L121" s="59"/>
      <c r="M121" s="57" t="s">
        <v>10</v>
      </c>
      <c r="N121" s="58" t="s">
        <v>10</v>
      </c>
      <c r="O121" s="96" t="s">
        <v>10</v>
      </c>
      <c r="P121" s="98"/>
      <c r="Q121" s="57">
        <f t="shared" si="19"/>
        <v>1558.5975077687399</v>
      </c>
      <c r="R121" s="58">
        <f t="shared" si="20"/>
        <v>23378.962616531098</v>
      </c>
    </row>
    <row r="122" spans="1:21" x14ac:dyDescent="0.25">
      <c r="A122" s="148" t="s">
        <v>57</v>
      </c>
      <c r="B122" s="148"/>
      <c r="C122" s="148"/>
      <c r="D122" s="149"/>
      <c r="E122" s="63">
        <f>SUM(E116:E121)</f>
        <v>4473.9644789561398</v>
      </c>
      <c r="F122" s="64">
        <f>SUM(F116:F121)</f>
        <v>67109.467184342095</v>
      </c>
      <c r="G122" s="65">
        <f>+F122/E122</f>
        <v>15</v>
      </c>
      <c r="H122" s="65"/>
      <c r="I122" s="63">
        <f>SUM(I116:I121)</f>
        <v>2571.1316743249467</v>
      </c>
      <c r="J122" s="64">
        <f>SUM(J116:J121)</f>
        <v>35257.696530863555</v>
      </c>
      <c r="K122" s="65">
        <f>+J122/I122</f>
        <v>13.712909721016331</v>
      </c>
      <c r="L122" s="65"/>
      <c r="M122" s="63"/>
      <c r="N122" s="64"/>
      <c r="O122" s="111"/>
      <c r="P122" s="65"/>
      <c r="Q122" s="63">
        <f>SUM(Q116:Q121)</f>
        <v>7045.096153281087</v>
      </c>
      <c r="R122" s="64">
        <f>SUM(R116:R121)</f>
        <v>102367.16371520565</v>
      </c>
      <c r="T122" s="34">
        <f>SUM(E122,I122)</f>
        <v>7045.096153281087</v>
      </c>
      <c r="U122" s="34">
        <f>SUM(F122,J122)</f>
        <v>102367.16371520565</v>
      </c>
    </row>
    <row r="123" spans="1:21" x14ac:dyDescent="0.25">
      <c r="A123" s="131">
        <v>44667</v>
      </c>
      <c r="B123" s="104" t="s">
        <v>19</v>
      </c>
      <c r="C123" s="104">
        <v>-0.2</v>
      </c>
      <c r="D123" s="105">
        <v>0.29375000000000001</v>
      </c>
      <c r="E123" s="57">
        <f>Effort!J121</f>
        <v>4141.3879431751502</v>
      </c>
      <c r="F123" s="58">
        <f>Harvest!J121</f>
        <v>78435.377711650595</v>
      </c>
      <c r="G123" s="59">
        <f>CPUE!J121</f>
        <v>18.939393939393945</v>
      </c>
      <c r="H123" s="59"/>
      <c r="I123" s="57" t="str">
        <f>Effort!L121</f>
        <v>CLOSED</v>
      </c>
      <c r="J123" s="58" t="str">
        <f>Harvest!L121</f>
        <v>CLOSED</v>
      </c>
      <c r="K123" s="59" t="str">
        <f>CPUE!L121</f>
        <v>CLOSED</v>
      </c>
      <c r="L123" s="59"/>
      <c r="M123" s="57" t="s">
        <v>10</v>
      </c>
      <c r="N123" s="58" t="s">
        <v>10</v>
      </c>
      <c r="O123" s="96" t="s">
        <v>10</v>
      </c>
      <c r="P123" s="96"/>
      <c r="Q123" s="57">
        <f>SUM(E123,I123)</f>
        <v>4141.3879431751502</v>
      </c>
      <c r="R123" s="58">
        <f t="shared" ref="R123:R128" si="21">SUM(F123,J123)</f>
        <v>78435.377711650595</v>
      </c>
    </row>
    <row r="124" spans="1:21" x14ac:dyDescent="0.25">
      <c r="A124" s="131">
        <v>44668</v>
      </c>
      <c r="B124" s="104" t="s">
        <v>20</v>
      </c>
      <c r="C124" s="104">
        <v>-0.8</v>
      </c>
      <c r="D124" s="105">
        <v>0.32291666666666669</v>
      </c>
      <c r="E124" s="57" t="str">
        <f>Effort!J122</f>
        <v>CLOSED</v>
      </c>
      <c r="F124" s="58" t="str">
        <f>Harvest!J122</f>
        <v>CLOSED</v>
      </c>
      <c r="G124" s="59" t="str">
        <f>CPUE!J122</f>
        <v>CLOSED</v>
      </c>
      <c r="H124" s="59"/>
      <c r="I124" s="57">
        <f>Effort!L122</f>
        <v>4036.2070126921899</v>
      </c>
      <c r="J124" s="58">
        <f>Harvest!L122</f>
        <v>77720.451314165897</v>
      </c>
      <c r="K124" s="59">
        <f>CPUE!L122</f>
        <v>19.255813953488374</v>
      </c>
      <c r="L124" s="59"/>
      <c r="M124" s="57" t="s">
        <v>10</v>
      </c>
      <c r="N124" s="58" t="s">
        <v>10</v>
      </c>
      <c r="O124" s="96" t="s">
        <v>10</v>
      </c>
      <c r="P124" s="60"/>
      <c r="Q124" s="57">
        <f t="shared" ref="Q124:Q128" si="22">SUM(E124,I124)</f>
        <v>4036.2070126921899</v>
      </c>
      <c r="R124" s="58">
        <f t="shared" si="21"/>
        <v>77720.451314165897</v>
      </c>
    </row>
    <row r="125" spans="1:21" x14ac:dyDescent="0.25">
      <c r="A125" s="131">
        <v>44669</v>
      </c>
      <c r="B125" s="104" t="s">
        <v>21</v>
      </c>
      <c r="C125" s="104">
        <v>-1.2</v>
      </c>
      <c r="D125" s="105">
        <v>0.3527777777777778</v>
      </c>
      <c r="E125" s="57">
        <f>Effort!J123</f>
        <v>2030.0482303992901</v>
      </c>
      <c r="F125" s="58">
        <f>Harvest!J123</f>
        <v>37931.827119868198</v>
      </c>
      <c r="G125" s="59">
        <f>CPUE!J123</f>
        <v>18.685185185185176</v>
      </c>
      <c r="H125" s="59"/>
      <c r="I125" s="57" t="str">
        <f>Effort!L123</f>
        <v>CLOSED</v>
      </c>
      <c r="J125" s="58" t="str">
        <f>Harvest!L123</f>
        <v>CLOSED</v>
      </c>
      <c r="K125" s="59" t="str">
        <f>CPUE!L123</f>
        <v>CLOSED</v>
      </c>
      <c r="L125" s="59"/>
      <c r="M125" s="57" t="s">
        <v>10</v>
      </c>
      <c r="N125" s="58" t="s">
        <v>10</v>
      </c>
      <c r="O125" s="96" t="s">
        <v>10</v>
      </c>
      <c r="P125" s="60"/>
      <c r="Q125" s="57">
        <f t="shared" si="22"/>
        <v>2030.0482303992901</v>
      </c>
      <c r="R125" s="58">
        <f t="shared" si="21"/>
        <v>37931.827119868198</v>
      </c>
    </row>
    <row r="126" spans="1:21" x14ac:dyDescent="0.25">
      <c r="A126" s="131">
        <v>44670</v>
      </c>
      <c r="B126" s="104" t="s">
        <v>22</v>
      </c>
      <c r="C126" s="104">
        <v>-1.3</v>
      </c>
      <c r="D126" s="105">
        <v>0.38472222222222219</v>
      </c>
      <c r="E126" s="57" t="str">
        <f>Effort!J124</f>
        <v>CLOSED</v>
      </c>
      <c r="F126" s="58" t="str">
        <f>Harvest!J124</f>
        <v>CLOSED</v>
      </c>
      <c r="G126" s="59" t="str">
        <f>CPUE!J124</f>
        <v>CLOSED</v>
      </c>
      <c r="H126" s="59"/>
      <c r="I126" s="57">
        <f>Effort!L124</f>
        <v>2468.7961641973002</v>
      </c>
      <c r="J126" s="58">
        <f>Harvest!L124</f>
        <v>47524.326160798002</v>
      </c>
      <c r="K126" s="59">
        <f>CPUE!L124</f>
        <v>19.249999999999989</v>
      </c>
      <c r="L126" s="59"/>
      <c r="M126" s="57" t="s">
        <v>10</v>
      </c>
      <c r="N126" s="58" t="s">
        <v>10</v>
      </c>
      <c r="O126" s="96" t="s">
        <v>10</v>
      </c>
      <c r="P126" s="60"/>
      <c r="Q126" s="57">
        <f t="shared" si="22"/>
        <v>2468.7961641973002</v>
      </c>
      <c r="R126" s="58">
        <f t="shared" si="21"/>
        <v>47524.326160798002</v>
      </c>
    </row>
    <row r="127" spans="1:21" x14ac:dyDescent="0.25">
      <c r="A127" s="131">
        <v>44671</v>
      </c>
      <c r="B127" s="104" t="s">
        <v>23</v>
      </c>
      <c r="C127" s="104">
        <v>-1.2</v>
      </c>
      <c r="D127" s="105">
        <v>0.41944444444444445</v>
      </c>
      <c r="E127" s="57">
        <f>Effort!J125</f>
        <v>2767.3831582759099</v>
      </c>
      <c r="F127" s="58">
        <f>Harvest!J125</f>
        <v>55347.663165518097</v>
      </c>
      <c r="G127" s="59">
        <f>CPUE!J125</f>
        <v>19.999999999999964</v>
      </c>
      <c r="H127" s="59"/>
      <c r="I127" s="57" t="str">
        <f>Effort!L125</f>
        <v>CLOSED</v>
      </c>
      <c r="J127" s="58" t="str">
        <f>Harvest!L125</f>
        <v>CLOSED</v>
      </c>
      <c r="K127" s="59" t="str">
        <f>CPUE!L125</f>
        <v>CLOSED</v>
      </c>
      <c r="L127" s="59"/>
      <c r="M127" s="57" t="s">
        <v>10</v>
      </c>
      <c r="N127" s="58" t="s">
        <v>10</v>
      </c>
      <c r="O127" s="96" t="s">
        <v>10</v>
      </c>
      <c r="P127" s="60"/>
      <c r="Q127" s="57">
        <f t="shared" si="22"/>
        <v>2767.3831582759099</v>
      </c>
      <c r="R127" s="58">
        <f t="shared" si="21"/>
        <v>55347.663165518097</v>
      </c>
    </row>
    <row r="128" spans="1:21" x14ac:dyDescent="0.25">
      <c r="A128" s="131">
        <v>44672</v>
      </c>
      <c r="B128" s="104" t="s">
        <v>24</v>
      </c>
      <c r="C128" s="104">
        <v>-0.9</v>
      </c>
      <c r="D128" s="105">
        <v>0.45763888888888887</v>
      </c>
      <c r="E128" s="57" t="str">
        <f>Effort!J126</f>
        <v>CLOSED</v>
      </c>
      <c r="F128" s="58" t="str">
        <f>Harvest!J126</f>
        <v>CLOSED</v>
      </c>
      <c r="G128" s="59" t="str">
        <f>CPUE!J126</f>
        <v>CLOSED</v>
      </c>
      <c r="H128" s="59"/>
      <c r="I128" s="57">
        <f>Effort!L126</f>
        <v>1599.4922887126199</v>
      </c>
      <c r="J128" s="58">
        <f>Harvest!L126</f>
        <v>26480.483446464401</v>
      </c>
      <c r="K128" s="59">
        <f>CPUE!L126</f>
        <v>16.555555555555504</v>
      </c>
      <c r="L128" s="59"/>
      <c r="M128" s="57" t="s">
        <v>10</v>
      </c>
      <c r="N128" s="58" t="s">
        <v>10</v>
      </c>
      <c r="O128" s="96" t="s">
        <v>10</v>
      </c>
      <c r="P128" s="98"/>
      <c r="Q128" s="57">
        <f t="shared" si="22"/>
        <v>1599.4922887126199</v>
      </c>
      <c r="R128" s="58">
        <f t="shared" si="21"/>
        <v>26480.483446464401</v>
      </c>
    </row>
    <row r="129" spans="1:21" x14ac:dyDescent="0.25">
      <c r="A129" s="148" t="s">
        <v>57</v>
      </c>
      <c r="B129" s="148"/>
      <c r="C129" s="148"/>
      <c r="D129" s="149"/>
      <c r="E129" s="63">
        <f>SUM(E123:E128)</f>
        <v>8938.8193318503509</v>
      </c>
      <c r="F129" s="64">
        <f>SUM(F123:F128)</f>
        <v>171714.8679970369</v>
      </c>
      <c r="G129" s="65">
        <f>+F129/E129</f>
        <v>19.210016627720748</v>
      </c>
      <c r="H129" s="65"/>
      <c r="I129" s="63">
        <f>SUM(I123:I128)</f>
        <v>8104.4954656021091</v>
      </c>
      <c r="J129" s="64">
        <f>SUM(J123:J128)</f>
        <v>151725.2609214283</v>
      </c>
      <c r="K129" s="65">
        <f>+J129/I129</f>
        <v>18.721123549935399</v>
      </c>
      <c r="L129" s="65"/>
      <c r="M129" s="63"/>
      <c r="N129" s="64"/>
      <c r="O129" s="111"/>
      <c r="P129" s="65"/>
      <c r="Q129" s="63">
        <f>SUM(Q123:Q128)</f>
        <v>17043.314797452462</v>
      </c>
      <c r="R129" s="64">
        <f>SUM(R123:R128)</f>
        <v>323440.12891846517</v>
      </c>
      <c r="T129" s="34">
        <f>SUM(E129,I129)</f>
        <v>17043.314797452462</v>
      </c>
      <c r="U129" s="34">
        <f>SUM(F129,J129)</f>
        <v>323440.12891846523</v>
      </c>
    </row>
    <row r="130" spans="1:21" x14ac:dyDescent="0.25">
      <c r="A130" s="131">
        <v>44680</v>
      </c>
      <c r="B130" s="104" t="s">
        <v>18</v>
      </c>
      <c r="C130" s="104">
        <v>-0.1</v>
      </c>
      <c r="D130" s="105">
        <v>0.27152777777777776</v>
      </c>
      <c r="E130" s="57">
        <f>Effort!J128</f>
        <v>820.17391304347802</v>
      </c>
      <c r="F130" s="58">
        <f>Harvest!J128</f>
        <v>16312.347826087</v>
      </c>
      <c r="G130" s="59">
        <f>CPUE!J128</f>
        <v>19.888888888888946</v>
      </c>
      <c r="H130" s="59"/>
      <c r="I130" s="57" t="str">
        <f>Effort!L128</f>
        <v>CLOSED</v>
      </c>
      <c r="J130" s="58" t="str">
        <f>Harvest!L128</f>
        <v>CLOSED</v>
      </c>
      <c r="K130" s="59" t="str">
        <f>CPUE!L128</f>
        <v>CLOSED</v>
      </c>
      <c r="L130" s="59"/>
      <c r="M130" s="57" t="s">
        <v>10</v>
      </c>
      <c r="N130" s="58" t="s">
        <v>10</v>
      </c>
      <c r="O130" s="140" t="s">
        <v>10</v>
      </c>
      <c r="P130" s="96"/>
      <c r="Q130" s="57">
        <f t="shared" ref="Q130:Q136" si="23">SUM(E130,I130)</f>
        <v>820.17391304347802</v>
      </c>
      <c r="R130" s="58">
        <f t="shared" ref="R130:R137" si="24">SUM(F130,J130)</f>
        <v>16312.347826087</v>
      </c>
    </row>
    <row r="131" spans="1:21" x14ac:dyDescent="0.25">
      <c r="A131" s="131">
        <v>44681</v>
      </c>
      <c r="B131" s="104" t="s">
        <v>19</v>
      </c>
      <c r="C131" s="104">
        <v>-0.5</v>
      </c>
      <c r="D131" s="105">
        <v>0.2986111111111111</v>
      </c>
      <c r="E131" s="57" t="str">
        <f>Effort!J129</f>
        <v>CLOSED</v>
      </c>
      <c r="F131" s="58" t="str">
        <f>Harvest!J129</f>
        <v>CLOSED</v>
      </c>
      <c r="G131" s="59" t="str">
        <f>CPUE!J129</f>
        <v>CLOSED</v>
      </c>
      <c r="H131" s="59"/>
      <c r="I131" s="57">
        <f>Effort!L129</f>
        <v>1555.4242618798901</v>
      </c>
      <c r="J131" s="58">
        <f>Harvest!L129</f>
        <v>30413.508439736601</v>
      </c>
      <c r="K131" s="59">
        <f>CPUE!L129</f>
        <v>19.553191489361719</v>
      </c>
      <c r="L131" s="59"/>
      <c r="M131" s="57" t="s">
        <v>10</v>
      </c>
      <c r="N131" s="58" t="s">
        <v>10</v>
      </c>
      <c r="O131" s="96" t="s">
        <v>10</v>
      </c>
      <c r="P131" s="96"/>
      <c r="Q131" s="57">
        <f t="shared" si="23"/>
        <v>1555.4242618798901</v>
      </c>
      <c r="R131" s="58">
        <f t="shared" si="24"/>
        <v>30413.508439736601</v>
      </c>
    </row>
    <row r="132" spans="1:21" x14ac:dyDescent="0.25">
      <c r="A132" s="131">
        <v>44682</v>
      </c>
      <c r="B132" s="104" t="s">
        <v>20</v>
      </c>
      <c r="C132" s="104">
        <v>-0.8</v>
      </c>
      <c r="D132" s="105">
        <v>0.32430555555555557</v>
      </c>
      <c r="E132" s="57">
        <f>Effort!J130</f>
        <v>4034.16650636329</v>
      </c>
      <c r="F132" s="58">
        <f>Harvest!J130</f>
        <v>80683.330127265799</v>
      </c>
      <c r="G132" s="59">
        <f>CPUE!J130</f>
        <v>20</v>
      </c>
      <c r="H132" s="59"/>
      <c r="I132" s="57" t="str">
        <f>Effort!L130</f>
        <v>CLOSED</v>
      </c>
      <c r="J132" s="58" t="str">
        <f>Harvest!L130</f>
        <v>CLOSED</v>
      </c>
      <c r="K132" s="59" t="str">
        <f>CPUE!L130</f>
        <v>CLOSED</v>
      </c>
      <c r="L132" s="59"/>
      <c r="M132" s="57" t="s">
        <v>10</v>
      </c>
      <c r="N132" s="58" t="s">
        <v>10</v>
      </c>
      <c r="O132" s="96" t="s">
        <v>10</v>
      </c>
      <c r="P132" s="60"/>
      <c r="Q132" s="57">
        <f t="shared" si="23"/>
        <v>4034.16650636329</v>
      </c>
      <c r="R132" s="58">
        <f t="shared" si="24"/>
        <v>80683.330127265799</v>
      </c>
    </row>
    <row r="133" spans="1:21" x14ac:dyDescent="0.25">
      <c r="A133" s="131">
        <v>44683</v>
      </c>
      <c r="B133" s="104" t="s">
        <v>21</v>
      </c>
      <c r="C133" s="104">
        <v>-0.8</v>
      </c>
      <c r="D133" s="105">
        <v>0.34861111111111115</v>
      </c>
      <c r="E133" s="57" t="str">
        <f>Effort!J131</f>
        <v>CLOSED</v>
      </c>
      <c r="F133" s="58" t="str">
        <f>Harvest!J131</f>
        <v>CLOSED</v>
      </c>
      <c r="G133" s="59" t="str">
        <f>CPUE!J131</f>
        <v>CLOSED</v>
      </c>
      <c r="H133" s="59"/>
      <c r="I133" s="57">
        <f>Effort!L131</f>
        <v>818.28700452123303</v>
      </c>
      <c r="J133" s="58">
        <f>Harvest!L131</f>
        <v>16365.740090424701</v>
      </c>
      <c r="K133" s="59">
        <f>CPUE!L131</f>
        <v>20.00000000000005</v>
      </c>
      <c r="L133" s="59"/>
      <c r="M133" s="57" t="s">
        <v>10</v>
      </c>
      <c r="N133" s="58" t="s">
        <v>10</v>
      </c>
      <c r="O133" s="96" t="s">
        <v>10</v>
      </c>
      <c r="P133" s="96"/>
      <c r="Q133" s="57">
        <f t="shared" si="23"/>
        <v>818.28700452123303</v>
      </c>
      <c r="R133" s="58">
        <f t="shared" si="24"/>
        <v>16365.740090424701</v>
      </c>
    </row>
    <row r="134" spans="1:21" x14ac:dyDescent="0.25">
      <c r="A134" s="131">
        <v>44684</v>
      </c>
      <c r="B134" s="104" t="s">
        <v>22</v>
      </c>
      <c r="C134" s="104">
        <v>-0.7</v>
      </c>
      <c r="D134" s="105">
        <v>0.37291666666666662</v>
      </c>
      <c r="E134" s="57">
        <f>Effort!J132</f>
        <v>2326.66657421324</v>
      </c>
      <c r="F134" s="58">
        <f>Harvest!J132</f>
        <v>40483.998391310401</v>
      </c>
      <c r="G134" s="59">
        <f>CPUE!J132</f>
        <v>17.400000000000009</v>
      </c>
      <c r="H134" s="59"/>
      <c r="I134" s="57" t="str">
        <f>Effort!L132</f>
        <v>CLOSED</v>
      </c>
      <c r="J134" s="58" t="str">
        <f>Harvest!L132</f>
        <v>CLOSED</v>
      </c>
      <c r="K134" s="59" t="str">
        <f>CPUE!L132</f>
        <v>CLOSED</v>
      </c>
      <c r="L134" s="59"/>
      <c r="M134" s="57" t="s">
        <v>10</v>
      </c>
      <c r="N134" s="58" t="s">
        <v>10</v>
      </c>
      <c r="O134" s="96" t="s">
        <v>10</v>
      </c>
      <c r="P134" s="60"/>
      <c r="Q134" s="57">
        <f t="shared" si="23"/>
        <v>2326.66657421324</v>
      </c>
      <c r="R134" s="58">
        <f t="shared" si="24"/>
        <v>40483.998391310401</v>
      </c>
    </row>
    <row r="135" spans="1:21" x14ac:dyDescent="0.25">
      <c r="A135" s="131">
        <v>44685</v>
      </c>
      <c r="B135" s="104" t="s">
        <v>23</v>
      </c>
      <c r="C135" s="104">
        <v>-0.4</v>
      </c>
      <c r="D135" s="105">
        <v>0.39861111111111108</v>
      </c>
      <c r="E135" s="57" t="str">
        <f>Effort!J133</f>
        <v>CLOSED</v>
      </c>
      <c r="F135" s="58" t="str">
        <f>Harvest!J133</f>
        <v>CLOSED</v>
      </c>
      <c r="G135" s="59" t="str">
        <f>CPUE!J133</f>
        <v>CLOSED</v>
      </c>
      <c r="H135" s="59"/>
      <c r="I135" s="57">
        <f>Effort!L133</f>
        <v>2099.5106868798698</v>
      </c>
      <c r="J135" s="58">
        <f>Harvest!L133</f>
        <v>41990.213737597398</v>
      </c>
      <c r="K135" s="59">
        <f>CPUE!L133</f>
        <v>20</v>
      </c>
      <c r="L135" s="59"/>
      <c r="M135" s="57" t="s">
        <v>10</v>
      </c>
      <c r="N135" s="58" t="s">
        <v>10</v>
      </c>
      <c r="O135" s="96" t="s">
        <v>10</v>
      </c>
      <c r="P135" s="60"/>
      <c r="Q135" s="57">
        <f t="shared" si="23"/>
        <v>2099.5106868798698</v>
      </c>
      <c r="R135" s="58">
        <f t="shared" si="24"/>
        <v>41990.213737597398</v>
      </c>
    </row>
    <row r="136" spans="1:21" x14ac:dyDescent="0.25">
      <c r="A136" s="131">
        <v>44686</v>
      </c>
      <c r="B136" s="104" t="s">
        <v>24</v>
      </c>
      <c r="C136" s="104">
        <v>-0.1</v>
      </c>
      <c r="D136" s="105">
        <v>0.42569444444444443</v>
      </c>
      <c r="E136" s="57">
        <f>Effort!J134</f>
        <v>1208.10666666667</v>
      </c>
      <c r="F136" s="58">
        <f>Harvest!J134</f>
        <v>13763.7866666667</v>
      </c>
      <c r="G136" s="59">
        <f>CPUE!J134</f>
        <v>11.392857142857139</v>
      </c>
      <c r="H136" s="59"/>
      <c r="I136" s="57" t="str">
        <f>Effort!L134</f>
        <v>CLOSED</v>
      </c>
      <c r="J136" s="58" t="str">
        <f>Harvest!L134</f>
        <v>CLOSED</v>
      </c>
      <c r="K136" s="59" t="str">
        <f>CPUE!L134</f>
        <v>CLOSED</v>
      </c>
      <c r="L136" s="59"/>
      <c r="M136" s="57" t="s">
        <v>10</v>
      </c>
      <c r="N136" s="58" t="s">
        <v>10</v>
      </c>
      <c r="O136" s="96" t="s">
        <v>10</v>
      </c>
      <c r="P136" s="60"/>
      <c r="Q136" s="57">
        <f t="shared" si="23"/>
        <v>1208.10666666667</v>
      </c>
      <c r="R136" s="58">
        <f t="shared" si="24"/>
        <v>13763.7866666667</v>
      </c>
    </row>
    <row r="137" spans="1:21" x14ac:dyDescent="0.25">
      <c r="A137" s="131">
        <v>44687</v>
      </c>
      <c r="B137" s="104" t="s">
        <v>18</v>
      </c>
      <c r="C137" s="104">
        <v>0.2</v>
      </c>
      <c r="D137" s="105">
        <v>0.45624999999999999</v>
      </c>
      <c r="E137" s="57" t="str">
        <f>Effort!J135</f>
        <v>CLOSED</v>
      </c>
      <c r="F137" s="58" t="str">
        <f>Harvest!J135</f>
        <v>CLOSED</v>
      </c>
      <c r="G137" s="59" t="str">
        <f>CPUE!J135</f>
        <v>CLOSED</v>
      </c>
      <c r="H137" s="59"/>
      <c r="I137" s="57">
        <f>Effort!L135</f>
        <v>934.92059777022803</v>
      </c>
      <c r="J137" s="58">
        <f>Harvest!L135</f>
        <v>18067.3405519097</v>
      </c>
      <c r="K137" s="59">
        <f>CPUE!L135</f>
        <v>19.325000000000045</v>
      </c>
      <c r="L137" s="59"/>
      <c r="M137" s="57" t="s">
        <v>10</v>
      </c>
      <c r="N137" s="58" t="s">
        <v>10</v>
      </c>
      <c r="O137" s="96" t="s">
        <v>10</v>
      </c>
      <c r="P137" s="60"/>
      <c r="Q137" s="57">
        <f>SUM(E137,I137)</f>
        <v>934.92059777022803</v>
      </c>
      <c r="R137" s="58">
        <f t="shared" si="24"/>
        <v>18067.3405519097</v>
      </c>
    </row>
    <row r="138" spans="1:21" x14ac:dyDescent="0.25">
      <c r="A138" s="131">
        <v>44688</v>
      </c>
      <c r="B138" s="104" t="s">
        <v>19</v>
      </c>
      <c r="C138" s="104">
        <v>0.5</v>
      </c>
      <c r="D138" s="105">
        <v>0.4916666666666667</v>
      </c>
      <c r="E138" s="57">
        <f>Effort!J136</f>
        <v>4385.3481462015998</v>
      </c>
      <c r="F138" s="58">
        <f>Harvest!J136</f>
        <v>72090.8451351189</v>
      </c>
      <c r="G138" s="59">
        <f>CPUE!J136</f>
        <v>16.439024390243883</v>
      </c>
      <c r="H138" s="59"/>
      <c r="I138" s="57" t="str">
        <f>Effort!L136</f>
        <v>CLOSED</v>
      </c>
      <c r="J138" s="58" t="str">
        <f>Harvest!L136</f>
        <v>CLOSED</v>
      </c>
      <c r="K138" s="59" t="str">
        <f>CPUE!L136</f>
        <v>CLOSED</v>
      </c>
      <c r="L138" s="59"/>
      <c r="M138" s="57" t="s">
        <v>10</v>
      </c>
      <c r="N138" s="58" t="s">
        <v>10</v>
      </c>
      <c r="O138" s="96" t="s">
        <v>10</v>
      </c>
      <c r="P138" s="98"/>
      <c r="Q138" s="57">
        <f>SUM(E138,I138)</f>
        <v>4385.3481462015998</v>
      </c>
      <c r="R138" s="58">
        <f>SUM(F138,J138)</f>
        <v>72090.8451351189</v>
      </c>
    </row>
    <row r="139" spans="1:21" ht="15.75" thickBot="1" x14ac:dyDescent="0.3">
      <c r="A139" s="148" t="s">
        <v>57</v>
      </c>
      <c r="B139" s="148"/>
      <c r="C139" s="148"/>
      <c r="D139" s="149"/>
      <c r="E139" s="63">
        <f>SUM(E130:E138)</f>
        <v>12774.461806488278</v>
      </c>
      <c r="F139" s="64">
        <f>SUM(F130:F138)</f>
        <v>223334.30814644881</v>
      </c>
      <c r="G139" s="65">
        <f>+F139/E139</f>
        <v>17.482874153885298</v>
      </c>
      <c r="H139" s="65"/>
      <c r="I139" s="63">
        <f>SUM(I130:I138)</f>
        <v>5408.1425510512199</v>
      </c>
      <c r="J139" s="64">
        <f>SUM(J130:J138)</f>
        <v>106836.8028196684</v>
      </c>
      <c r="K139" s="65">
        <f>+J139/I139</f>
        <v>19.754805242495273</v>
      </c>
      <c r="L139" s="65"/>
      <c r="M139" s="63"/>
      <c r="N139" s="64"/>
      <c r="O139" s="111"/>
      <c r="P139" s="65"/>
      <c r="Q139" s="63">
        <f>SUM(Q130:Q138)</f>
        <v>18182.604357539498</v>
      </c>
      <c r="R139" s="64">
        <f>SUM(R130:R138)</f>
        <v>330171.11096611724</v>
      </c>
      <c r="T139" s="34">
        <f>SUM(E139,I139)</f>
        <v>18182.604357539498</v>
      </c>
      <c r="U139" s="34">
        <f>SUM(F139,J139)</f>
        <v>330171.11096611724</v>
      </c>
    </row>
    <row r="140" spans="1:21" ht="15.75" thickTop="1" x14ac:dyDescent="0.25">
      <c r="A140" s="75" t="s">
        <v>58</v>
      </c>
      <c r="B140" s="76"/>
      <c r="C140" s="76"/>
      <c r="D140" s="76"/>
      <c r="E140" s="77">
        <f>SUM(E13,E23,E31,E40,E50,E60,E70,E78,E86,E93,E99,E107,E115,E122,E129,E139)</f>
        <v>96380.323897872542</v>
      </c>
      <c r="F140" s="77">
        <f>SUM(F13,F23,F31,F40,F50,F60,F70,F78,F86,F122,F93,F99,F107,F115,F129,F139)</f>
        <v>1612069.4275431717</v>
      </c>
      <c r="G140" s="78">
        <f>+F140/E140</f>
        <v>16.726125855847595</v>
      </c>
      <c r="H140" s="78"/>
      <c r="I140" s="77">
        <f>SUM(I13,I23,I31,I40,I50,I60,I70,I78,I86,I93,I99,I107,I115,I122,I129,I139)</f>
        <v>74908.370853627886</v>
      </c>
      <c r="J140" s="77">
        <f>SUM(J13,J23,J31,J40,J50,J60,J70,J78,J86,J93,J99,J107,J115,J122,J129,J139)</f>
        <v>1233103.490548763</v>
      </c>
      <c r="K140" s="78">
        <f>+J140/I140</f>
        <v>16.461491239186955</v>
      </c>
      <c r="L140" s="78"/>
      <c r="M140" s="77">
        <f>SUM(M13)</f>
        <v>0</v>
      </c>
      <c r="N140" s="77">
        <f>SUM(N13)</f>
        <v>0</v>
      </c>
      <c r="O140" s="78">
        <v>0</v>
      </c>
      <c r="P140" s="78"/>
      <c r="Q140" s="77">
        <f>SUM(Q13,Q23,Q31,Q40,Q50,Q60,Q70,Q78,Q86,Q93,Q99,Q107,Q115,Q122,Q129,Q139)</f>
        <v>171288.69475150038</v>
      </c>
      <c r="R140" s="77">
        <f>SUM(R13,R23,R31,R40,R50,R60,R70,R78,R86,R93,R99,R107,R115,R122,R129,R139)</f>
        <v>2845172.9180919346</v>
      </c>
      <c r="T140" s="34">
        <f>SUM(T13,T23,T31,T40,T50,T60,T70,T78,T86,T93,T99,T107,T115,T122,T129,T139)</f>
        <v>171288.69475150038</v>
      </c>
      <c r="U140" s="34">
        <f>SUM(U13,U23,U31,U40,U50,U60,U70,U78,U86,U93,U99,U107,U115,U122,U129,U139)</f>
        <v>2845172.9180919342</v>
      </c>
    </row>
    <row r="141" spans="1:21" x14ac:dyDescent="0.25">
      <c r="A141" s="79" t="s">
        <v>59</v>
      </c>
      <c r="B141" s="80"/>
      <c r="C141" s="80"/>
      <c r="D141" s="80"/>
      <c r="E141" s="81"/>
      <c r="F141" s="81">
        <f>Harvest!J140</f>
        <v>45517.254424748375</v>
      </c>
      <c r="G141" s="82"/>
      <c r="H141" s="82"/>
      <c r="I141" s="81"/>
      <c r="J141" s="81">
        <f>Harvest!L140</f>
        <v>22195.862829877744</v>
      </c>
      <c r="K141" s="82"/>
      <c r="L141" s="82"/>
      <c r="M141" s="81"/>
      <c r="N141" s="81">
        <f>Harvest!N140</f>
        <v>0</v>
      </c>
      <c r="O141" s="82"/>
      <c r="P141" s="82"/>
      <c r="Q141" s="81"/>
      <c r="R141" s="81"/>
      <c r="T141" s="34">
        <f>SUM(E140,I140)</f>
        <v>171288.69475150044</v>
      </c>
      <c r="U141" s="34">
        <f>SUM(F140,J140)</f>
        <v>2845172.9180919346</v>
      </c>
    </row>
    <row r="142" spans="1:21" x14ac:dyDescent="0.25">
      <c r="A142" s="83" t="s">
        <v>60</v>
      </c>
      <c r="B142" s="84"/>
      <c r="C142" s="84"/>
      <c r="D142" s="84"/>
      <c r="E142" s="85">
        <f>Effort!J138</f>
        <v>96380.323897872571</v>
      </c>
      <c r="F142" s="85">
        <f>F140+F141</f>
        <v>1657586.6819679202</v>
      </c>
      <c r="G142" s="86"/>
      <c r="H142" s="86"/>
      <c r="I142" s="85">
        <f>Effort!L138</f>
        <v>74908.370853627872</v>
      </c>
      <c r="J142" s="85">
        <f>J140+J141</f>
        <v>1255299.3533786407</v>
      </c>
      <c r="K142" s="86"/>
      <c r="L142" s="86"/>
      <c r="M142" s="85">
        <f>Effort!N138</f>
        <v>0</v>
      </c>
      <c r="N142" s="85">
        <f>N140+N141</f>
        <v>0</v>
      </c>
      <c r="O142" s="86"/>
      <c r="P142" s="86"/>
      <c r="Q142" s="85">
        <f>SUM(Q140:Q141)</f>
        <v>171288.69475150038</v>
      </c>
      <c r="R142" s="87">
        <f>SUM(R140:R141)</f>
        <v>2845172.9180919346</v>
      </c>
    </row>
    <row r="143" spans="1:21" x14ac:dyDescent="0.25">
      <c r="A143" s="88" t="s">
        <v>14</v>
      </c>
      <c r="B143" s="89"/>
      <c r="C143" s="89"/>
      <c r="D143" s="89"/>
      <c r="E143" s="89"/>
      <c r="F143" s="90">
        <f>Harvest!J143</f>
        <v>0.50171790993371623</v>
      </c>
      <c r="G143" s="89"/>
      <c r="H143" s="89"/>
      <c r="I143" s="89"/>
      <c r="J143" s="90">
        <f>Harvest!L143</f>
        <v>0.63756078780912306</v>
      </c>
      <c r="K143" s="89"/>
      <c r="L143" s="89"/>
      <c r="M143" s="89"/>
      <c r="N143" s="90">
        <f>Harvest!N143</f>
        <v>0</v>
      </c>
      <c r="O143" s="89"/>
      <c r="P143" s="89"/>
      <c r="Q143" s="89"/>
      <c r="R143" s="91"/>
    </row>
    <row r="145" spans="18:18" x14ac:dyDescent="0.25">
      <c r="R145" s="34"/>
    </row>
  </sheetData>
  <mergeCells count="20">
    <mergeCell ref="A40:D40"/>
    <mergeCell ref="A122:D122"/>
    <mergeCell ref="A115:D115"/>
    <mergeCell ref="A23:D23"/>
    <mergeCell ref="Q2:R2"/>
    <mergeCell ref="A13:D13"/>
    <mergeCell ref="E2:H2"/>
    <mergeCell ref="I2:L2"/>
    <mergeCell ref="M2:P2"/>
    <mergeCell ref="A31:D31"/>
    <mergeCell ref="A99:D99"/>
    <mergeCell ref="A93:D93"/>
    <mergeCell ref="A86:D86"/>
    <mergeCell ref="A78:D78"/>
    <mergeCell ref="A70:D70"/>
    <mergeCell ref="A139:D139"/>
    <mergeCell ref="A129:D129"/>
    <mergeCell ref="A107:D107"/>
    <mergeCell ref="A60:D60"/>
    <mergeCell ref="A50:D50"/>
  </mergeCells>
  <pageMargins left="0.7" right="0.7" top="0.75" bottom="0.75" header="0.3" footer="0.3"/>
  <pageSetup scale="7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"/>
  <sheetViews>
    <sheetView workbookViewId="0">
      <selection activeCell="B9" sqref="B9"/>
    </sheetView>
  </sheetViews>
  <sheetFormatPr defaultRowHeight="15" x14ac:dyDescent="0.25"/>
  <cols>
    <col min="1" max="1" width="25.140625" customWidth="1"/>
    <col min="2" max="2" width="14.5703125" customWidth="1"/>
    <col min="3" max="3" width="13.140625" style="34" customWidth="1"/>
    <col min="4" max="5" width="11.140625" customWidth="1"/>
    <col min="6" max="6" width="11.5703125" customWidth="1"/>
    <col min="7" max="8" width="12.28515625" customWidth="1"/>
    <col min="9" max="9" width="11.7109375" customWidth="1"/>
    <col min="10" max="10" width="11.85546875" customWidth="1"/>
    <col min="11" max="11" width="10.85546875" customWidth="1"/>
    <col min="12" max="12" width="11.42578125" customWidth="1"/>
  </cols>
  <sheetData>
    <row r="1" spans="1:13" x14ac:dyDescent="0.25">
      <c r="A1" s="38" t="s">
        <v>35</v>
      </c>
      <c r="B1" s="38"/>
      <c r="C1" s="67"/>
      <c r="D1" s="38"/>
      <c r="E1" s="38"/>
      <c r="F1" s="38"/>
      <c r="G1" s="38"/>
      <c r="H1" s="38"/>
      <c r="I1" s="38"/>
      <c r="J1" s="38"/>
    </row>
    <row r="2" spans="1:13" x14ac:dyDescent="0.25">
      <c r="A2" s="38"/>
      <c r="B2" s="38"/>
      <c r="C2" s="67"/>
      <c r="D2" s="38"/>
      <c r="E2" s="38"/>
      <c r="F2" s="38"/>
      <c r="G2" s="38"/>
      <c r="H2" s="38"/>
      <c r="I2" s="38"/>
      <c r="J2" s="38"/>
    </row>
    <row r="3" spans="1:13" ht="15.75" thickBot="1" x14ac:dyDescent="0.3">
      <c r="A3" s="38"/>
      <c r="B3" s="38" t="s">
        <v>67</v>
      </c>
      <c r="C3" s="67" t="s">
        <v>63</v>
      </c>
      <c r="D3" s="67" t="s">
        <v>51</v>
      </c>
      <c r="E3" s="20" t="s">
        <v>36</v>
      </c>
      <c r="F3" s="20" t="s">
        <v>37</v>
      </c>
      <c r="G3" s="38" t="s">
        <v>38</v>
      </c>
      <c r="H3" s="20" t="s">
        <v>39</v>
      </c>
      <c r="I3" s="38" t="s">
        <v>40</v>
      </c>
      <c r="J3" s="20" t="s">
        <v>41</v>
      </c>
      <c r="K3" s="20" t="s">
        <v>42</v>
      </c>
      <c r="L3" s="20" t="s">
        <v>43</v>
      </c>
      <c r="M3" s="20" t="s">
        <v>44</v>
      </c>
    </row>
    <row r="4" spans="1:13" x14ac:dyDescent="0.25">
      <c r="A4" s="39" t="s">
        <v>45</v>
      </c>
      <c r="B4" s="68">
        <v>8659225.1363386046</v>
      </c>
      <c r="C4" s="68">
        <v>9916787</v>
      </c>
      <c r="D4" s="68">
        <v>5205466.8000000007</v>
      </c>
      <c r="E4" s="40">
        <v>333557</v>
      </c>
      <c r="F4" s="40">
        <v>872679.52221495111</v>
      </c>
      <c r="G4" s="40">
        <v>4895623.5998578668</v>
      </c>
      <c r="H4" s="40">
        <v>4768605</v>
      </c>
      <c r="I4" s="40">
        <v>3885491.5446236241</v>
      </c>
      <c r="J4" s="40">
        <v>2881223.2800000003</v>
      </c>
      <c r="K4" s="40">
        <v>1847952.1349999998</v>
      </c>
      <c r="L4" s="40">
        <v>1094641.4136540764</v>
      </c>
      <c r="M4" s="40">
        <v>1276247.6927039789</v>
      </c>
    </row>
    <row r="5" spans="1:13" x14ac:dyDescent="0.25">
      <c r="A5" s="41" t="s">
        <v>46</v>
      </c>
      <c r="B5" s="69">
        <v>3411777.8284151079</v>
      </c>
      <c r="C5" s="69">
        <v>2084291</v>
      </c>
      <c r="D5" s="69">
        <v>1843227.2000000002</v>
      </c>
      <c r="E5" s="42">
        <v>1377125</v>
      </c>
      <c r="F5" s="42">
        <v>506698.75607162755</v>
      </c>
      <c r="G5" s="42">
        <v>1896630.873404826</v>
      </c>
      <c r="H5" s="42">
        <v>1198600</v>
      </c>
      <c r="I5" s="42">
        <v>2662860.8000000003</v>
      </c>
      <c r="J5" s="42">
        <f>5744410.73323314*0.4</f>
        <v>2297764.2932932558</v>
      </c>
      <c r="K5" s="42">
        <v>1881783.2000000002</v>
      </c>
      <c r="L5" s="42">
        <v>616314.30636927264</v>
      </c>
      <c r="M5" s="42">
        <v>845427.66684737173</v>
      </c>
    </row>
    <row r="6" spans="1:13" x14ac:dyDescent="0.25">
      <c r="A6" s="41" t="s">
        <v>47</v>
      </c>
      <c r="B6" s="69">
        <v>3303822.0265784604</v>
      </c>
      <c r="C6" s="69">
        <v>2369701</v>
      </c>
      <c r="D6" s="69">
        <v>2036078.6</v>
      </c>
      <c r="E6" s="42">
        <v>860768</v>
      </c>
      <c r="F6" s="42">
        <v>591366.11976499634</v>
      </c>
      <c r="G6" s="42">
        <v>880571.44910342421</v>
      </c>
      <c r="H6" s="42">
        <v>1094781</v>
      </c>
      <c r="I6" s="43">
        <v>889827.43342746096</v>
      </c>
      <c r="J6" s="44">
        <f>(2615522*0.5)-(161153)+250000</f>
        <v>1396608</v>
      </c>
      <c r="K6" s="42">
        <v>1072689.5999999999</v>
      </c>
      <c r="L6" s="42">
        <v>371373.03795949166</v>
      </c>
      <c r="M6" s="42">
        <v>683167.40704835602</v>
      </c>
    </row>
    <row r="7" spans="1:13" x14ac:dyDescent="0.25">
      <c r="A7" s="41" t="s">
        <v>48</v>
      </c>
      <c r="B7" s="69">
        <v>1968909.2826619395</v>
      </c>
      <c r="C7" s="69">
        <v>2330621</v>
      </c>
      <c r="D7" s="69">
        <v>1649890.4000000001</v>
      </c>
      <c r="E7" s="42">
        <v>1508774</v>
      </c>
      <c r="F7" s="42">
        <v>778354.53277878079</v>
      </c>
      <c r="G7" s="42">
        <v>941919.24030067341</v>
      </c>
      <c r="H7" s="42">
        <v>1695074</v>
      </c>
      <c r="I7" s="42">
        <v>2240308.7479108246</v>
      </c>
      <c r="J7" s="42">
        <v>2088668.5</v>
      </c>
      <c r="K7" s="42">
        <v>909667.35</v>
      </c>
      <c r="L7" s="42">
        <v>605830.70008886908</v>
      </c>
      <c r="M7" s="42">
        <v>545586.68998891278</v>
      </c>
    </row>
    <row r="8" spans="1:13" ht="15.75" thickBot="1" x14ac:dyDescent="0.3">
      <c r="A8" s="45" t="s">
        <v>49</v>
      </c>
      <c r="B8" s="70">
        <v>101655.06316024926</v>
      </c>
      <c r="C8" s="70">
        <v>362503</v>
      </c>
      <c r="D8" s="70">
        <v>219560.64800000002</v>
      </c>
      <c r="E8" s="46">
        <v>777386</v>
      </c>
      <c r="F8" s="46">
        <v>24444.430036493428</v>
      </c>
      <c r="G8" s="46">
        <v>725888.21174021007</v>
      </c>
      <c r="H8" s="46">
        <v>63740</v>
      </c>
      <c r="I8" s="46">
        <v>125735.12787535199</v>
      </c>
      <c r="J8" s="46">
        <f>1033285.9456848*0.254*0.5</f>
        <v>131227.31510196961</v>
      </c>
      <c r="K8" s="46">
        <v>113543.20699999999</v>
      </c>
      <c r="L8" s="46">
        <v>144560.51050788548</v>
      </c>
      <c r="M8" s="46">
        <v>258924.12448845015</v>
      </c>
    </row>
    <row r="9" spans="1:13" ht="16.5" thickBot="1" x14ac:dyDescent="0.3">
      <c r="A9" s="47" t="s">
        <v>50</v>
      </c>
      <c r="B9" s="71">
        <f t="shared" ref="B9:G9" si="0">SUM(B4:B8)</f>
        <v>17445389.337154362</v>
      </c>
      <c r="C9" s="71">
        <f t="shared" si="0"/>
        <v>17063903</v>
      </c>
      <c r="D9" s="71">
        <f t="shared" si="0"/>
        <v>10954223.648000002</v>
      </c>
      <c r="E9" s="48">
        <f t="shared" si="0"/>
        <v>4857610</v>
      </c>
      <c r="F9" s="48">
        <f t="shared" si="0"/>
        <v>2773543.3608668493</v>
      </c>
      <c r="G9" s="48">
        <f t="shared" si="0"/>
        <v>9340633.3744070008</v>
      </c>
      <c r="H9" s="48">
        <f t="shared" ref="H9:M9" si="1">SUM(H4:H8)</f>
        <v>8820800</v>
      </c>
      <c r="I9" s="48">
        <f t="shared" si="1"/>
        <v>9804223.6538372617</v>
      </c>
      <c r="J9" s="48">
        <f t="shared" si="1"/>
        <v>8795491.3883952256</v>
      </c>
      <c r="K9" s="48">
        <f t="shared" si="1"/>
        <v>5825635.4919999996</v>
      </c>
      <c r="L9" s="48">
        <f t="shared" si="1"/>
        <v>2832719.968579595</v>
      </c>
      <c r="M9" s="48">
        <f t="shared" si="1"/>
        <v>3609353.5810770695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topLeftCell="A76" workbookViewId="0">
      <selection activeCell="E8" sqref="E8"/>
    </sheetView>
  </sheetViews>
  <sheetFormatPr defaultRowHeight="15" x14ac:dyDescent="0.25"/>
  <sheetData>
    <row r="1" spans="1:5" x14ac:dyDescent="0.25">
      <c r="A1" s="120" t="s">
        <v>30</v>
      </c>
      <c r="B1" s="120" t="s">
        <v>31</v>
      </c>
      <c r="C1" s="120" t="s">
        <v>32</v>
      </c>
      <c r="D1" s="120" t="s">
        <v>33</v>
      </c>
      <c r="E1" s="120" t="s">
        <v>34</v>
      </c>
    </row>
    <row r="2" spans="1:5" x14ac:dyDescent="0.25">
      <c r="A2" s="121">
        <v>1780</v>
      </c>
      <c r="B2" s="122" t="s">
        <v>71</v>
      </c>
      <c r="C2" s="121">
        <v>100</v>
      </c>
      <c r="D2" s="121">
        <v>3</v>
      </c>
      <c r="E2" s="121">
        <v>3</v>
      </c>
    </row>
    <row r="3" spans="1:5" x14ac:dyDescent="0.25">
      <c r="A3" s="121">
        <v>1780</v>
      </c>
      <c r="B3" s="122" t="s">
        <v>72</v>
      </c>
      <c r="C3" s="121">
        <v>100</v>
      </c>
      <c r="D3" s="121">
        <v>1</v>
      </c>
      <c r="E3" s="121">
        <v>1</v>
      </c>
    </row>
    <row r="4" spans="1:5" x14ac:dyDescent="0.25">
      <c r="A4">
        <v>1798</v>
      </c>
      <c r="B4">
        <v>21200</v>
      </c>
      <c r="C4">
        <v>100</v>
      </c>
      <c r="D4">
        <v>1</v>
      </c>
      <c r="E4">
        <v>1</v>
      </c>
    </row>
    <row r="5" spans="1:5" x14ac:dyDescent="0.25">
      <c r="A5" s="142">
        <v>1986</v>
      </c>
      <c r="B5" s="142" t="s">
        <v>79</v>
      </c>
      <c r="C5" s="142">
        <v>100</v>
      </c>
      <c r="D5" s="142">
        <v>1</v>
      </c>
      <c r="E5" s="142">
        <v>1</v>
      </c>
    </row>
    <row r="6" spans="1:5" x14ac:dyDescent="0.25">
      <c r="A6" s="142">
        <v>1991</v>
      </c>
      <c r="B6" s="142" t="s">
        <v>80</v>
      </c>
      <c r="C6" s="142">
        <v>100</v>
      </c>
      <c r="D6" s="142">
        <v>1</v>
      </c>
      <c r="E6" s="142">
        <v>1</v>
      </c>
    </row>
    <row r="7" spans="1:5" x14ac:dyDescent="0.25">
      <c r="A7" s="142">
        <v>1984</v>
      </c>
      <c r="B7" s="142" t="s">
        <v>79</v>
      </c>
      <c r="C7" s="142">
        <v>100</v>
      </c>
      <c r="D7" s="142">
        <v>1</v>
      </c>
      <c r="E7" s="142">
        <v>1</v>
      </c>
    </row>
    <row r="8" spans="1:5" x14ac:dyDescent="0.25">
      <c r="A8" s="145">
        <v>1994</v>
      </c>
      <c r="B8">
        <v>22309</v>
      </c>
      <c r="C8" s="145">
        <v>100</v>
      </c>
      <c r="D8" s="145">
        <v>1</v>
      </c>
      <c r="E8" s="145">
        <v>1</v>
      </c>
    </row>
    <row r="100" spans="3:6" x14ac:dyDescent="0.25">
      <c r="C100">
        <f>SUM(C2:C99)</f>
        <v>700</v>
      </c>
      <c r="D100">
        <f>SUM(D2:D99)</f>
        <v>9</v>
      </c>
      <c r="E100">
        <f>SUM(E2:E99)</f>
        <v>9</v>
      </c>
      <c r="F100" s="37">
        <f>E100/C100</f>
        <v>1.2857142857142857E-2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"/>
  <sheetViews>
    <sheetView topLeftCell="A76" workbookViewId="0">
      <selection activeCell="D10" sqref="D10"/>
    </sheetView>
  </sheetViews>
  <sheetFormatPr defaultRowHeight="15" x14ac:dyDescent="0.25"/>
  <sheetData>
    <row r="1" spans="1:5" x14ac:dyDescent="0.25">
      <c r="A1" s="36" t="s">
        <v>30</v>
      </c>
      <c r="B1" s="36" t="s">
        <v>31</v>
      </c>
      <c r="C1" s="36" t="s">
        <v>32</v>
      </c>
      <c r="D1" s="36" t="s">
        <v>33</v>
      </c>
      <c r="E1" s="36" t="s">
        <v>34</v>
      </c>
    </row>
    <row r="2" spans="1:5" x14ac:dyDescent="0.25">
      <c r="A2" s="123">
        <v>1782</v>
      </c>
      <c r="B2" s="124" t="s">
        <v>73</v>
      </c>
      <c r="C2" s="123">
        <v>50</v>
      </c>
      <c r="D2" s="123">
        <v>3</v>
      </c>
      <c r="E2" s="123">
        <v>3</v>
      </c>
    </row>
    <row r="3" spans="1:5" x14ac:dyDescent="0.25">
      <c r="A3" s="123">
        <v>1782</v>
      </c>
      <c r="B3" s="124" t="s">
        <v>74</v>
      </c>
      <c r="C3" s="123">
        <v>50</v>
      </c>
      <c r="D3" s="123">
        <v>4</v>
      </c>
      <c r="E3" s="123">
        <v>4</v>
      </c>
    </row>
    <row r="4" spans="1:5" x14ac:dyDescent="0.25">
      <c r="A4" s="123">
        <v>1785</v>
      </c>
      <c r="B4" s="124" t="s">
        <v>75</v>
      </c>
      <c r="C4" s="123">
        <v>50</v>
      </c>
      <c r="D4" s="123">
        <v>4</v>
      </c>
      <c r="E4" s="123">
        <v>4</v>
      </c>
    </row>
    <row r="5" spans="1:5" x14ac:dyDescent="0.25">
      <c r="A5" s="141">
        <v>1870</v>
      </c>
      <c r="B5">
        <v>11101</v>
      </c>
      <c r="C5" s="141">
        <v>100</v>
      </c>
      <c r="D5" s="141">
        <v>1</v>
      </c>
      <c r="E5" s="141">
        <v>1</v>
      </c>
    </row>
    <row r="6" spans="1:5" x14ac:dyDescent="0.25">
      <c r="A6" s="141">
        <v>1910</v>
      </c>
      <c r="B6">
        <v>12400</v>
      </c>
      <c r="C6" s="141">
        <v>50</v>
      </c>
      <c r="D6" s="141">
        <v>3</v>
      </c>
      <c r="E6" s="141">
        <v>3</v>
      </c>
    </row>
    <row r="7" spans="1:5" x14ac:dyDescent="0.25">
      <c r="A7" s="141">
        <v>1910</v>
      </c>
      <c r="B7">
        <v>124</v>
      </c>
      <c r="C7" s="141">
        <v>50</v>
      </c>
      <c r="D7" s="141">
        <v>3</v>
      </c>
      <c r="E7" s="141">
        <v>3</v>
      </c>
    </row>
    <row r="8" spans="1:5" x14ac:dyDescent="0.25">
      <c r="A8" s="144">
        <v>1983</v>
      </c>
      <c r="B8" s="144" t="s">
        <v>75</v>
      </c>
      <c r="C8" s="144">
        <v>100</v>
      </c>
      <c r="D8" s="144">
        <v>0</v>
      </c>
      <c r="E8" s="73">
        <v>0</v>
      </c>
    </row>
    <row r="9" spans="1:5" x14ac:dyDescent="0.25">
      <c r="A9" s="144">
        <v>1931</v>
      </c>
      <c r="B9" s="144" t="s">
        <v>75</v>
      </c>
      <c r="C9" s="144">
        <v>100</v>
      </c>
      <c r="D9" s="144">
        <v>8</v>
      </c>
      <c r="E9" s="99">
        <v>8</v>
      </c>
    </row>
    <row r="10" spans="1:5" x14ac:dyDescent="0.25">
      <c r="A10" s="73">
        <v>1996</v>
      </c>
      <c r="B10" s="100">
        <v>12400</v>
      </c>
      <c r="C10" s="141">
        <v>50</v>
      </c>
      <c r="D10" s="141">
        <v>0</v>
      </c>
      <c r="E10" s="110">
        <v>0</v>
      </c>
    </row>
    <row r="11" spans="1:5" x14ac:dyDescent="0.25">
      <c r="A11" s="110">
        <v>2013</v>
      </c>
      <c r="B11">
        <v>12600</v>
      </c>
      <c r="C11" s="141">
        <v>50</v>
      </c>
      <c r="D11" s="141">
        <v>1</v>
      </c>
      <c r="E11" s="110">
        <v>1</v>
      </c>
    </row>
    <row r="100" spans="3:6" x14ac:dyDescent="0.25">
      <c r="C100">
        <f>SUM(C2:C99)</f>
        <v>650</v>
      </c>
      <c r="D100">
        <f>SUM(D2:D99)</f>
        <v>27</v>
      </c>
      <c r="E100">
        <f>SUM(E2:E99)</f>
        <v>27</v>
      </c>
      <c r="F100" s="37">
        <f>E100/C100</f>
        <v>4.1538461538461538E-2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"/>
  <sheetViews>
    <sheetView topLeftCell="A73" workbookViewId="0">
      <selection activeCell="E12" sqref="E12"/>
    </sheetView>
  </sheetViews>
  <sheetFormatPr defaultRowHeight="15" x14ac:dyDescent="0.25"/>
  <sheetData>
    <row r="1" spans="1:5" x14ac:dyDescent="0.25">
      <c r="A1" s="114" t="s">
        <v>30</v>
      </c>
      <c r="B1" s="114" t="s">
        <v>31</v>
      </c>
      <c r="C1" s="114" t="s">
        <v>32</v>
      </c>
      <c r="D1" s="114" t="s">
        <v>33</v>
      </c>
      <c r="E1" s="114" t="s">
        <v>34</v>
      </c>
    </row>
    <row r="2" spans="1:5" x14ac:dyDescent="0.25">
      <c r="A2" s="115">
        <v>1773</v>
      </c>
      <c r="B2" s="116" t="s">
        <v>68</v>
      </c>
      <c r="C2" s="115">
        <v>100</v>
      </c>
      <c r="D2" s="115">
        <v>5</v>
      </c>
      <c r="E2" s="115">
        <v>5</v>
      </c>
    </row>
    <row r="3" spans="1:5" x14ac:dyDescent="0.25">
      <c r="A3" s="115">
        <v>1773</v>
      </c>
      <c r="B3" s="116" t="s">
        <v>69</v>
      </c>
      <c r="C3" s="115">
        <v>100</v>
      </c>
      <c r="D3" s="115">
        <v>6</v>
      </c>
      <c r="E3" s="115">
        <v>6</v>
      </c>
    </row>
    <row r="4" spans="1:5" x14ac:dyDescent="0.25">
      <c r="A4">
        <v>1909</v>
      </c>
      <c r="B4">
        <v>31005</v>
      </c>
      <c r="C4">
        <v>100</v>
      </c>
      <c r="D4">
        <v>6</v>
      </c>
      <c r="E4">
        <v>6</v>
      </c>
    </row>
    <row r="5" spans="1:5" x14ac:dyDescent="0.25">
      <c r="A5">
        <v>1909</v>
      </c>
      <c r="B5">
        <v>32007</v>
      </c>
      <c r="C5">
        <v>100</v>
      </c>
      <c r="D5">
        <v>3</v>
      </c>
      <c r="E5">
        <v>3</v>
      </c>
    </row>
    <row r="6" spans="1:5" x14ac:dyDescent="0.25">
      <c r="A6" s="143">
        <v>1985</v>
      </c>
      <c r="B6" s="143" t="s">
        <v>69</v>
      </c>
      <c r="C6" s="143">
        <v>50</v>
      </c>
      <c r="D6" s="143">
        <v>1</v>
      </c>
      <c r="E6" s="143">
        <v>1</v>
      </c>
    </row>
    <row r="7" spans="1:5" x14ac:dyDescent="0.25">
      <c r="A7" s="143">
        <v>1985</v>
      </c>
      <c r="B7" s="143" t="s">
        <v>69</v>
      </c>
      <c r="C7" s="143">
        <v>50</v>
      </c>
      <c r="D7" s="143">
        <v>1</v>
      </c>
      <c r="E7" s="143">
        <v>1</v>
      </c>
    </row>
    <row r="8" spans="1:5" x14ac:dyDescent="0.25">
      <c r="A8" s="143">
        <v>1985</v>
      </c>
      <c r="B8" s="143" t="s">
        <v>68</v>
      </c>
      <c r="C8" s="143">
        <v>50</v>
      </c>
      <c r="D8" s="143">
        <v>1</v>
      </c>
      <c r="E8" s="143">
        <v>1</v>
      </c>
    </row>
    <row r="9" spans="1:5" x14ac:dyDescent="0.25">
      <c r="A9" s="146">
        <v>1995</v>
      </c>
      <c r="B9">
        <v>33012</v>
      </c>
      <c r="C9" s="146">
        <v>100</v>
      </c>
      <c r="D9" s="146">
        <v>1</v>
      </c>
      <c r="E9" s="146">
        <v>1</v>
      </c>
    </row>
    <row r="10" spans="1:5" x14ac:dyDescent="0.25">
      <c r="A10" s="146">
        <v>2015</v>
      </c>
      <c r="B10">
        <v>32009</v>
      </c>
      <c r="C10" s="146">
        <v>100</v>
      </c>
      <c r="D10" s="146">
        <v>0</v>
      </c>
      <c r="E10" s="146">
        <v>0</v>
      </c>
    </row>
    <row r="11" spans="1:5" x14ac:dyDescent="0.25">
      <c r="A11" s="146">
        <v>2018</v>
      </c>
      <c r="B11">
        <v>31005</v>
      </c>
      <c r="C11" s="146">
        <v>100</v>
      </c>
      <c r="D11" s="146">
        <v>0</v>
      </c>
      <c r="E11" s="146">
        <v>0</v>
      </c>
    </row>
    <row r="100" spans="3:6" x14ac:dyDescent="0.25">
      <c r="C100">
        <f>SUM(C2:C99)</f>
        <v>850</v>
      </c>
      <c r="D100">
        <f>SUM(D2:D99)</f>
        <v>24</v>
      </c>
      <c r="E100">
        <f>SUM(E2:E99)</f>
        <v>24</v>
      </c>
      <c r="F100" s="37">
        <f>E100/C100</f>
        <v>2.823529411764706E-2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"/>
  <sheetViews>
    <sheetView topLeftCell="A79" workbookViewId="0">
      <selection activeCell="E5" sqref="E5"/>
    </sheetView>
  </sheetViews>
  <sheetFormatPr defaultRowHeight="15" x14ac:dyDescent="0.25"/>
  <sheetData>
    <row r="1" spans="1:5" x14ac:dyDescent="0.25">
      <c r="A1" s="117" t="s">
        <v>30</v>
      </c>
      <c r="B1" s="117" t="s">
        <v>31</v>
      </c>
      <c r="C1" s="117" t="s">
        <v>32</v>
      </c>
      <c r="D1" s="117" t="s">
        <v>33</v>
      </c>
      <c r="E1" s="117" t="s">
        <v>34</v>
      </c>
    </row>
    <row r="2" spans="1:5" x14ac:dyDescent="0.25">
      <c r="A2" s="118">
        <v>1779</v>
      </c>
      <c r="B2" s="119" t="s">
        <v>70</v>
      </c>
      <c r="C2" s="118">
        <v>100</v>
      </c>
      <c r="D2" s="118">
        <v>1</v>
      </c>
      <c r="E2" s="118">
        <v>1</v>
      </c>
    </row>
    <row r="3" spans="1:5" x14ac:dyDescent="0.25">
      <c r="A3" s="73">
        <v>1871</v>
      </c>
      <c r="B3" s="74">
        <v>41300</v>
      </c>
      <c r="C3" s="73">
        <v>100</v>
      </c>
      <c r="D3" s="73">
        <v>2</v>
      </c>
      <c r="E3" s="73">
        <v>2</v>
      </c>
    </row>
    <row r="4" spans="1:5" x14ac:dyDescent="0.25">
      <c r="A4" s="73">
        <v>1997</v>
      </c>
      <c r="B4" s="74">
        <v>41200</v>
      </c>
      <c r="C4" s="73">
        <v>100</v>
      </c>
      <c r="D4" s="73">
        <v>3</v>
      </c>
      <c r="E4" s="73">
        <v>3</v>
      </c>
    </row>
    <row r="5" spans="1:5" x14ac:dyDescent="0.25">
      <c r="A5" s="73">
        <v>1997</v>
      </c>
      <c r="B5" s="109">
        <v>41300</v>
      </c>
      <c r="C5" s="110">
        <v>100</v>
      </c>
      <c r="D5" s="110">
        <v>1</v>
      </c>
      <c r="E5" s="110">
        <v>1</v>
      </c>
    </row>
    <row r="6" spans="1:5" x14ac:dyDescent="0.25">
      <c r="A6" s="110">
        <v>2004</v>
      </c>
      <c r="B6" s="109">
        <v>41300</v>
      </c>
      <c r="C6" s="110">
        <v>100</v>
      </c>
      <c r="D6" s="110">
        <v>2</v>
      </c>
      <c r="E6" s="110">
        <v>2</v>
      </c>
    </row>
    <row r="7" spans="1:5" x14ac:dyDescent="0.25">
      <c r="A7" s="110"/>
      <c r="B7" s="109"/>
      <c r="C7" s="110"/>
      <c r="D7" s="110"/>
      <c r="E7" s="110"/>
    </row>
    <row r="8" spans="1:5" x14ac:dyDescent="0.25">
      <c r="A8" s="110"/>
      <c r="B8" s="109"/>
      <c r="C8" s="110"/>
      <c r="D8" s="110"/>
      <c r="E8" s="110"/>
    </row>
    <row r="9" spans="1:5" x14ac:dyDescent="0.25">
      <c r="A9" s="110"/>
      <c r="B9" s="109"/>
      <c r="C9" s="110"/>
      <c r="D9" s="110"/>
      <c r="E9" s="110"/>
    </row>
    <row r="10" spans="1:5" x14ac:dyDescent="0.25">
      <c r="A10" s="110"/>
      <c r="B10" s="109"/>
      <c r="C10" s="110"/>
      <c r="D10" s="110"/>
      <c r="E10" s="110"/>
    </row>
    <row r="11" spans="1:5" x14ac:dyDescent="0.25">
      <c r="A11" s="110"/>
      <c r="B11" s="109"/>
      <c r="C11" s="110"/>
      <c r="D11" s="110"/>
      <c r="E11" s="110"/>
    </row>
    <row r="12" spans="1:5" x14ac:dyDescent="0.25">
      <c r="A12" s="110"/>
      <c r="B12" s="109"/>
      <c r="C12" s="110"/>
      <c r="D12" s="110"/>
      <c r="E12" s="110"/>
    </row>
    <row r="13" spans="1:5" x14ac:dyDescent="0.25">
      <c r="A13" s="110"/>
      <c r="B13" s="109"/>
      <c r="C13" s="110"/>
      <c r="D13" s="110"/>
      <c r="E13" s="110"/>
    </row>
    <row r="14" spans="1:5" x14ac:dyDescent="0.25">
      <c r="A14" s="110"/>
      <c r="B14" s="109"/>
      <c r="C14" s="110"/>
      <c r="D14" s="110"/>
      <c r="E14" s="110"/>
    </row>
    <row r="15" spans="1:5" x14ac:dyDescent="0.25">
      <c r="A15" s="110"/>
      <c r="B15" s="109"/>
      <c r="C15" s="110"/>
      <c r="D15" s="110"/>
      <c r="E15" s="110"/>
    </row>
    <row r="100" spans="3:6" x14ac:dyDescent="0.25">
      <c r="C100">
        <f>SUM(C2:C99)</f>
        <v>500</v>
      </c>
      <c r="D100">
        <f>SUM(D2:D99)</f>
        <v>9</v>
      </c>
      <c r="E100">
        <f>SUM(E2:E99)</f>
        <v>9</v>
      </c>
      <c r="F100" s="37">
        <f>E100/C100</f>
        <v>1.7999999999999999E-2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D22" sqref="D22"/>
    </sheetView>
  </sheetViews>
  <sheetFormatPr defaultRowHeight="15" x14ac:dyDescent="0.25"/>
  <cols>
    <col min="1" max="1" width="17.140625" customWidth="1"/>
    <col min="2" max="2" width="16.7109375" customWidth="1"/>
    <col min="4" max="4" width="16.42578125" customWidth="1"/>
  </cols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0" ma:contentTypeDescription="Create a new document." ma:contentTypeScope="" ma:versionID="be37b145ad5d1ea89c8963a27abed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E6C310-F409-419D-B9F9-4D47DEC00337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2.xml><?xml version="1.0" encoding="utf-8"?>
<ds:datastoreItem xmlns:ds="http://schemas.openxmlformats.org/officeDocument/2006/customXml" ds:itemID="{B5F730EE-7A3B-4050-926C-0324C4E7B8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026168-7E25-43D0-B3D8-17F9F67A07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Harvest</vt:lpstr>
      <vt:lpstr>Effort</vt:lpstr>
      <vt:lpstr>CPUE</vt:lpstr>
      <vt:lpstr>Summary Table</vt:lpstr>
      <vt:lpstr>Summary Table Public</vt:lpstr>
      <vt:lpstr>Tribal Update</vt:lpstr>
      <vt:lpstr>TAC</vt:lpstr>
      <vt:lpstr>TH Wastage</vt:lpstr>
      <vt:lpstr>LB Wastage</vt:lpstr>
      <vt:lpstr>Cop Wastage</vt:lpstr>
      <vt:lpstr>Moc Wastage</vt:lpstr>
      <vt:lpstr>Kal Wastage</vt:lpstr>
      <vt:lpstr>Copy Sheet</vt:lpstr>
      <vt:lpstr>'Tribal Update'!Print_Area</vt:lpstr>
    </vt:vector>
  </TitlesOfParts>
  <Company>Washington Dept of Fish &amp;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Blumenthal, Bryce W (DFW)</dc:creator>
  <cp:lastModifiedBy>George, Matthew (DFW)</cp:lastModifiedBy>
  <cp:lastPrinted>2022-05-09T16:04:09Z</cp:lastPrinted>
  <dcterms:created xsi:type="dcterms:W3CDTF">2019-10-01T18:03:52Z</dcterms:created>
  <dcterms:modified xsi:type="dcterms:W3CDTF">2023-11-15T22:16:09Z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2021-12-10T18:07:33Z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1da2ddb8-8f57-43fd-ab04-fabd66231eb5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0x010100245DFC7247A834468B68F53E17E77B58</vt:lpwstr>
  </property>
  <property fmtid="{D5CDD505-2E9C-101B-9397-08002B2CF9AE}" pid="10" name="MediaServiceImageTags">
    <vt:lpwstr/>
  </property>
  <property fmtid="{D5CDD505-2E9C-101B-9397-08002B2CF9AE}" pid="11" name="Order">
    <vt:r8>2816500</vt:r8>
  </property>
  <property fmtid="{D5CDD505-2E9C-101B-9397-08002B2CF9AE}" pid="12" name="TriggerFlowInfo">
    <vt:lpwstr/>
  </property>
  <property fmtid="{D5CDD505-2E9C-101B-9397-08002B2CF9AE}" pid="13" name="_SourceUrl">
    <vt:lpwstr/>
  </property>
  <property fmtid="{D5CDD505-2E9C-101B-9397-08002B2CF9AE}" pid="14" name="_SharedFileIndex">
    <vt:lpwstr/>
  </property>
  <property fmtid="{D5CDD505-2E9C-101B-9397-08002B2CF9AE}" pid="15" name="ComplianceAssetId">
    <vt:lpwstr/>
  </property>
  <property fmtid="{D5CDD505-2E9C-101B-9397-08002B2CF9AE}" pid="16" name="_ExtendedDescription">
    <vt:lpwstr/>
  </property>
</Properties>
</file>