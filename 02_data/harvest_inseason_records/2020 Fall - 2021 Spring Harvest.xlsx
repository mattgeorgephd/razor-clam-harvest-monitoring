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an Ayres/Ayres Data/A) RAZOR CLAM/1) Harvest. Recreational/2020-21/"/>
    </mc:Choice>
  </mc:AlternateContent>
  <xr:revisionPtr revIDLastSave="5" documentId="13_ncr:1_{A86F6329-A00D-48B4-9ACE-B56F18055F0E}" xr6:coauthVersionLast="47" xr6:coauthVersionMax="47" xr10:uidLastSave="{CC8EC6A4-7CD5-457A-BC37-DA126B332648}"/>
  <bookViews>
    <workbookView xWindow="-120" yWindow="-120" windowWidth="29040" windowHeight="15840" tabRatio="657" activeTab="2" xr2:uid="{00000000-000D-0000-FFFF-FFFF00000000}"/>
  </bookViews>
  <sheets>
    <sheet name="Harvest" sheetId="2" r:id="rId1"/>
    <sheet name="Effort" sheetId="1" r:id="rId2"/>
    <sheet name="CPUE" sheetId="3" r:id="rId3"/>
    <sheet name="Summary Table" sheetId="4" r:id="rId4"/>
    <sheet name="Tribal Update" sheetId="13" r:id="rId5"/>
    <sheet name="TAC" sheetId="5" r:id="rId6"/>
    <sheet name="TH Wastage" sheetId="6" r:id="rId7"/>
    <sheet name="LB Wastage" sheetId="7" r:id="rId8"/>
    <sheet name="Cop Wastage" sheetId="8" r:id="rId9"/>
    <sheet name="Moc Wastage" sheetId="9" r:id="rId10"/>
    <sheet name="Kal Wastage" sheetId="11" r:id="rId11"/>
    <sheet name="Copy Sheet" sheetId="10" r:id="rId12"/>
  </sheets>
  <definedNames>
    <definedName name="_xlnm.Print_Area" localSheetId="4">'Tribal Update'!$A$1:$R$36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" i="3" l="1"/>
  <c r="Q2" i="1"/>
  <c r="Q2" i="2"/>
  <c r="J32" i="13"/>
  <c r="J30" i="13"/>
  <c r="I32" i="13"/>
  <c r="R32" i="13"/>
  <c r="Q32" i="13"/>
  <c r="R30" i="13"/>
  <c r="Q30" i="13"/>
  <c r="R24" i="13"/>
  <c r="R25" i="13"/>
  <c r="R26" i="13"/>
  <c r="R27" i="13"/>
  <c r="R28" i="13"/>
  <c r="R29" i="13"/>
  <c r="R23" i="13"/>
  <c r="Q24" i="13"/>
  <c r="Q25" i="13"/>
  <c r="Q26" i="13"/>
  <c r="Q27" i="13"/>
  <c r="Q28" i="13"/>
  <c r="Q29" i="13"/>
  <c r="Q23" i="13"/>
  <c r="K29" i="13"/>
  <c r="J29" i="13"/>
  <c r="I29" i="13"/>
  <c r="G29" i="13"/>
  <c r="F29" i="13"/>
  <c r="E29" i="13"/>
  <c r="K28" i="13"/>
  <c r="J28" i="13"/>
  <c r="I28" i="13"/>
  <c r="G28" i="13"/>
  <c r="F28" i="13"/>
  <c r="E28" i="13"/>
  <c r="K27" i="13"/>
  <c r="J27" i="13"/>
  <c r="I27" i="13"/>
  <c r="G27" i="13"/>
  <c r="F27" i="13"/>
  <c r="E27" i="13"/>
  <c r="K26" i="13"/>
  <c r="J26" i="13"/>
  <c r="I26" i="13"/>
  <c r="G26" i="13"/>
  <c r="F26" i="13"/>
  <c r="E26" i="13"/>
  <c r="K25" i="13"/>
  <c r="J25" i="13"/>
  <c r="I25" i="13"/>
  <c r="G25" i="13"/>
  <c r="F25" i="13"/>
  <c r="E25" i="13"/>
  <c r="K24" i="13"/>
  <c r="J24" i="13"/>
  <c r="I24" i="13"/>
  <c r="G24" i="13"/>
  <c r="F24" i="13"/>
  <c r="E24" i="13"/>
  <c r="K23" i="13"/>
  <c r="J23" i="13"/>
  <c r="I23" i="13"/>
  <c r="I30" i="13" s="1"/>
  <c r="G23" i="13"/>
  <c r="F23" i="13"/>
  <c r="E23" i="13"/>
  <c r="M32" i="13"/>
  <c r="N32" i="13"/>
  <c r="N34" i="13" s="1"/>
  <c r="F33" i="13"/>
  <c r="J33" i="13"/>
  <c r="N33" i="13"/>
  <c r="E34" i="13"/>
  <c r="I34" i="13"/>
  <c r="M34" i="13"/>
  <c r="F35" i="13"/>
  <c r="J35" i="13"/>
  <c r="N35" i="13"/>
  <c r="U32" i="4"/>
  <c r="T32" i="4"/>
  <c r="O32" i="4"/>
  <c r="N32" i="4"/>
  <c r="L29" i="2"/>
  <c r="P24" i="4"/>
  <c r="P25" i="4"/>
  <c r="P26" i="4"/>
  <c r="P27" i="4"/>
  <c r="P28" i="4"/>
  <c r="P29" i="4"/>
  <c r="P23" i="4"/>
  <c r="O24" i="4"/>
  <c r="O25" i="4"/>
  <c r="O26" i="4"/>
  <c r="O27" i="4"/>
  <c r="O28" i="4"/>
  <c r="O29" i="4"/>
  <c r="O23" i="4"/>
  <c r="N24" i="4"/>
  <c r="N25" i="4"/>
  <c r="N26" i="4"/>
  <c r="N27" i="4"/>
  <c r="N28" i="4"/>
  <c r="N29" i="4"/>
  <c r="N23" i="4"/>
  <c r="M24" i="4"/>
  <c r="M25" i="4"/>
  <c r="M26" i="4"/>
  <c r="M27" i="4"/>
  <c r="M28" i="4"/>
  <c r="M29" i="4"/>
  <c r="M23" i="4"/>
  <c r="L24" i="4"/>
  <c r="L25" i="4"/>
  <c r="L26" i="4"/>
  <c r="L27" i="4"/>
  <c r="L28" i="4"/>
  <c r="L29" i="4"/>
  <c r="L23" i="4"/>
  <c r="K24" i="4"/>
  <c r="K25" i="4"/>
  <c r="K26" i="4"/>
  <c r="K27" i="4"/>
  <c r="K28" i="4"/>
  <c r="K29" i="4"/>
  <c r="K23" i="4"/>
  <c r="J24" i="4"/>
  <c r="J25" i="4"/>
  <c r="J26" i="4"/>
  <c r="J27" i="4"/>
  <c r="J28" i="4"/>
  <c r="J29" i="4"/>
  <c r="J23" i="4"/>
  <c r="I24" i="4"/>
  <c r="I25" i="4"/>
  <c r="I26" i="4"/>
  <c r="I27" i="4"/>
  <c r="I28" i="4"/>
  <c r="I29" i="4"/>
  <c r="I23" i="4"/>
  <c r="H24" i="4"/>
  <c r="H25" i="4"/>
  <c r="H26" i="4"/>
  <c r="H27" i="4"/>
  <c r="H28" i="4"/>
  <c r="H29" i="4"/>
  <c r="H23" i="4"/>
  <c r="G24" i="4"/>
  <c r="G25" i="4"/>
  <c r="G26" i="4"/>
  <c r="G27" i="4"/>
  <c r="G28" i="4"/>
  <c r="G29" i="4"/>
  <c r="G23" i="4"/>
  <c r="F24" i="4"/>
  <c r="F25" i="4"/>
  <c r="F26" i="4"/>
  <c r="F27" i="4"/>
  <c r="F28" i="4"/>
  <c r="F29" i="4"/>
  <c r="F23" i="4"/>
  <c r="E24" i="4"/>
  <c r="E25" i="4"/>
  <c r="E26" i="4"/>
  <c r="E27" i="4"/>
  <c r="E28" i="4"/>
  <c r="E29" i="4"/>
  <c r="E23" i="4"/>
  <c r="O27" i="3"/>
  <c r="O26" i="3"/>
  <c r="O25" i="3"/>
  <c r="O24" i="3"/>
  <c r="O23" i="3"/>
  <c r="O22" i="3"/>
  <c r="O21" i="3"/>
  <c r="O27" i="1"/>
  <c r="O26" i="1"/>
  <c r="O25" i="1"/>
  <c r="O24" i="1"/>
  <c r="O23" i="1"/>
  <c r="O22" i="1"/>
  <c r="O21" i="1"/>
  <c r="O27" i="2"/>
  <c r="O26" i="2"/>
  <c r="O25" i="2"/>
  <c r="O24" i="2"/>
  <c r="O23" i="2"/>
  <c r="O22" i="2"/>
  <c r="O21" i="2"/>
  <c r="Q32" i="4"/>
  <c r="R32" i="4"/>
  <c r="K30" i="13" l="1"/>
  <c r="K21" i="13"/>
  <c r="J21" i="13"/>
  <c r="I21" i="13"/>
  <c r="G21" i="13"/>
  <c r="F21" i="13"/>
  <c r="E21" i="13"/>
  <c r="K20" i="13"/>
  <c r="J20" i="13"/>
  <c r="I20" i="13"/>
  <c r="Q20" i="13" s="1"/>
  <c r="G20" i="13"/>
  <c r="F20" i="13"/>
  <c r="E20" i="13"/>
  <c r="K19" i="13"/>
  <c r="J19" i="13"/>
  <c r="I19" i="13"/>
  <c r="G19" i="13"/>
  <c r="F19" i="13"/>
  <c r="E19" i="13"/>
  <c r="I22" i="13" l="1"/>
  <c r="Q21" i="13"/>
  <c r="Q19" i="13"/>
  <c r="J22" i="13"/>
  <c r="R20" i="13"/>
  <c r="R21" i="13"/>
  <c r="R19" i="13"/>
  <c r="U22" i="4"/>
  <c r="T22" i="4"/>
  <c r="P21" i="4"/>
  <c r="O21" i="4"/>
  <c r="N21" i="4"/>
  <c r="M21" i="4"/>
  <c r="L21" i="4"/>
  <c r="K21" i="4"/>
  <c r="J21" i="4"/>
  <c r="I21" i="4"/>
  <c r="H21" i="4"/>
  <c r="G21" i="4"/>
  <c r="F21" i="4"/>
  <c r="E21" i="4"/>
  <c r="P20" i="4"/>
  <c r="O20" i="4"/>
  <c r="N20" i="4"/>
  <c r="M20" i="4"/>
  <c r="L20" i="4"/>
  <c r="K20" i="4"/>
  <c r="J20" i="4"/>
  <c r="I20" i="4"/>
  <c r="H20" i="4"/>
  <c r="G20" i="4"/>
  <c r="F20" i="4"/>
  <c r="E20" i="4"/>
  <c r="P19" i="4"/>
  <c r="O19" i="4"/>
  <c r="N19" i="4"/>
  <c r="M19" i="4"/>
  <c r="L19" i="4"/>
  <c r="K19" i="4"/>
  <c r="J19" i="4"/>
  <c r="I19" i="4"/>
  <c r="H19" i="4"/>
  <c r="G19" i="4"/>
  <c r="F19" i="4"/>
  <c r="E19" i="4"/>
  <c r="O19" i="3"/>
  <c r="O18" i="3"/>
  <c r="O17" i="3"/>
  <c r="O19" i="1"/>
  <c r="O18" i="1"/>
  <c r="O17" i="1"/>
  <c r="O18" i="2"/>
  <c r="O19" i="2"/>
  <c r="O17" i="2"/>
  <c r="O22" i="4" l="1"/>
  <c r="Q22" i="13"/>
  <c r="N22" i="4"/>
  <c r="R22" i="13"/>
  <c r="H14" i="1"/>
  <c r="H16" i="4" s="1"/>
  <c r="H13" i="1"/>
  <c r="J15" i="4" s="1"/>
  <c r="H12" i="1"/>
  <c r="J14" i="4" s="1"/>
  <c r="F12" i="1"/>
  <c r="E14" i="4" s="1"/>
  <c r="F11" i="2"/>
  <c r="F13" i="4" s="1"/>
  <c r="F11" i="1"/>
  <c r="F13" i="1" s="1"/>
  <c r="F10" i="1"/>
  <c r="O10" i="1" s="1"/>
  <c r="F2" i="1"/>
  <c r="H11" i="3"/>
  <c r="J13" i="4" s="1"/>
  <c r="J16" i="4"/>
  <c r="H10" i="3"/>
  <c r="J12" i="4" s="1"/>
  <c r="G14" i="4"/>
  <c r="F10" i="2"/>
  <c r="O10" i="2" s="1"/>
  <c r="F2" i="2"/>
  <c r="L14" i="3"/>
  <c r="P16" i="4" s="1"/>
  <c r="L12" i="3"/>
  <c r="K14" i="13" s="1"/>
  <c r="L10" i="3"/>
  <c r="K12" i="13" s="1"/>
  <c r="J13" i="3"/>
  <c r="M15" i="4" s="1"/>
  <c r="J11" i="3"/>
  <c r="G13" i="13" s="1"/>
  <c r="O15" i="1"/>
  <c r="O15" i="2"/>
  <c r="K13" i="13"/>
  <c r="K15" i="13"/>
  <c r="K17" i="13"/>
  <c r="J13" i="13"/>
  <c r="J14" i="13"/>
  <c r="J15" i="13"/>
  <c r="J16" i="13"/>
  <c r="J17" i="13"/>
  <c r="J12" i="13"/>
  <c r="I13" i="13"/>
  <c r="I14" i="13"/>
  <c r="I15" i="13"/>
  <c r="I16" i="13"/>
  <c r="I17" i="13"/>
  <c r="I12" i="13"/>
  <c r="G14" i="13"/>
  <c r="G16" i="13"/>
  <c r="G17" i="13"/>
  <c r="G12" i="13"/>
  <c r="F13" i="13"/>
  <c r="F14" i="13"/>
  <c r="F15" i="13"/>
  <c r="F16" i="13"/>
  <c r="F17" i="13"/>
  <c r="R17" i="13" s="1"/>
  <c r="F12" i="13"/>
  <c r="E13" i="13"/>
  <c r="E14" i="13"/>
  <c r="Q14" i="13" s="1"/>
  <c r="E15" i="13"/>
  <c r="E16" i="13"/>
  <c r="E17" i="13"/>
  <c r="E12" i="13"/>
  <c r="Q12" i="13" s="1"/>
  <c r="G17" i="4"/>
  <c r="F17" i="4"/>
  <c r="E17" i="4"/>
  <c r="J17" i="4"/>
  <c r="I13" i="4"/>
  <c r="I17" i="4"/>
  <c r="I12" i="4"/>
  <c r="H13" i="4"/>
  <c r="H17" i="4"/>
  <c r="H12" i="4"/>
  <c r="M14" i="4"/>
  <c r="M16" i="4"/>
  <c r="M17" i="4"/>
  <c r="M12" i="4"/>
  <c r="L13" i="4"/>
  <c r="L14" i="4"/>
  <c r="L15" i="4"/>
  <c r="L16" i="4"/>
  <c r="L17" i="4"/>
  <c r="L12" i="4"/>
  <c r="K13" i="4"/>
  <c r="K14" i="4"/>
  <c r="K15" i="4"/>
  <c r="K16" i="4"/>
  <c r="K17" i="4"/>
  <c r="K12" i="4"/>
  <c r="P13" i="4"/>
  <c r="P15" i="4"/>
  <c r="P17" i="4"/>
  <c r="O13" i="4"/>
  <c r="O14" i="4"/>
  <c r="O15" i="4"/>
  <c r="O16" i="4"/>
  <c r="O17" i="4"/>
  <c r="O12" i="4"/>
  <c r="N13" i="4"/>
  <c r="N14" i="4"/>
  <c r="N15" i="4"/>
  <c r="N16" i="4"/>
  <c r="N17" i="4"/>
  <c r="N12" i="4"/>
  <c r="J29" i="1"/>
  <c r="L29" i="1"/>
  <c r="N29" i="1"/>
  <c r="Q34" i="4" s="1"/>
  <c r="Q13" i="13" l="1"/>
  <c r="H14" i="2"/>
  <c r="I16" i="4" s="1"/>
  <c r="Q15" i="13"/>
  <c r="H14" i="4"/>
  <c r="N30" i="4"/>
  <c r="N34" i="4"/>
  <c r="K34" i="4"/>
  <c r="R13" i="13"/>
  <c r="R15" i="13"/>
  <c r="Q16" i="13"/>
  <c r="P12" i="4"/>
  <c r="O18" i="4"/>
  <c r="E15" i="4"/>
  <c r="F13" i="2"/>
  <c r="I18" i="13"/>
  <c r="R16" i="13"/>
  <c r="O11" i="2"/>
  <c r="F12" i="2"/>
  <c r="R14" i="13"/>
  <c r="K18" i="4"/>
  <c r="H12" i="2"/>
  <c r="I14" i="4" s="1"/>
  <c r="H13" i="2"/>
  <c r="I15" i="4" s="1"/>
  <c r="R12" i="13"/>
  <c r="J18" i="13"/>
  <c r="K22" i="13" s="1"/>
  <c r="F14" i="1"/>
  <c r="G16" i="4"/>
  <c r="O14" i="1"/>
  <c r="H15" i="4"/>
  <c r="O13" i="1"/>
  <c r="G15" i="4"/>
  <c r="O12" i="1"/>
  <c r="T14" i="4"/>
  <c r="F11" i="3"/>
  <c r="G13" i="4" s="1"/>
  <c r="U13" i="4"/>
  <c r="E13" i="4"/>
  <c r="T13" i="4" s="1"/>
  <c r="O11" i="1"/>
  <c r="E12" i="4"/>
  <c r="F10" i="3"/>
  <c r="G12" i="4" s="1"/>
  <c r="F12" i="4"/>
  <c r="E18" i="13"/>
  <c r="M13" i="4"/>
  <c r="O10" i="3"/>
  <c r="K16" i="13"/>
  <c r="P14" i="4"/>
  <c r="G15" i="13"/>
  <c r="N18" i="4"/>
  <c r="Q17" i="13"/>
  <c r="F18" i="13"/>
  <c r="L18" i="4"/>
  <c r="B9" i="5"/>
  <c r="H8" i="1"/>
  <c r="H8" i="2" s="1"/>
  <c r="F7" i="1"/>
  <c r="F7" i="2" s="1"/>
  <c r="F3" i="1"/>
  <c r="F3" i="2" s="1"/>
  <c r="H3" i="1"/>
  <c r="H3" i="2" s="1"/>
  <c r="H2" i="1"/>
  <c r="H29" i="1" s="1"/>
  <c r="H34" i="4" l="1"/>
  <c r="O11" i="3"/>
  <c r="Q18" i="13"/>
  <c r="P22" i="4"/>
  <c r="T15" i="4"/>
  <c r="I18" i="4"/>
  <c r="H18" i="4"/>
  <c r="E16" i="4"/>
  <c r="F14" i="2"/>
  <c r="O12" i="2"/>
  <c r="O12" i="3" s="1"/>
  <c r="F14" i="4"/>
  <c r="U14" i="4" s="1"/>
  <c r="R18" i="13"/>
  <c r="O13" i="2"/>
  <c r="O13" i="3" s="1"/>
  <c r="F15" i="4"/>
  <c r="U15" i="4" s="1"/>
  <c r="H2" i="2"/>
  <c r="I4" i="4" s="1"/>
  <c r="T12" i="4"/>
  <c r="U12" i="4"/>
  <c r="P18" i="4"/>
  <c r="M18" i="4"/>
  <c r="G18" i="13"/>
  <c r="K18" i="13"/>
  <c r="E100" i="6"/>
  <c r="D100" i="6"/>
  <c r="C100" i="6"/>
  <c r="O3" i="2"/>
  <c r="O5" i="2"/>
  <c r="O7" i="2"/>
  <c r="O3" i="1"/>
  <c r="O5" i="1"/>
  <c r="O5" i="3" s="1"/>
  <c r="O7" i="1"/>
  <c r="O2" i="1"/>
  <c r="N29" i="2"/>
  <c r="J29" i="2"/>
  <c r="F4" i="4"/>
  <c r="F4" i="2"/>
  <c r="O4" i="2" s="1"/>
  <c r="F4" i="1"/>
  <c r="O4" i="1" s="1"/>
  <c r="K6" i="13"/>
  <c r="K8" i="13"/>
  <c r="K10" i="13"/>
  <c r="K4" i="13"/>
  <c r="J4" i="13"/>
  <c r="J5" i="13"/>
  <c r="J6" i="13"/>
  <c r="J7" i="13"/>
  <c r="J8" i="13"/>
  <c r="J9" i="13"/>
  <c r="J10" i="13"/>
  <c r="I5" i="13"/>
  <c r="I6" i="13"/>
  <c r="I7" i="13"/>
  <c r="I8" i="13"/>
  <c r="I9" i="13"/>
  <c r="I10" i="13"/>
  <c r="I4" i="13"/>
  <c r="G5" i="13"/>
  <c r="G7" i="13"/>
  <c r="G9" i="13"/>
  <c r="F5" i="13"/>
  <c r="F6" i="13"/>
  <c r="F7" i="13"/>
  <c r="F8" i="13"/>
  <c r="F9" i="13"/>
  <c r="F10" i="13"/>
  <c r="F4" i="13"/>
  <c r="E5" i="13"/>
  <c r="E6" i="13"/>
  <c r="E7" i="13"/>
  <c r="E8" i="13"/>
  <c r="E9" i="13"/>
  <c r="E10" i="13"/>
  <c r="E4" i="13"/>
  <c r="L3" i="3"/>
  <c r="P5" i="4" s="1"/>
  <c r="P6" i="4"/>
  <c r="L5" i="3"/>
  <c r="P7" i="4" s="1"/>
  <c r="P8" i="4"/>
  <c r="L7" i="3"/>
  <c r="P9" i="4" s="1"/>
  <c r="P4" i="4"/>
  <c r="J4" i="3"/>
  <c r="M6" i="4" s="1"/>
  <c r="J6" i="3"/>
  <c r="M8" i="4" s="1"/>
  <c r="J8" i="3"/>
  <c r="M10" i="4" s="1"/>
  <c r="J2" i="3"/>
  <c r="M4" i="4" s="1"/>
  <c r="J5" i="4"/>
  <c r="H4" i="3"/>
  <c r="J6" i="4" s="1"/>
  <c r="H5" i="3"/>
  <c r="J7" i="4" s="1"/>
  <c r="H6" i="3"/>
  <c r="J8" i="4" s="1"/>
  <c r="H7" i="3"/>
  <c r="J9" i="4" s="1"/>
  <c r="J10" i="4"/>
  <c r="J4" i="4"/>
  <c r="G5" i="4"/>
  <c r="F5" i="3"/>
  <c r="G7" i="4" s="1"/>
  <c r="G8" i="4"/>
  <c r="G9" i="4"/>
  <c r="G10" i="4"/>
  <c r="F5" i="4"/>
  <c r="F7" i="4"/>
  <c r="F9" i="4"/>
  <c r="E5" i="4"/>
  <c r="E7" i="4"/>
  <c r="E9" i="4"/>
  <c r="I5" i="4"/>
  <c r="I6" i="4"/>
  <c r="I7" i="4"/>
  <c r="I8" i="4"/>
  <c r="I9" i="4"/>
  <c r="I10" i="4"/>
  <c r="H5" i="4"/>
  <c r="H6" i="4"/>
  <c r="H7" i="4"/>
  <c r="H8" i="4"/>
  <c r="H9" i="4"/>
  <c r="H10" i="4"/>
  <c r="H4" i="4"/>
  <c r="P10" i="4"/>
  <c r="O5" i="4"/>
  <c r="O6" i="4"/>
  <c r="O7" i="4"/>
  <c r="O8" i="4"/>
  <c r="O9" i="4"/>
  <c r="O10" i="4"/>
  <c r="N5" i="4"/>
  <c r="N6" i="4"/>
  <c r="N7" i="4"/>
  <c r="N8" i="4"/>
  <c r="N9" i="4"/>
  <c r="N10" i="4"/>
  <c r="M5" i="4"/>
  <c r="M7" i="4"/>
  <c r="M9" i="4"/>
  <c r="L5" i="4"/>
  <c r="L6" i="4"/>
  <c r="L7" i="4"/>
  <c r="L8" i="4"/>
  <c r="L9" i="4"/>
  <c r="L10" i="4"/>
  <c r="K5" i="4"/>
  <c r="K6" i="4"/>
  <c r="K7" i="4"/>
  <c r="K8" i="4"/>
  <c r="K9" i="4"/>
  <c r="K10" i="4"/>
  <c r="O4" i="4"/>
  <c r="N4" i="4"/>
  <c r="L4" i="4"/>
  <c r="K4" i="4"/>
  <c r="F6" i="4" l="1"/>
  <c r="O2" i="2"/>
  <c r="O2" i="3" s="1"/>
  <c r="T16" i="4"/>
  <c r="T18" i="4" s="1"/>
  <c r="J18" i="4"/>
  <c r="H29" i="2"/>
  <c r="O14" i="2"/>
  <c r="O14" i="3" s="1"/>
  <c r="F16" i="4"/>
  <c r="I11" i="13"/>
  <c r="E18" i="4"/>
  <c r="E6" i="4"/>
  <c r="O4" i="3"/>
  <c r="F6" i="1"/>
  <c r="F8" i="1"/>
  <c r="F4" i="3"/>
  <c r="G6" i="4" s="1"/>
  <c r="E4" i="4"/>
  <c r="K5" i="13"/>
  <c r="G6" i="13"/>
  <c r="K7" i="13"/>
  <c r="G8" i="13"/>
  <c r="G4" i="13"/>
  <c r="K9" i="13"/>
  <c r="G10" i="13"/>
  <c r="O3" i="3"/>
  <c r="O7" i="3"/>
  <c r="F2" i="3"/>
  <c r="G4" i="4" s="1"/>
  <c r="F29" i="1" l="1"/>
  <c r="E34" i="4"/>
  <c r="U16" i="4"/>
  <c r="F18" i="4"/>
  <c r="G18" i="4" s="1"/>
  <c r="F8" i="2"/>
  <c r="O8" i="1"/>
  <c r="E10" i="4"/>
  <c r="F6" i="2"/>
  <c r="E8" i="4"/>
  <c r="O6" i="1"/>
  <c r="J29" i="3"/>
  <c r="O29" i="1" l="1"/>
  <c r="T30" i="4"/>
  <c r="U18" i="4"/>
  <c r="F29" i="2"/>
  <c r="F8" i="4"/>
  <c r="O6" i="2"/>
  <c r="F10" i="4"/>
  <c r="O8" i="2"/>
  <c r="O8" i="3" s="1"/>
  <c r="L29" i="3"/>
  <c r="O6" i="3" l="1"/>
  <c r="O29" i="2"/>
  <c r="R4" i="13" l="1"/>
  <c r="Q4" i="13"/>
  <c r="R6" i="13" l="1"/>
  <c r="R10" i="13"/>
  <c r="Q5" i="13"/>
  <c r="Q7" i="13"/>
  <c r="Q9" i="13"/>
  <c r="R7" i="13"/>
  <c r="R8" i="13"/>
  <c r="R5" i="13"/>
  <c r="R9" i="13"/>
  <c r="Q6" i="13"/>
  <c r="Q8" i="13"/>
  <c r="Q10" i="13"/>
  <c r="F11" i="13"/>
  <c r="F32" i="13" s="1"/>
  <c r="E11" i="13"/>
  <c r="E32" i="13" s="1"/>
  <c r="J11" i="13"/>
  <c r="G32" i="13" l="1"/>
  <c r="F34" i="13"/>
  <c r="J34" i="13"/>
  <c r="K32" i="13"/>
  <c r="Q11" i="13"/>
  <c r="Q34" i="13" s="1"/>
  <c r="R11" i="13"/>
  <c r="R34" i="13" s="1"/>
  <c r="K11" i="13"/>
  <c r="G11" i="13"/>
  <c r="H29" i="3" l="1"/>
  <c r="U8" i="4"/>
  <c r="U7" i="4"/>
  <c r="U6" i="4"/>
  <c r="T10" i="4"/>
  <c r="U10" i="4"/>
  <c r="F29" i="3" l="1"/>
  <c r="T9" i="4"/>
  <c r="T7" i="4"/>
  <c r="T8" i="4"/>
  <c r="N30" i="2"/>
  <c r="E100" i="9"/>
  <c r="D100" i="9"/>
  <c r="C100" i="9"/>
  <c r="C100" i="7"/>
  <c r="D100" i="7"/>
  <c r="E100" i="7"/>
  <c r="E100" i="8"/>
  <c r="D100" i="8"/>
  <c r="C100" i="8"/>
  <c r="F100" i="9" l="1"/>
  <c r="L30" i="2" s="1"/>
  <c r="F100" i="8"/>
  <c r="J30" i="2" s="1"/>
  <c r="F100" i="6"/>
  <c r="H30" i="2" s="1"/>
  <c r="T6" i="4"/>
  <c r="U9" i="4"/>
  <c r="K11" i="4"/>
  <c r="K32" i="4" s="1"/>
  <c r="T4" i="4"/>
  <c r="I11" i="4"/>
  <c r="I32" i="4" s="1"/>
  <c r="N11" i="4"/>
  <c r="U5" i="4"/>
  <c r="T5" i="4"/>
  <c r="O11" i="4"/>
  <c r="H11" i="4"/>
  <c r="H32" i="4" s="1"/>
  <c r="L11" i="4"/>
  <c r="L32" i="4" s="1"/>
  <c r="U4" i="4"/>
  <c r="E11" i="4"/>
  <c r="E32" i="4" s="1"/>
  <c r="P32" i="4" l="1"/>
  <c r="J32" i="4"/>
  <c r="M32" i="4"/>
  <c r="T11" i="4"/>
  <c r="T34" i="4" s="1"/>
  <c r="U11" i="4"/>
  <c r="F11" i="4"/>
  <c r="F32" i="4" s="1"/>
  <c r="P11" i="4"/>
  <c r="M11" i="4"/>
  <c r="J11" i="4"/>
  <c r="C9" i="5"/>
  <c r="G32" i="4" l="1"/>
  <c r="G11" i="4"/>
  <c r="L9" i="5"/>
  <c r="K9" i="5"/>
  <c r="J9" i="5"/>
  <c r="H9" i="5"/>
  <c r="G9" i="5"/>
  <c r="F9" i="5"/>
  <c r="E9" i="5"/>
  <c r="D9" i="5"/>
  <c r="I8" i="5"/>
  <c r="I6" i="5"/>
  <c r="I5" i="5"/>
  <c r="I9" i="5" s="1"/>
  <c r="F100" i="7"/>
  <c r="F30" i="2" s="1"/>
  <c r="N31" i="2"/>
  <c r="R33" i="4" s="1"/>
  <c r="R34" i="4" s="1"/>
  <c r="N32" i="2" l="1"/>
  <c r="N35" i="2" l="1"/>
  <c r="N34" i="2"/>
  <c r="R35" i="4" s="1"/>
  <c r="L31" i="2"/>
  <c r="J31" i="2"/>
  <c r="F31" i="2"/>
  <c r="O33" i="4" l="1"/>
  <c r="O34" i="4" s="1"/>
  <c r="F33" i="4"/>
  <c r="L33" i="4"/>
  <c r="L34" i="4" s="1"/>
  <c r="F32" i="2"/>
  <c r="J32" i="2"/>
  <c r="L32" i="2"/>
  <c r="H31" i="2"/>
  <c r="I33" i="4" l="1"/>
  <c r="I34" i="4" s="1"/>
  <c r="F34" i="4"/>
  <c r="F35" i="2"/>
  <c r="F34" i="2"/>
  <c r="L34" i="2"/>
  <c r="L35" i="2"/>
  <c r="J35" i="2"/>
  <c r="J34" i="2"/>
  <c r="O31" i="2"/>
  <c r="H32" i="2"/>
  <c r="U33" i="4" l="1"/>
  <c r="U34" i="4" s="1"/>
  <c r="L35" i="4"/>
  <c r="F35" i="4"/>
  <c r="O30" i="4"/>
  <c r="P30" i="4" s="1"/>
  <c r="O35" i="4"/>
  <c r="H34" i="2"/>
  <c r="H35" i="2"/>
  <c r="I35" i="4" l="1"/>
  <c r="O32" i="2"/>
  <c r="U30" i="4" l="1"/>
  <c r="O34" i="2"/>
  <c r="O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H2" authorId="0" shapeId="0" xr:uid="{FDB771A8-A512-4E7F-84DF-A50371F06BC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TH16Harvest = TH16Effort * TH16CPUE</t>
        </r>
      </text>
    </comment>
    <comment ref="F3" authorId="0" shapeId="0" xr:uid="{FB3B3F70-4F98-4A21-A5CC-F24FAF5A871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LB16Harvest = LB16Effort * LB16CPUE</t>
        </r>
      </text>
    </comment>
    <comment ref="H3" authorId="0" shapeId="0" xr:uid="{746050C7-DF53-4263-ABC9-2B5D3CC462B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TH17Harvest = TH17Effort * TH17CPUE</t>
        </r>
      </text>
    </comment>
    <comment ref="F6" authorId="0" shapeId="0" xr:uid="{559A5C23-47E2-4E40-BDBB-EB3247A82CF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F7" authorId="0" shapeId="0" xr:uid="{0B4B6B01-2487-43E1-9B8D-A276AF5FA2F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LB21Harvest = LB21Effort * LB21CPUE</t>
        </r>
      </text>
    </comment>
    <comment ref="F8" authorId="0" shapeId="0" xr:uid="{9B4E79B4-A24F-4B88-BE99-EA33976DC8C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H8" authorId="0" shapeId="0" xr:uid="{843341A6-31AF-40CD-80CC-C34970A780F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TH22Harvest = TH22Effort * TH22CPUE</t>
        </r>
      </text>
    </comment>
    <comment ref="F12" authorId="0" shapeId="0" xr:uid="{A9FEFA7C-A366-4F62-A5DD-DD4274B49CD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LB22Harvest = LB22Effort * LB22CPUE</t>
        </r>
      </text>
    </comment>
    <comment ref="H12" authorId="0" shapeId="0" xr:uid="{91B47F6D-FF9A-4745-9894-5203A8EC75F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TH22Harvest = TH22Effort * TH22CPUE</t>
        </r>
      </text>
    </comment>
    <comment ref="F13" authorId="0" shapeId="0" xr:uid="{24F46E37-B0C1-4072-8E69-262B88951A4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LB19Harvest = LB19Effort * LB19CPUE</t>
        </r>
      </text>
    </comment>
    <comment ref="H13" authorId="0" shapeId="0" xr:uid="{947908DA-7167-4120-9CCD-259C07AE4F1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TH19Harvest = TH19Effort * TH19CPUE</t>
        </r>
      </text>
    </comment>
    <comment ref="F14" authorId="0" shapeId="0" xr:uid="{C62258D2-F0C8-4B84-A73B-991D5ED7168D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LB20Harvest = LB20Effort * LB20CPUE</t>
        </r>
      </text>
    </comment>
    <comment ref="H14" authorId="0" shapeId="0" xr:uid="{4F25E9CA-2A48-43E9-81DA-B713CACEC681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TH21Harvest = TH21Effort * TH21CPUE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F2" authorId="0" shapeId="0" xr:uid="{9019E594-C75D-4503-B70E-8D67715FD9F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(LB18s/LB18n * LB16n) + LB16n</t>
        </r>
      </text>
    </comment>
    <comment ref="H2" authorId="0" shapeId="0" xr:uid="{B63E732A-871B-4B24-BDC4-B4C3E201D64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TH16 = TH18/C18 * C16</t>
        </r>
      </text>
    </comment>
    <comment ref="F3" authorId="0" shapeId="0" xr:uid="{34493EE7-52D6-4E6F-A4B2-BC844F2E8C8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LB19/M19 * M17</t>
        </r>
      </text>
    </comment>
    <comment ref="H3" authorId="0" shapeId="0" xr:uid="{7B60A387-EAEE-4175-8345-60A64CED8F3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TH17 = TH19/M19 * M17</t>
        </r>
      </text>
    </comment>
    <comment ref="F5" authorId="0" shapeId="0" xr:uid="{33727226-080A-4784-BD69-545592BEB75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(LB18s/LB18n * LB19n) + LB19n</t>
        </r>
      </text>
    </comment>
    <comment ref="F6" authorId="0" shapeId="0" xr:uid="{55F09962-9D15-4192-B003-E770F8F1977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LB18/C18 * C20</t>
        </r>
      </text>
    </comment>
    <comment ref="F7" authorId="0" shapeId="0" xr:uid="{9EECA611-63F9-44D2-B2E7-3AE11C98BAC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LB21 = LB19/M19 * M21</t>
        </r>
      </text>
    </comment>
    <comment ref="F8" authorId="0" shapeId="0" xr:uid="{3D3C7CEE-7A43-4208-B290-3A10AC0D6A07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LB22 = LB18/C18 * C22</t>
        </r>
      </text>
    </comment>
    <comment ref="H8" authorId="0" shapeId="0" xr:uid="{3268B7B7-3FD7-4A86-B5AE-C5A189D658F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TH22 = TH20/C20 * C22</t>
        </r>
      </text>
    </comment>
    <comment ref="F10" authorId="0" shapeId="0" xr:uid="{493E1AC1-7873-4083-9F29-1990C3155D9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LB16 = (LBsept18s/LBsept18n * LB16n) + LB16n</t>
        </r>
      </text>
    </comment>
    <comment ref="F11" authorId="0" shapeId="0" xr:uid="{4F16BCE3-1153-4984-9156-03950907DF3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LB17 = (LBsept18s/LBsept18n * LB16n) + LB17n</t>
        </r>
      </text>
    </comment>
    <comment ref="F12" authorId="0" shapeId="0" xr:uid="{A581AE2B-3C02-4938-A894-C3183B6D2C1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LB18 = LB16/M16 * M18</t>
        </r>
      </text>
    </comment>
    <comment ref="H12" authorId="0" shapeId="0" xr:uid="{D66CF6B1-6FE5-4261-9845-906E9AB7FD7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TH18 = TH16/M16 * M18</t>
        </r>
      </text>
    </comment>
    <comment ref="F13" authorId="0" shapeId="0" xr:uid="{730044E5-1495-4704-AC9C-019594F638A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LB19 = LB17/C17 * C19</t>
        </r>
      </text>
    </comment>
    <comment ref="H13" authorId="0" shapeId="0" xr:uid="{72496D64-E828-4B98-9A56-62DEE5F3602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TH19 = TH17/C17 * C19</t>
        </r>
      </text>
    </comment>
    <comment ref="F14" authorId="0" shapeId="0" xr:uid="{FA750659-82FE-43A5-A4A5-F30CE63FC666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LB20 = LB16/M16 * M20</t>
        </r>
      </text>
    </comment>
    <comment ref="H14" authorId="0" shapeId="0" xr:uid="{4C966019-0D10-48B7-8F89-2E0EA051B85E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TH20 = TH16/M16 * M20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Blumenthal, Bryce W (DFW)</author>
  </authors>
  <commentList>
    <comment ref="H2" authorId="0" shapeId="0" xr:uid="{A83D0257-CEE0-49EC-A010-F9703D15F51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F3" authorId="0" shapeId="0" xr:uid="{3E4AF3CE-D2BB-4F71-8DF1-DE63CAD25E2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H3" authorId="0" shapeId="0" xr:uid="{4C6A0483-173A-4CEB-9B1E-6064E000B3EC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F6" authorId="0" shapeId="0" xr:uid="{02BC79D4-5D5A-44B5-89DA-82E19DDB6E92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F7" authorId="0" shapeId="0" xr:uid="{A28A9820-8740-4DB4-BACB-AF99F5F3287F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F8" authorId="0" shapeId="0" xr:uid="{2EA358D9-AF1B-4057-93F9-4BE3350DD5A0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H8" authorId="0" shapeId="0" xr:uid="{0469EB79-7E90-427A-B2DD-9F0D91F0D115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F12" authorId="0" shapeId="0" xr:uid="{B12842E7-3133-44A1-AD69-6BFF4192FE08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H12" authorId="0" shapeId="0" xr:uid="{05506E02-F5C2-4E9A-9948-D68370D8EEEA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F13" authorId="0" shapeId="0" xr:uid="{F33A30CD-8CED-4A07-8510-EA16B0E9A81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H13" authorId="0" shapeId="0" xr:uid="{857A9FA7-C193-4AAC-9CED-3A9516F14913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F14" authorId="0" shapeId="0" xr:uid="{96E5DB31-F373-4520-9138-3AFD6A6ED0AB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  <comment ref="H14" authorId="0" shapeId="0" xr:uid="{804399CB-878E-477C-A2AC-CCAF8E6A56B9}">
      <text>
        <r>
          <rPr>
            <b/>
            <sz val="9"/>
            <color indexed="81"/>
            <rFont val="Tahoma"/>
            <family val="2"/>
          </rPr>
          <t>Blumenthal, Bryce W (DFW):</t>
        </r>
        <r>
          <rPr>
            <sz val="9"/>
            <color indexed="81"/>
            <rFont val="Tahoma"/>
            <family val="2"/>
          </rPr>
          <t xml:space="preserve">
Assigned a CPUE of 15 clams/digger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H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I4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H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I5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H6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I6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H7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I7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H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I8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<sst xmlns="http://schemas.openxmlformats.org/spreadsheetml/2006/main" count="664" uniqueCount="67">
  <si>
    <t>Date</t>
  </si>
  <si>
    <t>Day</t>
  </si>
  <si>
    <t>Tide</t>
  </si>
  <si>
    <t>Time</t>
  </si>
  <si>
    <t>Longbeach</t>
  </si>
  <si>
    <t>Twin Harbors</t>
  </si>
  <si>
    <t>Copalis</t>
  </si>
  <si>
    <t>Mocrocks</t>
  </si>
  <si>
    <t>Kalaloch</t>
  </si>
  <si>
    <t>Daily Totals</t>
  </si>
  <si>
    <t>CLOSED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</si>
  <si>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</si>
  <si>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</si>
  <si>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</si>
  <si>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</si>
  <si>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</si>
  <si>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</si>
  <si>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** - No beach count. Used data from another day with similar conditions to estimate count.</t>
  </si>
  <si>
    <t>Fri</t>
  </si>
  <si>
    <t>Sat</t>
  </si>
  <si>
    <t>Sun</t>
  </si>
  <si>
    <t>Mon</t>
  </si>
  <si>
    <t>Tue</t>
  </si>
  <si>
    <t>Wed</t>
  </si>
  <si>
    <t>Thu</t>
  </si>
  <si>
    <t>SEASON TOTALS :</t>
  </si>
  <si>
    <t># - Tide is not low enough for decent digging opportunity</t>
  </si>
  <si>
    <t>Effort</t>
  </si>
  <si>
    <t>Harvest</t>
  </si>
  <si>
    <t>CPUE</t>
  </si>
  <si>
    <t>EventID</t>
  </si>
  <si>
    <t>LocationID</t>
  </si>
  <si>
    <t>NHoles</t>
  </si>
  <si>
    <t>NClams</t>
  </si>
  <si>
    <t>NMorts</t>
  </si>
  <si>
    <t>NON-TRIBAL TOTAL ALLOWABLE CATCH (TAC)</t>
  </si>
  <si>
    <t>2018-2019</t>
  </si>
  <si>
    <t>2017 - 2018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</si>
  <si>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</si>
  <si>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</si>
  <si>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</si>
  <si>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</si>
  <si>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</si>
  <si>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</si>
  <si>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</si>
  <si>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LONG BEACH</t>
  </si>
  <si>
    <t>TWIN HARBORS</t>
  </si>
  <si>
    <t>COPALIS</t>
  </si>
  <si>
    <t>MOCROCKS</t>
  </si>
  <si>
    <t>KALALOCH</t>
  </si>
  <si>
    <t>COASTWIDE TAC</t>
  </si>
  <si>
    <t>2019-2020</t>
  </si>
  <si>
    <t>DAILY TOTALS</t>
  </si>
  <si>
    <t>DATE</t>
  </si>
  <si>
    <t>DAY</t>
  </si>
  <si>
    <t>TIDE</t>
  </si>
  <si>
    <t>TIME</t>
  </si>
  <si>
    <t>Tide Series Totals</t>
  </si>
  <si>
    <t>SEASON SUBTOTALS:</t>
  </si>
  <si>
    <t>WASTAGE</t>
  </si>
  <si>
    <t>SEASON TOTALS:</t>
  </si>
  <si>
    <t>Size (mm)</t>
  </si>
  <si>
    <t>*</t>
  </si>
  <si>
    <t>2020-2021</t>
  </si>
  <si>
    <t xml:space="preserve">FALL 2020 - SPRING 2021 SEASON TOTALS: </t>
  </si>
  <si>
    <t>Fall 2020 / Spring 2021 Harvest Rate (clams/day):</t>
  </si>
  <si>
    <t>2020-2021 State (non-Tribal) Recreational Razor Clam Effort, Harvest and CPUE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</si>
</sst>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mmmm\ d\,\ yyyy;@"/>
    <numFmt numFmtId="165" formatCode="ddd"/>
    <numFmt numFmtId="166" formatCode="0.0"/>
    <numFmt numFmtId="167" formatCode="[$-409]h:mm\ AM/PM;@"/>
    <numFmt numFmtId="168" formatCode="0.0%"/>
    <numFmt numFmtId="169" formatCode="#,##0.0_);\(#,##0.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2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b/>
      <i/>
      <sz val="1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0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132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0" xfId="0" applyNumberFormat="1" applyBorder="1"/>
    <xf numFmtId="37" fontId="0" fillId="0" borderId="0" xfId="1" applyNumberFormat="1" applyFont="1" applyBorder="1" applyAlignment="1">
      <alignment horizontal="center"/>
    </xf>
    <xf numFmtId="164" fontId="0" fillId="0" borderId="0" xfId="0" applyNumberFormat="1" applyFill="1" applyBorder="1"/>
    <xf numFmtId="166" fontId="0" fillId="0" borderId="0" xfId="0" applyNumberFormat="1" applyAlignment="1">
      <alignment horizontal="center"/>
    </xf>
    <xf numFmtId="18" fontId="0" fillId="0" borderId="0" xfId="0" applyNumberFormat="1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Fill="1" applyBorder="1" applyAlignment="1">
      <alignment horizontal="center"/>
    </xf>
    <xf numFmtId="0" fontId="0" fillId="0" borderId="0" xfId="0" applyFill="1"/>
    <xf numFmtId="16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Fill="1"/>
    <xf numFmtId="168" fontId="0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7" fontId="2" fillId="0" borderId="1" xfId="0" applyNumberFormat="1" applyFont="1" applyBorder="1" applyAlignment="1">
      <alignment horizontal="center"/>
    </xf>
    <xf numFmtId="167" fontId="0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0" applyNumberForma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left"/>
    </xf>
    <xf numFmtId="164" fontId="3" fillId="0" borderId="0" xfId="0" applyNumberFormat="1" applyFont="1" applyBorder="1" applyAlignment="1"/>
    <xf numFmtId="164" fontId="4" fillId="0" borderId="0" xfId="0" applyNumberFormat="1" applyFont="1" applyBorder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/>
    <xf numFmtId="166" fontId="0" fillId="0" borderId="0" xfId="0" applyNumberFormat="1"/>
    <xf numFmtId="0" fontId="7" fillId="2" borderId="2" xfId="3" applyFont="1" applyFill="1" applyBorder="1" applyAlignment="1">
      <alignment horizontal="center"/>
    </xf>
    <xf numFmtId="10" fontId="0" fillId="0" borderId="0" xfId="0" applyNumberFormat="1"/>
    <xf numFmtId="0" fontId="0" fillId="0" borderId="0" xfId="0" applyAlignment="1"/>
    <xf numFmtId="0" fontId="0" fillId="0" borderId="5" xfId="0" applyBorder="1" applyAlignment="1"/>
    <xf numFmtId="3" fontId="0" fillId="0" borderId="6" xfId="0" applyNumberFormat="1" applyBorder="1" applyAlignment="1"/>
    <xf numFmtId="0" fontId="0" fillId="0" borderId="7" xfId="0" applyBorder="1" applyAlignment="1"/>
    <xf numFmtId="3" fontId="0" fillId="0" borderId="8" xfId="0" applyNumberFormat="1" applyBorder="1" applyAlignment="1"/>
    <xf numFmtId="3" fontId="0" fillId="3" borderId="8" xfId="0" applyNumberFormat="1" applyFill="1" applyBorder="1" applyAlignment="1"/>
    <xf numFmtId="3" fontId="10" fillId="3" borderId="0" xfId="0" applyNumberFormat="1" applyFont="1" applyFill="1" applyAlignment="1">
      <alignment horizontal="center"/>
    </xf>
    <xf numFmtId="0" fontId="0" fillId="0" borderId="9" xfId="0" applyBorder="1" applyAlignment="1"/>
    <xf numFmtId="3" fontId="0" fillId="0" borderId="10" xfId="0" applyNumberFormat="1" applyBorder="1" applyAlignment="1"/>
    <xf numFmtId="0" fontId="11" fillId="0" borderId="11" xfId="0" applyFont="1" applyBorder="1" applyAlignment="1"/>
    <xf numFmtId="3" fontId="0" fillId="0" borderId="12" xfId="0" applyNumberFormat="1" applyBorder="1" applyAlignment="1"/>
    <xf numFmtId="10" fontId="0" fillId="0" borderId="0" xfId="2" quotePrefix="1" applyNumberFormat="1" applyFont="1" applyAlignment="1">
      <alignment horizontal="center"/>
    </xf>
    <xf numFmtId="0" fontId="12" fillId="0" borderId="17" xfId="0" applyFont="1" applyBorder="1" applyAlignment="1"/>
    <xf numFmtId="0" fontId="12" fillId="0" borderId="18" xfId="0" applyFont="1" applyFill="1" applyBorder="1" applyAlignment="1"/>
    <xf numFmtId="0" fontId="12" fillId="0" borderId="17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3" fontId="12" fillId="0" borderId="17" xfId="0" applyNumberFormat="1" applyFont="1" applyFill="1" applyBorder="1" applyAlignment="1">
      <alignment horizontal="center"/>
    </xf>
    <xf numFmtId="16" fontId="12" fillId="0" borderId="0" xfId="0" applyNumberFormat="1" applyFont="1" applyBorder="1" applyAlignment="1">
      <alignment horizontal="center"/>
    </xf>
    <xf numFmtId="165" fontId="13" fillId="0" borderId="0" xfId="0" applyNumberFormat="1" applyFont="1" applyBorder="1" applyAlignment="1">
      <alignment horizontal="center"/>
    </xf>
    <xf numFmtId="3" fontId="12" fillId="0" borderId="22" xfId="0" applyNumberFormat="1" applyFont="1" applyFill="1" applyBorder="1" applyAlignment="1">
      <alignment horizontal="center"/>
    </xf>
    <xf numFmtId="3" fontId="12" fillId="0" borderId="0" xfId="0" applyNumberFormat="1" applyFont="1" applyBorder="1" applyAlignment="1">
      <alignment horizontal="center"/>
    </xf>
    <xf numFmtId="166" fontId="12" fillId="0" borderId="0" xfId="0" applyNumberFormat="1" applyFont="1" applyBorder="1" applyAlignment="1">
      <alignment horizontal="center"/>
    </xf>
    <xf numFmtId="166" fontId="12" fillId="0" borderId="23" xfId="0" applyNumberFormat="1" applyFont="1" applyFill="1" applyBorder="1" applyAlignment="1">
      <alignment horizontal="center"/>
    </xf>
    <xf numFmtId="3" fontId="12" fillId="0" borderId="17" xfId="0" applyNumberFormat="1" applyFont="1" applyBorder="1" applyAlignment="1"/>
    <xf numFmtId="3" fontId="12" fillId="0" borderId="21" xfId="0" applyNumberFormat="1" applyFont="1" applyFill="1" applyBorder="1" applyAlignment="1">
      <alignment horizontal="center"/>
    </xf>
    <xf numFmtId="3" fontId="14" fillId="0" borderId="26" xfId="0" applyNumberFormat="1" applyFont="1" applyFill="1" applyBorder="1" applyAlignment="1">
      <alignment horizontal="center"/>
    </xf>
    <xf numFmtId="3" fontId="14" fillId="0" borderId="24" xfId="0" applyNumberFormat="1" applyFont="1" applyFill="1" applyBorder="1" applyAlignment="1">
      <alignment horizontal="center"/>
    </xf>
    <xf numFmtId="166" fontId="14" fillId="0" borderId="24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0" xfId="0" applyNumberFormat="1" applyAlignment="1"/>
    <xf numFmtId="3" fontId="0" fillId="0" borderId="13" xfId="0" applyNumberFormat="1" applyBorder="1" applyAlignment="1"/>
    <xf numFmtId="3" fontId="0" fillId="0" borderId="14" xfId="0" applyNumberFormat="1" applyBorder="1" applyAlignment="1"/>
    <xf numFmtId="3" fontId="0" fillId="0" borderId="15" xfId="0" applyNumberFormat="1" applyBorder="1" applyAlignment="1"/>
    <xf numFmtId="3" fontId="15" fillId="0" borderId="16" xfId="0" applyNumberFormat="1" applyFont="1" applyBorder="1" applyAlignment="1"/>
    <xf numFmtId="166" fontId="2" fillId="0" borderId="1" xfId="0" applyNumberFormat="1" applyFont="1" applyBorder="1" applyAlignment="1">
      <alignment horizontal="center"/>
    </xf>
    <xf numFmtId="0" fontId="7" fillId="2" borderId="2" xfId="4" applyFont="1" applyFill="1" applyBorder="1" applyAlignment="1">
      <alignment horizontal="center"/>
    </xf>
    <xf numFmtId="0" fontId="7" fillId="0" borderId="3" xfId="4" applyFont="1" applyFill="1" applyBorder="1" applyAlignment="1">
      <alignment horizontal="right" wrapText="1"/>
    </xf>
    <xf numFmtId="0" fontId="7" fillId="0" borderId="3" xfId="4" applyFont="1" applyFill="1" applyBorder="1" applyAlignment="1">
      <alignment wrapText="1"/>
    </xf>
    <xf numFmtId="16" fontId="14" fillId="0" borderId="18" xfId="0" applyNumberFormat="1" applyFont="1" applyFill="1" applyBorder="1" applyAlignment="1">
      <alignment horizontal="left"/>
    </xf>
    <xf numFmtId="0" fontId="14" fillId="0" borderId="18" xfId="0" applyFont="1" applyFill="1" applyBorder="1" applyAlignment="1"/>
    <xf numFmtId="3" fontId="14" fillId="0" borderId="18" xfId="0" applyNumberFormat="1" applyFont="1" applyFill="1" applyBorder="1" applyAlignment="1">
      <alignment horizontal="center"/>
    </xf>
    <xf numFmtId="166" fontId="14" fillId="0" borderId="18" xfId="0" applyNumberFormat="1" applyFont="1" applyFill="1" applyBorder="1" applyAlignment="1">
      <alignment horizontal="center"/>
    </xf>
    <xf numFmtId="16" fontId="14" fillId="0" borderId="0" xfId="0" applyNumberFormat="1" applyFont="1" applyFill="1" applyBorder="1" applyAlignment="1">
      <alignment horizontal="left"/>
    </xf>
    <xf numFmtId="0" fontId="14" fillId="0" borderId="0" xfId="0" applyFont="1" applyFill="1" applyBorder="1" applyAlignment="1"/>
    <xf numFmtId="3" fontId="14" fillId="0" borderId="0" xfId="0" applyNumberFormat="1" applyFont="1" applyFill="1" applyBorder="1" applyAlignment="1">
      <alignment horizontal="center"/>
    </xf>
    <xf numFmtId="166" fontId="14" fillId="0" borderId="0" xfId="0" applyNumberFormat="1" applyFont="1" applyFill="1" applyBorder="1" applyAlignment="1">
      <alignment horizontal="center"/>
    </xf>
    <xf numFmtId="16" fontId="14" fillId="0" borderId="27" xfId="0" applyNumberFormat="1" applyFont="1" applyFill="1" applyBorder="1" applyAlignment="1">
      <alignment horizontal="left"/>
    </xf>
    <xf numFmtId="0" fontId="14" fillId="0" borderId="28" xfId="0" applyFont="1" applyFill="1" applyBorder="1" applyAlignment="1"/>
    <xf numFmtId="3" fontId="14" fillId="0" borderId="28" xfId="0" applyNumberFormat="1" applyFont="1" applyFill="1" applyBorder="1" applyAlignment="1">
      <alignment horizontal="center"/>
    </xf>
    <xf numFmtId="166" fontId="14" fillId="0" borderId="28" xfId="0" applyNumberFormat="1" applyFont="1" applyFill="1" applyBorder="1" applyAlignment="1">
      <alignment horizontal="center"/>
    </xf>
    <xf numFmtId="3" fontId="14" fillId="0" borderId="29" xfId="0" applyNumberFormat="1" applyFont="1" applyFill="1" applyBorder="1" applyAlignment="1">
      <alignment horizontal="center"/>
    </xf>
    <xf numFmtId="0" fontId="16" fillId="0" borderId="30" xfId="0" applyFont="1" applyBorder="1" applyAlignment="1">
      <alignment horizontal="left"/>
    </xf>
    <xf numFmtId="0" fontId="14" fillId="0" borderId="1" xfId="0" applyFont="1" applyBorder="1" applyAlignment="1"/>
    <xf numFmtId="168" fontId="14" fillId="0" borderId="1" xfId="0" applyNumberFormat="1" applyFont="1" applyBorder="1" applyAlignment="1">
      <alignment horizontal="center"/>
    </xf>
    <xf numFmtId="0" fontId="14" fillId="0" borderId="31" xfId="0" applyFont="1" applyBorder="1" applyAlignment="1"/>
    <xf numFmtId="3" fontId="2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Fill="1" applyAlignment="1">
      <alignment horizontal="center"/>
    </xf>
    <xf numFmtId="3" fontId="0" fillId="0" borderId="0" xfId="1" applyNumberFormat="1" applyFont="1" applyBorder="1" applyAlignment="1">
      <alignment horizontal="center"/>
    </xf>
    <xf numFmtId="166" fontId="12" fillId="0" borderId="0" xfId="0" applyNumberFormat="1" applyFont="1" applyFill="1" applyBorder="1" applyAlignment="1">
      <alignment horizontal="center"/>
    </xf>
    <xf numFmtId="166" fontId="12" fillId="0" borderId="18" xfId="0" applyNumberFormat="1" applyFont="1" applyFill="1" applyBorder="1" applyAlignment="1">
      <alignment horizontal="center"/>
    </xf>
    <xf numFmtId="166" fontId="12" fillId="0" borderId="32" xfId="0" applyNumberFormat="1" applyFont="1" applyFill="1" applyBorder="1" applyAlignment="1">
      <alignment horizontal="center"/>
    </xf>
    <xf numFmtId="0" fontId="7" fillId="0" borderId="4" xfId="4" applyFont="1" applyFill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7" fontId="2" fillId="0" borderId="0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7" fontId="0" fillId="0" borderId="0" xfId="0" applyNumberFormat="1" applyFont="1" applyBorder="1" applyAlignment="1">
      <alignment horizontal="center"/>
    </xf>
    <xf numFmtId="3" fontId="0" fillId="0" borderId="0" xfId="0" applyNumberFormat="1" applyFont="1" applyBorder="1" applyAlignment="1">
      <alignment horizontal="center"/>
    </xf>
    <xf numFmtId="37" fontId="0" fillId="0" borderId="0" xfId="0" applyNumberFormat="1" applyFont="1"/>
    <xf numFmtId="166" fontId="0" fillId="0" borderId="0" xfId="0" applyNumberFormat="1" applyFont="1" applyBorder="1" applyAlignment="1">
      <alignment horizontal="center"/>
    </xf>
    <xf numFmtId="0" fontId="7" fillId="0" borderId="0" xfId="4" applyFont="1" applyFill="1" applyBorder="1" applyAlignment="1">
      <alignment wrapText="1"/>
    </xf>
    <xf numFmtId="0" fontId="7" fillId="0" borderId="0" xfId="4" applyFont="1" applyFill="1" applyBorder="1" applyAlignment="1">
      <alignment horizontal="right" wrapText="1"/>
    </xf>
    <xf numFmtId="166" fontId="14" fillId="0" borderId="14" xfId="0" applyNumberFormat="1" applyFont="1" applyFill="1" applyBorder="1" applyAlignment="1">
      <alignment horizontal="center"/>
    </xf>
    <xf numFmtId="37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16" fontId="14" fillId="0" borderId="0" xfId="0" applyNumberFormat="1" applyFont="1" applyFill="1" applyBorder="1" applyAlignment="1">
      <alignment horizontal="center"/>
    </xf>
    <xf numFmtId="3" fontId="14" fillId="0" borderId="33" xfId="0" applyNumberFormat="1" applyFont="1" applyFill="1" applyBorder="1" applyAlignment="1">
      <alignment horizontal="center"/>
    </xf>
    <xf numFmtId="166" fontId="12" fillId="0" borderId="28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12" fillId="0" borderId="19" xfId="0" applyNumberFormat="1" applyFont="1" applyFill="1" applyBorder="1" applyAlignment="1">
      <alignment horizontal="center"/>
    </xf>
    <xf numFmtId="3" fontId="12" fillId="0" borderId="18" xfId="0" applyNumberFormat="1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16" fontId="14" fillId="0" borderId="24" xfId="0" applyNumberFormat="1" applyFont="1" applyFill="1" applyBorder="1" applyAlignment="1">
      <alignment horizontal="center"/>
    </xf>
    <xf numFmtId="16" fontId="14" fillId="0" borderId="25" xfId="0" applyNumberFormat="1" applyFont="1" applyFill="1" applyBorder="1" applyAlignment="1">
      <alignment horizontal="center"/>
    </xf>
    <xf numFmtId="16" fontId="12" fillId="0" borderId="19" xfId="0" applyNumberFormat="1" applyFont="1" applyFill="1" applyBorder="1" applyAlignment="1">
      <alignment horizontal="center"/>
    </xf>
    <xf numFmtId="16" fontId="12" fillId="0" borderId="18" xfId="0" applyNumberFormat="1" applyFont="1" applyFill="1" applyBorder="1" applyAlignment="1">
      <alignment horizontal="center"/>
    </xf>
    <xf numFmtId="16" fontId="12" fillId="0" borderId="20" xfId="0" applyNumberFormat="1" applyFont="1" applyFill="1" applyBorder="1" applyAlignment="1">
      <alignment horizontal="center"/>
    </xf>
  </cellXfs>
  <cellStyles count="5">
    <cellStyle name="Comma" xfId="1" builtinId="3"/>
    <cellStyle name="Normal" xfId="0" builtinId="0"/>
    <cellStyle name="Normal_Copy Sheet" xfId="4" xr:uid="{00000000-0005-0000-0000-000002000000}"/>
    <cellStyle name="Normal_LB Wastage" xfId="3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0"/>
  <sheetViews>
    <sheetView zoomScaleNormal="100" workbookViewId="0">
      <selection activeCell="Q2" sqref="Q2"/>
    </sheetView>
  </sheetViews>
  <sheetFormatPr defaultRowHeight="15" x14ac:dyDescent="0.25"/>
  <cols>
    <col min="1" max="1" width="18.7109375" style="21" customWidth="1"/>
    <col min="2" max="2" width="5.42578125" style="20" customWidth="1"/>
    <col min="3" max="3" width="7.7109375" style="20" customWidth="1"/>
    <col min="4" max="4" width="8.85546875" style="24" bestFit="1" customWidth="1"/>
    <col min="5" max="5" width="3.7109375" style="8" customWidth="1"/>
    <col min="6" max="6" width="12.7109375" style="94" customWidth="1"/>
    <col min="7" max="7" width="3.7109375" customWidth="1"/>
    <col min="8" max="8" width="12.7109375" style="94" customWidth="1"/>
    <col min="9" max="9" width="3.7109375" customWidth="1"/>
    <col min="10" max="10" width="12.7109375" style="94" customWidth="1"/>
    <col min="11" max="11" width="3.7109375" customWidth="1"/>
    <col min="12" max="12" width="12.7109375" style="94" customWidth="1"/>
    <col min="13" max="13" width="3.7109375" customWidth="1"/>
    <col min="14" max="14" width="12.7109375" style="20" customWidth="1"/>
    <col min="15" max="15" width="18.140625" style="94" bestFit="1" customWidth="1"/>
  </cols>
  <sheetData>
    <row r="1" spans="1:17" x14ac:dyDescent="0.25">
      <c r="A1" s="26" t="s">
        <v>0</v>
      </c>
      <c r="B1" s="1" t="s">
        <v>1</v>
      </c>
      <c r="C1" s="1" t="s">
        <v>2</v>
      </c>
      <c r="D1" s="22" t="s">
        <v>3</v>
      </c>
      <c r="E1" s="121" t="s">
        <v>4</v>
      </c>
      <c r="F1" s="121"/>
      <c r="G1" s="121" t="s">
        <v>5</v>
      </c>
      <c r="H1" s="121"/>
      <c r="I1" s="121" t="s">
        <v>6</v>
      </c>
      <c r="J1" s="121"/>
      <c r="K1" s="121" t="s">
        <v>7</v>
      </c>
      <c r="L1" s="121"/>
      <c r="M1" s="121" t="s">
        <v>8</v>
      </c>
      <c r="N1" s="121"/>
      <c r="O1" s="93" t="s">
        <v>9</v>
      </c>
    </row>
    <row r="2" spans="1:17" x14ac:dyDescent="0.25">
      <c r="A2" s="107">
        <v>44090</v>
      </c>
      <c r="B2" s="108" t="s">
        <v>23</v>
      </c>
      <c r="C2" s="108">
        <v>-1</v>
      </c>
      <c r="D2" s="109">
        <v>0.26180555555555557</v>
      </c>
      <c r="E2" s="104"/>
      <c r="F2" s="110">
        <f>(12886.6693562423/20086.3935402124*6935.71655805455)+6935.71655805455</f>
        <v>11385.409622831512</v>
      </c>
      <c r="G2" s="108" t="s">
        <v>62</v>
      </c>
      <c r="H2" s="110">
        <f>Effort!H2*CPUE!H2</f>
        <v>2478.4416208838643</v>
      </c>
      <c r="I2" s="108"/>
      <c r="J2" s="110">
        <v>4714.0509574534099</v>
      </c>
      <c r="K2" s="108"/>
      <c r="L2" s="110" t="s">
        <v>10</v>
      </c>
      <c r="M2" s="108"/>
      <c r="N2" s="108" t="s">
        <v>10</v>
      </c>
      <c r="O2" s="14">
        <f>SUM(F2:N2)</f>
        <v>18577.902201168785</v>
      </c>
      <c r="Q2" s="34">
        <f>SUM(O2:O15)</f>
        <v>1222732.2991641983</v>
      </c>
    </row>
    <row r="3" spans="1:17" x14ac:dyDescent="0.25">
      <c r="A3" s="107">
        <v>44091</v>
      </c>
      <c r="B3" s="108" t="s">
        <v>24</v>
      </c>
      <c r="C3" s="108">
        <v>-1</v>
      </c>
      <c r="D3" s="109">
        <v>0.2902777777777778</v>
      </c>
      <c r="E3" s="104" t="s">
        <v>62</v>
      </c>
      <c r="F3" s="110">
        <f>Effort!F3*CPUE!F3</f>
        <v>16128.553620596307</v>
      </c>
      <c r="G3" s="108" t="s">
        <v>62</v>
      </c>
      <c r="H3" s="110">
        <f>Effort!H3*CPUE!H3</f>
        <v>10454.849583027462</v>
      </c>
      <c r="I3" s="108"/>
      <c r="J3" s="110" t="s">
        <v>10</v>
      </c>
      <c r="K3" s="108"/>
      <c r="L3" s="110">
        <v>13784.962053188399</v>
      </c>
      <c r="M3" s="108"/>
      <c r="N3" s="108" t="s">
        <v>10</v>
      </c>
      <c r="O3" s="14">
        <f t="shared" ref="O3:O19" si="0">SUM(F3:N3)</f>
        <v>40368.365256812169</v>
      </c>
    </row>
    <row r="4" spans="1:17" x14ac:dyDescent="0.25">
      <c r="A4" s="107">
        <v>44092</v>
      </c>
      <c r="B4" s="108" t="s">
        <v>18</v>
      </c>
      <c r="C4" s="108">
        <v>-0.8</v>
      </c>
      <c r="D4" s="109">
        <v>0.31875000000000003</v>
      </c>
      <c r="E4" s="104"/>
      <c r="F4" s="110">
        <f>20086.3935402124+12886.6693562423</f>
        <v>32973.0628964547</v>
      </c>
      <c r="G4" s="108"/>
      <c r="H4" s="110">
        <v>16098.169622941699</v>
      </c>
      <c r="I4" s="108"/>
      <c r="J4" s="110">
        <v>30619.075827661301</v>
      </c>
      <c r="K4" s="108"/>
      <c r="L4" s="110" t="s">
        <v>10</v>
      </c>
      <c r="M4" s="108"/>
      <c r="N4" s="108" t="s">
        <v>10</v>
      </c>
      <c r="O4" s="14">
        <f t="shared" si="0"/>
        <v>79690.308347057697</v>
      </c>
    </row>
    <row r="5" spans="1:17" x14ac:dyDescent="0.25">
      <c r="A5" s="107">
        <v>44093</v>
      </c>
      <c r="B5" s="108" t="s">
        <v>19</v>
      </c>
      <c r="C5" s="108">
        <v>-0.3</v>
      </c>
      <c r="D5" s="109">
        <v>0.34652777777777777</v>
      </c>
      <c r="E5" s="104"/>
      <c r="F5" s="110">
        <v>89450.29</v>
      </c>
      <c r="G5" s="108"/>
      <c r="H5" s="110">
        <v>57983.433041383098</v>
      </c>
      <c r="I5" s="108"/>
      <c r="J5" s="110" t="s">
        <v>10</v>
      </c>
      <c r="K5" s="108"/>
      <c r="L5" s="110">
        <v>76452.503485716996</v>
      </c>
      <c r="M5" s="108"/>
      <c r="N5" s="108" t="s">
        <v>10</v>
      </c>
      <c r="O5" s="14">
        <f t="shared" si="0"/>
        <v>223886.22652710008</v>
      </c>
    </row>
    <row r="6" spans="1:17" x14ac:dyDescent="0.25">
      <c r="A6" s="107">
        <v>44094</v>
      </c>
      <c r="B6" s="108" t="s">
        <v>20</v>
      </c>
      <c r="C6" s="108">
        <v>-0.8</v>
      </c>
      <c r="D6" s="109">
        <v>0.90486111111111101</v>
      </c>
      <c r="E6" s="104" t="s">
        <v>62</v>
      </c>
      <c r="F6" s="110">
        <f>Effort!F6*CPUE!F6</f>
        <v>20383.223682192314</v>
      </c>
      <c r="G6" s="108" t="s">
        <v>62</v>
      </c>
      <c r="H6" s="110">
        <v>18620.882512620399</v>
      </c>
      <c r="I6" s="108"/>
      <c r="J6" s="110">
        <v>18928.0405492549</v>
      </c>
      <c r="K6" s="108"/>
      <c r="L6" s="110" t="s">
        <v>10</v>
      </c>
      <c r="M6" s="108"/>
      <c r="N6" s="108" t="s">
        <v>10</v>
      </c>
      <c r="O6" s="14">
        <f t="shared" si="0"/>
        <v>57932.146744067621</v>
      </c>
    </row>
    <row r="7" spans="1:17" x14ac:dyDescent="0.25">
      <c r="A7" s="107">
        <v>44095</v>
      </c>
      <c r="B7" s="108" t="s">
        <v>21</v>
      </c>
      <c r="C7" s="108">
        <v>-0.8</v>
      </c>
      <c r="D7" s="109">
        <v>0.94236111111111109</v>
      </c>
      <c r="E7" s="104" t="s">
        <v>62</v>
      </c>
      <c r="F7" s="110">
        <f>Effort!F7*CPUE!F7</f>
        <v>6256.4117935175</v>
      </c>
      <c r="G7" s="108" t="s">
        <v>62</v>
      </c>
      <c r="H7" s="110">
        <v>8554.6783014715493</v>
      </c>
      <c r="I7" s="108"/>
      <c r="J7" s="110" t="s">
        <v>10</v>
      </c>
      <c r="K7" s="108"/>
      <c r="L7" s="110">
        <v>5347.3114323546397</v>
      </c>
      <c r="M7" s="108"/>
      <c r="N7" s="108" t="s">
        <v>10</v>
      </c>
      <c r="O7" s="14">
        <f t="shared" si="0"/>
        <v>20158.401527343689</v>
      </c>
    </row>
    <row r="8" spans="1:17" x14ac:dyDescent="0.25">
      <c r="A8" s="107">
        <v>44096</v>
      </c>
      <c r="B8" s="108" t="s">
        <v>22</v>
      </c>
      <c r="C8" s="108">
        <v>-0.3</v>
      </c>
      <c r="D8" s="109">
        <v>0.98402777777777783</v>
      </c>
      <c r="E8" s="104" t="s">
        <v>62</v>
      </c>
      <c r="F8" s="110">
        <f>Effort!F8*CPUE!F8</f>
        <v>5428.6704703649611</v>
      </c>
      <c r="G8" s="108" t="s">
        <v>62</v>
      </c>
      <c r="H8" s="110">
        <f>Effort!H8*CPUE!H8</f>
        <v>4959.3055840676898</v>
      </c>
      <c r="I8" s="108"/>
      <c r="J8" s="110">
        <v>5041.1110820209196</v>
      </c>
      <c r="K8" s="108"/>
      <c r="L8" s="110" t="s">
        <v>10</v>
      </c>
      <c r="M8" s="108"/>
      <c r="N8" s="108" t="s">
        <v>10</v>
      </c>
      <c r="O8" s="14">
        <f t="shared" si="0"/>
        <v>15429.087136453571</v>
      </c>
    </row>
    <row r="9" spans="1:17" x14ac:dyDescent="0.25">
      <c r="A9" s="107"/>
      <c r="B9" s="108"/>
      <c r="C9" s="108"/>
      <c r="D9" s="109"/>
      <c r="E9" s="104"/>
      <c r="F9" s="110"/>
      <c r="G9" s="108"/>
      <c r="H9" s="110"/>
      <c r="I9" s="108"/>
      <c r="J9" s="110"/>
      <c r="K9" s="108"/>
      <c r="L9" s="110"/>
      <c r="M9" s="108"/>
      <c r="N9" s="108"/>
      <c r="O9" s="14"/>
    </row>
    <row r="10" spans="1:17" x14ac:dyDescent="0.25">
      <c r="A10" s="107">
        <v>44120</v>
      </c>
      <c r="B10" s="108" t="s">
        <v>18</v>
      </c>
      <c r="C10" s="108">
        <v>-0.7</v>
      </c>
      <c r="D10" s="109">
        <v>0.79166666666666663</v>
      </c>
      <c r="E10" s="104"/>
      <c r="F10" s="110">
        <f>(12886.6693562423/20086.3935402124*49320.1571033681)+49320.1571033681</f>
        <v>80962.10198096055</v>
      </c>
      <c r="G10" s="108"/>
      <c r="H10" s="110">
        <v>46715.3840967781</v>
      </c>
      <c r="I10" s="108"/>
      <c r="J10" s="110" t="s">
        <v>10</v>
      </c>
      <c r="K10" s="108"/>
      <c r="L10" s="110">
        <v>75460.995481892503</v>
      </c>
      <c r="M10" s="108"/>
      <c r="N10" s="110" t="s">
        <v>10</v>
      </c>
      <c r="O10" s="14">
        <f t="shared" si="0"/>
        <v>203138.48155963115</v>
      </c>
    </row>
    <row r="11" spans="1:17" x14ac:dyDescent="0.25">
      <c r="A11" s="107">
        <v>44121</v>
      </c>
      <c r="B11" s="108" t="s">
        <v>19</v>
      </c>
      <c r="C11" s="108">
        <v>-1.3</v>
      </c>
      <c r="D11" s="109">
        <v>0.82430555555555562</v>
      </c>
      <c r="E11" s="104"/>
      <c r="F11" s="110">
        <f>(12886.6693562423/20086.3935402124*88451.2537515711)+88451.2537515711</f>
        <v>145198.22821264851</v>
      </c>
      <c r="G11" s="108"/>
      <c r="H11" s="110">
        <v>83754.045331550704</v>
      </c>
      <c r="I11" s="108"/>
      <c r="J11" s="110">
        <v>151902.49442794599</v>
      </c>
      <c r="K11" s="108"/>
      <c r="L11" s="110" t="s">
        <v>10</v>
      </c>
      <c r="M11" s="108"/>
      <c r="N11" s="110" t="s">
        <v>10</v>
      </c>
      <c r="O11" s="14">
        <f t="shared" si="0"/>
        <v>380854.76797214523</v>
      </c>
    </row>
    <row r="12" spans="1:17" x14ac:dyDescent="0.25">
      <c r="A12" s="107">
        <v>44122</v>
      </c>
      <c r="B12" s="108" t="s">
        <v>20</v>
      </c>
      <c r="C12" s="108">
        <v>-1.5</v>
      </c>
      <c r="D12" s="109">
        <v>0.85763888888888884</v>
      </c>
      <c r="E12" s="104" t="s">
        <v>62</v>
      </c>
      <c r="F12" s="110">
        <f>Effort!F12*CPUE!F12</f>
        <v>45824.42285675084</v>
      </c>
      <c r="G12" s="108" t="s">
        <v>62</v>
      </c>
      <c r="H12" s="110">
        <f>Effort!H12*CPUE!H12</f>
        <v>26376.890221287795</v>
      </c>
      <c r="I12" s="108"/>
      <c r="J12" s="110" t="s">
        <v>10</v>
      </c>
      <c r="K12" s="108"/>
      <c r="L12" s="110">
        <v>42710.805198298702</v>
      </c>
      <c r="M12" s="108"/>
      <c r="N12" s="110" t="s">
        <v>10</v>
      </c>
      <c r="O12" s="14">
        <f t="shared" si="0"/>
        <v>114912.11827633734</v>
      </c>
    </row>
    <row r="13" spans="1:17" x14ac:dyDescent="0.25">
      <c r="A13" s="107">
        <v>44123</v>
      </c>
      <c r="B13" s="108" t="s">
        <v>21</v>
      </c>
      <c r="C13" s="108">
        <v>-1.4</v>
      </c>
      <c r="D13" s="109">
        <v>0.89166666666666661</v>
      </c>
      <c r="E13" s="104" t="s">
        <v>62</v>
      </c>
      <c r="F13" s="110">
        <f>Effort!F13*CPUE!F13</f>
        <v>15726.720235757395</v>
      </c>
      <c r="G13" s="108" t="s">
        <v>62</v>
      </c>
      <c r="H13" s="110">
        <f>Effort!H13*CPUE!H13</f>
        <v>9071.573777148189</v>
      </c>
      <c r="I13" s="108"/>
      <c r="J13" s="110">
        <v>16452.873167868998</v>
      </c>
      <c r="K13" s="108"/>
      <c r="L13" s="110" t="s">
        <v>10</v>
      </c>
      <c r="M13" s="108"/>
      <c r="N13" s="110" t="s">
        <v>10</v>
      </c>
      <c r="O13" s="14">
        <f t="shared" si="0"/>
        <v>41251.167180774588</v>
      </c>
    </row>
    <row r="14" spans="1:17" x14ac:dyDescent="0.25">
      <c r="A14" s="107">
        <v>44124</v>
      </c>
      <c r="B14" s="108" t="s">
        <v>22</v>
      </c>
      <c r="C14" s="108">
        <v>-1</v>
      </c>
      <c r="D14" s="109">
        <v>0.9277777777777777</v>
      </c>
      <c r="E14" s="104" t="s">
        <v>62</v>
      </c>
      <c r="F14" s="110">
        <f>Effort!F14*CPUE!F14</f>
        <v>10580.906423148521</v>
      </c>
      <c r="G14" s="108" t="s">
        <v>62</v>
      </c>
      <c r="H14" s="110">
        <f>Effort!H14*CPUE!H14</f>
        <v>6090.4511124462915</v>
      </c>
      <c r="I14" s="108"/>
      <c r="J14" s="110" t="s">
        <v>10</v>
      </c>
      <c r="K14" s="108"/>
      <c r="L14" s="110">
        <v>9861.9688997118792</v>
      </c>
      <c r="M14" s="108"/>
      <c r="N14" s="110" t="s">
        <v>10</v>
      </c>
      <c r="O14" s="14">
        <f t="shared" si="0"/>
        <v>26533.326435306692</v>
      </c>
    </row>
    <row r="15" spans="1:17" x14ac:dyDescent="0.25">
      <c r="A15" s="107">
        <v>44125</v>
      </c>
      <c r="B15" s="108" t="s">
        <v>23</v>
      </c>
      <c r="C15" s="108">
        <v>-0.5</v>
      </c>
      <c r="D15" s="109">
        <v>0.96666666666666667</v>
      </c>
      <c r="E15" s="104"/>
      <c r="F15" s="110" t="s">
        <v>10</v>
      </c>
      <c r="G15" s="108"/>
      <c r="H15" s="110" t="s">
        <v>10</v>
      </c>
      <c r="I15" s="108"/>
      <c r="J15" s="110" t="s">
        <v>10</v>
      </c>
      <c r="K15" s="108"/>
      <c r="L15" s="110" t="s">
        <v>10</v>
      </c>
      <c r="M15" s="108"/>
      <c r="N15" s="110" t="s">
        <v>10</v>
      </c>
      <c r="O15" s="14">
        <f t="shared" si="0"/>
        <v>0</v>
      </c>
    </row>
    <row r="16" spans="1:17" x14ac:dyDescent="0.25">
      <c r="A16" s="107"/>
      <c r="B16" s="108"/>
      <c r="C16" s="108"/>
      <c r="D16" s="109"/>
      <c r="E16" s="104"/>
      <c r="F16" s="110"/>
      <c r="G16" s="108"/>
      <c r="H16" s="110"/>
      <c r="I16" s="108"/>
      <c r="J16" s="110"/>
      <c r="K16" s="108"/>
      <c r="L16" s="110"/>
      <c r="M16" s="108"/>
      <c r="N16" s="110"/>
      <c r="O16" s="14"/>
    </row>
    <row r="17" spans="1:15" x14ac:dyDescent="0.25">
      <c r="A17" s="107">
        <v>44331</v>
      </c>
      <c r="B17" s="108" t="s">
        <v>19</v>
      </c>
      <c r="C17" s="108">
        <v>-0.5</v>
      </c>
      <c r="D17" s="109">
        <v>0.39999999999999997</v>
      </c>
      <c r="E17" s="104"/>
      <c r="F17" s="110" t="s">
        <v>10</v>
      </c>
      <c r="G17" s="108"/>
      <c r="H17" s="110" t="s">
        <v>10</v>
      </c>
      <c r="I17" s="108"/>
      <c r="J17" s="110" t="s">
        <v>10</v>
      </c>
      <c r="K17" s="108"/>
      <c r="L17" s="110">
        <v>112607</v>
      </c>
      <c r="M17" s="108"/>
      <c r="N17" s="110" t="s">
        <v>10</v>
      </c>
      <c r="O17" s="14">
        <f t="shared" si="0"/>
        <v>112607</v>
      </c>
    </row>
    <row r="18" spans="1:15" x14ac:dyDescent="0.25">
      <c r="A18" s="107">
        <v>44332</v>
      </c>
      <c r="B18" s="108" t="s">
        <v>20</v>
      </c>
      <c r="C18" s="108">
        <v>-0.3</v>
      </c>
      <c r="D18" s="109">
        <v>0.4284722222222222</v>
      </c>
      <c r="E18" s="104"/>
      <c r="F18" s="110" t="s">
        <v>10</v>
      </c>
      <c r="G18" s="108"/>
      <c r="H18" s="110" t="s">
        <v>10</v>
      </c>
      <c r="I18" s="108"/>
      <c r="J18" s="110" t="s">
        <v>10</v>
      </c>
      <c r="K18" s="108"/>
      <c r="L18" s="110" t="s">
        <v>10</v>
      </c>
      <c r="M18" s="108"/>
      <c r="N18" s="110" t="s">
        <v>10</v>
      </c>
      <c r="O18" s="14">
        <f t="shared" si="0"/>
        <v>0</v>
      </c>
    </row>
    <row r="19" spans="1:15" x14ac:dyDescent="0.25">
      <c r="A19" s="107">
        <v>44333</v>
      </c>
      <c r="B19" s="108" t="s">
        <v>21</v>
      </c>
      <c r="C19" s="108">
        <v>-0.1</v>
      </c>
      <c r="D19" s="109">
        <v>0.4604166666666667</v>
      </c>
      <c r="E19" s="104"/>
      <c r="F19" s="110" t="s">
        <v>10</v>
      </c>
      <c r="G19" s="108"/>
      <c r="H19" s="110" t="s">
        <v>10</v>
      </c>
      <c r="I19" s="108"/>
      <c r="J19" s="110" t="s">
        <v>10</v>
      </c>
      <c r="K19" s="108"/>
      <c r="L19" s="110">
        <v>69921</v>
      </c>
      <c r="M19" s="108"/>
      <c r="N19" s="110" t="s">
        <v>10</v>
      </c>
      <c r="O19" s="14">
        <f t="shared" si="0"/>
        <v>69921</v>
      </c>
    </row>
    <row r="20" spans="1:15" x14ac:dyDescent="0.25">
      <c r="B20" s="102"/>
      <c r="C20" s="102"/>
      <c r="E20"/>
      <c r="N20" s="102"/>
    </row>
    <row r="21" spans="1:15" x14ac:dyDescent="0.25">
      <c r="A21" s="107">
        <v>44340</v>
      </c>
      <c r="B21" s="108" t="s">
        <v>21</v>
      </c>
      <c r="C21" s="108">
        <v>-0.7</v>
      </c>
      <c r="D21" s="109">
        <v>0.23055555555555554</v>
      </c>
      <c r="E21" s="104"/>
      <c r="F21" s="110" t="s">
        <v>10</v>
      </c>
      <c r="G21" s="108"/>
      <c r="H21" s="110" t="s">
        <v>10</v>
      </c>
      <c r="I21" s="108"/>
      <c r="J21" s="110" t="s">
        <v>10</v>
      </c>
      <c r="K21" s="108"/>
      <c r="L21" s="110">
        <v>6825.6878643743903</v>
      </c>
      <c r="M21" s="108"/>
      <c r="N21" s="110" t="s">
        <v>10</v>
      </c>
      <c r="O21" s="14">
        <f t="shared" ref="O21:O23" si="1">SUM(F21:N21)</f>
        <v>6825.6878643743903</v>
      </c>
    </row>
    <row r="22" spans="1:15" x14ac:dyDescent="0.25">
      <c r="A22" s="107">
        <v>44341</v>
      </c>
      <c r="B22" s="108" t="s">
        <v>22</v>
      </c>
      <c r="C22" s="108">
        <v>-1.6</v>
      </c>
      <c r="D22" s="109">
        <v>0.26458333333333334</v>
      </c>
      <c r="E22" s="104"/>
      <c r="F22" s="110" t="s">
        <v>10</v>
      </c>
      <c r="G22" s="108"/>
      <c r="H22" s="110" t="s">
        <v>10</v>
      </c>
      <c r="I22" s="108"/>
      <c r="J22" s="110" t="s">
        <v>10</v>
      </c>
      <c r="K22" s="108"/>
      <c r="L22" s="110" t="s">
        <v>10</v>
      </c>
      <c r="M22" s="108"/>
      <c r="N22" s="110" t="s">
        <v>10</v>
      </c>
      <c r="O22" s="14">
        <f t="shared" si="1"/>
        <v>0</v>
      </c>
    </row>
    <row r="23" spans="1:15" x14ac:dyDescent="0.25">
      <c r="A23" s="107">
        <v>44342</v>
      </c>
      <c r="B23" s="108" t="s">
        <v>23</v>
      </c>
      <c r="C23" s="108">
        <v>-2.2999999999999998</v>
      </c>
      <c r="D23" s="109">
        <v>0.29791666666666666</v>
      </c>
      <c r="E23" s="104"/>
      <c r="F23" s="110" t="s">
        <v>10</v>
      </c>
      <c r="G23" s="108"/>
      <c r="H23" s="110" t="s">
        <v>10</v>
      </c>
      <c r="I23" s="108"/>
      <c r="J23" s="110" t="s">
        <v>10</v>
      </c>
      <c r="K23" s="108"/>
      <c r="L23" s="110">
        <v>32776.769566712101</v>
      </c>
      <c r="M23" s="108"/>
      <c r="N23" s="110" t="s">
        <v>10</v>
      </c>
      <c r="O23" s="14">
        <f t="shared" si="1"/>
        <v>32776.769566712101</v>
      </c>
    </row>
    <row r="24" spans="1:15" x14ac:dyDescent="0.25">
      <c r="A24" s="107">
        <v>44343</v>
      </c>
      <c r="B24" s="108" t="s">
        <v>24</v>
      </c>
      <c r="C24" s="108">
        <v>-2.5</v>
      </c>
      <c r="D24" s="109">
        <v>0.33124999999999999</v>
      </c>
      <c r="E24" s="104"/>
      <c r="F24" s="110" t="s">
        <v>10</v>
      </c>
      <c r="G24" s="108"/>
      <c r="H24" s="110" t="s">
        <v>10</v>
      </c>
      <c r="I24" s="108"/>
      <c r="J24" s="110" t="s">
        <v>10</v>
      </c>
      <c r="K24" s="108"/>
      <c r="L24" s="110" t="s">
        <v>10</v>
      </c>
      <c r="M24" s="108"/>
      <c r="N24" s="110" t="s">
        <v>10</v>
      </c>
      <c r="O24" s="14">
        <f t="shared" ref="O24:O26" si="2">SUM(F24:N24)</f>
        <v>0</v>
      </c>
    </row>
    <row r="25" spans="1:15" x14ac:dyDescent="0.25">
      <c r="A25" s="107">
        <v>44344</v>
      </c>
      <c r="B25" s="108" t="s">
        <v>18</v>
      </c>
      <c r="C25" s="108">
        <v>-2.5</v>
      </c>
      <c r="D25" s="109">
        <v>0.36527777777777781</v>
      </c>
      <c r="E25" s="104"/>
      <c r="F25" s="110" t="s">
        <v>10</v>
      </c>
      <c r="G25" s="108"/>
      <c r="H25" s="110" t="s">
        <v>10</v>
      </c>
      <c r="I25" s="108"/>
      <c r="J25" s="110" t="s">
        <v>10</v>
      </c>
      <c r="K25" s="108"/>
      <c r="L25" s="110">
        <v>71509.0893591731</v>
      </c>
      <c r="M25" s="108"/>
      <c r="N25" s="110" t="s">
        <v>10</v>
      </c>
      <c r="O25" s="14">
        <f t="shared" si="2"/>
        <v>71509.0893591731</v>
      </c>
    </row>
    <row r="26" spans="1:15" x14ac:dyDescent="0.25">
      <c r="A26" s="107">
        <v>44345</v>
      </c>
      <c r="B26" s="108" t="s">
        <v>19</v>
      </c>
      <c r="C26" s="108">
        <v>-2.2000000000000002</v>
      </c>
      <c r="D26" s="109">
        <v>0.39930555555555558</v>
      </c>
      <c r="E26" s="104"/>
      <c r="F26" s="110" t="s">
        <v>10</v>
      </c>
      <c r="G26" s="108"/>
      <c r="H26" s="110" t="s">
        <v>10</v>
      </c>
      <c r="I26" s="108"/>
      <c r="J26" s="110" t="s">
        <v>10</v>
      </c>
      <c r="K26" s="108"/>
      <c r="L26" s="110" t="s">
        <v>10</v>
      </c>
      <c r="M26" s="108"/>
      <c r="N26" s="110" t="s">
        <v>10</v>
      </c>
      <c r="O26" s="14">
        <f t="shared" si="2"/>
        <v>0</v>
      </c>
    </row>
    <row r="27" spans="1:15" x14ac:dyDescent="0.25">
      <c r="A27" s="107">
        <v>44346</v>
      </c>
      <c r="B27" s="108" t="s">
        <v>20</v>
      </c>
      <c r="C27" s="108">
        <v>-1.6</v>
      </c>
      <c r="D27" s="109">
        <v>0.43472222222222223</v>
      </c>
      <c r="E27" s="104"/>
      <c r="F27" s="110" t="s">
        <v>10</v>
      </c>
      <c r="G27" s="108"/>
      <c r="H27" s="110" t="s">
        <v>10</v>
      </c>
      <c r="I27" s="108"/>
      <c r="J27" s="110" t="s">
        <v>10</v>
      </c>
      <c r="K27" s="108"/>
      <c r="L27" s="110">
        <v>130472.724444807</v>
      </c>
      <c r="M27" s="108"/>
      <c r="N27" s="110" t="s">
        <v>10</v>
      </c>
      <c r="O27" s="14">
        <f t="shared" ref="O27" si="3">SUM(F27:N27)</f>
        <v>130472.724444807</v>
      </c>
    </row>
    <row r="28" spans="1:15" x14ac:dyDescent="0.25">
      <c r="A28" s="107"/>
      <c r="B28" s="108"/>
      <c r="C28" s="108"/>
      <c r="D28" s="109"/>
      <c r="E28" s="104"/>
      <c r="F28" s="110"/>
      <c r="G28" s="108"/>
      <c r="H28" s="110"/>
      <c r="I28" s="108"/>
      <c r="J28" s="110"/>
      <c r="K28" s="108"/>
      <c r="L28" s="110"/>
      <c r="M28" s="108"/>
      <c r="N28" s="110"/>
      <c r="O28" s="14"/>
    </row>
    <row r="29" spans="1:15" x14ac:dyDescent="0.25">
      <c r="A29" s="27" t="s">
        <v>64</v>
      </c>
      <c r="B29" s="102"/>
      <c r="C29" s="102"/>
      <c r="E29" s="13"/>
      <c r="F29" s="14">
        <f>SUM(F2:F20)</f>
        <v>480298.0017952231</v>
      </c>
      <c r="G29" s="15"/>
      <c r="H29" s="14">
        <f>SUM(H2:H20)</f>
        <v>291158.10480560688</v>
      </c>
      <c r="I29" s="15"/>
      <c r="J29" s="14">
        <f>SUM(J2:J20)</f>
        <v>227657.64601220551</v>
      </c>
      <c r="K29" s="15"/>
      <c r="L29" s="14">
        <f>SUM(L2:L28)</f>
        <v>647730.81778622966</v>
      </c>
      <c r="M29" s="15"/>
      <c r="N29" s="14">
        <f>SUM(N2:N20)</f>
        <v>0</v>
      </c>
      <c r="O29" s="14">
        <f>SUM(O2:O20)</f>
        <v>1405260.2991641983</v>
      </c>
    </row>
    <row r="30" spans="1:15" x14ac:dyDescent="0.25">
      <c r="A30" s="28" t="s">
        <v>11</v>
      </c>
      <c r="B30" s="15"/>
      <c r="C30" s="15"/>
      <c r="D30" s="23"/>
      <c r="E30" s="13"/>
      <c r="F30" s="49">
        <f>+'LB Wastage'!F100</f>
        <v>8.3076923076923076E-2</v>
      </c>
      <c r="G30" s="16"/>
      <c r="H30" s="49">
        <f>+'TH Wastage'!F100</f>
        <v>5.5E-2</v>
      </c>
      <c r="I30" s="16"/>
      <c r="J30" s="49">
        <f>+'Cop Wastage'!F100</f>
        <v>0.08</v>
      </c>
      <c r="K30" s="17"/>
      <c r="L30" s="49">
        <f>+'Moc Wastage'!F100</f>
        <v>2.6666666666666668E-2</v>
      </c>
      <c r="M30" s="16"/>
      <c r="N30" s="49">
        <f>+'Kal Wastage'!F100</f>
        <v>0</v>
      </c>
      <c r="O30" s="14"/>
    </row>
    <row r="31" spans="1:15" x14ac:dyDescent="0.25">
      <c r="A31" s="27" t="s">
        <v>12</v>
      </c>
      <c r="B31" s="15"/>
      <c r="C31" s="15"/>
      <c r="D31" s="23"/>
      <c r="E31" s="13"/>
      <c r="F31" s="14">
        <f>+F29*F30</f>
        <v>39901.680149141612</v>
      </c>
      <c r="G31" s="16"/>
      <c r="H31" s="14">
        <f>+H29*H30</f>
        <v>16013.695764308379</v>
      </c>
      <c r="I31" s="16"/>
      <c r="J31" s="14">
        <f>+J29*J30</f>
        <v>18212.611680976443</v>
      </c>
      <c r="K31" s="16"/>
      <c r="L31" s="14">
        <f>+L29*L30</f>
        <v>17272.82180763279</v>
      </c>
      <c r="M31" s="16"/>
      <c r="N31" s="14">
        <f>+N29*N30</f>
        <v>0</v>
      </c>
      <c r="O31" s="14">
        <f>F31+H31+J31+L31+N31</f>
        <v>91400.809402059225</v>
      </c>
    </row>
    <row r="32" spans="1:15" x14ac:dyDescent="0.25">
      <c r="A32" s="28" t="s">
        <v>13</v>
      </c>
      <c r="B32" s="15"/>
      <c r="C32" s="15"/>
      <c r="D32" s="23"/>
      <c r="E32" s="13"/>
      <c r="F32" s="14">
        <f>F29+F31</f>
        <v>520199.68194436468</v>
      </c>
      <c r="G32" s="16"/>
      <c r="H32" s="14">
        <f>H29+H31</f>
        <v>307171.80056991527</v>
      </c>
      <c r="I32" s="16"/>
      <c r="J32" s="14">
        <f>J29+J31</f>
        <v>245870.25769318195</v>
      </c>
      <c r="K32" s="16"/>
      <c r="L32" s="14">
        <f>L29+L31</f>
        <v>665003.63959386246</v>
      </c>
      <c r="M32" s="16"/>
      <c r="N32" s="14">
        <f>N29+N31</f>
        <v>0</v>
      </c>
      <c r="O32" s="14">
        <f>O29+O31</f>
        <v>1496661.1085662576</v>
      </c>
    </row>
    <row r="33" spans="1:15" x14ac:dyDescent="0.25">
      <c r="A33" s="29" t="s">
        <v>65</v>
      </c>
      <c r="B33" s="15"/>
      <c r="C33" s="15"/>
      <c r="D33" s="23"/>
      <c r="E33" s="13"/>
      <c r="F33" s="14"/>
      <c r="G33" s="16"/>
      <c r="H33" s="14"/>
      <c r="I33" s="16"/>
      <c r="J33" s="14"/>
      <c r="K33" s="16"/>
      <c r="L33" s="14"/>
      <c r="M33" s="16"/>
      <c r="N33" s="14"/>
      <c r="O33" s="14"/>
    </row>
    <row r="34" spans="1:15" x14ac:dyDescent="0.25">
      <c r="A34" s="29" t="s">
        <v>14</v>
      </c>
      <c r="B34" s="15"/>
      <c r="C34" s="15"/>
      <c r="D34" s="23"/>
      <c r="E34" s="13"/>
      <c r="F34" s="18">
        <f>F32/TAC!B4</f>
        <v>5.2456474253643311E-2</v>
      </c>
      <c r="G34" s="16"/>
      <c r="H34" s="18">
        <f>H32/TAC!B5</f>
        <v>0.14737471906270058</v>
      </c>
      <c r="I34" s="16"/>
      <c r="J34" s="18">
        <f>+J32/TAC!B6</f>
        <v>0.10375581463365291</v>
      </c>
      <c r="K34" s="16"/>
      <c r="L34" s="18">
        <f>L32/TAC!B7</f>
        <v>0.28533323933572319</v>
      </c>
      <c r="M34" s="16"/>
      <c r="N34" s="18">
        <f>N32/TAC!B8</f>
        <v>0</v>
      </c>
      <c r="O34" s="18">
        <f>O32/TAC!B9</f>
        <v>8.7709189894378661E-2</v>
      </c>
    </row>
    <row r="35" spans="1:15" x14ac:dyDescent="0.25">
      <c r="A35" s="29" t="s">
        <v>15</v>
      </c>
      <c r="B35" s="15"/>
      <c r="C35" s="15"/>
      <c r="D35" s="23"/>
      <c r="E35" s="13"/>
      <c r="F35" s="14">
        <f>+TAC!B4-Harvest!F32</f>
        <v>9396587.3180556353</v>
      </c>
      <c r="G35" s="16"/>
      <c r="H35" s="14">
        <f>TAC!B5-Harvest!H32</f>
        <v>1777119.1994300848</v>
      </c>
      <c r="I35" s="16"/>
      <c r="J35" s="14">
        <f>+TAC!B6-Harvest!J32</f>
        <v>2123830.7423068183</v>
      </c>
      <c r="K35" s="16"/>
      <c r="L35" s="14">
        <f>TAC!B7-L32</f>
        <v>1665617.3604061375</v>
      </c>
      <c r="M35" s="16"/>
      <c r="N35" s="14">
        <f>TAC!B8-N32</f>
        <v>362503</v>
      </c>
      <c r="O35" s="14">
        <f>TAC!B9-Harvest!O32</f>
        <v>15567241.891433742</v>
      </c>
    </row>
    <row r="36" spans="1:15" x14ac:dyDescent="0.25">
      <c r="A36" s="29"/>
      <c r="B36" s="15"/>
      <c r="C36" s="15"/>
      <c r="D36" s="23"/>
      <c r="E36" s="13"/>
      <c r="F36" s="14"/>
      <c r="G36" s="16"/>
      <c r="H36" s="14"/>
      <c r="I36" s="16"/>
      <c r="J36" s="14"/>
      <c r="K36" s="16"/>
      <c r="L36" s="14"/>
      <c r="M36" s="16"/>
      <c r="N36" s="15"/>
      <c r="O36" s="14"/>
    </row>
    <row r="37" spans="1:15" x14ac:dyDescent="0.25">
      <c r="A37" s="27" t="s">
        <v>16</v>
      </c>
      <c r="B37" s="15"/>
      <c r="C37" s="15"/>
      <c r="D37" s="23"/>
    </row>
    <row r="38" spans="1:15" x14ac:dyDescent="0.25">
      <c r="A38" s="30" t="s">
        <v>17</v>
      </c>
    </row>
    <row r="39" spans="1:15" x14ac:dyDescent="0.25">
      <c r="E39"/>
    </row>
    <row r="40" spans="1:15" x14ac:dyDescent="0.25">
      <c r="E40"/>
    </row>
    <row r="41" spans="1:15" x14ac:dyDescent="0.25">
      <c r="E41"/>
    </row>
    <row r="42" spans="1:15" x14ac:dyDescent="0.25">
      <c r="E42"/>
    </row>
    <row r="43" spans="1:15" x14ac:dyDescent="0.25">
      <c r="E43"/>
    </row>
    <row r="44" spans="1:15" x14ac:dyDescent="0.25">
      <c r="E44"/>
    </row>
    <row r="45" spans="1:15" x14ac:dyDescent="0.25">
      <c r="E45"/>
    </row>
    <row r="46" spans="1:15" x14ac:dyDescent="0.25">
      <c r="E46"/>
    </row>
    <row r="47" spans="1:15" x14ac:dyDescent="0.25">
      <c r="E47"/>
    </row>
    <row r="48" spans="1:15" x14ac:dyDescent="0.25">
      <c r="E48"/>
    </row>
    <row r="49" spans="1:14" x14ac:dyDescent="0.25">
      <c r="E49"/>
    </row>
    <row r="50" spans="1:14" x14ac:dyDescent="0.25">
      <c r="E50"/>
    </row>
    <row r="51" spans="1:14" x14ac:dyDescent="0.25">
      <c r="E51"/>
    </row>
    <row r="52" spans="1:14" x14ac:dyDescent="0.25">
      <c r="E52"/>
    </row>
    <row r="53" spans="1:14" x14ac:dyDescent="0.25">
      <c r="E53"/>
    </row>
    <row r="54" spans="1:14" x14ac:dyDescent="0.25">
      <c r="E54"/>
    </row>
    <row r="55" spans="1:14" x14ac:dyDescent="0.25">
      <c r="E55"/>
    </row>
    <row r="56" spans="1:14" x14ac:dyDescent="0.25">
      <c r="E56"/>
    </row>
    <row r="57" spans="1:14" x14ac:dyDescent="0.25">
      <c r="E57"/>
    </row>
    <row r="58" spans="1:14" x14ac:dyDescent="0.25">
      <c r="E58"/>
    </row>
    <row r="59" spans="1:14" x14ac:dyDescent="0.25">
      <c r="A59" s="4"/>
      <c r="B59" s="9"/>
      <c r="C59" s="11"/>
      <c r="D59" s="25"/>
      <c r="E59" s="7"/>
      <c r="F59" s="95"/>
      <c r="G59" s="10"/>
      <c r="H59" s="95"/>
      <c r="I59" s="10"/>
      <c r="J59" s="95"/>
      <c r="K59" s="7"/>
      <c r="L59" s="95"/>
      <c r="M59" s="10"/>
      <c r="N59" s="12"/>
    </row>
    <row r="60" spans="1:14" x14ac:dyDescent="0.25">
      <c r="A60" s="2"/>
      <c r="B60" s="9"/>
      <c r="C60" s="5"/>
    </row>
  </sheetData>
  <mergeCells count="5">
    <mergeCell ref="E1:F1"/>
    <mergeCell ref="G1:H1"/>
    <mergeCell ref="I1:J1"/>
    <mergeCell ref="K1:L1"/>
    <mergeCell ref="M1:N1"/>
  </mergeCells>
  <phoneticPr fontId="17" type="noConversion"/>
  <pageMargins left="0.28999999999999998" right="0.36" top="0.66" bottom="0.5" header="0.2" footer="0.25"/>
  <pageSetup paperSize="3" scale="9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9"/>
  <sheetViews>
    <sheetView workbookViewId="0">
      <selection activeCell="Q2" sqref="Q2"/>
    </sheetView>
  </sheetViews>
  <sheetFormatPr defaultRowHeight="15" x14ac:dyDescent="0.25"/>
  <cols>
    <col min="1" max="1" width="21.140625" customWidth="1"/>
    <col min="5" max="5" width="3.85546875" customWidth="1"/>
    <col min="6" max="6" width="14.42578125" style="94" customWidth="1"/>
    <col min="7" max="7" width="3.5703125" customWidth="1"/>
    <col min="8" max="8" width="15.28515625" style="94" customWidth="1"/>
    <col min="9" max="9" width="3.85546875" customWidth="1"/>
    <col min="10" max="10" width="16.28515625" style="94" customWidth="1"/>
    <col min="11" max="11" width="3" customWidth="1"/>
    <col min="12" max="12" width="15.42578125" style="94" customWidth="1"/>
    <col min="13" max="13" width="3" customWidth="1"/>
    <col min="14" max="14" width="16.42578125" customWidth="1"/>
    <col min="15" max="15" width="13.42578125" style="94" customWidth="1"/>
  </cols>
  <sheetData>
    <row r="1" spans="1:17" x14ac:dyDescent="0.25">
      <c r="A1" s="26" t="s">
        <v>0</v>
      </c>
      <c r="B1" s="1" t="s">
        <v>1</v>
      </c>
      <c r="C1" s="1" t="s">
        <v>2</v>
      </c>
      <c r="D1" s="22" t="s">
        <v>3</v>
      </c>
      <c r="E1" s="121" t="s">
        <v>4</v>
      </c>
      <c r="F1" s="121"/>
      <c r="G1" s="121" t="s">
        <v>5</v>
      </c>
      <c r="H1" s="121"/>
      <c r="I1" s="121" t="s">
        <v>6</v>
      </c>
      <c r="J1" s="121"/>
      <c r="K1" s="121" t="s">
        <v>7</v>
      </c>
      <c r="L1" s="121"/>
      <c r="M1" s="121" t="s">
        <v>8</v>
      </c>
      <c r="N1" s="121"/>
      <c r="O1" s="93" t="s">
        <v>9</v>
      </c>
    </row>
    <row r="2" spans="1:17" x14ac:dyDescent="0.25">
      <c r="A2" s="107">
        <v>44090</v>
      </c>
      <c r="B2" s="108" t="s">
        <v>23</v>
      </c>
      <c r="C2" s="108">
        <v>-1</v>
      </c>
      <c r="D2" s="109">
        <v>0.26180555555555557</v>
      </c>
      <c r="E2" s="104"/>
      <c r="F2" s="110">
        <f>(12886.6693562423/20086.3935402124*462.381103870303)+462.381103870303</f>
        <v>759.02730818876694</v>
      </c>
      <c r="G2" s="108" t="s">
        <v>62</v>
      </c>
      <c r="H2" s="110">
        <f>H4/J4*J2</f>
        <v>165.22944139225763</v>
      </c>
      <c r="I2" s="108"/>
      <c r="J2" s="110">
        <v>314.27006383022803</v>
      </c>
      <c r="K2" s="108"/>
      <c r="L2" s="110" t="s">
        <v>10</v>
      </c>
      <c r="M2" s="108"/>
      <c r="N2" s="110" t="s">
        <v>10</v>
      </c>
      <c r="O2" s="116">
        <f>SUM(F2:N2)</f>
        <v>1238.5268134112525</v>
      </c>
      <c r="Q2" s="34">
        <f>SUM(O2:O15)</f>
        <v>81507.952241886203</v>
      </c>
    </row>
    <row r="3" spans="1:17" x14ac:dyDescent="0.25">
      <c r="A3" s="107">
        <v>44091</v>
      </c>
      <c r="B3" s="108" t="s">
        <v>24</v>
      </c>
      <c r="C3" s="108">
        <v>-1</v>
      </c>
      <c r="D3" s="109">
        <v>0.2902777777777778</v>
      </c>
      <c r="E3" s="104" t="s">
        <v>62</v>
      </c>
      <c r="F3" s="110">
        <f>F5/L5*L3</f>
        <v>1075.2369080397539</v>
      </c>
      <c r="G3" s="108" t="s">
        <v>62</v>
      </c>
      <c r="H3" s="110">
        <f>H5/L5*L3</f>
        <v>696.98997220183082</v>
      </c>
      <c r="I3" s="108"/>
      <c r="J3" s="110" t="s">
        <v>10</v>
      </c>
      <c r="K3" s="108"/>
      <c r="L3" s="110">
        <v>918.99747021256201</v>
      </c>
      <c r="M3" s="108"/>
      <c r="N3" s="110" t="s">
        <v>10</v>
      </c>
      <c r="O3" s="116">
        <f t="shared" ref="O3:O15" si="0">SUM(F3:N3)</f>
        <v>2691.2243504541466</v>
      </c>
    </row>
    <row r="4" spans="1:17" x14ac:dyDescent="0.25">
      <c r="A4" s="107">
        <v>44092</v>
      </c>
      <c r="B4" s="108" t="s">
        <v>18</v>
      </c>
      <c r="C4" s="108">
        <v>-0.8</v>
      </c>
      <c r="D4" s="109">
        <v>0.31875000000000003</v>
      </c>
      <c r="E4" s="104"/>
      <c r="F4" s="110">
        <f>1339.09290268083+859.111290416152</f>
        <v>2198.2041930969822</v>
      </c>
      <c r="G4" s="108"/>
      <c r="H4" s="110">
        <v>1073.2113081960999</v>
      </c>
      <c r="I4" s="108"/>
      <c r="J4" s="110">
        <v>2041.2717218440901</v>
      </c>
      <c r="K4" s="108"/>
      <c r="L4" s="110" t="s">
        <v>10</v>
      </c>
      <c r="M4" s="108"/>
      <c r="N4" s="110" t="s">
        <v>10</v>
      </c>
      <c r="O4" s="116">
        <f t="shared" si="0"/>
        <v>5312.6872231371726</v>
      </c>
    </row>
    <row r="5" spans="1:17" x14ac:dyDescent="0.25">
      <c r="A5" s="107">
        <v>44093</v>
      </c>
      <c r="B5" s="108" t="s">
        <v>19</v>
      </c>
      <c r="C5" s="108">
        <v>-0.3</v>
      </c>
      <c r="D5" s="109">
        <v>0.34652777777777777</v>
      </c>
      <c r="E5" s="104"/>
      <c r="F5" s="110">
        <v>5963.35</v>
      </c>
      <c r="G5" s="108"/>
      <c r="H5" s="110">
        <v>3865.5622027588702</v>
      </c>
      <c r="I5" s="108"/>
      <c r="J5" s="110" t="s">
        <v>10</v>
      </c>
      <c r="K5" s="108"/>
      <c r="L5" s="110">
        <v>5096.8335657144899</v>
      </c>
      <c r="M5" s="108"/>
      <c r="N5" s="110" t="s">
        <v>10</v>
      </c>
      <c r="O5" s="116">
        <f t="shared" si="0"/>
        <v>14925.74576847336</v>
      </c>
    </row>
    <row r="6" spans="1:17" x14ac:dyDescent="0.25">
      <c r="A6" s="107">
        <v>44094</v>
      </c>
      <c r="B6" s="108" t="s">
        <v>20</v>
      </c>
      <c r="C6" s="108">
        <v>-0.8</v>
      </c>
      <c r="D6" s="109">
        <v>0.90486111111111101</v>
      </c>
      <c r="E6" s="104" t="s">
        <v>62</v>
      </c>
      <c r="F6" s="110">
        <f>F4/J4*J6</f>
        <v>1358.8815788128209</v>
      </c>
      <c r="G6" s="108"/>
      <c r="H6" s="110">
        <v>1241.3921675080201</v>
      </c>
      <c r="I6" s="108"/>
      <c r="J6" s="110">
        <v>1261.8693699503301</v>
      </c>
      <c r="K6" s="108"/>
      <c r="L6" s="110" t="s">
        <v>10</v>
      </c>
      <c r="M6" s="108"/>
      <c r="N6" s="110" t="s">
        <v>10</v>
      </c>
      <c r="O6" s="116">
        <f t="shared" si="0"/>
        <v>3862.143116271171</v>
      </c>
    </row>
    <row r="7" spans="1:17" x14ac:dyDescent="0.25">
      <c r="A7" s="107">
        <v>44095</v>
      </c>
      <c r="B7" s="108" t="s">
        <v>21</v>
      </c>
      <c r="C7" s="108">
        <v>-0.8</v>
      </c>
      <c r="D7" s="109">
        <v>0.94236111111111109</v>
      </c>
      <c r="E7" s="104" t="s">
        <v>62</v>
      </c>
      <c r="F7" s="110">
        <f>F5/L5*L7</f>
        <v>417.09411956783333</v>
      </c>
      <c r="G7" s="108"/>
      <c r="H7" s="110">
        <v>570.31188676470003</v>
      </c>
      <c r="I7" s="108"/>
      <c r="J7" s="110" t="s">
        <v>10</v>
      </c>
      <c r="K7" s="108"/>
      <c r="L7" s="110">
        <v>356.48742882364201</v>
      </c>
      <c r="M7" s="108"/>
      <c r="N7" s="110" t="s">
        <v>10</v>
      </c>
      <c r="O7" s="116">
        <f t="shared" si="0"/>
        <v>1343.8934351561754</v>
      </c>
    </row>
    <row r="8" spans="1:17" x14ac:dyDescent="0.25">
      <c r="A8" s="107">
        <v>44096</v>
      </c>
      <c r="B8" s="108" t="s">
        <v>22</v>
      </c>
      <c r="C8" s="108">
        <v>-0.3</v>
      </c>
      <c r="D8" s="109">
        <v>0.98402777777777783</v>
      </c>
      <c r="E8" s="104" t="s">
        <v>62</v>
      </c>
      <c r="F8" s="110">
        <f>F4/J4*J8</f>
        <v>361.9113646909974</v>
      </c>
      <c r="G8" s="108" t="s">
        <v>62</v>
      </c>
      <c r="H8" s="110">
        <f>H6/J6*J8</f>
        <v>330.62037227117935</v>
      </c>
      <c r="I8" s="108"/>
      <c r="J8" s="110">
        <v>336.074072134728</v>
      </c>
      <c r="K8" s="108"/>
      <c r="L8" s="110" t="s">
        <v>10</v>
      </c>
      <c r="M8" s="108"/>
      <c r="N8" s="110" t="s">
        <v>10</v>
      </c>
      <c r="O8" s="116">
        <f t="shared" si="0"/>
        <v>1028.6058090969047</v>
      </c>
    </row>
    <row r="9" spans="1:17" x14ac:dyDescent="0.25">
      <c r="A9" s="103"/>
      <c r="B9" s="104"/>
      <c r="C9" s="104"/>
      <c r="D9" s="105"/>
      <c r="E9" s="104"/>
      <c r="F9" s="110"/>
      <c r="G9" s="108"/>
      <c r="H9" s="110"/>
      <c r="I9" s="108"/>
      <c r="J9" s="110"/>
      <c r="K9" s="108"/>
      <c r="L9" s="110"/>
      <c r="M9" s="108"/>
      <c r="N9" s="110"/>
      <c r="O9" s="116"/>
    </row>
    <row r="10" spans="1:17" x14ac:dyDescent="0.25">
      <c r="A10" s="107">
        <v>44120</v>
      </c>
      <c r="B10" s="108" t="s">
        <v>18</v>
      </c>
      <c r="C10" s="108">
        <v>-0.7</v>
      </c>
      <c r="D10" s="109">
        <v>0.79166666666666663</v>
      </c>
      <c r="E10" s="104"/>
      <c r="F10" s="110">
        <f>(12886.6693562423/20086.3935402124*3288.01047355788)+3288.01047355788</f>
        <v>5397.4734653973801</v>
      </c>
      <c r="G10" s="108"/>
      <c r="H10" s="110">
        <v>3106.8272373915302</v>
      </c>
      <c r="I10" s="108"/>
      <c r="J10" s="110" t="s">
        <v>10</v>
      </c>
      <c r="K10" s="108"/>
      <c r="L10" s="110">
        <v>5030.7330321261597</v>
      </c>
      <c r="M10" s="108"/>
      <c r="N10" s="110" t="s">
        <v>10</v>
      </c>
      <c r="O10" s="116">
        <f t="shared" si="0"/>
        <v>13535.03373491507</v>
      </c>
    </row>
    <row r="11" spans="1:17" x14ac:dyDescent="0.25">
      <c r="A11" s="107">
        <v>44121</v>
      </c>
      <c r="B11" s="108" t="s">
        <v>19</v>
      </c>
      <c r="C11" s="108">
        <v>-1.3</v>
      </c>
      <c r="D11" s="109">
        <v>0.82430555555555562</v>
      </c>
      <c r="E11" s="104"/>
      <c r="F11" s="110">
        <f>(12886.6693562423/20086.3935402124*5896.75025010474)+5896.75025010474</f>
        <v>9679.8818808432334</v>
      </c>
      <c r="G11" s="108"/>
      <c r="H11" s="110">
        <v>5583.6030221033798</v>
      </c>
      <c r="I11" s="108"/>
      <c r="J11" s="110">
        <v>10126.8329618631</v>
      </c>
      <c r="K11" s="108"/>
      <c r="L11" s="110" t="s">
        <v>10</v>
      </c>
      <c r="M11" s="108"/>
      <c r="N11" s="110" t="s">
        <v>10</v>
      </c>
      <c r="O11" s="116">
        <f t="shared" si="0"/>
        <v>25390.317864809713</v>
      </c>
    </row>
    <row r="12" spans="1:17" x14ac:dyDescent="0.25">
      <c r="A12" s="107">
        <v>44122</v>
      </c>
      <c r="B12" s="108" t="s">
        <v>20</v>
      </c>
      <c r="C12" s="108">
        <v>-1.5</v>
      </c>
      <c r="D12" s="109">
        <v>0.85763888888888884</v>
      </c>
      <c r="E12" s="104" t="s">
        <v>62</v>
      </c>
      <c r="F12" s="110">
        <f>F10/L10*L12</f>
        <v>3054.9615237833891</v>
      </c>
      <c r="G12" s="108" t="s">
        <v>62</v>
      </c>
      <c r="H12" s="110">
        <f>H10/L10*L12</f>
        <v>1758.459348085853</v>
      </c>
      <c r="I12" s="108"/>
      <c r="J12" s="110" t="s">
        <v>10</v>
      </c>
      <c r="K12" s="108"/>
      <c r="L12" s="110">
        <v>2847.3870132199099</v>
      </c>
      <c r="M12" s="108"/>
      <c r="N12" s="110" t="s">
        <v>10</v>
      </c>
      <c r="O12" s="116">
        <f t="shared" si="0"/>
        <v>7660.8078850891525</v>
      </c>
    </row>
    <row r="13" spans="1:17" x14ac:dyDescent="0.25">
      <c r="A13" s="107">
        <v>44123</v>
      </c>
      <c r="B13" s="108" t="s">
        <v>21</v>
      </c>
      <c r="C13" s="108">
        <v>-1.4</v>
      </c>
      <c r="D13" s="109">
        <v>0.89166666666666661</v>
      </c>
      <c r="E13" s="104" t="s">
        <v>62</v>
      </c>
      <c r="F13" s="110">
        <f>F11/J11*J13</f>
        <v>1048.4480157171597</v>
      </c>
      <c r="G13" s="108" t="s">
        <v>62</v>
      </c>
      <c r="H13" s="110">
        <f>H11/J11*J13</f>
        <v>604.77158514321263</v>
      </c>
      <c r="I13" s="108"/>
      <c r="J13" s="110">
        <v>1096.8582111912699</v>
      </c>
      <c r="K13" s="108"/>
      <c r="L13" s="110" t="s">
        <v>10</v>
      </c>
      <c r="M13" s="108"/>
      <c r="N13" s="110" t="s">
        <v>10</v>
      </c>
      <c r="O13" s="116">
        <f t="shared" si="0"/>
        <v>2750.0778120516425</v>
      </c>
    </row>
    <row r="14" spans="1:17" x14ac:dyDescent="0.25">
      <c r="A14" s="107">
        <v>44124</v>
      </c>
      <c r="B14" s="108" t="s">
        <v>22</v>
      </c>
      <c r="C14" s="108">
        <v>-1</v>
      </c>
      <c r="D14" s="109">
        <v>0.9277777777777777</v>
      </c>
      <c r="E14" s="104" t="s">
        <v>62</v>
      </c>
      <c r="F14" s="110">
        <f>F10/L10*L14</f>
        <v>705.39376154323475</v>
      </c>
      <c r="G14" s="108" t="s">
        <v>62</v>
      </c>
      <c r="H14" s="110">
        <f>H10/L10*L14</f>
        <v>406.03007416308611</v>
      </c>
      <c r="I14" s="108"/>
      <c r="J14" s="110" t="s">
        <v>10</v>
      </c>
      <c r="K14" s="108"/>
      <c r="L14" s="110">
        <v>657.46459331412598</v>
      </c>
      <c r="M14" s="108"/>
      <c r="N14" s="110" t="s">
        <v>10</v>
      </c>
      <c r="O14" s="116">
        <f t="shared" si="0"/>
        <v>1768.8884290204469</v>
      </c>
    </row>
    <row r="15" spans="1:17" x14ac:dyDescent="0.25">
      <c r="A15" s="107">
        <v>44125</v>
      </c>
      <c r="B15" s="108" t="s">
        <v>23</v>
      </c>
      <c r="C15" s="108">
        <v>-0.5</v>
      </c>
      <c r="D15" s="109">
        <v>0.96666666666666667</v>
      </c>
      <c r="E15" s="104"/>
      <c r="F15" s="110" t="s">
        <v>10</v>
      </c>
      <c r="G15" s="108"/>
      <c r="H15" s="110" t="s">
        <v>10</v>
      </c>
      <c r="I15" s="108"/>
      <c r="J15" s="110" t="s">
        <v>10</v>
      </c>
      <c r="K15" s="108"/>
      <c r="L15" s="110" t="s">
        <v>10</v>
      </c>
      <c r="M15" s="108"/>
      <c r="N15" s="110" t="s">
        <v>10</v>
      </c>
      <c r="O15" s="116">
        <f t="shared" si="0"/>
        <v>0</v>
      </c>
    </row>
    <row r="16" spans="1:17" x14ac:dyDescent="0.25">
      <c r="A16" s="103"/>
      <c r="B16" s="104"/>
      <c r="C16" s="104"/>
      <c r="D16" s="105"/>
      <c r="E16" s="104"/>
      <c r="F16" s="110"/>
      <c r="G16" s="108"/>
      <c r="H16" s="110"/>
      <c r="I16" s="108"/>
      <c r="J16" s="110"/>
      <c r="K16" s="108"/>
      <c r="L16" s="110"/>
      <c r="M16" s="108"/>
      <c r="N16" s="108"/>
      <c r="O16" s="110"/>
    </row>
    <row r="17" spans="1:15" x14ac:dyDescent="0.25">
      <c r="A17" s="107">
        <v>44331</v>
      </c>
      <c r="B17" s="108" t="s">
        <v>19</v>
      </c>
      <c r="C17" s="108">
        <v>-0.5</v>
      </c>
      <c r="D17" s="109">
        <v>0.39999999999999997</v>
      </c>
      <c r="E17" s="104"/>
      <c r="F17" s="110" t="s">
        <v>10</v>
      </c>
      <c r="G17" s="108"/>
      <c r="H17" s="110" t="s">
        <v>10</v>
      </c>
      <c r="I17" s="108"/>
      <c r="J17" s="110" t="s">
        <v>10</v>
      </c>
      <c r="K17" s="108"/>
      <c r="L17" s="110">
        <v>7507</v>
      </c>
      <c r="M17" s="108"/>
      <c r="N17" s="110" t="s">
        <v>10</v>
      </c>
      <c r="O17" s="14">
        <f t="shared" ref="O17:O19" si="1">SUM(F17:N17)</f>
        <v>7507</v>
      </c>
    </row>
    <row r="18" spans="1:15" x14ac:dyDescent="0.25">
      <c r="A18" s="107">
        <v>44332</v>
      </c>
      <c r="B18" s="108" t="s">
        <v>20</v>
      </c>
      <c r="C18" s="108">
        <v>-0.3</v>
      </c>
      <c r="D18" s="109">
        <v>0.4284722222222222</v>
      </c>
      <c r="E18" s="104"/>
      <c r="F18" s="110" t="s">
        <v>10</v>
      </c>
      <c r="G18" s="108"/>
      <c r="H18" s="110" t="s">
        <v>10</v>
      </c>
      <c r="I18" s="108"/>
      <c r="J18" s="110" t="s">
        <v>10</v>
      </c>
      <c r="K18" s="108"/>
      <c r="L18" s="110" t="s">
        <v>10</v>
      </c>
      <c r="M18" s="108"/>
      <c r="N18" s="110" t="s">
        <v>10</v>
      </c>
      <c r="O18" s="14">
        <f t="shared" si="1"/>
        <v>0</v>
      </c>
    </row>
    <row r="19" spans="1:15" x14ac:dyDescent="0.25">
      <c r="A19" s="107">
        <v>44333</v>
      </c>
      <c r="B19" s="108" t="s">
        <v>21</v>
      </c>
      <c r="C19" s="108">
        <v>-0.1</v>
      </c>
      <c r="D19" s="109">
        <v>0.4604166666666667</v>
      </c>
      <c r="E19" s="104"/>
      <c r="F19" s="110" t="s">
        <v>10</v>
      </c>
      <c r="G19" s="108"/>
      <c r="H19" s="110" t="s">
        <v>10</v>
      </c>
      <c r="I19" s="108"/>
      <c r="J19" s="110" t="s">
        <v>10</v>
      </c>
      <c r="K19" s="108"/>
      <c r="L19" s="110">
        <v>4661</v>
      </c>
      <c r="M19" s="108"/>
      <c r="N19" s="110" t="s">
        <v>10</v>
      </c>
      <c r="O19" s="14">
        <f t="shared" si="1"/>
        <v>4661</v>
      </c>
    </row>
    <row r="20" spans="1:15" x14ac:dyDescent="0.25">
      <c r="A20" s="107"/>
      <c r="B20" s="108"/>
      <c r="C20" s="108"/>
      <c r="D20" s="109"/>
      <c r="E20" s="104"/>
      <c r="F20" s="110"/>
      <c r="G20" s="108"/>
      <c r="H20" s="110"/>
      <c r="I20" s="108"/>
      <c r="J20" s="110"/>
      <c r="K20" s="108"/>
      <c r="L20" s="110"/>
      <c r="M20" s="108"/>
      <c r="N20" s="110"/>
      <c r="O20" s="14"/>
    </row>
    <row r="21" spans="1:15" x14ac:dyDescent="0.25">
      <c r="A21" s="107">
        <v>44340</v>
      </c>
      <c r="B21" s="108" t="s">
        <v>21</v>
      </c>
      <c r="C21" s="108">
        <v>-0.7</v>
      </c>
      <c r="D21" s="109">
        <v>0.23055555555555554</v>
      </c>
      <c r="E21" s="104"/>
      <c r="F21" s="110" t="s">
        <v>10</v>
      </c>
      <c r="G21" s="108"/>
      <c r="H21" s="110" t="s">
        <v>10</v>
      </c>
      <c r="I21" s="108"/>
      <c r="J21" s="110" t="s">
        <v>10</v>
      </c>
      <c r="K21" s="108"/>
      <c r="L21" s="110">
        <v>455.04585762495901</v>
      </c>
      <c r="M21" s="108"/>
      <c r="N21" s="110" t="s">
        <v>10</v>
      </c>
      <c r="O21" s="14">
        <f t="shared" ref="O21:O27" si="2">SUM(F21:N21)</f>
        <v>455.04585762495901</v>
      </c>
    </row>
    <row r="22" spans="1:15" x14ac:dyDescent="0.25">
      <c r="A22" s="107">
        <v>44341</v>
      </c>
      <c r="B22" s="108" t="s">
        <v>22</v>
      </c>
      <c r="C22" s="108">
        <v>-1.6</v>
      </c>
      <c r="D22" s="109">
        <v>0.26458333333333334</v>
      </c>
      <c r="E22" s="104"/>
      <c r="F22" s="110" t="s">
        <v>10</v>
      </c>
      <c r="G22" s="108"/>
      <c r="H22" s="110" t="s">
        <v>10</v>
      </c>
      <c r="I22" s="108"/>
      <c r="J22" s="110" t="s">
        <v>10</v>
      </c>
      <c r="K22" s="108"/>
      <c r="L22" s="110" t="s">
        <v>10</v>
      </c>
      <c r="M22" s="108"/>
      <c r="N22" s="110" t="s">
        <v>10</v>
      </c>
      <c r="O22" s="14">
        <f t="shared" si="2"/>
        <v>0</v>
      </c>
    </row>
    <row r="23" spans="1:15" x14ac:dyDescent="0.25">
      <c r="A23" s="107">
        <v>44342</v>
      </c>
      <c r="B23" s="108" t="s">
        <v>23</v>
      </c>
      <c r="C23" s="108">
        <v>-2.2999999999999998</v>
      </c>
      <c r="D23" s="109">
        <v>0.29791666666666666</v>
      </c>
      <c r="E23" s="104"/>
      <c r="F23" s="110" t="s">
        <v>10</v>
      </c>
      <c r="G23" s="108"/>
      <c r="H23" s="110" t="s">
        <v>10</v>
      </c>
      <c r="I23" s="108"/>
      <c r="J23" s="110" t="s">
        <v>10</v>
      </c>
      <c r="K23" s="108"/>
      <c r="L23" s="110">
        <v>2185.1179711141399</v>
      </c>
      <c r="M23" s="108"/>
      <c r="N23" s="110" t="s">
        <v>10</v>
      </c>
      <c r="O23" s="14">
        <f t="shared" si="2"/>
        <v>2185.1179711141399</v>
      </c>
    </row>
    <row r="24" spans="1:15" x14ac:dyDescent="0.25">
      <c r="A24" s="107">
        <v>44343</v>
      </c>
      <c r="B24" s="108" t="s">
        <v>24</v>
      </c>
      <c r="C24" s="108">
        <v>-2.5</v>
      </c>
      <c r="D24" s="109">
        <v>0.33124999999999999</v>
      </c>
      <c r="E24" s="104"/>
      <c r="F24" s="110" t="s">
        <v>10</v>
      </c>
      <c r="G24" s="108"/>
      <c r="H24" s="110" t="s">
        <v>10</v>
      </c>
      <c r="I24" s="108"/>
      <c r="J24" s="110" t="s">
        <v>10</v>
      </c>
      <c r="K24" s="108"/>
      <c r="L24" s="110" t="s">
        <v>10</v>
      </c>
      <c r="M24" s="108"/>
      <c r="N24" s="110" t="s">
        <v>10</v>
      </c>
      <c r="O24" s="14">
        <f t="shared" si="2"/>
        <v>0</v>
      </c>
    </row>
    <row r="25" spans="1:15" x14ac:dyDescent="0.25">
      <c r="A25" s="107">
        <v>44344</v>
      </c>
      <c r="B25" s="108" t="s">
        <v>18</v>
      </c>
      <c r="C25" s="108">
        <v>-2.5</v>
      </c>
      <c r="D25" s="109">
        <v>0.36527777777777781</v>
      </c>
      <c r="E25" s="104"/>
      <c r="F25" s="110" t="s">
        <v>10</v>
      </c>
      <c r="G25" s="108"/>
      <c r="H25" s="110" t="s">
        <v>10</v>
      </c>
      <c r="I25" s="108"/>
      <c r="J25" s="110" t="s">
        <v>10</v>
      </c>
      <c r="K25" s="108"/>
      <c r="L25" s="110">
        <v>4767.2726239448803</v>
      </c>
      <c r="M25" s="108"/>
      <c r="N25" s="110" t="s">
        <v>10</v>
      </c>
      <c r="O25" s="14">
        <f t="shared" si="2"/>
        <v>4767.2726239448803</v>
      </c>
    </row>
    <row r="26" spans="1:15" x14ac:dyDescent="0.25">
      <c r="A26" s="107">
        <v>44345</v>
      </c>
      <c r="B26" s="108" t="s">
        <v>19</v>
      </c>
      <c r="C26" s="108">
        <v>-2.2000000000000002</v>
      </c>
      <c r="D26" s="109">
        <v>0.39930555555555558</v>
      </c>
      <c r="E26" s="104"/>
      <c r="F26" s="110" t="s">
        <v>10</v>
      </c>
      <c r="G26" s="108"/>
      <c r="H26" s="110" t="s">
        <v>10</v>
      </c>
      <c r="I26" s="108"/>
      <c r="J26" s="110" t="s">
        <v>10</v>
      </c>
      <c r="K26" s="108"/>
      <c r="L26" s="110" t="s">
        <v>10</v>
      </c>
      <c r="M26" s="108"/>
      <c r="N26" s="110" t="s">
        <v>10</v>
      </c>
      <c r="O26" s="14">
        <f t="shared" si="2"/>
        <v>0</v>
      </c>
    </row>
    <row r="27" spans="1:15" x14ac:dyDescent="0.25">
      <c r="A27" s="107">
        <v>44346</v>
      </c>
      <c r="B27" s="108" t="s">
        <v>20</v>
      </c>
      <c r="C27" s="108">
        <v>-1.6</v>
      </c>
      <c r="D27" s="109">
        <v>0.43472222222222223</v>
      </c>
      <c r="E27" s="104"/>
      <c r="F27" s="110" t="s">
        <v>10</v>
      </c>
      <c r="G27" s="108"/>
      <c r="H27" s="110" t="s">
        <v>10</v>
      </c>
      <c r="I27" s="108"/>
      <c r="J27" s="110" t="s">
        <v>10</v>
      </c>
      <c r="K27" s="108"/>
      <c r="L27" s="110">
        <v>8698.1816296538109</v>
      </c>
      <c r="M27" s="108"/>
      <c r="N27" s="110" t="s">
        <v>10</v>
      </c>
      <c r="O27" s="14">
        <f t="shared" si="2"/>
        <v>8698.1816296538109</v>
      </c>
    </row>
    <row r="28" spans="1:15" x14ac:dyDescent="0.25">
      <c r="F28" s="14"/>
      <c r="G28" s="16"/>
      <c r="H28" s="14"/>
      <c r="I28" s="16"/>
      <c r="J28" s="14"/>
      <c r="K28" s="16"/>
      <c r="L28" s="14"/>
      <c r="M28" s="16"/>
      <c r="N28" s="16"/>
      <c r="O28" s="14"/>
    </row>
    <row r="29" spans="1:15" x14ac:dyDescent="0.25">
      <c r="A29" s="31" t="s">
        <v>25</v>
      </c>
      <c r="C29" s="20"/>
      <c r="D29" s="20"/>
      <c r="E29" s="8"/>
      <c r="F29" s="14">
        <f>SUM(F2:F28)</f>
        <v>32019.864119681552</v>
      </c>
      <c r="G29" s="16"/>
      <c r="H29" s="14">
        <f>SUM(H2:H28)</f>
        <v>19403.008617980016</v>
      </c>
      <c r="I29" s="16"/>
      <c r="J29" s="14">
        <f>SUM(J2:J28)</f>
        <v>15177.176400813745</v>
      </c>
      <c r="K29" s="16"/>
      <c r="L29" s="14">
        <f>SUM(L2:L28)</f>
        <v>43181.521185748679</v>
      </c>
      <c r="M29" s="16"/>
      <c r="N29" s="111">
        <f>SUM(N28:N28)</f>
        <v>0</v>
      </c>
      <c r="O29" s="14">
        <f>SUM(O2:O28)</f>
        <v>109781.57032422401</v>
      </c>
    </row>
    <row r="30" spans="1:15" x14ac:dyDescent="0.25">
      <c r="A30" s="32" t="s">
        <v>16</v>
      </c>
      <c r="C30" s="20"/>
      <c r="D30" s="20"/>
      <c r="E30" s="8"/>
    </row>
    <row r="31" spans="1:15" x14ac:dyDescent="0.25">
      <c r="A31" s="19" t="s">
        <v>17</v>
      </c>
      <c r="C31" s="20"/>
      <c r="D31" s="20"/>
      <c r="E31" s="8"/>
    </row>
    <row r="32" spans="1:15" x14ac:dyDescent="0.25">
      <c r="A32" t="s">
        <v>26</v>
      </c>
      <c r="C32" s="20"/>
      <c r="D32" s="20"/>
      <c r="E32" s="8"/>
    </row>
    <row r="59" spans="1:14" x14ac:dyDescent="0.25">
      <c r="A59" s="2"/>
      <c r="B59" s="9"/>
      <c r="C59" s="5"/>
      <c r="D59" s="6"/>
      <c r="E59" s="8"/>
      <c r="F59" s="96"/>
      <c r="G59" s="8"/>
      <c r="H59" s="96"/>
      <c r="J59" s="96"/>
      <c r="L59" s="96"/>
      <c r="N59" s="3"/>
    </row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57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5"/>
  <sheetViews>
    <sheetView tabSelected="1" workbookViewId="0">
      <selection activeCell="Q3" sqref="Q3"/>
    </sheetView>
  </sheetViews>
  <sheetFormatPr defaultRowHeight="15" x14ac:dyDescent="0.25"/>
  <cols>
    <col min="1" max="1" width="20.7109375" customWidth="1"/>
    <col min="5" max="5" width="3.5703125" customWidth="1"/>
    <col min="6" max="6" width="15" style="5" customWidth="1"/>
    <col min="7" max="7" width="4" customWidth="1"/>
    <col min="8" max="8" width="13.85546875" style="35" customWidth="1"/>
    <col min="9" max="9" width="3.28515625" customWidth="1"/>
    <col min="10" max="10" width="14.28515625" style="35" customWidth="1"/>
    <col min="11" max="11" width="3.28515625" customWidth="1"/>
    <col min="12" max="12" width="15.42578125" style="35" customWidth="1"/>
    <col min="13" max="13" width="3.42578125" customWidth="1"/>
    <col min="14" max="14" width="16" customWidth="1"/>
    <col min="15" max="15" width="13.85546875" style="35" customWidth="1"/>
  </cols>
  <sheetData>
    <row r="1" spans="1:17" x14ac:dyDescent="0.25">
      <c r="A1" s="26" t="s">
        <v>0</v>
      </c>
      <c r="B1" s="1" t="s">
        <v>1</v>
      </c>
      <c r="C1" s="1" t="s">
        <v>2</v>
      </c>
      <c r="D1" s="22" t="s">
        <v>3</v>
      </c>
      <c r="E1" s="121" t="s">
        <v>4</v>
      </c>
      <c r="F1" s="121"/>
      <c r="G1" s="121" t="s">
        <v>5</v>
      </c>
      <c r="H1" s="121"/>
      <c r="I1" s="121" t="s">
        <v>6</v>
      </c>
      <c r="J1" s="121"/>
      <c r="K1" s="121" t="s">
        <v>7</v>
      </c>
      <c r="L1" s="121"/>
      <c r="M1" s="121" t="s">
        <v>8</v>
      </c>
      <c r="N1" s="121"/>
      <c r="O1" s="72" t="s">
        <v>9</v>
      </c>
    </row>
    <row r="2" spans="1:17" x14ac:dyDescent="0.25">
      <c r="A2" s="107">
        <v>44090</v>
      </c>
      <c r="B2" s="108" t="s">
        <v>23</v>
      </c>
      <c r="C2" s="108">
        <v>-1</v>
      </c>
      <c r="D2" s="109">
        <v>0.26180555555555557</v>
      </c>
      <c r="E2" s="108"/>
      <c r="F2" s="112">
        <f>+Harvest!F2/Effort!F2</f>
        <v>15.000000000000011</v>
      </c>
      <c r="G2" s="108" t="s">
        <v>62</v>
      </c>
      <c r="H2" s="112">
        <v>15</v>
      </c>
      <c r="I2" s="108"/>
      <c r="J2" s="112">
        <f>+Harvest!J2/Effort!J2</f>
        <v>14.999999999999966</v>
      </c>
      <c r="K2" s="108"/>
      <c r="L2" s="112" t="s">
        <v>10</v>
      </c>
      <c r="M2" s="108"/>
      <c r="N2" s="108" t="s">
        <v>10</v>
      </c>
      <c r="O2" s="112">
        <f>+Harvest!O2/Effort!O2</f>
        <v>14.999999999999998</v>
      </c>
      <c r="Q2" s="35">
        <f>AVERAGE(O2:O15)</f>
        <v>13.846796121322086</v>
      </c>
    </row>
    <row r="3" spans="1:17" x14ac:dyDescent="0.25">
      <c r="A3" s="107">
        <v>44091</v>
      </c>
      <c r="B3" s="108" t="s">
        <v>24</v>
      </c>
      <c r="C3" s="108">
        <v>-1</v>
      </c>
      <c r="D3" s="109">
        <v>0.2902777777777778</v>
      </c>
      <c r="E3" s="108" t="s">
        <v>62</v>
      </c>
      <c r="F3" s="112">
        <v>15</v>
      </c>
      <c r="G3" s="108" t="s">
        <v>62</v>
      </c>
      <c r="H3" s="112">
        <v>15</v>
      </c>
      <c r="I3" s="108"/>
      <c r="J3" s="112" t="s">
        <v>10</v>
      </c>
      <c r="K3" s="108"/>
      <c r="L3" s="112">
        <f>+Harvest!L3/Effort!L3</f>
        <v>14.999999999999966</v>
      </c>
      <c r="M3" s="108"/>
      <c r="N3" s="108" t="s">
        <v>10</v>
      </c>
      <c r="O3" s="112">
        <f>+Harvest!O3/Effort!O3</f>
        <v>14.999999999999989</v>
      </c>
    </row>
    <row r="4" spans="1:17" x14ac:dyDescent="0.25">
      <c r="A4" s="107">
        <v>44092</v>
      </c>
      <c r="B4" s="108" t="s">
        <v>18</v>
      </c>
      <c r="C4" s="108">
        <v>-0.8</v>
      </c>
      <c r="D4" s="109">
        <v>0.31875000000000003</v>
      </c>
      <c r="E4" s="108"/>
      <c r="F4" s="112">
        <f>+Harvest!F4/Effort!F4</f>
        <v>14.999999999999984</v>
      </c>
      <c r="G4" s="108"/>
      <c r="H4" s="112">
        <f>+Harvest!H4/Effort!H4</f>
        <v>15.000000000000187</v>
      </c>
      <c r="I4" s="108"/>
      <c r="J4" s="112">
        <f>+Harvest!J4/Effort!J4</f>
        <v>14.999999999999975</v>
      </c>
      <c r="K4" s="108"/>
      <c r="L4" s="112" t="s">
        <v>10</v>
      </c>
      <c r="M4" s="108"/>
      <c r="N4" s="108" t="s">
        <v>10</v>
      </c>
      <c r="O4" s="112">
        <f>+Harvest!O4/Effort!O4</f>
        <v>15.00000000000002</v>
      </c>
    </row>
    <row r="5" spans="1:17" x14ac:dyDescent="0.25">
      <c r="A5" s="107">
        <v>44093</v>
      </c>
      <c r="B5" s="108" t="s">
        <v>19</v>
      </c>
      <c r="C5" s="108">
        <v>-0.3</v>
      </c>
      <c r="D5" s="109">
        <v>0.34652777777777777</v>
      </c>
      <c r="E5" s="108"/>
      <c r="F5" s="112">
        <f>+Harvest!F5/Effort!F5</f>
        <v>15.000006707639161</v>
      </c>
      <c r="G5" s="108"/>
      <c r="H5" s="112">
        <f>+Harvest!H5/Effort!H5</f>
        <v>15.000000000000012</v>
      </c>
      <c r="I5" s="108"/>
      <c r="J5" s="112" t="s">
        <v>10</v>
      </c>
      <c r="K5" s="108"/>
      <c r="L5" s="112">
        <f>+Harvest!L5/Effort!L5</f>
        <v>14.999999999999931</v>
      </c>
      <c r="M5" s="108"/>
      <c r="N5" s="108" t="s">
        <v>10</v>
      </c>
      <c r="O5" s="112">
        <f>+Harvest!O5/Effort!O5</f>
        <v>15.00000267993307</v>
      </c>
    </row>
    <row r="6" spans="1:17" x14ac:dyDescent="0.25">
      <c r="A6" s="107">
        <v>44094</v>
      </c>
      <c r="B6" s="108" t="s">
        <v>20</v>
      </c>
      <c r="C6" s="108">
        <v>-0.8</v>
      </c>
      <c r="D6" s="109">
        <v>0.90486111111111101</v>
      </c>
      <c r="E6" s="108" t="s">
        <v>62</v>
      </c>
      <c r="F6" s="112">
        <v>15</v>
      </c>
      <c r="G6" s="108"/>
      <c r="H6" s="112">
        <f>+Harvest!H6/Effort!H6</f>
        <v>15.00000000000008</v>
      </c>
      <c r="I6" s="108"/>
      <c r="J6" s="112">
        <f>+Harvest!J6/Effort!J6</f>
        <v>14.999999999999959</v>
      </c>
      <c r="K6" s="108"/>
      <c r="L6" s="112" t="s">
        <v>10</v>
      </c>
      <c r="M6" s="108"/>
      <c r="N6" s="108" t="s">
        <v>10</v>
      </c>
      <c r="O6" s="112">
        <f>+Harvest!O6/Effort!O6</f>
        <v>15.000000000000014</v>
      </c>
    </row>
    <row r="7" spans="1:17" x14ac:dyDescent="0.25">
      <c r="A7" s="107">
        <v>44095</v>
      </c>
      <c r="B7" s="108" t="s">
        <v>21</v>
      </c>
      <c r="C7" s="108">
        <v>-0.8</v>
      </c>
      <c r="D7" s="109">
        <v>0.94236111111111109</v>
      </c>
      <c r="E7" s="108" t="s">
        <v>62</v>
      </c>
      <c r="F7" s="112">
        <v>15</v>
      </c>
      <c r="G7" s="108"/>
      <c r="H7" s="112">
        <f>+Harvest!H7/Effort!H7</f>
        <v>15.000000000001839</v>
      </c>
      <c r="I7" s="108"/>
      <c r="J7" s="112" t="s">
        <v>10</v>
      </c>
      <c r="K7" s="108"/>
      <c r="L7" s="112">
        <f>+Harvest!L7/Effort!L7</f>
        <v>15.000000000000027</v>
      </c>
      <c r="M7" s="108"/>
      <c r="N7" s="108" t="s">
        <v>10</v>
      </c>
      <c r="O7" s="112">
        <f>+Harvest!O7/Effort!O7</f>
        <v>15.000000000000787</v>
      </c>
    </row>
    <row r="8" spans="1:17" x14ac:dyDescent="0.25">
      <c r="A8" s="107">
        <v>44096</v>
      </c>
      <c r="B8" s="108" t="s">
        <v>22</v>
      </c>
      <c r="C8" s="108">
        <v>-0.3</v>
      </c>
      <c r="D8" s="109">
        <v>0.98402777777777783</v>
      </c>
      <c r="E8" s="108" t="s">
        <v>62</v>
      </c>
      <c r="F8" s="112">
        <v>15</v>
      </c>
      <c r="G8" s="108" t="s">
        <v>62</v>
      </c>
      <c r="H8" s="112">
        <v>15</v>
      </c>
      <c r="I8" s="108"/>
      <c r="J8" s="112">
        <f>+Harvest!J8/Effort!J8</f>
        <v>14.999999999999998</v>
      </c>
      <c r="K8" s="108"/>
      <c r="L8" s="112" t="s">
        <v>10</v>
      </c>
      <c r="M8" s="108"/>
      <c r="N8" s="108" t="s">
        <v>10</v>
      </c>
      <c r="O8" s="112">
        <f>+Harvest!O8/Effort!O8</f>
        <v>15</v>
      </c>
    </row>
    <row r="9" spans="1:17" x14ac:dyDescent="0.25">
      <c r="A9" s="103"/>
      <c r="B9" s="104"/>
      <c r="C9" s="104"/>
      <c r="D9" s="105"/>
      <c r="E9" s="104"/>
      <c r="F9" s="106"/>
      <c r="G9" s="104"/>
      <c r="H9" s="106"/>
      <c r="I9" s="104"/>
      <c r="J9" s="106"/>
      <c r="K9" s="104"/>
      <c r="L9" s="106"/>
      <c r="M9" s="104"/>
      <c r="N9" s="104"/>
      <c r="O9" s="112"/>
    </row>
    <row r="10" spans="1:17" x14ac:dyDescent="0.25">
      <c r="A10" s="107">
        <v>44120</v>
      </c>
      <c r="B10" s="108" t="s">
        <v>18</v>
      </c>
      <c r="C10" s="108">
        <v>-0.7</v>
      </c>
      <c r="D10" s="109">
        <v>0.79166666666666663</v>
      </c>
      <c r="E10" s="104"/>
      <c r="F10" s="112">
        <f>+Harvest!F10/Effort!F10</f>
        <v>14.999999999999972</v>
      </c>
      <c r="G10" s="108"/>
      <c r="H10" s="112">
        <f>+Harvest!H10/Effort!H10</f>
        <v>15.036363636363637</v>
      </c>
      <c r="I10" s="108"/>
      <c r="J10" s="110" t="s">
        <v>10</v>
      </c>
      <c r="K10" s="108"/>
      <c r="L10" s="112">
        <f>+Harvest!L10/Effort!L10</f>
        <v>15.000000000000021</v>
      </c>
      <c r="M10" s="108"/>
      <c r="N10" s="110" t="s">
        <v>10</v>
      </c>
      <c r="O10" s="112">
        <f>+Harvest!O10/Effort!O10</f>
        <v>15.008346897253286</v>
      </c>
    </row>
    <row r="11" spans="1:17" x14ac:dyDescent="0.25">
      <c r="A11" s="107">
        <v>44121</v>
      </c>
      <c r="B11" s="108" t="s">
        <v>19</v>
      </c>
      <c r="C11" s="108">
        <v>-1.3</v>
      </c>
      <c r="D11" s="109">
        <v>0.82430555555555562</v>
      </c>
      <c r="E11" s="104"/>
      <c r="F11" s="112">
        <f>+Harvest!F11/Effort!F11</f>
        <v>15</v>
      </c>
      <c r="G11" s="108"/>
      <c r="H11" s="112">
        <f>+Harvest!H11/Effort!H11</f>
        <v>15.000000000000002</v>
      </c>
      <c r="I11" s="108"/>
      <c r="J11" s="112">
        <f>+Harvest!J11/Effort!J11</f>
        <v>14.99999999999995</v>
      </c>
      <c r="K11" s="108"/>
      <c r="L11" s="110" t="s">
        <v>10</v>
      </c>
      <c r="M11" s="108"/>
      <c r="N11" s="110" t="s">
        <v>10</v>
      </c>
      <c r="O11" s="112">
        <f>+Harvest!O11/Effort!O11</f>
        <v>14.999999999999982</v>
      </c>
    </row>
    <row r="12" spans="1:17" x14ac:dyDescent="0.25">
      <c r="A12" s="107">
        <v>44122</v>
      </c>
      <c r="B12" s="108" t="s">
        <v>20</v>
      </c>
      <c r="C12" s="108">
        <v>-1.5</v>
      </c>
      <c r="D12" s="109">
        <v>0.85763888888888884</v>
      </c>
      <c r="E12" s="104" t="s">
        <v>62</v>
      </c>
      <c r="F12" s="112">
        <v>15</v>
      </c>
      <c r="G12" s="108" t="s">
        <v>62</v>
      </c>
      <c r="H12" s="112">
        <v>15</v>
      </c>
      <c r="I12" s="108"/>
      <c r="J12" s="110" t="s">
        <v>10</v>
      </c>
      <c r="K12" s="108"/>
      <c r="L12" s="112">
        <f>+Harvest!L12/Effort!L12</f>
        <v>15.000000000000018</v>
      </c>
      <c r="M12" s="108"/>
      <c r="N12" s="110" t="s">
        <v>10</v>
      </c>
      <c r="O12" s="112">
        <f>+Harvest!O12/Effort!O12</f>
        <v>15.000000000000007</v>
      </c>
    </row>
    <row r="13" spans="1:17" x14ac:dyDescent="0.25">
      <c r="A13" s="107">
        <v>44123</v>
      </c>
      <c r="B13" s="108" t="s">
        <v>21</v>
      </c>
      <c r="C13" s="108">
        <v>-1.4</v>
      </c>
      <c r="D13" s="109">
        <v>0.89166666666666661</v>
      </c>
      <c r="E13" s="104" t="s">
        <v>62</v>
      </c>
      <c r="F13" s="112">
        <v>15</v>
      </c>
      <c r="G13" s="108" t="s">
        <v>62</v>
      </c>
      <c r="H13" s="112">
        <v>15</v>
      </c>
      <c r="I13" s="108"/>
      <c r="J13" s="112">
        <f>+Harvest!J13/Effort!J13</f>
        <v>14.999999999999954</v>
      </c>
      <c r="K13" s="108"/>
      <c r="L13" s="110" t="s">
        <v>10</v>
      </c>
      <c r="M13" s="108"/>
      <c r="N13" s="110" t="s">
        <v>10</v>
      </c>
      <c r="O13" s="112">
        <f>+Harvest!O13/Effort!O13</f>
        <v>14.999999999999982</v>
      </c>
    </row>
    <row r="14" spans="1:17" x14ac:dyDescent="0.25">
      <c r="A14" s="107">
        <v>44124</v>
      </c>
      <c r="B14" s="108" t="s">
        <v>22</v>
      </c>
      <c r="C14" s="108">
        <v>-1</v>
      </c>
      <c r="D14" s="109">
        <v>0.9277777777777777</v>
      </c>
      <c r="E14" s="104" t="s">
        <v>62</v>
      </c>
      <c r="F14" s="112">
        <v>15</v>
      </c>
      <c r="G14" s="108" t="s">
        <v>62</v>
      </c>
      <c r="H14" s="112">
        <v>15</v>
      </c>
      <c r="I14" s="108"/>
      <c r="J14" s="110" t="s">
        <v>10</v>
      </c>
      <c r="K14" s="108"/>
      <c r="L14" s="112">
        <f>+Harvest!L14/Effort!L14</f>
        <v>14.999999999999984</v>
      </c>
      <c r="M14" s="108"/>
      <c r="N14" s="110" t="s">
        <v>10</v>
      </c>
      <c r="O14" s="112">
        <f>+Harvest!O14/Effort!O14</f>
        <v>14.999999999999993</v>
      </c>
    </row>
    <row r="15" spans="1:17" x14ac:dyDescent="0.25">
      <c r="A15" s="107">
        <v>44125</v>
      </c>
      <c r="B15" s="108" t="s">
        <v>23</v>
      </c>
      <c r="C15" s="108">
        <v>-0.5</v>
      </c>
      <c r="D15" s="109">
        <v>0.96666666666666667</v>
      </c>
      <c r="E15" s="104"/>
      <c r="F15" s="110" t="s">
        <v>10</v>
      </c>
      <c r="G15" s="108"/>
      <c r="H15" s="110" t="s">
        <v>10</v>
      </c>
      <c r="I15" s="108"/>
      <c r="J15" s="110" t="s">
        <v>10</v>
      </c>
      <c r="K15" s="108"/>
      <c r="L15" s="110" t="s">
        <v>10</v>
      </c>
      <c r="M15" s="108"/>
      <c r="N15" s="110" t="s">
        <v>10</v>
      </c>
      <c r="O15" s="112">
        <v>0</v>
      </c>
    </row>
    <row r="16" spans="1:17" x14ac:dyDescent="0.25">
      <c r="A16" s="103"/>
      <c r="B16" s="104"/>
      <c r="C16" s="104"/>
      <c r="D16" s="105"/>
      <c r="E16" s="104"/>
      <c r="F16" s="106"/>
      <c r="G16" s="104"/>
      <c r="H16" s="106"/>
      <c r="I16" s="104"/>
      <c r="J16" s="106"/>
      <c r="K16" s="104"/>
      <c r="L16" s="106"/>
      <c r="M16" s="104"/>
      <c r="N16" s="104"/>
      <c r="O16" s="106"/>
    </row>
    <row r="17" spans="1:15" x14ac:dyDescent="0.25">
      <c r="A17" s="107">
        <v>44331</v>
      </c>
      <c r="B17" s="108" t="s">
        <v>19</v>
      </c>
      <c r="C17" s="108">
        <v>-0.5</v>
      </c>
      <c r="D17" s="109">
        <v>0.39999999999999997</v>
      </c>
      <c r="E17" s="104"/>
      <c r="F17" s="110" t="s">
        <v>10</v>
      </c>
      <c r="G17" s="108"/>
      <c r="H17" s="110" t="s">
        <v>10</v>
      </c>
      <c r="I17" s="108"/>
      <c r="J17" s="110" t="s">
        <v>10</v>
      </c>
      <c r="K17" s="108"/>
      <c r="L17" s="112">
        <v>15</v>
      </c>
      <c r="M17" s="112"/>
      <c r="N17" s="112" t="s">
        <v>10</v>
      </c>
      <c r="O17" s="117">
        <f t="shared" ref="O17:O19" si="0">SUM(F17:N17)</f>
        <v>15</v>
      </c>
    </row>
    <row r="18" spans="1:15" x14ac:dyDescent="0.25">
      <c r="A18" s="107">
        <v>44332</v>
      </c>
      <c r="B18" s="108" t="s">
        <v>20</v>
      </c>
      <c r="C18" s="108">
        <v>-0.3</v>
      </c>
      <c r="D18" s="109">
        <v>0.4284722222222222</v>
      </c>
      <c r="E18" s="104"/>
      <c r="F18" s="110" t="s">
        <v>10</v>
      </c>
      <c r="G18" s="108"/>
      <c r="H18" s="110" t="s">
        <v>10</v>
      </c>
      <c r="I18" s="108"/>
      <c r="J18" s="110" t="s">
        <v>10</v>
      </c>
      <c r="K18" s="108"/>
      <c r="L18" s="112" t="s">
        <v>10</v>
      </c>
      <c r="M18" s="112"/>
      <c r="N18" s="112" t="s">
        <v>10</v>
      </c>
      <c r="O18" s="117">
        <f t="shared" si="0"/>
        <v>0</v>
      </c>
    </row>
    <row r="19" spans="1:15" x14ac:dyDescent="0.25">
      <c r="A19" s="107">
        <v>44333</v>
      </c>
      <c r="B19" s="108" t="s">
        <v>21</v>
      </c>
      <c r="C19" s="108">
        <v>-0.1</v>
      </c>
      <c r="D19" s="109">
        <v>0.4604166666666667</v>
      </c>
      <c r="E19" s="104"/>
      <c r="F19" s="110" t="s">
        <v>10</v>
      </c>
      <c r="G19" s="108"/>
      <c r="H19" s="110" t="s">
        <v>10</v>
      </c>
      <c r="I19" s="108"/>
      <c r="J19" s="110" t="s">
        <v>10</v>
      </c>
      <c r="K19" s="108"/>
      <c r="L19" s="112">
        <v>15</v>
      </c>
      <c r="M19" s="112"/>
      <c r="N19" s="112" t="s">
        <v>10</v>
      </c>
      <c r="O19" s="117">
        <f t="shared" si="0"/>
        <v>15</v>
      </c>
    </row>
    <row r="20" spans="1:15" ht="14.1" customHeight="1" x14ac:dyDescent="0.25"/>
    <row r="21" spans="1:15" x14ac:dyDescent="0.25">
      <c r="A21" s="107">
        <v>44340</v>
      </c>
      <c r="B21" s="108" t="s">
        <v>21</v>
      </c>
      <c r="C21" s="108">
        <v>-0.7</v>
      </c>
      <c r="D21" s="109">
        <v>0.23055555555555554</v>
      </c>
      <c r="E21" s="104"/>
      <c r="F21" s="110" t="s">
        <v>10</v>
      </c>
      <c r="G21" s="108"/>
      <c r="H21" s="110" t="s">
        <v>10</v>
      </c>
      <c r="I21" s="108"/>
      <c r="J21" s="110" t="s">
        <v>10</v>
      </c>
      <c r="K21" s="108"/>
      <c r="L21" s="110">
        <v>15</v>
      </c>
      <c r="M21" s="108"/>
      <c r="N21" s="110" t="s">
        <v>10</v>
      </c>
      <c r="O21" s="14">
        <f t="shared" ref="O21:O27" si="1">SUM(F21:N21)</f>
        <v>15</v>
      </c>
    </row>
    <row r="22" spans="1:15" x14ac:dyDescent="0.25">
      <c r="A22" s="107">
        <v>44341</v>
      </c>
      <c r="B22" s="108" t="s">
        <v>22</v>
      </c>
      <c r="C22" s="108">
        <v>-1.6</v>
      </c>
      <c r="D22" s="109">
        <v>0.26458333333333334</v>
      </c>
      <c r="E22" s="104"/>
      <c r="F22" s="110" t="s">
        <v>10</v>
      </c>
      <c r="G22" s="108"/>
      <c r="H22" s="110" t="s">
        <v>10</v>
      </c>
      <c r="I22" s="108"/>
      <c r="J22" s="110" t="s">
        <v>10</v>
      </c>
      <c r="K22" s="108"/>
      <c r="L22" s="110" t="s">
        <v>10</v>
      </c>
      <c r="M22" s="108"/>
      <c r="N22" s="110" t="s">
        <v>10</v>
      </c>
      <c r="O22" s="14">
        <f t="shared" si="1"/>
        <v>0</v>
      </c>
    </row>
    <row r="23" spans="1:15" x14ac:dyDescent="0.25">
      <c r="A23" s="107">
        <v>44342</v>
      </c>
      <c r="B23" s="108" t="s">
        <v>23</v>
      </c>
      <c r="C23" s="108">
        <v>-2.2999999999999998</v>
      </c>
      <c r="D23" s="109">
        <v>0.29791666666666666</v>
      </c>
      <c r="E23" s="104"/>
      <c r="F23" s="110" t="s">
        <v>10</v>
      </c>
      <c r="G23" s="108"/>
      <c r="H23" s="110" t="s">
        <v>10</v>
      </c>
      <c r="I23" s="108"/>
      <c r="J23" s="110" t="s">
        <v>10</v>
      </c>
      <c r="K23" s="108"/>
      <c r="L23" s="110">
        <v>15</v>
      </c>
      <c r="M23" s="108"/>
      <c r="N23" s="110" t="s">
        <v>10</v>
      </c>
      <c r="O23" s="14">
        <f t="shared" si="1"/>
        <v>15</v>
      </c>
    </row>
    <row r="24" spans="1:15" x14ac:dyDescent="0.25">
      <c r="A24" s="107">
        <v>44343</v>
      </c>
      <c r="B24" s="108" t="s">
        <v>24</v>
      </c>
      <c r="C24" s="108">
        <v>-2.5</v>
      </c>
      <c r="D24" s="109">
        <v>0.33124999999999999</v>
      </c>
      <c r="E24" s="104"/>
      <c r="F24" s="110" t="s">
        <v>10</v>
      </c>
      <c r="G24" s="108"/>
      <c r="H24" s="110" t="s">
        <v>10</v>
      </c>
      <c r="I24" s="108"/>
      <c r="J24" s="110" t="s">
        <v>10</v>
      </c>
      <c r="K24" s="108"/>
      <c r="L24" s="110" t="s">
        <v>10</v>
      </c>
      <c r="M24" s="108"/>
      <c r="N24" s="110" t="s">
        <v>10</v>
      </c>
      <c r="O24" s="14">
        <f t="shared" si="1"/>
        <v>0</v>
      </c>
    </row>
    <row r="25" spans="1:15" x14ac:dyDescent="0.25">
      <c r="A25" s="107">
        <v>44344</v>
      </c>
      <c r="B25" s="108" t="s">
        <v>18</v>
      </c>
      <c r="C25" s="108">
        <v>-2.5</v>
      </c>
      <c r="D25" s="109">
        <v>0.36527777777777781</v>
      </c>
      <c r="E25" s="104"/>
      <c r="F25" s="110" t="s">
        <v>10</v>
      </c>
      <c r="G25" s="108"/>
      <c r="H25" s="110" t="s">
        <v>10</v>
      </c>
      <c r="I25" s="108"/>
      <c r="J25" s="110" t="s">
        <v>10</v>
      </c>
      <c r="K25" s="108"/>
      <c r="L25" s="110">
        <v>15</v>
      </c>
      <c r="M25" s="108"/>
      <c r="N25" s="110" t="s">
        <v>10</v>
      </c>
      <c r="O25" s="14">
        <f t="shared" si="1"/>
        <v>15</v>
      </c>
    </row>
    <row r="26" spans="1:15" x14ac:dyDescent="0.25">
      <c r="A26" s="107">
        <v>44345</v>
      </c>
      <c r="B26" s="108" t="s">
        <v>19</v>
      </c>
      <c r="C26" s="108">
        <v>-2.2000000000000002</v>
      </c>
      <c r="D26" s="109">
        <v>0.39930555555555558</v>
      </c>
      <c r="E26" s="104"/>
      <c r="F26" s="110" t="s">
        <v>10</v>
      </c>
      <c r="G26" s="108"/>
      <c r="H26" s="110" t="s">
        <v>10</v>
      </c>
      <c r="I26" s="108"/>
      <c r="J26" s="110" t="s">
        <v>10</v>
      </c>
      <c r="K26" s="108"/>
      <c r="L26" s="110" t="s">
        <v>10</v>
      </c>
      <c r="M26" s="108"/>
      <c r="N26" s="110" t="s">
        <v>10</v>
      </c>
      <c r="O26" s="14">
        <f t="shared" si="1"/>
        <v>0</v>
      </c>
    </row>
    <row r="27" spans="1:15" x14ac:dyDescent="0.25">
      <c r="A27" s="107">
        <v>44346</v>
      </c>
      <c r="B27" s="108" t="s">
        <v>20</v>
      </c>
      <c r="C27" s="108">
        <v>-1.6</v>
      </c>
      <c r="D27" s="109">
        <v>0.43472222222222223</v>
      </c>
      <c r="E27" s="104"/>
      <c r="F27" s="110" t="s">
        <v>10</v>
      </c>
      <c r="G27" s="108"/>
      <c r="H27" s="110" t="s">
        <v>10</v>
      </c>
      <c r="I27" s="108"/>
      <c r="J27" s="110" t="s">
        <v>10</v>
      </c>
      <c r="K27" s="108"/>
      <c r="L27" s="110">
        <v>15</v>
      </c>
      <c r="M27" s="108"/>
      <c r="N27" s="110" t="s">
        <v>10</v>
      </c>
      <c r="O27" s="14">
        <f t="shared" si="1"/>
        <v>15</v>
      </c>
    </row>
    <row r="28" spans="1:15" x14ac:dyDescent="0.25">
      <c r="A28" s="107"/>
      <c r="B28" s="108"/>
      <c r="C28" s="108"/>
      <c r="D28" s="109"/>
      <c r="E28" s="104"/>
      <c r="F28" s="110"/>
      <c r="G28" s="108"/>
      <c r="H28" s="110"/>
      <c r="I28" s="108"/>
      <c r="J28" s="110"/>
      <c r="K28" s="108"/>
      <c r="L28" s="110"/>
      <c r="M28" s="108"/>
      <c r="N28" s="110"/>
      <c r="O28" s="14"/>
    </row>
    <row r="29" spans="1:15" ht="14.1" customHeight="1" x14ac:dyDescent="0.25">
      <c r="A29" s="31" t="s">
        <v>25</v>
      </c>
      <c r="C29" s="33"/>
      <c r="D29" s="33"/>
      <c r="E29" s="8"/>
      <c r="F29" s="5">
        <f>Harvest!F29/Effort!F29</f>
        <v>15.000001249224534</v>
      </c>
      <c r="H29" s="5">
        <f>Harvest!H29/Effort!H29</f>
        <v>15.005822578247063</v>
      </c>
      <c r="J29" s="5">
        <f>Harvest!J29/Effort!J29</f>
        <v>14.999999999999956</v>
      </c>
      <c r="L29" s="5">
        <f>Harvest!L29/Effort!L29</f>
        <v>15.000185264432094</v>
      </c>
      <c r="N29" s="66">
        <v>0</v>
      </c>
    </row>
    <row r="30" spans="1:15" ht="14.1" customHeight="1" x14ac:dyDescent="0.25">
      <c r="A30" s="32" t="s">
        <v>16</v>
      </c>
      <c r="C30" s="33"/>
      <c r="D30" s="33"/>
      <c r="E30" s="8"/>
      <c r="F30" s="35"/>
    </row>
    <row r="31" spans="1:15" ht="14.1" customHeight="1" x14ac:dyDescent="0.25">
      <c r="A31" s="19" t="s">
        <v>17</v>
      </c>
      <c r="C31" s="33"/>
      <c r="D31" s="33"/>
      <c r="E31" s="8"/>
      <c r="F31" s="35"/>
    </row>
    <row r="32" spans="1:15" ht="14.1" customHeight="1" x14ac:dyDescent="0.25"/>
    <row r="33" ht="14.1" customHeight="1" x14ac:dyDescent="0.25"/>
    <row r="34" ht="14.1" customHeight="1" x14ac:dyDescent="0.25"/>
    <row r="35" ht="14.1" customHeight="1" x14ac:dyDescent="0.25"/>
  </sheetData>
  <mergeCells count="5">
    <mergeCell ref="E1:F1"/>
    <mergeCell ref="G1:H1"/>
    <mergeCell ref="I1:J1"/>
    <mergeCell ref="K1:L1"/>
    <mergeCell ref="M1:N1"/>
  </mergeCells>
  <pageMargins left="0.7" right="0.7" top="0.75" bottom="0.75" header="0.3" footer="0.3"/>
  <pageSetup scale="58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7"/>
  <sheetViews>
    <sheetView zoomScale="90" zoomScaleNormal="90" workbookViewId="0"/>
  </sheetViews>
  <sheetFormatPr defaultRowHeight="15" x14ac:dyDescent="0.25"/>
  <cols>
    <col min="20" max="20" width="10.85546875" style="34" customWidth="1"/>
  </cols>
  <sheetData>
    <row r="1" spans="1:21" ht="15.75" thickBot="1" x14ac:dyDescent="0.3">
      <c r="A1" s="50" t="s">
        <v>66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61"/>
      <c r="U1" s="50"/>
    </row>
    <row r="2" spans="1:21" ht="15.75" thickTop="1" x14ac:dyDescent="0.25">
      <c r="A2" s="51"/>
      <c r="B2" s="51"/>
      <c r="C2" s="51"/>
      <c r="D2" s="51"/>
      <c r="E2" s="124" t="s">
        <v>45</v>
      </c>
      <c r="F2" s="125"/>
      <c r="G2" s="126"/>
      <c r="H2" s="124" t="s">
        <v>46</v>
      </c>
      <c r="I2" s="125"/>
      <c r="J2" s="126"/>
      <c r="K2" s="124" t="s">
        <v>47</v>
      </c>
      <c r="L2" s="125"/>
      <c r="M2" s="126"/>
      <c r="N2" s="124" t="s">
        <v>48</v>
      </c>
      <c r="O2" s="125"/>
      <c r="P2" s="126"/>
      <c r="Q2" s="129" t="s">
        <v>49</v>
      </c>
      <c r="R2" s="130"/>
      <c r="S2" s="131"/>
      <c r="T2" s="122" t="s">
        <v>52</v>
      </c>
      <c r="U2" s="123"/>
    </row>
    <row r="3" spans="1:21" ht="15.75" thickBot="1" x14ac:dyDescent="0.3">
      <c r="A3" s="52" t="s">
        <v>53</v>
      </c>
      <c r="B3" s="52" t="s">
        <v>54</v>
      </c>
      <c r="C3" s="52" t="s">
        <v>55</v>
      </c>
      <c r="D3" s="52" t="s">
        <v>56</v>
      </c>
      <c r="E3" s="53" t="s">
        <v>27</v>
      </c>
      <c r="F3" s="52" t="s">
        <v>28</v>
      </c>
      <c r="G3" s="52" t="s">
        <v>29</v>
      </c>
      <c r="H3" s="53" t="s">
        <v>27</v>
      </c>
      <c r="I3" s="52" t="s">
        <v>28</v>
      </c>
      <c r="J3" s="52" t="s">
        <v>29</v>
      </c>
      <c r="K3" s="53" t="s">
        <v>27</v>
      </c>
      <c r="L3" s="52" t="s">
        <v>28</v>
      </c>
      <c r="M3" s="52" t="s">
        <v>29</v>
      </c>
      <c r="N3" s="53" t="s">
        <v>27</v>
      </c>
      <c r="O3" s="52" t="s">
        <v>28</v>
      </c>
      <c r="P3" s="52" t="s">
        <v>29</v>
      </c>
      <c r="Q3" s="53" t="s">
        <v>27</v>
      </c>
      <c r="R3" s="52" t="s">
        <v>28</v>
      </c>
      <c r="S3" s="52" t="s">
        <v>29</v>
      </c>
      <c r="T3" s="62" t="s">
        <v>27</v>
      </c>
      <c r="U3" s="54" t="s">
        <v>28</v>
      </c>
    </row>
    <row r="4" spans="1:21" ht="15.75" thickTop="1" x14ac:dyDescent="0.25">
      <c r="A4" s="55">
        <v>44090</v>
      </c>
      <c r="B4" s="56" t="s">
        <v>23</v>
      </c>
      <c r="C4" s="108">
        <v>-1</v>
      </c>
      <c r="D4" s="109">
        <v>0.26180555555555557</v>
      </c>
      <c r="E4" s="57">
        <f>Effort!F2</f>
        <v>759.02730818876694</v>
      </c>
      <c r="F4" s="58">
        <f>Harvest!F2</f>
        <v>11385.409622831512</v>
      </c>
      <c r="G4" s="59">
        <f>+CPUE!F2</f>
        <v>15.000000000000011</v>
      </c>
      <c r="H4" s="57">
        <f>Effort!H2</f>
        <v>165.22944139225763</v>
      </c>
      <c r="I4" s="58">
        <f>Harvest!H2</f>
        <v>2478.4416208838643</v>
      </c>
      <c r="J4" s="59">
        <f>CPUE!H2</f>
        <v>15</v>
      </c>
      <c r="K4" s="57">
        <f>Effort!J2</f>
        <v>314.27006383022803</v>
      </c>
      <c r="L4" s="58">
        <f>Harvest!J2</f>
        <v>4714.0509574534099</v>
      </c>
      <c r="M4" s="59">
        <f>CPUE!J2</f>
        <v>14.999999999999966</v>
      </c>
      <c r="N4" s="57" t="str">
        <f>Effort!L2</f>
        <v>CLOSED</v>
      </c>
      <c r="O4" s="58" t="str">
        <f>Harvest!L2</f>
        <v>CLOSED</v>
      </c>
      <c r="P4" s="59" t="str">
        <f>CPUE!L2</f>
        <v>CLOSED</v>
      </c>
      <c r="Q4" s="57" t="s">
        <v>10</v>
      </c>
      <c r="R4" s="58" t="s">
        <v>10</v>
      </c>
      <c r="S4" s="60" t="s">
        <v>10</v>
      </c>
      <c r="T4" s="57">
        <f>SUM(E4+H4+K4)</f>
        <v>1238.5268134112525</v>
      </c>
      <c r="U4" s="58">
        <f>SUM(F4+I4+L4)</f>
        <v>18577.902201168785</v>
      </c>
    </row>
    <row r="5" spans="1:21" x14ac:dyDescent="0.25">
      <c r="A5" s="55">
        <v>44091</v>
      </c>
      <c r="B5" s="56" t="s">
        <v>24</v>
      </c>
      <c r="C5" s="108">
        <v>-1</v>
      </c>
      <c r="D5" s="109">
        <v>0.2902777777777778</v>
      </c>
      <c r="E5" s="57">
        <f>Effort!F3</f>
        <v>1075.2369080397539</v>
      </c>
      <c r="F5" s="58">
        <f>Harvest!F3</f>
        <v>16128.553620596307</v>
      </c>
      <c r="G5" s="59">
        <f>+CPUE!F3</f>
        <v>15</v>
      </c>
      <c r="H5" s="57">
        <f>Effort!H3</f>
        <v>696.98997220183082</v>
      </c>
      <c r="I5" s="58">
        <f>Harvest!H3</f>
        <v>10454.849583027462</v>
      </c>
      <c r="J5" s="59">
        <f>CPUE!H3</f>
        <v>15</v>
      </c>
      <c r="K5" s="57" t="str">
        <f>Effort!J3</f>
        <v>CLOSED</v>
      </c>
      <c r="L5" s="58" t="str">
        <f>Harvest!J3</f>
        <v>CLOSED</v>
      </c>
      <c r="M5" s="59" t="str">
        <f>CPUE!J3</f>
        <v>CLOSED</v>
      </c>
      <c r="N5" s="57">
        <f>Effort!L3</f>
        <v>918.99747021256201</v>
      </c>
      <c r="O5" s="58">
        <f>Harvest!L3</f>
        <v>13784.962053188399</v>
      </c>
      <c r="P5" s="59">
        <f>CPUE!L3</f>
        <v>14.999999999999966</v>
      </c>
      <c r="Q5" s="57" t="s">
        <v>10</v>
      </c>
      <c r="R5" s="58" t="s">
        <v>10</v>
      </c>
      <c r="S5" s="60" t="s">
        <v>10</v>
      </c>
      <c r="T5" s="57">
        <f>SUM(E5+H5+N5)</f>
        <v>2691.2243504541466</v>
      </c>
      <c r="U5" s="58">
        <f>SUM(F5+I5+O5)</f>
        <v>40368.365256812169</v>
      </c>
    </row>
    <row r="6" spans="1:21" x14ac:dyDescent="0.25">
      <c r="A6" s="55">
        <v>44092</v>
      </c>
      <c r="B6" s="56" t="s">
        <v>18</v>
      </c>
      <c r="C6" s="108">
        <v>-0.8</v>
      </c>
      <c r="D6" s="109">
        <v>0.31875000000000003</v>
      </c>
      <c r="E6" s="57">
        <f>Effort!F4</f>
        <v>2198.2041930969822</v>
      </c>
      <c r="F6" s="58">
        <f>Harvest!F4</f>
        <v>32973.0628964547</v>
      </c>
      <c r="G6" s="59">
        <f>+CPUE!F4</f>
        <v>14.999999999999984</v>
      </c>
      <c r="H6" s="57">
        <f>Effort!H4</f>
        <v>1073.2113081960999</v>
      </c>
      <c r="I6" s="58">
        <f>Harvest!H4</f>
        <v>16098.169622941699</v>
      </c>
      <c r="J6" s="59">
        <f>CPUE!H4</f>
        <v>15.000000000000187</v>
      </c>
      <c r="K6" s="57">
        <f>Effort!J4</f>
        <v>2041.2717218440901</v>
      </c>
      <c r="L6" s="58">
        <f>Harvest!J4</f>
        <v>30619.075827661301</v>
      </c>
      <c r="M6" s="59">
        <f>CPUE!J4</f>
        <v>14.999999999999975</v>
      </c>
      <c r="N6" s="57" t="str">
        <f>Effort!L4</f>
        <v>CLOSED</v>
      </c>
      <c r="O6" s="58" t="str">
        <f>Harvest!L4</f>
        <v>CLOSED</v>
      </c>
      <c r="P6" s="59" t="str">
        <f>CPUE!L4</f>
        <v>CLOSED</v>
      </c>
      <c r="Q6" s="57" t="s">
        <v>10</v>
      </c>
      <c r="R6" s="58" t="s">
        <v>10</v>
      </c>
      <c r="S6" s="60" t="s">
        <v>10</v>
      </c>
      <c r="T6" s="57">
        <f>SUM(E6+H6+K6)</f>
        <v>5312.6872231371726</v>
      </c>
      <c r="U6" s="58">
        <f>SUM(F6+I6+L6)</f>
        <v>79690.308347057697</v>
      </c>
    </row>
    <row r="7" spans="1:21" x14ac:dyDescent="0.25">
      <c r="A7" s="55">
        <v>44093</v>
      </c>
      <c r="B7" s="56" t="s">
        <v>19</v>
      </c>
      <c r="C7" s="108">
        <v>-0.3</v>
      </c>
      <c r="D7" s="109">
        <v>0.34652777777777777</v>
      </c>
      <c r="E7" s="57">
        <f>Effort!F5</f>
        <v>5963.35</v>
      </c>
      <c r="F7" s="58">
        <f>Harvest!F5</f>
        <v>89450.29</v>
      </c>
      <c r="G7" s="59">
        <f>+CPUE!F5</f>
        <v>15.000006707639161</v>
      </c>
      <c r="H7" s="57">
        <f>Effort!H5</f>
        <v>3865.5622027588702</v>
      </c>
      <c r="I7" s="58">
        <f>Harvest!H5</f>
        <v>57983.433041383098</v>
      </c>
      <c r="J7" s="59">
        <f>CPUE!H5</f>
        <v>15.000000000000012</v>
      </c>
      <c r="K7" s="57" t="str">
        <f>Effort!J5</f>
        <v>CLOSED</v>
      </c>
      <c r="L7" s="58" t="str">
        <f>Harvest!J5</f>
        <v>CLOSED</v>
      </c>
      <c r="M7" s="59" t="str">
        <f>CPUE!J5</f>
        <v>CLOSED</v>
      </c>
      <c r="N7" s="57">
        <f>Effort!L5</f>
        <v>5096.8335657144899</v>
      </c>
      <c r="O7" s="58">
        <f>Harvest!L5</f>
        <v>76452.503485716996</v>
      </c>
      <c r="P7" s="59">
        <f>CPUE!L5</f>
        <v>14.999999999999931</v>
      </c>
      <c r="Q7" s="57" t="s">
        <v>10</v>
      </c>
      <c r="R7" s="58" t="s">
        <v>10</v>
      </c>
      <c r="S7" s="60" t="s">
        <v>10</v>
      </c>
      <c r="T7" s="57">
        <f>SUM(E7+H7+N7)</f>
        <v>14925.74576847336</v>
      </c>
      <c r="U7" s="58">
        <f>SUM(F7+I7+O7)</f>
        <v>223886.22652710008</v>
      </c>
    </row>
    <row r="8" spans="1:21" x14ac:dyDescent="0.25">
      <c r="A8" s="55">
        <v>44094</v>
      </c>
      <c r="B8" s="56" t="s">
        <v>20</v>
      </c>
      <c r="C8" s="108">
        <v>-0.8</v>
      </c>
      <c r="D8" s="109">
        <v>0.90486111111111101</v>
      </c>
      <c r="E8" s="57">
        <f>Effort!F6</f>
        <v>1358.8815788128209</v>
      </c>
      <c r="F8" s="58">
        <f>Harvest!F6</f>
        <v>20383.223682192314</v>
      </c>
      <c r="G8" s="59">
        <f>+CPUE!F6</f>
        <v>15</v>
      </c>
      <c r="H8" s="57">
        <f>Effort!H6</f>
        <v>1241.3921675080201</v>
      </c>
      <c r="I8" s="58">
        <f>Harvest!H6</f>
        <v>18620.882512620399</v>
      </c>
      <c r="J8" s="59">
        <f>CPUE!H6</f>
        <v>15.00000000000008</v>
      </c>
      <c r="K8" s="57">
        <f>Effort!J6</f>
        <v>1261.8693699503301</v>
      </c>
      <c r="L8" s="58">
        <f>Harvest!J6</f>
        <v>18928.0405492549</v>
      </c>
      <c r="M8" s="59">
        <f>CPUE!J6</f>
        <v>14.999999999999959</v>
      </c>
      <c r="N8" s="57" t="str">
        <f>Effort!L6</f>
        <v>CLOSED</v>
      </c>
      <c r="O8" s="58" t="str">
        <f>Harvest!L6</f>
        <v>CLOSED</v>
      </c>
      <c r="P8" s="59" t="str">
        <f>CPUE!L6</f>
        <v>CLOSED</v>
      </c>
      <c r="Q8" s="57" t="s">
        <v>10</v>
      </c>
      <c r="R8" s="58" t="s">
        <v>10</v>
      </c>
      <c r="S8" s="60" t="s">
        <v>10</v>
      </c>
      <c r="T8" s="57">
        <f>SUM(E8+H8+K8)</f>
        <v>3862.143116271171</v>
      </c>
      <c r="U8" s="58">
        <f>SUM(F8+I8+L8)</f>
        <v>57932.146744067621</v>
      </c>
    </row>
    <row r="9" spans="1:21" x14ac:dyDescent="0.25">
      <c r="A9" s="55">
        <v>44095</v>
      </c>
      <c r="B9" s="56" t="s">
        <v>21</v>
      </c>
      <c r="C9" s="108">
        <v>-0.8</v>
      </c>
      <c r="D9" s="109">
        <v>0.94236111111111109</v>
      </c>
      <c r="E9" s="57">
        <f>Effort!F7</f>
        <v>417.09411956783333</v>
      </c>
      <c r="F9" s="58">
        <f>Harvest!F7</f>
        <v>6256.4117935175</v>
      </c>
      <c r="G9" s="59">
        <f>+CPUE!F7</f>
        <v>15</v>
      </c>
      <c r="H9" s="57">
        <f>Effort!H7</f>
        <v>570.31188676470003</v>
      </c>
      <c r="I9" s="58">
        <f>Harvest!H7</f>
        <v>8554.6783014715493</v>
      </c>
      <c r="J9" s="59">
        <f>CPUE!H7</f>
        <v>15.000000000001839</v>
      </c>
      <c r="K9" s="57" t="str">
        <f>Effort!J7</f>
        <v>CLOSED</v>
      </c>
      <c r="L9" s="58" t="str">
        <f>Harvest!J7</f>
        <v>CLOSED</v>
      </c>
      <c r="M9" s="59" t="str">
        <f>CPUE!J7</f>
        <v>CLOSED</v>
      </c>
      <c r="N9" s="57">
        <f>Effort!L7</f>
        <v>356.48742882364201</v>
      </c>
      <c r="O9" s="58">
        <f>Harvest!L7</f>
        <v>5347.3114323546397</v>
      </c>
      <c r="P9" s="59">
        <f>CPUE!L7</f>
        <v>15.000000000000027</v>
      </c>
      <c r="Q9" s="57" t="s">
        <v>10</v>
      </c>
      <c r="R9" s="58" t="s">
        <v>10</v>
      </c>
      <c r="S9" s="60" t="s">
        <v>10</v>
      </c>
      <c r="T9" s="57">
        <f>SUM(E9+H9+N9)</f>
        <v>1343.8934351561754</v>
      </c>
      <c r="U9" s="58">
        <f>SUM(F9+I9+O9)</f>
        <v>20158.401527343689</v>
      </c>
    </row>
    <row r="10" spans="1:21" x14ac:dyDescent="0.25">
      <c r="A10" s="55">
        <v>44096</v>
      </c>
      <c r="B10" s="56" t="s">
        <v>22</v>
      </c>
      <c r="C10" s="108">
        <v>-0.3</v>
      </c>
      <c r="D10" s="109">
        <v>0.98402777777777783</v>
      </c>
      <c r="E10" s="57">
        <f>Effort!F8</f>
        <v>361.9113646909974</v>
      </c>
      <c r="F10" s="58">
        <f>Harvest!F8</f>
        <v>5428.6704703649611</v>
      </c>
      <c r="G10" s="59">
        <f>+CPUE!F8</f>
        <v>15</v>
      </c>
      <c r="H10" s="57">
        <f>Effort!H8</f>
        <v>330.62037227117935</v>
      </c>
      <c r="I10" s="58">
        <f>Harvest!H8</f>
        <v>4959.3055840676898</v>
      </c>
      <c r="J10" s="59">
        <f>CPUE!H8</f>
        <v>15</v>
      </c>
      <c r="K10" s="57">
        <f>Effort!J8</f>
        <v>336.074072134728</v>
      </c>
      <c r="L10" s="58">
        <f>Harvest!J8</f>
        <v>5041.1110820209196</v>
      </c>
      <c r="M10" s="59">
        <f>CPUE!J8</f>
        <v>14.999999999999998</v>
      </c>
      <c r="N10" s="57" t="str">
        <f>Effort!L8</f>
        <v>CLOSED</v>
      </c>
      <c r="O10" s="58" t="str">
        <f>Harvest!L8</f>
        <v>CLOSED</v>
      </c>
      <c r="P10" s="59" t="str">
        <f>CPUE!L8</f>
        <v>CLOSED</v>
      </c>
      <c r="Q10" s="57" t="s">
        <v>10</v>
      </c>
      <c r="R10" s="58" t="s">
        <v>10</v>
      </c>
      <c r="S10" s="60" t="s">
        <v>10</v>
      </c>
      <c r="T10" s="57">
        <f>SUM(E10+H10+K10)</f>
        <v>1028.6058090969047</v>
      </c>
      <c r="U10" s="58">
        <f>SUM(F10+I10+L10)</f>
        <v>15429.087136453571</v>
      </c>
    </row>
    <row r="11" spans="1:21" x14ac:dyDescent="0.25">
      <c r="A11" s="127" t="s">
        <v>57</v>
      </c>
      <c r="B11" s="127"/>
      <c r="C11" s="127"/>
      <c r="D11" s="128"/>
      <c r="E11" s="63">
        <f>SUM(E4:E10)</f>
        <v>12133.705472397156</v>
      </c>
      <c r="F11" s="64">
        <f>SUM(F4:F10)</f>
        <v>182005.62208595729</v>
      </c>
      <c r="G11" s="65">
        <f>+F11/E11</f>
        <v>15.000003296602184</v>
      </c>
      <c r="H11" s="63">
        <f>SUM(H4:H10)</f>
        <v>7943.3173510929573</v>
      </c>
      <c r="I11" s="64">
        <f>SUM(I4:I10)</f>
        <v>119149.76026639578</v>
      </c>
      <c r="J11" s="65">
        <f>+I11/H11</f>
        <v>15.000000000000179</v>
      </c>
      <c r="K11" s="63">
        <f>SUM(K4:K10)</f>
        <v>3953.4852277593759</v>
      </c>
      <c r="L11" s="64">
        <f>SUM(L4:L10)</f>
        <v>59302.278416390538</v>
      </c>
      <c r="M11" s="65">
        <f>+L11/K11</f>
        <v>14.999999999999975</v>
      </c>
      <c r="N11" s="63">
        <f>SUM(N4:N10)</f>
        <v>6372.3184647506941</v>
      </c>
      <c r="O11" s="64">
        <f>SUM(O4:O10)</f>
        <v>95584.776971260027</v>
      </c>
      <c r="P11" s="65">
        <f>+O11/N11</f>
        <v>14.99999999999994</v>
      </c>
      <c r="Q11" s="63"/>
      <c r="R11" s="64"/>
      <c r="S11" s="65"/>
      <c r="T11" s="63">
        <f>SUM(T4:T10)</f>
        <v>30402.826516000183</v>
      </c>
      <c r="U11" s="64">
        <f>SUM(U4:U10)</f>
        <v>456042.43774000357</v>
      </c>
    </row>
    <row r="12" spans="1:21" x14ac:dyDescent="0.25">
      <c r="A12" s="55">
        <v>44120</v>
      </c>
      <c r="B12" s="56" t="s">
        <v>18</v>
      </c>
      <c r="C12" s="108">
        <v>-0.7</v>
      </c>
      <c r="D12" s="109">
        <v>0.79166666666666663</v>
      </c>
      <c r="E12" s="57">
        <f>Effort!F10</f>
        <v>5397.4734653973801</v>
      </c>
      <c r="F12" s="58">
        <f>Harvest!F10</f>
        <v>80962.10198096055</v>
      </c>
      <c r="G12" s="59">
        <f>+CPUE!F10</f>
        <v>14.999999999999972</v>
      </c>
      <c r="H12" s="57">
        <f>Effort!H10</f>
        <v>3106.8272373915302</v>
      </c>
      <c r="I12" s="58">
        <f>Harvest!H10</f>
        <v>46715.3840967781</v>
      </c>
      <c r="J12" s="59">
        <f>CPUE!H10</f>
        <v>15.036363636363637</v>
      </c>
      <c r="K12" s="57" t="str">
        <f>Effort!J10</f>
        <v>CLOSED</v>
      </c>
      <c r="L12" s="58" t="str">
        <f>Harvest!J10</f>
        <v>CLOSED</v>
      </c>
      <c r="M12" s="59" t="str">
        <f>CPUE!J10</f>
        <v>CLOSED</v>
      </c>
      <c r="N12" s="57">
        <f>Effort!L10</f>
        <v>5030.7330321261597</v>
      </c>
      <c r="O12" s="58">
        <f>Harvest!L10</f>
        <v>75460.995481892503</v>
      </c>
      <c r="P12" s="59">
        <f>CPUE!L10</f>
        <v>15.000000000000021</v>
      </c>
      <c r="Q12" s="57" t="s">
        <v>10</v>
      </c>
      <c r="R12" s="58" t="s">
        <v>10</v>
      </c>
      <c r="S12" s="60" t="s">
        <v>10</v>
      </c>
      <c r="T12" s="57">
        <f>SUM(E12+H12+N12)</f>
        <v>13535.03373491507</v>
      </c>
      <c r="U12" s="58">
        <f>SUM(F12+I12+O12)</f>
        <v>203138.48155963115</v>
      </c>
    </row>
    <row r="13" spans="1:21" x14ac:dyDescent="0.25">
      <c r="A13" s="55">
        <v>44121</v>
      </c>
      <c r="B13" s="56" t="s">
        <v>19</v>
      </c>
      <c r="C13" s="108">
        <v>-1.3</v>
      </c>
      <c r="D13" s="109">
        <v>0.82430555555555562</v>
      </c>
      <c r="E13" s="57">
        <f>Effort!F11</f>
        <v>9679.8818808432334</v>
      </c>
      <c r="F13" s="58">
        <f>Harvest!F11</f>
        <v>145198.22821264851</v>
      </c>
      <c r="G13" s="59">
        <f>+CPUE!F11</f>
        <v>15</v>
      </c>
      <c r="H13" s="57">
        <f>Effort!H11</f>
        <v>5583.6030221033798</v>
      </c>
      <c r="I13" s="58">
        <f>Harvest!H11</f>
        <v>83754.045331550704</v>
      </c>
      <c r="J13" s="59">
        <f>CPUE!H11</f>
        <v>15.000000000000002</v>
      </c>
      <c r="K13" s="57">
        <f>Effort!J11</f>
        <v>10126.8329618631</v>
      </c>
      <c r="L13" s="58">
        <f>Harvest!J11</f>
        <v>151902.49442794599</v>
      </c>
      <c r="M13" s="59">
        <f>CPUE!J11</f>
        <v>14.99999999999995</v>
      </c>
      <c r="N13" s="57" t="str">
        <f>Effort!L11</f>
        <v>CLOSED</v>
      </c>
      <c r="O13" s="58" t="str">
        <f>Harvest!L11</f>
        <v>CLOSED</v>
      </c>
      <c r="P13" s="59" t="str">
        <f>CPUE!L11</f>
        <v>CLOSED</v>
      </c>
      <c r="Q13" s="57" t="s">
        <v>10</v>
      </c>
      <c r="R13" s="58" t="s">
        <v>10</v>
      </c>
      <c r="S13" s="60" t="s">
        <v>10</v>
      </c>
      <c r="T13" s="57">
        <f>SUM(E13+H13+K13)</f>
        <v>25390.317864809713</v>
      </c>
      <c r="U13" s="58">
        <f>SUM(F13+I13+L13)</f>
        <v>380854.76797214523</v>
      </c>
    </row>
    <row r="14" spans="1:21" x14ac:dyDescent="0.25">
      <c r="A14" s="55">
        <v>44122</v>
      </c>
      <c r="B14" s="56" t="s">
        <v>20</v>
      </c>
      <c r="C14" s="108">
        <v>-1.5</v>
      </c>
      <c r="D14" s="109">
        <v>0.85763888888888884</v>
      </c>
      <c r="E14" s="57">
        <f>Effort!F12</f>
        <v>3054.9615237833891</v>
      </c>
      <c r="F14" s="58">
        <f>Harvest!F12</f>
        <v>45824.42285675084</v>
      </c>
      <c r="G14" s="59">
        <f>+CPUE!F12</f>
        <v>15</v>
      </c>
      <c r="H14" s="57">
        <f>Effort!H12</f>
        <v>1758.459348085853</v>
      </c>
      <c r="I14" s="58">
        <f>Harvest!H12</f>
        <v>26376.890221287795</v>
      </c>
      <c r="J14" s="59">
        <f>CPUE!H12</f>
        <v>15</v>
      </c>
      <c r="K14" s="57" t="str">
        <f>Effort!J12</f>
        <v>CLOSED</v>
      </c>
      <c r="L14" s="58" t="str">
        <f>Harvest!J12</f>
        <v>CLOSED</v>
      </c>
      <c r="M14" s="59" t="str">
        <f>CPUE!J12</f>
        <v>CLOSED</v>
      </c>
      <c r="N14" s="57">
        <f>Effort!L12</f>
        <v>2847.3870132199099</v>
      </c>
      <c r="O14" s="58">
        <f>Harvest!L12</f>
        <v>42710.805198298702</v>
      </c>
      <c r="P14" s="59">
        <f>CPUE!L12</f>
        <v>15.000000000000018</v>
      </c>
      <c r="Q14" s="57" t="s">
        <v>10</v>
      </c>
      <c r="R14" s="58" t="s">
        <v>10</v>
      </c>
      <c r="S14" s="60" t="s">
        <v>10</v>
      </c>
      <c r="T14" s="57">
        <f>SUM(E14+H14+N14)</f>
        <v>7660.8078850891525</v>
      </c>
      <c r="U14" s="58">
        <f>SUM(F14+I14+O14)</f>
        <v>114912.11827633734</v>
      </c>
    </row>
    <row r="15" spans="1:21" x14ac:dyDescent="0.25">
      <c r="A15" s="55">
        <v>44123</v>
      </c>
      <c r="B15" s="56" t="s">
        <v>21</v>
      </c>
      <c r="C15" s="108">
        <v>-1.4</v>
      </c>
      <c r="D15" s="109">
        <v>0.89166666666666661</v>
      </c>
      <c r="E15" s="57">
        <f>Effort!F13</f>
        <v>1048.4480157171597</v>
      </c>
      <c r="F15" s="58">
        <f>Harvest!F13</f>
        <v>15726.720235757395</v>
      </c>
      <c r="G15" s="59">
        <f>+CPUE!F13</f>
        <v>15</v>
      </c>
      <c r="H15" s="57">
        <f>Effort!H13</f>
        <v>604.77158514321263</v>
      </c>
      <c r="I15" s="58">
        <f>Harvest!H13</f>
        <v>9071.573777148189</v>
      </c>
      <c r="J15" s="59">
        <f>CPUE!H13</f>
        <v>15</v>
      </c>
      <c r="K15" s="57">
        <f>Effort!J13</f>
        <v>1096.8582111912699</v>
      </c>
      <c r="L15" s="58">
        <f>Harvest!J13</f>
        <v>16452.873167868998</v>
      </c>
      <c r="M15" s="59">
        <f>CPUE!J13</f>
        <v>14.999999999999954</v>
      </c>
      <c r="N15" s="57" t="str">
        <f>Effort!L13</f>
        <v>CLOSED</v>
      </c>
      <c r="O15" s="58" t="str">
        <f>Harvest!L13</f>
        <v>CLOSED</v>
      </c>
      <c r="P15" s="59" t="str">
        <f>CPUE!L13</f>
        <v>CLOSED</v>
      </c>
      <c r="Q15" s="57" t="s">
        <v>10</v>
      </c>
      <c r="R15" s="58" t="s">
        <v>10</v>
      </c>
      <c r="S15" s="60" t="s">
        <v>10</v>
      </c>
      <c r="T15" s="57">
        <f>SUM(E15+H15+K15)</f>
        <v>2750.0778120516425</v>
      </c>
      <c r="U15" s="58">
        <f>SUM(F15+I15+L15)</f>
        <v>41251.167180774588</v>
      </c>
    </row>
    <row r="16" spans="1:21" x14ac:dyDescent="0.25">
      <c r="A16" s="55">
        <v>44124</v>
      </c>
      <c r="B16" s="56" t="s">
        <v>22</v>
      </c>
      <c r="C16" s="108">
        <v>-1</v>
      </c>
      <c r="D16" s="109">
        <v>0.9277777777777777</v>
      </c>
      <c r="E16" s="57">
        <f>Effort!F14</f>
        <v>705.39376154323475</v>
      </c>
      <c r="F16" s="58">
        <f>Harvest!F14</f>
        <v>10580.906423148521</v>
      </c>
      <c r="G16" s="59">
        <f>+CPUE!F14</f>
        <v>15</v>
      </c>
      <c r="H16" s="57">
        <f>Effort!H14</f>
        <v>406.03007416308611</v>
      </c>
      <c r="I16" s="58">
        <f>Harvest!H14</f>
        <v>6090.4511124462915</v>
      </c>
      <c r="J16" s="59">
        <f>CPUE!H14</f>
        <v>15</v>
      </c>
      <c r="K16" s="57" t="str">
        <f>Effort!J14</f>
        <v>CLOSED</v>
      </c>
      <c r="L16" s="58" t="str">
        <f>Harvest!J14</f>
        <v>CLOSED</v>
      </c>
      <c r="M16" s="59" t="str">
        <f>CPUE!J14</f>
        <v>CLOSED</v>
      </c>
      <c r="N16" s="57">
        <f>Effort!L14</f>
        <v>657.46459331412598</v>
      </c>
      <c r="O16" s="58">
        <f>Harvest!L14</f>
        <v>9861.9688997118792</v>
      </c>
      <c r="P16" s="59">
        <f>CPUE!L14</f>
        <v>14.999999999999984</v>
      </c>
      <c r="Q16" s="57" t="s">
        <v>10</v>
      </c>
      <c r="R16" s="58" t="s">
        <v>10</v>
      </c>
      <c r="S16" s="60" t="s">
        <v>10</v>
      </c>
      <c r="T16" s="57">
        <f>SUM(E16+H16+N16)</f>
        <v>1768.8884290204469</v>
      </c>
      <c r="U16" s="58">
        <f>SUM(F16+I16+O16)</f>
        <v>26533.326435306692</v>
      </c>
    </row>
    <row r="17" spans="1:21" x14ac:dyDescent="0.25">
      <c r="A17" s="55">
        <v>44125</v>
      </c>
      <c r="B17" s="56" t="s">
        <v>23</v>
      </c>
      <c r="C17" s="108">
        <v>-0.5</v>
      </c>
      <c r="D17" s="109">
        <v>0.96666666666666667</v>
      </c>
      <c r="E17" s="57" t="str">
        <f>Effort!F15</f>
        <v>CLOSED</v>
      </c>
      <c r="F17" s="58" t="str">
        <f>Harvest!F15</f>
        <v>CLOSED</v>
      </c>
      <c r="G17" s="59" t="str">
        <f>+CPUE!F15</f>
        <v>CLOSED</v>
      </c>
      <c r="H17" s="57" t="str">
        <f>Effort!H15</f>
        <v>CLOSED</v>
      </c>
      <c r="I17" s="58" t="str">
        <f>Harvest!H15</f>
        <v>CLOSED</v>
      </c>
      <c r="J17" s="59" t="str">
        <f>CPUE!H15</f>
        <v>CLOSED</v>
      </c>
      <c r="K17" s="57" t="str">
        <f>Effort!J15</f>
        <v>CLOSED</v>
      </c>
      <c r="L17" s="58" t="str">
        <f>Harvest!J15</f>
        <v>CLOSED</v>
      </c>
      <c r="M17" s="59" t="str">
        <f>CPUE!J15</f>
        <v>CLOSED</v>
      </c>
      <c r="N17" s="57" t="str">
        <f>Effort!L15</f>
        <v>CLOSED</v>
      </c>
      <c r="O17" s="58" t="str">
        <f>Harvest!L15</f>
        <v>CLOSED</v>
      </c>
      <c r="P17" s="59" t="str">
        <f>CPUE!L15</f>
        <v>CLOSED</v>
      </c>
      <c r="Q17" s="57" t="s">
        <v>10</v>
      </c>
      <c r="R17" s="58" t="s">
        <v>10</v>
      </c>
      <c r="S17" s="60" t="s">
        <v>10</v>
      </c>
      <c r="T17" s="57">
        <v>0</v>
      </c>
      <c r="U17" s="58">
        <v>0</v>
      </c>
    </row>
    <row r="18" spans="1:21" x14ac:dyDescent="0.25">
      <c r="A18" s="127" t="s">
        <v>57</v>
      </c>
      <c r="B18" s="127"/>
      <c r="C18" s="127"/>
      <c r="D18" s="128"/>
      <c r="E18" s="63">
        <f>SUM(E12:E17)</f>
        <v>19886.158647284396</v>
      </c>
      <c r="F18" s="64">
        <f>SUM(F12:F17)</f>
        <v>298292.37970926584</v>
      </c>
      <c r="G18" s="65">
        <f>+F18/E18</f>
        <v>14.999999999999995</v>
      </c>
      <c r="H18" s="63">
        <f>SUM(H12:H17)</f>
        <v>11459.691266887061</v>
      </c>
      <c r="I18" s="64">
        <f>SUM(I12:I17)</f>
        <v>172008.34453921107</v>
      </c>
      <c r="J18" s="65">
        <f>+I18/H18</f>
        <v>15.009858514795386</v>
      </c>
      <c r="K18" s="63">
        <f>SUM(K12:K17)</f>
        <v>11223.691173054369</v>
      </c>
      <c r="L18" s="64">
        <f>SUM(L12:L17)</f>
        <v>168355.36759581498</v>
      </c>
      <c r="M18" s="65">
        <f>+L18/K18</f>
        <v>14.99999999999995</v>
      </c>
      <c r="N18" s="63">
        <f>SUM(N12:N17)</f>
        <v>8535.5846386601952</v>
      </c>
      <c r="O18" s="64">
        <f>SUM(O12:O17)</f>
        <v>128033.76957990308</v>
      </c>
      <c r="P18" s="65">
        <f>+O18/N18</f>
        <v>15.000000000000018</v>
      </c>
      <c r="Q18" s="63"/>
      <c r="R18" s="64"/>
      <c r="S18" s="65"/>
      <c r="T18" s="63">
        <f>SUM(T12:T17)</f>
        <v>51105.125725886021</v>
      </c>
      <c r="U18" s="64">
        <f>SUM(U12:U17)</f>
        <v>766689.86142419511</v>
      </c>
    </row>
    <row r="19" spans="1:21" x14ac:dyDescent="0.25">
      <c r="A19" s="55">
        <v>44331</v>
      </c>
      <c r="B19" s="56" t="s">
        <v>19</v>
      </c>
      <c r="C19" s="108">
        <v>-0.5</v>
      </c>
      <c r="D19" s="109">
        <v>0.39999999999999997</v>
      </c>
      <c r="E19" s="57" t="str">
        <f>Effort!F17</f>
        <v>CLOSED</v>
      </c>
      <c r="F19" s="58" t="str">
        <f>Harvest!F17</f>
        <v>CLOSED</v>
      </c>
      <c r="G19" s="59" t="str">
        <f>+CPUE!F17</f>
        <v>CLOSED</v>
      </c>
      <c r="H19" s="57" t="str">
        <f>Effort!H17</f>
        <v>CLOSED</v>
      </c>
      <c r="I19" s="58" t="str">
        <f>Harvest!H17</f>
        <v>CLOSED</v>
      </c>
      <c r="J19" s="59" t="str">
        <f>CPUE!H17</f>
        <v>CLOSED</v>
      </c>
      <c r="K19" s="57" t="str">
        <f>Effort!J17</f>
        <v>CLOSED</v>
      </c>
      <c r="L19" s="58" t="str">
        <f>Harvest!J17</f>
        <v>CLOSED</v>
      </c>
      <c r="M19" s="59" t="str">
        <f>CPUE!J17</f>
        <v>CLOSED</v>
      </c>
      <c r="N19" s="57">
        <f>Effort!L17</f>
        <v>7507</v>
      </c>
      <c r="O19" s="58">
        <f>Harvest!L17</f>
        <v>112607</v>
      </c>
      <c r="P19" s="59">
        <f>CPUE!L17</f>
        <v>15</v>
      </c>
      <c r="Q19" s="57" t="s">
        <v>10</v>
      </c>
      <c r="R19" s="58" t="s">
        <v>10</v>
      </c>
      <c r="S19" s="60" t="s">
        <v>10</v>
      </c>
      <c r="T19" s="57">
        <v>7507</v>
      </c>
      <c r="U19" s="58">
        <v>112607</v>
      </c>
    </row>
    <row r="20" spans="1:21" x14ac:dyDescent="0.25">
      <c r="A20" s="55">
        <v>44332</v>
      </c>
      <c r="B20" s="56" t="s">
        <v>20</v>
      </c>
      <c r="C20" s="108">
        <v>-0.3</v>
      </c>
      <c r="D20" s="109">
        <v>0.4284722222222222</v>
      </c>
      <c r="E20" s="57" t="str">
        <f>Effort!F18</f>
        <v>CLOSED</v>
      </c>
      <c r="F20" s="58" t="str">
        <f>Harvest!F18</f>
        <v>CLOSED</v>
      </c>
      <c r="G20" s="59" t="str">
        <f>+CPUE!F18</f>
        <v>CLOSED</v>
      </c>
      <c r="H20" s="57" t="str">
        <f>Effort!H18</f>
        <v>CLOSED</v>
      </c>
      <c r="I20" s="58" t="str">
        <f>Harvest!H18</f>
        <v>CLOSED</v>
      </c>
      <c r="J20" s="59" t="str">
        <f>CPUE!H18</f>
        <v>CLOSED</v>
      </c>
      <c r="K20" s="57" t="str">
        <f>Effort!J18</f>
        <v>CLOSED</v>
      </c>
      <c r="L20" s="58" t="str">
        <f>Harvest!J18</f>
        <v>CLOSED</v>
      </c>
      <c r="M20" s="59" t="str">
        <f>CPUE!J18</f>
        <v>CLOSED</v>
      </c>
      <c r="N20" s="57" t="str">
        <f>Effort!L18</f>
        <v>CLOSED</v>
      </c>
      <c r="O20" s="58" t="str">
        <f>Harvest!L18</f>
        <v>CLOSED</v>
      </c>
      <c r="P20" s="59" t="str">
        <f>CPUE!L18</f>
        <v>CLOSED</v>
      </c>
      <c r="Q20" s="57" t="s">
        <v>10</v>
      </c>
      <c r="R20" s="58" t="s">
        <v>10</v>
      </c>
      <c r="S20" s="60" t="s">
        <v>10</v>
      </c>
      <c r="T20" s="57">
        <v>0</v>
      </c>
      <c r="U20" s="58">
        <v>0</v>
      </c>
    </row>
    <row r="21" spans="1:21" x14ac:dyDescent="0.25">
      <c r="A21" s="55">
        <v>44333</v>
      </c>
      <c r="B21" s="56" t="s">
        <v>21</v>
      </c>
      <c r="C21" s="108">
        <v>-0.1</v>
      </c>
      <c r="D21" s="109">
        <v>0.4604166666666667</v>
      </c>
      <c r="E21" s="57" t="str">
        <f>Effort!F19</f>
        <v>CLOSED</v>
      </c>
      <c r="F21" s="58" t="str">
        <f>Harvest!F19</f>
        <v>CLOSED</v>
      </c>
      <c r="G21" s="59" t="str">
        <f>+CPUE!F19</f>
        <v>CLOSED</v>
      </c>
      <c r="H21" s="57" t="str">
        <f>Effort!H19</f>
        <v>CLOSED</v>
      </c>
      <c r="I21" s="58" t="str">
        <f>Harvest!H19</f>
        <v>CLOSED</v>
      </c>
      <c r="J21" s="59" t="str">
        <f>CPUE!H19</f>
        <v>CLOSED</v>
      </c>
      <c r="K21" s="57" t="str">
        <f>Effort!J19</f>
        <v>CLOSED</v>
      </c>
      <c r="L21" s="58" t="str">
        <f>Harvest!J19</f>
        <v>CLOSED</v>
      </c>
      <c r="M21" s="59" t="str">
        <f>CPUE!J19</f>
        <v>CLOSED</v>
      </c>
      <c r="N21" s="57">
        <f>Effort!L19</f>
        <v>4661</v>
      </c>
      <c r="O21" s="58">
        <f>Harvest!L19</f>
        <v>69921</v>
      </c>
      <c r="P21" s="59">
        <f>CPUE!L19</f>
        <v>15</v>
      </c>
      <c r="Q21" s="57" t="s">
        <v>10</v>
      </c>
      <c r="R21" s="58" t="s">
        <v>10</v>
      </c>
      <c r="S21" s="60" t="s">
        <v>10</v>
      </c>
      <c r="T21" s="57">
        <v>4661</v>
      </c>
      <c r="U21" s="58">
        <v>69921</v>
      </c>
    </row>
    <row r="22" spans="1:21" x14ac:dyDescent="0.25">
      <c r="A22" s="127" t="s">
        <v>57</v>
      </c>
      <c r="B22" s="127"/>
      <c r="C22" s="127"/>
      <c r="D22" s="128"/>
      <c r="E22" s="63"/>
      <c r="F22" s="64"/>
      <c r="G22" s="65"/>
      <c r="H22" s="63"/>
      <c r="I22" s="64"/>
      <c r="J22" s="65"/>
      <c r="K22" s="63"/>
      <c r="L22" s="64"/>
      <c r="M22" s="65"/>
      <c r="N22" s="63">
        <f>SUM(N19:N21)</f>
        <v>12168</v>
      </c>
      <c r="O22" s="64">
        <f>SUM(O19:O21)</f>
        <v>182528</v>
      </c>
      <c r="P22" s="65">
        <f>+O22/N22</f>
        <v>15.000657462195925</v>
      </c>
      <c r="Q22" s="63"/>
      <c r="R22" s="64"/>
      <c r="S22" s="65"/>
      <c r="T22" s="63">
        <f>SUM(T19:T21)</f>
        <v>12168</v>
      </c>
      <c r="U22" s="64">
        <f>SUM(U19:U21)</f>
        <v>182528</v>
      </c>
    </row>
    <row r="23" spans="1:21" x14ac:dyDescent="0.25">
      <c r="A23" s="55">
        <v>44340</v>
      </c>
      <c r="B23" s="56" t="s">
        <v>21</v>
      </c>
      <c r="C23" s="108">
        <v>-0.7</v>
      </c>
      <c r="D23" s="109">
        <v>0.23055555555555554</v>
      </c>
      <c r="E23" s="57" t="str">
        <f>Effort!F21</f>
        <v>CLOSED</v>
      </c>
      <c r="F23" s="58" t="str">
        <f>Harvest!F21</f>
        <v>CLOSED</v>
      </c>
      <c r="G23" s="59" t="str">
        <f>+CPUE!F21</f>
        <v>CLOSED</v>
      </c>
      <c r="H23" s="57" t="str">
        <f>Effort!H21</f>
        <v>CLOSED</v>
      </c>
      <c r="I23" s="58" t="str">
        <f>Harvest!H21</f>
        <v>CLOSED</v>
      </c>
      <c r="J23" s="59" t="str">
        <f>CPUE!H21</f>
        <v>CLOSED</v>
      </c>
      <c r="K23" s="57" t="str">
        <f>Effort!J21</f>
        <v>CLOSED</v>
      </c>
      <c r="L23" s="58" t="str">
        <f>Harvest!J21</f>
        <v>CLOSED</v>
      </c>
      <c r="M23" s="59" t="str">
        <f>CPUE!J21</f>
        <v>CLOSED</v>
      </c>
      <c r="N23" s="57">
        <f>Effort!L21</f>
        <v>455.04585762495901</v>
      </c>
      <c r="O23" s="58">
        <f>Harvest!L21</f>
        <v>6825.6878643743903</v>
      </c>
      <c r="P23" s="59">
        <f>CPUE!L21</f>
        <v>15</v>
      </c>
      <c r="Q23" s="57" t="s">
        <v>10</v>
      </c>
      <c r="R23" s="58" t="s">
        <v>10</v>
      </c>
      <c r="S23" s="60" t="s">
        <v>10</v>
      </c>
      <c r="T23" s="57">
        <v>455</v>
      </c>
      <c r="U23" s="58">
        <v>6826</v>
      </c>
    </row>
    <row r="24" spans="1:21" x14ac:dyDescent="0.25">
      <c r="A24" s="55">
        <v>44341</v>
      </c>
      <c r="B24" s="56" t="s">
        <v>22</v>
      </c>
      <c r="C24" s="108">
        <v>-1.6</v>
      </c>
      <c r="D24" s="109">
        <v>0.26458333333333334</v>
      </c>
      <c r="E24" s="57" t="str">
        <f>Effort!F22</f>
        <v>CLOSED</v>
      </c>
      <c r="F24" s="58" t="str">
        <f>Harvest!F22</f>
        <v>CLOSED</v>
      </c>
      <c r="G24" s="59" t="str">
        <f>+CPUE!F22</f>
        <v>CLOSED</v>
      </c>
      <c r="H24" s="57" t="str">
        <f>Effort!H22</f>
        <v>CLOSED</v>
      </c>
      <c r="I24" s="58" t="str">
        <f>Harvest!H22</f>
        <v>CLOSED</v>
      </c>
      <c r="J24" s="59" t="str">
        <f>CPUE!H22</f>
        <v>CLOSED</v>
      </c>
      <c r="K24" s="57" t="str">
        <f>Effort!J22</f>
        <v>CLOSED</v>
      </c>
      <c r="L24" s="58" t="str">
        <f>Harvest!J22</f>
        <v>CLOSED</v>
      </c>
      <c r="M24" s="59" t="str">
        <f>CPUE!J22</f>
        <v>CLOSED</v>
      </c>
      <c r="N24" s="57" t="str">
        <f>Effort!L22</f>
        <v>CLOSED</v>
      </c>
      <c r="O24" s="58" t="str">
        <f>Harvest!L22</f>
        <v>CLOSED</v>
      </c>
      <c r="P24" s="59" t="str">
        <f>CPUE!L22</f>
        <v>CLOSED</v>
      </c>
      <c r="Q24" s="57" t="s">
        <v>10</v>
      </c>
      <c r="R24" s="58" t="s">
        <v>10</v>
      </c>
      <c r="S24" s="60" t="s">
        <v>10</v>
      </c>
      <c r="T24" s="57">
        <v>0</v>
      </c>
      <c r="U24" s="58">
        <v>0</v>
      </c>
    </row>
    <row r="25" spans="1:21" x14ac:dyDescent="0.25">
      <c r="A25" s="55">
        <v>44342</v>
      </c>
      <c r="B25" s="56" t="s">
        <v>23</v>
      </c>
      <c r="C25" s="108">
        <v>-2.2999999999999998</v>
      </c>
      <c r="D25" s="109">
        <v>0.29791666666666666</v>
      </c>
      <c r="E25" s="57" t="str">
        <f>Effort!F23</f>
        <v>CLOSED</v>
      </c>
      <c r="F25" s="58" t="str">
        <f>Harvest!F23</f>
        <v>CLOSED</v>
      </c>
      <c r="G25" s="59" t="str">
        <f>+CPUE!F23</f>
        <v>CLOSED</v>
      </c>
      <c r="H25" s="57" t="str">
        <f>Effort!H23</f>
        <v>CLOSED</v>
      </c>
      <c r="I25" s="58" t="str">
        <f>Harvest!H23</f>
        <v>CLOSED</v>
      </c>
      <c r="J25" s="59" t="str">
        <f>CPUE!H23</f>
        <v>CLOSED</v>
      </c>
      <c r="K25" s="57" t="str">
        <f>Effort!J23</f>
        <v>CLOSED</v>
      </c>
      <c r="L25" s="58" t="str">
        <f>Harvest!J23</f>
        <v>CLOSED</v>
      </c>
      <c r="M25" s="59" t="str">
        <f>CPUE!J23</f>
        <v>CLOSED</v>
      </c>
      <c r="N25" s="57">
        <f>Effort!L23</f>
        <v>2185.1179711141399</v>
      </c>
      <c r="O25" s="58">
        <f>Harvest!L23</f>
        <v>32776.769566712101</v>
      </c>
      <c r="P25" s="59">
        <f>CPUE!L23</f>
        <v>15</v>
      </c>
      <c r="Q25" s="57" t="s">
        <v>10</v>
      </c>
      <c r="R25" s="58" t="s">
        <v>10</v>
      </c>
      <c r="S25" s="60" t="s">
        <v>10</v>
      </c>
      <c r="T25" s="57">
        <v>2185</v>
      </c>
      <c r="U25" s="58">
        <v>32777</v>
      </c>
    </row>
    <row r="26" spans="1:21" x14ac:dyDescent="0.25">
      <c r="A26" s="55">
        <v>44343</v>
      </c>
      <c r="B26" s="56" t="s">
        <v>24</v>
      </c>
      <c r="C26" s="108">
        <v>-2.5</v>
      </c>
      <c r="D26" s="109">
        <v>0.33124999999999999</v>
      </c>
      <c r="E26" s="57" t="str">
        <f>Effort!F24</f>
        <v>CLOSED</v>
      </c>
      <c r="F26" s="58" t="str">
        <f>Harvest!F24</f>
        <v>CLOSED</v>
      </c>
      <c r="G26" s="59" t="str">
        <f>+CPUE!F24</f>
        <v>CLOSED</v>
      </c>
      <c r="H26" s="57" t="str">
        <f>Effort!H24</f>
        <v>CLOSED</v>
      </c>
      <c r="I26" s="58" t="str">
        <f>Harvest!H24</f>
        <v>CLOSED</v>
      </c>
      <c r="J26" s="59" t="str">
        <f>CPUE!H24</f>
        <v>CLOSED</v>
      </c>
      <c r="K26" s="57" t="str">
        <f>Effort!J24</f>
        <v>CLOSED</v>
      </c>
      <c r="L26" s="58" t="str">
        <f>Harvest!J24</f>
        <v>CLOSED</v>
      </c>
      <c r="M26" s="59" t="str">
        <f>CPUE!J24</f>
        <v>CLOSED</v>
      </c>
      <c r="N26" s="57" t="str">
        <f>Effort!L24</f>
        <v>CLOSED</v>
      </c>
      <c r="O26" s="58" t="str">
        <f>Harvest!L24</f>
        <v>CLOSED</v>
      </c>
      <c r="P26" s="59" t="str">
        <f>CPUE!L24</f>
        <v>CLOSED</v>
      </c>
      <c r="Q26" s="57" t="s">
        <v>10</v>
      </c>
      <c r="R26" s="58" t="s">
        <v>10</v>
      </c>
      <c r="S26" s="60" t="s">
        <v>10</v>
      </c>
      <c r="T26" s="57">
        <v>0</v>
      </c>
      <c r="U26" s="58">
        <v>0</v>
      </c>
    </row>
    <row r="27" spans="1:21" x14ac:dyDescent="0.25">
      <c r="A27" s="55">
        <v>44344</v>
      </c>
      <c r="B27" s="56" t="s">
        <v>18</v>
      </c>
      <c r="C27" s="108">
        <v>-2.5</v>
      </c>
      <c r="D27" s="109">
        <v>0.36527777777777781</v>
      </c>
      <c r="E27" s="57" t="str">
        <f>Effort!F25</f>
        <v>CLOSED</v>
      </c>
      <c r="F27" s="58" t="str">
        <f>Harvest!F25</f>
        <v>CLOSED</v>
      </c>
      <c r="G27" s="59" t="str">
        <f>+CPUE!F25</f>
        <v>CLOSED</v>
      </c>
      <c r="H27" s="57" t="str">
        <f>Effort!H25</f>
        <v>CLOSED</v>
      </c>
      <c r="I27" s="58" t="str">
        <f>Harvest!H25</f>
        <v>CLOSED</v>
      </c>
      <c r="J27" s="59" t="str">
        <f>CPUE!H25</f>
        <v>CLOSED</v>
      </c>
      <c r="K27" s="57" t="str">
        <f>Effort!J25</f>
        <v>CLOSED</v>
      </c>
      <c r="L27" s="58" t="str">
        <f>Harvest!J25</f>
        <v>CLOSED</v>
      </c>
      <c r="M27" s="59" t="str">
        <f>CPUE!J25</f>
        <v>CLOSED</v>
      </c>
      <c r="N27" s="57">
        <f>Effort!L25</f>
        <v>4767.2726239448803</v>
      </c>
      <c r="O27" s="58">
        <f>Harvest!L25</f>
        <v>71509.0893591731</v>
      </c>
      <c r="P27" s="59">
        <f>CPUE!L25</f>
        <v>15</v>
      </c>
      <c r="Q27" s="57" t="s">
        <v>10</v>
      </c>
      <c r="R27" s="58" t="s">
        <v>10</v>
      </c>
      <c r="S27" s="60" t="s">
        <v>10</v>
      </c>
      <c r="T27" s="57">
        <v>4767</v>
      </c>
      <c r="U27" s="58">
        <v>71509</v>
      </c>
    </row>
    <row r="28" spans="1:21" x14ac:dyDescent="0.25">
      <c r="A28" s="55">
        <v>44345</v>
      </c>
      <c r="B28" s="56" t="s">
        <v>19</v>
      </c>
      <c r="C28" s="108">
        <v>-2.2000000000000002</v>
      </c>
      <c r="D28" s="109">
        <v>0.39930555555555558</v>
      </c>
      <c r="E28" s="57" t="str">
        <f>Effort!F26</f>
        <v>CLOSED</v>
      </c>
      <c r="F28" s="58" t="str">
        <f>Harvest!F26</f>
        <v>CLOSED</v>
      </c>
      <c r="G28" s="59" t="str">
        <f>+CPUE!F26</f>
        <v>CLOSED</v>
      </c>
      <c r="H28" s="57" t="str">
        <f>Effort!H26</f>
        <v>CLOSED</v>
      </c>
      <c r="I28" s="58" t="str">
        <f>Harvest!H26</f>
        <v>CLOSED</v>
      </c>
      <c r="J28" s="59" t="str">
        <f>CPUE!H26</f>
        <v>CLOSED</v>
      </c>
      <c r="K28" s="57" t="str">
        <f>Effort!J26</f>
        <v>CLOSED</v>
      </c>
      <c r="L28" s="58" t="str">
        <f>Harvest!J26</f>
        <v>CLOSED</v>
      </c>
      <c r="M28" s="59" t="str">
        <f>CPUE!J26</f>
        <v>CLOSED</v>
      </c>
      <c r="N28" s="57" t="str">
        <f>Effort!L26</f>
        <v>CLOSED</v>
      </c>
      <c r="O28" s="58" t="str">
        <f>Harvest!L26</f>
        <v>CLOSED</v>
      </c>
      <c r="P28" s="59" t="str">
        <f>CPUE!L26</f>
        <v>CLOSED</v>
      </c>
      <c r="Q28" s="57" t="s">
        <v>10</v>
      </c>
      <c r="R28" s="58" t="s">
        <v>10</v>
      </c>
      <c r="S28" s="60" t="s">
        <v>10</v>
      </c>
      <c r="T28" s="57">
        <v>0</v>
      </c>
      <c r="U28" s="58">
        <v>0</v>
      </c>
    </row>
    <row r="29" spans="1:21" x14ac:dyDescent="0.25">
      <c r="A29" s="55">
        <v>44346</v>
      </c>
      <c r="B29" s="56" t="s">
        <v>20</v>
      </c>
      <c r="C29" s="108">
        <v>-1.6</v>
      </c>
      <c r="D29" s="109">
        <v>0.43472222222222223</v>
      </c>
      <c r="E29" s="57" t="str">
        <f>Effort!F27</f>
        <v>CLOSED</v>
      </c>
      <c r="F29" s="58" t="str">
        <f>Harvest!F27</f>
        <v>CLOSED</v>
      </c>
      <c r="G29" s="59" t="str">
        <f>+CPUE!F27</f>
        <v>CLOSED</v>
      </c>
      <c r="H29" s="57" t="str">
        <f>Effort!H27</f>
        <v>CLOSED</v>
      </c>
      <c r="I29" s="58" t="str">
        <f>Harvest!H27</f>
        <v>CLOSED</v>
      </c>
      <c r="J29" s="59" t="str">
        <f>CPUE!H27</f>
        <v>CLOSED</v>
      </c>
      <c r="K29" s="57" t="str">
        <f>Effort!J27</f>
        <v>CLOSED</v>
      </c>
      <c r="L29" s="58" t="str">
        <f>Harvest!J27</f>
        <v>CLOSED</v>
      </c>
      <c r="M29" s="59" t="str">
        <f>CPUE!J27</f>
        <v>CLOSED</v>
      </c>
      <c r="N29" s="57">
        <f>Effort!L27</f>
        <v>8698.1816296538109</v>
      </c>
      <c r="O29" s="58">
        <f>Harvest!L27</f>
        <v>130472.724444807</v>
      </c>
      <c r="P29" s="59">
        <f>CPUE!L27</f>
        <v>15</v>
      </c>
      <c r="Q29" s="57" t="s">
        <v>10</v>
      </c>
      <c r="R29" s="58" t="s">
        <v>10</v>
      </c>
      <c r="S29" s="60" t="s">
        <v>10</v>
      </c>
      <c r="T29" s="57">
        <v>8698</v>
      </c>
      <c r="U29" s="58">
        <v>130473</v>
      </c>
    </row>
    <row r="30" spans="1:21" x14ac:dyDescent="0.25">
      <c r="A30" s="127" t="s">
        <v>57</v>
      </c>
      <c r="B30" s="127"/>
      <c r="C30" s="127"/>
      <c r="D30" s="128"/>
      <c r="E30" s="63"/>
      <c r="F30" s="64"/>
      <c r="G30" s="65"/>
      <c r="H30" s="63"/>
      <c r="I30" s="64"/>
      <c r="J30" s="65"/>
      <c r="K30" s="63"/>
      <c r="L30" s="64"/>
      <c r="M30" s="65"/>
      <c r="N30" s="63">
        <f>SUM(N23:N29)</f>
        <v>16105.618082337791</v>
      </c>
      <c r="O30" s="64">
        <f>SUM(O23:O29)</f>
        <v>241584.27123506658</v>
      </c>
      <c r="P30" s="65">
        <f>+O30/N30</f>
        <v>14.999999999999982</v>
      </c>
      <c r="Q30" s="63"/>
      <c r="R30" s="64"/>
      <c r="S30" s="65"/>
      <c r="T30" s="63">
        <f>SUM(T23:T29)</f>
        <v>16105</v>
      </c>
      <c r="U30" s="64">
        <f>SUM(U23:U29)</f>
        <v>241585</v>
      </c>
    </row>
    <row r="31" spans="1:21" ht="15.75" thickBot="1" x14ac:dyDescent="0.3">
      <c r="A31" s="118"/>
      <c r="B31" s="118"/>
      <c r="C31" s="118"/>
      <c r="D31" s="118"/>
      <c r="E31" s="82"/>
      <c r="F31" s="82"/>
      <c r="G31" s="83"/>
      <c r="H31" s="82"/>
      <c r="I31" s="82"/>
      <c r="J31" s="83"/>
      <c r="K31" s="82"/>
      <c r="L31" s="82"/>
      <c r="M31" s="83"/>
      <c r="N31" s="82"/>
      <c r="O31" s="82"/>
      <c r="P31" s="83"/>
      <c r="Q31" s="82"/>
      <c r="R31" s="82"/>
      <c r="S31" s="83"/>
      <c r="T31" s="82"/>
      <c r="U31" s="82"/>
    </row>
    <row r="32" spans="1:21" ht="15.75" thickTop="1" x14ac:dyDescent="0.25">
      <c r="A32" s="76" t="s">
        <v>58</v>
      </c>
      <c r="B32" s="77"/>
      <c r="C32" s="77"/>
      <c r="D32" s="77"/>
      <c r="E32" s="78">
        <f>+SUM(E11,E18)</f>
        <v>32019.864119681552</v>
      </c>
      <c r="F32" s="78">
        <f>SUM(F11,F18)</f>
        <v>480298.0017952231</v>
      </c>
      <c r="G32" s="79">
        <f>+F32/E32</f>
        <v>15.000001249224534</v>
      </c>
      <c r="H32" s="78">
        <f>SUM(H11,H18)</f>
        <v>19403.00861798002</v>
      </c>
      <c r="I32" s="78">
        <f>SUM(I11,I18)</f>
        <v>291158.10480560688</v>
      </c>
      <c r="J32" s="79">
        <f>+I32/H32</f>
        <v>15.005822578247061</v>
      </c>
      <c r="K32" s="78">
        <f>SUM(K11,K18)</f>
        <v>15177.176400813745</v>
      </c>
      <c r="L32" s="78">
        <f>SUM(L11,L18)</f>
        <v>227657.64601220551</v>
      </c>
      <c r="M32" s="79">
        <f>+L32/K32</f>
        <v>14.999999999999956</v>
      </c>
      <c r="N32" s="78">
        <f>SUM(N11,N18,N22,N30)</f>
        <v>43181.521185748679</v>
      </c>
      <c r="O32" s="78">
        <f>SUM(O11,O18,O22,O30)</f>
        <v>647730.81778622966</v>
      </c>
      <c r="P32" s="79">
        <f>+O32/N32</f>
        <v>15.000185264432094</v>
      </c>
      <c r="Q32" s="78">
        <f>+Q11</f>
        <v>0</v>
      </c>
      <c r="R32" s="78">
        <f>+R11</f>
        <v>0</v>
      </c>
      <c r="S32" s="79">
        <v>0</v>
      </c>
      <c r="T32" s="78">
        <f>SUM(T11,T18,T22,T30)</f>
        <v>109780.9522418862</v>
      </c>
      <c r="U32" s="78">
        <f>SUM(U11,U18,U22,U30)</f>
        <v>1646845.2991641988</v>
      </c>
    </row>
    <row r="33" spans="1:21" x14ac:dyDescent="0.25">
      <c r="A33" s="80" t="s">
        <v>59</v>
      </c>
      <c r="B33" s="81"/>
      <c r="C33" s="81"/>
      <c r="D33" s="81"/>
      <c r="E33" s="82"/>
      <c r="F33" s="82">
        <f>Harvest!F31</f>
        <v>39901.680149141612</v>
      </c>
      <c r="G33" s="83"/>
      <c r="H33" s="82"/>
      <c r="I33" s="82">
        <f>Harvest!H31</f>
        <v>16013.695764308379</v>
      </c>
      <c r="J33" s="83"/>
      <c r="K33" s="82"/>
      <c r="L33" s="82">
        <f>Harvest!J31</f>
        <v>18212.611680976443</v>
      </c>
      <c r="M33" s="83"/>
      <c r="N33" s="82"/>
      <c r="O33" s="82">
        <f>Harvest!L31</f>
        <v>17272.82180763279</v>
      </c>
      <c r="P33" s="83"/>
      <c r="Q33" s="82"/>
      <c r="R33" s="82">
        <f>Harvest!N31</f>
        <v>0</v>
      </c>
      <c r="S33" s="83"/>
      <c r="T33" s="82"/>
      <c r="U33" s="82">
        <f>F33+I33+L33+O33+R33</f>
        <v>91400.809402059225</v>
      </c>
    </row>
    <row r="34" spans="1:21" x14ac:dyDescent="0.25">
      <c r="A34" s="84" t="s">
        <v>60</v>
      </c>
      <c r="B34" s="85"/>
      <c r="C34" s="85"/>
      <c r="D34" s="85"/>
      <c r="E34" s="86">
        <f>Effort!F29</f>
        <v>32019.864119681552</v>
      </c>
      <c r="F34" s="86">
        <f>F32+F33</f>
        <v>520199.68194436468</v>
      </c>
      <c r="G34" s="87"/>
      <c r="H34" s="86">
        <f>Effort!H29</f>
        <v>19403.008617980016</v>
      </c>
      <c r="I34" s="86">
        <f>I32+I33</f>
        <v>307171.80056991527</v>
      </c>
      <c r="J34" s="87"/>
      <c r="K34" s="86">
        <f>Effort!J29</f>
        <v>15177.176400813745</v>
      </c>
      <c r="L34" s="86">
        <f>L32+L33</f>
        <v>245870.25769318195</v>
      </c>
      <c r="M34" s="87"/>
      <c r="N34" s="86">
        <f>Effort!L29</f>
        <v>43181.521185748679</v>
      </c>
      <c r="O34" s="86">
        <f>O32+O33</f>
        <v>665003.63959386246</v>
      </c>
      <c r="P34" s="87"/>
      <c r="Q34" s="86">
        <f>Effort!N29</f>
        <v>0</v>
      </c>
      <c r="R34" s="86">
        <f>R32+R33</f>
        <v>0</v>
      </c>
      <c r="S34" s="87"/>
      <c r="T34" s="86">
        <f>SUM(T32:T33)</f>
        <v>109780.9522418862</v>
      </c>
      <c r="U34" s="88">
        <f>SUM(U32:U33)</f>
        <v>1738246.1085662581</v>
      </c>
    </row>
    <row r="35" spans="1:21" x14ac:dyDescent="0.25">
      <c r="A35" s="89" t="s">
        <v>14</v>
      </c>
      <c r="B35" s="90"/>
      <c r="C35" s="90"/>
      <c r="D35" s="90"/>
      <c r="E35" s="90"/>
      <c r="F35" s="91">
        <f>Harvest!F34</f>
        <v>5.2456474253643311E-2</v>
      </c>
      <c r="G35" s="90"/>
      <c r="H35" s="90"/>
      <c r="I35" s="91">
        <f>Harvest!H34</f>
        <v>0.14737471906270058</v>
      </c>
      <c r="J35" s="90"/>
      <c r="K35" s="90"/>
      <c r="L35" s="91">
        <f>Harvest!J34</f>
        <v>0.10375581463365291</v>
      </c>
      <c r="M35" s="90"/>
      <c r="N35" s="90"/>
      <c r="O35" s="91">
        <f>Harvest!L34</f>
        <v>0.28533323933572319</v>
      </c>
      <c r="P35" s="90"/>
      <c r="Q35" s="90"/>
      <c r="R35" s="91">
        <f>Harvest!N34</f>
        <v>0</v>
      </c>
      <c r="S35" s="90"/>
      <c r="T35" s="90"/>
      <c r="U35" s="92"/>
    </row>
    <row r="37" spans="1:21" x14ac:dyDescent="0.25">
      <c r="F37" s="34"/>
    </row>
  </sheetData>
  <mergeCells count="10">
    <mergeCell ref="A30:D30"/>
    <mergeCell ref="A22:D22"/>
    <mergeCell ref="A18:D18"/>
    <mergeCell ref="A11:D11"/>
    <mergeCell ref="Q2:S2"/>
    <mergeCell ref="T2:U2"/>
    <mergeCell ref="E2:G2"/>
    <mergeCell ref="H2:J2"/>
    <mergeCell ref="K2:M2"/>
    <mergeCell ref="N2:P2"/>
  </mergeCells>
  <phoneticPr fontId="17" type="noConversion"/>
  <pageMargins left="0.7" right="0.7" top="0.75" bottom="0.75" header="0.3" footer="0.3"/>
  <pageSetup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7"/>
  <sheetViews>
    <sheetView topLeftCell="A16" zoomScale="90" zoomScaleNormal="90" workbookViewId="0">
      <selection activeCell="Q32" sqref="Q32"/>
    </sheetView>
  </sheetViews>
  <sheetFormatPr defaultRowHeight="15" x14ac:dyDescent="0.25"/>
  <cols>
    <col min="17" max="17" width="10.85546875" style="34" customWidth="1"/>
  </cols>
  <sheetData>
    <row r="1" spans="1:18" ht="15.75" thickBot="1" x14ac:dyDescent="0.3">
      <c r="A1" s="50" t="s">
        <v>66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61"/>
      <c r="R1" s="50"/>
    </row>
    <row r="2" spans="1:18" ht="15.75" thickTop="1" x14ac:dyDescent="0.25">
      <c r="A2" s="51"/>
      <c r="B2" s="51"/>
      <c r="C2" s="51"/>
      <c r="D2" s="51"/>
      <c r="E2" s="124" t="s">
        <v>47</v>
      </c>
      <c r="F2" s="125"/>
      <c r="G2" s="125"/>
      <c r="H2" s="126"/>
      <c r="I2" s="124" t="s">
        <v>48</v>
      </c>
      <c r="J2" s="125"/>
      <c r="K2" s="125"/>
      <c r="L2" s="126"/>
      <c r="M2" s="129" t="s">
        <v>49</v>
      </c>
      <c r="N2" s="130"/>
      <c r="O2" s="130"/>
      <c r="P2" s="131"/>
      <c r="Q2" s="122" t="s">
        <v>52</v>
      </c>
      <c r="R2" s="123"/>
    </row>
    <row r="3" spans="1:18" ht="15.75" thickBot="1" x14ac:dyDescent="0.3">
      <c r="A3" s="52" t="s">
        <v>53</v>
      </c>
      <c r="B3" s="52" t="s">
        <v>54</v>
      </c>
      <c r="C3" s="52" t="s">
        <v>55</v>
      </c>
      <c r="D3" s="52" t="s">
        <v>56</v>
      </c>
      <c r="E3" s="53" t="s">
        <v>27</v>
      </c>
      <c r="F3" s="52" t="s">
        <v>28</v>
      </c>
      <c r="G3" s="52" t="s">
        <v>29</v>
      </c>
      <c r="H3" s="52" t="s">
        <v>61</v>
      </c>
      <c r="I3" s="53" t="s">
        <v>27</v>
      </c>
      <c r="J3" s="52" t="s">
        <v>28</v>
      </c>
      <c r="K3" s="52" t="s">
        <v>29</v>
      </c>
      <c r="L3" s="52" t="s">
        <v>61</v>
      </c>
      <c r="M3" s="53" t="s">
        <v>27</v>
      </c>
      <c r="N3" s="52" t="s">
        <v>28</v>
      </c>
      <c r="O3" s="52" t="s">
        <v>29</v>
      </c>
      <c r="P3" s="52" t="s">
        <v>61</v>
      </c>
      <c r="Q3" s="62" t="s">
        <v>27</v>
      </c>
      <c r="R3" s="54" t="s">
        <v>28</v>
      </c>
    </row>
    <row r="4" spans="1:18" ht="15.75" thickTop="1" x14ac:dyDescent="0.25">
      <c r="A4" s="55">
        <v>44090</v>
      </c>
      <c r="B4" s="56" t="s">
        <v>23</v>
      </c>
      <c r="C4" s="108">
        <v>-1</v>
      </c>
      <c r="D4" s="109">
        <v>0.26180555555555557</v>
      </c>
      <c r="E4" s="57">
        <f>Effort!J2</f>
        <v>314.27006383022803</v>
      </c>
      <c r="F4" s="58">
        <f>Harvest!J2</f>
        <v>4714.0509574534099</v>
      </c>
      <c r="G4" s="59">
        <f>CPUE!J2</f>
        <v>14.999999999999966</v>
      </c>
      <c r="H4" s="59"/>
      <c r="I4" s="57" t="str">
        <f>Effort!L2</f>
        <v>CLOSED</v>
      </c>
      <c r="J4" s="58" t="str">
        <f>Harvest!L2</f>
        <v>CLOSED</v>
      </c>
      <c r="K4" s="59" t="str">
        <f>CPUE!L2</f>
        <v>CLOSED</v>
      </c>
      <c r="L4" s="59"/>
      <c r="M4" s="57" t="s">
        <v>10</v>
      </c>
      <c r="N4" s="58" t="s">
        <v>10</v>
      </c>
      <c r="O4" s="98" t="s">
        <v>10</v>
      </c>
      <c r="P4" s="97"/>
      <c r="Q4" s="57">
        <f>E4</f>
        <v>314.27006383022803</v>
      </c>
      <c r="R4" s="58">
        <f>F4</f>
        <v>4714.0509574534099</v>
      </c>
    </row>
    <row r="5" spans="1:18" x14ac:dyDescent="0.25">
      <c r="A5" s="55">
        <v>44091</v>
      </c>
      <c r="B5" s="56" t="s">
        <v>24</v>
      </c>
      <c r="C5" s="108">
        <v>-1</v>
      </c>
      <c r="D5" s="109">
        <v>0.2902777777777778</v>
      </c>
      <c r="E5" s="57" t="str">
        <f>Effort!J3</f>
        <v>CLOSED</v>
      </c>
      <c r="F5" s="58" t="str">
        <f>Harvest!J3</f>
        <v>CLOSED</v>
      </c>
      <c r="G5" s="59" t="str">
        <f>CPUE!J3</f>
        <v>CLOSED</v>
      </c>
      <c r="H5" s="59"/>
      <c r="I5" s="57">
        <f>Effort!L3</f>
        <v>918.99747021256201</v>
      </c>
      <c r="J5" s="58">
        <f>Harvest!L3</f>
        <v>13784.962053188399</v>
      </c>
      <c r="K5" s="59">
        <f>CPUE!L3</f>
        <v>14.999999999999966</v>
      </c>
      <c r="L5" s="59"/>
      <c r="M5" s="57" t="s">
        <v>10</v>
      </c>
      <c r="N5" s="58" t="s">
        <v>10</v>
      </c>
      <c r="O5" s="97" t="s">
        <v>10</v>
      </c>
      <c r="P5" s="97"/>
      <c r="Q5" s="57">
        <f t="shared" ref="Q5:R17" si="0">SUM(E5,I5)</f>
        <v>918.99747021256201</v>
      </c>
      <c r="R5" s="58">
        <f t="shared" si="0"/>
        <v>13784.962053188399</v>
      </c>
    </row>
    <row r="6" spans="1:18" x14ac:dyDescent="0.25">
      <c r="A6" s="55">
        <v>44092</v>
      </c>
      <c r="B6" s="56" t="s">
        <v>18</v>
      </c>
      <c r="C6" s="108">
        <v>-0.8</v>
      </c>
      <c r="D6" s="109">
        <v>0.31875000000000003</v>
      </c>
      <c r="E6" s="57">
        <f>Effort!J4</f>
        <v>2041.2717218440901</v>
      </c>
      <c r="F6" s="58">
        <f>Harvest!J4</f>
        <v>30619.075827661301</v>
      </c>
      <c r="G6" s="59">
        <f>CPUE!J4</f>
        <v>14.999999999999975</v>
      </c>
      <c r="H6" s="59"/>
      <c r="I6" s="57" t="str">
        <f>Effort!L4</f>
        <v>CLOSED</v>
      </c>
      <c r="J6" s="58" t="str">
        <f>Harvest!L4</f>
        <v>CLOSED</v>
      </c>
      <c r="K6" s="59" t="str">
        <f>CPUE!L4</f>
        <v>CLOSED</v>
      </c>
      <c r="L6" s="59"/>
      <c r="M6" s="57" t="s">
        <v>10</v>
      </c>
      <c r="N6" s="58" t="s">
        <v>10</v>
      </c>
      <c r="O6" s="97" t="s">
        <v>10</v>
      </c>
      <c r="P6" s="60"/>
      <c r="Q6" s="57">
        <f t="shared" si="0"/>
        <v>2041.2717218440901</v>
      </c>
      <c r="R6" s="58">
        <f t="shared" si="0"/>
        <v>30619.075827661301</v>
      </c>
    </row>
    <row r="7" spans="1:18" x14ac:dyDescent="0.25">
      <c r="A7" s="55">
        <v>44093</v>
      </c>
      <c r="B7" s="56" t="s">
        <v>19</v>
      </c>
      <c r="C7" s="108">
        <v>-0.3</v>
      </c>
      <c r="D7" s="109">
        <v>0.34652777777777777</v>
      </c>
      <c r="E7" s="57" t="str">
        <f>Effort!J5</f>
        <v>CLOSED</v>
      </c>
      <c r="F7" s="58" t="str">
        <f>Harvest!J5</f>
        <v>CLOSED</v>
      </c>
      <c r="G7" s="59" t="str">
        <f>CPUE!J5</f>
        <v>CLOSED</v>
      </c>
      <c r="H7" s="59"/>
      <c r="I7" s="57">
        <f>Effort!L5</f>
        <v>5096.8335657144899</v>
      </c>
      <c r="J7" s="58">
        <f>Harvest!L5</f>
        <v>76452.503485716996</v>
      </c>
      <c r="K7" s="59">
        <f>CPUE!L5</f>
        <v>14.999999999999931</v>
      </c>
      <c r="L7" s="59"/>
      <c r="M7" s="57" t="s">
        <v>10</v>
      </c>
      <c r="N7" s="58" t="s">
        <v>10</v>
      </c>
      <c r="O7" s="97" t="s">
        <v>10</v>
      </c>
      <c r="P7" s="97"/>
      <c r="Q7" s="57">
        <f t="shared" si="0"/>
        <v>5096.8335657144899</v>
      </c>
      <c r="R7" s="58">
        <f t="shared" si="0"/>
        <v>76452.503485716996</v>
      </c>
    </row>
    <row r="8" spans="1:18" x14ac:dyDescent="0.25">
      <c r="A8" s="55">
        <v>44094</v>
      </c>
      <c r="B8" s="56" t="s">
        <v>20</v>
      </c>
      <c r="C8" s="108">
        <v>-0.8</v>
      </c>
      <c r="D8" s="109">
        <v>0.90486111111111101</v>
      </c>
      <c r="E8" s="57">
        <f>Effort!J6</f>
        <v>1261.8693699503301</v>
      </c>
      <c r="F8" s="58">
        <f>Harvest!J6</f>
        <v>18928.0405492549</v>
      </c>
      <c r="G8" s="59">
        <f>CPUE!J6</f>
        <v>14.999999999999959</v>
      </c>
      <c r="H8" s="59"/>
      <c r="I8" s="57" t="str">
        <f>Effort!L6</f>
        <v>CLOSED</v>
      </c>
      <c r="J8" s="58" t="str">
        <f>Harvest!L6</f>
        <v>CLOSED</v>
      </c>
      <c r="K8" s="59" t="str">
        <f>CPUE!L6</f>
        <v>CLOSED</v>
      </c>
      <c r="L8" s="59"/>
      <c r="M8" s="57" t="s">
        <v>10</v>
      </c>
      <c r="N8" s="58" t="s">
        <v>10</v>
      </c>
      <c r="O8" s="97" t="s">
        <v>10</v>
      </c>
      <c r="P8" s="60"/>
      <c r="Q8" s="57">
        <f t="shared" si="0"/>
        <v>1261.8693699503301</v>
      </c>
      <c r="R8" s="58">
        <f t="shared" si="0"/>
        <v>18928.0405492549</v>
      </c>
    </row>
    <row r="9" spans="1:18" x14ac:dyDescent="0.25">
      <c r="A9" s="55">
        <v>44095</v>
      </c>
      <c r="B9" s="56" t="s">
        <v>21</v>
      </c>
      <c r="C9" s="108">
        <v>-0.8</v>
      </c>
      <c r="D9" s="109">
        <v>0.94236111111111109</v>
      </c>
      <c r="E9" s="57" t="str">
        <f>Effort!J7</f>
        <v>CLOSED</v>
      </c>
      <c r="F9" s="58" t="str">
        <f>Harvest!J7</f>
        <v>CLOSED</v>
      </c>
      <c r="G9" s="59" t="str">
        <f>CPUE!J7</f>
        <v>CLOSED</v>
      </c>
      <c r="H9" s="59"/>
      <c r="I9" s="57">
        <f>Effort!L7</f>
        <v>356.48742882364201</v>
      </c>
      <c r="J9" s="58">
        <f>Harvest!L7</f>
        <v>5347.3114323546397</v>
      </c>
      <c r="K9" s="59">
        <f>CPUE!L7</f>
        <v>15.000000000000027</v>
      </c>
      <c r="L9" s="59"/>
      <c r="M9" s="57" t="s">
        <v>10</v>
      </c>
      <c r="N9" s="58" t="s">
        <v>10</v>
      </c>
      <c r="O9" s="97" t="s">
        <v>10</v>
      </c>
      <c r="P9" s="60"/>
      <c r="Q9" s="57">
        <f t="shared" si="0"/>
        <v>356.48742882364201</v>
      </c>
      <c r="R9" s="58">
        <f t="shared" si="0"/>
        <v>5347.3114323546397</v>
      </c>
    </row>
    <row r="10" spans="1:18" x14ac:dyDescent="0.25">
      <c r="A10" s="55">
        <v>44096</v>
      </c>
      <c r="B10" s="56" t="s">
        <v>22</v>
      </c>
      <c r="C10" s="108">
        <v>-0.3</v>
      </c>
      <c r="D10" s="109">
        <v>0.98402777777777783</v>
      </c>
      <c r="E10" s="57">
        <f>Effort!J8</f>
        <v>336.074072134728</v>
      </c>
      <c r="F10" s="58">
        <f>Harvest!J8</f>
        <v>5041.1110820209196</v>
      </c>
      <c r="G10" s="59">
        <f>CPUE!J8</f>
        <v>14.999999999999998</v>
      </c>
      <c r="H10" s="59"/>
      <c r="I10" s="57" t="str">
        <f>Effort!L8</f>
        <v>CLOSED</v>
      </c>
      <c r="J10" s="58" t="str">
        <f>Harvest!L8</f>
        <v>CLOSED</v>
      </c>
      <c r="K10" s="59" t="str">
        <f>CPUE!L8</f>
        <v>CLOSED</v>
      </c>
      <c r="L10" s="59"/>
      <c r="M10" s="57" t="s">
        <v>10</v>
      </c>
      <c r="N10" s="58" t="s">
        <v>10</v>
      </c>
      <c r="O10" s="97" t="s">
        <v>10</v>
      </c>
      <c r="P10" s="99"/>
      <c r="Q10" s="57">
        <f t="shared" si="0"/>
        <v>336.074072134728</v>
      </c>
      <c r="R10" s="58">
        <f t="shared" si="0"/>
        <v>5041.1110820209196</v>
      </c>
    </row>
    <row r="11" spans="1:18" x14ac:dyDescent="0.25">
      <c r="A11" s="127" t="s">
        <v>57</v>
      </c>
      <c r="B11" s="127"/>
      <c r="C11" s="127"/>
      <c r="D11" s="128"/>
      <c r="E11" s="63">
        <f>SUM(E4:E10)</f>
        <v>3953.4852277593759</v>
      </c>
      <c r="F11" s="64">
        <f>SUM(F4:F10)</f>
        <v>59302.278416390538</v>
      </c>
      <c r="G11" s="65">
        <f>+F11/E11</f>
        <v>14.999999999999975</v>
      </c>
      <c r="H11" s="65"/>
      <c r="I11" s="63">
        <f>SUM(I4:I10)</f>
        <v>6372.3184647506941</v>
      </c>
      <c r="J11" s="64">
        <f>SUM(J4:J10)</f>
        <v>95584.776971260027</v>
      </c>
      <c r="K11" s="65">
        <f>+J11/I11</f>
        <v>14.99999999999994</v>
      </c>
      <c r="L11" s="65"/>
      <c r="M11" s="63"/>
      <c r="N11" s="64"/>
      <c r="O11" s="115"/>
      <c r="P11" s="65"/>
      <c r="Q11" s="63">
        <f>SUM(Q4:Q10)</f>
        <v>10325.803692510071</v>
      </c>
      <c r="R11" s="64">
        <f>SUM(R4:R10)</f>
        <v>154887.05538765056</v>
      </c>
    </row>
    <row r="12" spans="1:18" x14ac:dyDescent="0.25">
      <c r="A12" s="55">
        <v>44120</v>
      </c>
      <c r="B12" s="56" t="s">
        <v>18</v>
      </c>
      <c r="C12" s="108">
        <v>-0.7</v>
      </c>
      <c r="D12" s="109">
        <v>0.79166666666666663</v>
      </c>
      <c r="E12" s="57" t="str">
        <f>Effort!J10</f>
        <v>CLOSED</v>
      </c>
      <c r="F12" s="58" t="str">
        <f>Harvest!J10</f>
        <v>CLOSED</v>
      </c>
      <c r="G12" s="59" t="str">
        <f>CPUE!J10</f>
        <v>CLOSED</v>
      </c>
      <c r="H12" s="59"/>
      <c r="I12" s="57">
        <f>Effort!L10</f>
        <v>5030.7330321261597</v>
      </c>
      <c r="J12" s="58">
        <f>Harvest!L10</f>
        <v>75460.995481892503</v>
      </c>
      <c r="K12" s="59">
        <f>CPUE!L10</f>
        <v>15.000000000000021</v>
      </c>
      <c r="L12" s="59"/>
      <c r="M12" s="57" t="s">
        <v>10</v>
      </c>
      <c r="N12" s="58" t="s">
        <v>10</v>
      </c>
      <c r="O12" s="97" t="s">
        <v>10</v>
      </c>
      <c r="P12" s="60"/>
      <c r="Q12" s="57">
        <f t="shared" si="0"/>
        <v>5030.7330321261597</v>
      </c>
      <c r="R12" s="58">
        <f t="shared" si="0"/>
        <v>75460.995481892503</v>
      </c>
    </row>
    <row r="13" spans="1:18" x14ac:dyDescent="0.25">
      <c r="A13" s="55">
        <v>44121</v>
      </c>
      <c r="B13" s="56" t="s">
        <v>19</v>
      </c>
      <c r="C13" s="108">
        <v>-1.3</v>
      </c>
      <c r="D13" s="109">
        <v>0.82430555555555562</v>
      </c>
      <c r="E13" s="57">
        <f>Effort!J11</f>
        <v>10126.8329618631</v>
      </c>
      <c r="F13" s="58">
        <f>Harvest!J11</f>
        <v>151902.49442794599</v>
      </c>
      <c r="G13" s="59">
        <f>CPUE!J11</f>
        <v>14.99999999999995</v>
      </c>
      <c r="H13" s="59"/>
      <c r="I13" s="57" t="str">
        <f>Effort!L11</f>
        <v>CLOSED</v>
      </c>
      <c r="J13" s="58" t="str">
        <f>Harvest!L11</f>
        <v>CLOSED</v>
      </c>
      <c r="K13" s="59" t="str">
        <f>CPUE!L11</f>
        <v>CLOSED</v>
      </c>
      <c r="L13" s="59"/>
      <c r="M13" s="57" t="s">
        <v>10</v>
      </c>
      <c r="N13" s="58" t="s">
        <v>10</v>
      </c>
      <c r="O13" s="97" t="s">
        <v>10</v>
      </c>
      <c r="P13" s="60"/>
      <c r="Q13" s="57">
        <f t="shared" si="0"/>
        <v>10126.8329618631</v>
      </c>
      <c r="R13" s="58">
        <f t="shared" si="0"/>
        <v>151902.49442794599</v>
      </c>
    </row>
    <row r="14" spans="1:18" x14ac:dyDescent="0.25">
      <c r="A14" s="55">
        <v>44122</v>
      </c>
      <c r="B14" s="56" t="s">
        <v>20</v>
      </c>
      <c r="C14" s="108">
        <v>-1.5</v>
      </c>
      <c r="D14" s="109">
        <v>0.85763888888888884</v>
      </c>
      <c r="E14" s="57" t="str">
        <f>Effort!J12</f>
        <v>CLOSED</v>
      </c>
      <c r="F14" s="58" t="str">
        <f>Harvest!J12</f>
        <v>CLOSED</v>
      </c>
      <c r="G14" s="59" t="str">
        <f>CPUE!J12</f>
        <v>CLOSED</v>
      </c>
      <c r="H14" s="59"/>
      <c r="I14" s="57">
        <f>Effort!L12</f>
        <v>2847.3870132199099</v>
      </c>
      <c r="J14" s="58">
        <f>Harvest!L12</f>
        <v>42710.805198298702</v>
      </c>
      <c r="K14" s="59">
        <f>CPUE!L12</f>
        <v>15.000000000000018</v>
      </c>
      <c r="L14" s="59"/>
      <c r="M14" s="57" t="s">
        <v>10</v>
      </c>
      <c r="N14" s="58" t="s">
        <v>10</v>
      </c>
      <c r="O14" s="97" t="s">
        <v>10</v>
      </c>
      <c r="P14" s="60"/>
      <c r="Q14" s="57">
        <f t="shared" si="0"/>
        <v>2847.3870132199099</v>
      </c>
      <c r="R14" s="58">
        <f t="shared" si="0"/>
        <v>42710.805198298702</v>
      </c>
    </row>
    <row r="15" spans="1:18" x14ac:dyDescent="0.25">
      <c r="A15" s="55">
        <v>44123</v>
      </c>
      <c r="B15" s="56" t="s">
        <v>21</v>
      </c>
      <c r="C15" s="108">
        <v>-1.4</v>
      </c>
      <c r="D15" s="109">
        <v>0.89166666666666661</v>
      </c>
      <c r="E15" s="57">
        <f>Effort!J13</f>
        <v>1096.8582111912699</v>
      </c>
      <c r="F15" s="58">
        <f>Harvest!J13</f>
        <v>16452.873167868998</v>
      </c>
      <c r="G15" s="59">
        <f>CPUE!J13</f>
        <v>14.999999999999954</v>
      </c>
      <c r="H15" s="59"/>
      <c r="I15" s="57" t="str">
        <f>Effort!L13</f>
        <v>CLOSED</v>
      </c>
      <c r="J15" s="58" t="str">
        <f>Harvest!L13</f>
        <v>CLOSED</v>
      </c>
      <c r="K15" s="59" t="str">
        <f>CPUE!L13</f>
        <v>CLOSED</v>
      </c>
      <c r="L15" s="59"/>
      <c r="M15" s="57" t="s">
        <v>10</v>
      </c>
      <c r="N15" s="58" t="s">
        <v>10</v>
      </c>
      <c r="O15" s="97" t="s">
        <v>10</v>
      </c>
      <c r="P15" s="60"/>
      <c r="Q15" s="57">
        <f t="shared" si="0"/>
        <v>1096.8582111912699</v>
      </c>
      <c r="R15" s="58">
        <f t="shared" si="0"/>
        <v>16452.873167868998</v>
      </c>
    </row>
    <row r="16" spans="1:18" x14ac:dyDescent="0.25">
      <c r="A16" s="55">
        <v>44124</v>
      </c>
      <c r="B16" s="56" t="s">
        <v>22</v>
      </c>
      <c r="C16" s="108">
        <v>-1</v>
      </c>
      <c r="D16" s="109">
        <v>0.9277777777777777</v>
      </c>
      <c r="E16" s="57" t="str">
        <f>Effort!J14</f>
        <v>CLOSED</v>
      </c>
      <c r="F16" s="58" t="str">
        <f>Harvest!J14</f>
        <v>CLOSED</v>
      </c>
      <c r="G16" s="59" t="str">
        <f>CPUE!J14</f>
        <v>CLOSED</v>
      </c>
      <c r="H16" s="59"/>
      <c r="I16" s="57">
        <f>Effort!L14</f>
        <v>657.46459331412598</v>
      </c>
      <c r="J16" s="58">
        <f>Harvest!L14</f>
        <v>9861.9688997118792</v>
      </c>
      <c r="K16" s="59">
        <f>CPUE!L14</f>
        <v>14.999999999999984</v>
      </c>
      <c r="L16" s="59"/>
      <c r="M16" s="57" t="s">
        <v>10</v>
      </c>
      <c r="N16" s="58" t="s">
        <v>10</v>
      </c>
      <c r="O16" s="97" t="s">
        <v>10</v>
      </c>
      <c r="P16" s="60"/>
      <c r="Q16" s="57">
        <f t="shared" si="0"/>
        <v>657.46459331412598</v>
      </c>
      <c r="R16" s="58">
        <f t="shared" si="0"/>
        <v>9861.9688997118792</v>
      </c>
    </row>
    <row r="17" spans="1:18" x14ac:dyDescent="0.25">
      <c r="A17" s="55">
        <v>44125</v>
      </c>
      <c r="B17" s="56" t="s">
        <v>23</v>
      </c>
      <c r="C17" s="108">
        <v>-0.5</v>
      </c>
      <c r="D17" s="109">
        <v>0.96666666666666667</v>
      </c>
      <c r="E17" s="57" t="str">
        <f>Effort!J15</f>
        <v>CLOSED</v>
      </c>
      <c r="F17" s="58" t="str">
        <f>Harvest!J15</f>
        <v>CLOSED</v>
      </c>
      <c r="G17" s="59" t="str">
        <f>CPUE!J15</f>
        <v>CLOSED</v>
      </c>
      <c r="H17" s="59"/>
      <c r="I17" s="57" t="str">
        <f>Effort!L15</f>
        <v>CLOSED</v>
      </c>
      <c r="J17" s="58" t="str">
        <f>Harvest!L15</f>
        <v>CLOSED</v>
      </c>
      <c r="K17" s="59" t="str">
        <f>CPUE!L15</f>
        <v>CLOSED</v>
      </c>
      <c r="L17" s="59"/>
      <c r="M17" s="57" t="s">
        <v>10</v>
      </c>
      <c r="N17" s="58" t="s">
        <v>10</v>
      </c>
      <c r="O17" s="97" t="s">
        <v>10</v>
      </c>
      <c r="P17" s="60"/>
      <c r="Q17" s="57">
        <f t="shared" si="0"/>
        <v>0</v>
      </c>
      <c r="R17" s="58">
        <f t="shared" si="0"/>
        <v>0</v>
      </c>
    </row>
    <row r="18" spans="1:18" x14ac:dyDescent="0.25">
      <c r="A18" s="127" t="s">
        <v>57</v>
      </c>
      <c r="B18" s="127"/>
      <c r="C18" s="127"/>
      <c r="D18" s="128"/>
      <c r="E18" s="63">
        <f>SUM(E12:E17)</f>
        <v>11223.691173054369</v>
      </c>
      <c r="F18" s="64">
        <f>SUM(F12:F17)</f>
        <v>168355.36759581498</v>
      </c>
      <c r="G18" s="65">
        <f>+F18/E18</f>
        <v>14.99999999999995</v>
      </c>
      <c r="H18" s="65"/>
      <c r="I18" s="63">
        <f>SUM(I12:I17)</f>
        <v>8535.5846386601952</v>
      </c>
      <c r="J18" s="64">
        <f>SUM(J12:J17)</f>
        <v>128033.76957990308</v>
      </c>
      <c r="K18" s="65">
        <f>+J18/I18</f>
        <v>15.000000000000018</v>
      </c>
      <c r="L18" s="65"/>
      <c r="M18" s="63"/>
      <c r="N18" s="64"/>
      <c r="O18" s="64"/>
      <c r="P18" s="65"/>
      <c r="Q18" s="63">
        <f>SUM(Q12:Q17)</f>
        <v>19759.275811714564</v>
      </c>
      <c r="R18" s="64">
        <f>SUM(R12:R17)</f>
        <v>296389.13717571809</v>
      </c>
    </row>
    <row r="19" spans="1:18" x14ac:dyDescent="0.25">
      <c r="A19" s="55">
        <v>44331</v>
      </c>
      <c r="B19" s="56" t="s">
        <v>19</v>
      </c>
      <c r="C19" s="108">
        <v>-0.5</v>
      </c>
      <c r="D19" s="109">
        <v>0.39999999999999997</v>
      </c>
      <c r="E19" s="57" t="str">
        <f>Effort!J17</f>
        <v>CLOSED</v>
      </c>
      <c r="F19" s="58" t="str">
        <f>Harvest!J17</f>
        <v>CLOSED</v>
      </c>
      <c r="G19" s="59" t="str">
        <f>CPUE!J17</f>
        <v>CLOSED</v>
      </c>
      <c r="H19" s="59"/>
      <c r="I19" s="57">
        <f>Effort!L17</f>
        <v>7507</v>
      </c>
      <c r="J19" s="58">
        <f>Harvest!L17</f>
        <v>112607</v>
      </c>
      <c r="K19" s="59">
        <f>CPUE!L17</f>
        <v>15</v>
      </c>
      <c r="L19" s="59"/>
      <c r="M19" s="57" t="s">
        <v>10</v>
      </c>
      <c r="N19" s="58" t="s">
        <v>10</v>
      </c>
      <c r="O19" s="97" t="s">
        <v>10</v>
      </c>
      <c r="P19" s="60"/>
      <c r="Q19" s="57">
        <f t="shared" ref="Q19:Q29" si="1">SUM(E19,I19)</f>
        <v>7507</v>
      </c>
      <c r="R19" s="58">
        <f t="shared" ref="R19:R29" si="2">SUM(F19,J19)</f>
        <v>112607</v>
      </c>
    </row>
    <row r="20" spans="1:18" x14ac:dyDescent="0.25">
      <c r="A20" s="55">
        <v>44332</v>
      </c>
      <c r="B20" s="56" t="s">
        <v>20</v>
      </c>
      <c r="C20" s="108">
        <v>-0.3</v>
      </c>
      <c r="D20" s="109">
        <v>0.4284722222222222</v>
      </c>
      <c r="E20" s="57" t="str">
        <f>Effort!J18</f>
        <v>CLOSED</v>
      </c>
      <c r="F20" s="58" t="str">
        <f>Harvest!J18</f>
        <v>CLOSED</v>
      </c>
      <c r="G20" s="59" t="str">
        <f>CPUE!J18</f>
        <v>CLOSED</v>
      </c>
      <c r="H20" s="59"/>
      <c r="I20" s="57" t="str">
        <f>Effort!L18</f>
        <v>CLOSED</v>
      </c>
      <c r="J20" s="58" t="str">
        <f>Harvest!L18</f>
        <v>CLOSED</v>
      </c>
      <c r="K20" s="59" t="str">
        <f>CPUE!L18</f>
        <v>CLOSED</v>
      </c>
      <c r="L20" s="59"/>
      <c r="M20" s="57" t="s">
        <v>10</v>
      </c>
      <c r="N20" s="58" t="s">
        <v>10</v>
      </c>
      <c r="O20" s="97" t="s">
        <v>10</v>
      </c>
      <c r="P20" s="60"/>
      <c r="Q20" s="57">
        <f t="shared" si="1"/>
        <v>0</v>
      </c>
      <c r="R20" s="58">
        <f t="shared" si="2"/>
        <v>0</v>
      </c>
    </row>
    <row r="21" spans="1:18" x14ac:dyDescent="0.25">
      <c r="A21" s="55">
        <v>44333</v>
      </c>
      <c r="B21" s="56" t="s">
        <v>21</v>
      </c>
      <c r="C21" s="108">
        <v>-0.1</v>
      </c>
      <c r="D21" s="109">
        <v>0.4604166666666667</v>
      </c>
      <c r="E21" s="57" t="str">
        <f>Effort!J19</f>
        <v>CLOSED</v>
      </c>
      <c r="F21" s="58" t="str">
        <f>Harvest!J19</f>
        <v>CLOSED</v>
      </c>
      <c r="G21" s="59" t="str">
        <f>CPUE!J19</f>
        <v>CLOSED</v>
      </c>
      <c r="H21" s="59"/>
      <c r="I21" s="57">
        <f>Effort!L19</f>
        <v>4661</v>
      </c>
      <c r="J21" s="58">
        <f>Harvest!L19</f>
        <v>69921</v>
      </c>
      <c r="K21" s="59">
        <f>CPUE!L19</f>
        <v>15</v>
      </c>
      <c r="L21" s="59"/>
      <c r="M21" s="57" t="s">
        <v>10</v>
      </c>
      <c r="N21" s="58" t="s">
        <v>10</v>
      </c>
      <c r="O21" s="97" t="s">
        <v>10</v>
      </c>
      <c r="P21" s="60"/>
      <c r="Q21" s="57">
        <f t="shared" si="1"/>
        <v>4661</v>
      </c>
      <c r="R21" s="58">
        <f t="shared" si="2"/>
        <v>69921</v>
      </c>
    </row>
    <row r="22" spans="1:18" x14ac:dyDescent="0.25">
      <c r="A22" s="127" t="s">
        <v>57</v>
      </c>
      <c r="B22" s="127"/>
      <c r="C22" s="127"/>
      <c r="D22" s="128"/>
      <c r="E22" s="63"/>
      <c r="F22" s="64"/>
      <c r="G22" s="65"/>
      <c r="H22" s="65"/>
      <c r="I22" s="63">
        <f>SUM(I19:I21)</f>
        <v>12168</v>
      </c>
      <c r="J22" s="64">
        <f>SUM(J19:J21)</f>
        <v>182528</v>
      </c>
      <c r="K22" s="65">
        <f>+J22/I22</f>
        <v>15.000657462195925</v>
      </c>
      <c r="L22" s="65"/>
      <c r="M22" s="63"/>
      <c r="N22" s="64"/>
      <c r="O22" s="119"/>
      <c r="P22" s="65"/>
      <c r="Q22" s="63">
        <f>SUM(Q19:Q21)</f>
        <v>12168</v>
      </c>
      <c r="R22" s="64">
        <f>SUM(R19:R21)</f>
        <v>182528</v>
      </c>
    </row>
    <row r="23" spans="1:18" x14ac:dyDescent="0.25">
      <c r="A23" s="55">
        <v>44340</v>
      </c>
      <c r="B23" s="56" t="s">
        <v>21</v>
      </c>
      <c r="C23" s="108">
        <v>-0.7</v>
      </c>
      <c r="D23" s="109">
        <v>0.23055555555555554</v>
      </c>
      <c r="E23" s="57" t="str">
        <f>Effort!J21</f>
        <v>CLOSED</v>
      </c>
      <c r="F23" s="58" t="str">
        <f>Harvest!J21</f>
        <v>CLOSED</v>
      </c>
      <c r="G23" s="59" t="str">
        <f>CPUE!J21</f>
        <v>CLOSED</v>
      </c>
      <c r="H23" s="59"/>
      <c r="I23" s="57">
        <f>Effort!L21</f>
        <v>455.04585762495901</v>
      </c>
      <c r="J23" s="58">
        <f>Harvest!L21</f>
        <v>6825.6878643743903</v>
      </c>
      <c r="K23" s="59">
        <f>CPUE!L21</f>
        <v>15</v>
      </c>
      <c r="L23" s="59"/>
      <c r="M23" s="57" t="s">
        <v>10</v>
      </c>
      <c r="N23" s="58" t="s">
        <v>10</v>
      </c>
      <c r="O23" s="120" t="s">
        <v>10</v>
      </c>
      <c r="P23" s="97"/>
      <c r="Q23" s="57">
        <f t="shared" si="1"/>
        <v>455.04585762495901</v>
      </c>
      <c r="R23" s="58">
        <f t="shared" si="2"/>
        <v>6825.6878643743903</v>
      </c>
    </row>
    <row r="24" spans="1:18" x14ac:dyDescent="0.25">
      <c r="A24" s="55">
        <v>44341</v>
      </c>
      <c r="B24" s="56" t="s">
        <v>22</v>
      </c>
      <c r="C24" s="108">
        <v>-1.6</v>
      </c>
      <c r="D24" s="109">
        <v>0.26458333333333334</v>
      </c>
      <c r="E24" s="57" t="str">
        <f>Effort!J22</f>
        <v>CLOSED</v>
      </c>
      <c r="F24" s="58" t="str">
        <f>Harvest!J22</f>
        <v>CLOSED</v>
      </c>
      <c r="G24" s="59" t="str">
        <f>CPUE!J22</f>
        <v>CLOSED</v>
      </c>
      <c r="H24" s="59"/>
      <c r="I24" s="57" t="str">
        <f>Effort!L22</f>
        <v>CLOSED</v>
      </c>
      <c r="J24" s="58" t="str">
        <f>Harvest!L22</f>
        <v>CLOSED</v>
      </c>
      <c r="K24" s="59" t="str">
        <f>CPUE!L22</f>
        <v>CLOSED</v>
      </c>
      <c r="L24" s="59"/>
      <c r="M24" s="57" t="s">
        <v>10</v>
      </c>
      <c r="N24" s="58" t="s">
        <v>10</v>
      </c>
      <c r="O24" s="97" t="s">
        <v>10</v>
      </c>
      <c r="P24" s="97"/>
      <c r="Q24" s="57">
        <f t="shared" si="1"/>
        <v>0</v>
      </c>
      <c r="R24" s="58">
        <f t="shared" si="2"/>
        <v>0</v>
      </c>
    </row>
    <row r="25" spans="1:18" x14ac:dyDescent="0.25">
      <c r="A25" s="55">
        <v>44342</v>
      </c>
      <c r="B25" s="56" t="s">
        <v>23</v>
      </c>
      <c r="C25" s="108">
        <v>-2.2999999999999998</v>
      </c>
      <c r="D25" s="109">
        <v>0.29791666666666666</v>
      </c>
      <c r="E25" s="57" t="str">
        <f>Effort!J23</f>
        <v>CLOSED</v>
      </c>
      <c r="F25" s="58" t="str">
        <f>Harvest!J23</f>
        <v>CLOSED</v>
      </c>
      <c r="G25" s="59" t="str">
        <f>CPUE!J23</f>
        <v>CLOSED</v>
      </c>
      <c r="H25" s="59"/>
      <c r="I25" s="57">
        <f>Effort!L23</f>
        <v>2185.1179711141399</v>
      </c>
      <c r="J25" s="58">
        <f>Harvest!L23</f>
        <v>32776.769566712101</v>
      </c>
      <c r="K25" s="59">
        <f>CPUE!L23</f>
        <v>15</v>
      </c>
      <c r="L25" s="59"/>
      <c r="M25" s="57" t="s">
        <v>10</v>
      </c>
      <c r="N25" s="58" t="s">
        <v>10</v>
      </c>
      <c r="O25" s="97" t="s">
        <v>10</v>
      </c>
      <c r="P25" s="60"/>
      <c r="Q25" s="57">
        <f t="shared" si="1"/>
        <v>2185.1179711141399</v>
      </c>
      <c r="R25" s="58">
        <f t="shared" si="2"/>
        <v>32776.769566712101</v>
      </c>
    </row>
    <row r="26" spans="1:18" x14ac:dyDescent="0.25">
      <c r="A26" s="55">
        <v>44343</v>
      </c>
      <c r="B26" s="56" t="s">
        <v>24</v>
      </c>
      <c r="C26" s="108">
        <v>-2.5</v>
      </c>
      <c r="D26" s="109">
        <v>0.33124999999999999</v>
      </c>
      <c r="E26" s="57" t="str">
        <f>Effort!J24</f>
        <v>CLOSED</v>
      </c>
      <c r="F26" s="58" t="str">
        <f>Harvest!J24</f>
        <v>CLOSED</v>
      </c>
      <c r="G26" s="59" t="str">
        <f>CPUE!J24</f>
        <v>CLOSED</v>
      </c>
      <c r="H26" s="59"/>
      <c r="I26" s="57" t="str">
        <f>Effort!L24</f>
        <v>CLOSED</v>
      </c>
      <c r="J26" s="58" t="str">
        <f>Harvest!L24</f>
        <v>CLOSED</v>
      </c>
      <c r="K26" s="59" t="str">
        <f>CPUE!L24</f>
        <v>CLOSED</v>
      </c>
      <c r="L26" s="59"/>
      <c r="M26" s="57" t="s">
        <v>10</v>
      </c>
      <c r="N26" s="58" t="s">
        <v>10</v>
      </c>
      <c r="O26" s="97" t="s">
        <v>10</v>
      </c>
      <c r="P26" s="97"/>
      <c r="Q26" s="57">
        <f t="shared" si="1"/>
        <v>0</v>
      </c>
      <c r="R26" s="58">
        <f t="shared" si="2"/>
        <v>0</v>
      </c>
    </row>
    <row r="27" spans="1:18" x14ac:dyDescent="0.25">
      <c r="A27" s="55">
        <v>44344</v>
      </c>
      <c r="B27" s="56" t="s">
        <v>18</v>
      </c>
      <c r="C27" s="108">
        <v>-2.5</v>
      </c>
      <c r="D27" s="109">
        <v>0.36527777777777781</v>
      </c>
      <c r="E27" s="57" t="str">
        <f>Effort!J25</f>
        <v>CLOSED</v>
      </c>
      <c r="F27" s="58" t="str">
        <f>Harvest!J25</f>
        <v>CLOSED</v>
      </c>
      <c r="G27" s="59" t="str">
        <f>CPUE!J25</f>
        <v>CLOSED</v>
      </c>
      <c r="H27" s="59"/>
      <c r="I27" s="57">
        <f>Effort!L25</f>
        <v>4767.2726239448803</v>
      </c>
      <c r="J27" s="58">
        <f>Harvest!L25</f>
        <v>71509.0893591731</v>
      </c>
      <c r="K27" s="59">
        <f>CPUE!L25</f>
        <v>15</v>
      </c>
      <c r="L27" s="59"/>
      <c r="M27" s="57" t="s">
        <v>10</v>
      </c>
      <c r="N27" s="58" t="s">
        <v>10</v>
      </c>
      <c r="O27" s="97" t="s">
        <v>10</v>
      </c>
      <c r="P27" s="60"/>
      <c r="Q27" s="57">
        <f t="shared" si="1"/>
        <v>4767.2726239448803</v>
      </c>
      <c r="R27" s="58">
        <f t="shared" si="2"/>
        <v>71509.0893591731</v>
      </c>
    </row>
    <row r="28" spans="1:18" x14ac:dyDescent="0.25">
      <c r="A28" s="55">
        <v>44345</v>
      </c>
      <c r="B28" s="56" t="s">
        <v>19</v>
      </c>
      <c r="C28" s="108">
        <v>-2.2000000000000002</v>
      </c>
      <c r="D28" s="109">
        <v>0.39930555555555558</v>
      </c>
      <c r="E28" s="57" t="str">
        <f>Effort!J26</f>
        <v>CLOSED</v>
      </c>
      <c r="F28" s="58" t="str">
        <f>Harvest!J26</f>
        <v>CLOSED</v>
      </c>
      <c r="G28" s="59" t="str">
        <f>CPUE!J26</f>
        <v>CLOSED</v>
      </c>
      <c r="H28" s="59"/>
      <c r="I28" s="57" t="str">
        <f>Effort!L26</f>
        <v>CLOSED</v>
      </c>
      <c r="J28" s="58" t="str">
        <f>Harvest!L26</f>
        <v>CLOSED</v>
      </c>
      <c r="K28" s="59" t="str">
        <f>CPUE!L26</f>
        <v>CLOSED</v>
      </c>
      <c r="L28" s="59"/>
      <c r="M28" s="57" t="s">
        <v>10</v>
      </c>
      <c r="N28" s="58" t="s">
        <v>10</v>
      </c>
      <c r="O28" s="97" t="s">
        <v>10</v>
      </c>
      <c r="P28" s="60"/>
      <c r="Q28" s="57">
        <f t="shared" si="1"/>
        <v>0</v>
      </c>
      <c r="R28" s="58">
        <f t="shared" si="2"/>
        <v>0</v>
      </c>
    </row>
    <row r="29" spans="1:18" x14ac:dyDescent="0.25">
      <c r="A29" s="55">
        <v>44346</v>
      </c>
      <c r="B29" s="56" t="s">
        <v>20</v>
      </c>
      <c r="C29" s="108">
        <v>-1.6</v>
      </c>
      <c r="D29" s="109">
        <v>0.43472222222222223</v>
      </c>
      <c r="E29" s="57" t="str">
        <f>Effort!J27</f>
        <v>CLOSED</v>
      </c>
      <c r="F29" s="58" t="str">
        <f>Harvest!J27</f>
        <v>CLOSED</v>
      </c>
      <c r="G29" s="59" t="str">
        <f>CPUE!J27</f>
        <v>CLOSED</v>
      </c>
      <c r="H29" s="59"/>
      <c r="I29" s="57">
        <f>Effort!L27</f>
        <v>8698.1816296538109</v>
      </c>
      <c r="J29" s="58">
        <f>Harvest!L27</f>
        <v>130472.724444807</v>
      </c>
      <c r="K29" s="59">
        <f>CPUE!L27</f>
        <v>15</v>
      </c>
      <c r="L29" s="59"/>
      <c r="M29" s="57" t="s">
        <v>10</v>
      </c>
      <c r="N29" s="58" t="s">
        <v>10</v>
      </c>
      <c r="O29" s="97" t="s">
        <v>10</v>
      </c>
      <c r="P29" s="99"/>
      <c r="Q29" s="57">
        <f t="shared" si="1"/>
        <v>8698.1816296538109</v>
      </c>
      <c r="R29" s="58">
        <f t="shared" si="2"/>
        <v>130472.724444807</v>
      </c>
    </row>
    <row r="30" spans="1:18" x14ac:dyDescent="0.25">
      <c r="A30" s="127" t="s">
        <v>57</v>
      </c>
      <c r="B30" s="127"/>
      <c r="C30" s="127"/>
      <c r="D30" s="128"/>
      <c r="E30" s="63"/>
      <c r="F30" s="64"/>
      <c r="G30" s="65"/>
      <c r="H30" s="65"/>
      <c r="I30" s="63">
        <f>SUM(I23:I29)</f>
        <v>16105.618082337791</v>
      </c>
      <c r="J30" s="64">
        <f>SUM(J23:J29)</f>
        <v>241584.27123506658</v>
      </c>
      <c r="K30" s="65">
        <f>+J30/I30</f>
        <v>14.999999999999982</v>
      </c>
      <c r="L30" s="65"/>
      <c r="M30" s="63"/>
      <c r="N30" s="64"/>
      <c r="O30" s="115"/>
      <c r="P30" s="65"/>
      <c r="Q30" s="63">
        <f>SUM(Q23:Q29)</f>
        <v>16105.618082337791</v>
      </c>
      <c r="R30" s="64">
        <f>SUM(R23:R29)</f>
        <v>241584.27123506658</v>
      </c>
    </row>
    <row r="31" spans="1:18" ht="15.75" thickBot="1" x14ac:dyDescent="0.3"/>
    <row r="32" spans="1:18" ht="15.75" thickTop="1" x14ac:dyDescent="0.25">
      <c r="A32" s="76" t="s">
        <v>58</v>
      </c>
      <c r="B32" s="77"/>
      <c r="C32" s="77"/>
      <c r="D32" s="77"/>
      <c r="E32" s="78">
        <f>SUM(E11,E18)</f>
        <v>15177.176400813745</v>
      </c>
      <c r="F32" s="78">
        <f>SUM(F11,F18)</f>
        <v>227657.64601220551</v>
      </c>
      <c r="G32" s="79">
        <f>+F32/E32</f>
        <v>14.999999999999956</v>
      </c>
      <c r="H32" s="79"/>
      <c r="I32" s="78">
        <f>SUM(I11,I18,I22,I30)</f>
        <v>43181.521185748679</v>
      </c>
      <c r="J32" s="78">
        <f>SUM(J11,J18,J22,J30)</f>
        <v>647730.81778622966</v>
      </c>
      <c r="K32" s="79">
        <f>+J32/I32</f>
        <v>15.000185264432094</v>
      </c>
      <c r="L32" s="79"/>
      <c r="M32" s="78">
        <f>SUM(M11)</f>
        <v>0</v>
      </c>
      <c r="N32" s="78">
        <f>SUM(N11)</f>
        <v>0</v>
      </c>
      <c r="O32" s="79">
        <v>0</v>
      </c>
      <c r="P32" s="79"/>
      <c r="Q32" s="78">
        <f>SUM(Q11,Q18,Q22,Q30)</f>
        <v>58358.697586562426</v>
      </c>
      <c r="R32" s="78">
        <f>SUM(R11,R18,R22,R30)</f>
        <v>875388.46379843529</v>
      </c>
    </row>
    <row r="33" spans="1:18" x14ac:dyDescent="0.25">
      <c r="A33" s="80" t="s">
        <v>59</v>
      </c>
      <c r="B33" s="81"/>
      <c r="C33" s="81"/>
      <c r="D33" s="81"/>
      <c r="E33" s="82"/>
      <c r="F33" s="82">
        <f>Harvest!J31</f>
        <v>18212.611680976443</v>
      </c>
      <c r="G33" s="83"/>
      <c r="H33" s="83"/>
      <c r="I33" s="82"/>
      <c r="J33" s="82">
        <f>Harvest!L31</f>
        <v>17272.82180763279</v>
      </c>
      <c r="K33" s="83"/>
      <c r="L33" s="83"/>
      <c r="M33" s="82"/>
      <c r="N33" s="82">
        <f>Harvest!N31</f>
        <v>0</v>
      </c>
      <c r="O33" s="83"/>
      <c r="P33" s="83"/>
      <c r="Q33" s="82"/>
      <c r="R33" s="82"/>
    </row>
    <row r="34" spans="1:18" x14ac:dyDescent="0.25">
      <c r="A34" s="84" t="s">
        <v>60</v>
      </c>
      <c r="B34" s="85"/>
      <c r="C34" s="85"/>
      <c r="D34" s="85"/>
      <c r="E34" s="86">
        <f>Effort!J29</f>
        <v>15177.176400813745</v>
      </c>
      <c r="F34" s="86">
        <f>F32+F33</f>
        <v>245870.25769318195</v>
      </c>
      <c r="G34" s="87"/>
      <c r="H34" s="87"/>
      <c r="I34" s="86">
        <f>Effort!L29</f>
        <v>43181.521185748679</v>
      </c>
      <c r="J34" s="86">
        <f>J32+J33</f>
        <v>665003.63959386246</v>
      </c>
      <c r="K34" s="87"/>
      <c r="L34" s="87"/>
      <c r="M34" s="86">
        <f>Effort!N29</f>
        <v>0</v>
      </c>
      <c r="N34" s="86">
        <f>N32+N33</f>
        <v>0</v>
      </c>
      <c r="O34" s="87"/>
      <c r="P34" s="87"/>
      <c r="Q34" s="86">
        <f>SUM(Q32:Q33)</f>
        <v>58358.697586562426</v>
      </c>
      <c r="R34" s="88">
        <f>SUM(R32:R33)</f>
        <v>875388.46379843529</v>
      </c>
    </row>
    <row r="35" spans="1:18" x14ac:dyDescent="0.25">
      <c r="A35" s="89" t="s">
        <v>14</v>
      </c>
      <c r="B35" s="90"/>
      <c r="C35" s="90"/>
      <c r="D35" s="90"/>
      <c r="E35" s="90"/>
      <c r="F35" s="91">
        <f>Harvest!J34</f>
        <v>0.10375581463365291</v>
      </c>
      <c r="G35" s="90"/>
      <c r="H35" s="90"/>
      <c r="I35" s="90"/>
      <c r="J35" s="91">
        <f>Harvest!L34</f>
        <v>0.28533323933572319</v>
      </c>
      <c r="K35" s="90"/>
      <c r="L35" s="90"/>
      <c r="M35" s="90"/>
      <c r="N35" s="91">
        <f>Harvest!N34</f>
        <v>0</v>
      </c>
      <c r="O35" s="90"/>
      <c r="P35" s="90"/>
      <c r="Q35" s="90"/>
      <c r="R35" s="92"/>
    </row>
    <row r="37" spans="1:18" x14ac:dyDescent="0.25">
      <c r="R37" s="34"/>
    </row>
  </sheetData>
  <mergeCells count="8">
    <mergeCell ref="A30:D30"/>
    <mergeCell ref="A22:D22"/>
    <mergeCell ref="A18:D18"/>
    <mergeCell ref="Q2:R2"/>
    <mergeCell ref="A11:D11"/>
    <mergeCell ref="E2:H2"/>
    <mergeCell ref="I2:L2"/>
    <mergeCell ref="M2:P2"/>
  </mergeCells>
  <pageMargins left="0.7" right="0.7" top="0.75" bottom="0.75" header="0.3" footer="0.3"/>
  <pageSetup scale="7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13.140625" style="34" customWidth="1"/>
    <col min="3" max="4" width="11.140625" customWidth="1"/>
    <col min="5" max="5" width="11.5703125" customWidth="1"/>
    <col min="6" max="7" width="12.28515625" customWidth="1"/>
    <col min="8" max="8" width="11.7109375" customWidth="1"/>
    <col min="9" max="9" width="11.85546875" customWidth="1"/>
    <col min="10" max="10" width="10.85546875" customWidth="1"/>
    <col min="11" max="11" width="11.42578125" customWidth="1"/>
  </cols>
  <sheetData>
    <row r="1" spans="1:12" x14ac:dyDescent="0.25">
      <c r="A1" s="38" t="s">
        <v>35</v>
      </c>
      <c r="B1" s="67"/>
      <c r="C1" s="38"/>
      <c r="D1" s="38"/>
      <c r="E1" s="38"/>
      <c r="F1" s="38"/>
      <c r="G1" s="38"/>
      <c r="H1" s="38"/>
      <c r="I1" s="38"/>
    </row>
    <row r="2" spans="1:12" x14ac:dyDescent="0.25">
      <c r="A2" s="38"/>
      <c r="B2" s="67"/>
      <c r="C2" s="38"/>
      <c r="D2" s="38"/>
      <c r="E2" s="38"/>
      <c r="F2" s="38"/>
      <c r="G2" s="38"/>
      <c r="H2" s="38"/>
      <c r="I2" s="38"/>
    </row>
    <row r="3" spans="1:12" ht="15.75" thickBot="1" x14ac:dyDescent="0.3">
      <c r="A3" s="38"/>
      <c r="B3" s="67" t="s">
        <v>63</v>
      </c>
      <c r="C3" s="67" t="s">
        <v>51</v>
      </c>
      <c r="D3" s="20" t="s">
        <v>36</v>
      </c>
      <c r="E3" s="20" t="s">
        <v>37</v>
      </c>
      <c r="F3" s="38" t="s">
        <v>38</v>
      </c>
      <c r="G3" s="20" t="s">
        <v>39</v>
      </c>
      <c r="H3" s="38" t="s">
        <v>40</v>
      </c>
      <c r="I3" s="20" t="s">
        <v>41</v>
      </c>
      <c r="J3" s="20" t="s">
        <v>42</v>
      </c>
      <c r="K3" s="20" t="s">
        <v>43</v>
      </c>
      <c r="L3" s="20" t="s">
        <v>44</v>
      </c>
    </row>
    <row r="4" spans="1:12" x14ac:dyDescent="0.25">
      <c r="A4" s="39" t="s">
        <v>45</v>
      </c>
      <c r="B4" s="68">
        <v>9916787</v>
      </c>
      <c r="C4" s="68">
        <v>5205466.8000000007</v>
      </c>
      <c r="D4" s="40">
        <v>333557</v>
      </c>
      <c r="E4" s="40">
        <v>872679.52221495111</v>
      </c>
      <c r="F4" s="40">
        <v>4895623.5998578668</v>
      </c>
      <c r="G4" s="40">
        <v>4768605</v>
      </c>
      <c r="H4" s="40">
        <v>3885491.5446236241</v>
      </c>
      <c r="I4" s="40">
        <v>2881223.2800000003</v>
      </c>
      <c r="J4" s="40">
        <v>1847952.1349999998</v>
      </c>
      <c r="K4" s="40">
        <v>1094641.4136540764</v>
      </c>
      <c r="L4" s="40">
        <v>1276247.6927039789</v>
      </c>
    </row>
    <row r="5" spans="1:12" x14ac:dyDescent="0.25">
      <c r="A5" s="41" t="s">
        <v>46</v>
      </c>
      <c r="B5" s="69">
        <v>2084291</v>
      </c>
      <c r="C5" s="69">
        <v>1843227.2000000002</v>
      </c>
      <c r="D5" s="42">
        <v>1377125</v>
      </c>
      <c r="E5" s="42">
        <v>506698.75607162755</v>
      </c>
      <c r="F5" s="42">
        <v>1896630.873404826</v>
      </c>
      <c r="G5" s="42">
        <v>1198600</v>
      </c>
      <c r="H5" s="42">
        <v>2662860.8000000003</v>
      </c>
      <c r="I5" s="42">
        <f>5744410.73323314*0.4</f>
        <v>2297764.2932932558</v>
      </c>
      <c r="J5" s="42">
        <v>1881783.2000000002</v>
      </c>
      <c r="K5" s="42">
        <v>616314.30636927264</v>
      </c>
      <c r="L5" s="42">
        <v>845427.66684737173</v>
      </c>
    </row>
    <row r="6" spans="1:12" x14ac:dyDescent="0.25">
      <c r="A6" s="41" t="s">
        <v>47</v>
      </c>
      <c r="B6" s="69">
        <v>2369701</v>
      </c>
      <c r="C6" s="69">
        <v>2036078.6</v>
      </c>
      <c r="D6" s="42">
        <v>860768</v>
      </c>
      <c r="E6" s="42">
        <v>591366.11976499634</v>
      </c>
      <c r="F6" s="42">
        <v>880571.44910342421</v>
      </c>
      <c r="G6" s="42">
        <v>1094781</v>
      </c>
      <c r="H6" s="43">
        <v>889827.43342746096</v>
      </c>
      <c r="I6" s="44">
        <f>(2615522*0.5)-(161153)+250000</f>
        <v>1396608</v>
      </c>
      <c r="J6" s="42">
        <v>1072689.5999999999</v>
      </c>
      <c r="K6" s="42">
        <v>371373.03795949166</v>
      </c>
      <c r="L6" s="42">
        <v>683167.40704835602</v>
      </c>
    </row>
    <row r="7" spans="1:12" x14ac:dyDescent="0.25">
      <c r="A7" s="41" t="s">
        <v>48</v>
      </c>
      <c r="B7" s="69">
        <v>2330621</v>
      </c>
      <c r="C7" s="69">
        <v>1649890.4000000001</v>
      </c>
      <c r="D7" s="42">
        <v>1508774</v>
      </c>
      <c r="E7" s="42">
        <v>778354.53277878079</v>
      </c>
      <c r="F7" s="42">
        <v>941919.24030067341</v>
      </c>
      <c r="G7" s="42">
        <v>1695074</v>
      </c>
      <c r="H7" s="42">
        <v>2240308.7479108246</v>
      </c>
      <c r="I7" s="42">
        <v>2088668.5</v>
      </c>
      <c r="J7" s="42">
        <v>909667.35</v>
      </c>
      <c r="K7" s="42">
        <v>605830.70008886908</v>
      </c>
      <c r="L7" s="42">
        <v>545586.68998891278</v>
      </c>
    </row>
    <row r="8" spans="1:12" ht="15.75" thickBot="1" x14ac:dyDescent="0.3">
      <c r="A8" s="45" t="s">
        <v>49</v>
      </c>
      <c r="B8" s="70">
        <v>362503</v>
      </c>
      <c r="C8" s="70">
        <v>219560.64800000002</v>
      </c>
      <c r="D8" s="46">
        <v>777386</v>
      </c>
      <c r="E8" s="46">
        <v>24444.430036493428</v>
      </c>
      <c r="F8" s="46">
        <v>725888.21174021007</v>
      </c>
      <c r="G8" s="46">
        <v>63740</v>
      </c>
      <c r="H8" s="46">
        <v>125735.12787535199</v>
      </c>
      <c r="I8" s="46">
        <f>1033285.9456848*0.254*0.5</f>
        <v>131227.31510196961</v>
      </c>
      <c r="J8" s="46">
        <v>113543.20699999999</v>
      </c>
      <c r="K8" s="46">
        <v>144560.51050788548</v>
      </c>
      <c r="L8" s="46">
        <v>258924.12448845015</v>
      </c>
    </row>
    <row r="9" spans="1:12" ht="16.5" thickBot="1" x14ac:dyDescent="0.3">
      <c r="A9" s="47" t="s">
        <v>50</v>
      </c>
      <c r="B9" s="71">
        <f>SUM(B4:B8)</f>
        <v>17063903</v>
      </c>
      <c r="C9" s="71">
        <f>SUM(C4:C8)</f>
        <v>10954223.648000002</v>
      </c>
      <c r="D9" s="48">
        <f>SUM(D4:D8)</f>
        <v>4857610</v>
      </c>
      <c r="E9" s="48">
        <f>SUM(E4:E8)</f>
        <v>2773543.3608668493</v>
      </c>
      <c r="F9" s="48">
        <f>SUM(F4:F8)</f>
        <v>9340633.3744070008</v>
      </c>
      <c r="G9" s="48">
        <f t="shared" ref="G9:L9" si="0">SUM(G4:G8)</f>
        <v>8820800</v>
      </c>
      <c r="H9" s="48">
        <f t="shared" si="0"/>
        <v>9804223.6538372617</v>
      </c>
      <c r="I9" s="48">
        <f t="shared" si="0"/>
        <v>8795491.3883952256</v>
      </c>
      <c r="J9" s="48">
        <f t="shared" si="0"/>
        <v>5825635.4919999996</v>
      </c>
      <c r="K9" s="48">
        <f t="shared" si="0"/>
        <v>2832719.968579595</v>
      </c>
      <c r="L9" s="48">
        <f t="shared" si="0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topLeftCell="A56" workbookViewId="0">
      <selection activeCell="E101" sqref="E101"/>
    </sheetView>
  </sheetViews>
  <sheetFormatPr defaultRowHeight="15" x14ac:dyDescent="0.25"/>
  <sheetData>
    <row r="1" spans="1:5" x14ac:dyDescent="0.25">
      <c r="A1" s="73" t="s">
        <v>30</v>
      </c>
      <c r="B1" s="73" t="s">
        <v>31</v>
      </c>
      <c r="C1" s="73" t="s">
        <v>32</v>
      </c>
      <c r="D1" s="73" t="s">
        <v>33</v>
      </c>
      <c r="E1" s="73" t="s">
        <v>34</v>
      </c>
    </row>
    <row r="2" spans="1:5" x14ac:dyDescent="0.25">
      <c r="A2">
        <v>1744</v>
      </c>
      <c r="B2">
        <v>22307</v>
      </c>
      <c r="C2">
        <v>100</v>
      </c>
      <c r="D2">
        <v>4</v>
      </c>
      <c r="E2">
        <v>4</v>
      </c>
    </row>
    <row r="3" spans="1:5" x14ac:dyDescent="0.25">
      <c r="A3">
        <v>1747</v>
      </c>
      <c r="B3">
        <v>22309</v>
      </c>
      <c r="C3">
        <v>50</v>
      </c>
      <c r="D3">
        <v>1</v>
      </c>
      <c r="E3">
        <v>1</v>
      </c>
    </row>
    <row r="4" spans="1:5" x14ac:dyDescent="0.25">
      <c r="A4">
        <v>1747</v>
      </c>
      <c r="B4">
        <v>22307</v>
      </c>
      <c r="C4">
        <v>50</v>
      </c>
      <c r="D4">
        <v>6</v>
      </c>
      <c r="E4">
        <v>6</v>
      </c>
    </row>
    <row r="100" spans="3:6" x14ac:dyDescent="0.25">
      <c r="C100">
        <f>SUM(C2:C99)</f>
        <v>200</v>
      </c>
      <c r="D100">
        <f>SUM(D2:D99)</f>
        <v>11</v>
      </c>
      <c r="E100">
        <f>SUM(E2:E99)</f>
        <v>11</v>
      </c>
      <c r="F100" s="37">
        <f>E100/C100</f>
        <v>5.5E-2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"/>
  <sheetViews>
    <sheetView workbookViewId="0">
      <selection activeCell="E11" sqref="E11"/>
    </sheetView>
  </sheetViews>
  <sheetFormatPr defaultRowHeight="15" x14ac:dyDescent="0.25"/>
  <sheetData>
    <row r="1" spans="1:5" x14ac:dyDescent="0.25">
      <c r="A1" s="36" t="s">
        <v>30</v>
      </c>
      <c r="B1" s="36" t="s">
        <v>31</v>
      </c>
      <c r="C1" s="36" t="s">
        <v>32</v>
      </c>
      <c r="D1" s="36" t="s">
        <v>33</v>
      </c>
      <c r="E1" s="36" t="s">
        <v>34</v>
      </c>
    </row>
    <row r="2" spans="1:5" x14ac:dyDescent="0.25">
      <c r="A2" s="74">
        <v>1742</v>
      </c>
      <c r="B2" s="75">
        <v>11200</v>
      </c>
      <c r="C2" s="74">
        <v>50</v>
      </c>
      <c r="D2" s="74">
        <v>2</v>
      </c>
      <c r="E2" s="74">
        <v>2</v>
      </c>
    </row>
    <row r="3" spans="1:5" x14ac:dyDescent="0.25">
      <c r="A3" s="74">
        <v>1742</v>
      </c>
      <c r="B3" s="75">
        <v>11200</v>
      </c>
      <c r="C3" s="74">
        <v>100</v>
      </c>
      <c r="D3" s="74">
        <v>7</v>
      </c>
      <c r="E3" s="74">
        <v>7</v>
      </c>
    </row>
    <row r="4" spans="1:5" x14ac:dyDescent="0.25">
      <c r="A4">
        <v>1742</v>
      </c>
      <c r="B4">
        <v>11104</v>
      </c>
      <c r="C4">
        <v>150</v>
      </c>
      <c r="D4">
        <v>12</v>
      </c>
      <c r="E4">
        <v>12</v>
      </c>
    </row>
    <row r="5" spans="1:5" x14ac:dyDescent="0.25">
      <c r="A5">
        <v>1743</v>
      </c>
      <c r="B5">
        <v>12400</v>
      </c>
      <c r="C5">
        <v>50</v>
      </c>
      <c r="D5">
        <v>7</v>
      </c>
      <c r="E5">
        <v>7</v>
      </c>
    </row>
    <row r="6" spans="1:5" x14ac:dyDescent="0.25">
      <c r="A6">
        <v>1743</v>
      </c>
      <c r="B6">
        <v>12500</v>
      </c>
      <c r="C6">
        <v>50</v>
      </c>
      <c r="D6">
        <v>3</v>
      </c>
      <c r="E6">
        <v>3</v>
      </c>
    </row>
    <row r="7" spans="1:5" x14ac:dyDescent="0.25">
      <c r="A7">
        <v>1743</v>
      </c>
      <c r="B7">
        <v>12600</v>
      </c>
      <c r="C7">
        <v>50</v>
      </c>
      <c r="D7">
        <v>4</v>
      </c>
      <c r="E7">
        <v>4</v>
      </c>
    </row>
    <row r="8" spans="1:5" x14ac:dyDescent="0.25">
      <c r="A8" s="74">
        <v>1746</v>
      </c>
      <c r="B8" s="75">
        <v>12400</v>
      </c>
      <c r="C8" s="74">
        <v>100</v>
      </c>
      <c r="D8" s="74">
        <v>6</v>
      </c>
      <c r="E8" s="74">
        <v>6</v>
      </c>
    </row>
    <row r="9" spans="1:5" x14ac:dyDescent="0.25">
      <c r="A9" s="74">
        <v>1746</v>
      </c>
      <c r="B9" s="101">
        <v>12500</v>
      </c>
      <c r="C9" s="100">
        <v>50</v>
      </c>
      <c r="D9" s="100">
        <v>8</v>
      </c>
      <c r="E9" s="100">
        <v>8</v>
      </c>
    </row>
    <row r="10" spans="1:5" x14ac:dyDescent="0.25">
      <c r="A10" s="74">
        <v>1746</v>
      </c>
      <c r="B10" s="101">
        <v>12500</v>
      </c>
      <c r="C10">
        <v>50</v>
      </c>
      <c r="D10">
        <v>5</v>
      </c>
      <c r="E10">
        <v>5</v>
      </c>
    </row>
    <row r="100" spans="3:6" x14ac:dyDescent="0.25">
      <c r="C100">
        <f>SUM(C2:C99)</f>
        <v>650</v>
      </c>
      <c r="D100">
        <f>SUM(D2:D99)</f>
        <v>54</v>
      </c>
      <c r="E100">
        <f>SUM(E2:E99)</f>
        <v>54</v>
      </c>
      <c r="F100" s="37">
        <f>E100/C100</f>
        <v>8.3076923076923076E-2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workbookViewId="0">
      <selection activeCell="E3" sqref="E3"/>
    </sheetView>
  </sheetViews>
  <sheetFormatPr defaultRowHeight="15" x14ac:dyDescent="0.25"/>
  <sheetData>
    <row r="1" spans="1:5" x14ac:dyDescent="0.25">
      <c r="A1" s="73" t="s">
        <v>30</v>
      </c>
      <c r="B1" s="73" t="s">
        <v>31</v>
      </c>
      <c r="C1" s="73" t="s">
        <v>32</v>
      </c>
      <c r="D1" s="73" t="s">
        <v>33</v>
      </c>
      <c r="E1" s="73" t="s">
        <v>34</v>
      </c>
    </row>
    <row r="2" spans="1:5" x14ac:dyDescent="0.25">
      <c r="A2" s="74">
        <v>1745</v>
      </c>
      <c r="B2" s="75">
        <v>33012</v>
      </c>
      <c r="C2" s="74">
        <v>100</v>
      </c>
      <c r="D2" s="74">
        <v>8</v>
      </c>
      <c r="E2" s="74">
        <v>8</v>
      </c>
    </row>
    <row r="100" spans="3:6" x14ac:dyDescent="0.25">
      <c r="C100">
        <f>SUM(C2:C99)</f>
        <v>100</v>
      </c>
      <c r="D100">
        <f>SUM(D2:D99)</f>
        <v>8</v>
      </c>
      <c r="E100">
        <f>SUM(E2:E99)</f>
        <v>8</v>
      </c>
      <c r="F100" s="37">
        <f>E100/C100</f>
        <v>0.08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"/>
  <sheetViews>
    <sheetView workbookViewId="0">
      <selection activeCell="A16" sqref="A16"/>
    </sheetView>
  </sheetViews>
  <sheetFormatPr defaultRowHeight="15" x14ac:dyDescent="0.25"/>
  <sheetData>
    <row r="1" spans="1:5" x14ac:dyDescent="0.25">
      <c r="A1" s="73" t="s">
        <v>30</v>
      </c>
      <c r="B1" s="73" t="s">
        <v>31</v>
      </c>
      <c r="C1" s="73" t="s">
        <v>32</v>
      </c>
      <c r="D1" s="73" t="s">
        <v>33</v>
      </c>
      <c r="E1" s="73" t="s">
        <v>34</v>
      </c>
    </row>
    <row r="2" spans="1:5" x14ac:dyDescent="0.25">
      <c r="A2" s="74">
        <v>1748</v>
      </c>
      <c r="B2" s="75">
        <v>41400</v>
      </c>
      <c r="C2" s="74">
        <v>100</v>
      </c>
      <c r="D2" s="74">
        <v>4</v>
      </c>
      <c r="E2" s="74">
        <v>4</v>
      </c>
    </row>
    <row r="3" spans="1:5" x14ac:dyDescent="0.25">
      <c r="A3" s="74">
        <v>1748</v>
      </c>
      <c r="B3" s="75">
        <v>41300</v>
      </c>
      <c r="C3" s="74">
        <v>100</v>
      </c>
      <c r="D3" s="74">
        <v>3</v>
      </c>
      <c r="E3" s="74">
        <v>3</v>
      </c>
    </row>
    <row r="4" spans="1:5" x14ac:dyDescent="0.25">
      <c r="A4" s="74">
        <v>1748</v>
      </c>
      <c r="B4" s="75">
        <v>42600</v>
      </c>
      <c r="C4" s="74">
        <v>100</v>
      </c>
      <c r="D4" s="74">
        <v>1</v>
      </c>
      <c r="E4" s="74">
        <v>1</v>
      </c>
    </row>
    <row r="5" spans="1:5" x14ac:dyDescent="0.25">
      <c r="A5" s="74">
        <v>1748</v>
      </c>
      <c r="B5" s="113">
        <v>42500</v>
      </c>
      <c r="C5" s="114">
        <v>100</v>
      </c>
      <c r="D5" s="114">
        <v>3</v>
      </c>
      <c r="E5" s="114">
        <v>3</v>
      </c>
    </row>
    <row r="6" spans="1:5" x14ac:dyDescent="0.25">
      <c r="A6" s="114">
        <v>1763</v>
      </c>
      <c r="B6" s="113">
        <v>42500</v>
      </c>
      <c r="C6" s="114">
        <v>50</v>
      </c>
      <c r="D6" s="114">
        <v>0</v>
      </c>
      <c r="E6" s="114">
        <v>0</v>
      </c>
    </row>
    <row r="7" spans="1:5" x14ac:dyDescent="0.25">
      <c r="A7" s="114">
        <v>1763</v>
      </c>
      <c r="B7" s="113">
        <v>42600</v>
      </c>
      <c r="C7" s="114">
        <v>100</v>
      </c>
      <c r="D7" s="114">
        <v>5</v>
      </c>
      <c r="E7" s="114">
        <v>5</v>
      </c>
    </row>
    <row r="8" spans="1:5" x14ac:dyDescent="0.25">
      <c r="A8" s="114">
        <v>1763</v>
      </c>
      <c r="B8" s="113">
        <v>41100</v>
      </c>
      <c r="C8" s="114">
        <v>100</v>
      </c>
      <c r="D8" s="114">
        <v>2</v>
      </c>
      <c r="E8" s="114">
        <v>2</v>
      </c>
    </row>
    <row r="9" spans="1:5" x14ac:dyDescent="0.25">
      <c r="A9" s="114">
        <v>1763</v>
      </c>
      <c r="B9" s="113">
        <v>41400</v>
      </c>
      <c r="C9" s="114">
        <v>100</v>
      </c>
      <c r="D9" s="114">
        <v>1</v>
      </c>
      <c r="E9" s="114">
        <v>1</v>
      </c>
    </row>
    <row r="10" spans="1:5" x14ac:dyDescent="0.25">
      <c r="A10" s="114">
        <v>1767</v>
      </c>
      <c r="B10" s="113">
        <v>42500</v>
      </c>
      <c r="C10" s="114">
        <v>100</v>
      </c>
      <c r="D10" s="114">
        <v>3</v>
      </c>
      <c r="E10" s="114">
        <v>3</v>
      </c>
    </row>
    <row r="11" spans="1:5" x14ac:dyDescent="0.25">
      <c r="A11" s="114">
        <v>1767</v>
      </c>
      <c r="B11" s="113">
        <v>41400</v>
      </c>
      <c r="C11" s="114">
        <v>100</v>
      </c>
      <c r="D11" s="114">
        <v>2</v>
      </c>
      <c r="E11" s="114">
        <v>2</v>
      </c>
    </row>
    <row r="12" spans="1:5" x14ac:dyDescent="0.25">
      <c r="A12" s="114">
        <v>1767</v>
      </c>
      <c r="B12" s="113">
        <v>41100</v>
      </c>
      <c r="C12" s="114">
        <v>100</v>
      </c>
      <c r="D12" s="114">
        <v>2</v>
      </c>
      <c r="E12" s="114">
        <v>2</v>
      </c>
    </row>
    <row r="13" spans="1:5" x14ac:dyDescent="0.25">
      <c r="A13" s="114">
        <v>1767</v>
      </c>
      <c r="B13" s="113">
        <v>41200</v>
      </c>
      <c r="C13" s="114">
        <v>100</v>
      </c>
      <c r="D13" s="114">
        <v>3</v>
      </c>
      <c r="E13" s="114">
        <v>3</v>
      </c>
    </row>
    <row r="14" spans="1:5" x14ac:dyDescent="0.25">
      <c r="A14" s="114">
        <v>1768</v>
      </c>
      <c r="B14" s="113">
        <v>42600</v>
      </c>
      <c r="C14" s="114">
        <v>100</v>
      </c>
      <c r="D14" s="114">
        <v>4</v>
      </c>
      <c r="E14" s="114">
        <v>4</v>
      </c>
    </row>
    <row r="15" spans="1:5" x14ac:dyDescent="0.25">
      <c r="A15" s="114">
        <v>1768</v>
      </c>
      <c r="B15" s="113">
        <v>42500</v>
      </c>
      <c r="C15" s="114">
        <v>100</v>
      </c>
      <c r="D15" s="114">
        <v>3</v>
      </c>
      <c r="E15" s="114">
        <v>3</v>
      </c>
    </row>
    <row r="100" spans="3:6" x14ac:dyDescent="0.25">
      <c r="C100">
        <f>SUM(C2:C99)</f>
        <v>1350</v>
      </c>
      <c r="D100">
        <f>SUM(D2:D99)</f>
        <v>36</v>
      </c>
      <c r="E100">
        <f>SUM(E2:E99)</f>
        <v>36</v>
      </c>
      <c r="F100" s="37">
        <f>E100/C100</f>
        <v>2.6666666666666668E-2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D22" sqref="D22"/>
    </sheetView>
  </sheetViews>
  <sheetFormatPr defaultRowHeight="15" x14ac:dyDescent="0.25"/>
  <cols>
    <col min="1" max="1" width="17.140625" customWidth="1"/>
    <col min="2" max="2" width="16.7109375" customWidth="1"/>
    <col min="4" max="4" width="16.42578125" customWidth="1"/>
  </cols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A69DCA-2D53-49D0-8E5D-3A88B210EE30}"/>
</file>

<file path=customXml/itemProps2.xml><?xml version="1.0" encoding="utf-8"?>
<ds:datastoreItem xmlns:ds="http://schemas.openxmlformats.org/officeDocument/2006/customXml" ds:itemID="{18C228D4-A426-41FE-AB9B-20A0D9CEEF20}"/>
</file>

<file path=customXml/itemProps3.xml><?xml version="1.0" encoding="utf-8"?>
<ds:datastoreItem xmlns:ds="http://schemas.openxmlformats.org/officeDocument/2006/customXml" ds:itemID="{840C860D-31A6-4AEA-8184-C53E0BB9B5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Harvest</vt:lpstr>
      <vt:lpstr>Effort</vt:lpstr>
      <vt:lpstr>CPUE</vt:lpstr>
      <vt:lpstr>Summary Table</vt:lpstr>
      <vt:lpstr>Tribal Update</vt:lpstr>
      <vt:lpstr>TAC</vt:lpstr>
      <vt:lpstr>TH Wastage</vt:lpstr>
      <vt:lpstr>LB Wastage</vt:lpstr>
      <vt:lpstr>Cop Wastage</vt:lpstr>
      <vt:lpstr>Moc Wastage</vt:lpstr>
      <vt:lpstr>Kal Wastage</vt:lpstr>
      <vt:lpstr>Copy Sheet</vt:lpstr>
      <vt:lpstr>'Tribal Update'!Print_Area</vt:lpstr>
    </vt:vector>
  </TitlesOfParts>
  <Company>Washington Dept of Fish &amp;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Blumenthal, Bryce W (DFW)</dc:creator>
  <cp:lastModifiedBy>George, Matthew (DFW)</cp:lastModifiedBy>
  <cp:lastPrinted>2019-11-25T21:21:53Z</cp:lastPrinted>
  <dcterms:created xsi:type="dcterms:W3CDTF">2019-10-01T18:03:52Z</dcterms:created>
  <dcterms:modified xsi:type="dcterms:W3CDTF">2023-11-15T22:21:38Z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2021-08-12T22:56:18Z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052576c6-e71d-45ef-8ed5-e8fa8d164822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Order">
    <vt:r8>2815400</vt:r8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</Properties>
</file>