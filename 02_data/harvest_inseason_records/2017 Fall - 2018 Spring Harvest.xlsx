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codeName="ThisWorkbook" defaultThemeVersion="124226"/>
  <mc:AlternateContent xmlns:mc="http://schemas.openxmlformats.org/markup-compatibility/2006">
    <mc:Choice Requires="x15">
      <x15ac:absPath xmlns:x15ac="http://schemas.microsoft.com/office/spreadsheetml/2010/11/ac" url="S:\Reg6\FP\Razor Clam\Harvest\2017 Fall - 2018 Spring\"/>
    </mc:Choice>
  </mc:AlternateContent>
  <bookViews>
    <workbookView xWindow="120" yWindow="2325" windowWidth="19095" windowHeight="9000" firstSheet="1" activeTab="4"/>
  </bookViews>
  <sheets>
    <sheet name="Sheet1" sheetId="14" r:id="rId1"/>
    <sheet name="Harvest" sheetId="1" r:id="rId2"/>
    <sheet name="Effort" sheetId="3" r:id="rId3"/>
    <sheet name="CPUE" sheetId="2" r:id="rId4"/>
    <sheet name="Summary Table" sheetId="4" r:id="rId5"/>
    <sheet name="Copy Sheet" sheetId="5" r:id="rId6"/>
    <sheet name="Tide Info" sheetId="13" r:id="rId7"/>
    <sheet name="Tribal update" sheetId="12" r:id="rId8"/>
    <sheet name="TAC" sheetId="6" r:id="rId9"/>
    <sheet name="TH Wastage" sheetId="8" r:id="rId10"/>
    <sheet name="LB Wastage" sheetId="9" r:id="rId11"/>
    <sheet name="Cop Wastage" sheetId="10" r:id="rId12"/>
    <sheet name="Moc Wastage" sheetId="11" r:id="rId13"/>
  </sheets>
  <definedNames>
    <definedName name="_xlnm.Print_Area" localSheetId="4">'Summary Table'!$A$1:$U$42</definedName>
    <definedName name="_xlnm.Print_Area" localSheetId="7">'Tribal update'!$A$1:$R$42</definedName>
    <definedName name="_xlnm.Print_Titles" localSheetId="4">'Summary Table'!$1:$1</definedName>
  </definedNames>
  <calcPr calcId="162913"/>
</workbook>
</file>

<file path=xl/calcChain.xml><?xml version="1.0" encoding="utf-8"?>
<calcChain xmlns="http://schemas.openxmlformats.org/spreadsheetml/2006/main">
  <c r="L43" i="3" l="1"/>
  <c r="C92" i="5" l="1"/>
  <c r="F40" i="4" l="1"/>
  <c r="I40" i="4"/>
  <c r="H40" i="8"/>
  <c r="J44" i="1"/>
  <c r="F44" i="1"/>
  <c r="R39" i="12" l="1"/>
  <c r="Q39" i="12"/>
  <c r="Q38" i="12"/>
  <c r="R38" i="12"/>
  <c r="R37" i="12"/>
  <c r="R36" i="12"/>
  <c r="R35" i="12"/>
  <c r="R34" i="12"/>
  <c r="Q37" i="12"/>
  <c r="Q36" i="12"/>
  <c r="Q35" i="12"/>
  <c r="Q34" i="12"/>
  <c r="F39" i="12"/>
  <c r="E39" i="12"/>
  <c r="J39" i="12"/>
  <c r="I39" i="12"/>
  <c r="E38" i="12" l="1"/>
  <c r="F38" i="12"/>
  <c r="I38" i="12"/>
  <c r="J38" i="12"/>
  <c r="F39" i="4"/>
  <c r="E39" i="4"/>
  <c r="G38" i="4"/>
  <c r="E38" i="4"/>
  <c r="F38" i="4"/>
  <c r="F35" i="2"/>
  <c r="F34" i="2"/>
  <c r="H44" i="1" l="1"/>
  <c r="I39" i="4"/>
  <c r="H39" i="4"/>
  <c r="J38" i="4"/>
  <c r="I38" i="4"/>
  <c r="H38" i="4"/>
  <c r="H35" i="2"/>
  <c r="H34" i="2"/>
  <c r="O35" i="3" l="1"/>
  <c r="O35" i="1"/>
  <c r="L34" i="1"/>
  <c r="J34" i="2"/>
  <c r="L35" i="2"/>
  <c r="L33" i="2"/>
  <c r="L32" i="2" l="1"/>
  <c r="R32" i="12" l="1"/>
  <c r="R31" i="12"/>
  <c r="Q32" i="12"/>
  <c r="Q31" i="12"/>
  <c r="G33" i="12"/>
  <c r="E33" i="12"/>
  <c r="F33" i="12"/>
  <c r="U12" i="4"/>
  <c r="G33" i="4" l="1"/>
  <c r="E33" i="4"/>
  <c r="F33" i="4"/>
  <c r="F30" i="2"/>
  <c r="H30" i="2" l="1"/>
  <c r="J30" i="2"/>
  <c r="J29" i="2"/>
  <c r="L30" i="2"/>
  <c r="L29" i="2"/>
  <c r="R33" i="12" l="1"/>
  <c r="Q33" i="12"/>
  <c r="J33" i="12"/>
  <c r="K33" i="12" s="1"/>
  <c r="I33" i="12"/>
  <c r="Q30" i="12" l="1"/>
  <c r="R30" i="12"/>
  <c r="R29" i="12"/>
  <c r="R28" i="12"/>
  <c r="Q29" i="12"/>
  <c r="Q28" i="12"/>
  <c r="K30" i="12"/>
  <c r="I30" i="12"/>
  <c r="J30" i="12"/>
  <c r="P30" i="4" l="1"/>
  <c r="N30" i="4"/>
  <c r="O30" i="4"/>
  <c r="T30" i="4"/>
  <c r="U30" i="4"/>
  <c r="U29" i="4"/>
  <c r="U28" i="4"/>
  <c r="T29" i="4"/>
  <c r="T28" i="4"/>
  <c r="L27" i="2"/>
  <c r="L26" i="2" l="1"/>
  <c r="B37" i="4" l="1"/>
  <c r="B36" i="4"/>
  <c r="B35" i="4"/>
  <c r="B34" i="4"/>
  <c r="B32" i="4"/>
  <c r="B31" i="4"/>
  <c r="B29" i="4"/>
  <c r="B28" i="4"/>
  <c r="S37" i="4"/>
  <c r="R37" i="4"/>
  <c r="Q37" i="4"/>
  <c r="P37" i="4"/>
  <c r="O37" i="4"/>
  <c r="N37" i="4"/>
  <c r="M37" i="4"/>
  <c r="L37" i="4"/>
  <c r="K37" i="4"/>
  <c r="J37" i="4"/>
  <c r="I37" i="4"/>
  <c r="H37" i="4"/>
  <c r="G37" i="4"/>
  <c r="F37" i="4"/>
  <c r="E37" i="4"/>
  <c r="S36" i="4"/>
  <c r="R36" i="4"/>
  <c r="Q36" i="4"/>
  <c r="P36" i="4"/>
  <c r="O36" i="4"/>
  <c r="N36" i="4"/>
  <c r="M36" i="4"/>
  <c r="L36" i="4"/>
  <c r="L38" i="4" s="1"/>
  <c r="K36" i="4"/>
  <c r="K38" i="4" s="1"/>
  <c r="J36" i="4"/>
  <c r="I36" i="4"/>
  <c r="H36" i="4"/>
  <c r="G36" i="4"/>
  <c r="F36" i="4"/>
  <c r="E36" i="4"/>
  <c r="S35" i="4"/>
  <c r="R35" i="4"/>
  <c r="Q35" i="4"/>
  <c r="P35" i="4"/>
  <c r="O35" i="4"/>
  <c r="U35" i="4" s="1"/>
  <c r="N35" i="4"/>
  <c r="T35" i="4" s="1"/>
  <c r="M35" i="4"/>
  <c r="L35" i="4"/>
  <c r="K35" i="4"/>
  <c r="J35" i="4"/>
  <c r="I35" i="4"/>
  <c r="H35" i="4"/>
  <c r="G35" i="4"/>
  <c r="F35" i="4"/>
  <c r="E35" i="4"/>
  <c r="S34" i="4"/>
  <c r="R34" i="4"/>
  <c r="Q34" i="4"/>
  <c r="P34" i="4"/>
  <c r="O34" i="4"/>
  <c r="N34" i="4"/>
  <c r="M34" i="4"/>
  <c r="L34" i="4"/>
  <c r="K34" i="4"/>
  <c r="J34" i="4"/>
  <c r="I34" i="4"/>
  <c r="H34" i="4"/>
  <c r="G34" i="4"/>
  <c r="F34" i="4"/>
  <c r="E34" i="4"/>
  <c r="S32" i="4"/>
  <c r="R32" i="4"/>
  <c r="Q32" i="4"/>
  <c r="P32" i="4"/>
  <c r="O32" i="4"/>
  <c r="N32" i="4"/>
  <c r="M32" i="4"/>
  <c r="L32" i="4"/>
  <c r="K32" i="4"/>
  <c r="J32" i="4"/>
  <c r="I32" i="4"/>
  <c r="I33" i="4" s="1"/>
  <c r="H32" i="4"/>
  <c r="H33" i="4" s="1"/>
  <c r="G32" i="4"/>
  <c r="F32" i="4"/>
  <c r="E32" i="4"/>
  <c r="S31" i="4"/>
  <c r="R31" i="4"/>
  <c r="Q31" i="4"/>
  <c r="P31" i="4"/>
  <c r="O31" i="4"/>
  <c r="N31" i="4"/>
  <c r="M31" i="4"/>
  <c r="L31" i="4"/>
  <c r="L33" i="4" s="1"/>
  <c r="K31" i="4"/>
  <c r="J31" i="4"/>
  <c r="I31" i="4"/>
  <c r="H31" i="4"/>
  <c r="G31" i="4"/>
  <c r="F31" i="4"/>
  <c r="E31" i="4"/>
  <c r="S29" i="4"/>
  <c r="R29" i="4"/>
  <c r="Q29" i="4"/>
  <c r="P29" i="4"/>
  <c r="O29" i="4"/>
  <c r="N29" i="4"/>
  <c r="M29" i="4"/>
  <c r="L29" i="4"/>
  <c r="K29" i="4"/>
  <c r="J29" i="4"/>
  <c r="I29" i="4"/>
  <c r="H29" i="4"/>
  <c r="G29" i="4"/>
  <c r="F29" i="4"/>
  <c r="E29" i="4"/>
  <c r="S28" i="4"/>
  <c r="R28" i="4"/>
  <c r="Q28" i="4"/>
  <c r="P28" i="4"/>
  <c r="O28" i="4"/>
  <c r="N28" i="4"/>
  <c r="M28" i="4"/>
  <c r="L28" i="4"/>
  <c r="K28" i="4"/>
  <c r="J28" i="4"/>
  <c r="I28" i="4"/>
  <c r="H28" i="4"/>
  <c r="G28" i="4"/>
  <c r="F28" i="4"/>
  <c r="E28" i="4"/>
  <c r="O34" i="3"/>
  <c r="O33" i="3"/>
  <c r="O32" i="3"/>
  <c r="O30" i="3"/>
  <c r="O29" i="3"/>
  <c r="O27" i="3"/>
  <c r="O26" i="3"/>
  <c r="O34" i="1"/>
  <c r="O33" i="1"/>
  <c r="O32" i="1"/>
  <c r="O30" i="1"/>
  <c r="O29" i="1"/>
  <c r="O27" i="1"/>
  <c r="O26" i="1"/>
  <c r="B35" i="2"/>
  <c r="B34" i="2"/>
  <c r="B33" i="2"/>
  <c r="B32" i="2"/>
  <c r="B30" i="2"/>
  <c r="B29" i="2"/>
  <c r="B27" i="2"/>
  <c r="B26" i="2"/>
  <c r="B35" i="3"/>
  <c r="B34" i="3"/>
  <c r="B33" i="3"/>
  <c r="B32" i="3"/>
  <c r="B30" i="3"/>
  <c r="B29" i="3"/>
  <c r="B27" i="3"/>
  <c r="B26" i="3"/>
  <c r="B35" i="1"/>
  <c r="B34" i="1"/>
  <c r="B33" i="1"/>
  <c r="B32" i="1"/>
  <c r="B30" i="1"/>
  <c r="B29" i="1"/>
  <c r="B27" i="1"/>
  <c r="B26" i="1"/>
  <c r="L39" i="4" l="1"/>
  <c r="M38" i="4"/>
  <c r="T36" i="4"/>
  <c r="T37" i="4"/>
  <c r="U37" i="4"/>
  <c r="U36" i="4"/>
  <c r="O33" i="2"/>
  <c r="O35" i="2"/>
  <c r="O34" i="2"/>
  <c r="T34" i="4"/>
  <c r="N38" i="4"/>
  <c r="N39" i="4" s="1"/>
  <c r="O38" i="4"/>
  <c r="U34" i="4"/>
  <c r="U38" i="4" s="1"/>
  <c r="U39" i="4" s="1"/>
  <c r="O32" i="2"/>
  <c r="U32" i="4"/>
  <c r="J33" i="4"/>
  <c r="K33" i="4"/>
  <c r="O29" i="2"/>
  <c r="O30" i="2"/>
  <c r="T31" i="4"/>
  <c r="N33" i="4"/>
  <c r="T32" i="4"/>
  <c r="T33" i="4" s="1"/>
  <c r="M33" i="4"/>
  <c r="U31" i="4"/>
  <c r="O33" i="4"/>
  <c r="U33" i="4"/>
  <c r="O27" i="2"/>
  <c r="O26" i="2"/>
  <c r="R26" i="12"/>
  <c r="R25" i="12"/>
  <c r="R24" i="12"/>
  <c r="R23" i="12"/>
  <c r="R22" i="12"/>
  <c r="R21" i="12"/>
  <c r="R20" i="12"/>
  <c r="Q26" i="12"/>
  <c r="Q25" i="12"/>
  <c r="Q24" i="12"/>
  <c r="Q23" i="12"/>
  <c r="Q22" i="12"/>
  <c r="Q21" i="12"/>
  <c r="Q20" i="12"/>
  <c r="T38" i="4" l="1"/>
  <c r="P38" i="4"/>
  <c r="O39" i="4"/>
  <c r="P33" i="4"/>
  <c r="Q27" i="12"/>
  <c r="R27" i="12"/>
  <c r="I27" i="12"/>
  <c r="J27" i="12"/>
  <c r="E27" i="12"/>
  <c r="F27" i="12"/>
  <c r="G27" i="12" s="1"/>
  <c r="K27" i="12" l="1"/>
  <c r="F24" i="2"/>
  <c r="F23" i="2"/>
  <c r="F22" i="2"/>
  <c r="F21" i="2"/>
  <c r="H24" i="2"/>
  <c r="H23" i="2"/>
  <c r="H22" i="2"/>
  <c r="H21" i="2"/>
  <c r="J23" i="2"/>
  <c r="J21" i="2"/>
  <c r="L24" i="2"/>
  <c r="L22" i="2"/>
  <c r="L20" i="2"/>
  <c r="H20" i="2"/>
  <c r="J19" i="2" l="1"/>
  <c r="L18" i="2" l="1"/>
  <c r="G20" i="14" l="1"/>
  <c r="B20" i="14"/>
  <c r="H19" i="14"/>
  <c r="B19" i="14"/>
  <c r="G18" i="14"/>
  <c r="B18" i="14"/>
  <c r="H17" i="14"/>
  <c r="B17" i="14"/>
  <c r="G16" i="14"/>
  <c r="E16" i="14"/>
  <c r="B16" i="14"/>
  <c r="H15" i="14"/>
  <c r="F15" i="14"/>
  <c r="E15" i="14"/>
  <c r="B15" i="14"/>
  <c r="G14" i="14"/>
  <c r="F14" i="14"/>
  <c r="E14" i="14"/>
  <c r="B14" i="14"/>
  <c r="E13" i="14"/>
  <c r="B13" i="14"/>
  <c r="B12" i="14"/>
  <c r="G11" i="14"/>
  <c r="H10" i="14"/>
  <c r="G9" i="14"/>
  <c r="H8" i="14"/>
  <c r="F8" i="14"/>
  <c r="E8" i="14"/>
  <c r="G7" i="14"/>
  <c r="H6" i="14"/>
  <c r="G5" i="14"/>
  <c r="H4" i="14"/>
  <c r="F4" i="14"/>
  <c r="E4" i="14"/>
  <c r="R12" i="12" l="1"/>
  <c r="Q12" i="12"/>
  <c r="R18" i="12" l="1"/>
  <c r="R17" i="12"/>
  <c r="R19" i="12" s="1"/>
  <c r="Q18" i="12"/>
  <c r="Q17" i="12"/>
  <c r="Q19" i="12" s="1"/>
  <c r="F15" i="1" l="1"/>
  <c r="Z44" i="5"/>
  <c r="L16" i="2" l="1"/>
  <c r="H16" i="2"/>
  <c r="L15" i="2"/>
  <c r="J15" i="2"/>
  <c r="H15" i="2"/>
  <c r="F15" i="2"/>
  <c r="B26" i="12" l="1"/>
  <c r="B25" i="12"/>
  <c r="B24" i="12"/>
  <c r="B23" i="12"/>
  <c r="B22" i="12"/>
  <c r="B21" i="12"/>
  <c r="B20" i="12"/>
  <c r="S26" i="4" l="1"/>
  <c r="R26" i="4"/>
  <c r="Q26" i="4"/>
  <c r="P26" i="4"/>
  <c r="O26" i="4"/>
  <c r="N26" i="4"/>
  <c r="M26" i="4"/>
  <c r="L26" i="4"/>
  <c r="K26" i="4"/>
  <c r="J26" i="4"/>
  <c r="I26" i="4"/>
  <c r="H26" i="4"/>
  <c r="G26" i="4"/>
  <c r="F26" i="4"/>
  <c r="E26" i="4"/>
  <c r="S25" i="4"/>
  <c r="R25" i="4"/>
  <c r="Q25" i="4"/>
  <c r="P25" i="4"/>
  <c r="O25" i="4"/>
  <c r="N25" i="4"/>
  <c r="M25" i="4"/>
  <c r="L25" i="4"/>
  <c r="K25" i="4"/>
  <c r="J25" i="4"/>
  <c r="I25" i="4"/>
  <c r="H25" i="4"/>
  <c r="G25" i="4"/>
  <c r="F25" i="4"/>
  <c r="E25" i="4"/>
  <c r="S24" i="4"/>
  <c r="R24" i="4"/>
  <c r="Q24" i="4"/>
  <c r="P24" i="4"/>
  <c r="O24" i="4"/>
  <c r="N24" i="4"/>
  <c r="M24" i="4"/>
  <c r="L24" i="4"/>
  <c r="K24" i="4"/>
  <c r="J24" i="4"/>
  <c r="I24" i="4"/>
  <c r="H24" i="4"/>
  <c r="G24" i="4"/>
  <c r="F24" i="4"/>
  <c r="E24" i="4"/>
  <c r="S23" i="4"/>
  <c r="R23" i="4"/>
  <c r="Q23" i="4"/>
  <c r="P23" i="4"/>
  <c r="O23" i="4"/>
  <c r="N23" i="4"/>
  <c r="M23" i="4"/>
  <c r="L23" i="4"/>
  <c r="K23" i="4"/>
  <c r="J23" i="4"/>
  <c r="I23" i="4"/>
  <c r="H23" i="4"/>
  <c r="G23" i="4"/>
  <c r="F23" i="4"/>
  <c r="E23" i="4"/>
  <c r="S22" i="4"/>
  <c r="R22" i="4"/>
  <c r="Q22" i="4"/>
  <c r="P22" i="4"/>
  <c r="O22" i="4"/>
  <c r="N22" i="4"/>
  <c r="M22" i="4"/>
  <c r="L22" i="4"/>
  <c r="K22" i="4"/>
  <c r="J22" i="4"/>
  <c r="I22" i="4"/>
  <c r="H22" i="4"/>
  <c r="G22" i="4"/>
  <c r="F22" i="4"/>
  <c r="E22" i="4"/>
  <c r="S21" i="4"/>
  <c r="R21" i="4"/>
  <c r="Q21" i="4"/>
  <c r="P21" i="4"/>
  <c r="O21" i="4"/>
  <c r="N21" i="4"/>
  <c r="M21" i="4"/>
  <c r="L21" i="4"/>
  <c r="K21" i="4"/>
  <c r="J21" i="4"/>
  <c r="I21" i="4"/>
  <c r="H21" i="4"/>
  <c r="G21" i="4"/>
  <c r="F21" i="4"/>
  <c r="E21" i="4"/>
  <c r="S20" i="4"/>
  <c r="R20" i="4"/>
  <c r="Q20" i="4"/>
  <c r="P20" i="4"/>
  <c r="O20" i="4"/>
  <c r="U20" i="4" s="1"/>
  <c r="N20" i="4"/>
  <c r="M20" i="4"/>
  <c r="L20" i="4"/>
  <c r="K20" i="4"/>
  <c r="J20" i="4"/>
  <c r="I20" i="4"/>
  <c r="H20" i="4"/>
  <c r="G20" i="4"/>
  <c r="F20" i="4"/>
  <c r="E20" i="4"/>
  <c r="B24" i="2"/>
  <c r="B23" i="2"/>
  <c r="B22" i="2"/>
  <c r="B21" i="2"/>
  <c r="B20" i="2"/>
  <c r="B19" i="2"/>
  <c r="B18" i="2"/>
  <c r="O24" i="3"/>
  <c r="B24" i="3"/>
  <c r="O23" i="3"/>
  <c r="B23" i="3"/>
  <c r="O22" i="3"/>
  <c r="B22" i="3"/>
  <c r="O21" i="3"/>
  <c r="B21" i="3"/>
  <c r="O20" i="3"/>
  <c r="B20" i="3"/>
  <c r="O19" i="3"/>
  <c r="B19" i="3"/>
  <c r="O18" i="3"/>
  <c r="B18" i="3"/>
  <c r="O24" i="1"/>
  <c r="O23" i="1"/>
  <c r="O23" i="2" s="1"/>
  <c r="O22" i="1"/>
  <c r="O21" i="1"/>
  <c r="O20" i="1"/>
  <c r="O20" i="2" s="1"/>
  <c r="O19" i="1"/>
  <c r="O18" i="1"/>
  <c r="B24" i="1"/>
  <c r="B23" i="1"/>
  <c r="B22" i="1"/>
  <c r="B21" i="1"/>
  <c r="B20" i="1"/>
  <c r="B19" i="1"/>
  <c r="B18" i="1"/>
  <c r="B26" i="4"/>
  <c r="B25" i="4"/>
  <c r="B24" i="4"/>
  <c r="B23" i="4"/>
  <c r="B22" i="4"/>
  <c r="B21" i="4"/>
  <c r="B20" i="4"/>
  <c r="S18" i="4"/>
  <c r="R18" i="4"/>
  <c r="Q18" i="4"/>
  <c r="P18" i="4"/>
  <c r="O18" i="4"/>
  <c r="N18" i="4"/>
  <c r="M18" i="4"/>
  <c r="L18" i="4"/>
  <c r="K18" i="4"/>
  <c r="J18" i="4"/>
  <c r="I18" i="4"/>
  <c r="H18" i="4"/>
  <c r="G18" i="4"/>
  <c r="F18" i="4"/>
  <c r="E18" i="4"/>
  <c r="S17" i="4"/>
  <c r="R17" i="4"/>
  <c r="Q17" i="4"/>
  <c r="P17" i="4"/>
  <c r="O17" i="4"/>
  <c r="N17" i="4"/>
  <c r="M17" i="4"/>
  <c r="L17" i="4"/>
  <c r="K17" i="4"/>
  <c r="J17" i="4"/>
  <c r="I17" i="4"/>
  <c r="H17" i="4"/>
  <c r="G17" i="4"/>
  <c r="F17" i="4"/>
  <c r="E17" i="4"/>
  <c r="B18" i="4"/>
  <c r="B17" i="4"/>
  <c r="O16" i="3"/>
  <c r="O15" i="3"/>
  <c r="H13" i="3"/>
  <c r="O13" i="3"/>
  <c r="O12" i="3"/>
  <c r="O11" i="3"/>
  <c r="O10" i="3"/>
  <c r="O12" i="1"/>
  <c r="O11" i="1"/>
  <c r="O10" i="1"/>
  <c r="O10" i="2" s="1"/>
  <c r="O12" i="2"/>
  <c r="O11" i="2"/>
  <c r="B16" i="2"/>
  <c r="B15" i="2"/>
  <c r="B16" i="3"/>
  <c r="B15" i="3"/>
  <c r="O16" i="1"/>
  <c r="O15" i="1"/>
  <c r="B16" i="1"/>
  <c r="B15" i="1"/>
  <c r="O16" i="2" l="1"/>
  <c r="O18" i="2"/>
  <c r="T24" i="4"/>
  <c r="O19" i="2"/>
  <c r="L19" i="4"/>
  <c r="K19" i="4"/>
  <c r="T26" i="4"/>
  <c r="O24" i="2"/>
  <c r="O22" i="2"/>
  <c r="O21" i="2"/>
  <c r="L27" i="4"/>
  <c r="I27" i="4"/>
  <c r="U23" i="4"/>
  <c r="U25" i="4"/>
  <c r="K27" i="4"/>
  <c r="T23" i="4"/>
  <c r="U24" i="4"/>
  <c r="E19" i="4"/>
  <c r="N19" i="4"/>
  <c r="F19" i="4"/>
  <c r="G19" i="4" s="1"/>
  <c r="N27" i="4"/>
  <c r="O27" i="4"/>
  <c r="H27" i="4"/>
  <c r="F27" i="4"/>
  <c r="U17" i="4"/>
  <c r="T25" i="4"/>
  <c r="U26" i="4"/>
  <c r="U21" i="4"/>
  <c r="O19" i="4"/>
  <c r="U18" i="4"/>
  <c r="T18" i="4"/>
  <c r="H19" i="4"/>
  <c r="O15" i="2"/>
  <c r="E27" i="4"/>
  <c r="T21" i="4"/>
  <c r="U22" i="4"/>
  <c r="T20" i="4"/>
  <c r="T22" i="4"/>
  <c r="I19" i="4"/>
  <c r="T17" i="4"/>
  <c r="E16" i="12"/>
  <c r="F16" i="12"/>
  <c r="R15" i="12"/>
  <c r="R14" i="12"/>
  <c r="R13" i="12"/>
  <c r="R16" i="12" s="1"/>
  <c r="Q15" i="12"/>
  <c r="Q14" i="12"/>
  <c r="Q13" i="12"/>
  <c r="Q16" i="12" s="1"/>
  <c r="I16" i="12"/>
  <c r="J16" i="12"/>
  <c r="R10" i="12"/>
  <c r="R9" i="12"/>
  <c r="R8" i="12"/>
  <c r="R7" i="12"/>
  <c r="Q10" i="12"/>
  <c r="Q9" i="12"/>
  <c r="Q8" i="12"/>
  <c r="Q7" i="12"/>
  <c r="I11" i="12"/>
  <c r="J11" i="12"/>
  <c r="K11" i="12" s="1"/>
  <c r="E11" i="12"/>
  <c r="F11" i="12"/>
  <c r="K16" i="12" l="1"/>
  <c r="M19" i="4"/>
  <c r="G27" i="4"/>
  <c r="M27" i="4"/>
  <c r="J27" i="4"/>
  <c r="P27" i="4"/>
  <c r="U19" i="4"/>
  <c r="U27" i="4"/>
  <c r="P19" i="4"/>
  <c r="T19" i="4"/>
  <c r="J19" i="4"/>
  <c r="T27" i="4"/>
  <c r="Q11" i="12"/>
  <c r="G11" i="12"/>
  <c r="R11" i="12"/>
  <c r="G16" i="12"/>
  <c r="F13" i="2"/>
  <c r="F12" i="2"/>
  <c r="F11" i="2"/>
  <c r="H15" i="4" l="1"/>
  <c r="H13" i="1"/>
  <c r="O13" i="1" s="1"/>
  <c r="O13" i="2" s="1"/>
  <c r="H12" i="2"/>
  <c r="J14" i="4" s="1"/>
  <c r="H11" i="2"/>
  <c r="J13" i="4" s="1"/>
  <c r="L13" i="2"/>
  <c r="P15" i="4" s="1"/>
  <c r="L11" i="2"/>
  <c r="P13" i="4" s="1"/>
  <c r="J12" i="2"/>
  <c r="M14" i="4" s="1"/>
  <c r="J10" i="2"/>
  <c r="M12" i="4" s="1"/>
  <c r="S15" i="4"/>
  <c r="R15" i="4"/>
  <c r="Q15" i="4"/>
  <c r="O15" i="4"/>
  <c r="N15" i="4"/>
  <c r="M15" i="4"/>
  <c r="L15" i="4"/>
  <c r="K15" i="4"/>
  <c r="G15" i="4"/>
  <c r="F15" i="4"/>
  <c r="E15" i="4"/>
  <c r="S14" i="4"/>
  <c r="R14" i="4"/>
  <c r="Q14" i="4"/>
  <c r="P14" i="4"/>
  <c r="O14" i="4"/>
  <c r="N14" i="4"/>
  <c r="L14" i="4"/>
  <c r="K14" i="4"/>
  <c r="I14" i="4"/>
  <c r="H14" i="4"/>
  <c r="G14" i="4"/>
  <c r="F14" i="4"/>
  <c r="E14" i="4"/>
  <c r="S13" i="4"/>
  <c r="R13" i="4"/>
  <c r="Q13" i="4"/>
  <c r="O13" i="4"/>
  <c r="N13" i="4"/>
  <c r="M13" i="4"/>
  <c r="L13" i="4"/>
  <c r="K13" i="4"/>
  <c r="I13" i="4"/>
  <c r="H13" i="4"/>
  <c r="G13" i="4"/>
  <c r="F13" i="4"/>
  <c r="E13" i="4"/>
  <c r="S12" i="4"/>
  <c r="R12" i="4"/>
  <c r="Q12" i="4"/>
  <c r="P12" i="4"/>
  <c r="O12" i="4"/>
  <c r="N12" i="4"/>
  <c r="L12" i="4"/>
  <c r="K12" i="4"/>
  <c r="J12" i="4"/>
  <c r="I12" i="4"/>
  <c r="H12" i="4"/>
  <c r="G12" i="4"/>
  <c r="F12" i="4"/>
  <c r="E12" i="4"/>
  <c r="B13" i="2"/>
  <c r="B12" i="2"/>
  <c r="B11" i="2"/>
  <c r="B10" i="2"/>
  <c r="B13" i="3"/>
  <c r="B12" i="3"/>
  <c r="B11" i="3"/>
  <c r="B10" i="3"/>
  <c r="B13" i="1"/>
  <c r="B12" i="1"/>
  <c r="B11" i="1"/>
  <c r="B10" i="1"/>
  <c r="O16" i="4" l="1"/>
  <c r="I15" i="4"/>
  <c r="U15" i="4" s="1"/>
  <c r="H13" i="2"/>
  <c r="J15" i="4" s="1"/>
  <c r="N16" i="4"/>
  <c r="P16" i="4" s="1"/>
  <c r="L16" i="4"/>
  <c r="H16" i="4"/>
  <c r="T14" i="4"/>
  <c r="U14" i="4"/>
  <c r="K16" i="4"/>
  <c r="T12" i="4"/>
  <c r="T13" i="4"/>
  <c r="E16" i="4"/>
  <c r="F16" i="4"/>
  <c r="U13" i="4"/>
  <c r="T15" i="4"/>
  <c r="S10" i="4"/>
  <c r="R10" i="4"/>
  <c r="Q10" i="4"/>
  <c r="O10" i="4"/>
  <c r="N10" i="4"/>
  <c r="M10" i="4"/>
  <c r="L10" i="4"/>
  <c r="K10" i="4"/>
  <c r="I10" i="4"/>
  <c r="H10" i="4"/>
  <c r="F10" i="4"/>
  <c r="E10" i="4"/>
  <c r="S9" i="4"/>
  <c r="R9" i="4"/>
  <c r="Q9" i="4"/>
  <c r="P9" i="4"/>
  <c r="O9" i="4"/>
  <c r="N9" i="4"/>
  <c r="L9" i="4"/>
  <c r="K9" i="4"/>
  <c r="I9" i="4"/>
  <c r="H9" i="4"/>
  <c r="F9" i="4"/>
  <c r="E9" i="4"/>
  <c r="S8" i="4"/>
  <c r="R8" i="4"/>
  <c r="Q8" i="4"/>
  <c r="O8" i="4"/>
  <c r="N8" i="4"/>
  <c r="M8" i="4"/>
  <c r="L8" i="4"/>
  <c r="K8" i="4"/>
  <c r="I8" i="4"/>
  <c r="H8" i="4"/>
  <c r="F8" i="4"/>
  <c r="E8" i="4"/>
  <c r="L8" i="2"/>
  <c r="P10" i="4" s="1"/>
  <c r="L6" i="2"/>
  <c r="P8" i="4" s="1"/>
  <c r="J7" i="2"/>
  <c r="M9" i="4" s="1"/>
  <c r="H8" i="2"/>
  <c r="J10" i="4" s="1"/>
  <c r="H7" i="2"/>
  <c r="J9" i="4" s="1"/>
  <c r="H6" i="2"/>
  <c r="J8" i="4" s="1"/>
  <c r="F8" i="2"/>
  <c r="G10" i="4" s="1"/>
  <c r="F7" i="2"/>
  <c r="G9" i="4" s="1"/>
  <c r="F6" i="2"/>
  <c r="G8" i="4" s="1"/>
  <c r="T10" i="4" l="1"/>
  <c r="M16" i="4"/>
  <c r="I16" i="4"/>
  <c r="I11" i="4"/>
  <c r="E11" i="4"/>
  <c r="J16" i="4"/>
  <c r="U16" i="4"/>
  <c r="T8" i="4"/>
  <c r="T16" i="4"/>
  <c r="T9" i="4"/>
  <c r="U10" i="4"/>
  <c r="G16" i="4"/>
  <c r="F11" i="4"/>
  <c r="G11" i="4" s="1"/>
  <c r="O11" i="4"/>
  <c r="U9" i="4"/>
  <c r="N11" i="4"/>
  <c r="H11" i="4"/>
  <c r="U8" i="4"/>
  <c r="J11" i="4" l="1"/>
  <c r="P11" i="4"/>
  <c r="S7" i="4"/>
  <c r="R7" i="4"/>
  <c r="Q7" i="4"/>
  <c r="P7" i="4"/>
  <c r="O7" i="4"/>
  <c r="N7" i="4"/>
  <c r="L7" i="4"/>
  <c r="K7" i="4"/>
  <c r="K11" i="4" s="1"/>
  <c r="K39" i="4" s="1"/>
  <c r="J7" i="4"/>
  <c r="I7" i="4"/>
  <c r="H7" i="4"/>
  <c r="G7" i="4"/>
  <c r="F7" i="4"/>
  <c r="E7" i="4"/>
  <c r="J5" i="2"/>
  <c r="M7" i="4" s="1"/>
  <c r="U7" i="4" l="1"/>
  <c r="U11" i="4" s="1"/>
  <c r="L11" i="4"/>
  <c r="M11" i="4" s="1"/>
  <c r="T7" i="4"/>
  <c r="T11" i="4" s="1"/>
  <c r="T39" i="4" s="1"/>
  <c r="O8" i="3"/>
  <c r="O7" i="3"/>
  <c r="O6" i="3"/>
  <c r="O5" i="3"/>
  <c r="O8" i="1"/>
  <c r="O7" i="1"/>
  <c r="O6" i="1"/>
  <c r="O5" i="1"/>
  <c r="O5" i="2" l="1"/>
  <c r="O8" i="2"/>
  <c r="O7" i="2"/>
  <c r="O6" i="2"/>
  <c r="B8" i="2"/>
  <c r="B7" i="2"/>
  <c r="B6" i="2"/>
  <c r="B5" i="2"/>
  <c r="B8" i="3"/>
  <c r="B7" i="3"/>
  <c r="B6" i="3"/>
  <c r="B5" i="3"/>
  <c r="B8" i="1"/>
  <c r="B7" i="1"/>
  <c r="B6" i="1"/>
  <c r="B5" i="1"/>
  <c r="I6" i="12" l="1"/>
  <c r="J6" i="12"/>
  <c r="F6" i="12"/>
  <c r="E6" i="12"/>
  <c r="K39" i="12" l="1"/>
  <c r="G6" i="12"/>
  <c r="F43" i="1"/>
  <c r="B9" i="6"/>
  <c r="L3" i="2"/>
  <c r="L2" i="2"/>
  <c r="J3" i="2"/>
  <c r="J2" i="2"/>
  <c r="H3" i="2"/>
  <c r="H2" i="2"/>
  <c r="F3" i="2"/>
  <c r="F2" i="2"/>
  <c r="O3" i="1"/>
  <c r="O2" i="1"/>
  <c r="O3" i="3"/>
  <c r="O3" i="2" s="1"/>
  <c r="O2" i="3"/>
  <c r="O2" i="2" s="1"/>
  <c r="R5" i="12" l="1"/>
  <c r="R4" i="12"/>
  <c r="Q5" i="12"/>
  <c r="Q4" i="12"/>
  <c r="Q6" i="12" l="1"/>
  <c r="R6" i="12"/>
  <c r="H43" i="1"/>
  <c r="E40" i="10" l="1"/>
  <c r="F40" i="10"/>
  <c r="G40" i="10"/>
  <c r="E40" i="11"/>
  <c r="F40" i="11"/>
  <c r="G40" i="11"/>
  <c r="E40" i="8"/>
  <c r="F40" i="8"/>
  <c r="G40" i="8"/>
  <c r="H40" i="11" l="1"/>
  <c r="L44" i="1" s="1"/>
  <c r="K6" i="12" l="1"/>
  <c r="G39" i="12" l="1"/>
  <c r="C9" i="6" l="1"/>
  <c r="S5" i="4" l="1"/>
  <c r="R5" i="4"/>
  <c r="Q5" i="4"/>
  <c r="P5" i="4"/>
  <c r="O5" i="4"/>
  <c r="N5" i="4"/>
  <c r="M5" i="4"/>
  <c r="L5" i="4"/>
  <c r="K5" i="4"/>
  <c r="J5" i="4"/>
  <c r="I5" i="4"/>
  <c r="H5" i="4"/>
  <c r="G5" i="4"/>
  <c r="F5" i="4"/>
  <c r="E5" i="4"/>
  <c r="T5" i="4" l="1"/>
  <c r="U5" i="4"/>
  <c r="E100" i="9"/>
  <c r="F100" i="9"/>
  <c r="G100" i="9"/>
  <c r="E100" i="11" l="1"/>
  <c r="F100" i="11"/>
  <c r="G100" i="11"/>
  <c r="E100" i="10"/>
  <c r="F100" i="10"/>
  <c r="G100" i="10"/>
  <c r="H100" i="11" l="1"/>
  <c r="H100" i="10"/>
  <c r="F45" i="1" l="1"/>
  <c r="J43" i="1"/>
  <c r="L43" i="1"/>
  <c r="D9" i="6" l="1"/>
  <c r="O43" i="1"/>
  <c r="E4" i="4" l="1"/>
  <c r="E6" i="4" s="1"/>
  <c r="F4" i="4"/>
  <c r="F6" i="4" s="1"/>
  <c r="H4" i="4"/>
  <c r="I4" i="4"/>
  <c r="G39" i="4" l="1"/>
  <c r="G6" i="4"/>
  <c r="I6" i="4"/>
  <c r="H6" i="4"/>
  <c r="E41" i="4"/>
  <c r="J39" i="4" l="1"/>
  <c r="J6" i="4"/>
  <c r="H41" i="4"/>
  <c r="E9" i="6" l="1"/>
  <c r="G4" i="4"/>
  <c r="F6" i="6" l="1"/>
  <c r="N41" i="12" l="1"/>
  <c r="M41" i="12"/>
  <c r="I41" i="12" l="1"/>
  <c r="E41" i="12"/>
  <c r="Q41" i="12" l="1"/>
  <c r="K41" i="12"/>
  <c r="G41" i="12"/>
  <c r="J4" i="4" l="1"/>
  <c r="F5" i="6" l="1"/>
  <c r="F8" i="6"/>
  <c r="G9" i="6"/>
  <c r="H9" i="6"/>
  <c r="I9" i="6"/>
  <c r="O43" i="3" l="1"/>
  <c r="F9" i="6" l="1"/>
  <c r="L45" i="1" l="1"/>
  <c r="O40" i="4" s="1"/>
  <c r="J40" i="12" l="1"/>
  <c r="J41" i="12" s="1"/>
  <c r="H43" i="3"/>
  <c r="J43" i="3"/>
  <c r="N43" i="3"/>
  <c r="S4" i="4" l="1"/>
  <c r="R4" i="4"/>
  <c r="Q4" i="4"/>
  <c r="P4" i="4"/>
  <c r="O4" i="4"/>
  <c r="O6" i="4" s="1"/>
  <c r="N4" i="4"/>
  <c r="L4" i="4"/>
  <c r="K4" i="4"/>
  <c r="N43" i="1"/>
  <c r="U4" i="4" l="1"/>
  <c r="U6" i="4" s="1"/>
  <c r="N6" i="4"/>
  <c r="T4" i="4"/>
  <c r="T6" i="4" s="1"/>
  <c r="L6" i="4"/>
  <c r="K6" i="4"/>
  <c r="J45" i="1"/>
  <c r="N46" i="1"/>
  <c r="L46" i="1"/>
  <c r="L43" i="2"/>
  <c r="J43" i="2"/>
  <c r="L40" i="4" l="1"/>
  <c r="F40" i="12"/>
  <c r="P39" i="4"/>
  <c r="M39" i="4"/>
  <c r="L49" i="1"/>
  <c r="L48" i="1"/>
  <c r="J42" i="12" s="1"/>
  <c r="N49" i="1"/>
  <c r="N48" i="1"/>
  <c r="N42" i="12" s="1"/>
  <c r="P6" i="4"/>
  <c r="V39" i="4"/>
  <c r="M6" i="4"/>
  <c r="J46" i="1"/>
  <c r="K41" i="4"/>
  <c r="R41" i="4"/>
  <c r="Q41" i="4"/>
  <c r="J48" i="1" l="1"/>
  <c r="F42" i="12" s="1"/>
  <c r="J49" i="1"/>
  <c r="R40" i="12"/>
  <c r="R41" i="12" s="1"/>
  <c r="F41" i="12"/>
  <c r="O42" i="4"/>
  <c r="R42" i="4"/>
  <c r="L41" i="4"/>
  <c r="M41" i="4" s="1"/>
  <c r="N41" i="4"/>
  <c r="O41" i="4"/>
  <c r="P41" i="4" l="1"/>
  <c r="L42" i="4"/>
  <c r="F43" i="3"/>
  <c r="M4" i="4" l="1"/>
  <c r="T41" i="4" l="1"/>
  <c r="H45" i="1" l="1"/>
  <c r="I41" i="4" s="1"/>
  <c r="H43" i="2"/>
  <c r="H46" i="1" l="1"/>
  <c r="H49" i="1" l="1"/>
  <c r="H48" i="1"/>
  <c r="I42" i="4" s="1"/>
  <c r="F43" i="2" l="1"/>
  <c r="F41" i="4"/>
  <c r="G41" i="4" s="1"/>
  <c r="O45" i="1" l="1"/>
  <c r="O46" i="1" s="1"/>
  <c r="F46" i="1"/>
  <c r="F48" i="1" l="1"/>
  <c r="F49" i="1"/>
  <c r="O49" i="1"/>
  <c r="O48" i="1"/>
  <c r="F42" i="4"/>
  <c r="U40" i="4"/>
  <c r="U41" i="4" s="1"/>
</calcChain>
</file>

<file path=xl/comments1.xml><?xml version="1.0" encoding="utf-8"?>
<comments xmlns="http://schemas.openxmlformats.org/spreadsheetml/2006/main">
  <authors>
    <author>WDFW</author>
  </authors>
  <commentList>
    <comment ref="L32" authorId="0" shapeId="0">
      <text>
        <r>
          <rPr>
            <b/>
            <sz val="9"/>
            <color indexed="81"/>
            <rFont val="Tahoma"/>
            <family val="2"/>
          </rPr>
          <t>WDFW:</t>
        </r>
        <r>
          <rPr>
            <sz val="9"/>
            <color indexed="81"/>
            <rFont val="Tahoma"/>
            <family val="2"/>
          </rPr>
          <t xml:space="preserve">
Used correction factor from Ingress taken this day.</t>
        </r>
      </text>
    </comment>
    <comment ref="L33" authorId="0" shapeId="0">
      <text>
        <r>
          <rPr>
            <b/>
            <sz val="9"/>
            <color indexed="81"/>
            <rFont val="Tahoma"/>
            <family val="2"/>
          </rPr>
          <t>WDFW:</t>
        </r>
        <r>
          <rPr>
            <sz val="9"/>
            <color indexed="81"/>
            <rFont val="Tahoma"/>
            <family val="2"/>
          </rPr>
          <t xml:space="preserve">
Used correction factor from Ingress taken this day.</t>
        </r>
      </text>
    </comment>
    <comment ref="L34" authorId="0" shapeId="0">
      <text>
        <r>
          <rPr>
            <b/>
            <sz val="9"/>
            <color indexed="81"/>
            <rFont val="Tahoma"/>
            <family val="2"/>
          </rPr>
          <t>WDFW:</t>
        </r>
        <r>
          <rPr>
            <sz val="9"/>
            <color indexed="81"/>
            <rFont val="Tahoma"/>
            <family val="2"/>
          </rPr>
          <t xml:space="preserve">
Calculated harvest using CPUE from Copalis of 10.1 to reflect diggers that stayed lated and didn’t get their limit. The crew didn't stay around to get interviews after the tide when many people were still trying. Correction factor is an average of the Ingress data collected on 4/19 and 4/20.</t>
        </r>
      </text>
    </comment>
    <comment ref="L35" authorId="0" shapeId="0">
      <text>
        <r>
          <rPr>
            <b/>
            <sz val="9"/>
            <color indexed="81"/>
            <rFont val="Tahoma"/>
            <family val="2"/>
          </rPr>
          <t>WDFW:</t>
        </r>
        <r>
          <rPr>
            <sz val="9"/>
            <color indexed="81"/>
            <rFont val="Tahoma"/>
            <family val="2"/>
          </rPr>
          <t xml:space="preserve">
Correction factor is an average of the Ingress data collected on 4/19 and 4/20.</t>
        </r>
      </text>
    </comment>
  </commentList>
</comments>
</file>

<file path=xl/comments2.xml><?xml version="1.0" encoding="utf-8"?>
<comments xmlns="http://schemas.openxmlformats.org/spreadsheetml/2006/main">
  <authors>
    <author>WDFW</author>
    <author>Deibert, John R (DFW)</author>
    <author>Ayres, Daniel L (DFW)</author>
  </authors>
  <commentList>
    <comment ref="E4" authorId="0" shapeId="0">
      <text>
        <r>
          <rPr>
            <b/>
            <sz val="9"/>
            <color indexed="81"/>
            <rFont val="Tahoma"/>
            <family val="2"/>
          </rPr>
          <t>WDFW:</t>
        </r>
        <r>
          <rPr>
            <sz val="9"/>
            <color indexed="81"/>
            <rFont val="Tahoma"/>
            <family val="2"/>
          </rPr>
          <t xml:space="preserve">
40% exploitation rate</t>
        </r>
      </text>
    </comment>
    <comment ref="F4" authorId="1" shapeId="0">
      <text>
        <r>
          <rPr>
            <b/>
            <sz val="9"/>
            <color indexed="81"/>
            <rFont val="Tahoma"/>
            <family val="2"/>
          </rPr>
          <t>Deibert, John R (DFW):</t>
        </r>
        <r>
          <rPr>
            <sz val="9"/>
            <color indexed="81"/>
            <rFont val="Tahoma"/>
            <family val="2"/>
          </rPr>
          <t xml:space="preserve">
39% Exploitation rate.</t>
        </r>
      </text>
    </comment>
    <comment ref="E5" authorId="0" shapeId="0">
      <text>
        <r>
          <rPr>
            <b/>
            <sz val="9"/>
            <color indexed="81"/>
            <rFont val="Tahoma"/>
            <family val="2"/>
          </rPr>
          <t>WDFW:</t>
        </r>
        <r>
          <rPr>
            <sz val="9"/>
            <color indexed="81"/>
            <rFont val="Tahoma"/>
            <family val="2"/>
          </rPr>
          <t xml:space="preserve">
40% exploitation rate</t>
        </r>
      </text>
    </comment>
    <comment ref="F5" authorId="1" shapeId="0">
      <text>
        <r>
          <rPr>
            <b/>
            <sz val="9"/>
            <color indexed="81"/>
            <rFont val="Tahoma"/>
            <family val="2"/>
          </rPr>
          <t>Deibert, John R (DFW):</t>
        </r>
        <r>
          <rPr>
            <sz val="9"/>
            <color indexed="81"/>
            <rFont val="Tahoma"/>
            <family val="2"/>
          </rPr>
          <t xml:space="preserve">
40% Explotation rate.</t>
        </r>
      </text>
    </comment>
    <comment ref="E6" authorId="0" shapeId="0">
      <text>
        <r>
          <rPr>
            <b/>
            <sz val="9"/>
            <color indexed="81"/>
            <rFont val="Tahoma"/>
            <family val="2"/>
          </rPr>
          <t>WDFW:</t>
        </r>
        <r>
          <rPr>
            <sz val="9"/>
            <color indexed="81"/>
            <rFont val="Tahoma"/>
            <family val="2"/>
          </rPr>
          <t xml:space="preserve">
minus the agreed to 161,153 payback to QIN
37% exploitation rate</t>
        </r>
      </text>
    </comment>
    <comment ref="F6" authorId="2" shapeId="0">
      <text>
        <r>
          <rPr>
            <b/>
            <sz val="9"/>
            <color indexed="81"/>
            <rFont val="Tahoma"/>
            <family val="2"/>
          </rPr>
          <t>Ayres, Daniel L (DFW):</t>
        </r>
        <r>
          <rPr>
            <sz val="9"/>
            <color indexed="81"/>
            <rFont val="Tahoma"/>
            <family val="2"/>
          </rPr>
          <t xml:space="preserve">
minus agreed to payback of 161,153. QIN offered 250,000 clams from their share on May 1.</t>
        </r>
      </text>
    </comment>
    <comment ref="E7" authorId="0" shapeId="0">
      <text>
        <r>
          <rPr>
            <b/>
            <sz val="9"/>
            <color indexed="81"/>
            <rFont val="Tahoma"/>
            <family val="2"/>
          </rPr>
          <t>WDFW:</t>
        </r>
        <r>
          <rPr>
            <sz val="9"/>
            <color indexed="81"/>
            <rFont val="Tahoma"/>
            <family val="2"/>
          </rPr>
          <t xml:space="preserve">
40% exploitation rate</t>
        </r>
      </text>
    </comment>
    <comment ref="F7" authorId="1" shapeId="0">
      <text>
        <r>
          <rPr>
            <b/>
            <sz val="9"/>
            <color indexed="81"/>
            <rFont val="Tahoma"/>
            <family val="2"/>
          </rPr>
          <t xml:space="preserve">Deibert, John R (DFW):
</t>
        </r>
        <r>
          <rPr>
            <sz val="9"/>
            <color indexed="81"/>
            <rFont val="Tahoma"/>
            <family val="2"/>
          </rPr>
          <t xml:space="preserve">
</t>
        </r>
        <r>
          <rPr>
            <b/>
            <sz val="9"/>
            <color indexed="81"/>
            <rFont val="Tahoma"/>
            <family val="2"/>
          </rPr>
          <t>Dan Ayres:</t>
        </r>
        <r>
          <rPr>
            <sz val="9"/>
            <color indexed="81"/>
            <rFont val="Tahoma"/>
            <family val="2"/>
          </rPr>
          <t xml:space="preserve">
variable ER with a MAX of 35% as agreed to by WDFW and QIN in 2012.13 Interium Agreement.</t>
        </r>
      </text>
    </comment>
    <comment ref="E8" authorId="0" shapeId="0">
      <text>
        <r>
          <rPr>
            <b/>
            <sz val="9"/>
            <color indexed="81"/>
            <rFont val="Tahoma"/>
            <family val="2"/>
          </rPr>
          <t>WDFW:</t>
        </r>
        <r>
          <rPr>
            <sz val="9"/>
            <color indexed="81"/>
            <rFont val="Tahoma"/>
            <family val="2"/>
          </rPr>
          <t xml:space="preserve">
25.4% exploitation rate</t>
        </r>
      </text>
    </comment>
    <comment ref="F8" authorId="1" shapeId="0">
      <text>
        <r>
          <rPr>
            <b/>
            <sz val="9"/>
            <color indexed="81"/>
            <rFont val="Tahoma"/>
            <family val="2"/>
          </rPr>
          <t>Deibert, John R (DFW):</t>
        </r>
        <r>
          <rPr>
            <sz val="9"/>
            <color indexed="81"/>
            <rFont val="Tahoma"/>
            <family val="2"/>
          </rPr>
          <t xml:space="preserve">
25% Exploitation rate.</t>
        </r>
      </text>
    </comment>
  </commentList>
</comments>
</file>

<file path=xl/sharedStrings.xml><?xml version="1.0" encoding="utf-8"?>
<sst xmlns="http://schemas.openxmlformats.org/spreadsheetml/2006/main" count="773" uniqueCount="97">
  <si>
    <t>Longbeach</t>
  </si>
  <si>
    <t>Twin Harbors</t>
  </si>
  <si>
    <t>Copalis</t>
  </si>
  <si>
    <t>Mocrocks</t>
  </si>
  <si>
    <t>Kalaloch</t>
  </si>
  <si>
    <t>Day</t>
  </si>
  <si>
    <t>Tide</t>
  </si>
  <si>
    <t>Time</t>
  </si>
  <si>
    <t>Date</t>
  </si>
  <si>
    <t>BeachName</t>
  </si>
  <si>
    <t>CPUE</t>
  </si>
  <si>
    <t>Daily Totals</t>
  </si>
  <si>
    <t>ESTIMATED WASTAGE RATE:</t>
  </si>
  <si>
    <t>ESTIMATED TOTAL WASTAGE:</t>
  </si>
  <si>
    <t>SEASON TOTAL INCLUDING WASTAGE:</t>
  </si>
  <si>
    <t>% of TAC Harvested:</t>
  </si>
  <si>
    <t>clams left in TAC :</t>
  </si>
  <si>
    <t>*- estimate based on comparison of other beaches.        + - no harvest due to very heavy surf and storm warnings.</t>
  </si>
  <si>
    <t>SEASON TOTALS :</t>
  </si>
  <si>
    <t>LONG BEACH</t>
  </si>
  <si>
    <t>TWIN HARBORS</t>
  </si>
  <si>
    <t>COPALIS</t>
  </si>
  <si>
    <t>MOCROCKS</t>
  </si>
  <si>
    <t>KALALOCH</t>
  </si>
  <si>
    <t>DAILY TOTALS</t>
  </si>
  <si>
    <t>DATE</t>
  </si>
  <si>
    <t>DAY</t>
  </si>
  <si>
    <t>TIDE</t>
  </si>
  <si>
    <t>TIME</t>
  </si>
  <si>
    <t>Effort</t>
  </si>
  <si>
    <t>Harvest</t>
  </si>
  <si>
    <t>Tide Series Totals</t>
  </si>
  <si>
    <t>SEASON TOTALS:</t>
  </si>
  <si>
    <t>COASTWIDE TAC</t>
  </si>
  <si>
    <t>Size (mm)</t>
  </si>
  <si>
    <t>WASTAGE</t>
  </si>
  <si>
    <t>SEASON SUBTOTALS:</t>
  </si>
  <si>
    <t>EventID</t>
  </si>
  <si>
    <t>2010 - 2011</t>
  </si>
  <si>
    <t>2011 - 2012</t>
  </si>
  <si>
    <t>2012 - 2013</t>
  </si>
  <si>
    <t>2013 - 2014</t>
  </si>
  <si>
    <t>2014 - 2015</t>
  </si>
  <si>
    <t>TideDate</t>
  </si>
  <si>
    <t>TideTime</t>
  </si>
  <si>
    <t>TideHeight</t>
  </si>
  <si>
    <t>Sunrise</t>
  </si>
  <si>
    <t>Sunset</t>
  </si>
  <si>
    <t>CorrectionFactor</t>
  </si>
  <si>
    <t>NON-TRIBAL TOTAL ALLOWABLE CATCH (TAC)</t>
  </si>
  <si>
    <t xml:space="preserve">FALL 2014 - SPRING 2015 SEASON TOTALS: </t>
  </si>
  <si>
    <t>2015 - 2016</t>
  </si>
  <si>
    <t>** - No beach count. Used data from another day with similar conditions to estimate count.</t>
  </si>
  <si>
    <t># - Tide is not low enough for decent digging opportunity</t>
  </si>
  <si>
    <t>LocationID</t>
  </si>
  <si>
    <t>NHoles</t>
  </si>
  <si>
    <t>NClams</t>
  </si>
  <si>
    <t>NMorts</t>
  </si>
  <si>
    <t>Closed</t>
  </si>
  <si>
    <t>+</t>
  </si>
  <si>
    <t>2016 - 2017</t>
  </si>
  <si>
    <t>Fall 2016 / Spring 2017 Harvest Rate (clams/day):</t>
  </si>
  <si>
    <t>CLOSED</t>
  </si>
  <si>
    <t>2017-2018 State (non-Indian) Recreational Razor Clam Effort, Harvest and CPUE totals.</t>
  </si>
  <si>
    <t>2017 - 2018</t>
  </si>
  <si>
    <t>LongBeach</t>
  </si>
  <si>
    <t>*</t>
  </si>
  <si>
    <t>Day of Week</t>
  </si>
  <si>
    <t>Low Tide</t>
  </si>
  <si>
    <t>NPeople</t>
  </si>
  <si>
    <t>NCars</t>
  </si>
  <si>
    <t>NLanterns</t>
  </si>
  <si>
    <t>SumOfCreelNPeople</t>
  </si>
  <si>
    <t>SumOfCreelNDiggers</t>
  </si>
  <si>
    <t>SumOfCreelNClams</t>
  </si>
  <si>
    <t>SumOfCreelNLanterns</t>
  </si>
  <si>
    <t>AvgOfCreelNCars</t>
  </si>
  <si>
    <t>Diggers-People</t>
  </si>
  <si>
    <t>CalcPeople</t>
  </si>
  <si>
    <t>EstCorEffort</t>
  </si>
  <si>
    <t>TotHarvest</t>
  </si>
  <si>
    <t>%Interviewed</t>
  </si>
  <si>
    <t>Wastage</t>
  </si>
  <si>
    <t>Wastage %</t>
  </si>
  <si>
    <t>Diggers-Lanterns</t>
  </si>
  <si>
    <t>11101</t>
  </si>
  <si>
    <t>11104</t>
  </si>
  <si>
    <t>11200</t>
  </si>
  <si>
    <t>12300</t>
  </si>
  <si>
    <t>12400</t>
  </si>
  <si>
    <t>12500</t>
  </si>
  <si>
    <t>12600</t>
  </si>
  <si>
    <t>41300</t>
  </si>
  <si>
    <t>42600</t>
  </si>
  <si>
    <t>PDF</t>
  </si>
  <si>
    <t>Switch to AM tides</t>
  </si>
  <si>
    <t>21200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</si>
</sst>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4">
    <numFmt numFmtId="43" formatCode="_(* #,##0.00_);_(* \(#,##0.00\);_(* &quot;-&quot;??_);_(@_)"/>
    <numFmt numFmtId="164" formatCode="[$-409]mmmm\ d\,\ yyyy;@"/>
    <numFmt numFmtId="165" formatCode="ddd"/>
    <numFmt numFmtId="166" formatCode="_(* #,##0_);_(* \(#,##0\);_(* &quot;-&quot;??_);_(@_)"/>
    <numFmt numFmtId="167" formatCode="#,##0.0_);\(#,##0.0\)"/>
    <numFmt numFmtId="168" formatCode="0.0"/>
    <numFmt numFmtId="169" formatCode="0.0%"/>
    <numFmt numFmtId="170" formatCode="[$-409]d\-mmm\-yy;@"/>
    <numFmt numFmtId="171" formatCode="dd\-mmm\-yy"/>
    <numFmt numFmtId="172" formatCode="#,##0.0"/>
    <numFmt numFmtId="173" formatCode="[$-409]h:mm\ AM/PM;@"/>
    <numFmt numFmtId="174" formatCode="#,##0.0000000000"/>
    <numFmt numFmtId="175" formatCode="#,##0.0000000000_);\(#,##0.0000000000\)"/>
    <numFmt numFmtId="176" formatCode="dddd"/>
  </numFmts>
  <fonts count="31" x14ac:knownFonts="1">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font>
    <font>
      <sz val="10"/>
      <name val="Times New Roman"/>
      <family val="1"/>
    </font>
    <font>
      <sz val="10"/>
      <name val="Calibri"/>
      <family val="2"/>
    </font>
    <font>
      <sz val="10"/>
      <color theme="1"/>
      <name val="Calibri"/>
      <family val="2"/>
      <scheme val="minor"/>
    </font>
    <font>
      <b/>
      <sz val="12"/>
      <name val="Times New Roman"/>
      <family val="1"/>
    </font>
    <font>
      <b/>
      <i/>
      <sz val="10"/>
      <name val="Calibri"/>
      <family val="2"/>
    </font>
    <font>
      <b/>
      <sz val="10"/>
      <name val="Calibri"/>
      <family val="2"/>
    </font>
    <font>
      <sz val="11"/>
      <name val="Calibri"/>
      <family val="2"/>
    </font>
    <font>
      <i/>
      <sz val="11"/>
      <name val="Calibri"/>
      <family val="2"/>
    </font>
    <font>
      <sz val="9"/>
      <color indexed="81"/>
      <name val="Tahoma"/>
      <family val="2"/>
    </font>
    <font>
      <b/>
      <sz val="9"/>
      <color indexed="81"/>
      <name val="Tahoma"/>
      <family val="2"/>
    </font>
    <font>
      <sz val="11"/>
      <color indexed="8"/>
      <name val="Calibri"/>
      <family val="2"/>
    </font>
    <font>
      <sz val="10"/>
      <color indexed="8"/>
      <name val="Arial"/>
      <family val="2"/>
    </font>
    <font>
      <sz val="10"/>
      <color theme="1"/>
      <name val="Arial"/>
      <family val="2"/>
    </font>
    <font>
      <sz val="10"/>
      <color indexed="8"/>
      <name val="Arial"/>
      <family val="2"/>
    </font>
    <font>
      <sz val="11"/>
      <color indexed="8"/>
      <name val="Calibri"/>
      <family val="2"/>
    </font>
    <font>
      <sz val="10"/>
      <color indexed="8"/>
      <name val="Arial"/>
      <family val="2"/>
    </font>
    <font>
      <sz val="10"/>
      <color indexed="8"/>
      <name val="Arial"/>
      <family val="2"/>
    </font>
    <font>
      <sz val="11"/>
      <color indexed="8"/>
      <name val="Calibri"/>
      <family val="2"/>
    </font>
    <font>
      <sz val="11"/>
      <color indexed="8"/>
      <name val="Calibri"/>
      <family val="2"/>
    </font>
    <font>
      <sz val="10"/>
      <color indexed="8"/>
      <name val="Arial"/>
      <family val="2"/>
    </font>
    <font>
      <b/>
      <sz val="10"/>
      <color rgb="FFFF0000"/>
      <name val="Calibri"/>
      <family val="2"/>
    </font>
    <font>
      <sz val="11"/>
      <color indexed="8"/>
      <name val="Calibri"/>
      <family val="2"/>
    </font>
    <font>
      <sz val="10"/>
      <color indexed="8"/>
      <name val="Arial"/>
      <family val="2"/>
    </font>
    <font>
      <sz val="11"/>
      <color indexed="8"/>
      <name val="Calibri"/>
      <family val="2"/>
    </font>
    <font>
      <sz val="10"/>
      <color indexed="8"/>
      <name val="Arial"/>
      <family val="2"/>
    </font>
    <font>
      <sz val="11"/>
      <color indexed="8"/>
      <name val="Calibri"/>
    </font>
    <font>
      <sz val="10"/>
      <color indexed="8"/>
      <name val="Arial"/>
    </font>
  </fonts>
  <fills count="4">
    <fill>
      <patternFill patternType="none"/>
    </fill>
    <fill>
      <patternFill patternType="gray125"/>
    </fill>
    <fill>
      <patternFill patternType="solid">
        <fgColor indexed="22"/>
        <bgColor indexed="0"/>
      </patternFill>
    </fill>
    <fill>
      <patternFill patternType="solid">
        <fgColor rgb="FFFFFF00"/>
        <bgColor indexed="64"/>
      </patternFill>
    </fill>
  </fills>
  <borders count="32">
    <border>
      <left/>
      <right/>
      <top/>
      <bottom/>
      <diagonal/>
    </border>
    <border>
      <left style="thin">
        <color indexed="22"/>
      </left>
      <right style="thin">
        <color indexed="22"/>
      </right>
      <top style="thin">
        <color indexed="22"/>
      </top>
      <bottom style="thin">
        <color indexed="22"/>
      </bottom>
      <diagonal/>
    </border>
    <border>
      <left style="thin">
        <color indexed="8"/>
      </left>
      <right style="thin">
        <color indexed="8"/>
      </right>
      <top style="thin">
        <color indexed="8"/>
      </top>
      <bottom style="thin">
        <color indexed="8"/>
      </bottom>
      <diagonal/>
    </border>
    <border>
      <left/>
      <right/>
      <top style="thick">
        <color indexed="0"/>
      </top>
      <bottom/>
      <diagonal/>
    </border>
    <border>
      <left style="thick">
        <color indexed="0"/>
      </left>
      <right/>
      <top style="thick">
        <color indexed="0"/>
      </top>
      <bottom/>
      <diagonal/>
    </border>
    <border>
      <left/>
      <right/>
      <top/>
      <bottom style="thick">
        <color indexed="0"/>
      </bottom>
      <diagonal/>
    </border>
    <border>
      <left style="thick">
        <color indexed="0"/>
      </left>
      <right/>
      <top/>
      <bottom style="thick">
        <color indexed="0"/>
      </bottom>
      <diagonal/>
    </border>
    <border>
      <left style="thick">
        <color indexed="0"/>
      </left>
      <right/>
      <top/>
      <bottom/>
      <diagonal/>
    </border>
    <border>
      <left/>
      <right style="thick">
        <color indexed="0"/>
      </right>
      <top/>
      <bottom/>
      <diagonal/>
    </border>
    <border>
      <left/>
      <right/>
      <top style="thin">
        <color indexed="0"/>
      </top>
      <bottom style="thin">
        <color indexed="0"/>
      </bottom>
      <diagonal/>
    </border>
    <border>
      <left style="thick">
        <color indexed="0"/>
      </left>
      <right/>
      <top style="thin">
        <color indexed="0"/>
      </top>
      <bottom style="thin">
        <color indexed="0"/>
      </bottom>
      <diagonal/>
    </border>
    <border>
      <left/>
      <right style="thick">
        <color indexed="0"/>
      </right>
      <top style="thick">
        <color indexed="0"/>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ck">
        <color indexed="0"/>
      </right>
      <top style="thin">
        <color indexed="0"/>
      </top>
      <bottom style="thin">
        <color indexed="0"/>
      </bottom>
      <diagonal/>
    </border>
    <border>
      <left/>
      <right/>
      <top style="thin">
        <color indexed="64"/>
      </top>
      <bottom style="thin">
        <color indexed="64"/>
      </bottom>
      <diagonal/>
    </border>
    <border>
      <left style="thick">
        <color indexed="64"/>
      </left>
      <right/>
      <top style="thin">
        <color indexed="64"/>
      </top>
      <bottom style="thin">
        <color indexed="64"/>
      </bottom>
      <diagonal/>
    </border>
    <border>
      <left/>
      <right style="thick">
        <color indexed="64"/>
      </right>
      <top style="thin">
        <color indexed="64"/>
      </top>
      <bottom style="thin">
        <color indexed="64"/>
      </bottom>
      <diagonal/>
    </border>
    <border>
      <left style="thick">
        <color indexed="0"/>
      </left>
      <right/>
      <top/>
      <bottom style="thin">
        <color indexed="64"/>
      </bottom>
      <diagonal/>
    </border>
    <border>
      <left/>
      <right style="thick">
        <color indexed="0"/>
      </right>
      <top/>
      <bottom style="thin">
        <color indexed="64"/>
      </bottom>
      <diagonal/>
    </border>
  </borders>
  <cellStyleXfs count="19">
    <xf numFmtId="0" fontId="0" fillId="0" borderId="0"/>
    <xf numFmtId="43" fontId="1" fillId="0" borderId="0" applyFont="0" applyFill="0" applyBorder="0" applyAlignment="0" applyProtection="0"/>
    <xf numFmtId="9" fontId="1" fillId="0" borderId="0" applyFont="0" applyFill="0" applyBorder="0" applyAlignment="0" applyProtection="0"/>
    <xf numFmtId="0" fontId="15" fillId="0" borderId="0"/>
    <xf numFmtId="0" fontId="15" fillId="0" borderId="0"/>
    <xf numFmtId="0" fontId="17" fillId="0" borderId="0"/>
    <xf numFmtId="0" fontId="19" fillId="0" borderId="0"/>
    <xf numFmtId="0" fontId="19" fillId="0" borderId="0"/>
    <xf numFmtId="0" fontId="15" fillId="0" borderId="0"/>
    <xf numFmtId="0" fontId="15" fillId="0" borderId="0"/>
    <xf numFmtId="0" fontId="20" fillId="0" borderId="0"/>
    <xf numFmtId="0" fontId="20" fillId="0" borderId="0"/>
    <xf numFmtId="0" fontId="23" fillId="0" borderId="0"/>
    <xf numFmtId="0" fontId="15" fillId="0" borderId="0"/>
    <xf numFmtId="0" fontId="26" fillId="0" borderId="0"/>
    <xf numFmtId="0" fontId="28" fillId="0" borderId="0"/>
    <xf numFmtId="0" fontId="28" fillId="0" borderId="0"/>
    <xf numFmtId="0" fontId="28" fillId="0" borderId="0"/>
    <xf numFmtId="0" fontId="30" fillId="0" borderId="0"/>
  </cellStyleXfs>
  <cellXfs count="257">
    <xf numFmtId="0" fontId="0" fillId="0" borderId="0" xfId="0"/>
    <xf numFmtId="0" fontId="0" fillId="0" borderId="0" xfId="0" applyAlignment="1">
      <alignment horizontal="center"/>
    </xf>
    <xf numFmtId="0" fontId="0" fillId="0" borderId="0" xfId="0" applyAlignment="1">
      <alignment horizontal="right"/>
    </xf>
    <xf numFmtId="0" fontId="0" fillId="0" borderId="0" xfId="0" applyAlignment="1"/>
    <xf numFmtId="164" fontId="0" fillId="0" borderId="0" xfId="0" applyNumberFormat="1" applyBorder="1"/>
    <xf numFmtId="165" fontId="0" fillId="0" borderId="0" xfId="0" applyNumberFormat="1" applyBorder="1" applyAlignment="1">
      <alignment horizontal="center"/>
    </xf>
    <xf numFmtId="18" fontId="0" fillId="0" borderId="0" xfId="0" applyNumberFormat="1" applyBorder="1" applyAlignment="1">
      <alignment horizontal="center"/>
    </xf>
    <xf numFmtId="166" fontId="0" fillId="0" borderId="0" xfId="1" applyNumberFormat="1" applyFont="1" applyBorder="1" applyAlignment="1">
      <alignment horizontal="right"/>
    </xf>
    <xf numFmtId="37" fontId="0" fillId="0" borderId="0" xfId="1" applyNumberFormat="1" applyFont="1" applyBorder="1" applyAlignment="1">
      <alignment horizontal="center"/>
    </xf>
    <xf numFmtId="167" fontId="0" fillId="0" borderId="0" xfId="1" applyNumberFormat="1" applyFont="1" applyBorder="1" applyAlignment="1">
      <alignment horizontal="center"/>
    </xf>
    <xf numFmtId="3" fontId="0" fillId="0" borderId="0" xfId="0" applyNumberFormat="1"/>
    <xf numFmtId="0" fontId="2" fillId="0" borderId="0" xfId="0" applyFont="1" applyBorder="1" applyAlignment="1">
      <alignment horizontal="center"/>
    </xf>
    <xf numFmtId="18" fontId="0" fillId="0" borderId="0" xfId="0" applyNumberFormat="1" applyAlignment="1">
      <alignment horizontal="center"/>
    </xf>
    <xf numFmtId="168" fontId="0" fillId="0" borderId="0" xfId="0" applyNumberFormat="1" applyAlignment="1">
      <alignment horizontal="center"/>
    </xf>
    <xf numFmtId="0" fontId="2" fillId="0" borderId="0" xfId="0" applyFont="1"/>
    <xf numFmtId="37" fontId="0" fillId="0" borderId="0" xfId="0" applyNumberFormat="1"/>
    <xf numFmtId="0" fontId="4" fillId="0" borderId="0" xfId="0" applyFont="1" applyBorder="1" applyAlignment="1">
      <alignment horizontal="left"/>
    </xf>
    <xf numFmtId="0" fontId="4" fillId="0" borderId="0" xfId="0" applyFont="1" applyBorder="1" applyAlignment="1"/>
    <xf numFmtId="165" fontId="6" fillId="0" borderId="0" xfId="0" applyNumberFormat="1" applyFont="1" applyBorder="1" applyAlignment="1">
      <alignment horizontal="center"/>
    </xf>
    <xf numFmtId="0" fontId="6" fillId="0" borderId="0" xfId="0" applyFont="1" applyBorder="1" applyAlignment="1">
      <alignment horizontal="center"/>
    </xf>
    <xf numFmtId="18" fontId="6" fillId="0" borderId="0" xfId="0" applyNumberFormat="1" applyFont="1" applyBorder="1" applyAlignment="1">
      <alignment horizontal="center"/>
    </xf>
    <xf numFmtId="0" fontId="6" fillId="0" borderId="0" xfId="0" applyFont="1" applyAlignment="1">
      <alignment horizontal="center"/>
    </xf>
    <xf numFmtId="18" fontId="6" fillId="0" borderId="0" xfId="0" applyNumberFormat="1" applyFont="1" applyAlignment="1">
      <alignment horizontal="center"/>
    </xf>
    <xf numFmtId="0" fontId="5" fillId="0" borderId="3" xfId="0" applyFont="1" applyFill="1" applyBorder="1" applyAlignment="1"/>
    <xf numFmtId="0" fontId="5" fillId="0" borderId="5" xfId="0" applyFont="1" applyFill="1" applyBorder="1" applyAlignment="1">
      <alignment horizontal="center"/>
    </xf>
    <xf numFmtId="0" fontId="5" fillId="0" borderId="6" xfId="0" applyFont="1" applyFill="1" applyBorder="1" applyAlignment="1">
      <alignment horizontal="center"/>
    </xf>
    <xf numFmtId="3" fontId="5" fillId="0" borderId="5" xfId="0" applyNumberFormat="1" applyFont="1" applyFill="1" applyBorder="1" applyAlignment="1">
      <alignment horizontal="center"/>
    </xf>
    <xf numFmtId="16" fontId="5" fillId="0" borderId="0" xfId="0" applyNumberFormat="1" applyFont="1" applyBorder="1" applyAlignment="1">
      <alignment horizontal="center"/>
    </xf>
    <xf numFmtId="168" fontId="5" fillId="0" borderId="0" xfId="0" applyNumberFormat="1" applyFont="1" applyBorder="1" applyAlignment="1">
      <alignment horizontal="center"/>
    </xf>
    <xf numFmtId="18" fontId="5" fillId="0" borderId="0" xfId="0" applyNumberFormat="1" applyFont="1" applyBorder="1" applyAlignment="1">
      <alignment horizontal="center"/>
    </xf>
    <xf numFmtId="3" fontId="5" fillId="0" borderId="7" xfId="0" applyNumberFormat="1" applyFont="1" applyFill="1" applyBorder="1" applyAlignment="1">
      <alignment horizontal="center"/>
    </xf>
    <xf numFmtId="3" fontId="5" fillId="0" borderId="0" xfId="0" applyNumberFormat="1" applyFont="1" applyBorder="1" applyAlignment="1">
      <alignment horizontal="center"/>
    </xf>
    <xf numFmtId="168" fontId="5" fillId="0" borderId="8" xfId="0" applyNumberFormat="1" applyFont="1" applyFill="1" applyBorder="1" applyAlignment="1">
      <alignment horizontal="center"/>
    </xf>
    <xf numFmtId="168" fontId="9" fillId="0" borderId="9" xfId="0" applyNumberFormat="1" applyFont="1" applyFill="1" applyBorder="1" applyAlignment="1">
      <alignment horizontal="center"/>
    </xf>
    <xf numFmtId="3" fontId="9" fillId="0" borderId="10" xfId="0" applyNumberFormat="1" applyFont="1" applyFill="1" applyBorder="1" applyAlignment="1">
      <alignment horizontal="center"/>
    </xf>
    <xf numFmtId="3" fontId="9" fillId="0" borderId="9" xfId="0" applyNumberFormat="1" applyFont="1" applyFill="1" applyBorder="1" applyAlignment="1">
      <alignment horizontal="center"/>
    </xf>
    <xf numFmtId="168" fontId="5" fillId="0" borderId="0" xfId="0" applyNumberFormat="1" applyFont="1" applyFill="1" applyBorder="1" applyAlignment="1">
      <alignment horizontal="center"/>
    </xf>
    <xf numFmtId="16" fontId="5" fillId="0" borderId="0" xfId="0" applyNumberFormat="1" applyFont="1" applyFill="1" applyBorder="1" applyAlignment="1">
      <alignment horizontal="center"/>
    </xf>
    <xf numFmtId="3" fontId="5" fillId="0" borderId="0" xfId="0" applyNumberFormat="1" applyFont="1" applyFill="1" applyBorder="1" applyAlignment="1">
      <alignment horizontal="center"/>
    </xf>
    <xf numFmtId="16" fontId="9" fillId="0" borderId="3" xfId="0" applyNumberFormat="1" applyFont="1" applyFill="1" applyBorder="1" applyAlignment="1">
      <alignment horizontal="left"/>
    </xf>
    <xf numFmtId="3" fontId="9" fillId="0" borderId="3" xfId="0" applyNumberFormat="1" applyFont="1" applyFill="1" applyBorder="1" applyAlignment="1">
      <alignment horizontal="center"/>
    </xf>
    <xf numFmtId="168" fontId="9" fillId="0" borderId="3" xfId="0" applyNumberFormat="1" applyFont="1" applyFill="1" applyBorder="1" applyAlignment="1">
      <alignment horizontal="center"/>
    </xf>
    <xf numFmtId="0" fontId="9" fillId="0" borderId="3" xfId="0" applyFont="1" applyFill="1" applyBorder="1" applyAlignment="1"/>
    <xf numFmtId="167" fontId="0" fillId="0" borderId="0" xfId="0" applyNumberFormat="1" applyAlignment="1">
      <alignment horizontal="center"/>
    </xf>
    <xf numFmtId="0" fontId="0" fillId="0" borderId="12" xfId="0" applyBorder="1" applyAlignment="1"/>
    <xf numFmtId="3" fontId="0" fillId="0" borderId="13" xfId="0" applyNumberFormat="1" applyBorder="1" applyAlignment="1"/>
    <xf numFmtId="0" fontId="0" fillId="0" borderId="14" xfId="0" applyBorder="1" applyAlignment="1"/>
    <xf numFmtId="3" fontId="0" fillId="0" borderId="15" xfId="0" applyNumberFormat="1" applyBorder="1" applyAlignment="1"/>
    <xf numFmtId="0" fontId="0" fillId="0" borderId="16" xfId="0" applyBorder="1" applyAlignment="1"/>
    <xf numFmtId="3" fontId="0" fillId="0" borderId="17" xfId="0" applyNumberFormat="1" applyBorder="1" applyAlignment="1"/>
    <xf numFmtId="0" fontId="7" fillId="0" borderId="18" xfId="0" applyFont="1" applyBorder="1" applyAlignment="1"/>
    <xf numFmtId="3" fontId="0" fillId="0" borderId="19" xfId="0" applyNumberFormat="1" applyBorder="1" applyAlignment="1"/>
    <xf numFmtId="164" fontId="0" fillId="0" borderId="0" xfId="0" applyNumberFormat="1" applyFont="1" applyBorder="1"/>
    <xf numFmtId="18" fontId="0" fillId="0" borderId="0" xfId="0" applyNumberFormat="1" applyFont="1" applyBorder="1" applyAlignment="1">
      <alignment horizontal="right"/>
    </xf>
    <xf numFmtId="0" fontId="0" fillId="0" borderId="0" xfId="0" applyFont="1" applyBorder="1" applyAlignment="1">
      <alignment horizontal="right"/>
    </xf>
    <xf numFmtId="0" fontId="0" fillId="0" borderId="0" xfId="0" applyFont="1" applyBorder="1"/>
    <xf numFmtId="0" fontId="0" fillId="0" borderId="0" xfId="0" applyFont="1" applyAlignment="1">
      <alignment horizontal="center"/>
    </xf>
    <xf numFmtId="18" fontId="0" fillId="0" borderId="0" xfId="0" applyNumberFormat="1" applyFont="1" applyAlignment="1">
      <alignment horizontal="center"/>
    </xf>
    <xf numFmtId="0" fontId="0" fillId="0" borderId="0" xfId="0" applyFont="1"/>
    <xf numFmtId="0" fontId="10" fillId="0" borderId="0" xfId="0" applyFont="1" applyBorder="1" applyAlignment="1">
      <alignment horizontal="left"/>
    </xf>
    <xf numFmtId="37" fontId="0" fillId="0" borderId="0" xfId="0" applyNumberFormat="1" applyFont="1" applyAlignment="1">
      <alignment horizontal="center"/>
    </xf>
    <xf numFmtId="0" fontId="10" fillId="0" borderId="0" xfId="0" applyFont="1" applyBorder="1" applyAlignment="1"/>
    <xf numFmtId="0" fontId="11" fillId="0" borderId="0" xfId="0" applyFont="1" applyBorder="1" applyAlignment="1">
      <alignment horizontal="left"/>
    </xf>
    <xf numFmtId="3" fontId="0" fillId="0" borderId="0" xfId="0" applyNumberFormat="1" applyFont="1" applyAlignment="1">
      <alignment horizontal="center"/>
    </xf>
    <xf numFmtId="169" fontId="0" fillId="0" borderId="0" xfId="0" applyNumberFormat="1" applyFont="1" applyAlignment="1">
      <alignment horizontal="center"/>
    </xf>
    <xf numFmtId="16" fontId="9" fillId="0" borderId="0" xfId="0" applyNumberFormat="1" applyFont="1" applyFill="1" applyBorder="1" applyAlignment="1">
      <alignment horizontal="left"/>
    </xf>
    <xf numFmtId="0" fontId="9" fillId="0" borderId="0" xfId="0" applyFont="1" applyFill="1" applyBorder="1" applyAlignment="1"/>
    <xf numFmtId="3" fontId="9" fillId="0" borderId="0" xfId="0" applyNumberFormat="1" applyFont="1" applyFill="1" applyBorder="1" applyAlignment="1">
      <alignment horizontal="center"/>
    </xf>
    <xf numFmtId="168" fontId="9" fillId="0" borderId="0" xfId="0" applyNumberFormat="1" applyFont="1" applyFill="1" applyBorder="1" applyAlignment="1">
      <alignment horizontal="center"/>
    </xf>
    <xf numFmtId="3" fontId="9" fillId="0" borderId="21" xfId="0" applyNumberFormat="1" applyFont="1" applyFill="1" applyBorder="1" applyAlignment="1">
      <alignment horizontal="center"/>
    </xf>
    <xf numFmtId="168" fontId="9" fillId="0" borderId="21" xfId="0" applyNumberFormat="1" applyFont="1" applyFill="1" applyBorder="1" applyAlignment="1">
      <alignment horizontal="center"/>
    </xf>
    <xf numFmtId="3" fontId="9" fillId="0" borderId="22" xfId="0" applyNumberFormat="1" applyFont="1" applyFill="1" applyBorder="1" applyAlignment="1">
      <alignment horizontal="center"/>
    </xf>
    <xf numFmtId="169" fontId="9" fillId="0" borderId="24" xfId="0" applyNumberFormat="1" applyFont="1" applyBorder="1" applyAlignment="1">
      <alignment horizontal="center"/>
    </xf>
    <xf numFmtId="0" fontId="9" fillId="0" borderId="24" xfId="0" applyFont="1" applyBorder="1" applyAlignment="1"/>
    <xf numFmtId="0" fontId="9" fillId="0" borderId="25" xfId="0" applyFont="1" applyBorder="1" applyAlignment="1"/>
    <xf numFmtId="16" fontId="9" fillId="0" borderId="20" xfId="0" applyNumberFormat="1" applyFont="1" applyFill="1" applyBorder="1" applyAlignment="1">
      <alignment horizontal="left"/>
    </xf>
    <xf numFmtId="0" fontId="9" fillId="0" borderId="21" xfId="0" applyFont="1" applyFill="1" applyBorder="1" applyAlignment="1"/>
    <xf numFmtId="0" fontId="8" fillId="0" borderId="23" xfId="0" applyFont="1" applyBorder="1" applyAlignment="1">
      <alignment horizontal="left"/>
    </xf>
    <xf numFmtId="168" fontId="0" fillId="0" borderId="0" xfId="0" applyNumberFormat="1" applyBorder="1" applyAlignment="1">
      <alignment horizontal="center"/>
    </xf>
    <xf numFmtId="1" fontId="0" fillId="0" borderId="0" xfId="0" applyNumberFormat="1"/>
    <xf numFmtId="37" fontId="3" fillId="0" borderId="1" xfId="1" applyNumberFormat="1" applyFont="1" applyFill="1" applyBorder="1" applyAlignment="1">
      <alignment horizontal="right"/>
    </xf>
    <xf numFmtId="170" fontId="0" fillId="0" borderId="0" xfId="0" applyNumberFormat="1" applyAlignment="1"/>
    <xf numFmtId="170" fontId="0" fillId="0" borderId="0" xfId="0" applyNumberFormat="1"/>
    <xf numFmtId="10" fontId="0" fillId="0" borderId="0" xfId="0" applyNumberFormat="1"/>
    <xf numFmtId="3" fontId="0" fillId="0" borderId="0" xfId="0" applyNumberFormat="1" applyAlignment="1"/>
    <xf numFmtId="166" fontId="0" fillId="0" borderId="0" xfId="1" applyNumberFormat="1" applyFont="1" applyAlignment="1"/>
    <xf numFmtId="18" fontId="0" fillId="0" borderId="0" xfId="0" applyNumberFormat="1"/>
    <xf numFmtId="172" fontId="9" fillId="0" borderId="3" xfId="0" applyNumberFormat="1" applyFont="1" applyFill="1" applyBorder="1" applyAlignment="1">
      <alignment horizontal="center"/>
    </xf>
    <xf numFmtId="173" fontId="5" fillId="0" borderId="8" xfId="0" applyNumberFormat="1" applyFont="1" applyBorder="1" applyAlignment="1"/>
    <xf numFmtId="172" fontId="5" fillId="0" borderId="0" xfId="0" applyNumberFormat="1" applyFont="1" applyFill="1" applyBorder="1" applyAlignment="1">
      <alignment horizontal="center"/>
    </xf>
    <xf numFmtId="172" fontId="9" fillId="0" borderId="9" xfId="0" applyNumberFormat="1" applyFont="1" applyFill="1" applyBorder="1" applyAlignment="1">
      <alignment horizontal="center"/>
    </xf>
    <xf numFmtId="165" fontId="0" fillId="0" borderId="0" xfId="0" applyNumberFormat="1" applyFill="1" applyBorder="1" applyAlignment="1">
      <alignment horizontal="center"/>
    </xf>
    <xf numFmtId="172" fontId="9" fillId="0" borderId="21" xfId="0" applyNumberFormat="1" applyFont="1" applyFill="1" applyBorder="1" applyAlignment="1">
      <alignment horizontal="center"/>
    </xf>
    <xf numFmtId="0" fontId="11" fillId="0" borderId="0" xfId="0" applyFont="1" applyFill="1" applyBorder="1" applyAlignment="1">
      <alignment horizontal="left"/>
    </xf>
    <xf numFmtId="3" fontId="9" fillId="0" borderId="27" xfId="0" applyNumberFormat="1" applyFont="1" applyFill="1" applyBorder="1" applyAlignment="1">
      <alignment horizontal="center"/>
    </xf>
    <xf numFmtId="3" fontId="9" fillId="0" borderId="28" xfId="0" applyNumberFormat="1" applyFont="1" applyFill="1" applyBorder="1" applyAlignment="1">
      <alignment horizontal="center"/>
    </xf>
    <xf numFmtId="168" fontId="9" fillId="0" borderId="29" xfId="0" applyNumberFormat="1" applyFont="1" applyFill="1" applyBorder="1" applyAlignment="1">
      <alignment horizontal="center"/>
    </xf>
    <xf numFmtId="0" fontId="14" fillId="0" borderId="1" xfId="3" applyFont="1" applyFill="1" applyBorder="1" applyAlignment="1">
      <alignment horizontal="right" wrapText="1"/>
    </xf>
    <xf numFmtId="0" fontId="14" fillId="0" borderId="1" xfId="3" applyFont="1" applyFill="1" applyBorder="1" applyAlignment="1">
      <alignment wrapText="1"/>
    </xf>
    <xf numFmtId="171" fontId="14" fillId="0" borderId="1" xfId="3" applyNumberFormat="1" applyFont="1" applyFill="1" applyBorder="1" applyAlignment="1">
      <alignment horizontal="right" wrapText="1"/>
    </xf>
    <xf numFmtId="4" fontId="14" fillId="0" borderId="1" xfId="3" applyNumberFormat="1" applyFont="1" applyFill="1" applyBorder="1" applyAlignment="1">
      <alignment horizontal="right" wrapText="1"/>
    </xf>
    <xf numFmtId="0" fontId="14" fillId="0" borderId="0" xfId="3" applyFont="1" applyFill="1" applyBorder="1" applyAlignment="1">
      <alignment horizontal="right" wrapText="1"/>
    </xf>
    <xf numFmtId="0" fontId="14" fillId="0" borderId="0" xfId="3" applyFont="1" applyFill="1" applyBorder="1" applyAlignment="1">
      <alignment wrapText="1"/>
    </xf>
    <xf numFmtId="171" fontId="14" fillId="0" borderId="0" xfId="3" applyNumberFormat="1" applyFont="1" applyFill="1" applyBorder="1" applyAlignment="1">
      <alignment horizontal="right" wrapText="1"/>
    </xf>
    <xf numFmtId="4" fontId="14" fillId="0" borderId="0" xfId="3" applyNumberFormat="1" applyFont="1" applyFill="1" applyBorder="1" applyAlignment="1">
      <alignment horizontal="right" wrapText="1"/>
    </xf>
    <xf numFmtId="0" fontId="14" fillId="0" borderId="1" xfId="4" applyFont="1" applyFill="1" applyBorder="1" applyAlignment="1">
      <alignment horizontal="right" wrapText="1"/>
    </xf>
    <xf numFmtId="0" fontId="14" fillId="0" borderId="1" xfId="4" applyFont="1" applyFill="1" applyBorder="1" applyAlignment="1">
      <alignment wrapText="1"/>
    </xf>
    <xf numFmtId="171" fontId="14" fillId="0" borderId="1" xfId="4" applyNumberFormat="1" applyFont="1" applyFill="1" applyBorder="1" applyAlignment="1">
      <alignment horizontal="right" wrapText="1"/>
    </xf>
    <xf numFmtId="4" fontId="14" fillId="0" borderId="1" xfId="4" applyNumberFormat="1" applyFont="1" applyFill="1" applyBorder="1" applyAlignment="1">
      <alignment horizontal="right" wrapText="1"/>
    </xf>
    <xf numFmtId="3" fontId="16" fillId="3" borderId="0" xfId="0" applyNumberFormat="1" applyFont="1" applyFill="1" applyAlignment="1">
      <alignment horizontal="center"/>
    </xf>
    <xf numFmtId="3" fontId="0" fillId="3" borderId="15" xfId="0" applyNumberFormat="1" applyFill="1" applyBorder="1" applyAlignment="1"/>
    <xf numFmtId="0" fontId="3" fillId="2" borderId="2" xfId="5" applyFont="1" applyFill="1" applyBorder="1" applyAlignment="1">
      <alignment horizontal="center"/>
    </xf>
    <xf numFmtId="0" fontId="5" fillId="0" borderId="5" xfId="0" applyFont="1" applyBorder="1" applyAlignment="1"/>
    <xf numFmtId="168" fontId="3" fillId="0" borderId="0" xfId="5" applyNumberFormat="1" applyFont="1" applyFill="1" applyBorder="1" applyAlignment="1">
      <alignment horizontal="center" wrapText="1"/>
    </xf>
    <xf numFmtId="173" fontId="3" fillId="0" borderId="0" xfId="5" applyNumberFormat="1" applyFont="1" applyFill="1" applyBorder="1" applyAlignment="1">
      <alignment horizontal="center" wrapText="1"/>
    </xf>
    <xf numFmtId="0" fontId="0" fillId="0" borderId="0" xfId="0" applyFont="1" applyFill="1"/>
    <xf numFmtId="0" fontId="18" fillId="0" borderId="1" xfId="6" applyFont="1" applyFill="1" applyBorder="1" applyAlignment="1">
      <alignment horizontal="right" wrapText="1"/>
    </xf>
    <xf numFmtId="0" fontId="18" fillId="0" borderId="1" xfId="6" applyFont="1" applyFill="1" applyBorder="1" applyAlignment="1">
      <alignment wrapText="1"/>
    </xf>
    <xf numFmtId="171" fontId="18" fillId="0" borderId="1" xfId="6" applyNumberFormat="1" applyFont="1" applyFill="1" applyBorder="1" applyAlignment="1">
      <alignment horizontal="right" wrapText="1"/>
    </xf>
    <xf numFmtId="4" fontId="18" fillId="0" borderId="1" xfId="6" applyNumberFormat="1" applyFont="1" applyFill="1" applyBorder="1" applyAlignment="1">
      <alignment horizontal="right" wrapText="1"/>
    </xf>
    <xf numFmtId="0" fontId="18" fillId="0" borderId="1" xfId="7" applyFont="1" applyFill="1" applyBorder="1" applyAlignment="1">
      <alignment horizontal="right" wrapText="1"/>
    </xf>
    <xf numFmtId="0" fontId="18" fillId="0" borderId="1" xfId="7" applyFont="1" applyFill="1" applyBorder="1" applyAlignment="1">
      <alignment wrapText="1"/>
    </xf>
    <xf numFmtId="171" fontId="18" fillId="0" borderId="1" xfId="7" applyNumberFormat="1" applyFont="1" applyFill="1" applyBorder="1" applyAlignment="1">
      <alignment horizontal="right" wrapText="1"/>
    </xf>
    <xf numFmtId="4" fontId="18" fillId="0" borderId="1" xfId="7" applyNumberFormat="1" applyFont="1" applyFill="1" applyBorder="1" applyAlignment="1">
      <alignment horizontal="right" wrapText="1"/>
    </xf>
    <xf numFmtId="164" fontId="0" fillId="0" borderId="0" xfId="0" applyNumberFormat="1" applyFill="1" applyBorder="1"/>
    <xf numFmtId="37" fontId="0" fillId="0" borderId="0" xfId="1" applyNumberFormat="1" applyFont="1" applyFill="1" applyBorder="1" applyAlignment="1">
      <alignment horizontal="center"/>
    </xf>
    <xf numFmtId="168" fontId="0" fillId="0" borderId="0" xfId="0" applyNumberFormat="1" applyFill="1" applyAlignment="1">
      <alignment horizontal="center"/>
    </xf>
    <xf numFmtId="0" fontId="0" fillId="0" borderId="0" xfId="0" applyFill="1" applyAlignment="1">
      <alignment horizontal="right"/>
    </xf>
    <xf numFmtId="0" fontId="0" fillId="0" borderId="0" xfId="0" applyFill="1"/>
    <xf numFmtId="3" fontId="0" fillId="0" borderId="0" xfId="0" applyNumberFormat="1" applyFill="1" applyAlignment="1">
      <alignment horizontal="center"/>
    </xf>
    <xf numFmtId="18" fontId="0" fillId="0" borderId="0" xfId="0" applyNumberFormat="1" applyFill="1"/>
    <xf numFmtId="0" fontId="0" fillId="0" borderId="0" xfId="0" applyFill="1" applyAlignment="1">
      <alignment horizontal="center"/>
    </xf>
    <xf numFmtId="3" fontId="0" fillId="0" borderId="0" xfId="0" applyNumberFormat="1" applyFill="1"/>
    <xf numFmtId="0" fontId="2" fillId="0" borderId="0" xfId="0" applyFont="1" applyBorder="1" applyAlignment="1">
      <alignment horizontal="center"/>
    </xf>
    <xf numFmtId="0" fontId="0" fillId="0" borderId="0" xfId="0" applyBorder="1" applyAlignment="1">
      <alignment horizontal="right"/>
    </xf>
    <xf numFmtId="0" fontId="0" fillId="0" borderId="0" xfId="0" applyFont="1" applyAlignment="1">
      <alignment horizontal="right"/>
    </xf>
    <xf numFmtId="0" fontId="0" fillId="3" borderId="0" xfId="0" applyFill="1" applyAlignment="1"/>
    <xf numFmtId="170" fontId="0" fillId="3" borderId="0" xfId="0" applyNumberFormat="1" applyFill="1" applyAlignment="1"/>
    <xf numFmtId="37" fontId="3" fillId="3" borderId="1" xfId="1" applyNumberFormat="1" applyFont="1" applyFill="1" applyBorder="1" applyAlignment="1">
      <alignment horizontal="right"/>
    </xf>
    <xf numFmtId="0" fontId="3" fillId="3" borderId="1" xfId="8" applyFont="1" applyFill="1" applyBorder="1" applyAlignment="1">
      <alignment horizontal="right" wrapText="1"/>
    </xf>
    <xf numFmtId="10" fontId="0" fillId="3" borderId="0" xfId="0" applyNumberFormat="1" applyFill="1"/>
    <xf numFmtId="3" fontId="0" fillId="3" borderId="0" xfId="0" applyNumberFormat="1" applyFill="1"/>
    <xf numFmtId="0" fontId="3" fillId="2" borderId="2" xfId="9" applyFont="1" applyFill="1" applyBorder="1" applyAlignment="1">
      <alignment horizontal="center"/>
    </xf>
    <xf numFmtId="0" fontId="3" fillId="0" borderId="1" xfId="9" applyFont="1" applyFill="1" applyBorder="1" applyAlignment="1">
      <alignment horizontal="right" wrapText="1"/>
    </xf>
    <xf numFmtId="0" fontId="3" fillId="0" borderId="1" xfId="9" applyFont="1" applyFill="1" applyBorder="1" applyAlignment="1">
      <alignment wrapText="1"/>
    </xf>
    <xf numFmtId="171" fontId="3" fillId="0" borderId="1" xfId="9" applyNumberFormat="1" applyFont="1" applyFill="1" applyBorder="1" applyAlignment="1">
      <alignment horizontal="right" wrapText="1"/>
    </xf>
    <xf numFmtId="174" fontId="0" fillId="0" borderId="0" xfId="0" applyNumberFormat="1"/>
    <xf numFmtId="0" fontId="21" fillId="0" borderId="1" xfId="10" applyFont="1" applyFill="1" applyBorder="1" applyAlignment="1">
      <alignment horizontal="right" wrapText="1"/>
    </xf>
    <xf numFmtId="0" fontId="21" fillId="0" borderId="1" xfId="10" applyFont="1" applyFill="1" applyBorder="1" applyAlignment="1">
      <alignment wrapText="1"/>
    </xf>
    <xf numFmtId="171" fontId="21" fillId="0" borderId="1" xfId="10" applyNumberFormat="1" applyFont="1" applyFill="1" applyBorder="1" applyAlignment="1">
      <alignment horizontal="right" wrapText="1"/>
    </xf>
    <xf numFmtId="0" fontId="21" fillId="0" borderId="1" xfId="11" applyFont="1" applyFill="1" applyBorder="1" applyAlignment="1">
      <alignment horizontal="right" wrapText="1"/>
    </xf>
    <xf numFmtId="0" fontId="21" fillId="0" borderId="1" xfId="11" applyFont="1" applyFill="1" applyBorder="1" applyAlignment="1">
      <alignment wrapText="1"/>
    </xf>
    <xf numFmtId="171" fontId="21" fillId="0" borderId="1" xfId="11" applyNumberFormat="1" applyFont="1" applyFill="1" applyBorder="1" applyAlignment="1">
      <alignment horizontal="right" wrapText="1"/>
    </xf>
    <xf numFmtId="0" fontId="2" fillId="0" borderId="0" xfId="0" applyFont="1" applyBorder="1" applyAlignment="1">
      <alignment horizontal="right"/>
    </xf>
    <xf numFmtId="37" fontId="2" fillId="0" borderId="0" xfId="1" applyNumberFormat="1" applyFont="1" applyBorder="1" applyAlignment="1">
      <alignment horizontal="right"/>
    </xf>
    <xf numFmtId="37" fontId="0" fillId="0" borderId="0" xfId="0" applyNumberFormat="1" applyFont="1" applyBorder="1"/>
    <xf numFmtId="0" fontId="0" fillId="0" borderId="0" xfId="0" applyBorder="1"/>
    <xf numFmtId="3" fontId="0" fillId="0" borderId="0" xfId="0" applyNumberFormat="1" applyBorder="1" applyAlignment="1">
      <alignment horizontal="center"/>
    </xf>
    <xf numFmtId="37" fontId="0" fillId="0" borderId="0" xfId="0" applyNumberFormat="1" applyBorder="1"/>
    <xf numFmtId="18" fontId="0" fillId="0" borderId="0" xfId="0" applyNumberFormat="1" applyBorder="1"/>
    <xf numFmtId="0" fontId="0" fillId="0" borderId="0" xfId="0" applyFill="1" applyBorder="1"/>
    <xf numFmtId="168" fontId="0" fillId="0" borderId="0" xfId="0" applyNumberFormat="1" applyFill="1" applyBorder="1" applyAlignment="1">
      <alignment horizontal="center"/>
    </xf>
    <xf numFmtId="18" fontId="0" fillId="0" borderId="0" xfId="0" applyNumberFormat="1" applyFill="1" applyBorder="1"/>
    <xf numFmtId="0" fontId="0" fillId="0" borderId="0" xfId="0" applyFill="1" applyBorder="1" applyAlignment="1">
      <alignment horizontal="right"/>
    </xf>
    <xf numFmtId="37" fontId="0" fillId="0" borderId="0" xfId="0" applyNumberFormat="1" applyFont="1" applyFill="1" applyBorder="1"/>
    <xf numFmtId="37" fontId="0" fillId="0" borderId="0" xfId="0" applyNumberFormat="1" applyFill="1" applyBorder="1"/>
    <xf numFmtId="0" fontId="2" fillId="0" borderId="24" xfId="0" applyFont="1" applyBorder="1" applyAlignment="1">
      <alignment horizontal="center"/>
    </xf>
    <xf numFmtId="167" fontId="0" fillId="0" borderId="0" xfId="0" applyNumberFormat="1" applyBorder="1" applyAlignment="1">
      <alignment horizontal="right"/>
    </xf>
    <xf numFmtId="167" fontId="0" fillId="0" borderId="0" xfId="0" applyNumberFormat="1" applyBorder="1"/>
    <xf numFmtId="3" fontId="14" fillId="0" borderId="1" xfId="3" applyNumberFormat="1" applyFont="1" applyFill="1" applyBorder="1" applyAlignment="1">
      <alignment horizontal="right" wrapText="1"/>
    </xf>
    <xf numFmtId="10" fontId="0" fillId="0" borderId="0" xfId="2" applyNumberFormat="1" applyFont="1"/>
    <xf numFmtId="10" fontId="0" fillId="0" borderId="0" xfId="2" applyNumberFormat="1" applyFont="1" applyAlignment="1">
      <alignment horizontal="center"/>
    </xf>
    <xf numFmtId="3" fontId="9" fillId="0" borderId="7" xfId="0" applyNumberFormat="1" applyFont="1" applyFill="1" applyBorder="1" applyAlignment="1">
      <alignment horizontal="center"/>
    </xf>
    <xf numFmtId="0" fontId="3" fillId="2" borderId="2" xfId="8" applyFont="1" applyFill="1" applyBorder="1" applyAlignment="1">
      <alignment horizontal="center"/>
    </xf>
    <xf numFmtId="0" fontId="3" fillId="0" borderId="1" xfId="8" applyFont="1" applyFill="1" applyBorder="1" applyAlignment="1">
      <alignment horizontal="right" wrapText="1"/>
    </xf>
    <xf numFmtId="0" fontId="3" fillId="0" borderId="1" xfId="8" applyFont="1" applyFill="1" applyBorder="1" applyAlignment="1">
      <alignment wrapText="1"/>
    </xf>
    <xf numFmtId="171" fontId="3" fillId="0" borderId="1" xfId="8" applyNumberFormat="1" applyFont="1" applyFill="1" applyBorder="1" applyAlignment="1">
      <alignment horizontal="right" wrapText="1"/>
    </xf>
    <xf numFmtId="0" fontId="3" fillId="0" borderId="1" xfId="3" applyFont="1" applyFill="1" applyBorder="1" applyAlignment="1">
      <alignment horizontal="right" wrapText="1"/>
    </xf>
    <xf numFmtId="0" fontId="3" fillId="0" borderId="1" xfId="3" applyFont="1" applyFill="1" applyBorder="1" applyAlignment="1">
      <alignment wrapText="1"/>
    </xf>
    <xf numFmtId="171" fontId="3" fillId="0" borderId="1" xfId="3" applyNumberFormat="1" applyFont="1" applyFill="1" applyBorder="1" applyAlignment="1">
      <alignment horizontal="right" wrapText="1"/>
    </xf>
    <xf numFmtId="0" fontId="2" fillId="0" borderId="0" xfId="0" applyFont="1" applyFill="1" applyAlignment="1">
      <alignment horizontal="right"/>
    </xf>
    <xf numFmtId="0" fontId="3" fillId="0" borderId="1" xfId="4" applyFont="1" applyFill="1" applyBorder="1" applyAlignment="1">
      <alignment horizontal="center" wrapText="1"/>
    </xf>
    <xf numFmtId="171" fontId="3" fillId="0" borderId="1" xfId="4" applyNumberFormat="1" applyFont="1" applyFill="1" applyBorder="1" applyAlignment="1">
      <alignment horizontal="center" wrapText="1"/>
    </xf>
    <xf numFmtId="175" fontId="0" fillId="0" borderId="0" xfId="0" applyNumberFormat="1"/>
    <xf numFmtId="0" fontId="5" fillId="0" borderId="0" xfId="0" applyFont="1" applyFill="1" applyBorder="1" applyAlignment="1">
      <alignment horizontal="center"/>
    </xf>
    <xf numFmtId="0" fontId="5" fillId="0" borderId="7" xfId="0" applyFont="1" applyFill="1" applyBorder="1" applyAlignment="1">
      <alignment horizontal="center"/>
    </xf>
    <xf numFmtId="0" fontId="22" fillId="2" borderId="2" xfId="12" applyFont="1" applyFill="1" applyBorder="1" applyAlignment="1">
      <alignment horizontal="center"/>
    </xf>
    <xf numFmtId="0" fontId="22" fillId="0" borderId="1" xfId="12" applyFont="1" applyFill="1" applyBorder="1" applyAlignment="1">
      <alignment wrapText="1"/>
    </xf>
    <xf numFmtId="171" fontId="22" fillId="0" borderId="1" xfId="12" applyNumberFormat="1" applyFont="1" applyFill="1" applyBorder="1" applyAlignment="1">
      <alignment horizontal="right" wrapText="1"/>
    </xf>
    <xf numFmtId="4" fontId="22" fillId="0" borderId="1" xfId="12" applyNumberFormat="1" applyFont="1" applyFill="1" applyBorder="1" applyAlignment="1">
      <alignment horizontal="right" wrapText="1"/>
    </xf>
    <xf numFmtId="0" fontId="22" fillId="0" borderId="1" xfId="12" applyFont="1" applyFill="1" applyBorder="1" applyAlignment="1">
      <alignment horizontal="right" wrapText="1"/>
    </xf>
    <xf numFmtId="168" fontId="24" fillId="0" borderId="9" xfId="0" applyNumberFormat="1" applyFont="1" applyFill="1" applyBorder="1" applyAlignment="1">
      <alignment horizontal="center"/>
    </xf>
    <xf numFmtId="0" fontId="3" fillId="2" borderId="2" xfId="13" applyFont="1" applyFill="1" applyBorder="1" applyAlignment="1">
      <alignment horizontal="center"/>
    </xf>
    <xf numFmtId="0" fontId="3" fillId="0" borderId="1" xfId="13" applyFont="1" applyFill="1" applyBorder="1" applyAlignment="1">
      <alignment wrapText="1"/>
    </xf>
    <xf numFmtId="171" fontId="3" fillId="0" borderId="1" xfId="13" applyNumberFormat="1" applyFont="1" applyFill="1" applyBorder="1" applyAlignment="1">
      <alignment horizontal="right" wrapText="1"/>
    </xf>
    <xf numFmtId="4" fontId="3" fillId="0" borderId="1" xfId="13" applyNumberFormat="1" applyFont="1" applyFill="1" applyBorder="1" applyAlignment="1">
      <alignment horizontal="right" wrapText="1"/>
    </xf>
    <xf numFmtId="0" fontId="3" fillId="0" borderId="1" xfId="13" applyFont="1" applyFill="1" applyBorder="1" applyAlignment="1">
      <alignment horizontal="right" wrapText="1"/>
    </xf>
    <xf numFmtId="167" fontId="0" fillId="0" borderId="0" xfId="1" applyNumberFormat="1" applyFont="1" applyBorder="1" applyAlignment="1">
      <alignment horizontal="right"/>
    </xf>
    <xf numFmtId="0" fontId="25" fillId="2" borderId="2" xfId="14" applyFont="1" applyFill="1" applyBorder="1" applyAlignment="1">
      <alignment horizontal="center"/>
    </xf>
    <xf numFmtId="0" fontId="25" fillId="0" borderId="1" xfId="14" applyFont="1" applyFill="1" applyBorder="1" applyAlignment="1">
      <alignment wrapText="1"/>
    </xf>
    <xf numFmtId="171" fontId="25" fillId="0" borderId="1" xfId="14" applyNumberFormat="1" applyFont="1" applyFill="1" applyBorder="1" applyAlignment="1">
      <alignment horizontal="right" wrapText="1"/>
    </xf>
    <xf numFmtId="4" fontId="25" fillId="0" borderId="1" xfId="14" applyNumberFormat="1" applyFont="1" applyFill="1" applyBorder="1" applyAlignment="1">
      <alignment horizontal="right" wrapText="1"/>
    </xf>
    <xf numFmtId="0" fontId="25" fillId="0" borderId="1" xfId="14" applyFont="1" applyFill="1" applyBorder="1" applyAlignment="1">
      <alignment horizontal="right" wrapText="1"/>
    </xf>
    <xf numFmtId="164" fontId="0" fillId="0" borderId="0" xfId="0" applyNumberFormat="1" applyBorder="1" applyAlignment="1">
      <alignment horizontal="center"/>
    </xf>
    <xf numFmtId="168" fontId="0" fillId="0" borderId="0" xfId="0" applyNumberFormat="1"/>
    <xf numFmtId="0" fontId="25" fillId="0" borderId="1" xfId="14" applyFont="1" applyFill="1" applyBorder="1" applyAlignment="1">
      <alignment horizontal="right"/>
    </xf>
    <xf numFmtId="0" fontId="25" fillId="0" borderId="1" xfId="14" applyFont="1" applyFill="1" applyBorder="1" applyAlignment="1"/>
    <xf numFmtId="171" fontId="25" fillId="0" borderId="1" xfId="14" applyNumberFormat="1" applyFont="1" applyFill="1" applyBorder="1" applyAlignment="1">
      <alignment horizontal="right"/>
    </xf>
    <xf numFmtId="176" fontId="25" fillId="0" borderId="1" xfId="14" applyNumberFormat="1" applyFont="1" applyFill="1" applyBorder="1" applyAlignment="1">
      <alignment horizontal="right"/>
    </xf>
    <xf numFmtId="0" fontId="26" fillId="0" borderId="0" xfId="14" applyAlignment="1"/>
    <xf numFmtId="4" fontId="25" fillId="0" borderId="1" xfId="14" applyNumberFormat="1" applyFont="1" applyFill="1" applyBorder="1" applyAlignment="1">
      <alignment horizontal="right"/>
    </xf>
    <xf numFmtId="10" fontId="25" fillId="0" borderId="1" xfId="14" applyNumberFormat="1" applyFont="1" applyFill="1" applyBorder="1" applyAlignment="1">
      <alignment horizontal="right"/>
    </xf>
    <xf numFmtId="3" fontId="24" fillId="0" borderId="7" xfId="0" applyNumberFormat="1" applyFont="1" applyFill="1" applyBorder="1" applyAlignment="1">
      <alignment horizontal="center"/>
    </xf>
    <xf numFmtId="16" fontId="5" fillId="0" borderId="24" xfId="0" applyNumberFormat="1" applyFont="1" applyBorder="1" applyAlignment="1">
      <alignment horizontal="center"/>
    </xf>
    <xf numFmtId="165" fontId="6" fillId="0" borderId="24" xfId="0" applyNumberFormat="1" applyFont="1" applyBorder="1" applyAlignment="1">
      <alignment horizontal="center"/>
    </xf>
    <xf numFmtId="0" fontId="6" fillId="0" borderId="24" xfId="0" applyFont="1" applyBorder="1" applyAlignment="1">
      <alignment horizontal="center"/>
    </xf>
    <xf numFmtId="18" fontId="6" fillId="0" borderId="24" xfId="0" applyNumberFormat="1" applyFont="1" applyBorder="1" applyAlignment="1">
      <alignment horizontal="center"/>
    </xf>
    <xf numFmtId="3" fontId="5" fillId="0" borderId="30" xfId="0" applyNumberFormat="1" applyFont="1" applyFill="1" applyBorder="1" applyAlignment="1">
      <alignment horizontal="center"/>
    </xf>
    <xf numFmtId="3" fontId="24" fillId="0" borderId="30" xfId="0" applyNumberFormat="1" applyFont="1" applyFill="1" applyBorder="1" applyAlignment="1">
      <alignment horizontal="center"/>
    </xf>
    <xf numFmtId="16" fontId="5" fillId="0" borderId="24" xfId="0" applyNumberFormat="1" applyFont="1" applyFill="1" applyBorder="1" applyAlignment="1">
      <alignment horizontal="center"/>
    </xf>
    <xf numFmtId="168" fontId="5" fillId="0" borderId="24" xfId="0" applyNumberFormat="1" applyFont="1" applyBorder="1" applyAlignment="1">
      <alignment horizontal="center"/>
    </xf>
    <xf numFmtId="18" fontId="5" fillId="0" borderId="24" xfId="0" applyNumberFormat="1" applyFont="1" applyBorder="1" applyAlignment="1">
      <alignment horizontal="center"/>
    </xf>
    <xf numFmtId="168" fontId="0" fillId="0" borderId="24" xfId="0" applyNumberFormat="1" applyBorder="1" applyAlignment="1">
      <alignment horizontal="center"/>
    </xf>
    <xf numFmtId="173" fontId="5" fillId="0" borderId="31" xfId="0" applyNumberFormat="1" applyFont="1" applyBorder="1" applyAlignment="1"/>
    <xf numFmtId="0" fontId="27" fillId="2" borderId="2" xfId="15" applyFont="1" applyFill="1" applyBorder="1" applyAlignment="1">
      <alignment horizontal="center"/>
    </xf>
    <xf numFmtId="0" fontId="27" fillId="0" borderId="1" xfId="15" applyFont="1" applyFill="1" applyBorder="1" applyAlignment="1">
      <alignment wrapText="1"/>
    </xf>
    <xf numFmtId="171" fontId="27" fillId="0" borderId="1" xfId="15" applyNumberFormat="1" applyFont="1" applyFill="1" applyBorder="1" applyAlignment="1">
      <alignment horizontal="right" wrapText="1"/>
    </xf>
    <xf numFmtId="4" fontId="27" fillId="0" borderId="1" xfId="15" applyNumberFormat="1" applyFont="1" applyFill="1" applyBorder="1" applyAlignment="1">
      <alignment horizontal="right" wrapText="1"/>
    </xf>
    <xf numFmtId="0" fontId="27" fillId="0" borderId="1" xfId="15" applyFont="1" applyFill="1" applyBorder="1" applyAlignment="1">
      <alignment horizontal="right" wrapText="1"/>
    </xf>
    <xf numFmtId="168" fontId="24" fillId="0" borderId="0" xfId="0" applyNumberFormat="1" applyFont="1" applyFill="1" applyBorder="1" applyAlignment="1">
      <alignment horizontal="center"/>
    </xf>
    <xf numFmtId="0" fontId="27" fillId="2" borderId="2" xfId="16" applyFont="1" applyFill="1" applyBorder="1" applyAlignment="1">
      <alignment horizontal="center"/>
    </xf>
    <xf numFmtId="0" fontId="27" fillId="0" borderId="1" xfId="16" applyFont="1" applyFill="1" applyBorder="1" applyAlignment="1">
      <alignment horizontal="right" wrapText="1"/>
    </xf>
    <xf numFmtId="0" fontId="27" fillId="0" borderId="1" xfId="16" applyFont="1" applyFill="1" applyBorder="1" applyAlignment="1">
      <alignment wrapText="1"/>
    </xf>
    <xf numFmtId="171" fontId="27" fillId="0" borderId="1" xfId="16" applyNumberFormat="1" applyFont="1" applyFill="1" applyBorder="1" applyAlignment="1">
      <alignment horizontal="right" wrapText="1"/>
    </xf>
    <xf numFmtId="0" fontId="27" fillId="2" borderId="2" xfId="17" applyFont="1" applyFill="1" applyBorder="1" applyAlignment="1">
      <alignment horizontal="center"/>
    </xf>
    <xf numFmtId="0" fontId="27" fillId="0" borderId="1" xfId="17" applyFont="1" applyFill="1" applyBorder="1" applyAlignment="1">
      <alignment horizontal="right" wrapText="1"/>
    </xf>
    <xf numFmtId="0" fontId="27" fillId="0" borderId="1" xfId="17" applyFont="1" applyFill="1" applyBorder="1" applyAlignment="1">
      <alignment wrapText="1"/>
    </xf>
    <xf numFmtId="171" fontId="27" fillId="0" borderId="1" xfId="17" applyNumberFormat="1" applyFont="1" applyFill="1" applyBorder="1" applyAlignment="1">
      <alignment horizontal="right" wrapText="1"/>
    </xf>
    <xf numFmtId="4" fontId="0" fillId="0" borderId="0" xfId="0" applyNumberFormat="1"/>
    <xf numFmtId="0" fontId="29" fillId="2" borderId="2" xfId="18" applyFont="1" applyFill="1" applyBorder="1" applyAlignment="1">
      <alignment horizontal="center"/>
    </xf>
    <xf numFmtId="0" fontId="29" fillId="0" borderId="1" xfId="18" applyFont="1" applyFill="1" applyBorder="1" applyAlignment="1">
      <alignment wrapText="1"/>
    </xf>
    <xf numFmtId="171" fontId="29" fillId="0" borderId="1" xfId="18" applyNumberFormat="1" applyFont="1" applyFill="1" applyBorder="1" applyAlignment="1">
      <alignment horizontal="right" wrapText="1"/>
    </xf>
    <xf numFmtId="4" fontId="29" fillId="0" borderId="1" xfId="18" applyNumberFormat="1" applyFont="1" applyFill="1" applyBorder="1" applyAlignment="1">
      <alignment horizontal="right" wrapText="1"/>
    </xf>
    <xf numFmtId="0" fontId="29" fillId="0" borderId="1" xfId="18" applyFont="1" applyFill="1" applyBorder="1" applyAlignment="1">
      <alignment horizontal="right" wrapText="1"/>
    </xf>
    <xf numFmtId="164" fontId="2" fillId="3" borderId="0" xfId="0" applyNumberFormat="1" applyFont="1" applyFill="1" applyBorder="1" applyAlignment="1">
      <alignment horizontal="center"/>
    </xf>
    <xf numFmtId="0" fontId="2" fillId="0" borderId="24" xfId="0" applyFont="1" applyBorder="1" applyAlignment="1">
      <alignment horizontal="center"/>
    </xf>
    <xf numFmtId="0" fontId="2" fillId="0" borderId="0" xfId="0" applyFont="1" applyBorder="1" applyAlignment="1">
      <alignment horizontal="center"/>
    </xf>
    <xf numFmtId="16" fontId="9" fillId="0" borderId="9" xfId="0" applyNumberFormat="1" applyFont="1" applyFill="1" applyBorder="1" applyAlignment="1">
      <alignment horizontal="center"/>
    </xf>
    <xf numFmtId="16" fontId="9" fillId="0" borderId="26" xfId="0" applyNumberFormat="1" applyFont="1" applyFill="1" applyBorder="1" applyAlignment="1">
      <alignment horizontal="center"/>
    </xf>
    <xf numFmtId="3" fontId="5" fillId="0" borderId="4" xfId="0" applyNumberFormat="1" applyFont="1" applyFill="1" applyBorder="1" applyAlignment="1">
      <alignment horizontal="center"/>
    </xf>
    <xf numFmtId="3" fontId="5" fillId="0" borderId="3" xfId="0" applyNumberFormat="1" applyFont="1" applyFill="1" applyBorder="1" applyAlignment="1">
      <alignment horizontal="center"/>
    </xf>
    <xf numFmtId="0" fontId="5" fillId="0" borderId="4" xfId="0" applyFont="1" applyFill="1" applyBorder="1" applyAlignment="1">
      <alignment horizontal="center"/>
    </xf>
    <xf numFmtId="0" fontId="5" fillId="0" borderId="3" xfId="0" applyFont="1" applyFill="1" applyBorder="1" applyAlignment="1">
      <alignment horizontal="center"/>
    </xf>
    <xf numFmtId="0" fontId="5" fillId="0" borderId="11" xfId="0" applyFont="1" applyFill="1" applyBorder="1" applyAlignment="1">
      <alignment horizontal="center"/>
    </xf>
    <xf numFmtId="16" fontId="5" fillId="0" borderId="4" xfId="0" applyNumberFormat="1" applyFont="1" applyFill="1" applyBorder="1" applyAlignment="1">
      <alignment horizontal="center"/>
    </xf>
    <xf numFmtId="16" fontId="5" fillId="0" borderId="3" xfId="0" applyNumberFormat="1" applyFont="1" applyFill="1" applyBorder="1" applyAlignment="1">
      <alignment horizontal="center"/>
    </xf>
    <xf numFmtId="16" fontId="5" fillId="0" borderId="11" xfId="0" applyNumberFormat="1" applyFont="1" applyFill="1" applyBorder="1" applyAlignment="1">
      <alignment horizontal="center"/>
    </xf>
  </cellXfs>
  <cellStyles count="19">
    <cellStyle name="Comma" xfId="1" builtinId="3"/>
    <cellStyle name="Normal" xfId="0" builtinId="0"/>
    <cellStyle name="Normal_Cop Wastage" xfId="8"/>
    <cellStyle name="Normal_Cop Wastage_2" xfId="11"/>
    <cellStyle name="Normal_Copy Sheet" xfId="12"/>
    <cellStyle name="Normal_Copy Sheet_1" xfId="13"/>
    <cellStyle name="Normal_Copy Sheet_2" xfId="14"/>
    <cellStyle name="Normal_Copy Sheet_3" xfId="15"/>
    <cellStyle name="Normal_Copy Sheet_4" xfId="18"/>
    <cellStyle name="Normal_LB Wastage" xfId="6"/>
    <cellStyle name="Normal_LB Wastage_1" xfId="9"/>
    <cellStyle name="Normal_Moc Wastage" xfId="4"/>
    <cellStyle name="Normal_Moc Wastage_1" xfId="10"/>
    <cellStyle name="Normal_Moc Wastage_3" xfId="16"/>
    <cellStyle name="Normal_Sheet3" xfId="5"/>
    <cellStyle name="Normal_TH Wastage" xfId="3"/>
    <cellStyle name="Normal_TH Wastage_1" xfId="17"/>
    <cellStyle name="Normal_TH Wastage_2" xfId="7"/>
    <cellStyle name="Percent" xfId="2" builtinId="5"/>
  </cellStyles>
  <dxfs count="0"/>
  <tableStyles count="0" defaultTableStyle="TableStyleMedium9" defaultPivotStyle="PivotStyleLight16"/>
  <colors>
    <mruColors>
      <color rgb="FF99FFCC"/>
      <color rgb="FF99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8"/>
  <sheetViews>
    <sheetView workbookViewId="0">
      <selection activeCell="D25" sqref="D25"/>
    </sheetView>
  </sheetViews>
  <sheetFormatPr defaultRowHeight="15" x14ac:dyDescent="0.25"/>
  <cols>
    <col min="5" max="8" width="12.7109375" customWidth="1"/>
  </cols>
  <sheetData>
    <row r="1" spans="1:8" ht="15.75" thickBot="1" x14ac:dyDescent="0.3">
      <c r="A1" s="24" t="s">
        <v>25</v>
      </c>
      <c r="B1" s="24" t="s">
        <v>26</v>
      </c>
      <c r="C1" s="24" t="s">
        <v>27</v>
      </c>
      <c r="D1" s="24" t="s">
        <v>28</v>
      </c>
      <c r="E1" s="25" t="s">
        <v>19</v>
      </c>
      <c r="F1" s="25" t="s">
        <v>20</v>
      </c>
      <c r="G1" s="25" t="s">
        <v>21</v>
      </c>
      <c r="H1" s="25" t="s">
        <v>22</v>
      </c>
    </row>
    <row r="2" spans="1:8" ht="15.75" thickTop="1" x14ac:dyDescent="0.25">
      <c r="A2" s="27">
        <v>43014</v>
      </c>
      <c r="B2" s="18">
        <v>42657</v>
      </c>
      <c r="C2" s="19">
        <v>-0.4</v>
      </c>
      <c r="D2" s="20">
        <v>0.8256944444444444</v>
      </c>
      <c r="E2" s="30" t="s">
        <v>94</v>
      </c>
      <c r="F2" s="30" t="s">
        <v>94</v>
      </c>
      <c r="G2" s="30" t="s">
        <v>94</v>
      </c>
      <c r="H2" s="30" t="s">
        <v>94</v>
      </c>
    </row>
    <row r="3" spans="1:8" x14ac:dyDescent="0.25">
      <c r="A3" s="213">
        <v>43015</v>
      </c>
      <c r="B3" s="214">
        <v>42658</v>
      </c>
      <c r="C3" s="215">
        <v>-0.7</v>
      </c>
      <c r="D3" s="216">
        <v>0.85625000000000007</v>
      </c>
      <c r="E3" s="217" t="s">
        <v>94</v>
      </c>
      <c r="F3" s="217" t="s">
        <v>94</v>
      </c>
      <c r="G3" s="217" t="s">
        <v>94</v>
      </c>
      <c r="H3" s="217" t="s">
        <v>94</v>
      </c>
    </row>
    <row r="4" spans="1:8" x14ac:dyDescent="0.25">
      <c r="A4" s="27">
        <v>43041</v>
      </c>
      <c r="B4" s="18">
        <v>43041</v>
      </c>
      <c r="C4" s="19">
        <v>0.1</v>
      </c>
      <c r="D4" s="20">
        <v>0.75208333333333333</v>
      </c>
      <c r="E4" s="212" t="str">
        <f>Effort!F5</f>
        <v>Closed</v>
      </c>
      <c r="F4" s="212" t="str">
        <f>Effort!H5</f>
        <v>Closed</v>
      </c>
      <c r="G4" s="30" t="s">
        <v>94</v>
      </c>
      <c r="H4" s="212" t="str">
        <f>Effort!L5</f>
        <v>Closed</v>
      </c>
    </row>
    <row r="5" spans="1:8" x14ac:dyDescent="0.25">
      <c r="A5" s="27">
        <v>43042</v>
      </c>
      <c r="B5" s="18">
        <v>43042</v>
      </c>
      <c r="C5" s="19">
        <v>-0.7</v>
      </c>
      <c r="D5" s="20">
        <v>0.78263888888888899</v>
      </c>
      <c r="E5" s="30" t="s">
        <v>94</v>
      </c>
      <c r="F5" s="30" t="s">
        <v>94</v>
      </c>
      <c r="G5" s="212" t="str">
        <f>Effort!J6</f>
        <v>Closed</v>
      </c>
      <c r="H5" s="30" t="s">
        <v>94</v>
      </c>
    </row>
    <row r="6" spans="1:8" x14ac:dyDescent="0.25">
      <c r="A6" s="27">
        <v>43043</v>
      </c>
      <c r="B6" s="18">
        <v>43043</v>
      </c>
      <c r="C6" s="21">
        <v>-1.2</v>
      </c>
      <c r="D6" s="22">
        <v>0.81319444444444444</v>
      </c>
      <c r="E6" s="30" t="s">
        <v>94</v>
      </c>
      <c r="F6" s="30" t="s">
        <v>94</v>
      </c>
      <c r="G6" s="30" t="s">
        <v>94</v>
      </c>
      <c r="H6" s="212" t="str">
        <f>Effort!L7</f>
        <v>Closed</v>
      </c>
    </row>
    <row r="7" spans="1:8" x14ac:dyDescent="0.25">
      <c r="A7" s="213">
        <v>43044</v>
      </c>
      <c r="B7" s="214">
        <v>43044</v>
      </c>
      <c r="C7" s="215">
        <v>-1.4</v>
      </c>
      <c r="D7" s="216">
        <v>0.8027777777777777</v>
      </c>
      <c r="E7" s="217" t="s">
        <v>94</v>
      </c>
      <c r="F7" s="217" t="s">
        <v>94</v>
      </c>
      <c r="G7" s="218" t="str">
        <f>Effort!J8</f>
        <v>Closed</v>
      </c>
      <c r="H7" s="217" t="s">
        <v>94</v>
      </c>
    </row>
    <row r="8" spans="1:8" x14ac:dyDescent="0.25">
      <c r="A8" s="37">
        <v>43070</v>
      </c>
      <c r="B8" s="18">
        <v>43070</v>
      </c>
      <c r="C8" s="28">
        <v>-0.3</v>
      </c>
      <c r="D8" s="29">
        <v>0.6958333333333333</v>
      </c>
      <c r="E8" s="212" t="str">
        <f>Effort!F10</f>
        <v>Closed</v>
      </c>
      <c r="F8" s="212" t="str">
        <f>Effort!H10</f>
        <v>Closed</v>
      </c>
      <c r="G8" s="30" t="s">
        <v>94</v>
      </c>
      <c r="H8" s="212" t="str">
        <f>Effort!L10</f>
        <v>Closed</v>
      </c>
    </row>
    <row r="9" spans="1:8" x14ac:dyDescent="0.25">
      <c r="A9" s="37">
        <v>43071</v>
      </c>
      <c r="B9" s="18">
        <v>43071</v>
      </c>
      <c r="C9" s="28">
        <v>-1.1000000000000001</v>
      </c>
      <c r="D9" s="29">
        <v>0.7284722222222223</v>
      </c>
      <c r="E9" s="30" t="s">
        <v>94</v>
      </c>
      <c r="F9" s="30" t="s">
        <v>94</v>
      </c>
      <c r="G9" s="212" t="str">
        <f>Effort!J11</f>
        <v>Closed</v>
      </c>
      <c r="H9" s="30" t="s">
        <v>94</v>
      </c>
    </row>
    <row r="10" spans="1:8" x14ac:dyDescent="0.25">
      <c r="A10" s="37">
        <v>43072</v>
      </c>
      <c r="B10" s="18">
        <v>43072</v>
      </c>
      <c r="C10" s="28">
        <v>-1.6</v>
      </c>
      <c r="D10" s="29">
        <v>0.76041666666666663</v>
      </c>
      <c r="E10" s="30" t="s">
        <v>94</v>
      </c>
      <c r="F10" s="30" t="s">
        <v>94</v>
      </c>
      <c r="G10" s="30" t="s">
        <v>94</v>
      </c>
      <c r="H10" s="212" t="str">
        <f>Effort!L12</f>
        <v>Closed</v>
      </c>
    </row>
    <row r="11" spans="1:8" x14ac:dyDescent="0.25">
      <c r="A11" s="219">
        <v>43073</v>
      </c>
      <c r="B11" s="214">
        <v>43073</v>
      </c>
      <c r="C11" s="220">
        <v>-1.8</v>
      </c>
      <c r="D11" s="221">
        <v>0.79305555555555562</v>
      </c>
      <c r="E11" s="217" t="s">
        <v>94</v>
      </c>
      <c r="F11" s="217" t="s">
        <v>94</v>
      </c>
      <c r="G11" s="218" t="str">
        <f>Effort!J13</f>
        <v>Closed</v>
      </c>
      <c r="H11" s="217" t="s">
        <v>94</v>
      </c>
    </row>
    <row r="12" spans="1:8" x14ac:dyDescent="0.25">
      <c r="A12" s="37">
        <v>43100</v>
      </c>
      <c r="B12" s="18">
        <f>+A12</f>
        <v>43100</v>
      </c>
      <c r="C12" s="28">
        <v>-1.2</v>
      </c>
      <c r="D12" s="29">
        <v>0.71666666666666667</v>
      </c>
      <c r="E12" s="30" t="s">
        <v>94</v>
      </c>
      <c r="F12" s="30" t="s">
        <v>94</v>
      </c>
      <c r="G12" s="30" t="s">
        <v>94</v>
      </c>
      <c r="H12" s="30" t="s">
        <v>94</v>
      </c>
    </row>
    <row r="13" spans="1:8" x14ac:dyDescent="0.25">
      <c r="A13" s="219">
        <v>43101</v>
      </c>
      <c r="B13" s="214">
        <f>+A13</f>
        <v>43101</v>
      </c>
      <c r="C13" s="220">
        <v>-1.7</v>
      </c>
      <c r="D13" s="221">
        <v>0.75138888888888899</v>
      </c>
      <c r="E13" s="218" t="str">
        <f>Effort!F16</f>
        <v>Closed</v>
      </c>
      <c r="F13" s="217" t="s">
        <v>94</v>
      </c>
      <c r="G13" s="218" t="s">
        <v>58</v>
      </c>
      <c r="H13" s="217" t="s">
        <v>94</v>
      </c>
    </row>
    <row r="14" spans="1:8" x14ac:dyDescent="0.25">
      <c r="A14" s="37">
        <v>43128</v>
      </c>
      <c r="B14" s="18">
        <f t="shared" ref="B14:B20" si="0">+A14</f>
        <v>43128</v>
      </c>
      <c r="C14" s="13">
        <v>-0.4</v>
      </c>
      <c r="D14" s="88">
        <v>0.67083333333333339</v>
      </c>
      <c r="E14" s="212" t="str">
        <f>Effort!F18</f>
        <v>Closed</v>
      </c>
      <c r="F14" s="212" t="str">
        <f>Effort!H18</f>
        <v>Closed</v>
      </c>
      <c r="G14" s="212" t="str">
        <f>Effort!J18</f>
        <v>Closed</v>
      </c>
      <c r="H14" s="30"/>
    </row>
    <row r="15" spans="1:8" x14ac:dyDescent="0.25">
      <c r="A15" s="37">
        <v>43129</v>
      </c>
      <c r="B15" s="18">
        <f t="shared" si="0"/>
        <v>43129</v>
      </c>
      <c r="C15" s="13">
        <v>-1</v>
      </c>
      <c r="D15" s="88">
        <v>0.70763888888888893</v>
      </c>
      <c r="E15" s="212" t="str">
        <f>Effort!F19</f>
        <v>Closed</v>
      </c>
      <c r="F15" s="212" t="str">
        <f>Effort!H19</f>
        <v>Closed</v>
      </c>
      <c r="G15" s="30"/>
      <c r="H15" s="212" t="str">
        <f>Effort!L19</f>
        <v>Closed</v>
      </c>
    </row>
    <row r="16" spans="1:8" x14ac:dyDescent="0.25">
      <c r="A16" s="37">
        <v>43130</v>
      </c>
      <c r="B16" s="18">
        <f t="shared" si="0"/>
        <v>43130</v>
      </c>
      <c r="C16" s="13">
        <v>-1.5</v>
      </c>
      <c r="D16" s="88">
        <v>0.74097222222222225</v>
      </c>
      <c r="E16" s="212" t="str">
        <f>Effort!F20</f>
        <v>Closed</v>
      </c>
      <c r="F16" s="30"/>
      <c r="G16" s="212" t="str">
        <f>Effort!J20</f>
        <v>Closed</v>
      </c>
      <c r="H16" s="30"/>
    </row>
    <row r="17" spans="1:8" x14ac:dyDescent="0.25">
      <c r="A17" s="37">
        <v>43131</v>
      </c>
      <c r="B17" s="18">
        <f t="shared" si="0"/>
        <v>43131</v>
      </c>
      <c r="C17" s="13">
        <v>-1.6</v>
      </c>
      <c r="D17" s="88">
        <v>0.7729166666666667</v>
      </c>
      <c r="E17" s="30"/>
      <c r="F17" s="30"/>
      <c r="G17" s="30"/>
      <c r="H17" s="212" t="str">
        <f>Effort!L21</f>
        <v>Closed</v>
      </c>
    </row>
    <row r="18" spans="1:8" x14ac:dyDescent="0.25">
      <c r="A18" s="37">
        <v>43132</v>
      </c>
      <c r="B18" s="18">
        <f t="shared" si="0"/>
        <v>43132</v>
      </c>
      <c r="C18" s="13">
        <v>-1.5</v>
      </c>
      <c r="D18" s="88">
        <v>0.80347222222222225</v>
      </c>
      <c r="E18" s="30"/>
      <c r="F18" s="30"/>
      <c r="G18" s="212" t="str">
        <f>Effort!J22</f>
        <v>Closed</v>
      </c>
      <c r="H18" s="30"/>
    </row>
    <row r="19" spans="1:8" x14ac:dyDescent="0.25">
      <c r="A19" s="37">
        <v>43133</v>
      </c>
      <c r="B19" s="18">
        <f t="shared" si="0"/>
        <v>43133</v>
      </c>
      <c r="C19" s="13">
        <v>-1</v>
      </c>
      <c r="D19" s="88">
        <v>0.83333333333333337</v>
      </c>
      <c r="E19" s="30"/>
      <c r="F19" s="30"/>
      <c r="G19" s="30"/>
      <c r="H19" s="212" t="str">
        <f>Effort!L23</f>
        <v>Closed</v>
      </c>
    </row>
    <row r="20" spans="1:8" x14ac:dyDescent="0.25">
      <c r="A20" s="219">
        <v>43134</v>
      </c>
      <c r="B20" s="214">
        <f t="shared" si="0"/>
        <v>43134</v>
      </c>
      <c r="C20" s="222">
        <v>-0.4</v>
      </c>
      <c r="D20" s="223">
        <v>0.86249999999999993</v>
      </c>
      <c r="E20" s="217"/>
      <c r="F20" s="217"/>
      <c r="G20" s="218" t="str">
        <f>Effort!J24</f>
        <v>Closed</v>
      </c>
      <c r="H20" s="217"/>
    </row>
    <row r="21" spans="1:8" x14ac:dyDescent="0.25">
      <c r="A21" s="37"/>
      <c r="B21" s="18"/>
      <c r="C21" s="13"/>
      <c r="D21" s="88"/>
      <c r="E21" s="30"/>
      <c r="F21" s="30"/>
      <c r="G21" s="30"/>
      <c r="H21" s="30"/>
    </row>
    <row r="22" spans="1:8" x14ac:dyDescent="0.25">
      <c r="A22" s="37"/>
      <c r="B22" s="18"/>
      <c r="C22" s="13"/>
      <c r="D22" s="88"/>
      <c r="E22" s="30"/>
      <c r="F22" s="30"/>
      <c r="G22" s="30"/>
      <c r="H22" s="30"/>
    </row>
    <row r="23" spans="1:8" x14ac:dyDescent="0.25">
      <c r="A23" s="37"/>
      <c r="B23" s="18"/>
      <c r="C23" s="13"/>
      <c r="D23" s="88"/>
      <c r="E23" s="30"/>
      <c r="F23" s="30"/>
      <c r="G23" s="30"/>
      <c r="H23" s="30"/>
    </row>
    <row r="24" spans="1:8" x14ac:dyDescent="0.25">
      <c r="A24" s="37"/>
      <c r="B24" s="18"/>
      <c r="C24" s="13"/>
      <c r="D24" s="88"/>
      <c r="E24" s="30"/>
      <c r="F24" s="30"/>
      <c r="G24" s="30"/>
      <c r="H24" s="30"/>
    </row>
    <row r="25" spans="1:8" x14ac:dyDescent="0.25">
      <c r="A25" s="37"/>
      <c r="B25" s="18"/>
      <c r="C25" s="13"/>
      <c r="D25" s="88"/>
      <c r="E25" s="30"/>
      <c r="F25" s="30"/>
      <c r="G25" s="30"/>
      <c r="H25" s="30"/>
    </row>
    <row r="26" spans="1:8" x14ac:dyDescent="0.25">
      <c r="A26" s="37"/>
      <c r="B26" s="18"/>
      <c r="C26" s="13"/>
      <c r="D26" s="88"/>
      <c r="E26" s="30"/>
      <c r="F26" s="30"/>
      <c r="G26" s="30"/>
      <c r="H26" s="30"/>
    </row>
    <row r="27" spans="1:8" x14ac:dyDescent="0.25">
      <c r="A27" s="37"/>
      <c r="B27" s="18"/>
      <c r="C27" s="13"/>
      <c r="D27" s="88"/>
      <c r="E27" s="30"/>
      <c r="F27" s="30"/>
      <c r="G27" s="30"/>
      <c r="H27" s="30"/>
    </row>
    <row r="28" spans="1:8" x14ac:dyDescent="0.25">
      <c r="A28" s="37"/>
      <c r="B28" s="18"/>
      <c r="C28" s="13"/>
      <c r="D28" s="88"/>
      <c r="E28" s="30"/>
      <c r="F28" s="30"/>
      <c r="G28" s="30"/>
      <c r="H28" s="30"/>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pageSetUpPr fitToPage="1"/>
  </sheetPr>
  <dimension ref="A1:Q52"/>
  <sheetViews>
    <sheetView topLeftCell="A19" zoomScaleNormal="100" workbookViewId="0">
      <selection activeCell="L45" sqref="L45"/>
    </sheetView>
  </sheetViews>
  <sheetFormatPr defaultRowHeight="15" x14ac:dyDescent="0.25"/>
  <cols>
    <col min="1" max="1" width="18.7109375" customWidth="1"/>
    <col min="2" max="2" width="5.42578125" customWidth="1"/>
    <col min="3" max="3" width="7.7109375" style="1" customWidth="1"/>
    <col min="4" max="4" width="9.140625" style="1"/>
    <col min="5" max="5" width="3.7109375" style="2" customWidth="1"/>
    <col min="6" max="6" width="12.7109375" customWidth="1"/>
    <col min="7" max="7" width="3.7109375" customWidth="1"/>
    <col min="8" max="8" width="12.7109375" customWidth="1"/>
    <col min="9" max="9" width="3.7109375" customWidth="1"/>
    <col min="10" max="10" width="12.7109375" customWidth="1"/>
    <col min="11" max="11" width="3.7109375" customWidth="1"/>
    <col min="12" max="12" width="12.7109375" customWidth="1"/>
    <col min="13" max="13" width="3.7109375" customWidth="1"/>
    <col min="14" max="14" width="12.7109375" customWidth="1"/>
    <col min="15" max="15" width="18.140625" bestFit="1" customWidth="1"/>
    <col min="16" max="16" width="31.140625" bestFit="1" customWidth="1"/>
    <col min="17" max="17" width="18.140625" bestFit="1" customWidth="1"/>
  </cols>
  <sheetData>
    <row r="1" spans="1:15" x14ac:dyDescent="0.25">
      <c r="A1" s="166" t="s">
        <v>8</v>
      </c>
      <c r="B1" s="166" t="s">
        <v>5</v>
      </c>
      <c r="C1" s="166" t="s">
        <v>6</v>
      </c>
      <c r="D1" s="166" t="s">
        <v>7</v>
      </c>
      <c r="E1" s="245" t="s">
        <v>0</v>
      </c>
      <c r="F1" s="245"/>
      <c r="G1" s="245" t="s">
        <v>1</v>
      </c>
      <c r="H1" s="245"/>
      <c r="I1" s="245" t="s">
        <v>2</v>
      </c>
      <c r="J1" s="245"/>
      <c r="K1" s="245" t="s">
        <v>3</v>
      </c>
      <c r="L1" s="245"/>
      <c r="M1" s="245" t="s">
        <v>4</v>
      </c>
      <c r="N1" s="245"/>
      <c r="O1" s="166" t="s">
        <v>11</v>
      </c>
    </row>
    <row r="2" spans="1:15" x14ac:dyDescent="0.25">
      <c r="A2" s="4">
        <v>43014</v>
      </c>
      <c r="B2" s="5">
        <v>42657</v>
      </c>
      <c r="C2" s="78">
        <v>-0.4</v>
      </c>
      <c r="D2" s="6">
        <v>0.8256944444444444</v>
      </c>
      <c r="E2" s="53"/>
      <c r="F2" s="8">
        <v>59331.123207523182</v>
      </c>
      <c r="G2" s="153"/>
      <c r="H2" s="8">
        <v>31868.122440164498</v>
      </c>
      <c r="I2" s="153"/>
      <c r="J2" s="8">
        <v>44866.071671682905</v>
      </c>
      <c r="K2" s="153"/>
      <c r="L2" s="8">
        <v>22068.308808420777</v>
      </c>
      <c r="M2" s="55"/>
      <c r="N2" s="8" t="s">
        <v>58</v>
      </c>
      <c r="O2" s="155">
        <f>+F2+H2+J2+L2</f>
        <v>158133.62612779136</v>
      </c>
    </row>
    <row r="3" spans="1:15" x14ac:dyDescent="0.25">
      <c r="A3" s="4">
        <v>43015</v>
      </c>
      <c r="B3" s="5">
        <v>42658</v>
      </c>
      <c r="C3" s="78">
        <v>-0.7</v>
      </c>
      <c r="D3" s="6">
        <v>0.85625000000000007</v>
      </c>
      <c r="E3" s="54"/>
      <c r="F3" s="8">
        <v>64854.394458148701</v>
      </c>
      <c r="G3" s="153"/>
      <c r="H3" s="8">
        <v>34583.126844219041</v>
      </c>
      <c r="I3" s="153"/>
      <c r="J3" s="8">
        <v>56732.517789928534</v>
      </c>
      <c r="K3" s="153"/>
      <c r="L3" s="8">
        <v>39185.154664644819</v>
      </c>
      <c r="M3" s="55"/>
      <c r="N3" s="8" t="s">
        <v>58</v>
      </c>
      <c r="O3" s="155">
        <f>+F3+H3+J3+L3</f>
        <v>195355.19375694109</v>
      </c>
    </row>
    <row r="4" spans="1:15" x14ac:dyDescent="0.25">
      <c r="A4" s="4"/>
      <c r="B4" s="5"/>
      <c r="C4" s="78"/>
      <c r="D4" s="6"/>
      <c r="E4" s="134"/>
      <c r="F4" s="8"/>
      <c r="G4" s="8"/>
      <c r="H4" s="8"/>
      <c r="I4" s="8"/>
      <c r="J4" s="8"/>
      <c r="K4" s="7"/>
      <c r="L4" s="8"/>
      <c r="M4" s="55"/>
      <c r="N4" s="8"/>
      <c r="O4" s="155"/>
    </row>
    <row r="5" spans="1:15" x14ac:dyDescent="0.25">
      <c r="A5" s="4">
        <v>43041</v>
      </c>
      <c r="B5" s="5">
        <f>+A5</f>
        <v>43041</v>
      </c>
      <c r="C5" s="78">
        <v>0.1</v>
      </c>
      <c r="D5" s="6">
        <v>0.75208333333333333</v>
      </c>
      <c r="E5" s="54"/>
      <c r="F5" s="8" t="s">
        <v>58</v>
      </c>
      <c r="G5" s="8"/>
      <c r="H5" s="8" t="s">
        <v>58</v>
      </c>
      <c r="I5" s="8"/>
      <c r="J5" s="8">
        <v>18054.815620340283</v>
      </c>
      <c r="K5" s="7"/>
      <c r="L5" s="8" t="s">
        <v>58</v>
      </c>
      <c r="M5" s="55"/>
      <c r="N5" s="8" t="s">
        <v>58</v>
      </c>
      <c r="O5" s="155">
        <f>+J5</f>
        <v>18054.815620340283</v>
      </c>
    </row>
    <row r="6" spans="1:15" x14ac:dyDescent="0.25">
      <c r="A6" s="4">
        <v>43042</v>
      </c>
      <c r="B6" s="5">
        <f t="shared" ref="B6:B16" si="0">+A6</f>
        <v>43042</v>
      </c>
      <c r="C6" s="113">
        <v>-0.7</v>
      </c>
      <c r="D6" s="6">
        <v>0.78263888888888899</v>
      </c>
      <c r="E6" s="54"/>
      <c r="F6" s="8">
        <v>69789.179190527895</v>
      </c>
      <c r="G6" s="8"/>
      <c r="H6" s="8">
        <v>27297.789790588424</v>
      </c>
      <c r="I6" s="8"/>
      <c r="J6" s="8" t="s">
        <v>58</v>
      </c>
      <c r="K6" s="7"/>
      <c r="L6" s="8">
        <v>34879.970542988958</v>
      </c>
      <c r="M6" s="55"/>
      <c r="N6" s="8" t="s">
        <v>58</v>
      </c>
      <c r="O6" s="155">
        <f>+F6+H6+L6</f>
        <v>131966.93952410528</v>
      </c>
    </row>
    <row r="7" spans="1:15" x14ac:dyDescent="0.25">
      <c r="A7" s="4">
        <v>43043</v>
      </c>
      <c r="B7" s="5">
        <f t="shared" si="0"/>
        <v>43043</v>
      </c>
      <c r="C7" s="113">
        <v>-1.2</v>
      </c>
      <c r="D7" s="114">
        <v>0.81319444444444444</v>
      </c>
      <c r="E7" s="54"/>
      <c r="F7" s="8">
        <v>84636.69104038665</v>
      </c>
      <c r="G7" s="8"/>
      <c r="H7" s="8">
        <v>29150.302764396954</v>
      </c>
      <c r="I7" s="8"/>
      <c r="J7" s="8">
        <v>34486.519797468645</v>
      </c>
      <c r="K7" s="7"/>
      <c r="L7" s="8" t="s">
        <v>58</v>
      </c>
      <c r="M7" s="55"/>
      <c r="N7" s="8" t="s">
        <v>58</v>
      </c>
      <c r="O7" s="155">
        <f>+F7+H7+J7</f>
        <v>148273.51360225223</v>
      </c>
    </row>
    <row r="8" spans="1:15" x14ac:dyDescent="0.25">
      <c r="A8" s="4">
        <v>43044</v>
      </c>
      <c r="B8" s="5">
        <f t="shared" si="0"/>
        <v>43044</v>
      </c>
      <c r="C8" s="113">
        <v>-1.4</v>
      </c>
      <c r="D8" s="114">
        <v>0.8027777777777777</v>
      </c>
      <c r="E8" s="54"/>
      <c r="F8" s="8">
        <v>48075.522774486417</v>
      </c>
      <c r="G8" s="134"/>
      <c r="H8" s="8">
        <v>16767.238717477634</v>
      </c>
      <c r="I8" s="8"/>
      <c r="J8" s="8" t="s">
        <v>58</v>
      </c>
      <c r="K8" s="8"/>
      <c r="L8" s="8">
        <v>12473.643270905293</v>
      </c>
      <c r="M8" s="55"/>
      <c r="N8" s="8" t="s">
        <v>58</v>
      </c>
      <c r="O8" s="155">
        <f>+F8+H8+L8</f>
        <v>77316.404762869337</v>
      </c>
    </row>
    <row r="9" spans="1:15" x14ac:dyDescent="0.25">
      <c r="A9" s="4"/>
      <c r="B9" s="91"/>
      <c r="C9" s="78"/>
      <c r="D9" s="6"/>
      <c r="E9" s="134"/>
      <c r="F9" s="8"/>
      <c r="G9" s="134"/>
      <c r="H9" s="8"/>
      <c r="I9" s="156"/>
      <c r="J9" s="8"/>
      <c r="K9" s="156"/>
      <c r="L9" s="8"/>
      <c r="M9" s="55"/>
      <c r="N9" s="8"/>
      <c r="O9" s="155"/>
    </row>
    <row r="10" spans="1:15" x14ac:dyDescent="0.25">
      <c r="A10" s="4">
        <v>43070</v>
      </c>
      <c r="B10" s="5">
        <f t="shared" si="0"/>
        <v>43070</v>
      </c>
      <c r="C10" s="78">
        <v>-0.3</v>
      </c>
      <c r="D10" s="6">
        <v>0.6958333333333333</v>
      </c>
      <c r="E10" s="134"/>
      <c r="F10" s="8" t="s">
        <v>58</v>
      </c>
      <c r="G10" s="156"/>
      <c r="H10" s="8" t="s">
        <v>58</v>
      </c>
      <c r="I10" s="156"/>
      <c r="J10" s="8">
        <v>39640.895106117852</v>
      </c>
      <c r="K10" s="156"/>
      <c r="L10" s="8" t="s">
        <v>58</v>
      </c>
      <c r="M10" s="55"/>
      <c r="N10" s="8" t="s">
        <v>58</v>
      </c>
      <c r="O10" s="155">
        <f>+J10</f>
        <v>39640.895106117852</v>
      </c>
    </row>
    <row r="11" spans="1:15" x14ac:dyDescent="0.25">
      <c r="A11" s="4">
        <v>43071</v>
      </c>
      <c r="B11" s="5">
        <f t="shared" si="0"/>
        <v>43071</v>
      </c>
      <c r="C11" s="78">
        <v>-1.1000000000000001</v>
      </c>
      <c r="D11" s="6">
        <v>0.7284722222222223</v>
      </c>
      <c r="E11" s="134"/>
      <c r="F11" s="8">
        <v>16694.746915892938</v>
      </c>
      <c r="G11" s="134"/>
      <c r="H11" s="8">
        <v>29299.475085475373</v>
      </c>
      <c r="I11" s="156"/>
      <c r="J11" s="8" t="s">
        <v>58</v>
      </c>
      <c r="K11" s="156"/>
      <c r="L11" s="8">
        <v>46887.478208920016</v>
      </c>
      <c r="M11" s="55"/>
      <c r="N11" s="8" t="s">
        <v>58</v>
      </c>
      <c r="O11" s="155">
        <f>+F11+H11+L11</f>
        <v>92881.700210288327</v>
      </c>
    </row>
    <row r="12" spans="1:15" x14ac:dyDescent="0.25">
      <c r="A12" s="4">
        <v>43072</v>
      </c>
      <c r="B12" s="5">
        <f t="shared" si="0"/>
        <v>43072</v>
      </c>
      <c r="C12" s="113">
        <v>-1.6</v>
      </c>
      <c r="D12" s="114">
        <v>0.76041666666666663</v>
      </c>
      <c r="E12" s="134"/>
      <c r="F12" s="8">
        <v>48336.302466439709</v>
      </c>
      <c r="G12" s="156"/>
      <c r="H12" s="157">
        <v>31879.496881019317</v>
      </c>
      <c r="I12" s="156"/>
      <c r="J12" s="8">
        <v>39359.518586410966</v>
      </c>
      <c r="K12" s="156"/>
      <c r="L12" s="8" t="s">
        <v>58</v>
      </c>
      <c r="M12" s="156"/>
      <c r="N12" s="8" t="s">
        <v>58</v>
      </c>
      <c r="O12" s="155">
        <f>+F12+H12+J12</f>
        <v>119575.31793386998</v>
      </c>
    </row>
    <row r="13" spans="1:15" x14ac:dyDescent="0.25">
      <c r="A13" s="4">
        <v>43073</v>
      </c>
      <c r="B13" s="5">
        <f t="shared" si="0"/>
        <v>43073</v>
      </c>
      <c r="C13" s="78">
        <v>-1.8</v>
      </c>
      <c r="D13" s="6">
        <v>0.79305555555555562</v>
      </c>
      <c r="E13" s="134"/>
      <c r="F13" s="8">
        <v>13555.902377122828</v>
      </c>
      <c r="G13" s="134" t="s">
        <v>66</v>
      </c>
      <c r="H13" s="8">
        <f>+L13*(H8+H6)/(L6+L8)</f>
        <v>8031.0112351850266</v>
      </c>
      <c r="I13" s="156"/>
      <c r="J13" s="8" t="s">
        <v>58</v>
      </c>
      <c r="K13" s="156"/>
      <c r="L13" s="8">
        <v>8630.3678323136592</v>
      </c>
      <c r="M13" s="156"/>
      <c r="N13" s="8" t="s">
        <v>58</v>
      </c>
      <c r="O13" s="155">
        <f>+F13+H13+L13</f>
        <v>30217.281444621512</v>
      </c>
    </row>
    <row r="14" spans="1:15" x14ac:dyDescent="0.25">
      <c r="A14" s="4"/>
      <c r="B14" s="91"/>
      <c r="C14" s="78"/>
      <c r="D14" s="6"/>
      <c r="E14" s="134"/>
      <c r="F14" s="8"/>
      <c r="G14" s="156"/>
      <c r="H14" s="8"/>
      <c r="I14" s="156"/>
      <c r="J14" s="8"/>
      <c r="K14" s="156"/>
      <c r="L14" s="8"/>
      <c r="M14" s="156"/>
      <c r="N14" s="8"/>
      <c r="O14" s="158"/>
    </row>
    <row r="15" spans="1:15" x14ac:dyDescent="0.25">
      <c r="A15" s="4">
        <v>43100</v>
      </c>
      <c r="B15" s="5">
        <f t="shared" si="0"/>
        <v>43100</v>
      </c>
      <c r="C15" s="78">
        <v>-1.2</v>
      </c>
      <c r="D15" s="6">
        <v>0.71666666666666667</v>
      </c>
      <c r="E15" s="134"/>
      <c r="F15" s="8">
        <f>(311.47+1412.7+1580.99+500.42)*7+(1861.46+2000.22+2381.08)*12.1</f>
        <v>102176.45599999999</v>
      </c>
      <c r="G15" s="134"/>
      <c r="H15" s="8">
        <v>65644.592131269761</v>
      </c>
      <c r="I15" s="156"/>
      <c r="J15" s="8">
        <v>78692.648333969322</v>
      </c>
      <c r="K15" s="156"/>
      <c r="L15" s="8">
        <v>59602.175757062323</v>
      </c>
      <c r="M15" s="156"/>
      <c r="N15" s="8" t="s">
        <v>58</v>
      </c>
      <c r="O15" s="155">
        <f>+F15+H15+J15+L15</f>
        <v>306115.87222230138</v>
      </c>
    </row>
    <row r="16" spans="1:15" x14ac:dyDescent="0.25">
      <c r="A16" s="4">
        <v>43101</v>
      </c>
      <c r="B16" s="5">
        <f t="shared" si="0"/>
        <v>43101</v>
      </c>
      <c r="C16" s="113">
        <v>-1.7</v>
      </c>
      <c r="D16" s="114">
        <v>0.75138888888888899</v>
      </c>
      <c r="E16" s="134"/>
      <c r="F16" s="8" t="s">
        <v>58</v>
      </c>
      <c r="G16" s="156"/>
      <c r="H16" s="8">
        <v>57876.044290442362</v>
      </c>
      <c r="I16" s="156"/>
      <c r="J16" s="8" t="s">
        <v>58</v>
      </c>
      <c r="K16" s="156"/>
      <c r="L16" s="8">
        <v>56544.270559073913</v>
      </c>
      <c r="M16" s="156"/>
      <c r="N16" s="8" t="s">
        <v>58</v>
      </c>
      <c r="O16" s="155">
        <f>+H16+L16</f>
        <v>114420.31484951627</v>
      </c>
    </row>
    <row r="17" spans="1:15" x14ac:dyDescent="0.25">
      <c r="A17" s="4"/>
      <c r="B17" s="5"/>
      <c r="C17" s="78"/>
      <c r="D17" s="159"/>
      <c r="E17" s="134"/>
      <c r="F17" s="8"/>
      <c r="G17" s="156"/>
      <c r="H17" s="8"/>
      <c r="I17" s="156"/>
      <c r="J17" s="8"/>
      <c r="K17" s="156"/>
      <c r="L17" s="8"/>
      <c r="M17" s="156"/>
      <c r="N17" s="8"/>
      <c r="O17" s="155"/>
    </row>
    <row r="18" spans="1:15" x14ac:dyDescent="0.25">
      <c r="A18" s="4">
        <v>43128</v>
      </c>
      <c r="B18" s="5">
        <f t="shared" ref="B18:B35" si="1">+A18</f>
        <v>43128</v>
      </c>
      <c r="C18" s="113">
        <v>-0.4</v>
      </c>
      <c r="D18" s="114">
        <v>0.67083333333333339</v>
      </c>
      <c r="E18" s="134"/>
      <c r="F18" s="8" t="s">
        <v>58</v>
      </c>
      <c r="G18" s="156"/>
      <c r="H18" s="8" t="s">
        <v>58</v>
      </c>
      <c r="I18" s="156"/>
      <c r="J18" s="8" t="s">
        <v>58</v>
      </c>
      <c r="K18" s="156"/>
      <c r="L18" s="8">
        <v>32700.943031518087</v>
      </c>
      <c r="M18" s="156"/>
      <c r="N18" s="8" t="s">
        <v>58</v>
      </c>
      <c r="O18" s="155">
        <f>+L18</f>
        <v>32700.943031518087</v>
      </c>
    </row>
    <row r="19" spans="1:15" x14ac:dyDescent="0.25">
      <c r="A19" s="4">
        <v>43129</v>
      </c>
      <c r="B19" s="5">
        <f t="shared" si="1"/>
        <v>43129</v>
      </c>
      <c r="C19" s="113">
        <v>-1</v>
      </c>
      <c r="D19" s="114">
        <v>0.70763888888888893</v>
      </c>
      <c r="E19" s="134"/>
      <c r="F19" s="8" t="s">
        <v>58</v>
      </c>
      <c r="G19" s="156"/>
      <c r="H19" s="8" t="s">
        <v>58</v>
      </c>
      <c r="I19" s="156"/>
      <c r="J19" s="8">
        <v>23086.892748953287</v>
      </c>
      <c r="K19" s="156"/>
      <c r="L19" s="8" t="s">
        <v>58</v>
      </c>
      <c r="M19" s="156"/>
      <c r="N19" s="8" t="s">
        <v>58</v>
      </c>
      <c r="O19" s="155">
        <f>+J19</f>
        <v>23086.892748953287</v>
      </c>
    </row>
    <row r="20" spans="1:15" x14ac:dyDescent="0.25">
      <c r="A20" s="4">
        <v>43130</v>
      </c>
      <c r="B20" s="5">
        <f t="shared" si="1"/>
        <v>43130</v>
      </c>
      <c r="C20" s="113">
        <v>-1.5</v>
      </c>
      <c r="D20" s="114">
        <v>0.74097222222222225</v>
      </c>
      <c r="E20" s="134"/>
      <c r="F20" s="8" t="s">
        <v>58</v>
      </c>
      <c r="G20" s="156"/>
      <c r="H20" s="8">
        <v>26193.09898742236</v>
      </c>
      <c r="I20" s="156"/>
      <c r="J20" s="8" t="s">
        <v>58</v>
      </c>
      <c r="K20" s="156"/>
      <c r="L20" s="8">
        <v>22187.931004691403</v>
      </c>
      <c r="M20" s="156"/>
      <c r="N20" s="8" t="s">
        <v>58</v>
      </c>
      <c r="O20" s="158">
        <f>+H20+L20</f>
        <v>48381.029992113763</v>
      </c>
    </row>
    <row r="21" spans="1:15" x14ac:dyDescent="0.25">
      <c r="A21" s="4">
        <v>43131</v>
      </c>
      <c r="B21" s="5">
        <f t="shared" si="1"/>
        <v>43131</v>
      </c>
      <c r="C21" s="113">
        <v>-1.6</v>
      </c>
      <c r="D21" s="114">
        <v>0.7729166666666667</v>
      </c>
      <c r="E21" s="134"/>
      <c r="F21" s="8">
        <v>37565.400348266121</v>
      </c>
      <c r="G21" s="134"/>
      <c r="H21" s="8">
        <v>14663.252526448239</v>
      </c>
      <c r="I21" s="160"/>
      <c r="J21" s="8">
        <v>16464.693778511202</v>
      </c>
      <c r="K21" s="156"/>
      <c r="L21" s="8" t="s">
        <v>58</v>
      </c>
      <c r="M21" s="156"/>
      <c r="N21" s="8" t="s">
        <v>58</v>
      </c>
      <c r="O21" s="158">
        <f>+F21+H21+J21</f>
        <v>68693.34665322557</v>
      </c>
    </row>
    <row r="22" spans="1:15" x14ac:dyDescent="0.25">
      <c r="A22" s="4">
        <v>43132</v>
      </c>
      <c r="B22" s="5">
        <f t="shared" si="1"/>
        <v>43132</v>
      </c>
      <c r="C22" s="113">
        <v>-1.5</v>
      </c>
      <c r="D22" s="114">
        <v>0.80347222222222225</v>
      </c>
      <c r="E22" s="134"/>
      <c r="F22" s="8">
        <v>7927.9538203074299</v>
      </c>
      <c r="G22" s="156"/>
      <c r="H22" s="8">
        <v>2619.08086458156</v>
      </c>
      <c r="I22" s="160"/>
      <c r="J22" s="8" t="s">
        <v>58</v>
      </c>
      <c r="K22" s="156"/>
      <c r="L22" s="8">
        <v>2094.0873849671957</v>
      </c>
      <c r="M22" s="156"/>
      <c r="N22" s="8" t="s">
        <v>58</v>
      </c>
      <c r="O22" s="155">
        <f>+F22+H22+L22</f>
        <v>12641.122069856185</v>
      </c>
    </row>
    <row r="23" spans="1:15" x14ac:dyDescent="0.25">
      <c r="A23" s="4">
        <v>43133</v>
      </c>
      <c r="B23" s="5">
        <f t="shared" si="1"/>
        <v>43133</v>
      </c>
      <c r="C23" s="113">
        <v>-1</v>
      </c>
      <c r="D23" s="114">
        <v>0.83333333333333337</v>
      </c>
      <c r="E23" s="134"/>
      <c r="F23" s="8">
        <v>20147.313383344997</v>
      </c>
      <c r="G23" s="156"/>
      <c r="H23" s="8">
        <v>11141.386299034293</v>
      </c>
      <c r="I23" s="160"/>
      <c r="J23" s="8">
        <v>26632.260617806758</v>
      </c>
      <c r="K23" s="156"/>
      <c r="L23" s="8" t="s">
        <v>58</v>
      </c>
      <c r="M23" s="156"/>
      <c r="N23" s="8" t="s">
        <v>58</v>
      </c>
      <c r="O23" s="155">
        <f>+F23+H23+J23</f>
        <v>57920.960300186052</v>
      </c>
    </row>
    <row r="24" spans="1:15" x14ac:dyDescent="0.25">
      <c r="A24" s="4">
        <v>43134</v>
      </c>
      <c r="B24" s="5">
        <f t="shared" si="1"/>
        <v>43134</v>
      </c>
      <c r="C24" s="113">
        <v>-0.4</v>
      </c>
      <c r="D24" s="114">
        <v>0.86249999999999993</v>
      </c>
      <c r="E24" s="134"/>
      <c r="F24" s="8">
        <v>21120.461112060555</v>
      </c>
      <c r="G24" s="156"/>
      <c r="H24" s="8">
        <v>21150.501270845838</v>
      </c>
      <c r="I24" s="160"/>
      <c r="J24" s="8" t="s">
        <v>58</v>
      </c>
      <c r="K24" s="156"/>
      <c r="L24" s="8">
        <v>14152.396707143143</v>
      </c>
      <c r="M24" s="156"/>
      <c r="N24" s="8" t="s">
        <v>58</v>
      </c>
      <c r="O24" s="155">
        <f>+F24+H24+L24</f>
        <v>56423.359090049533</v>
      </c>
    </row>
    <row r="25" spans="1:15" x14ac:dyDescent="0.25">
      <c r="A25" s="124"/>
      <c r="B25" s="91"/>
      <c r="C25" s="161"/>
      <c r="D25" s="162"/>
      <c r="E25" s="134"/>
      <c r="F25" s="8"/>
      <c r="G25" s="156"/>
      <c r="H25" s="8"/>
      <c r="I25" s="160"/>
      <c r="J25" s="8"/>
      <c r="K25" s="156"/>
      <c r="L25" s="8"/>
      <c r="M25" s="156"/>
      <c r="N25" s="8"/>
      <c r="O25" s="155"/>
    </row>
    <row r="26" spans="1:15" x14ac:dyDescent="0.25">
      <c r="A26" s="4">
        <v>43161</v>
      </c>
      <c r="B26" s="5">
        <f t="shared" si="1"/>
        <v>43161</v>
      </c>
      <c r="C26" s="78">
        <v>-0.8</v>
      </c>
      <c r="D26" s="159">
        <v>0.78749999999999998</v>
      </c>
      <c r="E26" s="134"/>
      <c r="F26" s="8" t="s">
        <v>58</v>
      </c>
      <c r="G26" s="156"/>
      <c r="H26" s="8" t="s">
        <v>58</v>
      </c>
      <c r="I26" s="160"/>
      <c r="J26" s="8" t="s">
        <v>58</v>
      </c>
      <c r="K26" s="160"/>
      <c r="L26" s="8">
        <v>30422.831361071123</v>
      </c>
      <c r="M26" s="160"/>
      <c r="N26" s="8" t="s">
        <v>58</v>
      </c>
      <c r="O26" s="155">
        <f>+L26</f>
        <v>30422.831361071123</v>
      </c>
    </row>
    <row r="27" spans="1:15" x14ac:dyDescent="0.25">
      <c r="A27" s="4">
        <v>43162</v>
      </c>
      <c r="B27" s="5">
        <f t="shared" si="1"/>
        <v>43162</v>
      </c>
      <c r="C27" s="78">
        <v>-0.3</v>
      </c>
      <c r="D27" s="159">
        <v>0.81527777777777777</v>
      </c>
      <c r="E27" s="134"/>
      <c r="F27" s="8" t="s">
        <v>58</v>
      </c>
      <c r="G27" s="156"/>
      <c r="H27" s="8" t="s">
        <v>58</v>
      </c>
      <c r="I27" s="160"/>
      <c r="J27" s="8" t="s">
        <v>58</v>
      </c>
      <c r="K27" s="160"/>
      <c r="L27" s="8">
        <v>21047.922694922825</v>
      </c>
      <c r="M27" s="160"/>
      <c r="N27" s="8" t="s">
        <v>58</v>
      </c>
      <c r="O27" s="155">
        <f>+L27</f>
        <v>21047.922694922825</v>
      </c>
    </row>
    <row r="28" spans="1:15" x14ac:dyDescent="0.25">
      <c r="A28" s="4"/>
      <c r="B28" s="91"/>
      <c r="C28" s="78"/>
      <c r="D28" s="159"/>
      <c r="E28" s="163"/>
      <c r="F28" s="8"/>
      <c r="G28" s="156"/>
      <c r="H28" s="8"/>
      <c r="I28" s="160"/>
      <c r="J28" s="8"/>
      <c r="K28" s="160"/>
      <c r="L28" s="8"/>
      <c r="M28" s="160"/>
      <c r="N28" s="8"/>
      <c r="O28" s="155"/>
    </row>
    <row r="29" spans="1:15" x14ac:dyDescent="0.25">
      <c r="A29" s="124">
        <v>43175</v>
      </c>
      <c r="B29" s="5">
        <f t="shared" si="1"/>
        <v>43175</v>
      </c>
      <c r="C29" s="161">
        <v>0.2</v>
      </c>
      <c r="D29" s="162">
        <v>0.79375000000000007</v>
      </c>
      <c r="E29" s="163"/>
      <c r="F29" s="8" t="s">
        <v>58</v>
      </c>
      <c r="G29" s="156"/>
      <c r="H29" s="8" t="s">
        <v>58</v>
      </c>
      <c r="I29" s="160"/>
      <c r="J29" s="8">
        <v>27816.508673393771</v>
      </c>
      <c r="K29" s="160"/>
      <c r="L29" s="8">
        <v>16682.228667078074</v>
      </c>
      <c r="M29" s="160"/>
      <c r="N29" s="8" t="s">
        <v>58</v>
      </c>
      <c r="O29" s="155">
        <f>+J29+L29</f>
        <v>44498.737340471846</v>
      </c>
    </row>
    <row r="30" spans="1:15" x14ac:dyDescent="0.25">
      <c r="A30" s="4">
        <v>43176</v>
      </c>
      <c r="B30" s="5">
        <f t="shared" si="1"/>
        <v>43176</v>
      </c>
      <c r="C30" s="161">
        <v>0.2</v>
      </c>
      <c r="D30" s="162">
        <v>0.81666666666666676</v>
      </c>
      <c r="E30" s="163"/>
      <c r="F30" s="8">
        <v>69649.652262257878</v>
      </c>
      <c r="G30" s="156"/>
      <c r="H30" s="8">
        <v>27169.810915892987</v>
      </c>
      <c r="I30" s="156"/>
      <c r="J30" s="8">
        <v>47102.781556178372</v>
      </c>
      <c r="K30" s="134"/>
      <c r="L30" s="8">
        <v>17787.619350540401</v>
      </c>
      <c r="M30" s="156"/>
      <c r="N30" s="8" t="s">
        <v>58</v>
      </c>
      <c r="O30" s="165">
        <f>+F30+H30+J30+L30</f>
        <v>161709.86408486962</v>
      </c>
    </row>
    <row r="31" spans="1:15" x14ac:dyDescent="0.25">
      <c r="A31" s="244" t="s">
        <v>95</v>
      </c>
      <c r="B31" s="244"/>
      <c r="C31" s="244"/>
      <c r="D31" s="244"/>
      <c r="E31" s="244"/>
      <c r="F31" s="244"/>
      <c r="G31" s="244"/>
      <c r="H31" s="244"/>
      <c r="I31" s="244"/>
      <c r="J31" s="244"/>
      <c r="K31" s="244"/>
      <c r="L31" s="244"/>
      <c r="M31" s="244"/>
      <c r="N31" s="244"/>
      <c r="O31" s="244"/>
    </row>
    <row r="32" spans="1:15" x14ac:dyDescent="0.25">
      <c r="A32" s="4">
        <v>43209</v>
      </c>
      <c r="B32" s="5">
        <f t="shared" si="1"/>
        <v>43209</v>
      </c>
      <c r="C32" s="161">
        <v>-0.9</v>
      </c>
      <c r="D32" s="162">
        <v>0.4069444444444445</v>
      </c>
      <c r="E32" s="163"/>
      <c r="F32" s="8" t="s">
        <v>58</v>
      </c>
      <c r="G32" s="156"/>
      <c r="H32" s="8" t="s">
        <v>58</v>
      </c>
      <c r="I32" s="156"/>
      <c r="J32" s="8" t="s">
        <v>58</v>
      </c>
      <c r="K32" s="156"/>
      <c r="L32" s="8">
        <v>71182.315480314268</v>
      </c>
      <c r="M32" s="156"/>
      <c r="N32" s="8" t="s">
        <v>58</v>
      </c>
      <c r="O32" s="165">
        <f>+L32</f>
        <v>71182.315480314268</v>
      </c>
    </row>
    <row r="33" spans="1:17" x14ac:dyDescent="0.25">
      <c r="A33" s="4">
        <v>43210</v>
      </c>
      <c r="B33" s="5">
        <f t="shared" si="1"/>
        <v>43210</v>
      </c>
      <c r="C33" s="13">
        <v>-0.7</v>
      </c>
      <c r="D33" s="86">
        <v>0.44236111111111115</v>
      </c>
      <c r="E33" s="127"/>
      <c r="F33" s="8" t="s">
        <v>58</v>
      </c>
      <c r="G33" s="156"/>
      <c r="H33" s="8" t="s">
        <v>58</v>
      </c>
      <c r="J33" s="8" t="s">
        <v>58</v>
      </c>
      <c r="L33" s="8">
        <v>98577.178951603913</v>
      </c>
      <c r="N33" s="8" t="s">
        <v>58</v>
      </c>
      <c r="O33" s="165">
        <f>+L33</f>
        <v>98577.178951603913</v>
      </c>
    </row>
    <row r="34" spans="1:17" x14ac:dyDescent="0.25">
      <c r="A34" s="4">
        <v>43211</v>
      </c>
      <c r="B34" s="5">
        <f t="shared" si="1"/>
        <v>43211</v>
      </c>
      <c r="C34" s="13">
        <v>-0.4</v>
      </c>
      <c r="D34" s="86">
        <v>0.48194444444444445</v>
      </c>
      <c r="E34" s="127"/>
      <c r="F34" s="8">
        <v>75596.654896291438</v>
      </c>
      <c r="G34" s="156"/>
      <c r="H34" s="8">
        <v>99071.20619879989</v>
      </c>
      <c r="J34" s="8">
        <v>94967.226016305533</v>
      </c>
      <c r="L34" s="8">
        <f>+Effort!L34*CPUE!L34</f>
        <v>57668.517003867986</v>
      </c>
      <c r="N34" s="8" t="s">
        <v>58</v>
      </c>
      <c r="O34" s="165">
        <f>+F34+H34+J34+L34</f>
        <v>327303.60411526484</v>
      </c>
    </row>
    <row r="35" spans="1:17" x14ac:dyDescent="0.25">
      <c r="A35" s="4">
        <v>43212</v>
      </c>
      <c r="B35" s="5">
        <f t="shared" si="1"/>
        <v>43212</v>
      </c>
      <c r="C35" s="13">
        <v>-0.1</v>
      </c>
      <c r="D35" s="86">
        <v>2.6388888888888889E-2</v>
      </c>
      <c r="F35" s="8">
        <v>83823.606280294509</v>
      </c>
      <c r="G35" s="2"/>
      <c r="H35" s="8">
        <v>85491.191960137963</v>
      </c>
      <c r="J35" s="8" t="s">
        <v>58</v>
      </c>
      <c r="L35" s="8">
        <v>80269.456548272981</v>
      </c>
      <c r="N35" s="8" t="s">
        <v>58</v>
      </c>
      <c r="O35" s="15">
        <f>+F35+H35+L35</f>
        <v>249584.25478870544</v>
      </c>
    </row>
    <row r="36" spans="1:17" x14ac:dyDescent="0.25">
      <c r="A36" s="4"/>
      <c r="B36" s="91"/>
      <c r="C36" s="13"/>
      <c r="D36" s="86"/>
      <c r="F36" s="8"/>
      <c r="G36" s="2"/>
      <c r="H36" s="8"/>
      <c r="J36" s="8"/>
      <c r="L36" s="8"/>
      <c r="N36" s="8"/>
      <c r="O36" s="15"/>
    </row>
    <row r="37" spans="1:17" x14ac:dyDescent="0.25">
      <c r="A37" s="4"/>
      <c r="B37" s="91"/>
      <c r="C37" s="13"/>
      <c r="D37" s="86"/>
      <c r="E37" s="127"/>
      <c r="F37" s="129"/>
      <c r="G37" s="128"/>
      <c r="H37" s="125"/>
      <c r="I37" s="128"/>
      <c r="J37" s="125"/>
      <c r="K37" s="128"/>
      <c r="L37" s="125"/>
      <c r="M37" s="128"/>
      <c r="N37" s="125"/>
      <c r="O37" s="132"/>
      <c r="P37" s="128"/>
    </row>
    <row r="38" spans="1:17" x14ac:dyDescent="0.25">
      <c r="A38" s="4"/>
      <c r="B38" s="91"/>
      <c r="C38" s="13"/>
      <c r="D38" s="86"/>
      <c r="E38" s="127"/>
      <c r="F38" s="129"/>
      <c r="G38" s="180"/>
      <c r="H38" s="129"/>
      <c r="I38" s="128"/>
      <c r="J38" s="125"/>
      <c r="K38" s="128"/>
      <c r="L38" s="131"/>
      <c r="M38" s="128"/>
      <c r="N38" s="131"/>
      <c r="O38" s="132"/>
      <c r="P38" s="128"/>
    </row>
    <row r="39" spans="1:17" x14ac:dyDescent="0.25">
      <c r="A39" s="4"/>
      <c r="B39" s="91"/>
      <c r="C39" s="13"/>
      <c r="D39" s="86"/>
      <c r="E39" s="127"/>
      <c r="F39" s="129"/>
      <c r="G39" s="128"/>
      <c r="H39" s="125"/>
      <c r="I39" s="128"/>
      <c r="J39" s="8"/>
      <c r="K39" s="128"/>
      <c r="L39" s="125"/>
      <c r="M39" s="128"/>
      <c r="N39" s="125"/>
      <c r="O39" s="132"/>
      <c r="P39" s="128"/>
    </row>
    <row r="40" spans="1:17" x14ac:dyDescent="0.25">
      <c r="A40" s="124"/>
      <c r="B40" s="91"/>
      <c r="C40" s="126"/>
      <c r="D40" s="130"/>
      <c r="E40" s="127"/>
      <c r="F40" s="129"/>
      <c r="G40" s="128"/>
      <c r="H40" s="125"/>
      <c r="I40" s="128"/>
      <c r="J40" s="125"/>
      <c r="K40" s="128"/>
      <c r="L40" s="125"/>
      <c r="M40" s="128"/>
      <c r="N40" s="125"/>
      <c r="O40" s="132"/>
      <c r="P40" s="128"/>
    </row>
    <row r="41" spans="1:17" x14ac:dyDescent="0.25">
      <c r="A41" s="124"/>
      <c r="B41" s="91"/>
      <c r="C41" s="126"/>
      <c r="D41" s="130"/>
      <c r="E41" s="127"/>
      <c r="F41" s="129"/>
      <c r="G41" s="128"/>
      <c r="H41" s="129"/>
      <c r="I41" s="128"/>
      <c r="J41" s="129"/>
      <c r="K41" s="127"/>
      <c r="L41" s="129"/>
      <c r="M41" s="128"/>
      <c r="N41" s="131"/>
    </row>
    <row r="42" spans="1:17" x14ac:dyDescent="0.25">
      <c r="A42" s="4"/>
      <c r="B42" s="91"/>
      <c r="C42" s="13"/>
      <c r="D42" s="86"/>
    </row>
    <row r="43" spans="1:17" x14ac:dyDescent="0.25">
      <c r="A43" s="59" t="s">
        <v>50</v>
      </c>
      <c r="C43"/>
      <c r="D43" s="86"/>
      <c r="E43" s="135"/>
      <c r="F43" s="63">
        <f>SUM(F2:F41)</f>
        <v>823281.3605333512</v>
      </c>
      <c r="G43" s="56"/>
      <c r="H43" s="63">
        <f>SUM(H2:H41)</f>
        <v>619896.72920340148</v>
      </c>
      <c r="I43" s="56"/>
      <c r="J43" s="63">
        <f>SUM(J2:J41)</f>
        <v>547903.35029706743</v>
      </c>
      <c r="K43" s="56"/>
      <c r="L43" s="63">
        <f>SUM(L2:L41)</f>
        <v>745044.79783032124</v>
      </c>
      <c r="M43" s="56"/>
      <c r="N43" s="63">
        <f>SUM(N3:N36)</f>
        <v>0</v>
      </c>
      <c r="O43" s="60">
        <f>SUM(O2:O41)</f>
        <v>2736126.2378641418</v>
      </c>
      <c r="P43" s="146"/>
      <c r="Q43" s="183"/>
    </row>
    <row r="44" spans="1:17" x14ac:dyDescent="0.25">
      <c r="A44" s="61" t="s">
        <v>12</v>
      </c>
      <c r="B44" s="58"/>
      <c r="C44" s="56"/>
      <c r="D44" s="56"/>
      <c r="E44" s="135"/>
      <c r="F44" s="171">
        <f>+'LB Wastage'!H100</f>
        <v>0.02</v>
      </c>
      <c r="G44" s="58"/>
      <c r="H44" s="171">
        <f>+'TH Wastage'!H40</f>
        <v>0.02</v>
      </c>
      <c r="I44" s="58"/>
      <c r="J44" s="171">
        <f>+'Cop Wastage'!H40</f>
        <v>6.25E-2</v>
      </c>
      <c r="K44" s="115"/>
      <c r="L44" s="171">
        <f>'Moc Wastage'!H40</f>
        <v>6.25E-2</v>
      </c>
      <c r="M44" s="58"/>
      <c r="N44" s="171"/>
      <c r="O44" s="58"/>
    </row>
    <row r="45" spans="1:17" x14ac:dyDescent="0.25">
      <c r="A45" s="59" t="s">
        <v>13</v>
      </c>
      <c r="B45" s="58"/>
      <c r="C45" s="56"/>
      <c r="D45" s="56"/>
      <c r="E45" s="135"/>
      <c r="F45" s="63">
        <f>+F43*F44</f>
        <v>16465.627210667026</v>
      </c>
      <c r="G45" s="58"/>
      <c r="H45" s="63">
        <f>+H43*H44</f>
        <v>12397.934584068031</v>
      </c>
      <c r="I45" s="58"/>
      <c r="J45" s="63">
        <f>+J43*J44</f>
        <v>34243.959393566714</v>
      </c>
      <c r="K45" s="58"/>
      <c r="L45" s="63">
        <f>+L43*L44</f>
        <v>46565.299864395078</v>
      </c>
      <c r="M45" s="58"/>
      <c r="N45" s="63"/>
      <c r="O45" s="60">
        <f>F45+H45+J45+L45+N45</f>
        <v>109672.82105269685</v>
      </c>
    </row>
    <row r="46" spans="1:17" x14ac:dyDescent="0.25">
      <c r="A46" s="61" t="s">
        <v>14</v>
      </c>
      <c r="B46" s="58"/>
      <c r="C46" s="56"/>
      <c r="D46" s="56"/>
      <c r="E46" s="135"/>
      <c r="F46" s="63">
        <f>F43+F45</f>
        <v>839746.9877440182</v>
      </c>
      <c r="G46" s="58"/>
      <c r="H46" s="63">
        <f>H43+H45</f>
        <v>632294.6637874695</v>
      </c>
      <c r="I46" s="58"/>
      <c r="J46" s="63">
        <f>J43+J45</f>
        <v>582147.30969063414</v>
      </c>
      <c r="K46" s="58"/>
      <c r="L46" s="63">
        <f>L43+L45</f>
        <v>791610.0976947163</v>
      </c>
      <c r="M46" s="58"/>
      <c r="N46" s="63">
        <f>N43+N45</f>
        <v>0</v>
      </c>
      <c r="O46" s="60">
        <f>O43+O45</f>
        <v>2845799.0589168388</v>
      </c>
    </row>
    <row r="47" spans="1:17" x14ac:dyDescent="0.25">
      <c r="A47" s="62" t="s">
        <v>61</v>
      </c>
      <c r="B47" s="58"/>
      <c r="C47" s="56"/>
      <c r="D47" s="56"/>
      <c r="E47" s="135"/>
      <c r="F47" s="63"/>
      <c r="G47" s="58"/>
      <c r="H47" s="63"/>
      <c r="I47" s="58"/>
      <c r="J47" s="63"/>
      <c r="K47" s="58"/>
      <c r="L47" s="63"/>
      <c r="M47" s="58"/>
      <c r="N47" s="63"/>
      <c r="O47" s="63"/>
    </row>
    <row r="48" spans="1:17" x14ac:dyDescent="0.25">
      <c r="A48" s="62" t="s">
        <v>15</v>
      </c>
      <c r="B48" s="58"/>
      <c r="C48" s="56"/>
      <c r="D48" s="56"/>
      <c r="E48" s="135"/>
      <c r="F48" s="64">
        <f>F46/TAC!B4</f>
        <v>0.96226273949072771</v>
      </c>
      <c r="G48" s="58"/>
      <c r="H48" s="64">
        <f>H46/TAC!B5</f>
        <v>1.2478709612187948</v>
      </c>
      <c r="I48" s="58"/>
      <c r="J48" s="64">
        <f>+J46/TAC!B6</f>
        <v>0.98441099385601316</v>
      </c>
      <c r="K48" s="58"/>
      <c r="L48" s="64">
        <f>L46/TAC!B7</f>
        <v>1.0170302405365486</v>
      </c>
      <c r="M48" s="58"/>
      <c r="N48" s="64">
        <f>N46/TAC!B8</f>
        <v>0</v>
      </c>
      <c r="O48" s="64">
        <f>O46/TAC!B9</f>
        <v>1.0260517643493436</v>
      </c>
    </row>
    <row r="49" spans="1:15" x14ac:dyDescent="0.25">
      <c r="A49" s="62" t="s">
        <v>16</v>
      </c>
      <c r="B49" s="58"/>
      <c r="C49" s="56"/>
      <c r="D49" s="56"/>
      <c r="E49" s="135"/>
      <c r="F49" s="63">
        <f>+TAC!B4-Harvest!F46</f>
        <v>32932.534470932907</v>
      </c>
      <c r="G49" s="58"/>
      <c r="H49" s="63">
        <f>TAC!B5-Harvest!H46</f>
        <v>-125595.90771584195</v>
      </c>
      <c r="I49" s="58"/>
      <c r="J49" s="63">
        <f>+TAC!B6-Harvest!J46</f>
        <v>9218.8100743622053</v>
      </c>
      <c r="K49" s="58"/>
      <c r="L49" s="63">
        <f>TAC!B7-L46</f>
        <v>-13255.564915935509</v>
      </c>
      <c r="M49" s="58"/>
      <c r="N49" s="63">
        <f>TAC!B8-N46</f>
        <v>24444.430036493428</v>
      </c>
      <c r="O49" s="63">
        <f>TAC!B9-Harvest!O46</f>
        <v>-72255.698049989529</v>
      </c>
    </row>
    <row r="50" spans="1:15" x14ac:dyDescent="0.25">
      <c r="A50" s="62"/>
      <c r="B50" s="58"/>
      <c r="C50" s="56"/>
      <c r="D50" s="56"/>
      <c r="E50" s="135"/>
      <c r="F50" s="58"/>
      <c r="G50" s="58"/>
      <c r="H50" s="58"/>
      <c r="I50" s="58"/>
      <c r="J50" s="58"/>
      <c r="K50" s="58"/>
      <c r="L50" s="58"/>
      <c r="M50" s="58"/>
      <c r="N50" s="58"/>
      <c r="O50" s="58"/>
    </row>
    <row r="51" spans="1:15" x14ac:dyDescent="0.25">
      <c r="A51" s="59" t="s">
        <v>17</v>
      </c>
      <c r="B51" s="58"/>
      <c r="C51" s="56"/>
      <c r="D51" s="56"/>
      <c r="J51" s="10"/>
    </row>
    <row r="52" spans="1:15" x14ac:dyDescent="0.25">
      <c r="A52" s="93" t="s">
        <v>52</v>
      </c>
    </row>
  </sheetData>
  <mergeCells count="6">
    <mergeCell ref="A31:O31"/>
    <mergeCell ref="E1:F1"/>
    <mergeCell ref="G1:H1"/>
    <mergeCell ref="I1:J1"/>
    <mergeCell ref="K1:L1"/>
    <mergeCell ref="M1:N1"/>
  </mergeCells>
  <pageMargins left="0.28999999999999998" right="0.36" top="0.66" bottom="0.5" header="0.2" footer="0.25"/>
  <pageSetup paperSize="3" scale="93" fitToHeight="0" orientation="portrait" r:id="rId1"/>
  <headerFooter>
    <oddHeader>&amp;L&amp;12 2010 Fall / 2011 Spring Razor clam Harvest Totals
(Number of Clams) &amp;C&amp;12Non-Indian Fishery&amp;R&amp;12&amp;KFF0000PRELIMINARY ESTIMATE</oddHeader>
    <oddFooter>&amp;LPage 1 of 3</oddFooter>
  </headerFooter>
  <ignoredErrors>
    <ignoredError sqref="O46 O12 O7 O22" formula="1"/>
  </ignoredError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pageSetUpPr fitToPage="1"/>
  </sheetPr>
  <dimension ref="A1:Q46"/>
  <sheetViews>
    <sheetView topLeftCell="A13" zoomScaleNormal="100" workbookViewId="0">
      <selection activeCell="L44" sqref="L44"/>
    </sheetView>
  </sheetViews>
  <sheetFormatPr defaultRowHeight="15" x14ac:dyDescent="0.25"/>
  <cols>
    <col min="1" max="1" width="18.7109375" customWidth="1"/>
    <col min="2" max="2" width="6" bestFit="1" customWidth="1"/>
    <col min="3" max="3" width="7.7109375" style="1" customWidth="1"/>
    <col min="4" max="4" width="9.140625" style="1"/>
    <col min="5" max="5" width="3.7109375" style="2" customWidth="1"/>
    <col min="6" max="6" width="12.7109375" customWidth="1"/>
    <col min="7" max="7" width="3.7109375" customWidth="1"/>
    <col min="8" max="8" width="12.7109375" customWidth="1"/>
    <col min="9" max="9" width="3.7109375" customWidth="1"/>
    <col min="10" max="10" width="12.7109375" customWidth="1"/>
    <col min="11" max="11" width="3.7109375" customWidth="1"/>
    <col min="12" max="12" width="12.7109375" customWidth="1"/>
    <col min="13" max="13" width="3.7109375" customWidth="1"/>
    <col min="14" max="14" width="12.7109375" customWidth="1"/>
    <col min="15" max="15" width="18.140625" bestFit="1" customWidth="1"/>
  </cols>
  <sheetData>
    <row r="1" spans="1:17" x14ac:dyDescent="0.25">
      <c r="A1" s="11" t="s">
        <v>8</v>
      </c>
      <c r="B1" s="11" t="s">
        <v>5</v>
      </c>
      <c r="C1" s="133" t="s">
        <v>6</v>
      </c>
      <c r="D1" s="133" t="s">
        <v>7</v>
      </c>
      <c r="E1" s="246" t="s">
        <v>0</v>
      </c>
      <c r="F1" s="246"/>
      <c r="G1" s="246" t="s">
        <v>1</v>
      </c>
      <c r="H1" s="246"/>
      <c r="I1" s="246" t="s">
        <v>2</v>
      </c>
      <c r="J1" s="246"/>
      <c r="K1" s="246" t="s">
        <v>3</v>
      </c>
      <c r="L1" s="246"/>
      <c r="M1" s="246" t="s">
        <v>4</v>
      </c>
      <c r="N1" s="246"/>
      <c r="O1" s="14" t="s">
        <v>11</v>
      </c>
    </row>
    <row r="2" spans="1:17" x14ac:dyDescent="0.25">
      <c r="A2" s="4">
        <v>43014</v>
      </c>
      <c r="B2" s="5">
        <v>42657</v>
      </c>
      <c r="C2" s="78">
        <v>-0.4</v>
      </c>
      <c r="D2" s="6">
        <v>0.8256944444444444</v>
      </c>
      <c r="E2" s="53"/>
      <c r="F2" s="8">
        <v>4660.8313347735839</v>
      </c>
      <c r="G2" s="153"/>
      <c r="H2" s="8">
        <v>2649.7090568226663</v>
      </c>
      <c r="I2" s="153"/>
      <c r="J2" s="8">
        <v>3426.1363822012399</v>
      </c>
      <c r="K2" s="153"/>
      <c r="L2" s="8">
        <v>1822.6058614097517</v>
      </c>
      <c r="M2" s="55"/>
      <c r="N2" s="8" t="s">
        <v>58</v>
      </c>
      <c r="O2" s="164">
        <f>+F2+H2+J2+L2</f>
        <v>12559.282635207242</v>
      </c>
    </row>
    <row r="3" spans="1:17" x14ac:dyDescent="0.25">
      <c r="A3" s="4">
        <v>43015</v>
      </c>
      <c r="B3" s="5">
        <v>42658</v>
      </c>
      <c r="C3" s="78">
        <v>-0.7</v>
      </c>
      <c r="D3" s="6">
        <v>0.85625000000000007</v>
      </c>
      <c r="E3" s="54"/>
      <c r="F3" s="8">
        <v>5756.8394525957247</v>
      </c>
      <c r="G3" s="153"/>
      <c r="H3" s="8">
        <v>2716.9167560704705</v>
      </c>
      <c r="I3" s="153"/>
      <c r="J3" s="8">
        <v>4238.6363866038555</v>
      </c>
      <c r="K3" s="153"/>
      <c r="L3" s="8">
        <v>3043.5071584190155</v>
      </c>
      <c r="M3" s="55"/>
      <c r="N3" s="8" t="s">
        <v>58</v>
      </c>
      <c r="O3" s="164">
        <f>+F3+H3+J3+L3</f>
        <v>15755.899753689066</v>
      </c>
    </row>
    <row r="4" spans="1:17" x14ac:dyDescent="0.25">
      <c r="A4" s="4"/>
      <c r="B4" s="5"/>
      <c r="C4" s="78"/>
      <c r="D4" s="6"/>
      <c r="E4" s="134"/>
      <c r="F4" s="8"/>
      <c r="G4" s="8"/>
      <c r="H4" s="8"/>
      <c r="I4" s="8"/>
      <c r="J4" s="8"/>
      <c r="K4" s="7"/>
      <c r="L4" s="8"/>
      <c r="M4" s="55"/>
      <c r="N4" s="8"/>
      <c r="O4" s="164"/>
    </row>
    <row r="5" spans="1:17" x14ac:dyDescent="0.25">
      <c r="A5" s="4">
        <v>43041</v>
      </c>
      <c r="B5" s="5">
        <f>+A5</f>
        <v>43041</v>
      </c>
      <c r="C5" s="78">
        <v>0.1</v>
      </c>
      <c r="D5" s="6">
        <v>0.75208333333333333</v>
      </c>
      <c r="E5" s="54"/>
      <c r="F5" s="8" t="s">
        <v>58</v>
      </c>
      <c r="G5" s="8"/>
      <c r="H5" s="8" t="s">
        <v>58</v>
      </c>
      <c r="I5" s="8"/>
      <c r="J5" s="8">
        <v>1614.9208962737284</v>
      </c>
      <c r="K5" s="7"/>
      <c r="L5" s="8" t="s">
        <v>58</v>
      </c>
      <c r="M5" s="55"/>
      <c r="N5" s="8" t="s">
        <v>58</v>
      </c>
      <c r="O5" s="155">
        <f>+J5</f>
        <v>1614.9208962737284</v>
      </c>
      <c r="Q5" s="15"/>
    </row>
    <row r="6" spans="1:17" x14ac:dyDescent="0.25">
      <c r="A6" s="4">
        <v>43042</v>
      </c>
      <c r="B6" s="5">
        <f>+A6</f>
        <v>43042</v>
      </c>
      <c r="C6" s="113">
        <v>-0.7</v>
      </c>
      <c r="D6" s="6">
        <v>0.78263888888888899</v>
      </c>
      <c r="E6" s="54"/>
      <c r="F6" s="8">
        <v>4680.4718978078581</v>
      </c>
      <c r="G6" s="8"/>
      <c r="H6" s="8">
        <v>1819.852652705895</v>
      </c>
      <c r="I6" s="8"/>
      <c r="J6" s="8" t="s">
        <v>58</v>
      </c>
      <c r="K6" s="7"/>
      <c r="L6" s="8">
        <v>2325.3313695325974</v>
      </c>
      <c r="M6" s="55"/>
      <c r="N6" s="8" t="s">
        <v>58</v>
      </c>
      <c r="O6" s="155">
        <f>+F6+H6+L6</f>
        <v>8825.6559200463507</v>
      </c>
    </row>
    <row r="7" spans="1:17" x14ac:dyDescent="0.25">
      <c r="A7" s="4">
        <v>43043</v>
      </c>
      <c r="B7" s="5">
        <f>+A7</f>
        <v>43043</v>
      </c>
      <c r="C7" s="113">
        <v>-1.2</v>
      </c>
      <c r="D7" s="114">
        <v>0.81319444444444444</v>
      </c>
      <c r="E7" s="54"/>
      <c r="F7" s="8">
        <v>6891.5371839500567</v>
      </c>
      <c r="G7" s="8"/>
      <c r="H7" s="8">
        <v>2265.5675723624577</v>
      </c>
      <c r="I7" s="8"/>
      <c r="J7" s="8">
        <v>3440.2610990175535</v>
      </c>
      <c r="K7" s="7"/>
      <c r="L7" s="8" t="s">
        <v>58</v>
      </c>
      <c r="M7" s="55"/>
      <c r="N7" s="8" t="s">
        <v>58</v>
      </c>
      <c r="O7" s="155">
        <f>+F7+H7+J7</f>
        <v>12597.365855330067</v>
      </c>
    </row>
    <row r="8" spans="1:17" x14ac:dyDescent="0.25">
      <c r="A8" s="4">
        <v>43044</v>
      </c>
      <c r="B8" s="5">
        <f>+A8</f>
        <v>43044</v>
      </c>
      <c r="C8" s="113">
        <v>-1.4</v>
      </c>
      <c r="D8" s="114">
        <v>0.8027777777777777</v>
      </c>
      <c r="E8" s="54"/>
      <c r="F8" s="8">
        <v>3455.4281994162106</v>
      </c>
      <c r="G8" s="134"/>
      <c r="H8" s="8">
        <v>1180.7914589772981</v>
      </c>
      <c r="I8" s="8"/>
      <c r="J8" s="8" t="s">
        <v>58</v>
      </c>
      <c r="K8" s="8"/>
      <c r="L8" s="8">
        <v>903.2638230655557</v>
      </c>
      <c r="M8" s="55"/>
      <c r="N8" s="8" t="s">
        <v>58</v>
      </c>
      <c r="O8" s="155">
        <f>+F8+H8+L8</f>
        <v>5539.4834814590649</v>
      </c>
    </row>
    <row r="9" spans="1:17" x14ac:dyDescent="0.25">
      <c r="A9" s="4"/>
      <c r="B9" s="91"/>
      <c r="C9" s="78"/>
      <c r="D9" s="6"/>
      <c r="E9" s="134"/>
      <c r="F9" s="8"/>
      <c r="G9" s="134"/>
      <c r="H9" s="8"/>
      <c r="I9" s="156"/>
      <c r="J9" s="8"/>
      <c r="K9" s="156"/>
      <c r="L9" s="8"/>
      <c r="M9" s="55"/>
      <c r="N9" s="8"/>
      <c r="O9" s="164"/>
    </row>
    <row r="10" spans="1:17" x14ac:dyDescent="0.25">
      <c r="A10" s="4">
        <v>43070</v>
      </c>
      <c r="B10" s="5">
        <f>+A10</f>
        <v>43070</v>
      </c>
      <c r="C10" s="78">
        <v>-0.3</v>
      </c>
      <c r="D10" s="6">
        <v>0.6958333333333333</v>
      </c>
      <c r="E10" s="134"/>
      <c r="F10" s="8" t="s">
        <v>58</v>
      </c>
      <c r="G10" s="156"/>
      <c r="H10" s="8" t="s">
        <v>58</v>
      </c>
      <c r="I10" s="156"/>
      <c r="J10" s="8">
        <v>3949.461874041262</v>
      </c>
      <c r="K10" s="156"/>
      <c r="L10" s="8" t="s">
        <v>58</v>
      </c>
      <c r="M10" s="55"/>
      <c r="N10" s="8" t="s">
        <v>58</v>
      </c>
      <c r="O10" s="155">
        <f>+J10</f>
        <v>3949.461874041262</v>
      </c>
    </row>
    <row r="11" spans="1:17" x14ac:dyDescent="0.25">
      <c r="A11" s="4">
        <v>43071</v>
      </c>
      <c r="B11" s="5">
        <f>+A11</f>
        <v>43071</v>
      </c>
      <c r="C11" s="78">
        <v>-1.1000000000000001</v>
      </c>
      <c r="D11" s="6">
        <v>0.7284722222222223</v>
      </c>
      <c r="E11" s="134"/>
      <c r="F11" s="8">
        <v>6124.7000519843932</v>
      </c>
      <c r="G11" s="134"/>
      <c r="H11" s="8">
        <v>4064.1207376627131</v>
      </c>
      <c r="I11" s="156"/>
      <c r="J11" s="8" t="s">
        <v>58</v>
      </c>
      <c r="K11" s="156"/>
      <c r="L11" s="8">
        <v>4821.3345201974307</v>
      </c>
      <c r="M11" s="55"/>
      <c r="N11" s="8" t="s">
        <v>58</v>
      </c>
      <c r="O11" s="155">
        <f>+F11+H11+L11</f>
        <v>15010.155309844537</v>
      </c>
    </row>
    <row r="12" spans="1:17" x14ac:dyDescent="0.25">
      <c r="A12" s="4">
        <v>43072</v>
      </c>
      <c r="B12" s="5">
        <f>+A12</f>
        <v>43072</v>
      </c>
      <c r="C12" s="113">
        <v>-1.6</v>
      </c>
      <c r="D12" s="114">
        <v>0.76041666666666663</v>
      </c>
      <c r="E12" s="134"/>
      <c r="F12" s="8">
        <v>4443.4717513991654</v>
      </c>
      <c r="G12" s="156"/>
      <c r="H12" s="157">
        <v>2154.0200595283322</v>
      </c>
      <c r="I12" s="156"/>
      <c r="J12" s="8">
        <v>2633.5444309642371</v>
      </c>
      <c r="K12" s="156"/>
      <c r="L12" s="8" t="s">
        <v>58</v>
      </c>
      <c r="M12" s="156"/>
      <c r="N12" s="8" t="s">
        <v>58</v>
      </c>
      <c r="O12" s="155">
        <f>+F12+H12+J12</f>
        <v>9231.0362418917357</v>
      </c>
    </row>
    <row r="13" spans="1:17" x14ac:dyDescent="0.25">
      <c r="A13" s="4">
        <v>43073</v>
      </c>
      <c r="B13" s="5">
        <f>+A13</f>
        <v>43073</v>
      </c>
      <c r="C13" s="78">
        <v>-1.8</v>
      </c>
      <c r="D13" s="6">
        <v>0.79305555555555562</v>
      </c>
      <c r="E13" s="134"/>
      <c r="F13" s="8">
        <v>1009.4820919134022</v>
      </c>
      <c r="G13" s="134" t="s">
        <v>66</v>
      </c>
      <c r="H13" s="8">
        <f>+L13*(H8+H6)/(L6+L8)</f>
        <v>692.34163094871144</v>
      </c>
      <c r="I13" s="156"/>
      <c r="J13" s="8" t="s">
        <v>58</v>
      </c>
      <c r="K13" s="156"/>
      <c r="L13" s="8">
        <v>744.93701289444209</v>
      </c>
      <c r="M13" s="156"/>
      <c r="N13" s="8" t="s">
        <v>58</v>
      </c>
      <c r="O13" s="155">
        <f>+F13+H13+L13</f>
        <v>2446.7607357565557</v>
      </c>
    </row>
    <row r="14" spans="1:17" x14ac:dyDescent="0.25">
      <c r="A14" s="4"/>
      <c r="B14" s="91"/>
      <c r="C14" s="78"/>
      <c r="D14" s="6"/>
      <c r="E14" s="134"/>
      <c r="F14" s="8"/>
      <c r="G14" s="156"/>
      <c r="H14" s="8"/>
      <c r="I14" s="156"/>
      <c r="J14" s="8"/>
      <c r="K14" s="156"/>
      <c r="L14" s="8"/>
      <c r="M14" s="156"/>
      <c r="N14" s="8"/>
      <c r="O14" s="165"/>
    </row>
    <row r="15" spans="1:17" x14ac:dyDescent="0.25">
      <c r="A15" s="4">
        <v>43100</v>
      </c>
      <c r="B15" s="5">
        <f>+A15</f>
        <v>43100</v>
      </c>
      <c r="C15" s="78">
        <v>-1.2</v>
      </c>
      <c r="D15" s="6">
        <v>0.71666666666666667</v>
      </c>
      <c r="E15" s="134"/>
      <c r="F15" s="8">
        <v>10048.344436304662</v>
      </c>
      <c r="G15" s="134"/>
      <c r="H15" s="8">
        <v>4862.5623800940566</v>
      </c>
      <c r="I15" s="156"/>
      <c r="J15" s="8">
        <v>5638.6723779872646</v>
      </c>
      <c r="K15" s="156"/>
      <c r="L15" s="8">
        <v>4267.8101159377966</v>
      </c>
      <c r="M15" s="156"/>
      <c r="N15" s="8" t="s">
        <v>58</v>
      </c>
      <c r="O15" s="155">
        <f>+F15+H15+J15+L15</f>
        <v>24817.389310323779</v>
      </c>
    </row>
    <row r="16" spans="1:17" x14ac:dyDescent="0.25">
      <c r="A16" s="4">
        <v>43101</v>
      </c>
      <c r="B16" s="5">
        <f>+A16</f>
        <v>43101</v>
      </c>
      <c r="C16" s="113">
        <v>-1.7</v>
      </c>
      <c r="D16" s="114">
        <v>0.75138888888888899</v>
      </c>
      <c r="E16" s="134"/>
      <c r="F16" s="8" t="s">
        <v>58</v>
      </c>
      <c r="G16" s="156"/>
      <c r="H16" s="8">
        <v>4436.4911999642227</v>
      </c>
      <c r="I16" s="156"/>
      <c r="J16" s="8" t="s">
        <v>58</v>
      </c>
      <c r="K16" s="156"/>
      <c r="L16" s="8">
        <v>3769.6180372715939</v>
      </c>
      <c r="M16" s="156"/>
      <c r="N16" s="8" t="s">
        <v>58</v>
      </c>
      <c r="O16" s="155">
        <f>+H16+L16</f>
        <v>8206.1092372358162</v>
      </c>
    </row>
    <row r="17" spans="1:15" x14ac:dyDescent="0.25">
      <c r="A17" s="4"/>
      <c r="B17" s="5"/>
      <c r="C17" s="78"/>
      <c r="D17" s="159"/>
      <c r="E17" s="134"/>
      <c r="F17" s="8"/>
      <c r="G17" s="156"/>
      <c r="H17" s="8"/>
      <c r="I17" s="156"/>
      <c r="J17" s="8"/>
      <c r="K17" s="156"/>
      <c r="L17" s="8"/>
      <c r="M17" s="156"/>
      <c r="N17" s="8"/>
      <c r="O17" s="165"/>
    </row>
    <row r="18" spans="1:15" x14ac:dyDescent="0.25">
      <c r="A18" s="4">
        <v>43128</v>
      </c>
      <c r="B18" s="5">
        <f t="shared" ref="B18:B24" si="0">+A18</f>
        <v>43128</v>
      </c>
      <c r="C18" s="113">
        <v>-0.4</v>
      </c>
      <c r="D18" s="114">
        <v>0.67083333333333339</v>
      </c>
      <c r="E18" s="134"/>
      <c r="F18" s="8" t="s">
        <v>58</v>
      </c>
      <c r="G18" s="156"/>
      <c r="H18" s="8" t="s">
        <v>58</v>
      </c>
      <c r="I18" s="156"/>
      <c r="J18" s="8" t="s">
        <v>58</v>
      </c>
      <c r="K18" s="156"/>
      <c r="L18" s="8">
        <v>3309.812047724502</v>
      </c>
      <c r="M18" s="156"/>
      <c r="N18" s="8" t="s">
        <v>58</v>
      </c>
      <c r="O18" s="155">
        <f>+L18</f>
        <v>3309.812047724502</v>
      </c>
    </row>
    <row r="19" spans="1:15" x14ac:dyDescent="0.25">
      <c r="A19" s="4">
        <v>43129</v>
      </c>
      <c r="B19" s="5">
        <f t="shared" si="0"/>
        <v>43129</v>
      </c>
      <c r="C19" s="113">
        <v>-1</v>
      </c>
      <c r="D19" s="114">
        <v>0.70763888888888893</v>
      </c>
      <c r="E19" s="134"/>
      <c r="F19" s="8" t="s">
        <v>58</v>
      </c>
      <c r="G19" s="156"/>
      <c r="H19" s="8" t="s">
        <v>58</v>
      </c>
      <c r="I19" s="156"/>
      <c r="J19" s="8">
        <v>1672.6813617607268</v>
      </c>
      <c r="K19" s="156"/>
      <c r="L19" s="8" t="s">
        <v>58</v>
      </c>
      <c r="M19" s="156"/>
      <c r="N19" s="8" t="s">
        <v>58</v>
      </c>
      <c r="O19" s="155">
        <f>+J19</f>
        <v>1672.6813617607268</v>
      </c>
    </row>
    <row r="20" spans="1:15" x14ac:dyDescent="0.25">
      <c r="A20" s="4">
        <v>43130</v>
      </c>
      <c r="B20" s="5">
        <f t="shared" si="0"/>
        <v>43130</v>
      </c>
      <c r="C20" s="113">
        <v>-1.5</v>
      </c>
      <c r="D20" s="114">
        <v>0.74097222222222225</v>
      </c>
      <c r="E20" s="134"/>
      <c r="F20" s="8" t="s">
        <v>58</v>
      </c>
      <c r="G20" s="156"/>
      <c r="H20" s="8">
        <v>2202.2820257761196</v>
      </c>
      <c r="I20" s="156"/>
      <c r="J20" s="8" t="s">
        <v>58</v>
      </c>
      <c r="K20" s="156"/>
      <c r="L20" s="8">
        <v>1641.6503864742772</v>
      </c>
      <c r="M20" s="156"/>
      <c r="N20" s="8" t="s">
        <v>58</v>
      </c>
      <c r="O20" s="158">
        <f>+H20+L20</f>
        <v>3843.9324122503967</v>
      </c>
    </row>
    <row r="21" spans="1:15" x14ac:dyDescent="0.25">
      <c r="A21" s="4">
        <v>43131</v>
      </c>
      <c r="B21" s="5">
        <f t="shared" si="0"/>
        <v>43131</v>
      </c>
      <c r="C21" s="113">
        <v>-1.6</v>
      </c>
      <c r="D21" s="114">
        <v>0.7729166666666667</v>
      </c>
      <c r="E21" s="134"/>
      <c r="F21" s="8">
        <v>3926.9550659923161</v>
      </c>
      <c r="G21" s="134"/>
      <c r="H21" s="8">
        <v>1251.4093065243394</v>
      </c>
      <c r="I21" s="160"/>
      <c r="J21" s="8">
        <v>1536.064725692007</v>
      </c>
      <c r="K21" s="156"/>
      <c r="L21" s="8" t="s">
        <v>58</v>
      </c>
      <c r="M21" s="156"/>
      <c r="N21" s="8" t="s">
        <v>58</v>
      </c>
      <c r="O21" s="158">
        <f>+F21+H21+J21</f>
        <v>6714.4290982086623</v>
      </c>
    </row>
    <row r="22" spans="1:15" x14ac:dyDescent="0.25">
      <c r="A22" s="4">
        <v>43132</v>
      </c>
      <c r="B22" s="5">
        <f t="shared" si="0"/>
        <v>43132</v>
      </c>
      <c r="C22" s="113">
        <v>-1.5</v>
      </c>
      <c r="D22" s="114">
        <v>0.80347222222222225</v>
      </c>
      <c r="E22" s="134"/>
      <c r="F22" s="8">
        <v>1877.6732732307071</v>
      </c>
      <c r="G22" s="156"/>
      <c r="H22" s="8">
        <v>498.87254563458293</v>
      </c>
      <c r="I22" s="160"/>
      <c r="J22" s="8" t="s">
        <v>58</v>
      </c>
      <c r="K22" s="156"/>
      <c r="L22" s="8">
        <v>752.93029571854231</v>
      </c>
      <c r="M22" s="156"/>
      <c r="N22" s="8" t="s">
        <v>58</v>
      </c>
      <c r="O22" s="155">
        <f>+F22+H22+L22</f>
        <v>3129.4761145838324</v>
      </c>
    </row>
    <row r="23" spans="1:15" x14ac:dyDescent="0.25">
      <c r="A23" s="4">
        <v>43133</v>
      </c>
      <c r="B23" s="5">
        <f t="shared" si="0"/>
        <v>43133</v>
      </c>
      <c r="C23" s="113">
        <v>-1</v>
      </c>
      <c r="D23" s="114">
        <v>0.83333333333333337</v>
      </c>
      <c r="E23" s="134"/>
      <c r="F23" s="8">
        <v>2725.4986274551584</v>
      </c>
      <c r="G23" s="156"/>
      <c r="H23" s="8">
        <v>1126.2051132597842</v>
      </c>
      <c r="I23" s="160"/>
      <c r="J23" s="8">
        <v>1794.5167950742684</v>
      </c>
      <c r="K23" s="156"/>
      <c r="L23" s="8" t="s">
        <v>58</v>
      </c>
      <c r="M23" s="156"/>
      <c r="N23" s="8" t="s">
        <v>58</v>
      </c>
      <c r="O23" s="155">
        <f>+F23+H23+J23</f>
        <v>5646.2205357892108</v>
      </c>
    </row>
    <row r="24" spans="1:15" x14ac:dyDescent="0.25">
      <c r="A24" s="4">
        <v>43134</v>
      </c>
      <c r="B24" s="5">
        <f t="shared" si="0"/>
        <v>43134</v>
      </c>
      <c r="C24" s="113">
        <v>-0.4</v>
      </c>
      <c r="D24" s="114">
        <v>0.86249999999999993</v>
      </c>
      <c r="E24" s="134"/>
      <c r="F24" s="8">
        <v>2939.4456186888397</v>
      </c>
      <c r="G24" s="156"/>
      <c r="H24" s="8">
        <v>2006.9818724160286</v>
      </c>
      <c r="I24" s="160"/>
      <c r="J24" s="8" t="s">
        <v>58</v>
      </c>
      <c r="K24" s="156"/>
      <c r="L24" s="8">
        <v>3460.3387553179659</v>
      </c>
      <c r="M24" s="156"/>
      <c r="N24" s="8" t="s">
        <v>58</v>
      </c>
      <c r="O24" s="155">
        <f>+F24+H24+L24</f>
        <v>8406.7662464228342</v>
      </c>
    </row>
    <row r="25" spans="1:15" x14ac:dyDescent="0.25">
      <c r="A25" s="124"/>
      <c r="B25" s="91"/>
      <c r="C25" s="161"/>
      <c r="D25" s="162"/>
      <c r="E25" s="134"/>
      <c r="F25" s="8"/>
      <c r="G25" s="156"/>
      <c r="H25" s="8"/>
      <c r="I25" s="160"/>
      <c r="J25" s="8"/>
      <c r="K25" s="156"/>
      <c r="L25" s="8"/>
      <c r="M25" s="156"/>
      <c r="N25" s="8"/>
      <c r="O25" s="165"/>
    </row>
    <row r="26" spans="1:15" x14ac:dyDescent="0.25">
      <c r="A26" s="4">
        <v>43161</v>
      </c>
      <c r="B26" s="5">
        <f t="shared" ref="B26:B35" si="1">+A26</f>
        <v>43161</v>
      </c>
      <c r="C26" s="78">
        <v>-0.8</v>
      </c>
      <c r="D26" s="159">
        <v>0.78749999999999998</v>
      </c>
      <c r="E26" s="134"/>
      <c r="F26" s="8" t="s">
        <v>58</v>
      </c>
      <c r="G26" s="156"/>
      <c r="H26" s="8" t="s">
        <v>58</v>
      </c>
      <c r="I26" s="160"/>
      <c r="J26" s="8" t="s">
        <v>58</v>
      </c>
      <c r="K26" s="160"/>
      <c r="L26" s="8">
        <v>2929.6059829179594</v>
      </c>
      <c r="M26" s="160"/>
      <c r="N26" s="8" t="s">
        <v>58</v>
      </c>
      <c r="O26" s="155">
        <f>+L26</f>
        <v>2929.6059829179594</v>
      </c>
    </row>
    <row r="27" spans="1:15" x14ac:dyDescent="0.25">
      <c r="A27" s="4">
        <v>43162</v>
      </c>
      <c r="B27" s="5">
        <f t="shared" si="1"/>
        <v>43162</v>
      </c>
      <c r="C27" s="78">
        <v>-0.3</v>
      </c>
      <c r="D27" s="159">
        <v>0.81527777777777777</v>
      </c>
      <c r="E27" s="134"/>
      <c r="F27" s="8" t="s">
        <v>58</v>
      </c>
      <c r="G27" s="156"/>
      <c r="H27" s="8" t="s">
        <v>58</v>
      </c>
      <c r="I27" s="160"/>
      <c r="J27" s="8" t="s">
        <v>58</v>
      </c>
      <c r="K27" s="160"/>
      <c r="L27" s="8">
        <v>2810.3760416516275</v>
      </c>
      <c r="M27" s="160"/>
      <c r="N27" s="8" t="s">
        <v>58</v>
      </c>
      <c r="O27" s="155">
        <f>+L27</f>
        <v>2810.3760416516275</v>
      </c>
    </row>
    <row r="28" spans="1:15" x14ac:dyDescent="0.25">
      <c r="A28" s="4"/>
      <c r="B28" s="91"/>
      <c r="C28" s="78"/>
      <c r="D28" s="159"/>
      <c r="E28" s="163"/>
      <c r="F28" s="8"/>
      <c r="G28" s="156"/>
      <c r="H28" s="8"/>
      <c r="I28" s="160"/>
      <c r="J28" s="8"/>
      <c r="K28" s="160"/>
      <c r="L28" s="8"/>
      <c r="M28" s="160"/>
      <c r="N28" s="8"/>
      <c r="O28" s="155"/>
    </row>
    <row r="29" spans="1:15" x14ac:dyDescent="0.25">
      <c r="A29" s="124">
        <v>43175</v>
      </c>
      <c r="B29" s="5">
        <f t="shared" si="1"/>
        <v>43175</v>
      </c>
      <c r="C29" s="161">
        <v>0.2</v>
      </c>
      <c r="D29" s="162">
        <v>0.79375000000000007</v>
      </c>
      <c r="E29" s="163"/>
      <c r="F29" s="8" t="s">
        <v>58</v>
      </c>
      <c r="G29" s="156"/>
      <c r="H29" s="8" t="s">
        <v>58</v>
      </c>
      <c r="I29" s="160"/>
      <c r="J29" s="8">
        <v>1988.9524336416273</v>
      </c>
      <c r="K29" s="160"/>
      <c r="L29" s="8">
        <v>1225.9035961904442</v>
      </c>
      <c r="M29" s="160"/>
      <c r="N29" s="8" t="s">
        <v>58</v>
      </c>
      <c r="O29" s="155">
        <f>+J29+L29</f>
        <v>3214.8560298320717</v>
      </c>
    </row>
    <row r="30" spans="1:15" x14ac:dyDescent="0.25">
      <c r="A30" s="4">
        <v>43176</v>
      </c>
      <c r="B30" s="5">
        <f t="shared" si="1"/>
        <v>43176</v>
      </c>
      <c r="C30" s="161">
        <v>0.2</v>
      </c>
      <c r="D30" s="162">
        <v>0.81666666666666676</v>
      </c>
      <c r="E30" s="163"/>
      <c r="F30" s="8">
        <v>5121.2979604601387</v>
      </c>
      <c r="G30" s="156"/>
      <c r="H30" s="8">
        <v>2122.6414778041394</v>
      </c>
      <c r="I30" s="156"/>
      <c r="J30" s="8">
        <v>3248.4676935295429</v>
      </c>
      <c r="K30" s="134"/>
      <c r="L30" s="8">
        <v>1217.0476397738169</v>
      </c>
      <c r="M30" s="156"/>
      <c r="N30" s="8" t="s">
        <v>58</v>
      </c>
      <c r="O30" s="165">
        <f>+F30+H30+J30+L30</f>
        <v>11709.454771567638</v>
      </c>
    </row>
    <row r="31" spans="1:15" x14ac:dyDescent="0.25">
      <c r="A31" s="244" t="s">
        <v>95</v>
      </c>
      <c r="B31" s="244"/>
      <c r="C31" s="244"/>
      <c r="D31" s="244"/>
      <c r="E31" s="244"/>
      <c r="F31" s="244"/>
      <c r="G31" s="244"/>
      <c r="H31" s="244"/>
      <c r="I31" s="244"/>
      <c r="J31" s="244"/>
      <c r="K31" s="244"/>
      <c r="L31" s="244"/>
      <c r="M31" s="244"/>
      <c r="N31" s="244"/>
      <c r="O31" s="244"/>
    </row>
    <row r="32" spans="1:15" x14ac:dyDescent="0.25">
      <c r="A32" s="4">
        <v>43209</v>
      </c>
      <c r="B32" s="5">
        <f t="shared" si="1"/>
        <v>43209</v>
      </c>
      <c r="C32" s="161">
        <v>-0.9</v>
      </c>
      <c r="D32" s="162">
        <v>0.4069444444444445</v>
      </c>
      <c r="E32" s="163"/>
      <c r="F32" s="8" t="s">
        <v>58</v>
      </c>
      <c r="G32" s="156"/>
      <c r="H32" s="8" t="s">
        <v>58</v>
      </c>
      <c r="I32" s="156"/>
      <c r="J32" s="8" t="s">
        <v>58</v>
      </c>
      <c r="K32" s="156"/>
      <c r="L32" s="8">
        <v>5046.899768175901</v>
      </c>
      <c r="M32" s="156"/>
      <c r="N32" s="8" t="s">
        <v>58</v>
      </c>
      <c r="O32" s="165">
        <f>+L32</f>
        <v>5046.899768175901</v>
      </c>
    </row>
    <row r="33" spans="1:15" x14ac:dyDescent="0.25">
      <c r="A33" s="4">
        <v>43210</v>
      </c>
      <c r="B33" s="5">
        <f t="shared" si="1"/>
        <v>43210</v>
      </c>
      <c r="C33" s="13">
        <v>-0.7</v>
      </c>
      <c r="D33" s="86">
        <v>0.44236111111111115</v>
      </c>
      <c r="E33" s="127"/>
      <c r="F33" s="8" t="s">
        <v>58</v>
      </c>
      <c r="G33" s="156"/>
      <c r="H33" s="8" t="s">
        <v>58</v>
      </c>
      <c r="J33" s="8" t="s">
        <v>58</v>
      </c>
      <c r="L33" s="8">
        <v>6878.7372125569755</v>
      </c>
      <c r="N33" s="8" t="s">
        <v>58</v>
      </c>
      <c r="O33" s="165">
        <f>+L33</f>
        <v>6878.7372125569755</v>
      </c>
    </row>
    <row r="34" spans="1:15" x14ac:dyDescent="0.25">
      <c r="A34" s="4">
        <v>43211</v>
      </c>
      <c r="B34" s="5">
        <f t="shared" si="1"/>
        <v>43211</v>
      </c>
      <c r="C34" s="13">
        <v>-0.4</v>
      </c>
      <c r="D34" s="86">
        <v>0.48194444444444445</v>
      </c>
      <c r="E34" s="127"/>
      <c r="F34" s="8">
        <v>14489.358855122526</v>
      </c>
      <c r="G34" s="156"/>
      <c r="H34" s="8">
        <v>11415.612236898753</v>
      </c>
      <c r="J34" s="8">
        <v>9418.2372908732741</v>
      </c>
      <c r="L34" s="8">
        <v>5719.1917689786433</v>
      </c>
      <c r="N34" s="8" t="s">
        <v>58</v>
      </c>
      <c r="O34" s="165">
        <f>+F34+H34+J34+L34</f>
        <v>41042.400151873197</v>
      </c>
    </row>
    <row r="35" spans="1:15" x14ac:dyDescent="0.25">
      <c r="A35" s="4">
        <v>43212</v>
      </c>
      <c r="B35" s="5">
        <f t="shared" si="1"/>
        <v>43212</v>
      </c>
      <c r="C35" s="13">
        <v>-0.1</v>
      </c>
      <c r="D35" s="86">
        <v>2.6388888888888889E-2</v>
      </c>
      <c r="F35" s="8">
        <v>16062.008389038469</v>
      </c>
      <c r="G35" s="2"/>
      <c r="H35" s="8">
        <v>8121.6632362131058</v>
      </c>
      <c r="J35" s="8" t="s">
        <v>58</v>
      </c>
      <c r="L35" s="8">
        <v>6524.3646948103651</v>
      </c>
      <c r="N35" s="8" t="s">
        <v>58</v>
      </c>
      <c r="O35" s="15">
        <f>+F35+H35+L35</f>
        <v>30708.036320061939</v>
      </c>
    </row>
    <row r="36" spans="1:15" x14ac:dyDescent="0.25">
      <c r="A36" s="4"/>
      <c r="B36" s="91"/>
      <c r="C36" s="13"/>
      <c r="D36" s="86"/>
      <c r="F36" s="8"/>
      <c r="G36" s="2"/>
      <c r="H36" s="8"/>
      <c r="J36" s="8"/>
      <c r="L36" s="8"/>
      <c r="N36" s="8"/>
      <c r="O36" s="15"/>
    </row>
    <row r="37" spans="1:15" x14ac:dyDescent="0.25">
      <c r="A37" s="4"/>
      <c r="B37" s="91"/>
      <c r="C37" s="13"/>
      <c r="D37" s="86"/>
      <c r="F37" s="8"/>
      <c r="G37" s="2"/>
      <c r="H37" s="8"/>
      <c r="J37" s="8"/>
      <c r="L37" s="8"/>
      <c r="N37" s="8"/>
      <c r="O37" s="15"/>
    </row>
    <row r="38" spans="1:15" x14ac:dyDescent="0.25">
      <c r="A38" s="4"/>
      <c r="B38" s="91"/>
      <c r="C38" s="13"/>
      <c r="D38" s="86"/>
      <c r="F38" s="8"/>
      <c r="G38" s="2"/>
      <c r="H38" s="8"/>
      <c r="J38" s="8"/>
      <c r="L38" s="8"/>
      <c r="N38" s="8"/>
      <c r="O38" s="15"/>
    </row>
    <row r="39" spans="1:15" x14ac:dyDescent="0.25">
      <c r="A39" s="4"/>
      <c r="B39" s="91"/>
      <c r="C39" s="13"/>
      <c r="D39" s="86"/>
      <c r="F39" s="8"/>
      <c r="H39" s="8"/>
      <c r="J39" s="8"/>
      <c r="L39" s="8"/>
      <c r="N39" s="8"/>
      <c r="O39" s="15"/>
    </row>
    <row r="40" spans="1:15" x14ac:dyDescent="0.25">
      <c r="A40" s="4"/>
      <c r="B40" s="91"/>
      <c r="C40" s="13"/>
      <c r="D40" s="86"/>
      <c r="F40" s="8"/>
      <c r="G40" s="2"/>
      <c r="H40" s="8"/>
      <c r="J40" s="8"/>
      <c r="L40" s="8"/>
      <c r="N40" s="8"/>
      <c r="O40" s="15"/>
    </row>
    <row r="41" spans="1:15" x14ac:dyDescent="0.25">
      <c r="A41" s="4"/>
      <c r="B41" s="91"/>
      <c r="C41" s="13"/>
      <c r="D41" s="86"/>
      <c r="F41" s="8"/>
      <c r="G41" s="2"/>
      <c r="H41" s="8"/>
      <c r="J41" s="8"/>
      <c r="L41" s="8"/>
      <c r="N41" s="8"/>
      <c r="O41" s="15"/>
    </row>
    <row r="42" spans="1:15" x14ac:dyDescent="0.25">
      <c r="A42" s="4"/>
      <c r="B42" s="91"/>
      <c r="C42" s="13"/>
      <c r="D42" s="86"/>
    </row>
    <row r="43" spans="1:15" x14ac:dyDescent="0.25">
      <c r="A43" s="17" t="s">
        <v>18</v>
      </c>
      <c r="F43" s="15">
        <f>SUM(F2:F42)</f>
        <v>94213.344190133212</v>
      </c>
      <c r="H43" s="15">
        <f>SUM(H2:H42)</f>
        <v>55588.041319663665</v>
      </c>
      <c r="J43" s="15">
        <f>SUM(J2:J42)</f>
        <v>44600.553747660582</v>
      </c>
      <c r="L43" s="15">
        <f>SUM(L2:L42)</f>
        <v>63215.266089019206</v>
      </c>
      <c r="N43" s="15">
        <f>SUM(N3:N42)</f>
        <v>0</v>
      </c>
      <c r="O43" s="15">
        <f>SUM(O2:O42)</f>
        <v>257617.20534647669</v>
      </c>
    </row>
    <row r="44" spans="1:15" x14ac:dyDescent="0.25">
      <c r="A44" s="16" t="s">
        <v>17</v>
      </c>
    </row>
    <row r="45" spans="1:15" x14ac:dyDescent="0.25">
      <c r="A45" s="93" t="s">
        <v>52</v>
      </c>
    </row>
    <row r="46" spans="1:15" x14ac:dyDescent="0.25">
      <c r="A46" t="s">
        <v>53</v>
      </c>
    </row>
  </sheetData>
  <mergeCells count="6">
    <mergeCell ref="A31:O31"/>
    <mergeCell ref="E1:F1"/>
    <mergeCell ref="G1:H1"/>
    <mergeCell ref="I1:J1"/>
    <mergeCell ref="K1:L1"/>
    <mergeCell ref="M1:N1"/>
  </mergeCells>
  <pageMargins left="0.25" right="0.25" top="0.75" bottom="0.75" header="0.3" footer="0.3"/>
  <pageSetup scale="75" fitToHeight="0" orientation="portrait" r:id="rId1"/>
  <headerFooter>
    <oddHeader>&amp;L&amp;12 2010 Fall / 2011 Spring Razor Clam Harvst Totals
&amp;"-,Italic"(Number of Diggers)&amp;C&amp;12Non-Indian Fishery&amp;R&amp;12&amp;KFF0000PRELIMINARY ESTIMATE</oddHeader>
    <oddFooter>&amp;LPage 3 of 3</oddFooter>
  </headerFooter>
  <ignoredErrors>
    <ignoredError sqref="O12 O7 O22"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1:O45"/>
  <sheetViews>
    <sheetView workbookViewId="0">
      <pane ySplit="1" topLeftCell="A2" activePane="bottomLeft" state="frozen"/>
      <selection pane="bottomLeft" activeCell="J5" sqref="J5"/>
    </sheetView>
  </sheetViews>
  <sheetFormatPr defaultRowHeight="15" x14ac:dyDescent="0.25"/>
  <cols>
    <col min="1" max="1" width="18.42578125" customWidth="1"/>
    <col min="2" max="2" width="5.42578125" customWidth="1"/>
    <col min="3" max="3" width="7.7109375" style="1" customWidth="1"/>
    <col min="4" max="4" width="9.140625" style="1"/>
    <col min="5" max="5" width="3.7109375" style="2" customWidth="1"/>
    <col min="6" max="6" width="12.7109375" customWidth="1"/>
    <col min="7" max="7" width="3.7109375" customWidth="1"/>
    <col min="8" max="8" width="12.7109375" customWidth="1"/>
    <col min="9" max="9" width="3.7109375" customWidth="1"/>
    <col min="10" max="10" width="12.7109375" customWidth="1"/>
    <col min="11" max="11" width="3.7109375" customWidth="1"/>
    <col min="12" max="12" width="12.7109375" customWidth="1"/>
    <col min="13" max="13" width="3.7109375" customWidth="1"/>
    <col min="14" max="14" width="12.7109375" customWidth="1"/>
    <col min="15" max="15" width="10.5703125" bestFit="1" customWidth="1"/>
  </cols>
  <sheetData>
    <row r="1" spans="1:15" x14ac:dyDescent="0.25">
      <c r="A1" s="11" t="s">
        <v>8</v>
      </c>
      <c r="B1" s="11" t="s">
        <v>5</v>
      </c>
      <c r="C1" s="11" t="s">
        <v>6</v>
      </c>
      <c r="D1" s="11" t="s">
        <v>7</v>
      </c>
      <c r="E1" s="246" t="s">
        <v>0</v>
      </c>
      <c r="F1" s="246"/>
      <c r="G1" s="246" t="s">
        <v>1</v>
      </c>
      <c r="H1" s="246"/>
      <c r="I1" s="246" t="s">
        <v>2</v>
      </c>
      <c r="J1" s="246"/>
      <c r="K1" s="246" t="s">
        <v>3</v>
      </c>
      <c r="L1" s="246"/>
      <c r="M1" s="246" t="s">
        <v>4</v>
      </c>
      <c r="N1" s="246"/>
    </row>
    <row r="2" spans="1:15" x14ac:dyDescent="0.25">
      <c r="A2" s="4">
        <v>43014</v>
      </c>
      <c r="B2" s="5">
        <v>42657</v>
      </c>
      <c r="C2" s="78">
        <v>-0.4</v>
      </c>
      <c r="D2" s="6">
        <v>0.8256944444444444</v>
      </c>
      <c r="E2" s="53"/>
      <c r="F2" s="9">
        <f>+Harvest!F2/Effort!F2</f>
        <v>12.729729729729728</v>
      </c>
      <c r="G2" s="153"/>
      <c r="H2" s="9">
        <f>+Harvest!H2/Effort!H2</f>
        <v>12.027027027027026</v>
      </c>
      <c r="I2" s="153"/>
      <c r="J2" s="9">
        <f>+Harvest!J2/Effort!J2</f>
        <v>13.095238095238095</v>
      </c>
      <c r="K2" s="153"/>
      <c r="L2" s="9">
        <f>+Harvest!L2/Effort!L2</f>
        <v>12.108108108108109</v>
      </c>
      <c r="M2" s="55"/>
      <c r="N2" s="8" t="s">
        <v>58</v>
      </c>
      <c r="O2" s="204">
        <f>+Harvest!O2/Effort!O2</f>
        <v>12.590975991295698</v>
      </c>
    </row>
    <row r="3" spans="1:15" x14ac:dyDescent="0.25">
      <c r="A3" s="4">
        <v>43015</v>
      </c>
      <c r="B3" s="5">
        <v>42658</v>
      </c>
      <c r="C3" s="78">
        <v>-0.7</v>
      </c>
      <c r="D3" s="6">
        <v>0.85625000000000007</v>
      </c>
      <c r="E3" s="54"/>
      <c r="F3" s="9">
        <f>+Harvest!F3/Effort!F3</f>
        <v>11.265624999999998</v>
      </c>
      <c r="G3" s="154"/>
      <c r="H3" s="9">
        <f>+Harvest!H3/Effort!H3</f>
        <v>12.728813559322035</v>
      </c>
      <c r="I3" s="154"/>
      <c r="J3" s="9">
        <f>+Harvest!J3/Effort!J3</f>
        <v>13.384615384615387</v>
      </c>
      <c r="K3" s="154"/>
      <c r="L3" s="9">
        <f>+Harvest!L3/Effort!L3</f>
        <v>12.874999999999998</v>
      </c>
      <c r="M3" s="55"/>
      <c r="N3" s="8" t="s">
        <v>58</v>
      </c>
      <c r="O3" s="204">
        <f>+Harvest!O3/Effort!O3</f>
        <v>12.398859907140555</v>
      </c>
    </row>
    <row r="4" spans="1:15" x14ac:dyDescent="0.25">
      <c r="A4" s="4"/>
      <c r="B4" s="5"/>
      <c r="C4" s="78"/>
      <c r="D4" s="6"/>
      <c r="E4" s="134"/>
      <c r="F4" s="8"/>
      <c r="G4" s="8"/>
      <c r="H4" s="9"/>
      <c r="I4" s="8"/>
      <c r="J4" s="9"/>
      <c r="K4" s="7"/>
      <c r="L4" s="9"/>
      <c r="M4" s="55"/>
      <c r="N4" s="8"/>
      <c r="O4" s="204"/>
    </row>
    <row r="5" spans="1:15" x14ac:dyDescent="0.25">
      <c r="A5" s="4">
        <v>43041</v>
      </c>
      <c r="B5" s="5">
        <f>+A5</f>
        <v>43041</v>
      </c>
      <c r="C5" s="78">
        <v>0.1</v>
      </c>
      <c r="D5" s="6">
        <v>0.75208333333333333</v>
      </c>
      <c r="E5" s="54"/>
      <c r="F5" s="8" t="s">
        <v>58</v>
      </c>
      <c r="G5" s="8"/>
      <c r="H5" s="8" t="s">
        <v>58</v>
      </c>
      <c r="I5" s="8"/>
      <c r="J5" s="9">
        <f>+Harvest!J5/Effort!J5</f>
        <v>11.18</v>
      </c>
      <c r="K5" s="7"/>
      <c r="L5" s="8" t="s">
        <v>58</v>
      </c>
      <c r="M5" s="55"/>
      <c r="N5" s="8" t="s">
        <v>58</v>
      </c>
      <c r="O5" s="204">
        <f>+Harvest!O5/Effort!O5</f>
        <v>11.18</v>
      </c>
    </row>
    <row r="6" spans="1:15" x14ac:dyDescent="0.25">
      <c r="A6" s="4">
        <v>43042</v>
      </c>
      <c r="B6" s="5">
        <f>+A6</f>
        <v>43042</v>
      </c>
      <c r="C6" s="113">
        <v>-0.7</v>
      </c>
      <c r="D6" s="6">
        <v>0.78263888888888899</v>
      </c>
      <c r="E6" s="54"/>
      <c r="F6" s="9">
        <f>+Harvest!F6/Effort!F6</f>
        <v>14.910714285714288</v>
      </c>
      <c r="G6" s="9"/>
      <c r="H6" s="9">
        <f>+Harvest!H6/Effort!H6</f>
        <v>15</v>
      </c>
      <c r="I6" s="9"/>
      <c r="J6" s="9" t="s">
        <v>58</v>
      </c>
      <c r="K6" s="197"/>
      <c r="L6" s="9">
        <f>+Harvest!L6/Effort!L6</f>
        <v>14.999999999999998</v>
      </c>
      <c r="M6" s="55"/>
      <c r="N6" s="8" t="s">
        <v>58</v>
      </c>
      <c r="O6" s="204">
        <f>+Harvest!O6/Effort!O6</f>
        <v>14.952649493660775</v>
      </c>
    </row>
    <row r="7" spans="1:15" x14ac:dyDescent="0.25">
      <c r="A7" s="4">
        <v>43043</v>
      </c>
      <c r="B7" s="5">
        <f>+A7</f>
        <v>43043</v>
      </c>
      <c r="C7" s="113">
        <v>-1.2</v>
      </c>
      <c r="D7" s="114">
        <v>0.81319444444444444</v>
      </c>
      <c r="E7" s="54"/>
      <c r="F7" s="9">
        <f>+Harvest!F7/Effort!F7</f>
        <v>12.281250000000002</v>
      </c>
      <c r="G7" s="9"/>
      <c r="H7" s="9">
        <f>+Harvest!H7/Effort!H7</f>
        <v>12.866666666666667</v>
      </c>
      <c r="I7" s="9"/>
      <c r="J7" s="9">
        <f>+Harvest!J7/Effort!J7</f>
        <v>10.024390243902438</v>
      </c>
      <c r="K7" s="197"/>
      <c r="L7" s="9" t="s">
        <v>58</v>
      </c>
      <c r="M7" s="55"/>
      <c r="N7" s="8" t="s">
        <v>58</v>
      </c>
      <c r="O7" s="204">
        <f>+Harvest!O7/Effort!O7</f>
        <v>11.770199842177028</v>
      </c>
    </row>
    <row r="8" spans="1:15" x14ac:dyDescent="0.25">
      <c r="A8" s="4">
        <v>43044</v>
      </c>
      <c r="B8" s="5">
        <f>+A8</f>
        <v>43044</v>
      </c>
      <c r="C8" s="113">
        <v>-1.4</v>
      </c>
      <c r="D8" s="114">
        <v>0.8027777777777777</v>
      </c>
      <c r="E8" s="54"/>
      <c r="F8" s="9">
        <f>+Harvest!F8/Effort!F8</f>
        <v>13.913043478260873</v>
      </c>
      <c r="G8" s="167"/>
      <c r="H8" s="9">
        <f>+Harvest!H8/Effort!H8</f>
        <v>14.200000000000001</v>
      </c>
      <c r="I8" s="9"/>
      <c r="J8" s="9" t="s">
        <v>58</v>
      </c>
      <c r="K8" s="9"/>
      <c r="L8" s="9">
        <f>+Harvest!L8/Effort!L8</f>
        <v>13.80952380952381</v>
      </c>
      <c r="M8" s="55"/>
      <c r="N8" s="8" t="s">
        <v>58</v>
      </c>
      <c r="O8" s="204">
        <f>+Harvest!O8/Effort!O8</f>
        <v>13.957331043887269</v>
      </c>
    </row>
    <row r="9" spans="1:15" x14ac:dyDescent="0.25">
      <c r="A9" s="4"/>
      <c r="B9" s="91"/>
      <c r="C9" s="78"/>
      <c r="D9" s="6"/>
      <c r="E9" s="134"/>
      <c r="F9" s="8"/>
      <c r="G9" s="134"/>
      <c r="H9" s="9"/>
      <c r="I9" s="8"/>
      <c r="J9" s="9"/>
      <c r="K9" s="7"/>
      <c r="L9" s="9"/>
      <c r="M9" s="55"/>
      <c r="N9" s="8"/>
      <c r="O9" s="204"/>
    </row>
    <row r="10" spans="1:15" x14ac:dyDescent="0.25">
      <c r="A10" s="4">
        <v>43070</v>
      </c>
      <c r="B10" s="5">
        <f>+A10</f>
        <v>43070</v>
      </c>
      <c r="C10" s="78">
        <v>-0.3</v>
      </c>
      <c r="D10" s="6">
        <v>0.6958333333333333</v>
      </c>
      <c r="E10" s="134"/>
      <c r="F10" s="8" t="s">
        <v>58</v>
      </c>
      <c r="G10" s="156"/>
      <c r="H10" s="8" t="s">
        <v>58</v>
      </c>
      <c r="I10" s="156"/>
      <c r="J10" s="9">
        <f>+Harvest!J10/Effort!J10</f>
        <v>10.037037037037036</v>
      </c>
      <c r="K10" s="156"/>
      <c r="L10" s="8" t="s">
        <v>58</v>
      </c>
      <c r="M10" s="55"/>
      <c r="N10" s="8" t="s">
        <v>58</v>
      </c>
      <c r="O10" s="204">
        <f>+Harvest!O10/Effort!O10</f>
        <v>10.037037037037036</v>
      </c>
    </row>
    <row r="11" spans="1:15" x14ac:dyDescent="0.25">
      <c r="A11" s="4">
        <v>43071</v>
      </c>
      <c r="B11" s="5">
        <f>+A11</f>
        <v>43071</v>
      </c>
      <c r="C11" s="78">
        <v>-1.1000000000000001</v>
      </c>
      <c r="D11" s="6">
        <v>0.7284722222222223</v>
      </c>
      <c r="E11" s="134"/>
      <c r="F11" s="9">
        <f>+Harvest!F11/Effort!F11</f>
        <v>2.7258064516129026</v>
      </c>
      <c r="G11" s="134"/>
      <c r="H11" s="9">
        <f>+Harvest!H11/Effort!H11</f>
        <v>7.2093023255813957</v>
      </c>
      <c r="I11" s="156"/>
      <c r="J11" s="8" t="s">
        <v>58</v>
      </c>
      <c r="K11" s="156"/>
      <c r="L11" s="9">
        <f>+Harvest!L11/Effort!L11</f>
        <v>9.7249999999999996</v>
      </c>
      <c r="M11" s="55"/>
      <c r="N11" s="8" t="s">
        <v>58</v>
      </c>
      <c r="O11" s="204">
        <f>+Harvest!O11/Effort!O11</f>
        <v>6.1879239949883189</v>
      </c>
    </row>
    <row r="12" spans="1:15" x14ac:dyDescent="0.25">
      <c r="A12" s="4">
        <v>43072</v>
      </c>
      <c r="B12" s="5">
        <f>+A12</f>
        <v>43072</v>
      </c>
      <c r="C12" s="113">
        <v>-1.6</v>
      </c>
      <c r="D12" s="114">
        <v>0.76041666666666663</v>
      </c>
      <c r="E12" s="134"/>
      <c r="F12" s="9">
        <f>+Harvest!F12/Effort!F12</f>
        <v>10.878048780487806</v>
      </c>
      <c r="G12" s="156"/>
      <c r="H12" s="9">
        <f>+Harvest!H12/Effort!H12</f>
        <v>14.8</v>
      </c>
      <c r="I12" s="156"/>
      <c r="J12" s="9">
        <f>+Harvest!J12/Effort!J12</f>
        <v>14.945454545454547</v>
      </c>
      <c r="K12" s="156"/>
      <c r="L12" s="8" t="s">
        <v>58</v>
      </c>
      <c r="M12" s="156"/>
      <c r="N12" s="8" t="s">
        <v>58</v>
      </c>
      <c r="O12" s="204">
        <f>+Harvest!O12/Effort!O12</f>
        <v>12.95361807715806</v>
      </c>
    </row>
    <row r="13" spans="1:15" x14ac:dyDescent="0.25">
      <c r="A13" s="4">
        <v>43073</v>
      </c>
      <c r="B13" s="5">
        <f>+A13</f>
        <v>43073</v>
      </c>
      <c r="C13" s="78">
        <v>-1.8</v>
      </c>
      <c r="D13" s="6">
        <v>0.79305555555555562</v>
      </c>
      <c r="E13" s="134"/>
      <c r="F13" s="9">
        <f>+Harvest!F13/Effort!F13</f>
        <v>13.428571428571427</v>
      </c>
      <c r="G13" s="134" t="s">
        <v>66</v>
      </c>
      <c r="H13" s="9">
        <f>+Harvest!H13/Effort!H13</f>
        <v>11.599780911889095</v>
      </c>
      <c r="I13" s="156"/>
      <c r="J13" s="8" t="s">
        <v>58</v>
      </c>
      <c r="K13" s="156"/>
      <c r="L13" s="9">
        <f>+Harvest!L13/Effort!L13</f>
        <v>11.585365853658537</v>
      </c>
      <c r="M13" s="156"/>
      <c r="N13" s="8" t="s">
        <v>58</v>
      </c>
      <c r="O13" s="204">
        <f>+Harvest!O13/Effort!O13</f>
        <v>12.349912683750059</v>
      </c>
    </row>
    <row r="14" spans="1:15" x14ac:dyDescent="0.25">
      <c r="A14" s="4"/>
      <c r="B14" s="91"/>
      <c r="C14" s="78"/>
      <c r="D14" s="6"/>
      <c r="E14" s="134"/>
      <c r="F14" s="8"/>
      <c r="G14" s="156"/>
      <c r="H14" s="9"/>
      <c r="I14" s="156"/>
      <c r="J14" s="8"/>
      <c r="K14" s="156"/>
      <c r="L14" s="8"/>
      <c r="M14" s="156"/>
      <c r="N14" s="8"/>
    </row>
    <row r="15" spans="1:15" x14ac:dyDescent="0.25">
      <c r="A15" s="4">
        <v>43100</v>
      </c>
      <c r="B15" s="5">
        <f>+A15</f>
        <v>43100</v>
      </c>
      <c r="C15" s="78">
        <v>-1.2</v>
      </c>
      <c r="D15" s="6">
        <v>0.71666666666666667</v>
      </c>
      <c r="E15" s="134"/>
      <c r="F15" s="9">
        <f>+Harvest!F15/Effort!F15</f>
        <v>10.16848662460619</v>
      </c>
      <c r="G15" s="134"/>
      <c r="H15" s="9">
        <f>+Harvest!H15/Effort!H15</f>
        <v>13.5</v>
      </c>
      <c r="I15" s="168"/>
      <c r="J15" s="9">
        <f>+Harvest!J15/Effort!J15</f>
        <v>13.955882352941176</v>
      </c>
      <c r="K15" s="168"/>
      <c r="L15" s="9">
        <f>+Harvest!L15/Effort!L15</f>
        <v>13.965517241379308</v>
      </c>
      <c r="M15" s="156"/>
      <c r="N15" s="8" t="s">
        <v>58</v>
      </c>
      <c r="O15" s="204">
        <f>+Harvest!O15/Effort!O15</f>
        <v>12.334733053285357</v>
      </c>
    </row>
    <row r="16" spans="1:15" x14ac:dyDescent="0.25">
      <c r="A16" s="4">
        <v>43101</v>
      </c>
      <c r="B16" s="5">
        <f>+A16</f>
        <v>43101</v>
      </c>
      <c r="C16" s="113">
        <v>-1.7</v>
      </c>
      <c r="D16" s="114">
        <v>0.75138888888888899</v>
      </c>
      <c r="E16" s="134"/>
      <c r="F16" s="8" t="s">
        <v>58</v>
      </c>
      <c r="G16" s="156"/>
      <c r="H16" s="9">
        <f>+Harvest!H16/Effort!H16</f>
        <v>13.045454545454547</v>
      </c>
      <c r="I16" s="156"/>
      <c r="J16" s="8" t="s">
        <v>58</v>
      </c>
      <c r="K16" s="156"/>
      <c r="L16" s="9">
        <f>+Harvest!L16/Effort!L16</f>
        <v>15.000000000000002</v>
      </c>
      <c r="M16" s="156"/>
      <c r="N16" s="8" t="s">
        <v>58</v>
      </c>
      <c r="O16" s="204">
        <f>+Harvest!O16/Effort!O16</f>
        <v>13.943308764441715</v>
      </c>
    </row>
    <row r="17" spans="1:15" x14ac:dyDescent="0.25">
      <c r="A17" s="4"/>
      <c r="B17" s="5"/>
      <c r="C17" s="78"/>
      <c r="D17" s="159"/>
      <c r="E17" s="134"/>
      <c r="F17" s="8"/>
      <c r="G17" s="156"/>
      <c r="H17" s="8"/>
      <c r="I17" s="156"/>
      <c r="J17" s="9"/>
      <c r="K17" s="7"/>
      <c r="L17" s="9"/>
      <c r="M17" s="156"/>
      <c r="N17" s="8"/>
    </row>
    <row r="18" spans="1:15" x14ac:dyDescent="0.25">
      <c r="A18" s="4">
        <v>43128</v>
      </c>
      <c r="B18" s="5">
        <f t="shared" ref="B18:B24" si="0">+A18</f>
        <v>43128</v>
      </c>
      <c r="C18" s="113">
        <v>-0.4</v>
      </c>
      <c r="D18" s="114">
        <v>0.67083333333333339</v>
      </c>
      <c r="E18" s="134"/>
      <c r="F18" s="8" t="s">
        <v>58</v>
      </c>
      <c r="G18" s="156"/>
      <c r="H18" s="8" t="s">
        <v>58</v>
      </c>
      <c r="I18" s="156"/>
      <c r="J18" s="8" t="s">
        <v>58</v>
      </c>
      <c r="K18" s="156"/>
      <c r="L18" s="9">
        <f>+Harvest!L18/Effort!L18</f>
        <v>9.8800000000000026</v>
      </c>
      <c r="M18" s="156"/>
      <c r="N18" s="8" t="s">
        <v>58</v>
      </c>
      <c r="O18" s="204">
        <f>+Harvest!O18/Effort!O18</f>
        <v>9.8800000000000026</v>
      </c>
    </row>
    <row r="19" spans="1:15" x14ac:dyDescent="0.25">
      <c r="A19" s="4">
        <v>43129</v>
      </c>
      <c r="B19" s="5">
        <f t="shared" si="0"/>
        <v>43129</v>
      </c>
      <c r="C19" s="113">
        <v>-1</v>
      </c>
      <c r="D19" s="114">
        <v>0.70763888888888893</v>
      </c>
      <c r="E19" s="134"/>
      <c r="F19" s="8" t="s">
        <v>58</v>
      </c>
      <c r="G19" s="156"/>
      <c r="H19" s="8" t="s">
        <v>58</v>
      </c>
      <c r="I19" s="156"/>
      <c r="J19" s="9">
        <f>+Harvest!J19/Effort!J19</f>
        <v>13.802325581395349</v>
      </c>
      <c r="K19" s="156"/>
      <c r="L19" s="8" t="s">
        <v>58</v>
      </c>
      <c r="M19" s="156"/>
      <c r="N19" s="8" t="s">
        <v>58</v>
      </c>
      <c r="O19" s="204">
        <f>+Harvest!O19/Effort!O19</f>
        <v>13.802325581395349</v>
      </c>
    </row>
    <row r="20" spans="1:15" x14ac:dyDescent="0.25">
      <c r="A20" s="4">
        <v>43130</v>
      </c>
      <c r="B20" s="5">
        <f t="shared" si="0"/>
        <v>43130</v>
      </c>
      <c r="C20" s="113">
        <v>-1.5</v>
      </c>
      <c r="D20" s="114">
        <v>0.74097222222222225</v>
      </c>
      <c r="E20" s="134"/>
      <c r="F20" s="8" t="s">
        <v>58</v>
      </c>
      <c r="G20" s="156"/>
      <c r="H20" s="9">
        <f>+Harvest!H20/Effort!H20</f>
        <v>11.893617021276597</v>
      </c>
      <c r="I20" s="156"/>
      <c r="J20" s="8" t="s">
        <v>58</v>
      </c>
      <c r="K20" s="156"/>
      <c r="L20" s="9">
        <f>+Harvest!L20/Effort!L20</f>
        <v>13.515625</v>
      </c>
      <c r="M20" s="156"/>
      <c r="N20" s="8" t="s">
        <v>58</v>
      </c>
      <c r="O20" s="204">
        <f>+Harvest!O20/Effort!O20</f>
        <v>12.586337324227173</v>
      </c>
    </row>
    <row r="21" spans="1:15" x14ac:dyDescent="0.25">
      <c r="A21" s="4">
        <v>43131</v>
      </c>
      <c r="B21" s="5">
        <f t="shared" si="0"/>
        <v>43131</v>
      </c>
      <c r="C21" s="113">
        <v>-1.6</v>
      </c>
      <c r="D21" s="114">
        <v>0.7729166666666667</v>
      </c>
      <c r="E21" s="134"/>
      <c r="F21" s="9">
        <f>+Harvest!F21/Effort!F21</f>
        <v>9.5660377358490578</v>
      </c>
      <c r="G21" s="134"/>
      <c r="H21" s="9">
        <f>+Harvest!H21/Effort!H21</f>
        <v>11.717391304347828</v>
      </c>
      <c r="I21" s="160"/>
      <c r="J21" s="9">
        <f>+Harvest!J21/Effort!J21</f>
        <v>10.718750000000002</v>
      </c>
      <c r="K21" s="156"/>
      <c r="L21" s="8" t="s">
        <v>58</v>
      </c>
      <c r="M21" s="156"/>
      <c r="N21" s="8" t="s">
        <v>58</v>
      </c>
      <c r="O21" s="204">
        <f>+Harvest!O21/Effort!O21</f>
        <v>10.230705492377933</v>
      </c>
    </row>
    <row r="22" spans="1:15" x14ac:dyDescent="0.25">
      <c r="A22" s="4">
        <v>43132</v>
      </c>
      <c r="B22" s="5">
        <f t="shared" si="0"/>
        <v>43132</v>
      </c>
      <c r="C22" s="113">
        <v>-1.5</v>
      </c>
      <c r="D22" s="114">
        <v>0.80347222222222225</v>
      </c>
      <c r="E22" s="134"/>
      <c r="F22" s="9">
        <f>+Harvest!F22/Effort!F22</f>
        <v>4.2222222222222223</v>
      </c>
      <c r="G22" s="156"/>
      <c r="H22" s="9">
        <f>+Harvest!H22/Effort!H22</f>
        <v>5.2499999999999991</v>
      </c>
      <c r="I22" s="160"/>
      <c r="J22" s="8" t="s">
        <v>58</v>
      </c>
      <c r="K22" s="156"/>
      <c r="L22" s="9">
        <f>+Harvest!L22/Effort!L22</f>
        <v>2.78125</v>
      </c>
      <c r="M22" s="156"/>
      <c r="N22" s="8" t="s">
        <v>58</v>
      </c>
      <c r="O22" s="204">
        <f>+Harvest!O22/Effort!O22</f>
        <v>4.0393732391650605</v>
      </c>
    </row>
    <row r="23" spans="1:15" x14ac:dyDescent="0.25">
      <c r="A23" s="4">
        <v>43133</v>
      </c>
      <c r="B23" s="5">
        <f t="shared" si="0"/>
        <v>43133</v>
      </c>
      <c r="C23" s="113">
        <v>-1</v>
      </c>
      <c r="D23" s="114">
        <v>0.83333333333333337</v>
      </c>
      <c r="E23" s="134"/>
      <c r="F23" s="9">
        <f>+Harvest!F23/Effort!F23</f>
        <v>7.3921568627450993</v>
      </c>
      <c r="G23" s="156"/>
      <c r="H23" s="9">
        <f>+Harvest!H23/Effort!H23</f>
        <v>9.8928571428571423</v>
      </c>
      <c r="I23" s="160"/>
      <c r="J23" s="9">
        <f>+Harvest!J23/Effort!J23</f>
        <v>14.840909090909092</v>
      </c>
      <c r="K23" s="156"/>
      <c r="L23" s="8" t="s">
        <v>58</v>
      </c>
      <c r="M23" s="156"/>
      <c r="N23" s="8" t="s">
        <v>58</v>
      </c>
      <c r="O23" s="204">
        <f>+Harvest!O23/Effort!O23</f>
        <v>10.258359540341624</v>
      </c>
    </row>
    <row r="24" spans="1:15" x14ac:dyDescent="0.25">
      <c r="A24" s="4">
        <v>43134</v>
      </c>
      <c r="B24" s="5">
        <f t="shared" si="0"/>
        <v>43134</v>
      </c>
      <c r="C24" s="113">
        <v>-0.4</v>
      </c>
      <c r="D24" s="114">
        <v>0.86249999999999993</v>
      </c>
      <c r="E24" s="134"/>
      <c r="F24" s="9">
        <f>+Harvest!F24/Effort!F24</f>
        <v>7.185185185185186</v>
      </c>
      <c r="G24" s="156"/>
      <c r="H24" s="9">
        <f>+Harvest!H24/Effort!H24</f>
        <v>10.538461538461537</v>
      </c>
      <c r="I24" s="160"/>
      <c r="J24" s="8" t="s">
        <v>58</v>
      </c>
      <c r="K24" s="156"/>
      <c r="L24" s="9">
        <f>+Harvest!L24/Effort!L24</f>
        <v>4.0898876404494384</v>
      </c>
      <c r="M24" s="156"/>
      <c r="N24" s="8" t="s">
        <v>58</v>
      </c>
      <c r="O24" s="204">
        <f>+Harvest!O24/Effort!O24</f>
        <v>6.7116602788924045</v>
      </c>
    </row>
    <row r="25" spans="1:15" x14ac:dyDescent="0.25">
      <c r="A25" s="124"/>
      <c r="B25" s="91"/>
      <c r="C25" s="161"/>
      <c r="D25" s="162"/>
      <c r="E25" s="134"/>
      <c r="F25" s="8"/>
      <c r="G25" s="156"/>
      <c r="H25" s="8"/>
      <c r="I25" s="160"/>
      <c r="J25" s="8"/>
      <c r="K25" s="156"/>
      <c r="L25" s="8"/>
      <c r="M25" s="156"/>
      <c r="N25" s="8"/>
    </row>
    <row r="26" spans="1:15" x14ac:dyDescent="0.25">
      <c r="A26" s="4">
        <v>43161</v>
      </c>
      <c r="B26" s="5">
        <f t="shared" ref="B26:B35" si="1">+A26</f>
        <v>43161</v>
      </c>
      <c r="C26" s="78">
        <v>-0.8</v>
      </c>
      <c r="D26" s="159">
        <v>0.78749999999999998</v>
      </c>
      <c r="E26" s="134"/>
      <c r="F26" s="8" t="s">
        <v>58</v>
      </c>
      <c r="G26" s="156"/>
      <c r="H26" s="8" t="s">
        <v>58</v>
      </c>
      <c r="I26" s="160"/>
      <c r="J26" s="8" t="s">
        <v>58</v>
      </c>
      <c r="K26" s="160"/>
      <c r="L26" s="9">
        <f>+Harvest!L26/Effort!L26</f>
        <v>10.384615384615387</v>
      </c>
      <c r="M26" s="160"/>
      <c r="N26" s="8" t="s">
        <v>58</v>
      </c>
      <c r="O26" s="204">
        <f>+Harvest!O26/Effort!O26</f>
        <v>10.384615384615387</v>
      </c>
    </row>
    <row r="27" spans="1:15" x14ac:dyDescent="0.25">
      <c r="A27" s="4">
        <v>43162</v>
      </c>
      <c r="B27" s="5">
        <f t="shared" si="1"/>
        <v>43162</v>
      </c>
      <c r="C27" s="78">
        <v>-0.3</v>
      </c>
      <c r="D27" s="159">
        <v>0.81527777777777777</v>
      </c>
      <c r="E27" s="134"/>
      <c r="F27" s="8" t="s">
        <v>58</v>
      </c>
      <c r="G27" s="156"/>
      <c r="H27" s="8" t="s">
        <v>58</v>
      </c>
      <c r="I27" s="160"/>
      <c r="J27" s="8" t="s">
        <v>58</v>
      </c>
      <c r="K27" s="160"/>
      <c r="L27" s="9">
        <f>+Harvest!L27/Effort!L27</f>
        <v>7.4893617021276588</v>
      </c>
      <c r="M27" s="160"/>
      <c r="N27" s="8" t="s">
        <v>58</v>
      </c>
      <c r="O27" s="204">
        <f>+Harvest!O27/Effort!O27</f>
        <v>7.4893617021276588</v>
      </c>
    </row>
    <row r="28" spans="1:15" x14ac:dyDescent="0.25">
      <c r="A28" s="4"/>
      <c r="B28" s="91"/>
      <c r="C28" s="78"/>
      <c r="D28" s="159"/>
      <c r="E28" s="163"/>
      <c r="F28" s="8"/>
      <c r="G28" s="156"/>
      <c r="H28" s="8"/>
      <c r="I28" s="160"/>
      <c r="J28" s="8"/>
      <c r="K28" s="160"/>
      <c r="L28" s="8"/>
      <c r="M28" s="160"/>
      <c r="N28" s="8"/>
      <c r="O28" s="155"/>
    </row>
    <row r="29" spans="1:15" x14ac:dyDescent="0.25">
      <c r="A29" s="124">
        <v>43175</v>
      </c>
      <c r="B29" s="5">
        <f t="shared" si="1"/>
        <v>43175</v>
      </c>
      <c r="C29" s="161">
        <v>0.2</v>
      </c>
      <c r="D29" s="162">
        <v>0.79375000000000007</v>
      </c>
      <c r="E29" s="163"/>
      <c r="F29" s="8" t="s">
        <v>58</v>
      </c>
      <c r="G29" s="156"/>
      <c r="H29" s="8" t="s">
        <v>58</v>
      </c>
      <c r="I29" s="160"/>
      <c r="J29" s="9">
        <f>+Harvest!J29/Effort!J29</f>
        <v>13.985507246376811</v>
      </c>
      <c r="K29" s="160"/>
      <c r="L29" s="9">
        <f>+Harvest!L29/Effort!L29</f>
        <v>13.608108108108111</v>
      </c>
      <c r="M29" s="160"/>
      <c r="N29" s="8" t="s">
        <v>58</v>
      </c>
      <c r="O29" s="204">
        <f>+Harvest!O29/Effort!O29</f>
        <v>13.841595681905618</v>
      </c>
    </row>
    <row r="30" spans="1:15" x14ac:dyDescent="0.25">
      <c r="A30" s="4">
        <v>43176</v>
      </c>
      <c r="B30" s="5">
        <f t="shared" si="1"/>
        <v>43176</v>
      </c>
      <c r="C30" s="161">
        <v>0.2</v>
      </c>
      <c r="D30" s="162">
        <v>0.81666666666666676</v>
      </c>
      <c r="E30" s="163"/>
      <c r="F30" s="9">
        <f>+Harvest!F30/Effort!F30</f>
        <v>13.599999999999998</v>
      </c>
      <c r="G30" s="156"/>
      <c r="H30" s="9">
        <f>+Harvest!H30/Effort!H30</f>
        <v>12.8</v>
      </c>
      <c r="I30" s="156"/>
      <c r="J30" s="9">
        <f>+Harvest!J30/Effort!J30</f>
        <v>14.5</v>
      </c>
      <c r="K30" s="134"/>
      <c r="L30" s="9">
        <f>+Harvest!L30/Effort!L30</f>
        <v>14.615384615384617</v>
      </c>
      <c r="M30" s="156"/>
      <c r="N30" s="8" t="s">
        <v>58</v>
      </c>
      <c r="O30" s="204">
        <f>+Harvest!O30/Effort!O30</f>
        <v>13.810195883545843</v>
      </c>
    </row>
    <row r="31" spans="1:15" x14ac:dyDescent="0.25">
      <c r="A31" s="244" t="s">
        <v>95</v>
      </c>
      <c r="B31" s="244"/>
      <c r="C31" s="244"/>
      <c r="D31" s="244"/>
      <c r="E31" s="244"/>
      <c r="F31" s="244"/>
      <c r="G31" s="244"/>
      <c r="H31" s="244"/>
      <c r="I31" s="244"/>
      <c r="J31" s="244"/>
      <c r="K31" s="244"/>
      <c r="L31" s="244"/>
      <c r="M31" s="244"/>
      <c r="N31" s="244"/>
      <c r="O31" s="244"/>
    </row>
    <row r="32" spans="1:15" x14ac:dyDescent="0.25">
      <c r="A32" s="4">
        <v>43209</v>
      </c>
      <c r="B32" s="5">
        <f t="shared" si="1"/>
        <v>43209</v>
      </c>
      <c r="C32" s="161">
        <v>-0.9</v>
      </c>
      <c r="D32" s="162">
        <v>0.4069444444444445</v>
      </c>
      <c r="E32" s="163"/>
      <c r="F32" s="8" t="s">
        <v>58</v>
      </c>
      <c r="G32" s="156"/>
      <c r="H32" s="8" t="s">
        <v>58</v>
      </c>
      <c r="I32" s="156"/>
      <c r="J32" s="8" t="s">
        <v>58</v>
      </c>
      <c r="K32" s="156"/>
      <c r="L32" s="9">
        <f>+Harvest!L32/Effort!L32</f>
        <v>14.104166666666666</v>
      </c>
      <c r="M32" s="156"/>
      <c r="N32" s="8" t="s">
        <v>58</v>
      </c>
      <c r="O32" s="204">
        <f>+Harvest!O32/Effort!O32</f>
        <v>14.104166666666666</v>
      </c>
    </row>
    <row r="33" spans="1:15" x14ac:dyDescent="0.25">
      <c r="A33" s="4">
        <v>43210</v>
      </c>
      <c r="B33" s="5">
        <f t="shared" si="1"/>
        <v>43210</v>
      </c>
      <c r="C33" s="13">
        <v>-0.7</v>
      </c>
      <c r="D33" s="86">
        <v>0.44236111111111115</v>
      </c>
      <c r="E33" s="127"/>
      <c r="F33" s="8" t="s">
        <v>58</v>
      </c>
      <c r="G33" s="156"/>
      <c r="H33" s="8" t="s">
        <v>58</v>
      </c>
      <c r="J33" s="8" t="s">
        <v>58</v>
      </c>
      <c r="L33" s="9">
        <f>+Harvest!L33/Effort!L33</f>
        <v>14.330708661417324</v>
      </c>
      <c r="N33" s="8" t="s">
        <v>58</v>
      </c>
      <c r="O33" s="204">
        <f>+Harvest!O33/Effort!O33</f>
        <v>14.330708661417324</v>
      </c>
    </row>
    <row r="34" spans="1:15" x14ac:dyDescent="0.25">
      <c r="A34" s="4">
        <v>43211</v>
      </c>
      <c r="B34" s="5">
        <f t="shared" si="1"/>
        <v>43211</v>
      </c>
      <c r="C34" s="13">
        <v>-0.4</v>
      </c>
      <c r="D34" s="86">
        <v>0.48194444444444445</v>
      </c>
      <c r="E34" s="127"/>
      <c r="F34" s="9">
        <f>+Harvest!F34/Effort!F34</f>
        <v>5.2173913043478262</v>
      </c>
      <c r="G34" s="156"/>
      <c r="H34" s="9">
        <f>+Harvest!H34/Effort!H34</f>
        <v>8.6785714285714288</v>
      </c>
      <c r="J34" s="9">
        <f>+Harvest!J34/Effort!J34</f>
        <v>10.083333333333336</v>
      </c>
      <c r="L34" s="9">
        <v>10.083333333333334</v>
      </c>
      <c r="N34" s="8" t="s">
        <v>58</v>
      </c>
      <c r="O34" s="204">
        <f>+Harvest!O34/Effort!O34</f>
        <v>7.9747676282115902</v>
      </c>
    </row>
    <row r="35" spans="1:15" x14ac:dyDescent="0.25">
      <c r="A35" s="4">
        <v>43212</v>
      </c>
      <c r="B35" s="5">
        <f t="shared" si="1"/>
        <v>43212</v>
      </c>
      <c r="C35" s="13">
        <v>-0.1</v>
      </c>
      <c r="D35" s="86">
        <v>2.6388888888888889E-2</v>
      </c>
      <c r="F35" s="9">
        <f>+Harvest!F35/Effort!F35</f>
        <v>5.21875</v>
      </c>
      <c r="G35" s="2"/>
      <c r="H35" s="9">
        <f>+Harvest!H35/Effort!H35</f>
        <v>10.526315789473685</v>
      </c>
      <c r="J35" s="8" t="s">
        <v>58</v>
      </c>
      <c r="L35" s="9">
        <f>+Harvest!L35/Effort!L35</f>
        <v>12.303030303030305</v>
      </c>
      <c r="N35" s="8" t="s">
        <v>58</v>
      </c>
      <c r="O35" s="204">
        <f>+Harvest!O35/Effort!O35</f>
        <v>8.1276527156394227</v>
      </c>
    </row>
    <row r="36" spans="1:15" x14ac:dyDescent="0.25">
      <c r="A36" s="4"/>
      <c r="B36" s="91"/>
      <c r="C36" s="13"/>
      <c r="D36" s="86"/>
      <c r="F36" s="8"/>
      <c r="G36" s="2"/>
      <c r="H36" s="9"/>
      <c r="I36" s="9"/>
      <c r="J36" s="9"/>
      <c r="L36" s="9"/>
      <c r="N36" s="8"/>
    </row>
    <row r="37" spans="1:15" x14ac:dyDescent="0.25">
      <c r="A37" s="4"/>
      <c r="B37" s="91"/>
      <c r="C37" s="13"/>
      <c r="D37" s="86"/>
      <c r="E37" s="127"/>
      <c r="F37" s="9"/>
      <c r="G37" s="128"/>
      <c r="H37" s="9"/>
      <c r="I37" s="128"/>
      <c r="J37" s="8"/>
      <c r="K37" s="128"/>
      <c r="L37" s="9"/>
      <c r="M37" s="128"/>
      <c r="N37" s="8"/>
    </row>
    <row r="38" spans="1:15" x14ac:dyDescent="0.25">
      <c r="A38" s="4"/>
      <c r="B38" s="91"/>
      <c r="C38" s="13"/>
      <c r="D38" s="86"/>
      <c r="E38" s="127"/>
      <c r="F38" s="9"/>
      <c r="G38" s="127"/>
      <c r="H38" s="9"/>
      <c r="I38" s="128"/>
      <c r="J38" s="8"/>
      <c r="K38" s="128"/>
      <c r="L38" s="9"/>
      <c r="M38" s="128"/>
      <c r="N38" s="8"/>
    </row>
    <row r="39" spans="1:15" x14ac:dyDescent="0.25">
      <c r="A39" s="4"/>
      <c r="B39" s="91"/>
      <c r="C39" s="13"/>
      <c r="D39" s="86"/>
      <c r="E39" s="127"/>
      <c r="F39" s="9"/>
      <c r="G39" s="128"/>
      <c r="H39" s="8"/>
      <c r="I39" s="128"/>
      <c r="J39" s="8"/>
      <c r="K39" s="128"/>
      <c r="L39" s="8"/>
      <c r="M39" s="128"/>
      <c r="N39" s="8"/>
    </row>
    <row r="40" spans="1:15" x14ac:dyDescent="0.25">
      <c r="A40" s="4"/>
      <c r="B40" s="91"/>
      <c r="C40" s="13"/>
      <c r="D40" s="86"/>
      <c r="E40" s="127"/>
      <c r="F40" s="9"/>
      <c r="G40" s="128"/>
      <c r="H40" s="8"/>
      <c r="I40" s="128"/>
      <c r="J40" s="8"/>
      <c r="K40" s="128"/>
      <c r="L40" s="8"/>
      <c r="M40" s="128"/>
      <c r="N40" s="8"/>
    </row>
    <row r="41" spans="1:15" x14ac:dyDescent="0.25">
      <c r="A41" s="52"/>
      <c r="B41" s="5"/>
      <c r="C41" s="56"/>
      <c r="D41" s="57"/>
      <c r="F41" s="8"/>
      <c r="G41" s="58"/>
      <c r="H41" s="9"/>
      <c r="I41" s="58"/>
      <c r="J41" s="8"/>
      <c r="K41" s="58"/>
      <c r="L41" s="8"/>
      <c r="M41" s="58"/>
      <c r="N41" s="8"/>
    </row>
    <row r="42" spans="1:15" x14ac:dyDescent="0.25">
      <c r="A42" s="52"/>
      <c r="B42" s="5"/>
      <c r="C42" s="56"/>
      <c r="D42" s="57"/>
      <c r="F42" s="8"/>
      <c r="G42" s="58"/>
      <c r="H42" s="9"/>
      <c r="I42" s="58"/>
      <c r="J42" s="8"/>
      <c r="K42" s="58"/>
      <c r="L42" s="8"/>
      <c r="M42" s="58"/>
      <c r="N42" s="8"/>
    </row>
    <row r="43" spans="1:15" x14ac:dyDescent="0.25">
      <c r="A43" s="17" t="s">
        <v>18</v>
      </c>
      <c r="F43" s="43">
        <f>Harvest!F43/Effort!F43</f>
        <v>8.7384793270035725</v>
      </c>
      <c r="H43" s="43">
        <f>Harvest!H43/Effort!H43</f>
        <v>11.151620285352989</v>
      </c>
      <c r="J43" s="43">
        <f>Harvest!J43/Effort!J43</f>
        <v>12.284675957096304</v>
      </c>
      <c r="L43" s="43">
        <f>Harvest!L43/Effort!L43</f>
        <v>11.785836617078466</v>
      </c>
      <c r="N43" s="43"/>
    </row>
    <row r="44" spans="1:15" x14ac:dyDescent="0.25">
      <c r="A44" s="16" t="s">
        <v>17</v>
      </c>
    </row>
    <row r="45" spans="1:15" x14ac:dyDescent="0.25">
      <c r="A45" s="93" t="s">
        <v>52</v>
      </c>
    </row>
  </sheetData>
  <mergeCells count="6">
    <mergeCell ref="A31:O31"/>
    <mergeCell ref="E1:F1"/>
    <mergeCell ref="G1:H1"/>
    <mergeCell ref="I1:J1"/>
    <mergeCell ref="K1:L1"/>
    <mergeCell ref="M1:N1"/>
  </mergeCells>
  <pageMargins left="0.2" right="0.37" top="0.75" bottom="0.5" header="0.2" footer="0.25"/>
  <pageSetup scale="28" orientation="landscape" r:id="rId1"/>
  <headerFooter>
    <oddHeader>&amp;L&amp;12 2010 Fall / 2011 Spring Razor Clam Harvest Totals
&amp;"-,Italic"(Clams per Digger Trip)&amp;C&amp;12Non-Indian fishery&amp;R&amp;12&amp;KFF0000PRELIMINARY ESTIMATE</oddHeader>
    <oddFooter>&amp;LPage 2 of 3</oddFooter>
  </headerFooter>
  <ignoredErrors>
    <ignoredError sqref="O15:O16" evalErro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pageSetUpPr fitToPage="1"/>
  </sheetPr>
  <dimension ref="A1:TJ42"/>
  <sheetViews>
    <sheetView tabSelected="1" showRuler="0" topLeftCell="A10" zoomScaleNormal="100" workbookViewId="0">
      <selection activeCell="N41" sqref="N41"/>
    </sheetView>
  </sheetViews>
  <sheetFormatPr defaultRowHeight="15" x14ac:dyDescent="0.25"/>
  <cols>
    <col min="1" max="1" width="8" customWidth="1"/>
    <col min="2" max="2" width="6.85546875" bestFit="1" customWidth="1"/>
    <col min="3" max="3" width="4.5703125" customWidth="1"/>
    <col min="4" max="4" width="8.42578125" bestFit="1" customWidth="1"/>
    <col min="5" max="5" width="7.5703125" bestFit="1" customWidth="1"/>
    <col min="6" max="6" width="8.85546875" bestFit="1" customWidth="1"/>
    <col min="7" max="7" width="9.5703125" customWidth="1"/>
    <col min="8" max="8" width="7.42578125" bestFit="1" customWidth="1"/>
    <col min="9" max="9" width="8.85546875" bestFit="1" customWidth="1"/>
    <col min="10" max="10" width="7" customWidth="1"/>
    <col min="11" max="11" width="7.5703125" bestFit="1" customWidth="1"/>
    <col min="12" max="12" width="8.85546875" bestFit="1" customWidth="1"/>
    <col min="13" max="14" width="7.5703125" bestFit="1" customWidth="1"/>
    <col min="15" max="15" width="8.85546875" bestFit="1" customWidth="1"/>
    <col min="16" max="19" width="7.5703125" bestFit="1" customWidth="1"/>
    <col min="22" max="22" width="21.140625" bestFit="1" customWidth="1"/>
  </cols>
  <sheetData>
    <row r="1" spans="1:21" ht="15.75" thickBot="1" x14ac:dyDescent="0.3">
      <c r="A1" s="112" t="s">
        <v>63</v>
      </c>
      <c r="B1" s="112"/>
      <c r="C1" s="112"/>
      <c r="D1" s="112"/>
      <c r="E1" s="112"/>
      <c r="F1" s="112"/>
      <c r="G1" s="112"/>
      <c r="H1" s="112"/>
      <c r="I1" s="112"/>
      <c r="J1" s="112"/>
      <c r="K1" s="112"/>
      <c r="L1" s="112"/>
      <c r="M1" s="112"/>
      <c r="N1" s="112"/>
      <c r="O1" s="112"/>
      <c r="P1" s="112"/>
      <c r="Q1" s="112"/>
      <c r="R1" s="112"/>
      <c r="S1" s="112"/>
      <c r="T1" s="112"/>
      <c r="U1" s="112"/>
    </row>
    <row r="2" spans="1:21" ht="15.75" thickTop="1" x14ac:dyDescent="0.25">
      <c r="A2" s="23"/>
      <c r="B2" s="23"/>
      <c r="C2" s="23"/>
      <c r="D2" s="23"/>
      <c r="E2" s="251" t="s">
        <v>19</v>
      </c>
      <c r="F2" s="252"/>
      <c r="G2" s="253"/>
      <c r="H2" s="251" t="s">
        <v>20</v>
      </c>
      <c r="I2" s="252"/>
      <c r="J2" s="253"/>
      <c r="K2" s="251" t="s">
        <v>21</v>
      </c>
      <c r="L2" s="252"/>
      <c r="M2" s="253"/>
      <c r="N2" s="251" t="s">
        <v>22</v>
      </c>
      <c r="O2" s="252"/>
      <c r="P2" s="253"/>
      <c r="Q2" s="254" t="s">
        <v>23</v>
      </c>
      <c r="R2" s="255"/>
      <c r="S2" s="256"/>
      <c r="T2" s="249" t="s">
        <v>24</v>
      </c>
      <c r="U2" s="250"/>
    </row>
    <row r="3" spans="1:21" ht="15.75" thickBot="1" x14ac:dyDescent="0.3">
      <c r="A3" s="24" t="s">
        <v>25</v>
      </c>
      <c r="B3" s="24" t="s">
        <v>26</v>
      </c>
      <c r="C3" s="24" t="s">
        <v>27</v>
      </c>
      <c r="D3" s="24" t="s">
        <v>28</v>
      </c>
      <c r="E3" s="25" t="s">
        <v>29</v>
      </c>
      <c r="F3" s="24" t="s">
        <v>30</v>
      </c>
      <c r="G3" s="24" t="s">
        <v>10</v>
      </c>
      <c r="H3" s="25" t="s">
        <v>29</v>
      </c>
      <c r="I3" s="24" t="s">
        <v>30</v>
      </c>
      <c r="J3" s="24" t="s">
        <v>10</v>
      </c>
      <c r="K3" s="25" t="s">
        <v>29</v>
      </c>
      <c r="L3" s="24" t="s">
        <v>30</v>
      </c>
      <c r="M3" s="24" t="s">
        <v>10</v>
      </c>
      <c r="N3" s="25" t="s">
        <v>29</v>
      </c>
      <c r="O3" s="24" t="s">
        <v>30</v>
      </c>
      <c r="P3" s="24" t="s">
        <v>10</v>
      </c>
      <c r="Q3" s="25" t="s">
        <v>29</v>
      </c>
      <c r="R3" s="24" t="s">
        <v>30</v>
      </c>
      <c r="S3" s="24" t="s">
        <v>10</v>
      </c>
      <c r="T3" s="25" t="s">
        <v>29</v>
      </c>
      <c r="U3" s="26" t="s">
        <v>30</v>
      </c>
    </row>
    <row r="4" spans="1:21" ht="15.75" thickTop="1" x14ac:dyDescent="0.25">
      <c r="A4" s="27">
        <v>43014</v>
      </c>
      <c r="B4" s="18">
        <v>42657</v>
      </c>
      <c r="C4" s="19">
        <v>-0.4</v>
      </c>
      <c r="D4" s="20">
        <v>0.8256944444444444</v>
      </c>
      <c r="E4" s="30">
        <f>Effort!F2</f>
        <v>4660.8313347735839</v>
      </c>
      <c r="F4" s="31">
        <f>Harvest!F2</f>
        <v>59331.123207523182</v>
      </c>
      <c r="G4" s="28">
        <f>CPUE!F2</f>
        <v>12.729729729729728</v>
      </c>
      <c r="H4" s="30">
        <f>Effort!H2</f>
        <v>2649.7090568226663</v>
      </c>
      <c r="I4" s="31">
        <f>Harvest!H2</f>
        <v>31868.122440164498</v>
      </c>
      <c r="J4" s="28">
        <f>CPUE!H2</f>
        <v>12.027027027027026</v>
      </c>
      <c r="K4" s="30">
        <f>Effort!J2</f>
        <v>3426.1363822012399</v>
      </c>
      <c r="L4" s="31">
        <f>Harvest!J2</f>
        <v>44866.071671682905</v>
      </c>
      <c r="M4" s="28">
        <f>CPUE!J2</f>
        <v>13.095238095238095</v>
      </c>
      <c r="N4" s="30">
        <f>Effort!L2</f>
        <v>1822.6058614097517</v>
      </c>
      <c r="O4" s="31">
        <f>Harvest!L2</f>
        <v>22068.308808420777</v>
      </c>
      <c r="P4" s="28">
        <f>CPUE!L2</f>
        <v>12.108108108108109</v>
      </c>
      <c r="Q4" s="30" t="str">
        <f>Effort!N2</f>
        <v>Closed</v>
      </c>
      <c r="R4" s="31" t="str">
        <f>Harvest!N2</f>
        <v>Closed</v>
      </c>
      <c r="S4" s="32" t="str">
        <f>CPUE!N2</f>
        <v>Closed</v>
      </c>
      <c r="T4" s="30">
        <f>+E4+H4+K4+N4</f>
        <v>12559.282635207242</v>
      </c>
      <c r="U4" s="31">
        <f>+F4+I4+L4+O4</f>
        <v>158133.62612779136</v>
      </c>
    </row>
    <row r="5" spans="1:21" x14ac:dyDescent="0.25">
      <c r="A5" s="27">
        <v>43015</v>
      </c>
      <c r="B5" s="18">
        <v>42658</v>
      </c>
      <c r="C5" s="19">
        <v>-0.7</v>
      </c>
      <c r="D5" s="20">
        <v>0.85625000000000007</v>
      </c>
      <c r="E5" s="30">
        <f>Effort!F3</f>
        <v>5756.8394525957247</v>
      </c>
      <c r="F5" s="31">
        <f>Harvest!F3</f>
        <v>64854.394458148701</v>
      </c>
      <c r="G5" s="28">
        <f>CPUE!F3</f>
        <v>11.265624999999998</v>
      </c>
      <c r="H5" s="30">
        <f>Effort!H3</f>
        <v>2716.9167560704705</v>
      </c>
      <c r="I5" s="31">
        <f>Harvest!H3</f>
        <v>34583.126844219041</v>
      </c>
      <c r="J5" s="28">
        <f>CPUE!H3</f>
        <v>12.728813559322035</v>
      </c>
      <c r="K5" s="30">
        <f>Effort!J3</f>
        <v>4238.6363866038555</v>
      </c>
      <c r="L5" s="31">
        <f>Harvest!J3</f>
        <v>56732.517789928534</v>
      </c>
      <c r="M5" s="28">
        <f>CPUE!J3</f>
        <v>13.384615384615387</v>
      </c>
      <c r="N5" s="30">
        <f>Effort!L3</f>
        <v>3043.5071584190155</v>
      </c>
      <c r="O5" s="31">
        <f>Harvest!L3</f>
        <v>39185.154664644819</v>
      </c>
      <c r="P5" s="28">
        <f>CPUE!L3</f>
        <v>12.874999999999998</v>
      </c>
      <c r="Q5" s="30" t="str">
        <f>Effort!N3</f>
        <v>Closed</v>
      </c>
      <c r="R5" s="31" t="str">
        <f>Harvest!N3</f>
        <v>Closed</v>
      </c>
      <c r="S5" s="32" t="str">
        <f>CPUE!N3</f>
        <v>Closed</v>
      </c>
      <c r="T5" s="30">
        <f>+E5+H5+K5+N5</f>
        <v>15755.899753689066</v>
      </c>
      <c r="U5" s="31">
        <f>+F5+I5+L5+O5</f>
        <v>195355.19375694109</v>
      </c>
    </row>
    <row r="6" spans="1:21" x14ac:dyDescent="0.25">
      <c r="A6" s="247" t="s">
        <v>31</v>
      </c>
      <c r="B6" s="247"/>
      <c r="C6" s="247"/>
      <c r="D6" s="248"/>
      <c r="E6" s="34">
        <f>SUM(E4:E5)</f>
        <v>10417.670787369309</v>
      </c>
      <c r="F6" s="35">
        <f>SUM(F4:F5)</f>
        <v>124185.51766567188</v>
      </c>
      <c r="G6" s="33">
        <f>+F6/E6</f>
        <v>11.920660596823435</v>
      </c>
      <c r="H6" s="34">
        <f>SUM(H4:H5)</f>
        <v>5366.6258128931368</v>
      </c>
      <c r="I6" s="35">
        <f>SUM(I4:I5)</f>
        <v>66451.249284383535</v>
      </c>
      <c r="J6" s="33">
        <f>+I6/H6</f>
        <v>12.382314623974091</v>
      </c>
      <c r="K6" s="34">
        <f>SUM(K4:K5)</f>
        <v>7664.7727688050954</v>
      </c>
      <c r="L6" s="35">
        <f>SUM(L4:L5)</f>
        <v>101598.58946161144</v>
      </c>
      <c r="M6" s="33">
        <f>+L6/K6</f>
        <v>13.255264379801075</v>
      </c>
      <c r="N6" s="34">
        <f>SUM(N4:N5)</f>
        <v>4866.1130198287674</v>
      </c>
      <c r="O6" s="35">
        <f>SUM(O4:O5)</f>
        <v>61253.463473065596</v>
      </c>
      <c r="P6" s="33">
        <f>+O6/N6</f>
        <v>12.587760132875218</v>
      </c>
      <c r="Q6" s="34"/>
      <c r="R6" s="35"/>
      <c r="S6" s="33"/>
      <c r="T6" s="34">
        <f>SUM(T4:T5)</f>
        <v>28315.182388896308</v>
      </c>
      <c r="U6" s="35">
        <f>SUM(U4:U5)</f>
        <v>353488.81988473248</v>
      </c>
    </row>
    <row r="7" spans="1:21" x14ac:dyDescent="0.25">
      <c r="A7" s="27">
        <v>43041</v>
      </c>
      <c r="B7" s="18">
        <v>43041</v>
      </c>
      <c r="C7" s="19">
        <v>0.1</v>
      </c>
      <c r="D7" s="20">
        <v>0.75208333333333333</v>
      </c>
      <c r="E7" s="30" t="str">
        <f>Effort!F5</f>
        <v>Closed</v>
      </c>
      <c r="F7" s="38" t="str">
        <f>Harvest!F5</f>
        <v>Closed</v>
      </c>
      <c r="G7" s="36" t="str">
        <f>CPUE!F5</f>
        <v>Closed</v>
      </c>
      <c r="H7" s="30" t="str">
        <f>Effort!H5</f>
        <v>Closed</v>
      </c>
      <c r="I7" s="38" t="str">
        <f>Harvest!H5</f>
        <v>Closed</v>
      </c>
      <c r="J7" s="36" t="str">
        <f>CPUE!H5</f>
        <v>Closed</v>
      </c>
      <c r="K7" s="30">
        <f>Effort!J5</f>
        <v>1614.9208962737284</v>
      </c>
      <c r="L7" s="38">
        <f>Harvest!J5</f>
        <v>18054.815620340283</v>
      </c>
      <c r="M7" s="36">
        <f>CPUE!J5</f>
        <v>11.18</v>
      </c>
      <c r="N7" s="30" t="str">
        <f>Effort!L5</f>
        <v>Closed</v>
      </c>
      <c r="O7" s="38" t="str">
        <f>Harvest!L5</f>
        <v>Closed</v>
      </c>
      <c r="P7" s="36" t="str">
        <f>CPUE!L5</f>
        <v>Closed</v>
      </c>
      <c r="Q7" s="30" t="str">
        <f>Effort!N5</f>
        <v>Closed</v>
      </c>
      <c r="R7" s="38" t="str">
        <f>Harvest!N5</f>
        <v>Closed</v>
      </c>
      <c r="S7" s="36" t="str">
        <f>CPUE!N5</f>
        <v>Closed</v>
      </c>
      <c r="T7" s="30">
        <f>+K7</f>
        <v>1614.9208962737284</v>
      </c>
      <c r="U7" s="31">
        <f>+L7</f>
        <v>18054.815620340283</v>
      </c>
    </row>
    <row r="8" spans="1:21" x14ac:dyDescent="0.25">
      <c r="A8" s="27">
        <v>43042</v>
      </c>
      <c r="B8" s="18">
        <v>43042</v>
      </c>
      <c r="C8" s="19">
        <v>-0.7</v>
      </c>
      <c r="D8" s="20">
        <v>0.78263888888888899</v>
      </c>
      <c r="E8" s="30">
        <f>Effort!F6</f>
        <v>4680.4718978078581</v>
      </c>
      <c r="F8" s="38">
        <f>Harvest!F6</f>
        <v>69789.179190527895</v>
      </c>
      <c r="G8" s="36">
        <f>CPUE!F6</f>
        <v>14.910714285714288</v>
      </c>
      <c r="H8" s="30">
        <f>Effort!H6</f>
        <v>1819.852652705895</v>
      </c>
      <c r="I8" s="38">
        <f>Harvest!H6</f>
        <v>27297.789790588424</v>
      </c>
      <c r="J8" s="36">
        <f>CPUE!H6</f>
        <v>15</v>
      </c>
      <c r="K8" s="30" t="str">
        <f>Effort!J6</f>
        <v>Closed</v>
      </c>
      <c r="L8" s="38" t="str">
        <f>Harvest!J6</f>
        <v>Closed</v>
      </c>
      <c r="M8" s="36" t="str">
        <f>CPUE!J6</f>
        <v>Closed</v>
      </c>
      <c r="N8" s="30">
        <f>Effort!L6</f>
        <v>2325.3313695325974</v>
      </c>
      <c r="O8" s="38">
        <f>Harvest!L6</f>
        <v>34879.970542988958</v>
      </c>
      <c r="P8" s="36">
        <f>CPUE!L6</f>
        <v>14.999999999999998</v>
      </c>
      <c r="Q8" s="30" t="str">
        <f>Effort!N6</f>
        <v>Closed</v>
      </c>
      <c r="R8" s="38" t="str">
        <f>Harvest!N6</f>
        <v>Closed</v>
      </c>
      <c r="S8" s="36" t="str">
        <f>CPUE!N6</f>
        <v>Closed</v>
      </c>
      <c r="T8" s="30">
        <f>+E8+H8+N8</f>
        <v>8825.6559200463507</v>
      </c>
      <c r="U8" s="31">
        <f>+F8+I8+O8</f>
        <v>131966.93952410528</v>
      </c>
    </row>
    <row r="9" spans="1:21" x14ac:dyDescent="0.25">
      <c r="A9" s="27">
        <v>43043</v>
      </c>
      <c r="B9" s="18">
        <v>43043</v>
      </c>
      <c r="C9" s="21">
        <v>-1.2</v>
      </c>
      <c r="D9" s="22">
        <v>0.81319444444444444</v>
      </c>
      <c r="E9" s="30">
        <f>Effort!F7</f>
        <v>6891.5371839500567</v>
      </c>
      <c r="F9" s="38">
        <f>Harvest!F7</f>
        <v>84636.69104038665</v>
      </c>
      <c r="G9" s="36">
        <f>CPUE!F7</f>
        <v>12.281250000000002</v>
      </c>
      <c r="H9" s="30">
        <f>Effort!H7</f>
        <v>2265.5675723624577</v>
      </c>
      <c r="I9" s="38">
        <f>Harvest!H7</f>
        <v>29150.302764396954</v>
      </c>
      <c r="J9" s="36">
        <f>CPUE!H7</f>
        <v>12.866666666666667</v>
      </c>
      <c r="K9" s="30">
        <f>Effort!J7</f>
        <v>3440.2610990175535</v>
      </c>
      <c r="L9" s="38">
        <f>Harvest!J7</f>
        <v>34486.519797468645</v>
      </c>
      <c r="M9" s="36">
        <f>CPUE!J7</f>
        <v>10.024390243902438</v>
      </c>
      <c r="N9" s="30" t="str">
        <f>Effort!L7</f>
        <v>Closed</v>
      </c>
      <c r="O9" s="38" t="str">
        <f>Harvest!L7</f>
        <v>Closed</v>
      </c>
      <c r="P9" s="36" t="str">
        <f>CPUE!L7</f>
        <v>Closed</v>
      </c>
      <c r="Q9" s="30" t="str">
        <f>Effort!N7</f>
        <v>Closed</v>
      </c>
      <c r="R9" s="38" t="str">
        <f>Harvest!N7</f>
        <v>Closed</v>
      </c>
      <c r="S9" s="36" t="str">
        <f>CPUE!N7</f>
        <v>Closed</v>
      </c>
      <c r="T9" s="30">
        <f>+E9+H9+K9</f>
        <v>12597.365855330067</v>
      </c>
      <c r="U9" s="31">
        <f>+F9+I9+L9</f>
        <v>148273.51360225223</v>
      </c>
    </row>
    <row r="10" spans="1:21" x14ac:dyDescent="0.25">
      <c r="A10" s="27">
        <v>43044</v>
      </c>
      <c r="B10" s="18">
        <v>43044</v>
      </c>
      <c r="C10" s="21">
        <v>-1.4</v>
      </c>
      <c r="D10" s="22">
        <v>0.8027777777777777</v>
      </c>
      <c r="E10" s="30">
        <f>Effort!F8</f>
        <v>3455.4281994162106</v>
      </c>
      <c r="F10" s="38">
        <f>Harvest!F8</f>
        <v>48075.522774486417</v>
      </c>
      <c r="G10" s="36">
        <f>CPUE!F8</f>
        <v>13.913043478260873</v>
      </c>
      <c r="H10" s="30">
        <f>Effort!H8</f>
        <v>1180.7914589772981</v>
      </c>
      <c r="I10" s="38">
        <f>Harvest!H8</f>
        <v>16767.238717477634</v>
      </c>
      <c r="J10" s="36">
        <f>CPUE!H8</f>
        <v>14.200000000000001</v>
      </c>
      <c r="K10" s="30" t="str">
        <f>Effort!J8</f>
        <v>Closed</v>
      </c>
      <c r="L10" s="38" t="str">
        <f>Harvest!J8</f>
        <v>Closed</v>
      </c>
      <c r="M10" s="36" t="str">
        <f>CPUE!J8</f>
        <v>Closed</v>
      </c>
      <c r="N10" s="30">
        <f>Effort!L8</f>
        <v>903.2638230655557</v>
      </c>
      <c r="O10" s="38">
        <f>Harvest!L8</f>
        <v>12473.643270905293</v>
      </c>
      <c r="P10" s="36">
        <f>CPUE!L8</f>
        <v>13.80952380952381</v>
      </c>
      <c r="Q10" s="30" t="str">
        <f>Effort!N8</f>
        <v>Closed</v>
      </c>
      <c r="R10" s="38" t="str">
        <f>Harvest!N8</f>
        <v>Closed</v>
      </c>
      <c r="S10" s="36" t="str">
        <f>CPUE!N8</f>
        <v>Closed</v>
      </c>
      <c r="T10" s="30">
        <f>+E10+H10+N10</f>
        <v>5539.4834814590649</v>
      </c>
      <c r="U10" s="31">
        <f>+F10+I10+O10</f>
        <v>77316.404762869337</v>
      </c>
    </row>
    <row r="11" spans="1:21" x14ac:dyDescent="0.25">
      <c r="A11" s="247" t="s">
        <v>31</v>
      </c>
      <c r="B11" s="247"/>
      <c r="C11" s="247"/>
      <c r="D11" s="248"/>
      <c r="E11" s="34">
        <f>SUM(E8:E10)</f>
        <v>15027.437281174125</v>
      </c>
      <c r="F11" s="35">
        <f>SUM(F8:F10)</f>
        <v>202501.39300540098</v>
      </c>
      <c r="G11" s="33">
        <f>+F11/E11</f>
        <v>13.475444230207369</v>
      </c>
      <c r="H11" s="34">
        <f>SUM(H8:H10)</f>
        <v>5266.2116840456511</v>
      </c>
      <c r="I11" s="35">
        <f>SUM(I8:I10)</f>
        <v>73215.331272463009</v>
      </c>
      <c r="J11" s="33">
        <f>+I11/H11</f>
        <v>13.902846232762323</v>
      </c>
      <c r="K11" s="34">
        <f>SUM(K7:K10)</f>
        <v>5055.181995291282</v>
      </c>
      <c r="L11" s="35">
        <f>SUM(L7:L10)</f>
        <v>52541.335417808928</v>
      </c>
      <c r="M11" s="33">
        <f>+L11/K11</f>
        <v>10.393559612047454</v>
      </c>
      <c r="N11" s="34">
        <f>SUM(N8:N10)</f>
        <v>3228.5951925981531</v>
      </c>
      <c r="O11" s="35">
        <f>SUM(O8:O10)</f>
        <v>47353.613813894248</v>
      </c>
      <c r="P11" s="33">
        <f>+O11/N11</f>
        <v>14.666940569835667</v>
      </c>
      <c r="Q11" s="34"/>
      <c r="R11" s="35"/>
      <c r="S11" s="33"/>
      <c r="T11" s="34">
        <f>SUM(T7:T10)</f>
        <v>28577.426153109212</v>
      </c>
      <c r="U11" s="35">
        <f>SUM(U7:U10)</f>
        <v>375611.67350956716</v>
      </c>
    </row>
    <row r="12" spans="1:21" x14ac:dyDescent="0.25">
      <c r="A12" s="37">
        <v>43070</v>
      </c>
      <c r="B12" s="18">
        <v>43070</v>
      </c>
      <c r="C12" s="28">
        <v>-0.3</v>
      </c>
      <c r="D12" s="29">
        <v>0.6958333333333333</v>
      </c>
      <c r="E12" s="30" t="str">
        <f>Effort!F10</f>
        <v>Closed</v>
      </c>
      <c r="F12" s="38" t="str">
        <f>Harvest!F10</f>
        <v>Closed</v>
      </c>
      <c r="G12" s="36" t="str">
        <f>CPUE!F10</f>
        <v>Closed</v>
      </c>
      <c r="H12" s="30" t="str">
        <f>Effort!H10</f>
        <v>Closed</v>
      </c>
      <c r="I12" s="38" t="str">
        <f>Harvest!H10</f>
        <v>Closed</v>
      </c>
      <c r="J12" s="36" t="str">
        <f>CPUE!H10</f>
        <v>Closed</v>
      </c>
      <c r="K12" s="30">
        <f>Effort!J10</f>
        <v>3949.461874041262</v>
      </c>
      <c r="L12" s="38">
        <f>Harvest!J10</f>
        <v>39640.895106117852</v>
      </c>
      <c r="M12" s="36">
        <f>CPUE!J10</f>
        <v>10.037037037037036</v>
      </c>
      <c r="N12" s="30" t="str">
        <f>Effort!L10</f>
        <v>Closed</v>
      </c>
      <c r="O12" s="38" t="str">
        <f>Harvest!L10</f>
        <v>Closed</v>
      </c>
      <c r="P12" s="36" t="str">
        <f>CPUE!L10</f>
        <v>Closed</v>
      </c>
      <c r="Q12" s="30" t="str">
        <f>Effort!N10</f>
        <v>Closed</v>
      </c>
      <c r="R12" s="38" t="str">
        <f>Harvest!N10</f>
        <v>Closed</v>
      </c>
      <c r="S12" s="36" t="str">
        <f>CPUE!N10</f>
        <v>Closed</v>
      </c>
      <c r="T12" s="30">
        <f>+K12</f>
        <v>3949.461874041262</v>
      </c>
      <c r="U12" s="31">
        <f>+L12</f>
        <v>39640.895106117852</v>
      </c>
    </row>
    <row r="13" spans="1:21" x14ac:dyDescent="0.25">
      <c r="A13" s="37">
        <v>43071</v>
      </c>
      <c r="B13" s="18">
        <v>43071</v>
      </c>
      <c r="C13" s="28">
        <v>-1.1000000000000001</v>
      </c>
      <c r="D13" s="29">
        <v>0.7284722222222223</v>
      </c>
      <c r="E13" s="30">
        <f>Effort!F11</f>
        <v>6124.7000519843932</v>
      </c>
      <c r="F13" s="38">
        <f>Harvest!F11</f>
        <v>16694.746915892938</v>
      </c>
      <c r="G13" s="36">
        <f>CPUE!F11</f>
        <v>2.7258064516129026</v>
      </c>
      <c r="H13" s="30">
        <f>Effort!H11</f>
        <v>4064.1207376627131</v>
      </c>
      <c r="I13" s="38">
        <f>Harvest!H11</f>
        <v>29299.475085475373</v>
      </c>
      <c r="J13" s="36">
        <f>CPUE!H11</f>
        <v>7.2093023255813957</v>
      </c>
      <c r="K13" s="30" t="str">
        <f>Effort!J11</f>
        <v>Closed</v>
      </c>
      <c r="L13" s="38" t="str">
        <f>Harvest!J11</f>
        <v>Closed</v>
      </c>
      <c r="M13" s="36" t="str">
        <f>CPUE!J11</f>
        <v>Closed</v>
      </c>
      <c r="N13" s="30">
        <f>Effort!L11</f>
        <v>4821.3345201974307</v>
      </c>
      <c r="O13" s="38">
        <f>Harvest!L11</f>
        <v>46887.478208920016</v>
      </c>
      <c r="P13" s="36">
        <f>CPUE!L11</f>
        <v>9.7249999999999996</v>
      </c>
      <c r="Q13" s="30" t="str">
        <f>Effort!N11</f>
        <v>Closed</v>
      </c>
      <c r="R13" s="38" t="str">
        <f>Harvest!N11</f>
        <v>Closed</v>
      </c>
      <c r="S13" s="36" t="str">
        <f>CPUE!N11</f>
        <v>Closed</v>
      </c>
      <c r="T13" s="30">
        <f>+E13+H13+N13</f>
        <v>15010.155309844537</v>
      </c>
      <c r="U13" s="31">
        <f>+F13+I13+O13</f>
        <v>92881.700210288327</v>
      </c>
    </row>
    <row r="14" spans="1:21" x14ac:dyDescent="0.25">
      <c r="A14" s="37">
        <v>43072</v>
      </c>
      <c r="B14" s="18">
        <v>43072</v>
      </c>
      <c r="C14" s="28">
        <v>-1.6</v>
      </c>
      <c r="D14" s="29">
        <v>0.76041666666666663</v>
      </c>
      <c r="E14" s="30">
        <f>Effort!F12</f>
        <v>4443.4717513991654</v>
      </c>
      <c r="F14" s="38">
        <f>Harvest!F12</f>
        <v>48336.302466439709</v>
      </c>
      <c r="G14" s="36">
        <f>CPUE!F12</f>
        <v>10.878048780487806</v>
      </c>
      <c r="H14" s="30">
        <f>Effort!H12</f>
        <v>2154.0200595283322</v>
      </c>
      <c r="I14" s="38">
        <f>Harvest!H12</f>
        <v>31879.496881019317</v>
      </c>
      <c r="J14" s="36">
        <f>CPUE!H12</f>
        <v>14.8</v>
      </c>
      <c r="K14" s="30">
        <f>Effort!J12</f>
        <v>2633.5444309642371</v>
      </c>
      <c r="L14" s="38">
        <f>Harvest!J12</f>
        <v>39359.518586410966</v>
      </c>
      <c r="M14" s="36">
        <f>CPUE!J12</f>
        <v>14.945454545454547</v>
      </c>
      <c r="N14" s="30" t="str">
        <f>Effort!L12</f>
        <v>Closed</v>
      </c>
      <c r="O14" s="38" t="str">
        <f>Harvest!L12</f>
        <v>Closed</v>
      </c>
      <c r="P14" s="36" t="str">
        <f>CPUE!L12</f>
        <v>Closed</v>
      </c>
      <c r="Q14" s="30" t="str">
        <f>Effort!N12</f>
        <v>Closed</v>
      </c>
      <c r="R14" s="38" t="str">
        <f>Harvest!N12</f>
        <v>Closed</v>
      </c>
      <c r="S14" s="36" t="str">
        <f>CPUE!N12</f>
        <v>Closed</v>
      </c>
      <c r="T14" s="30">
        <f>+E14+H14+K14</f>
        <v>9231.0362418917357</v>
      </c>
      <c r="U14" s="31">
        <f>+F14+I14+L14</f>
        <v>119575.31793386998</v>
      </c>
    </row>
    <row r="15" spans="1:21" x14ac:dyDescent="0.25">
      <c r="A15" s="37">
        <v>43073</v>
      </c>
      <c r="B15" s="18">
        <v>43073</v>
      </c>
      <c r="C15" s="28">
        <v>-1.8</v>
      </c>
      <c r="D15" s="29">
        <v>0.79305555555555562</v>
      </c>
      <c r="E15" s="30">
        <f>Effort!F13</f>
        <v>1009.4820919134022</v>
      </c>
      <c r="F15" s="38">
        <f>Harvest!F13</f>
        <v>13555.902377122828</v>
      </c>
      <c r="G15" s="36">
        <f>CPUE!F13</f>
        <v>13.428571428571427</v>
      </c>
      <c r="H15" s="30">
        <f>Effort!H13</f>
        <v>692.34163094871144</v>
      </c>
      <c r="I15" s="38">
        <f>Harvest!H13</f>
        <v>8031.0112351850266</v>
      </c>
      <c r="J15" s="36">
        <f>CPUE!H13</f>
        <v>11.599780911889095</v>
      </c>
      <c r="K15" s="30" t="str">
        <f>Effort!J13</f>
        <v>Closed</v>
      </c>
      <c r="L15" s="38" t="str">
        <f>Harvest!J13</f>
        <v>Closed</v>
      </c>
      <c r="M15" s="36" t="str">
        <f>CPUE!J13</f>
        <v>Closed</v>
      </c>
      <c r="N15" s="30">
        <f>Effort!L13</f>
        <v>744.93701289444209</v>
      </c>
      <c r="O15" s="38">
        <f>Harvest!L13</f>
        <v>8630.3678323136592</v>
      </c>
      <c r="P15" s="36">
        <f>CPUE!L13</f>
        <v>11.585365853658537</v>
      </c>
      <c r="Q15" s="30" t="str">
        <f>Effort!N13</f>
        <v>Closed</v>
      </c>
      <c r="R15" s="38" t="str">
        <f>Harvest!N13</f>
        <v>Closed</v>
      </c>
      <c r="S15" s="36" t="str">
        <f>CPUE!N13</f>
        <v>Closed</v>
      </c>
      <c r="T15" s="30">
        <f>+E15+H15+N15</f>
        <v>2446.7607357565557</v>
      </c>
      <c r="U15" s="31">
        <f>+F15+I15+O15</f>
        <v>30217.281444621512</v>
      </c>
    </row>
    <row r="16" spans="1:21" x14ac:dyDescent="0.25">
      <c r="A16" s="247" t="s">
        <v>31</v>
      </c>
      <c r="B16" s="247"/>
      <c r="C16" s="247"/>
      <c r="D16" s="248"/>
      <c r="E16" s="34">
        <f>SUM(E13:E15)</f>
        <v>11577.65389529696</v>
      </c>
      <c r="F16" s="35">
        <f>SUM(F13:F15)</f>
        <v>78586.951759455478</v>
      </c>
      <c r="G16" s="33">
        <f>+F16/E16</f>
        <v>6.7878131847920269</v>
      </c>
      <c r="H16" s="34">
        <f>SUM(H13:H15)</f>
        <v>6910.4824281397559</v>
      </c>
      <c r="I16" s="35">
        <f>SUM(I13:I15)</f>
        <v>69209.983201679715</v>
      </c>
      <c r="J16" s="33">
        <f>+I16/H16</f>
        <v>10.015217305213591</v>
      </c>
      <c r="K16" s="34">
        <f>SUM(K12:K15)</f>
        <v>6583.0063050054996</v>
      </c>
      <c r="L16" s="35">
        <f>SUM(L12:L15)</f>
        <v>79000.413692528819</v>
      </c>
      <c r="M16" s="33">
        <f>+L16/K16</f>
        <v>12.000658974374598</v>
      </c>
      <c r="N16" s="34">
        <f>SUM(N13:N15)</f>
        <v>5566.2715330918727</v>
      </c>
      <c r="O16" s="35">
        <f>SUM(O13:O15)</f>
        <v>55517.846041233672</v>
      </c>
      <c r="P16" s="33">
        <f>+O16/N16</f>
        <v>9.9739737293044737</v>
      </c>
      <c r="Q16" s="34"/>
      <c r="R16" s="35"/>
      <c r="S16" s="33"/>
      <c r="T16" s="34">
        <f>SUM(T12:T15)</f>
        <v>30637.414161534092</v>
      </c>
      <c r="U16" s="35">
        <f>SUM(U12:U15)</f>
        <v>282315.19469489768</v>
      </c>
    </row>
    <row r="17" spans="1:530" x14ac:dyDescent="0.25">
      <c r="A17" s="37">
        <v>43100</v>
      </c>
      <c r="B17" s="18">
        <f>+A17</f>
        <v>43100</v>
      </c>
      <c r="C17" s="28">
        <v>-1.2</v>
      </c>
      <c r="D17" s="29">
        <v>0.71666666666666667</v>
      </c>
      <c r="E17" s="30">
        <f>Effort!F15</f>
        <v>10048.344436304662</v>
      </c>
      <c r="F17" s="38">
        <f>Harvest!F15</f>
        <v>102176.45599999999</v>
      </c>
      <c r="G17" s="36">
        <f>CPUE!F15</f>
        <v>10.16848662460619</v>
      </c>
      <c r="H17" s="30">
        <f>Effort!H15</f>
        <v>4862.5623800940566</v>
      </c>
      <c r="I17" s="38">
        <f>Harvest!H15</f>
        <v>65644.592131269761</v>
      </c>
      <c r="J17" s="36">
        <f>CPUE!H15</f>
        <v>13.5</v>
      </c>
      <c r="K17" s="30">
        <f>Effort!J15</f>
        <v>5638.6723779872646</v>
      </c>
      <c r="L17" s="38">
        <f>Harvest!J15</f>
        <v>78692.648333969322</v>
      </c>
      <c r="M17" s="36">
        <f>CPUE!J15</f>
        <v>13.955882352941176</v>
      </c>
      <c r="N17" s="30">
        <f>Effort!L15</f>
        <v>4267.8101159377966</v>
      </c>
      <c r="O17" s="38">
        <f>Harvest!L15</f>
        <v>59602.175757062323</v>
      </c>
      <c r="P17" s="36">
        <f>CPUE!L15</f>
        <v>13.965517241379308</v>
      </c>
      <c r="Q17" s="30" t="str">
        <f>Effort!N15</f>
        <v>Closed</v>
      </c>
      <c r="R17" s="38" t="str">
        <f>Harvest!N15</f>
        <v>Closed</v>
      </c>
      <c r="S17" s="36" t="str">
        <f>CPUE!N15</f>
        <v>Closed</v>
      </c>
      <c r="T17" s="30">
        <f>+E17+H17+K17+N17</f>
        <v>24817.389310323779</v>
      </c>
      <c r="U17" s="31">
        <f>+F17+I17+L17+O17</f>
        <v>306115.87222230138</v>
      </c>
    </row>
    <row r="18" spans="1:530" x14ac:dyDescent="0.25">
      <c r="A18" s="37">
        <v>43101</v>
      </c>
      <c r="B18" s="18">
        <f>+A18</f>
        <v>43101</v>
      </c>
      <c r="C18" s="28">
        <v>-1.7</v>
      </c>
      <c r="D18" s="29">
        <v>0.75138888888888899</v>
      </c>
      <c r="E18" s="30" t="str">
        <f>Effort!F16</f>
        <v>Closed</v>
      </c>
      <c r="F18" s="38" t="str">
        <f>Harvest!F16</f>
        <v>Closed</v>
      </c>
      <c r="G18" s="36" t="str">
        <f>CPUE!F16</f>
        <v>Closed</v>
      </c>
      <c r="H18" s="30">
        <f>Effort!H16</f>
        <v>4436.4911999642227</v>
      </c>
      <c r="I18" s="38">
        <f>Harvest!H16</f>
        <v>57876.044290442362</v>
      </c>
      <c r="J18" s="36">
        <f>CPUE!H16</f>
        <v>13.045454545454547</v>
      </c>
      <c r="K18" s="30" t="str">
        <f>Effort!J16</f>
        <v>Closed</v>
      </c>
      <c r="L18" s="38" t="str">
        <f>Harvest!J16</f>
        <v>Closed</v>
      </c>
      <c r="M18" s="36" t="str">
        <f>CPUE!J16</f>
        <v>Closed</v>
      </c>
      <c r="N18" s="30">
        <f>Effort!L16</f>
        <v>3769.6180372715939</v>
      </c>
      <c r="O18" s="38">
        <f>Harvest!L16</f>
        <v>56544.270559073913</v>
      </c>
      <c r="P18" s="36">
        <f>CPUE!L16</f>
        <v>15.000000000000002</v>
      </c>
      <c r="Q18" s="30" t="str">
        <f>Effort!N16</f>
        <v>Closed</v>
      </c>
      <c r="R18" s="38" t="str">
        <f>Harvest!N16</f>
        <v>Closed</v>
      </c>
      <c r="S18" s="36" t="str">
        <f>CPUE!N16</f>
        <v>Closed</v>
      </c>
      <c r="T18" s="30">
        <f>+H18+N18</f>
        <v>8206.1092372358162</v>
      </c>
      <c r="U18" s="31">
        <f>+I18+O18</f>
        <v>114420.31484951627</v>
      </c>
    </row>
    <row r="19" spans="1:530" x14ac:dyDescent="0.25">
      <c r="A19" s="247" t="s">
        <v>31</v>
      </c>
      <c r="B19" s="247"/>
      <c r="C19" s="247"/>
      <c r="D19" s="248"/>
      <c r="E19" s="34">
        <f>SUM(E17:E18)</f>
        <v>10048.344436304662</v>
      </c>
      <c r="F19" s="35">
        <f>SUM(F17:F18)</f>
        <v>102176.45599999999</v>
      </c>
      <c r="G19" s="33">
        <f>+F19/E19</f>
        <v>10.16848662460619</v>
      </c>
      <c r="H19" s="34">
        <f>SUM(H17:H18)</f>
        <v>9299.0535800582802</v>
      </c>
      <c r="I19" s="35">
        <f>SUM(I17:I18)</f>
        <v>123520.63642171212</v>
      </c>
      <c r="J19" s="33">
        <f>+I19/H19</f>
        <v>13.283140629128193</v>
      </c>
      <c r="K19" s="34">
        <f>SUM(K17:K18)</f>
        <v>5638.6723779872646</v>
      </c>
      <c r="L19" s="35">
        <f>SUM(L17:L18)</f>
        <v>78692.648333969322</v>
      </c>
      <c r="M19" s="33">
        <f>+L19/K19</f>
        <v>13.955882352941176</v>
      </c>
      <c r="N19" s="34">
        <f>SUM(N17:N18)</f>
        <v>8037.4281532093901</v>
      </c>
      <c r="O19" s="35">
        <f>SUM(O17:O18)</f>
        <v>116146.44631613624</v>
      </c>
      <c r="P19" s="33">
        <f>+O19/N19</f>
        <v>14.450697922538605</v>
      </c>
      <c r="Q19" s="34"/>
      <c r="R19" s="35"/>
      <c r="S19" s="33"/>
      <c r="T19" s="34">
        <f>SUM(T17:T18)</f>
        <v>33023.498547559597</v>
      </c>
      <c r="U19" s="35">
        <f>SUM(U17:U18)</f>
        <v>420536.18707181764</v>
      </c>
    </row>
    <row r="20" spans="1:530" x14ac:dyDescent="0.25">
      <c r="A20" s="37">
        <v>43128</v>
      </c>
      <c r="B20" s="18">
        <f t="shared" ref="B20:B37" si="0">+A20</f>
        <v>43128</v>
      </c>
      <c r="C20" s="13">
        <v>-0.4</v>
      </c>
      <c r="D20" s="88">
        <v>0.67083333333333339</v>
      </c>
      <c r="E20" s="30" t="str">
        <f>Effort!F18</f>
        <v>Closed</v>
      </c>
      <c r="F20" s="38" t="str">
        <f>Harvest!F18</f>
        <v>Closed</v>
      </c>
      <c r="G20" s="36" t="str">
        <f>CPUE!F18</f>
        <v>Closed</v>
      </c>
      <c r="H20" s="30" t="str">
        <f>Effort!H18</f>
        <v>Closed</v>
      </c>
      <c r="I20" s="38" t="str">
        <f>Harvest!H18</f>
        <v>Closed</v>
      </c>
      <c r="J20" s="36" t="str">
        <f>CPUE!H18</f>
        <v>Closed</v>
      </c>
      <c r="K20" s="30" t="str">
        <f>Effort!J18</f>
        <v>Closed</v>
      </c>
      <c r="L20" s="38" t="str">
        <f>Harvest!J18</f>
        <v>Closed</v>
      </c>
      <c r="M20" s="36" t="str">
        <f>CPUE!J18</f>
        <v>Closed</v>
      </c>
      <c r="N20" s="30">
        <f>Effort!L18</f>
        <v>3309.812047724502</v>
      </c>
      <c r="O20" s="38">
        <f>Harvest!L18</f>
        <v>32700.943031518087</v>
      </c>
      <c r="P20" s="36">
        <f>CPUE!L18</f>
        <v>9.8800000000000026</v>
      </c>
      <c r="Q20" s="30" t="str">
        <f>Effort!N18</f>
        <v>Closed</v>
      </c>
      <c r="R20" s="38" t="str">
        <f>Harvest!N18</f>
        <v>Closed</v>
      </c>
      <c r="S20" s="36" t="str">
        <f>CPUE!N18</f>
        <v>Closed</v>
      </c>
      <c r="T20" s="30">
        <f>+N20</f>
        <v>3309.812047724502</v>
      </c>
      <c r="U20" s="38">
        <f>+O20</f>
        <v>32700.943031518087</v>
      </c>
    </row>
    <row r="21" spans="1:530" x14ac:dyDescent="0.25">
      <c r="A21" s="37">
        <v>43129</v>
      </c>
      <c r="B21" s="18">
        <f t="shared" si="0"/>
        <v>43129</v>
      </c>
      <c r="C21" s="13">
        <v>-1</v>
      </c>
      <c r="D21" s="88">
        <v>0.70763888888888893</v>
      </c>
      <c r="E21" s="30" t="str">
        <f>Effort!F19</f>
        <v>Closed</v>
      </c>
      <c r="F21" s="38" t="str">
        <f>Harvest!F19</f>
        <v>Closed</v>
      </c>
      <c r="G21" s="36" t="str">
        <f>CPUE!F19</f>
        <v>Closed</v>
      </c>
      <c r="H21" s="30" t="str">
        <f>Effort!H19</f>
        <v>Closed</v>
      </c>
      <c r="I21" s="38" t="str">
        <f>Harvest!H19</f>
        <v>Closed</v>
      </c>
      <c r="J21" s="36" t="str">
        <f>CPUE!H19</f>
        <v>Closed</v>
      </c>
      <c r="K21" s="30">
        <f>Effort!J19</f>
        <v>1672.6813617607268</v>
      </c>
      <c r="L21" s="38">
        <f>Harvest!J19</f>
        <v>23086.892748953287</v>
      </c>
      <c r="M21" s="36">
        <f>CPUE!J19</f>
        <v>13.802325581395349</v>
      </c>
      <c r="N21" s="30" t="str">
        <f>Effort!L19</f>
        <v>Closed</v>
      </c>
      <c r="O21" s="38" t="str">
        <f>Harvest!L19</f>
        <v>Closed</v>
      </c>
      <c r="P21" s="36" t="str">
        <f>CPUE!L19</f>
        <v>Closed</v>
      </c>
      <c r="Q21" s="30" t="str">
        <f>Effort!N19</f>
        <v>Closed</v>
      </c>
      <c r="R21" s="38" t="str">
        <f>Harvest!N19</f>
        <v>Closed</v>
      </c>
      <c r="S21" s="36" t="str">
        <f>CPUE!N19</f>
        <v>Closed</v>
      </c>
      <c r="T21" s="30">
        <f>+K21</f>
        <v>1672.6813617607268</v>
      </c>
      <c r="U21" s="38">
        <f>+L21</f>
        <v>23086.892748953287</v>
      </c>
    </row>
    <row r="22" spans="1:530" x14ac:dyDescent="0.25">
      <c r="A22" s="37">
        <v>43130</v>
      </c>
      <c r="B22" s="18">
        <f t="shared" si="0"/>
        <v>43130</v>
      </c>
      <c r="C22" s="13">
        <v>-1.5</v>
      </c>
      <c r="D22" s="88">
        <v>0.74097222222222225</v>
      </c>
      <c r="E22" s="30" t="str">
        <f>Effort!F20</f>
        <v>Closed</v>
      </c>
      <c r="F22" s="38" t="str">
        <f>Harvest!F20</f>
        <v>Closed</v>
      </c>
      <c r="G22" s="36" t="str">
        <f>CPUE!F20</f>
        <v>Closed</v>
      </c>
      <c r="H22" s="30">
        <f>Effort!H20</f>
        <v>2202.2820257761196</v>
      </c>
      <c r="I22" s="38">
        <f>Harvest!H20</f>
        <v>26193.09898742236</v>
      </c>
      <c r="J22" s="36">
        <f>CPUE!H20</f>
        <v>11.893617021276597</v>
      </c>
      <c r="K22" s="30" t="str">
        <f>Effort!J20</f>
        <v>Closed</v>
      </c>
      <c r="L22" s="38" t="str">
        <f>Harvest!J20</f>
        <v>Closed</v>
      </c>
      <c r="M22" s="36" t="str">
        <f>CPUE!J20</f>
        <v>Closed</v>
      </c>
      <c r="N22" s="30">
        <f>Effort!L20</f>
        <v>1641.6503864742772</v>
      </c>
      <c r="O22" s="38">
        <f>Harvest!L20</f>
        <v>22187.931004691403</v>
      </c>
      <c r="P22" s="36">
        <f>CPUE!L20</f>
        <v>13.515625</v>
      </c>
      <c r="Q22" s="30" t="str">
        <f>Effort!N20</f>
        <v>Closed</v>
      </c>
      <c r="R22" s="38" t="str">
        <f>Harvest!N20</f>
        <v>Closed</v>
      </c>
      <c r="S22" s="36" t="str">
        <f>CPUE!N20</f>
        <v>Closed</v>
      </c>
      <c r="T22" s="30">
        <f>+H22+N22</f>
        <v>3843.9324122503967</v>
      </c>
      <c r="U22" s="38">
        <f>+I22+O22</f>
        <v>48381.029992113763</v>
      </c>
    </row>
    <row r="23" spans="1:530" x14ac:dyDescent="0.25">
      <c r="A23" s="37">
        <v>43131</v>
      </c>
      <c r="B23" s="18">
        <f t="shared" si="0"/>
        <v>43131</v>
      </c>
      <c r="C23" s="13">
        <v>-1.6</v>
      </c>
      <c r="D23" s="88">
        <v>0.7729166666666667</v>
      </c>
      <c r="E23" s="30">
        <f>Effort!F21</f>
        <v>3926.9550659923161</v>
      </c>
      <c r="F23" s="38">
        <f>Harvest!F21</f>
        <v>37565.400348266121</v>
      </c>
      <c r="G23" s="36">
        <f>CPUE!F21</f>
        <v>9.5660377358490578</v>
      </c>
      <c r="H23" s="30">
        <f>Effort!H21</f>
        <v>1251.4093065243394</v>
      </c>
      <c r="I23" s="38">
        <f>Harvest!H21</f>
        <v>14663.252526448239</v>
      </c>
      <c r="J23" s="36">
        <f>CPUE!H21</f>
        <v>11.717391304347828</v>
      </c>
      <c r="K23" s="30">
        <f>Effort!J21</f>
        <v>1536.064725692007</v>
      </c>
      <c r="L23" s="38">
        <f>Harvest!J21</f>
        <v>16464.693778511202</v>
      </c>
      <c r="M23" s="36">
        <f>CPUE!J21</f>
        <v>10.718750000000002</v>
      </c>
      <c r="N23" s="30" t="str">
        <f>Effort!L21</f>
        <v>Closed</v>
      </c>
      <c r="O23" s="38" t="str">
        <f>Harvest!L21</f>
        <v>Closed</v>
      </c>
      <c r="P23" s="36" t="str">
        <f>CPUE!L21</f>
        <v>Closed</v>
      </c>
      <c r="Q23" s="30" t="str">
        <f>Effort!N21</f>
        <v>Closed</v>
      </c>
      <c r="R23" s="38" t="str">
        <f>Harvest!N21</f>
        <v>Closed</v>
      </c>
      <c r="S23" s="36" t="str">
        <f>CPUE!N21</f>
        <v>Closed</v>
      </c>
      <c r="T23" s="30">
        <f>+E23+H23+K23</f>
        <v>6714.4290982086623</v>
      </c>
      <c r="U23" s="38">
        <f>+F23+I23+L23</f>
        <v>68693.34665322557</v>
      </c>
    </row>
    <row r="24" spans="1:530" x14ac:dyDescent="0.25">
      <c r="A24" s="37">
        <v>43132</v>
      </c>
      <c r="B24" s="18">
        <f t="shared" si="0"/>
        <v>43132</v>
      </c>
      <c r="C24" s="13">
        <v>-1.5</v>
      </c>
      <c r="D24" s="88">
        <v>0.80347222222222225</v>
      </c>
      <c r="E24" s="30">
        <f>Effort!F22</f>
        <v>1877.6732732307071</v>
      </c>
      <c r="F24" s="38">
        <f>Harvest!F22</f>
        <v>7927.9538203074299</v>
      </c>
      <c r="G24" s="36">
        <f>CPUE!F22</f>
        <v>4.2222222222222223</v>
      </c>
      <c r="H24" s="30">
        <f>Effort!H22</f>
        <v>498.87254563458293</v>
      </c>
      <c r="I24" s="38">
        <f>Harvest!H22</f>
        <v>2619.08086458156</v>
      </c>
      <c r="J24" s="36">
        <f>CPUE!H22</f>
        <v>5.2499999999999991</v>
      </c>
      <c r="K24" s="30" t="str">
        <f>Effort!J22</f>
        <v>Closed</v>
      </c>
      <c r="L24" s="38" t="str">
        <f>Harvest!J22</f>
        <v>Closed</v>
      </c>
      <c r="M24" s="36" t="str">
        <f>CPUE!J22</f>
        <v>Closed</v>
      </c>
      <c r="N24" s="30">
        <f>Effort!L22</f>
        <v>752.93029571854231</v>
      </c>
      <c r="O24" s="38">
        <f>Harvest!L22</f>
        <v>2094.0873849671957</v>
      </c>
      <c r="P24" s="36">
        <f>CPUE!L22</f>
        <v>2.78125</v>
      </c>
      <c r="Q24" s="30" t="str">
        <f>Effort!N22</f>
        <v>Closed</v>
      </c>
      <c r="R24" s="38" t="str">
        <f>Harvest!N22</f>
        <v>Closed</v>
      </c>
      <c r="S24" s="36" t="str">
        <f>CPUE!N22</f>
        <v>Closed</v>
      </c>
      <c r="T24" s="30">
        <f>+E24+H24+N24</f>
        <v>3129.4761145838324</v>
      </c>
      <c r="U24" s="38">
        <f>+F24+I24+O24</f>
        <v>12641.122069856185</v>
      </c>
    </row>
    <row r="25" spans="1:530" x14ac:dyDescent="0.25">
      <c r="A25" s="37">
        <v>43133</v>
      </c>
      <c r="B25" s="18">
        <f t="shared" si="0"/>
        <v>43133</v>
      </c>
      <c r="C25" s="13">
        <v>-1</v>
      </c>
      <c r="D25" s="88">
        <v>0.83333333333333337</v>
      </c>
      <c r="E25" s="30">
        <f>Effort!F23</f>
        <v>2725.4986274551584</v>
      </c>
      <c r="F25" s="38">
        <f>Harvest!F23</f>
        <v>20147.313383344997</v>
      </c>
      <c r="G25" s="36">
        <f>CPUE!F23</f>
        <v>7.3921568627450993</v>
      </c>
      <c r="H25" s="30">
        <f>Effort!H23</f>
        <v>1126.2051132597842</v>
      </c>
      <c r="I25" s="38">
        <f>Harvest!H23</f>
        <v>11141.386299034293</v>
      </c>
      <c r="J25" s="36">
        <f>CPUE!H23</f>
        <v>9.8928571428571423</v>
      </c>
      <c r="K25" s="30">
        <f>Effort!J23</f>
        <v>1794.5167950742684</v>
      </c>
      <c r="L25" s="38">
        <f>Harvest!J23</f>
        <v>26632.260617806758</v>
      </c>
      <c r="M25" s="36">
        <f>CPUE!J23</f>
        <v>14.840909090909092</v>
      </c>
      <c r="N25" s="30" t="str">
        <f>Effort!L23</f>
        <v>Closed</v>
      </c>
      <c r="O25" s="38" t="str">
        <f>Harvest!L23</f>
        <v>Closed</v>
      </c>
      <c r="P25" s="36" t="str">
        <f>CPUE!L23</f>
        <v>Closed</v>
      </c>
      <c r="Q25" s="30" t="str">
        <f>Effort!N23</f>
        <v>Closed</v>
      </c>
      <c r="R25" s="38" t="str">
        <f>Harvest!N23</f>
        <v>Closed</v>
      </c>
      <c r="S25" s="36" t="str">
        <f>CPUE!N23</f>
        <v>Closed</v>
      </c>
      <c r="T25" s="30">
        <f>+E25+H25+K25</f>
        <v>5646.2205357892108</v>
      </c>
      <c r="U25" s="38">
        <f>+F25+I25+L25</f>
        <v>57920.960300186052</v>
      </c>
    </row>
    <row r="26" spans="1:530" x14ac:dyDescent="0.25">
      <c r="A26" s="37">
        <v>43134</v>
      </c>
      <c r="B26" s="18">
        <f t="shared" si="0"/>
        <v>43134</v>
      </c>
      <c r="C26" s="13">
        <v>-0.4</v>
      </c>
      <c r="D26" s="88">
        <v>0.86249999999999993</v>
      </c>
      <c r="E26" s="30">
        <f>Effort!F24</f>
        <v>2939.4456186888397</v>
      </c>
      <c r="F26" s="38">
        <f>Harvest!F24</f>
        <v>21120.461112060555</v>
      </c>
      <c r="G26" s="36">
        <f>CPUE!F24</f>
        <v>7.185185185185186</v>
      </c>
      <c r="H26" s="30">
        <f>Effort!H24</f>
        <v>2006.9818724160286</v>
      </c>
      <c r="I26" s="38">
        <f>Harvest!H24</f>
        <v>21150.501270845838</v>
      </c>
      <c r="J26" s="36">
        <f>CPUE!H24</f>
        <v>10.538461538461537</v>
      </c>
      <c r="K26" s="30" t="str">
        <f>Effort!J24</f>
        <v>Closed</v>
      </c>
      <c r="L26" s="38" t="str">
        <f>Harvest!J24</f>
        <v>Closed</v>
      </c>
      <c r="M26" s="36" t="str">
        <f>CPUE!J24</f>
        <v>Closed</v>
      </c>
      <c r="N26" s="30">
        <f>Effort!L24</f>
        <v>3460.3387553179659</v>
      </c>
      <c r="O26" s="38">
        <f>Harvest!L24</f>
        <v>14152.396707143143</v>
      </c>
      <c r="P26" s="36">
        <f>CPUE!L24</f>
        <v>4.0898876404494384</v>
      </c>
      <c r="Q26" s="30" t="str">
        <f>Effort!N24</f>
        <v>Closed</v>
      </c>
      <c r="R26" s="38" t="str">
        <f>Harvest!N24</f>
        <v>Closed</v>
      </c>
      <c r="S26" s="36" t="str">
        <f>CPUE!N24</f>
        <v>Closed</v>
      </c>
      <c r="T26" s="30">
        <f>+E26+H26+N26</f>
        <v>8406.7662464228342</v>
      </c>
      <c r="U26" s="38">
        <f>+F26+I26+O26</f>
        <v>56423.359090049533</v>
      </c>
    </row>
    <row r="27" spans="1:530" x14ac:dyDescent="0.25">
      <c r="A27" s="247" t="s">
        <v>31</v>
      </c>
      <c r="B27" s="247"/>
      <c r="C27" s="247"/>
      <c r="D27" s="248"/>
      <c r="E27" s="34">
        <f>SUM(E23:E26)</f>
        <v>11469.572585367021</v>
      </c>
      <c r="F27" s="35">
        <f>SUM(F23:F26)</f>
        <v>86761.128663979107</v>
      </c>
      <c r="G27" s="33">
        <f>+F27/E27</f>
        <v>7.5644604904170274</v>
      </c>
      <c r="H27" s="34">
        <f>SUM(H22:H26)</f>
        <v>7085.750863610855</v>
      </c>
      <c r="I27" s="35">
        <f>SUM(I22:I26)</f>
        <v>75767.319948332297</v>
      </c>
      <c r="J27" s="33">
        <f>+I27/H27</f>
        <v>10.692913342104401</v>
      </c>
      <c r="K27" s="34">
        <f>SUM(K21:K26)</f>
        <v>5003.2628825270021</v>
      </c>
      <c r="L27" s="35">
        <f>SUM(L21:L26)</f>
        <v>66183.847145271255</v>
      </c>
      <c r="M27" s="33">
        <f>+L27/K27</f>
        <v>13.228137057600245</v>
      </c>
      <c r="N27" s="34">
        <f>SUM(N20:N26)</f>
        <v>9164.7314852352865</v>
      </c>
      <c r="O27" s="35">
        <f>SUM(O20:O26)</f>
        <v>71135.358128319829</v>
      </c>
      <c r="P27" s="33">
        <f>+O27/N27</f>
        <v>7.761859498330252</v>
      </c>
      <c r="Q27" s="34"/>
      <c r="R27" s="35"/>
      <c r="S27" s="33"/>
      <c r="T27" s="34">
        <f>SUM(T20:T26)</f>
        <v>32723.317816740164</v>
      </c>
      <c r="U27" s="35">
        <f>SUM(U20:U26)</f>
        <v>299847.65388590243</v>
      </c>
    </row>
    <row r="28" spans="1:530" x14ac:dyDescent="0.25">
      <c r="A28" s="37">
        <v>43161</v>
      </c>
      <c r="B28" s="18">
        <f t="shared" si="0"/>
        <v>43161</v>
      </c>
      <c r="C28" s="13">
        <v>-0.8</v>
      </c>
      <c r="D28" s="88">
        <v>0.78749999999999998</v>
      </c>
      <c r="E28" s="30" t="str">
        <f>Effort!F26</f>
        <v>Closed</v>
      </c>
      <c r="F28" s="38" t="str">
        <f>Harvest!F26</f>
        <v>Closed</v>
      </c>
      <c r="G28" s="36" t="str">
        <f>CPUE!F26</f>
        <v>Closed</v>
      </c>
      <c r="H28" s="30" t="str">
        <f>Effort!H26</f>
        <v>Closed</v>
      </c>
      <c r="I28" s="38" t="str">
        <f>Harvest!H26</f>
        <v>Closed</v>
      </c>
      <c r="J28" s="36" t="str">
        <f>CPUE!H26</f>
        <v>Closed</v>
      </c>
      <c r="K28" s="30" t="str">
        <f>Effort!J26</f>
        <v>Closed</v>
      </c>
      <c r="L28" s="38" t="str">
        <f>Harvest!J26</f>
        <v>Closed</v>
      </c>
      <c r="M28" s="36" t="str">
        <f>CPUE!J26</f>
        <v>Closed</v>
      </c>
      <c r="N28" s="30">
        <f>Effort!L26</f>
        <v>2929.6059829179594</v>
      </c>
      <c r="O28" s="38">
        <f>Harvest!L26</f>
        <v>30422.831361071123</v>
      </c>
      <c r="P28" s="36">
        <f>CPUE!L26</f>
        <v>10.384615384615387</v>
      </c>
      <c r="Q28" s="30" t="str">
        <f>Effort!N26</f>
        <v>Closed</v>
      </c>
      <c r="R28" s="38" t="str">
        <f>Harvest!N26</f>
        <v>Closed</v>
      </c>
      <c r="S28" s="36" t="str">
        <f>CPUE!N26</f>
        <v>Closed</v>
      </c>
      <c r="T28" s="30">
        <f>+N28</f>
        <v>2929.6059829179594</v>
      </c>
      <c r="U28" s="38">
        <f>+O28</f>
        <v>30422.831361071123</v>
      </c>
    </row>
    <row r="29" spans="1:530" x14ac:dyDescent="0.25">
      <c r="A29" s="37">
        <v>43162</v>
      </c>
      <c r="B29" s="18">
        <f t="shared" si="0"/>
        <v>43162</v>
      </c>
      <c r="C29" s="13">
        <v>-0.3</v>
      </c>
      <c r="D29" s="88">
        <v>0.81527777777777777</v>
      </c>
      <c r="E29" s="30" t="str">
        <f>Effort!F27</f>
        <v>Closed</v>
      </c>
      <c r="F29" s="38" t="str">
        <f>Harvest!F27</f>
        <v>Closed</v>
      </c>
      <c r="G29" s="36" t="str">
        <f>CPUE!F27</f>
        <v>Closed</v>
      </c>
      <c r="H29" s="30" t="str">
        <f>Effort!H27</f>
        <v>Closed</v>
      </c>
      <c r="I29" s="38" t="str">
        <f>Harvest!H27</f>
        <v>Closed</v>
      </c>
      <c r="J29" s="36" t="str">
        <f>CPUE!H27</f>
        <v>Closed</v>
      </c>
      <c r="K29" s="30" t="str">
        <f>Effort!J27</f>
        <v>Closed</v>
      </c>
      <c r="L29" s="38" t="str">
        <f>Harvest!J27</f>
        <v>Closed</v>
      </c>
      <c r="M29" s="36" t="str">
        <f>CPUE!J27</f>
        <v>Closed</v>
      </c>
      <c r="N29" s="30">
        <f>Effort!L27</f>
        <v>2810.3760416516275</v>
      </c>
      <c r="O29" s="38">
        <f>Harvest!L27</f>
        <v>21047.922694922825</v>
      </c>
      <c r="P29" s="36">
        <f>CPUE!L27</f>
        <v>7.4893617021276588</v>
      </c>
      <c r="Q29" s="30" t="str">
        <f>Effort!N27</f>
        <v>Closed</v>
      </c>
      <c r="R29" s="38" t="str">
        <f>Harvest!N27</f>
        <v>Closed</v>
      </c>
      <c r="S29" s="36" t="str">
        <f>CPUE!N27</f>
        <v>Closed</v>
      </c>
      <c r="T29" s="30">
        <f>+N29</f>
        <v>2810.3760416516275</v>
      </c>
      <c r="U29" s="38">
        <f>+O29</f>
        <v>21047.922694922825</v>
      </c>
    </row>
    <row r="30" spans="1:530" x14ac:dyDescent="0.25">
      <c r="A30" s="247" t="s">
        <v>31</v>
      </c>
      <c r="B30" s="247"/>
      <c r="C30" s="247"/>
      <c r="D30" s="248"/>
      <c r="E30" s="34"/>
      <c r="F30" s="35"/>
      <c r="G30" s="33"/>
      <c r="H30" s="34"/>
      <c r="I30" s="35"/>
      <c r="J30" s="33"/>
      <c r="K30" s="34"/>
      <c r="L30" s="35"/>
      <c r="M30" s="33"/>
      <c r="N30" s="34">
        <f>SUM(N28:N29)</f>
        <v>5739.9820245695864</v>
      </c>
      <c r="O30" s="35">
        <f>SUM(O28:O29)</f>
        <v>51470.754055993952</v>
      </c>
      <c r="P30" s="33">
        <f>+O30/N30</f>
        <v>8.9670584046565018</v>
      </c>
      <c r="Q30" s="34"/>
      <c r="R30" s="35"/>
      <c r="S30" s="33"/>
      <c r="T30" s="34">
        <f>SUM(T28:T29)</f>
        <v>5739.9820245695864</v>
      </c>
      <c r="U30" s="35">
        <f>SUM(U28:U29)</f>
        <v>51470.754055993952</v>
      </c>
    </row>
    <row r="31" spans="1:530" x14ac:dyDescent="0.25">
      <c r="A31" s="37">
        <v>43175</v>
      </c>
      <c r="B31" s="18">
        <f t="shared" si="0"/>
        <v>43175</v>
      </c>
      <c r="C31" s="13">
        <v>0.2</v>
      </c>
      <c r="D31" s="88">
        <v>0.79375000000000007</v>
      </c>
      <c r="E31" s="30" t="str">
        <f>Effort!F29</f>
        <v>Closed</v>
      </c>
      <c r="F31" s="38" t="str">
        <f>Harvest!F29</f>
        <v>Closed</v>
      </c>
      <c r="G31" s="36" t="str">
        <f>CPUE!F29</f>
        <v>Closed</v>
      </c>
      <c r="H31" s="30" t="str">
        <f>Effort!H29</f>
        <v>Closed</v>
      </c>
      <c r="I31" s="38" t="str">
        <f>Harvest!H29</f>
        <v>Closed</v>
      </c>
      <c r="J31" s="36" t="str">
        <f>CPUE!H29</f>
        <v>Closed</v>
      </c>
      <c r="K31" s="30">
        <f>Effort!J29</f>
        <v>1988.9524336416273</v>
      </c>
      <c r="L31" s="38">
        <f>Harvest!J29</f>
        <v>27816.508673393771</v>
      </c>
      <c r="M31" s="36">
        <f>CPUE!J29</f>
        <v>13.985507246376811</v>
      </c>
      <c r="N31" s="30">
        <f>Effort!L29</f>
        <v>1225.9035961904442</v>
      </c>
      <c r="O31" s="38">
        <f>Harvest!L29</f>
        <v>16682.228667078074</v>
      </c>
      <c r="P31" s="36">
        <f>CPUE!L29</f>
        <v>13.608108108108111</v>
      </c>
      <c r="Q31" s="30" t="str">
        <f>Effort!N29</f>
        <v>Closed</v>
      </c>
      <c r="R31" s="38" t="str">
        <f>Harvest!N29</f>
        <v>Closed</v>
      </c>
      <c r="S31" s="36" t="str">
        <f>CPUE!N29</f>
        <v>Closed</v>
      </c>
      <c r="T31" s="30">
        <f>+K31+N31</f>
        <v>3214.8560298320717</v>
      </c>
      <c r="U31" s="38">
        <f>+L31+O31</f>
        <v>44498.737340471846</v>
      </c>
    </row>
    <row r="32" spans="1:530" x14ac:dyDescent="0.25">
      <c r="A32" s="37">
        <v>43176</v>
      </c>
      <c r="B32" s="18">
        <f t="shared" si="0"/>
        <v>43176</v>
      </c>
      <c r="C32" s="13">
        <v>0.2</v>
      </c>
      <c r="D32" s="88">
        <v>0.81666666666666676</v>
      </c>
      <c r="E32" s="30">
        <f>Effort!F30</f>
        <v>5121.2979604601387</v>
      </c>
      <c r="F32" s="38">
        <f>Harvest!F30</f>
        <v>69649.652262257878</v>
      </c>
      <c r="G32" s="36">
        <f>CPUE!F30</f>
        <v>13.599999999999998</v>
      </c>
      <c r="H32" s="30">
        <f>Effort!H30</f>
        <v>2122.6414778041394</v>
      </c>
      <c r="I32" s="38">
        <f>Harvest!H30</f>
        <v>27169.810915892987</v>
      </c>
      <c r="J32" s="36">
        <f>CPUE!H30</f>
        <v>12.8</v>
      </c>
      <c r="K32" s="30">
        <f>Effort!J30</f>
        <v>3248.4676935295429</v>
      </c>
      <c r="L32" s="38">
        <f>Harvest!J30</f>
        <v>47102.781556178372</v>
      </c>
      <c r="M32" s="36">
        <f>CPUE!J30</f>
        <v>14.5</v>
      </c>
      <c r="N32" s="30">
        <f>Effort!L30</f>
        <v>1217.0476397738169</v>
      </c>
      <c r="O32" s="38">
        <f>Harvest!L30</f>
        <v>17787.619350540401</v>
      </c>
      <c r="P32" s="36">
        <f>CPUE!L30</f>
        <v>14.615384615384617</v>
      </c>
      <c r="Q32" s="30" t="str">
        <f>Effort!N30</f>
        <v>Closed</v>
      </c>
      <c r="R32" s="38" t="str">
        <f>Harvest!N30</f>
        <v>Closed</v>
      </c>
      <c r="S32" s="36" t="str">
        <f>CPUE!N30</f>
        <v>Closed</v>
      </c>
      <c r="T32" s="30">
        <f>+E32+H32+K32+N32</f>
        <v>11709.454771567638</v>
      </c>
      <c r="U32" s="38">
        <f>+F32+I32+L32+O32</f>
        <v>161709.86408486962</v>
      </c>
      <c r="TJ32" t="s">
        <v>59</v>
      </c>
    </row>
    <row r="33" spans="1:23" x14ac:dyDescent="0.25">
      <c r="A33" s="247"/>
      <c r="B33" s="247"/>
      <c r="C33" s="247"/>
      <c r="D33" s="248"/>
      <c r="E33" s="34">
        <f>SUM(E32)</f>
        <v>5121.2979604601387</v>
      </c>
      <c r="F33" s="35">
        <f>SUM(F32)</f>
        <v>69649.652262257878</v>
      </c>
      <c r="G33" s="33">
        <f>+F33/E33</f>
        <v>13.599999999999998</v>
      </c>
      <c r="H33" s="34">
        <f>SUM(H32)</f>
        <v>2122.6414778041394</v>
      </c>
      <c r="I33" s="35">
        <f>SUM(I32)</f>
        <v>27169.810915892987</v>
      </c>
      <c r="J33" s="33">
        <f>+I33/H33</f>
        <v>12.8</v>
      </c>
      <c r="K33" s="34">
        <f>SUM(K31:K32)</f>
        <v>5237.42012717117</v>
      </c>
      <c r="L33" s="35">
        <f>SUM(L31:L32)</f>
        <v>74919.290229572143</v>
      </c>
      <c r="M33" s="33">
        <f>+L33/K33</f>
        <v>14.304617237196412</v>
      </c>
      <c r="N33" s="34">
        <f>SUM(N31:N32)</f>
        <v>2442.9512359642613</v>
      </c>
      <c r="O33" s="35">
        <f>SUM(O31:O32)</f>
        <v>34469.848017618475</v>
      </c>
      <c r="P33" s="33">
        <f>+O33/N33</f>
        <v>14.109920619849305</v>
      </c>
      <c r="Q33" s="34"/>
      <c r="R33" s="35"/>
      <c r="S33" s="33"/>
      <c r="T33" s="34">
        <f>SUM(T31:T32)</f>
        <v>14924.31080139971</v>
      </c>
      <c r="U33" s="35">
        <f>SUM(U31:U32)</f>
        <v>206208.60142534148</v>
      </c>
    </row>
    <row r="34" spans="1:23" x14ac:dyDescent="0.25">
      <c r="A34" s="37">
        <v>43209</v>
      </c>
      <c r="B34" s="18">
        <f t="shared" si="0"/>
        <v>43209</v>
      </c>
      <c r="C34" s="13">
        <v>-0.9</v>
      </c>
      <c r="D34" s="88">
        <v>0.4069444444444445</v>
      </c>
      <c r="E34" s="30" t="str">
        <f>Effort!F32</f>
        <v>Closed</v>
      </c>
      <c r="F34" s="38" t="str">
        <f>Harvest!F32</f>
        <v>Closed</v>
      </c>
      <c r="G34" s="36" t="str">
        <f>CPUE!F32</f>
        <v>Closed</v>
      </c>
      <c r="H34" s="30" t="str">
        <f>Effort!H32</f>
        <v>Closed</v>
      </c>
      <c r="I34" s="38" t="str">
        <f>Harvest!H32</f>
        <v>Closed</v>
      </c>
      <c r="J34" s="36" t="str">
        <f>CPUE!H32</f>
        <v>Closed</v>
      </c>
      <c r="K34" s="30" t="str">
        <f>Effort!J32</f>
        <v>Closed</v>
      </c>
      <c r="L34" s="38" t="str">
        <f>Harvest!J32</f>
        <v>Closed</v>
      </c>
      <c r="M34" s="36" t="str">
        <f>CPUE!J32</f>
        <v>Closed</v>
      </c>
      <c r="N34" s="30">
        <f>Effort!L32</f>
        <v>5046.899768175901</v>
      </c>
      <c r="O34" s="38">
        <f>Harvest!L32</f>
        <v>71182.315480314268</v>
      </c>
      <c r="P34" s="36">
        <f>CPUE!L32</f>
        <v>14.104166666666666</v>
      </c>
      <c r="Q34" s="30" t="str">
        <f>Effort!N32</f>
        <v>Closed</v>
      </c>
      <c r="R34" s="38" t="str">
        <f>Harvest!N32</f>
        <v>Closed</v>
      </c>
      <c r="S34" s="36" t="str">
        <f>CPUE!N32</f>
        <v>Closed</v>
      </c>
      <c r="T34" s="30">
        <f>+N34</f>
        <v>5046.899768175901</v>
      </c>
      <c r="U34" s="38">
        <f>+O34</f>
        <v>71182.315480314268</v>
      </c>
    </row>
    <row r="35" spans="1:23" x14ac:dyDescent="0.25">
      <c r="A35" s="37">
        <v>43210</v>
      </c>
      <c r="B35" s="18">
        <f t="shared" si="0"/>
        <v>43210</v>
      </c>
      <c r="C35" s="13">
        <v>-0.7</v>
      </c>
      <c r="D35" s="88">
        <v>0.44236111111111115</v>
      </c>
      <c r="E35" s="30" t="str">
        <f>Effort!F33</f>
        <v>Closed</v>
      </c>
      <c r="F35" s="38" t="str">
        <f>Harvest!F33</f>
        <v>Closed</v>
      </c>
      <c r="G35" s="36" t="str">
        <f>CPUE!F33</f>
        <v>Closed</v>
      </c>
      <c r="H35" s="30" t="str">
        <f>Effort!H33</f>
        <v>Closed</v>
      </c>
      <c r="I35" s="38" t="str">
        <f>Harvest!H33</f>
        <v>Closed</v>
      </c>
      <c r="J35" s="36" t="str">
        <f>CPUE!H33</f>
        <v>Closed</v>
      </c>
      <c r="K35" s="30" t="str">
        <f>Effort!J33</f>
        <v>Closed</v>
      </c>
      <c r="L35" s="38" t="str">
        <f>Harvest!J33</f>
        <v>Closed</v>
      </c>
      <c r="M35" s="36" t="str">
        <f>CPUE!J33</f>
        <v>Closed</v>
      </c>
      <c r="N35" s="30">
        <f>Effort!L33</f>
        <v>6878.7372125569755</v>
      </c>
      <c r="O35" s="38">
        <f>Harvest!L33</f>
        <v>98577.178951603913</v>
      </c>
      <c r="P35" s="36">
        <f>CPUE!L33</f>
        <v>14.330708661417324</v>
      </c>
      <c r="Q35" s="30" t="str">
        <f>Effort!N33</f>
        <v>Closed</v>
      </c>
      <c r="R35" s="38" t="str">
        <f>Harvest!N33</f>
        <v>Closed</v>
      </c>
      <c r="S35" s="36" t="str">
        <f>CPUE!N33</f>
        <v>Closed</v>
      </c>
      <c r="T35" s="30">
        <f>+N35</f>
        <v>6878.7372125569755</v>
      </c>
      <c r="U35" s="38">
        <f>+O35</f>
        <v>98577.178951603913</v>
      </c>
    </row>
    <row r="36" spans="1:23" x14ac:dyDescent="0.25">
      <c r="A36" s="37">
        <v>43211</v>
      </c>
      <c r="B36" s="18">
        <f t="shared" si="0"/>
        <v>43211</v>
      </c>
      <c r="C36" s="13">
        <v>-0.4</v>
      </c>
      <c r="D36" s="88">
        <v>0.48194444444444445</v>
      </c>
      <c r="E36" s="30">
        <f>Effort!F34</f>
        <v>14489.358855122526</v>
      </c>
      <c r="F36" s="38">
        <f>Harvest!F34</f>
        <v>75596.654896291438</v>
      </c>
      <c r="G36" s="36">
        <f>CPUE!F34</f>
        <v>5.2173913043478262</v>
      </c>
      <c r="H36" s="30">
        <f>Effort!H34</f>
        <v>11415.612236898753</v>
      </c>
      <c r="I36" s="38">
        <f>Harvest!H34</f>
        <v>99071.20619879989</v>
      </c>
      <c r="J36" s="36">
        <f>CPUE!H34</f>
        <v>8.6785714285714288</v>
      </c>
      <c r="K36" s="30">
        <f>Effort!J34</f>
        <v>9418.2372908732741</v>
      </c>
      <c r="L36" s="38">
        <f>Harvest!J34</f>
        <v>94967.226016305533</v>
      </c>
      <c r="M36" s="36">
        <f>CPUE!J34</f>
        <v>10.083333333333336</v>
      </c>
      <c r="N36" s="30">
        <f>Effort!L34</f>
        <v>5719.1917689786433</v>
      </c>
      <c r="O36" s="38">
        <f>Harvest!L34</f>
        <v>57668.517003867986</v>
      </c>
      <c r="P36" s="36">
        <f>CPUE!L34</f>
        <v>10.083333333333334</v>
      </c>
      <c r="Q36" s="30" t="str">
        <f>Effort!N34</f>
        <v>Closed</v>
      </c>
      <c r="R36" s="38" t="str">
        <f>Harvest!N34</f>
        <v>Closed</v>
      </c>
      <c r="S36" s="36" t="str">
        <f>CPUE!N34</f>
        <v>Closed</v>
      </c>
      <c r="T36" s="30">
        <f>+E36+H36+K36+N36</f>
        <v>41042.400151873197</v>
      </c>
      <c r="U36" s="38">
        <f>+F36+I36+L36+O36</f>
        <v>327303.60411526484</v>
      </c>
    </row>
    <row r="37" spans="1:23" x14ac:dyDescent="0.25">
      <c r="A37" s="37">
        <v>43212</v>
      </c>
      <c r="B37" s="18">
        <f t="shared" si="0"/>
        <v>43212</v>
      </c>
      <c r="C37" s="13">
        <v>-0.1</v>
      </c>
      <c r="D37" s="88">
        <v>2.6388888888888889E-2</v>
      </c>
      <c r="E37" s="30">
        <f>Effort!F35</f>
        <v>16062.008389038469</v>
      </c>
      <c r="F37" s="38">
        <f>Harvest!F35</f>
        <v>83823.606280294509</v>
      </c>
      <c r="G37" s="36">
        <f>CPUE!F35</f>
        <v>5.21875</v>
      </c>
      <c r="H37" s="30">
        <f>Effort!H35</f>
        <v>8121.6632362131058</v>
      </c>
      <c r="I37" s="38">
        <f>Harvest!H35</f>
        <v>85491.191960137963</v>
      </c>
      <c r="J37" s="36">
        <f>CPUE!H35</f>
        <v>10.526315789473685</v>
      </c>
      <c r="K37" s="30" t="str">
        <f>Effort!J35</f>
        <v>Closed</v>
      </c>
      <c r="L37" s="38" t="str">
        <f>Harvest!J35</f>
        <v>Closed</v>
      </c>
      <c r="M37" s="36" t="str">
        <f>CPUE!J35</f>
        <v>Closed</v>
      </c>
      <c r="N37" s="30">
        <f>Effort!L35</f>
        <v>6524.3646948103651</v>
      </c>
      <c r="O37" s="38">
        <f>Harvest!L35</f>
        <v>80269.456548272981</v>
      </c>
      <c r="P37" s="36">
        <f>CPUE!L35</f>
        <v>12.303030303030305</v>
      </c>
      <c r="Q37" s="30" t="str">
        <f>Effort!N35</f>
        <v>Closed</v>
      </c>
      <c r="R37" s="38" t="str">
        <f>Harvest!N35</f>
        <v>Closed</v>
      </c>
      <c r="S37" s="36" t="str">
        <f>CPUE!N35</f>
        <v>Closed</v>
      </c>
      <c r="T37" s="30">
        <f>+E37+H37+N37</f>
        <v>30708.036320061939</v>
      </c>
      <c r="U37" s="38">
        <f>+F37+I37+O37</f>
        <v>249584.25478870544</v>
      </c>
    </row>
    <row r="38" spans="1:23" ht="15.75" thickBot="1" x14ac:dyDescent="0.3">
      <c r="A38" s="247"/>
      <c r="B38" s="247"/>
      <c r="C38" s="247"/>
      <c r="D38" s="248"/>
      <c r="E38" s="95">
        <f>SUM(E36:E37)</f>
        <v>30551.367244160996</v>
      </c>
      <c r="F38" s="94">
        <f>SUM(F36:F37)</f>
        <v>159420.26117658595</v>
      </c>
      <c r="G38" s="96">
        <f>+F38/E38</f>
        <v>5.218105622001401</v>
      </c>
      <c r="H38" s="95">
        <f>SUM(H36:H37)</f>
        <v>19537.275473111858</v>
      </c>
      <c r="I38" s="94">
        <f>SUM(I36:I37)</f>
        <v>184562.39815893787</v>
      </c>
      <c r="J38" s="96">
        <f>+I38/H38</f>
        <v>9.4466804449239383</v>
      </c>
      <c r="K38" s="95">
        <f>+K36</f>
        <v>9418.2372908732741</v>
      </c>
      <c r="L38" s="94">
        <f>+L36</f>
        <v>94967.226016305533</v>
      </c>
      <c r="M38" s="96">
        <f>+L38/K38</f>
        <v>10.083333333333336</v>
      </c>
      <c r="N38" s="95">
        <f>SUM(N34:N37)</f>
        <v>24169.193444521887</v>
      </c>
      <c r="O38" s="94">
        <f>SUM(O34:O37)</f>
        <v>307697.46798405913</v>
      </c>
      <c r="P38" s="96">
        <f>+O38/N38</f>
        <v>12.730977915764949</v>
      </c>
      <c r="Q38" s="95"/>
      <c r="R38" s="94"/>
      <c r="S38" s="96"/>
      <c r="T38" s="94">
        <f>SUM(T34:T37)</f>
        <v>83676.073452668003</v>
      </c>
      <c r="U38" s="94">
        <f>SUM(U34:U37)</f>
        <v>746647.35333588847</v>
      </c>
    </row>
    <row r="39" spans="1:23" ht="15.75" thickTop="1" x14ac:dyDescent="0.25">
      <c r="A39" s="39" t="s">
        <v>36</v>
      </c>
      <c r="B39" s="42"/>
      <c r="C39" s="42"/>
      <c r="D39" s="42"/>
      <c r="E39" s="40">
        <f>+E6+E11+E16+E19+E27+E33+E38</f>
        <v>94213.344190133212</v>
      </c>
      <c r="F39" s="40">
        <f>+F6+F11+F16+F19+F27+F33+F38</f>
        <v>823281.36053335131</v>
      </c>
      <c r="G39" s="41">
        <f>+F39/E39</f>
        <v>8.7384793270035743</v>
      </c>
      <c r="H39" s="40">
        <f>+H6+H11+H16+H19+H27+H33+H38</f>
        <v>55588.04131966368</v>
      </c>
      <c r="I39" s="40">
        <f>+I6+I11+I16+I19+I27+I33+I38</f>
        <v>619896.72920340148</v>
      </c>
      <c r="J39" s="41">
        <f>+I39/H39</f>
        <v>11.151620285352987</v>
      </c>
      <c r="K39" s="40">
        <f>+K6+K11+K16+K19+K27+K33+K38</f>
        <v>44600.553747660582</v>
      </c>
      <c r="L39" s="40">
        <f>+L6+L11+L16+L19+L27+L33+L38</f>
        <v>547903.35029706743</v>
      </c>
      <c r="M39" s="41">
        <f>+L39/K39</f>
        <v>12.284675957096304</v>
      </c>
      <c r="N39" s="40">
        <f>+N6+N11+N16+N19+N27+N30+N33+N38</f>
        <v>63215.266089019206</v>
      </c>
      <c r="O39" s="40">
        <f>+O6+O11+O16+O19+O27+O30+O33+O38</f>
        <v>745044.79783032113</v>
      </c>
      <c r="P39" s="41">
        <f>+O39/N39</f>
        <v>11.785836617078465</v>
      </c>
      <c r="Q39" s="40"/>
      <c r="R39" s="40"/>
      <c r="S39" s="41"/>
      <c r="T39" s="40">
        <f>+T6+T11+T16+T19+T27+T30+T33+T38</f>
        <v>257617.20534647666</v>
      </c>
      <c r="U39" s="40">
        <f>+U6+U11+U16+U19+U27+U30+U33+U38</f>
        <v>2736126.2378641414</v>
      </c>
      <c r="V39" s="15">
        <f>+U39-Harvest!O43</f>
        <v>0</v>
      </c>
      <c r="W39" s="10"/>
    </row>
    <row r="40" spans="1:23" x14ac:dyDescent="0.25">
      <c r="A40" s="65" t="s">
        <v>35</v>
      </c>
      <c r="B40" s="66"/>
      <c r="C40" s="66"/>
      <c r="D40" s="66"/>
      <c r="E40" s="67"/>
      <c r="F40" s="67">
        <f>+Harvest!F45</f>
        <v>16465.627210667026</v>
      </c>
      <c r="G40" s="68"/>
      <c r="H40" s="67"/>
      <c r="I40" s="67">
        <f>+Harvest!H45</f>
        <v>12397.934584068031</v>
      </c>
      <c r="J40" s="68"/>
      <c r="K40" s="67"/>
      <c r="L40" s="67">
        <f>+Harvest!J45</f>
        <v>34243.959393566714</v>
      </c>
      <c r="M40" s="68"/>
      <c r="N40" s="67"/>
      <c r="O40" s="67">
        <f>+Harvest!L45</f>
        <v>46565.299864395078</v>
      </c>
      <c r="P40" s="68"/>
      <c r="Q40" s="67"/>
      <c r="R40" s="67"/>
      <c r="S40" s="68"/>
      <c r="T40" s="67"/>
      <c r="U40" s="67">
        <f>F40+I40+L40+O40+R40</f>
        <v>109672.82105269685</v>
      </c>
    </row>
    <row r="41" spans="1:23" x14ac:dyDescent="0.25">
      <c r="A41" s="75" t="s">
        <v>32</v>
      </c>
      <c r="B41" s="76"/>
      <c r="C41" s="76"/>
      <c r="D41" s="76"/>
      <c r="E41" s="69">
        <f>E39</f>
        <v>94213.344190133212</v>
      </c>
      <c r="F41" s="69">
        <f>F39+F40</f>
        <v>839746.98774401832</v>
      </c>
      <c r="G41" s="70">
        <f>+F41/E41</f>
        <v>8.9132489135436455</v>
      </c>
      <c r="H41" s="69">
        <f>H39</f>
        <v>55588.04131966368</v>
      </c>
      <c r="I41" s="69">
        <f>I39+I40</f>
        <v>632294.6637874695</v>
      </c>
      <c r="J41" s="70"/>
      <c r="K41" s="69">
        <f>K39</f>
        <v>44600.553747660582</v>
      </c>
      <c r="L41" s="69">
        <f>L39+L40</f>
        <v>582147.30969063414</v>
      </c>
      <c r="M41" s="70">
        <f>+L41/K41</f>
        <v>13.052468204414824</v>
      </c>
      <c r="N41" s="69">
        <f>N39</f>
        <v>63215.266089019206</v>
      </c>
      <c r="O41" s="69">
        <f>O39+O40</f>
        <v>791610.09769471618</v>
      </c>
      <c r="P41" s="70">
        <f>+O41/N41</f>
        <v>12.522451405645869</v>
      </c>
      <c r="Q41" s="69">
        <f>Q39</f>
        <v>0</v>
      </c>
      <c r="R41" s="69">
        <f>R39+R40</f>
        <v>0</v>
      </c>
      <c r="S41" s="70"/>
      <c r="T41" s="69">
        <f>SUM(T39:T40)</f>
        <v>257617.20534647666</v>
      </c>
      <c r="U41" s="71">
        <f>SUM(U39:U40)</f>
        <v>2845799.0589168384</v>
      </c>
    </row>
    <row r="42" spans="1:23" x14ac:dyDescent="0.25">
      <c r="A42" s="77" t="s">
        <v>15</v>
      </c>
      <c r="B42" s="73"/>
      <c r="C42" s="73"/>
      <c r="D42" s="73"/>
      <c r="E42" s="73"/>
      <c r="F42" s="72">
        <f>Harvest!F48</f>
        <v>0.96226273949072771</v>
      </c>
      <c r="G42" s="73"/>
      <c r="H42" s="73"/>
      <c r="I42" s="72">
        <f>Harvest!H48</f>
        <v>1.2478709612187948</v>
      </c>
      <c r="J42" s="73"/>
      <c r="K42" s="73"/>
      <c r="L42" s="72">
        <f>Harvest!J48</f>
        <v>0.98441099385601316</v>
      </c>
      <c r="M42" s="73"/>
      <c r="N42" s="73"/>
      <c r="O42" s="72">
        <f>Harvest!L48</f>
        <v>1.0170302405365486</v>
      </c>
      <c r="P42" s="73"/>
      <c r="Q42" s="73"/>
      <c r="R42" s="72">
        <f>Harvest!N48</f>
        <v>0</v>
      </c>
      <c r="S42" s="73"/>
      <c r="T42" s="73"/>
      <c r="U42" s="74"/>
    </row>
  </sheetData>
  <mergeCells count="14">
    <mergeCell ref="A27:D27"/>
    <mergeCell ref="A30:D30"/>
    <mergeCell ref="A38:D38"/>
    <mergeCell ref="T2:U2"/>
    <mergeCell ref="N2:P2"/>
    <mergeCell ref="K2:M2"/>
    <mergeCell ref="H2:J2"/>
    <mergeCell ref="E2:G2"/>
    <mergeCell ref="Q2:S2"/>
    <mergeCell ref="A6:D6"/>
    <mergeCell ref="A33:D33"/>
    <mergeCell ref="A11:D11"/>
    <mergeCell ref="A16:D16"/>
    <mergeCell ref="A19:D19"/>
  </mergeCells>
  <pageMargins left="0.25" right="0.25" top="0.75" bottom="0.75" header="0.3" footer="0.3"/>
  <pageSetup scale="80" fitToHeight="0" orientation="landscape" r:id="rId1"/>
  <headerFooter>
    <oddHeader>&amp;L&amp;KFF0000PRELIMINARY ESTIMATE&amp;C&amp;KFF0000Page &amp;P</oddHeader>
  </headerFooter>
  <ignoredErrors>
    <ignoredError sqref="G6 J6 T14:U14 G16 G11 T24:U25" formula="1"/>
    <ignoredError sqref="P19" evalError="1"/>
    <ignoredError sqref="G19 M19 J19" evalError="1"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Z92"/>
  <sheetViews>
    <sheetView topLeftCell="A67" workbookViewId="0">
      <selection activeCell="C93" sqref="C93"/>
    </sheetView>
  </sheetViews>
  <sheetFormatPr defaultRowHeight="15" x14ac:dyDescent="0.25"/>
  <cols>
    <col min="1" max="1" width="12.5703125" bestFit="1" customWidth="1"/>
    <col min="2" max="2" width="10" bestFit="1" customWidth="1"/>
    <col min="3" max="3" width="9.140625" bestFit="1" customWidth="1"/>
    <col min="4" max="4" width="10.140625" bestFit="1" customWidth="1"/>
    <col min="5" max="5" width="5.5703125" bestFit="1" customWidth="1"/>
    <col min="6" max="6" width="7.85546875" bestFit="1" customWidth="1"/>
    <col min="7" max="7" width="15.85546875" bestFit="1" customWidth="1"/>
    <col min="8" max="8" width="12.5703125" style="3" bestFit="1" customWidth="1"/>
    <col min="9" max="9" width="9.7109375" style="3" bestFit="1" customWidth="1"/>
    <col min="10" max="10" width="10" style="3" bestFit="1" customWidth="1"/>
    <col min="11" max="11" width="19.7109375" style="3" bestFit="1" customWidth="1"/>
    <col min="12" max="12" width="20" style="3" bestFit="1" customWidth="1"/>
    <col min="13" max="13" width="18.7109375" style="3" bestFit="1" customWidth="1"/>
    <col min="14" max="14" width="21" style="3" bestFit="1" customWidth="1"/>
  </cols>
  <sheetData>
    <row r="1" spans="1:14" x14ac:dyDescent="0.25">
      <c r="A1" s="186" t="s">
        <v>9</v>
      </c>
      <c r="B1" s="186" t="s">
        <v>8</v>
      </c>
      <c r="C1" s="186" t="s">
        <v>29</v>
      </c>
      <c r="D1" s="186" t="s">
        <v>30</v>
      </c>
      <c r="E1" s="186" t="s">
        <v>10</v>
      </c>
      <c r="F1" s="186" t="s">
        <v>37</v>
      </c>
      <c r="G1" s="186" t="s">
        <v>48</v>
      </c>
      <c r="H1" s="198" t="s">
        <v>9</v>
      </c>
      <c r="I1" s="198" t="s">
        <v>8</v>
      </c>
      <c r="J1" s="198" t="s">
        <v>29</v>
      </c>
      <c r="K1" s="198" t="s">
        <v>30</v>
      </c>
      <c r="L1" s="198" t="s">
        <v>10</v>
      </c>
      <c r="M1" s="198" t="s">
        <v>37</v>
      </c>
      <c r="N1" s="198" t="s">
        <v>48</v>
      </c>
    </row>
    <row r="2" spans="1:14" x14ac:dyDescent="0.25">
      <c r="A2" s="187" t="s">
        <v>2</v>
      </c>
      <c r="B2" s="188">
        <v>43014</v>
      </c>
      <c r="C2" s="189">
        <v>3426.1363822012399</v>
      </c>
      <c r="D2" s="189">
        <v>44866.071671682905</v>
      </c>
      <c r="E2" s="189">
        <v>13.095238095238095</v>
      </c>
      <c r="F2" s="190">
        <v>1451</v>
      </c>
      <c r="G2" s="189">
        <v>0.52799999713897705</v>
      </c>
      <c r="H2" s="199" t="s">
        <v>2</v>
      </c>
      <c r="I2" s="200">
        <v>43129</v>
      </c>
      <c r="J2" s="201">
        <v>1672.6813617607268</v>
      </c>
      <c r="K2" s="201">
        <v>23086.892748953287</v>
      </c>
      <c r="L2" s="201">
        <v>13.802325581395349</v>
      </c>
      <c r="M2" s="202">
        <v>1480</v>
      </c>
      <c r="N2" s="201">
        <v>0.55419999361038208</v>
      </c>
    </row>
    <row r="3" spans="1:14" x14ac:dyDescent="0.25">
      <c r="A3" s="187" t="s">
        <v>2</v>
      </c>
      <c r="B3" s="188">
        <v>43015</v>
      </c>
      <c r="C3" s="189">
        <v>4238.6363866038555</v>
      </c>
      <c r="D3" s="189">
        <v>56732.517789928534</v>
      </c>
      <c r="E3" s="189">
        <v>13.384615384615385</v>
      </c>
      <c r="F3" s="190">
        <v>1448</v>
      </c>
      <c r="G3" s="189">
        <v>0.52799999713897705</v>
      </c>
      <c r="H3" s="199" t="s">
        <v>2</v>
      </c>
      <c r="I3" s="200">
        <v>43131</v>
      </c>
      <c r="J3" s="201">
        <v>1536.064725692007</v>
      </c>
      <c r="K3" s="201">
        <v>16464.693778511202</v>
      </c>
      <c r="L3" s="201">
        <v>10.71875</v>
      </c>
      <c r="M3" s="202">
        <v>1484</v>
      </c>
      <c r="N3" s="201">
        <v>0.51223331689834595</v>
      </c>
    </row>
    <row r="4" spans="1:14" x14ac:dyDescent="0.25">
      <c r="A4" s="187" t="s">
        <v>65</v>
      </c>
      <c r="B4" s="188">
        <v>43014</v>
      </c>
      <c r="C4" s="189">
        <v>4660.8313347735839</v>
      </c>
      <c r="D4" s="189">
        <v>59331.123207523182</v>
      </c>
      <c r="E4" s="189">
        <v>12.72972972972973</v>
      </c>
      <c r="F4" s="190">
        <v>1452</v>
      </c>
      <c r="G4" s="189">
        <v>0.68550002574920654</v>
      </c>
      <c r="H4" s="199" t="s">
        <v>2</v>
      </c>
      <c r="I4" s="200">
        <v>43133</v>
      </c>
      <c r="J4" s="201">
        <v>1794.5167950742684</v>
      </c>
      <c r="K4" s="201">
        <v>26632.260617806758</v>
      </c>
      <c r="L4" s="201">
        <v>14.840909090909092</v>
      </c>
      <c r="M4" s="202">
        <v>1492</v>
      </c>
      <c r="N4" s="201">
        <v>0.5411333441734314</v>
      </c>
    </row>
    <row r="5" spans="1:14" x14ac:dyDescent="0.25">
      <c r="A5" s="187" t="s">
        <v>65</v>
      </c>
      <c r="B5" s="188">
        <v>43015</v>
      </c>
      <c r="C5" s="189">
        <v>5756.8394525957247</v>
      </c>
      <c r="D5" s="189">
        <v>64854.394458148701</v>
      </c>
      <c r="E5" s="189">
        <v>11.265625</v>
      </c>
      <c r="F5" s="190">
        <v>1453</v>
      </c>
      <c r="G5" s="189">
        <v>0.68533331155776978</v>
      </c>
      <c r="H5" s="199" t="s">
        <v>65</v>
      </c>
      <c r="I5" s="200">
        <v>43131</v>
      </c>
      <c r="J5" s="201">
        <v>3926.9550659923161</v>
      </c>
      <c r="K5" s="201">
        <v>37565.400348266121</v>
      </c>
      <c r="L5" s="201">
        <v>9.566037735849056</v>
      </c>
      <c r="M5" s="202">
        <v>1487</v>
      </c>
      <c r="N5" s="201">
        <v>0.63583332300186157</v>
      </c>
    </row>
    <row r="6" spans="1:14" x14ac:dyDescent="0.25">
      <c r="A6" s="187" t="s">
        <v>3</v>
      </c>
      <c r="B6" s="188">
        <v>43014</v>
      </c>
      <c r="C6" s="189">
        <v>1822.6058614097517</v>
      </c>
      <c r="D6" s="189">
        <v>22068.308808420777</v>
      </c>
      <c r="E6" s="189">
        <v>12.108108108108109</v>
      </c>
      <c r="F6" s="190">
        <v>1446</v>
      </c>
      <c r="G6" s="189">
        <v>0.55923330783843994</v>
      </c>
      <c r="H6" s="199" t="s">
        <v>65</v>
      </c>
      <c r="I6" s="200">
        <v>43132</v>
      </c>
      <c r="J6" s="201">
        <v>1877.6732732307071</v>
      </c>
      <c r="K6" s="201">
        <v>7927.9538203074299</v>
      </c>
      <c r="L6" s="201">
        <v>4.2222222222222223</v>
      </c>
      <c r="M6" s="202">
        <v>1488</v>
      </c>
      <c r="N6" s="201">
        <v>0.70139998197555542</v>
      </c>
    </row>
    <row r="7" spans="1:14" x14ac:dyDescent="0.25">
      <c r="A7" s="187" t="s">
        <v>3</v>
      </c>
      <c r="B7" s="188">
        <v>43015</v>
      </c>
      <c r="C7" s="189">
        <v>3043.5071584190155</v>
      </c>
      <c r="D7" s="189">
        <v>39185.154664644819</v>
      </c>
      <c r="E7" s="189">
        <v>12.875</v>
      </c>
      <c r="F7" s="190">
        <v>1449</v>
      </c>
      <c r="G7" s="189">
        <v>0.50336664915084839</v>
      </c>
      <c r="H7" s="199" t="s">
        <v>65</v>
      </c>
      <c r="I7" s="200">
        <v>43133</v>
      </c>
      <c r="J7" s="201">
        <v>2725.4986274551584</v>
      </c>
      <c r="K7" s="201">
        <v>20147.313383344997</v>
      </c>
      <c r="L7" s="201">
        <v>7.3921568627450984</v>
      </c>
      <c r="M7" s="202">
        <v>1489</v>
      </c>
      <c r="N7" s="201">
        <v>0.68533331155776978</v>
      </c>
    </row>
    <row r="8" spans="1:14" x14ac:dyDescent="0.25">
      <c r="A8" s="187" t="s">
        <v>1</v>
      </c>
      <c r="B8" s="188">
        <v>43014</v>
      </c>
      <c r="C8" s="189">
        <v>2649.7090568226663</v>
      </c>
      <c r="D8" s="189">
        <v>31868.122440164498</v>
      </c>
      <c r="E8" s="189">
        <v>12.027027027027026</v>
      </c>
      <c r="F8" s="190">
        <v>1447</v>
      </c>
      <c r="G8" s="189">
        <v>0.52713334560394287</v>
      </c>
      <c r="H8" s="199" t="s">
        <v>65</v>
      </c>
      <c r="I8" s="200">
        <v>43134</v>
      </c>
      <c r="J8" s="201">
        <v>2939.4456186888397</v>
      </c>
      <c r="K8" s="201">
        <v>21120.461112060555</v>
      </c>
      <c r="L8" s="201">
        <v>7.1851851851851851</v>
      </c>
      <c r="M8" s="202">
        <v>1490</v>
      </c>
      <c r="N8" s="201">
        <v>0.68533331155776978</v>
      </c>
    </row>
    <row r="9" spans="1:14" x14ac:dyDescent="0.25">
      <c r="A9" s="187" t="s">
        <v>1</v>
      </c>
      <c r="B9" s="188">
        <v>43015</v>
      </c>
      <c r="C9" s="189">
        <v>2716.9167560704705</v>
      </c>
      <c r="D9" s="189">
        <v>34583.126844219041</v>
      </c>
      <c r="E9" s="189">
        <v>12.728813559322035</v>
      </c>
      <c r="F9" s="190">
        <v>1450</v>
      </c>
      <c r="G9" s="189">
        <v>0.52713334560394287</v>
      </c>
      <c r="H9" s="199" t="s">
        <v>3</v>
      </c>
      <c r="I9" s="200">
        <v>43128</v>
      </c>
      <c r="J9" s="201">
        <v>3309.812047724502</v>
      </c>
      <c r="K9" s="201">
        <v>32700.943031518087</v>
      </c>
      <c r="L9" s="201">
        <v>9.8800000000000008</v>
      </c>
      <c r="M9" s="202">
        <v>1479</v>
      </c>
      <c r="N9" s="201">
        <v>0.55153334140777588</v>
      </c>
    </row>
    <row r="10" spans="1:14" x14ac:dyDescent="0.25">
      <c r="H10" s="199" t="s">
        <v>3</v>
      </c>
      <c r="I10" s="200">
        <v>43130</v>
      </c>
      <c r="J10" s="201">
        <v>1641.6503864742772</v>
      </c>
      <c r="K10" s="201">
        <v>22187.931004691403</v>
      </c>
      <c r="L10" s="201">
        <v>13.515625</v>
      </c>
      <c r="M10" s="202">
        <v>1482</v>
      </c>
      <c r="N10" s="201">
        <v>0.56012499332427979</v>
      </c>
    </row>
    <row r="11" spans="1:14" x14ac:dyDescent="0.25">
      <c r="A11" s="192" t="s">
        <v>9</v>
      </c>
      <c r="B11" s="192" t="s">
        <v>8</v>
      </c>
      <c r="C11" s="192" t="s">
        <v>29</v>
      </c>
      <c r="D11" s="192" t="s">
        <v>30</v>
      </c>
      <c r="E11" s="192" t="s">
        <v>10</v>
      </c>
      <c r="F11" s="192" t="s">
        <v>37</v>
      </c>
      <c r="G11" s="192" t="s">
        <v>48</v>
      </c>
      <c r="H11" s="199" t="s">
        <v>3</v>
      </c>
      <c r="I11" s="200">
        <v>43132</v>
      </c>
      <c r="J11" s="201">
        <v>752.93029571854231</v>
      </c>
      <c r="K11" s="201">
        <v>2094.0873849671957</v>
      </c>
      <c r="L11" s="201">
        <v>2.78125</v>
      </c>
      <c r="M11" s="202">
        <v>1486</v>
      </c>
      <c r="N11" s="201">
        <v>0.50336664915084839</v>
      </c>
    </row>
    <row r="12" spans="1:14" x14ac:dyDescent="0.25">
      <c r="A12" s="193" t="s">
        <v>2</v>
      </c>
      <c r="B12" s="194">
        <v>43041</v>
      </c>
      <c r="C12" s="195">
        <v>1614.9208962737284</v>
      </c>
      <c r="D12" s="195">
        <v>18054.815620340283</v>
      </c>
      <c r="E12" s="195">
        <v>11.18</v>
      </c>
      <c r="F12" s="196">
        <v>1454</v>
      </c>
      <c r="G12" s="195">
        <v>0.47435000538825989</v>
      </c>
      <c r="H12" s="199" t="s">
        <v>3</v>
      </c>
      <c r="I12" s="200">
        <v>43134</v>
      </c>
      <c r="J12" s="201">
        <v>3460.3387553179659</v>
      </c>
      <c r="K12" s="201">
        <v>14152.396707143143</v>
      </c>
      <c r="L12" s="201">
        <v>4.0898876404494384</v>
      </c>
      <c r="M12" s="202">
        <v>1494</v>
      </c>
      <c r="N12" s="201">
        <v>0.56012499332427979</v>
      </c>
    </row>
    <row r="13" spans="1:14" x14ac:dyDescent="0.25">
      <c r="A13" s="193" t="s">
        <v>2</v>
      </c>
      <c r="B13" s="194">
        <v>43043</v>
      </c>
      <c r="C13" s="195">
        <v>3440.2610990175535</v>
      </c>
      <c r="D13" s="195">
        <v>34486.519797468645</v>
      </c>
      <c r="E13" s="195">
        <v>10.024390243902438</v>
      </c>
      <c r="F13" s="196">
        <v>1455</v>
      </c>
      <c r="G13" s="195">
        <v>0.52060002088546753</v>
      </c>
      <c r="H13" s="199" t="s">
        <v>1</v>
      </c>
      <c r="I13" s="200">
        <v>43130</v>
      </c>
      <c r="J13" s="201">
        <v>2202.2820257761196</v>
      </c>
      <c r="K13" s="201">
        <v>26193.09898742236</v>
      </c>
      <c r="L13" s="201">
        <v>11.893617021276595</v>
      </c>
      <c r="M13" s="202">
        <v>1481</v>
      </c>
      <c r="N13" s="201">
        <v>0.45135000348091125</v>
      </c>
    </row>
    <row r="14" spans="1:14" x14ac:dyDescent="0.25">
      <c r="A14" s="193" t="s">
        <v>65</v>
      </c>
      <c r="B14" s="194">
        <v>43042</v>
      </c>
      <c r="C14" s="195">
        <v>4680.4718978078581</v>
      </c>
      <c r="D14" s="195">
        <v>69789.179190527895</v>
      </c>
      <c r="E14" s="195">
        <v>14.910714285714286</v>
      </c>
      <c r="F14" s="196">
        <v>1461</v>
      </c>
      <c r="G14" s="195">
        <v>0.63583332300186157</v>
      </c>
      <c r="H14" s="199" t="s">
        <v>1</v>
      </c>
      <c r="I14" s="200">
        <v>43131</v>
      </c>
      <c r="J14" s="201">
        <v>1251.4093065243394</v>
      </c>
      <c r="K14" s="201">
        <v>14663.252526448239</v>
      </c>
      <c r="L14" s="201">
        <v>11.717391304347826</v>
      </c>
      <c r="M14" s="202">
        <v>1483</v>
      </c>
      <c r="N14" s="201">
        <v>0.52713334560394287</v>
      </c>
    </row>
    <row r="15" spans="1:14" x14ac:dyDescent="0.25">
      <c r="A15" s="193" t="s">
        <v>65</v>
      </c>
      <c r="B15" s="194">
        <v>43043</v>
      </c>
      <c r="C15" s="195">
        <v>6891.5371839500567</v>
      </c>
      <c r="D15" s="195">
        <v>84636.69104038665</v>
      </c>
      <c r="E15" s="195">
        <v>12.28125</v>
      </c>
      <c r="F15" s="196">
        <v>1462</v>
      </c>
      <c r="G15" s="195">
        <v>0.68533331155776978</v>
      </c>
      <c r="H15" s="199" t="s">
        <v>1</v>
      </c>
      <c r="I15" s="200">
        <v>43132</v>
      </c>
      <c r="J15" s="201">
        <v>498.87254563458293</v>
      </c>
      <c r="K15" s="201">
        <v>2619.08086458156</v>
      </c>
      <c r="L15" s="201">
        <v>5.25</v>
      </c>
      <c r="M15" s="202">
        <v>1485</v>
      </c>
      <c r="N15" s="201">
        <v>0.52824997901916504</v>
      </c>
    </row>
    <row r="16" spans="1:14" x14ac:dyDescent="0.25">
      <c r="A16" s="199" t="s">
        <v>65</v>
      </c>
      <c r="B16" s="200">
        <v>43044</v>
      </c>
      <c r="C16" s="201">
        <v>3455.4281994162106</v>
      </c>
      <c r="D16" s="201">
        <v>48075.522774486417</v>
      </c>
      <c r="E16" s="201">
        <v>13.913043478260869</v>
      </c>
      <c r="F16" s="202">
        <v>1463</v>
      </c>
      <c r="G16" s="201">
        <v>0.67979997396469116</v>
      </c>
      <c r="H16" s="199" t="s">
        <v>1</v>
      </c>
      <c r="I16" s="200">
        <v>43133</v>
      </c>
      <c r="J16" s="201">
        <v>1126.2051132597842</v>
      </c>
      <c r="K16" s="201">
        <v>11141.386299034293</v>
      </c>
      <c r="L16" s="201">
        <v>9.8928571428571423</v>
      </c>
      <c r="M16" s="202">
        <v>1491</v>
      </c>
      <c r="N16" s="201">
        <v>0.43947499990463257</v>
      </c>
    </row>
    <row r="17" spans="1:14" x14ac:dyDescent="0.25">
      <c r="A17" s="193" t="s">
        <v>3</v>
      </c>
      <c r="B17" s="194">
        <v>43042</v>
      </c>
      <c r="C17" s="195">
        <v>2325.3313695325974</v>
      </c>
      <c r="D17" s="195">
        <v>34879.970542988958</v>
      </c>
      <c r="E17" s="195">
        <v>15</v>
      </c>
      <c r="F17" s="196">
        <v>1456</v>
      </c>
      <c r="G17" s="195">
        <v>0.55419999361038208</v>
      </c>
      <c r="H17" s="199" t="s">
        <v>1</v>
      </c>
      <c r="I17" s="200">
        <v>43134</v>
      </c>
      <c r="J17" s="201">
        <v>2006.9818724160286</v>
      </c>
      <c r="K17" s="201">
        <v>21150.501270845838</v>
      </c>
      <c r="L17" s="201">
        <v>10.538461538461538</v>
      </c>
      <c r="M17" s="202">
        <v>1493</v>
      </c>
      <c r="N17" s="201">
        <v>0.51243335008621216</v>
      </c>
    </row>
    <row r="18" spans="1:14" x14ac:dyDescent="0.25">
      <c r="A18" s="193" t="s">
        <v>3</v>
      </c>
      <c r="B18" s="194">
        <v>43044</v>
      </c>
      <c r="C18" s="195">
        <v>903.2638230655557</v>
      </c>
      <c r="D18" s="195">
        <v>12473.643270905293</v>
      </c>
      <c r="E18" s="195">
        <v>13.80952380952381</v>
      </c>
      <c r="F18" s="196">
        <v>1457</v>
      </c>
      <c r="G18" s="195">
        <v>0.43303334712982178</v>
      </c>
    </row>
    <row r="19" spans="1:14" x14ac:dyDescent="0.25">
      <c r="A19" s="193" t="s">
        <v>1</v>
      </c>
      <c r="B19" s="194">
        <v>43042</v>
      </c>
      <c r="C19" s="195">
        <v>1819.852652705895</v>
      </c>
      <c r="D19" s="195">
        <v>27297.789790588424</v>
      </c>
      <c r="E19" s="195">
        <v>15</v>
      </c>
      <c r="F19" s="196">
        <v>1458</v>
      </c>
      <c r="G19" s="195">
        <v>0.51243335008621216</v>
      </c>
    </row>
    <row r="20" spans="1:14" x14ac:dyDescent="0.25">
      <c r="A20" s="193" t="s">
        <v>1</v>
      </c>
      <c r="B20" s="194">
        <v>43043</v>
      </c>
      <c r="C20" s="195">
        <v>2265.5675723624577</v>
      </c>
      <c r="D20" s="195">
        <v>29150.302764396954</v>
      </c>
      <c r="E20" s="195">
        <v>12.866666666666667</v>
      </c>
      <c r="F20" s="196">
        <v>1459</v>
      </c>
      <c r="G20" s="195">
        <v>0.51243335008621216</v>
      </c>
    </row>
    <row r="21" spans="1:14" x14ac:dyDescent="0.25">
      <c r="A21" s="193" t="s">
        <v>1</v>
      </c>
      <c r="B21" s="194">
        <v>43044</v>
      </c>
      <c r="C21" s="195">
        <v>1180.7914589772981</v>
      </c>
      <c r="D21" s="195">
        <v>16767.238717477634</v>
      </c>
      <c r="E21" s="195">
        <v>14.2</v>
      </c>
      <c r="F21" s="196">
        <v>1460</v>
      </c>
      <c r="G21" s="195">
        <v>0.51243335008621216</v>
      </c>
    </row>
    <row r="23" spans="1:14" x14ac:dyDescent="0.25">
      <c r="A23" s="198" t="s">
        <v>9</v>
      </c>
      <c r="B23" s="198" t="s">
        <v>8</v>
      </c>
      <c r="C23" s="198" t="s">
        <v>29</v>
      </c>
      <c r="D23" s="198" t="s">
        <v>30</v>
      </c>
      <c r="E23" s="198" t="s">
        <v>10</v>
      </c>
      <c r="F23" s="198" t="s">
        <v>37</v>
      </c>
      <c r="G23" s="198" t="s">
        <v>48</v>
      </c>
    </row>
    <row r="24" spans="1:14" x14ac:dyDescent="0.25">
      <c r="A24" s="199" t="s">
        <v>2</v>
      </c>
      <c r="B24" s="200">
        <v>43070</v>
      </c>
      <c r="C24" s="201">
        <v>3949.461874041262</v>
      </c>
      <c r="D24" s="201">
        <v>39640.895106117852</v>
      </c>
      <c r="E24" s="201">
        <v>10.037037037037036</v>
      </c>
      <c r="F24" s="202">
        <v>1464</v>
      </c>
      <c r="G24" s="201">
        <v>0.4094499945640564</v>
      </c>
    </row>
    <row r="25" spans="1:14" x14ac:dyDescent="0.25">
      <c r="A25" s="199" t="s">
        <v>2</v>
      </c>
      <c r="B25" s="200">
        <v>43072</v>
      </c>
      <c r="C25" s="201">
        <v>2633.5444309642371</v>
      </c>
      <c r="D25" s="201">
        <v>39359.518586410966</v>
      </c>
      <c r="E25" s="201">
        <v>14.945454545454545</v>
      </c>
      <c r="F25" s="202">
        <v>1465</v>
      </c>
      <c r="G25" s="201">
        <v>0.52666664123535156</v>
      </c>
    </row>
    <row r="26" spans="1:14" x14ac:dyDescent="0.25">
      <c r="A26" s="199" t="s">
        <v>65</v>
      </c>
      <c r="B26" s="200">
        <v>43071</v>
      </c>
      <c r="C26" s="201">
        <v>6124.7000519843932</v>
      </c>
      <c r="D26" s="201">
        <v>16694.746915892938</v>
      </c>
      <c r="E26" s="201">
        <v>2.725806451612903</v>
      </c>
      <c r="F26" s="202">
        <v>1470</v>
      </c>
      <c r="G26" s="201">
        <v>0.6165199875831604</v>
      </c>
    </row>
    <row r="27" spans="1:14" x14ac:dyDescent="0.25">
      <c r="A27" s="199" t="s">
        <v>65</v>
      </c>
      <c r="B27" s="200">
        <v>43072</v>
      </c>
      <c r="C27" s="201">
        <v>4443.4717513991654</v>
      </c>
      <c r="D27" s="201">
        <v>48336.302466439709</v>
      </c>
      <c r="E27" s="201">
        <v>10.878048780487806</v>
      </c>
      <c r="F27" s="202">
        <v>1471</v>
      </c>
      <c r="G27" s="201">
        <v>0.68550002574920654</v>
      </c>
    </row>
    <row r="28" spans="1:14" x14ac:dyDescent="0.25">
      <c r="A28" s="199" t="s">
        <v>65</v>
      </c>
      <c r="B28" s="200">
        <v>43073</v>
      </c>
      <c r="C28" s="201">
        <v>1009.4820919134022</v>
      </c>
      <c r="D28" s="201">
        <v>13555.902377122828</v>
      </c>
      <c r="E28" s="201">
        <v>13.428571428571429</v>
      </c>
      <c r="F28" s="202">
        <v>1472</v>
      </c>
      <c r="G28" s="201">
        <v>0.68550002574920654</v>
      </c>
    </row>
    <row r="29" spans="1:14" x14ac:dyDescent="0.25">
      <c r="A29" s="199" t="s">
        <v>3</v>
      </c>
      <c r="B29" s="200">
        <v>43071</v>
      </c>
      <c r="C29" s="201">
        <v>4821.3345201974307</v>
      </c>
      <c r="D29" s="201">
        <v>46887.478208920016</v>
      </c>
      <c r="E29" s="201">
        <v>9.7249999999999996</v>
      </c>
      <c r="F29" s="202">
        <v>1466</v>
      </c>
      <c r="G29" s="201">
        <v>0.56996667385101318</v>
      </c>
    </row>
    <row r="30" spans="1:14" x14ac:dyDescent="0.25">
      <c r="A30" s="199" t="s">
        <v>3</v>
      </c>
      <c r="B30" s="200">
        <v>43073</v>
      </c>
      <c r="C30" s="201">
        <v>744.93701289444209</v>
      </c>
      <c r="D30" s="201">
        <v>8630.3678323136592</v>
      </c>
      <c r="E30" s="201">
        <v>11.585365853658537</v>
      </c>
      <c r="F30" s="202">
        <v>1467</v>
      </c>
      <c r="G30" s="201">
        <v>0.54640001058578491</v>
      </c>
    </row>
    <row r="31" spans="1:14" x14ac:dyDescent="0.25">
      <c r="A31" s="199" t="s">
        <v>1</v>
      </c>
      <c r="B31" s="200">
        <v>43071</v>
      </c>
      <c r="C31" s="201">
        <v>4064.1207376627131</v>
      </c>
      <c r="D31" s="201">
        <v>29299.475085475373</v>
      </c>
      <c r="E31" s="201">
        <v>7.2093023255813957</v>
      </c>
      <c r="F31" s="202">
        <v>1468</v>
      </c>
      <c r="G31" s="201">
        <v>0.45135000348091125</v>
      </c>
    </row>
    <row r="32" spans="1:14" x14ac:dyDescent="0.25">
      <c r="A32" s="199" t="s">
        <v>1</v>
      </c>
      <c r="B32" s="200">
        <v>43072</v>
      </c>
      <c r="C32" s="201">
        <v>2154.0200595283322</v>
      </c>
      <c r="D32" s="201">
        <v>31879.496881019317</v>
      </c>
      <c r="E32" s="201">
        <v>14.8</v>
      </c>
      <c r="F32" s="202">
        <v>1469</v>
      </c>
      <c r="G32" s="201">
        <v>0.53109997510910034</v>
      </c>
    </row>
    <row r="34" spans="1:26" x14ac:dyDescent="0.25">
      <c r="A34" s="198" t="s">
        <v>9</v>
      </c>
      <c r="B34" s="198" t="s">
        <v>8</v>
      </c>
      <c r="C34" s="198" t="s">
        <v>29</v>
      </c>
      <c r="D34" s="198" t="s">
        <v>30</v>
      </c>
      <c r="E34" s="198" t="s">
        <v>10</v>
      </c>
      <c r="F34" s="198" t="s">
        <v>37</v>
      </c>
      <c r="G34" s="198" t="s">
        <v>48</v>
      </c>
    </row>
    <row r="35" spans="1:26" x14ac:dyDescent="0.25">
      <c r="A35" s="199" t="s">
        <v>2</v>
      </c>
      <c r="B35" s="200">
        <v>43100</v>
      </c>
      <c r="C35" s="201">
        <v>5638.6723779872646</v>
      </c>
      <c r="D35" s="201">
        <v>78692.648333969322</v>
      </c>
      <c r="E35" s="201">
        <v>13.955882352941176</v>
      </c>
      <c r="F35" s="202">
        <v>1474</v>
      </c>
      <c r="G35" s="201">
        <v>0.52060002088546753</v>
      </c>
    </row>
    <row r="36" spans="1:26" x14ac:dyDescent="0.25">
      <c r="A36" s="199" t="s">
        <v>65</v>
      </c>
      <c r="B36" s="200">
        <v>43100</v>
      </c>
      <c r="C36" s="201">
        <v>10048.344436304662</v>
      </c>
      <c r="D36" s="201">
        <v>121997.20745103227</v>
      </c>
      <c r="E36" s="201">
        <v>12.141025641025641</v>
      </c>
      <c r="F36" s="202">
        <v>1473</v>
      </c>
      <c r="G36" s="201">
        <v>0.67742502689361572</v>
      </c>
    </row>
    <row r="37" spans="1:26" x14ac:dyDescent="0.25">
      <c r="A37" s="199" t="s">
        <v>3</v>
      </c>
      <c r="B37" s="200">
        <v>43100</v>
      </c>
      <c r="C37" s="201">
        <v>4267.8101159377966</v>
      </c>
      <c r="D37" s="201">
        <v>59602.175757062323</v>
      </c>
      <c r="E37" s="201">
        <v>13.96551724137931</v>
      </c>
      <c r="F37" s="202">
        <v>1475</v>
      </c>
      <c r="G37" s="201">
        <v>0.55419999361038208</v>
      </c>
    </row>
    <row r="38" spans="1:26" x14ac:dyDescent="0.25">
      <c r="A38" s="199" t="s">
        <v>3</v>
      </c>
      <c r="B38" s="200">
        <v>43101</v>
      </c>
      <c r="C38" s="201">
        <v>3769.6180372715939</v>
      </c>
      <c r="D38" s="201">
        <v>56544.270559073913</v>
      </c>
      <c r="E38" s="201">
        <v>15</v>
      </c>
      <c r="F38" s="202">
        <v>1477</v>
      </c>
      <c r="G38" s="201">
        <v>0.50336664915084839</v>
      </c>
    </row>
    <row r="39" spans="1:26" x14ac:dyDescent="0.25">
      <c r="A39" s="199" t="s">
        <v>1</v>
      </c>
      <c r="B39" s="200">
        <v>43100</v>
      </c>
      <c r="C39" s="201">
        <v>4862.5623800940566</v>
      </c>
      <c r="D39" s="201">
        <v>65644.592131269761</v>
      </c>
      <c r="E39" s="201">
        <v>13.5</v>
      </c>
      <c r="F39" s="202">
        <v>1476</v>
      </c>
      <c r="G39" s="201">
        <v>0.51243335008621216</v>
      </c>
    </row>
    <row r="40" spans="1:26" x14ac:dyDescent="0.25">
      <c r="A40" s="199" t="s">
        <v>1</v>
      </c>
      <c r="B40" s="200">
        <v>43101</v>
      </c>
      <c r="C40" s="201">
        <v>4436.4911999642227</v>
      </c>
      <c r="D40" s="201">
        <v>57876.044290442362</v>
      </c>
      <c r="E40" s="201">
        <v>13.045454545454545</v>
      </c>
      <c r="F40" s="202">
        <v>1478</v>
      </c>
      <c r="G40" s="201">
        <v>0.52713334560394287</v>
      </c>
    </row>
    <row r="43" spans="1:26" x14ac:dyDescent="0.25">
      <c r="A43" s="198" t="s">
        <v>37</v>
      </c>
      <c r="B43" s="198" t="s">
        <v>9</v>
      </c>
      <c r="C43" s="198" t="s">
        <v>8</v>
      </c>
      <c r="D43" s="198" t="s">
        <v>67</v>
      </c>
      <c r="E43" s="198" t="s">
        <v>45</v>
      </c>
      <c r="F43" s="198" t="s">
        <v>68</v>
      </c>
      <c r="G43" s="198" t="s">
        <v>54</v>
      </c>
      <c r="H43" s="198" t="s">
        <v>69</v>
      </c>
      <c r="I43" s="198" t="s">
        <v>70</v>
      </c>
      <c r="J43" s="198" t="s">
        <v>71</v>
      </c>
      <c r="K43" s="198" t="s">
        <v>72</v>
      </c>
      <c r="L43" s="198" t="s">
        <v>73</v>
      </c>
      <c r="M43" s="198" t="s">
        <v>74</v>
      </c>
      <c r="N43" s="198" t="s">
        <v>75</v>
      </c>
      <c r="O43" s="198" t="s">
        <v>76</v>
      </c>
      <c r="P43" s="198" t="s">
        <v>10</v>
      </c>
      <c r="Q43" s="198" t="s">
        <v>48</v>
      </c>
      <c r="R43" s="198" t="s">
        <v>77</v>
      </c>
      <c r="S43" s="198" t="s">
        <v>78</v>
      </c>
      <c r="T43" s="198" t="s">
        <v>79</v>
      </c>
      <c r="U43" s="198" t="s">
        <v>80</v>
      </c>
      <c r="V43" s="198" t="s">
        <v>81</v>
      </c>
      <c r="W43" s="198" t="s">
        <v>82</v>
      </c>
      <c r="X43" s="198" t="s">
        <v>83</v>
      </c>
      <c r="Y43" s="198" t="s">
        <v>84</v>
      </c>
    </row>
    <row r="44" spans="1:26" x14ac:dyDescent="0.25">
      <c r="A44" s="205">
        <v>1473</v>
      </c>
      <c r="B44" s="206" t="s">
        <v>65</v>
      </c>
      <c r="C44" s="207">
        <v>43100</v>
      </c>
      <c r="D44" s="208">
        <v>43100</v>
      </c>
      <c r="E44" s="205">
        <v>-1.2</v>
      </c>
      <c r="F44" s="207">
        <v>0.71666666666666667</v>
      </c>
      <c r="G44" s="206" t="s">
        <v>85</v>
      </c>
      <c r="H44" s="205">
        <v>211</v>
      </c>
      <c r="I44" s="209"/>
      <c r="J44" s="209"/>
      <c r="K44" s="209"/>
      <c r="L44" s="209"/>
      <c r="M44" s="209"/>
      <c r="N44" s="209"/>
      <c r="O44" s="209"/>
      <c r="P44" s="210">
        <v>12.141025641025641</v>
      </c>
      <c r="Q44" s="210">
        <v>0.67742502689361572</v>
      </c>
      <c r="R44" s="205">
        <v>1</v>
      </c>
      <c r="S44" s="210">
        <v>211</v>
      </c>
      <c r="T44" s="210">
        <v>311.47358249747083</v>
      </c>
      <c r="U44" s="210">
        <v>3781.6087516039083</v>
      </c>
      <c r="V44" s="209"/>
      <c r="W44" s="209"/>
      <c r="X44" s="209"/>
      <c r="Y44" s="209"/>
      <c r="Z44">
        <f>+U44/T44</f>
        <v>12.141025641025641</v>
      </c>
    </row>
    <row r="45" spans="1:26" x14ac:dyDescent="0.25">
      <c r="A45" s="205">
        <v>1473</v>
      </c>
      <c r="B45" s="206" t="s">
        <v>65</v>
      </c>
      <c r="C45" s="207">
        <v>43100</v>
      </c>
      <c r="D45" s="208">
        <v>43100</v>
      </c>
      <c r="E45" s="205">
        <v>-1.2</v>
      </c>
      <c r="F45" s="207">
        <v>0.71666666666666667</v>
      </c>
      <c r="G45" s="206" t="s">
        <v>86</v>
      </c>
      <c r="H45" s="205">
        <v>957</v>
      </c>
      <c r="I45" s="209"/>
      <c r="J45" s="209"/>
      <c r="K45" s="209"/>
      <c r="L45" s="209"/>
      <c r="M45" s="209"/>
      <c r="N45" s="209"/>
      <c r="O45" s="209"/>
      <c r="P45" s="210">
        <v>12.141025641025641</v>
      </c>
      <c r="Q45" s="210">
        <v>0.67742502689361572</v>
      </c>
      <c r="R45" s="205">
        <v>1</v>
      </c>
      <c r="S45" s="210">
        <v>957</v>
      </c>
      <c r="T45" s="210">
        <v>1412.7024571093818</v>
      </c>
      <c r="U45" s="210">
        <v>17151.656754904929</v>
      </c>
      <c r="V45" s="209"/>
      <c r="W45" s="209"/>
      <c r="X45" s="209"/>
      <c r="Y45" s="209"/>
    </row>
    <row r="46" spans="1:26" x14ac:dyDescent="0.25">
      <c r="A46" s="205">
        <v>1473</v>
      </c>
      <c r="B46" s="206" t="s">
        <v>65</v>
      </c>
      <c r="C46" s="207">
        <v>43100</v>
      </c>
      <c r="D46" s="208">
        <v>43100</v>
      </c>
      <c r="E46" s="205">
        <v>-1.2</v>
      </c>
      <c r="F46" s="207">
        <v>0.71666666666666667</v>
      </c>
      <c r="G46" s="206" t="s">
        <v>87</v>
      </c>
      <c r="H46" s="205">
        <v>1071</v>
      </c>
      <c r="I46" s="209"/>
      <c r="J46" s="209"/>
      <c r="K46" s="209"/>
      <c r="L46" s="209"/>
      <c r="M46" s="209"/>
      <c r="N46" s="209"/>
      <c r="O46" s="209"/>
      <c r="P46" s="210">
        <v>12.141025641025641</v>
      </c>
      <c r="Q46" s="210">
        <v>0.67742502689361572</v>
      </c>
      <c r="R46" s="205">
        <v>1</v>
      </c>
      <c r="S46" s="210">
        <v>1071</v>
      </c>
      <c r="T46" s="210">
        <v>1580.9867623449823</v>
      </c>
      <c r="U46" s="210">
        <v>19194.800819752541</v>
      </c>
      <c r="V46" s="209"/>
      <c r="W46" s="209"/>
      <c r="X46" s="209"/>
      <c r="Y46" s="209"/>
    </row>
    <row r="47" spans="1:26" x14ac:dyDescent="0.25">
      <c r="A47" s="205">
        <v>1473</v>
      </c>
      <c r="B47" s="206" t="s">
        <v>65</v>
      </c>
      <c r="C47" s="207">
        <v>43100</v>
      </c>
      <c r="D47" s="208">
        <v>43100</v>
      </c>
      <c r="E47" s="205">
        <v>-1.2</v>
      </c>
      <c r="F47" s="207">
        <v>0.71666666666666667</v>
      </c>
      <c r="G47" s="206" t="s">
        <v>88</v>
      </c>
      <c r="H47" s="205">
        <v>339</v>
      </c>
      <c r="I47" s="209"/>
      <c r="J47" s="209"/>
      <c r="K47" s="209"/>
      <c r="L47" s="209"/>
      <c r="M47" s="209"/>
      <c r="N47" s="209"/>
      <c r="O47" s="209"/>
      <c r="P47" s="210">
        <v>12.141025641025641</v>
      </c>
      <c r="Q47" s="210">
        <v>0.67742502689361572</v>
      </c>
      <c r="R47" s="205">
        <v>1</v>
      </c>
      <c r="S47" s="210">
        <v>339</v>
      </c>
      <c r="T47" s="210">
        <v>500.42438135849574</v>
      </c>
      <c r="U47" s="210">
        <v>6075.6652454678906</v>
      </c>
      <c r="V47" s="209"/>
      <c r="W47" s="209"/>
      <c r="X47" s="209"/>
      <c r="Y47" s="209"/>
    </row>
    <row r="48" spans="1:26" x14ac:dyDescent="0.25">
      <c r="A48" s="205">
        <v>1473</v>
      </c>
      <c r="B48" s="206" t="s">
        <v>65</v>
      </c>
      <c r="C48" s="207">
        <v>43100</v>
      </c>
      <c r="D48" s="208">
        <v>43100</v>
      </c>
      <c r="E48" s="205">
        <v>-1.2</v>
      </c>
      <c r="F48" s="207">
        <v>0.71666666666666667</v>
      </c>
      <c r="G48" s="206" t="s">
        <v>89</v>
      </c>
      <c r="H48" s="205">
        <v>1261</v>
      </c>
      <c r="I48" s="209"/>
      <c r="J48" s="209"/>
      <c r="K48" s="205">
        <v>23</v>
      </c>
      <c r="L48" s="205">
        <v>23</v>
      </c>
      <c r="M48" s="205">
        <v>291</v>
      </c>
      <c r="N48" s="209"/>
      <c r="O48" s="209"/>
      <c r="P48" s="210">
        <v>12.141025641025641</v>
      </c>
      <c r="Q48" s="210">
        <v>0.67742502689361572</v>
      </c>
      <c r="R48" s="205">
        <v>1</v>
      </c>
      <c r="S48" s="210">
        <v>1261</v>
      </c>
      <c r="T48" s="210">
        <v>1861.460604404316</v>
      </c>
      <c r="U48" s="210">
        <v>22600.040927831888</v>
      </c>
      <c r="V48" s="211">
        <v>1.2355888674506869E-2</v>
      </c>
      <c r="W48" s="209"/>
      <c r="X48" s="209"/>
      <c r="Y48" s="209"/>
    </row>
    <row r="49" spans="1:25" x14ac:dyDescent="0.25">
      <c r="A49" s="205">
        <v>1473</v>
      </c>
      <c r="B49" s="206" t="s">
        <v>65</v>
      </c>
      <c r="C49" s="207">
        <v>43100</v>
      </c>
      <c r="D49" s="208">
        <v>43100</v>
      </c>
      <c r="E49" s="205">
        <v>-1.2</v>
      </c>
      <c r="F49" s="207">
        <v>0.71666666666666667</v>
      </c>
      <c r="G49" s="206" t="s">
        <v>90</v>
      </c>
      <c r="H49" s="205">
        <v>1355</v>
      </c>
      <c r="I49" s="209"/>
      <c r="J49" s="209"/>
      <c r="K49" s="205">
        <v>31</v>
      </c>
      <c r="L49" s="205">
        <v>31</v>
      </c>
      <c r="M49" s="205">
        <v>364</v>
      </c>
      <c r="N49" s="209"/>
      <c r="O49" s="209"/>
      <c r="P49" s="210">
        <v>12.141025641025641</v>
      </c>
      <c r="Q49" s="210">
        <v>0.67742502689361572</v>
      </c>
      <c r="R49" s="205">
        <v>1</v>
      </c>
      <c r="S49" s="210">
        <v>1355</v>
      </c>
      <c r="T49" s="210">
        <v>2000.2213473178813</v>
      </c>
      <c r="U49" s="210">
        <v>24284.73866551325</v>
      </c>
      <c r="V49" s="211">
        <v>1.5498284748119621E-2</v>
      </c>
      <c r="W49" s="209"/>
      <c r="X49" s="209"/>
      <c r="Y49" s="209"/>
    </row>
    <row r="50" spans="1:25" x14ac:dyDescent="0.25">
      <c r="A50" s="205">
        <v>1473</v>
      </c>
      <c r="B50" s="206" t="s">
        <v>65</v>
      </c>
      <c r="C50" s="207">
        <v>43100</v>
      </c>
      <c r="D50" s="208">
        <v>43100</v>
      </c>
      <c r="E50" s="205">
        <v>-1.2</v>
      </c>
      <c r="F50" s="207">
        <v>0.71666666666666667</v>
      </c>
      <c r="G50" s="206" t="s">
        <v>91</v>
      </c>
      <c r="H50" s="205">
        <v>1613</v>
      </c>
      <c r="I50" s="209"/>
      <c r="J50" s="209"/>
      <c r="K50" s="205">
        <v>24</v>
      </c>
      <c r="L50" s="205">
        <v>24</v>
      </c>
      <c r="M50" s="205">
        <v>292</v>
      </c>
      <c r="N50" s="209"/>
      <c r="O50" s="209"/>
      <c r="P50" s="210">
        <v>12.141025641025641</v>
      </c>
      <c r="Q50" s="210">
        <v>0.67742502689361572</v>
      </c>
      <c r="R50" s="205">
        <v>1</v>
      </c>
      <c r="S50" s="210">
        <v>1613</v>
      </c>
      <c r="T50" s="210">
        <v>2381.0753012721348</v>
      </c>
      <c r="U50" s="210">
        <v>28908.696285957842</v>
      </c>
      <c r="V50" s="211">
        <v>1.0079479631399118E-2</v>
      </c>
      <c r="W50" s="209"/>
      <c r="X50" s="209"/>
      <c r="Y50" s="209"/>
    </row>
    <row r="54" spans="1:25" x14ac:dyDescent="0.25">
      <c r="A54" s="224" t="s">
        <v>9</v>
      </c>
      <c r="B54" s="224" t="s">
        <v>8</v>
      </c>
      <c r="C54" s="224" t="s">
        <v>29</v>
      </c>
      <c r="D54" s="224" t="s">
        <v>30</v>
      </c>
      <c r="E54" s="224" t="s">
        <v>10</v>
      </c>
      <c r="F54" s="224" t="s">
        <v>37</v>
      </c>
      <c r="G54" s="224" t="s">
        <v>48</v>
      </c>
    </row>
    <row r="55" spans="1:25" x14ac:dyDescent="0.25">
      <c r="A55" s="225" t="s">
        <v>3</v>
      </c>
      <c r="B55" s="226">
        <v>43161</v>
      </c>
      <c r="C55" s="227">
        <v>2929.6059829179594</v>
      </c>
      <c r="D55" s="227">
        <v>30422.831361071123</v>
      </c>
      <c r="E55" s="227">
        <v>10.384615384615385</v>
      </c>
      <c r="F55" s="228">
        <v>1496</v>
      </c>
      <c r="G55" s="227">
        <v>0.56996667385101318</v>
      </c>
    </row>
    <row r="56" spans="1:25" x14ac:dyDescent="0.25">
      <c r="A56" s="225" t="s">
        <v>3</v>
      </c>
      <c r="B56" s="226">
        <v>43162</v>
      </c>
      <c r="C56" s="227">
        <v>2810.3760416516275</v>
      </c>
      <c r="D56" s="227">
        <v>21047.922694922825</v>
      </c>
      <c r="E56" s="227">
        <v>7.4893617021276597</v>
      </c>
      <c r="F56" s="228">
        <v>1497</v>
      </c>
      <c r="G56" s="227">
        <v>0.53485000133514404</v>
      </c>
    </row>
    <row r="58" spans="1:25" x14ac:dyDescent="0.25">
      <c r="A58" s="224" t="s">
        <v>9</v>
      </c>
      <c r="B58" s="224" t="s">
        <v>8</v>
      </c>
      <c r="C58" s="224" t="s">
        <v>29</v>
      </c>
      <c r="D58" s="224" t="s">
        <v>30</v>
      </c>
      <c r="E58" s="224" t="s">
        <v>10</v>
      </c>
      <c r="F58" s="224" t="s">
        <v>37</v>
      </c>
      <c r="G58" s="224" t="s">
        <v>48</v>
      </c>
    </row>
    <row r="59" spans="1:25" x14ac:dyDescent="0.25">
      <c r="A59" s="225" t="s">
        <v>2</v>
      </c>
      <c r="B59" s="226">
        <v>43175</v>
      </c>
      <c r="C59" s="227">
        <v>1988.9524336416273</v>
      </c>
      <c r="D59" s="227">
        <v>27816.508673393771</v>
      </c>
      <c r="E59" s="227">
        <v>13.985507246376812</v>
      </c>
      <c r="F59" s="228">
        <v>1498</v>
      </c>
      <c r="G59" s="227">
        <v>0.89999997615814209</v>
      </c>
    </row>
    <row r="60" spans="1:25" x14ac:dyDescent="0.25">
      <c r="A60" s="225" t="s">
        <v>2</v>
      </c>
      <c r="B60" s="226">
        <v>43176</v>
      </c>
      <c r="C60" s="227">
        <v>3248.4676935295429</v>
      </c>
      <c r="D60" s="227">
        <v>47102.781556178372</v>
      </c>
      <c r="E60" s="227">
        <v>14.5</v>
      </c>
      <c r="F60" s="228">
        <v>1499</v>
      </c>
      <c r="G60" s="227">
        <v>0.80000001192092896</v>
      </c>
    </row>
    <row r="61" spans="1:25" x14ac:dyDescent="0.25">
      <c r="A61" s="225" t="s">
        <v>65</v>
      </c>
      <c r="B61" s="226">
        <v>43176</v>
      </c>
      <c r="C61" s="227">
        <v>5121.2979604601387</v>
      </c>
      <c r="D61" s="227">
        <v>69649.652262257878</v>
      </c>
      <c r="E61" s="227">
        <v>13.6</v>
      </c>
      <c r="F61" s="228">
        <v>1503</v>
      </c>
      <c r="G61" s="227">
        <v>0.65334999561309814</v>
      </c>
    </row>
    <row r="62" spans="1:25" x14ac:dyDescent="0.25">
      <c r="A62" s="225" t="s">
        <v>3</v>
      </c>
      <c r="B62" s="226">
        <v>43175</v>
      </c>
      <c r="C62" s="227">
        <v>1225.9035961904442</v>
      </c>
      <c r="D62" s="227">
        <v>16682.228667078074</v>
      </c>
      <c r="E62" s="227">
        <v>13.608108108108109</v>
      </c>
      <c r="F62" s="228">
        <v>1500</v>
      </c>
      <c r="G62" s="227">
        <v>0.80000001192092896</v>
      </c>
    </row>
    <row r="63" spans="1:25" x14ac:dyDescent="0.25">
      <c r="A63" s="225" t="s">
        <v>3</v>
      </c>
      <c r="B63" s="226">
        <v>43176</v>
      </c>
      <c r="C63" s="227">
        <v>1217.0476397738169</v>
      </c>
      <c r="D63" s="227">
        <v>17787.619350540401</v>
      </c>
      <c r="E63" s="227">
        <v>14.615384615384615</v>
      </c>
      <c r="F63" s="228">
        <v>1501</v>
      </c>
      <c r="G63" s="227">
        <v>0.69999998807907104</v>
      </c>
    </row>
    <row r="64" spans="1:25" x14ac:dyDescent="0.25">
      <c r="A64" s="225" t="s">
        <v>1</v>
      </c>
      <c r="B64" s="226">
        <v>43176</v>
      </c>
      <c r="C64" s="227">
        <v>2122.6414778041394</v>
      </c>
      <c r="D64" s="227">
        <v>27169.810915892987</v>
      </c>
      <c r="E64" s="227">
        <v>12.8</v>
      </c>
      <c r="F64" s="228">
        <v>1502</v>
      </c>
      <c r="G64" s="227">
        <v>0.80000001192092896</v>
      </c>
    </row>
    <row r="66" spans="1:12" x14ac:dyDescent="0.25">
      <c r="A66" s="224" t="s">
        <v>9</v>
      </c>
      <c r="B66" s="224" t="s">
        <v>8</v>
      </c>
      <c r="C66" s="224" t="s">
        <v>29</v>
      </c>
      <c r="D66" s="224" t="s">
        <v>30</v>
      </c>
      <c r="E66" s="224" t="s">
        <v>10</v>
      </c>
      <c r="F66" s="224" t="s">
        <v>37</v>
      </c>
      <c r="G66" s="224" t="s">
        <v>48</v>
      </c>
    </row>
    <row r="67" spans="1:12" x14ac:dyDescent="0.25">
      <c r="A67" s="225" t="s">
        <v>2</v>
      </c>
      <c r="B67" s="226">
        <v>43211</v>
      </c>
      <c r="C67" s="227">
        <v>8955.6059516882142</v>
      </c>
      <c r="D67" s="227">
        <v>90302.360012856167</v>
      </c>
      <c r="E67" s="227">
        <v>10.083333333333334</v>
      </c>
      <c r="F67" s="228">
        <v>1510</v>
      </c>
      <c r="G67" s="227">
        <v>0.55872499942779541</v>
      </c>
    </row>
    <row r="68" spans="1:12" x14ac:dyDescent="0.25">
      <c r="A68" s="225" t="s">
        <v>65</v>
      </c>
      <c r="B68" s="226">
        <v>43211</v>
      </c>
      <c r="C68" s="227">
        <v>14489.358855122526</v>
      </c>
      <c r="D68" s="227">
        <v>75596.654896291438</v>
      </c>
      <c r="E68" s="227">
        <v>5.2173913043478262</v>
      </c>
      <c r="F68" s="228">
        <v>1516</v>
      </c>
      <c r="G68" s="227">
        <v>0.55683332681655884</v>
      </c>
    </row>
    <row r="69" spans="1:12" x14ac:dyDescent="0.25">
      <c r="A69" s="225" t="s">
        <v>65</v>
      </c>
      <c r="B69" s="226">
        <v>43212</v>
      </c>
      <c r="C69" s="227">
        <v>16062.008389038469</v>
      </c>
      <c r="D69" s="227">
        <v>83823.606280294509</v>
      </c>
      <c r="E69" s="227">
        <v>5.21875</v>
      </c>
      <c r="F69" s="228">
        <v>1517</v>
      </c>
      <c r="G69" s="227">
        <v>0.52315998077392578</v>
      </c>
    </row>
    <row r="70" spans="1:12" x14ac:dyDescent="0.25">
      <c r="A70" s="225" t="s">
        <v>3</v>
      </c>
      <c r="B70" s="226">
        <v>43209</v>
      </c>
      <c r="C70" s="227">
        <v>5046.899768175901</v>
      </c>
      <c r="D70" s="227">
        <v>71182.315480314268</v>
      </c>
      <c r="E70" s="227">
        <v>14.104166666666666</v>
      </c>
      <c r="F70" s="228">
        <v>1509</v>
      </c>
      <c r="G70" s="227">
        <v>0.71073335409164429</v>
      </c>
    </row>
    <row r="71" spans="1:12" x14ac:dyDescent="0.25">
      <c r="A71" s="225" t="s">
        <v>3</v>
      </c>
      <c r="B71" s="226">
        <v>43210</v>
      </c>
      <c r="C71" s="227">
        <v>6878.7372125569755</v>
      </c>
      <c r="D71" s="227">
        <v>98577.178951603913</v>
      </c>
      <c r="E71" s="227">
        <v>14.330708661417322</v>
      </c>
      <c r="F71" s="228">
        <v>1512</v>
      </c>
      <c r="G71" s="227">
        <v>0.70652502775192261</v>
      </c>
    </row>
    <row r="72" spans="1:12" x14ac:dyDescent="0.25">
      <c r="A72" s="225" t="s">
        <v>3</v>
      </c>
      <c r="B72" s="226">
        <v>43211</v>
      </c>
      <c r="C72" s="227">
        <v>5719.1917689786433</v>
      </c>
      <c r="D72" s="227">
        <v>83946.102914161107</v>
      </c>
      <c r="E72" s="227">
        <v>14.677966101694915</v>
      </c>
      <c r="F72" s="228">
        <v>1511</v>
      </c>
      <c r="G72" s="227">
        <v>0.6881374716758728</v>
      </c>
    </row>
    <row r="73" spans="1:12" x14ac:dyDescent="0.25">
      <c r="A73" s="225" t="s">
        <v>3</v>
      </c>
      <c r="B73" s="226">
        <v>43212</v>
      </c>
      <c r="C73" s="227">
        <v>6524.3646948103651</v>
      </c>
      <c r="D73" s="227">
        <v>80269.456548272981</v>
      </c>
      <c r="E73" s="227">
        <v>12.303030303030303</v>
      </c>
      <c r="F73" s="228">
        <v>1513</v>
      </c>
      <c r="G73" s="227">
        <v>0.70038747787475586</v>
      </c>
    </row>
    <row r="74" spans="1:12" x14ac:dyDescent="0.25">
      <c r="A74" s="225" t="s">
        <v>1</v>
      </c>
      <c r="B74" s="226">
        <v>43211</v>
      </c>
      <c r="C74" s="227">
        <v>11415.612236898753</v>
      </c>
      <c r="D74" s="227">
        <v>99071.20619879989</v>
      </c>
      <c r="E74" s="227">
        <v>8.6785714285714288</v>
      </c>
      <c r="F74" s="228">
        <v>1514</v>
      </c>
      <c r="G74" s="227">
        <v>0.46279999613761902</v>
      </c>
    </row>
    <row r="75" spans="1:12" x14ac:dyDescent="0.25">
      <c r="A75" s="225" t="s">
        <v>1</v>
      </c>
      <c r="B75" s="226">
        <v>43212</v>
      </c>
      <c r="C75" s="227">
        <v>8121.6632362131058</v>
      </c>
      <c r="D75" s="227">
        <v>85491.191960137963</v>
      </c>
      <c r="E75" s="227">
        <v>10.526315789473685</v>
      </c>
      <c r="F75" s="228">
        <v>1515</v>
      </c>
      <c r="G75" s="227">
        <v>0.39809998869895935</v>
      </c>
    </row>
    <row r="78" spans="1:12" x14ac:dyDescent="0.25">
      <c r="A78" s="239" t="s">
        <v>9</v>
      </c>
      <c r="B78" s="239" t="s">
        <v>8</v>
      </c>
      <c r="C78" s="239" t="s">
        <v>29</v>
      </c>
      <c r="D78" s="239" t="s">
        <v>30</v>
      </c>
      <c r="E78" s="239" t="s">
        <v>10</v>
      </c>
      <c r="F78" s="239" t="s">
        <v>37</v>
      </c>
      <c r="G78" s="239" t="s">
        <v>48</v>
      </c>
      <c r="J78" s="239" t="s">
        <v>9</v>
      </c>
      <c r="K78" s="239" t="s">
        <v>8</v>
      </c>
      <c r="L78" s="239" t="s">
        <v>29</v>
      </c>
    </row>
    <row r="79" spans="1:12" x14ac:dyDescent="0.25">
      <c r="A79" s="240" t="s">
        <v>2</v>
      </c>
      <c r="B79" s="241">
        <v>43014</v>
      </c>
      <c r="C79" s="242">
        <v>3426.1363822012399</v>
      </c>
      <c r="D79" s="242">
        <v>44866.071671682905</v>
      </c>
      <c r="E79" s="242">
        <v>13.095238095238095</v>
      </c>
      <c r="F79" s="243">
        <v>1451</v>
      </c>
      <c r="G79" s="242">
        <v>0.52799999713897705</v>
      </c>
      <c r="I79" s="8">
        <v>3426.1363822012399</v>
      </c>
      <c r="J79" s="240" t="s">
        <v>2</v>
      </c>
      <c r="K79" s="241">
        <v>43014</v>
      </c>
      <c r="L79" s="242">
        <v>3426.1363822012399</v>
      </c>
    </row>
    <row r="80" spans="1:12" x14ac:dyDescent="0.25">
      <c r="A80" s="240" t="s">
        <v>2</v>
      </c>
      <c r="B80" s="241">
        <v>43015</v>
      </c>
      <c r="C80" s="242">
        <v>4238.6363866038555</v>
      </c>
      <c r="D80" s="242">
        <v>56732.517789928534</v>
      </c>
      <c r="E80" s="242">
        <v>13.384615384615385</v>
      </c>
      <c r="F80" s="243">
        <v>1448</v>
      </c>
      <c r="G80" s="242">
        <v>0.52799999713897705</v>
      </c>
      <c r="I80" s="8">
        <v>4238.6363866038555</v>
      </c>
      <c r="J80" s="240" t="s">
        <v>2</v>
      </c>
      <c r="K80" s="241">
        <v>43015</v>
      </c>
      <c r="L80" s="242">
        <v>4238.6363866038555</v>
      </c>
    </row>
    <row r="81" spans="1:12" x14ac:dyDescent="0.25">
      <c r="A81" s="240" t="s">
        <v>2</v>
      </c>
      <c r="B81" s="241">
        <v>43041</v>
      </c>
      <c r="C81" s="242">
        <v>1614.9208962737284</v>
      </c>
      <c r="D81" s="242">
        <v>18054.815620340283</v>
      </c>
      <c r="E81" s="242">
        <v>11.18</v>
      </c>
      <c r="F81" s="243">
        <v>1454</v>
      </c>
      <c r="G81" s="242">
        <v>0.47435000538825989</v>
      </c>
      <c r="I81" s="8">
        <v>1463.9528470794103</v>
      </c>
      <c r="J81" s="240" t="s">
        <v>2</v>
      </c>
      <c r="K81" s="241">
        <v>43041</v>
      </c>
      <c r="L81" s="242">
        <v>1614.9208962737284</v>
      </c>
    </row>
    <row r="82" spans="1:12" x14ac:dyDescent="0.25">
      <c r="A82" s="240" t="s">
        <v>2</v>
      </c>
      <c r="B82" s="241">
        <v>43043</v>
      </c>
      <c r="C82" s="242">
        <v>3440.2610990175535</v>
      </c>
      <c r="D82" s="242">
        <v>34486.519797468645</v>
      </c>
      <c r="E82" s="242">
        <v>10.024390243902438</v>
      </c>
      <c r="F82" s="243">
        <v>1455</v>
      </c>
      <c r="G82" s="242">
        <v>0.52060002088546753</v>
      </c>
      <c r="I82" s="8">
        <v>3440.2610990175535</v>
      </c>
      <c r="J82" s="240" t="s">
        <v>2</v>
      </c>
      <c r="K82" s="241">
        <v>43043</v>
      </c>
      <c r="L82" s="242">
        <v>3440.2610990175535</v>
      </c>
    </row>
    <row r="83" spans="1:12" x14ac:dyDescent="0.25">
      <c r="A83" s="240" t="s">
        <v>2</v>
      </c>
      <c r="B83" s="241">
        <v>43070</v>
      </c>
      <c r="C83" s="242">
        <v>3949.461874041262</v>
      </c>
      <c r="D83" s="242">
        <v>39640.895106117852</v>
      </c>
      <c r="E83" s="242">
        <v>10.037037037037036</v>
      </c>
      <c r="F83" s="243">
        <v>1464</v>
      </c>
      <c r="G83" s="242">
        <v>0.4094499945640564</v>
      </c>
      <c r="I83" s="8">
        <v>3949.461874041262</v>
      </c>
      <c r="J83" s="240" t="s">
        <v>2</v>
      </c>
      <c r="K83" s="241">
        <v>43070</v>
      </c>
      <c r="L83" s="242">
        <v>3949.461874041262</v>
      </c>
    </row>
    <row r="84" spans="1:12" x14ac:dyDescent="0.25">
      <c r="A84" s="240" t="s">
        <v>2</v>
      </c>
      <c r="B84" s="241">
        <v>43072</v>
      </c>
      <c r="C84" s="242">
        <v>2633.5444309642371</v>
      </c>
      <c r="D84" s="242">
        <v>39359.518586410966</v>
      </c>
      <c r="E84" s="242">
        <v>14.945454545454545</v>
      </c>
      <c r="F84" s="243">
        <v>1465</v>
      </c>
      <c r="G84" s="242">
        <v>0.52666664123535156</v>
      </c>
      <c r="I84" s="8">
        <v>2633.5444309642371</v>
      </c>
      <c r="J84" s="240" t="s">
        <v>2</v>
      </c>
      <c r="K84" s="241">
        <v>43072</v>
      </c>
      <c r="L84" s="242">
        <v>2633.5444309642371</v>
      </c>
    </row>
    <row r="85" spans="1:12" x14ac:dyDescent="0.25">
      <c r="A85" s="240" t="s">
        <v>2</v>
      </c>
      <c r="B85" s="241">
        <v>43100</v>
      </c>
      <c r="C85" s="242">
        <v>5638.6723779872646</v>
      </c>
      <c r="D85" s="242">
        <v>78692.648333969322</v>
      </c>
      <c r="E85" s="242">
        <v>13.955882352941176</v>
      </c>
      <c r="F85" s="243">
        <v>1474</v>
      </c>
      <c r="G85" s="242">
        <v>0.52060002088546753</v>
      </c>
      <c r="I85" s="8">
        <v>5638.6723779872646</v>
      </c>
      <c r="J85" s="240" t="s">
        <v>2</v>
      </c>
      <c r="K85" s="241">
        <v>43100</v>
      </c>
      <c r="L85" s="242">
        <v>5638.6723779872646</v>
      </c>
    </row>
    <row r="86" spans="1:12" x14ac:dyDescent="0.25">
      <c r="A86" s="240" t="s">
        <v>2</v>
      </c>
      <c r="B86" s="241">
        <v>43129</v>
      </c>
      <c r="C86" s="242">
        <v>1672.6813617607268</v>
      </c>
      <c r="D86" s="242">
        <v>23086.892748953287</v>
      </c>
      <c r="E86" s="242">
        <v>13.802325581395349</v>
      </c>
      <c r="F86" s="243">
        <v>1480</v>
      </c>
      <c r="G86" s="242">
        <v>0.55419999361038208</v>
      </c>
      <c r="I86" s="8">
        <v>1672.6813617607268</v>
      </c>
      <c r="J86" s="240" t="s">
        <v>2</v>
      </c>
      <c r="K86" s="241">
        <v>43129</v>
      </c>
      <c r="L86" s="242">
        <v>1672.6813617607268</v>
      </c>
    </row>
    <row r="87" spans="1:12" x14ac:dyDescent="0.25">
      <c r="A87" s="240" t="s">
        <v>2</v>
      </c>
      <c r="B87" s="241">
        <v>43131</v>
      </c>
      <c r="C87" s="242">
        <v>1536.064725692007</v>
      </c>
      <c r="D87" s="242">
        <v>16464.693778511202</v>
      </c>
      <c r="E87" s="242">
        <v>10.71875</v>
      </c>
      <c r="F87" s="243">
        <v>1484</v>
      </c>
      <c r="G87" s="242">
        <v>0.51223331689834595</v>
      </c>
      <c r="I87" s="8">
        <v>1536.064725692007</v>
      </c>
      <c r="J87" s="240" t="s">
        <v>2</v>
      </c>
      <c r="K87" s="241">
        <v>43131</v>
      </c>
      <c r="L87" s="242">
        <v>1536.064725692007</v>
      </c>
    </row>
    <row r="88" spans="1:12" x14ac:dyDescent="0.25">
      <c r="A88" s="240" t="s">
        <v>2</v>
      </c>
      <c r="B88" s="241">
        <v>43133</v>
      </c>
      <c r="C88" s="242">
        <v>1794.5167950742684</v>
      </c>
      <c r="D88" s="242">
        <v>26632.260617806758</v>
      </c>
      <c r="E88" s="242">
        <v>14.840909090909092</v>
      </c>
      <c r="F88" s="243">
        <v>1492</v>
      </c>
      <c r="G88" s="242">
        <v>0.5411333441734314</v>
      </c>
      <c r="I88" s="8">
        <v>1794.5167950742684</v>
      </c>
      <c r="J88" s="240" t="s">
        <v>2</v>
      </c>
      <c r="K88" s="241">
        <v>43133</v>
      </c>
      <c r="L88" s="242">
        <v>1794.5167950742684</v>
      </c>
    </row>
    <row r="89" spans="1:12" x14ac:dyDescent="0.25">
      <c r="A89" s="240" t="s">
        <v>2</v>
      </c>
      <c r="B89" s="241">
        <v>43175</v>
      </c>
      <c r="C89" s="242">
        <v>1988.9524336416273</v>
      </c>
      <c r="D89" s="242">
        <v>27816.508673393771</v>
      </c>
      <c r="E89" s="242">
        <v>13.985507246376812</v>
      </c>
      <c r="F89" s="243">
        <v>1498</v>
      </c>
      <c r="G89" s="242">
        <v>0.89999997615814209</v>
      </c>
      <c r="I89" s="8">
        <v>1988.9524336416273</v>
      </c>
      <c r="J89" s="240" t="s">
        <v>2</v>
      </c>
      <c r="K89" s="241">
        <v>43175</v>
      </c>
      <c r="L89" s="242">
        <v>1988.9524336416273</v>
      </c>
    </row>
    <row r="90" spans="1:12" x14ac:dyDescent="0.25">
      <c r="A90" s="240" t="s">
        <v>2</v>
      </c>
      <c r="B90" s="241">
        <v>43176</v>
      </c>
      <c r="C90" s="242">
        <v>3248.4676935295429</v>
      </c>
      <c r="D90" s="242">
        <v>47102.781556178372</v>
      </c>
      <c r="E90" s="242">
        <v>14.5</v>
      </c>
      <c r="F90" s="243">
        <v>1499</v>
      </c>
      <c r="G90" s="242">
        <v>0.80000001192092896</v>
      </c>
      <c r="I90" s="8">
        <v>3248.4676935295429</v>
      </c>
      <c r="J90" s="240" t="s">
        <v>2</v>
      </c>
      <c r="K90" s="241">
        <v>43176</v>
      </c>
      <c r="L90" s="242">
        <v>3248.4676935295429</v>
      </c>
    </row>
    <row r="91" spans="1:12" x14ac:dyDescent="0.25">
      <c r="A91" s="240" t="s">
        <v>2</v>
      </c>
      <c r="B91" s="241">
        <v>43211</v>
      </c>
      <c r="C91" s="242">
        <v>9418.2372908732741</v>
      </c>
      <c r="D91" s="242">
        <v>94967.226016305533</v>
      </c>
      <c r="E91" s="242">
        <v>10.083333333333334</v>
      </c>
      <c r="F91" s="243">
        <v>1510</v>
      </c>
      <c r="G91" s="242">
        <v>0.53127998113632202</v>
      </c>
      <c r="J91" s="240" t="s">
        <v>2</v>
      </c>
      <c r="K91" s="241">
        <v>43211</v>
      </c>
      <c r="L91" s="242">
        <v>9418.2372908732741</v>
      </c>
    </row>
    <row r="92" spans="1:12" x14ac:dyDescent="0.25">
      <c r="C92" s="238">
        <f>SUM(C79:C91)</f>
        <v>44600.553747660582</v>
      </c>
    </row>
  </sheetData>
  <pageMargins left="0.7" right="0.7" top="0.75" bottom="0.75" header="0.3" footer="0.3"/>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F1"/>
  <sheetViews>
    <sheetView zoomScaleNormal="100" workbookViewId="0">
      <selection activeCell="A17" sqref="A17"/>
    </sheetView>
  </sheetViews>
  <sheetFormatPr defaultRowHeight="15" x14ac:dyDescent="0.25"/>
  <cols>
    <col min="1" max="2" width="18.5703125" bestFit="1" customWidth="1"/>
    <col min="3" max="3" width="10.7109375" bestFit="1" customWidth="1"/>
    <col min="4" max="4" width="11.5703125" bestFit="1" customWidth="1"/>
    <col min="5" max="5" width="10.5703125" bestFit="1" customWidth="1"/>
    <col min="6" max="6" width="10.42578125" bestFit="1" customWidth="1"/>
  </cols>
  <sheetData>
    <row r="1" spans="1:6" x14ac:dyDescent="0.25">
      <c r="A1" s="111" t="s">
        <v>43</v>
      </c>
      <c r="B1" s="111" t="s">
        <v>43</v>
      </c>
      <c r="C1" s="111" t="s">
        <v>45</v>
      </c>
      <c r="D1" s="111" t="s">
        <v>44</v>
      </c>
      <c r="E1" s="111" t="s">
        <v>46</v>
      </c>
      <c r="F1" s="111" t="s">
        <v>47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pageSetUpPr fitToPage="1"/>
  </sheetPr>
  <dimension ref="A1:R44"/>
  <sheetViews>
    <sheetView topLeftCell="A16" workbookViewId="0">
      <selection activeCell="F41" sqref="F41"/>
    </sheetView>
  </sheetViews>
  <sheetFormatPr defaultRowHeight="15" x14ac:dyDescent="0.25"/>
  <cols>
    <col min="1" max="1" width="18.7109375" customWidth="1"/>
  </cols>
  <sheetData>
    <row r="1" spans="1:18" ht="15.75" thickBot="1" x14ac:dyDescent="0.3">
      <c r="A1" s="112" t="s">
        <v>63</v>
      </c>
      <c r="B1" s="112"/>
      <c r="C1" s="112"/>
      <c r="D1" s="112"/>
      <c r="E1" s="112"/>
      <c r="F1" s="112"/>
      <c r="G1" s="112"/>
      <c r="H1" s="112"/>
      <c r="I1" s="112"/>
      <c r="J1" s="112"/>
      <c r="K1" s="112"/>
      <c r="L1" s="112"/>
      <c r="M1" s="112"/>
      <c r="N1" s="112"/>
      <c r="O1" s="112"/>
      <c r="P1" s="112"/>
      <c r="Q1" s="112"/>
      <c r="R1" s="112"/>
    </row>
    <row r="2" spans="1:18" ht="15.75" thickTop="1" x14ac:dyDescent="0.25">
      <c r="A2" s="23"/>
      <c r="B2" s="23"/>
      <c r="C2" s="23"/>
      <c r="D2" s="23"/>
      <c r="E2" s="251" t="s">
        <v>21</v>
      </c>
      <c r="F2" s="252"/>
      <c r="G2" s="252"/>
      <c r="H2" s="253"/>
      <c r="I2" s="251" t="s">
        <v>22</v>
      </c>
      <c r="J2" s="252"/>
      <c r="K2" s="252"/>
      <c r="L2" s="253"/>
      <c r="M2" s="254" t="s">
        <v>23</v>
      </c>
      <c r="N2" s="255"/>
      <c r="O2" s="255"/>
      <c r="P2" s="256"/>
      <c r="Q2" s="249" t="s">
        <v>24</v>
      </c>
      <c r="R2" s="250"/>
    </row>
    <row r="3" spans="1:18" ht="15.75" thickBot="1" x14ac:dyDescent="0.3">
      <c r="A3" s="24" t="s">
        <v>25</v>
      </c>
      <c r="B3" s="24" t="s">
        <v>26</v>
      </c>
      <c r="C3" s="24" t="s">
        <v>27</v>
      </c>
      <c r="D3" s="24" t="s">
        <v>28</v>
      </c>
      <c r="E3" s="25" t="s">
        <v>29</v>
      </c>
      <c r="F3" s="24" t="s">
        <v>30</v>
      </c>
      <c r="G3" s="24" t="s">
        <v>10</v>
      </c>
      <c r="H3" s="24" t="s">
        <v>34</v>
      </c>
      <c r="I3" s="25" t="s">
        <v>29</v>
      </c>
      <c r="J3" s="24" t="s">
        <v>30</v>
      </c>
      <c r="K3" s="24" t="s">
        <v>10</v>
      </c>
      <c r="L3" s="24" t="s">
        <v>34</v>
      </c>
      <c r="M3" s="25" t="s">
        <v>29</v>
      </c>
      <c r="N3" s="24" t="s">
        <v>30</v>
      </c>
      <c r="O3" s="24" t="s">
        <v>10</v>
      </c>
      <c r="P3" s="24" t="s">
        <v>34</v>
      </c>
      <c r="Q3" s="25" t="s">
        <v>29</v>
      </c>
      <c r="R3" s="26" t="s">
        <v>30</v>
      </c>
    </row>
    <row r="4" spans="1:18" ht="15.75" thickTop="1" x14ac:dyDescent="0.25">
      <c r="A4" s="203">
        <v>43014</v>
      </c>
      <c r="B4" s="18">
        <v>42657</v>
      </c>
      <c r="C4" s="19">
        <v>-0.4</v>
      </c>
      <c r="D4" s="20">
        <v>0.8256944444444444</v>
      </c>
      <c r="E4" s="30">
        <v>3426.1363822012399</v>
      </c>
      <c r="F4" s="38">
        <v>44866.071671682905</v>
      </c>
      <c r="G4" s="89">
        <v>13.095238095238095</v>
      </c>
      <c r="H4" s="184"/>
      <c r="I4" s="30">
        <v>1822.6058614097517</v>
      </c>
      <c r="J4" s="38">
        <v>22068.308808420777</v>
      </c>
      <c r="K4" s="89">
        <v>12.108108108108109</v>
      </c>
      <c r="L4" s="184"/>
      <c r="M4" s="185" t="s">
        <v>62</v>
      </c>
      <c r="N4" s="184" t="s">
        <v>62</v>
      </c>
      <c r="O4" s="184" t="s">
        <v>62</v>
      </c>
      <c r="P4" s="184"/>
      <c r="Q4" s="30">
        <f>+E4+I4</f>
        <v>5248.7422436109919</v>
      </c>
      <c r="R4" s="38">
        <f>+F4+J4</f>
        <v>66934.380480103689</v>
      </c>
    </row>
    <row r="5" spans="1:18" x14ac:dyDescent="0.25">
      <c r="A5" s="203">
        <v>43015</v>
      </c>
      <c r="B5" s="18">
        <v>42658</v>
      </c>
      <c r="C5" s="19">
        <v>-0.7</v>
      </c>
      <c r="D5" s="20">
        <v>0.85625000000000007</v>
      </c>
      <c r="E5" s="30">
        <v>4238.6363866038555</v>
      </c>
      <c r="F5" s="31">
        <v>56732.517789928534</v>
      </c>
      <c r="G5" s="28">
        <v>13.384615384615387</v>
      </c>
      <c r="H5" s="28"/>
      <c r="I5" s="30">
        <v>3043.5071584190155</v>
      </c>
      <c r="J5" s="31">
        <v>39185.154664644819</v>
      </c>
      <c r="K5" s="28">
        <v>12.874999999999998</v>
      </c>
      <c r="L5" s="28"/>
      <c r="M5" s="30" t="s">
        <v>62</v>
      </c>
      <c r="N5" s="31" t="s">
        <v>62</v>
      </c>
      <c r="O5" s="28" t="s">
        <v>62</v>
      </c>
      <c r="P5" s="28"/>
      <c r="Q5" s="30">
        <f>+E5+I5</f>
        <v>7282.143545022871</v>
      </c>
      <c r="R5" s="31">
        <f>+F5+J5</f>
        <v>95917.67245457336</v>
      </c>
    </row>
    <row r="6" spans="1:18" x14ac:dyDescent="0.25">
      <c r="A6" s="247" t="s">
        <v>31</v>
      </c>
      <c r="B6" s="247"/>
      <c r="C6" s="247"/>
      <c r="D6" s="248"/>
      <c r="E6" s="34">
        <f>SUM(E4:E5)</f>
        <v>7664.7727688050954</v>
      </c>
      <c r="F6" s="35">
        <f>SUM(F4:F5)</f>
        <v>101598.58946161144</v>
      </c>
      <c r="G6" s="33">
        <f>+F6/E6</f>
        <v>13.255264379801075</v>
      </c>
      <c r="H6" s="191"/>
      <c r="I6" s="34">
        <f>SUM(I4:I5)</f>
        <v>4866.1130198287674</v>
      </c>
      <c r="J6" s="35">
        <f>SUM(J4:J5)</f>
        <v>61253.463473065596</v>
      </c>
      <c r="K6" s="33">
        <f>+J6/I6</f>
        <v>12.587760132875218</v>
      </c>
      <c r="L6" s="191"/>
      <c r="M6" s="34"/>
      <c r="N6" s="35"/>
      <c r="O6" s="35"/>
      <c r="P6" s="33"/>
      <c r="Q6" s="34">
        <f>SUM(Q4:Q5)</f>
        <v>12530.885788633863</v>
      </c>
      <c r="R6" s="35">
        <f>SUM(R4:R5)</f>
        <v>162852.05293467705</v>
      </c>
    </row>
    <row r="7" spans="1:18" x14ac:dyDescent="0.25">
      <c r="A7" s="203">
        <v>43041</v>
      </c>
      <c r="B7" s="5">
        <v>43041</v>
      </c>
      <c r="C7" s="13">
        <v>0.1</v>
      </c>
      <c r="D7" s="12">
        <v>0.75208333333333333</v>
      </c>
      <c r="E7" s="30">
        <v>1463.9528470794103</v>
      </c>
      <c r="F7" s="38">
        <v>18054.815620340283</v>
      </c>
      <c r="G7" s="89">
        <v>12.332921553012918</v>
      </c>
      <c r="H7" s="36"/>
      <c r="I7" s="30" t="s">
        <v>58</v>
      </c>
      <c r="J7" s="38" t="s">
        <v>58</v>
      </c>
      <c r="K7" s="89" t="s">
        <v>58</v>
      </c>
      <c r="L7" s="36"/>
      <c r="M7" s="30" t="s">
        <v>62</v>
      </c>
      <c r="N7" s="31" t="s">
        <v>62</v>
      </c>
      <c r="O7" s="28" t="s">
        <v>62</v>
      </c>
      <c r="P7" s="36"/>
      <c r="Q7" s="30">
        <f>+E7</f>
        <v>1463.9528470794103</v>
      </c>
      <c r="R7" s="38">
        <f>+F7</f>
        <v>18054.815620340283</v>
      </c>
    </row>
    <row r="8" spans="1:18" x14ac:dyDescent="0.25">
      <c r="A8" s="203">
        <v>43042</v>
      </c>
      <c r="B8" s="5">
        <v>43042</v>
      </c>
      <c r="C8" s="13">
        <v>-0.7</v>
      </c>
      <c r="D8" s="12">
        <v>0.78263888888888899</v>
      </c>
      <c r="E8" s="30" t="s">
        <v>58</v>
      </c>
      <c r="F8" s="38" t="s">
        <v>58</v>
      </c>
      <c r="G8" s="89" t="s">
        <v>58</v>
      </c>
      <c r="H8" s="36"/>
      <c r="I8" s="30">
        <v>2325.3313695325974</v>
      </c>
      <c r="J8" s="38">
        <v>34879.970542988958</v>
      </c>
      <c r="K8" s="89">
        <v>14.999999999999998</v>
      </c>
      <c r="L8" s="36"/>
      <c r="M8" s="30" t="s">
        <v>62</v>
      </c>
      <c r="N8" s="31" t="s">
        <v>62</v>
      </c>
      <c r="O8" s="28" t="s">
        <v>62</v>
      </c>
      <c r="P8" s="36"/>
      <c r="Q8" s="30">
        <f>+I8</f>
        <v>2325.3313695325974</v>
      </c>
      <c r="R8" s="38">
        <f>+J8</f>
        <v>34879.970542988958</v>
      </c>
    </row>
    <row r="9" spans="1:18" x14ac:dyDescent="0.25">
      <c r="A9" s="203">
        <v>43043</v>
      </c>
      <c r="B9" s="5">
        <v>43043</v>
      </c>
      <c r="C9" s="13">
        <v>-1.2</v>
      </c>
      <c r="D9" s="12">
        <v>0.81319444444444444</v>
      </c>
      <c r="E9" s="30">
        <v>3440.2610990175535</v>
      </c>
      <c r="F9" s="38">
        <v>34486.519797468645</v>
      </c>
      <c r="G9" s="89">
        <v>10.024390243902438</v>
      </c>
      <c r="H9" s="36"/>
      <c r="I9" s="30" t="s">
        <v>58</v>
      </c>
      <c r="J9" s="38" t="s">
        <v>58</v>
      </c>
      <c r="K9" s="89" t="s">
        <v>58</v>
      </c>
      <c r="L9" s="36"/>
      <c r="M9" s="30" t="s">
        <v>62</v>
      </c>
      <c r="N9" s="31" t="s">
        <v>62</v>
      </c>
      <c r="O9" s="28" t="s">
        <v>62</v>
      </c>
      <c r="P9" s="36"/>
      <c r="Q9" s="30">
        <f>+E9</f>
        <v>3440.2610990175535</v>
      </c>
      <c r="R9" s="38">
        <f>+F9</f>
        <v>34486.519797468645</v>
      </c>
    </row>
    <row r="10" spans="1:18" x14ac:dyDescent="0.25">
      <c r="A10" s="203">
        <v>43044</v>
      </c>
      <c r="B10" s="5">
        <v>43044</v>
      </c>
      <c r="C10" s="13">
        <v>-1.4</v>
      </c>
      <c r="D10" s="12">
        <v>0.8027777777777777</v>
      </c>
      <c r="E10" s="30" t="s">
        <v>58</v>
      </c>
      <c r="F10" s="38" t="s">
        <v>58</v>
      </c>
      <c r="G10" s="89" t="s">
        <v>58</v>
      </c>
      <c r="H10" s="36"/>
      <c r="I10" s="30">
        <v>903.2638230655557</v>
      </c>
      <c r="J10" s="38">
        <v>12473.643270905293</v>
      </c>
      <c r="K10" s="89">
        <v>13.80952380952381</v>
      </c>
      <c r="L10" s="36"/>
      <c r="M10" s="30" t="s">
        <v>62</v>
      </c>
      <c r="N10" s="31" t="s">
        <v>62</v>
      </c>
      <c r="O10" s="28" t="s">
        <v>62</v>
      </c>
      <c r="P10" s="36"/>
      <c r="Q10" s="30">
        <f>+I10</f>
        <v>903.2638230655557</v>
      </c>
      <c r="R10" s="38">
        <f>+J10</f>
        <v>12473.643270905293</v>
      </c>
    </row>
    <row r="11" spans="1:18" x14ac:dyDescent="0.25">
      <c r="A11" s="247" t="s">
        <v>31</v>
      </c>
      <c r="B11" s="247"/>
      <c r="C11" s="247"/>
      <c r="D11" s="248"/>
      <c r="E11" s="34">
        <f>SUM(E7:E10)</f>
        <v>4904.2139460969638</v>
      </c>
      <c r="F11" s="35">
        <f>SUM(F7:F10)</f>
        <v>52541.335417808928</v>
      </c>
      <c r="G11" s="33">
        <f>+F11/E11</f>
        <v>10.713508014801054</v>
      </c>
      <c r="H11" s="33"/>
      <c r="I11" s="34">
        <f>SUM(I8:I10)</f>
        <v>3228.5951925981531</v>
      </c>
      <c r="J11" s="35">
        <f>SUM(J8:J10)</f>
        <v>47353.613813894248</v>
      </c>
      <c r="K11" s="33">
        <f>+J11/I11</f>
        <v>14.666940569835667</v>
      </c>
      <c r="L11" s="33"/>
      <c r="M11" s="34"/>
      <c r="N11" s="35"/>
      <c r="O11" s="35"/>
      <c r="P11" s="33"/>
      <c r="Q11" s="34">
        <f>SUM(Q7:Q10)</f>
        <v>8132.8091386951164</v>
      </c>
      <c r="R11" s="35">
        <f>SUM(R7:R10)</f>
        <v>99894.949231703169</v>
      </c>
    </row>
    <row r="12" spans="1:18" x14ac:dyDescent="0.25">
      <c r="A12" s="203">
        <v>43070</v>
      </c>
      <c r="B12" s="5">
        <v>43070</v>
      </c>
      <c r="C12" s="13">
        <v>-0.3</v>
      </c>
      <c r="D12" s="12">
        <v>0.6958333333333333</v>
      </c>
      <c r="E12" s="30">
        <v>3949.461874041262</v>
      </c>
      <c r="F12" s="38">
        <v>39640.895106117852</v>
      </c>
      <c r="G12" s="89">
        <v>10.037037037037036</v>
      </c>
      <c r="H12" s="36"/>
      <c r="I12" s="30" t="s">
        <v>58</v>
      </c>
      <c r="J12" s="38" t="s">
        <v>58</v>
      </c>
      <c r="K12" s="36" t="s">
        <v>58</v>
      </c>
      <c r="L12" s="68"/>
      <c r="M12" s="30" t="s">
        <v>62</v>
      </c>
      <c r="N12" s="31" t="s">
        <v>62</v>
      </c>
      <c r="O12" s="28" t="s">
        <v>62</v>
      </c>
      <c r="P12" s="68"/>
      <c r="Q12" s="30">
        <f>+E12</f>
        <v>3949.461874041262</v>
      </c>
      <c r="R12" s="38">
        <f>+F12</f>
        <v>39640.895106117852</v>
      </c>
    </row>
    <row r="13" spans="1:18" x14ac:dyDescent="0.25">
      <c r="A13" s="203">
        <v>43071</v>
      </c>
      <c r="B13" s="5">
        <v>43071</v>
      </c>
      <c r="C13" s="13">
        <v>-1.1000000000000001</v>
      </c>
      <c r="D13" s="12">
        <v>0.7284722222222223</v>
      </c>
      <c r="E13" s="30" t="s">
        <v>58</v>
      </c>
      <c r="F13" s="38" t="s">
        <v>58</v>
      </c>
      <c r="G13" s="36" t="s">
        <v>58</v>
      </c>
      <c r="H13" s="68"/>
      <c r="I13" s="30">
        <v>4821.3345201974307</v>
      </c>
      <c r="J13" s="38">
        <v>46887.478208920016</v>
      </c>
      <c r="K13" s="36">
        <v>9.7249999999999996</v>
      </c>
      <c r="L13" s="68"/>
      <c r="M13" s="30" t="s">
        <v>62</v>
      </c>
      <c r="N13" s="38" t="s">
        <v>62</v>
      </c>
      <c r="O13" s="38" t="s">
        <v>62</v>
      </c>
      <c r="P13" s="68"/>
      <c r="Q13" s="30">
        <f>+I13</f>
        <v>4821.3345201974307</v>
      </c>
      <c r="R13" s="38">
        <f>+J13</f>
        <v>46887.478208920016</v>
      </c>
    </row>
    <row r="14" spans="1:18" x14ac:dyDescent="0.25">
      <c r="A14" s="203">
        <v>43072</v>
      </c>
      <c r="B14" s="5">
        <v>43072</v>
      </c>
      <c r="C14" s="13">
        <v>-1.6</v>
      </c>
      <c r="D14" s="12">
        <v>0.76041666666666663</v>
      </c>
      <c r="E14" s="30">
        <v>2633.5444309642371</v>
      </c>
      <c r="F14" s="38">
        <v>39359.518586410966</v>
      </c>
      <c r="G14" s="89">
        <v>14.945454545454547</v>
      </c>
      <c r="H14" s="36"/>
      <c r="I14" s="30" t="s">
        <v>58</v>
      </c>
      <c r="J14" s="38" t="s">
        <v>58</v>
      </c>
      <c r="K14" s="89" t="s">
        <v>58</v>
      </c>
      <c r="L14" s="36"/>
      <c r="M14" s="30" t="s">
        <v>62</v>
      </c>
      <c r="N14" s="31" t="s">
        <v>62</v>
      </c>
      <c r="O14" s="28" t="s">
        <v>62</v>
      </c>
      <c r="P14" s="36"/>
      <c r="Q14" s="30">
        <f>+E14</f>
        <v>2633.5444309642371</v>
      </c>
      <c r="R14" s="38">
        <f>+F14</f>
        <v>39359.518586410966</v>
      </c>
    </row>
    <row r="15" spans="1:18" x14ac:dyDescent="0.25">
      <c r="A15" s="203">
        <v>43073</v>
      </c>
      <c r="B15" s="5">
        <v>43073</v>
      </c>
      <c r="C15" s="13">
        <v>-1.8</v>
      </c>
      <c r="D15" s="12">
        <v>0.79305555555555562</v>
      </c>
      <c r="E15" s="30" t="s">
        <v>58</v>
      </c>
      <c r="F15" s="38" t="s">
        <v>58</v>
      </c>
      <c r="G15" s="89" t="s">
        <v>58</v>
      </c>
      <c r="H15" s="36"/>
      <c r="I15" s="30">
        <v>744.93701289444209</v>
      </c>
      <c r="J15" s="38">
        <v>8630.3678323136592</v>
      </c>
      <c r="K15" s="89">
        <v>11.585365853658537</v>
      </c>
      <c r="L15" s="36"/>
      <c r="M15" s="30" t="s">
        <v>62</v>
      </c>
      <c r="N15" s="31" t="s">
        <v>62</v>
      </c>
      <c r="O15" s="28" t="s">
        <v>62</v>
      </c>
      <c r="P15" s="36"/>
      <c r="Q15" s="30">
        <f>+I15</f>
        <v>744.93701289444209</v>
      </c>
      <c r="R15" s="38">
        <f>+J15</f>
        <v>8630.3678323136592</v>
      </c>
    </row>
    <row r="16" spans="1:18" x14ac:dyDescent="0.25">
      <c r="A16" s="247" t="s">
        <v>31</v>
      </c>
      <c r="B16" s="247"/>
      <c r="C16" s="247"/>
      <c r="D16" s="248"/>
      <c r="E16" s="34">
        <f>SUM(E12:E15)</f>
        <v>6583.0063050054996</v>
      </c>
      <c r="F16" s="35">
        <f>SUM(F12:F15)</f>
        <v>79000.413692528819</v>
      </c>
      <c r="G16" s="33">
        <f>+F16/E16</f>
        <v>12.000658974374598</v>
      </c>
      <c r="H16" s="191"/>
      <c r="I16" s="34">
        <f>SUM(I13:I15)</f>
        <v>5566.2715330918727</v>
      </c>
      <c r="J16" s="35">
        <f>SUM(J13:J15)</f>
        <v>55517.846041233672</v>
      </c>
      <c r="K16" s="33">
        <f>+J16/I16</f>
        <v>9.9739737293044737</v>
      </c>
      <c r="L16" s="191"/>
      <c r="M16" s="34"/>
      <c r="N16" s="35"/>
      <c r="O16" s="35"/>
      <c r="P16" s="33"/>
      <c r="Q16" s="34">
        <f>SUM(Q12:Q15)</f>
        <v>12149.277838097372</v>
      </c>
      <c r="R16" s="35">
        <f>SUM(R12:R15)</f>
        <v>134518.2597337625</v>
      </c>
    </row>
    <row r="17" spans="1:18" x14ac:dyDescent="0.25">
      <c r="A17" s="4">
        <v>43100</v>
      </c>
      <c r="B17" s="5">
        <v>43100</v>
      </c>
      <c r="C17" s="13">
        <v>-1.2</v>
      </c>
      <c r="D17" s="12">
        <v>0.71666666666666667</v>
      </c>
      <c r="E17" s="30">
        <v>5638.6723779872646</v>
      </c>
      <c r="F17" s="38">
        <v>78692.648333969322</v>
      </c>
      <c r="G17" s="89">
        <v>13.955882352941176</v>
      </c>
      <c r="H17" s="36"/>
      <c r="I17" s="30">
        <v>4267.8101159377966</v>
      </c>
      <c r="J17" s="38">
        <v>59602.175757062323</v>
      </c>
      <c r="K17" s="89">
        <v>13.965517241379308</v>
      </c>
      <c r="L17" s="36"/>
      <c r="M17" s="30" t="s">
        <v>58</v>
      </c>
      <c r="N17" s="31" t="s">
        <v>58</v>
      </c>
      <c r="O17" s="28" t="s">
        <v>58</v>
      </c>
      <c r="P17" s="36"/>
      <c r="Q17" s="30">
        <f>+E17+I17</f>
        <v>9906.4824939250611</v>
      </c>
      <c r="R17" s="38">
        <f>+F17+J17</f>
        <v>138294.82409103165</v>
      </c>
    </row>
    <row r="18" spans="1:18" x14ac:dyDescent="0.25">
      <c r="A18" s="4">
        <v>43101</v>
      </c>
      <c r="B18" s="5">
        <v>43101</v>
      </c>
      <c r="C18" s="13">
        <v>-1.7</v>
      </c>
      <c r="D18" s="12">
        <v>0.75138888888888899</v>
      </c>
      <c r="E18" s="30" t="s">
        <v>58</v>
      </c>
      <c r="F18" s="38" t="s">
        <v>58</v>
      </c>
      <c r="G18" s="89" t="s">
        <v>58</v>
      </c>
      <c r="H18" s="36"/>
      <c r="I18" s="30">
        <v>3769.6180372715939</v>
      </c>
      <c r="J18" s="38">
        <v>56544.270559073913</v>
      </c>
      <c r="K18" s="89">
        <v>15.000000000000002</v>
      </c>
      <c r="L18" s="36"/>
      <c r="M18" s="30" t="s">
        <v>58</v>
      </c>
      <c r="N18" s="31" t="s">
        <v>58</v>
      </c>
      <c r="O18" s="28" t="s">
        <v>58</v>
      </c>
      <c r="P18" s="36"/>
      <c r="Q18" s="30">
        <f>+I18</f>
        <v>3769.6180372715939</v>
      </c>
      <c r="R18" s="38">
        <f>+J18</f>
        <v>56544.270559073913</v>
      </c>
    </row>
    <row r="19" spans="1:18" x14ac:dyDescent="0.25">
      <c r="A19" s="247" t="s">
        <v>31</v>
      </c>
      <c r="B19" s="247"/>
      <c r="C19" s="247"/>
      <c r="D19" s="248"/>
      <c r="E19" s="34">
        <v>5638.6723779872646</v>
      </c>
      <c r="F19" s="35">
        <v>78692.648333969322</v>
      </c>
      <c r="G19" s="33">
        <v>13.955882352941176</v>
      </c>
      <c r="H19" s="191"/>
      <c r="I19" s="34">
        <v>8037.4281532093901</v>
      </c>
      <c r="J19" s="35">
        <v>116146.44631613624</v>
      </c>
      <c r="K19" s="33">
        <v>14.450697922538605</v>
      </c>
      <c r="L19" s="191"/>
      <c r="M19" s="34"/>
      <c r="N19" s="35"/>
      <c r="O19" s="35"/>
      <c r="P19" s="33"/>
      <c r="Q19" s="34">
        <f>SUM(Q17:Q18)</f>
        <v>13676.100531196655</v>
      </c>
      <c r="R19" s="35">
        <f>SUM(R17:R18)</f>
        <v>194839.09465010557</v>
      </c>
    </row>
    <row r="20" spans="1:18" x14ac:dyDescent="0.25">
      <c r="A20" s="4">
        <v>43128</v>
      </c>
      <c r="B20" s="18">
        <f>+A20</f>
        <v>43128</v>
      </c>
      <c r="C20" s="28">
        <v>-0.4</v>
      </c>
      <c r="D20" s="29">
        <v>0.67083333333333339</v>
      </c>
      <c r="E20" s="30" t="s">
        <v>58</v>
      </c>
      <c r="F20" s="38" t="s">
        <v>58</v>
      </c>
      <c r="G20" s="89" t="s">
        <v>58</v>
      </c>
      <c r="H20" s="36"/>
      <c r="I20" s="30">
        <v>3309.812047724502</v>
      </c>
      <c r="J20" s="38">
        <v>32700.943031518087</v>
      </c>
      <c r="K20" s="89">
        <v>9.8800000000000026</v>
      </c>
      <c r="L20" s="36"/>
      <c r="M20" s="30" t="s">
        <v>58</v>
      </c>
      <c r="N20" s="31" t="s">
        <v>58</v>
      </c>
      <c r="O20" s="28" t="s">
        <v>58</v>
      </c>
      <c r="P20" s="36"/>
      <c r="Q20" s="30">
        <f>+I20</f>
        <v>3309.812047724502</v>
      </c>
      <c r="R20" s="38">
        <f>+J20</f>
        <v>32700.943031518087</v>
      </c>
    </row>
    <row r="21" spans="1:18" x14ac:dyDescent="0.25">
      <c r="A21" s="4">
        <v>43129</v>
      </c>
      <c r="B21" s="18">
        <f t="shared" ref="B21:B26" si="0">+A21</f>
        <v>43129</v>
      </c>
      <c r="C21" s="28">
        <v>-1</v>
      </c>
      <c r="D21" s="29">
        <v>0.70763888888888893</v>
      </c>
      <c r="E21" s="30">
        <v>1672.6813617607268</v>
      </c>
      <c r="F21" s="38">
        <v>23086.892748953287</v>
      </c>
      <c r="G21" s="89">
        <v>13.802325581395349</v>
      </c>
      <c r="H21" s="36"/>
      <c r="I21" s="30" t="s">
        <v>58</v>
      </c>
      <c r="J21" s="38" t="s">
        <v>58</v>
      </c>
      <c r="K21" s="89" t="s">
        <v>58</v>
      </c>
      <c r="L21" s="36"/>
      <c r="M21" s="30" t="s">
        <v>58</v>
      </c>
      <c r="N21" s="31" t="s">
        <v>58</v>
      </c>
      <c r="O21" s="28" t="s">
        <v>58</v>
      </c>
      <c r="P21" s="36"/>
      <c r="Q21" s="30">
        <f>+E21</f>
        <v>1672.6813617607268</v>
      </c>
      <c r="R21" s="38">
        <f>+F21</f>
        <v>23086.892748953287</v>
      </c>
    </row>
    <row r="22" spans="1:18" x14ac:dyDescent="0.25">
      <c r="A22" s="4">
        <v>43130</v>
      </c>
      <c r="B22" s="18">
        <f t="shared" si="0"/>
        <v>43130</v>
      </c>
      <c r="C22" s="28">
        <v>-1.5</v>
      </c>
      <c r="D22" s="29">
        <v>0.74097222222222225</v>
      </c>
      <c r="E22" s="30" t="s">
        <v>58</v>
      </c>
      <c r="F22" s="38" t="s">
        <v>58</v>
      </c>
      <c r="G22" s="89" t="s">
        <v>58</v>
      </c>
      <c r="H22" s="36"/>
      <c r="I22" s="30">
        <v>1641.6503864742772</v>
      </c>
      <c r="J22" s="38">
        <v>22187.931004691403</v>
      </c>
      <c r="K22" s="89">
        <v>13.515625</v>
      </c>
      <c r="L22" s="36"/>
      <c r="M22" s="30" t="s">
        <v>58</v>
      </c>
      <c r="N22" s="31" t="s">
        <v>58</v>
      </c>
      <c r="O22" s="28" t="s">
        <v>58</v>
      </c>
      <c r="P22" s="36"/>
      <c r="Q22" s="30">
        <f>+I22</f>
        <v>1641.6503864742772</v>
      </c>
      <c r="R22" s="38">
        <f>+J22</f>
        <v>22187.931004691403</v>
      </c>
    </row>
    <row r="23" spans="1:18" x14ac:dyDescent="0.25">
      <c r="A23" s="4">
        <v>43131</v>
      </c>
      <c r="B23" s="18">
        <f t="shared" si="0"/>
        <v>43131</v>
      </c>
      <c r="C23" s="28">
        <v>-1.6</v>
      </c>
      <c r="D23" s="29">
        <v>0.7729166666666667</v>
      </c>
      <c r="E23" s="30">
        <v>1536.064725692007</v>
      </c>
      <c r="F23" s="38">
        <v>16464.693778511202</v>
      </c>
      <c r="G23" s="89">
        <v>10.718750000000002</v>
      </c>
      <c r="H23" s="36"/>
      <c r="I23" s="30" t="s">
        <v>58</v>
      </c>
      <c r="J23" s="38" t="s">
        <v>58</v>
      </c>
      <c r="K23" s="89" t="s">
        <v>58</v>
      </c>
      <c r="L23" s="36"/>
      <c r="M23" s="30" t="s">
        <v>58</v>
      </c>
      <c r="N23" s="31" t="s">
        <v>58</v>
      </c>
      <c r="O23" s="28" t="s">
        <v>58</v>
      </c>
      <c r="P23" s="36"/>
      <c r="Q23" s="30">
        <f>+E23</f>
        <v>1536.064725692007</v>
      </c>
      <c r="R23" s="38">
        <f>+F23</f>
        <v>16464.693778511202</v>
      </c>
    </row>
    <row r="24" spans="1:18" x14ac:dyDescent="0.25">
      <c r="A24" s="4">
        <v>43132</v>
      </c>
      <c r="B24" s="18">
        <f t="shared" si="0"/>
        <v>43132</v>
      </c>
      <c r="C24" s="28">
        <v>-1.5</v>
      </c>
      <c r="D24" s="29">
        <v>0.80347222222222225</v>
      </c>
      <c r="E24" s="30" t="s">
        <v>58</v>
      </c>
      <c r="F24" s="38" t="s">
        <v>58</v>
      </c>
      <c r="G24" s="89" t="s">
        <v>58</v>
      </c>
      <c r="H24" s="36"/>
      <c r="I24" s="30">
        <v>752.93029571854231</v>
      </c>
      <c r="J24" s="38">
        <v>2094.0873849671957</v>
      </c>
      <c r="K24" s="89">
        <v>2.78125</v>
      </c>
      <c r="L24" s="36"/>
      <c r="M24" s="30" t="s">
        <v>58</v>
      </c>
      <c r="N24" s="31" t="s">
        <v>58</v>
      </c>
      <c r="O24" s="28" t="s">
        <v>58</v>
      </c>
      <c r="P24" s="36"/>
      <c r="Q24" s="30">
        <f>+I24</f>
        <v>752.93029571854231</v>
      </c>
      <c r="R24" s="38">
        <f>+J24</f>
        <v>2094.0873849671957</v>
      </c>
    </row>
    <row r="25" spans="1:18" x14ac:dyDescent="0.25">
      <c r="A25" s="4">
        <v>43133</v>
      </c>
      <c r="B25" s="18">
        <f t="shared" si="0"/>
        <v>43133</v>
      </c>
      <c r="C25" s="28">
        <v>-1</v>
      </c>
      <c r="D25" s="29">
        <v>0.83333333333333337</v>
      </c>
      <c r="E25" s="30">
        <v>1794.5167950742684</v>
      </c>
      <c r="F25" s="38">
        <v>26632.260617806758</v>
      </c>
      <c r="G25" s="89">
        <v>14.840909090909092</v>
      </c>
      <c r="H25" s="36"/>
      <c r="I25" s="30" t="s">
        <v>58</v>
      </c>
      <c r="J25" s="38" t="s">
        <v>58</v>
      </c>
      <c r="K25" s="89" t="s">
        <v>58</v>
      </c>
      <c r="L25" s="36"/>
      <c r="M25" s="30" t="s">
        <v>58</v>
      </c>
      <c r="N25" s="31" t="s">
        <v>58</v>
      </c>
      <c r="O25" s="28" t="s">
        <v>58</v>
      </c>
      <c r="P25" s="36"/>
      <c r="Q25" s="30">
        <f>+E25</f>
        <v>1794.5167950742684</v>
      </c>
      <c r="R25" s="38">
        <f>+F25</f>
        <v>26632.260617806758</v>
      </c>
    </row>
    <row r="26" spans="1:18" x14ac:dyDescent="0.25">
      <c r="A26" s="4">
        <v>43134</v>
      </c>
      <c r="B26" s="18">
        <f t="shared" si="0"/>
        <v>43134</v>
      </c>
      <c r="C26" s="28">
        <v>-0.4</v>
      </c>
      <c r="D26" s="29">
        <v>0.86249999999999993</v>
      </c>
      <c r="E26" s="30" t="s">
        <v>58</v>
      </c>
      <c r="F26" s="38" t="s">
        <v>58</v>
      </c>
      <c r="G26" s="89" t="s">
        <v>58</v>
      </c>
      <c r="H26" s="36"/>
      <c r="I26" s="30">
        <v>3460.3387553179659</v>
      </c>
      <c r="J26" s="38">
        <v>14152.396707143143</v>
      </c>
      <c r="K26" s="89">
        <v>4.0898876404494384</v>
      </c>
      <c r="L26" s="36"/>
      <c r="M26" s="30" t="s">
        <v>58</v>
      </c>
      <c r="N26" s="31" t="s">
        <v>58</v>
      </c>
      <c r="O26" s="28" t="s">
        <v>58</v>
      </c>
      <c r="P26" s="36"/>
      <c r="Q26" s="30">
        <f>+I26</f>
        <v>3460.3387553179659</v>
      </c>
      <c r="R26" s="38">
        <f>+J26</f>
        <v>14152.396707143143</v>
      </c>
    </row>
    <row r="27" spans="1:18" x14ac:dyDescent="0.25">
      <c r="A27" s="247" t="s">
        <v>31</v>
      </c>
      <c r="B27" s="247"/>
      <c r="C27" s="247"/>
      <c r="D27" s="248"/>
      <c r="E27" s="34">
        <f>SUM(E21:E26)</f>
        <v>5003.2628825270021</v>
      </c>
      <c r="F27" s="35">
        <f>SUM(F21:F26)</f>
        <v>66183.847145271255</v>
      </c>
      <c r="G27" s="33">
        <f>+F27/E27</f>
        <v>13.228137057600245</v>
      </c>
      <c r="H27" s="191"/>
      <c r="I27" s="34">
        <f>SUM(I20:I26)</f>
        <v>9164.7314852352865</v>
      </c>
      <c r="J27" s="35">
        <f>SUM(J20:J26)</f>
        <v>71135.358128319829</v>
      </c>
      <c r="K27" s="33">
        <f>+J27/I27</f>
        <v>7.761859498330252</v>
      </c>
      <c r="L27" s="191"/>
      <c r="M27" s="34"/>
      <c r="N27" s="35"/>
      <c r="O27" s="33"/>
      <c r="P27" s="33"/>
      <c r="Q27" s="34">
        <f>SUM(Q20:Q26)</f>
        <v>14167.99436776229</v>
      </c>
      <c r="R27" s="35">
        <f>SUM(R20:R26)</f>
        <v>137319.20527359107</v>
      </c>
    </row>
    <row r="28" spans="1:18" x14ac:dyDescent="0.25">
      <c r="A28" s="4">
        <v>43161</v>
      </c>
      <c r="B28" s="18">
        <v>43161</v>
      </c>
      <c r="C28" s="13">
        <v>-0.8</v>
      </c>
      <c r="D28" s="88">
        <v>0.78749999999999998</v>
      </c>
      <c r="E28" s="30" t="s">
        <v>58</v>
      </c>
      <c r="F28" s="38" t="s">
        <v>58</v>
      </c>
      <c r="G28" s="89" t="s">
        <v>58</v>
      </c>
      <c r="H28" s="36"/>
      <c r="I28" s="30">
        <v>2929.6059829179594</v>
      </c>
      <c r="J28" s="38">
        <v>30422.831361071123</v>
      </c>
      <c r="K28" s="89">
        <v>10.384615384615387</v>
      </c>
      <c r="L28" s="36"/>
      <c r="M28" s="30" t="s">
        <v>58</v>
      </c>
      <c r="N28" s="31" t="s">
        <v>58</v>
      </c>
      <c r="O28" s="28" t="s">
        <v>58</v>
      </c>
      <c r="P28" s="36"/>
      <c r="Q28" s="30">
        <f>+I28</f>
        <v>2929.6059829179594</v>
      </c>
      <c r="R28" s="38">
        <f>+J28</f>
        <v>30422.831361071123</v>
      </c>
    </row>
    <row r="29" spans="1:18" x14ac:dyDescent="0.25">
      <c r="A29" s="4">
        <v>43162</v>
      </c>
      <c r="B29" s="18">
        <v>43162</v>
      </c>
      <c r="C29" s="13">
        <v>-0.3</v>
      </c>
      <c r="D29" s="88">
        <v>0.81527777777777777</v>
      </c>
      <c r="E29" s="30" t="s">
        <v>58</v>
      </c>
      <c r="F29" s="38" t="s">
        <v>58</v>
      </c>
      <c r="G29" s="89" t="s">
        <v>58</v>
      </c>
      <c r="H29" s="36"/>
      <c r="I29" s="30">
        <v>2810.3760416516275</v>
      </c>
      <c r="J29" s="38">
        <v>21047.922694922825</v>
      </c>
      <c r="K29" s="89">
        <v>7.4893617021276588</v>
      </c>
      <c r="L29" s="36"/>
      <c r="M29" s="30" t="s">
        <v>58</v>
      </c>
      <c r="N29" s="31" t="s">
        <v>58</v>
      </c>
      <c r="O29" s="28" t="s">
        <v>58</v>
      </c>
      <c r="P29" s="36"/>
      <c r="Q29" s="30">
        <f>+I29</f>
        <v>2810.3760416516275</v>
      </c>
      <c r="R29" s="38">
        <f>+J29</f>
        <v>21047.922694922825</v>
      </c>
    </row>
    <row r="30" spans="1:18" x14ac:dyDescent="0.25">
      <c r="A30" s="247" t="s">
        <v>31</v>
      </c>
      <c r="B30" s="247"/>
      <c r="C30" s="247"/>
      <c r="D30" s="248"/>
      <c r="E30" s="34"/>
      <c r="F30" s="35"/>
      <c r="G30" s="33"/>
      <c r="H30" s="33"/>
      <c r="I30" s="34">
        <f>SUM(I28:I29)</f>
        <v>5739.9820245695864</v>
      </c>
      <c r="J30" s="35">
        <f>SUM(J28:J29)</f>
        <v>51470.754055993952</v>
      </c>
      <c r="K30" s="33">
        <f>+J30/I30</f>
        <v>8.9670584046565018</v>
      </c>
      <c r="L30" s="191"/>
      <c r="M30" s="34"/>
      <c r="N30" s="35"/>
      <c r="O30" s="35"/>
      <c r="P30" s="33"/>
      <c r="Q30" s="34">
        <f>SUM(Q28:Q29)</f>
        <v>5739.9820245695864</v>
      </c>
      <c r="R30" s="35">
        <f>SUM(R28:R29)</f>
        <v>51470.754055993952</v>
      </c>
    </row>
    <row r="31" spans="1:18" x14ac:dyDescent="0.25">
      <c r="A31" s="4">
        <v>43175</v>
      </c>
      <c r="B31" s="18">
        <v>43175</v>
      </c>
      <c r="C31" s="13">
        <v>0.2</v>
      </c>
      <c r="D31" s="88">
        <v>0.79375000000000007</v>
      </c>
      <c r="E31" s="172">
        <v>1988.9524336416273</v>
      </c>
      <c r="F31" s="67">
        <v>27816.508673393771</v>
      </c>
      <c r="G31" s="68">
        <v>13.985507246376811</v>
      </c>
      <c r="H31" s="68"/>
      <c r="I31" s="172">
        <v>1225.9035961904442</v>
      </c>
      <c r="J31" s="67">
        <v>16682.228667078074</v>
      </c>
      <c r="K31" s="68">
        <v>13.608108108108111</v>
      </c>
      <c r="L31" s="229"/>
      <c r="M31" s="30" t="s">
        <v>58</v>
      </c>
      <c r="N31" s="38" t="s">
        <v>58</v>
      </c>
      <c r="O31" s="38" t="s">
        <v>58</v>
      </c>
      <c r="P31" s="68"/>
      <c r="Q31" s="30">
        <f>+E31+I31</f>
        <v>3214.8560298320717</v>
      </c>
      <c r="R31" s="38">
        <f>+F31+J31</f>
        <v>44498.737340471846</v>
      </c>
    </row>
    <row r="32" spans="1:18" x14ac:dyDescent="0.25">
      <c r="A32" s="4">
        <v>43176</v>
      </c>
      <c r="B32" s="18">
        <v>43176</v>
      </c>
      <c r="C32" s="13">
        <v>0.2</v>
      </c>
      <c r="D32" s="88">
        <v>0.81666666666666676</v>
      </c>
      <c r="E32" s="172">
        <v>3248.4676935295429</v>
      </c>
      <c r="F32" s="67">
        <v>47102.781556178372</v>
      </c>
      <c r="G32" s="68">
        <v>14.5</v>
      </c>
      <c r="H32" s="68"/>
      <c r="I32" s="172">
        <v>1217.0476397738169</v>
      </c>
      <c r="J32" s="67">
        <v>17787.619350540401</v>
      </c>
      <c r="K32" s="68">
        <v>14.615384615384617</v>
      </c>
      <c r="L32" s="229"/>
      <c r="M32" s="30" t="s">
        <v>58</v>
      </c>
      <c r="N32" s="38" t="s">
        <v>58</v>
      </c>
      <c r="O32" s="38" t="s">
        <v>58</v>
      </c>
      <c r="P32" s="68"/>
      <c r="Q32" s="30">
        <f>+E32+I32</f>
        <v>4465.5153333033595</v>
      </c>
      <c r="R32" s="38">
        <f>+F32+J32</f>
        <v>64890.400906718773</v>
      </c>
    </row>
    <row r="33" spans="1:18" x14ac:dyDescent="0.25">
      <c r="A33" s="247" t="s">
        <v>31</v>
      </c>
      <c r="B33" s="247"/>
      <c r="C33" s="247"/>
      <c r="D33" s="248"/>
      <c r="E33" s="34">
        <f>SUM(E31:E32)</f>
        <v>5237.42012717117</v>
      </c>
      <c r="F33" s="35">
        <f>SUM(F31:F32)</f>
        <v>74919.290229572143</v>
      </c>
      <c r="G33" s="33">
        <f>+F33/E33</f>
        <v>14.304617237196412</v>
      </c>
      <c r="H33" s="191"/>
      <c r="I33" s="34">
        <f>SUM(I31:I32)</f>
        <v>2442.9512359642613</v>
      </c>
      <c r="J33" s="35">
        <f>SUM(J31:J32)</f>
        <v>34469.848017618475</v>
      </c>
      <c r="K33" s="33">
        <f>+J33/I33</f>
        <v>14.109920619849305</v>
      </c>
      <c r="L33" s="191"/>
      <c r="M33" s="34"/>
      <c r="N33" s="35"/>
      <c r="O33" s="35"/>
      <c r="P33" s="33"/>
      <c r="Q33" s="34">
        <f>SUM(Q31:Q32)</f>
        <v>7680.3713631354312</v>
      </c>
      <c r="R33" s="35">
        <f>SUM(R31:R32)</f>
        <v>109389.13824719063</v>
      </c>
    </row>
    <row r="34" spans="1:18" x14ac:dyDescent="0.25">
      <c r="A34" s="4">
        <v>43209</v>
      </c>
      <c r="B34" s="18">
        <v>43209</v>
      </c>
      <c r="C34" s="28">
        <v>-0.9</v>
      </c>
      <c r="D34" s="29">
        <v>0.4069444444444445</v>
      </c>
      <c r="E34" s="172" t="s">
        <v>58</v>
      </c>
      <c r="F34" s="67" t="s">
        <v>58</v>
      </c>
      <c r="G34" s="68" t="s">
        <v>58</v>
      </c>
      <c r="H34" s="68"/>
      <c r="I34" s="172">
        <v>5046.899768175901</v>
      </c>
      <c r="J34" s="67">
        <v>71182.315480314268</v>
      </c>
      <c r="K34" s="68">
        <v>14.104166666666666</v>
      </c>
      <c r="L34" s="68"/>
      <c r="M34" s="30" t="s">
        <v>58</v>
      </c>
      <c r="N34" s="38" t="s">
        <v>58</v>
      </c>
      <c r="O34" s="38" t="s">
        <v>58</v>
      </c>
      <c r="P34" s="68"/>
      <c r="Q34" s="30">
        <f>+I34</f>
        <v>5046.899768175901</v>
      </c>
      <c r="R34" s="38">
        <f>+J34</f>
        <v>71182.315480314268</v>
      </c>
    </row>
    <row r="35" spans="1:18" x14ac:dyDescent="0.25">
      <c r="A35" s="4">
        <v>43210</v>
      </c>
      <c r="B35" s="18">
        <v>43210</v>
      </c>
      <c r="C35" s="28">
        <v>-0.7</v>
      </c>
      <c r="D35" s="29">
        <v>0.44236111111111115</v>
      </c>
      <c r="E35" s="172" t="s">
        <v>58</v>
      </c>
      <c r="F35" s="67" t="s">
        <v>58</v>
      </c>
      <c r="G35" s="68" t="s">
        <v>58</v>
      </c>
      <c r="H35" s="68"/>
      <c r="I35" s="172">
        <v>6878.7372125569755</v>
      </c>
      <c r="J35" s="67">
        <v>98577.178951603913</v>
      </c>
      <c r="K35" s="68">
        <v>14.330708661417324</v>
      </c>
      <c r="L35" s="68"/>
      <c r="M35" s="30" t="s">
        <v>58</v>
      </c>
      <c r="N35" s="38" t="s">
        <v>58</v>
      </c>
      <c r="O35" s="38" t="s">
        <v>58</v>
      </c>
      <c r="P35" s="68"/>
      <c r="Q35" s="30">
        <f>+I35</f>
        <v>6878.7372125569755</v>
      </c>
      <c r="R35" s="38">
        <f>+J35</f>
        <v>98577.178951603913</v>
      </c>
    </row>
    <row r="36" spans="1:18" x14ac:dyDescent="0.25">
      <c r="A36" s="4">
        <v>43211</v>
      </c>
      <c r="B36" s="18">
        <v>43211</v>
      </c>
      <c r="C36" s="28">
        <v>-0.4</v>
      </c>
      <c r="D36" s="29">
        <v>0.48194444444444445</v>
      </c>
      <c r="E36" s="172">
        <v>8955.6059516882142</v>
      </c>
      <c r="F36" s="67">
        <v>90302.360012856167</v>
      </c>
      <c r="G36" s="68">
        <v>10.083333333333334</v>
      </c>
      <c r="H36" s="68"/>
      <c r="I36" s="172">
        <v>5719.1917689786433</v>
      </c>
      <c r="J36" s="67">
        <v>57668.517003867986</v>
      </c>
      <c r="K36" s="68">
        <v>10.083333333333334</v>
      </c>
      <c r="L36" s="68"/>
      <c r="M36" s="30" t="s">
        <v>58</v>
      </c>
      <c r="N36" s="38" t="s">
        <v>58</v>
      </c>
      <c r="O36" s="38" t="s">
        <v>58</v>
      </c>
      <c r="P36" s="68"/>
      <c r="Q36" s="30">
        <f>+E36+I36</f>
        <v>14674.797720666858</v>
      </c>
      <c r="R36" s="38">
        <f>+F36+J36</f>
        <v>147970.87701672415</v>
      </c>
    </row>
    <row r="37" spans="1:18" x14ac:dyDescent="0.25">
      <c r="A37" s="4">
        <v>43212</v>
      </c>
      <c r="B37" s="18">
        <v>43212</v>
      </c>
      <c r="C37" s="13">
        <v>-0.1</v>
      </c>
      <c r="D37" s="88">
        <v>2.6388888888888889E-2</v>
      </c>
      <c r="E37" s="30" t="s">
        <v>58</v>
      </c>
      <c r="F37" s="38" t="s">
        <v>58</v>
      </c>
      <c r="G37" s="89" t="s">
        <v>58</v>
      </c>
      <c r="H37" s="36"/>
      <c r="I37" s="30">
        <v>6524.3646948103651</v>
      </c>
      <c r="J37" s="38">
        <v>80269.456548272981</v>
      </c>
      <c r="K37" s="89">
        <v>12.303030303030305</v>
      </c>
      <c r="L37" s="36"/>
      <c r="M37" s="30" t="s">
        <v>58</v>
      </c>
      <c r="N37" s="38" t="s">
        <v>58</v>
      </c>
      <c r="O37" s="38" t="s">
        <v>58</v>
      </c>
      <c r="P37" s="36"/>
      <c r="Q37" s="30">
        <f>+I37</f>
        <v>6524.3646948103651</v>
      </c>
      <c r="R37" s="38">
        <f>+J37</f>
        <v>80269.456548272981</v>
      </c>
    </row>
    <row r="38" spans="1:18" ht="15.75" thickBot="1" x14ac:dyDescent="0.3">
      <c r="A38" s="247"/>
      <c r="B38" s="247"/>
      <c r="C38" s="247"/>
      <c r="D38" s="248"/>
      <c r="E38" s="34">
        <f>SUM(E36:E37)</f>
        <v>8955.6059516882142</v>
      </c>
      <c r="F38" s="35">
        <f>SUM(F36:F37)</f>
        <v>90302.360012856167</v>
      </c>
      <c r="G38" s="90"/>
      <c r="H38" s="191">
        <v>118.98</v>
      </c>
      <c r="I38" s="34">
        <f>SUM(I34:I37)</f>
        <v>24169.193444521887</v>
      </c>
      <c r="J38" s="35">
        <f>SUM(J34:J37)</f>
        <v>307697.46798405913</v>
      </c>
      <c r="K38" s="90"/>
      <c r="L38" s="191">
        <v>117.82</v>
      </c>
      <c r="M38" s="34"/>
      <c r="N38" s="35"/>
      <c r="O38" s="35"/>
      <c r="P38" s="33"/>
      <c r="Q38" s="34">
        <f>SUM(Q34:Q37)</f>
        <v>33124.799396210103</v>
      </c>
      <c r="R38" s="35">
        <f>SUM(R34:R37)</f>
        <v>397999.82799691532</v>
      </c>
    </row>
    <row r="39" spans="1:18" ht="15.75" thickTop="1" x14ac:dyDescent="0.25">
      <c r="A39" s="39" t="s">
        <v>36</v>
      </c>
      <c r="B39" s="42"/>
      <c r="C39" s="42"/>
      <c r="D39" s="42"/>
      <c r="E39" s="40">
        <f>+E6+E11+E16+E19+E27+E33+E38</f>
        <v>43986.954359281212</v>
      </c>
      <c r="F39" s="40">
        <f>+F6+F11+F16+F19+F27+F33+F38</f>
        <v>543238.48429361812</v>
      </c>
      <c r="G39" s="87">
        <f>+F39/E39</f>
        <v>12.349990859937664</v>
      </c>
      <c r="H39" s="41"/>
      <c r="I39" s="40">
        <f>+I6+I11+I16+I19+I27+I30+I33+I38</f>
        <v>63215.266089019206</v>
      </c>
      <c r="J39" s="40">
        <f>+J6+J11+J16+J19+J27+J30+J33+J38</f>
        <v>745044.79783032113</v>
      </c>
      <c r="K39" s="87">
        <f>+J39/I39</f>
        <v>11.785836617078465</v>
      </c>
      <c r="L39" s="41"/>
      <c r="M39" s="40"/>
      <c r="N39" s="40"/>
      <c r="O39" s="87"/>
      <c r="P39" s="41"/>
      <c r="Q39" s="40">
        <f>+Q6+Q11+Q16+Q19+Q27+Q30+Q33+Q38</f>
        <v>107202.22044830043</v>
      </c>
      <c r="R39" s="40">
        <f>+R6+R11+R16+R19+R27+R30+R33+R38</f>
        <v>1288283.2821239394</v>
      </c>
    </row>
    <row r="40" spans="1:18" x14ac:dyDescent="0.25">
      <c r="A40" s="65" t="s">
        <v>35</v>
      </c>
      <c r="B40" s="66"/>
      <c r="C40" s="66"/>
      <c r="D40" s="66"/>
      <c r="E40" s="67"/>
      <c r="F40" s="67">
        <f>+Harvest!J45</f>
        <v>34243.959393566714</v>
      </c>
      <c r="G40" s="67"/>
      <c r="H40" s="68"/>
      <c r="I40" s="67"/>
      <c r="J40" s="67">
        <f>+Harvest!L45</f>
        <v>46565.299864395078</v>
      </c>
      <c r="K40" s="67"/>
      <c r="L40" s="68"/>
      <c r="M40" s="67"/>
      <c r="N40" s="67"/>
      <c r="O40" s="67"/>
      <c r="P40" s="68"/>
      <c r="Q40" s="67"/>
      <c r="R40" s="67">
        <f>+F40+J40+N40</f>
        <v>80809.259257961792</v>
      </c>
    </row>
    <row r="41" spans="1:18" x14ac:dyDescent="0.25">
      <c r="A41" s="75" t="s">
        <v>32</v>
      </c>
      <c r="B41" s="76"/>
      <c r="C41" s="76"/>
      <c r="D41" s="76"/>
      <c r="E41" s="69">
        <f>+E39</f>
        <v>43986.954359281212</v>
      </c>
      <c r="F41" s="69">
        <f>SUM(F39:F40)</f>
        <v>577482.44368718483</v>
      </c>
      <c r="G41" s="92">
        <f>+G39</f>
        <v>12.349990859937664</v>
      </c>
      <c r="H41" s="70"/>
      <c r="I41" s="69">
        <f>+I39</f>
        <v>63215.266089019206</v>
      </c>
      <c r="J41" s="69">
        <f>SUM(J39:J40)</f>
        <v>791610.09769471618</v>
      </c>
      <c r="K41" s="92">
        <f>+K39</f>
        <v>11.785836617078465</v>
      </c>
      <c r="L41" s="70"/>
      <c r="M41" s="69">
        <f>+M39</f>
        <v>0</v>
      </c>
      <c r="N41" s="69">
        <f>+N39</f>
        <v>0</v>
      </c>
      <c r="O41" s="69"/>
      <c r="P41" s="70"/>
      <c r="Q41" s="69">
        <f>+Q39</f>
        <v>107202.22044830043</v>
      </c>
      <c r="R41" s="71">
        <f>SUM(R39:R40)</f>
        <v>1369092.5413819011</v>
      </c>
    </row>
    <row r="42" spans="1:18" x14ac:dyDescent="0.25">
      <c r="A42" s="77" t="s">
        <v>15</v>
      </c>
      <c r="B42" s="73"/>
      <c r="C42" s="73"/>
      <c r="D42" s="73"/>
      <c r="E42" s="73"/>
      <c r="F42" s="72">
        <f>+Harvest!J48</f>
        <v>0.98441099385601316</v>
      </c>
      <c r="G42" s="72"/>
      <c r="H42" s="73"/>
      <c r="I42" s="73"/>
      <c r="J42" s="72">
        <f>+Harvest!L48</f>
        <v>1.0170302405365486</v>
      </c>
      <c r="K42" s="72"/>
      <c r="L42" s="73"/>
      <c r="M42" s="73"/>
      <c r="N42" s="72">
        <f>+Harvest!N48</f>
        <v>0</v>
      </c>
      <c r="O42" s="72"/>
      <c r="P42" s="73"/>
      <c r="Q42" s="73"/>
      <c r="R42" s="74"/>
    </row>
    <row r="43" spans="1:18" x14ac:dyDescent="0.25">
      <c r="Q43" s="10"/>
    </row>
    <row r="44" spans="1:18" x14ac:dyDescent="0.25">
      <c r="F44" s="10"/>
      <c r="J44" s="10"/>
    </row>
  </sheetData>
  <mergeCells count="12">
    <mergeCell ref="Q2:R2"/>
    <mergeCell ref="A30:D30"/>
    <mergeCell ref="A16:D16"/>
    <mergeCell ref="A27:D27"/>
    <mergeCell ref="A6:D6"/>
    <mergeCell ref="A11:D11"/>
    <mergeCell ref="A19:D19"/>
    <mergeCell ref="A38:D38"/>
    <mergeCell ref="E2:H2"/>
    <mergeCell ref="I2:L2"/>
    <mergeCell ref="M2:P2"/>
    <mergeCell ref="A33:D33"/>
  </mergeCells>
  <pageMargins left="0.25" right="0.25" top="0.75" bottom="0.75" header="0.3" footer="0.3"/>
  <pageSetup scale="76" fitToHeight="0" orientation="landscape" r:id="rId1"/>
  <ignoredErrors>
    <ignoredError sqref="F41 J41 Q13:R13 Q8:R8" formula="1"/>
  </ignoredError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dimension ref="A1:I9"/>
  <sheetViews>
    <sheetView workbookViewId="0">
      <selection activeCell="B13" sqref="B13"/>
    </sheetView>
  </sheetViews>
  <sheetFormatPr defaultRowHeight="15" x14ac:dyDescent="0.25"/>
  <cols>
    <col min="1" max="1" width="21.5703125" customWidth="1"/>
    <col min="2" max="2" width="12" bestFit="1" customWidth="1"/>
    <col min="3" max="4" width="10.7109375" customWidth="1"/>
    <col min="5" max="5" width="10.5703125" bestFit="1" customWidth="1"/>
    <col min="6" max="6" width="12" bestFit="1" customWidth="1"/>
    <col min="7" max="8" width="10.5703125" bestFit="1" customWidth="1"/>
    <col min="9" max="9" width="13.28515625" bestFit="1" customWidth="1"/>
  </cols>
  <sheetData>
    <row r="1" spans="1:9" x14ac:dyDescent="0.25">
      <c r="A1" s="3" t="s">
        <v>49</v>
      </c>
      <c r="B1" s="3"/>
      <c r="C1" s="3"/>
      <c r="D1" s="3"/>
      <c r="E1" s="3"/>
      <c r="F1" s="3"/>
      <c r="G1" s="3"/>
    </row>
    <row r="2" spans="1:9" x14ac:dyDescent="0.25">
      <c r="A2" s="3"/>
      <c r="B2" s="3"/>
      <c r="C2" s="3"/>
      <c r="D2" s="3"/>
      <c r="E2" s="3"/>
      <c r="F2" s="3"/>
      <c r="G2" s="3"/>
    </row>
    <row r="3" spans="1:9" ht="15.75" thickBot="1" x14ac:dyDescent="0.3">
      <c r="A3" s="3"/>
      <c r="B3" s="1" t="s">
        <v>64</v>
      </c>
      <c r="C3" s="3" t="s">
        <v>60</v>
      </c>
      <c r="D3" s="1" t="s">
        <v>51</v>
      </c>
      <c r="E3" s="3" t="s">
        <v>42</v>
      </c>
      <c r="F3" s="1" t="s">
        <v>41</v>
      </c>
      <c r="G3" s="1" t="s">
        <v>40</v>
      </c>
      <c r="H3" s="1" t="s">
        <v>39</v>
      </c>
      <c r="I3" s="1" t="s">
        <v>38</v>
      </c>
    </row>
    <row r="4" spans="1:9" x14ac:dyDescent="0.25">
      <c r="A4" s="44" t="s">
        <v>19</v>
      </c>
      <c r="B4" s="45">
        <v>872679.52221495111</v>
      </c>
      <c r="C4" s="45">
        <v>4895623.5998578668</v>
      </c>
      <c r="D4" s="45">
        <v>4768605</v>
      </c>
      <c r="E4" s="45">
        <v>3885491.5446236241</v>
      </c>
      <c r="F4" s="45">
        <v>2881223.2800000003</v>
      </c>
      <c r="G4" s="45">
        <v>1847952.1349999998</v>
      </c>
      <c r="H4" s="45">
        <v>1094641.4136540764</v>
      </c>
      <c r="I4" s="45">
        <v>1276247.6927039789</v>
      </c>
    </row>
    <row r="5" spans="1:9" x14ac:dyDescent="0.25">
      <c r="A5" s="46" t="s">
        <v>20</v>
      </c>
      <c r="B5" s="47">
        <v>506698.75607162755</v>
      </c>
      <c r="C5" s="47">
        <v>1896630.873404826</v>
      </c>
      <c r="D5" s="47">
        <v>1198600</v>
      </c>
      <c r="E5" s="47">
        <v>2662860.8000000003</v>
      </c>
      <c r="F5" s="47">
        <f>5744410.73323314*0.4</f>
        <v>2297764.2932932558</v>
      </c>
      <c r="G5" s="47">
        <v>1881783.2000000002</v>
      </c>
      <c r="H5" s="47">
        <v>616314.30636927264</v>
      </c>
      <c r="I5" s="47">
        <v>845427.66684737173</v>
      </c>
    </row>
    <row r="6" spans="1:9" x14ac:dyDescent="0.25">
      <c r="A6" s="46" t="s">
        <v>21</v>
      </c>
      <c r="B6" s="47">
        <v>591366.11976499634</v>
      </c>
      <c r="C6" s="47">
        <v>880571.44910342421</v>
      </c>
      <c r="D6" s="47">
        <v>1094781</v>
      </c>
      <c r="E6" s="110">
        <v>889827.43342746096</v>
      </c>
      <c r="F6" s="109">
        <f>(2615522*0.5)-(161153)+250000</f>
        <v>1396608</v>
      </c>
      <c r="G6" s="47">
        <v>1072689.5999999999</v>
      </c>
      <c r="H6" s="47">
        <v>371373.03795949166</v>
      </c>
      <c r="I6" s="47">
        <v>683167.40704835602</v>
      </c>
    </row>
    <row r="7" spans="1:9" x14ac:dyDescent="0.25">
      <c r="A7" s="46" t="s">
        <v>22</v>
      </c>
      <c r="B7" s="47">
        <v>778354.53277878079</v>
      </c>
      <c r="C7" s="47">
        <v>941919.24030067341</v>
      </c>
      <c r="D7" s="47">
        <v>1695074</v>
      </c>
      <c r="E7" s="47">
        <v>2240308.7479108246</v>
      </c>
      <c r="F7" s="47">
        <v>2088668.5</v>
      </c>
      <c r="G7" s="47">
        <v>909667.35</v>
      </c>
      <c r="H7" s="47">
        <v>605830.70008886908</v>
      </c>
      <c r="I7" s="47">
        <v>545586.68998891278</v>
      </c>
    </row>
    <row r="8" spans="1:9" ht="15.75" thickBot="1" x14ac:dyDescent="0.3">
      <c r="A8" s="48" t="s">
        <v>23</v>
      </c>
      <c r="B8" s="49">
        <v>24444.430036493428</v>
      </c>
      <c r="C8" s="49">
        <v>725888.21174021007</v>
      </c>
      <c r="D8" s="49">
        <v>63740</v>
      </c>
      <c r="E8" s="49">
        <v>125735.12787535199</v>
      </c>
      <c r="F8" s="49">
        <f>1033285.9456848*0.254*0.5</f>
        <v>131227.31510196961</v>
      </c>
      <c r="G8" s="49">
        <v>113543.20699999999</v>
      </c>
      <c r="H8" s="49">
        <v>144560.51050788548</v>
      </c>
      <c r="I8" s="49">
        <v>258924.12448845015</v>
      </c>
    </row>
    <row r="9" spans="1:9" ht="16.5" thickBot="1" x14ac:dyDescent="0.3">
      <c r="A9" s="50" t="s">
        <v>33</v>
      </c>
      <c r="B9" s="51">
        <f>SUM(B4:B8)</f>
        <v>2773543.3608668493</v>
      </c>
      <c r="C9" s="51">
        <f>SUM(C4:C8)</f>
        <v>9340633.3744070008</v>
      </c>
      <c r="D9" s="51">
        <f t="shared" ref="D9:I9" si="0">SUM(D4:D8)</f>
        <v>8820800</v>
      </c>
      <c r="E9" s="51">
        <f t="shared" si="0"/>
        <v>9804223.6538372617</v>
      </c>
      <c r="F9" s="51">
        <f t="shared" si="0"/>
        <v>8795491.3883952256</v>
      </c>
      <c r="G9" s="51">
        <f t="shared" si="0"/>
        <v>5825635.4919999996</v>
      </c>
      <c r="H9" s="51">
        <f t="shared" si="0"/>
        <v>2832719.968579595</v>
      </c>
      <c r="I9" s="51">
        <f t="shared" si="0"/>
        <v>3609353.5810770695</v>
      </c>
    </row>
  </sheetData>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H100"/>
  <sheetViews>
    <sheetView topLeftCell="A10" workbookViewId="0">
      <selection activeCell="H41" sqref="H41"/>
    </sheetView>
  </sheetViews>
  <sheetFormatPr defaultRowHeight="15" x14ac:dyDescent="0.25"/>
  <cols>
    <col min="1" max="1" width="9.42578125" style="3" bestFit="1" customWidth="1"/>
    <col min="2" max="2" width="12.5703125" style="3" bestFit="1" customWidth="1"/>
    <col min="3" max="3" width="10.140625" style="81" bestFit="1" customWidth="1"/>
    <col min="4" max="4" width="14.7109375" style="3" bestFit="1" customWidth="1"/>
    <col min="5" max="5" width="16.7109375" bestFit="1" customWidth="1"/>
  </cols>
  <sheetData>
    <row r="1" spans="1:7" x14ac:dyDescent="0.25">
      <c r="A1" s="234" t="s">
        <v>37</v>
      </c>
      <c r="B1" s="234" t="s">
        <v>9</v>
      </c>
      <c r="C1" s="234" t="s">
        <v>8</v>
      </c>
      <c r="D1" s="234" t="s">
        <v>54</v>
      </c>
      <c r="E1" s="234" t="s">
        <v>55</v>
      </c>
      <c r="F1" s="234" t="s">
        <v>56</v>
      </c>
      <c r="G1" s="234" t="s">
        <v>57</v>
      </c>
    </row>
    <row r="2" spans="1:7" x14ac:dyDescent="0.25">
      <c r="A2" s="235">
        <v>1514</v>
      </c>
      <c r="B2" s="236" t="s">
        <v>1</v>
      </c>
      <c r="C2" s="237">
        <v>43211</v>
      </c>
      <c r="D2" s="236" t="s">
        <v>96</v>
      </c>
      <c r="E2" s="235">
        <v>100</v>
      </c>
      <c r="F2" s="235">
        <v>2</v>
      </c>
      <c r="G2" s="235">
        <v>2</v>
      </c>
    </row>
    <row r="3" spans="1:7" x14ac:dyDescent="0.25">
      <c r="A3" s="235">
        <v>1515</v>
      </c>
      <c r="B3" s="236" t="s">
        <v>1</v>
      </c>
      <c r="C3" s="237">
        <v>43212</v>
      </c>
      <c r="D3" s="236" t="s">
        <v>96</v>
      </c>
      <c r="E3" s="235">
        <v>100</v>
      </c>
      <c r="F3" s="235">
        <v>2</v>
      </c>
      <c r="G3" s="235">
        <v>2</v>
      </c>
    </row>
    <row r="4" spans="1:7" x14ac:dyDescent="0.25">
      <c r="A4" s="177"/>
      <c r="B4" s="178"/>
      <c r="C4" s="179"/>
      <c r="D4" s="178"/>
      <c r="E4" s="177"/>
      <c r="F4" s="177"/>
      <c r="G4" s="177"/>
    </row>
    <row r="5" spans="1:7" x14ac:dyDescent="0.25">
      <c r="A5" s="177"/>
      <c r="B5" s="178"/>
      <c r="C5" s="179"/>
      <c r="D5" s="178"/>
      <c r="E5" s="177"/>
      <c r="F5" s="177"/>
      <c r="G5" s="177"/>
    </row>
    <row r="6" spans="1:7" x14ac:dyDescent="0.25">
      <c r="A6" s="177"/>
      <c r="B6" s="178"/>
      <c r="C6" s="179"/>
      <c r="D6" s="178"/>
      <c r="E6" s="177"/>
      <c r="F6" s="177"/>
      <c r="G6" s="177"/>
    </row>
    <row r="7" spans="1:7" x14ac:dyDescent="0.25">
      <c r="A7" s="177"/>
      <c r="B7" s="178"/>
      <c r="C7" s="179"/>
      <c r="D7" s="178"/>
      <c r="E7" s="177"/>
      <c r="F7" s="177"/>
      <c r="G7" s="177"/>
    </row>
    <row r="8" spans="1:7" x14ac:dyDescent="0.25">
      <c r="A8" s="177"/>
      <c r="B8" s="178"/>
      <c r="C8" s="179"/>
      <c r="D8" s="178"/>
      <c r="E8" s="177"/>
      <c r="F8" s="177"/>
      <c r="G8" s="177"/>
    </row>
    <row r="9" spans="1:7" x14ac:dyDescent="0.25">
      <c r="A9" s="177"/>
      <c r="B9" s="178"/>
      <c r="C9" s="179"/>
      <c r="D9" s="178"/>
      <c r="E9" s="177"/>
      <c r="F9" s="177"/>
      <c r="G9" s="177"/>
    </row>
    <row r="10" spans="1:7" x14ac:dyDescent="0.25">
      <c r="A10" s="177"/>
      <c r="B10" s="178"/>
      <c r="C10" s="179"/>
      <c r="D10" s="178"/>
      <c r="E10" s="177"/>
      <c r="F10" s="177"/>
      <c r="G10" s="177"/>
    </row>
    <row r="11" spans="1:7" x14ac:dyDescent="0.25">
      <c r="A11" s="177"/>
      <c r="B11" s="178"/>
      <c r="C11" s="179"/>
      <c r="D11" s="178"/>
      <c r="E11" s="177"/>
      <c r="F11" s="177"/>
      <c r="G11" s="177"/>
    </row>
    <row r="12" spans="1:7" x14ac:dyDescent="0.25">
      <c r="A12" s="120"/>
      <c r="B12" s="121"/>
      <c r="C12" s="122"/>
      <c r="D12" s="120"/>
      <c r="E12" s="123"/>
      <c r="F12" s="8"/>
      <c r="G12" s="79"/>
    </row>
    <row r="13" spans="1:7" x14ac:dyDescent="0.25">
      <c r="A13" s="120"/>
      <c r="B13" s="121"/>
      <c r="C13" s="122"/>
      <c r="D13" s="120"/>
      <c r="E13" s="123"/>
      <c r="F13" s="8"/>
      <c r="G13" s="79"/>
    </row>
    <row r="14" spans="1:7" x14ac:dyDescent="0.25">
      <c r="A14" s="120"/>
      <c r="B14" s="121"/>
      <c r="C14" s="122"/>
      <c r="D14" s="120"/>
      <c r="E14" s="123"/>
      <c r="F14" s="8"/>
      <c r="G14" s="79"/>
    </row>
    <row r="15" spans="1:7" x14ac:dyDescent="0.25">
      <c r="A15" s="120"/>
      <c r="B15" s="121"/>
      <c r="C15" s="122"/>
      <c r="D15" s="120"/>
      <c r="E15" s="123"/>
      <c r="F15" s="8"/>
      <c r="G15" s="79"/>
    </row>
    <row r="16" spans="1:7" x14ac:dyDescent="0.25">
      <c r="A16" s="120"/>
      <c r="B16" s="121"/>
      <c r="C16" s="122"/>
      <c r="D16" s="120"/>
      <c r="E16" s="123"/>
      <c r="F16" s="8"/>
      <c r="G16" s="79"/>
    </row>
    <row r="17" spans="1:7" x14ac:dyDescent="0.25">
      <c r="A17" s="120"/>
      <c r="B17" s="121"/>
      <c r="C17" s="122"/>
      <c r="D17" s="120"/>
      <c r="E17" s="123"/>
      <c r="F17" s="8"/>
      <c r="G17" s="79"/>
    </row>
    <row r="18" spans="1:7" x14ac:dyDescent="0.25">
      <c r="A18" s="120"/>
      <c r="B18" s="121"/>
      <c r="C18" s="122"/>
      <c r="D18" s="120"/>
      <c r="E18" s="123"/>
      <c r="F18" s="8"/>
      <c r="G18" s="79"/>
    </row>
    <row r="19" spans="1:7" x14ac:dyDescent="0.25">
      <c r="A19" s="120"/>
      <c r="B19" s="121"/>
      <c r="C19" s="122"/>
      <c r="D19" s="120"/>
      <c r="E19" s="123"/>
      <c r="F19" s="8"/>
      <c r="G19" s="79"/>
    </row>
    <row r="20" spans="1:7" x14ac:dyDescent="0.25">
      <c r="A20" s="120"/>
      <c r="B20" s="121"/>
      <c r="C20" s="122"/>
      <c r="D20" s="120"/>
      <c r="E20" s="123"/>
      <c r="F20" s="8"/>
      <c r="G20" s="79"/>
    </row>
    <row r="21" spans="1:7" x14ac:dyDescent="0.25">
      <c r="A21" s="120"/>
      <c r="B21" s="121"/>
      <c r="C21" s="122"/>
      <c r="D21" s="120"/>
      <c r="E21" s="123"/>
      <c r="F21" s="8"/>
      <c r="G21" s="79"/>
    </row>
    <row r="22" spans="1:7" x14ac:dyDescent="0.25">
      <c r="A22" s="120"/>
      <c r="B22" s="121"/>
      <c r="C22" s="122"/>
      <c r="D22" s="120"/>
      <c r="E22" s="123"/>
      <c r="F22" s="8"/>
      <c r="G22" s="79"/>
    </row>
    <row r="23" spans="1:7" x14ac:dyDescent="0.25">
      <c r="A23" s="120"/>
      <c r="B23" s="121"/>
      <c r="C23" s="122"/>
      <c r="D23" s="120"/>
      <c r="E23" s="123"/>
      <c r="F23" s="8"/>
      <c r="G23" s="79"/>
    </row>
    <row r="24" spans="1:7" x14ac:dyDescent="0.25">
      <c r="A24" s="120"/>
      <c r="B24" s="121"/>
      <c r="C24" s="122"/>
      <c r="D24" s="120"/>
      <c r="E24" s="123"/>
      <c r="F24" s="8"/>
      <c r="G24" s="79"/>
    </row>
    <row r="25" spans="1:7" x14ac:dyDescent="0.25">
      <c r="A25" s="120"/>
      <c r="B25" s="121"/>
      <c r="C25" s="122"/>
      <c r="D25" s="120"/>
      <c r="E25" s="123"/>
      <c r="F25" s="8"/>
      <c r="G25" s="79"/>
    </row>
    <row r="26" spans="1:7" x14ac:dyDescent="0.25">
      <c r="A26" s="97"/>
      <c r="B26" s="98"/>
      <c r="C26" s="99"/>
      <c r="D26" s="97"/>
      <c r="E26" s="100"/>
      <c r="F26" s="8"/>
      <c r="G26" s="79"/>
    </row>
    <row r="27" spans="1:7" x14ac:dyDescent="0.25">
      <c r="A27" s="97"/>
      <c r="B27" s="98"/>
      <c r="C27" s="99"/>
      <c r="D27" s="97"/>
      <c r="E27" s="100"/>
      <c r="F27" s="8"/>
      <c r="G27" s="79"/>
    </row>
    <row r="28" spans="1:7" x14ac:dyDescent="0.25">
      <c r="A28" s="97"/>
      <c r="B28" s="98"/>
      <c r="C28" s="99"/>
      <c r="D28" s="97"/>
      <c r="E28" s="100"/>
      <c r="F28" s="8"/>
      <c r="G28" s="79"/>
    </row>
    <row r="29" spans="1:7" x14ac:dyDescent="0.25">
      <c r="A29" s="97"/>
      <c r="B29" s="98"/>
      <c r="C29" s="99"/>
      <c r="D29" s="97"/>
      <c r="E29" s="100"/>
      <c r="F29" s="8"/>
      <c r="G29" s="79"/>
    </row>
    <row r="30" spans="1:7" x14ac:dyDescent="0.25">
      <c r="A30" s="97"/>
      <c r="B30" s="98"/>
      <c r="C30" s="99"/>
      <c r="D30" s="97"/>
      <c r="E30" s="100"/>
      <c r="F30" s="8"/>
      <c r="G30" s="79"/>
    </row>
    <row r="31" spans="1:7" x14ac:dyDescent="0.25">
      <c r="A31" s="97"/>
      <c r="B31" s="98"/>
      <c r="C31" s="99"/>
      <c r="D31" s="97"/>
      <c r="E31" s="100"/>
      <c r="F31" s="8"/>
      <c r="G31" s="79"/>
    </row>
    <row r="32" spans="1:7" x14ac:dyDescent="0.25">
      <c r="A32" s="97"/>
      <c r="B32" s="98"/>
      <c r="C32" s="99"/>
      <c r="D32" s="97"/>
      <c r="E32" s="100"/>
      <c r="F32" s="8"/>
      <c r="G32" s="79"/>
    </row>
    <row r="33" spans="1:8" x14ac:dyDescent="0.25">
      <c r="A33" s="97"/>
      <c r="B33" s="98"/>
      <c r="C33" s="99"/>
      <c r="D33" s="97"/>
      <c r="E33" s="100"/>
      <c r="F33" s="8"/>
      <c r="G33" s="79"/>
    </row>
    <row r="34" spans="1:8" x14ac:dyDescent="0.25">
      <c r="A34" s="97"/>
      <c r="B34" s="98"/>
      <c r="C34" s="99"/>
      <c r="D34" s="97"/>
      <c r="E34" s="100"/>
      <c r="F34" s="8"/>
      <c r="G34" s="79"/>
    </row>
    <row r="35" spans="1:8" x14ac:dyDescent="0.25">
      <c r="A35" s="97"/>
      <c r="B35" s="98"/>
      <c r="C35" s="99"/>
      <c r="D35" s="97"/>
      <c r="E35" s="100"/>
      <c r="F35" s="8"/>
      <c r="G35" s="79"/>
    </row>
    <row r="36" spans="1:8" x14ac:dyDescent="0.25">
      <c r="A36" s="97"/>
      <c r="B36" s="98"/>
      <c r="C36" s="99"/>
      <c r="D36" s="97"/>
      <c r="E36" s="100"/>
      <c r="F36" s="8"/>
      <c r="G36" s="79"/>
    </row>
    <row r="37" spans="1:8" x14ac:dyDescent="0.25">
      <c r="A37" s="97"/>
      <c r="B37" s="98"/>
      <c r="C37" s="99"/>
      <c r="D37" s="97"/>
      <c r="E37" s="100"/>
      <c r="F37" s="8"/>
      <c r="G37" s="79"/>
    </row>
    <row r="38" spans="1:8" x14ac:dyDescent="0.25">
      <c r="A38" s="97"/>
      <c r="B38" s="98"/>
      <c r="C38" s="99"/>
      <c r="D38" s="97"/>
      <c r="E38" s="100"/>
      <c r="F38" s="8"/>
      <c r="G38" s="79"/>
    </row>
    <row r="39" spans="1:8" x14ac:dyDescent="0.25">
      <c r="A39" s="97"/>
      <c r="B39" s="98"/>
      <c r="C39" s="99"/>
      <c r="D39" s="97"/>
      <c r="E39" s="100"/>
      <c r="F39" s="8"/>
      <c r="G39" s="79"/>
    </row>
    <row r="40" spans="1:8" x14ac:dyDescent="0.25">
      <c r="A40" s="97"/>
      <c r="B40" s="98"/>
      <c r="C40" s="99"/>
      <c r="D40" s="97"/>
      <c r="E40" s="169">
        <f>SUM(E2:E39)</f>
        <v>200</v>
      </c>
      <c r="F40" s="8">
        <f>SUM(F2:F39)</f>
        <v>4</v>
      </c>
      <c r="G40" s="79">
        <f>SUM(G2:G39)</f>
        <v>4</v>
      </c>
      <c r="H40" s="170">
        <f>+G40/E40</f>
        <v>0.02</v>
      </c>
    </row>
    <row r="41" spans="1:8" x14ac:dyDescent="0.25">
      <c r="A41" s="97"/>
      <c r="B41" s="98"/>
      <c r="C41" s="99"/>
      <c r="D41" s="97"/>
      <c r="E41" s="100"/>
      <c r="F41" s="8"/>
      <c r="G41" s="79"/>
    </row>
    <row r="42" spans="1:8" x14ac:dyDescent="0.25">
      <c r="A42" s="97"/>
      <c r="B42" s="98"/>
      <c r="C42" s="99"/>
      <c r="D42" s="97"/>
      <c r="E42" s="100"/>
      <c r="F42" s="8"/>
      <c r="G42" s="79"/>
    </row>
    <row r="43" spans="1:8" x14ac:dyDescent="0.25">
      <c r="A43" s="97"/>
      <c r="B43" s="98"/>
      <c r="C43" s="99"/>
      <c r="D43" s="97"/>
      <c r="E43" s="100"/>
      <c r="F43" s="8"/>
      <c r="G43" s="79"/>
    </row>
    <row r="44" spans="1:8" x14ac:dyDescent="0.25">
      <c r="A44" s="97"/>
      <c r="B44" s="98"/>
      <c r="C44" s="99"/>
      <c r="D44" s="97"/>
      <c r="E44" s="100"/>
      <c r="F44" s="8"/>
      <c r="G44" s="79"/>
    </row>
    <row r="45" spans="1:8" x14ac:dyDescent="0.25">
      <c r="A45" s="97"/>
      <c r="B45" s="98"/>
      <c r="C45" s="99"/>
      <c r="D45" s="97"/>
      <c r="E45" s="100"/>
      <c r="F45" s="8"/>
      <c r="G45" s="79"/>
    </row>
    <row r="46" spans="1:8" x14ac:dyDescent="0.25">
      <c r="A46" s="97"/>
      <c r="B46" s="98"/>
      <c r="C46" s="99"/>
      <c r="D46" s="97"/>
      <c r="E46" s="100"/>
      <c r="F46" s="8"/>
      <c r="G46" s="79"/>
    </row>
    <row r="47" spans="1:8" x14ac:dyDescent="0.25">
      <c r="A47" s="97"/>
      <c r="B47" s="98"/>
      <c r="C47" s="99"/>
      <c r="D47" s="97"/>
      <c r="E47" s="100"/>
      <c r="F47" s="8"/>
      <c r="G47" s="79"/>
    </row>
    <row r="48" spans="1:8" x14ac:dyDescent="0.25">
      <c r="A48" s="97"/>
      <c r="B48" s="98"/>
      <c r="C48" s="99"/>
      <c r="D48" s="97"/>
      <c r="E48" s="100"/>
    </row>
    <row r="49" spans="1:5" x14ac:dyDescent="0.25">
      <c r="A49" s="97"/>
      <c r="B49" s="98"/>
      <c r="C49" s="99"/>
      <c r="D49" s="97"/>
      <c r="E49" s="100"/>
    </row>
    <row r="50" spans="1:5" x14ac:dyDescent="0.25">
      <c r="A50" s="97"/>
      <c r="B50" s="98"/>
      <c r="C50" s="99"/>
      <c r="D50" s="97"/>
      <c r="E50" s="100"/>
    </row>
    <row r="51" spans="1:5" x14ac:dyDescent="0.25">
      <c r="A51" s="97"/>
      <c r="B51" s="98"/>
      <c r="C51" s="99"/>
      <c r="D51" s="97"/>
      <c r="E51" s="100"/>
    </row>
    <row r="52" spans="1:5" x14ac:dyDescent="0.25">
      <c r="A52" s="97"/>
      <c r="B52" s="98"/>
      <c r="C52" s="99"/>
      <c r="D52" s="97"/>
      <c r="E52" s="100"/>
    </row>
    <row r="53" spans="1:5" x14ac:dyDescent="0.25">
      <c r="A53" s="97"/>
      <c r="B53" s="98"/>
      <c r="C53" s="99"/>
      <c r="D53" s="97"/>
      <c r="E53" s="100"/>
    </row>
    <row r="54" spans="1:5" x14ac:dyDescent="0.25">
      <c r="A54" s="97"/>
      <c r="B54" s="98"/>
      <c r="C54" s="99"/>
      <c r="D54" s="97"/>
      <c r="E54" s="100"/>
    </row>
    <row r="55" spans="1:5" x14ac:dyDescent="0.25">
      <c r="A55" s="97"/>
      <c r="B55" s="98"/>
      <c r="C55" s="99"/>
      <c r="D55" s="97"/>
      <c r="E55" s="100"/>
    </row>
    <row r="56" spans="1:5" x14ac:dyDescent="0.25">
      <c r="A56" s="97"/>
      <c r="B56" s="98"/>
      <c r="C56" s="99"/>
      <c r="D56" s="97"/>
      <c r="E56" s="100"/>
    </row>
    <row r="57" spans="1:5" x14ac:dyDescent="0.25">
      <c r="A57" s="97"/>
      <c r="B57" s="98"/>
      <c r="C57" s="99"/>
      <c r="D57" s="97"/>
      <c r="E57" s="100"/>
    </row>
    <row r="58" spans="1:5" x14ac:dyDescent="0.25">
      <c r="A58" s="97"/>
      <c r="B58" s="98"/>
      <c r="C58" s="99"/>
      <c r="D58" s="97"/>
      <c r="E58" s="100"/>
    </row>
    <row r="59" spans="1:5" x14ac:dyDescent="0.25">
      <c r="A59" s="97"/>
      <c r="B59" s="98"/>
      <c r="C59" s="99"/>
      <c r="D59" s="97"/>
      <c r="E59" s="100"/>
    </row>
    <row r="60" spans="1:5" x14ac:dyDescent="0.25">
      <c r="A60" s="97"/>
      <c r="B60" s="98"/>
      <c r="C60" s="99"/>
      <c r="D60" s="97"/>
      <c r="E60" s="100"/>
    </row>
    <row r="61" spans="1:5" x14ac:dyDescent="0.25">
      <c r="A61" s="97"/>
      <c r="B61" s="98"/>
      <c r="C61" s="99"/>
      <c r="D61" s="97"/>
      <c r="E61" s="100"/>
    </row>
    <row r="62" spans="1:5" x14ac:dyDescent="0.25">
      <c r="A62" s="97"/>
      <c r="B62" s="98"/>
      <c r="C62" s="99"/>
      <c r="D62" s="97"/>
      <c r="E62" s="100"/>
    </row>
    <row r="63" spans="1:5" x14ac:dyDescent="0.25">
      <c r="A63" s="97"/>
      <c r="B63" s="98"/>
      <c r="C63" s="99"/>
      <c r="D63" s="97"/>
      <c r="E63" s="100"/>
    </row>
    <row r="64" spans="1:5" x14ac:dyDescent="0.25">
      <c r="A64" s="97"/>
      <c r="B64" s="98"/>
      <c r="C64" s="99"/>
      <c r="D64" s="97"/>
      <c r="E64" s="100"/>
    </row>
    <row r="65" spans="1:5" x14ac:dyDescent="0.25">
      <c r="A65" s="97"/>
      <c r="B65" s="98"/>
      <c r="C65" s="99"/>
      <c r="D65" s="97"/>
      <c r="E65" s="100"/>
    </row>
    <row r="66" spans="1:5" x14ac:dyDescent="0.25">
      <c r="A66" s="97"/>
      <c r="B66" s="98"/>
      <c r="C66" s="99"/>
      <c r="D66" s="97"/>
      <c r="E66" s="100"/>
    </row>
    <row r="67" spans="1:5" x14ac:dyDescent="0.25">
      <c r="A67" s="97"/>
      <c r="B67" s="98"/>
      <c r="C67" s="99"/>
      <c r="D67" s="97"/>
      <c r="E67" s="100"/>
    </row>
    <row r="68" spans="1:5" x14ac:dyDescent="0.25">
      <c r="A68" s="97"/>
      <c r="B68" s="98"/>
      <c r="C68" s="99"/>
      <c r="D68" s="97"/>
      <c r="E68" s="100"/>
    </row>
    <row r="69" spans="1:5" x14ac:dyDescent="0.25">
      <c r="A69" s="97"/>
      <c r="B69" s="98"/>
      <c r="C69" s="99"/>
      <c r="D69" s="97"/>
      <c r="E69" s="100"/>
    </row>
    <row r="70" spans="1:5" x14ac:dyDescent="0.25">
      <c r="A70" s="97"/>
      <c r="B70" s="98"/>
      <c r="C70" s="99"/>
      <c r="D70" s="97"/>
      <c r="E70" s="100"/>
    </row>
    <row r="71" spans="1:5" x14ac:dyDescent="0.25">
      <c r="A71" s="97"/>
      <c r="B71" s="98"/>
      <c r="C71" s="99"/>
      <c r="D71" s="97"/>
      <c r="E71" s="100"/>
    </row>
    <row r="72" spans="1:5" x14ac:dyDescent="0.25">
      <c r="A72" s="97"/>
      <c r="B72" s="98"/>
      <c r="C72" s="99"/>
      <c r="D72" s="97"/>
      <c r="E72" s="100"/>
    </row>
    <row r="73" spans="1:5" x14ac:dyDescent="0.25">
      <c r="A73" s="97"/>
      <c r="B73" s="98"/>
      <c r="C73" s="99"/>
      <c r="D73" s="97"/>
      <c r="E73" s="100"/>
    </row>
    <row r="74" spans="1:5" x14ac:dyDescent="0.25">
      <c r="A74" s="97"/>
      <c r="B74" s="98"/>
      <c r="C74" s="99"/>
      <c r="D74" s="97"/>
      <c r="E74" s="100"/>
    </row>
    <row r="75" spans="1:5" x14ac:dyDescent="0.25">
      <c r="A75" s="97"/>
      <c r="B75" s="98"/>
      <c r="C75" s="99"/>
      <c r="D75" s="97"/>
      <c r="E75" s="100"/>
    </row>
    <row r="76" spans="1:5" x14ac:dyDescent="0.25">
      <c r="A76" s="97"/>
      <c r="B76" s="98"/>
      <c r="C76" s="99"/>
      <c r="D76" s="97"/>
      <c r="E76" s="100"/>
    </row>
    <row r="77" spans="1:5" x14ac:dyDescent="0.25">
      <c r="A77" s="97"/>
      <c r="B77" s="98"/>
      <c r="C77" s="99"/>
      <c r="D77" s="97"/>
      <c r="E77" s="100"/>
    </row>
    <row r="78" spans="1:5" x14ac:dyDescent="0.25">
      <c r="A78" s="97"/>
      <c r="B78" s="98"/>
      <c r="C78" s="99"/>
      <c r="D78" s="97"/>
      <c r="E78" s="100"/>
    </row>
    <row r="79" spans="1:5" x14ac:dyDescent="0.25">
      <c r="A79" s="97"/>
      <c r="B79" s="98"/>
      <c r="C79" s="99"/>
      <c r="D79" s="97"/>
      <c r="E79" s="100"/>
    </row>
    <row r="80" spans="1:5" x14ac:dyDescent="0.25">
      <c r="A80" s="97"/>
      <c r="B80" s="98"/>
      <c r="C80" s="99"/>
      <c r="D80" s="97"/>
      <c r="E80" s="100"/>
    </row>
    <row r="81" spans="1:5" x14ac:dyDescent="0.25">
      <c r="A81" s="97"/>
      <c r="B81" s="98"/>
      <c r="C81" s="99"/>
      <c r="D81" s="97"/>
      <c r="E81" s="100"/>
    </row>
    <row r="82" spans="1:5" x14ac:dyDescent="0.25">
      <c r="A82" s="97"/>
      <c r="B82" s="98"/>
      <c r="C82" s="99"/>
      <c r="D82" s="97"/>
      <c r="E82" s="100"/>
    </row>
    <row r="83" spans="1:5" x14ac:dyDescent="0.25">
      <c r="A83" s="97"/>
      <c r="B83" s="98"/>
      <c r="C83" s="99"/>
      <c r="D83" s="97"/>
      <c r="E83" s="100"/>
    </row>
    <row r="84" spans="1:5" x14ac:dyDescent="0.25">
      <c r="A84" s="97"/>
      <c r="B84" s="98"/>
      <c r="C84" s="99"/>
      <c r="D84" s="97"/>
      <c r="E84" s="100"/>
    </row>
    <row r="85" spans="1:5" x14ac:dyDescent="0.25">
      <c r="A85" s="97"/>
      <c r="B85" s="98"/>
      <c r="C85" s="99"/>
      <c r="D85" s="97"/>
      <c r="E85" s="100"/>
    </row>
    <row r="86" spans="1:5" x14ac:dyDescent="0.25">
      <c r="A86" s="97"/>
      <c r="B86" s="98"/>
      <c r="C86" s="99"/>
      <c r="D86" s="97"/>
      <c r="E86" s="100"/>
    </row>
    <row r="87" spans="1:5" x14ac:dyDescent="0.25">
      <c r="A87" s="97"/>
      <c r="B87" s="98"/>
      <c r="C87" s="99"/>
      <c r="D87" s="97"/>
      <c r="E87" s="100"/>
    </row>
    <row r="88" spans="1:5" x14ac:dyDescent="0.25">
      <c r="A88" s="97"/>
      <c r="B88" s="98"/>
      <c r="C88" s="99"/>
      <c r="D88" s="97"/>
      <c r="E88" s="100"/>
    </row>
    <row r="89" spans="1:5" x14ac:dyDescent="0.25">
      <c r="A89" s="97"/>
      <c r="B89" s="98"/>
      <c r="C89" s="99"/>
      <c r="D89" s="97"/>
      <c r="E89" s="100"/>
    </row>
    <row r="90" spans="1:5" x14ac:dyDescent="0.25">
      <c r="A90" s="97"/>
      <c r="B90" s="98"/>
      <c r="C90" s="99"/>
      <c r="D90" s="97"/>
      <c r="E90" s="100"/>
    </row>
    <row r="91" spans="1:5" x14ac:dyDescent="0.25">
      <c r="A91" s="97"/>
      <c r="B91" s="98"/>
      <c r="C91" s="99"/>
      <c r="D91" s="97"/>
      <c r="E91" s="100"/>
    </row>
    <row r="92" spans="1:5" x14ac:dyDescent="0.25">
      <c r="A92" s="97"/>
      <c r="B92" s="98"/>
      <c r="C92" s="99"/>
      <c r="D92" s="97"/>
      <c r="E92" s="100"/>
    </row>
    <row r="93" spans="1:5" x14ac:dyDescent="0.25">
      <c r="A93" s="97"/>
      <c r="B93" s="98"/>
      <c r="C93" s="99"/>
      <c r="D93" s="97"/>
      <c r="E93" s="100"/>
    </row>
    <row r="94" spans="1:5" x14ac:dyDescent="0.25">
      <c r="A94" s="97"/>
      <c r="B94" s="98"/>
      <c r="C94" s="99"/>
      <c r="D94" s="97"/>
      <c r="E94" s="100"/>
    </row>
    <row r="95" spans="1:5" x14ac:dyDescent="0.25">
      <c r="A95" s="97"/>
      <c r="B95" s="98"/>
      <c r="C95" s="99"/>
      <c r="D95" s="97"/>
      <c r="E95" s="100"/>
    </row>
    <row r="96" spans="1:5" x14ac:dyDescent="0.25">
      <c r="A96" s="101"/>
      <c r="B96" s="102"/>
      <c r="C96" s="103"/>
      <c r="D96" s="97"/>
      <c r="E96" s="104"/>
    </row>
    <row r="97" spans="1:6" x14ac:dyDescent="0.25">
      <c r="A97" s="101"/>
      <c r="B97" s="102"/>
      <c r="C97" s="103"/>
      <c r="D97" s="97"/>
      <c r="E97" s="104"/>
    </row>
    <row r="98" spans="1:6" x14ac:dyDescent="0.25">
      <c r="A98" s="101"/>
      <c r="B98" s="102"/>
      <c r="C98" s="103"/>
      <c r="D98" s="97"/>
      <c r="E98" s="104"/>
    </row>
    <row r="99" spans="1:6" x14ac:dyDescent="0.25">
      <c r="A99" s="101"/>
      <c r="B99" s="102"/>
      <c r="C99" s="103"/>
      <c r="D99" s="97"/>
      <c r="E99" s="104"/>
    </row>
    <row r="100" spans="1:6" x14ac:dyDescent="0.25">
      <c r="D100" s="80"/>
      <c r="E100" s="10"/>
      <c r="F100" s="83"/>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H100"/>
  <sheetViews>
    <sheetView topLeftCell="A70" workbookViewId="0">
      <selection activeCell="H101" sqref="H101"/>
    </sheetView>
  </sheetViews>
  <sheetFormatPr defaultRowHeight="15" x14ac:dyDescent="0.25"/>
  <cols>
    <col min="1" max="1" width="7.85546875" style="3" bestFit="1" customWidth="1"/>
    <col min="2" max="2" width="11.5703125" style="3" bestFit="1" customWidth="1"/>
    <col min="3" max="3" width="10.140625" style="3" bestFit="1" customWidth="1"/>
    <col min="4" max="4" width="14.7109375" style="3" bestFit="1" customWidth="1"/>
    <col min="5" max="5" width="16.7109375" style="3" bestFit="1" customWidth="1"/>
  </cols>
  <sheetData>
    <row r="1" spans="1:7" x14ac:dyDescent="0.25">
      <c r="A1" s="142" t="s">
        <v>37</v>
      </c>
      <c r="B1" s="142" t="s">
        <v>9</v>
      </c>
      <c r="C1" s="142" t="s">
        <v>8</v>
      </c>
      <c r="D1" s="142" t="s">
        <v>54</v>
      </c>
      <c r="E1" s="142" t="s">
        <v>55</v>
      </c>
      <c r="F1" s="142" t="s">
        <v>56</v>
      </c>
      <c r="G1" s="142" t="s">
        <v>57</v>
      </c>
    </row>
    <row r="2" spans="1:7" x14ac:dyDescent="0.25">
      <c r="A2" s="143"/>
      <c r="B2" s="144"/>
      <c r="C2" s="145"/>
      <c r="D2" s="144"/>
      <c r="E2" s="143"/>
      <c r="F2" s="143"/>
      <c r="G2" s="143"/>
    </row>
    <row r="3" spans="1:7" x14ac:dyDescent="0.25">
      <c r="A3" s="143"/>
      <c r="B3" s="144"/>
      <c r="C3" s="145"/>
      <c r="D3" s="144"/>
      <c r="E3" s="143"/>
      <c r="F3" s="143"/>
      <c r="G3" s="143"/>
    </row>
    <row r="4" spans="1:7" x14ac:dyDescent="0.25">
      <c r="A4" s="143"/>
      <c r="B4" s="144"/>
      <c r="C4" s="145"/>
      <c r="D4" s="144"/>
      <c r="E4" s="143"/>
      <c r="F4" s="143"/>
      <c r="G4" s="143"/>
    </row>
    <row r="5" spans="1:7" x14ac:dyDescent="0.25">
      <c r="A5" s="143"/>
      <c r="B5" s="144"/>
      <c r="C5" s="145"/>
      <c r="D5" s="144"/>
      <c r="E5" s="143"/>
      <c r="F5" s="143"/>
      <c r="G5" s="143"/>
    </row>
    <row r="6" spans="1:7" x14ac:dyDescent="0.25">
      <c r="A6" s="143"/>
      <c r="B6" s="144"/>
      <c r="C6" s="145"/>
      <c r="D6" s="144"/>
      <c r="E6" s="143"/>
      <c r="F6" s="143"/>
      <c r="G6" s="143"/>
    </row>
    <row r="7" spans="1:7" x14ac:dyDescent="0.25">
      <c r="A7" s="143"/>
      <c r="B7" s="144"/>
      <c r="C7" s="145"/>
      <c r="D7" s="144"/>
      <c r="E7" s="143"/>
      <c r="F7" s="143"/>
      <c r="G7" s="143"/>
    </row>
    <row r="8" spans="1:7" x14ac:dyDescent="0.25">
      <c r="A8" s="143"/>
      <c r="B8" s="144"/>
      <c r="C8" s="145"/>
      <c r="D8" s="144"/>
      <c r="E8" s="143"/>
      <c r="F8" s="143"/>
      <c r="G8" s="143"/>
    </row>
    <row r="9" spans="1:7" x14ac:dyDescent="0.25">
      <c r="A9" s="143"/>
      <c r="B9" s="144"/>
      <c r="C9" s="145"/>
      <c r="D9" s="144"/>
      <c r="E9" s="143"/>
      <c r="F9" s="143"/>
      <c r="G9" s="143"/>
    </row>
    <row r="10" spans="1:7" x14ac:dyDescent="0.25">
      <c r="A10" s="116"/>
      <c r="B10" s="117"/>
      <c r="C10" s="118"/>
      <c r="D10" s="116"/>
      <c r="E10" s="119"/>
    </row>
    <row r="11" spans="1:7" x14ac:dyDescent="0.25">
      <c r="A11" s="116"/>
      <c r="B11" s="117"/>
      <c r="C11" s="118"/>
      <c r="D11" s="116"/>
      <c r="E11" s="119"/>
    </row>
    <row r="100" spans="4:8" x14ac:dyDescent="0.25">
      <c r="D100" s="85"/>
      <c r="E100" s="84">
        <f>SUM(E2:E99)</f>
        <v>0</v>
      </c>
      <c r="F100" s="83">
        <f>SUM(F2:F99)</f>
        <v>0</v>
      </c>
      <c r="G100">
        <f>SUM(G2:G99)</f>
        <v>0</v>
      </c>
      <c r="H100" s="83">
        <v>0.02</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00"/>
  <sheetViews>
    <sheetView topLeftCell="A13" workbookViewId="0">
      <selection activeCell="H41" sqref="H41"/>
    </sheetView>
  </sheetViews>
  <sheetFormatPr defaultRowHeight="15" x14ac:dyDescent="0.25"/>
  <cols>
    <col min="1" max="2" width="14.28515625" customWidth="1"/>
    <col min="3" max="3" width="14.28515625" style="82" customWidth="1"/>
    <col min="4" max="4" width="14.28515625" customWidth="1"/>
    <col min="5" max="5" width="16.7109375" bestFit="1" customWidth="1"/>
  </cols>
  <sheetData>
    <row r="1" spans="1:7" x14ac:dyDescent="0.25">
      <c r="A1" s="173" t="s">
        <v>37</v>
      </c>
      <c r="B1" s="173" t="s">
        <v>9</v>
      </c>
      <c r="C1" s="173" t="s">
        <v>8</v>
      </c>
      <c r="D1" s="173" t="s">
        <v>54</v>
      </c>
      <c r="E1" s="173" t="s">
        <v>55</v>
      </c>
      <c r="F1" s="173" t="s">
        <v>56</v>
      </c>
      <c r="G1" s="173" t="s">
        <v>57</v>
      </c>
    </row>
    <row r="2" spans="1:7" x14ac:dyDescent="0.25">
      <c r="A2" s="174"/>
      <c r="B2" s="175"/>
      <c r="C2" s="176"/>
      <c r="D2" s="175"/>
      <c r="E2" s="174"/>
      <c r="F2" s="174"/>
      <c r="G2" s="174"/>
    </row>
    <row r="3" spans="1:7" x14ac:dyDescent="0.25">
      <c r="A3" s="174"/>
      <c r="B3" s="175"/>
      <c r="C3" s="176"/>
      <c r="D3" s="175"/>
      <c r="E3" s="174"/>
      <c r="F3" s="174"/>
      <c r="G3" s="174"/>
    </row>
    <row r="4" spans="1:7" x14ac:dyDescent="0.25">
      <c r="A4" s="174"/>
      <c r="B4" s="175"/>
      <c r="C4" s="176"/>
      <c r="D4" s="175"/>
      <c r="E4" s="174"/>
      <c r="F4" s="174"/>
      <c r="G4" s="174"/>
    </row>
    <row r="5" spans="1:7" x14ac:dyDescent="0.25">
      <c r="A5" s="174"/>
      <c r="B5" s="175"/>
      <c r="C5" s="176"/>
      <c r="D5" s="175"/>
      <c r="E5" s="174"/>
      <c r="F5" s="174"/>
      <c r="G5" s="174"/>
    </row>
    <row r="6" spans="1:7" x14ac:dyDescent="0.25">
      <c r="A6" s="174"/>
      <c r="B6" s="175"/>
      <c r="C6" s="176"/>
      <c r="D6" s="175"/>
      <c r="E6" s="174"/>
      <c r="F6" s="174"/>
      <c r="G6" s="174"/>
    </row>
    <row r="7" spans="1:7" x14ac:dyDescent="0.25">
      <c r="A7" s="174"/>
      <c r="B7" s="175"/>
      <c r="C7" s="176"/>
      <c r="D7" s="175"/>
      <c r="E7" s="174"/>
      <c r="F7" s="174"/>
      <c r="G7" s="174"/>
    </row>
    <row r="8" spans="1:7" x14ac:dyDescent="0.25">
      <c r="A8" s="150"/>
      <c r="B8" s="151"/>
      <c r="C8" s="152"/>
      <c r="D8" s="151"/>
      <c r="E8" s="150"/>
      <c r="F8" s="150"/>
      <c r="G8" s="150"/>
    </row>
    <row r="9" spans="1:7" x14ac:dyDescent="0.25">
      <c r="A9" s="150"/>
      <c r="B9" s="151"/>
      <c r="C9" s="152"/>
      <c r="D9" s="151"/>
      <c r="E9" s="150"/>
      <c r="F9" s="150"/>
      <c r="G9" s="150"/>
    </row>
    <row r="10" spans="1:7" x14ac:dyDescent="0.25">
      <c r="A10" s="150"/>
      <c r="B10" s="151"/>
      <c r="C10" s="152"/>
      <c r="D10" s="151"/>
      <c r="E10" s="150"/>
      <c r="F10" s="150"/>
      <c r="G10" s="150"/>
    </row>
    <row r="11" spans="1:7" x14ac:dyDescent="0.25">
      <c r="A11" s="150"/>
      <c r="B11" s="151"/>
      <c r="C11" s="152"/>
      <c r="D11" s="151"/>
      <c r="E11" s="150"/>
      <c r="F11" s="150"/>
      <c r="G11" s="150"/>
    </row>
    <row r="12" spans="1:7" x14ac:dyDescent="0.25">
      <c r="A12" s="150"/>
      <c r="B12" s="151"/>
      <c r="C12" s="152"/>
      <c r="D12" s="151"/>
      <c r="E12" s="150"/>
      <c r="F12" s="150"/>
      <c r="G12" s="150"/>
    </row>
    <row r="13" spans="1:7" x14ac:dyDescent="0.25">
      <c r="A13" s="3"/>
      <c r="B13" s="3"/>
      <c r="C13" s="81"/>
      <c r="D13" s="3"/>
      <c r="E13" s="10"/>
    </row>
    <row r="14" spans="1:7" x14ac:dyDescent="0.25">
      <c r="A14" s="3"/>
      <c r="B14" s="3"/>
      <c r="C14" s="81"/>
      <c r="D14" s="3"/>
      <c r="E14" s="10"/>
    </row>
    <row r="15" spans="1:7" x14ac:dyDescent="0.25">
      <c r="A15" s="3"/>
      <c r="B15" s="3"/>
      <c r="C15" s="81"/>
      <c r="D15" s="3"/>
      <c r="E15" s="10"/>
    </row>
    <row r="16" spans="1:7" x14ac:dyDescent="0.25">
      <c r="A16" s="3"/>
      <c r="B16" s="3"/>
      <c r="C16" s="81"/>
      <c r="D16" s="3"/>
      <c r="E16" s="10"/>
    </row>
    <row r="17" spans="1:5" x14ac:dyDescent="0.25">
      <c r="A17" s="3"/>
      <c r="B17" s="3"/>
      <c r="C17" s="81"/>
      <c r="D17" s="3"/>
      <c r="E17" s="10"/>
    </row>
    <row r="18" spans="1:5" x14ac:dyDescent="0.25">
      <c r="A18" s="3"/>
      <c r="B18" s="3"/>
      <c r="C18" s="81"/>
      <c r="D18" s="3"/>
      <c r="E18" s="10"/>
    </row>
    <row r="19" spans="1:5" x14ac:dyDescent="0.25">
      <c r="A19" s="3"/>
      <c r="B19" s="3"/>
      <c r="C19" s="81"/>
      <c r="D19" s="3"/>
      <c r="E19" s="10"/>
    </row>
    <row r="20" spans="1:5" x14ac:dyDescent="0.25">
      <c r="A20" s="3"/>
      <c r="B20" s="3"/>
      <c r="C20" s="81"/>
      <c r="D20" s="3"/>
      <c r="E20" s="10"/>
    </row>
    <row r="21" spans="1:5" x14ac:dyDescent="0.25">
      <c r="A21" s="3"/>
      <c r="B21" s="3"/>
      <c r="C21" s="81"/>
      <c r="D21" s="3"/>
      <c r="E21" s="10"/>
    </row>
    <row r="22" spans="1:5" x14ac:dyDescent="0.25">
      <c r="A22" s="3"/>
      <c r="B22" s="3"/>
      <c r="C22" s="81"/>
      <c r="D22" s="3"/>
      <c r="E22" s="10"/>
    </row>
    <row r="23" spans="1:5" x14ac:dyDescent="0.25">
      <c r="A23" s="3"/>
      <c r="B23" s="3"/>
      <c r="C23" s="81"/>
      <c r="D23" s="3"/>
      <c r="E23" s="10"/>
    </row>
    <row r="24" spans="1:5" x14ac:dyDescent="0.25">
      <c r="A24" s="3"/>
      <c r="B24" s="3"/>
      <c r="C24" s="81"/>
      <c r="D24" s="3"/>
      <c r="E24" s="10"/>
    </row>
    <row r="25" spans="1:5" x14ac:dyDescent="0.25">
      <c r="A25" s="3"/>
      <c r="B25" s="3"/>
      <c r="C25" s="81"/>
      <c r="D25" s="3"/>
      <c r="E25" s="10"/>
    </row>
    <row r="26" spans="1:5" x14ac:dyDescent="0.25">
      <c r="A26" s="3"/>
      <c r="B26" s="3"/>
      <c r="C26" s="81"/>
      <c r="D26" s="3"/>
      <c r="E26" s="10"/>
    </row>
    <row r="27" spans="1:5" x14ac:dyDescent="0.25">
      <c r="A27" s="3"/>
      <c r="B27" s="3"/>
      <c r="C27" s="81"/>
      <c r="D27" s="3"/>
      <c r="E27" s="10"/>
    </row>
    <row r="28" spans="1:5" x14ac:dyDescent="0.25">
      <c r="A28" s="3"/>
      <c r="B28" s="3"/>
      <c r="C28" s="81"/>
      <c r="D28" s="3"/>
      <c r="E28" s="10"/>
    </row>
    <row r="29" spans="1:5" x14ac:dyDescent="0.25">
      <c r="A29" s="3"/>
      <c r="B29" s="3"/>
      <c r="C29" s="81"/>
      <c r="D29" s="3"/>
      <c r="E29" s="10"/>
    </row>
    <row r="30" spans="1:5" x14ac:dyDescent="0.25">
      <c r="A30" s="3"/>
      <c r="B30" s="3"/>
      <c r="C30" s="81"/>
      <c r="D30" s="3"/>
      <c r="E30" s="10"/>
    </row>
    <row r="31" spans="1:5" x14ac:dyDescent="0.25">
      <c r="A31" s="3"/>
      <c r="B31" s="3"/>
      <c r="C31" s="81"/>
      <c r="D31" s="3"/>
      <c r="E31" s="10"/>
    </row>
    <row r="32" spans="1:5" x14ac:dyDescent="0.25">
      <c r="A32" s="3"/>
      <c r="B32" s="3"/>
      <c r="C32" s="81"/>
      <c r="D32" s="3"/>
      <c r="E32" s="10"/>
    </row>
    <row r="33" spans="1:8" x14ac:dyDescent="0.25">
      <c r="A33" s="3"/>
      <c r="B33" s="3"/>
      <c r="C33" s="81"/>
      <c r="D33" s="3"/>
      <c r="E33" s="10"/>
    </row>
    <row r="34" spans="1:8" x14ac:dyDescent="0.25">
      <c r="A34" s="3"/>
      <c r="B34" s="3"/>
      <c r="C34" s="81"/>
      <c r="D34" s="3"/>
      <c r="E34" s="10"/>
    </row>
    <row r="35" spans="1:8" x14ac:dyDescent="0.25">
      <c r="A35" s="3"/>
      <c r="B35" s="3"/>
      <c r="C35" s="81"/>
      <c r="D35" s="3"/>
      <c r="E35" s="10"/>
    </row>
    <row r="36" spans="1:8" x14ac:dyDescent="0.25">
      <c r="A36" s="3"/>
      <c r="B36" s="3"/>
      <c r="C36" s="81"/>
      <c r="D36" s="3"/>
      <c r="E36" s="10"/>
    </row>
    <row r="37" spans="1:8" x14ac:dyDescent="0.25">
      <c r="A37" s="3"/>
      <c r="B37" s="3"/>
      <c r="C37" s="81"/>
      <c r="D37" s="3"/>
      <c r="E37" s="10"/>
    </row>
    <row r="38" spans="1:8" x14ac:dyDescent="0.25">
      <c r="A38" s="3"/>
      <c r="B38" s="3"/>
      <c r="C38" s="81"/>
      <c r="D38" s="3"/>
      <c r="E38" s="10"/>
    </row>
    <row r="39" spans="1:8" x14ac:dyDescent="0.25">
      <c r="A39" s="3"/>
      <c r="B39" s="3"/>
      <c r="C39" s="81"/>
      <c r="D39" s="3"/>
      <c r="E39" s="10"/>
    </row>
    <row r="40" spans="1:8" x14ac:dyDescent="0.25">
      <c r="A40" s="3"/>
      <c r="B40" s="3"/>
      <c r="C40" s="81"/>
      <c r="D40" s="3"/>
      <c r="E40" s="10">
        <f>SUM(E2:E39)</f>
        <v>0</v>
      </c>
      <c r="F40">
        <f>SUM(F2:F39)</f>
        <v>0</v>
      </c>
      <c r="G40">
        <f>SUM(G2:G39)</f>
        <v>0</v>
      </c>
      <c r="H40" s="170">
        <v>6.25E-2</v>
      </c>
    </row>
    <row r="41" spans="1:8" x14ac:dyDescent="0.25">
      <c r="A41" s="3"/>
      <c r="B41" s="3"/>
      <c r="C41" s="81"/>
      <c r="D41" s="3"/>
      <c r="E41" s="10"/>
    </row>
    <row r="42" spans="1:8" x14ac:dyDescent="0.25">
      <c r="A42" s="3"/>
      <c r="B42" s="3"/>
      <c r="C42" s="81"/>
      <c r="D42" s="3"/>
      <c r="E42" s="10"/>
    </row>
    <row r="43" spans="1:8" x14ac:dyDescent="0.25">
      <c r="A43" s="3"/>
      <c r="B43" s="3"/>
      <c r="C43" s="81"/>
      <c r="D43" s="3"/>
      <c r="E43" s="10"/>
    </row>
    <row r="44" spans="1:8" x14ac:dyDescent="0.25">
      <c r="A44" s="3"/>
      <c r="B44" s="3"/>
      <c r="C44" s="81"/>
      <c r="D44" s="3"/>
      <c r="E44" s="10"/>
    </row>
    <row r="45" spans="1:8" x14ac:dyDescent="0.25">
      <c r="A45" s="3"/>
      <c r="B45" s="3"/>
      <c r="C45" s="81"/>
      <c r="D45" s="3"/>
      <c r="E45" s="10"/>
    </row>
    <row r="46" spans="1:8" x14ac:dyDescent="0.25">
      <c r="A46" s="3"/>
      <c r="B46" s="3"/>
      <c r="C46" s="81"/>
      <c r="D46" s="3"/>
      <c r="E46" s="10"/>
    </row>
    <row r="47" spans="1:8" x14ac:dyDescent="0.25">
      <c r="A47" s="3"/>
      <c r="B47" s="3"/>
      <c r="C47" s="81"/>
      <c r="D47" s="3"/>
      <c r="E47" s="10"/>
    </row>
    <row r="48" spans="1:8" x14ac:dyDescent="0.25">
      <c r="A48" s="3"/>
      <c r="B48" s="3"/>
      <c r="C48" s="81"/>
      <c r="D48" s="3"/>
      <c r="E48" s="10"/>
    </row>
    <row r="49" spans="1:5" x14ac:dyDescent="0.25">
      <c r="A49" s="3"/>
      <c r="B49" s="3"/>
      <c r="C49" s="81"/>
      <c r="D49" s="3"/>
      <c r="E49" s="10"/>
    </row>
    <row r="50" spans="1:5" x14ac:dyDescent="0.25">
      <c r="A50" s="3"/>
      <c r="B50" s="3"/>
      <c r="C50" s="81"/>
      <c r="D50" s="3"/>
      <c r="E50" s="10"/>
    </row>
    <row r="51" spans="1:5" x14ac:dyDescent="0.25">
      <c r="A51" s="3"/>
      <c r="B51" s="3"/>
      <c r="C51" s="81"/>
      <c r="D51" s="3"/>
      <c r="E51" s="10"/>
    </row>
    <row r="52" spans="1:5" x14ac:dyDescent="0.25">
      <c r="A52" s="3"/>
      <c r="B52" s="3"/>
      <c r="C52" s="81"/>
      <c r="D52" s="3"/>
      <c r="E52" s="10"/>
    </row>
    <row r="53" spans="1:5" x14ac:dyDescent="0.25">
      <c r="A53" s="3"/>
      <c r="B53" s="3"/>
      <c r="C53" s="81"/>
      <c r="D53" s="3"/>
      <c r="E53" s="10"/>
    </row>
    <row r="54" spans="1:5" x14ac:dyDescent="0.25">
      <c r="A54" s="3"/>
      <c r="B54" s="3"/>
      <c r="C54" s="81"/>
      <c r="D54" s="3"/>
      <c r="E54" s="10"/>
    </row>
    <row r="55" spans="1:5" x14ac:dyDescent="0.25">
      <c r="A55" s="3"/>
      <c r="B55" s="3"/>
      <c r="C55" s="81"/>
      <c r="D55" s="3"/>
      <c r="E55" s="10"/>
    </row>
    <row r="56" spans="1:5" x14ac:dyDescent="0.25">
      <c r="A56" s="3"/>
      <c r="B56" s="3"/>
      <c r="C56" s="81"/>
      <c r="D56" s="3"/>
      <c r="E56" s="10"/>
    </row>
    <row r="57" spans="1:5" x14ac:dyDescent="0.25">
      <c r="A57" s="3"/>
      <c r="B57" s="3"/>
      <c r="C57" s="81"/>
      <c r="D57" s="3"/>
      <c r="E57" s="10"/>
    </row>
    <row r="58" spans="1:5" x14ac:dyDescent="0.25">
      <c r="A58" s="3"/>
      <c r="B58" s="3"/>
      <c r="C58" s="81"/>
      <c r="D58" s="3"/>
      <c r="E58" s="10"/>
    </row>
    <row r="59" spans="1:5" x14ac:dyDescent="0.25">
      <c r="A59" s="3"/>
      <c r="B59" s="3"/>
      <c r="C59" s="81"/>
      <c r="D59" s="3"/>
      <c r="E59" s="10"/>
    </row>
    <row r="60" spans="1:5" x14ac:dyDescent="0.25">
      <c r="A60" s="3"/>
      <c r="B60" s="3"/>
      <c r="C60" s="81"/>
      <c r="D60" s="3"/>
      <c r="E60" s="10"/>
    </row>
    <row r="61" spans="1:5" x14ac:dyDescent="0.25">
      <c r="A61" s="3"/>
      <c r="B61" s="3"/>
      <c r="C61" s="81"/>
      <c r="D61" s="3"/>
      <c r="E61" s="10"/>
    </row>
    <row r="62" spans="1:5" x14ac:dyDescent="0.25">
      <c r="A62" s="3"/>
      <c r="B62" s="3"/>
      <c r="C62" s="81"/>
      <c r="D62" s="3"/>
      <c r="E62" s="10"/>
    </row>
    <row r="63" spans="1:5" x14ac:dyDescent="0.25">
      <c r="A63" s="3"/>
      <c r="B63" s="3"/>
      <c r="C63" s="81"/>
      <c r="D63" s="3"/>
      <c r="E63" s="10"/>
    </row>
    <row r="64" spans="1:5" x14ac:dyDescent="0.25">
      <c r="A64" s="3"/>
      <c r="B64" s="3"/>
      <c r="C64" s="81"/>
      <c r="D64" s="3"/>
      <c r="E64" s="10"/>
    </row>
    <row r="65" spans="1:5" x14ac:dyDescent="0.25">
      <c r="A65" s="3"/>
      <c r="B65" s="3"/>
      <c r="C65" s="81"/>
      <c r="D65" s="3"/>
      <c r="E65" s="10"/>
    </row>
    <row r="66" spans="1:5" x14ac:dyDescent="0.25">
      <c r="A66" s="3"/>
      <c r="B66" s="3"/>
      <c r="C66" s="81"/>
      <c r="D66" s="3"/>
      <c r="E66" s="10"/>
    </row>
    <row r="67" spans="1:5" x14ac:dyDescent="0.25">
      <c r="A67" s="3"/>
      <c r="B67" s="3"/>
      <c r="C67" s="81"/>
      <c r="D67" s="3"/>
      <c r="E67" s="10"/>
    </row>
    <row r="68" spans="1:5" x14ac:dyDescent="0.25">
      <c r="A68" s="3"/>
      <c r="B68" s="3"/>
      <c r="C68" s="81"/>
      <c r="D68" s="3"/>
      <c r="E68" s="10"/>
    </row>
    <row r="69" spans="1:5" x14ac:dyDescent="0.25">
      <c r="A69" s="3"/>
      <c r="B69" s="3"/>
      <c r="C69" s="81"/>
      <c r="D69" s="3"/>
      <c r="E69" s="10"/>
    </row>
    <row r="70" spans="1:5" x14ac:dyDescent="0.25">
      <c r="A70" s="3"/>
      <c r="B70" s="3"/>
      <c r="C70" s="81"/>
      <c r="D70" s="3"/>
      <c r="E70" s="10"/>
    </row>
    <row r="71" spans="1:5" x14ac:dyDescent="0.25">
      <c r="A71" s="3"/>
      <c r="B71" s="3"/>
      <c r="C71" s="81"/>
      <c r="D71" s="3"/>
      <c r="E71" s="10"/>
    </row>
    <row r="72" spans="1:5" x14ac:dyDescent="0.25">
      <c r="A72" s="3"/>
      <c r="B72" s="3"/>
      <c r="C72" s="81"/>
      <c r="D72" s="3"/>
      <c r="E72" s="10"/>
    </row>
    <row r="73" spans="1:5" x14ac:dyDescent="0.25">
      <c r="A73" s="3"/>
      <c r="B73" s="3"/>
      <c r="C73" s="81"/>
      <c r="D73" s="3"/>
      <c r="E73" s="10"/>
    </row>
    <row r="74" spans="1:5" x14ac:dyDescent="0.25">
      <c r="A74" s="3"/>
      <c r="B74" s="3"/>
      <c r="C74" s="81"/>
      <c r="D74" s="3"/>
      <c r="E74" s="10"/>
    </row>
    <row r="75" spans="1:5" x14ac:dyDescent="0.25">
      <c r="A75" s="3"/>
      <c r="B75" s="3"/>
      <c r="C75" s="81"/>
      <c r="D75" s="3"/>
      <c r="E75" s="10"/>
    </row>
    <row r="76" spans="1:5" x14ac:dyDescent="0.25">
      <c r="A76" s="3"/>
      <c r="B76" s="3"/>
      <c r="C76" s="81"/>
      <c r="D76" s="3"/>
      <c r="E76" s="10"/>
    </row>
    <row r="77" spans="1:5" x14ac:dyDescent="0.25">
      <c r="A77" s="3"/>
      <c r="B77" s="3"/>
      <c r="C77" s="81"/>
      <c r="D77" s="3"/>
      <c r="E77" s="10"/>
    </row>
    <row r="78" spans="1:5" x14ac:dyDescent="0.25">
      <c r="A78" s="3"/>
      <c r="B78" s="3"/>
      <c r="C78" s="81"/>
      <c r="D78" s="3"/>
      <c r="E78" s="10"/>
    </row>
    <row r="79" spans="1:5" x14ac:dyDescent="0.25">
      <c r="A79" s="3"/>
      <c r="B79" s="3"/>
      <c r="C79" s="81"/>
      <c r="D79" s="3"/>
      <c r="E79" s="10"/>
    </row>
    <row r="80" spans="1:5" x14ac:dyDescent="0.25">
      <c r="A80" s="3"/>
      <c r="B80" s="3"/>
      <c r="C80" s="81"/>
      <c r="D80" s="3"/>
      <c r="E80" s="10"/>
    </row>
    <row r="81" spans="1:5" x14ac:dyDescent="0.25">
      <c r="A81" s="3"/>
      <c r="B81" s="3"/>
      <c r="C81" s="81"/>
      <c r="D81" s="3"/>
      <c r="E81" s="10"/>
    </row>
    <row r="82" spans="1:5" x14ac:dyDescent="0.25">
      <c r="A82" s="3"/>
      <c r="B82" s="3"/>
      <c r="C82" s="81"/>
      <c r="D82" s="3"/>
      <c r="E82" s="10"/>
    </row>
    <row r="83" spans="1:5" x14ac:dyDescent="0.25">
      <c r="A83" s="3"/>
      <c r="B83" s="3"/>
      <c r="C83" s="81"/>
      <c r="D83" s="3"/>
      <c r="E83" s="10"/>
    </row>
    <row r="84" spans="1:5" x14ac:dyDescent="0.25">
      <c r="A84" s="3"/>
      <c r="B84" s="3"/>
      <c r="C84" s="81"/>
      <c r="D84" s="3"/>
      <c r="E84" s="10"/>
    </row>
    <row r="85" spans="1:5" x14ac:dyDescent="0.25">
      <c r="A85" s="3"/>
      <c r="B85" s="3"/>
      <c r="C85" s="81"/>
      <c r="D85" s="3"/>
      <c r="E85" s="10"/>
    </row>
    <row r="86" spans="1:5" x14ac:dyDescent="0.25">
      <c r="A86" s="3"/>
      <c r="B86" s="3"/>
      <c r="C86" s="81"/>
      <c r="D86" s="3"/>
      <c r="E86" s="10"/>
    </row>
    <row r="87" spans="1:5" x14ac:dyDescent="0.25">
      <c r="A87" s="3"/>
      <c r="B87" s="3"/>
      <c r="C87" s="81"/>
      <c r="D87" s="3"/>
      <c r="E87" s="10"/>
    </row>
    <row r="88" spans="1:5" x14ac:dyDescent="0.25">
      <c r="A88" s="3"/>
      <c r="B88" s="3"/>
      <c r="C88" s="81"/>
      <c r="D88" s="3"/>
      <c r="E88" s="10"/>
    </row>
    <row r="89" spans="1:5" x14ac:dyDescent="0.25">
      <c r="A89" s="3"/>
      <c r="B89" s="3"/>
      <c r="C89" s="81"/>
      <c r="D89" s="3"/>
      <c r="E89" s="10"/>
    </row>
    <row r="90" spans="1:5" x14ac:dyDescent="0.25">
      <c r="A90" s="3"/>
      <c r="B90" s="3"/>
      <c r="C90" s="81"/>
      <c r="D90" s="3"/>
      <c r="E90" s="10"/>
    </row>
    <row r="91" spans="1:5" x14ac:dyDescent="0.25">
      <c r="A91" s="3"/>
      <c r="B91" s="3"/>
      <c r="C91" s="81"/>
      <c r="D91" s="3"/>
      <c r="E91" s="10"/>
    </row>
    <row r="92" spans="1:5" x14ac:dyDescent="0.25">
      <c r="A92" s="3"/>
      <c r="B92" s="3"/>
      <c r="C92" s="81"/>
      <c r="D92" s="3"/>
      <c r="E92" s="10"/>
    </row>
    <row r="93" spans="1:5" x14ac:dyDescent="0.25">
      <c r="A93" s="3"/>
      <c r="B93" s="3"/>
      <c r="C93" s="81"/>
      <c r="D93" s="3"/>
      <c r="E93" s="10"/>
    </row>
    <row r="94" spans="1:5" x14ac:dyDescent="0.25">
      <c r="A94" s="3"/>
      <c r="B94" s="3"/>
      <c r="C94" s="81"/>
      <c r="D94" s="3"/>
      <c r="E94" s="10"/>
    </row>
    <row r="95" spans="1:5" x14ac:dyDescent="0.25">
      <c r="A95" s="3"/>
      <c r="B95" s="3"/>
      <c r="C95" s="81"/>
      <c r="D95" s="3"/>
      <c r="E95" s="10"/>
    </row>
    <row r="96" spans="1:5" x14ac:dyDescent="0.25">
      <c r="A96" s="3"/>
      <c r="B96" s="3"/>
      <c r="C96" s="81"/>
      <c r="D96" s="3"/>
      <c r="E96" s="10"/>
    </row>
    <row r="97" spans="1:8" x14ac:dyDescent="0.25">
      <c r="A97" s="3"/>
      <c r="B97" s="3"/>
      <c r="C97" s="81"/>
      <c r="D97" s="3"/>
      <c r="E97" s="10"/>
    </row>
    <row r="98" spans="1:8" x14ac:dyDescent="0.25">
      <c r="A98" s="3"/>
      <c r="B98" s="3"/>
      <c r="C98" s="81"/>
      <c r="D98" s="3"/>
      <c r="E98" s="10"/>
    </row>
    <row r="99" spans="1:8" x14ac:dyDescent="0.25">
      <c r="A99" s="3"/>
      <c r="B99" s="3"/>
      <c r="C99" s="81"/>
      <c r="D99" s="3"/>
      <c r="E99" s="10"/>
    </row>
    <row r="100" spans="1:8" x14ac:dyDescent="0.25">
      <c r="A100" s="136"/>
      <c r="B100" s="136"/>
      <c r="C100" s="137"/>
      <c r="D100" s="138"/>
      <c r="E100" s="139">
        <f>SUM(E2:E99)</f>
        <v>0</v>
      </c>
      <c r="F100" s="139">
        <f>SUM(F2:F99)</f>
        <v>0</v>
      </c>
      <c r="G100" s="139">
        <f>SUM(G2:G99)</f>
        <v>0</v>
      </c>
      <c r="H100" s="140" t="e">
        <f>+G100/E100</f>
        <v>#DIV/0!</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00"/>
  <sheetViews>
    <sheetView topLeftCell="A16" workbookViewId="0">
      <selection activeCell="A13" sqref="A13"/>
    </sheetView>
  </sheetViews>
  <sheetFormatPr defaultRowHeight="15" x14ac:dyDescent="0.25"/>
  <cols>
    <col min="1" max="2" width="15.140625" customWidth="1"/>
    <col min="3" max="3" width="15.140625" style="82" customWidth="1"/>
    <col min="4" max="4" width="15.140625" customWidth="1"/>
    <col min="5" max="5" width="16.7109375" bestFit="1" customWidth="1"/>
  </cols>
  <sheetData>
    <row r="1" spans="1:7" x14ac:dyDescent="0.25">
      <c r="A1" s="230" t="s">
        <v>37</v>
      </c>
      <c r="B1" s="230" t="s">
        <v>9</v>
      </c>
      <c r="C1" s="230" t="s">
        <v>8</v>
      </c>
      <c r="D1" s="230" t="s">
        <v>54</v>
      </c>
      <c r="E1" s="230" t="s">
        <v>55</v>
      </c>
      <c r="F1" s="230" t="s">
        <v>56</v>
      </c>
      <c r="G1" s="230" t="s">
        <v>57</v>
      </c>
    </row>
    <row r="2" spans="1:7" x14ac:dyDescent="0.25">
      <c r="A2" s="231">
        <v>1475</v>
      </c>
      <c r="B2" s="232" t="s">
        <v>3</v>
      </c>
      <c r="C2" s="233">
        <v>43100</v>
      </c>
      <c r="D2" s="232" t="s">
        <v>92</v>
      </c>
      <c r="E2" s="231">
        <v>100</v>
      </c>
      <c r="F2" s="231">
        <v>6</v>
      </c>
      <c r="G2" s="231">
        <v>6</v>
      </c>
    </row>
    <row r="3" spans="1:7" x14ac:dyDescent="0.25">
      <c r="A3" s="231">
        <v>1475</v>
      </c>
      <c r="B3" s="232" t="s">
        <v>3</v>
      </c>
      <c r="C3" s="233">
        <v>43100</v>
      </c>
      <c r="D3" s="232" t="s">
        <v>93</v>
      </c>
      <c r="E3" s="231">
        <v>100</v>
      </c>
      <c r="F3" s="231">
        <v>8</v>
      </c>
      <c r="G3" s="231">
        <v>8</v>
      </c>
    </row>
    <row r="4" spans="1:7" x14ac:dyDescent="0.25">
      <c r="A4" s="231">
        <v>1509</v>
      </c>
      <c r="B4" s="232" t="s">
        <v>3</v>
      </c>
      <c r="C4" s="233">
        <v>43209</v>
      </c>
      <c r="D4" s="232" t="s">
        <v>92</v>
      </c>
      <c r="E4" s="231">
        <v>100</v>
      </c>
      <c r="F4" s="231">
        <v>7</v>
      </c>
      <c r="G4" s="231">
        <v>7</v>
      </c>
    </row>
    <row r="5" spans="1:7" x14ac:dyDescent="0.25">
      <c r="A5" s="231">
        <v>1509</v>
      </c>
      <c r="B5" s="232" t="s">
        <v>3</v>
      </c>
      <c r="C5" s="233">
        <v>43209</v>
      </c>
      <c r="D5" s="232" t="s">
        <v>93</v>
      </c>
      <c r="E5" s="231">
        <v>100</v>
      </c>
      <c r="F5" s="231">
        <v>4</v>
      </c>
      <c r="G5" s="231">
        <v>4</v>
      </c>
    </row>
    <row r="6" spans="1:7" x14ac:dyDescent="0.25">
      <c r="A6" s="181"/>
      <c r="B6" s="181"/>
      <c r="C6" s="182"/>
      <c r="D6" s="181"/>
      <c r="E6" s="181"/>
      <c r="F6" s="181"/>
      <c r="G6" s="181"/>
    </row>
    <row r="7" spans="1:7" x14ac:dyDescent="0.25">
      <c r="A7" s="181"/>
      <c r="B7" s="181"/>
      <c r="C7" s="182"/>
      <c r="D7" s="181"/>
      <c r="E7" s="181"/>
      <c r="F7" s="181"/>
      <c r="G7" s="181"/>
    </row>
    <row r="8" spans="1:7" x14ac:dyDescent="0.25">
      <c r="A8" s="147"/>
      <c r="B8" s="148"/>
      <c r="C8" s="149"/>
      <c r="D8" s="148"/>
      <c r="E8" s="147"/>
      <c r="F8" s="147"/>
      <c r="G8" s="147"/>
    </row>
    <row r="9" spans="1:7" x14ac:dyDescent="0.25">
      <c r="A9" s="147"/>
      <c r="B9" s="148"/>
      <c r="C9" s="149"/>
      <c r="D9" s="148"/>
      <c r="E9" s="147"/>
      <c r="F9" s="147"/>
      <c r="G9" s="147"/>
    </row>
    <row r="10" spans="1:7" x14ac:dyDescent="0.25">
      <c r="A10" s="147"/>
      <c r="B10" s="148"/>
      <c r="C10" s="149"/>
      <c r="D10" s="148"/>
      <c r="E10" s="147"/>
      <c r="F10" s="147"/>
      <c r="G10" s="147"/>
    </row>
    <row r="11" spans="1:7" x14ac:dyDescent="0.25">
      <c r="A11" s="147"/>
      <c r="B11" s="148"/>
      <c r="C11" s="149"/>
      <c r="D11" s="148"/>
      <c r="E11" s="147"/>
      <c r="F11" s="147"/>
      <c r="G11" s="147"/>
    </row>
    <row r="12" spans="1:7" x14ac:dyDescent="0.25">
      <c r="A12" s="147"/>
      <c r="B12" s="148"/>
      <c r="C12" s="149"/>
      <c r="D12" s="148"/>
      <c r="E12" s="147"/>
      <c r="F12" s="147"/>
      <c r="G12" s="147"/>
    </row>
    <row r="13" spans="1:7" x14ac:dyDescent="0.25">
      <c r="A13" s="147"/>
      <c r="B13" s="148"/>
      <c r="C13" s="149"/>
      <c r="D13" s="148"/>
      <c r="E13" s="147"/>
      <c r="F13" s="147"/>
      <c r="G13" s="147"/>
    </row>
    <row r="14" spans="1:7" x14ac:dyDescent="0.25">
      <c r="A14" s="147"/>
      <c r="B14" s="148"/>
      <c r="C14" s="149"/>
      <c r="D14" s="148"/>
      <c r="E14" s="147"/>
      <c r="F14" s="147"/>
      <c r="G14" s="147"/>
    </row>
    <row r="15" spans="1:7" x14ac:dyDescent="0.25">
      <c r="A15" s="147"/>
      <c r="B15" s="148"/>
      <c r="C15" s="149"/>
      <c r="D15" s="148"/>
      <c r="E15" s="147"/>
      <c r="F15" s="147"/>
      <c r="G15" s="147"/>
    </row>
    <row r="16" spans="1:7" x14ac:dyDescent="0.25">
      <c r="A16" s="147"/>
      <c r="B16" s="148"/>
      <c r="C16" s="149"/>
      <c r="D16" s="148"/>
      <c r="E16" s="147"/>
      <c r="F16" s="147"/>
      <c r="G16" s="147"/>
    </row>
    <row r="17" spans="1:7" x14ac:dyDescent="0.25">
      <c r="A17" s="147"/>
      <c r="B17" s="148"/>
      <c r="C17" s="149"/>
      <c r="D17" s="148"/>
      <c r="E17" s="147"/>
      <c r="F17" s="147"/>
      <c r="G17" s="147"/>
    </row>
    <row r="18" spans="1:7" x14ac:dyDescent="0.25">
      <c r="A18" s="147"/>
      <c r="B18" s="148"/>
      <c r="C18" s="149"/>
      <c r="D18" s="148"/>
      <c r="E18" s="147"/>
      <c r="F18" s="147"/>
      <c r="G18" s="147"/>
    </row>
    <row r="19" spans="1:7" x14ac:dyDescent="0.25">
      <c r="A19" s="147"/>
      <c r="B19" s="148"/>
      <c r="C19" s="149"/>
      <c r="D19" s="148"/>
      <c r="E19" s="147"/>
      <c r="F19" s="147"/>
      <c r="G19" s="147"/>
    </row>
    <row r="20" spans="1:7" x14ac:dyDescent="0.25">
      <c r="A20" s="105"/>
      <c r="B20" s="106"/>
      <c r="C20" s="107"/>
      <c r="D20" s="105"/>
      <c r="E20" s="108"/>
    </row>
    <row r="21" spans="1:7" x14ac:dyDescent="0.25">
      <c r="A21" s="105"/>
      <c r="B21" s="106"/>
      <c r="C21" s="107"/>
      <c r="D21" s="105"/>
      <c r="E21" s="108"/>
    </row>
    <row r="22" spans="1:7" x14ac:dyDescent="0.25">
      <c r="A22" s="105"/>
      <c r="B22" s="106"/>
      <c r="C22" s="107"/>
      <c r="D22" s="105"/>
      <c r="E22" s="108"/>
    </row>
    <row r="23" spans="1:7" x14ac:dyDescent="0.25">
      <c r="A23" s="105"/>
      <c r="B23" s="106"/>
      <c r="C23" s="107"/>
      <c r="D23" s="105"/>
      <c r="E23" s="108"/>
    </row>
    <row r="24" spans="1:7" x14ac:dyDescent="0.25">
      <c r="A24" s="105"/>
      <c r="B24" s="106"/>
      <c r="C24" s="107"/>
      <c r="D24" s="105"/>
      <c r="E24" s="108"/>
    </row>
    <row r="25" spans="1:7" x14ac:dyDescent="0.25">
      <c r="A25" s="105"/>
      <c r="B25" s="106"/>
      <c r="C25" s="107"/>
      <c r="D25" s="105"/>
      <c r="E25" s="108"/>
    </row>
    <row r="26" spans="1:7" x14ac:dyDescent="0.25">
      <c r="A26" s="105"/>
      <c r="B26" s="106"/>
      <c r="C26" s="107"/>
      <c r="D26" s="105"/>
      <c r="E26" s="108"/>
    </row>
    <row r="27" spans="1:7" x14ac:dyDescent="0.25">
      <c r="A27" s="105"/>
      <c r="B27" s="106"/>
      <c r="C27" s="107"/>
      <c r="D27" s="105"/>
      <c r="E27" s="108"/>
    </row>
    <row r="28" spans="1:7" x14ac:dyDescent="0.25">
      <c r="A28" s="105"/>
      <c r="B28" s="106"/>
      <c r="C28" s="107"/>
      <c r="D28" s="105"/>
      <c r="E28" s="108"/>
    </row>
    <row r="29" spans="1:7" x14ac:dyDescent="0.25">
      <c r="A29" s="105"/>
      <c r="B29" s="106"/>
      <c r="C29" s="107"/>
      <c r="D29" s="105"/>
      <c r="E29" s="108"/>
    </row>
    <row r="30" spans="1:7" x14ac:dyDescent="0.25">
      <c r="A30" s="105"/>
      <c r="B30" s="106"/>
      <c r="C30" s="107"/>
      <c r="D30" s="105"/>
      <c r="E30" s="108"/>
    </row>
    <row r="31" spans="1:7" x14ac:dyDescent="0.25">
      <c r="A31" s="105"/>
      <c r="B31" s="106"/>
      <c r="C31" s="107"/>
      <c r="D31" s="105"/>
      <c r="E31" s="108"/>
    </row>
    <row r="32" spans="1:7" x14ac:dyDescent="0.25">
      <c r="A32" s="105"/>
      <c r="B32" s="106"/>
      <c r="C32" s="107"/>
      <c r="D32" s="105"/>
      <c r="E32" s="108"/>
    </row>
    <row r="33" spans="1:8" x14ac:dyDescent="0.25">
      <c r="A33" s="105"/>
      <c r="B33" s="106"/>
      <c r="C33" s="107"/>
      <c r="D33" s="105"/>
      <c r="E33" s="108"/>
    </row>
    <row r="34" spans="1:8" x14ac:dyDescent="0.25">
      <c r="A34" s="105"/>
      <c r="B34" s="106"/>
      <c r="C34" s="107"/>
      <c r="D34" s="105"/>
      <c r="E34" s="108"/>
    </row>
    <row r="35" spans="1:8" x14ac:dyDescent="0.25">
      <c r="A35" s="105"/>
      <c r="B35" s="106"/>
      <c r="C35" s="107"/>
      <c r="D35" s="105"/>
      <c r="E35" s="108"/>
    </row>
    <row r="36" spans="1:8" x14ac:dyDescent="0.25">
      <c r="A36" s="105"/>
      <c r="B36" s="106"/>
      <c r="C36" s="107"/>
      <c r="D36" s="105"/>
      <c r="E36" s="108"/>
    </row>
    <row r="37" spans="1:8" x14ac:dyDescent="0.25">
      <c r="A37" s="105"/>
      <c r="B37" s="106"/>
      <c r="C37" s="107"/>
      <c r="D37" s="105"/>
      <c r="E37" s="108"/>
    </row>
    <row r="38" spans="1:8" x14ac:dyDescent="0.25">
      <c r="A38" s="105"/>
      <c r="B38" s="106"/>
      <c r="C38" s="107"/>
      <c r="D38" s="105"/>
      <c r="E38" s="108"/>
    </row>
    <row r="39" spans="1:8" x14ac:dyDescent="0.25">
      <c r="A39" s="105"/>
      <c r="B39" s="106"/>
      <c r="C39" s="107"/>
      <c r="D39" s="105"/>
      <c r="E39" s="108"/>
    </row>
    <row r="40" spans="1:8" x14ac:dyDescent="0.25">
      <c r="A40" s="105"/>
      <c r="B40" s="106"/>
      <c r="C40" s="107"/>
      <c r="D40" s="105"/>
      <c r="E40" s="108">
        <f>SUM(E2:E39)</f>
        <v>400</v>
      </c>
      <c r="F40">
        <f>SUM(F2:F39)</f>
        <v>25</v>
      </c>
      <c r="G40">
        <f>SUM(G2:G39)</f>
        <v>25</v>
      </c>
      <c r="H40" s="170">
        <f>+G40/E40</f>
        <v>6.25E-2</v>
      </c>
    </row>
    <row r="41" spans="1:8" x14ac:dyDescent="0.25">
      <c r="A41" s="105"/>
      <c r="B41" s="106"/>
      <c r="C41" s="107"/>
      <c r="D41" s="105"/>
      <c r="E41" s="108"/>
    </row>
    <row r="42" spans="1:8" x14ac:dyDescent="0.25">
      <c r="A42" s="105"/>
      <c r="B42" s="106"/>
      <c r="C42" s="107"/>
      <c r="D42" s="105"/>
      <c r="E42" s="108"/>
    </row>
    <row r="43" spans="1:8" x14ac:dyDescent="0.25">
      <c r="A43" s="105"/>
      <c r="B43" s="106"/>
      <c r="C43" s="107"/>
      <c r="D43" s="105"/>
      <c r="E43" s="108"/>
    </row>
    <row r="44" spans="1:8" x14ac:dyDescent="0.25">
      <c r="A44" s="105"/>
      <c r="B44" s="106"/>
      <c r="C44" s="107"/>
      <c r="D44" s="105"/>
      <c r="E44" s="108"/>
    </row>
    <row r="45" spans="1:8" x14ac:dyDescent="0.25">
      <c r="A45" s="105"/>
      <c r="B45" s="106"/>
      <c r="C45" s="107"/>
      <c r="D45" s="105"/>
      <c r="E45" s="108"/>
    </row>
    <row r="46" spans="1:8" x14ac:dyDescent="0.25">
      <c r="A46" s="105"/>
      <c r="B46" s="106"/>
      <c r="C46" s="107"/>
      <c r="D46" s="105"/>
      <c r="E46" s="108"/>
    </row>
    <row r="47" spans="1:8" x14ac:dyDescent="0.25">
      <c r="A47" s="105"/>
      <c r="B47" s="106"/>
      <c r="C47" s="107"/>
      <c r="D47" s="105"/>
      <c r="E47" s="108"/>
    </row>
    <row r="48" spans="1:8" x14ac:dyDescent="0.25">
      <c r="A48" s="105"/>
      <c r="B48" s="106"/>
      <c r="C48" s="107"/>
      <c r="D48" s="105"/>
      <c r="E48" s="108"/>
    </row>
    <row r="49" spans="1:5" x14ac:dyDescent="0.25">
      <c r="A49" s="105"/>
      <c r="B49" s="106"/>
      <c r="C49" s="107"/>
      <c r="D49" s="105"/>
      <c r="E49" s="108"/>
    </row>
    <row r="50" spans="1:5" x14ac:dyDescent="0.25">
      <c r="A50" s="105"/>
      <c r="B50" s="106"/>
      <c r="C50" s="107"/>
      <c r="D50" s="105"/>
      <c r="E50" s="108"/>
    </row>
    <row r="51" spans="1:5" x14ac:dyDescent="0.25">
      <c r="A51" s="105"/>
      <c r="B51" s="106"/>
      <c r="C51" s="107"/>
      <c r="D51" s="105"/>
      <c r="E51" s="108"/>
    </row>
    <row r="52" spans="1:5" x14ac:dyDescent="0.25">
      <c r="A52" s="105"/>
      <c r="B52" s="106"/>
      <c r="C52" s="107"/>
      <c r="D52" s="105"/>
      <c r="E52" s="108"/>
    </row>
    <row r="53" spans="1:5" x14ac:dyDescent="0.25">
      <c r="A53" s="105"/>
      <c r="B53" s="106"/>
      <c r="C53" s="107"/>
      <c r="D53" s="105"/>
      <c r="E53" s="108"/>
    </row>
    <row r="54" spans="1:5" x14ac:dyDescent="0.25">
      <c r="A54" s="105"/>
      <c r="B54" s="106"/>
      <c r="C54" s="107"/>
      <c r="D54" s="105"/>
      <c r="E54" s="108"/>
    </row>
    <row r="55" spans="1:5" x14ac:dyDescent="0.25">
      <c r="A55" s="105"/>
      <c r="B55" s="106"/>
      <c r="C55" s="107"/>
      <c r="D55" s="105"/>
      <c r="E55" s="108"/>
    </row>
    <row r="56" spans="1:5" x14ac:dyDescent="0.25">
      <c r="A56" s="105"/>
      <c r="B56" s="106"/>
      <c r="C56" s="107"/>
      <c r="D56" s="105"/>
      <c r="E56" s="108"/>
    </row>
    <row r="57" spans="1:5" x14ac:dyDescent="0.25">
      <c r="A57" s="105"/>
      <c r="B57" s="106"/>
      <c r="C57" s="107"/>
      <c r="D57" s="105"/>
      <c r="E57" s="108"/>
    </row>
    <row r="58" spans="1:5" x14ac:dyDescent="0.25">
      <c r="A58" s="105"/>
      <c r="B58" s="106"/>
      <c r="C58" s="107"/>
      <c r="D58" s="105"/>
      <c r="E58" s="108"/>
    </row>
    <row r="59" spans="1:5" x14ac:dyDescent="0.25">
      <c r="A59" s="105"/>
      <c r="B59" s="106"/>
      <c r="C59" s="107"/>
      <c r="D59" s="105"/>
      <c r="E59" s="108"/>
    </row>
    <row r="60" spans="1:5" x14ac:dyDescent="0.25">
      <c r="A60" s="105"/>
      <c r="B60" s="106"/>
      <c r="C60" s="107"/>
      <c r="D60" s="105"/>
      <c r="E60" s="108"/>
    </row>
    <row r="61" spans="1:5" x14ac:dyDescent="0.25">
      <c r="A61" s="105"/>
      <c r="B61" s="106"/>
      <c r="C61" s="107"/>
      <c r="D61" s="105"/>
      <c r="E61" s="108"/>
    </row>
    <row r="62" spans="1:5" x14ac:dyDescent="0.25">
      <c r="A62" s="105"/>
      <c r="B62" s="106"/>
      <c r="C62" s="107"/>
      <c r="D62" s="105"/>
      <c r="E62" s="108"/>
    </row>
    <row r="63" spans="1:5" x14ac:dyDescent="0.25">
      <c r="A63" s="105"/>
      <c r="B63" s="106"/>
      <c r="C63" s="107"/>
      <c r="D63" s="105"/>
      <c r="E63" s="108"/>
    </row>
    <row r="64" spans="1:5" x14ac:dyDescent="0.25">
      <c r="A64" s="105"/>
      <c r="B64" s="106"/>
      <c r="C64" s="107"/>
      <c r="D64" s="105"/>
      <c r="E64" s="108"/>
    </row>
    <row r="65" spans="1:5" x14ac:dyDescent="0.25">
      <c r="A65" s="105"/>
      <c r="B65" s="106"/>
      <c r="C65" s="107"/>
      <c r="D65" s="105"/>
      <c r="E65" s="108"/>
    </row>
    <row r="66" spans="1:5" x14ac:dyDescent="0.25">
      <c r="A66" s="105"/>
      <c r="B66" s="106"/>
      <c r="C66" s="107"/>
      <c r="D66" s="105"/>
      <c r="E66" s="108"/>
    </row>
    <row r="67" spans="1:5" x14ac:dyDescent="0.25">
      <c r="A67" s="105"/>
      <c r="B67" s="106"/>
      <c r="C67" s="107"/>
      <c r="D67" s="105"/>
      <c r="E67" s="108"/>
    </row>
    <row r="68" spans="1:5" x14ac:dyDescent="0.25">
      <c r="A68" s="105"/>
      <c r="B68" s="106"/>
      <c r="C68" s="107"/>
      <c r="D68" s="105"/>
      <c r="E68" s="108"/>
    </row>
    <row r="69" spans="1:5" x14ac:dyDescent="0.25">
      <c r="A69" s="105"/>
      <c r="B69" s="106"/>
      <c r="C69" s="107"/>
      <c r="D69" s="105"/>
      <c r="E69" s="108"/>
    </row>
    <row r="70" spans="1:5" x14ac:dyDescent="0.25">
      <c r="A70" s="105"/>
      <c r="B70" s="106"/>
      <c r="C70" s="107"/>
      <c r="D70" s="105"/>
      <c r="E70" s="108"/>
    </row>
    <row r="71" spans="1:5" x14ac:dyDescent="0.25">
      <c r="A71" s="105"/>
      <c r="B71" s="106"/>
      <c r="C71" s="107"/>
      <c r="D71" s="105"/>
      <c r="E71" s="108"/>
    </row>
    <row r="72" spans="1:5" x14ac:dyDescent="0.25">
      <c r="A72" s="105"/>
      <c r="B72" s="106"/>
      <c r="C72" s="107"/>
      <c r="D72" s="105"/>
      <c r="E72" s="108"/>
    </row>
    <row r="73" spans="1:5" x14ac:dyDescent="0.25">
      <c r="A73" s="105"/>
      <c r="B73" s="106"/>
      <c r="C73" s="107"/>
      <c r="D73" s="105"/>
      <c r="E73" s="108"/>
    </row>
    <row r="74" spans="1:5" x14ac:dyDescent="0.25">
      <c r="A74" s="105"/>
      <c r="B74" s="106"/>
      <c r="C74" s="107"/>
      <c r="D74" s="105"/>
      <c r="E74" s="108"/>
    </row>
    <row r="75" spans="1:5" x14ac:dyDescent="0.25">
      <c r="A75" s="105"/>
      <c r="B75" s="106"/>
      <c r="C75" s="107"/>
      <c r="D75" s="105"/>
      <c r="E75" s="108"/>
    </row>
    <row r="76" spans="1:5" x14ac:dyDescent="0.25">
      <c r="A76" s="105"/>
      <c r="B76" s="106"/>
      <c r="C76" s="107"/>
      <c r="D76" s="105"/>
      <c r="E76" s="108"/>
    </row>
    <row r="77" spans="1:5" x14ac:dyDescent="0.25">
      <c r="A77" s="105"/>
      <c r="B77" s="106"/>
      <c r="C77" s="107"/>
      <c r="D77" s="105"/>
      <c r="E77" s="108"/>
    </row>
    <row r="78" spans="1:5" x14ac:dyDescent="0.25">
      <c r="A78" s="105"/>
      <c r="B78" s="106"/>
      <c r="C78" s="107"/>
      <c r="D78" s="105"/>
      <c r="E78" s="108"/>
    </row>
    <row r="79" spans="1:5" x14ac:dyDescent="0.25">
      <c r="A79" s="105"/>
      <c r="B79" s="106"/>
      <c r="C79" s="107"/>
      <c r="D79" s="105"/>
      <c r="E79" s="108"/>
    </row>
    <row r="80" spans="1:5" x14ac:dyDescent="0.25">
      <c r="A80" s="105"/>
      <c r="B80" s="106"/>
      <c r="C80" s="107"/>
      <c r="D80" s="105"/>
      <c r="E80" s="108"/>
    </row>
    <row r="81" spans="1:5" x14ac:dyDescent="0.25">
      <c r="A81" s="105"/>
      <c r="B81" s="106"/>
      <c r="C81" s="107"/>
      <c r="D81" s="105"/>
      <c r="E81" s="108"/>
    </row>
    <row r="82" spans="1:5" x14ac:dyDescent="0.25">
      <c r="A82" s="105"/>
      <c r="B82" s="106"/>
      <c r="C82" s="107"/>
      <c r="D82" s="105"/>
      <c r="E82" s="108"/>
    </row>
    <row r="83" spans="1:5" x14ac:dyDescent="0.25">
      <c r="A83" s="105"/>
      <c r="B83" s="106"/>
      <c r="C83" s="107"/>
      <c r="D83" s="105"/>
      <c r="E83" s="108"/>
    </row>
    <row r="84" spans="1:5" x14ac:dyDescent="0.25">
      <c r="A84" s="105"/>
      <c r="B84" s="106"/>
      <c r="C84" s="107"/>
      <c r="D84" s="105"/>
      <c r="E84" s="108"/>
    </row>
    <row r="85" spans="1:5" x14ac:dyDescent="0.25">
      <c r="A85" s="105"/>
      <c r="B85" s="106"/>
      <c r="C85" s="107"/>
      <c r="D85" s="105"/>
      <c r="E85" s="108"/>
    </row>
    <row r="86" spans="1:5" x14ac:dyDescent="0.25">
      <c r="A86" s="105"/>
      <c r="B86" s="106"/>
      <c r="C86" s="107"/>
      <c r="D86" s="105"/>
      <c r="E86" s="108"/>
    </row>
    <row r="87" spans="1:5" x14ac:dyDescent="0.25">
      <c r="A87" s="105"/>
      <c r="B87" s="106"/>
      <c r="C87" s="107"/>
      <c r="D87" s="105"/>
      <c r="E87" s="108"/>
    </row>
    <row r="88" spans="1:5" x14ac:dyDescent="0.25">
      <c r="A88" s="105"/>
      <c r="B88" s="106"/>
      <c r="C88" s="107"/>
      <c r="D88" s="105"/>
      <c r="E88" s="108"/>
    </row>
    <row r="89" spans="1:5" x14ac:dyDescent="0.25">
      <c r="A89" s="105"/>
      <c r="B89" s="106"/>
      <c r="C89" s="107"/>
      <c r="D89" s="105"/>
      <c r="E89" s="108"/>
    </row>
    <row r="90" spans="1:5" x14ac:dyDescent="0.25">
      <c r="A90" s="105"/>
      <c r="B90" s="106"/>
      <c r="C90" s="107"/>
      <c r="D90" s="105"/>
      <c r="E90" s="108"/>
    </row>
    <row r="91" spans="1:5" x14ac:dyDescent="0.25">
      <c r="A91" s="105"/>
      <c r="B91" s="106"/>
      <c r="C91" s="107"/>
      <c r="D91" s="105"/>
      <c r="E91" s="108"/>
    </row>
    <row r="92" spans="1:5" x14ac:dyDescent="0.25">
      <c r="A92" s="105"/>
      <c r="B92" s="106"/>
      <c r="C92" s="107"/>
      <c r="D92" s="105"/>
      <c r="E92" s="108"/>
    </row>
    <row r="93" spans="1:5" x14ac:dyDescent="0.25">
      <c r="A93" s="105"/>
      <c r="B93" s="106"/>
      <c r="C93" s="107"/>
      <c r="D93" s="105"/>
      <c r="E93" s="108"/>
    </row>
    <row r="94" spans="1:5" x14ac:dyDescent="0.25">
      <c r="A94" s="105"/>
      <c r="B94" s="106"/>
      <c r="C94" s="107"/>
      <c r="D94" s="105"/>
      <c r="E94" s="108"/>
    </row>
    <row r="95" spans="1:5" x14ac:dyDescent="0.25">
      <c r="A95" s="105"/>
      <c r="B95" s="106"/>
      <c r="C95" s="107"/>
      <c r="D95" s="105"/>
      <c r="E95" s="108"/>
    </row>
    <row r="96" spans="1:5" x14ac:dyDescent="0.25">
      <c r="A96" s="105"/>
      <c r="B96" s="106"/>
      <c r="C96" s="107"/>
      <c r="D96" s="105"/>
      <c r="E96" s="108"/>
    </row>
    <row r="97" spans="1:8" x14ac:dyDescent="0.25">
      <c r="A97" s="105"/>
      <c r="B97" s="106"/>
      <c r="C97" s="107"/>
      <c r="D97" s="105"/>
      <c r="E97" s="108"/>
    </row>
    <row r="98" spans="1:8" x14ac:dyDescent="0.25">
      <c r="A98" s="105"/>
      <c r="B98" s="106"/>
      <c r="C98" s="107"/>
      <c r="D98" s="105"/>
      <c r="E98" s="108"/>
    </row>
    <row r="99" spans="1:8" x14ac:dyDescent="0.25">
      <c r="A99" s="105"/>
      <c r="B99" s="106"/>
      <c r="C99" s="107"/>
      <c r="D99" s="105"/>
      <c r="E99" s="108"/>
    </row>
    <row r="100" spans="1:8" x14ac:dyDescent="0.25">
      <c r="A100" s="136"/>
      <c r="B100" s="136"/>
      <c r="C100" s="137"/>
      <c r="D100" s="138"/>
      <c r="E100" s="141">
        <f>SUM(E2:E99)</f>
        <v>800</v>
      </c>
      <c r="F100" s="141">
        <f>SUM(F2:F99)</f>
        <v>50</v>
      </c>
      <c r="G100" s="141">
        <f>SUM(G2:G99)</f>
        <v>50</v>
      </c>
      <c r="H100" s="140">
        <f>+G100/E100</f>
        <v>6.25E-2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3</vt:i4>
      </vt:variant>
    </vt:vector>
  </HeadingPairs>
  <TitlesOfParts>
    <vt:vector size="16" baseType="lpstr">
      <vt:lpstr>Sheet1</vt:lpstr>
      <vt:lpstr>Harvest</vt:lpstr>
      <vt:lpstr>Effort</vt:lpstr>
      <vt:lpstr>CPUE</vt:lpstr>
      <vt:lpstr>Summary Table</vt:lpstr>
      <vt:lpstr>Copy Sheet</vt:lpstr>
      <vt:lpstr>Tide Info</vt:lpstr>
      <vt:lpstr>Tribal update</vt:lpstr>
      <vt:lpstr>TAC</vt:lpstr>
      <vt:lpstr>TH Wastage</vt:lpstr>
      <vt:lpstr>LB Wastage</vt:lpstr>
      <vt:lpstr>Cop Wastage</vt:lpstr>
      <vt:lpstr>Moc Wastage</vt:lpstr>
      <vt:lpstr>'Summary Table'!Print_Area</vt:lpstr>
      <vt:lpstr>'Tribal update'!Print_Area</vt:lpstr>
      <vt:lpstr>'Summary Table'!Print_Titles</vt:lpstr>
    </vt:vector>
  </TitlesOfParts>
  <Company>WDFW</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Deibert</dc:creator>
  <cp:lastModifiedBy>WDFW</cp:lastModifiedBy>
  <cp:lastPrinted>2018-04-25T15:07:24Z</cp:lastPrinted>
  <dcterms:created xsi:type="dcterms:W3CDTF">2009-10-21T21:07:28Z</dcterms:created>
  <dcterms:modified xsi:type="dcterms:W3CDTF">2018-11-29T20:28:08Z</dcterms:modified>
</cp:coreProperties>
</file>