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george_dfw_wa_gov/Documents/Dan Ayres/Ayres Data/A) RAZOR CLAM/1) Harvest. Recreational/2019-20/"/>
    </mc:Choice>
  </mc:AlternateContent>
  <xr:revisionPtr revIDLastSave="5" documentId="13_ncr:1_{9D6D1F87-DE92-4222-98DF-A3350777BAF3}" xr6:coauthVersionLast="47" xr6:coauthVersionMax="47" xr10:uidLastSave="{950813C9-6F6D-4DDE-B16A-02593DF2672B}"/>
  <bookViews>
    <workbookView xWindow="-120" yWindow="-120" windowWidth="29040" windowHeight="15840" tabRatio="657" activeTab="2" xr2:uid="{00000000-000D-0000-FFFF-FFFF00000000}"/>
  </bookViews>
  <sheets>
    <sheet name="Harvest" sheetId="2" r:id="rId1"/>
    <sheet name="Effort" sheetId="1" r:id="rId2"/>
    <sheet name="CPUE" sheetId="3" r:id="rId3"/>
    <sheet name="Summary Table" sheetId="4" r:id="rId4"/>
    <sheet name="Tribal Update" sheetId="13" r:id="rId5"/>
    <sheet name="TAC" sheetId="5" r:id="rId6"/>
    <sheet name="TH Wastage" sheetId="6" r:id="rId7"/>
    <sheet name="LB Wastage" sheetId="7" r:id="rId8"/>
    <sheet name="Cop Wastage" sheetId="8" r:id="rId9"/>
    <sheet name="Moc Wastage" sheetId="9" r:id="rId10"/>
    <sheet name="Kal Wastage" sheetId="11" r:id="rId11"/>
    <sheet name="Copy Sheet" sheetId="10" r:id="rId12"/>
  </sheets>
  <externalReferences>
    <externalReference r:id="rId13"/>
  </externalReferences>
  <definedNames>
    <definedName name="_xlnm.Print_Area" localSheetId="3">'Summary Table'!$A$1:$U$111</definedName>
    <definedName name="_xlnm.Print_Area" localSheetId="4">'Tribal Update'!$A$1:$R$108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" i="3" l="1"/>
  <c r="Q2" i="1"/>
  <c r="Q2" i="2"/>
  <c r="O113" i="4"/>
  <c r="L104" i="13" l="1"/>
  <c r="H104" i="13"/>
  <c r="K71" i="13" l="1"/>
  <c r="K73" i="13"/>
  <c r="K75" i="13"/>
  <c r="J71" i="13"/>
  <c r="J72" i="13"/>
  <c r="J73" i="13"/>
  <c r="J74" i="13"/>
  <c r="J75" i="13"/>
  <c r="J70" i="13"/>
  <c r="I71" i="13"/>
  <c r="I72" i="13"/>
  <c r="I73" i="13"/>
  <c r="I74" i="13"/>
  <c r="I75" i="13"/>
  <c r="I70" i="13"/>
  <c r="G72" i="13"/>
  <c r="G74" i="13"/>
  <c r="G70" i="13"/>
  <c r="F71" i="13"/>
  <c r="R71" i="13" s="1"/>
  <c r="F72" i="13"/>
  <c r="R72" i="13" s="1"/>
  <c r="F73" i="13"/>
  <c r="F74" i="13"/>
  <c r="R74" i="13" s="1"/>
  <c r="F75" i="13"/>
  <c r="R75" i="13" s="1"/>
  <c r="F70" i="13"/>
  <c r="R70" i="13" s="1"/>
  <c r="E71" i="13"/>
  <c r="Q71" i="13" s="1"/>
  <c r="E72" i="13"/>
  <c r="Q72" i="13" s="1"/>
  <c r="E73" i="13"/>
  <c r="Q73" i="13" s="1"/>
  <c r="E74" i="13"/>
  <c r="Q74" i="13" s="1"/>
  <c r="E75" i="13"/>
  <c r="E70" i="13"/>
  <c r="E76" i="13" s="1"/>
  <c r="H76" i="1"/>
  <c r="H76" i="2" s="1"/>
  <c r="H75" i="1"/>
  <c r="H75" i="2" s="1"/>
  <c r="H74" i="1"/>
  <c r="H74" i="2" s="1"/>
  <c r="H73" i="1"/>
  <c r="H73" i="2" s="1"/>
  <c r="F75" i="1"/>
  <c r="F75" i="2" s="1"/>
  <c r="F73" i="1"/>
  <c r="F73" i="2" s="1"/>
  <c r="F72" i="1"/>
  <c r="F74" i="1" s="1"/>
  <c r="F74" i="2" s="1"/>
  <c r="F68" i="1"/>
  <c r="J77" i="3"/>
  <c r="G75" i="13" s="1"/>
  <c r="J75" i="3"/>
  <c r="G73" i="13" s="1"/>
  <c r="J73" i="3"/>
  <c r="G71" i="13" s="1"/>
  <c r="L76" i="3"/>
  <c r="K74" i="13" s="1"/>
  <c r="L74" i="3"/>
  <c r="K72" i="13" s="1"/>
  <c r="L72" i="3"/>
  <c r="K70" i="13" s="1"/>
  <c r="H77" i="3"/>
  <c r="H72" i="3"/>
  <c r="H69" i="3"/>
  <c r="I76" i="13" l="1"/>
  <c r="Q75" i="13"/>
  <c r="R73" i="13"/>
  <c r="R76" i="13" s="1"/>
  <c r="F76" i="1"/>
  <c r="F76" i="2" s="1"/>
  <c r="F72" i="2"/>
  <c r="J76" i="13"/>
  <c r="K76" i="13"/>
  <c r="F77" i="1"/>
  <c r="F77" i="2" s="1"/>
  <c r="F79" i="4" s="1"/>
  <c r="F76" i="13"/>
  <c r="G76" i="13" s="1"/>
  <c r="Q70" i="13"/>
  <c r="Q76" i="13" s="1"/>
  <c r="O72" i="1"/>
  <c r="O73" i="1"/>
  <c r="O74" i="1"/>
  <c r="O75" i="1"/>
  <c r="O76" i="1"/>
  <c r="O79" i="1"/>
  <c r="O80" i="1"/>
  <c r="O81" i="1"/>
  <c r="O82" i="1"/>
  <c r="O84" i="1"/>
  <c r="O85" i="1"/>
  <c r="O86" i="1"/>
  <c r="O87" i="1"/>
  <c r="O88" i="1"/>
  <c r="O89" i="1"/>
  <c r="O90" i="1"/>
  <c r="O91" i="1"/>
  <c r="O92" i="1"/>
  <c r="O93" i="1"/>
  <c r="O94" i="1"/>
  <c r="O96" i="1"/>
  <c r="O97" i="1"/>
  <c r="O98" i="1"/>
  <c r="O99" i="1"/>
  <c r="O100" i="1"/>
  <c r="O101" i="1"/>
  <c r="O102" i="1"/>
  <c r="O103" i="1"/>
  <c r="O72" i="2"/>
  <c r="O73" i="2"/>
  <c r="O74" i="2"/>
  <c r="O75" i="2"/>
  <c r="O76" i="2"/>
  <c r="O77" i="2"/>
  <c r="O78" i="2"/>
  <c r="O79" i="2"/>
  <c r="O79" i="3" s="1"/>
  <c r="O80" i="2"/>
  <c r="O80" i="3" s="1"/>
  <c r="O81" i="2"/>
  <c r="O81" i="3" s="1"/>
  <c r="O82" i="2"/>
  <c r="O82" i="3" s="1"/>
  <c r="O83" i="2"/>
  <c r="O84" i="2"/>
  <c r="O84" i="3" s="1"/>
  <c r="O85" i="2"/>
  <c r="O85" i="3" s="1"/>
  <c r="O86" i="2"/>
  <c r="O86" i="3" s="1"/>
  <c r="O87" i="2"/>
  <c r="O88" i="2"/>
  <c r="O88" i="3" s="1"/>
  <c r="O89" i="2"/>
  <c r="O89" i="3" s="1"/>
  <c r="O90" i="2"/>
  <c r="O90" i="3" s="1"/>
  <c r="O91" i="2"/>
  <c r="O91" i="3" s="1"/>
  <c r="O92" i="2"/>
  <c r="O92" i="3" s="1"/>
  <c r="O93" i="2"/>
  <c r="O93" i="3" s="1"/>
  <c r="O94" i="2"/>
  <c r="O94" i="3" s="1"/>
  <c r="O95" i="2"/>
  <c r="O96" i="2"/>
  <c r="O97" i="2"/>
  <c r="O97" i="3" s="1"/>
  <c r="O98" i="2"/>
  <c r="O98" i="3" s="1"/>
  <c r="O99" i="2"/>
  <c r="O99" i="3" s="1"/>
  <c r="O100" i="2"/>
  <c r="O100" i="3" s="1"/>
  <c r="O101" i="2"/>
  <c r="O101" i="3" s="1"/>
  <c r="O102" i="2"/>
  <c r="O102" i="3" s="1"/>
  <c r="O103" i="2"/>
  <c r="O103" i="3" s="1"/>
  <c r="K74" i="4"/>
  <c r="L74" i="4"/>
  <c r="M74" i="4"/>
  <c r="N74" i="4"/>
  <c r="K75" i="4"/>
  <c r="L75" i="4"/>
  <c r="M75" i="4"/>
  <c r="N75" i="4"/>
  <c r="K76" i="4"/>
  <c r="L76" i="4"/>
  <c r="M76" i="4"/>
  <c r="N76" i="4"/>
  <c r="K77" i="4"/>
  <c r="L77" i="4"/>
  <c r="M77" i="4"/>
  <c r="N77" i="4"/>
  <c r="K78" i="4"/>
  <c r="L78" i="4"/>
  <c r="M78" i="4"/>
  <c r="N78" i="4"/>
  <c r="K79" i="4"/>
  <c r="L79" i="4"/>
  <c r="M79" i="4"/>
  <c r="N79" i="4"/>
  <c r="K81" i="4"/>
  <c r="L81" i="4"/>
  <c r="M81" i="4"/>
  <c r="N81" i="4"/>
  <c r="K82" i="4"/>
  <c r="L82" i="4"/>
  <c r="M82" i="4"/>
  <c r="N82" i="4"/>
  <c r="K83" i="4"/>
  <c r="L83" i="4"/>
  <c r="M83" i="4"/>
  <c r="N83" i="4"/>
  <c r="K84" i="4"/>
  <c r="L84" i="4"/>
  <c r="M84" i="4"/>
  <c r="N84" i="4"/>
  <c r="K86" i="4"/>
  <c r="L86" i="4"/>
  <c r="M86" i="4"/>
  <c r="N86" i="4"/>
  <c r="K87" i="4"/>
  <c r="L87" i="4"/>
  <c r="M87" i="4"/>
  <c r="N87" i="4"/>
  <c r="K88" i="4"/>
  <c r="L88" i="4"/>
  <c r="M88" i="4"/>
  <c r="N88" i="4"/>
  <c r="K89" i="4"/>
  <c r="L89" i="4"/>
  <c r="M89" i="4"/>
  <c r="N89" i="4"/>
  <c r="K90" i="4"/>
  <c r="L90" i="4"/>
  <c r="M90" i="4"/>
  <c r="N90" i="4"/>
  <c r="K91" i="4"/>
  <c r="L91" i="4"/>
  <c r="M91" i="4"/>
  <c r="N91" i="4"/>
  <c r="K92" i="4"/>
  <c r="L92" i="4"/>
  <c r="M92" i="4"/>
  <c r="N92" i="4"/>
  <c r="K93" i="4"/>
  <c r="L93" i="4"/>
  <c r="M93" i="4"/>
  <c r="N93" i="4"/>
  <c r="K94" i="4"/>
  <c r="L94" i="4"/>
  <c r="M94" i="4"/>
  <c r="N94" i="4"/>
  <c r="K95" i="4"/>
  <c r="L95" i="4"/>
  <c r="M95" i="4"/>
  <c r="N95" i="4"/>
  <c r="K96" i="4"/>
  <c r="L96" i="4"/>
  <c r="M96" i="4"/>
  <c r="N96" i="4"/>
  <c r="K98" i="4"/>
  <c r="L98" i="4"/>
  <c r="M98" i="4"/>
  <c r="N98" i="4"/>
  <c r="K99" i="4"/>
  <c r="L99" i="4"/>
  <c r="M99" i="4"/>
  <c r="N99" i="4"/>
  <c r="K100" i="4"/>
  <c r="L100" i="4"/>
  <c r="M100" i="4"/>
  <c r="N100" i="4"/>
  <c r="K101" i="4"/>
  <c r="L101" i="4"/>
  <c r="M101" i="4"/>
  <c r="N101" i="4"/>
  <c r="K102" i="4"/>
  <c r="L102" i="4"/>
  <c r="M102" i="4"/>
  <c r="N102" i="4"/>
  <c r="K103" i="4"/>
  <c r="L103" i="4"/>
  <c r="M103" i="4"/>
  <c r="N103" i="4"/>
  <c r="K104" i="4"/>
  <c r="L104" i="4"/>
  <c r="M104" i="4"/>
  <c r="N104" i="4"/>
  <c r="K105" i="4"/>
  <c r="L105" i="4"/>
  <c r="M105" i="4"/>
  <c r="N105" i="4"/>
  <c r="P105" i="4"/>
  <c r="O105" i="4"/>
  <c r="J105" i="4"/>
  <c r="I105" i="4"/>
  <c r="H105" i="4"/>
  <c r="G105" i="4"/>
  <c r="F105" i="4"/>
  <c r="E105" i="4"/>
  <c r="P104" i="4"/>
  <c r="O104" i="4"/>
  <c r="J104" i="4"/>
  <c r="I104" i="4"/>
  <c r="H104" i="4"/>
  <c r="G104" i="4"/>
  <c r="F104" i="4"/>
  <c r="E104" i="4"/>
  <c r="P103" i="4"/>
  <c r="O103" i="4"/>
  <c r="J103" i="4"/>
  <c r="I103" i="4"/>
  <c r="H103" i="4"/>
  <c r="G103" i="4"/>
  <c r="F103" i="4"/>
  <c r="E103" i="4"/>
  <c r="P102" i="4"/>
  <c r="O102" i="4"/>
  <c r="J102" i="4"/>
  <c r="I102" i="4"/>
  <c r="H102" i="4"/>
  <c r="G102" i="4"/>
  <c r="F102" i="4"/>
  <c r="E102" i="4"/>
  <c r="P101" i="4"/>
  <c r="O101" i="4"/>
  <c r="J101" i="4"/>
  <c r="I101" i="4"/>
  <c r="H101" i="4"/>
  <c r="G101" i="4"/>
  <c r="F101" i="4"/>
  <c r="E101" i="4"/>
  <c r="P100" i="4"/>
  <c r="O100" i="4"/>
  <c r="J100" i="4"/>
  <c r="I100" i="4"/>
  <c r="H100" i="4"/>
  <c r="G100" i="4"/>
  <c r="F100" i="4"/>
  <c r="E100" i="4"/>
  <c r="P99" i="4"/>
  <c r="O99" i="4"/>
  <c r="J99" i="4"/>
  <c r="I99" i="4"/>
  <c r="H99" i="4"/>
  <c r="G99" i="4"/>
  <c r="F99" i="4"/>
  <c r="E99" i="4"/>
  <c r="P98" i="4"/>
  <c r="O98" i="4"/>
  <c r="J98" i="4"/>
  <c r="I98" i="4"/>
  <c r="I106" i="4" s="1"/>
  <c r="H98" i="4"/>
  <c r="H106" i="4" s="1"/>
  <c r="G98" i="4"/>
  <c r="F98" i="4"/>
  <c r="F106" i="4" s="1"/>
  <c r="E98" i="4"/>
  <c r="P96" i="4"/>
  <c r="O96" i="4"/>
  <c r="J96" i="4"/>
  <c r="I96" i="4"/>
  <c r="H96" i="4"/>
  <c r="G96" i="4"/>
  <c r="F96" i="4"/>
  <c r="U96" i="4" s="1"/>
  <c r="E96" i="4"/>
  <c r="T96" i="4" s="1"/>
  <c r="P95" i="4"/>
  <c r="O95" i="4"/>
  <c r="J95" i="4"/>
  <c r="I95" i="4"/>
  <c r="H95" i="4"/>
  <c r="G95" i="4"/>
  <c r="F95" i="4"/>
  <c r="U95" i="4" s="1"/>
  <c r="E95" i="4"/>
  <c r="P94" i="4"/>
  <c r="O94" i="4"/>
  <c r="J94" i="4"/>
  <c r="I94" i="4"/>
  <c r="H94" i="4"/>
  <c r="T94" i="4" s="1"/>
  <c r="G94" i="4"/>
  <c r="F94" i="4"/>
  <c r="U94" i="4" s="1"/>
  <c r="E94" i="4"/>
  <c r="P93" i="4"/>
  <c r="O93" i="4"/>
  <c r="J93" i="4"/>
  <c r="I93" i="4"/>
  <c r="H93" i="4"/>
  <c r="G93" i="4"/>
  <c r="F93" i="4"/>
  <c r="U93" i="4" s="1"/>
  <c r="E93" i="4"/>
  <c r="P92" i="4"/>
  <c r="O92" i="4"/>
  <c r="J92" i="4"/>
  <c r="I92" i="4"/>
  <c r="H92" i="4"/>
  <c r="G92" i="4"/>
  <c r="F92" i="4"/>
  <c r="U92" i="4" s="1"/>
  <c r="E92" i="4"/>
  <c r="T92" i="4" s="1"/>
  <c r="P91" i="4"/>
  <c r="O91" i="4"/>
  <c r="J91" i="4"/>
  <c r="I91" i="4"/>
  <c r="H91" i="4"/>
  <c r="G91" i="4"/>
  <c r="F91" i="4"/>
  <c r="U91" i="4" s="1"/>
  <c r="E91" i="4"/>
  <c r="P90" i="4"/>
  <c r="O90" i="4"/>
  <c r="J90" i="4"/>
  <c r="I90" i="4"/>
  <c r="H90" i="4"/>
  <c r="T90" i="4" s="1"/>
  <c r="G90" i="4"/>
  <c r="F90" i="4"/>
  <c r="U90" i="4" s="1"/>
  <c r="E90" i="4"/>
  <c r="P89" i="4"/>
  <c r="O89" i="4"/>
  <c r="J89" i="4"/>
  <c r="I89" i="4"/>
  <c r="H89" i="4"/>
  <c r="G89" i="4"/>
  <c r="F89" i="4"/>
  <c r="U89" i="4" s="1"/>
  <c r="E89" i="4"/>
  <c r="P88" i="4"/>
  <c r="O88" i="4"/>
  <c r="J88" i="4"/>
  <c r="I88" i="4"/>
  <c r="H88" i="4"/>
  <c r="G88" i="4"/>
  <c r="F88" i="4"/>
  <c r="U88" i="4" s="1"/>
  <c r="E88" i="4"/>
  <c r="T88" i="4" s="1"/>
  <c r="P87" i="4"/>
  <c r="O87" i="4"/>
  <c r="J87" i="4"/>
  <c r="I87" i="4"/>
  <c r="H87" i="4"/>
  <c r="G87" i="4"/>
  <c r="F87" i="4"/>
  <c r="U87" i="4" s="1"/>
  <c r="E87" i="4"/>
  <c r="P86" i="4"/>
  <c r="O86" i="4"/>
  <c r="J86" i="4"/>
  <c r="I86" i="4"/>
  <c r="I97" i="4" s="1"/>
  <c r="H86" i="4"/>
  <c r="H97" i="4" s="1"/>
  <c r="G86" i="4"/>
  <c r="F86" i="4"/>
  <c r="U86" i="4" s="1"/>
  <c r="U97" i="4" s="1"/>
  <c r="E86" i="4"/>
  <c r="E97" i="4" s="1"/>
  <c r="Q108" i="4"/>
  <c r="R108" i="4"/>
  <c r="P84" i="4"/>
  <c r="O84" i="4"/>
  <c r="J84" i="4"/>
  <c r="I84" i="4"/>
  <c r="H84" i="4"/>
  <c r="G84" i="4"/>
  <c r="F84" i="4"/>
  <c r="U84" i="4" s="1"/>
  <c r="E84" i="4"/>
  <c r="P83" i="4"/>
  <c r="O83" i="4"/>
  <c r="J83" i="4"/>
  <c r="I83" i="4"/>
  <c r="H83" i="4"/>
  <c r="G83" i="4"/>
  <c r="F83" i="4"/>
  <c r="U83" i="4" s="1"/>
  <c r="E83" i="4"/>
  <c r="T83" i="4" s="1"/>
  <c r="P82" i="4"/>
  <c r="O82" i="4"/>
  <c r="J82" i="4"/>
  <c r="I82" i="4"/>
  <c r="H82" i="4"/>
  <c r="G82" i="4"/>
  <c r="F82" i="4"/>
  <c r="U82" i="4" s="1"/>
  <c r="E82" i="4"/>
  <c r="T82" i="4" s="1"/>
  <c r="P81" i="4"/>
  <c r="O81" i="4"/>
  <c r="J81" i="4"/>
  <c r="I81" i="4"/>
  <c r="H81" i="4"/>
  <c r="G81" i="4"/>
  <c r="F81" i="4"/>
  <c r="U81" i="4" s="1"/>
  <c r="E81" i="4"/>
  <c r="E85" i="4" s="1"/>
  <c r="P79" i="4"/>
  <c r="O79" i="4"/>
  <c r="J79" i="4"/>
  <c r="I79" i="4"/>
  <c r="H79" i="4"/>
  <c r="G79" i="4"/>
  <c r="P78" i="4"/>
  <c r="O78" i="4"/>
  <c r="J78" i="4"/>
  <c r="I78" i="4"/>
  <c r="H78" i="4"/>
  <c r="G78" i="4"/>
  <c r="F78" i="4"/>
  <c r="E78" i="4"/>
  <c r="P77" i="4"/>
  <c r="O77" i="4"/>
  <c r="J77" i="4"/>
  <c r="I77" i="4"/>
  <c r="H77" i="4"/>
  <c r="G77" i="4"/>
  <c r="F77" i="4"/>
  <c r="E77" i="4"/>
  <c r="P76" i="4"/>
  <c r="O76" i="4"/>
  <c r="J76" i="4"/>
  <c r="I76" i="4"/>
  <c r="H76" i="4"/>
  <c r="G76" i="4"/>
  <c r="F76" i="4"/>
  <c r="E76" i="4"/>
  <c r="P75" i="4"/>
  <c r="O75" i="4"/>
  <c r="J75" i="4"/>
  <c r="I75" i="4"/>
  <c r="H75" i="4"/>
  <c r="G75" i="4"/>
  <c r="F75" i="4"/>
  <c r="E75" i="4"/>
  <c r="P74" i="4"/>
  <c r="O74" i="4"/>
  <c r="J74" i="4"/>
  <c r="I74" i="4"/>
  <c r="H74" i="4"/>
  <c r="G74" i="4"/>
  <c r="F74" i="4"/>
  <c r="E74" i="4"/>
  <c r="J105" i="2"/>
  <c r="L105" i="1"/>
  <c r="N110" i="4" s="1"/>
  <c r="J105" i="1"/>
  <c r="K110" i="4" s="1"/>
  <c r="N105" i="1"/>
  <c r="Q110" i="4" s="1"/>
  <c r="F137" i="1"/>
  <c r="H137" i="1"/>
  <c r="J137" i="1"/>
  <c r="L137" i="1"/>
  <c r="N137" i="1"/>
  <c r="O137" i="1"/>
  <c r="O96" i="3" l="1"/>
  <c r="O87" i="3"/>
  <c r="T84" i="4"/>
  <c r="T87" i="4"/>
  <c r="T89" i="4"/>
  <c r="T91" i="4"/>
  <c r="T93" i="4"/>
  <c r="T95" i="4"/>
  <c r="T81" i="4"/>
  <c r="T85" i="4" s="1"/>
  <c r="U85" i="4"/>
  <c r="F97" i="4"/>
  <c r="K106" i="4"/>
  <c r="K97" i="4"/>
  <c r="K85" i="4"/>
  <c r="T86" i="4"/>
  <c r="T97" i="4" s="1"/>
  <c r="T98" i="4"/>
  <c r="T100" i="4"/>
  <c r="T102" i="4"/>
  <c r="T103" i="4"/>
  <c r="T105" i="4"/>
  <c r="N85" i="4"/>
  <c r="E79" i="4"/>
  <c r="T79" i="4" s="1"/>
  <c r="O77" i="1"/>
  <c r="O77" i="3" s="1"/>
  <c r="O74" i="3"/>
  <c r="O72" i="3"/>
  <c r="O73" i="3"/>
  <c r="O80" i="4"/>
  <c r="O76" i="3"/>
  <c r="O75" i="3"/>
  <c r="N97" i="4"/>
  <c r="K80" i="4"/>
  <c r="N80" i="4"/>
  <c r="N106" i="4"/>
  <c r="O106" i="4"/>
  <c r="O97" i="4"/>
  <c r="L106" i="4"/>
  <c r="L97" i="4"/>
  <c r="M97" i="4" s="1"/>
  <c r="U105" i="4"/>
  <c r="L85" i="4"/>
  <c r="L80" i="4"/>
  <c r="U98" i="4"/>
  <c r="U102" i="4"/>
  <c r="U103" i="4"/>
  <c r="T99" i="4"/>
  <c r="T104" i="4"/>
  <c r="U104" i="4"/>
  <c r="E106" i="4"/>
  <c r="J106" i="4"/>
  <c r="F80" i="4"/>
  <c r="F85" i="4"/>
  <c r="U100" i="4"/>
  <c r="T101" i="4"/>
  <c r="U99" i="4"/>
  <c r="U101" i="4"/>
  <c r="H85" i="4"/>
  <c r="I85" i="4"/>
  <c r="U75" i="4"/>
  <c r="T76" i="4"/>
  <c r="U79" i="4"/>
  <c r="U76" i="4"/>
  <c r="O85" i="4"/>
  <c r="P85" i="4" s="1"/>
  <c r="H80" i="4"/>
  <c r="U78" i="4"/>
  <c r="T78" i="4"/>
  <c r="T77" i="4"/>
  <c r="I80" i="4"/>
  <c r="T75" i="4"/>
  <c r="U77" i="4"/>
  <c r="T74" i="4"/>
  <c r="U74" i="4"/>
  <c r="P97" i="4" l="1"/>
  <c r="E80" i="4"/>
  <c r="M85" i="4"/>
  <c r="U106" i="4"/>
  <c r="T106" i="4"/>
  <c r="J85" i="4"/>
  <c r="M80" i="4"/>
  <c r="M106" i="4"/>
  <c r="U80" i="4"/>
  <c r="T80" i="4"/>
  <c r="P106" i="4"/>
  <c r="G80" i="4"/>
  <c r="J80" i="4"/>
  <c r="P80" i="4"/>
  <c r="J97" i="4"/>
  <c r="G106" i="4"/>
  <c r="G85" i="4"/>
  <c r="G97" i="4"/>
  <c r="H70" i="1"/>
  <c r="H70" i="2" s="1"/>
  <c r="F67" i="1" l="1"/>
  <c r="F67" i="2" s="1"/>
  <c r="O67" i="2" s="1"/>
  <c r="F70" i="1"/>
  <c r="F70" i="2" s="1"/>
  <c r="O68" i="1"/>
  <c r="F64" i="1"/>
  <c r="F64" i="2" s="1"/>
  <c r="K67" i="13"/>
  <c r="K65" i="13"/>
  <c r="J66" i="13"/>
  <c r="J67" i="13"/>
  <c r="J68" i="13"/>
  <c r="J65" i="13"/>
  <c r="I66" i="13"/>
  <c r="I67" i="13"/>
  <c r="I68" i="13"/>
  <c r="I65" i="13"/>
  <c r="G66" i="13"/>
  <c r="G68" i="13"/>
  <c r="F66" i="13"/>
  <c r="F67" i="13"/>
  <c r="F68" i="13"/>
  <c r="F65" i="13"/>
  <c r="E66" i="13"/>
  <c r="Q66" i="13" s="1"/>
  <c r="E67" i="13"/>
  <c r="E68" i="13"/>
  <c r="E65" i="13"/>
  <c r="P71" i="4"/>
  <c r="P69" i="4"/>
  <c r="O70" i="4"/>
  <c r="O71" i="4"/>
  <c r="O72" i="4"/>
  <c r="O69" i="4"/>
  <c r="N70" i="4"/>
  <c r="N71" i="4"/>
  <c r="N72" i="4"/>
  <c r="N69" i="4"/>
  <c r="M70" i="4"/>
  <c r="M72" i="4"/>
  <c r="L70" i="4"/>
  <c r="L71" i="4"/>
  <c r="L72" i="4"/>
  <c r="L69" i="4"/>
  <c r="K70" i="4"/>
  <c r="K71" i="4"/>
  <c r="K72" i="4"/>
  <c r="K69" i="4"/>
  <c r="J72" i="4"/>
  <c r="I70" i="4"/>
  <c r="I71" i="4"/>
  <c r="I72" i="4"/>
  <c r="I69" i="4"/>
  <c r="H70" i="4"/>
  <c r="H71" i="4"/>
  <c r="H72" i="4"/>
  <c r="H69" i="4"/>
  <c r="E72" i="4"/>
  <c r="H67" i="3"/>
  <c r="J69" i="4" s="1"/>
  <c r="H68" i="3"/>
  <c r="J70" i="4" s="1"/>
  <c r="J71" i="4"/>
  <c r="J67" i="3"/>
  <c r="M69" i="4" s="1"/>
  <c r="J69" i="3"/>
  <c r="G67" i="13" s="1"/>
  <c r="L68" i="3"/>
  <c r="P70" i="4" s="1"/>
  <c r="L70" i="3"/>
  <c r="K68" i="13" s="1"/>
  <c r="Q67" i="13" l="1"/>
  <c r="F69" i="1"/>
  <c r="O69" i="1" s="1"/>
  <c r="Q68" i="13"/>
  <c r="E69" i="4"/>
  <c r="T69" i="4" s="1"/>
  <c r="F68" i="2"/>
  <c r="O68" i="2" s="1"/>
  <c r="O68" i="3" s="1"/>
  <c r="E69" i="13"/>
  <c r="E71" i="4"/>
  <c r="T71" i="4" s="1"/>
  <c r="F69" i="2"/>
  <c r="O70" i="1"/>
  <c r="Q65" i="13"/>
  <c r="R68" i="13"/>
  <c r="R67" i="13"/>
  <c r="R66" i="13"/>
  <c r="F69" i="13"/>
  <c r="G69" i="13" s="1"/>
  <c r="K73" i="4"/>
  <c r="I73" i="4"/>
  <c r="J69" i="13"/>
  <c r="R65" i="13"/>
  <c r="N73" i="4"/>
  <c r="O73" i="4"/>
  <c r="F70" i="4"/>
  <c r="U70" i="4" s="1"/>
  <c r="F69" i="4"/>
  <c r="G70" i="4"/>
  <c r="E70" i="4"/>
  <c r="G69" i="4"/>
  <c r="O67" i="1"/>
  <c r="O67" i="3" s="1"/>
  <c r="P72" i="4"/>
  <c r="M71" i="4"/>
  <c r="L73" i="4"/>
  <c r="G65" i="13"/>
  <c r="T72" i="4"/>
  <c r="I69" i="13"/>
  <c r="H73" i="4"/>
  <c r="K66" i="13"/>
  <c r="E73" i="4" l="1"/>
  <c r="Q69" i="13"/>
  <c r="K69" i="13"/>
  <c r="M73" i="4"/>
  <c r="P73" i="4"/>
  <c r="R69" i="13"/>
  <c r="J73" i="4"/>
  <c r="U69" i="4"/>
  <c r="T70" i="4"/>
  <c r="T73" i="4" s="1"/>
  <c r="K58" i="13"/>
  <c r="K60" i="13"/>
  <c r="K62" i="13"/>
  <c r="J58" i="13"/>
  <c r="J59" i="13"/>
  <c r="J60" i="13"/>
  <c r="J61" i="13"/>
  <c r="J62" i="13"/>
  <c r="J63" i="13"/>
  <c r="J57" i="13"/>
  <c r="I58" i="13"/>
  <c r="I59" i="13"/>
  <c r="I60" i="13"/>
  <c r="I61" i="13"/>
  <c r="I62" i="13"/>
  <c r="I63" i="13"/>
  <c r="I57" i="13"/>
  <c r="G59" i="13"/>
  <c r="G61" i="13"/>
  <c r="G63" i="13"/>
  <c r="G57" i="13"/>
  <c r="F58" i="13"/>
  <c r="F59" i="13"/>
  <c r="F60" i="13"/>
  <c r="F61" i="13"/>
  <c r="F62" i="13"/>
  <c r="F63" i="13"/>
  <c r="F57" i="13"/>
  <c r="E58" i="13"/>
  <c r="E59" i="13"/>
  <c r="E60" i="13"/>
  <c r="E61" i="13"/>
  <c r="E62" i="13"/>
  <c r="E63" i="13"/>
  <c r="E57" i="13"/>
  <c r="Q57" i="13" s="1"/>
  <c r="P62" i="4"/>
  <c r="P64" i="4"/>
  <c r="P66" i="4"/>
  <c r="O62" i="4"/>
  <c r="O63" i="4"/>
  <c r="O64" i="4"/>
  <c r="O65" i="4"/>
  <c r="O66" i="4"/>
  <c r="O67" i="4"/>
  <c r="O61" i="4"/>
  <c r="N62" i="4"/>
  <c r="N63" i="4"/>
  <c r="N64" i="4"/>
  <c r="N65" i="4"/>
  <c r="N66" i="4"/>
  <c r="N67" i="4"/>
  <c r="N61" i="4"/>
  <c r="M63" i="4"/>
  <c r="M65" i="4"/>
  <c r="M67" i="4"/>
  <c r="M61" i="4"/>
  <c r="L62" i="4"/>
  <c r="L63" i="4"/>
  <c r="L64" i="4"/>
  <c r="L65" i="4"/>
  <c r="L66" i="4"/>
  <c r="L67" i="4"/>
  <c r="L61" i="4"/>
  <c r="K62" i="4"/>
  <c r="K63" i="4"/>
  <c r="K64" i="4"/>
  <c r="K65" i="4"/>
  <c r="K66" i="4"/>
  <c r="K67" i="4"/>
  <c r="K61" i="4"/>
  <c r="J62" i="4"/>
  <c r="J63" i="4"/>
  <c r="J64" i="4"/>
  <c r="J65" i="4"/>
  <c r="J61" i="4"/>
  <c r="I66" i="4"/>
  <c r="I67" i="4"/>
  <c r="H66" i="4"/>
  <c r="H67" i="4"/>
  <c r="G62" i="4"/>
  <c r="G63" i="4"/>
  <c r="G64" i="4"/>
  <c r="G65" i="4"/>
  <c r="G66" i="4"/>
  <c r="G67" i="4"/>
  <c r="G61" i="4"/>
  <c r="F66" i="4"/>
  <c r="E66" i="4"/>
  <c r="O64" i="2"/>
  <c r="H63" i="1"/>
  <c r="H65" i="4" s="1"/>
  <c r="H62" i="1"/>
  <c r="H61" i="1"/>
  <c r="H61" i="2" s="1"/>
  <c r="I63" i="4" s="1"/>
  <c r="H60" i="1"/>
  <c r="H60" i="2" s="1"/>
  <c r="I62" i="4" s="1"/>
  <c r="H53" i="1"/>
  <c r="H59" i="1"/>
  <c r="H59" i="2" s="1"/>
  <c r="I61" i="4" s="1"/>
  <c r="O64" i="1"/>
  <c r="F60" i="1"/>
  <c r="F60" i="2" s="1"/>
  <c r="F59" i="1"/>
  <c r="F59" i="2" s="1"/>
  <c r="F61" i="4" s="1"/>
  <c r="F52" i="1"/>
  <c r="H64" i="3"/>
  <c r="J66" i="4" s="1"/>
  <c r="H65" i="3"/>
  <c r="J67" i="4" s="1"/>
  <c r="L59" i="3"/>
  <c r="K57" i="13" s="1"/>
  <c r="L61" i="3"/>
  <c r="P63" i="4" s="1"/>
  <c r="L63" i="3"/>
  <c r="K61" i="13" s="1"/>
  <c r="L65" i="3"/>
  <c r="K63" i="13" s="1"/>
  <c r="J60" i="3"/>
  <c r="G58" i="13" s="1"/>
  <c r="J62" i="3"/>
  <c r="M64" i="4" s="1"/>
  <c r="J64" i="3"/>
  <c r="G62" i="13" s="1"/>
  <c r="H62" i="4" l="1"/>
  <c r="Q62" i="13"/>
  <c r="I64" i="13"/>
  <c r="Q59" i="13"/>
  <c r="Q58" i="13"/>
  <c r="Q60" i="13"/>
  <c r="H63" i="2"/>
  <c r="I65" i="4" s="1"/>
  <c r="E64" i="13"/>
  <c r="E62" i="4"/>
  <c r="T62" i="4" s="1"/>
  <c r="Q61" i="13"/>
  <c r="Q63" i="13"/>
  <c r="E61" i="4"/>
  <c r="F63" i="1"/>
  <c r="H61" i="4"/>
  <c r="H63" i="4"/>
  <c r="F65" i="1"/>
  <c r="F61" i="1"/>
  <c r="F62" i="1"/>
  <c r="O60" i="1"/>
  <c r="H62" i="2"/>
  <c r="I64" i="4" s="1"/>
  <c r="H64" i="4"/>
  <c r="R63" i="13"/>
  <c r="R62" i="13"/>
  <c r="R61" i="13"/>
  <c r="R60" i="13"/>
  <c r="O68" i="4"/>
  <c r="R59" i="13"/>
  <c r="K59" i="13"/>
  <c r="K68" i="4"/>
  <c r="M62" i="4"/>
  <c r="R58" i="13"/>
  <c r="J64" i="13"/>
  <c r="L68" i="4"/>
  <c r="O60" i="2"/>
  <c r="T66" i="4"/>
  <c r="N68" i="4"/>
  <c r="R57" i="13"/>
  <c r="U61" i="4"/>
  <c r="G60" i="13"/>
  <c r="P61" i="4"/>
  <c r="F62" i="4"/>
  <c r="U62" i="4" s="1"/>
  <c r="P67" i="4"/>
  <c r="F64" i="13"/>
  <c r="M66" i="4"/>
  <c r="P65" i="4"/>
  <c r="U66" i="4"/>
  <c r="O59" i="2"/>
  <c r="O63" i="1"/>
  <c r="O59" i="1"/>
  <c r="O64" i="3"/>
  <c r="H53" i="2"/>
  <c r="I55" i="4" s="1"/>
  <c r="H57" i="1"/>
  <c r="H57" i="2" s="1"/>
  <c r="I59" i="4" s="1"/>
  <c r="J59" i="4"/>
  <c r="H54" i="1"/>
  <c r="H56" i="4" s="1"/>
  <c r="J55" i="4"/>
  <c r="G55" i="4"/>
  <c r="F52" i="2"/>
  <c r="O52" i="2" s="1"/>
  <c r="L56" i="3"/>
  <c r="K54" i="13" s="1"/>
  <c r="L54" i="3"/>
  <c r="K52" i="13" s="1"/>
  <c r="L52" i="3"/>
  <c r="P54" i="4" s="1"/>
  <c r="J57" i="3"/>
  <c r="M59" i="4" s="1"/>
  <c r="J55" i="3"/>
  <c r="G53" i="13" s="1"/>
  <c r="J53" i="3"/>
  <c r="M55" i="4" s="1"/>
  <c r="J56" i="4"/>
  <c r="H55" i="3"/>
  <c r="J57" i="4" s="1"/>
  <c r="H56" i="3"/>
  <c r="J58" i="4" s="1"/>
  <c r="H52" i="3"/>
  <c r="J54" i="4" s="1"/>
  <c r="G54" i="4"/>
  <c r="O52" i="1"/>
  <c r="K51" i="13"/>
  <c r="K53" i="13"/>
  <c r="K55" i="13"/>
  <c r="J51" i="13"/>
  <c r="J52" i="13"/>
  <c r="J53" i="13"/>
  <c r="J54" i="13"/>
  <c r="J55" i="13"/>
  <c r="J50" i="13"/>
  <c r="I51" i="13"/>
  <c r="I52" i="13"/>
  <c r="I53" i="13"/>
  <c r="I54" i="13"/>
  <c r="I55" i="13"/>
  <c r="I50" i="13"/>
  <c r="G52" i="13"/>
  <c r="G54" i="13"/>
  <c r="F51" i="13"/>
  <c r="F52" i="13"/>
  <c r="F53" i="13"/>
  <c r="F54" i="13"/>
  <c r="F55" i="13"/>
  <c r="E51" i="13"/>
  <c r="E52" i="13"/>
  <c r="Q52" i="13" s="1"/>
  <c r="E53" i="13"/>
  <c r="E54" i="13"/>
  <c r="E55" i="13"/>
  <c r="G50" i="13"/>
  <c r="F50" i="13"/>
  <c r="E50" i="13"/>
  <c r="G57" i="4"/>
  <c r="G58" i="4"/>
  <c r="E54" i="4"/>
  <c r="I57" i="4"/>
  <c r="I58" i="4"/>
  <c r="I54" i="4"/>
  <c r="H55" i="4"/>
  <c r="H57" i="4"/>
  <c r="H58" i="4"/>
  <c r="H59" i="4"/>
  <c r="H54" i="4"/>
  <c r="M56" i="4"/>
  <c r="M58" i="4"/>
  <c r="M54" i="4"/>
  <c r="L55" i="4"/>
  <c r="L56" i="4"/>
  <c r="L57" i="4"/>
  <c r="L58" i="4"/>
  <c r="L59" i="4"/>
  <c r="L54" i="4"/>
  <c r="K55" i="4"/>
  <c r="K56" i="4"/>
  <c r="K57" i="4"/>
  <c r="K58" i="4"/>
  <c r="K59" i="4"/>
  <c r="K54" i="4"/>
  <c r="P55" i="4"/>
  <c r="P57" i="4"/>
  <c r="P59" i="4"/>
  <c r="O55" i="4"/>
  <c r="O56" i="4"/>
  <c r="O57" i="4"/>
  <c r="O58" i="4"/>
  <c r="O59" i="4"/>
  <c r="O54" i="4"/>
  <c r="N55" i="4"/>
  <c r="N56" i="4"/>
  <c r="N57" i="4"/>
  <c r="N58" i="4"/>
  <c r="N59" i="4"/>
  <c r="N54" i="4"/>
  <c r="F56" i="1"/>
  <c r="F54" i="1" s="1"/>
  <c r="F55" i="1"/>
  <c r="F53" i="1" s="1"/>
  <c r="F44" i="1"/>
  <c r="F57" i="1" l="1"/>
  <c r="F57" i="2" s="1"/>
  <c r="Q64" i="13"/>
  <c r="Q54" i="13"/>
  <c r="G64" i="13"/>
  <c r="K64" i="13"/>
  <c r="Q51" i="13"/>
  <c r="Q50" i="13"/>
  <c r="I68" i="4"/>
  <c r="O56" i="1"/>
  <c r="Q55" i="13"/>
  <c r="O52" i="3"/>
  <c r="T61" i="4"/>
  <c r="O60" i="3"/>
  <c r="H68" i="4"/>
  <c r="E55" i="4"/>
  <c r="T55" i="4" s="1"/>
  <c r="F53" i="2"/>
  <c r="O53" i="2" s="1"/>
  <c r="O53" i="1"/>
  <c r="O54" i="1"/>
  <c r="F54" i="2"/>
  <c r="F56" i="4" s="1"/>
  <c r="E63" i="4"/>
  <c r="T63" i="4" s="1"/>
  <c r="O61" i="1"/>
  <c r="F61" i="2"/>
  <c r="F63" i="4" s="1"/>
  <c r="U63" i="4" s="1"/>
  <c r="O55" i="1"/>
  <c r="F55" i="2"/>
  <c r="F57" i="4" s="1"/>
  <c r="U57" i="4" s="1"/>
  <c r="F65" i="2"/>
  <c r="O65" i="1"/>
  <c r="E67" i="4"/>
  <c r="T67" i="4" s="1"/>
  <c r="F56" i="2"/>
  <c r="F58" i="4" s="1"/>
  <c r="U58" i="4" s="1"/>
  <c r="E64" i="4"/>
  <c r="T64" i="4" s="1"/>
  <c r="F62" i="2"/>
  <c r="F64" i="4" s="1"/>
  <c r="U64" i="4" s="1"/>
  <c r="E58" i="4"/>
  <c r="T58" i="4" s="1"/>
  <c r="E57" i="4"/>
  <c r="F63" i="2"/>
  <c r="F65" i="4" s="1"/>
  <c r="U65" i="4" s="1"/>
  <c r="E65" i="4"/>
  <c r="T65" i="4" s="1"/>
  <c r="Q53" i="13"/>
  <c r="H54" i="2"/>
  <c r="I56" i="4" s="1"/>
  <c r="I60" i="4" s="1"/>
  <c r="O62" i="1"/>
  <c r="M68" i="4"/>
  <c r="R51" i="13"/>
  <c r="T57" i="4"/>
  <c r="P68" i="4"/>
  <c r="R64" i="13"/>
  <c r="R53" i="13"/>
  <c r="G55" i="13"/>
  <c r="R54" i="13"/>
  <c r="T54" i="4"/>
  <c r="R50" i="13"/>
  <c r="K60" i="4"/>
  <c r="R52" i="13"/>
  <c r="R55" i="13"/>
  <c r="O59" i="3"/>
  <c r="O57" i="2"/>
  <c r="F59" i="4"/>
  <c r="U59" i="4" s="1"/>
  <c r="O57" i="1"/>
  <c r="E59" i="4"/>
  <c r="T59" i="4" s="1"/>
  <c r="G59" i="4"/>
  <c r="G56" i="4"/>
  <c r="E56" i="4"/>
  <c r="T56" i="4" s="1"/>
  <c r="F54" i="4"/>
  <c r="U54" i="4" s="1"/>
  <c r="P58" i="4"/>
  <c r="P56" i="4"/>
  <c r="K50" i="13"/>
  <c r="M57" i="4"/>
  <c r="G51" i="13"/>
  <c r="O60" i="4"/>
  <c r="J56" i="13"/>
  <c r="L60" i="4"/>
  <c r="F56" i="13"/>
  <c r="H60" i="4"/>
  <c r="N60" i="4"/>
  <c r="E56" i="13"/>
  <c r="I56" i="13"/>
  <c r="K43" i="13"/>
  <c r="K45" i="13"/>
  <c r="K46" i="13"/>
  <c r="K47" i="13"/>
  <c r="K48" i="13"/>
  <c r="J43" i="13"/>
  <c r="J44" i="13"/>
  <c r="J45" i="13"/>
  <c r="J46" i="13"/>
  <c r="J47" i="13"/>
  <c r="J42" i="13"/>
  <c r="I43" i="13"/>
  <c r="I44" i="13"/>
  <c r="I45" i="13"/>
  <c r="Q45" i="13" s="1"/>
  <c r="I46" i="13"/>
  <c r="I47" i="13"/>
  <c r="I48" i="13"/>
  <c r="I42" i="13"/>
  <c r="G44" i="13"/>
  <c r="G45" i="13"/>
  <c r="G46" i="13"/>
  <c r="G48" i="13"/>
  <c r="G42" i="13"/>
  <c r="F43" i="13"/>
  <c r="F44" i="13"/>
  <c r="F45" i="13"/>
  <c r="F46" i="13"/>
  <c r="F47" i="13"/>
  <c r="F48" i="13"/>
  <c r="F42" i="13"/>
  <c r="E43" i="13"/>
  <c r="E44" i="13"/>
  <c r="E45" i="13"/>
  <c r="E46" i="13"/>
  <c r="E47" i="13"/>
  <c r="E48" i="13"/>
  <c r="E42" i="13"/>
  <c r="L50" i="2"/>
  <c r="F44" i="2"/>
  <c r="F46" i="4" s="1"/>
  <c r="F50" i="1"/>
  <c r="E52" i="4" s="1"/>
  <c r="H46" i="1"/>
  <c r="F46" i="1"/>
  <c r="E48" i="4" s="1"/>
  <c r="H44" i="1"/>
  <c r="H44" i="2" s="1"/>
  <c r="I46" i="4" s="1"/>
  <c r="F49" i="1"/>
  <c r="F49" i="2" s="1"/>
  <c r="F51" i="4" s="1"/>
  <c r="F45" i="1"/>
  <c r="F45" i="2" s="1"/>
  <c r="O45" i="2" s="1"/>
  <c r="G47" i="4"/>
  <c r="F38" i="1"/>
  <c r="P52" i="4"/>
  <c r="L46" i="3"/>
  <c r="P48" i="4" s="1"/>
  <c r="L44" i="3"/>
  <c r="P46" i="4" s="1"/>
  <c r="L42" i="3"/>
  <c r="J49" i="3"/>
  <c r="M51" i="4" s="1"/>
  <c r="J45" i="3"/>
  <c r="M47" i="4" s="1"/>
  <c r="J41" i="3"/>
  <c r="G48" i="4"/>
  <c r="H50" i="3"/>
  <c r="J52" i="4" s="1"/>
  <c r="H49" i="3"/>
  <c r="J51" i="4" s="1"/>
  <c r="H45" i="3"/>
  <c r="J47" i="4" s="1"/>
  <c r="J46" i="4"/>
  <c r="H41" i="3"/>
  <c r="P47" i="4"/>
  <c r="P49" i="4"/>
  <c r="P50" i="4"/>
  <c r="P51" i="4"/>
  <c r="O47" i="4"/>
  <c r="O48" i="4"/>
  <c r="O49" i="4"/>
  <c r="O50" i="4"/>
  <c r="O51" i="4"/>
  <c r="O46" i="4"/>
  <c r="N47" i="4"/>
  <c r="N48" i="4"/>
  <c r="N49" i="4"/>
  <c r="N50" i="4"/>
  <c r="N51" i="4"/>
  <c r="N52" i="4"/>
  <c r="N46" i="4"/>
  <c r="M48" i="4"/>
  <c r="M49" i="4"/>
  <c r="M50" i="4"/>
  <c r="M52" i="4"/>
  <c r="M46" i="4"/>
  <c r="L47" i="4"/>
  <c r="L48" i="4"/>
  <c r="L49" i="4"/>
  <c r="L50" i="4"/>
  <c r="L51" i="4"/>
  <c r="L52" i="4"/>
  <c r="L46" i="4"/>
  <c r="K47" i="4"/>
  <c r="K48" i="4"/>
  <c r="K49" i="4"/>
  <c r="K50" i="4"/>
  <c r="K51" i="4"/>
  <c r="K52" i="4"/>
  <c r="K46" i="4"/>
  <c r="J49" i="4"/>
  <c r="J50" i="4"/>
  <c r="I47" i="4"/>
  <c r="I49" i="4"/>
  <c r="I50" i="4"/>
  <c r="I51" i="4"/>
  <c r="I52" i="4"/>
  <c r="H47" i="4"/>
  <c r="H49" i="4"/>
  <c r="H50" i="4"/>
  <c r="H51" i="4"/>
  <c r="H52" i="4"/>
  <c r="G49" i="4"/>
  <c r="G50" i="4"/>
  <c r="F49" i="4"/>
  <c r="F50" i="4"/>
  <c r="E47" i="4"/>
  <c r="E49" i="4"/>
  <c r="E50" i="4"/>
  <c r="O47" i="1"/>
  <c r="O48" i="1"/>
  <c r="O47" i="2"/>
  <c r="O48" i="2"/>
  <c r="O50" i="1" l="1"/>
  <c r="O46" i="1"/>
  <c r="F55" i="4"/>
  <c r="U55" i="4" s="1"/>
  <c r="Q48" i="13"/>
  <c r="Q46" i="13"/>
  <c r="Q56" i="13"/>
  <c r="E49" i="13"/>
  <c r="J68" i="4"/>
  <c r="O52" i="4"/>
  <c r="O53" i="4" s="1"/>
  <c r="L105" i="2"/>
  <c r="O54" i="2"/>
  <c r="O54" i="3" s="1"/>
  <c r="O56" i="2"/>
  <c r="O56" i="3" s="1"/>
  <c r="O55" i="2"/>
  <c r="O55" i="3" s="1"/>
  <c r="T68" i="4"/>
  <c r="O49" i="1"/>
  <c r="E51" i="4"/>
  <c r="Q47" i="13"/>
  <c r="I49" i="13"/>
  <c r="Q42" i="13"/>
  <c r="Q44" i="13"/>
  <c r="Q43" i="13"/>
  <c r="E68" i="4"/>
  <c r="H46" i="4"/>
  <c r="O44" i="1"/>
  <c r="F50" i="2"/>
  <c r="T50" i="4"/>
  <c r="H46" i="2"/>
  <c r="I48" i="4" s="1"/>
  <c r="I53" i="4" s="1"/>
  <c r="U56" i="4"/>
  <c r="U60" i="4" s="1"/>
  <c r="F67" i="4"/>
  <c r="U67" i="4" s="1"/>
  <c r="U68" i="4" s="1"/>
  <c r="O65" i="2"/>
  <c r="O65" i="3" s="1"/>
  <c r="F46" i="2"/>
  <c r="F48" i="4" s="1"/>
  <c r="O53" i="3"/>
  <c r="R43" i="13"/>
  <c r="R47" i="13"/>
  <c r="R44" i="13"/>
  <c r="R56" i="13"/>
  <c r="F49" i="13"/>
  <c r="R46" i="13"/>
  <c r="U49" i="4"/>
  <c r="R45" i="13"/>
  <c r="M60" i="4"/>
  <c r="F47" i="4"/>
  <c r="G47" i="13"/>
  <c r="K44" i="13"/>
  <c r="K42" i="13"/>
  <c r="R42" i="13"/>
  <c r="K53" i="4"/>
  <c r="G43" i="13"/>
  <c r="J48" i="13"/>
  <c r="J49" i="13" s="1"/>
  <c r="O57" i="3"/>
  <c r="J60" i="4"/>
  <c r="F60" i="4"/>
  <c r="T60" i="4"/>
  <c r="E60" i="4"/>
  <c r="P60" i="4"/>
  <c r="G56" i="13"/>
  <c r="K56" i="13"/>
  <c r="O49" i="2"/>
  <c r="U51" i="4"/>
  <c r="O44" i="2"/>
  <c r="U46" i="4"/>
  <c r="J48" i="4"/>
  <c r="H48" i="4"/>
  <c r="G51" i="4"/>
  <c r="G46" i="4"/>
  <c r="T47" i="4"/>
  <c r="O45" i="1"/>
  <c r="O45" i="3" s="1"/>
  <c r="E46" i="4"/>
  <c r="T49" i="4"/>
  <c r="N53" i="4"/>
  <c r="T52" i="4"/>
  <c r="T51" i="4"/>
  <c r="U50" i="4"/>
  <c r="L53" i="4"/>
  <c r="M104" i="13"/>
  <c r="N104" i="13"/>
  <c r="E106" i="13"/>
  <c r="I106" i="13"/>
  <c r="O44" i="3" l="1"/>
  <c r="O49" i="3"/>
  <c r="K49" i="13"/>
  <c r="G49" i="13"/>
  <c r="Q49" i="13"/>
  <c r="E53" i="4"/>
  <c r="H53" i="4"/>
  <c r="J53" i="4" s="1"/>
  <c r="F68" i="4"/>
  <c r="G68" i="4" s="1"/>
  <c r="O46" i="2"/>
  <c r="O46" i="3" s="1"/>
  <c r="U48" i="4"/>
  <c r="M53" i="4"/>
  <c r="P53" i="4"/>
  <c r="U47" i="4"/>
  <c r="R48" i="13"/>
  <c r="R49" i="13" s="1"/>
  <c r="T48" i="4"/>
  <c r="G60" i="4"/>
  <c r="T46" i="4"/>
  <c r="M106" i="13"/>
  <c r="K37" i="13"/>
  <c r="K39" i="13"/>
  <c r="J37" i="13"/>
  <c r="J38" i="13"/>
  <c r="J39" i="13"/>
  <c r="J40" i="13"/>
  <c r="J36" i="13"/>
  <c r="I37" i="13"/>
  <c r="I38" i="13"/>
  <c r="I39" i="13"/>
  <c r="I40" i="13"/>
  <c r="I36" i="13"/>
  <c r="G38" i="13"/>
  <c r="G40" i="13"/>
  <c r="G36" i="13"/>
  <c r="F37" i="13"/>
  <c r="F38" i="13"/>
  <c r="F39" i="13"/>
  <c r="F40" i="13"/>
  <c r="F36" i="13"/>
  <c r="E37" i="13"/>
  <c r="E38" i="13"/>
  <c r="E39" i="13"/>
  <c r="E40" i="13"/>
  <c r="E36" i="13"/>
  <c r="H42" i="1"/>
  <c r="H42" i="2" s="1"/>
  <c r="I44" i="4" s="1"/>
  <c r="F40" i="1"/>
  <c r="E42" i="4" s="1"/>
  <c r="H39" i="1"/>
  <c r="H41" i="4" s="1"/>
  <c r="H38" i="1"/>
  <c r="H38" i="2" s="1"/>
  <c r="I40" i="4" s="1"/>
  <c r="F41" i="1"/>
  <c r="E43" i="4" s="1"/>
  <c r="F38" i="2"/>
  <c r="F40" i="4" s="1"/>
  <c r="F39" i="2"/>
  <c r="F39" i="1"/>
  <c r="E41" i="4" s="1"/>
  <c r="G40" i="4"/>
  <c r="J39" i="3"/>
  <c r="M41" i="4" s="1"/>
  <c r="M43" i="4"/>
  <c r="L38" i="3"/>
  <c r="P40" i="4" s="1"/>
  <c r="P41" i="4"/>
  <c r="L40" i="3"/>
  <c r="P42" i="4" s="1"/>
  <c r="P43" i="4"/>
  <c r="P44" i="4"/>
  <c r="J41" i="4"/>
  <c r="H40" i="3"/>
  <c r="J42" i="4" s="1"/>
  <c r="J43" i="4"/>
  <c r="G43" i="4"/>
  <c r="O44" i="4"/>
  <c r="N44" i="4"/>
  <c r="M44" i="4"/>
  <c r="L44" i="4"/>
  <c r="K44" i="4"/>
  <c r="J44" i="4"/>
  <c r="H44" i="4"/>
  <c r="G44" i="4"/>
  <c r="O43" i="4"/>
  <c r="N43" i="4"/>
  <c r="L43" i="4"/>
  <c r="K43" i="4"/>
  <c r="I43" i="4"/>
  <c r="H43" i="4"/>
  <c r="O42" i="4"/>
  <c r="N42" i="4"/>
  <c r="M42" i="4"/>
  <c r="L42" i="4"/>
  <c r="K42" i="4"/>
  <c r="I42" i="4"/>
  <c r="H42" i="4"/>
  <c r="O41" i="4"/>
  <c r="N41" i="4"/>
  <c r="L41" i="4"/>
  <c r="K41" i="4"/>
  <c r="O40" i="4"/>
  <c r="N40" i="4"/>
  <c r="M40" i="4"/>
  <c r="L40" i="4"/>
  <c r="K40" i="4"/>
  <c r="Q36" i="13" l="1"/>
  <c r="E41" i="13"/>
  <c r="F41" i="4"/>
  <c r="F39" i="3"/>
  <c r="G41" i="4" s="1"/>
  <c r="R36" i="13"/>
  <c r="T53" i="4"/>
  <c r="O41" i="1"/>
  <c r="F41" i="2"/>
  <c r="O41" i="2" s="1"/>
  <c r="R40" i="13"/>
  <c r="Q37" i="13"/>
  <c r="Q40" i="13"/>
  <c r="Q39" i="13"/>
  <c r="Q38" i="13"/>
  <c r="H39" i="2"/>
  <c r="I41" i="4" s="1"/>
  <c r="H40" i="4"/>
  <c r="H45" i="4" s="1"/>
  <c r="O40" i="1"/>
  <c r="F40" i="2"/>
  <c r="F42" i="4" s="1"/>
  <c r="U42" i="4" s="1"/>
  <c r="O39" i="1"/>
  <c r="F42" i="1"/>
  <c r="F42" i="2" s="1"/>
  <c r="O38" i="1"/>
  <c r="I41" i="13"/>
  <c r="J41" i="13"/>
  <c r="O45" i="4"/>
  <c r="R39" i="13"/>
  <c r="R38" i="13"/>
  <c r="K45" i="4"/>
  <c r="R37" i="13"/>
  <c r="L45" i="4"/>
  <c r="N45" i="4"/>
  <c r="G39" i="13"/>
  <c r="K40" i="13"/>
  <c r="K36" i="13"/>
  <c r="G37" i="13"/>
  <c r="K38" i="13"/>
  <c r="O38" i="2"/>
  <c r="F41" i="13"/>
  <c r="G41" i="13" s="1"/>
  <c r="G42" i="4"/>
  <c r="T42" i="4"/>
  <c r="T43" i="4"/>
  <c r="J40" i="4"/>
  <c r="U40" i="4"/>
  <c r="E40" i="4"/>
  <c r="T41" i="4"/>
  <c r="J34" i="13"/>
  <c r="I34" i="13"/>
  <c r="K33" i="13"/>
  <c r="J33" i="13"/>
  <c r="I33" i="13"/>
  <c r="J32" i="13"/>
  <c r="I32" i="13"/>
  <c r="K31" i="13"/>
  <c r="J31" i="13"/>
  <c r="I31" i="13"/>
  <c r="J30" i="13"/>
  <c r="I30" i="13"/>
  <c r="K29" i="13"/>
  <c r="J29" i="13"/>
  <c r="I29" i="13"/>
  <c r="J28" i="13"/>
  <c r="I28" i="13"/>
  <c r="G34" i="13"/>
  <c r="F34" i="13"/>
  <c r="E34" i="13"/>
  <c r="F33" i="13"/>
  <c r="E33" i="13"/>
  <c r="G32" i="13"/>
  <c r="F32" i="13"/>
  <c r="E32" i="13"/>
  <c r="F31" i="13"/>
  <c r="E31" i="13"/>
  <c r="G30" i="13"/>
  <c r="F30" i="13"/>
  <c r="E30" i="13"/>
  <c r="F29" i="13"/>
  <c r="E29" i="13"/>
  <c r="G28" i="13"/>
  <c r="F28" i="13"/>
  <c r="E28" i="13"/>
  <c r="H35" i="1"/>
  <c r="H35" i="2" s="1"/>
  <c r="F35" i="1"/>
  <c r="F35" i="2" s="1"/>
  <c r="H34" i="1"/>
  <c r="H34" i="2"/>
  <c r="F34" i="1"/>
  <c r="F34" i="2"/>
  <c r="O34" i="2" s="1"/>
  <c r="O36" i="1"/>
  <c r="H33" i="1"/>
  <c r="O33" i="1" s="1"/>
  <c r="H33" i="2"/>
  <c r="O33" i="2" s="1"/>
  <c r="H32" i="1"/>
  <c r="H32" i="2"/>
  <c r="F32" i="1"/>
  <c r="F32" i="2"/>
  <c r="F31" i="1"/>
  <c r="O31" i="1" s="1"/>
  <c r="F31" i="2"/>
  <c r="O31" i="2" s="1"/>
  <c r="O36" i="2"/>
  <c r="H30" i="1"/>
  <c r="H30" i="2"/>
  <c r="F30" i="1"/>
  <c r="F30" i="2"/>
  <c r="O30" i="2" s="1"/>
  <c r="L30" i="3"/>
  <c r="K28" i="13" s="1"/>
  <c r="L32" i="3"/>
  <c r="K30" i="13" s="1"/>
  <c r="L34" i="3"/>
  <c r="K32" i="13" s="1"/>
  <c r="L36" i="3"/>
  <c r="K34" i="13" s="1"/>
  <c r="J31" i="3"/>
  <c r="G29" i="13" s="1"/>
  <c r="J33" i="3"/>
  <c r="G31" i="13" s="1"/>
  <c r="J35" i="3"/>
  <c r="G33" i="13" s="1"/>
  <c r="H31" i="3"/>
  <c r="H36" i="3"/>
  <c r="F33" i="3"/>
  <c r="F36" i="3"/>
  <c r="F30" i="3" l="1"/>
  <c r="O36" i="3"/>
  <c r="O41" i="3"/>
  <c r="Q41" i="13"/>
  <c r="O32" i="1"/>
  <c r="U41" i="4"/>
  <c r="F34" i="3"/>
  <c r="G36" i="4" s="1"/>
  <c r="H32" i="3"/>
  <c r="J34" i="4" s="1"/>
  <c r="F43" i="4"/>
  <c r="U43" i="4" s="1"/>
  <c r="I45" i="4"/>
  <c r="J45" i="4" s="1"/>
  <c r="O39" i="2"/>
  <c r="O39" i="3" s="1"/>
  <c r="O40" i="2"/>
  <c r="O40" i="3" s="1"/>
  <c r="O34" i="1"/>
  <c r="O34" i="3" s="1"/>
  <c r="O31" i="3"/>
  <c r="O42" i="1"/>
  <c r="E44" i="4"/>
  <c r="T44" i="4" s="1"/>
  <c r="O38" i="3"/>
  <c r="O30" i="1"/>
  <c r="O30" i="3" s="1"/>
  <c r="K41" i="13"/>
  <c r="M45" i="4"/>
  <c r="R41" i="13"/>
  <c r="O35" i="2"/>
  <c r="R30" i="13"/>
  <c r="R33" i="13"/>
  <c r="Q30" i="13"/>
  <c r="Q33" i="13"/>
  <c r="Q28" i="13"/>
  <c r="Q31" i="13"/>
  <c r="R28" i="13"/>
  <c r="J35" i="13"/>
  <c r="Q32" i="13"/>
  <c r="Q34" i="13"/>
  <c r="Q29" i="13"/>
  <c r="R34" i="13"/>
  <c r="R31" i="13"/>
  <c r="R32" i="13"/>
  <c r="F35" i="13"/>
  <c r="I35" i="13"/>
  <c r="R29" i="13"/>
  <c r="E35" i="13"/>
  <c r="T40" i="4"/>
  <c r="P45" i="4"/>
  <c r="O35" i="1"/>
  <c r="H34" i="3"/>
  <c r="J36" i="4" s="1"/>
  <c r="O33" i="3"/>
  <c r="H33" i="3"/>
  <c r="J35" i="4" s="1"/>
  <c r="O32" i="2"/>
  <c r="O32" i="3" s="1"/>
  <c r="F32" i="3"/>
  <c r="G34" i="4" s="1"/>
  <c r="F31" i="3"/>
  <c r="G33" i="4" s="1"/>
  <c r="H30" i="3"/>
  <c r="J32" i="4" s="1"/>
  <c r="P38" i="4"/>
  <c r="O38" i="4"/>
  <c r="N38" i="4"/>
  <c r="M38" i="4"/>
  <c r="L38" i="4"/>
  <c r="K38" i="4"/>
  <c r="J38" i="4"/>
  <c r="I38" i="4"/>
  <c r="H38" i="4"/>
  <c r="G38" i="4"/>
  <c r="F38" i="4"/>
  <c r="E38" i="4"/>
  <c r="P37" i="4"/>
  <c r="O37" i="4"/>
  <c r="N37" i="4"/>
  <c r="M37" i="4"/>
  <c r="L37" i="4"/>
  <c r="K37" i="4"/>
  <c r="J37" i="4"/>
  <c r="I37" i="4"/>
  <c r="H37" i="4"/>
  <c r="G37" i="4"/>
  <c r="F37" i="4"/>
  <c r="E37" i="4"/>
  <c r="P36" i="4"/>
  <c r="O36" i="4"/>
  <c r="N36" i="4"/>
  <c r="M36" i="4"/>
  <c r="L36" i="4"/>
  <c r="K36" i="4"/>
  <c r="I36" i="4"/>
  <c r="H36" i="4"/>
  <c r="F36" i="4"/>
  <c r="E36" i="4"/>
  <c r="P35" i="4"/>
  <c r="O35" i="4"/>
  <c r="N35" i="4"/>
  <c r="M35" i="4"/>
  <c r="L35" i="4"/>
  <c r="K35" i="4"/>
  <c r="I35" i="4"/>
  <c r="H35" i="4"/>
  <c r="G35" i="4"/>
  <c r="F35" i="4"/>
  <c r="E35" i="4"/>
  <c r="P34" i="4"/>
  <c r="O34" i="4"/>
  <c r="N34" i="4"/>
  <c r="M34" i="4"/>
  <c r="L34" i="4"/>
  <c r="K34" i="4"/>
  <c r="I34" i="4"/>
  <c r="H34" i="4"/>
  <c r="F34" i="4"/>
  <c r="E34" i="4"/>
  <c r="P33" i="4"/>
  <c r="O33" i="4"/>
  <c r="N33" i="4"/>
  <c r="M33" i="4"/>
  <c r="L33" i="4"/>
  <c r="K33" i="4"/>
  <c r="J33" i="4"/>
  <c r="I33" i="4"/>
  <c r="H33" i="4"/>
  <c r="F33" i="4"/>
  <c r="E33" i="4"/>
  <c r="P32" i="4"/>
  <c r="O32" i="4"/>
  <c r="N32" i="4"/>
  <c r="M32" i="4"/>
  <c r="L32" i="4"/>
  <c r="K32" i="4"/>
  <c r="I32" i="4"/>
  <c r="H32" i="4"/>
  <c r="G32" i="4"/>
  <c r="F32" i="4"/>
  <c r="E32" i="4"/>
  <c r="K35" i="13" l="1"/>
  <c r="O35" i="3"/>
  <c r="O42" i="2"/>
  <c r="O42" i="3" s="1"/>
  <c r="F44" i="4"/>
  <c r="T45" i="4"/>
  <c r="E45" i="4"/>
  <c r="U32" i="4"/>
  <c r="Q35" i="13"/>
  <c r="R35" i="13"/>
  <c r="G35" i="13"/>
  <c r="T32" i="4"/>
  <c r="T34" i="4"/>
  <c r="U34" i="4"/>
  <c r="T37" i="4"/>
  <c r="U37" i="4"/>
  <c r="T35" i="4"/>
  <c r="T38" i="4"/>
  <c r="T33" i="4"/>
  <c r="U35" i="4"/>
  <c r="U33" i="4"/>
  <c r="T36" i="4"/>
  <c r="U38" i="4"/>
  <c r="U36" i="4"/>
  <c r="E39" i="4"/>
  <c r="F39" i="4"/>
  <c r="I39" i="4"/>
  <c r="H39" i="4"/>
  <c r="K39" i="4"/>
  <c r="N39" i="4"/>
  <c r="O39" i="4"/>
  <c r="L39" i="4"/>
  <c r="U44" i="4" l="1"/>
  <c r="U45" i="4" s="1"/>
  <c r="F45" i="4"/>
  <c r="G45" i="4" s="1"/>
  <c r="U39" i="4"/>
  <c r="J39" i="4"/>
  <c r="G39" i="4"/>
  <c r="M39" i="4"/>
  <c r="P39" i="4"/>
  <c r="T39" i="4"/>
  <c r="K22" i="13"/>
  <c r="K24" i="13"/>
  <c r="K26" i="13"/>
  <c r="K20" i="13"/>
  <c r="J21" i="13"/>
  <c r="J22" i="13"/>
  <c r="J23" i="13"/>
  <c r="J24" i="13"/>
  <c r="J25" i="13"/>
  <c r="J26" i="13"/>
  <c r="J20" i="13"/>
  <c r="I21" i="13"/>
  <c r="I22" i="13"/>
  <c r="I23" i="13"/>
  <c r="I24" i="13"/>
  <c r="I25" i="13"/>
  <c r="I26" i="13"/>
  <c r="I20" i="13"/>
  <c r="G21" i="13"/>
  <c r="G23" i="13"/>
  <c r="G25" i="13"/>
  <c r="F21" i="13"/>
  <c r="F22" i="13"/>
  <c r="F23" i="13"/>
  <c r="F24" i="13"/>
  <c r="F25" i="13"/>
  <c r="F26" i="13"/>
  <c r="F20" i="13"/>
  <c r="E21" i="13"/>
  <c r="E22" i="13"/>
  <c r="E23" i="13"/>
  <c r="E24" i="13"/>
  <c r="E25" i="13"/>
  <c r="E26" i="13"/>
  <c r="E20" i="13"/>
  <c r="E18" i="13"/>
  <c r="H27" i="1"/>
  <c r="H29" i="4" s="1"/>
  <c r="G29" i="4"/>
  <c r="H26" i="1"/>
  <c r="H28" i="4" s="1"/>
  <c r="F26" i="1"/>
  <c r="E28" i="4" s="1"/>
  <c r="H25" i="1"/>
  <c r="H27" i="4" s="1"/>
  <c r="H24" i="1"/>
  <c r="H26" i="4" s="1"/>
  <c r="F24" i="1"/>
  <c r="F28" i="1"/>
  <c r="F25" i="1"/>
  <c r="H22" i="1"/>
  <c r="O22" i="1" s="1"/>
  <c r="H27" i="2"/>
  <c r="H26" i="2"/>
  <c r="F26" i="2"/>
  <c r="H25" i="2"/>
  <c r="H24" i="2"/>
  <c r="I26" i="4" s="1"/>
  <c r="F24" i="2"/>
  <c r="F28" i="2"/>
  <c r="O28" i="2" s="1"/>
  <c r="H22" i="2"/>
  <c r="I24" i="4" s="1"/>
  <c r="P24" i="4"/>
  <c r="L23" i="3"/>
  <c r="K21" i="13" s="1"/>
  <c r="L25" i="3"/>
  <c r="P27" i="4" s="1"/>
  <c r="L27" i="3"/>
  <c r="K25" i="13" s="1"/>
  <c r="P30" i="4"/>
  <c r="J22" i="3"/>
  <c r="M24" i="4" s="1"/>
  <c r="J24" i="3"/>
  <c r="G22" i="13" s="1"/>
  <c r="M27" i="4"/>
  <c r="J26" i="3"/>
  <c r="G24" i="13" s="1"/>
  <c r="J28" i="3"/>
  <c r="G26" i="13" s="1"/>
  <c r="H23" i="3"/>
  <c r="J25" i="4" s="1"/>
  <c r="H28" i="3"/>
  <c r="J30" i="4" s="1"/>
  <c r="F22" i="3"/>
  <c r="G24" i="4" s="1"/>
  <c r="E24" i="4"/>
  <c r="O30" i="4"/>
  <c r="N30" i="4"/>
  <c r="L30" i="4"/>
  <c r="K30" i="4"/>
  <c r="I30" i="4"/>
  <c r="H30" i="4"/>
  <c r="F30" i="4"/>
  <c r="O29" i="4"/>
  <c r="N29" i="4"/>
  <c r="M29" i="4"/>
  <c r="L29" i="4"/>
  <c r="K29" i="4"/>
  <c r="P28" i="4"/>
  <c r="O28" i="4"/>
  <c r="N28" i="4"/>
  <c r="L28" i="4"/>
  <c r="K28" i="4"/>
  <c r="O27" i="4"/>
  <c r="N27" i="4"/>
  <c r="L27" i="4"/>
  <c r="K27" i="4"/>
  <c r="I27" i="4"/>
  <c r="P26" i="4"/>
  <c r="O26" i="4"/>
  <c r="N26" i="4"/>
  <c r="L26" i="4"/>
  <c r="K26" i="4"/>
  <c r="O25" i="4"/>
  <c r="N25" i="4"/>
  <c r="M25" i="4"/>
  <c r="L25" i="4"/>
  <c r="K25" i="4"/>
  <c r="I25" i="4"/>
  <c r="H25" i="4"/>
  <c r="O24" i="4"/>
  <c r="N24" i="4"/>
  <c r="L24" i="4"/>
  <c r="K24" i="4"/>
  <c r="F24" i="4"/>
  <c r="O24" i="1" l="1"/>
  <c r="O22" i="2"/>
  <c r="O24" i="2"/>
  <c r="O22" i="3"/>
  <c r="F28" i="3"/>
  <c r="G30" i="4" s="1"/>
  <c r="O26" i="2"/>
  <c r="O25" i="1"/>
  <c r="F26" i="3"/>
  <c r="G28" i="4" s="1"/>
  <c r="F28" i="4"/>
  <c r="H22" i="3"/>
  <c r="J24" i="4" s="1"/>
  <c r="H24" i="4"/>
  <c r="H31" i="4" s="1"/>
  <c r="H27" i="3"/>
  <c r="J29" i="4" s="1"/>
  <c r="F26" i="4"/>
  <c r="U26" i="4" s="1"/>
  <c r="E30" i="4"/>
  <c r="T30" i="4" s="1"/>
  <c r="G27" i="4"/>
  <c r="F25" i="2"/>
  <c r="F23" i="1"/>
  <c r="E25" i="4" s="1"/>
  <c r="F27" i="1"/>
  <c r="F24" i="3"/>
  <c r="G26" i="4" s="1"/>
  <c r="O28" i="1"/>
  <c r="O28" i="3" s="1"/>
  <c r="E27" i="4"/>
  <c r="T27" i="4" s="1"/>
  <c r="O26" i="1"/>
  <c r="M26" i="4"/>
  <c r="P25" i="4"/>
  <c r="R26" i="13"/>
  <c r="M28" i="4"/>
  <c r="M30" i="4"/>
  <c r="P29" i="4"/>
  <c r="G20" i="13"/>
  <c r="K23" i="13"/>
  <c r="R20" i="13"/>
  <c r="Q22" i="13"/>
  <c r="R21" i="13"/>
  <c r="Q21" i="13"/>
  <c r="Q20" i="13"/>
  <c r="Q26" i="13"/>
  <c r="R25" i="13"/>
  <c r="Q25" i="13"/>
  <c r="R24" i="13"/>
  <c r="Q24" i="13"/>
  <c r="R23" i="13"/>
  <c r="Q23" i="13"/>
  <c r="R22" i="13"/>
  <c r="J27" i="13"/>
  <c r="I27" i="13"/>
  <c r="E27" i="13"/>
  <c r="F27" i="13"/>
  <c r="G25" i="4"/>
  <c r="E29" i="4"/>
  <c r="T29" i="4" s="1"/>
  <c r="H26" i="3"/>
  <c r="J28" i="4" s="1"/>
  <c r="T28" i="4"/>
  <c r="H25" i="3"/>
  <c r="J27" i="4" s="1"/>
  <c r="H24" i="3"/>
  <c r="J26" i="4" s="1"/>
  <c r="E26" i="4"/>
  <c r="T26" i="4" s="1"/>
  <c r="I29" i="4"/>
  <c r="I28" i="4"/>
  <c r="U30" i="4"/>
  <c r="K31" i="4"/>
  <c r="N31" i="4"/>
  <c r="L31" i="4"/>
  <c r="O31" i="4"/>
  <c r="U24" i="4"/>
  <c r="K18" i="13"/>
  <c r="J18" i="13"/>
  <c r="I18" i="13"/>
  <c r="F18" i="13"/>
  <c r="J17" i="13"/>
  <c r="I17" i="13"/>
  <c r="G17" i="13"/>
  <c r="F17" i="13"/>
  <c r="E17" i="13"/>
  <c r="K16" i="13"/>
  <c r="J16" i="13"/>
  <c r="I16" i="13"/>
  <c r="F16" i="13"/>
  <c r="E16" i="13"/>
  <c r="J15" i="13"/>
  <c r="I15" i="13"/>
  <c r="G15" i="13"/>
  <c r="F15" i="13"/>
  <c r="E15" i="13"/>
  <c r="K14" i="13"/>
  <c r="J14" i="13"/>
  <c r="I14" i="13"/>
  <c r="F14" i="13"/>
  <c r="E14" i="13"/>
  <c r="J13" i="13"/>
  <c r="I13" i="13"/>
  <c r="G13" i="13"/>
  <c r="F13" i="13"/>
  <c r="E13" i="13"/>
  <c r="K12" i="13"/>
  <c r="J12" i="13"/>
  <c r="I12" i="13"/>
  <c r="F12" i="13"/>
  <c r="E12" i="13"/>
  <c r="K10" i="13"/>
  <c r="J10" i="13"/>
  <c r="I10" i="13"/>
  <c r="F10" i="13"/>
  <c r="E10" i="13"/>
  <c r="J9" i="13"/>
  <c r="I9" i="13"/>
  <c r="G9" i="13"/>
  <c r="F9" i="13"/>
  <c r="E9" i="13"/>
  <c r="K8" i="13"/>
  <c r="J8" i="13"/>
  <c r="I8" i="13"/>
  <c r="F8" i="13"/>
  <c r="E8" i="13"/>
  <c r="J7" i="13"/>
  <c r="I7" i="13"/>
  <c r="G7" i="13"/>
  <c r="F7" i="13"/>
  <c r="E7" i="13"/>
  <c r="K6" i="13"/>
  <c r="J6" i="13"/>
  <c r="I6" i="13"/>
  <c r="F6" i="13"/>
  <c r="E6" i="13"/>
  <c r="J5" i="13"/>
  <c r="I5" i="13"/>
  <c r="G5" i="13"/>
  <c r="F5" i="13"/>
  <c r="E5" i="13"/>
  <c r="K4" i="13"/>
  <c r="J4" i="13"/>
  <c r="I4" i="13"/>
  <c r="F4" i="13"/>
  <c r="R4" i="13" s="1"/>
  <c r="E4" i="13"/>
  <c r="Q4" i="13" s="1"/>
  <c r="O24" i="3" l="1"/>
  <c r="O26" i="3"/>
  <c r="T24" i="4"/>
  <c r="O25" i="2"/>
  <c r="O25" i="3" s="1"/>
  <c r="F27" i="4"/>
  <c r="U27" i="4" s="1"/>
  <c r="F27" i="2"/>
  <c r="O27" i="1"/>
  <c r="F23" i="2"/>
  <c r="O23" i="1"/>
  <c r="Q27" i="13"/>
  <c r="G27" i="13"/>
  <c r="R27" i="13"/>
  <c r="K27" i="13"/>
  <c r="E31" i="4"/>
  <c r="T25" i="4"/>
  <c r="I31" i="4"/>
  <c r="J31" i="4" s="1"/>
  <c r="U28" i="4"/>
  <c r="P31" i="4"/>
  <c r="M31" i="4"/>
  <c r="R15" i="13"/>
  <c r="R6" i="13"/>
  <c r="R10" i="13"/>
  <c r="R13" i="13"/>
  <c r="Q5" i="13"/>
  <c r="Q7" i="13"/>
  <c r="Q9" i="13"/>
  <c r="Q12" i="13"/>
  <c r="Q14" i="13"/>
  <c r="Q16" i="13"/>
  <c r="Q18" i="13"/>
  <c r="R7" i="13"/>
  <c r="R16" i="13"/>
  <c r="R18" i="13"/>
  <c r="R8" i="13"/>
  <c r="R17" i="13"/>
  <c r="R5" i="13"/>
  <c r="R9" i="13"/>
  <c r="R12" i="13"/>
  <c r="R14" i="13"/>
  <c r="Q13" i="13"/>
  <c r="Q17" i="13"/>
  <c r="Q6" i="13"/>
  <c r="Q8" i="13"/>
  <c r="Q10" i="13"/>
  <c r="Q15" i="13"/>
  <c r="I19" i="13"/>
  <c r="F11" i="13"/>
  <c r="F19" i="13"/>
  <c r="I11" i="13"/>
  <c r="E19" i="13"/>
  <c r="J19" i="13"/>
  <c r="E11" i="13"/>
  <c r="E104" i="13" s="1"/>
  <c r="J11" i="13"/>
  <c r="F104" i="13" l="1"/>
  <c r="J104" i="13"/>
  <c r="I104" i="13"/>
  <c r="T31" i="4"/>
  <c r="O23" i="2"/>
  <c r="O23" i="3" s="1"/>
  <c r="F25" i="4"/>
  <c r="O27" i="2"/>
  <c r="O27" i="3" s="1"/>
  <c r="F29" i="4"/>
  <c r="U29" i="4" s="1"/>
  <c r="K11" i="13"/>
  <c r="R19" i="13"/>
  <c r="R11" i="13"/>
  <c r="R104" i="13" s="1"/>
  <c r="Q19" i="13"/>
  <c r="Q11" i="13"/>
  <c r="K19" i="13"/>
  <c r="G19" i="13"/>
  <c r="G11" i="13"/>
  <c r="Q104" i="13" l="1"/>
  <c r="Q106" i="13"/>
  <c r="R106" i="13"/>
  <c r="K104" i="13"/>
  <c r="G104" i="13"/>
  <c r="U25" i="4"/>
  <c r="U31" i="4" s="1"/>
  <c r="F31" i="4"/>
  <c r="G31" i="4" s="1"/>
  <c r="L15" i="3" l="1"/>
  <c r="P18" i="4"/>
  <c r="L17" i="3"/>
  <c r="K15" i="13" s="1"/>
  <c r="L19" i="3"/>
  <c r="P22" i="4"/>
  <c r="J14" i="3"/>
  <c r="J16" i="3"/>
  <c r="G14" i="13" s="1"/>
  <c r="M19" i="4"/>
  <c r="J18" i="3"/>
  <c r="G16" i="13" s="1"/>
  <c r="J20" i="3"/>
  <c r="G18" i="13" s="1"/>
  <c r="H15" i="3"/>
  <c r="J17" i="4" s="1"/>
  <c r="H18" i="3"/>
  <c r="J20" i="4" s="1"/>
  <c r="H20" i="3"/>
  <c r="J22" i="4" s="1"/>
  <c r="G16" i="4"/>
  <c r="F15" i="3"/>
  <c r="G17" i="4" s="1"/>
  <c r="G18" i="4"/>
  <c r="F18" i="3"/>
  <c r="G20" i="4" s="1"/>
  <c r="F19" i="3"/>
  <c r="G21" i="4" s="1"/>
  <c r="F20" i="1"/>
  <c r="E22" i="4" s="1"/>
  <c r="H19" i="1"/>
  <c r="H21" i="4" s="1"/>
  <c r="H17" i="1"/>
  <c r="F17" i="1"/>
  <c r="E19" i="4" s="1"/>
  <c r="H16" i="1"/>
  <c r="H18" i="4" s="1"/>
  <c r="F16" i="1"/>
  <c r="H14" i="1"/>
  <c r="H14" i="2" s="1"/>
  <c r="F14" i="1"/>
  <c r="F14" i="2" s="1"/>
  <c r="F20" i="2"/>
  <c r="F22" i="4" s="1"/>
  <c r="H19" i="2"/>
  <c r="I21" i="4" s="1"/>
  <c r="H17" i="2"/>
  <c r="I19" i="4" s="1"/>
  <c r="F17" i="2"/>
  <c r="H16" i="2"/>
  <c r="I18" i="4" s="1"/>
  <c r="O15" i="2"/>
  <c r="O18" i="2"/>
  <c r="O15" i="1"/>
  <c r="O18" i="1"/>
  <c r="O18" i="3" s="1"/>
  <c r="O22" i="4"/>
  <c r="N22" i="4"/>
  <c r="L22" i="4"/>
  <c r="K22" i="4"/>
  <c r="I22" i="4"/>
  <c r="H22" i="4"/>
  <c r="O21" i="4"/>
  <c r="N21" i="4"/>
  <c r="M21" i="4"/>
  <c r="L21" i="4"/>
  <c r="K21" i="4"/>
  <c r="F21" i="4"/>
  <c r="E21" i="4"/>
  <c r="P20" i="4"/>
  <c r="O20" i="4"/>
  <c r="N20" i="4"/>
  <c r="L20" i="4"/>
  <c r="K20" i="4"/>
  <c r="I20" i="4"/>
  <c r="H20" i="4"/>
  <c r="F20" i="4"/>
  <c r="E20" i="4"/>
  <c r="O19" i="4"/>
  <c r="N19" i="4"/>
  <c r="L19" i="4"/>
  <c r="K19" i="4"/>
  <c r="O18" i="4"/>
  <c r="N18" i="4"/>
  <c r="L18" i="4"/>
  <c r="K18" i="4"/>
  <c r="O17" i="4"/>
  <c r="N17" i="4"/>
  <c r="M17" i="4"/>
  <c r="L17" i="4"/>
  <c r="K17" i="4"/>
  <c r="I17" i="4"/>
  <c r="H17" i="4"/>
  <c r="F17" i="4"/>
  <c r="E17" i="4"/>
  <c r="P16" i="4"/>
  <c r="O16" i="4"/>
  <c r="N16" i="4"/>
  <c r="L16" i="4"/>
  <c r="K16" i="4"/>
  <c r="J16" i="4"/>
  <c r="P29" i="10"/>
  <c r="O29" i="10"/>
  <c r="N29" i="10"/>
  <c r="M29" i="10"/>
  <c r="L29" i="10"/>
  <c r="K29" i="10"/>
  <c r="J29" i="10"/>
  <c r="I29" i="10"/>
  <c r="H29" i="10"/>
  <c r="G29" i="10"/>
  <c r="F29" i="10"/>
  <c r="E29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O20" i="2" l="1"/>
  <c r="O17" i="2"/>
  <c r="O15" i="3"/>
  <c r="O19" i="2"/>
  <c r="H17" i="3"/>
  <c r="J19" i="4" s="1"/>
  <c r="I16" i="4"/>
  <c r="I23" i="4" s="1"/>
  <c r="E16" i="4"/>
  <c r="H16" i="4"/>
  <c r="O14" i="1"/>
  <c r="O14" i="2"/>
  <c r="H19" i="4"/>
  <c r="F20" i="3"/>
  <c r="G22" i="4" s="1"/>
  <c r="H19" i="3"/>
  <c r="J21" i="4" s="1"/>
  <c r="O16" i="1"/>
  <c r="F16" i="2"/>
  <c r="F18" i="4" s="1"/>
  <c r="U18" i="4" s="1"/>
  <c r="F17" i="3"/>
  <c r="G19" i="4" s="1"/>
  <c r="H16" i="3"/>
  <c r="J18" i="4" s="1"/>
  <c r="M20" i="4"/>
  <c r="T29" i="10"/>
  <c r="M22" i="4"/>
  <c r="P19" i="4"/>
  <c r="P17" i="4"/>
  <c r="K13" i="13"/>
  <c r="M16" i="4"/>
  <c r="G12" i="13"/>
  <c r="M18" i="4"/>
  <c r="P21" i="4"/>
  <c r="K17" i="13"/>
  <c r="T28" i="10"/>
  <c r="T27" i="10"/>
  <c r="H30" i="10"/>
  <c r="U28" i="10"/>
  <c r="U26" i="10"/>
  <c r="U27" i="10"/>
  <c r="E30" i="10"/>
  <c r="F30" i="10"/>
  <c r="U24" i="10"/>
  <c r="I30" i="10"/>
  <c r="K30" i="10"/>
  <c r="T25" i="10"/>
  <c r="T26" i="10"/>
  <c r="T24" i="10"/>
  <c r="N30" i="10"/>
  <c r="U29" i="10"/>
  <c r="L30" i="10"/>
  <c r="O30" i="10"/>
  <c r="O20" i="1"/>
  <c r="O20" i="3" s="1"/>
  <c r="O19" i="1"/>
  <c r="O19" i="3" s="1"/>
  <c r="O17" i="1"/>
  <c r="O17" i="3" s="1"/>
  <c r="E18" i="4"/>
  <c r="U22" i="4"/>
  <c r="F19" i="4"/>
  <c r="U19" i="4" s="1"/>
  <c r="F16" i="4"/>
  <c r="U20" i="4"/>
  <c r="O23" i="4"/>
  <c r="L23" i="4"/>
  <c r="U17" i="4"/>
  <c r="U21" i="4"/>
  <c r="T17" i="4"/>
  <c r="T21" i="4"/>
  <c r="N23" i="4"/>
  <c r="T20" i="4"/>
  <c r="T22" i="4"/>
  <c r="K23" i="4"/>
  <c r="T23" i="10"/>
  <c r="U23" i="10"/>
  <c r="U25" i="10"/>
  <c r="P10" i="4"/>
  <c r="P12" i="4"/>
  <c r="P14" i="4"/>
  <c r="O10" i="4"/>
  <c r="O11" i="4"/>
  <c r="O12" i="4"/>
  <c r="O13" i="4"/>
  <c r="O14" i="4"/>
  <c r="N10" i="4"/>
  <c r="N11" i="4"/>
  <c r="N12" i="4"/>
  <c r="N13" i="4"/>
  <c r="N14" i="4"/>
  <c r="M11" i="4"/>
  <c r="M13" i="4"/>
  <c r="L10" i="4"/>
  <c r="L11" i="4"/>
  <c r="L12" i="4"/>
  <c r="L13" i="4"/>
  <c r="L14" i="4"/>
  <c r="K10" i="4"/>
  <c r="K11" i="4"/>
  <c r="K12" i="4"/>
  <c r="K13" i="4"/>
  <c r="K14" i="4"/>
  <c r="I12" i="4"/>
  <c r="I14" i="4"/>
  <c r="H12" i="4"/>
  <c r="H14" i="4"/>
  <c r="G13" i="4"/>
  <c r="F11" i="4"/>
  <c r="E11" i="4"/>
  <c r="L9" i="3"/>
  <c r="K7" i="13" s="1"/>
  <c r="L11" i="3"/>
  <c r="K9" i="13" s="1"/>
  <c r="L7" i="3"/>
  <c r="K5" i="13" s="1"/>
  <c r="J8" i="3"/>
  <c r="G6" i="13" s="1"/>
  <c r="J10" i="3"/>
  <c r="G8" i="13" s="1"/>
  <c r="J12" i="3"/>
  <c r="G10" i="13" s="1"/>
  <c r="H10" i="3"/>
  <c r="J12" i="4" s="1"/>
  <c r="H12" i="3"/>
  <c r="J14" i="4" s="1"/>
  <c r="F9" i="3"/>
  <c r="G11" i="4" s="1"/>
  <c r="F12" i="2"/>
  <c r="F14" i="4" s="1"/>
  <c r="F12" i="1"/>
  <c r="H11" i="2"/>
  <c r="H105" i="2" s="1"/>
  <c r="F10" i="2"/>
  <c r="O10" i="2" s="1"/>
  <c r="H9" i="2"/>
  <c r="O9" i="2" s="1"/>
  <c r="H8" i="2"/>
  <c r="I10" i="4" s="1"/>
  <c r="F8" i="2"/>
  <c r="O8" i="2" s="1"/>
  <c r="O14" i="3" l="1"/>
  <c r="F12" i="4"/>
  <c r="U12" i="4" s="1"/>
  <c r="I11" i="4"/>
  <c r="U11" i="4" s="1"/>
  <c r="F10" i="4"/>
  <c r="U10" i="4" s="1"/>
  <c r="H23" i="4"/>
  <c r="J23" i="4" s="1"/>
  <c r="T16" i="4"/>
  <c r="E23" i="4"/>
  <c r="O16" i="2"/>
  <c r="O16" i="3" s="1"/>
  <c r="T19" i="4"/>
  <c r="F12" i="3"/>
  <c r="G14" i="4" s="1"/>
  <c r="O12" i="2"/>
  <c r="E14" i="4"/>
  <c r="T14" i="4" s="1"/>
  <c r="I13" i="4"/>
  <c r="G30" i="10"/>
  <c r="M10" i="4"/>
  <c r="M14" i="4"/>
  <c r="P13" i="4"/>
  <c r="M12" i="4"/>
  <c r="P11" i="4"/>
  <c r="T18" i="4"/>
  <c r="J30" i="10"/>
  <c r="P30" i="10"/>
  <c r="M30" i="10"/>
  <c r="T30" i="10"/>
  <c r="F23" i="4"/>
  <c r="U16" i="4"/>
  <c r="U23" i="4" s="1"/>
  <c r="P23" i="4"/>
  <c r="M23" i="4"/>
  <c r="U14" i="4"/>
  <c r="U30" i="10"/>
  <c r="O12" i="1"/>
  <c r="H11" i="1"/>
  <c r="H13" i="4" s="1"/>
  <c r="F11" i="1"/>
  <c r="F10" i="1"/>
  <c r="H9" i="1"/>
  <c r="H8" i="1"/>
  <c r="F8" i="1"/>
  <c r="F105" i="1" l="1"/>
  <c r="E110" i="4" s="1"/>
  <c r="H105" i="1"/>
  <c r="H110" i="4" s="1"/>
  <c r="G23" i="4"/>
  <c r="O8" i="1"/>
  <c r="O8" i="3" s="1"/>
  <c r="T23" i="4"/>
  <c r="F11" i="2"/>
  <c r="F105" i="2" s="1"/>
  <c r="E13" i="4"/>
  <c r="T13" i="4" s="1"/>
  <c r="H9" i="3"/>
  <c r="J11" i="4" s="1"/>
  <c r="H11" i="4"/>
  <c r="T11" i="4" s="1"/>
  <c r="E12" i="4"/>
  <c r="T12" i="4" s="1"/>
  <c r="F10" i="3"/>
  <c r="G12" i="4" s="1"/>
  <c r="E10" i="4"/>
  <c r="F8" i="3"/>
  <c r="G10" i="4" s="1"/>
  <c r="O10" i="1"/>
  <c r="O10" i="3" s="1"/>
  <c r="O12" i="3"/>
  <c r="O11" i="1"/>
  <c r="H10" i="4"/>
  <c r="H8" i="3"/>
  <c r="J10" i="4" s="1"/>
  <c r="O9" i="1"/>
  <c r="O9" i="3" s="1"/>
  <c r="H11" i="3"/>
  <c r="J13" i="4" s="1"/>
  <c r="N106" i="2"/>
  <c r="E100" i="6"/>
  <c r="D100" i="6"/>
  <c r="C100" i="6"/>
  <c r="E100" i="9"/>
  <c r="F100" i="9" s="1"/>
  <c r="L106" i="2" s="1"/>
  <c r="D100" i="9"/>
  <c r="C100" i="9"/>
  <c r="C100" i="7"/>
  <c r="D100" i="7"/>
  <c r="E100" i="7"/>
  <c r="E100" i="8"/>
  <c r="F100" i="8" s="1"/>
  <c r="J106" i="2" s="1"/>
  <c r="D100" i="8"/>
  <c r="C100" i="8"/>
  <c r="P9" i="4"/>
  <c r="P8" i="4"/>
  <c r="O9" i="4"/>
  <c r="O8" i="4"/>
  <c r="N9" i="4"/>
  <c r="N8" i="4"/>
  <c r="N4" i="4"/>
  <c r="M9" i="4"/>
  <c r="L9" i="4"/>
  <c r="L8" i="4"/>
  <c r="K9" i="4"/>
  <c r="K8" i="4"/>
  <c r="K4" i="4"/>
  <c r="I9" i="4"/>
  <c r="I8" i="4"/>
  <c r="H9" i="4"/>
  <c r="H8" i="4"/>
  <c r="F9" i="4"/>
  <c r="F8" i="4"/>
  <c r="E9" i="4"/>
  <c r="E8" i="4"/>
  <c r="J6" i="3"/>
  <c r="G4" i="13" s="1"/>
  <c r="H7" i="3"/>
  <c r="J9" i="4" s="1"/>
  <c r="H6" i="3"/>
  <c r="J8" i="4" s="1"/>
  <c r="F7" i="3"/>
  <c r="G9" i="4" s="1"/>
  <c r="F6" i="3"/>
  <c r="G8" i="4" s="1"/>
  <c r="O7" i="2"/>
  <c r="O6" i="2"/>
  <c r="O7" i="1"/>
  <c r="O6" i="1"/>
  <c r="F100" i="6" l="1"/>
  <c r="H106" i="2" s="1"/>
  <c r="O6" i="3"/>
  <c r="O7" i="3"/>
  <c r="T10" i="4"/>
  <c r="F13" i="4"/>
  <c r="U13" i="4" s="1"/>
  <c r="O11" i="2"/>
  <c r="M8" i="4"/>
  <c r="K15" i="4"/>
  <c r="K108" i="4" s="1"/>
  <c r="T8" i="4"/>
  <c r="I15" i="4"/>
  <c r="I108" i="4" s="1"/>
  <c r="N15" i="4"/>
  <c r="N108" i="4" s="1"/>
  <c r="U9" i="4"/>
  <c r="T9" i="4"/>
  <c r="O15" i="4"/>
  <c r="O108" i="4" s="1"/>
  <c r="H15" i="4"/>
  <c r="H108" i="4" s="1"/>
  <c r="L15" i="4"/>
  <c r="L108" i="4" s="1"/>
  <c r="U8" i="4"/>
  <c r="E15" i="4"/>
  <c r="M108" i="4" l="1"/>
  <c r="P108" i="4"/>
  <c r="J108" i="4"/>
  <c r="O11" i="3"/>
  <c r="F15" i="4"/>
  <c r="G15" i="4" s="1"/>
  <c r="T15" i="4"/>
  <c r="U15" i="4"/>
  <c r="P15" i="4"/>
  <c r="M15" i="4"/>
  <c r="J15" i="4"/>
  <c r="B9" i="5"/>
  <c r="S5" i="4"/>
  <c r="S6" i="4"/>
  <c r="S4" i="4"/>
  <c r="R5" i="4"/>
  <c r="R6" i="4"/>
  <c r="R4" i="4"/>
  <c r="Q5" i="4"/>
  <c r="Q6" i="4"/>
  <c r="Q4" i="4"/>
  <c r="P5" i="4"/>
  <c r="P6" i="4"/>
  <c r="P4" i="4"/>
  <c r="O5" i="4"/>
  <c r="O6" i="4"/>
  <c r="O4" i="4"/>
  <c r="N5" i="4"/>
  <c r="N6" i="4"/>
  <c r="M5" i="4"/>
  <c r="M6" i="4"/>
  <c r="M4" i="4"/>
  <c r="L5" i="4"/>
  <c r="L6" i="4"/>
  <c r="L4" i="4"/>
  <c r="K5" i="4"/>
  <c r="K6" i="4"/>
  <c r="J5" i="4"/>
  <c r="J6" i="4"/>
  <c r="J4" i="4"/>
  <c r="I5" i="4"/>
  <c r="I6" i="4"/>
  <c r="I4" i="4"/>
  <c r="H5" i="4"/>
  <c r="H6" i="4"/>
  <c r="H4" i="4"/>
  <c r="F4" i="4"/>
  <c r="F5" i="4"/>
  <c r="U5" i="4" s="1"/>
  <c r="F6" i="4"/>
  <c r="U6" i="4" s="1"/>
  <c r="E5" i="4"/>
  <c r="T5" i="4" s="1"/>
  <c r="E6" i="4"/>
  <c r="T6" i="4" s="1"/>
  <c r="E4" i="4"/>
  <c r="B6" i="4"/>
  <c r="B5" i="4"/>
  <c r="B4" i="4"/>
  <c r="F7" i="4" l="1"/>
  <c r="E7" i="4"/>
  <c r="E108" i="4" s="1"/>
  <c r="T4" i="4"/>
  <c r="T7" i="4" s="1"/>
  <c r="U4" i="4"/>
  <c r="U7" i="4" s="1"/>
  <c r="T108" i="4" l="1"/>
  <c r="T110" i="4" s="1"/>
  <c r="O114" i="4" s="1"/>
  <c r="G7" i="4"/>
  <c r="K9" i="5"/>
  <c r="J9" i="5"/>
  <c r="I9" i="5"/>
  <c r="G9" i="5"/>
  <c r="F9" i="5"/>
  <c r="E9" i="5"/>
  <c r="D9" i="5"/>
  <c r="C9" i="5"/>
  <c r="H8" i="5"/>
  <c r="H6" i="5"/>
  <c r="H5" i="5"/>
  <c r="F100" i="7"/>
  <c r="F106" i="2" s="1"/>
  <c r="F4" i="3"/>
  <c r="G6" i="4" s="1"/>
  <c r="F3" i="3"/>
  <c r="G5" i="4" s="1"/>
  <c r="F2" i="3"/>
  <c r="G4" i="4" s="1"/>
  <c r="O4" i="1"/>
  <c r="O3" i="1"/>
  <c r="O2" i="1"/>
  <c r="O105" i="1" s="1"/>
  <c r="N105" i="2"/>
  <c r="N107" i="2" s="1"/>
  <c r="R109" i="4" s="1"/>
  <c r="L105" i="3"/>
  <c r="O4" i="2"/>
  <c r="J105" i="3"/>
  <c r="H105" i="3"/>
  <c r="F105" i="3"/>
  <c r="O3" i="2"/>
  <c r="O2" i="2"/>
  <c r="H7" i="10"/>
  <c r="E7" i="10"/>
  <c r="D7" i="10"/>
  <c r="C7" i="10"/>
  <c r="H9" i="5" l="1"/>
  <c r="O116" i="4"/>
  <c r="O117" i="4" s="1"/>
  <c r="O115" i="4"/>
  <c r="O4" i="3"/>
  <c r="R110" i="4"/>
  <c r="O3" i="3"/>
  <c r="N105" i="13"/>
  <c r="N106" i="13" s="1"/>
  <c r="O2" i="3"/>
  <c r="N108" i="2"/>
  <c r="N110" i="2" l="1"/>
  <c r="R111" i="4" s="1"/>
  <c r="N111" i="2"/>
  <c r="L107" i="2"/>
  <c r="O109" i="4" s="1"/>
  <c r="O110" i="4" s="1"/>
  <c r="J107" i="2"/>
  <c r="L109" i="4" s="1"/>
  <c r="F107" i="2"/>
  <c r="F109" i="4" s="1"/>
  <c r="L110" i="4" l="1"/>
  <c r="N107" i="13"/>
  <c r="J105" i="13"/>
  <c r="J106" i="13" s="1"/>
  <c r="F105" i="13"/>
  <c r="F106" i="13" s="1"/>
  <c r="F108" i="2"/>
  <c r="F110" i="2" s="1"/>
  <c r="F111" i="4" s="1"/>
  <c r="J108" i="2"/>
  <c r="J111" i="2" s="1"/>
  <c r="L108" i="2"/>
  <c r="L111" i="2" s="1"/>
  <c r="H107" i="2"/>
  <c r="I109" i="4" s="1"/>
  <c r="I110" i="4" s="1"/>
  <c r="U109" i="4" l="1"/>
  <c r="F111" i="2"/>
  <c r="O107" i="2"/>
  <c r="J110" i="2"/>
  <c r="L111" i="4" s="1"/>
  <c r="L110" i="2"/>
  <c r="O111" i="4" s="1"/>
  <c r="H108" i="2"/>
  <c r="J107" i="13" l="1"/>
  <c r="F107" i="13"/>
  <c r="H110" i="2"/>
  <c r="I111" i="4" s="1"/>
  <c r="H111" i="2"/>
  <c r="F52" i="4"/>
  <c r="F53" i="4" s="1"/>
  <c r="G52" i="4"/>
  <c r="O50" i="2"/>
  <c r="G53" i="4" l="1"/>
  <c r="O50" i="3"/>
  <c r="U52" i="4"/>
  <c r="U53" i="4" s="1"/>
  <c r="O62" i="2"/>
  <c r="O62" i="3" s="1"/>
  <c r="O63" i="2"/>
  <c r="O63" i="3" s="1"/>
  <c r="O61" i="2"/>
  <c r="O61" i="3" l="1"/>
  <c r="O70" i="2"/>
  <c r="O70" i="3" s="1"/>
  <c r="F72" i="4"/>
  <c r="U72" i="4" s="1"/>
  <c r="G72" i="4"/>
  <c r="O69" i="2"/>
  <c r="G71" i="4"/>
  <c r="F71" i="4"/>
  <c r="U71" i="4" s="1"/>
  <c r="O69" i="3" l="1"/>
  <c r="O105" i="2"/>
  <c r="O108" i="2" s="1"/>
  <c r="U73" i="4"/>
  <c r="F73" i="4"/>
  <c r="F108" i="4" s="1"/>
  <c r="U108" i="4" l="1"/>
  <c r="U110" i="4" s="1"/>
  <c r="G108" i="4"/>
  <c r="F110" i="4"/>
  <c r="G73" i="4"/>
  <c r="O111" i="2"/>
  <c r="O1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 = (LB26*TH27)/TH26</t>
        </r>
      </text>
    </comment>
    <comment ref="F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 = (LB26*C28)/C26</t>
        </r>
      </text>
    </comment>
    <comment ref="H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TH28=(TH26*C28)/C26</t>
        </r>
      </text>
    </comment>
    <comment ref="H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TH29=(TH27*M29)/M27</t>
        </r>
      </text>
    </comment>
    <comment ref="F1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LB30=(LB26*C30)/C26</t>
        </r>
      </text>
    </comment>
    <comment ref="F1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LB31Harvest = LB31Effort * LB31CPUE</t>
        </r>
      </text>
    </comment>
    <comment ref="H1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TH31=(TH27*M31)/M27</t>
        </r>
      </text>
    </comment>
    <comment ref="F1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 = (TH01*LB26)/TH26</t>
        </r>
      </text>
    </comment>
    <comment ref="F14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LB11Harvest = LB11Effort * LB11CPUE</t>
        </r>
      </text>
    </comment>
    <comment ref="H1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TH11Harvest = TH11Effort * TH11CPUE</t>
        </r>
      </text>
    </comment>
    <comment ref="F1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H1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TH13 = (TH15*C13)/C15</t>
        </r>
      </text>
    </comment>
    <comment ref="F1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(LB12*M14)/M12</t>
        </r>
      </text>
    </comment>
    <comment ref="H17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 = (TH12*M14)/M12</t>
        </r>
      </text>
    </comment>
    <comment ref="H1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 = (TH15*LB16)/LB15</t>
        </r>
      </text>
    </comment>
    <comment ref="F20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 17 = (LB12*TH17)/TH12</t>
        </r>
      </text>
    </comment>
    <comment ref="H22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TH24=(TH30*C24)/C30</t>
        </r>
      </text>
    </comment>
    <comment ref="F2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LB25Harvest = LB25Effort * LB25CPUE</t>
        </r>
      </text>
    </comment>
    <comment ref="F24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LB26=C26*LB24/C24</t>
        </r>
      </text>
    </comment>
    <comment ref="H24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TH26=C26*TH30/C30</t>
        </r>
      </text>
    </comment>
    <comment ref="F25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LB27Harvest = LB27Effort * LB27CPUE</t>
        </r>
      </text>
    </comment>
    <comment ref="H25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TH27=M27*TH25/M25</t>
        </r>
      </text>
    </comment>
    <comment ref="F26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LB28=C28*LB24/C24</t>
        </r>
      </text>
    </comment>
    <comment ref="H26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TH28=C28*TH30/C30</t>
        </r>
      </text>
    </comment>
    <comment ref="F27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LB29Harvest = LB29Effort * LB29CPUE</t>
        </r>
      </text>
    </comment>
    <comment ref="H27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TH29=M29*TH25/M25</t>
        </r>
      </text>
    </comment>
    <comment ref="F28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 = (LB24s/LB24n*LB30n) + LB30n</t>
        </r>
      </text>
    </comment>
    <comment ref="F30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 LB16*M10/M16</t>
        </r>
      </text>
    </comment>
    <comment ref="H30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 = TH16*M10/M16</t>
        </r>
      </text>
    </comment>
    <comment ref="F31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 = LB13*C11/C13</t>
        </r>
      </text>
    </comment>
    <comment ref="F32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 = LB16*M12/M16</t>
        </r>
      </text>
    </comment>
    <comment ref="H32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TH12 = TH16*M12/M16</t>
        </r>
      </text>
    </comment>
    <comment ref="F33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H33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TH13 = TH11*C13/C11</t>
        </r>
      </text>
    </comment>
    <comment ref="F34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LB16*M14/M16</t>
        </r>
      </text>
    </comment>
    <comment ref="H34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 = TH16*M14/M16</t>
        </r>
      </text>
    </comment>
    <comment ref="F35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LB15Harvest = LB15Effort * LB15CPUE</t>
        </r>
      </text>
    </comment>
    <comment ref="H35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TH15Harvest = TH15Effort * TH15CPUE</t>
        </r>
      </text>
    </comment>
    <comment ref="F36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LB16harvest = LB16effort * LB16CPUE</t>
        </r>
      </text>
    </comment>
    <comment ref="F38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LB23Harvest = LB23Effort * LB23CPUE</t>
        </r>
      </text>
    </comment>
    <comment ref="H38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TH23Harvest = TH23Effort * TH23CPUE</t>
        </r>
      </text>
    </comment>
    <comment ref="H39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TH26Harvest = TH26Effort * TH26CPUE</t>
        </r>
      </text>
    </comment>
    <comment ref="F40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LB27Harvest = LB27Effort * LB27CPUE</t>
        </r>
      </text>
    </comment>
    <comment ref="F41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LB28Harvest = LB28Effort * LB28CPUE</t>
        </r>
      </text>
    </comment>
    <comment ref="F4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LB29Harvest = LB29Effort * LB29CPUE</t>
        </r>
      </text>
    </comment>
    <comment ref="H42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TH29Harvest = TH29Effort * TH29CPUE</t>
        </r>
      </text>
    </comment>
    <comment ref="F4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LB08Harvest = LB08Effort * LB08CPUE</t>
        </r>
      </text>
    </comment>
    <comment ref="H44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TH08Harvest = TH08Effort * TH08CPUE</t>
        </r>
      </text>
    </comment>
    <comment ref="F45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LB09Harvest = LB09Effort * LB09CPUE</t>
        </r>
      </text>
    </comment>
    <comment ref="F46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LB10Harvest = LB10Effort * LB10CPUE</t>
        </r>
      </text>
    </comment>
    <comment ref="H46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TH10Harvest = TH10Effort * TH10CPUE</t>
        </r>
      </text>
    </comment>
    <comment ref="F47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 (25ft swell)</t>
        </r>
      </text>
    </comment>
    <comment ref="H47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 (25ft swell)</t>
        </r>
      </text>
    </comment>
    <comment ref="J47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 (25ft swell)</t>
        </r>
      </text>
    </comment>
    <comment ref="F48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surf/wind (15ft swell / 40 knot gusts)</t>
        </r>
      </text>
    </comment>
    <comment ref="H48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surf/wind (15ft swell / 40 knot gusts)</t>
        </r>
      </text>
    </comment>
    <comment ref="L48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surf/wind (15ft swell / 40 knot gusts)</t>
        </r>
      </text>
    </comment>
    <comment ref="F49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F50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LB14Harvest = LB14Effort * LB14CPUE</t>
        </r>
      </text>
    </comment>
    <comment ref="L50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 xml:space="preserve">Blumenthal, Bryce W (DFW):
</t>
        </r>
        <r>
          <rPr>
            <sz val="9"/>
            <color indexed="81"/>
            <rFont val="Tahoma"/>
            <family val="2"/>
          </rPr>
          <t>M14Harvest = M14Effort * M14CPUE</t>
        </r>
      </text>
    </comment>
    <comment ref="F52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LB21Harvest = LB21Effort * LB21CPUE</t>
        </r>
      </text>
    </comment>
    <comment ref="F53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LB22Harvest = LB22Effort * LB22CPUE</t>
        </r>
      </text>
    </comment>
    <comment ref="H53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TH22Harvest = TH22Effort * TH22CPUE</t>
        </r>
      </text>
    </comment>
    <comment ref="F54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LB23Harvest = LB23Effort * LB23CPUE</t>
        </r>
      </text>
    </comment>
    <comment ref="H54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TH23Harvest = TH23Effort * TH23CPUE</t>
        </r>
      </text>
    </comment>
    <comment ref="F55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LB24Harvest = LB24Effort * LB24CPUE</t>
        </r>
      </text>
    </comment>
    <comment ref="F56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LB25Harvest = LB25Effort * LB25CPUE</t>
        </r>
      </text>
    </comment>
    <comment ref="F57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LB26Harvest = LB26Effort * LB26CPUE</t>
        </r>
      </text>
    </comment>
    <comment ref="H57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TH26Harvest = TH26Effort * TH26CPUE</t>
        </r>
      </text>
    </comment>
    <comment ref="F59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LB06Harvest = LB06Effort * LB06CPUE</t>
        </r>
      </text>
    </comment>
    <comment ref="H59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TH06Harvest = TH06Effort * TH06CPUE</t>
        </r>
      </text>
    </comment>
    <comment ref="F60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LB07Harvest = LB07Effort * LB07CPUE</t>
        </r>
      </text>
    </comment>
    <comment ref="H60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TH07Harvest = TH07Effort * TH07CPUE</t>
        </r>
      </text>
    </comment>
    <comment ref="F61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LB08Harvest = LB08Effort * LB08CPUE</t>
        </r>
      </text>
    </comment>
    <comment ref="H61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TH08Harvest = TH08Effort * TH08CPUE</t>
        </r>
      </text>
    </comment>
    <comment ref="F62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LB09Harvest = LB09Effort * LB09CPUE</t>
        </r>
      </text>
    </comment>
    <comment ref="H62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TH09Harvest = TH09Effort * TH09CPUE</t>
        </r>
      </text>
    </comment>
    <comment ref="F63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LB10Harvest = LB10Effort * LB10CPUE</t>
        </r>
      </text>
    </comment>
    <comment ref="H63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TH10Harvest = TH10Effort * TH10CPUE</t>
        </r>
      </text>
    </comment>
    <comment ref="F64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LB11Harvest = LB11Effort * LB11CPUE</t>
        </r>
      </text>
    </comment>
    <comment ref="F65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LB12Harvest = LB12Effort * LB12CPUE</t>
        </r>
      </text>
    </comment>
    <comment ref="F67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LB20Harvest = LB20Effort * LB20CPUE</t>
        </r>
      </text>
    </comment>
    <comment ref="F68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LB21Harvest = LB21Effort * LB21CPUE</t>
        </r>
      </text>
    </comment>
    <comment ref="F69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LB22Harvest = LB22Effort * LB22CPUE</t>
        </r>
      </text>
    </comment>
    <comment ref="F70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LB23Harvest = LB23Effort * LB23CPUE</t>
        </r>
      </text>
    </comment>
    <comment ref="H70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TH23Harvest = TH23Effort * TH23CPUE</t>
        </r>
      </text>
    </comment>
    <comment ref="F72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LB06Harvest = LB06Effort * LB06CPUE</t>
        </r>
      </text>
    </comment>
    <comment ref="F7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LB07Harvest = LB07Effort * LB07CPUE</t>
        </r>
      </text>
    </comment>
    <comment ref="H73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TH07Harvest = TH07Effort * TH07CPUE</t>
        </r>
      </text>
    </comment>
    <comment ref="F74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LB08Harvest = LB08Effort * LB08CPUE</t>
        </r>
      </text>
    </comment>
    <comment ref="H74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TH08Harvest = TH08Effort * TH08CPUE</t>
        </r>
      </text>
    </comment>
    <comment ref="F75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LB09Harvest = LB09Effort * LB09CPUE</t>
        </r>
      </text>
    </comment>
    <comment ref="H75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TH09Harvest = TH09Effort * TH09CPUE</t>
        </r>
      </text>
    </comment>
    <comment ref="F76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LB10Harvest = LB10Effort * LB10CPUE</t>
        </r>
      </text>
    </comment>
    <comment ref="H76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TH10Harvest = TH10Effort * TH10CPUE</t>
        </r>
      </text>
    </comment>
    <comment ref="F77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LB11Harvest = LB11Effort * LB11CPUE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 = (LB26*TH27)/TH26</t>
        </r>
      </text>
    </comment>
    <comment ref="F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 = (LB26*C28)/C26</t>
        </r>
      </text>
    </comment>
    <comment ref="H8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TH28=(TH26*C28)/C26</t>
        </r>
      </text>
    </comment>
    <comment ref="H9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TH29=(TH27*M29)/M27</t>
        </r>
      </text>
    </comment>
    <comment ref="F1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LB30=(LB26*C30)/C26</t>
        </r>
      </text>
    </comment>
    <comment ref="F1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LB31=(LB29*M31)/M29</t>
        </r>
      </text>
    </comment>
    <comment ref="H1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TH31=(TH27*M31)/M27</t>
        </r>
      </text>
    </comment>
    <comment ref="F1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 = (TH01*LB26)/TH26</t>
        </r>
      </text>
    </comment>
    <comment ref="F14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 = (LB15*C11)/C15</t>
        </r>
      </text>
    </comment>
    <comment ref="H14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TH11 = (TH15*C11)/C15</t>
        </r>
      </text>
    </comment>
    <comment ref="F1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 = (LB15*C13)/C15</t>
        </r>
      </text>
    </comment>
    <comment ref="H1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TH13 = (TH15*C13)/C15</t>
        </r>
      </text>
    </comment>
    <comment ref="F17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(LB12*M14)/M12</t>
        </r>
      </text>
    </comment>
    <comment ref="H17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 = (TH12*M14)/M12</t>
        </r>
      </text>
    </comment>
    <comment ref="H19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 = (TH15*LB16)/LB15</t>
        </r>
      </text>
    </comment>
    <comment ref="F20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 17 = (LB12*TH17)/TH12</t>
        </r>
      </text>
    </comment>
    <comment ref="H22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TH24=(TH30*C24)/C30</t>
        </r>
      </text>
    </comment>
    <comment ref="F23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LB25=TH25*LB30/TH30</t>
        </r>
      </text>
    </comment>
    <comment ref="F24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LB26=C26*LB24/C24</t>
        </r>
      </text>
    </comment>
    <comment ref="H24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TH26=C26*TH30/C30</t>
        </r>
      </text>
    </comment>
    <comment ref="F25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 = (LB24s/LB24n*LB27n) + LB27n</t>
        </r>
      </text>
    </comment>
    <comment ref="H25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TH27=M27*TH25/M25</t>
        </r>
      </text>
    </comment>
    <comment ref="F26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LB28=C28*LB24/C24</t>
        </r>
      </text>
    </comment>
    <comment ref="H26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TH28=C28*TH30/C30</t>
        </r>
      </text>
    </comment>
    <comment ref="F27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LB29=M29*LB27/M27</t>
        </r>
      </text>
    </comment>
    <comment ref="H27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TH29=M29*TH25/M25</t>
        </r>
      </text>
    </comment>
    <comment ref="F28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 = (LB24s/LB24n*LB30n) + LB30n</t>
        </r>
      </text>
    </comment>
    <comment ref="F30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 LB16*M10/M16</t>
        </r>
      </text>
    </comment>
    <comment ref="H30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 = TH16*M10/M16</t>
        </r>
      </text>
    </comment>
    <comment ref="F31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 = LB13*C11/C13</t>
        </r>
      </text>
    </comment>
    <comment ref="F32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 = LB16*M12/M16</t>
        </r>
      </text>
    </comment>
    <comment ref="H32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TH12 = TH16*M12/M16</t>
        </r>
      </text>
    </comment>
    <comment ref="F33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 = (LB24s/LB24n*LB13n) + LB13n</t>
        </r>
      </text>
    </comment>
    <comment ref="H33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TH13 = TH11*C13/C11</t>
        </r>
      </text>
    </comment>
    <comment ref="F34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LB16*M14/M16</t>
        </r>
      </text>
    </comment>
    <comment ref="H34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 = TH16*M14/M16</t>
        </r>
      </text>
    </comment>
    <comment ref="F35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 = LB13*C15/C13</t>
        </r>
      </text>
    </comment>
    <comment ref="H35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TH15 = TH11*C15/C11</t>
        </r>
      </text>
    </comment>
    <comment ref="F36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(LB24s/LB24n*LB16n) + LB16n</t>
        </r>
      </text>
    </comment>
    <comment ref="H38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 = TH27*M23/M27</t>
        </r>
      </text>
    </comment>
    <comment ref="H39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TH26 = TH28*C26/C28</t>
        </r>
      </text>
    </comment>
    <comment ref="F40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 = LB23*M27/M23</t>
        </r>
      </text>
    </comment>
    <comment ref="F42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 = LB23*M29/M23</t>
        </r>
      </text>
    </comment>
    <comment ref="H42" authorId="0" shapeId="0" xr:uid="{00000000-0006-0000-0100-00002C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TH29 = TH27*M29/M27</t>
        </r>
      </text>
    </comment>
    <comment ref="F44" authorId="0" shapeId="0" xr:uid="{00000000-0006-0000-0100-00002D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 = (LB26s/LB26n*LB08n) + LB08n</t>
        </r>
      </text>
    </comment>
    <comment ref="H44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TH08 = TH14/M14 * M08</t>
        </r>
      </text>
    </comment>
    <comment ref="F45" authorId="0" shapeId="0" xr:uid="{00000000-0006-0000-0100-00002F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 = (LB24s/LB24n*LB09n) + LB09n</t>
        </r>
      </text>
    </comment>
    <comment ref="F46" authorId="0" shapeId="0" xr:uid="{00000000-0006-0000-0100-000030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 LB08/M08 * M10</t>
        </r>
      </text>
    </comment>
    <comment ref="H46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 = TH14/M14 * M10</t>
        </r>
      </text>
    </comment>
    <comment ref="F47" authorId="0" shapeId="0" xr:uid="{00000000-0006-0000-0100-00003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 (25ft swell)</t>
        </r>
      </text>
    </comment>
    <comment ref="H47" authorId="0" shapeId="0" xr:uid="{00000000-0006-0000-0100-00003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 (25ft swell)</t>
        </r>
      </text>
    </comment>
    <comment ref="J47" authorId="0" shapeId="0" xr:uid="{00000000-0006-0000-0100-00003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 (25ft swell)</t>
        </r>
      </text>
    </comment>
    <comment ref="F48" authorId="0" shapeId="0" xr:uid="{00000000-0006-0000-0100-00003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surf/wind (15ft swell / 40 knot gusts)</t>
        </r>
      </text>
    </comment>
    <comment ref="H48" authorId="0" shapeId="0" xr:uid="{00000000-0006-0000-0100-00003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surf/wind (15ft swell / 40 knot gusts)</t>
        </r>
      </text>
    </comment>
    <comment ref="L48" authorId="0" shapeId="0" xr:uid="{00000000-0006-0000-0100-00003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surf/wind (15ft swell / 40 knot gusts)</t>
        </r>
      </text>
    </comment>
    <comment ref="F49" authorId="0" shapeId="0" xr:uid="{00000000-0006-0000-0100-00003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 = (LB24s/LB24n*LB13n) + LB13n</t>
        </r>
      </text>
    </comment>
    <comment ref="F50" authorId="0" shapeId="0" xr:uid="{00000000-0006-0000-0100-00003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LB08/M08 * M14</t>
        </r>
      </text>
    </comment>
    <comment ref="F52" authorId="0" shapeId="0" xr:uid="{00000000-0006-0000-0100-00003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 = (LBnov26s/LBnov26n * LB21n) + LB21n</t>
        </r>
      </text>
    </comment>
    <comment ref="F53" authorId="0" shapeId="0" xr:uid="{00000000-0006-0000-0100-00003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 = LB24/C24 * C22</t>
        </r>
      </text>
    </comment>
    <comment ref="H53" authorId="0" shapeId="0" xr:uid="{00000000-0006-0000-0100-00003C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TH22 = TH24/C24 * C22</t>
        </r>
      </text>
    </comment>
    <comment ref="F54" authorId="0" shapeId="0" xr:uid="{00000000-0006-0000-0100-00003D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 = LB25/M25 * M23</t>
        </r>
      </text>
    </comment>
    <comment ref="H54" authorId="0" shapeId="0" xr:uid="{00000000-0006-0000-0100-00003E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 = TH25/M25 * M23</t>
        </r>
      </text>
    </comment>
    <comment ref="F55" authorId="0" shapeId="0" xr:uid="{00000000-0006-0000-0100-00003F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 = (LBnov26s/LBnov26n * LB24n) + LB24n</t>
        </r>
      </text>
    </comment>
    <comment ref="F56" authorId="0" shapeId="0" xr:uid="{00000000-0006-0000-0100-000040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 = (LBnov26s/LBnov26n * LB25n) + LB25n</t>
        </r>
      </text>
    </comment>
    <comment ref="F57" authorId="0" shapeId="0" xr:uid="{00000000-0006-0000-0100-00004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 = LB24/C24 * C26</t>
        </r>
      </text>
    </comment>
    <comment ref="H57" authorId="0" shapeId="0" xr:uid="{00000000-0006-0000-0100-00004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TH26 = TH24/C24 * C26</t>
        </r>
      </text>
    </comment>
    <comment ref="F59" authorId="0" shapeId="0" xr:uid="{00000000-0006-0000-0100-00004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 = (LBnov26s/LBnov26n * LB06n) + LB06n</t>
        </r>
      </text>
    </comment>
    <comment ref="H59" authorId="0" shapeId="0" xr:uid="{00000000-0006-0000-0100-00004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TH06 =TH12/M12 * M06</t>
        </r>
      </text>
    </comment>
    <comment ref="F60" authorId="0" shapeId="0" xr:uid="{00000000-0006-0000-0100-00004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 = (LBnov26s/LBnov26n * LB07n) + LB07n</t>
        </r>
      </text>
    </comment>
    <comment ref="H60" authorId="0" shapeId="0" xr:uid="{00000000-0006-0000-0100-00004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TH07 = TH11/C11 * C07</t>
        </r>
      </text>
    </comment>
    <comment ref="F61" authorId="0" shapeId="0" xr:uid="{00000000-0006-0000-0100-00004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 =LB06/M06 * M08</t>
        </r>
      </text>
    </comment>
    <comment ref="H61" authorId="0" shapeId="0" xr:uid="{00000000-0006-0000-0100-00004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TH08 =TH12/M12 * M08</t>
        </r>
      </text>
    </comment>
    <comment ref="F62" authorId="0" shapeId="0" xr:uid="{00000000-0006-0000-0100-00004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 =LB07/C07 * C09</t>
        </r>
      </text>
    </comment>
    <comment ref="H62" authorId="0" shapeId="0" xr:uid="{00000000-0006-0000-0100-00004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TH09 = TH11/C11 * C09</t>
        </r>
      </text>
    </comment>
    <comment ref="F63" authorId="0" shapeId="0" xr:uid="{00000000-0006-0000-0100-00004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=LB06/M06 * M10</t>
        </r>
      </text>
    </comment>
    <comment ref="H63" authorId="0" shapeId="0" xr:uid="{00000000-0006-0000-0100-00004C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 =TH12/M12 * M10</t>
        </r>
      </text>
    </comment>
    <comment ref="F64" authorId="0" shapeId="0" xr:uid="{00000000-0006-0000-0100-00004D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 = (LBnov26s/LBnov26n * LB11n) + LB11n</t>
        </r>
      </text>
    </comment>
    <comment ref="F65" authorId="0" shapeId="0" xr:uid="{00000000-0006-0000-0100-00004E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 =LB06/M06 * M12</t>
        </r>
      </text>
    </comment>
    <comment ref="F67" authorId="0" shapeId="0" xr:uid="{00000000-0006-0000-0100-00004F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 = (LBnov26s/LBnov26n * LB20n) + LB20n</t>
        </r>
      </text>
    </comment>
    <comment ref="F68" authorId="0" shapeId="0" xr:uid="{00000000-0006-0000-0100-000050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 = (LBnov26s/LBnov26n * LB21n) + LB21n</t>
        </r>
      </text>
    </comment>
    <comment ref="F69" authorId="0" shapeId="0" xr:uid="{00000000-0006-0000-0100-00005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 =LB20/C20 * C22</t>
        </r>
      </text>
    </comment>
    <comment ref="F70" authorId="0" shapeId="0" xr:uid="{00000000-0006-0000-0100-00005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 =LB21/M21 * M23</t>
        </r>
      </text>
    </comment>
    <comment ref="H70" authorId="0" shapeId="0" xr:uid="{00000000-0006-0000-0100-00005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 =TH21/M21 * M23</t>
        </r>
      </text>
    </comment>
    <comment ref="F72" authorId="0" shapeId="0" xr:uid="{00000000-0006-0000-0100-00005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 = (LBnov26s/LBnov26n * LB06n) + LB06n</t>
        </r>
      </text>
    </comment>
    <comment ref="F73" authorId="0" shapeId="0" xr:uid="{00000000-0006-0000-0100-00005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 = (LBnov07s/LBnov07n * LB07n) + LB07n</t>
        </r>
      </text>
    </comment>
    <comment ref="H73" authorId="0" shapeId="0" xr:uid="{00000000-0006-0000-0100-00005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TH07 = TH11/C11 * C07</t>
        </r>
      </text>
    </comment>
    <comment ref="F74" authorId="0" shapeId="0" xr:uid="{00000000-0006-0000-0100-00005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 =LB06/M06 * M08</t>
        </r>
      </text>
    </comment>
    <comment ref="H74" authorId="0" shapeId="0" xr:uid="{00000000-0006-0000-0100-00005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TH08 =TH06/M06 * M08</t>
        </r>
      </text>
    </comment>
    <comment ref="F75" authorId="0" shapeId="0" xr:uid="{00000000-0006-0000-0100-00005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 = (LBnov09n/LBnov09s * LB09s) + LB09s</t>
        </r>
      </text>
    </comment>
    <comment ref="H75" authorId="0" shapeId="0" xr:uid="{00000000-0006-0000-0100-00005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TH09 = TH11/C11 * C09</t>
        </r>
      </text>
    </comment>
    <comment ref="F76" authorId="0" shapeId="0" xr:uid="{00000000-0006-0000-0100-00005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=LB06/M06 * M10</t>
        </r>
      </text>
    </comment>
    <comment ref="H76" authorId="0" shapeId="0" xr:uid="{00000000-0006-0000-0100-00005C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 =TH06/M06 * M10</t>
        </r>
      </text>
    </comment>
    <comment ref="F77" authorId="0" shapeId="0" xr:uid="{00000000-0006-0000-0100-00005D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 =LB07/C07 * C11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1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15 clams/digger</t>
        </r>
      </text>
    </comment>
    <comment ref="F1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15 clams/digger</t>
        </r>
      </text>
    </comment>
    <comment ref="H1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15 clams/digger</t>
        </r>
      </text>
    </comment>
    <comment ref="F16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15 clams/digger</t>
        </r>
      </text>
    </comment>
    <comment ref="F23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15 clams/digger</t>
        </r>
      </text>
    </comment>
    <comment ref="F2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15 clams/digger</t>
        </r>
      </text>
    </comment>
    <comment ref="F27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15 clams/digger</t>
        </r>
      </text>
    </comment>
    <comment ref="F35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15 clams/digger</t>
        </r>
      </text>
    </comment>
    <comment ref="H35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15 clams/digger</t>
        </r>
      </text>
    </comment>
    <comment ref="F38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15 clams/digger</t>
        </r>
      </text>
    </comment>
    <comment ref="H38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15 clams/digger</t>
        </r>
      </text>
    </comment>
    <comment ref="H39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10 clams/digger</t>
        </r>
      </text>
    </comment>
    <comment ref="F40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6.5 clams/digger</t>
        </r>
      </text>
    </comment>
    <comment ref="F4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the north beach CPUE value of 13.7 clams/digger to the whole beach</t>
        </r>
      </text>
    </comment>
    <comment ref="F42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13.4 clams/digger</t>
        </r>
      </text>
    </comment>
    <comment ref="H42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13.4 clams/digger</t>
        </r>
      </text>
    </comment>
    <comment ref="H44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CPUE of 15 clams per digger</t>
        </r>
      </text>
    </comment>
    <comment ref="F46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CPUE of 5.0 clams per digger</t>
        </r>
      </text>
    </comment>
    <comment ref="H46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CPUE of 5.0 clams per digger</t>
        </r>
      </text>
    </comment>
    <comment ref="F47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 (25ft swell)</t>
        </r>
      </text>
    </comment>
    <comment ref="H47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 (25ft swell)</t>
        </r>
      </text>
    </comment>
    <comment ref="J47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 (25ft swell)</t>
        </r>
      </text>
    </comment>
    <comment ref="F48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surf/wind (15ft swell / 40 knot gusts)</t>
        </r>
      </text>
    </comment>
    <comment ref="H48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surf/wind (15ft swell / 40 knot gusts)</t>
        </r>
      </text>
    </comment>
    <comment ref="L48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surf/wind (15ft swell / 40 knot gusts)</t>
        </r>
      </text>
    </comment>
    <comment ref="F49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 per digger</t>
        </r>
      </text>
    </comment>
    <comment ref="F50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 per digger</t>
        </r>
      </text>
    </comment>
    <comment ref="H50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 per digger</t>
        </r>
      </text>
    </comment>
    <comment ref="L50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 per digger</t>
        </r>
      </text>
    </comment>
    <comment ref="F52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11.1 clams per digger</t>
        </r>
      </text>
    </comment>
    <comment ref="F53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 clams per digger</t>
        </r>
      </text>
    </comment>
    <comment ref="H53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 clams per digger</t>
        </r>
      </text>
    </comment>
    <comment ref="F54" authorId="0" shapeId="0" xr:uid="{00000000-0006-0000-0200-00002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 clams per digger</t>
        </r>
      </text>
    </comment>
    <comment ref="H54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 clams per digger</t>
        </r>
      </text>
    </comment>
    <comment ref="F55" authorId="0" shapeId="0" xr:uid="{00000000-0006-0000-0200-00002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 clams per digger</t>
        </r>
      </text>
    </comment>
    <comment ref="F56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12.7 clams per digger</t>
        </r>
      </text>
    </comment>
    <comment ref="F57" authorId="0" shapeId="0" xr:uid="{00000000-0006-0000-0200-00002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 clams per digger</t>
        </r>
      </text>
    </comment>
    <comment ref="H57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 clams per digger</t>
        </r>
      </text>
    </comment>
    <comment ref="H59" authorId="0" shapeId="0" xr:uid="{00000000-0006-0000-0200-00002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 clams per digger</t>
        </r>
      </text>
    </comment>
    <comment ref="H60" authorId="0" shapeId="0" xr:uid="{00000000-0006-0000-0200-00002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 clams per digger</t>
        </r>
      </text>
    </comment>
    <comment ref="F61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13.5 clams per digger</t>
        </r>
      </text>
    </comment>
    <comment ref="H61" authorId="0" shapeId="0" xr:uid="{00000000-0006-0000-0200-00002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13.5 clams per digger</t>
        </r>
      </text>
    </comment>
    <comment ref="F62" authorId="0" shapeId="0" xr:uid="{00000000-0006-0000-0200-00002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 clams per digger</t>
        </r>
      </text>
    </comment>
    <comment ref="H62" authorId="0" shapeId="0" xr:uid="{00000000-0006-0000-0200-00002C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 clams per digger</t>
        </r>
      </text>
    </comment>
    <comment ref="F63" authorId="0" shapeId="0" xr:uid="{00000000-0006-0000-0200-00002D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 clams per digger</t>
        </r>
      </text>
    </comment>
    <comment ref="H63" authorId="0" shapeId="0" xr:uid="{00000000-0006-0000-0200-00002E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 clams per digger</t>
        </r>
      </text>
    </comment>
    <comment ref="F65" authorId="0" shapeId="0" xr:uid="{00000000-0006-0000-0200-00002F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 clams per digger</t>
        </r>
      </text>
    </comment>
    <comment ref="F69" authorId="0" shapeId="0" xr:uid="{00000000-0006-0000-0200-000030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 clams per digger</t>
        </r>
      </text>
    </comment>
    <comment ref="F70" authorId="0" shapeId="0" xr:uid="{00000000-0006-0000-0200-00003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 clams per digger</t>
        </r>
      </text>
    </comment>
    <comment ref="H70" authorId="0" shapeId="0" xr:uid="{00000000-0006-0000-0200-00003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 clams per digger</t>
        </r>
      </text>
    </comment>
    <comment ref="F72" authorId="0" shapeId="0" xr:uid="{00000000-0006-0000-0200-00003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 per digger</t>
        </r>
      </text>
    </comment>
    <comment ref="F73" authorId="0" shapeId="0" xr:uid="{00000000-0006-0000-0200-00003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 per digger</t>
        </r>
      </text>
    </comment>
    <comment ref="H73" authorId="0" shapeId="0" xr:uid="{00000000-0006-0000-0200-000035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 per digger</t>
        </r>
      </text>
    </comment>
    <comment ref="F74" authorId="0" shapeId="0" xr:uid="{00000000-0006-0000-0200-000036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 per digger</t>
        </r>
      </text>
    </comment>
    <comment ref="H74" authorId="0" shapeId="0" xr:uid="{00000000-0006-0000-0200-000037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 per digger</t>
        </r>
      </text>
    </comment>
    <comment ref="F75" authorId="0" shapeId="0" xr:uid="{00000000-0006-0000-0200-000038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 per digger</t>
        </r>
      </text>
    </comment>
    <comment ref="H75" authorId="0" shapeId="0" xr:uid="{00000000-0006-0000-0200-000039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 per digger</t>
        </r>
      </text>
    </comment>
    <comment ref="F76" authorId="0" shapeId="0" xr:uid="{00000000-0006-0000-0200-00003A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 per digger</t>
        </r>
      </text>
    </comment>
    <comment ref="H76" authorId="0" shapeId="0" xr:uid="{00000000-0006-0000-0200-00003B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 per digger</t>
        </r>
      </text>
    </comment>
    <comment ref="F77" authorId="0" shapeId="0" xr:uid="{00000000-0006-0000-0200-00003C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 clams per digger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  <author>Dan L. Ayres</author>
  </authors>
  <commentList>
    <comment ref="T4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 (25ft swell)</t>
        </r>
      </text>
    </comment>
    <comment ref="U4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 (25ft swell)</t>
        </r>
      </text>
    </comment>
    <comment ref="T5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surf/wind (15ft swell / 40 knot gusts)</t>
        </r>
      </text>
    </comment>
    <comment ref="U5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high surf/wind (15ft swell / 40 knot gusts)</t>
        </r>
      </text>
    </comment>
    <comment ref="O113" authorId="1" shapeId="0" xr:uid="{591117F9-9CE6-4079-918C-B8C83406B175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assuming 15 clams per person (to be conservative)</t>
        </r>
      </text>
    </comment>
    <comment ref="O115" authorId="1" shapeId="0" xr:uid="{1732EAF9-04AB-4047-8030-A2AC4CA4C38E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using average value per digger trip from Huppert and Dyeson 2007.</t>
        </r>
      </text>
    </comment>
    <comment ref="O117" authorId="1" shapeId="0" xr:uid="{A360983B-9B0C-46D9-B64E-AD0D007C6893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using average value per digger trip from Huppert and Dyeson 2007.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  <author>Deibert, John R (DFW)</author>
    <author>Ayres, Daniel L (DFW)</author>
  </authors>
  <commentList>
    <comment ref="G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H4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39% Exploitation rate.</t>
        </r>
      </text>
    </comment>
    <comment ref="G5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H5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40% Explotation rate.</t>
        </r>
      </text>
    </comment>
    <comment ref="G6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minus the agreed to 161,153 payback to QIN
37% exploitation rate</t>
        </r>
      </text>
    </comment>
    <comment ref="H6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minus agreed to payback of 161,153. QIN offered 250,000 clams from their share on May 1.</t>
        </r>
      </text>
    </comment>
    <comment ref="G7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H7" authorId="1" shapeId="0" xr:uid="{00000000-0006-0000-0500-000008000000}">
      <text>
        <r>
          <rPr>
            <b/>
            <sz val="9"/>
            <color indexed="81"/>
            <rFont val="Tahoma"/>
            <family val="2"/>
          </rPr>
          <t xml:space="preserve">Deibert, John R (DFW):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variable ER with a MAX of 35% as agreed to by WDFW and QIN in 2012.13 Interium Agreement.</t>
        </r>
      </text>
    </comment>
    <comment ref="G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25.4% exploitation rate</t>
        </r>
      </text>
    </comment>
    <comment ref="H8" authorId="1" shapeId="0" xr:uid="{00000000-0006-0000-0500-00000A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25% Exploitation rate.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 L. Ayres</author>
  </authors>
  <commentList>
    <comment ref="C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estimate based on Saturday count with very similar weather and surf conditions</t>
        </r>
      </text>
    </comment>
    <comment ref="D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estimate based on Saturday count with very similar weather and surf conditions</t>
        </r>
      </text>
    </comment>
    <comment ref="E5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estimate based on Saturday count with very similar weather and surf conditions</t>
        </r>
      </text>
    </comment>
  </commentList>
</comments>
</file>

<file path=xl/sharedStrings.xml><?xml version="1.0" encoding="utf-8"?>
<sst xmlns="http://schemas.openxmlformats.org/spreadsheetml/2006/main" count="1990" uniqueCount="87">
  <si>
    <t>Date</t>
  </si>
  <si>
    <t>Day</t>
  </si>
  <si>
    <t>Tide</t>
  </si>
  <si>
    <t>Time</t>
  </si>
  <si>
    <t>Longbeach</t>
  </si>
  <si>
    <t>Twin Harbors</t>
  </si>
  <si>
    <t>Copalis</t>
  </si>
  <si>
    <t>Mocrocks</t>
  </si>
  <si>
    <t>Kalaloch</t>
  </si>
  <si>
    <t>Daily Totals</t>
  </si>
  <si>
    <t>CLOSED</t>
  </si>
  <si>
    <t>ESTIMATED WASTAGE RATE:</t>
  </si>
  <si>
    <t>ESTIMATED TOTAL WASTAGE: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</si>
  <si>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</si>
  <si>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</si>
  <si>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</si>
  <si>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</si>
  <si>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** - No beach count. Used data from another day with similar conditions to estimate count.</t>
  </si>
  <si>
    <t>Fri</t>
  </si>
  <si>
    <t>Sat</t>
  </si>
  <si>
    <t>Sun</t>
  </si>
  <si>
    <t>Mon</t>
  </si>
  <si>
    <t>Tue</t>
  </si>
  <si>
    <t>Wed</t>
  </si>
  <si>
    <t>Thu</t>
  </si>
  <si>
    <t>SEASON TOTALS :</t>
  </si>
  <si>
    <t># - Tide is not low enough for decent digging opportunity</t>
  </si>
  <si>
    <t>September 27-30 Long Beach Recreational Harvest</t>
  </si>
  <si>
    <t>BeachName</t>
  </si>
  <si>
    <t>Effort</t>
  </si>
  <si>
    <t>Harvest</t>
  </si>
  <si>
    <t>CPUE</t>
  </si>
  <si>
    <t>EventID</t>
  </si>
  <si>
    <t>CorrectionFactor</t>
  </si>
  <si>
    <t>Average Length</t>
  </si>
  <si>
    <t>LongBeach</t>
  </si>
  <si>
    <t>Total</t>
  </si>
  <si>
    <t>LocationID</t>
  </si>
  <si>
    <t>NHoles</t>
  </si>
  <si>
    <t>NClams</t>
  </si>
  <si>
    <t>NMorts</t>
  </si>
  <si>
    <t>11200</t>
  </si>
  <si>
    <t>12400</t>
  </si>
  <si>
    <t>NON-TRIBAL TOTAL ALLOWABLE CATCH (TAC)</t>
  </si>
  <si>
    <t>2018-2019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</si>
  <si>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</si>
  <si>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</si>
  <si>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</si>
  <si>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</si>
  <si>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</si>
  <si>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</si>
  <si>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</si>
  <si>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</si>
  <si>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LONG BEACH</t>
  </si>
  <si>
    <t>TWIN HARBORS</t>
  </si>
  <si>
    <t>COPALIS</t>
  </si>
  <si>
    <t>MOCROCKS</t>
  </si>
  <si>
    <t>KALALOCH</t>
  </si>
  <si>
    <t>COASTWIDE TAC</t>
  </si>
  <si>
    <t>2019-2020</t>
  </si>
  <si>
    <t>DAILY TOTALS</t>
  </si>
  <si>
    <t>DATE</t>
  </si>
  <si>
    <t>DAY</t>
  </si>
  <si>
    <t>TIDE</t>
  </si>
  <si>
    <t>TIME</t>
  </si>
  <si>
    <t>Tide Series Totals</t>
  </si>
  <si>
    <t>**</t>
  </si>
  <si>
    <t xml:space="preserve">FALL 2019 - SPRING 2020 SEASON TOTALS: </t>
  </si>
  <si>
    <t>Fall 2019 / Spring 2020 Harvest Rate (clams/day):</t>
  </si>
  <si>
    <t>2019-2020 State (non-Indian) Recreational Razor Clam Effort, Harvest and CPUE totals.</t>
  </si>
  <si>
    <t>*</t>
  </si>
  <si>
    <t>12500</t>
  </si>
  <si>
    <t>32007</t>
  </si>
  <si>
    <t>41300</t>
  </si>
  <si>
    <t>42600</t>
  </si>
  <si>
    <t>41400</t>
  </si>
  <si>
    <t>22309</t>
  </si>
  <si>
    <t>21200</t>
  </si>
  <si>
    <t>SEASON SUBTOTALS:</t>
  </si>
  <si>
    <t>WASTAGE</t>
  </si>
  <si>
    <t>SEASON TOTALS:</t>
  </si>
  <si>
    <t>Size (mm)</t>
  </si>
  <si>
    <t>project total season effort</t>
  </si>
  <si>
    <t>actual effort thru March 11 after which seaspn closed due top COVID-19</t>
  </si>
  <si>
    <t xml:space="preserve">estimated economic value of season prior to closure </t>
  </si>
  <si>
    <t>estimated effort lost due to COVID-19 closure</t>
  </si>
  <si>
    <t xml:space="preserve">estimated lost economic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</si>
</sst>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ddd"/>
    <numFmt numFmtId="166" formatCode="0.0"/>
    <numFmt numFmtId="167" formatCode="[$-409]h:mm\ AM/PM;@"/>
    <numFmt numFmtId="168" formatCode="0.0%"/>
    <numFmt numFmtId="169" formatCode="dd\-mmm\-yy"/>
    <numFmt numFmtId="170" formatCode="#,##0.0"/>
    <numFmt numFmtId="171" formatCode="#,##0.0_);\(#,##0.0\)"/>
    <numFmt numFmtId="172" formatCode="_(&quot;$&quot;* #,##0_);_(&quot;$&quot;* \(#,##0\);_(&quot;$&quot;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2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i/>
      <sz val="10"/>
      <name val="Calibri"/>
      <family val="2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0"/>
      </bottom>
      <diagonal/>
    </border>
    <border>
      <left/>
      <right/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ck">
        <color indexed="0"/>
      </right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0"/>
      </right>
      <top/>
      <bottom style="thin">
        <color indexed="0"/>
      </bottom>
      <diagonal/>
    </border>
    <border>
      <left/>
      <right style="thick">
        <color indexed="0"/>
      </right>
      <top style="thin">
        <color indexed="0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4" fontId="1" fillId="0" borderId="0" applyFont="0" applyFill="0" applyBorder="0" applyAlignment="0" applyProtection="0"/>
  </cellStyleXfs>
  <cellXfs count="159">
    <xf numFmtId="0" fontId="0" fillId="0" borderId="0" xfId="0"/>
    <xf numFmtId="0" fontId="2" fillId="0" borderId="1" xfId="0" applyFont="1" applyBorder="1" applyAlignment="1">
      <alignment horizontal="center"/>
    </xf>
    <xf numFmtId="164" fontId="0" fillId="0" borderId="0" xfId="0" applyNumberFormat="1" applyBorder="1"/>
    <xf numFmtId="37" fontId="0" fillId="0" borderId="0" xfId="1" applyNumberFormat="1" applyFont="1" applyBorder="1" applyAlignment="1">
      <alignment horizontal="center"/>
    </xf>
    <xf numFmtId="164" fontId="0" fillId="0" borderId="0" xfId="0" applyNumberFormat="1" applyFill="1" applyBorder="1"/>
    <xf numFmtId="166" fontId="0" fillId="0" borderId="0" xfId="0" applyNumberFormat="1" applyAlignment="1">
      <alignment horizontal="center"/>
    </xf>
    <xf numFmtId="18" fontId="0" fillId="0" borderId="0" xfId="0" applyNumberFormat="1"/>
    <xf numFmtId="0" fontId="0" fillId="0" borderId="0" xfId="0" applyFill="1" applyAlignment="1">
      <alignment horizontal="right"/>
    </xf>
    <xf numFmtId="0" fontId="0" fillId="0" borderId="0" xfId="0" applyAlignment="1">
      <alignment horizontal="right"/>
    </xf>
    <xf numFmtId="37" fontId="0" fillId="0" borderId="0" xfId="0" applyNumberFormat="1"/>
    <xf numFmtId="165" fontId="0" fillId="0" borderId="0" xfId="0" applyNumberFormat="1" applyFill="1" applyBorder="1" applyAlignment="1">
      <alignment horizontal="center"/>
    </xf>
    <xf numFmtId="0" fontId="0" fillId="0" borderId="0" xfId="0" applyFill="1"/>
    <xf numFmtId="16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Alignment="1">
      <alignment horizontal="right"/>
    </xf>
    <xf numFmtId="3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Fill="1"/>
    <xf numFmtId="168" fontId="0" fillId="0" borderId="0" xfId="0" applyNumberFormat="1" applyFont="1" applyAlignment="1">
      <alignment horizontal="center"/>
    </xf>
    <xf numFmtId="0" fontId="4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167" fontId="2" fillId="0" borderId="1" xfId="0" applyNumberFormat="1" applyFont="1" applyBorder="1" applyAlignment="1">
      <alignment horizontal="center"/>
    </xf>
    <xf numFmtId="167" fontId="0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 applyFill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left"/>
    </xf>
    <xf numFmtId="164" fontId="3" fillId="0" borderId="0" xfId="0" applyNumberFormat="1" applyFont="1" applyBorder="1" applyAlignment="1"/>
    <xf numFmtId="164" fontId="4" fillId="0" borderId="0" xfId="0" applyNumberFormat="1" applyFont="1" applyBorder="1" applyAlignment="1">
      <alignment horizontal="left"/>
    </xf>
    <xf numFmtId="164" fontId="4" fillId="0" borderId="0" xfId="0" applyNumberFormat="1" applyFont="1" applyFill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7" fillId="2" borderId="2" xfId="3" applyFont="1" applyFill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0" fontId="7" fillId="2" borderId="4" xfId="3" applyFont="1" applyFill="1" applyBorder="1" applyAlignment="1">
      <alignment horizontal="center"/>
    </xf>
    <xf numFmtId="0" fontId="7" fillId="0" borderId="5" xfId="3" applyFont="1" applyFill="1" applyBorder="1" applyAlignment="1">
      <alignment wrapText="1"/>
    </xf>
    <xf numFmtId="169" fontId="7" fillId="0" borderId="5" xfId="3" applyNumberFormat="1" applyFont="1" applyFill="1" applyBorder="1" applyAlignment="1">
      <alignment horizontal="right" wrapText="1"/>
    </xf>
    <xf numFmtId="3" fontId="7" fillId="0" borderId="5" xfId="3" applyNumberFormat="1" applyFont="1" applyFill="1" applyBorder="1" applyAlignment="1">
      <alignment horizontal="right" wrapText="1"/>
    </xf>
    <xf numFmtId="170" fontId="7" fillId="0" borderId="5" xfId="3" applyNumberFormat="1" applyFont="1" applyFill="1" applyBorder="1" applyAlignment="1">
      <alignment horizontal="right" wrapText="1"/>
    </xf>
    <xf numFmtId="0" fontId="7" fillId="0" borderId="5" xfId="3" applyFont="1" applyFill="1" applyBorder="1" applyAlignment="1">
      <alignment horizontal="right" wrapText="1"/>
    </xf>
    <xf numFmtId="4" fontId="7" fillId="0" borderId="5" xfId="3" applyNumberFormat="1" applyFont="1" applyFill="1" applyBorder="1" applyAlignment="1">
      <alignment horizontal="right" wrapText="1"/>
    </xf>
    <xf numFmtId="4" fontId="7" fillId="0" borderId="6" xfId="3" applyNumberFormat="1" applyFont="1" applyFill="1" applyBorder="1" applyAlignment="1">
      <alignment horizontal="right" wrapText="1"/>
    </xf>
    <xf numFmtId="3" fontId="0" fillId="0" borderId="0" xfId="1" applyNumberFormat="1" applyFont="1"/>
    <xf numFmtId="170" fontId="0" fillId="0" borderId="0" xfId="1" applyNumberFormat="1" applyFont="1"/>
    <xf numFmtId="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7" fillId="2" borderId="2" xfId="4" applyFont="1" applyFill="1" applyBorder="1" applyAlignment="1">
      <alignment horizontal="center"/>
    </xf>
    <xf numFmtId="0" fontId="7" fillId="0" borderId="5" xfId="4" applyFont="1" applyFill="1" applyBorder="1" applyAlignment="1">
      <alignment horizontal="right" wrapText="1"/>
    </xf>
    <xf numFmtId="0" fontId="7" fillId="0" borderId="5" xfId="4" applyFont="1" applyFill="1" applyBorder="1" applyAlignment="1">
      <alignment wrapText="1"/>
    </xf>
    <xf numFmtId="10" fontId="0" fillId="0" borderId="0" xfId="0" applyNumberFormat="1"/>
    <xf numFmtId="0" fontId="0" fillId="0" borderId="0" xfId="0" applyAlignment="1"/>
    <xf numFmtId="0" fontId="0" fillId="0" borderId="7" xfId="0" applyBorder="1" applyAlignment="1"/>
    <xf numFmtId="3" fontId="0" fillId="0" borderId="8" xfId="0" applyNumberFormat="1" applyBorder="1" applyAlignment="1"/>
    <xf numFmtId="0" fontId="0" fillId="0" borderId="9" xfId="0" applyBorder="1" applyAlignment="1"/>
    <xf numFmtId="3" fontId="0" fillId="0" borderId="10" xfId="0" applyNumberFormat="1" applyBorder="1" applyAlignment="1"/>
    <xf numFmtId="3" fontId="0" fillId="3" borderId="10" xfId="0" applyNumberFormat="1" applyFill="1" applyBorder="1" applyAlignment="1"/>
    <xf numFmtId="3" fontId="10" fillId="3" borderId="0" xfId="0" applyNumberFormat="1" applyFont="1" applyFill="1" applyAlignment="1">
      <alignment horizontal="center"/>
    </xf>
    <xf numFmtId="0" fontId="0" fillId="0" borderId="11" xfId="0" applyBorder="1" applyAlignment="1"/>
    <xf numFmtId="3" fontId="0" fillId="0" borderId="12" xfId="0" applyNumberFormat="1" applyBorder="1" applyAlignment="1"/>
    <xf numFmtId="0" fontId="11" fillId="0" borderId="13" xfId="0" applyFont="1" applyBorder="1" applyAlignment="1"/>
    <xf numFmtId="3" fontId="0" fillId="0" borderId="14" xfId="0" applyNumberFormat="1" applyBorder="1" applyAlignment="1"/>
    <xf numFmtId="10" fontId="0" fillId="0" borderId="0" xfId="2" quotePrefix="1" applyNumberFormat="1" applyFont="1" applyAlignment="1">
      <alignment horizontal="center"/>
    </xf>
    <xf numFmtId="0" fontId="12" fillId="0" borderId="19" xfId="0" applyFont="1" applyBorder="1" applyAlignment="1"/>
    <xf numFmtId="0" fontId="12" fillId="0" borderId="20" xfId="0" applyFont="1" applyFill="1" applyBorder="1" applyAlignment="1"/>
    <xf numFmtId="0" fontId="12" fillId="0" borderId="19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3" fontId="12" fillId="0" borderId="19" xfId="0" applyNumberFormat="1" applyFont="1" applyFill="1" applyBorder="1" applyAlignment="1">
      <alignment horizontal="center"/>
    </xf>
    <xf numFmtId="16" fontId="12" fillId="0" borderId="0" xfId="0" applyNumberFormat="1" applyFont="1" applyBorder="1" applyAlignment="1">
      <alignment horizontal="center"/>
    </xf>
    <xf numFmtId="165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18" fontId="13" fillId="0" borderId="0" xfId="0" applyNumberFormat="1" applyFont="1" applyBorder="1" applyAlignment="1">
      <alignment horizontal="center"/>
    </xf>
    <xf numFmtId="3" fontId="12" fillId="0" borderId="24" xfId="0" applyNumberFormat="1" applyFont="1" applyFill="1" applyBorder="1" applyAlignment="1">
      <alignment horizontal="center"/>
    </xf>
    <xf numFmtId="3" fontId="12" fillId="0" borderId="0" xfId="0" applyNumberFormat="1" applyFont="1" applyBorder="1" applyAlignment="1">
      <alignment horizontal="center"/>
    </xf>
    <xf numFmtId="166" fontId="12" fillId="0" borderId="0" xfId="0" applyNumberFormat="1" applyFont="1" applyBorder="1" applyAlignment="1">
      <alignment horizontal="center"/>
    </xf>
    <xf numFmtId="166" fontId="12" fillId="0" borderId="25" xfId="0" applyNumberFormat="1" applyFont="1" applyFill="1" applyBorder="1" applyAlignment="1">
      <alignment horizontal="center"/>
    </xf>
    <xf numFmtId="3" fontId="12" fillId="0" borderId="19" xfId="0" applyNumberFormat="1" applyFont="1" applyBorder="1" applyAlignment="1"/>
    <xf numFmtId="3" fontId="12" fillId="0" borderId="23" xfId="0" applyNumberFormat="1" applyFont="1" applyFill="1" applyBorder="1" applyAlignment="1">
      <alignment horizontal="center"/>
    </xf>
    <xf numFmtId="3" fontId="14" fillId="0" borderId="28" xfId="0" applyNumberFormat="1" applyFont="1" applyFill="1" applyBorder="1" applyAlignment="1">
      <alignment horizontal="center"/>
    </xf>
    <xf numFmtId="3" fontId="14" fillId="0" borderId="26" xfId="0" applyNumberFormat="1" applyFont="1" applyFill="1" applyBorder="1" applyAlignment="1">
      <alignment horizontal="center"/>
    </xf>
    <xf numFmtId="166" fontId="14" fillId="0" borderId="26" xfId="0" applyNumberFormat="1" applyFont="1" applyFill="1" applyBorder="1" applyAlignment="1">
      <alignment horizontal="center"/>
    </xf>
    <xf numFmtId="171" fontId="0" fillId="0" borderId="0" xfId="0" applyNumberFormat="1" applyAlignment="1">
      <alignment horizontal="center"/>
    </xf>
    <xf numFmtId="3" fontId="0" fillId="0" borderId="0" xfId="0" applyNumberFormat="1" applyAlignment="1"/>
    <xf numFmtId="3" fontId="0" fillId="0" borderId="15" xfId="0" applyNumberFormat="1" applyBorder="1" applyAlignment="1"/>
    <xf numFmtId="3" fontId="0" fillId="0" borderId="16" xfId="0" applyNumberFormat="1" applyBorder="1" applyAlignment="1"/>
    <xf numFmtId="3" fontId="0" fillId="0" borderId="17" xfId="0" applyNumberFormat="1" applyBorder="1" applyAlignment="1"/>
    <xf numFmtId="3" fontId="15" fillId="0" borderId="18" xfId="0" applyNumberFormat="1" applyFont="1" applyBorder="1" applyAlignment="1"/>
    <xf numFmtId="0" fontId="0" fillId="0" borderId="0" xfId="0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7" fillId="2" borderId="2" xfId="5" applyFont="1" applyFill="1" applyBorder="1" applyAlignment="1">
      <alignment horizontal="center"/>
    </xf>
    <xf numFmtId="0" fontId="7" fillId="0" borderId="5" xfId="5" applyFont="1" applyFill="1" applyBorder="1" applyAlignment="1">
      <alignment horizontal="right" wrapText="1"/>
    </xf>
    <xf numFmtId="0" fontId="7" fillId="0" borderId="5" xfId="5" applyFont="1" applyFill="1" applyBorder="1" applyAlignment="1">
      <alignment wrapText="1"/>
    </xf>
    <xf numFmtId="16" fontId="14" fillId="0" borderId="20" xfId="0" applyNumberFormat="1" applyFont="1" applyFill="1" applyBorder="1" applyAlignment="1">
      <alignment horizontal="left"/>
    </xf>
    <xf numFmtId="0" fontId="14" fillId="0" borderId="20" xfId="0" applyFont="1" applyFill="1" applyBorder="1" applyAlignment="1"/>
    <xf numFmtId="3" fontId="14" fillId="0" borderId="20" xfId="0" applyNumberFormat="1" applyFont="1" applyFill="1" applyBorder="1" applyAlignment="1">
      <alignment horizontal="center"/>
    </xf>
    <xf numFmtId="166" fontId="14" fillId="0" borderId="20" xfId="0" applyNumberFormat="1" applyFont="1" applyFill="1" applyBorder="1" applyAlignment="1">
      <alignment horizontal="center"/>
    </xf>
    <xf numFmtId="16" fontId="14" fillId="0" borderId="0" xfId="0" applyNumberFormat="1" applyFont="1" applyFill="1" applyBorder="1" applyAlignment="1">
      <alignment horizontal="left"/>
    </xf>
    <xf numFmtId="0" fontId="14" fillId="0" borderId="0" xfId="0" applyFont="1" applyFill="1" applyBorder="1" applyAlignment="1"/>
    <xf numFmtId="3" fontId="14" fillId="0" borderId="0" xfId="0" applyNumberFormat="1" applyFont="1" applyFill="1" applyBorder="1" applyAlignment="1">
      <alignment horizontal="center"/>
    </xf>
    <xf numFmtId="166" fontId="14" fillId="0" borderId="0" xfId="0" applyNumberFormat="1" applyFont="1" applyFill="1" applyBorder="1" applyAlignment="1">
      <alignment horizontal="center"/>
    </xf>
    <xf numFmtId="16" fontId="14" fillId="0" borderId="30" xfId="0" applyNumberFormat="1" applyFont="1" applyFill="1" applyBorder="1" applyAlignment="1">
      <alignment horizontal="left"/>
    </xf>
    <xf numFmtId="0" fontId="14" fillId="0" borderId="31" xfId="0" applyFont="1" applyFill="1" applyBorder="1" applyAlignment="1"/>
    <xf numFmtId="3" fontId="14" fillId="0" borderId="31" xfId="0" applyNumberFormat="1" applyFont="1" applyFill="1" applyBorder="1" applyAlignment="1">
      <alignment horizontal="center"/>
    </xf>
    <xf numFmtId="166" fontId="14" fillId="0" borderId="31" xfId="0" applyNumberFormat="1" applyFont="1" applyFill="1" applyBorder="1" applyAlignment="1">
      <alignment horizontal="center"/>
    </xf>
    <xf numFmtId="3" fontId="14" fillId="0" borderId="32" xfId="0" applyNumberFormat="1" applyFont="1" applyFill="1" applyBorder="1" applyAlignment="1">
      <alignment horizontal="center"/>
    </xf>
    <xf numFmtId="0" fontId="17" fillId="0" borderId="33" xfId="0" applyFont="1" applyBorder="1" applyAlignment="1">
      <alignment horizontal="left"/>
    </xf>
    <xf numFmtId="0" fontId="14" fillId="0" borderId="1" xfId="0" applyFont="1" applyBorder="1" applyAlignment="1"/>
    <xf numFmtId="168" fontId="14" fillId="0" borderId="1" xfId="0" applyNumberFormat="1" applyFont="1" applyBorder="1" applyAlignment="1">
      <alignment horizontal="center"/>
    </xf>
    <xf numFmtId="0" fontId="14" fillId="0" borderId="34" xfId="0" applyFont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7" fillId="0" borderId="29" xfId="3" applyNumberFormat="1" applyFont="1" applyFill="1" applyBorder="1" applyAlignment="1">
      <alignment horizontal="center" wrapText="1"/>
    </xf>
    <xf numFmtId="3" fontId="7" fillId="0" borderId="0" xfId="3" applyNumberFormat="1" applyFont="1" applyFill="1" applyBorder="1" applyAlignment="1">
      <alignment horizontal="center" wrapText="1"/>
    </xf>
    <xf numFmtId="3" fontId="7" fillId="0" borderId="5" xfId="3" applyNumberFormat="1" applyFont="1" applyFill="1" applyBorder="1" applyAlignment="1">
      <alignment horizontal="center" wrapText="1"/>
    </xf>
    <xf numFmtId="3" fontId="0" fillId="0" borderId="0" xfId="0" applyNumberFormat="1" applyFill="1" applyAlignment="1">
      <alignment horizontal="center"/>
    </xf>
    <xf numFmtId="3" fontId="16" fillId="0" borderId="5" xfId="3" applyNumberFormat="1" applyFont="1" applyFill="1" applyBorder="1" applyAlignment="1">
      <alignment horizontal="center" wrapText="1"/>
    </xf>
    <xf numFmtId="3" fontId="0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66" fontId="12" fillId="0" borderId="0" xfId="0" applyNumberFormat="1" applyFont="1" applyFill="1" applyBorder="1" applyAlignment="1">
      <alignment horizontal="center"/>
    </xf>
    <xf numFmtId="166" fontId="12" fillId="0" borderId="20" xfId="0" applyNumberFormat="1" applyFont="1" applyFill="1" applyBorder="1" applyAlignment="1">
      <alignment horizontal="center"/>
    </xf>
    <xf numFmtId="166" fontId="12" fillId="0" borderId="35" xfId="0" applyNumberFormat="1" applyFont="1" applyFill="1" applyBorder="1" applyAlignment="1">
      <alignment horizontal="center"/>
    </xf>
    <xf numFmtId="166" fontId="12" fillId="0" borderId="36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19" fillId="0" borderId="5" xfId="3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7" fillId="0" borderId="6" xfId="5" applyFont="1" applyFill="1" applyBorder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" fontId="14" fillId="0" borderId="0" xfId="0" applyNumberFormat="1" applyFont="1" applyFill="1" applyBorder="1" applyAlignment="1">
      <alignment horizontal="center"/>
    </xf>
    <xf numFmtId="170" fontId="0" fillId="0" borderId="0" xfId="0" applyNumberFormat="1" applyAlignment="1">
      <alignment horizontal="center"/>
    </xf>
    <xf numFmtId="3" fontId="20" fillId="0" borderId="0" xfId="0" applyNumberFormat="1" applyFont="1" applyAlignment="1">
      <alignment horizontal="center"/>
    </xf>
    <xf numFmtId="0" fontId="20" fillId="0" borderId="0" xfId="0" applyFont="1" applyAlignment="1"/>
    <xf numFmtId="172" fontId="20" fillId="0" borderId="0" xfId="6" applyNumberFormat="1" applyFont="1" applyAlignment="1"/>
    <xf numFmtId="0" fontId="2" fillId="0" borderId="1" xfId="0" applyFont="1" applyBorder="1" applyAlignment="1">
      <alignment horizontal="center"/>
    </xf>
    <xf numFmtId="16" fontId="14" fillId="0" borderId="26" xfId="0" applyNumberFormat="1" applyFont="1" applyFill="1" applyBorder="1" applyAlignment="1">
      <alignment horizontal="center"/>
    </xf>
    <xf numFmtId="16" fontId="14" fillId="0" borderId="27" xfId="0" applyNumberFormat="1" applyFont="1" applyFill="1" applyBorder="1" applyAlignment="1">
      <alignment horizontal="center"/>
    </xf>
    <xf numFmtId="3" fontId="12" fillId="0" borderId="21" xfId="0" applyNumberFormat="1" applyFont="1" applyFill="1" applyBorder="1" applyAlignment="1">
      <alignment horizontal="center"/>
    </xf>
    <xf numFmtId="3" fontId="12" fillId="0" borderId="20" xfId="0" applyNumberFormat="1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16" fontId="12" fillId="0" borderId="21" xfId="0" applyNumberFormat="1" applyFont="1" applyFill="1" applyBorder="1" applyAlignment="1">
      <alignment horizontal="center"/>
    </xf>
    <xf numFmtId="16" fontId="12" fillId="0" borderId="20" xfId="0" applyNumberFormat="1" applyFont="1" applyFill="1" applyBorder="1" applyAlignment="1">
      <alignment horizontal="center"/>
    </xf>
    <xf numFmtId="16" fontId="12" fillId="0" borderId="2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7">
    <cellStyle name="Comma" xfId="1" builtinId="3"/>
    <cellStyle name="Currency" xfId="6" builtinId="4"/>
    <cellStyle name="Normal" xfId="0" builtinId="0"/>
    <cellStyle name="Normal_Copy Sheet" xfId="5" xr:uid="{00000000-0005-0000-0000-000002000000}"/>
    <cellStyle name="Normal_LB Wastage" xfId="4" xr:uid="{00000000-0005-0000-0000-000003000000}"/>
    <cellStyle name="Normal_Sheet1" xfId="3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19-20%20PROJE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2019-20 Projections.Actual"/>
      <sheetName val="State Proposal Oct.Nov.Dec"/>
      <sheetName val="Proposal Jan.Feb.20"/>
      <sheetName val="State Proposal Jan.Feb.20"/>
      <sheetName val="All beach Proposal Mar.Apr.20"/>
      <sheetName val="All beach May"/>
      <sheetName val="State Proposal May"/>
      <sheetName val="Sheet4"/>
    </sheetNames>
    <sheetDataSet>
      <sheetData sheetId="0">
        <row r="133">
          <cell r="Y133">
            <v>724461.05050720542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36"/>
  <sheetViews>
    <sheetView zoomScaleNormal="100" workbookViewId="0">
      <selection activeCell="Q2" sqref="Q2"/>
    </sheetView>
  </sheetViews>
  <sheetFormatPr defaultRowHeight="15" x14ac:dyDescent="0.25"/>
  <cols>
    <col min="1" max="1" width="18.7109375" style="22" customWidth="1"/>
    <col min="2" max="2" width="5.42578125" style="21" customWidth="1"/>
    <col min="3" max="3" width="7.7109375" style="21" customWidth="1"/>
    <col min="4" max="4" width="8.85546875" style="25" bestFit="1" customWidth="1"/>
    <col min="5" max="5" width="3.7109375" style="8" customWidth="1"/>
    <col min="6" max="6" width="12.7109375" style="115" customWidth="1"/>
    <col min="7" max="7" width="3.7109375" customWidth="1"/>
    <col min="8" max="8" width="12.7109375" style="115" customWidth="1"/>
    <col min="9" max="9" width="3.7109375" customWidth="1"/>
    <col min="10" max="10" width="12.7109375" style="115" customWidth="1"/>
    <col min="11" max="11" width="3.7109375" customWidth="1"/>
    <col min="12" max="12" width="12.7109375" style="115" customWidth="1"/>
    <col min="13" max="13" width="3.7109375" customWidth="1"/>
    <col min="14" max="14" width="12.7109375" style="21" customWidth="1"/>
    <col min="15" max="15" width="18.140625" style="115" bestFit="1" customWidth="1"/>
  </cols>
  <sheetData>
    <row r="1" spans="1:17" x14ac:dyDescent="0.25">
      <c r="A1" s="27" t="s">
        <v>0</v>
      </c>
      <c r="B1" s="1" t="s">
        <v>1</v>
      </c>
      <c r="C1" s="1" t="s">
        <v>2</v>
      </c>
      <c r="D1" s="23" t="s">
        <v>3</v>
      </c>
      <c r="E1" s="147" t="s">
        <v>4</v>
      </c>
      <c r="F1" s="147"/>
      <c r="G1" s="147" t="s">
        <v>5</v>
      </c>
      <c r="H1" s="147"/>
      <c r="I1" s="147" t="s">
        <v>6</v>
      </c>
      <c r="J1" s="147"/>
      <c r="K1" s="147" t="s">
        <v>7</v>
      </c>
      <c r="L1" s="147"/>
      <c r="M1" s="147" t="s">
        <v>8</v>
      </c>
      <c r="N1" s="147"/>
      <c r="O1" s="114" t="s">
        <v>9</v>
      </c>
    </row>
    <row r="2" spans="1:17" x14ac:dyDescent="0.25">
      <c r="A2" s="22">
        <v>43735</v>
      </c>
      <c r="B2" s="21" t="s">
        <v>18</v>
      </c>
      <c r="C2" s="21">
        <v>-0.9</v>
      </c>
      <c r="D2" s="25">
        <v>0.24444444444444446</v>
      </c>
      <c r="E2"/>
      <c r="F2" s="116">
        <v>31676.927190977636</v>
      </c>
      <c r="H2" s="115" t="s">
        <v>10</v>
      </c>
      <c r="J2" s="115" t="s">
        <v>10</v>
      </c>
      <c r="L2" s="115" t="s">
        <v>10</v>
      </c>
      <c r="N2" s="21" t="s">
        <v>10</v>
      </c>
      <c r="O2" s="115">
        <f>SUM(F2:N2)</f>
        <v>31676.927190977636</v>
      </c>
      <c r="Q2" s="48">
        <f>SUM(O2:O11)</f>
        <v>949774.57077612518</v>
      </c>
    </row>
    <row r="3" spans="1:17" x14ac:dyDescent="0.25">
      <c r="A3" s="22">
        <v>43736</v>
      </c>
      <c r="B3" s="21" t="s">
        <v>19</v>
      </c>
      <c r="C3" s="21">
        <v>-0.8</v>
      </c>
      <c r="D3" s="25">
        <v>0.27499999999999997</v>
      </c>
      <c r="E3"/>
      <c r="F3" s="117">
        <v>125073.22960993437</v>
      </c>
      <c r="H3" s="115" t="s">
        <v>10</v>
      </c>
      <c r="J3" s="115" t="s">
        <v>10</v>
      </c>
      <c r="L3" s="115" t="s">
        <v>10</v>
      </c>
      <c r="N3" s="21" t="s">
        <v>10</v>
      </c>
      <c r="O3" s="115">
        <f>SUM(F3:N3)</f>
        <v>125073.22960993437</v>
      </c>
    </row>
    <row r="4" spans="1:17" x14ac:dyDescent="0.25">
      <c r="A4" s="22">
        <v>43737</v>
      </c>
      <c r="B4" s="21" t="s">
        <v>20</v>
      </c>
      <c r="C4" s="21">
        <v>-0.6</v>
      </c>
      <c r="D4" s="25">
        <v>0.30486111111111108</v>
      </c>
      <c r="E4" t="s">
        <v>66</v>
      </c>
      <c r="F4" s="115">
        <v>120000</v>
      </c>
      <c r="H4" s="115" t="s">
        <v>10</v>
      </c>
      <c r="J4" s="115" t="s">
        <v>10</v>
      </c>
      <c r="L4" s="115" t="s">
        <v>10</v>
      </c>
      <c r="N4" s="21" t="s">
        <v>10</v>
      </c>
      <c r="O4" s="115">
        <f>SUM(F4:N4)</f>
        <v>120000</v>
      </c>
    </row>
    <row r="5" spans="1:17" x14ac:dyDescent="0.25">
      <c r="E5"/>
    </row>
    <row r="6" spans="1:17" x14ac:dyDescent="0.25">
      <c r="A6" s="22">
        <v>43764</v>
      </c>
      <c r="B6" s="21" t="s">
        <v>19</v>
      </c>
      <c r="C6" s="21">
        <v>0</v>
      </c>
      <c r="D6" s="25">
        <v>0.74930555555555556</v>
      </c>
      <c r="E6"/>
      <c r="F6" s="118">
        <v>117815.18</v>
      </c>
      <c r="H6" s="118">
        <v>54176.191517716317</v>
      </c>
      <c r="J6" s="118">
        <v>110223</v>
      </c>
      <c r="L6" s="115" t="s">
        <v>10</v>
      </c>
      <c r="N6" s="90" t="s">
        <v>10</v>
      </c>
      <c r="O6" s="115">
        <f>SUM(F6:N6)</f>
        <v>282214.37151771632</v>
      </c>
    </row>
    <row r="7" spans="1:17" x14ac:dyDescent="0.25">
      <c r="A7" s="22">
        <v>43765</v>
      </c>
      <c r="B7" s="21" t="s">
        <v>20</v>
      </c>
      <c r="C7" s="21">
        <v>-0.8</v>
      </c>
      <c r="D7" s="25">
        <v>0.78263888888888899</v>
      </c>
      <c r="E7" t="s">
        <v>70</v>
      </c>
      <c r="F7" s="118">
        <v>77972.214999999997</v>
      </c>
      <c r="H7" s="118">
        <v>35854.844644346493</v>
      </c>
      <c r="J7" s="115" t="s">
        <v>10</v>
      </c>
      <c r="L7" s="118">
        <v>73894.80229533973</v>
      </c>
      <c r="N7" s="90" t="s">
        <v>10</v>
      </c>
      <c r="O7" s="115">
        <f>SUM(F7:N7)</f>
        <v>187721.86193968623</v>
      </c>
    </row>
    <row r="8" spans="1:17" x14ac:dyDescent="0.25">
      <c r="A8" s="22">
        <v>43766</v>
      </c>
      <c r="B8" s="21" t="s">
        <v>21</v>
      </c>
      <c r="C8" s="21">
        <v>-1.2</v>
      </c>
      <c r="D8" s="25">
        <v>0.81458333333333333</v>
      </c>
      <c r="E8" t="s">
        <v>70</v>
      </c>
      <c r="F8" s="115">
        <f>(F6*J8)/J6</f>
        <v>46580.994937240932</v>
      </c>
      <c r="G8" t="s">
        <v>70</v>
      </c>
      <c r="H8" s="115">
        <f>(H6*J8)/J6</f>
        <v>21419.82809690346</v>
      </c>
      <c r="J8" s="120">
        <v>43579.248488755926</v>
      </c>
      <c r="L8" s="115" t="s">
        <v>10</v>
      </c>
      <c r="N8" s="112" t="s">
        <v>10</v>
      </c>
      <c r="O8" s="115">
        <f t="shared" ref="O8:O70" si="0">SUM(F8:N8)</f>
        <v>111580.07152290031</v>
      </c>
    </row>
    <row r="9" spans="1:17" x14ac:dyDescent="0.25">
      <c r="A9" s="22">
        <v>43767</v>
      </c>
      <c r="B9" s="21" t="s">
        <v>22</v>
      </c>
      <c r="C9" s="21">
        <v>-1.4</v>
      </c>
      <c r="D9" s="25">
        <v>0.84583333333333333</v>
      </c>
      <c r="E9"/>
      <c r="F9" s="115">
        <v>15327.074646732994</v>
      </c>
      <c r="G9" t="s">
        <v>70</v>
      </c>
      <c r="H9" s="115">
        <f>(H7*L9)/L7</f>
        <v>12453.92650125541</v>
      </c>
      <c r="J9" s="115" t="s">
        <v>10</v>
      </c>
      <c r="L9" s="120">
        <v>25666.836538812568</v>
      </c>
      <c r="N9" s="112" t="s">
        <v>10</v>
      </c>
      <c r="O9" s="115">
        <f t="shared" si="0"/>
        <v>53447.837686800973</v>
      </c>
    </row>
    <row r="10" spans="1:17" x14ac:dyDescent="0.25">
      <c r="A10" s="22">
        <v>43768</v>
      </c>
      <c r="B10" s="21" t="s">
        <v>23</v>
      </c>
      <c r="C10" s="21">
        <v>-1.2</v>
      </c>
      <c r="D10" s="25">
        <v>0.87708333333333333</v>
      </c>
      <c r="E10" t="s">
        <v>70</v>
      </c>
      <c r="F10" s="115">
        <f>(F6*J10)/J6</f>
        <v>12584.435822129952</v>
      </c>
      <c r="H10" s="120">
        <v>5270.8922382799919</v>
      </c>
      <c r="J10" s="120">
        <v>11773.476640468823</v>
      </c>
      <c r="L10" s="115" t="s">
        <v>10</v>
      </c>
      <c r="N10" s="112" t="s">
        <v>10</v>
      </c>
      <c r="O10" s="115">
        <f t="shared" si="0"/>
        <v>29628.804700878765</v>
      </c>
    </row>
    <row r="11" spans="1:17" x14ac:dyDescent="0.25">
      <c r="A11" s="22">
        <v>43769</v>
      </c>
      <c r="B11" s="21" t="s">
        <v>24</v>
      </c>
      <c r="C11" s="21">
        <v>-0.8</v>
      </c>
      <c r="D11" s="25">
        <v>0.90972222222222221</v>
      </c>
      <c r="E11" t="s">
        <v>70</v>
      </c>
      <c r="F11" s="115">
        <f>Effort!F11*CPUE!F11</f>
        <v>2408.0658059041693</v>
      </c>
      <c r="G11" t="s">
        <v>70</v>
      </c>
      <c r="H11" s="115">
        <f>(H7*L11)/L7</f>
        <v>1967.8250088665386</v>
      </c>
      <c r="J11" s="115" t="s">
        <v>10</v>
      </c>
      <c r="L11" s="120">
        <v>4055.5757924597856</v>
      </c>
      <c r="N11" s="112" t="s">
        <v>10</v>
      </c>
      <c r="O11" s="115">
        <f t="shared" si="0"/>
        <v>8431.4666072304935</v>
      </c>
    </row>
    <row r="12" spans="1:17" x14ac:dyDescent="0.25">
      <c r="A12" s="22">
        <v>43770</v>
      </c>
      <c r="B12" s="21" t="s">
        <v>18</v>
      </c>
      <c r="C12" s="21">
        <v>-0.2</v>
      </c>
      <c r="D12" s="25">
        <v>0.94305555555555554</v>
      </c>
      <c r="E12" t="s">
        <v>70</v>
      </c>
      <c r="F12" s="115">
        <f>(H12*F6)/H6</f>
        <v>10806.553497270295</v>
      </c>
      <c r="H12" s="120">
        <v>4969.2909853769488</v>
      </c>
      <c r="J12" s="120">
        <v>11172.494232268176</v>
      </c>
      <c r="L12" s="115" t="s">
        <v>10</v>
      </c>
      <c r="N12" s="112" t="s">
        <v>10</v>
      </c>
      <c r="O12" s="115">
        <f t="shared" si="0"/>
        <v>26948.338714915422</v>
      </c>
    </row>
    <row r="13" spans="1:17" x14ac:dyDescent="0.25">
      <c r="E13"/>
    </row>
    <row r="14" spans="1:17" x14ac:dyDescent="0.25">
      <c r="A14" s="22">
        <v>43780</v>
      </c>
      <c r="B14" s="21" t="s">
        <v>21</v>
      </c>
      <c r="C14" s="21">
        <v>0.1</v>
      </c>
      <c r="D14" s="25">
        <v>0.74375000000000002</v>
      </c>
      <c r="E14" t="s">
        <v>70</v>
      </c>
      <c r="F14" s="115">
        <f>Effort!F14*CPUE!F14</f>
        <v>15664.105330365102</v>
      </c>
      <c r="G14" t="s">
        <v>70</v>
      </c>
      <c r="H14" s="115">
        <f>Effort!H14*CPUE!H14</f>
        <v>16506.910334159886</v>
      </c>
      <c r="J14" s="118">
        <v>28212.40905960105</v>
      </c>
      <c r="L14" s="115" t="s">
        <v>10</v>
      </c>
      <c r="N14" s="21" t="s">
        <v>10</v>
      </c>
      <c r="O14" s="115">
        <f t="shared" si="0"/>
        <v>60383.424724126038</v>
      </c>
    </row>
    <row r="15" spans="1:17" x14ac:dyDescent="0.25">
      <c r="A15" s="22">
        <v>43781</v>
      </c>
      <c r="B15" s="21" t="s">
        <v>22</v>
      </c>
      <c r="C15" s="21">
        <v>-0.3</v>
      </c>
      <c r="D15" s="25">
        <v>0.76874999999999993</v>
      </c>
      <c r="E15"/>
      <c r="F15" s="115">
        <v>15998.2472</v>
      </c>
      <c r="H15" s="118">
        <v>10742.857630723211</v>
      </c>
      <c r="J15" s="115" t="s">
        <v>10</v>
      </c>
      <c r="L15" s="118">
        <v>13580.531899983574</v>
      </c>
      <c r="N15" s="113" t="s">
        <v>10</v>
      </c>
      <c r="O15" s="115">
        <f t="shared" si="0"/>
        <v>40321.636730706785</v>
      </c>
    </row>
    <row r="16" spans="1:17" x14ac:dyDescent="0.25">
      <c r="A16" s="22">
        <v>43782</v>
      </c>
      <c r="B16" s="21" t="s">
        <v>23</v>
      </c>
      <c r="C16" s="21">
        <v>-0.5</v>
      </c>
      <c r="D16" s="25">
        <v>0.79375000000000007</v>
      </c>
      <c r="E16" t="s">
        <v>70</v>
      </c>
      <c r="F16" s="115">
        <f>Effort!F16*CPUE!F16</f>
        <v>7056.6744470417716</v>
      </c>
      <c r="G16" t="s">
        <v>70</v>
      </c>
      <c r="H16" s="115">
        <f>(H18*J16)/J18</f>
        <v>7410.8119871252757</v>
      </c>
      <c r="J16" s="118">
        <v>12599.844516494655</v>
      </c>
      <c r="L16" s="115" t="s">
        <v>10</v>
      </c>
      <c r="N16" s="113" t="s">
        <v>10</v>
      </c>
      <c r="O16" s="115">
        <f t="shared" si="0"/>
        <v>27067.330950661701</v>
      </c>
    </row>
    <row r="17" spans="1:15" x14ac:dyDescent="0.25">
      <c r="A17" s="22">
        <v>43783</v>
      </c>
      <c r="B17" s="21" t="s">
        <v>24</v>
      </c>
      <c r="C17" s="21">
        <v>-0.6</v>
      </c>
      <c r="D17" s="25">
        <v>0.82013888888888886</v>
      </c>
      <c r="E17" t="s">
        <v>70</v>
      </c>
      <c r="F17" s="115">
        <f>(F15*L17)/L15</f>
        <v>9096.2589478162226</v>
      </c>
      <c r="G17" t="s">
        <v>70</v>
      </c>
      <c r="H17" s="115">
        <f>(H15*L17)/L15</f>
        <v>6108.1575766988899</v>
      </c>
      <c r="J17" s="115" t="s">
        <v>10</v>
      </c>
      <c r="L17" s="118">
        <v>7721.5980767773881</v>
      </c>
      <c r="N17" s="113" t="s">
        <v>10</v>
      </c>
      <c r="O17" s="115">
        <f t="shared" si="0"/>
        <v>22926.0146012925</v>
      </c>
    </row>
    <row r="18" spans="1:15" x14ac:dyDescent="0.25">
      <c r="A18" s="22">
        <v>43784</v>
      </c>
      <c r="B18" s="21" t="s">
        <v>18</v>
      </c>
      <c r="C18" s="21">
        <v>-0.5</v>
      </c>
      <c r="D18" s="25">
        <v>0.84861111111111109</v>
      </c>
      <c r="E18"/>
      <c r="F18" s="115">
        <v>12170.04</v>
      </c>
      <c r="H18" s="118">
        <v>12091.995907517579</v>
      </c>
      <c r="J18" s="118">
        <v>20558.782032724594</v>
      </c>
      <c r="L18" s="115" t="s">
        <v>10</v>
      </c>
      <c r="N18" s="113" t="s">
        <v>10</v>
      </c>
      <c r="O18" s="115">
        <f t="shared" si="0"/>
        <v>44820.817940242174</v>
      </c>
    </row>
    <row r="19" spans="1:15" x14ac:dyDescent="0.25">
      <c r="A19" s="22">
        <v>43785</v>
      </c>
      <c r="B19" s="21" t="s">
        <v>19</v>
      </c>
      <c r="C19" s="21">
        <v>-0.3</v>
      </c>
      <c r="D19" s="25">
        <v>0.88055555555555554</v>
      </c>
      <c r="E19"/>
      <c r="F19" s="115">
        <v>32936.784699999997</v>
      </c>
      <c r="G19" t="s">
        <v>70</v>
      </c>
      <c r="H19" s="115">
        <f>(H18*F19)/F18</f>
        <v>32725.56752477293</v>
      </c>
      <c r="J19" s="115" t="s">
        <v>10</v>
      </c>
      <c r="L19" s="118">
        <v>28091.085144903042</v>
      </c>
      <c r="N19" s="113" t="s">
        <v>10</v>
      </c>
      <c r="O19" s="115">
        <f t="shared" si="0"/>
        <v>93753.437369675972</v>
      </c>
    </row>
    <row r="20" spans="1:15" x14ac:dyDescent="0.25">
      <c r="A20" s="22">
        <v>43786</v>
      </c>
      <c r="B20" s="21" t="s">
        <v>20</v>
      </c>
      <c r="C20" s="21">
        <v>-0.1</v>
      </c>
      <c r="D20" s="25">
        <v>0.9159722222222223</v>
      </c>
      <c r="E20" t="s">
        <v>70</v>
      </c>
      <c r="F20" s="115">
        <f>(F15*H20)/H15</f>
        <v>2952.3663676403853</v>
      </c>
      <c r="H20" s="118">
        <v>1982.5204076916675</v>
      </c>
      <c r="J20" s="118">
        <v>4030.6379978395034</v>
      </c>
      <c r="L20" s="115" t="s">
        <v>10</v>
      </c>
      <c r="N20" s="113" t="s">
        <v>10</v>
      </c>
      <c r="O20" s="115">
        <f t="shared" si="0"/>
        <v>8965.5247731715572</v>
      </c>
    </row>
    <row r="21" spans="1:15" x14ac:dyDescent="0.25">
      <c r="E21"/>
    </row>
    <row r="22" spans="1:15" x14ac:dyDescent="0.25">
      <c r="A22" s="22">
        <v>43793</v>
      </c>
      <c r="B22" s="21" t="s">
        <v>20</v>
      </c>
      <c r="C22" s="21">
        <v>-0.4</v>
      </c>
      <c r="D22" s="25">
        <v>0.69930555555555562</v>
      </c>
      <c r="E22"/>
      <c r="F22" s="115">
        <v>43477.913800000002</v>
      </c>
      <c r="G22" t="s">
        <v>70</v>
      </c>
      <c r="H22" s="115">
        <f>(H28*J22)/J28</f>
        <v>15334.262093498108</v>
      </c>
      <c r="J22" s="115">
        <v>47202.433096529101</v>
      </c>
      <c r="L22" s="115" t="s">
        <v>10</v>
      </c>
      <c r="N22" s="21" t="s">
        <v>10</v>
      </c>
      <c r="O22" s="115">
        <f t="shared" si="0"/>
        <v>106014.60899002722</v>
      </c>
    </row>
    <row r="23" spans="1:15" x14ac:dyDescent="0.25">
      <c r="A23" s="22">
        <v>43794</v>
      </c>
      <c r="B23" s="21" t="s">
        <v>21</v>
      </c>
      <c r="C23" s="21">
        <v>-1</v>
      </c>
      <c r="D23" s="25">
        <v>0.7319444444444444</v>
      </c>
      <c r="E23" t="s">
        <v>70</v>
      </c>
      <c r="F23" s="115">
        <f>Effort!F23*CPUE!F23</f>
        <v>23228.68464815012</v>
      </c>
      <c r="H23" s="115">
        <v>13089.4209443368</v>
      </c>
      <c r="J23" s="115" t="s">
        <v>10</v>
      </c>
      <c r="L23" s="115">
        <v>17468.045372811401</v>
      </c>
      <c r="N23" s="127" t="s">
        <v>10</v>
      </c>
      <c r="O23" s="115">
        <f t="shared" si="0"/>
        <v>53786.150965298322</v>
      </c>
    </row>
    <row r="24" spans="1:15" x14ac:dyDescent="0.25">
      <c r="A24" s="22">
        <v>43795</v>
      </c>
      <c r="B24" s="21" t="s">
        <v>22</v>
      </c>
      <c r="C24" s="21">
        <v>-1.3</v>
      </c>
      <c r="D24" s="25">
        <v>0.76250000000000007</v>
      </c>
      <c r="E24" t="s">
        <v>70</v>
      </c>
      <c r="F24" s="115">
        <f>J24*F22/J22</f>
        <v>15759.551172453799</v>
      </c>
      <c r="G24" t="s">
        <v>70</v>
      </c>
      <c r="H24" s="115">
        <f>J24*H28/J28</f>
        <v>5558.2493968305798</v>
      </c>
      <c r="J24" s="115">
        <v>17109.58725552</v>
      </c>
      <c r="L24" s="115" t="s">
        <v>10</v>
      </c>
      <c r="N24" s="127" t="s">
        <v>10</v>
      </c>
      <c r="O24" s="115">
        <f t="shared" si="0"/>
        <v>38427.387824804377</v>
      </c>
    </row>
    <row r="25" spans="1:15" x14ac:dyDescent="0.25">
      <c r="A25" s="22">
        <v>43796</v>
      </c>
      <c r="B25" s="21" t="s">
        <v>23</v>
      </c>
      <c r="C25" s="21">
        <v>-1.4</v>
      </c>
      <c r="D25" s="25">
        <v>0.79305555555555562</v>
      </c>
      <c r="E25"/>
      <c r="F25" s="115">
        <f>Effort!F25*CPUE!F25</f>
        <v>18308.130514288863</v>
      </c>
      <c r="G25" t="s">
        <v>70</v>
      </c>
      <c r="H25" s="115">
        <f>L25*H23/L23</f>
        <v>5959.2595174477747</v>
      </c>
      <c r="J25" s="115" t="s">
        <v>10</v>
      </c>
      <c r="L25" s="115">
        <v>7952.7288549898603</v>
      </c>
      <c r="N25" s="127" t="s">
        <v>10</v>
      </c>
      <c r="O25" s="115">
        <f t="shared" si="0"/>
        <v>32220.118886726501</v>
      </c>
    </row>
    <row r="26" spans="1:15" x14ac:dyDescent="0.25">
      <c r="A26" s="22">
        <v>43797</v>
      </c>
      <c r="B26" s="21" t="s">
        <v>24</v>
      </c>
      <c r="C26" s="21">
        <v>-1.2</v>
      </c>
      <c r="D26" s="25">
        <v>0.8222222222222223</v>
      </c>
      <c r="E26" t="s">
        <v>70</v>
      </c>
      <c r="F26" s="115">
        <f>J26*F22/J22</f>
        <v>21810.001126699401</v>
      </c>
      <c r="G26" t="s">
        <v>70</v>
      </c>
      <c r="H26" s="115">
        <f>J26*H28/J28</f>
        <v>7692.1876949923408</v>
      </c>
      <c r="J26" s="115">
        <v>23678.346752190599</v>
      </c>
      <c r="L26" s="115" t="s">
        <v>10</v>
      </c>
      <c r="N26" s="127" t="s">
        <v>10</v>
      </c>
      <c r="O26" s="115">
        <f t="shared" si="0"/>
        <v>53180.535573882342</v>
      </c>
    </row>
    <row r="27" spans="1:15" x14ac:dyDescent="0.25">
      <c r="A27" s="22">
        <v>43798</v>
      </c>
      <c r="B27" s="21" t="s">
        <v>18</v>
      </c>
      <c r="C27" s="21">
        <v>-0.7</v>
      </c>
      <c r="D27" s="25">
        <v>0.8534722222222223</v>
      </c>
      <c r="E27" t="s">
        <v>70</v>
      </c>
      <c r="F27" s="115">
        <f>Effort!F27*CPUE!F27</f>
        <v>47767.470065295573</v>
      </c>
      <c r="G27" t="s">
        <v>70</v>
      </c>
      <c r="H27" s="115">
        <f>L27*H23/L23</f>
        <v>22722.738541349096</v>
      </c>
      <c r="J27" s="115" t="s">
        <v>10</v>
      </c>
      <c r="L27" s="115">
        <v>30323.864556174001</v>
      </c>
      <c r="N27" s="127" t="s">
        <v>10</v>
      </c>
      <c r="O27" s="115">
        <f t="shared" si="0"/>
        <v>100814.07316281866</v>
      </c>
    </row>
    <row r="28" spans="1:15" x14ac:dyDescent="0.25">
      <c r="A28" s="22">
        <v>43799</v>
      </c>
      <c r="B28" s="21" t="s">
        <v>19</v>
      </c>
      <c r="C28" s="21">
        <v>-0.2</v>
      </c>
      <c r="D28" s="25">
        <v>0.88194444444444453</v>
      </c>
      <c r="E28"/>
      <c r="F28" s="115">
        <f>(20428.9763/23048.9375*7380.9665)+7380.9665</f>
        <v>13922.942228798516</v>
      </c>
      <c r="H28" s="115">
        <v>6866.2069784122004</v>
      </c>
      <c r="J28" s="115">
        <v>21135.7855728086</v>
      </c>
      <c r="L28" s="115" t="s">
        <v>10</v>
      </c>
      <c r="N28" s="127" t="s">
        <v>10</v>
      </c>
      <c r="O28" s="115">
        <f t="shared" si="0"/>
        <v>41924.934780019321</v>
      </c>
    </row>
    <row r="29" spans="1:15" x14ac:dyDescent="0.25">
      <c r="E29"/>
    </row>
    <row r="30" spans="1:15" x14ac:dyDescent="0.25">
      <c r="A30" s="22">
        <v>43809</v>
      </c>
      <c r="B30" s="21" t="s">
        <v>22</v>
      </c>
      <c r="C30" s="21">
        <v>-0.2</v>
      </c>
      <c r="D30" s="25">
        <v>0.72777777777777775</v>
      </c>
      <c r="E30" t="s">
        <v>70</v>
      </c>
      <c r="F30" s="115">
        <f>F36*L30/L36</f>
        <v>5379.1866038337912</v>
      </c>
      <c r="G30" t="s">
        <v>70</v>
      </c>
      <c r="H30" s="115">
        <f>H36*L30/L36</f>
        <v>3919.7423975215538</v>
      </c>
      <c r="J30" s="115" t="s">
        <v>10</v>
      </c>
      <c r="L30" s="115">
        <v>5404.4748584214103</v>
      </c>
      <c r="N30" s="21" t="s">
        <v>10</v>
      </c>
      <c r="O30" s="115">
        <f t="shared" si="0"/>
        <v>14703.403859776756</v>
      </c>
    </row>
    <row r="31" spans="1:15" x14ac:dyDescent="0.25">
      <c r="A31" s="22">
        <v>43810</v>
      </c>
      <c r="B31" s="21" t="s">
        <v>23</v>
      </c>
      <c r="C31" s="21">
        <v>-0.6</v>
      </c>
      <c r="D31" s="25">
        <v>0.75416666666666676</v>
      </c>
      <c r="E31" t="s">
        <v>70</v>
      </c>
      <c r="F31" s="115">
        <f>F33*J31/J33</f>
        <v>634.71076648059011</v>
      </c>
      <c r="H31" s="115">
        <v>456.95823967519402</v>
      </c>
      <c r="J31" s="115">
        <v>2252.5950332911402</v>
      </c>
      <c r="L31" s="115" t="s">
        <v>10</v>
      </c>
      <c r="N31" s="128" t="s">
        <v>10</v>
      </c>
      <c r="O31" s="115">
        <f t="shared" si="0"/>
        <v>3344.2640394469245</v>
      </c>
    </row>
    <row r="32" spans="1:15" x14ac:dyDescent="0.25">
      <c r="A32" s="22">
        <v>43811</v>
      </c>
      <c r="B32" s="21" t="s">
        <v>24</v>
      </c>
      <c r="C32" s="21">
        <v>-0.9</v>
      </c>
      <c r="D32" s="25">
        <v>0.78125</v>
      </c>
      <c r="E32" t="s">
        <v>70</v>
      </c>
      <c r="F32" s="115">
        <f>F36*L32/L36</f>
        <v>248.96994057692311</v>
      </c>
      <c r="G32" t="s">
        <v>70</v>
      </c>
      <c r="H32" s="115">
        <f>H36*L32/L36</f>
        <v>181.42111506082659</v>
      </c>
      <c r="J32" s="115" t="s">
        <v>10</v>
      </c>
      <c r="L32" s="115">
        <v>250.140380590565</v>
      </c>
      <c r="N32" s="128" t="s">
        <v>10</v>
      </c>
      <c r="O32" s="115">
        <f t="shared" si="0"/>
        <v>680.53143622831465</v>
      </c>
    </row>
    <row r="33" spans="1:15" x14ac:dyDescent="0.25">
      <c r="A33" s="22">
        <v>43812</v>
      </c>
      <c r="B33" s="21" t="s">
        <v>18</v>
      </c>
      <c r="C33" s="21">
        <v>-1</v>
      </c>
      <c r="D33" s="25">
        <v>0.80972222222222223</v>
      </c>
      <c r="E33"/>
      <c r="F33" s="115">
        <v>4325.4539000000004</v>
      </c>
      <c r="G33" t="s">
        <v>70</v>
      </c>
      <c r="H33" s="115">
        <f>H31*J33/J31</f>
        <v>3114.0984276980075</v>
      </c>
      <c r="J33" s="115">
        <v>15351.0803446687</v>
      </c>
      <c r="L33" s="115" t="s">
        <v>10</v>
      </c>
      <c r="N33" s="128" t="s">
        <v>10</v>
      </c>
      <c r="O33" s="115">
        <f t="shared" si="0"/>
        <v>22790.632672366708</v>
      </c>
    </row>
    <row r="34" spans="1:15" x14ac:dyDescent="0.25">
      <c r="A34" s="22">
        <v>43813</v>
      </c>
      <c r="B34" s="21" t="s">
        <v>19</v>
      </c>
      <c r="C34" s="21">
        <v>-1</v>
      </c>
      <c r="D34" s="25">
        <v>0.83888888888888891</v>
      </c>
      <c r="E34" t="s">
        <v>70</v>
      </c>
      <c r="F34" s="115">
        <f>F36*L34/L36</f>
        <v>24947.95465579856</v>
      </c>
      <c r="G34" t="s">
        <v>70</v>
      </c>
      <c r="H34" s="115">
        <f>H36*L34/L36</f>
        <v>18179.24582242293</v>
      </c>
      <c r="J34" s="115" t="s">
        <v>10</v>
      </c>
      <c r="L34" s="115">
        <v>25065.238229550501</v>
      </c>
      <c r="N34" s="128" t="s">
        <v>10</v>
      </c>
      <c r="O34" s="115">
        <f t="shared" si="0"/>
        <v>68192.438707772002</v>
      </c>
    </row>
    <row r="35" spans="1:15" x14ac:dyDescent="0.25">
      <c r="A35" s="22">
        <v>43814</v>
      </c>
      <c r="B35" s="21" t="s">
        <v>20</v>
      </c>
      <c r="C35" s="21">
        <v>-0.8</v>
      </c>
      <c r="D35" s="25">
        <v>0.87013888888888891</v>
      </c>
      <c r="E35" t="s">
        <v>70</v>
      </c>
      <c r="F35" s="115">
        <f>Effort!F35*CPUE!F35</f>
        <v>3270.7566166974657</v>
      </c>
      <c r="G35" t="s">
        <v>70</v>
      </c>
      <c r="H35" s="115">
        <f>Effort!H35*CPUE!H35</f>
        <v>5017.5127654532916</v>
      </c>
      <c r="J35" s="115">
        <v>5744.6807442125901</v>
      </c>
      <c r="L35" s="115" t="s">
        <v>10</v>
      </c>
      <c r="N35" s="128" t="s">
        <v>10</v>
      </c>
      <c r="O35" s="115">
        <f t="shared" si="0"/>
        <v>14032.950126363346</v>
      </c>
    </row>
    <row r="36" spans="1:15" x14ac:dyDescent="0.25">
      <c r="A36" s="22">
        <v>43815</v>
      </c>
      <c r="B36" s="21" t="s">
        <v>21</v>
      </c>
      <c r="C36" s="21">
        <v>-0.4</v>
      </c>
      <c r="D36" s="25">
        <v>0.90347222222222223</v>
      </c>
      <c r="E36"/>
      <c r="F36" s="115">
        <v>1307.7209</v>
      </c>
      <c r="H36" s="115">
        <v>952.918988198281</v>
      </c>
      <c r="J36" s="115" t="s">
        <v>10</v>
      </c>
      <c r="L36" s="115">
        <v>1313.8686657282201</v>
      </c>
      <c r="N36" s="128" t="s">
        <v>10</v>
      </c>
      <c r="O36" s="115">
        <f t="shared" si="0"/>
        <v>3574.508553926501</v>
      </c>
    </row>
    <row r="37" spans="1:15" x14ac:dyDescent="0.25">
      <c r="E37"/>
    </row>
    <row r="38" spans="1:15" x14ac:dyDescent="0.25">
      <c r="A38" s="22">
        <v>43822</v>
      </c>
      <c r="B38" s="21" t="s">
        <v>21</v>
      </c>
      <c r="C38" s="21">
        <v>-0.4</v>
      </c>
      <c r="D38" s="25">
        <v>0.69097222222222221</v>
      </c>
      <c r="E38"/>
      <c r="F38" s="115">
        <f>Effort!F38*CPUE!F38</f>
        <v>24405.530037074521</v>
      </c>
      <c r="G38" t="s">
        <v>70</v>
      </c>
      <c r="H38" s="115">
        <f>Effort!H38*CPUE!H38</f>
        <v>9587.921563239961</v>
      </c>
      <c r="J38" s="115" t="s">
        <v>10</v>
      </c>
      <c r="L38" s="115">
        <v>18533.410306433601</v>
      </c>
      <c r="N38" s="21" t="s">
        <v>10</v>
      </c>
      <c r="O38" s="115">
        <f t="shared" si="0"/>
        <v>52526.861906748083</v>
      </c>
    </row>
    <row r="39" spans="1:15" x14ac:dyDescent="0.25">
      <c r="A39" s="22">
        <v>43825</v>
      </c>
      <c r="B39" s="21" t="s">
        <v>24</v>
      </c>
      <c r="C39" s="21">
        <v>-1.1000000000000001</v>
      </c>
      <c r="D39" s="25">
        <v>0.78263888888888899</v>
      </c>
      <c r="E39"/>
      <c r="F39" s="115">
        <f>9329.00426382607+8745.41065728367</f>
        <v>18074.414921109739</v>
      </c>
      <c r="G39" t="s">
        <v>70</v>
      </c>
      <c r="H39" s="115">
        <f>Effort!H39*CPUE!H39</f>
        <v>15869.08440397491</v>
      </c>
      <c r="J39" s="115">
        <v>16165.560597710401</v>
      </c>
      <c r="L39" s="115" t="s">
        <v>10</v>
      </c>
      <c r="N39" s="130" t="s">
        <v>10</v>
      </c>
      <c r="O39" s="115">
        <f t="shared" si="0"/>
        <v>50109.059922795044</v>
      </c>
    </row>
    <row r="40" spans="1:15" x14ac:dyDescent="0.25">
      <c r="A40" s="22">
        <v>43826</v>
      </c>
      <c r="B40" s="21" t="s">
        <v>18</v>
      </c>
      <c r="C40" s="21">
        <v>-0.9</v>
      </c>
      <c r="D40" s="25">
        <v>0.80972222222222223</v>
      </c>
      <c r="E40" t="s">
        <v>70</v>
      </c>
      <c r="F40" s="115">
        <f>Effort!F40*CPUE!F40</f>
        <v>16679.377408455515</v>
      </c>
      <c r="H40" s="115">
        <v>6581.1673837108901</v>
      </c>
      <c r="J40" s="115" t="s">
        <v>10</v>
      </c>
      <c r="L40" s="115">
        <v>5893.7111848096001</v>
      </c>
      <c r="N40" s="130" t="s">
        <v>10</v>
      </c>
      <c r="O40" s="115">
        <f t="shared" si="0"/>
        <v>29154.255976976005</v>
      </c>
    </row>
    <row r="41" spans="1:15" x14ac:dyDescent="0.25">
      <c r="A41" s="22">
        <v>43827</v>
      </c>
      <c r="B41" s="21" t="s">
        <v>19</v>
      </c>
      <c r="C41" s="21">
        <v>-0.6</v>
      </c>
      <c r="D41" s="25">
        <v>0.83680555555555547</v>
      </c>
      <c r="E41"/>
      <c r="F41" s="115">
        <f>Effort!F41*CPUE!F41</f>
        <v>14362.714879101819</v>
      </c>
      <c r="H41" s="115">
        <v>17672.727272727301</v>
      </c>
      <c r="J41" s="115">
        <v>13464.6670242484</v>
      </c>
      <c r="L41" s="115" t="s">
        <v>10</v>
      </c>
      <c r="N41" s="130" t="s">
        <v>10</v>
      </c>
      <c r="O41" s="115">
        <f t="shared" si="0"/>
        <v>45500.109176077516</v>
      </c>
    </row>
    <row r="42" spans="1:15" x14ac:dyDescent="0.25">
      <c r="A42" s="22">
        <v>43828</v>
      </c>
      <c r="B42" s="21" t="s">
        <v>20</v>
      </c>
      <c r="C42" s="21">
        <v>-0.2</v>
      </c>
      <c r="D42" s="25">
        <v>0.86319444444444438</v>
      </c>
      <c r="E42" t="s">
        <v>70</v>
      </c>
      <c r="F42" s="115">
        <f>Effort!F42*CPUE!F42</f>
        <v>9817.3993212511868</v>
      </c>
      <c r="G42" t="s">
        <v>70</v>
      </c>
      <c r="H42" s="115">
        <f>Effort!H42*CPUE!H42</f>
        <v>3856.8494314268432</v>
      </c>
      <c r="J42" s="115" t="s">
        <v>10</v>
      </c>
      <c r="L42" s="115">
        <v>7496.0188799994103</v>
      </c>
      <c r="N42" s="130" t="s">
        <v>10</v>
      </c>
      <c r="O42" s="115">
        <f t="shared" si="0"/>
        <v>21170.267632677438</v>
      </c>
    </row>
    <row r="43" spans="1:15" x14ac:dyDescent="0.25">
      <c r="B43" s="131"/>
      <c r="C43" s="131"/>
      <c r="E43"/>
      <c r="N43" s="131"/>
    </row>
    <row r="44" spans="1:15" x14ac:dyDescent="0.25">
      <c r="A44" s="22">
        <v>43838</v>
      </c>
      <c r="B44" s="131" t="s">
        <v>23</v>
      </c>
      <c r="C44" s="131">
        <v>-0.3</v>
      </c>
      <c r="D44" s="25">
        <v>0.71180555555555547</v>
      </c>
      <c r="E44"/>
      <c r="F44" s="115">
        <f>Effort!F44*CPUE!F44</f>
        <v>7459.6408063849767</v>
      </c>
      <c r="G44" t="s">
        <v>70</v>
      </c>
      <c r="H44" s="115">
        <f>Effort!H44*CPUE!H44</f>
        <v>3276.6859549211631</v>
      </c>
      <c r="J44" s="115" t="s">
        <v>10</v>
      </c>
      <c r="L44" s="115">
        <v>3715.9921858980001</v>
      </c>
      <c r="N44" s="131" t="s">
        <v>10</v>
      </c>
      <c r="O44" s="115">
        <f t="shared" si="0"/>
        <v>14452.318947204139</v>
      </c>
    </row>
    <row r="45" spans="1:15" x14ac:dyDescent="0.25">
      <c r="A45" s="22">
        <v>43839</v>
      </c>
      <c r="B45" s="131" t="s">
        <v>24</v>
      </c>
      <c r="C45" s="131">
        <v>-0.8</v>
      </c>
      <c r="D45" s="25">
        <v>0.74097222222222225</v>
      </c>
      <c r="E45"/>
      <c r="F45" s="115">
        <f>Effort!F45*CPUE!F45</f>
        <v>7588.9987394436648</v>
      </c>
      <c r="H45" s="115">
        <v>7781.3224330415796</v>
      </c>
      <c r="J45" s="115">
        <v>15414.3651281862</v>
      </c>
      <c r="L45" s="115" t="s">
        <v>10</v>
      </c>
      <c r="N45" s="134" t="s">
        <v>10</v>
      </c>
      <c r="O45" s="115">
        <f t="shared" si="0"/>
        <v>30784.686300671445</v>
      </c>
    </row>
    <row r="46" spans="1:15" x14ac:dyDescent="0.25">
      <c r="A46" s="22">
        <v>43840</v>
      </c>
      <c r="B46" s="131" t="s">
        <v>18</v>
      </c>
      <c r="C46" s="131">
        <v>-1.2</v>
      </c>
      <c r="D46" s="25">
        <v>0.77013888888888893</v>
      </c>
      <c r="E46" t="s">
        <v>70</v>
      </c>
      <c r="F46" s="115">
        <f>Effort!F46*CPUE!F46</f>
        <v>3763.4480105918233</v>
      </c>
      <c r="G46" t="s">
        <v>70</v>
      </c>
      <c r="H46" s="115">
        <f>Effort!H46*CPUE!H46</f>
        <v>1653.1140786064557</v>
      </c>
      <c r="J46" s="115" t="s">
        <v>10</v>
      </c>
      <c r="L46" s="115">
        <v>880.740780737877</v>
      </c>
      <c r="N46" s="134" t="s">
        <v>10</v>
      </c>
      <c r="O46" s="115">
        <f t="shared" si="0"/>
        <v>6297.3028699361557</v>
      </c>
    </row>
    <row r="47" spans="1:15" x14ac:dyDescent="0.25">
      <c r="A47" s="22">
        <v>43841</v>
      </c>
      <c r="B47" s="131" t="s">
        <v>19</v>
      </c>
      <c r="C47" s="131">
        <v>-1.4</v>
      </c>
      <c r="D47" s="25">
        <v>0.7993055555555556</v>
      </c>
      <c r="E47" t="s">
        <v>70</v>
      </c>
      <c r="F47" s="115">
        <v>0</v>
      </c>
      <c r="G47" t="s">
        <v>70</v>
      </c>
      <c r="H47" s="115">
        <v>0</v>
      </c>
      <c r="J47" s="115">
        <v>0</v>
      </c>
      <c r="L47" s="115" t="s">
        <v>10</v>
      </c>
      <c r="N47" s="134" t="s">
        <v>10</v>
      </c>
      <c r="O47" s="115">
        <f t="shared" si="0"/>
        <v>0</v>
      </c>
    </row>
    <row r="48" spans="1:15" x14ac:dyDescent="0.25">
      <c r="A48" s="22">
        <v>43842</v>
      </c>
      <c r="B48" s="131" t="s">
        <v>20</v>
      </c>
      <c r="C48" s="131">
        <v>-1.3</v>
      </c>
      <c r="D48" s="25">
        <v>0.82847222222222217</v>
      </c>
      <c r="E48" t="s">
        <v>70</v>
      </c>
      <c r="F48" s="115">
        <v>0</v>
      </c>
      <c r="G48" t="s">
        <v>70</v>
      </c>
      <c r="H48" s="115">
        <v>0</v>
      </c>
      <c r="J48" s="115" t="s">
        <v>10</v>
      </c>
      <c r="L48" s="115">
        <v>0</v>
      </c>
      <c r="N48" s="134" t="s">
        <v>10</v>
      </c>
      <c r="O48" s="115">
        <f t="shared" si="0"/>
        <v>0</v>
      </c>
    </row>
    <row r="49" spans="1:15" x14ac:dyDescent="0.25">
      <c r="A49" s="22">
        <v>43843</v>
      </c>
      <c r="B49" s="131" t="s">
        <v>21</v>
      </c>
      <c r="C49" s="131">
        <v>-1.2</v>
      </c>
      <c r="D49" s="25">
        <v>0.85833333333333339</v>
      </c>
      <c r="E49"/>
      <c r="F49" s="115">
        <f>Effort!F49*CPUE!F49</f>
        <v>754.00210110655314</v>
      </c>
      <c r="H49" s="115">
        <v>335.19553042861497</v>
      </c>
      <c r="J49" s="115">
        <v>1974.4058827932899</v>
      </c>
      <c r="L49" s="115" t="s">
        <v>10</v>
      </c>
      <c r="N49" s="134" t="s">
        <v>10</v>
      </c>
      <c r="O49" s="115">
        <f t="shared" si="0"/>
        <v>3063.603514328458</v>
      </c>
    </row>
    <row r="50" spans="1:15" x14ac:dyDescent="0.25">
      <c r="A50" s="22">
        <v>43844</v>
      </c>
      <c r="B50" s="131" t="s">
        <v>22</v>
      </c>
      <c r="C50" s="131">
        <v>-0.5</v>
      </c>
      <c r="D50" s="25">
        <v>0.88888888888888884</v>
      </c>
      <c r="E50" t="s">
        <v>70</v>
      </c>
      <c r="F50" s="115">
        <f>Effort!F50*CPUE!F50</f>
        <v>635.91646440509271</v>
      </c>
      <c r="H50" s="115">
        <v>279.329608690513</v>
      </c>
      <c r="J50" s="115" t="s">
        <v>10</v>
      </c>
      <c r="L50" s="136">
        <f>Effort!L50*CPUE!L50</f>
        <v>326.67876644563501</v>
      </c>
      <c r="N50" s="134" t="s">
        <v>10</v>
      </c>
      <c r="O50" s="115">
        <f t="shared" si="0"/>
        <v>1241.9248395412405</v>
      </c>
    </row>
    <row r="51" spans="1:15" x14ac:dyDescent="0.25">
      <c r="B51" s="131"/>
      <c r="C51" s="131"/>
      <c r="E51"/>
      <c r="N51" s="131"/>
    </row>
    <row r="52" spans="1:15" x14ac:dyDescent="0.25">
      <c r="A52" s="22">
        <v>43851</v>
      </c>
      <c r="B52" s="131" t="s">
        <v>22</v>
      </c>
      <c r="C52" s="131">
        <v>-0.1</v>
      </c>
      <c r="D52" s="25">
        <v>0.68263888888888891</v>
      </c>
      <c r="E52"/>
      <c r="F52" s="115">
        <f>Effort!F52*CPUE!F52</f>
        <v>4425.6798444262495</v>
      </c>
      <c r="H52" s="115">
        <v>686.03710330480396</v>
      </c>
      <c r="J52" s="115" t="s">
        <v>10</v>
      </c>
      <c r="L52" s="115">
        <v>1524.2929442237601</v>
      </c>
      <c r="N52" s="131" t="s">
        <v>10</v>
      </c>
      <c r="O52" s="115">
        <f t="shared" si="0"/>
        <v>6636.0098919548136</v>
      </c>
    </row>
    <row r="53" spans="1:15" x14ac:dyDescent="0.25">
      <c r="A53" s="22">
        <v>43852</v>
      </c>
      <c r="B53" s="132" t="s">
        <v>23</v>
      </c>
      <c r="C53" s="131">
        <v>-0.5</v>
      </c>
      <c r="D53" s="25">
        <v>0.71527777777777779</v>
      </c>
      <c r="E53" t="s">
        <v>70</v>
      </c>
      <c r="F53" s="115">
        <f>Effort!F53*CPUE!F53</f>
        <v>1371.3310845705485</v>
      </c>
      <c r="G53" t="s">
        <v>70</v>
      </c>
      <c r="H53" s="115">
        <f>Effort!H53*CPUE!H53</f>
        <v>707.97704595135997</v>
      </c>
      <c r="J53" s="115">
        <v>1243.20229257899</v>
      </c>
      <c r="L53" s="115" t="s">
        <v>10</v>
      </c>
      <c r="N53" s="135" t="s">
        <v>10</v>
      </c>
      <c r="O53" s="115">
        <f t="shared" si="0"/>
        <v>3322.5104231008982</v>
      </c>
    </row>
    <row r="54" spans="1:15" x14ac:dyDescent="0.25">
      <c r="A54" s="22">
        <v>43853</v>
      </c>
      <c r="B54" s="132" t="s">
        <v>24</v>
      </c>
      <c r="C54" s="131">
        <v>-0.6</v>
      </c>
      <c r="D54" s="25">
        <v>0.74513888888888891</v>
      </c>
      <c r="E54" t="s">
        <v>70</v>
      </c>
      <c r="F54" s="115">
        <f>Effort!F54*CPUE!F54</f>
        <v>89.801142623586784</v>
      </c>
      <c r="G54" t="s">
        <v>70</v>
      </c>
      <c r="H54" s="115">
        <f>Effort!H54*CPUE!H54</f>
        <v>55.143748773495048</v>
      </c>
      <c r="J54" s="115" t="s">
        <v>10</v>
      </c>
      <c r="L54" s="115">
        <v>30.476191860207699</v>
      </c>
      <c r="N54" s="135" t="s">
        <v>10</v>
      </c>
      <c r="O54" s="115">
        <f t="shared" si="0"/>
        <v>175.42108325728955</v>
      </c>
    </row>
    <row r="55" spans="1:15" x14ac:dyDescent="0.25">
      <c r="A55" s="22">
        <v>43854</v>
      </c>
      <c r="B55" s="132" t="s">
        <v>18</v>
      </c>
      <c r="C55" s="131">
        <v>-0.6</v>
      </c>
      <c r="D55" s="25">
        <v>0.77222222222222225</v>
      </c>
      <c r="E55"/>
      <c r="F55" s="115">
        <f>Effort!F55*CPUE!F55</f>
        <v>8140.9259204941263</v>
      </c>
      <c r="H55" s="115">
        <v>758.85974483657003</v>
      </c>
      <c r="J55" s="115">
        <v>5645.1609835339796</v>
      </c>
      <c r="L55" s="115" t="s">
        <v>10</v>
      </c>
      <c r="N55" s="135" t="s">
        <v>10</v>
      </c>
      <c r="O55" s="115">
        <f t="shared" si="0"/>
        <v>14544.946648864676</v>
      </c>
    </row>
    <row r="56" spans="1:15" x14ac:dyDescent="0.25">
      <c r="A56" s="22">
        <v>43855</v>
      </c>
      <c r="B56" s="132" t="s">
        <v>19</v>
      </c>
      <c r="C56" s="131">
        <v>-0.5</v>
      </c>
      <c r="D56" s="25">
        <v>0.79722222222222217</v>
      </c>
      <c r="E56"/>
      <c r="F56" s="115">
        <f>Effort!F56*CPUE!F56</f>
        <v>17899.196308856019</v>
      </c>
      <c r="H56" s="115">
        <v>3417.43567136707</v>
      </c>
      <c r="J56" s="115" t="s">
        <v>10</v>
      </c>
      <c r="L56" s="115">
        <v>8554.7576080814797</v>
      </c>
      <c r="N56" s="135" t="s">
        <v>10</v>
      </c>
      <c r="O56" s="115">
        <f t="shared" si="0"/>
        <v>29871.38958830457</v>
      </c>
    </row>
    <row r="57" spans="1:15" x14ac:dyDescent="0.25">
      <c r="A57" s="22">
        <v>43856</v>
      </c>
      <c r="B57" s="132" t="s">
        <v>20</v>
      </c>
      <c r="C57" s="131">
        <v>-0.3</v>
      </c>
      <c r="D57" s="25">
        <v>0.8208333333333333</v>
      </c>
      <c r="E57" t="s">
        <v>70</v>
      </c>
      <c r="F57" s="115">
        <f>Effort!F57*CPUE!F57</f>
        <v>1559.340886780959</v>
      </c>
      <c r="G57" t="s">
        <v>70</v>
      </c>
      <c r="H57" s="115">
        <f>Effort!H57*CPUE!H57</f>
        <v>805.04085926126538</v>
      </c>
      <c r="J57" s="115">
        <v>1488.3687088383899</v>
      </c>
      <c r="L57" s="115" t="s">
        <v>10</v>
      </c>
      <c r="N57" s="135" t="s">
        <v>10</v>
      </c>
      <c r="O57" s="115">
        <f t="shared" si="0"/>
        <v>3852.7504548806141</v>
      </c>
    </row>
    <row r="58" spans="1:15" x14ac:dyDescent="0.25">
      <c r="B58" s="132"/>
      <c r="C58" s="132"/>
      <c r="E58"/>
      <c r="N58" s="132"/>
    </row>
    <row r="59" spans="1:15" x14ac:dyDescent="0.25">
      <c r="A59" s="22">
        <v>43867</v>
      </c>
      <c r="B59" s="132" t="s">
        <v>24</v>
      </c>
      <c r="C59" s="132">
        <v>-0.3</v>
      </c>
      <c r="D59" s="25">
        <v>0.69444444444444453</v>
      </c>
      <c r="E59"/>
      <c r="F59" s="115">
        <f>Effort!F59*CPUE!F59</f>
        <v>5751.1084057601911</v>
      </c>
      <c r="G59" t="s">
        <v>70</v>
      </c>
      <c r="H59" s="115">
        <f>Effort!H59*CPUE!H59</f>
        <v>3467.1986100933041</v>
      </c>
      <c r="J59" s="115" t="s">
        <v>10</v>
      </c>
      <c r="L59" s="115">
        <v>2871.93290353251</v>
      </c>
      <c r="N59" s="132" t="s">
        <v>10</v>
      </c>
      <c r="O59" s="115">
        <f t="shared" si="0"/>
        <v>12090.239919386006</v>
      </c>
    </row>
    <row r="60" spans="1:15" x14ac:dyDescent="0.25">
      <c r="A60" s="22">
        <v>43868</v>
      </c>
      <c r="B60" s="132" t="s">
        <v>18</v>
      </c>
      <c r="C60" s="132">
        <v>-0.9</v>
      </c>
      <c r="D60" s="25">
        <v>0.72638888888888886</v>
      </c>
      <c r="E60"/>
      <c r="F60" s="115">
        <f>Effort!F60*CPUE!F60</f>
        <v>17469.962157082358</v>
      </c>
      <c r="G60" t="s">
        <v>70</v>
      </c>
      <c r="H60" s="115">
        <f>Effort!H60*CPUE!H60</f>
        <v>6925.3805321285836</v>
      </c>
      <c r="J60" s="115">
        <v>12744.6047314646</v>
      </c>
      <c r="L60" s="115" t="s">
        <v>10</v>
      </c>
      <c r="N60" s="137" t="s">
        <v>10</v>
      </c>
      <c r="O60" s="115">
        <f t="shared" si="0"/>
        <v>37139.94742067554</v>
      </c>
    </row>
    <row r="61" spans="1:15" x14ac:dyDescent="0.25">
      <c r="A61" s="22">
        <v>43869</v>
      </c>
      <c r="B61" s="132" t="s">
        <v>19</v>
      </c>
      <c r="C61" s="132">
        <v>-1.3</v>
      </c>
      <c r="D61" s="25">
        <v>0.75624999999999998</v>
      </c>
      <c r="E61" t="s">
        <v>70</v>
      </c>
      <c r="F61" s="115">
        <f>Effort!F61*CPUE!F61</f>
        <v>101207.28378322549</v>
      </c>
      <c r="G61" t="s">
        <v>70</v>
      </c>
      <c r="H61" s="115">
        <f>Effort!H61*CPUE!H61</f>
        <v>63362.069203996114</v>
      </c>
      <c r="J61" s="115" t="s">
        <v>10</v>
      </c>
      <c r="L61" s="115">
        <v>53317.511401290401</v>
      </c>
      <c r="N61" s="137" t="s">
        <v>10</v>
      </c>
      <c r="O61" s="115">
        <f t="shared" si="0"/>
        <v>217886.86438851201</v>
      </c>
    </row>
    <row r="62" spans="1:15" x14ac:dyDescent="0.25">
      <c r="A62" s="22">
        <v>43870</v>
      </c>
      <c r="B62" s="132" t="s">
        <v>20</v>
      </c>
      <c r="C62" s="132">
        <v>-1.4</v>
      </c>
      <c r="D62" s="25">
        <v>0.78541666666666676</v>
      </c>
      <c r="E62" t="s">
        <v>70</v>
      </c>
      <c r="F62" s="115">
        <f>Effort!F62*CPUE!F62</f>
        <v>64040.046564129399</v>
      </c>
      <c r="G62" t="s">
        <v>70</v>
      </c>
      <c r="H62" s="115">
        <f>Effort!H62*CPUE!H62</f>
        <v>24511.130941041331</v>
      </c>
      <c r="J62" s="115">
        <v>45677.353668223099</v>
      </c>
      <c r="L62" s="115" t="s">
        <v>10</v>
      </c>
      <c r="N62" s="137" t="s">
        <v>10</v>
      </c>
      <c r="O62" s="115">
        <f t="shared" si="0"/>
        <v>134228.53117339383</v>
      </c>
    </row>
    <row r="63" spans="1:15" x14ac:dyDescent="0.25">
      <c r="A63" s="22">
        <v>43871</v>
      </c>
      <c r="B63" s="132" t="s">
        <v>21</v>
      </c>
      <c r="C63" s="132">
        <v>-1.3</v>
      </c>
      <c r="D63" s="25">
        <v>0.81388888888888899</v>
      </c>
      <c r="E63" t="s">
        <v>70</v>
      </c>
      <c r="F63" s="115">
        <f>Effort!F63*CPUE!F63</f>
        <v>13716.167032116886</v>
      </c>
      <c r="G63" t="s">
        <v>70</v>
      </c>
      <c r="H63" s="115">
        <f>Effort!H63*CPUE!H63</f>
        <v>8587.1756677517496</v>
      </c>
      <c r="J63" s="115" t="s">
        <v>10</v>
      </c>
      <c r="L63" s="115">
        <v>8669.09092212426</v>
      </c>
      <c r="N63" s="137" t="s">
        <v>10</v>
      </c>
      <c r="O63" s="115">
        <f t="shared" si="0"/>
        <v>30972.433621992895</v>
      </c>
    </row>
    <row r="64" spans="1:15" x14ac:dyDescent="0.25">
      <c r="A64" s="22">
        <v>43872</v>
      </c>
      <c r="B64" s="132" t="s">
        <v>22</v>
      </c>
      <c r="C64" s="132">
        <v>-0.8</v>
      </c>
      <c r="D64" s="25">
        <v>0.84236111111111101</v>
      </c>
      <c r="E64"/>
      <c r="F64" s="115">
        <f>Effort!F64*CPUE!F64</f>
        <v>1090.595959081093</v>
      </c>
      <c r="H64" s="115">
        <v>1648.8889637699899</v>
      </c>
      <c r="J64" s="115">
        <v>4507.9007556430097</v>
      </c>
      <c r="L64" s="115" t="s">
        <v>10</v>
      </c>
      <c r="N64" s="137" t="s">
        <v>10</v>
      </c>
      <c r="O64" s="115">
        <f t="shared" si="0"/>
        <v>7247.3856784940926</v>
      </c>
    </row>
    <row r="65" spans="1:15" x14ac:dyDescent="0.25">
      <c r="A65" s="22">
        <v>43873</v>
      </c>
      <c r="B65" s="132" t="s">
        <v>23</v>
      </c>
      <c r="C65" s="132">
        <v>-0.1</v>
      </c>
      <c r="D65" s="25">
        <v>0.87152777777777779</v>
      </c>
      <c r="E65" t="s">
        <v>70</v>
      </c>
      <c r="F65" s="115">
        <f>Effort!F65*CPUE!F65</f>
        <v>1928.1512866097228</v>
      </c>
      <c r="H65" s="115">
        <v>1383.57149140365</v>
      </c>
      <c r="J65" s="115" t="s">
        <v>10</v>
      </c>
      <c r="L65" s="115">
        <v>869.00959071658303</v>
      </c>
      <c r="N65" s="137" t="s">
        <v>10</v>
      </c>
      <c r="O65" s="115">
        <f t="shared" si="0"/>
        <v>4180.7323687299559</v>
      </c>
    </row>
    <row r="66" spans="1:15" x14ac:dyDescent="0.25">
      <c r="B66" s="132"/>
      <c r="C66" s="132"/>
      <c r="E66"/>
      <c r="N66" s="132"/>
    </row>
    <row r="67" spans="1:15" x14ac:dyDescent="0.25">
      <c r="A67" s="22">
        <v>43881</v>
      </c>
      <c r="B67" s="132" t="s">
        <v>24</v>
      </c>
      <c r="C67" s="132">
        <v>0</v>
      </c>
      <c r="D67" s="25">
        <v>0.70416666666666661</v>
      </c>
      <c r="E67"/>
      <c r="F67" s="115">
        <f>Effort!F67*CPUE!F67</f>
        <v>21470.243842084252</v>
      </c>
      <c r="H67" s="115">
        <v>19553.629826230099</v>
      </c>
      <c r="J67" s="115">
        <v>28747.0460761094</v>
      </c>
      <c r="L67" s="115" t="s">
        <v>10</v>
      </c>
      <c r="N67" s="132" t="s">
        <v>10</v>
      </c>
      <c r="O67" s="115">
        <f t="shared" si="0"/>
        <v>69770.919744423751</v>
      </c>
    </row>
    <row r="68" spans="1:15" x14ac:dyDescent="0.25">
      <c r="A68" s="22">
        <v>43882</v>
      </c>
      <c r="B68" s="132" t="s">
        <v>18</v>
      </c>
      <c r="C68" s="132">
        <v>-0.1</v>
      </c>
      <c r="D68" s="25">
        <v>0.73263888888888884</v>
      </c>
      <c r="E68"/>
      <c r="F68" s="115">
        <f>Effort!F68*CPUE!F68</f>
        <v>28291.135632002366</v>
      </c>
      <c r="H68" s="115">
        <v>20335.1544081346</v>
      </c>
      <c r="J68" s="115" t="s">
        <v>10</v>
      </c>
      <c r="L68" s="115">
        <v>26877.229419469601</v>
      </c>
      <c r="N68" s="138" t="s">
        <v>10</v>
      </c>
      <c r="O68" s="115">
        <f t="shared" si="0"/>
        <v>75503.51945960657</v>
      </c>
    </row>
    <row r="69" spans="1:15" x14ac:dyDescent="0.25">
      <c r="A69" s="22">
        <v>43883</v>
      </c>
      <c r="B69" s="132" t="s">
        <v>19</v>
      </c>
      <c r="C69" s="132">
        <v>-0.2</v>
      </c>
      <c r="D69" s="25">
        <v>0.75763888888888886</v>
      </c>
      <c r="E69" t="s">
        <v>70</v>
      </c>
      <c r="F69" s="115">
        <f>Effort!F69*CPUE!F69</f>
        <v>39620.179156014208</v>
      </c>
      <c r="H69" s="115">
        <v>25238.051168036702</v>
      </c>
      <c r="J69" s="115">
        <v>55562.365727725301</v>
      </c>
      <c r="L69" s="115" t="s">
        <v>10</v>
      </c>
      <c r="N69" s="138" t="s">
        <v>10</v>
      </c>
      <c r="O69" s="115">
        <f t="shared" si="0"/>
        <v>120420.5960517762</v>
      </c>
    </row>
    <row r="70" spans="1:15" x14ac:dyDescent="0.25">
      <c r="A70" s="22">
        <v>43884</v>
      </c>
      <c r="B70" s="132" t="s">
        <v>20</v>
      </c>
      <c r="C70" s="132">
        <v>-0.1</v>
      </c>
      <c r="D70" s="25">
        <v>0.78055555555555556</v>
      </c>
      <c r="E70" t="s">
        <v>70</v>
      </c>
      <c r="F70" s="115">
        <f>Effort!F70*CPUE!F70</f>
        <v>431.34839914922111</v>
      </c>
      <c r="G70" t="s">
        <v>70</v>
      </c>
      <c r="H70" s="115">
        <f>Effort!H70*CPUE!H70</f>
        <v>310.04539423574505</v>
      </c>
      <c r="J70" s="115" t="s">
        <v>10</v>
      </c>
      <c r="L70" s="115">
        <v>451.39206156444402</v>
      </c>
      <c r="N70" s="138" t="s">
        <v>10</v>
      </c>
      <c r="O70" s="115">
        <f t="shared" si="0"/>
        <v>1192.7858549494101</v>
      </c>
    </row>
    <row r="71" spans="1:15" x14ac:dyDescent="0.25">
      <c r="B71" s="141"/>
      <c r="C71" s="141"/>
      <c r="E71"/>
      <c r="N71" s="141"/>
    </row>
    <row r="72" spans="1:15" x14ac:dyDescent="0.25">
      <c r="A72" s="22">
        <v>43896</v>
      </c>
      <c r="B72" s="141" t="s">
        <v>18</v>
      </c>
      <c r="C72" s="141">
        <v>-0.2</v>
      </c>
      <c r="D72" s="25">
        <v>0.6743055555555556</v>
      </c>
      <c r="E72"/>
      <c r="F72" s="115">
        <f>Effort!F72*CPUE!F72</f>
        <v>34834.17262366831</v>
      </c>
      <c r="H72" s="115">
        <v>20882.189084617701</v>
      </c>
      <c r="J72" s="115" t="s">
        <v>10</v>
      </c>
      <c r="L72" s="115">
        <v>25438.384476567298</v>
      </c>
      <c r="N72" s="141" t="s">
        <v>10</v>
      </c>
      <c r="O72" s="115">
        <f t="shared" ref="O72:O103" si="1">SUM(F72:N72)</f>
        <v>81154.746184853313</v>
      </c>
    </row>
    <row r="73" spans="1:15" x14ac:dyDescent="0.25">
      <c r="A73" s="22">
        <v>43897</v>
      </c>
      <c r="B73" s="141" t="s">
        <v>19</v>
      </c>
      <c r="C73" s="141">
        <v>-0.7</v>
      </c>
      <c r="D73" s="25">
        <v>0.70763888888888893</v>
      </c>
      <c r="E73"/>
      <c r="F73" s="115">
        <f>Effort!F73*CPUE!F73</f>
        <v>97244.580010572128</v>
      </c>
      <c r="G73" t="s">
        <v>70</v>
      </c>
      <c r="H73" s="115">
        <f>Effort!H73*CPUE!H73</f>
        <v>58749.245505915664</v>
      </c>
      <c r="J73" s="115">
        <v>88426.287546527703</v>
      </c>
      <c r="L73" s="115" t="s">
        <v>10</v>
      </c>
      <c r="N73" s="141" t="s">
        <v>10</v>
      </c>
      <c r="O73" s="115">
        <f t="shared" si="1"/>
        <v>244420.11306301551</v>
      </c>
    </row>
    <row r="74" spans="1:15" x14ac:dyDescent="0.25">
      <c r="A74" s="22">
        <v>43898</v>
      </c>
      <c r="B74" s="141" t="s">
        <v>20</v>
      </c>
      <c r="C74" s="141">
        <v>-1</v>
      </c>
      <c r="D74" s="25">
        <v>0.77986111111111101</v>
      </c>
      <c r="E74" t="s">
        <v>70</v>
      </c>
      <c r="F74" s="115">
        <f>Effort!F74*CPUE!F74</f>
        <v>59582.199776318164</v>
      </c>
      <c r="G74" t="s">
        <v>70</v>
      </c>
      <c r="H74" s="115">
        <f>Effort!H74*CPUE!H74</f>
        <v>35717.993800178963</v>
      </c>
      <c r="J74" s="115" t="s">
        <v>10</v>
      </c>
      <c r="L74" s="115">
        <v>40554.113587791697</v>
      </c>
      <c r="N74" s="141" t="s">
        <v>10</v>
      </c>
      <c r="O74" s="115">
        <f t="shared" si="1"/>
        <v>135854.30716428882</v>
      </c>
    </row>
    <row r="75" spans="1:15" x14ac:dyDescent="0.25">
      <c r="A75" s="22">
        <v>43899</v>
      </c>
      <c r="B75" s="141" t="s">
        <v>21</v>
      </c>
      <c r="C75" s="141">
        <v>-1</v>
      </c>
      <c r="D75" s="25">
        <v>0.80902777777777779</v>
      </c>
      <c r="E75"/>
      <c r="F75" s="115">
        <f>Effort!F75*CPUE!F75</f>
        <v>23171.15761324087</v>
      </c>
      <c r="G75" t="s">
        <v>70</v>
      </c>
      <c r="H75" s="115">
        <f>Effort!H75*CPUE!H75</f>
        <v>16572.848041781956</v>
      </c>
      <c r="J75" s="115">
        <v>25093.097947768299</v>
      </c>
      <c r="L75" s="115" t="s">
        <v>10</v>
      </c>
      <c r="N75" s="141" t="s">
        <v>10</v>
      </c>
      <c r="O75" s="115">
        <f t="shared" si="1"/>
        <v>64837.103602791125</v>
      </c>
    </row>
    <row r="76" spans="1:15" x14ac:dyDescent="0.25">
      <c r="A76" s="22">
        <v>43900</v>
      </c>
      <c r="B76" s="141" t="s">
        <v>22</v>
      </c>
      <c r="C76" s="141">
        <v>-0.8</v>
      </c>
      <c r="D76" s="25">
        <v>0.83750000000000002</v>
      </c>
      <c r="E76" t="s">
        <v>70</v>
      </c>
      <c r="F76" s="115">
        <f>Effort!F76*CPUE!F76</f>
        <v>11612.966489405435</v>
      </c>
      <c r="G76" t="s">
        <v>70</v>
      </c>
      <c r="H76" s="115">
        <f>Effort!H76*CPUE!H76</f>
        <v>6961.6742353835443</v>
      </c>
      <c r="J76" s="115" t="s">
        <v>10</v>
      </c>
      <c r="L76" s="115">
        <v>8376.3545049774602</v>
      </c>
      <c r="N76" s="141" t="s">
        <v>10</v>
      </c>
      <c r="O76" s="115">
        <f t="shared" si="1"/>
        <v>26950.995229766442</v>
      </c>
    </row>
    <row r="77" spans="1:15" x14ac:dyDescent="0.25">
      <c r="A77" s="22">
        <v>43901</v>
      </c>
      <c r="B77" s="141" t="s">
        <v>23</v>
      </c>
      <c r="C77" s="141">
        <v>-0.2</v>
      </c>
      <c r="D77" s="25">
        <v>0.8652777777777777</v>
      </c>
      <c r="E77" t="s">
        <v>70</v>
      </c>
      <c r="F77" s="115">
        <f>Effort!F77*CPUE!F77</f>
        <v>5653.7641153880741</v>
      </c>
      <c r="H77" s="115">
        <v>2390.96166807396</v>
      </c>
      <c r="J77" s="115">
        <v>6769.8737474849404</v>
      </c>
      <c r="L77" s="115" t="s">
        <v>10</v>
      </c>
      <c r="N77" s="141" t="s">
        <v>10</v>
      </c>
      <c r="O77" s="115">
        <f t="shared" si="1"/>
        <v>14814.599530946974</v>
      </c>
    </row>
    <row r="78" spans="1:15" x14ac:dyDescent="0.25">
      <c r="B78" s="141"/>
      <c r="C78" s="141"/>
      <c r="E78"/>
      <c r="N78" s="141"/>
      <c r="O78" s="115">
        <f t="shared" si="1"/>
        <v>0</v>
      </c>
    </row>
    <row r="79" spans="1:15" x14ac:dyDescent="0.25">
      <c r="A79" s="22">
        <v>43910</v>
      </c>
      <c r="B79" s="141" t="s">
        <v>18</v>
      </c>
      <c r="C79" s="141">
        <v>0.4</v>
      </c>
      <c r="D79" s="25">
        <v>0.7270833333333333</v>
      </c>
      <c r="E79"/>
      <c r="J79" s="115" t="s">
        <v>10</v>
      </c>
      <c r="N79" s="141" t="s">
        <v>10</v>
      </c>
      <c r="O79" s="115">
        <f t="shared" si="1"/>
        <v>0</v>
      </c>
    </row>
    <row r="80" spans="1:15" x14ac:dyDescent="0.25">
      <c r="A80" s="22">
        <v>43911</v>
      </c>
      <c r="B80" s="141" t="s">
        <v>19</v>
      </c>
      <c r="C80" s="141">
        <v>0.4</v>
      </c>
      <c r="D80" s="25">
        <v>0.75486111111111109</v>
      </c>
      <c r="E80"/>
      <c r="L80" s="115" t="s">
        <v>10</v>
      </c>
      <c r="N80" s="141" t="s">
        <v>10</v>
      </c>
      <c r="O80" s="115">
        <f t="shared" si="1"/>
        <v>0</v>
      </c>
    </row>
    <row r="81" spans="1:15" x14ac:dyDescent="0.25">
      <c r="A81" s="22">
        <v>43912</v>
      </c>
      <c r="B81" s="141" t="s">
        <v>20</v>
      </c>
      <c r="C81" s="141">
        <v>0.4</v>
      </c>
      <c r="D81" s="25">
        <v>0.77847222222222223</v>
      </c>
      <c r="E81"/>
      <c r="J81" s="115" t="s">
        <v>10</v>
      </c>
      <c r="N81" s="141" t="s">
        <v>10</v>
      </c>
      <c r="O81" s="115">
        <f t="shared" si="1"/>
        <v>0</v>
      </c>
    </row>
    <row r="82" spans="1:15" x14ac:dyDescent="0.25">
      <c r="A82" s="22">
        <v>43913</v>
      </c>
      <c r="B82" s="141" t="s">
        <v>21</v>
      </c>
      <c r="C82" s="141">
        <v>0.5</v>
      </c>
      <c r="D82" s="25">
        <v>0.79999999999999993</v>
      </c>
      <c r="E82"/>
      <c r="L82" s="115" t="s">
        <v>10</v>
      </c>
      <c r="N82" s="141" t="s">
        <v>10</v>
      </c>
      <c r="O82" s="115">
        <f t="shared" si="1"/>
        <v>0</v>
      </c>
    </row>
    <row r="83" spans="1:15" x14ac:dyDescent="0.25">
      <c r="B83" s="141"/>
      <c r="C83" s="141"/>
      <c r="E83"/>
      <c r="N83" s="141"/>
      <c r="O83" s="115">
        <f t="shared" si="1"/>
        <v>0</v>
      </c>
    </row>
    <row r="84" spans="1:15" x14ac:dyDescent="0.25">
      <c r="A84" s="22">
        <v>43924</v>
      </c>
      <c r="B84" s="141" t="s">
        <v>18</v>
      </c>
      <c r="C84" s="141">
        <v>0.3</v>
      </c>
      <c r="D84" s="25">
        <v>0.65347222222222223</v>
      </c>
      <c r="E84"/>
      <c r="L84" s="115" t="s">
        <v>10</v>
      </c>
      <c r="N84" s="141" t="s">
        <v>10</v>
      </c>
      <c r="O84" s="115">
        <f t="shared" si="1"/>
        <v>0</v>
      </c>
    </row>
    <row r="85" spans="1:15" x14ac:dyDescent="0.25">
      <c r="A85" s="22">
        <v>43925</v>
      </c>
      <c r="B85" s="141" t="s">
        <v>19</v>
      </c>
      <c r="C85" s="141">
        <v>-0.1</v>
      </c>
      <c r="D85" s="25">
        <v>0.69236111111111109</v>
      </c>
      <c r="E85"/>
      <c r="J85" s="115" t="s">
        <v>10</v>
      </c>
      <c r="N85" s="141" t="s">
        <v>10</v>
      </c>
      <c r="O85" s="115">
        <f t="shared" si="1"/>
        <v>0</v>
      </c>
    </row>
    <row r="86" spans="1:15" x14ac:dyDescent="0.25">
      <c r="A86" s="22">
        <v>43926</v>
      </c>
      <c r="B86" s="141" t="s">
        <v>20</v>
      </c>
      <c r="C86" s="141">
        <v>-0.4</v>
      </c>
      <c r="D86" s="25">
        <v>0.31041666666666667</v>
      </c>
      <c r="E86"/>
      <c r="L86" s="115" t="s">
        <v>10</v>
      </c>
      <c r="N86" s="141" t="s">
        <v>10</v>
      </c>
      <c r="O86" s="115">
        <f t="shared" si="1"/>
        <v>0</v>
      </c>
    </row>
    <row r="87" spans="1:15" x14ac:dyDescent="0.25">
      <c r="A87" s="22">
        <v>43927</v>
      </c>
      <c r="B87" s="141" t="s">
        <v>21</v>
      </c>
      <c r="C87" s="141">
        <v>0.4</v>
      </c>
      <c r="D87" s="25">
        <v>0.7583333333333333</v>
      </c>
      <c r="E87"/>
      <c r="J87" s="115" t="s">
        <v>10</v>
      </c>
      <c r="N87" s="141" t="s">
        <v>10</v>
      </c>
      <c r="O87" s="115">
        <f t="shared" si="1"/>
        <v>0</v>
      </c>
    </row>
    <row r="88" spans="1:15" x14ac:dyDescent="0.25">
      <c r="A88" s="22">
        <v>43928</v>
      </c>
      <c r="B88" s="141" t="s">
        <v>22</v>
      </c>
      <c r="C88" s="141">
        <v>-0.2</v>
      </c>
      <c r="D88" s="25">
        <v>0.78819444444444453</v>
      </c>
      <c r="E88"/>
      <c r="L88" s="115" t="s">
        <v>10</v>
      </c>
      <c r="N88" s="141" t="s">
        <v>10</v>
      </c>
      <c r="O88" s="115">
        <f t="shared" si="1"/>
        <v>0</v>
      </c>
    </row>
    <row r="89" spans="1:15" x14ac:dyDescent="0.25">
      <c r="A89" s="22">
        <v>43929</v>
      </c>
      <c r="B89" s="141" t="s">
        <v>23</v>
      </c>
      <c r="C89" s="141">
        <v>-0.7</v>
      </c>
      <c r="D89" s="25">
        <v>0.30972222222222223</v>
      </c>
      <c r="E89"/>
      <c r="J89" s="115" t="s">
        <v>10</v>
      </c>
      <c r="N89" s="141" t="s">
        <v>10</v>
      </c>
      <c r="O89" s="115">
        <f t="shared" si="1"/>
        <v>0</v>
      </c>
    </row>
    <row r="90" spans="1:15" x14ac:dyDescent="0.25">
      <c r="A90" s="22">
        <v>43930</v>
      </c>
      <c r="B90" s="141" t="s">
        <v>24</v>
      </c>
      <c r="C90" s="141">
        <v>-1.1000000000000001</v>
      </c>
      <c r="D90" s="25">
        <v>0.3430555555555555</v>
      </c>
      <c r="E90"/>
      <c r="L90" s="115" t="s">
        <v>10</v>
      </c>
      <c r="N90" s="141" t="s">
        <v>10</v>
      </c>
      <c r="O90" s="115">
        <f t="shared" si="1"/>
        <v>0</v>
      </c>
    </row>
    <row r="91" spans="1:15" x14ac:dyDescent="0.25">
      <c r="A91" s="22">
        <v>43931</v>
      </c>
      <c r="B91" s="141" t="s">
        <v>18</v>
      </c>
      <c r="C91" s="141">
        <v>-1.3</v>
      </c>
      <c r="D91" s="25">
        <v>0.3756944444444445</v>
      </c>
      <c r="E91"/>
      <c r="J91" s="115" t="s">
        <v>10</v>
      </c>
      <c r="N91" s="141" t="s">
        <v>10</v>
      </c>
      <c r="O91" s="115">
        <f t="shared" si="1"/>
        <v>0</v>
      </c>
    </row>
    <row r="92" spans="1:15" x14ac:dyDescent="0.25">
      <c r="A92" s="22">
        <v>43932</v>
      </c>
      <c r="B92" s="141" t="s">
        <v>19</v>
      </c>
      <c r="C92" s="141">
        <v>-1.1000000000000001</v>
      </c>
      <c r="D92" s="25">
        <v>0.40972222222222227</v>
      </c>
      <c r="E92"/>
      <c r="L92" s="115" t="s">
        <v>10</v>
      </c>
      <c r="N92" s="141" t="s">
        <v>10</v>
      </c>
      <c r="O92" s="115">
        <f t="shared" si="1"/>
        <v>0</v>
      </c>
    </row>
    <row r="93" spans="1:15" x14ac:dyDescent="0.25">
      <c r="A93" s="22">
        <v>43933</v>
      </c>
      <c r="B93" s="141" t="s">
        <v>20</v>
      </c>
      <c r="C93" s="141">
        <v>-0.7</v>
      </c>
      <c r="D93" s="25">
        <v>0.4458333333333333</v>
      </c>
      <c r="E93"/>
      <c r="J93" s="115" t="s">
        <v>10</v>
      </c>
      <c r="N93" s="141" t="s">
        <v>10</v>
      </c>
      <c r="O93" s="115">
        <f t="shared" si="1"/>
        <v>0</v>
      </c>
    </row>
    <row r="94" spans="1:15" x14ac:dyDescent="0.25">
      <c r="A94" s="22">
        <v>43934</v>
      </c>
      <c r="B94" s="141" t="s">
        <v>21</v>
      </c>
      <c r="C94" s="21">
        <v>-0.2</v>
      </c>
      <c r="D94" s="25">
        <v>0.48541666666666666</v>
      </c>
      <c r="E94"/>
      <c r="L94" s="115" t="s">
        <v>10</v>
      </c>
      <c r="N94" s="141" t="s">
        <v>10</v>
      </c>
      <c r="O94" s="115">
        <f t="shared" si="1"/>
        <v>0</v>
      </c>
    </row>
    <row r="95" spans="1:15" x14ac:dyDescent="0.25">
      <c r="B95" s="141"/>
      <c r="C95" s="141"/>
      <c r="E95"/>
      <c r="N95" s="141"/>
      <c r="O95" s="115">
        <f t="shared" si="1"/>
        <v>0</v>
      </c>
    </row>
    <row r="96" spans="1:15" x14ac:dyDescent="0.25">
      <c r="A96" s="22">
        <v>43943</v>
      </c>
      <c r="B96" s="141" t="s">
        <v>23</v>
      </c>
      <c r="C96" s="141">
        <v>0.3</v>
      </c>
      <c r="D96" s="25">
        <v>0.29722222222222222</v>
      </c>
      <c r="E96"/>
      <c r="L96" s="115" t="s">
        <v>10</v>
      </c>
      <c r="N96" s="141" t="s">
        <v>10</v>
      </c>
      <c r="O96" s="115">
        <f t="shared" si="1"/>
        <v>0</v>
      </c>
    </row>
    <row r="97" spans="1:15" x14ac:dyDescent="0.25">
      <c r="A97" s="22">
        <v>43944</v>
      </c>
      <c r="B97" s="141" t="s">
        <v>24</v>
      </c>
      <c r="C97" s="141">
        <v>0</v>
      </c>
      <c r="D97" s="25">
        <v>0.32013888888888892</v>
      </c>
      <c r="E97"/>
      <c r="J97" s="115" t="s">
        <v>10</v>
      </c>
      <c r="N97" s="141" t="s">
        <v>10</v>
      </c>
      <c r="O97" s="115">
        <f t="shared" si="1"/>
        <v>0</v>
      </c>
    </row>
    <row r="98" spans="1:15" x14ac:dyDescent="0.25">
      <c r="A98" s="22">
        <v>43945</v>
      </c>
      <c r="B98" s="141" t="s">
        <v>18</v>
      </c>
      <c r="C98" s="141">
        <v>-0.3</v>
      </c>
      <c r="D98" s="25">
        <v>0.34375</v>
      </c>
      <c r="E98"/>
      <c r="L98" s="115" t="s">
        <v>10</v>
      </c>
      <c r="N98" s="141" t="s">
        <v>10</v>
      </c>
      <c r="O98" s="115">
        <f t="shared" si="1"/>
        <v>0</v>
      </c>
    </row>
    <row r="99" spans="1:15" x14ac:dyDescent="0.25">
      <c r="A99" s="22">
        <v>43946</v>
      </c>
      <c r="B99" s="141" t="s">
        <v>19</v>
      </c>
      <c r="C99" s="141">
        <v>-0.1</v>
      </c>
      <c r="D99" s="25">
        <v>0.36736111111111108</v>
      </c>
      <c r="E99"/>
      <c r="J99" s="115" t="s">
        <v>10</v>
      </c>
      <c r="N99" s="141" t="s">
        <v>10</v>
      </c>
      <c r="O99" s="115">
        <f t="shared" si="1"/>
        <v>0</v>
      </c>
    </row>
    <row r="100" spans="1:15" x14ac:dyDescent="0.25">
      <c r="A100" s="22">
        <v>43947</v>
      </c>
      <c r="B100" s="141" t="s">
        <v>20</v>
      </c>
      <c r="C100" s="141">
        <v>-0.3</v>
      </c>
      <c r="D100" s="25">
        <v>0.39305555555555555</v>
      </c>
      <c r="E100"/>
      <c r="L100" s="115" t="s">
        <v>10</v>
      </c>
      <c r="N100" s="141" t="s">
        <v>10</v>
      </c>
      <c r="O100" s="115">
        <f t="shared" si="1"/>
        <v>0</v>
      </c>
    </row>
    <row r="101" spans="1:15" x14ac:dyDescent="0.25">
      <c r="A101" s="22">
        <v>43948</v>
      </c>
      <c r="B101" s="141" t="s">
        <v>21</v>
      </c>
      <c r="C101" s="141">
        <v>-0.2</v>
      </c>
      <c r="D101" s="25">
        <v>0.42152777777777778</v>
      </c>
      <c r="E101"/>
      <c r="J101" s="115" t="s">
        <v>10</v>
      </c>
      <c r="N101" s="141" t="s">
        <v>10</v>
      </c>
      <c r="O101" s="115">
        <f t="shared" si="1"/>
        <v>0</v>
      </c>
    </row>
    <row r="102" spans="1:15" x14ac:dyDescent="0.25">
      <c r="A102" s="22">
        <v>43949</v>
      </c>
      <c r="B102" s="141" t="s">
        <v>22</v>
      </c>
      <c r="C102" s="141">
        <v>-0.1</v>
      </c>
      <c r="D102" s="25">
        <v>0.45416666666666666</v>
      </c>
      <c r="E102"/>
      <c r="L102" s="115" t="s">
        <v>10</v>
      </c>
      <c r="N102" s="141" t="s">
        <v>10</v>
      </c>
      <c r="O102" s="115">
        <f t="shared" si="1"/>
        <v>0</v>
      </c>
    </row>
    <row r="103" spans="1:15" x14ac:dyDescent="0.25">
      <c r="A103" s="22">
        <v>43950</v>
      </c>
      <c r="B103" s="141" t="s">
        <v>23</v>
      </c>
      <c r="C103" s="141">
        <v>0.1</v>
      </c>
      <c r="D103" s="25">
        <v>0.4916666666666667</v>
      </c>
      <c r="E103"/>
      <c r="J103" s="115" t="s">
        <v>10</v>
      </c>
      <c r="N103" s="141" t="s">
        <v>10</v>
      </c>
      <c r="O103" s="115">
        <f t="shared" si="1"/>
        <v>0</v>
      </c>
    </row>
    <row r="104" spans="1:15" x14ac:dyDescent="0.25">
      <c r="B104" s="141"/>
      <c r="C104" s="141"/>
      <c r="E104"/>
      <c r="N104" s="141"/>
    </row>
    <row r="105" spans="1:15" x14ac:dyDescent="0.25">
      <c r="A105" s="28" t="s">
        <v>67</v>
      </c>
      <c r="E105" s="14"/>
      <c r="F105" s="15">
        <f>SUM(F2:F104)</f>
        <v>1544651.3811646518</v>
      </c>
      <c r="G105" s="16"/>
      <c r="H105" s="15">
        <f>SUM(H2:H104)</f>
        <v>722646.94366136799</v>
      </c>
      <c r="I105" s="16"/>
      <c r="J105" s="15">
        <f>SUM(J2:J104)</f>
        <v>697548.6625862096</v>
      </c>
      <c r="K105" s="16"/>
      <c r="L105" s="15">
        <f>SUM(L2:L104)</f>
        <v>455169.88838306593</v>
      </c>
      <c r="M105" s="16"/>
      <c r="N105" s="15">
        <f>SUM(N2:N94)</f>
        <v>0</v>
      </c>
      <c r="O105" s="15">
        <f>SUM(O2:O104)</f>
        <v>3420016.8757952945</v>
      </c>
    </row>
    <row r="106" spans="1:15" x14ac:dyDescent="0.25">
      <c r="A106" s="29" t="s">
        <v>11</v>
      </c>
      <c r="B106" s="16"/>
      <c r="C106" s="16"/>
      <c r="D106" s="24"/>
      <c r="E106" s="14"/>
      <c r="F106" s="65">
        <f>+'LB Wastage'!F100</f>
        <v>6.4444444444444443E-2</v>
      </c>
      <c r="G106" s="17"/>
      <c r="H106" s="65">
        <f>+'TH Wastage'!F100</f>
        <v>4.4999999999999998E-2</v>
      </c>
      <c r="I106" s="17"/>
      <c r="J106" s="65">
        <f>+'Cop Wastage'!F100</f>
        <v>0.04</v>
      </c>
      <c r="K106" s="18"/>
      <c r="L106" s="65">
        <f>+'Moc Wastage'!F100</f>
        <v>2.8000000000000001E-2</v>
      </c>
      <c r="M106" s="17"/>
      <c r="N106" s="65">
        <f>+'Kal Wastage'!F100</f>
        <v>0</v>
      </c>
      <c r="O106" s="15"/>
    </row>
    <row r="107" spans="1:15" x14ac:dyDescent="0.25">
      <c r="A107" s="28" t="s">
        <v>12</v>
      </c>
      <c r="B107" s="16"/>
      <c r="C107" s="16"/>
      <c r="D107" s="24"/>
      <c r="E107" s="14"/>
      <c r="F107" s="15">
        <f>+F105*F106</f>
        <v>99544.200119499787</v>
      </c>
      <c r="G107" s="17"/>
      <c r="H107" s="15">
        <f>+H105*H106</f>
        <v>32519.112464761558</v>
      </c>
      <c r="I107" s="17"/>
      <c r="J107" s="15">
        <f>+J105*J106</f>
        <v>27901.946503448384</v>
      </c>
      <c r="K107" s="17"/>
      <c r="L107" s="15">
        <f>+L105*L106</f>
        <v>12744.756874725847</v>
      </c>
      <c r="M107" s="17"/>
      <c r="N107" s="15">
        <f>+N105*N106</f>
        <v>0</v>
      </c>
      <c r="O107" s="15">
        <f>F107+H107+J107+L107+N107</f>
        <v>172710.01596243557</v>
      </c>
    </row>
    <row r="108" spans="1:15" x14ac:dyDescent="0.25">
      <c r="A108" s="29" t="s">
        <v>13</v>
      </c>
      <c r="B108" s="16"/>
      <c r="C108" s="16"/>
      <c r="D108" s="24"/>
      <c r="E108" s="14"/>
      <c r="F108" s="15">
        <f>F105+F107</f>
        <v>1644195.5812841516</v>
      </c>
      <c r="G108" s="17"/>
      <c r="H108" s="15">
        <f>H105+H107</f>
        <v>755166.05612612958</v>
      </c>
      <c r="I108" s="17"/>
      <c r="J108" s="15">
        <f>J105+J107</f>
        <v>725450.60908965801</v>
      </c>
      <c r="K108" s="17"/>
      <c r="L108" s="15">
        <f>L105+L107</f>
        <v>467914.6452577918</v>
      </c>
      <c r="M108" s="17"/>
      <c r="N108" s="15">
        <f>N105+N107</f>
        <v>0</v>
      </c>
      <c r="O108" s="15">
        <f>O105+O107</f>
        <v>3592726.8917577299</v>
      </c>
    </row>
    <row r="109" spans="1:15" x14ac:dyDescent="0.25">
      <c r="A109" s="30" t="s">
        <v>68</v>
      </c>
      <c r="B109" s="16"/>
      <c r="C109" s="16"/>
      <c r="D109" s="24"/>
      <c r="E109" s="14"/>
      <c r="F109" s="15"/>
      <c r="G109" s="17"/>
      <c r="H109" s="15"/>
      <c r="I109" s="17"/>
      <c r="J109" s="15"/>
      <c r="K109" s="17"/>
      <c r="L109" s="15"/>
      <c r="M109" s="17"/>
      <c r="N109" s="15"/>
      <c r="O109" s="15"/>
    </row>
    <row r="110" spans="1:15" x14ac:dyDescent="0.25">
      <c r="A110" s="30" t="s">
        <v>14</v>
      </c>
      <c r="B110" s="16"/>
      <c r="C110" s="16"/>
      <c r="D110" s="24"/>
      <c r="E110" s="14"/>
      <c r="F110" s="19">
        <f>F108/TAC!B4</f>
        <v>0.31585939253020523</v>
      </c>
      <c r="G110" s="17"/>
      <c r="H110" s="19">
        <f>H108/TAC!B5</f>
        <v>0.4096977606049485</v>
      </c>
      <c r="I110" s="17"/>
      <c r="J110" s="19">
        <f>+J108/TAC!B6</f>
        <v>0.35629793913145491</v>
      </c>
      <c r="K110" s="17"/>
      <c r="L110" s="19">
        <f>L108/TAC!B7</f>
        <v>0.28360347163532301</v>
      </c>
      <c r="M110" s="17"/>
      <c r="N110" s="19">
        <f>N108/TAC!B8</f>
        <v>0</v>
      </c>
      <c r="O110" s="19">
        <f>O108/TAC!B9</f>
        <v>0.32797640501101893</v>
      </c>
    </row>
    <row r="111" spans="1:15" x14ac:dyDescent="0.25">
      <c r="A111" s="30" t="s">
        <v>15</v>
      </c>
      <c r="B111" s="16"/>
      <c r="C111" s="16"/>
      <c r="D111" s="24"/>
      <c r="E111" s="14"/>
      <c r="F111" s="15">
        <f>+TAC!B4-Harvest!F108</f>
        <v>3561271.2187158493</v>
      </c>
      <c r="G111" s="17"/>
      <c r="H111" s="15">
        <f>TAC!B5-Harvest!H108</f>
        <v>1088061.1438738706</v>
      </c>
      <c r="I111" s="17"/>
      <c r="J111" s="15">
        <f>+TAC!B6-Harvest!J108</f>
        <v>1310627.990910342</v>
      </c>
      <c r="K111" s="17"/>
      <c r="L111" s="15">
        <f>TAC!B7-L108</f>
        <v>1181975.7547422084</v>
      </c>
      <c r="M111" s="17"/>
      <c r="N111" s="15">
        <f>TAC!B8-N108</f>
        <v>219560.64800000002</v>
      </c>
      <c r="O111" s="15">
        <f>TAC!B9-Harvest!O108</f>
        <v>7361496.7562422715</v>
      </c>
    </row>
    <row r="112" spans="1:15" x14ac:dyDescent="0.25">
      <c r="A112" s="30"/>
      <c r="B112" s="16"/>
      <c r="C112" s="16"/>
      <c r="D112" s="24"/>
      <c r="E112" s="14"/>
      <c r="F112" s="15"/>
      <c r="G112" s="17"/>
      <c r="H112" s="15"/>
      <c r="I112" s="17"/>
      <c r="J112" s="15"/>
      <c r="K112" s="17"/>
      <c r="L112" s="15"/>
      <c r="M112" s="17"/>
      <c r="N112" s="16"/>
      <c r="O112" s="15"/>
    </row>
    <row r="113" spans="1:5" x14ac:dyDescent="0.25">
      <c r="A113" s="28" t="s">
        <v>16</v>
      </c>
      <c r="B113" s="16"/>
      <c r="C113" s="16"/>
      <c r="D113" s="24"/>
    </row>
    <row r="114" spans="1:5" x14ac:dyDescent="0.25">
      <c r="A114" s="31" t="s">
        <v>17</v>
      </c>
    </row>
    <row r="115" spans="1:5" x14ac:dyDescent="0.25">
      <c r="E115"/>
    </row>
    <row r="116" spans="1:5" x14ac:dyDescent="0.25">
      <c r="E116"/>
    </row>
    <row r="117" spans="1:5" x14ac:dyDescent="0.25">
      <c r="E117"/>
    </row>
    <row r="118" spans="1:5" x14ac:dyDescent="0.25">
      <c r="E118"/>
    </row>
    <row r="119" spans="1:5" x14ac:dyDescent="0.25">
      <c r="E119"/>
    </row>
    <row r="120" spans="1:5" x14ac:dyDescent="0.25">
      <c r="E120"/>
    </row>
    <row r="121" spans="1:5" x14ac:dyDescent="0.25">
      <c r="E121"/>
    </row>
    <row r="122" spans="1:5" x14ac:dyDescent="0.25">
      <c r="E122"/>
    </row>
    <row r="123" spans="1:5" x14ac:dyDescent="0.25">
      <c r="E123"/>
    </row>
    <row r="124" spans="1:5" x14ac:dyDescent="0.25">
      <c r="E124"/>
    </row>
    <row r="125" spans="1:5" x14ac:dyDescent="0.25">
      <c r="E125"/>
    </row>
    <row r="126" spans="1:5" x14ac:dyDescent="0.25">
      <c r="E126"/>
    </row>
    <row r="127" spans="1:5" x14ac:dyDescent="0.25">
      <c r="E127"/>
    </row>
    <row r="128" spans="1:5" x14ac:dyDescent="0.25">
      <c r="E128"/>
    </row>
    <row r="129" spans="1:14" x14ac:dyDescent="0.25">
      <c r="E129"/>
    </row>
    <row r="130" spans="1:14" x14ac:dyDescent="0.25">
      <c r="E130"/>
    </row>
    <row r="131" spans="1:14" x14ac:dyDescent="0.25">
      <c r="E131"/>
    </row>
    <row r="132" spans="1:14" x14ac:dyDescent="0.25">
      <c r="E132"/>
    </row>
    <row r="133" spans="1:14" x14ac:dyDescent="0.25">
      <c r="E133"/>
    </row>
    <row r="134" spans="1:14" x14ac:dyDescent="0.25">
      <c r="E134"/>
    </row>
    <row r="135" spans="1:14" x14ac:dyDescent="0.25">
      <c r="A135" s="4"/>
      <c r="B135" s="10"/>
      <c r="C135" s="12"/>
      <c r="D135" s="26"/>
      <c r="E135" s="7"/>
      <c r="F135" s="119"/>
      <c r="G135" s="11"/>
      <c r="H135" s="119"/>
      <c r="I135" s="11"/>
      <c r="J135" s="119"/>
      <c r="K135" s="7"/>
      <c r="L135" s="119"/>
      <c r="M135" s="11"/>
      <c r="N135" s="13"/>
    </row>
    <row r="136" spans="1:14" x14ac:dyDescent="0.25">
      <c r="A136" s="2"/>
      <c r="B136" s="10"/>
      <c r="C136" s="5"/>
    </row>
  </sheetData>
  <mergeCells count="5">
    <mergeCell ref="E1:F1"/>
    <mergeCell ref="G1:H1"/>
    <mergeCell ref="I1:J1"/>
    <mergeCell ref="K1:L1"/>
    <mergeCell ref="M1:N1"/>
  </mergeCells>
  <pageMargins left="0.28999999999999998" right="0.36" top="0.66" bottom="0.5" header="0.2" footer="0.25"/>
  <pageSetup paperSize="3" scale="6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40"/>
  <sheetViews>
    <sheetView workbookViewId="0">
      <selection activeCell="Q2" sqref="Q2"/>
    </sheetView>
  </sheetViews>
  <sheetFormatPr defaultRowHeight="15" x14ac:dyDescent="0.25"/>
  <cols>
    <col min="1" max="1" width="21.140625" customWidth="1"/>
    <col min="5" max="5" width="3.85546875" customWidth="1"/>
    <col min="6" max="6" width="14.42578125" style="115" customWidth="1"/>
    <col min="7" max="7" width="3.5703125" customWidth="1"/>
    <col min="8" max="8" width="15.28515625" style="115" customWidth="1"/>
    <col min="9" max="9" width="3.85546875" customWidth="1"/>
    <col min="10" max="10" width="16.28515625" style="115" customWidth="1"/>
    <col min="11" max="11" width="3" customWidth="1"/>
    <col min="12" max="12" width="15.42578125" style="115" customWidth="1"/>
    <col min="13" max="13" width="3" customWidth="1"/>
    <col min="14" max="14" width="16.42578125" customWidth="1"/>
    <col min="15" max="15" width="13.42578125" style="48" customWidth="1"/>
  </cols>
  <sheetData>
    <row r="1" spans="1:17" x14ac:dyDescent="0.25">
      <c r="A1" s="27" t="s">
        <v>0</v>
      </c>
      <c r="B1" s="1" t="s">
        <v>1</v>
      </c>
      <c r="C1" s="1" t="s">
        <v>2</v>
      </c>
      <c r="D1" s="23" t="s">
        <v>3</v>
      </c>
      <c r="E1" s="147" t="s">
        <v>4</v>
      </c>
      <c r="F1" s="147"/>
      <c r="G1" s="147" t="s">
        <v>5</v>
      </c>
      <c r="H1" s="147"/>
      <c r="I1" s="147" t="s">
        <v>6</v>
      </c>
      <c r="J1" s="147"/>
      <c r="K1" s="147" t="s">
        <v>7</v>
      </c>
      <c r="L1" s="147"/>
      <c r="M1" s="147" t="s">
        <v>8</v>
      </c>
      <c r="N1" s="147"/>
      <c r="O1" s="114" t="s">
        <v>9</v>
      </c>
    </row>
    <row r="2" spans="1:17" x14ac:dyDescent="0.25">
      <c r="A2" s="22">
        <v>43735</v>
      </c>
      <c r="B2" s="21" t="s">
        <v>18</v>
      </c>
      <c r="C2" s="21">
        <v>-0.9</v>
      </c>
      <c r="D2" s="25">
        <v>0.24444444444444446</v>
      </c>
      <c r="F2" s="118">
        <v>2262.6376564983998</v>
      </c>
      <c r="H2" s="115" t="s">
        <v>10</v>
      </c>
      <c r="J2" s="115" t="s">
        <v>10</v>
      </c>
      <c r="L2" s="115" t="s">
        <v>10</v>
      </c>
      <c r="N2" s="21" t="s">
        <v>10</v>
      </c>
      <c r="O2" s="48">
        <f>SUM(F2:N2)</f>
        <v>2262.6376564983998</v>
      </c>
      <c r="Q2" s="48">
        <f>SUM(O2:O11)</f>
        <v>63675.566127476653</v>
      </c>
    </row>
    <row r="3" spans="1:17" x14ac:dyDescent="0.25">
      <c r="A3" s="22">
        <v>43736</v>
      </c>
      <c r="B3" s="21" t="s">
        <v>19</v>
      </c>
      <c r="C3" s="21">
        <v>-0.8</v>
      </c>
      <c r="D3" s="25">
        <v>0.27499999999999997</v>
      </c>
      <c r="F3" s="118">
        <v>8338.2153073289574</v>
      </c>
      <c r="H3" s="115" t="s">
        <v>10</v>
      </c>
      <c r="J3" s="115" t="s">
        <v>10</v>
      </c>
      <c r="L3" s="115" t="s">
        <v>10</v>
      </c>
      <c r="N3" s="21" t="s">
        <v>10</v>
      </c>
      <c r="O3" s="48">
        <f>SUM(F3:N3)</f>
        <v>8338.2153073289574</v>
      </c>
    </row>
    <row r="4" spans="1:17" x14ac:dyDescent="0.25">
      <c r="A4" s="22">
        <v>43737</v>
      </c>
      <c r="B4" s="21" t="s">
        <v>20</v>
      </c>
      <c r="C4" s="21">
        <v>-0.6</v>
      </c>
      <c r="D4" s="25">
        <v>0.30486111111111108</v>
      </c>
      <c r="E4" t="s">
        <v>66</v>
      </c>
      <c r="F4" s="115">
        <v>8000</v>
      </c>
      <c r="H4" s="115" t="s">
        <v>10</v>
      </c>
      <c r="J4" s="115" t="s">
        <v>10</v>
      </c>
      <c r="L4" s="115" t="s">
        <v>10</v>
      </c>
      <c r="N4" s="21" t="s">
        <v>10</v>
      </c>
      <c r="O4" s="48">
        <f>SUM(F4:N4)</f>
        <v>8000</v>
      </c>
    </row>
    <row r="5" spans="1:17" x14ac:dyDescent="0.25">
      <c r="A5" s="22"/>
      <c r="B5" s="21"/>
      <c r="C5" s="21"/>
      <c r="D5" s="25"/>
      <c r="N5" s="21"/>
    </row>
    <row r="6" spans="1:17" x14ac:dyDescent="0.25">
      <c r="A6" s="22">
        <v>43764</v>
      </c>
      <c r="B6" s="21" t="s">
        <v>19</v>
      </c>
      <c r="C6" s="21">
        <v>0</v>
      </c>
      <c r="D6" s="25">
        <v>0.74930555555555556</v>
      </c>
      <c r="F6" s="120">
        <v>7854.35</v>
      </c>
      <c r="H6" s="118">
        <v>3611.7461011810879</v>
      </c>
      <c r="J6" s="118">
        <v>7348.1700568006618</v>
      </c>
      <c r="L6" s="115" t="s">
        <v>10</v>
      </c>
      <c r="N6" s="90" t="s">
        <v>10</v>
      </c>
      <c r="O6" s="48">
        <f>SUM(F6:N6)</f>
        <v>18814.26615798175</v>
      </c>
    </row>
    <row r="7" spans="1:17" x14ac:dyDescent="0.25">
      <c r="A7" s="22">
        <v>43765</v>
      </c>
      <c r="B7" s="21" t="s">
        <v>20</v>
      </c>
      <c r="C7" s="21">
        <v>-0.8</v>
      </c>
      <c r="D7" s="25">
        <v>0.78263888888888899</v>
      </c>
      <c r="E7" t="s">
        <v>70</v>
      </c>
      <c r="F7" s="118">
        <v>5198.1480000000001</v>
      </c>
      <c r="H7" s="118">
        <v>2390.3229762897658</v>
      </c>
      <c r="J7" s="115" t="s">
        <v>10</v>
      </c>
      <c r="L7" s="118">
        <v>4926.3201530226488</v>
      </c>
      <c r="N7" s="90" t="s">
        <v>10</v>
      </c>
      <c r="O7" s="48">
        <f>SUM(F7:N7)</f>
        <v>12514.791129312414</v>
      </c>
    </row>
    <row r="8" spans="1:17" x14ac:dyDescent="0.25">
      <c r="A8" s="22">
        <v>43766</v>
      </c>
      <c r="B8" s="21" t="s">
        <v>21</v>
      </c>
      <c r="C8" s="21">
        <v>-1.2</v>
      </c>
      <c r="D8" s="25">
        <v>0.81458333333333333</v>
      </c>
      <c r="E8" t="s">
        <v>70</v>
      </c>
      <c r="F8" s="115">
        <f>(F6*J8)/J6</f>
        <v>3142.5845163131498</v>
      </c>
      <c r="G8" t="s">
        <v>70</v>
      </c>
      <c r="H8" s="115">
        <f>(H6*J8)/J6</f>
        <v>1445.0867830471107</v>
      </c>
      <c r="J8" s="120">
        <v>2940.0581134960471</v>
      </c>
      <c r="L8" s="115" t="s">
        <v>10</v>
      </c>
      <c r="N8" s="112" t="s">
        <v>10</v>
      </c>
      <c r="O8" s="48">
        <f t="shared" ref="O8:O70" si="0">SUM(F8:N8)</f>
        <v>7527.729412856308</v>
      </c>
    </row>
    <row r="9" spans="1:17" x14ac:dyDescent="0.25">
      <c r="A9" s="22">
        <v>43767</v>
      </c>
      <c r="B9" s="21" t="s">
        <v>22</v>
      </c>
      <c r="C9" s="21">
        <v>-1.4</v>
      </c>
      <c r="D9" s="25">
        <v>0.84583333333333333</v>
      </c>
      <c r="F9" s="115">
        <v>1021.8049764488662</v>
      </c>
      <c r="G9" t="s">
        <v>70</v>
      </c>
      <c r="H9" s="115">
        <f>(H7*L9)/L7</f>
        <v>834.99935172468508</v>
      </c>
      <c r="J9" s="115" t="s">
        <v>10</v>
      </c>
      <c r="L9" s="120">
        <v>1720.886329991713</v>
      </c>
      <c r="N9" s="112" t="s">
        <v>10</v>
      </c>
      <c r="O9" s="48">
        <f t="shared" si="0"/>
        <v>3577.6906581652643</v>
      </c>
    </row>
    <row r="10" spans="1:17" x14ac:dyDescent="0.25">
      <c r="A10" s="22">
        <v>43768</v>
      </c>
      <c r="B10" s="21" t="s">
        <v>23</v>
      </c>
      <c r="C10" s="21">
        <v>-1.2</v>
      </c>
      <c r="D10" s="25">
        <v>0.87708333333333333</v>
      </c>
      <c r="E10" t="s">
        <v>70</v>
      </c>
      <c r="F10" s="115">
        <f>(F6*J10)/J6</f>
        <v>888.31726445464278</v>
      </c>
      <c r="H10" s="120">
        <v>358.75182773633452</v>
      </c>
      <c r="J10" s="120">
        <v>831.06893932721107</v>
      </c>
      <c r="L10" s="115" t="s">
        <v>10</v>
      </c>
      <c r="N10" s="112" t="s">
        <v>10</v>
      </c>
      <c r="O10" s="48">
        <f t="shared" si="0"/>
        <v>2078.1380315181882</v>
      </c>
    </row>
    <row r="11" spans="1:17" x14ac:dyDescent="0.25">
      <c r="A11" s="22">
        <v>43769</v>
      </c>
      <c r="B11" s="21" t="s">
        <v>24</v>
      </c>
      <c r="C11" s="21">
        <v>-0.8</v>
      </c>
      <c r="D11" s="25">
        <v>0.90972222222222221</v>
      </c>
      <c r="E11" t="s">
        <v>70</v>
      </c>
      <c r="F11" s="115">
        <f>(F9*L11)/L9</f>
        <v>160.53772039361129</v>
      </c>
      <c r="G11" t="s">
        <v>70</v>
      </c>
      <c r="H11" s="115">
        <f>(H7*L11)/L7</f>
        <v>131.18833392443585</v>
      </c>
      <c r="J11" s="115" t="s">
        <v>10</v>
      </c>
      <c r="L11" s="120">
        <v>270.37171949731896</v>
      </c>
      <c r="N11" s="112" t="s">
        <v>10</v>
      </c>
      <c r="O11" s="48">
        <f t="shared" si="0"/>
        <v>562.09777381536605</v>
      </c>
    </row>
    <row r="12" spans="1:17" x14ac:dyDescent="0.25">
      <c r="A12" s="22">
        <v>43770</v>
      </c>
      <c r="B12" s="21" t="s">
        <v>18</v>
      </c>
      <c r="C12" s="21">
        <v>-0.2</v>
      </c>
      <c r="D12" s="25">
        <v>0.94305555555555554</v>
      </c>
      <c r="E12" t="s">
        <v>70</v>
      </c>
      <c r="F12" s="115">
        <f>(H12*F6)/H6</f>
        <v>752.81653361308054</v>
      </c>
      <c r="H12" s="120">
        <v>346.17532707120318</v>
      </c>
      <c r="J12" s="120">
        <v>744.83294881787833</v>
      </c>
      <c r="L12" s="115" t="s">
        <v>10</v>
      </c>
      <c r="N12" s="112" t="s">
        <v>10</v>
      </c>
      <c r="O12" s="48">
        <f t="shared" si="0"/>
        <v>1843.824809502162</v>
      </c>
    </row>
    <row r="13" spans="1:17" x14ac:dyDescent="0.25">
      <c r="A13" s="22"/>
      <c r="B13" s="21"/>
      <c r="C13" s="21"/>
      <c r="D13" s="25"/>
      <c r="N13" s="21"/>
    </row>
    <row r="14" spans="1:17" x14ac:dyDescent="0.25">
      <c r="A14" s="22">
        <v>43780</v>
      </c>
      <c r="B14" s="21" t="s">
        <v>21</v>
      </c>
      <c r="C14" s="21">
        <v>0.1</v>
      </c>
      <c r="D14" s="25">
        <v>0.74375000000000002</v>
      </c>
      <c r="E14" t="s">
        <v>70</v>
      </c>
      <c r="F14" s="115">
        <f>(F18*J14)/J18</f>
        <v>1044.2736886910068</v>
      </c>
      <c r="G14" t="s">
        <v>70</v>
      </c>
      <c r="H14" s="115">
        <f>(H18*J14)/J18</f>
        <v>1100.4606889439924</v>
      </c>
      <c r="J14" s="118">
        <v>1880.8272706400699</v>
      </c>
      <c r="L14" s="115" t="s">
        <v>10</v>
      </c>
      <c r="N14" s="21" t="s">
        <v>10</v>
      </c>
      <c r="O14" s="48">
        <f t="shared" si="0"/>
        <v>4025.5616482750688</v>
      </c>
    </row>
    <row r="15" spans="1:17" x14ac:dyDescent="0.25">
      <c r="A15" s="22">
        <v>43781</v>
      </c>
      <c r="B15" s="21" t="s">
        <v>22</v>
      </c>
      <c r="C15" s="21">
        <v>-0.3</v>
      </c>
      <c r="D15" s="25">
        <v>0.76874999999999993</v>
      </c>
      <c r="F15" s="115">
        <v>1066.5498</v>
      </c>
      <c r="H15" s="118">
        <v>716.19050871488071</v>
      </c>
      <c r="J15" s="115" t="s">
        <v>10</v>
      </c>
      <c r="L15" s="118">
        <v>947.47896976629579</v>
      </c>
      <c r="N15" s="113" t="s">
        <v>10</v>
      </c>
      <c r="O15" s="48">
        <f t="shared" si="0"/>
        <v>2730.2192784811764</v>
      </c>
    </row>
    <row r="16" spans="1:17" x14ac:dyDescent="0.25">
      <c r="A16" s="22">
        <v>43782</v>
      </c>
      <c r="B16" s="21" t="s">
        <v>23</v>
      </c>
      <c r="C16" s="21">
        <v>-0.5</v>
      </c>
      <c r="D16" s="25">
        <v>0.79375000000000007</v>
      </c>
      <c r="E16" t="s">
        <v>70</v>
      </c>
      <c r="F16" s="115">
        <f>(F18*J16)/J18</f>
        <v>470.44496313611813</v>
      </c>
      <c r="G16" t="s">
        <v>70</v>
      </c>
      <c r="H16" s="115">
        <f>(H18*J16)/J18</f>
        <v>495.7571887997546</v>
      </c>
      <c r="J16" s="118">
        <v>847.31208454634043</v>
      </c>
      <c r="L16" s="115" t="s">
        <v>10</v>
      </c>
      <c r="N16" s="113" t="s">
        <v>10</v>
      </c>
      <c r="O16" s="48">
        <f t="shared" si="0"/>
        <v>1813.5142364822132</v>
      </c>
    </row>
    <row r="17" spans="1:15" x14ac:dyDescent="0.25">
      <c r="A17" s="22">
        <v>43783</v>
      </c>
      <c r="B17" s="21" t="s">
        <v>24</v>
      </c>
      <c r="C17" s="21">
        <v>-0.6</v>
      </c>
      <c r="D17" s="25">
        <v>0.82013888888888886</v>
      </c>
      <c r="E17" t="s">
        <v>70</v>
      </c>
      <c r="F17" s="115">
        <f>(F15*L17)/L15</f>
        <v>684.82271895787153</v>
      </c>
      <c r="G17" t="s">
        <v>70</v>
      </c>
      <c r="H17" s="115">
        <f>(H15*L17)/L15</f>
        <v>459.85994415820602</v>
      </c>
      <c r="J17" s="115" t="s">
        <v>10</v>
      </c>
      <c r="L17" s="118">
        <v>608.36833332185483</v>
      </c>
      <c r="N17" s="113" t="s">
        <v>10</v>
      </c>
      <c r="O17" s="48">
        <f t="shared" si="0"/>
        <v>1753.0509964379323</v>
      </c>
    </row>
    <row r="18" spans="1:15" x14ac:dyDescent="0.25">
      <c r="A18" s="22">
        <v>43784</v>
      </c>
      <c r="B18" s="21" t="s">
        <v>18</v>
      </c>
      <c r="C18" s="21">
        <v>-0.5</v>
      </c>
      <c r="D18" s="25">
        <v>0.84861111111111109</v>
      </c>
      <c r="F18" s="115">
        <v>811.33579999999995</v>
      </c>
      <c r="H18" s="118">
        <v>854.98960962245508</v>
      </c>
      <c r="J18" s="118">
        <v>1461.285977816209</v>
      </c>
      <c r="L18" s="115" t="s">
        <v>10</v>
      </c>
      <c r="N18" s="113" t="s">
        <v>10</v>
      </c>
      <c r="O18" s="48">
        <f t="shared" si="0"/>
        <v>3127.6113874386638</v>
      </c>
    </row>
    <row r="19" spans="1:15" x14ac:dyDescent="0.25">
      <c r="A19" s="22">
        <v>43785</v>
      </c>
      <c r="B19" s="21" t="s">
        <v>19</v>
      </c>
      <c r="C19" s="21">
        <v>-0.3</v>
      </c>
      <c r="D19" s="25">
        <v>0.88055555555555554</v>
      </c>
      <c r="F19" s="115">
        <v>2195.7856000000002</v>
      </c>
      <c r="G19" t="s">
        <v>70</v>
      </c>
      <c r="H19" s="115">
        <f>(H18*F19)/F18</f>
        <v>2313.9295381254083</v>
      </c>
      <c r="J19" s="115" t="s">
        <v>10</v>
      </c>
      <c r="L19" s="118">
        <v>1903.9513264878728</v>
      </c>
      <c r="N19" s="113" t="s">
        <v>10</v>
      </c>
      <c r="O19" s="48">
        <f t="shared" si="0"/>
        <v>6413.6664646132813</v>
      </c>
    </row>
    <row r="20" spans="1:15" x14ac:dyDescent="0.25">
      <c r="A20" s="22">
        <v>43786</v>
      </c>
      <c r="B20" s="21" t="s">
        <v>20</v>
      </c>
      <c r="C20" s="21">
        <v>-0.1</v>
      </c>
      <c r="D20" s="25">
        <v>0.9159722222222223</v>
      </c>
      <c r="E20" t="s">
        <v>70</v>
      </c>
      <c r="F20" s="115">
        <f>(F15*H20)/H15</f>
        <v>196.82442204878413</v>
      </c>
      <c r="H20" s="118">
        <v>132.16802717944449</v>
      </c>
      <c r="J20" s="118">
        <v>313.91261665416698</v>
      </c>
      <c r="L20" s="115" t="s">
        <v>10</v>
      </c>
      <c r="N20" s="113" t="s">
        <v>10</v>
      </c>
      <c r="O20" s="48">
        <f t="shared" si="0"/>
        <v>642.90506588239555</v>
      </c>
    </row>
    <row r="21" spans="1:15" x14ac:dyDescent="0.25">
      <c r="A21" s="22"/>
      <c r="B21" s="21"/>
      <c r="C21" s="21"/>
      <c r="D21" s="25"/>
      <c r="N21" s="21"/>
    </row>
    <row r="22" spans="1:15" x14ac:dyDescent="0.25">
      <c r="A22" s="22">
        <v>43793</v>
      </c>
      <c r="B22" s="21" t="s">
        <v>20</v>
      </c>
      <c r="C22" s="21">
        <v>-0.4</v>
      </c>
      <c r="D22" s="25">
        <v>0.69930555555555562</v>
      </c>
      <c r="F22" s="115">
        <v>3014.0320000000002</v>
      </c>
      <c r="G22" t="s">
        <v>70</v>
      </c>
      <c r="H22" s="115">
        <f>H28*J22/J28</f>
        <v>1264.2011099304812</v>
      </c>
      <c r="J22" s="115">
        <v>3356.61746464207</v>
      </c>
      <c r="L22" s="115" t="s">
        <v>10</v>
      </c>
      <c r="N22" s="21" t="s">
        <v>10</v>
      </c>
      <c r="O22" s="48">
        <f t="shared" si="0"/>
        <v>7634.8505745725506</v>
      </c>
    </row>
    <row r="23" spans="1:15" x14ac:dyDescent="0.25">
      <c r="A23" s="22">
        <v>43794</v>
      </c>
      <c r="B23" s="21" t="s">
        <v>21</v>
      </c>
      <c r="C23" s="21">
        <v>-1</v>
      </c>
      <c r="D23" s="25">
        <v>0.7319444444444444</v>
      </c>
      <c r="E23" t="s">
        <v>70</v>
      </c>
      <c r="F23" s="115">
        <f>H23*F28/H28</f>
        <v>1548.5789765433412</v>
      </c>
      <c r="H23" s="115">
        <v>942.04165887272404</v>
      </c>
      <c r="J23" s="115" t="s">
        <v>10</v>
      </c>
      <c r="L23" s="115">
        <v>1216.1297411451001</v>
      </c>
      <c r="N23" s="127" t="s">
        <v>10</v>
      </c>
      <c r="O23" s="48">
        <f t="shared" si="0"/>
        <v>3706.7503765611655</v>
      </c>
    </row>
    <row r="24" spans="1:15" x14ac:dyDescent="0.25">
      <c r="A24" s="22">
        <v>43795</v>
      </c>
      <c r="B24" s="21" t="s">
        <v>22</v>
      </c>
      <c r="C24" s="21">
        <v>-1.3</v>
      </c>
      <c r="D24" s="25">
        <v>0.76250000000000007</v>
      </c>
      <c r="E24" t="s">
        <v>70</v>
      </c>
      <c r="F24" s="115">
        <f>J24*F22/J22</f>
        <v>1059.5404458895632</v>
      </c>
      <c r="G24" t="s">
        <v>70</v>
      </c>
      <c r="H24" s="115">
        <f>J24*H28/J28</f>
        <v>444.41207250282105</v>
      </c>
      <c r="J24" s="115">
        <v>1179.97153486345</v>
      </c>
      <c r="L24" s="115" t="s">
        <v>10</v>
      </c>
      <c r="N24" s="127" t="s">
        <v>10</v>
      </c>
      <c r="O24" s="48">
        <f t="shared" si="0"/>
        <v>2683.9240532558342</v>
      </c>
    </row>
    <row r="25" spans="1:15" x14ac:dyDescent="0.25">
      <c r="A25" s="22">
        <v>43796</v>
      </c>
      <c r="B25" s="21" t="s">
        <v>23</v>
      </c>
      <c r="C25" s="21">
        <v>-1.4</v>
      </c>
      <c r="D25" s="25">
        <v>0.79305555555555562</v>
      </c>
      <c r="F25" s="115">
        <f>(1367.75197577578/1646.2812570957*666.666662008917)+666.666662008917</f>
        <v>1220.5420342859243</v>
      </c>
      <c r="G25" t="s">
        <v>70</v>
      </c>
      <c r="H25" s="115">
        <f>L25*H23/L23</f>
        <v>603.11255995900137</v>
      </c>
      <c r="J25" s="115" t="s">
        <v>10</v>
      </c>
      <c r="L25" s="115">
        <v>778.58883895005602</v>
      </c>
      <c r="N25" s="127" t="s">
        <v>10</v>
      </c>
      <c r="O25" s="48">
        <f t="shared" si="0"/>
        <v>2602.2434331949817</v>
      </c>
    </row>
    <row r="26" spans="1:15" x14ac:dyDescent="0.25">
      <c r="A26" s="22">
        <v>43797</v>
      </c>
      <c r="B26" s="21" t="s">
        <v>24</v>
      </c>
      <c r="C26" s="21">
        <v>-1.2</v>
      </c>
      <c r="D26" s="25">
        <v>0.8222222222222223</v>
      </c>
      <c r="E26" t="s">
        <v>70</v>
      </c>
      <c r="F26" s="115">
        <f>J26*F22/J22</f>
        <v>1458.1811963325936</v>
      </c>
      <c r="G26" t="s">
        <v>70</v>
      </c>
      <c r="H26" s="115">
        <f>J26*H28/J28</f>
        <v>611.61735737491233</v>
      </c>
      <c r="J26" s="115">
        <v>1623.9231933246399</v>
      </c>
      <c r="L26" s="115" t="s">
        <v>10</v>
      </c>
      <c r="N26" s="127" t="s">
        <v>10</v>
      </c>
      <c r="O26" s="48">
        <f t="shared" si="0"/>
        <v>3693.7217470321457</v>
      </c>
    </row>
    <row r="27" spans="1:15" x14ac:dyDescent="0.25">
      <c r="A27" s="22">
        <v>43798</v>
      </c>
      <c r="B27" s="21" t="s">
        <v>18</v>
      </c>
      <c r="C27" s="21">
        <v>-0.7</v>
      </c>
      <c r="D27" s="25">
        <v>0.8534722222222223</v>
      </c>
      <c r="E27" t="s">
        <v>70</v>
      </c>
      <c r="F27" s="115">
        <f>L27*F25/L25</f>
        <v>3184.4980043530381</v>
      </c>
      <c r="G27" t="s">
        <v>70</v>
      </c>
      <c r="H27" s="115">
        <f>L27*H23/L23</f>
        <v>1573.5719783819993</v>
      </c>
      <c r="J27" s="115" t="s">
        <v>10</v>
      </c>
      <c r="L27" s="115">
        <v>2031.40451881166</v>
      </c>
      <c r="N27" s="127" t="s">
        <v>10</v>
      </c>
      <c r="O27" s="48">
        <f t="shared" si="0"/>
        <v>6789.474501546697</v>
      </c>
    </row>
    <row r="28" spans="1:15" x14ac:dyDescent="0.25">
      <c r="A28" s="22">
        <v>43799</v>
      </c>
      <c r="B28" s="21" t="s">
        <v>19</v>
      </c>
      <c r="C28" s="21">
        <v>-0.2</v>
      </c>
      <c r="D28" s="25">
        <v>0.88194444444444453</v>
      </c>
      <c r="F28" s="115">
        <f>(1367.7519757757/1646.2812570957*512.567119073571)+512.567119073571</f>
        <v>938.41457788952334</v>
      </c>
      <c r="H28" s="115">
        <v>570.86247395574901</v>
      </c>
      <c r="J28" s="115">
        <v>1515.7137064165499</v>
      </c>
      <c r="L28" s="115" t="s">
        <v>10</v>
      </c>
      <c r="N28" s="127" t="s">
        <v>10</v>
      </c>
      <c r="O28" s="48">
        <f t="shared" si="0"/>
        <v>3024.9907582618225</v>
      </c>
    </row>
    <row r="29" spans="1:15" x14ac:dyDescent="0.25">
      <c r="A29" s="22"/>
      <c r="B29" s="21"/>
      <c r="C29" s="21"/>
      <c r="D29" s="25"/>
      <c r="N29" s="21"/>
    </row>
    <row r="30" spans="1:15" x14ac:dyDescent="0.25">
      <c r="A30" s="22">
        <v>43809</v>
      </c>
      <c r="B30" s="21" t="s">
        <v>22</v>
      </c>
      <c r="C30" s="21">
        <v>-0.2</v>
      </c>
      <c r="D30" s="25">
        <v>0.72777777777777775</v>
      </c>
      <c r="E30" t="s">
        <v>70</v>
      </c>
      <c r="F30" s="115">
        <f>F36*L30/L36</f>
        <v>462.89739893191853</v>
      </c>
      <c r="G30" t="s">
        <v>70</v>
      </c>
      <c r="H30" s="115">
        <f>H36*L30/L36</f>
        <v>439.96592515078737</v>
      </c>
      <c r="J30" s="115" t="s">
        <v>10</v>
      </c>
      <c r="L30" s="115">
        <v>465.07350413715398</v>
      </c>
      <c r="N30" s="128" t="s">
        <v>10</v>
      </c>
      <c r="O30" s="48">
        <f t="shared" si="0"/>
        <v>1367.93682821986</v>
      </c>
    </row>
    <row r="31" spans="1:15" x14ac:dyDescent="0.25">
      <c r="A31" s="22">
        <v>43810</v>
      </c>
      <c r="B31" s="21" t="s">
        <v>23</v>
      </c>
      <c r="C31" s="21">
        <v>-0.6</v>
      </c>
      <c r="D31" s="25">
        <v>0.75416666666666676</v>
      </c>
      <c r="E31" t="s">
        <v>70</v>
      </c>
      <c r="F31" s="115">
        <f>F33*J31/J33</f>
        <v>165.48694939305824</v>
      </c>
      <c r="H31" s="115">
        <v>253.86568870844101</v>
      </c>
      <c r="J31" s="115">
        <v>290.65742365040001</v>
      </c>
      <c r="L31" s="115" t="s">
        <v>10</v>
      </c>
      <c r="N31" s="128" t="s">
        <v>10</v>
      </c>
      <c r="O31" s="48">
        <f t="shared" si="0"/>
        <v>710.01006175189923</v>
      </c>
    </row>
    <row r="32" spans="1:15" x14ac:dyDescent="0.25">
      <c r="A32" s="22">
        <v>43811</v>
      </c>
      <c r="B32" s="21" t="s">
        <v>24</v>
      </c>
      <c r="C32" s="21">
        <v>-0.9</v>
      </c>
      <c r="D32" s="25">
        <v>0.78125</v>
      </c>
      <c r="E32" t="s">
        <v>70</v>
      </c>
      <c r="F32" s="115">
        <f>F36*L32/L36</f>
        <v>271.60359230769217</v>
      </c>
      <c r="G32" t="s">
        <v>70</v>
      </c>
      <c r="H32" s="115">
        <f>H36*L32/L36</f>
        <v>258.14862222093888</v>
      </c>
      <c r="J32" s="115" t="s">
        <v>10</v>
      </c>
      <c r="L32" s="115">
        <v>272.88041518970698</v>
      </c>
      <c r="N32" s="128" t="s">
        <v>10</v>
      </c>
      <c r="O32" s="48">
        <f t="shared" si="0"/>
        <v>802.63262971833797</v>
      </c>
    </row>
    <row r="33" spans="1:15" x14ac:dyDescent="0.25">
      <c r="A33" s="22">
        <v>43812</v>
      </c>
      <c r="B33" s="21" t="s">
        <v>18</v>
      </c>
      <c r="C33" s="21">
        <v>-1</v>
      </c>
      <c r="D33" s="25">
        <v>0.80972222222222223</v>
      </c>
      <c r="F33" s="115">
        <v>674.39800000000002</v>
      </c>
      <c r="G33" t="s">
        <v>70</v>
      </c>
      <c r="H33" s="115">
        <f>H31*J33/J31</f>
        <v>1034.5620205189239</v>
      </c>
      <c r="J33" s="115">
        <v>1184.49694017506</v>
      </c>
      <c r="L33" s="115" t="s">
        <v>10</v>
      </c>
      <c r="N33" s="128" t="s">
        <v>10</v>
      </c>
      <c r="O33" s="48">
        <f t="shared" si="0"/>
        <v>2893.456960693984</v>
      </c>
    </row>
    <row r="34" spans="1:15" x14ac:dyDescent="0.25">
      <c r="A34" s="22">
        <v>43813</v>
      </c>
      <c r="B34" s="21" t="s">
        <v>19</v>
      </c>
      <c r="C34" s="21">
        <v>-1</v>
      </c>
      <c r="D34" s="25">
        <v>0.83888888888888891</v>
      </c>
      <c r="E34" t="s">
        <v>70</v>
      </c>
      <c r="F34" s="115">
        <f>F36*L34/L36</f>
        <v>1668.252414583329</v>
      </c>
      <c r="G34" t="s">
        <v>70</v>
      </c>
      <c r="H34" s="115">
        <f>H36*L34/L36</f>
        <v>1585.6088598915198</v>
      </c>
      <c r="J34" s="115" t="s">
        <v>10</v>
      </c>
      <c r="L34" s="115">
        <v>1676.0949575991201</v>
      </c>
      <c r="N34" s="128" t="s">
        <v>10</v>
      </c>
      <c r="O34" s="48">
        <f t="shared" si="0"/>
        <v>4929.9562320739687</v>
      </c>
    </row>
    <row r="35" spans="1:15" x14ac:dyDescent="0.25">
      <c r="A35" s="22">
        <v>43814</v>
      </c>
      <c r="B35" s="21" t="s">
        <v>20</v>
      </c>
      <c r="C35" s="21">
        <v>-0.8</v>
      </c>
      <c r="D35" s="25">
        <v>0.87013888888888891</v>
      </c>
      <c r="E35" t="s">
        <v>70</v>
      </c>
      <c r="F35" s="115">
        <f>F33*J35/J33</f>
        <v>218.05044111316437</v>
      </c>
      <c r="G35" t="s">
        <v>70</v>
      </c>
      <c r="H35" s="115">
        <f>H31*J35/J31</f>
        <v>334.50085103021945</v>
      </c>
      <c r="J35" s="115">
        <v>382.97871628083902</v>
      </c>
      <c r="L35" s="115" t="s">
        <v>10</v>
      </c>
      <c r="N35" s="128" t="s">
        <v>10</v>
      </c>
      <c r="O35" s="48">
        <f t="shared" si="0"/>
        <v>935.53000842422284</v>
      </c>
    </row>
    <row r="36" spans="1:15" x14ac:dyDescent="0.25">
      <c r="A36" s="22">
        <v>43815</v>
      </c>
      <c r="B36" s="21" t="s">
        <v>21</v>
      </c>
      <c r="C36" s="21">
        <v>-0.4</v>
      </c>
      <c r="D36" s="25">
        <v>0.90347222222222223</v>
      </c>
      <c r="F36" s="115">
        <v>87.181399999999996</v>
      </c>
      <c r="H36" s="115">
        <v>82.862520712893996</v>
      </c>
      <c r="J36" s="115" t="s">
        <v>10</v>
      </c>
      <c r="L36" s="115">
        <v>87.591244381881296</v>
      </c>
      <c r="N36" s="128" t="s">
        <v>10</v>
      </c>
      <c r="O36" s="48">
        <f t="shared" si="0"/>
        <v>257.63516509477529</v>
      </c>
    </row>
    <row r="37" spans="1:15" x14ac:dyDescent="0.25">
      <c r="A37" s="22"/>
      <c r="B37" s="21"/>
      <c r="C37" s="21"/>
      <c r="D37" s="25"/>
      <c r="N37" s="21"/>
    </row>
    <row r="38" spans="1:15" x14ac:dyDescent="0.25">
      <c r="A38" s="22">
        <v>43822</v>
      </c>
      <c r="B38" s="21" t="s">
        <v>21</v>
      </c>
      <c r="C38" s="21">
        <v>-0.4</v>
      </c>
      <c r="D38" s="25">
        <v>0.69097222222222221</v>
      </c>
      <c r="F38" s="115">
        <f>(645.854141341805/1002.43837573607*989.510443316819)+989.510443316819</f>
        <v>1627.0353358049681</v>
      </c>
      <c r="G38" t="s">
        <v>70</v>
      </c>
      <c r="H38" s="115">
        <f>H40*L38/L40</f>
        <v>639.1947708826641</v>
      </c>
      <c r="J38" s="115" t="s">
        <v>10</v>
      </c>
      <c r="L38" s="115">
        <v>1240.07003266891</v>
      </c>
      <c r="N38" s="21" t="s">
        <v>10</v>
      </c>
      <c r="O38" s="48">
        <f t="shared" si="0"/>
        <v>3506.3001393565419</v>
      </c>
    </row>
    <row r="39" spans="1:15" x14ac:dyDescent="0.25">
      <c r="A39" s="22">
        <v>43825</v>
      </c>
      <c r="B39" s="21" t="s">
        <v>24</v>
      </c>
      <c r="C39" s="21">
        <v>-1.1000000000000001</v>
      </c>
      <c r="D39" s="25">
        <v>0.78263888888888899</v>
      </c>
      <c r="F39" s="115">
        <f>645.854141341805+1002.43837573607</f>
        <v>1648.2925170778749</v>
      </c>
      <c r="G39" t="s">
        <v>70</v>
      </c>
      <c r="H39" s="115">
        <f>H41*J39/J41</f>
        <v>1586.9084403974909</v>
      </c>
      <c r="J39" s="115">
        <v>1843.1760681501601</v>
      </c>
      <c r="L39" s="115" t="s">
        <v>10</v>
      </c>
      <c r="N39" s="130" t="s">
        <v>10</v>
      </c>
      <c r="O39" s="48">
        <f t="shared" si="0"/>
        <v>5078.3770256255257</v>
      </c>
    </row>
    <row r="40" spans="1:15" x14ac:dyDescent="0.25">
      <c r="A40" s="22">
        <v>43826</v>
      </c>
      <c r="B40" s="21" t="s">
        <v>18</v>
      </c>
      <c r="C40" s="21">
        <v>-0.9</v>
      </c>
      <c r="D40" s="25">
        <v>0.80972222222222223</v>
      </c>
      <c r="E40" t="s">
        <v>70</v>
      </c>
      <c r="F40" s="115">
        <f>F38*L40/L38</f>
        <v>2566.05806283931</v>
      </c>
      <c r="H40" s="115">
        <v>1008.09789403664</v>
      </c>
      <c r="J40" s="115" t="s">
        <v>10</v>
      </c>
      <c r="L40" s="115">
        <v>1955.76066222381</v>
      </c>
      <c r="N40" s="130" t="s">
        <v>10</v>
      </c>
      <c r="O40" s="48">
        <f t="shared" si="0"/>
        <v>5529.9166190997603</v>
      </c>
    </row>
    <row r="41" spans="1:15" x14ac:dyDescent="0.25">
      <c r="A41" s="22">
        <v>43827</v>
      </c>
      <c r="B41" s="21" t="s">
        <v>19</v>
      </c>
      <c r="C41" s="21">
        <v>-0.6</v>
      </c>
      <c r="D41" s="25">
        <v>0.83680555555555547</v>
      </c>
      <c r="F41" s="115">
        <f>(645.854141341805/1002.43837573607*637.789284700683)+637.789284700683</f>
        <v>1048.7061657756917</v>
      </c>
      <c r="H41" s="115">
        <v>1335.27272727273</v>
      </c>
      <c r="J41" s="115">
        <v>1550.90405514903</v>
      </c>
      <c r="L41" s="115" t="s">
        <v>10</v>
      </c>
      <c r="N41" s="130" t="s">
        <v>10</v>
      </c>
      <c r="O41" s="48">
        <f t="shared" si="0"/>
        <v>3934.8829481974517</v>
      </c>
    </row>
    <row r="42" spans="1:15" x14ac:dyDescent="0.25">
      <c r="A42" s="22">
        <v>43828</v>
      </c>
      <c r="B42" s="21" t="s">
        <v>20</v>
      </c>
      <c r="C42" s="21">
        <v>-0.2</v>
      </c>
      <c r="D42" s="25">
        <v>0.86319444444444438</v>
      </c>
      <c r="E42" t="s">
        <v>70</v>
      </c>
      <c r="F42" s="115">
        <f>F38*L42/L38</f>
        <v>732.64174039187958</v>
      </c>
      <c r="G42" t="s">
        <v>70</v>
      </c>
      <c r="H42" s="115">
        <f>H40*L42/L40</f>
        <v>287.82458443483904</v>
      </c>
      <c r="J42" s="115" t="s">
        <v>10</v>
      </c>
      <c r="L42" s="115">
        <v>558.39418293449398</v>
      </c>
      <c r="N42" s="130" t="s">
        <v>10</v>
      </c>
      <c r="O42" s="48">
        <f t="shared" si="0"/>
        <v>1578.8605077612126</v>
      </c>
    </row>
    <row r="43" spans="1:15" x14ac:dyDescent="0.25">
      <c r="A43" s="22"/>
      <c r="B43" s="131"/>
      <c r="C43" s="131"/>
      <c r="D43" s="25"/>
      <c r="N43" s="134"/>
    </row>
    <row r="44" spans="1:15" x14ac:dyDescent="0.25">
      <c r="A44" s="22">
        <v>43838</v>
      </c>
      <c r="B44" s="132" t="s">
        <v>23</v>
      </c>
      <c r="C44" s="132">
        <v>-0.3</v>
      </c>
      <c r="D44" s="25">
        <v>0.71180555555555547</v>
      </c>
      <c r="F44" s="115">
        <f>(645.854141341805/1002.43837573607*302.447538328286)+302.447538328286</f>
        <v>497.3093870923318</v>
      </c>
      <c r="G44" t="s">
        <v>70</v>
      </c>
      <c r="H44" s="115">
        <f>(H50/L50*L44)</f>
        <v>218.44573032807753</v>
      </c>
      <c r="J44" s="115" t="s">
        <v>10</v>
      </c>
      <c r="L44" s="115">
        <v>255.47446278048699</v>
      </c>
      <c r="N44" s="134" t="s">
        <v>10</v>
      </c>
      <c r="O44" s="48">
        <f t="shared" si="0"/>
        <v>971.22958020089629</v>
      </c>
    </row>
    <row r="45" spans="1:15" x14ac:dyDescent="0.25">
      <c r="A45" s="22">
        <v>43839</v>
      </c>
      <c r="B45" s="132" t="s">
        <v>24</v>
      </c>
      <c r="C45" s="132">
        <v>-0.8</v>
      </c>
      <c r="D45" s="25">
        <v>0.74097222222222225</v>
      </c>
      <c r="F45" s="115">
        <f>(645.854141341805/1002.43837573607*307.692293328198)+307.692293328198</f>
        <v>505.9332492962443</v>
      </c>
      <c r="H45" s="115">
        <v>519.77399356269802</v>
      </c>
      <c r="J45" s="115">
        <v>1027.62434187908</v>
      </c>
      <c r="L45" s="115" t="s">
        <v>10</v>
      </c>
      <c r="N45" s="134" t="s">
        <v>10</v>
      </c>
      <c r="O45" s="48">
        <f t="shared" si="0"/>
        <v>2053.3315847380222</v>
      </c>
    </row>
    <row r="46" spans="1:15" x14ac:dyDescent="0.25">
      <c r="A46" s="22">
        <v>43840</v>
      </c>
      <c r="B46" s="132" t="s">
        <v>18</v>
      </c>
      <c r="C46" s="132">
        <v>-1.2</v>
      </c>
      <c r="D46" s="25">
        <v>0.77013888888888893</v>
      </c>
      <c r="E46" t="s">
        <v>70</v>
      </c>
      <c r="F46" s="115">
        <f>(F44/L44*L46)</f>
        <v>752.68960211836463</v>
      </c>
      <c r="G46" t="s">
        <v>70</v>
      </c>
      <c r="H46" s="115">
        <f>(H50/L50*L46)</f>
        <v>330.62281572129115</v>
      </c>
      <c r="J46" s="115" t="s">
        <v>10</v>
      </c>
      <c r="L46" s="115">
        <v>386.66668422638497</v>
      </c>
      <c r="N46" s="134" t="s">
        <v>10</v>
      </c>
      <c r="O46" s="48">
        <f t="shared" si="0"/>
        <v>1469.9791020660409</v>
      </c>
    </row>
    <row r="47" spans="1:15" x14ac:dyDescent="0.25">
      <c r="A47" s="22">
        <v>43841</v>
      </c>
      <c r="B47" s="132" t="s">
        <v>19</v>
      </c>
      <c r="C47" s="132">
        <v>-1.4</v>
      </c>
      <c r="D47" s="25">
        <v>0.7993055555555556</v>
      </c>
      <c r="E47" t="s">
        <v>70</v>
      </c>
      <c r="F47" s="115">
        <v>0</v>
      </c>
      <c r="G47" t="s">
        <v>70</v>
      </c>
      <c r="H47" s="115">
        <v>0</v>
      </c>
      <c r="J47" s="115">
        <v>0</v>
      </c>
      <c r="L47" s="115" t="s">
        <v>10</v>
      </c>
      <c r="N47" s="134" t="s">
        <v>10</v>
      </c>
      <c r="O47" s="48">
        <f t="shared" si="0"/>
        <v>0</v>
      </c>
    </row>
    <row r="48" spans="1:15" x14ac:dyDescent="0.25">
      <c r="A48" s="22">
        <v>43842</v>
      </c>
      <c r="B48" s="132" t="s">
        <v>20</v>
      </c>
      <c r="C48" s="132">
        <v>-1.3</v>
      </c>
      <c r="D48" s="25">
        <v>0.82847222222222217</v>
      </c>
      <c r="E48" t="s">
        <v>70</v>
      </c>
      <c r="F48" s="115">
        <v>0</v>
      </c>
      <c r="G48" t="s">
        <v>70</v>
      </c>
      <c r="H48" s="115">
        <v>0</v>
      </c>
      <c r="J48" s="115" t="s">
        <v>10</v>
      </c>
      <c r="L48" s="115">
        <v>0</v>
      </c>
      <c r="N48" s="134" t="s">
        <v>10</v>
      </c>
      <c r="O48" s="48">
        <f t="shared" si="0"/>
        <v>0</v>
      </c>
    </row>
    <row r="49" spans="1:15" x14ac:dyDescent="0.25">
      <c r="A49" s="22">
        <v>43843</v>
      </c>
      <c r="B49" s="132" t="s">
        <v>21</v>
      </c>
      <c r="C49" s="132">
        <v>-1.2</v>
      </c>
      <c r="D49" s="25">
        <v>0.85833333333333339</v>
      </c>
      <c r="F49" s="115">
        <f>(645.854141341805/1002.43837573607*30.5706514955572)+30.5706514955572</f>
        <v>50.266806740436877</v>
      </c>
      <c r="H49" s="115">
        <v>29.795158260321301</v>
      </c>
      <c r="J49" s="115">
        <v>131.62705885288599</v>
      </c>
      <c r="L49" s="115" t="s">
        <v>10</v>
      </c>
      <c r="N49" s="134" t="s">
        <v>10</v>
      </c>
      <c r="O49" s="48">
        <f t="shared" si="0"/>
        <v>211.68902385364419</v>
      </c>
    </row>
    <row r="50" spans="1:15" x14ac:dyDescent="0.25">
      <c r="A50" s="22">
        <v>43844</v>
      </c>
      <c r="B50" s="132" t="s">
        <v>22</v>
      </c>
      <c r="C50" s="132">
        <v>-0.5</v>
      </c>
      <c r="D50" s="25">
        <v>0.88888888888888884</v>
      </c>
      <c r="E50" t="s">
        <v>70</v>
      </c>
      <c r="F50" s="115">
        <f>(F44/L44*L50)</f>
        <v>42.394430960339513</v>
      </c>
      <c r="H50" s="115">
        <v>18.621973912700799</v>
      </c>
      <c r="J50" s="115" t="s">
        <v>10</v>
      </c>
      <c r="L50" s="115">
        <v>21.778584429708999</v>
      </c>
      <c r="N50" s="134" t="s">
        <v>10</v>
      </c>
      <c r="O50" s="48">
        <f t="shared" si="0"/>
        <v>82.794989302749315</v>
      </c>
    </row>
    <row r="51" spans="1:15" x14ac:dyDescent="0.25">
      <c r="A51" s="22"/>
      <c r="B51" s="132"/>
      <c r="C51" s="132"/>
      <c r="D51" s="25"/>
      <c r="N51" s="132"/>
    </row>
    <row r="52" spans="1:15" x14ac:dyDescent="0.25">
      <c r="A52" s="22">
        <v>43851</v>
      </c>
      <c r="B52" s="132" t="s">
        <v>22</v>
      </c>
      <c r="C52" s="132">
        <v>-0.1</v>
      </c>
      <c r="D52" s="25">
        <v>0.68263888888888891</v>
      </c>
      <c r="F52" s="115">
        <f>(645.854141341805/1002.43837573607*242.48250616262)+242.48250616262</f>
        <v>398.70989589425676</v>
      </c>
      <c r="H52" s="115">
        <v>297.28274476541498</v>
      </c>
      <c r="J52" s="115" t="s">
        <v>10</v>
      </c>
      <c r="L52" s="115">
        <v>246.35037482404101</v>
      </c>
      <c r="N52" s="132" t="s">
        <v>10</v>
      </c>
      <c r="O52" s="48">
        <f t="shared" si="0"/>
        <v>942.34301548371263</v>
      </c>
    </row>
    <row r="53" spans="1:15" x14ac:dyDescent="0.25">
      <c r="A53" s="22">
        <v>43852</v>
      </c>
      <c r="B53" s="132" t="s">
        <v>23</v>
      </c>
      <c r="C53" s="132">
        <v>-0.5</v>
      </c>
      <c r="D53" s="25">
        <v>0.71527777777777779</v>
      </c>
      <c r="E53" t="s">
        <v>70</v>
      </c>
      <c r="F53" s="115">
        <f>F55/J55*J53</f>
        <v>274.26621691410969</v>
      </c>
      <c r="G53" t="s">
        <v>70</v>
      </c>
      <c r="H53" s="115">
        <f>H55/J55*J53</f>
        <v>141.59540919027199</v>
      </c>
      <c r="J53" s="115">
        <v>278.08472334003801</v>
      </c>
      <c r="L53" s="115" t="s">
        <v>10</v>
      </c>
      <c r="N53" s="135" t="s">
        <v>10</v>
      </c>
      <c r="O53" s="48">
        <f t="shared" si="0"/>
        <v>693.94634944441964</v>
      </c>
    </row>
    <row r="54" spans="1:15" x14ac:dyDescent="0.25">
      <c r="A54" s="22">
        <v>43853</v>
      </c>
      <c r="B54" s="132" t="s">
        <v>24</v>
      </c>
      <c r="C54" s="132">
        <v>-0.6</v>
      </c>
      <c r="D54" s="25">
        <v>0.74513888888888891</v>
      </c>
      <c r="E54" t="s">
        <v>70</v>
      </c>
      <c r="F54" s="115">
        <f>F56/L56*L54</f>
        <v>89.801142623586784</v>
      </c>
      <c r="G54" t="s">
        <v>70</v>
      </c>
      <c r="H54" s="115">
        <f>H56/L56*L54</f>
        <v>55.143748773495048</v>
      </c>
      <c r="J54" s="115" t="s">
        <v>10</v>
      </c>
      <c r="L54" s="115">
        <v>64.761907702941301</v>
      </c>
      <c r="N54" s="135" t="s">
        <v>10</v>
      </c>
      <c r="O54" s="48">
        <f t="shared" si="0"/>
        <v>209.70679910002315</v>
      </c>
    </row>
    <row r="55" spans="1:15" x14ac:dyDescent="0.25">
      <c r="A55" s="22">
        <v>43854</v>
      </c>
      <c r="B55" s="132" t="s">
        <v>18</v>
      </c>
      <c r="C55" s="132">
        <v>-0.6</v>
      </c>
      <c r="D55" s="25">
        <v>0.77222222222222225</v>
      </c>
      <c r="F55" s="115">
        <f>(645.854141341805/1002.43837573607*412.587393326448)+412.587393326448</f>
        <v>678.41049337451057</v>
      </c>
      <c r="H55" s="115">
        <v>350.24295915533997</v>
      </c>
      <c r="J55" s="115">
        <v>687.855750094477</v>
      </c>
      <c r="L55" s="115" t="s">
        <v>10</v>
      </c>
      <c r="N55" s="135" t="s">
        <v>10</v>
      </c>
      <c r="O55" s="48">
        <f t="shared" si="0"/>
        <v>1716.5092026243274</v>
      </c>
    </row>
    <row r="56" spans="1:15" x14ac:dyDescent="0.25">
      <c r="A56" s="22">
        <v>43855</v>
      </c>
      <c r="B56" s="132" t="s">
        <v>19</v>
      </c>
      <c r="C56" s="132">
        <v>-0.5</v>
      </c>
      <c r="D56" s="25">
        <v>0.79722222222222217</v>
      </c>
      <c r="F56" s="115">
        <f>(645.854141341805/1002.43837573607*857.142851154322)+857.142851154322</f>
        <v>1409.3855361303954</v>
      </c>
      <c r="H56" s="115">
        <v>865.45448820334798</v>
      </c>
      <c r="J56" s="115" t="s">
        <v>10</v>
      </c>
      <c r="L56" s="115">
        <v>1016.40684452453</v>
      </c>
      <c r="N56" s="135" t="s">
        <v>10</v>
      </c>
      <c r="O56" s="48">
        <f t="shared" si="0"/>
        <v>3291.246868858273</v>
      </c>
    </row>
    <row r="57" spans="1:15" x14ac:dyDescent="0.25">
      <c r="A57" s="22">
        <v>43856</v>
      </c>
      <c r="B57" s="132" t="s">
        <v>20</v>
      </c>
      <c r="C57" s="132">
        <v>-0.3</v>
      </c>
      <c r="D57" s="25">
        <v>0.8208333333333333</v>
      </c>
      <c r="E57" t="s">
        <v>70</v>
      </c>
      <c r="F57" s="115">
        <f>F55/J55*J57</f>
        <v>155.93408867809589</v>
      </c>
      <c r="G57" t="s">
        <v>70</v>
      </c>
      <c r="H57" s="115">
        <f>H55/J55*J57</f>
        <v>80.504085926126535</v>
      </c>
      <c r="J57" s="115">
        <v>158.105100938877</v>
      </c>
      <c r="L57" s="115" t="s">
        <v>10</v>
      </c>
      <c r="N57" s="135" t="s">
        <v>10</v>
      </c>
      <c r="O57" s="48">
        <f t="shared" si="0"/>
        <v>394.54327554309941</v>
      </c>
    </row>
    <row r="58" spans="1:15" x14ac:dyDescent="0.25">
      <c r="A58" s="22"/>
      <c r="B58" s="132"/>
      <c r="C58" s="132"/>
      <c r="D58" s="25"/>
      <c r="N58" s="137"/>
    </row>
    <row r="59" spans="1:15" x14ac:dyDescent="0.25">
      <c r="A59" s="22">
        <v>43867</v>
      </c>
      <c r="B59" s="132" t="s">
        <v>24</v>
      </c>
      <c r="C59" s="132">
        <v>-0.3</v>
      </c>
      <c r="D59" s="25">
        <v>0.69444444444444453</v>
      </c>
      <c r="F59" s="115">
        <f>(645.854141341805/1002.43837573607*259.084351397316)+259.084351397316</f>
        <v>426.00803005631042</v>
      </c>
      <c r="G59" t="s">
        <v>70</v>
      </c>
      <c r="H59" s="115">
        <f>H65/L65*L59</f>
        <v>266.70758539179263</v>
      </c>
      <c r="J59" s="115" t="s">
        <v>10</v>
      </c>
      <c r="L59" s="115">
        <v>225.88236319918599</v>
      </c>
      <c r="N59" s="137" t="s">
        <v>10</v>
      </c>
      <c r="O59" s="48">
        <f t="shared" si="0"/>
        <v>918.5979786472891</v>
      </c>
    </row>
    <row r="60" spans="1:15" x14ac:dyDescent="0.25">
      <c r="A60" s="22">
        <v>43868</v>
      </c>
      <c r="B60" s="132" t="s">
        <v>18</v>
      </c>
      <c r="C60" s="132">
        <v>-0.9</v>
      </c>
      <c r="D60" s="25">
        <v>0.72638888888888886</v>
      </c>
      <c r="F60" s="115">
        <f>(645.854141341805/1002.43837573607*786.00858983633)+786.00858983633</f>
        <v>1292.4206697841582</v>
      </c>
      <c r="G60" t="s">
        <v>70</v>
      </c>
      <c r="H60" s="115">
        <f>H64/J64*J60</f>
        <v>494.67003800918457</v>
      </c>
      <c r="J60" s="115">
        <v>883.55452970237798</v>
      </c>
      <c r="L60" s="115" t="s">
        <v>10</v>
      </c>
      <c r="N60" s="137" t="s">
        <v>10</v>
      </c>
      <c r="O60" s="48">
        <f t="shared" si="0"/>
        <v>2670.6452374957207</v>
      </c>
    </row>
    <row r="61" spans="1:15" x14ac:dyDescent="0.25">
      <c r="A61" s="22">
        <v>43869</v>
      </c>
      <c r="B61" s="132" t="s">
        <v>19</v>
      </c>
      <c r="C61" s="132">
        <v>-1.3</v>
      </c>
      <c r="D61" s="25">
        <v>0.75624999999999998</v>
      </c>
      <c r="E61" t="s">
        <v>70</v>
      </c>
      <c r="F61" s="115">
        <f>F59/L59*L61</f>
        <v>7496.8358357944808</v>
      </c>
      <c r="G61" t="s">
        <v>70</v>
      </c>
      <c r="H61" s="115">
        <f>H65/L65*L61</f>
        <v>4693.4866077034158</v>
      </c>
      <c r="J61" s="115" t="s">
        <v>10</v>
      </c>
      <c r="L61" s="115">
        <v>3975.04947238146</v>
      </c>
      <c r="N61" s="137" t="s">
        <v>10</v>
      </c>
      <c r="O61" s="48">
        <f t="shared" si="0"/>
        <v>16165.371915879357</v>
      </c>
    </row>
    <row r="62" spans="1:15" x14ac:dyDescent="0.25">
      <c r="A62" s="22">
        <v>43870</v>
      </c>
      <c r="B62" s="132" t="s">
        <v>20</v>
      </c>
      <c r="C62" s="132">
        <v>-1.4</v>
      </c>
      <c r="D62" s="25">
        <v>0.78541666666666676</v>
      </c>
      <c r="E62" t="s">
        <v>70</v>
      </c>
      <c r="F62" s="115">
        <f>F60/J60*J62</f>
        <v>4574.289040294957</v>
      </c>
      <c r="G62" t="s">
        <v>70</v>
      </c>
      <c r="H62" s="115">
        <f>H64/J64*J62</f>
        <v>1750.7950672172378</v>
      </c>
      <c r="J62" s="115">
        <v>3127.1813397997798</v>
      </c>
      <c r="L62" s="115" t="s">
        <v>10</v>
      </c>
      <c r="N62" s="137" t="s">
        <v>10</v>
      </c>
      <c r="O62" s="48">
        <f t="shared" si="0"/>
        <v>9452.2654473119746</v>
      </c>
    </row>
    <row r="63" spans="1:15" x14ac:dyDescent="0.25">
      <c r="A63" s="22">
        <v>43871</v>
      </c>
      <c r="B63" s="132" t="s">
        <v>21</v>
      </c>
      <c r="C63" s="132">
        <v>-1.3</v>
      </c>
      <c r="D63" s="25">
        <v>0.81388888888888899</v>
      </c>
      <c r="E63" t="s">
        <v>70</v>
      </c>
      <c r="F63" s="115">
        <f>F59/L59*L63</f>
        <v>1371.6167032116887</v>
      </c>
      <c r="G63" t="s">
        <v>70</v>
      </c>
      <c r="H63" s="115">
        <f>H65/L65*L63</f>
        <v>858.71756677517499</v>
      </c>
      <c r="J63" s="115" t="s">
        <v>10</v>
      </c>
      <c r="L63" s="115">
        <v>727.27272836612894</v>
      </c>
      <c r="N63" s="137" t="s">
        <v>10</v>
      </c>
      <c r="O63" s="48">
        <f t="shared" si="0"/>
        <v>2957.6069983529924</v>
      </c>
    </row>
    <row r="64" spans="1:15" x14ac:dyDescent="0.25">
      <c r="A64" s="22">
        <v>43872</v>
      </c>
      <c r="B64" s="132" t="s">
        <v>22</v>
      </c>
      <c r="C64" s="132">
        <v>-0.8</v>
      </c>
      <c r="D64" s="25">
        <v>0.84236111111111101</v>
      </c>
      <c r="F64" s="115">
        <f>(645.854141341805/1002.43837573607*44.2176871106882)+44.2176871106882</f>
        <v>72.706397272072877</v>
      </c>
      <c r="H64" s="115">
        <v>168.253975894897</v>
      </c>
      <c r="J64" s="115">
        <v>300.52671704286797</v>
      </c>
      <c r="L64" s="115" t="s">
        <v>10</v>
      </c>
      <c r="N64" s="137" t="s">
        <v>10</v>
      </c>
      <c r="O64" s="48">
        <f t="shared" si="0"/>
        <v>541.48709020983779</v>
      </c>
    </row>
    <row r="65" spans="1:15" x14ac:dyDescent="0.25">
      <c r="A65" s="22">
        <v>43873</v>
      </c>
      <c r="B65" s="132" t="s">
        <v>23</v>
      </c>
      <c r="C65" s="132">
        <v>-0.1</v>
      </c>
      <c r="D65" s="25">
        <v>0.87152777777777779</v>
      </c>
      <c r="E65" t="s">
        <v>70</v>
      </c>
      <c r="F65" s="115">
        <f>F59/L59*L65</f>
        <v>192.81512866097228</v>
      </c>
      <c r="H65" s="115">
        <v>120.714291196291</v>
      </c>
      <c r="J65" s="115" t="s">
        <v>10</v>
      </c>
      <c r="L65" s="115">
        <v>102.236422437245</v>
      </c>
      <c r="N65" s="137" t="s">
        <v>10</v>
      </c>
      <c r="O65" s="48">
        <f t="shared" si="0"/>
        <v>415.76584229450827</v>
      </c>
    </row>
    <row r="66" spans="1:15" x14ac:dyDescent="0.25">
      <c r="A66" s="22"/>
      <c r="B66" s="132"/>
      <c r="C66" s="132"/>
      <c r="D66" s="25"/>
      <c r="N66" s="132"/>
    </row>
    <row r="67" spans="1:15" x14ac:dyDescent="0.25">
      <c r="A67" s="22">
        <v>43881</v>
      </c>
      <c r="B67" s="132" t="s">
        <v>24</v>
      </c>
      <c r="C67" s="132">
        <v>0</v>
      </c>
      <c r="D67" s="25">
        <v>0.70416666666666661</v>
      </c>
      <c r="F67" s="115">
        <f>(645.854141341805/1002.43837573607*870.500680379717)+870.500680379717</f>
        <v>1431.3495894722835</v>
      </c>
      <c r="H67" s="115">
        <v>1303.5753217486699</v>
      </c>
      <c r="J67" s="115">
        <v>1922.1650422361399</v>
      </c>
      <c r="L67" s="115" t="s">
        <v>10</v>
      </c>
      <c r="N67" s="132" t="s">
        <v>10</v>
      </c>
      <c r="O67" s="48">
        <f t="shared" si="0"/>
        <v>4657.0899534570935</v>
      </c>
    </row>
    <row r="68" spans="1:15" x14ac:dyDescent="0.25">
      <c r="A68" s="22">
        <v>43882</v>
      </c>
      <c r="B68" s="132" t="s">
        <v>18</v>
      </c>
      <c r="C68" s="132">
        <v>-0.1</v>
      </c>
      <c r="D68" s="25">
        <v>0.73263888888888884</v>
      </c>
      <c r="F68" s="115">
        <f>(645.854141341805/1002.43837573607*1147.0504479367)+1147.0504479367</f>
        <v>1886.0757088001578</v>
      </c>
      <c r="H68" s="115">
        <v>1355.6769605423101</v>
      </c>
      <c r="J68" s="115" t="s">
        <v>10</v>
      </c>
      <c r="L68" s="115">
        <v>1836.0156719182301</v>
      </c>
      <c r="N68" s="138" t="s">
        <v>10</v>
      </c>
      <c r="O68" s="48">
        <f t="shared" si="0"/>
        <v>5077.7683412606984</v>
      </c>
    </row>
    <row r="69" spans="1:15" x14ac:dyDescent="0.25">
      <c r="A69" s="22">
        <v>43883</v>
      </c>
      <c r="B69" s="132" t="s">
        <v>19</v>
      </c>
      <c r="C69" s="132">
        <v>-0.2</v>
      </c>
      <c r="D69" s="25">
        <v>0.75763888888888886</v>
      </c>
      <c r="E69" t="s">
        <v>70</v>
      </c>
      <c r="F69" s="115">
        <f>F67/J67*J69</f>
        <v>3962.017915601421</v>
      </c>
      <c r="H69" s="115">
        <v>2740.4954551151</v>
      </c>
      <c r="J69" s="115">
        <v>5320.6095772103599</v>
      </c>
      <c r="L69" s="115" t="s">
        <v>10</v>
      </c>
      <c r="N69" s="138" t="s">
        <v>10</v>
      </c>
      <c r="O69" s="48">
        <f t="shared" si="0"/>
        <v>12023.12294792688</v>
      </c>
    </row>
    <row r="70" spans="1:15" x14ac:dyDescent="0.25">
      <c r="A70" s="22">
        <v>43884</v>
      </c>
      <c r="B70" s="132" t="s">
        <v>20</v>
      </c>
      <c r="C70" s="132">
        <v>-0.1</v>
      </c>
      <c r="D70" s="25">
        <v>0.78055555555555556</v>
      </c>
      <c r="E70" t="s">
        <v>70</v>
      </c>
      <c r="F70" s="115">
        <f>F68/L68*L70</f>
        <v>215.67419957461055</v>
      </c>
      <c r="G70" t="s">
        <v>70</v>
      </c>
      <c r="H70" s="115">
        <f>H68/L68*L70</f>
        <v>155.02269711787253</v>
      </c>
      <c r="J70" s="115" t="s">
        <v>10</v>
      </c>
      <c r="L70" s="115">
        <v>209.949796076485</v>
      </c>
      <c r="N70" s="138" t="s">
        <v>10</v>
      </c>
      <c r="O70" s="48">
        <f t="shared" si="0"/>
        <v>580.64669276896802</v>
      </c>
    </row>
    <row r="71" spans="1:15" x14ac:dyDescent="0.25">
      <c r="A71" s="22"/>
      <c r="B71" s="141"/>
      <c r="C71" s="141"/>
      <c r="D71" s="25"/>
      <c r="N71" s="141"/>
    </row>
    <row r="72" spans="1:15" x14ac:dyDescent="0.25">
      <c r="A72" s="22">
        <v>43896</v>
      </c>
      <c r="B72" s="141" t="s">
        <v>18</v>
      </c>
      <c r="C72" s="141">
        <v>-0.2</v>
      </c>
      <c r="D72" s="25">
        <v>0.6743055555555556</v>
      </c>
      <c r="F72" s="115">
        <f>(645.854141341805/1002.43837573607*1412.33472672214)+1412.33472672214</f>
        <v>2322.2781749112205</v>
      </c>
      <c r="H72" s="115">
        <v>1392.14593897452</v>
      </c>
      <c r="J72" s="115" t="s">
        <v>10</v>
      </c>
      <c r="L72" s="115">
        <v>1719.12369978628</v>
      </c>
      <c r="N72" s="141" t="s">
        <v>10</v>
      </c>
      <c r="O72" s="48">
        <f t="shared" ref="O72:O103" si="1">SUM(F72:N72)</f>
        <v>5433.5478136720203</v>
      </c>
    </row>
    <row r="73" spans="1:15" x14ac:dyDescent="0.25">
      <c r="A73" s="22">
        <v>43897</v>
      </c>
      <c r="B73" s="141" t="s">
        <v>19</v>
      </c>
      <c r="C73" s="141">
        <v>-0.7</v>
      </c>
      <c r="D73" s="25">
        <v>0.70763888888888893</v>
      </c>
      <c r="F73" s="115">
        <f>(645.854141341805/1002.43837573607*3942.73459049011)+3942.73459049011</f>
        <v>6482.9720007048081</v>
      </c>
      <c r="G73" t="s">
        <v>70</v>
      </c>
      <c r="H73" s="115">
        <f>H77/J77*J73</f>
        <v>3916.616367061044</v>
      </c>
      <c r="J73" s="115">
        <v>6022.8431146241801</v>
      </c>
      <c r="L73" s="115" t="s">
        <v>10</v>
      </c>
      <c r="N73" s="141" t="s">
        <v>10</v>
      </c>
      <c r="O73" s="48">
        <f t="shared" si="1"/>
        <v>16422.431482390035</v>
      </c>
    </row>
    <row r="74" spans="1:15" x14ac:dyDescent="0.25">
      <c r="A74" s="22">
        <v>43898</v>
      </c>
      <c r="B74" s="141" t="s">
        <v>20</v>
      </c>
      <c r="C74" s="141">
        <v>-1</v>
      </c>
      <c r="D74" s="25">
        <v>0.77986111111111101</v>
      </c>
      <c r="E74" t="s">
        <v>70</v>
      </c>
      <c r="F74" s="115">
        <f>F72/L72*L74</f>
        <v>3972.1466517545441</v>
      </c>
      <c r="G74" t="s">
        <v>70</v>
      </c>
      <c r="H74" s="115">
        <f>H72/L72*L74</f>
        <v>2381.1995866785974</v>
      </c>
      <c r="J74" s="115" t="s">
        <v>10</v>
      </c>
      <c r="L74" s="115">
        <v>2940.4795350664699</v>
      </c>
      <c r="N74" s="141" t="s">
        <v>10</v>
      </c>
      <c r="O74" s="48">
        <f t="shared" si="1"/>
        <v>9293.8257734996114</v>
      </c>
    </row>
    <row r="75" spans="1:15" x14ac:dyDescent="0.25">
      <c r="A75" s="22">
        <v>43899</v>
      </c>
      <c r="B75" s="141" t="s">
        <v>21</v>
      </c>
      <c r="C75" s="141">
        <v>-1</v>
      </c>
      <c r="D75" s="25">
        <v>0.80902777777777779</v>
      </c>
      <c r="F75" s="115">
        <f>(1002.43837573607/645.854141341805*605.280432089238)+605.280432089238</f>
        <v>1544.7438408827247</v>
      </c>
      <c r="G75" t="s">
        <v>70</v>
      </c>
      <c r="H75" s="115">
        <f>H77/J77*J75</f>
        <v>1104.8565361187971</v>
      </c>
      <c r="J75" s="115">
        <v>1699.0118402134799</v>
      </c>
      <c r="L75" s="115" t="s">
        <v>10</v>
      </c>
      <c r="N75" s="141" t="s">
        <v>10</v>
      </c>
      <c r="O75" s="48">
        <f t="shared" si="1"/>
        <v>4348.6122172150017</v>
      </c>
    </row>
    <row r="76" spans="1:15" x14ac:dyDescent="0.25">
      <c r="A76" s="22">
        <v>43900</v>
      </c>
      <c r="B76" s="141" t="s">
        <v>22</v>
      </c>
      <c r="C76" s="141">
        <v>-0.8</v>
      </c>
      <c r="D76" s="25">
        <v>0.83750000000000002</v>
      </c>
      <c r="E76" t="s">
        <v>70</v>
      </c>
      <c r="F76" s="115">
        <f>F72/L72*L76</f>
        <v>774.19776596036229</v>
      </c>
      <c r="G76" t="s">
        <v>70</v>
      </c>
      <c r="H76" s="115">
        <f>H72/L72*L76</f>
        <v>464.11161569223628</v>
      </c>
      <c r="J76" s="115" t="s">
        <v>10</v>
      </c>
      <c r="L76" s="115">
        <v>573.11899244582605</v>
      </c>
      <c r="N76" s="141" t="s">
        <v>10</v>
      </c>
      <c r="O76" s="48">
        <f t="shared" si="1"/>
        <v>1811.4283740984247</v>
      </c>
    </row>
    <row r="77" spans="1:15" x14ac:dyDescent="0.25">
      <c r="A77" s="22">
        <v>43901</v>
      </c>
      <c r="B77" s="141" t="s">
        <v>23</v>
      </c>
      <c r="C77" s="141">
        <v>-0.2</v>
      </c>
      <c r="D77" s="25">
        <v>0.8652777777777777</v>
      </c>
      <c r="E77" t="s">
        <v>70</v>
      </c>
      <c r="F77" s="115">
        <f>F73/J73*J77</f>
        <v>565.37641153880736</v>
      </c>
      <c r="H77" s="115">
        <v>341.565952581994</v>
      </c>
      <c r="J77" s="115">
        <v>525.24882523589997</v>
      </c>
      <c r="L77" s="115" t="s">
        <v>10</v>
      </c>
      <c r="N77" s="141" t="s">
        <v>10</v>
      </c>
      <c r="O77" s="48">
        <f t="shared" si="1"/>
        <v>1432.1911893567012</v>
      </c>
    </row>
    <row r="78" spans="1:15" x14ac:dyDescent="0.25">
      <c r="A78" s="22"/>
      <c r="B78" s="141"/>
      <c r="C78" s="141"/>
      <c r="D78" s="25"/>
      <c r="N78" s="141"/>
    </row>
    <row r="79" spans="1:15" x14ac:dyDescent="0.25">
      <c r="A79" s="22">
        <v>43910</v>
      </c>
      <c r="B79" s="141" t="s">
        <v>18</v>
      </c>
      <c r="C79" s="141">
        <v>0.4</v>
      </c>
      <c r="D79" s="25">
        <v>0.7270833333333333</v>
      </c>
      <c r="J79" s="115" t="s">
        <v>10</v>
      </c>
      <c r="N79" s="141" t="s">
        <v>10</v>
      </c>
      <c r="O79" s="48">
        <f t="shared" si="1"/>
        <v>0</v>
      </c>
    </row>
    <row r="80" spans="1:15" x14ac:dyDescent="0.25">
      <c r="A80" s="22">
        <v>43911</v>
      </c>
      <c r="B80" s="141" t="s">
        <v>19</v>
      </c>
      <c r="C80" s="141">
        <v>0.4</v>
      </c>
      <c r="D80" s="25">
        <v>0.75486111111111109</v>
      </c>
      <c r="L80" s="115" t="s">
        <v>10</v>
      </c>
      <c r="N80" s="141" t="s">
        <v>10</v>
      </c>
      <c r="O80" s="48">
        <f t="shared" si="1"/>
        <v>0</v>
      </c>
    </row>
    <row r="81" spans="1:15" x14ac:dyDescent="0.25">
      <c r="A81" s="22">
        <v>43912</v>
      </c>
      <c r="B81" s="141" t="s">
        <v>20</v>
      </c>
      <c r="C81" s="141">
        <v>0.4</v>
      </c>
      <c r="D81" s="25">
        <v>0.77847222222222223</v>
      </c>
      <c r="J81" s="115" t="s">
        <v>10</v>
      </c>
      <c r="N81" s="141" t="s">
        <v>10</v>
      </c>
      <c r="O81" s="48">
        <f t="shared" si="1"/>
        <v>0</v>
      </c>
    </row>
    <row r="82" spans="1:15" x14ac:dyDescent="0.25">
      <c r="A82" s="22">
        <v>43913</v>
      </c>
      <c r="B82" s="141" t="s">
        <v>21</v>
      </c>
      <c r="C82" s="141">
        <v>0.5</v>
      </c>
      <c r="D82" s="25">
        <v>0.79999999999999993</v>
      </c>
      <c r="L82" s="115" t="s">
        <v>10</v>
      </c>
      <c r="N82" s="141" t="s">
        <v>10</v>
      </c>
      <c r="O82" s="48">
        <f t="shared" si="1"/>
        <v>0</v>
      </c>
    </row>
    <row r="83" spans="1:15" x14ac:dyDescent="0.25">
      <c r="A83" s="22"/>
      <c r="B83" s="141"/>
      <c r="C83" s="141"/>
      <c r="D83" s="25"/>
      <c r="N83" s="141"/>
    </row>
    <row r="84" spans="1:15" x14ac:dyDescent="0.25">
      <c r="A84" s="22">
        <v>43924</v>
      </c>
      <c r="B84" s="141" t="s">
        <v>18</v>
      </c>
      <c r="C84" s="141">
        <v>0.3</v>
      </c>
      <c r="D84" s="25">
        <v>0.65347222222222223</v>
      </c>
      <c r="L84" s="115" t="s">
        <v>10</v>
      </c>
      <c r="N84" s="141" t="s">
        <v>10</v>
      </c>
      <c r="O84" s="48">
        <f t="shared" si="1"/>
        <v>0</v>
      </c>
    </row>
    <row r="85" spans="1:15" x14ac:dyDescent="0.25">
      <c r="A85" s="22">
        <v>43925</v>
      </c>
      <c r="B85" s="141" t="s">
        <v>19</v>
      </c>
      <c r="C85" s="141">
        <v>-0.1</v>
      </c>
      <c r="D85" s="25">
        <v>0.69236111111111109</v>
      </c>
      <c r="J85" s="115" t="s">
        <v>10</v>
      </c>
      <c r="N85" s="141" t="s">
        <v>10</v>
      </c>
      <c r="O85" s="48">
        <f t="shared" si="1"/>
        <v>0</v>
      </c>
    </row>
    <row r="86" spans="1:15" x14ac:dyDescent="0.25">
      <c r="A86" s="22">
        <v>43926</v>
      </c>
      <c r="B86" s="141" t="s">
        <v>20</v>
      </c>
      <c r="C86" s="141">
        <v>-0.4</v>
      </c>
      <c r="D86" s="25">
        <v>0.31041666666666667</v>
      </c>
      <c r="L86" s="115" t="s">
        <v>10</v>
      </c>
      <c r="N86" s="141" t="s">
        <v>10</v>
      </c>
      <c r="O86" s="48">
        <f t="shared" si="1"/>
        <v>0</v>
      </c>
    </row>
    <row r="87" spans="1:15" x14ac:dyDescent="0.25">
      <c r="A87" s="22">
        <v>43927</v>
      </c>
      <c r="B87" s="141" t="s">
        <v>21</v>
      </c>
      <c r="C87" s="141">
        <v>0.4</v>
      </c>
      <c r="D87" s="25">
        <v>0.7583333333333333</v>
      </c>
      <c r="J87" s="115" t="s">
        <v>10</v>
      </c>
      <c r="N87" s="141" t="s">
        <v>10</v>
      </c>
      <c r="O87" s="48">
        <f t="shared" si="1"/>
        <v>0</v>
      </c>
    </row>
    <row r="88" spans="1:15" x14ac:dyDescent="0.25">
      <c r="A88" s="22">
        <v>43928</v>
      </c>
      <c r="B88" s="141" t="s">
        <v>22</v>
      </c>
      <c r="C88" s="141">
        <v>-0.2</v>
      </c>
      <c r="D88" s="25">
        <v>0.78819444444444453</v>
      </c>
      <c r="L88" s="115" t="s">
        <v>10</v>
      </c>
      <c r="N88" s="141" t="s">
        <v>10</v>
      </c>
      <c r="O88" s="48">
        <f t="shared" si="1"/>
        <v>0</v>
      </c>
    </row>
    <row r="89" spans="1:15" x14ac:dyDescent="0.25">
      <c r="A89" s="22">
        <v>43929</v>
      </c>
      <c r="B89" s="141" t="s">
        <v>23</v>
      </c>
      <c r="C89" s="141">
        <v>-0.7</v>
      </c>
      <c r="D89" s="25">
        <v>0.30972222222222223</v>
      </c>
      <c r="J89" s="115" t="s">
        <v>10</v>
      </c>
      <c r="N89" s="141" t="s">
        <v>10</v>
      </c>
      <c r="O89" s="48">
        <f t="shared" si="1"/>
        <v>0</v>
      </c>
    </row>
    <row r="90" spans="1:15" x14ac:dyDescent="0.25">
      <c r="A90" s="22">
        <v>43930</v>
      </c>
      <c r="B90" s="141" t="s">
        <v>24</v>
      </c>
      <c r="C90" s="141">
        <v>-1.1000000000000001</v>
      </c>
      <c r="D90" s="25">
        <v>0.3430555555555555</v>
      </c>
      <c r="L90" s="115" t="s">
        <v>10</v>
      </c>
      <c r="N90" s="141" t="s">
        <v>10</v>
      </c>
      <c r="O90" s="48">
        <f t="shared" si="1"/>
        <v>0</v>
      </c>
    </row>
    <row r="91" spans="1:15" x14ac:dyDescent="0.25">
      <c r="A91" s="22">
        <v>43931</v>
      </c>
      <c r="B91" s="141" t="s">
        <v>18</v>
      </c>
      <c r="C91" s="141">
        <v>-1.3</v>
      </c>
      <c r="D91" s="25">
        <v>0.3756944444444445</v>
      </c>
      <c r="J91" s="115" t="s">
        <v>10</v>
      </c>
      <c r="N91" s="141" t="s">
        <v>10</v>
      </c>
      <c r="O91" s="48">
        <f t="shared" si="1"/>
        <v>0</v>
      </c>
    </row>
    <row r="92" spans="1:15" x14ac:dyDescent="0.25">
      <c r="A92" s="22">
        <v>43932</v>
      </c>
      <c r="B92" s="141" t="s">
        <v>19</v>
      </c>
      <c r="C92" s="141">
        <v>-1.1000000000000001</v>
      </c>
      <c r="D92" s="25">
        <v>0.40972222222222227</v>
      </c>
      <c r="L92" s="115" t="s">
        <v>10</v>
      </c>
      <c r="N92" s="141" t="s">
        <v>10</v>
      </c>
      <c r="O92" s="48">
        <f t="shared" si="1"/>
        <v>0</v>
      </c>
    </row>
    <row r="93" spans="1:15" x14ac:dyDescent="0.25">
      <c r="A93" s="22">
        <v>43933</v>
      </c>
      <c r="B93" s="141" t="s">
        <v>20</v>
      </c>
      <c r="C93" s="141">
        <v>-0.7</v>
      </c>
      <c r="D93" s="25">
        <v>0.4458333333333333</v>
      </c>
      <c r="J93" s="115" t="s">
        <v>10</v>
      </c>
      <c r="N93" s="141" t="s">
        <v>10</v>
      </c>
      <c r="O93" s="48">
        <f t="shared" si="1"/>
        <v>0</v>
      </c>
    </row>
    <row r="94" spans="1:15" x14ac:dyDescent="0.25">
      <c r="A94" s="22">
        <v>43934</v>
      </c>
      <c r="B94" s="141" t="s">
        <v>21</v>
      </c>
      <c r="C94" s="141">
        <v>-0.2</v>
      </c>
      <c r="D94" s="25">
        <v>0.48541666666666666</v>
      </c>
      <c r="L94" s="115" t="s">
        <v>10</v>
      </c>
      <c r="N94" s="141" t="s">
        <v>10</v>
      </c>
      <c r="O94" s="48">
        <f t="shared" si="1"/>
        <v>0</v>
      </c>
    </row>
    <row r="95" spans="1:15" x14ac:dyDescent="0.25">
      <c r="A95" s="22"/>
      <c r="B95" s="141"/>
      <c r="C95" s="141"/>
      <c r="D95" s="25"/>
      <c r="N95" s="141"/>
    </row>
    <row r="96" spans="1:15" x14ac:dyDescent="0.25">
      <c r="A96" s="22">
        <v>43943</v>
      </c>
      <c r="B96" s="141" t="s">
        <v>23</v>
      </c>
      <c r="C96" s="141">
        <v>0.3</v>
      </c>
      <c r="D96" s="25">
        <v>0.29722222222222222</v>
      </c>
      <c r="L96" s="115" t="s">
        <v>10</v>
      </c>
      <c r="N96" s="141" t="s">
        <v>10</v>
      </c>
      <c r="O96" s="48">
        <f t="shared" si="1"/>
        <v>0</v>
      </c>
    </row>
    <row r="97" spans="1:15" x14ac:dyDescent="0.25">
      <c r="A97" s="22">
        <v>43944</v>
      </c>
      <c r="B97" s="141" t="s">
        <v>24</v>
      </c>
      <c r="C97" s="141">
        <v>0</v>
      </c>
      <c r="D97" s="25">
        <v>0.32013888888888892</v>
      </c>
      <c r="J97" s="115" t="s">
        <v>10</v>
      </c>
      <c r="N97" s="141" t="s">
        <v>10</v>
      </c>
      <c r="O97" s="48">
        <f t="shared" si="1"/>
        <v>0</v>
      </c>
    </row>
    <row r="98" spans="1:15" x14ac:dyDescent="0.25">
      <c r="A98" s="22">
        <v>43945</v>
      </c>
      <c r="B98" s="141" t="s">
        <v>18</v>
      </c>
      <c r="C98" s="141">
        <v>-0.3</v>
      </c>
      <c r="D98" s="25">
        <v>0.34375</v>
      </c>
      <c r="L98" s="115" t="s">
        <v>10</v>
      </c>
      <c r="N98" s="141" t="s">
        <v>10</v>
      </c>
      <c r="O98" s="48">
        <f t="shared" si="1"/>
        <v>0</v>
      </c>
    </row>
    <row r="99" spans="1:15" x14ac:dyDescent="0.25">
      <c r="A99" s="22">
        <v>43946</v>
      </c>
      <c r="B99" s="141" t="s">
        <v>19</v>
      </c>
      <c r="C99" s="141">
        <v>-0.1</v>
      </c>
      <c r="D99" s="25">
        <v>0.36736111111111108</v>
      </c>
      <c r="J99" s="115" t="s">
        <v>10</v>
      </c>
      <c r="N99" s="141" t="s">
        <v>10</v>
      </c>
      <c r="O99" s="48">
        <f t="shared" si="1"/>
        <v>0</v>
      </c>
    </row>
    <row r="100" spans="1:15" x14ac:dyDescent="0.25">
      <c r="A100" s="22">
        <v>43947</v>
      </c>
      <c r="B100" s="141" t="s">
        <v>20</v>
      </c>
      <c r="C100" s="141">
        <v>-0.3</v>
      </c>
      <c r="D100" s="25">
        <v>0.39305555555555555</v>
      </c>
      <c r="L100" s="115" t="s">
        <v>10</v>
      </c>
      <c r="N100" s="141" t="s">
        <v>10</v>
      </c>
      <c r="O100" s="48">
        <f t="shared" si="1"/>
        <v>0</v>
      </c>
    </row>
    <row r="101" spans="1:15" x14ac:dyDescent="0.25">
      <c r="A101" s="22">
        <v>43948</v>
      </c>
      <c r="B101" s="141" t="s">
        <v>21</v>
      </c>
      <c r="C101" s="141">
        <v>-0.2</v>
      </c>
      <c r="D101" s="25">
        <v>0.42152777777777778</v>
      </c>
      <c r="J101" s="115" t="s">
        <v>10</v>
      </c>
      <c r="N101" s="141" t="s">
        <v>10</v>
      </c>
      <c r="O101" s="48">
        <f t="shared" si="1"/>
        <v>0</v>
      </c>
    </row>
    <row r="102" spans="1:15" x14ac:dyDescent="0.25">
      <c r="A102" s="22">
        <v>43949</v>
      </c>
      <c r="B102" s="141" t="s">
        <v>22</v>
      </c>
      <c r="C102" s="141">
        <v>-0.1</v>
      </c>
      <c r="D102" s="25">
        <v>0.45416666666666666</v>
      </c>
      <c r="L102" s="115" t="s">
        <v>10</v>
      </c>
      <c r="N102" s="141" t="s">
        <v>10</v>
      </c>
      <c r="O102" s="48">
        <f t="shared" si="1"/>
        <v>0</v>
      </c>
    </row>
    <row r="103" spans="1:15" x14ac:dyDescent="0.25">
      <c r="A103" s="22">
        <v>43950</v>
      </c>
      <c r="B103" s="141" t="s">
        <v>23</v>
      </c>
      <c r="C103" s="141">
        <v>0.1</v>
      </c>
      <c r="D103" s="25">
        <v>0.4916666666666667</v>
      </c>
      <c r="J103" s="115" t="s">
        <v>10</v>
      </c>
      <c r="N103" s="141" t="s">
        <v>10</v>
      </c>
      <c r="O103" s="48">
        <f t="shared" si="1"/>
        <v>0</v>
      </c>
    </row>
    <row r="105" spans="1:15" x14ac:dyDescent="0.25">
      <c r="A105" s="32" t="s">
        <v>25</v>
      </c>
      <c r="C105" s="21"/>
      <c r="D105" s="21"/>
      <c r="E105" s="8"/>
      <c r="F105" s="115">
        <f>SUM(F2:F103)</f>
        <v>111122.46513549563</v>
      </c>
      <c r="H105" s="115">
        <f>SUM(H2:H104)</f>
        <v>56464.352994372755</v>
      </c>
      <c r="J105" s="115">
        <f>SUM(J2:J104)</f>
        <v>51380.345071921234</v>
      </c>
      <c r="L105" s="115">
        <f>SUM(L2:L104)</f>
        <v>34959.932470295003</v>
      </c>
      <c r="N105" s="9">
        <f>SUM(N2:N104)</f>
        <v>0</v>
      </c>
      <c r="O105" s="48">
        <f>SUM(O2:O104)</f>
        <v>253927.09567208463</v>
      </c>
    </row>
    <row r="106" spans="1:15" x14ac:dyDescent="0.25">
      <c r="A106" s="33" t="s">
        <v>16</v>
      </c>
      <c r="C106" s="21"/>
      <c r="D106" s="21"/>
      <c r="E106" s="8"/>
    </row>
    <row r="107" spans="1:15" x14ac:dyDescent="0.25">
      <c r="A107" s="20" t="s">
        <v>17</v>
      </c>
      <c r="C107" s="21"/>
      <c r="D107" s="21"/>
      <c r="E107" s="8"/>
    </row>
    <row r="108" spans="1:15" x14ac:dyDescent="0.25">
      <c r="A108" t="s">
        <v>26</v>
      </c>
      <c r="C108" s="21"/>
      <c r="D108" s="21"/>
      <c r="E108" s="8"/>
    </row>
    <row r="135" spans="1:15" x14ac:dyDescent="0.25">
      <c r="A135" s="2"/>
      <c r="B135" s="10"/>
      <c r="C135" s="5"/>
      <c r="D135" s="6"/>
      <c r="E135" s="8"/>
      <c r="F135" s="121"/>
      <c r="G135" s="8"/>
      <c r="H135" s="121"/>
      <c r="J135" s="121"/>
      <c r="L135" s="121"/>
      <c r="N135" s="3"/>
    </row>
    <row r="136" spans="1:15" x14ac:dyDescent="0.25">
      <c r="A136" s="2"/>
      <c r="B136" s="10"/>
      <c r="C136" s="5"/>
      <c r="D136" s="6"/>
      <c r="E136" s="8"/>
    </row>
    <row r="137" spans="1:15" x14ac:dyDescent="0.25">
      <c r="A137" s="32" t="s">
        <v>25</v>
      </c>
      <c r="C137" s="21"/>
      <c r="D137" s="21"/>
      <c r="E137" s="8"/>
      <c r="F137" s="115">
        <f>SUM(F135:F136)</f>
        <v>0</v>
      </c>
      <c r="H137" s="115">
        <f>SUM(H135:H136)</f>
        <v>0</v>
      </c>
      <c r="J137" s="115">
        <f>SUM(J135:J136)</f>
        <v>0</v>
      </c>
      <c r="L137" s="115">
        <f>SUM(L135:L136)</f>
        <v>0</v>
      </c>
      <c r="N137" s="9">
        <f>SUM(N135:N136)</f>
        <v>0</v>
      </c>
      <c r="O137" s="48">
        <f>SUM(O135:O136)</f>
        <v>0</v>
      </c>
    </row>
    <row r="138" spans="1:15" x14ac:dyDescent="0.25">
      <c r="A138" s="33" t="s">
        <v>16</v>
      </c>
      <c r="C138" s="21"/>
      <c r="D138" s="21"/>
      <c r="E138" s="8"/>
    </row>
    <row r="139" spans="1:15" x14ac:dyDescent="0.25">
      <c r="A139" s="20" t="s">
        <v>17</v>
      </c>
      <c r="C139" s="21"/>
      <c r="D139" s="21"/>
      <c r="E139" s="8"/>
    </row>
    <row r="140" spans="1:15" x14ac:dyDescent="0.25">
      <c r="A140" t="s">
        <v>26</v>
      </c>
      <c r="C140" s="21"/>
      <c r="D140" s="21"/>
      <c r="E140" s="8"/>
    </row>
  </sheetData>
  <mergeCells count="5">
    <mergeCell ref="E1:F1"/>
    <mergeCell ref="G1:H1"/>
    <mergeCell ref="I1:J1"/>
    <mergeCell ref="K1:L1"/>
    <mergeCell ref="M1:N1"/>
  </mergeCells>
  <pageMargins left="0.7" right="0.7" top="0.75" bottom="0.75" header="0.3" footer="0.3"/>
  <pageSetup scale="33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07"/>
  <sheetViews>
    <sheetView tabSelected="1" workbookViewId="0">
      <selection activeCell="R11" sqref="R11"/>
    </sheetView>
  </sheetViews>
  <sheetFormatPr defaultRowHeight="15" x14ac:dyDescent="0.25"/>
  <cols>
    <col min="1" max="1" width="20.7109375" customWidth="1"/>
    <col min="5" max="5" width="3.5703125" customWidth="1"/>
    <col min="6" max="6" width="15" style="5" customWidth="1"/>
    <col min="7" max="7" width="4" customWidth="1"/>
    <col min="8" max="8" width="13.85546875" style="49" customWidth="1"/>
    <col min="9" max="9" width="3.28515625" customWidth="1"/>
    <col min="10" max="10" width="14.28515625" style="49" customWidth="1"/>
    <col min="11" max="11" width="3.28515625" customWidth="1"/>
    <col min="12" max="12" width="15.42578125" style="49" customWidth="1"/>
    <col min="13" max="13" width="3.42578125" customWidth="1"/>
    <col min="14" max="14" width="16" customWidth="1"/>
    <col min="15" max="15" width="13.85546875" style="49" customWidth="1"/>
  </cols>
  <sheetData>
    <row r="1" spans="1:17" x14ac:dyDescent="0.25">
      <c r="A1" s="27" t="s">
        <v>0</v>
      </c>
      <c r="B1" s="1" t="s">
        <v>1</v>
      </c>
      <c r="C1" s="1" t="s">
        <v>2</v>
      </c>
      <c r="D1" s="23" t="s">
        <v>3</v>
      </c>
      <c r="E1" s="147" t="s">
        <v>4</v>
      </c>
      <c r="F1" s="147"/>
      <c r="G1" s="147" t="s">
        <v>5</v>
      </c>
      <c r="H1" s="147"/>
      <c r="I1" s="147" t="s">
        <v>6</v>
      </c>
      <c r="J1" s="147"/>
      <c r="K1" s="147" t="s">
        <v>7</v>
      </c>
      <c r="L1" s="147"/>
      <c r="M1" s="147" t="s">
        <v>8</v>
      </c>
      <c r="N1" s="147"/>
      <c r="O1" s="91" t="s">
        <v>9</v>
      </c>
    </row>
    <row r="2" spans="1:17" x14ac:dyDescent="0.25">
      <c r="A2" s="22">
        <v>43735</v>
      </c>
      <c r="B2" s="21" t="s">
        <v>18</v>
      </c>
      <c r="C2" s="21">
        <v>-0.9</v>
      </c>
      <c r="D2" s="25">
        <v>0.24444444444444446</v>
      </c>
      <c r="F2" s="5">
        <f>+Harvest!F2/Effort!F2</f>
        <v>14.000000000000018</v>
      </c>
      <c r="H2" s="5" t="s">
        <v>10</v>
      </c>
      <c r="J2" s="5" t="s">
        <v>10</v>
      </c>
      <c r="L2" s="5" t="s">
        <v>10</v>
      </c>
      <c r="N2" s="21" t="s">
        <v>10</v>
      </c>
      <c r="O2" s="49">
        <f>+Harvest!O2/Effort!O2</f>
        <v>14.000000000000018</v>
      </c>
      <c r="Q2" s="49">
        <f>AVERAGE(O2:O11)</f>
        <v>14.77990453666683</v>
      </c>
    </row>
    <row r="3" spans="1:17" x14ac:dyDescent="0.25">
      <c r="A3" s="22">
        <v>43736</v>
      </c>
      <c r="B3" s="21" t="s">
        <v>19</v>
      </c>
      <c r="C3" s="21">
        <v>-0.8</v>
      </c>
      <c r="D3" s="25">
        <v>0.27499999999999997</v>
      </c>
      <c r="F3" s="5">
        <f>+Harvest!F3/Effort!F3</f>
        <v>15</v>
      </c>
      <c r="H3" s="5" t="s">
        <v>10</v>
      </c>
      <c r="J3" s="5" t="s">
        <v>10</v>
      </c>
      <c r="L3" s="5" t="s">
        <v>10</v>
      </c>
      <c r="N3" s="21" t="s">
        <v>10</v>
      </c>
      <c r="O3" s="49">
        <f>+Harvest!O3/Effort!O3</f>
        <v>15</v>
      </c>
    </row>
    <row r="4" spans="1:17" x14ac:dyDescent="0.25">
      <c r="A4" s="22">
        <v>43737</v>
      </c>
      <c r="B4" s="21" t="s">
        <v>20</v>
      </c>
      <c r="C4" s="21">
        <v>-0.6</v>
      </c>
      <c r="D4" s="25">
        <v>0.30486111111111108</v>
      </c>
      <c r="E4" t="s">
        <v>66</v>
      </c>
      <c r="F4" s="5">
        <f>+Harvest!F4/Effort!F4</f>
        <v>15</v>
      </c>
      <c r="H4" s="5" t="s">
        <v>10</v>
      </c>
      <c r="J4" s="5" t="s">
        <v>10</v>
      </c>
      <c r="L4" s="5" t="s">
        <v>10</v>
      </c>
      <c r="N4" s="21" t="s">
        <v>10</v>
      </c>
      <c r="O4" s="49">
        <f>+Harvest!O4/Effort!O4</f>
        <v>15</v>
      </c>
    </row>
    <row r="5" spans="1:17" x14ac:dyDescent="0.25">
      <c r="A5" s="22"/>
      <c r="B5" s="21"/>
      <c r="C5" s="21"/>
      <c r="D5" s="25"/>
      <c r="H5" s="5"/>
      <c r="J5" s="5"/>
      <c r="L5" s="5"/>
      <c r="N5" s="21"/>
    </row>
    <row r="6" spans="1:17" x14ac:dyDescent="0.25">
      <c r="A6" s="22">
        <v>43764</v>
      </c>
      <c r="B6" s="21" t="s">
        <v>19</v>
      </c>
      <c r="C6" s="21">
        <v>0</v>
      </c>
      <c r="D6" s="25">
        <v>0.74930555555555556</v>
      </c>
      <c r="F6" s="5">
        <f>+Harvest!F6/Effort!F6</f>
        <v>14.999991087741186</v>
      </c>
      <c r="H6" s="5">
        <f>+Harvest!H6/Effort!H6</f>
        <v>15</v>
      </c>
      <c r="J6" s="5">
        <f>+Harvest!J6/Effort!J6</f>
        <v>15.000061123788182</v>
      </c>
      <c r="L6" s="5" t="s">
        <v>10</v>
      </c>
      <c r="N6" s="90" t="s">
        <v>10</v>
      </c>
      <c r="O6" s="49">
        <f>+Harvest!O6/Effort!O6</f>
        <v>15.000020152154056</v>
      </c>
    </row>
    <row r="7" spans="1:17" x14ac:dyDescent="0.25">
      <c r="A7" s="22">
        <v>43765</v>
      </c>
      <c r="B7" s="21" t="s">
        <v>20</v>
      </c>
      <c r="C7" s="21">
        <v>-0.8</v>
      </c>
      <c r="D7" s="25">
        <v>0.78263888888888899</v>
      </c>
      <c r="E7" t="s">
        <v>70</v>
      </c>
      <c r="F7" s="5">
        <f>+Harvest!F7/Effort!F7</f>
        <v>14.999999038118959</v>
      </c>
      <c r="H7" s="5">
        <f>+Harvest!H7/Effort!H7</f>
        <v>15.000000000000002</v>
      </c>
      <c r="J7" s="5" t="s">
        <v>10</v>
      </c>
      <c r="L7" s="5">
        <f>+Harvest!L7/Effort!L7</f>
        <v>15</v>
      </c>
      <c r="N7" s="90" t="s">
        <v>10</v>
      </c>
      <c r="O7" s="49">
        <f>+Harvest!O7/Effort!O7</f>
        <v>14.999999600472758</v>
      </c>
    </row>
    <row r="8" spans="1:17" x14ac:dyDescent="0.25">
      <c r="A8" s="22">
        <v>43766</v>
      </c>
      <c r="B8" s="21" t="s">
        <v>21</v>
      </c>
      <c r="C8" s="21">
        <v>-1.2</v>
      </c>
      <c r="D8" s="25">
        <v>0.81458333333333333</v>
      </c>
      <c r="E8" t="s">
        <v>70</v>
      </c>
      <c r="F8" s="5">
        <f>+Harvest!F8/Effort!F8</f>
        <v>14.822511437779662</v>
      </c>
      <c r="G8" t="s">
        <v>70</v>
      </c>
      <c r="H8" s="5">
        <f>+Harvest!H8/Effort!H8</f>
        <v>14.822520244588771</v>
      </c>
      <c r="J8" s="5">
        <f>+Harvest!J8/Effort!J8</f>
        <v>14.822580645161292</v>
      </c>
      <c r="L8" s="5" t="s">
        <v>10</v>
      </c>
      <c r="N8" s="112" t="s">
        <v>10</v>
      </c>
      <c r="O8" s="49">
        <f>+Harvest!O8/Effort!O8</f>
        <v>14.82254015830287</v>
      </c>
    </row>
    <row r="9" spans="1:17" x14ac:dyDescent="0.25">
      <c r="A9" s="22">
        <v>43767</v>
      </c>
      <c r="B9" s="21" t="s">
        <v>22</v>
      </c>
      <c r="C9" s="21">
        <v>-1.4</v>
      </c>
      <c r="D9" s="25">
        <v>0.84583333333333333</v>
      </c>
      <c r="F9" s="5">
        <f>+Harvest!F9/Effort!F9</f>
        <v>15</v>
      </c>
      <c r="G9" t="s">
        <v>70</v>
      </c>
      <c r="H9" s="5">
        <f>+Harvest!H9/Effort!H9</f>
        <v>14.914893617021276</v>
      </c>
      <c r="J9" s="5" t="s">
        <v>10</v>
      </c>
      <c r="L9" s="5">
        <f>+Harvest!L9/Effort!L9</f>
        <v>14.914893617021276</v>
      </c>
      <c r="N9" s="112" t="s">
        <v>10</v>
      </c>
      <c r="O9" s="49">
        <f>+Harvest!O9/Effort!O9</f>
        <v>14.939200393085537</v>
      </c>
    </row>
    <row r="10" spans="1:17" x14ac:dyDescent="0.25">
      <c r="A10" s="22">
        <v>43768</v>
      </c>
      <c r="B10" s="21" t="s">
        <v>23</v>
      </c>
      <c r="C10" s="21">
        <v>-1.2</v>
      </c>
      <c r="D10" s="25">
        <v>0.87708333333333333</v>
      </c>
      <c r="E10" t="s">
        <v>70</v>
      </c>
      <c r="F10" s="5">
        <f>+Harvest!F10/Effort!F10</f>
        <v>14.166600521780707</v>
      </c>
      <c r="H10" s="5">
        <f>+Harvest!H10/Effort!H10</f>
        <v>14.692307692307693</v>
      </c>
      <c r="J10" s="5">
        <f>+Harvest!J10/Effort!J10</f>
        <v>14.166666666666666</v>
      </c>
      <c r="L10" s="5" t="s">
        <v>10</v>
      </c>
      <c r="N10" s="112" t="s">
        <v>10</v>
      </c>
      <c r="O10" s="49">
        <f>+Harvest!O10/Effort!O10</f>
        <v>14.257380525986225</v>
      </c>
    </row>
    <row r="11" spans="1:17" x14ac:dyDescent="0.25">
      <c r="A11" s="22">
        <v>43769</v>
      </c>
      <c r="B11" s="21" t="s">
        <v>24</v>
      </c>
      <c r="C11" s="21">
        <v>-0.8</v>
      </c>
      <c r="D11" s="25">
        <v>0.90972222222222221</v>
      </c>
      <c r="E11" t="s">
        <v>70</v>
      </c>
      <c r="F11" s="12">
        <v>15</v>
      </c>
      <c r="G11" t="s">
        <v>70</v>
      </c>
      <c r="H11" s="5">
        <f>+Harvest!H11/Effort!H11</f>
        <v>15.000000000000007</v>
      </c>
      <c r="J11" s="5" t="s">
        <v>10</v>
      </c>
      <c r="L11" s="5">
        <f>+Harvest!L11/Effort!L11</f>
        <v>15.000000000000004</v>
      </c>
      <c r="N11" s="112" t="s">
        <v>10</v>
      </c>
      <c r="O11" s="49">
        <f>+Harvest!O11/Effort!O11</f>
        <v>15.000000000000005</v>
      </c>
    </row>
    <row r="12" spans="1:17" x14ac:dyDescent="0.25">
      <c r="A12" s="22">
        <v>43770</v>
      </c>
      <c r="B12" s="21" t="s">
        <v>18</v>
      </c>
      <c r="C12" s="21">
        <v>-0.2</v>
      </c>
      <c r="D12" s="25">
        <v>0.94305555555555554</v>
      </c>
      <c r="E12" t="s">
        <v>70</v>
      </c>
      <c r="F12" s="5">
        <f>+Harvest!F12/Effort!F12</f>
        <v>14.354830180741565</v>
      </c>
      <c r="H12" s="5">
        <f>+Harvest!H12/Effort!H12</f>
        <v>14.354838709677418</v>
      </c>
      <c r="J12" s="5">
        <f>+Harvest!J12/Effort!J12</f>
        <v>15.000000000000002</v>
      </c>
      <c r="L12" s="5" t="s">
        <v>10</v>
      </c>
      <c r="N12" s="112" t="s">
        <v>10</v>
      </c>
      <c r="O12" s="49">
        <f>+Harvest!O12/Effort!O12</f>
        <v>14.6154550996586</v>
      </c>
    </row>
    <row r="13" spans="1:17" x14ac:dyDescent="0.25">
      <c r="A13" s="22"/>
      <c r="B13" s="21"/>
      <c r="C13" s="21"/>
      <c r="D13" s="25"/>
      <c r="H13" s="5"/>
      <c r="J13" s="5"/>
      <c r="L13" s="5"/>
      <c r="N13" s="113"/>
    </row>
    <row r="14" spans="1:17" x14ac:dyDescent="0.25">
      <c r="A14" s="22">
        <v>43780</v>
      </c>
      <c r="B14" s="21" t="s">
        <v>21</v>
      </c>
      <c r="C14" s="21">
        <v>0.1</v>
      </c>
      <c r="D14" s="25">
        <v>0.74375000000000002</v>
      </c>
      <c r="E14" t="s">
        <v>70</v>
      </c>
      <c r="F14" s="12">
        <v>15</v>
      </c>
      <c r="G14" t="s">
        <v>70</v>
      </c>
      <c r="H14" s="12">
        <v>15</v>
      </c>
      <c r="J14" s="5">
        <f>+Harvest!J14/Effort!J14</f>
        <v>15.000000000000002</v>
      </c>
      <c r="L14" s="5" t="s">
        <v>10</v>
      </c>
      <c r="N14" s="113" t="s">
        <v>10</v>
      </c>
      <c r="O14" s="49">
        <f>+Harvest!O14/Effort!O14</f>
        <v>15.000000000000002</v>
      </c>
    </row>
    <row r="15" spans="1:17" x14ac:dyDescent="0.25">
      <c r="A15" s="22">
        <v>43781</v>
      </c>
      <c r="B15" s="21" t="s">
        <v>22</v>
      </c>
      <c r="C15" s="21">
        <v>-0.3</v>
      </c>
      <c r="D15" s="25">
        <v>0.76874999999999993</v>
      </c>
      <c r="F15" s="5">
        <f>+Harvest!F15/Effort!F15</f>
        <v>15.000000187520545</v>
      </c>
      <c r="H15" s="5">
        <f>+Harvest!H15/Effort!H15</f>
        <v>15</v>
      </c>
      <c r="J15" s="5" t="s">
        <v>10</v>
      </c>
      <c r="L15" s="5">
        <f>+Harvest!L15/Effort!L15</f>
        <v>14.333333333333336</v>
      </c>
      <c r="N15" s="113" t="s">
        <v>10</v>
      </c>
      <c r="O15" s="49">
        <f>+Harvest!O15/Effort!O15</f>
        <v>14.768644060391278</v>
      </c>
    </row>
    <row r="16" spans="1:17" x14ac:dyDescent="0.25">
      <c r="A16" s="22">
        <v>43782</v>
      </c>
      <c r="B16" s="21" t="s">
        <v>23</v>
      </c>
      <c r="C16" s="21">
        <v>-0.5</v>
      </c>
      <c r="D16" s="25">
        <v>0.79375000000000007</v>
      </c>
      <c r="E16" t="s">
        <v>70</v>
      </c>
      <c r="F16" s="12">
        <v>15</v>
      </c>
      <c r="G16" t="s">
        <v>70</v>
      </c>
      <c r="H16" s="5">
        <f>+Harvest!H16/Effort!H16</f>
        <v>14.948471055088699</v>
      </c>
      <c r="J16" s="5">
        <f>+Harvest!J16/Effort!J16</f>
        <v>14.87037037037037</v>
      </c>
      <c r="L16" s="5" t="s">
        <v>10</v>
      </c>
      <c r="N16" s="113" t="s">
        <v>10</v>
      </c>
      <c r="O16" s="49">
        <f>+Harvest!O16/Effort!O16</f>
        <v>14.925347927329147</v>
      </c>
    </row>
    <row r="17" spans="1:15" x14ac:dyDescent="0.25">
      <c r="A17" s="22">
        <v>43783</v>
      </c>
      <c r="B17" s="21" t="s">
        <v>24</v>
      </c>
      <c r="C17" s="21">
        <v>-0.6</v>
      </c>
      <c r="D17" s="25">
        <v>0.82013888888888886</v>
      </c>
      <c r="E17" t="s">
        <v>70</v>
      </c>
      <c r="F17" s="5">
        <f>+Harvest!F17/Effort!F17</f>
        <v>13.282647751024452</v>
      </c>
      <c r="G17" t="s">
        <v>70</v>
      </c>
      <c r="H17" s="5">
        <f>+Harvest!H17/Effort!H17</f>
        <v>13.282647584973166</v>
      </c>
      <c r="J17" s="5" t="s">
        <v>10</v>
      </c>
      <c r="L17" s="5">
        <f>+Harvest!L17/Effort!L17</f>
        <v>12.692307692307692</v>
      </c>
      <c r="N17" s="113" t="s">
        <v>10</v>
      </c>
      <c r="O17" s="49">
        <f>+Harvest!O17/Effort!O17</f>
        <v>13.077779624138964</v>
      </c>
    </row>
    <row r="18" spans="1:15" x14ac:dyDescent="0.25">
      <c r="A18" s="22">
        <v>43784</v>
      </c>
      <c r="B18" s="21" t="s">
        <v>18</v>
      </c>
      <c r="C18" s="21">
        <v>-0.5</v>
      </c>
      <c r="D18" s="25">
        <v>0.84861111111111109</v>
      </c>
      <c r="F18" s="5">
        <f>+Harvest!F18/Effort!F18</f>
        <v>15.000003697605852</v>
      </c>
      <c r="H18" s="5">
        <f>+Harvest!H18/Effort!H18</f>
        <v>14.142857142857144</v>
      </c>
      <c r="J18" s="5">
        <f>+Harvest!J18/Effort!J18</f>
        <v>14.068965517241379</v>
      </c>
      <c r="L18" s="5" t="s">
        <v>10</v>
      </c>
      <c r="N18" s="113" t="s">
        <v>10</v>
      </c>
      <c r="O18" s="49">
        <f>+Harvest!O18/Effort!O18</f>
        <v>14.330686389061871</v>
      </c>
    </row>
    <row r="19" spans="1:15" x14ac:dyDescent="0.25">
      <c r="A19" s="22">
        <v>43785</v>
      </c>
      <c r="B19" s="21" t="s">
        <v>19</v>
      </c>
      <c r="C19" s="21">
        <v>-0.3</v>
      </c>
      <c r="D19" s="25">
        <v>0.88055555555555554</v>
      </c>
      <c r="F19" s="5">
        <f>+Harvest!F19/Effort!F19</f>
        <v>15.000000318792505</v>
      </c>
      <c r="G19" t="s">
        <v>70</v>
      </c>
      <c r="H19" s="5">
        <f>+Harvest!H19/Effort!H19</f>
        <v>14.14285395711963</v>
      </c>
      <c r="J19" s="5" t="s">
        <v>10</v>
      </c>
      <c r="L19" s="5">
        <f>+Harvest!L19/Effort!L19</f>
        <v>14.754098360655737</v>
      </c>
      <c r="N19" s="113" t="s">
        <v>10</v>
      </c>
      <c r="O19" s="49">
        <f>+Harvest!O19/Effort!O19</f>
        <v>14.617760042083656</v>
      </c>
    </row>
    <row r="20" spans="1:15" x14ac:dyDescent="0.25">
      <c r="A20" s="22">
        <v>43786</v>
      </c>
      <c r="B20" s="21" t="s">
        <v>20</v>
      </c>
      <c r="C20" s="21">
        <v>-0.1</v>
      </c>
      <c r="D20" s="25">
        <v>0.9159722222222223</v>
      </c>
      <c r="E20" t="s">
        <v>70</v>
      </c>
      <c r="F20" s="5">
        <f>+Harvest!F20/Effort!F20</f>
        <v>15.000000187520547</v>
      </c>
      <c r="H20" s="5">
        <f>+Harvest!H20/Effort!H20</f>
        <v>15</v>
      </c>
      <c r="J20" s="5">
        <f>+Harvest!J20/Effort!J20</f>
        <v>12.839999999999998</v>
      </c>
      <c r="L20" s="5" t="s">
        <v>10</v>
      </c>
      <c r="N20" s="113" t="s">
        <v>10</v>
      </c>
      <c r="O20" s="49">
        <f>+Harvest!O20/Effort!O20</f>
        <v>13.945332287693608</v>
      </c>
    </row>
    <row r="21" spans="1:15" x14ac:dyDescent="0.25">
      <c r="A21" s="22"/>
      <c r="B21" s="21"/>
      <c r="C21" s="21"/>
      <c r="D21" s="25"/>
      <c r="H21" s="5"/>
      <c r="J21" s="5"/>
      <c r="L21" s="5"/>
      <c r="N21" s="21"/>
    </row>
    <row r="22" spans="1:15" x14ac:dyDescent="0.25">
      <c r="A22" s="22">
        <v>43793</v>
      </c>
      <c r="B22" s="21" t="s">
        <v>20</v>
      </c>
      <c r="C22" s="21">
        <v>-0.4</v>
      </c>
      <c r="D22" s="25">
        <v>0.69930555555555562</v>
      </c>
      <c r="F22" s="5">
        <f>+Harvest!F22/Effort!F22</f>
        <v>14.425166620659635</v>
      </c>
      <c r="G22" t="s">
        <v>70</v>
      </c>
      <c r="H22" s="5">
        <f>+Harvest!H22/Effort!H22</f>
        <v>12.129606573705148</v>
      </c>
      <c r="J22" s="5">
        <f>+Harvest!J22/Effort!J22</f>
        <v>14.062499999999998</v>
      </c>
      <c r="L22" s="5" t="s">
        <v>10</v>
      </c>
      <c r="N22" s="21" t="s">
        <v>10</v>
      </c>
      <c r="O22" s="49">
        <f>+Harvest!O22/Effort!O22</f>
        <v>13.885616745808102</v>
      </c>
    </row>
    <row r="23" spans="1:15" x14ac:dyDescent="0.25">
      <c r="A23" s="22">
        <v>43794</v>
      </c>
      <c r="B23" s="21" t="s">
        <v>21</v>
      </c>
      <c r="C23" s="21">
        <v>-1</v>
      </c>
      <c r="D23" s="25">
        <v>0.7319444444444444</v>
      </c>
      <c r="E23" t="s">
        <v>70</v>
      </c>
      <c r="F23" s="5">
        <v>15</v>
      </c>
      <c r="H23" s="5">
        <f>+Harvest!H23/Effort!H23</f>
        <v>13.894736842105265</v>
      </c>
      <c r="J23" s="5" t="s">
        <v>10</v>
      </c>
      <c r="L23" s="5">
        <f>+Harvest!L23/Effort!L23</f>
        <v>14.363636363636333</v>
      </c>
      <c r="N23" s="127" t="s">
        <v>10</v>
      </c>
      <c r="O23" s="49">
        <f>+Harvest!O23/Effort!O23</f>
        <v>14.51032454340692</v>
      </c>
    </row>
    <row r="24" spans="1:15" x14ac:dyDescent="0.25">
      <c r="A24" s="22">
        <v>43795</v>
      </c>
      <c r="B24" s="21" t="s">
        <v>22</v>
      </c>
      <c r="C24" s="21">
        <v>-1.3</v>
      </c>
      <c r="D24" s="25">
        <v>0.76250000000000007</v>
      </c>
      <c r="E24" t="s">
        <v>70</v>
      </c>
      <c r="F24" s="5">
        <f>+Harvest!F24/Effort!F24</f>
        <v>14.87394958219125</v>
      </c>
      <c r="G24" t="s">
        <v>70</v>
      </c>
      <c r="H24" s="5">
        <f>+Harvest!H24/Effort!H24</f>
        <v>12.506972111553736</v>
      </c>
      <c r="J24" s="5">
        <f>+Harvest!J24/Effort!J24</f>
        <v>14.49999999999998</v>
      </c>
      <c r="L24" s="5" t="s">
        <v>10</v>
      </c>
      <c r="N24" s="127" t="s">
        <v>10</v>
      </c>
      <c r="O24" s="49">
        <f>+Harvest!O24/Effort!O24</f>
        <v>14.317613711233221</v>
      </c>
    </row>
    <row r="25" spans="1:15" x14ac:dyDescent="0.25">
      <c r="A25" s="22">
        <v>43796</v>
      </c>
      <c r="B25" s="21" t="s">
        <v>23</v>
      </c>
      <c r="C25" s="21">
        <v>-1.4</v>
      </c>
      <c r="D25" s="25">
        <v>0.79305555555555562</v>
      </c>
      <c r="F25" s="5">
        <v>15</v>
      </c>
      <c r="G25" t="s">
        <v>70</v>
      </c>
      <c r="H25" s="5">
        <f>+Harvest!H25/Effort!H25</f>
        <v>9.8808413438660203</v>
      </c>
      <c r="J25" s="5" t="s">
        <v>10</v>
      </c>
      <c r="L25" s="5">
        <f>+Harvest!L25/Effort!L25</f>
        <v>10.214285714285717</v>
      </c>
      <c r="N25" s="127" t="s">
        <v>10</v>
      </c>
      <c r="O25" s="49">
        <f>+Harvest!O25/Effort!O25</f>
        <v>12.381669783740136</v>
      </c>
    </row>
    <row r="26" spans="1:15" x14ac:dyDescent="0.25">
      <c r="A26" s="22">
        <v>43797</v>
      </c>
      <c r="B26" s="21" t="s">
        <v>24</v>
      </c>
      <c r="C26" s="21">
        <v>-1.2</v>
      </c>
      <c r="D26" s="25">
        <v>0.8222222222222223</v>
      </c>
      <c r="E26" t="s">
        <v>70</v>
      </c>
      <c r="F26" s="5">
        <f>+Harvest!F26/Effort!F26</f>
        <v>14.956989694801141</v>
      </c>
      <c r="G26" t="s">
        <v>70</v>
      </c>
      <c r="H26" s="5">
        <f>+Harvest!H26/Effort!H26</f>
        <v>12.576797571618204</v>
      </c>
      <c r="J26" s="5">
        <f>+Harvest!J26/Effort!J26</f>
        <v>14.580952380952317</v>
      </c>
      <c r="L26" s="5" t="s">
        <v>10</v>
      </c>
      <c r="N26" s="127" t="s">
        <v>10</v>
      </c>
      <c r="O26" s="49">
        <f>+Harvest!O26/Effort!O26</f>
        <v>14.397547843611168</v>
      </c>
    </row>
    <row r="27" spans="1:15" x14ac:dyDescent="0.25">
      <c r="A27" s="22">
        <v>43798</v>
      </c>
      <c r="B27" s="21" t="s">
        <v>18</v>
      </c>
      <c r="C27" s="21">
        <v>-0.7</v>
      </c>
      <c r="D27" s="25">
        <v>0.8534722222222223</v>
      </c>
      <c r="E27" t="s">
        <v>70</v>
      </c>
      <c r="F27" s="5">
        <v>15</v>
      </c>
      <c r="G27" t="s">
        <v>70</v>
      </c>
      <c r="H27" s="5">
        <f>+Harvest!H27/Effort!H27</f>
        <v>14.440228253628026</v>
      </c>
      <c r="J27" s="5" t="s">
        <v>10</v>
      </c>
      <c r="L27" s="5">
        <f>+Harvest!L27/Effort!L27</f>
        <v>14.927536231884032</v>
      </c>
      <c r="N27" s="127" t="s">
        <v>10</v>
      </c>
      <c r="O27" s="49">
        <f>+Harvest!O27/Effort!O27</f>
        <v>14.848582631815232</v>
      </c>
    </row>
    <row r="28" spans="1:15" x14ac:dyDescent="0.25">
      <c r="A28" s="22">
        <v>43799</v>
      </c>
      <c r="B28" s="21" t="s">
        <v>19</v>
      </c>
      <c r="C28" s="21">
        <v>-0.2</v>
      </c>
      <c r="D28" s="25">
        <v>0.88194444444444453</v>
      </c>
      <c r="F28" s="5">
        <f>+Harvest!F28/Effort!F28</f>
        <v>14.836664473084967</v>
      </c>
      <c r="H28" s="5">
        <f>+Harvest!H28/Effort!H28</f>
        <v>12.027777777777773</v>
      </c>
      <c r="J28" s="5">
        <f>+Harvest!J28/Effort!J28</f>
        <v>13.944444444444473</v>
      </c>
      <c r="L28" s="5" t="s">
        <v>10</v>
      </c>
      <c r="N28" s="127" t="s">
        <v>10</v>
      </c>
      <c r="O28" s="49">
        <f>+Harvest!O28/Effort!O28</f>
        <v>13.859524914419783</v>
      </c>
    </row>
    <row r="29" spans="1:15" x14ac:dyDescent="0.25">
      <c r="A29" s="22"/>
      <c r="B29" s="21"/>
      <c r="C29" s="21"/>
      <c r="D29" s="25"/>
      <c r="H29" s="5"/>
      <c r="J29" s="5"/>
      <c r="L29" s="5"/>
      <c r="N29" s="21"/>
    </row>
    <row r="30" spans="1:15" x14ac:dyDescent="0.25">
      <c r="A30" s="22">
        <v>43809</v>
      </c>
      <c r="B30" s="21" t="s">
        <v>22</v>
      </c>
      <c r="C30" s="21">
        <v>-0.2</v>
      </c>
      <c r="D30" s="25">
        <v>0.72777777777777775</v>
      </c>
      <c r="E30" t="s">
        <v>70</v>
      </c>
      <c r="F30" s="5">
        <f>+Harvest!F30/Effort!F30</f>
        <v>11.620688766550932</v>
      </c>
      <c r="G30" t="s">
        <v>70</v>
      </c>
      <c r="H30" s="5">
        <f>+Harvest!H30/Effort!H30</f>
        <v>8.9091954022988471</v>
      </c>
      <c r="J30" s="5" t="s">
        <v>10</v>
      </c>
      <c r="L30" s="5">
        <f>+Harvest!L30/Effort!L30</f>
        <v>11.620689655172415</v>
      </c>
      <c r="N30" s="128" t="s">
        <v>10</v>
      </c>
      <c r="O30" s="49">
        <f>+Harvest!O30/Effort!O30</f>
        <v>10.748598587634172</v>
      </c>
    </row>
    <row r="31" spans="1:15" x14ac:dyDescent="0.25">
      <c r="A31" s="22">
        <v>43810</v>
      </c>
      <c r="B31" s="21" t="s">
        <v>23</v>
      </c>
      <c r="C31" s="21">
        <v>-0.6</v>
      </c>
      <c r="D31" s="25">
        <v>0.75416666666666676</v>
      </c>
      <c r="E31" t="s">
        <v>70</v>
      </c>
      <c r="F31" s="5">
        <f>+Harvest!F31/Effort!F31</f>
        <v>3.8354128153818916</v>
      </c>
      <c r="H31" s="5">
        <f>+Harvest!H31/Effort!H31</f>
        <v>1.8000000000000007</v>
      </c>
      <c r="J31" s="5">
        <f>+Harvest!J31/Effort!J31</f>
        <v>7.7500000000018581</v>
      </c>
      <c r="L31" s="5" t="s">
        <v>10</v>
      </c>
      <c r="N31" s="128" t="s">
        <v>10</v>
      </c>
      <c r="O31" s="49">
        <f>+Harvest!O31/Effort!O31</f>
        <v>4.710164291468196</v>
      </c>
    </row>
    <row r="32" spans="1:15" x14ac:dyDescent="0.25">
      <c r="A32" s="22">
        <v>43811</v>
      </c>
      <c r="B32" s="21" t="s">
        <v>24</v>
      </c>
      <c r="C32" s="21">
        <v>-0.9</v>
      </c>
      <c r="D32" s="25">
        <v>0.78125</v>
      </c>
      <c r="E32" t="s">
        <v>70</v>
      </c>
      <c r="F32" s="5">
        <f>+Harvest!F32/Effort!F32</f>
        <v>0.91666659657016603</v>
      </c>
      <c r="G32" t="s">
        <v>70</v>
      </c>
      <c r="H32" s="5">
        <f>+Harvest!H32/Effort!H32</f>
        <v>0.70277777777777817</v>
      </c>
      <c r="J32" s="5" t="s">
        <v>10</v>
      </c>
      <c r="L32" s="5">
        <f>+Harvest!L32/Effort!L32</f>
        <v>0.91666666666666763</v>
      </c>
      <c r="N32" s="128" t="s">
        <v>10</v>
      </c>
      <c r="O32" s="49">
        <f>+Harvest!O32/Effort!O32</f>
        <v>0.84787412202158863</v>
      </c>
    </row>
    <row r="33" spans="1:15" x14ac:dyDescent="0.25">
      <c r="A33" s="22">
        <v>43812</v>
      </c>
      <c r="B33" s="21" t="s">
        <v>18</v>
      </c>
      <c r="C33" s="21">
        <v>-1</v>
      </c>
      <c r="D33" s="25">
        <v>0.80972222222222223</v>
      </c>
      <c r="F33" s="5">
        <f>+Harvest!F33/Effort!F33</f>
        <v>6.4138000112693101</v>
      </c>
      <c r="G33" t="s">
        <v>70</v>
      </c>
      <c r="H33" s="5">
        <f>+Harvest!H33/Effort!H33</f>
        <v>3.0100645161282968</v>
      </c>
      <c r="J33" s="5">
        <f>+Harvest!J33/Effort!J33</f>
        <v>12.959999999999935</v>
      </c>
      <c r="L33" s="5" t="s">
        <v>10</v>
      </c>
      <c r="N33" s="128" t="s">
        <v>10</v>
      </c>
      <c r="O33" s="49">
        <f>+Harvest!O33/Effort!O33</f>
        <v>7.87661022160166</v>
      </c>
    </row>
    <row r="34" spans="1:15" x14ac:dyDescent="0.25">
      <c r="A34" s="22">
        <v>43813</v>
      </c>
      <c r="B34" s="21" t="s">
        <v>19</v>
      </c>
      <c r="C34" s="21">
        <v>-1</v>
      </c>
      <c r="D34" s="25">
        <v>0.83888888888888891</v>
      </c>
      <c r="E34" t="s">
        <v>70</v>
      </c>
      <c r="F34" s="5">
        <f>+Harvest!F34/Effort!F34</f>
        <v>14.954544310987666</v>
      </c>
      <c r="G34" t="s">
        <v>70</v>
      </c>
      <c r="H34" s="5">
        <f>+Harvest!H34/Effort!H34</f>
        <v>11.465151515151518</v>
      </c>
      <c r="J34" s="5" t="s">
        <v>10</v>
      </c>
      <c r="L34" s="5">
        <f>+Harvest!L34/Effort!L34</f>
        <v>14.954545454545469</v>
      </c>
      <c r="N34" s="128" t="s">
        <v>10</v>
      </c>
      <c r="O34" s="49">
        <f>+Harvest!O34/Effort!O34</f>
        <v>13.832260470005091</v>
      </c>
    </row>
    <row r="35" spans="1:15" x14ac:dyDescent="0.25">
      <c r="A35" s="22">
        <v>43814</v>
      </c>
      <c r="B35" s="21" t="s">
        <v>20</v>
      </c>
      <c r="C35" s="21">
        <v>-0.8</v>
      </c>
      <c r="D35" s="25">
        <v>0.87013888888888891</v>
      </c>
      <c r="E35" t="s">
        <v>70</v>
      </c>
      <c r="F35" s="5">
        <v>15</v>
      </c>
      <c r="G35" t="s">
        <v>70</v>
      </c>
      <c r="H35" s="5">
        <v>15</v>
      </c>
      <c r="J35" s="5">
        <f>+Harvest!J35/Effort!J35</f>
        <v>15.000000000000012</v>
      </c>
      <c r="L35" s="5" t="s">
        <v>10</v>
      </c>
      <c r="N35" s="128" t="s">
        <v>10</v>
      </c>
      <c r="O35" s="49">
        <f>+Harvest!O35/Effort!O35</f>
        <v>15.000000000000004</v>
      </c>
    </row>
    <row r="36" spans="1:15" x14ac:dyDescent="0.25">
      <c r="A36" s="22">
        <v>43815</v>
      </c>
      <c r="B36" s="21" t="s">
        <v>21</v>
      </c>
      <c r="C36" s="21">
        <v>-0.4</v>
      </c>
      <c r="D36" s="25">
        <v>0.90347222222222223</v>
      </c>
      <c r="F36" s="5">
        <f>+Harvest!F36/Effort!F36</f>
        <v>14.999998852966344</v>
      </c>
      <c r="H36" s="5">
        <f>+Harvest!H36/Effort!H36</f>
        <v>11.5</v>
      </c>
      <c r="J36" s="5" t="s">
        <v>10</v>
      </c>
      <c r="L36" s="5">
        <f>+Harvest!L36/Effort!L36</f>
        <v>15.000000000000007</v>
      </c>
      <c r="N36" s="128" t="s">
        <v>10</v>
      </c>
      <c r="O36" s="49">
        <f>+Harvest!O36/Effort!O36</f>
        <v>13.874303814898715</v>
      </c>
    </row>
    <row r="37" spans="1:15" x14ac:dyDescent="0.25">
      <c r="A37" s="22"/>
      <c r="B37" s="21"/>
      <c r="C37" s="21"/>
      <c r="D37" s="25"/>
      <c r="H37" s="5"/>
      <c r="J37" s="5"/>
      <c r="L37" s="5"/>
      <c r="N37" s="21"/>
    </row>
    <row r="38" spans="1:15" x14ac:dyDescent="0.25">
      <c r="A38" s="22">
        <v>43822</v>
      </c>
      <c r="B38" s="21" t="s">
        <v>21</v>
      </c>
      <c r="C38" s="21">
        <v>-0.4</v>
      </c>
      <c r="D38" s="25">
        <v>0.69097222222222221</v>
      </c>
      <c r="F38" s="5">
        <v>15</v>
      </c>
      <c r="G38" t="s">
        <v>70</v>
      </c>
      <c r="H38" s="5">
        <v>15</v>
      </c>
      <c r="J38" s="5" t="s">
        <v>10</v>
      </c>
      <c r="L38" s="5">
        <f>+Harvest!L38/Effort!L38</f>
        <v>14.945454545454604</v>
      </c>
      <c r="N38" s="21" t="s">
        <v>10</v>
      </c>
      <c r="O38" s="49">
        <f>+Harvest!O38/Effort!O38</f>
        <v>14.980708957901003</v>
      </c>
    </row>
    <row r="39" spans="1:15" x14ac:dyDescent="0.25">
      <c r="A39" s="22">
        <v>43825</v>
      </c>
      <c r="B39" s="21" t="s">
        <v>24</v>
      </c>
      <c r="C39" s="21">
        <v>-1.1000000000000001</v>
      </c>
      <c r="D39" s="25">
        <v>0.78263888888888899</v>
      </c>
      <c r="F39" s="5">
        <f>+Harvest!F39/Effort!F39</f>
        <v>10.965538418600852</v>
      </c>
      <c r="G39" t="s">
        <v>70</v>
      </c>
      <c r="H39" s="5">
        <v>10</v>
      </c>
      <c r="J39" s="5">
        <f>+Harvest!J39/Effort!J39</f>
        <v>8.7704918032786772</v>
      </c>
      <c r="L39" s="5" t="s">
        <v>10</v>
      </c>
      <c r="N39" s="130" t="s">
        <v>10</v>
      </c>
      <c r="O39" s="49">
        <f>+Harvest!O39/Effort!O39</f>
        <v>9.8671405588723289</v>
      </c>
    </row>
    <row r="40" spans="1:15" x14ac:dyDescent="0.25">
      <c r="A40" s="22">
        <v>43826</v>
      </c>
      <c r="B40" s="21" t="s">
        <v>18</v>
      </c>
      <c r="C40" s="21">
        <v>-0.9</v>
      </c>
      <c r="D40" s="25">
        <v>0.80972222222222223</v>
      </c>
      <c r="E40" t="s">
        <v>70</v>
      </c>
      <c r="F40" s="5">
        <v>6.5</v>
      </c>
      <c r="H40" s="5">
        <f>+Harvest!H40/Effort!H40</f>
        <v>6.5283018867924474</v>
      </c>
      <c r="J40" s="5" t="s">
        <v>10</v>
      </c>
      <c r="L40" s="5">
        <f>+Harvest!L40/Effort!L40</f>
        <v>3.0135135135135189</v>
      </c>
      <c r="N40" s="130" t="s">
        <v>10</v>
      </c>
      <c r="O40" s="49">
        <f>+Harvest!O40/Effort!O40</f>
        <v>5.2720968479488857</v>
      </c>
    </row>
    <row r="41" spans="1:15" x14ac:dyDescent="0.25">
      <c r="A41" s="22">
        <v>43827</v>
      </c>
      <c r="B41" s="21" t="s">
        <v>19</v>
      </c>
      <c r="C41" s="21">
        <v>-0.6</v>
      </c>
      <c r="D41" s="25">
        <v>0.83680555555555547</v>
      </c>
      <c r="F41" s="5">
        <v>13.695652173913</v>
      </c>
      <c r="H41" s="5">
        <f>+Harvest!H41/Effort!H41</f>
        <v>13.235294117647053</v>
      </c>
      <c r="J41" s="5">
        <f>+Harvest!J41/Effort!J41</f>
        <v>8.6818181818181834</v>
      </c>
      <c r="L41" s="5" t="s">
        <v>10</v>
      </c>
      <c r="N41" s="130" t="s">
        <v>10</v>
      </c>
      <c r="O41" s="49">
        <f>+Harvest!O41/Effort!O41</f>
        <v>11.563268787174691</v>
      </c>
    </row>
    <row r="42" spans="1:15" x14ac:dyDescent="0.25">
      <c r="A42" s="22">
        <v>43828</v>
      </c>
      <c r="B42" s="21" t="s">
        <v>20</v>
      </c>
      <c r="C42" s="21">
        <v>-0.2</v>
      </c>
      <c r="D42" s="25">
        <v>0.86319444444444438</v>
      </c>
      <c r="E42" t="s">
        <v>70</v>
      </c>
      <c r="F42" s="5">
        <v>13.4</v>
      </c>
      <c r="G42" t="s">
        <v>70</v>
      </c>
      <c r="H42" s="5">
        <v>13.4</v>
      </c>
      <c r="J42" s="5" t="s">
        <v>10</v>
      </c>
      <c r="L42" s="5">
        <f>+Harvest!L42/Effort!L42</f>
        <v>13.424242424242408</v>
      </c>
      <c r="N42" s="130" t="s">
        <v>10</v>
      </c>
      <c r="O42" s="49">
        <f>+Harvest!O42/Effort!O42</f>
        <v>13.408573796488445</v>
      </c>
    </row>
    <row r="43" spans="1:15" x14ac:dyDescent="0.25">
      <c r="A43" s="22"/>
      <c r="B43" s="131"/>
      <c r="C43" s="131"/>
      <c r="D43" s="25"/>
      <c r="H43" s="5"/>
      <c r="J43" s="5"/>
      <c r="L43" s="5"/>
      <c r="N43" s="134"/>
    </row>
    <row r="44" spans="1:15" x14ac:dyDescent="0.25">
      <c r="A44" s="22">
        <v>43838</v>
      </c>
      <c r="B44" s="132" t="s">
        <v>23</v>
      </c>
      <c r="C44" s="132">
        <v>-0.3</v>
      </c>
      <c r="D44" s="25">
        <v>0.71180555555555547</v>
      </c>
      <c r="F44" s="5">
        <v>15</v>
      </c>
      <c r="G44" t="s">
        <v>70</v>
      </c>
      <c r="H44" s="5">
        <v>15</v>
      </c>
      <c r="J44" s="5" t="s">
        <v>10</v>
      </c>
      <c r="L44" s="5">
        <f>+Harvest!L44/Effort!L44</f>
        <v>14.545454545454575</v>
      </c>
      <c r="N44" s="134" t="s">
        <v>10</v>
      </c>
      <c r="O44" s="49">
        <f>+Harvest!O44/Effort!O44</f>
        <v>14.880435318099265</v>
      </c>
    </row>
    <row r="45" spans="1:15" x14ac:dyDescent="0.25">
      <c r="A45" s="22">
        <v>43839</v>
      </c>
      <c r="B45" s="132" t="s">
        <v>24</v>
      </c>
      <c r="C45" s="132">
        <v>-0.8</v>
      </c>
      <c r="D45" s="25">
        <v>0.74097222222222225</v>
      </c>
      <c r="F45" s="5">
        <v>15</v>
      </c>
      <c r="H45" s="5">
        <f>+Harvest!H45/Effort!H45</f>
        <v>14.970588235294141</v>
      </c>
      <c r="J45" s="5">
        <f>+Harvest!J45/Effort!J45</f>
        <v>15</v>
      </c>
      <c r="L45" s="5" t="s">
        <v>10</v>
      </c>
      <c r="N45" s="134" t="s">
        <v>10</v>
      </c>
      <c r="O45" s="49">
        <f>+Harvest!O45/Effort!O45</f>
        <v>14.992554797036915</v>
      </c>
    </row>
    <row r="46" spans="1:15" x14ac:dyDescent="0.25">
      <c r="A46" s="22">
        <v>43840</v>
      </c>
      <c r="B46" s="132" t="s">
        <v>18</v>
      </c>
      <c r="C46" s="132">
        <v>-1.2</v>
      </c>
      <c r="D46" s="25">
        <v>0.77013888888888893</v>
      </c>
      <c r="E46" t="s">
        <v>70</v>
      </c>
      <c r="F46" s="5">
        <v>5</v>
      </c>
      <c r="G46" t="s">
        <v>70</v>
      </c>
      <c r="H46" s="5">
        <v>5</v>
      </c>
      <c r="J46" s="5" t="s">
        <v>10</v>
      </c>
      <c r="L46" s="5">
        <f>+Harvest!L46/Effort!L46</f>
        <v>2.2777777777777781</v>
      </c>
      <c r="N46" s="134" t="s">
        <v>10</v>
      </c>
      <c r="O46" s="49">
        <f>+Harvest!O46/Effort!O46</f>
        <v>4.2839404050611058</v>
      </c>
    </row>
    <row r="47" spans="1:15" x14ac:dyDescent="0.25">
      <c r="A47" s="22">
        <v>43841</v>
      </c>
      <c r="B47" s="132" t="s">
        <v>19</v>
      </c>
      <c r="C47" s="132">
        <v>-1.4</v>
      </c>
      <c r="D47" s="25">
        <v>0.7993055555555556</v>
      </c>
      <c r="E47" t="s">
        <v>70</v>
      </c>
      <c r="F47" s="5">
        <v>0</v>
      </c>
      <c r="G47" t="s">
        <v>70</v>
      </c>
      <c r="H47" s="5">
        <v>0</v>
      </c>
      <c r="J47" s="5">
        <v>0</v>
      </c>
      <c r="L47" s="5" t="s">
        <v>10</v>
      </c>
      <c r="N47" s="134" t="s">
        <v>10</v>
      </c>
      <c r="O47" s="49">
        <v>0</v>
      </c>
    </row>
    <row r="48" spans="1:15" x14ac:dyDescent="0.25">
      <c r="A48" s="22">
        <v>43842</v>
      </c>
      <c r="B48" s="132" t="s">
        <v>20</v>
      </c>
      <c r="C48" s="132">
        <v>-1.3</v>
      </c>
      <c r="D48" s="25">
        <v>0.82847222222222217</v>
      </c>
      <c r="E48" t="s">
        <v>70</v>
      </c>
      <c r="F48" s="5">
        <v>0</v>
      </c>
      <c r="G48" t="s">
        <v>70</v>
      </c>
      <c r="H48" s="5">
        <v>0</v>
      </c>
      <c r="J48" s="5" t="s">
        <v>10</v>
      </c>
      <c r="L48" s="5">
        <v>0</v>
      </c>
      <c r="N48" s="134" t="s">
        <v>10</v>
      </c>
      <c r="O48" s="49">
        <v>0</v>
      </c>
    </row>
    <row r="49" spans="1:15" x14ac:dyDescent="0.25">
      <c r="A49" s="22">
        <v>43843</v>
      </c>
      <c r="B49" s="132" t="s">
        <v>21</v>
      </c>
      <c r="C49" s="132">
        <v>-1.2</v>
      </c>
      <c r="D49" s="25">
        <v>0.85833333333333339</v>
      </c>
      <c r="F49" s="5">
        <v>15</v>
      </c>
      <c r="H49" s="5">
        <f>+Harvest!H49/Effort!H49</f>
        <v>11.250000000000011</v>
      </c>
      <c r="J49" s="5">
        <f>+Harvest!J49/Effort!J49</f>
        <v>15</v>
      </c>
      <c r="L49" s="5" t="s">
        <v>10</v>
      </c>
      <c r="N49" s="134" t="s">
        <v>10</v>
      </c>
      <c r="O49" s="49">
        <f>+Harvest!O49/Effort!O49</f>
        <v>14.47218877274689</v>
      </c>
    </row>
    <row r="50" spans="1:15" x14ac:dyDescent="0.25">
      <c r="A50" s="22">
        <v>43844</v>
      </c>
      <c r="B50" s="132" t="s">
        <v>22</v>
      </c>
      <c r="C50" s="132">
        <v>-0.5</v>
      </c>
      <c r="D50" s="25">
        <v>0.88888888888888884</v>
      </c>
      <c r="E50" t="s">
        <v>70</v>
      </c>
      <c r="F50" s="5">
        <v>15</v>
      </c>
      <c r="H50" s="5">
        <f>+Harvest!H50/Effort!H50</f>
        <v>15.000000000000055</v>
      </c>
      <c r="J50" s="5" t="s">
        <v>10</v>
      </c>
      <c r="L50" s="5">
        <v>15</v>
      </c>
      <c r="N50" s="134" t="s">
        <v>10</v>
      </c>
      <c r="O50" s="49">
        <f>+Harvest!O50/Effort!O50</f>
        <v>15.000000000000011</v>
      </c>
    </row>
    <row r="51" spans="1:15" x14ac:dyDescent="0.25">
      <c r="A51" s="22"/>
      <c r="B51" s="132"/>
      <c r="C51" s="132"/>
      <c r="D51" s="25"/>
      <c r="H51" s="5"/>
      <c r="J51" s="5"/>
      <c r="L51" s="5"/>
      <c r="N51" s="132"/>
    </row>
    <row r="52" spans="1:15" x14ac:dyDescent="0.25">
      <c r="A52" s="22">
        <v>43851</v>
      </c>
      <c r="B52" s="132" t="s">
        <v>22</v>
      </c>
      <c r="C52" s="132">
        <v>-0.1</v>
      </c>
      <c r="D52" s="25">
        <v>0.68263888888888891</v>
      </c>
      <c r="F52" s="5">
        <v>11.1</v>
      </c>
      <c r="H52" s="5">
        <f>+Harvest!H52/Effort!H52</f>
        <v>2.3076923076923084</v>
      </c>
      <c r="J52" s="115" t="s">
        <v>10</v>
      </c>
      <c r="L52" s="5">
        <f>+Harvest!L52/Effort!L52</f>
        <v>6.1875000000000258</v>
      </c>
      <c r="N52" s="132" t="s">
        <v>10</v>
      </c>
      <c r="O52" s="49">
        <f>+Harvest!O52/Effort!O52</f>
        <v>7.0420322355214715</v>
      </c>
    </row>
    <row r="53" spans="1:15" x14ac:dyDescent="0.25">
      <c r="A53" s="22">
        <v>43852</v>
      </c>
      <c r="B53" s="132" t="s">
        <v>23</v>
      </c>
      <c r="C53" s="132">
        <v>-0.5</v>
      </c>
      <c r="D53" s="25">
        <v>0.71527777777777779</v>
      </c>
      <c r="E53" t="s">
        <v>70</v>
      </c>
      <c r="F53" s="5">
        <v>5</v>
      </c>
      <c r="G53" t="s">
        <v>70</v>
      </c>
      <c r="H53" s="5">
        <v>5</v>
      </c>
      <c r="J53" s="5">
        <f>+Harvest!J53/Effort!J53</f>
        <v>4.4705882352941053</v>
      </c>
      <c r="L53" s="115" t="s">
        <v>10</v>
      </c>
      <c r="N53" s="135" t="s">
        <v>10</v>
      </c>
      <c r="O53" s="49">
        <f>+Harvest!O53/Effort!O53</f>
        <v>4.7878491266088989</v>
      </c>
    </row>
    <row r="54" spans="1:15" x14ac:dyDescent="0.25">
      <c r="A54" s="22">
        <v>43853</v>
      </c>
      <c r="B54" s="132" t="s">
        <v>24</v>
      </c>
      <c r="C54" s="132">
        <v>-0.6</v>
      </c>
      <c r="D54" s="25">
        <v>0.74513888888888891</v>
      </c>
      <c r="E54" t="s">
        <v>70</v>
      </c>
      <c r="F54" s="5">
        <v>1</v>
      </c>
      <c r="G54" t="s">
        <v>70</v>
      </c>
      <c r="H54" s="5">
        <v>1</v>
      </c>
      <c r="J54" s="115" t="s">
        <v>10</v>
      </c>
      <c r="L54" s="5">
        <f>+Harvest!L54/Effort!L54</f>
        <v>0.47058823529411808</v>
      </c>
      <c r="N54" s="135" t="s">
        <v>10</v>
      </c>
      <c r="O54" s="49">
        <f>+Harvest!O54/Effort!O54</f>
        <v>0.83650641757981126</v>
      </c>
    </row>
    <row r="55" spans="1:15" x14ac:dyDescent="0.25">
      <c r="A55" s="22">
        <v>43854</v>
      </c>
      <c r="B55" s="132" t="s">
        <v>18</v>
      </c>
      <c r="C55" s="132">
        <v>-0.6</v>
      </c>
      <c r="D55" s="25">
        <v>0.77222222222222225</v>
      </c>
      <c r="F55" s="5">
        <v>12</v>
      </c>
      <c r="H55" s="5">
        <f>+Harvest!H55/Effort!H55</f>
        <v>2.166666666666667</v>
      </c>
      <c r="J55" s="5">
        <f>+Harvest!J55/Effort!J55</f>
        <v>8.2068965517241317</v>
      </c>
      <c r="L55" s="115" t="s">
        <v>10</v>
      </c>
      <c r="N55" s="135" t="s">
        <v>10</v>
      </c>
      <c r="O55" s="49">
        <f>+Harvest!O55/Effort!O55</f>
        <v>8.4735617068800302</v>
      </c>
    </row>
    <row r="56" spans="1:15" x14ac:dyDescent="0.25">
      <c r="A56" s="22">
        <v>43855</v>
      </c>
      <c r="B56" s="132" t="s">
        <v>19</v>
      </c>
      <c r="C56" s="132">
        <v>-0.5</v>
      </c>
      <c r="D56" s="25">
        <v>0.79722222222222217</v>
      </c>
      <c r="F56" s="5">
        <v>12.7</v>
      </c>
      <c r="H56" s="5">
        <f>+Harvest!H56/Effort!H56</f>
        <v>3.9487179487179529</v>
      </c>
      <c r="J56" s="115" t="s">
        <v>10</v>
      </c>
      <c r="L56" s="5">
        <f>+Harvest!L56/Effort!L56</f>
        <v>8.4166666666666856</v>
      </c>
      <c r="N56" s="135" t="s">
        <v>10</v>
      </c>
      <c r="O56" s="49">
        <f>+Harvest!O56/Effort!O56</f>
        <v>9.0760100285843635</v>
      </c>
    </row>
    <row r="57" spans="1:15" x14ac:dyDescent="0.25">
      <c r="A57" s="22">
        <v>43856</v>
      </c>
      <c r="B57" s="132" t="s">
        <v>20</v>
      </c>
      <c r="C57" s="132">
        <v>-0.3</v>
      </c>
      <c r="D57" s="25">
        <v>0.8208333333333333</v>
      </c>
      <c r="E57" t="s">
        <v>70</v>
      </c>
      <c r="F57" s="5">
        <v>10</v>
      </c>
      <c r="G57" t="s">
        <v>70</v>
      </c>
      <c r="H57" s="5">
        <v>10</v>
      </c>
      <c r="J57" s="5">
        <f>+Harvest!J57/Effort!J57</f>
        <v>9.4137931034482509</v>
      </c>
      <c r="L57" s="5" t="s">
        <v>10</v>
      </c>
      <c r="N57" s="135" t="s">
        <v>10</v>
      </c>
      <c r="O57" s="49">
        <f>+Harvest!O57/Effort!O57</f>
        <v>9.7650896459385841</v>
      </c>
    </row>
    <row r="58" spans="1:15" x14ac:dyDescent="0.25">
      <c r="A58" s="22"/>
      <c r="B58" s="132"/>
      <c r="C58" s="132"/>
      <c r="D58" s="25"/>
      <c r="F58" s="115"/>
      <c r="H58" s="115"/>
      <c r="J58" s="5"/>
      <c r="L58" s="5"/>
      <c r="N58" s="137"/>
    </row>
    <row r="59" spans="1:15" x14ac:dyDescent="0.25">
      <c r="A59" s="22">
        <v>43867</v>
      </c>
      <c r="B59" s="132" t="s">
        <v>24</v>
      </c>
      <c r="C59" s="132">
        <v>-0.3</v>
      </c>
      <c r="D59" s="25">
        <v>0.69444444444444453</v>
      </c>
      <c r="F59" s="5">
        <v>13.5</v>
      </c>
      <c r="G59" t="s">
        <v>70</v>
      </c>
      <c r="H59" s="5">
        <v>13</v>
      </c>
      <c r="J59" s="5" t="s">
        <v>10</v>
      </c>
      <c r="L59" s="5">
        <f>+Harvest!L59/Effort!L59</f>
        <v>12.714285714285724</v>
      </c>
      <c r="N59" s="137" t="s">
        <v>10</v>
      </c>
      <c r="O59" s="49">
        <f>+Harvest!O59/Effort!O59</f>
        <v>13.161622603600627</v>
      </c>
    </row>
    <row r="60" spans="1:15" x14ac:dyDescent="0.25">
      <c r="A60" s="22">
        <v>43868</v>
      </c>
      <c r="B60" s="132" t="s">
        <v>18</v>
      </c>
      <c r="C60" s="132">
        <v>-0.9</v>
      </c>
      <c r="D60" s="25">
        <v>0.72638888888888886</v>
      </c>
      <c r="F60" s="5">
        <v>13.517241379310301</v>
      </c>
      <c r="G60" t="s">
        <v>70</v>
      </c>
      <c r="H60" s="5">
        <v>14</v>
      </c>
      <c r="J60" s="5">
        <f>+Harvest!J60/Effort!J60</f>
        <v>14.42424242424242</v>
      </c>
      <c r="L60" s="5" t="s">
        <v>10</v>
      </c>
      <c r="N60" s="137" t="s">
        <v>10</v>
      </c>
      <c r="O60" s="49">
        <f>+Harvest!O60/Effort!O60</f>
        <v>13.906731938496586</v>
      </c>
    </row>
    <row r="61" spans="1:15" x14ac:dyDescent="0.25">
      <c r="A61" s="22">
        <v>43869</v>
      </c>
      <c r="B61" s="132" t="s">
        <v>19</v>
      </c>
      <c r="C61" s="132">
        <v>-1.3</v>
      </c>
      <c r="D61" s="25">
        <v>0.75624999999999998</v>
      </c>
      <c r="E61" t="s">
        <v>70</v>
      </c>
      <c r="F61" s="5">
        <v>13.5</v>
      </c>
      <c r="G61" t="s">
        <v>70</v>
      </c>
      <c r="H61" s="5">
        <v>13.5</v>
      </c>
      <c r="J61" s="5" t="s">
        <v>10</v>
      </c>
      <c r="L61" s="5">
        <f>+Harvest!L61/Effort!L61</f>
        <v>13.413043478260857</v>
      </c>
      <c r="N61" s="137" t="s">
        <v>10</v>
      </c>
      <c r="O61" s="49">
        <f>+Harvest!O61/Effort!O61</f>
        <v>13.478617474583448</v>
      </c>
    </row>
    <row r="62" spans="1:15" x14ac:dyDescent="0.25">
      <c r="A62" s="22">
        <v>43870</v>
      </c>
      <c r="B62" s="132" t="s">
        <v>20</v>
      </c>
      <c r="C62" s="132">
        <v>-1.4</v>
      </c>
      <c r="D62" s="25">
        <v>0.78541666666666676</v>
      </c>
      <c r="E62" t="s">
        <v>70</v>
      </c>
      <c r="F62" s="5">
        <v>14</v>
      </c>
      <c r="G62" t="s">
        <v>70</v>
      </c>
      <c r="H62" s="5">
        <v>14</v>
      </c>
      <c r="J62" s="5">
        <f>+Harvest!J62/Effort!J62</f>
        <v>14.606557377049208</v>
      </c>
      <c r="L62" s="5" t="s">
        <v>10</v>
      </c>
      <c r="N62" s="137" t="s">
        <v>10</v>
      </c>
      <c r="O62" s="49">
        <f>+Harvest!O62/Effort!O62</f>
        <v>14.200673047281549</v>
      </c>
    </row>
    <row r="63" spans="1:15" x14ac:dyDescent="0.25">
      <c r="A63" s="22">
        <v>43871</v>
      </c>
      <c r="B63" s="132" t="s">
        <v>21</v>
      </c>
      <c r="C63" s="132">
        <v>-1.3</v>
      </c>
      <c r="D63" s="25">
        <v>0.81388888888888899</v>
      </c>
      <c r="E63" t="s">
        <v>70</v>
      </c>
      <c r="F63" s="5">
        <v>10</v>
      </c>
      <c r="G63" t="s">
        <v>70</v>
      </c>
      <c r="H63" s="5">
        <v>10</v>
      </c>
      <c r="J63" s="5" t="s">
        <v>10</v>
      </c>
      <c r="L63" s="5">
        <f>+Harvest!L63/Effort!L63</f>
        <v>11.920000000000003</v>
      </c>
      <c r="N63" s="137" t="s">
        <v>10</v>
      </c>
      <c r="O63" s="49">
        <f>+Harvest!O63/Effort!O63</f>
        <v>10.472126161197403</v>
      </c>
    </row>
    <row r="64" spans="1:15" x14ac:dyDescent="0.25">
      <c r="A64" s="22">
        <v>43872</v>
      </c>
      <c r="B64" s="132" t="s">
        <v>22</v>
      </c>
      <c r="C64" s="132">
        <v>-0.8</v>
      </c>
      <c r="D64" s="25">
        <v>0.84236111111111101</v>
      </c>
      <c r="F64" s="5">
        <v>15</v>
      </c>
      <c r="H64" s="5">
        <f>+Harvest!H64/Effort!H64</f>
        <v>9.7999999999999954</v>
      </c>
      <c r="J64" s="5">
        <f>+Harvest!J64/Effort!J64</f>
        <v>14.999999999999966</v>
      </c>
      <c r="L64" s="5" t="s">
        <v>10</v>
      </c>
      <c r="N64" s="137" t="s">
        <v>10</v>
      </c>
      <c r="O64" s="49">
        <f>+Harvest!O64/Effort!O64</f>
        <v>13.384226160748497</v>
      </c>
    </row>
    <row r="65" spans="1:15" x14ac:dyDescent="0.25">
      <c r="A65" s="22">
        <v>43873</v>
      </c>
      <c r="B65" s="132" t="s">
        <v>23</v>
      </c>
      <c r="C65" s="132">
        <v>-0.1</v>
      </c>
      <c r="D65" s="25">
        <v>0.87152777777777779</v>
      </c>
      <c r="E65" t="s">
        <v>70</v>
      </c>
      <c r="F65" s="5">
        <v>10</v>
      </c>
      <c r="H65" s="5">
        <f>+Harvest!H65/Effort!H65</f>
        <v>11.46153846153852</v>
      </c>
      <c r="J65" s="5" t="s">
        <v>10</v>
      </c>
      <c r="L65" s="5">
        <f>+Harvest!L65/Effort!L65</f>
        <v>8.5000000000000053</v>
      </c>
      <c r="N65" s="137" t="s">
        <v>10</v>
      </c>
      <c r="O65" s="49">
        <f>+Harvest!O65/Effort!O65</f>
        <v>10.055497454186073</v>
      </c>
    </row>
    <row r="66" spans="1:15" x14ac:dyDescent="0.25">
      <c r="A66" s="22"/>
      <c r="B66" s="132"/>
      <c r="C66" s="132"/>
      <c r="D66" s="25"/>
      <c r="F66" s="115"/>
      <c r="H66" s="5"/>
      <c r="J66" s="5"/>
      <c r="L66" s="5"/>
      <c r="N66" s="132"/>
    </row>
    <row r="67" spans="1:15" x14ac:dyDescent="0.25">
      <c r="A67" s="22">
        <v>43881</v>
      </c>
      <c r="B67" s="132" t="s">
        <v>24</v>
      </c>
      <c r="C67" s="132">
        <v>0</v>
      </c>
      <c r="D67" s="25">
        <v>0.70416666666666661</v>
      </c>
      <c r="F67" s="5">
        <v>15</v>
      </c>
      <c r="H67" s="5">
        <f>+Harvest!H67/Effort!H67</f>
        <v>15.000000000000039</v>
      </c>
      <c r="J67" s="5">
        <f>+Harvest!J67/Effort!J67</f>
        <v>14.955555555555565</v>
      </c>
      <c r="L67" s="5" t="s">
        <v>10</v>
      </c>
      <c r="N67" s="132" t="s">
        <v>10</v>
      </c>
      <c r="O67" s="49">
        <f>+Harvest!O67/Effort!O67</f>
        <v>14.981656021617269</v>
      </c>
    </row>
    <row r="68" spans="1:15" x14ac:dyDescent="0.25">
      <c r="A68" s="22">
        <v>43882</v>
      </c>
      <c r="B68" s="132" t="s">
        <v>18</v>
      </c>
      <c r="C68" s="132">
        <v>-0.1</v>
      </c>
      <c r="D68" s="25">
        <v>0.73263888888888884</v>
      </c>
      <c r="F68" s="5">
        <v>15</v>
      </c>
      <c r="H68" s="5">
        <f>+Harvest!H68/Effort!H68</f>
        <v>14.999999999999963</v>
      </c>
      <c r="J68" s="5" t="s">
        <v>10</v>
      </c>
      <c r="L68" s="5">
        <f>+Harvest!L68/Effort!L68</f>
        <v>14.638888888888864</v>
      </c>
      <c r="N68" s="138" t="s">
        <v>10</v>
      </c>
      <c r="O68" s="49">
        <f>+Harvest!O68/Effort!O68</f>
        <v>14.86942971503515</v>
      </c>
    </row>
    <row r="69" spans="1:15" x14ac:dyDescent="0.25">
      <c r="A69" s="22">
        <v>43883</v>
      </c>
      <c r="B69" s="132" t="s">
        <v>19</v>
      </c>
      <c r="C69" s="132">
        <v>-0.2</v>
      </c>
      <c r="D69" s="25">
        <v>0.75763888888888886</v>
      </c>
      <c r="E69" t="s">
        <v>70</v>
      </c>
      <c r="F69" s="5">
        <v>10</v>
      </c>
      <c r="H69" s="5">
        <f>+Harvest!H69/Effort!H69</f>
        <v>9.2093023255813833</v>
      </c>
      <c r="J69" s="5">
        <f>+Harvest!J69/Effort!J69</f>
        <v>10.442857142857138</v>
      </c>
      <c r="L69" s="5" t="s">
        <v>10</v>
      </c>
      <c r="N69" s="138" t="s">
        <v>10</v>
      </c>
      <c r="O69" s="49">
        <f>+Harvest!O69/Effort!O69</f>
        <v>10.015750198457386</v>
      </c>
    </row>
    <row r="70" spans="1:15" x14ac:dyDescent="0.25">
      <c r="A70" s="22">
        <v>43884</v>
      </c>
      <c r="B70" s="132" t="s">
        <v>20</v>
      </c>
      <c r="C70" s="132">
        <v>-0.1</v>
      </c>
      <c r="D70" s="25">
        <v>0.78055555555555556</v>
      </c>
      <c r="E70" t="s">
        <v>70</v>
      </c>
      <c r="F70" s="5">
        <v>2</v>
      </c>
      <c r="G70" t="s">
        <v>70</v>
      </c>
      <c r="H70" s="5">
        <v>2</v>
      </c>
      <c r="J70" s="5" t="s">
        <v>10</v>
      </c>
      <c r="L70" s="5">
        <f>+Harvest!L70/Effort!L70</f>
        <v>2.1500000000000061</v>
      </c>
      <c r="N70" s="138" t="s">
        <v>10</v>
      </c>
      <c r="O70" s="49">
        <f>+Harvest!O70/Effort!O70</f>
        <v>2.0542368876007782</v>
      </c>
    </row>
    <row r="71" spans="1:15" x14ac:dyDescent="0.25">
      <c r="A71" s="22"/>
      <c r="B71" s="141"/>
      <c r="C71" s="141"/>
      <c r="D71" s="25"/>
      <c r="F71" s="115"/>
      <c r="H71" s="115"/>
      <c r="J71" s="115"/>
      <c r="L71" s="115"/>
      <c r="N71" s="141"/>
    </row>
    <row r="72" spans="1:15" x14ac:dyDescent="0.25">
      <c r="A72" s="22">
        <v>43896</v>
      </c>
      <c r="B72" s="141" t="s">
        <v>18</v>
      </c>
      <c r="C72" s="141">
        <v>-0.2</v>
      </c>
      <c r="D72" s="25">
        <v>0.6743055555555556</v>
      </c>
      <c r="F72" s="143">
        <v>15</v>
      </c>
      <c r="H72" s="5">
        <f>+Harvest!H72/Effort!H72</f>
        <v>14.999999999999929</v>
      </c>
      <c r="J72" s="115" t="s">
        <v>10</v>
      </c>
      <c r="L72" s="5">
        <f>+Harvest!L72/Effort!L72</f>
        <v>14.797297297297325</v>
      </c>
      <c r="N72" s="141" t="s">
        <v>10</v>
      </c>
      <c r="O72" s="49">
        <f>+Harvest!O72/Effort!O72</f>
        <v>14.935866761059843</v>
      </c>
    </row>
    <row r="73" spans="1:15" x14ac:dyDescent="0.25">
      <c r="A73" s="22">
        <v>43897</v>
      </c>
      <c r="B73" s="141" t="s">
        <v>19</v>
      </c>
      <c r="C73" s="141">
        <v>-0.7</v>
      </c>
      <c r="D73" s="25">
        <v>0.70763888888888893</v>
      </c>
      <c r="F73" s="143">
        <v>15</v>
      </c>
      <c r="G73" t="s">
        <v>70</v>
      </c>
      <c r="H73" s="5">
        <v>15</v>
      </c>
      <c r="J73" s="5">
        <f>+Harvest!J73/Effort!J73</f>
        <v>14.681818181818176</v>
      </c>
      <c r="L73" s="115" t="s">
        <v>10</v>
      </c>
      <c r="N73" s="141" t="s">
        <v>10</v>
      </c>
      <c r="O73" s="49">
        <f>+Harvest!O73/Effort!O73</f>
        <v>14.883308438528731</v>
      </c>
    </row>
    <row r="74" spans="1:15" x14ac:dyDescent="0.25">
      <c r="A74" s="22">
        <v>43898</v>
      </c>
      <c r="B74" s="141" t="s">
        <v>20</v>
      </c>
      <c r="C74" s="141">
        <v>-1</v>
      </c>
      <c r="D74" s="25">
        <v>0.77986111111111101</v>
      </c>
      <c r="E74" t="s">
        <v>70</v>
      </c>
      <c r="F74" s="143">
        <v>15</v>
      </c>
      <c r="G74" t="s">
        <v>70</v>
      </c>
      <c r="H74" s="5">
        <v>15</v>
      </c>
      <c r="J74" s="115" t="s">
        <v>10</v>
      </c>
      <c r="L74" s="5">
        <f>+Harvest!L74/Effort!L74</f>
        <v>13.791666666666655</v>
      </c>
      <c r="N74" s="141" t="s">
        <v>10</v>
      </c>
      <c r="O74" s="49">
        <f>+Harvest!O74/Effort!O74</f>
        <v>14.617694636762334</v>
      </c>
    </row>
    <row r="75" spans="1:15" x14ac:dyDescent="0.25">
      <c r="A75" s="22">
        <v>43899</v>
      </c>
      <c r="B75" s="141" t="s">
        <v>21</v>
      </c>
      <c r="C75" s="141">
        <v>-1</v>
      </c>
      <c r="D75" s="25">
        <v>0.80902777777777779</v>
      </c>
      <c r="F75" s="143">
        <v>15</v>
      </c>
      <c r="G75" t="s">
        <v>70</v>
      </c>
      <c r="H75" s="5">
        <v>15</v>
      </c>
      <c r="J75" s="5">
        <f>+Harvest!J75/Effort!J75</f>
        <v>14.769230769230758</v>
      </c>
      <c r="L75" s="115" t="s">
        <v>10</v>
      </c>
      <c r="N75" s="141" t="s">
        <v>10</v>
      </c>
      <c r="O75" s="49">
        <f>+Harvest!O75/Effort!O75</f>
        <v>14.909837981441122</v>
      </c>
    </row>
    <row r="76" spans="1:15" x14ac:dyDescent="0.25">
      <c r="A76" s="22">
        <v>43900</v>
      </c>
      <c r="B76" s="141" t="s">
        <v>22</v>
      </c>
      <c r="C76" s="141">
        <v>-0.8</v>
      </c>
      <c r="D76" s="25">
        <v>0.83750000000000002</v>
      </c>
      <c r="E76" t="s">
        <v>70</v>
      </c>
      <c r="F76" s="143">
        <v>15</v>
      </c>
      <c r="G76" t="s">
        <v>70</v>
      </c>
      <c r="H76" s="5">
        <v>15</v>
      </c>
      <c r="J76" s="115" t="s">
        <v>10</v>
      </c>
      <c r="L76" s="5">
        <f>+Harvest!L76/Effort!L76</f>
        <v>14.61538461538462</v>
      </c>
      <c r="N76" s="141" t="s">
        <v>10</v>
      </c>
      <c r="O76" s="49">
        <f>+Harvest!O76/Effort!O76</f>
        <v>14.878311290216132</v>
      </c>
    </row>
    <row r="77" spans="1:15" x14ac:dyDescent="0.25">
      <c r="A77" s="22">
        <v>43901</v>
      </c>
      <c r="B77" s="141" t="s">
        <v>23</v>
      </c>
      <c r="C77" s="141">
        <v>-0.2</v>
      </c>
      <c r="D77" s="25">
        <v>0.8652777777777777</v>
      </c>
      <c r="E77" t="s">
        <v>70</v>
      </c>
      <c r="F77" s="143">
        <v>10</v>
      </c>
      <c r="H77" s="5">
        <f>+Harvest!H77/Effort!H77</f>
        <v>7.0000000000000062</v>
      </c>
      <c r="J77" s="5">
        <f>+Harvest!J77/Effort!J77</f>
        <v>12.888888888888903</v>
      </c>
      <c r="L77" s="115" t="s">
        <v>10</v>
      </c>
      <c r="N77" s="141" t="s">
        <v>10</v>
      </c>
      <c r="O77" s="49">
        <f>+Harvest!O77/Effort!O77</f>
        <v>10.344009683233189</v>
      </c>
    </row>
    <row r="78" spans="1:15" x14ac:dyDescent="0.25">
      <c r="A78" s="22"/>
      <c r="B78" s="141"/>
      <c r="C78" s="141"/>
      <c r="D78" s="25"/>
      <c r="F78" s="115"/>
      <c r="H78" s="115"/>
      <c r="J78" s="115"/>
      <c r="L78" s="115"/>
      <c r="N78" s="141"/>
    </row>
    <row r="79" spans="1:15" x14ac:dyDescent="0.25">
      <c r="A79" s="22">
        <v>43910</v>
      </c>
      <c r="B79" s="141" t="s">
        <v>18</v>
      </c>
      <c r="C79" s="141">
        <v>0.4</v>
      </c>
      <c r="D79" s="25">
        <v>0.7270833333333333</v>
      </c>
      <c r="F79" s="115"/>
      <c r="H79" s="115"/>
      <c r="J79" s="115" t="s">
        <v>10</v>
      </c>
      <c r="L79" s="115"/>
      <c r="N79" s="141" t="s">
        <v>10</v>
      </c>
      <c r="O79" s="49" t="e">
        <f>+Harvest!O79/Effort!O79</f>
        <v>#DIV/0!</v>
      </c>
    </row>
    <row r="80" spans="1:15" x14ac:dyDescent="0.25">
      <c r="A80" s="22">
        <v>43911</v>
      </c>
      <c r="B80" s="141" t="s">
        <v>19</v>
      </c>
      <c r="C80" s="141">
        <v>0.4</v>
      </c>
      <c r="D80" s="25">
        <v>0.75486111111111109</v>
      </c>
      <c r="F80" s="115"/>
      <c r="H80" s="115"/>
      <c r="J80" s="115"/>
      <c r="L80" s="115" t="s">
        <v>10</v>
      </c>
      <c r="N80" s="141" t="s">
        <v>10</v>
      </c>
      <c r="O80" s="49" t="e">
        <f>+Harvest!O80/Effort!O80</f>
        <v>#DIV/0!</v>
      </c>
    </row>
    <row r="81" spans="1:15" x14ac:dyDescent="0.25">
      <c r="A81" s="22">
        <v>43912</v>
      </c>
      <c r="B81" s="141" t="s">
        <v>20</v>
      </c>
      <c r="C81" s="141">
        <v>0.4</v>
      </c>
      <c r="D81" s="25">
        <v>0.77847222222222223</v>
      </c>
      <c r="F81" s="115"/>
      <c r="H81" s="115"/>
      <c r="J81" s="115" t="s">
        <v>10</v>
      </c>
      <c r="L81" s="115"/>
      <c r="N81" s="141" t="s">
        <v>10</v>
      </c>
      <c r="O81" s="49" t="e">
        <f>+Harvest!O81/Effort!O81</f>
        <v>#DIV/0!</v>
      </c>
    </row>
    <row r="82" spans="1:15" x14ac:dyDescent="0.25">
      <c r="A82" s="22">
        <v>43913</v>
      </c>
      <c r="B82" s="141" t="s">
        <v>21</v>
      </c>
      <c r="C82" s="141">
        <v>0.5</v>
      </c>
      <c r="D82" s="25">
        <v>0.79999999999999993</v>
      </c>
      <c r="F82" s="115"/>
      <c r="H82" s="115"/>
      <c r="J82" s="115"/>
      <c r="L82" s="115" t="s">
        <v>10</v>
      </c>
      <c r="N82" s="141" t="s">
        <v>10</v>
      </c>
      <c r="O82" s="49" t="e">
        <f>+Harvest!O82/Effort!O82</f>
        <v>#DIV/0!</v>
      </c>
    </row>
    <row r="83" spans="1:15" x14ac:dyDescent="0.25">
      <c r="A83" s="22"/>
      <c r="B83" s="141"/>
      <c r="C83" s="141"/>
      <c r="D83" s="25"/>
      <c r="F83" s="115"/>
      <c r="H83" s="115"/>
      <c r="J83" s="115"/>
      <c r="L83" s="115"/>
      <c r="N83" s="141"/>
    </row>
    <row r="84" spans="1:15" x14ac:dyDescent="0.25">
      <c r="A84" s="22">
        <v>43924</v>
      </c>
      <c r="B84" s="141" t="s">
        <v>18</v>
      </c>
      <c r="C84" s="141">
        <v>0.3</v>
      </c>
      <c r="D84" s="25">
        <v>0.65347222222222223</v>
      </c>
      <c r="F84" s="115"/>
      <c r="H84" s="115"/>
      <c r="J84" s="115"/>
      <c r="L84" s="115" t="s">
        <v>10</v>
      </c>
      <c r="N84" s="141" t="s">
        <v>10</v>
      </c>
      <c r="O84" s="49" t="e">
        <f>+Harvest!O84/Effort!O84</f>
        <v>#DIV/0!</v>
      </c>
    </row>
    <row r="85" spans="1:15" x14ac:dyDescent="0.25">
      <c r="A85" s="22">
        <v>43925</v>
      </c>
      <c r="B85" s="141" t="s">
        <v>19</v>
      </c>
      <c r="C85" s="141">
        <v>-0.1</v>
      </c>
      <c r="D85" s="25">
        <v>0.69236111111111109</v>
      </c>
      <c r="F85" s="115"/>
      <c r="H85" s="115"/>
      <c r="J85" s="115" t="s">
        <v>10</v>
      </c>
      <c r="L85" s="115"/>
      <c r="N85" s="141" t="s">
        <v>10</v>
      </c>
      <c r="O85" s="49" t="e">
        <f>+Harvest!O85/Effort!O85</f>
        <v>#DIV/0!</v>
      </c>
    </row>
    <row r="86" spans="1:15" x14ac:dyDescent="0.25">
      <c r="A86" s="22">
        <v>43926</v>
      </c>
      <c r="B86" s="141" t="s">
        <v>20</v>
      </c>
      <c r="C86" s="141">
        <v>-0.4</v>
      </c>
      <c r="D86" s="25">
        <v>0.31041666666666667</v>
      </c>
      <c r="F86" s="115"/>
      <c r="H86" s="115"/>
      <c r="J86" s="115"/>
      <c r="L86" s="115" t="s">
        <v>10</v>
      </c>
      <c r="N86" s="141" t="s">
        <v>10</v>
      </c>
      <c r="O86" s="49" t="e">
        <f>+Harvest!O86/Effort!O86</f>
        <v>#DIV/0!</v>
      </c>
    </row>
    <row r="87" spans="1:15" x14ac:dyDescent="0.25">
      <c r="A87" s="22">
        <v>43927</v>
      </c>
      <c r="B87" s="141" t="s">
        <v>21</v>
      </c>
      <c r="C87" s="141">
        <v>0.4</v>
      </c>
      <c r="D87" s="25">
        <v>0.7583333333333333</v>
      </c>
      <c r="F87" s="115"/>
      <c r="H87" s="115"/>
      <c r="J87" s="115" t="s">
        <v>10</v>
      </c>
      <c r="L87" s="115"/>
      <c r="N87" s="141" t="s">
        <v>10</v>
      </c>
      <c r="O87" s="49" t="e">
        <f>+Harvest!O87/Effort!O87</f>
        <v>#DIV/0!</v>
      </c>
    </row>
    <row r="88" spans="1:15" x14ac:dyDescent="0.25">
      <c r="A88" s="22">
        <v>43928</v>
      </c>
      <c r="B88" s="141" t="s">
        <v>22</v>
      </c>
      <c r="C88" s="141">
        <v>-0.2</v>
      </c>
      <c r="D88" s="25">
        <v>0.78819444444444453</v>
      </c>
      <c r="F88" s="115"/>
      <c r="H88" s="115"/>
      <c r="J88" s="115"/>
      <c r="L88" s="115" t="s">
        <v>10</v>
      </c>
      <c r="N88" s="141" t="s">
        <v>10</v>
      </c>
      <c r="O88" s="49" t="e">
        <f>+Harvest!O88/Effort!O88</f>
        <v>#DIV/0!</v>
      </c>
    </row>
    <row r="89" spans="1:15" x14ac:dyDescent="0.25">
      <c r="A89" s="22">
        <v>43929</v>
      </c>
      <c r="B89" s="141" t="s">
        <v>23</v>
      </c>
      <c r="C89" s="141">
        <v>-0.7</v>
      </c>
      <c r="D89" s="25">
        <v>0.30972222222222223</v>
      </c>
      <c r="F89" s="115"/>
      <c r="H89" s="115"/>
      <c r="J89" s="115" t="s">
        <v>10</v>
      </c>
      <c r="L89" s="115"/>
      <c r="N89" s="141" t="s">
        <v>10</v>
      </c>
      <c r="O89" s="49" t="e">
        <f>+Harvest!O89/Effort!O89</f>
        <v>#DIV/0!</v>
      </c>
    </row>
    <row r="90" spans="1:15" x14ac:dyDescent="0.25">
      <c r="A90" s="22">
        <v>43930</v>
      </c>
      <c r="B90" s="141" t="s">
        <v>24</v>
      </c>
      <c r="C90" s="141">
        <v>-1.1000000000000001</v>
      </c>
      <c r="D90" s="25">
        <v>0.3430555555555555</v>
      </c>
      <c r="F90" s="115"/>
      <c r="H90" s="115"/>
      <c r="J90" s="115"/>
      <c r="L90" s="115" t="s">
        <v>10</v>
      </c>
      <c r="N90" s="141" t="s">
        <v>10</v>
      </c>
      <c r="O90" s="49" t="e">
        <f>+Harvest!O90/Effort!O90</f>
        <v>#DIV/0!</v>
      </c>
    </row>
    <row r="91" spans="1:15" x14ac:dyDescent="0.25">
      <c r="A91" s="22">
        <v>43931</v>
      </c>
      <c r="B91" s="141" t="s">
        <v>18</v>
      </c>
      <c r="C91" s="141">
        <v>-1.3</v>
      </c>
      <c r="D91" s="25">
        <v>0.3756944444444445</v>
      </c>
      <c r="F91" s="115"/>
      <c r="H91" s="115"/>
      <c r="J91" s="115" t="s">
        <v>10</v>
      </c>
      <c r="L91" s="115"/>
      <c r="N91" s="141" t="s">
        <v>10</v>
      </c>
      <c r="O91" s="49" t="e">
        <f>+Harvest!O91/Effort!O91</f>
        <v>#DIV/0!</v>
      </c>
    </row>
    <row r="92" spans="1:15" x14ac:dyDescent="0.25">
      <c r="A92" s="22">
        <v>43932</v>
      </c>
      <c r="B92" s="141" t="s">
        <v>19</v>
      </c>
      <c r="C92" s="141">
        <v>-1.1000000000000001</v>
      </c>
      <c r="D92" s="25">
        <v>0.40972222222222227</v>
      </c>
      <c r="F92" s="115"/>
      <c r="H92" s="115"/>
      <c r="J92" s="115"/>
      <c r="L92" s="115" t="s">
        <v>10</v>
      </c>
      <c r="N92" s="141" t="s">
        <v>10</v>
      </c>
      <c r="O92" s="49" t="e">
        <f>+Harvest!O92/Effort!O92</f>
        <v>#DIV/0!</v>
      </c>
    </row>
    <row r="93" spans="1:15" x14ac:dyDescent="0.25">
      <c r="A93" s="22">
        <v>43933</v>
      </c>
      <c r="B93" s="141" t="s">
        <v>20</v>
      </c>
      <c r="C93" s="141">
        <v>-0.7</v>
      </c>
      <c r="D93" s="25">
        <v>0.4458333333333333</v>
      </c>
      <c r="F93" s="115"/>
      <c r="H93" s="115"/>
      <c r="J93" s="115" t="s">
        <v>10</v>
      </c>
      <c r="L93" s="115"/>
      <c r="N93" s="141" t="s">
        <v>10</v>
      </c>
      <c r="O93" s="49" t="e">
        <f>+Harvest!O93/Effort!O93</f>
        <v>#DIV/0!</v>
      </c>
    </row>
    <row r="94" spans="1:15" x14ac:dyDescent="0.25">
      <c r="A94" s="22">
        <v>43934</v>
      </c>
      <c r="B94" s="141" t="s">
        <v>21</v>
      </c>
      <c r="C94" s="141">
        <v>-0.2</v>
      </c>
      <c r="D94" s="25">
        <v>0.48541666666666666</v>
      </c>
      <c r="F94" s="115"/>
      <c r="H94" s="115"/>
      <c r="J94" s="115"/>
      <c r="L94" s="115" t="s">
        <v>10</v>
      </c>
      <c r="N94" s="141" t="s">
        <v>10</v>
      </c>
      <c r="O94" s="49" t="e">
        <f>+Harvest!O94/Effort!O94</f>
        <v>#DIV/0!</v>
      </c>
    </row>
    <row r="95" spans="1:15" x14ac:dyDescent="0.25">
      <c r="A95" s="22"/>
      <c r="B95" s="141"/>
      <c r="C95" s="141"/>
      <c r="D95" s="25"/>
      <c r="F95" s="115"/>
      <c r="H95" s="115"/>
      <c r="J95" s="115"/>
      <c r="L95" s="115"/>
      <c r="N95" s="141"/>
    </row>
    <row r="96" spans="1:15" x14ac:dyDescent="0.25">
      <c r="A96" s="22">
        <v>43943</v>
      </c>
      <c r="B96" s="141" t="s">
        <v>23</v>
      </c>
      <c r="C96" s="141">
        <v>0.3</v>
      </c>
      <c r="D96" s="25">
        <v>0.29722222222222222</v>
      </c>
      <c r="F96" s="115"/>
      <c r="H96" s="115"/>
      <c r="J96" s="115"/>
      <c r="L96" s="115" t="s">
        <v>10</v>
      </c>
      <c r="N96" s="141" t="s">
        <v>10</v>
      </c>
      <c r="O96" s="49" t="e">
        <f>+Harvest!O96/Effort!O96</f>
        <v>#DIV/0!</v>
      </c>
    </row>
    <row r="97" spans="1:15" x14ac:dyDescent="0.25">
      <c r="A97" s="22">
        <v>43944</v>
      </c>
      <c r="B97" s="141" t="s">
        <v>24</v>
      </c>
      <c r="C97" s="141">
        <v>0</v>
      </c>
      <c r="D97" s="25">
        <v>0.32013888888888892</v>
      </c>
      <c r="F97" s="115"/>
      <c r="H97" s="115"/>
      <c r="J97" s="115" t="s">
        <v>10</v>
      </c>
      <c r="L97" s="115"/>
      <c r="N97" s="141" t="s">
        <v>10</v>
      </c>
      <c r="O97" s="49" t="e">
        <f>+Harvest!O97/Effort!O97</f>
        <v>#DIV/0!</v>
      </c>
    </row>
    <row r="98" spans="1:15" x14ac:dyDescent="0.25">
      <c r="A98" s="22">
        <v>43945</v>
      </c>
      <c r="B98" s="141" t="s">
        <v>18</v>
      </c>
      <c r="C98" s="141">
        <v>-0.3</v>
      </c>
      <c r="D98" s="25">
        <v>0.34375</v>
      </c>
      <c r="F98" s="115"/>
      <c r="H98" s="115"/>
      <c r="J98" s="115"/>
      <c r="L98" s="115" t="s">
        <v>10</v>
      </c>
      <c r="N98" s="141" t="s">
        <v>10</v>
      </c>
      <c r="O98" s="49" t="e">
        <f>+Harvest!O98/Effort!O98</f>
        <v>#DIV/0!</v>
      </c>
    </row>
    <row r="99" spans="1:15" x14ac:dyDescent="0.25">
      <c r="A99" s="22">
        <v>43946</v>
      </c>
      <c r="B99" s="141" t="s">
        <v>19</v>
      </c>
      <c r="C99" s="141">
        <v>-0.1</v>
      </c>
      <c r="D99" s="25">
        <v>0.36736111111111108</v>
      </c>
      <c r="F99" s="115"/>
      <c r="H99" s="115"/>
      <c r="J99" s="115" t="s">
        <v>10</v>
      </c>
      <c r="L99" s="115"/>
      <c r="N99" s="141" t="s">
        <v>10</v>
      </c>
      <c r="O99" s="49" t="e">
        <f>+Harvest!O99/Effort!O99</f>
        <v>#DIV/0!</v>
      </c>
    </row>
    <row r="100" spans="1:15" x14ac:dyDescent="0.25">
      <c r="A100" s="22">
        <v>43947</v>
      </c>
      <c r="B100" s="141" t="s">
        <v>20</v>
      </c>
      <c r="C100" s="141">
        <v>-0.3</v>
      </c>
      <c r="D100" s="25">
        <v>0.39305555555555555</v>
      </c>
      <c r="F100" s="115"/>
      <c r="H100" s="115"/>
      <c r="J100" s="115"/>
      <c r="L100" s="115" t="s">
        <v>10</v>
      </c>
      <c r="N100" s="141" t="s">
        <v>10</v>
      </c>
      <c r="O100" s="49" t="e">
        <f>+Harvest!O100/Effort!O100</f>
        <v>#DIV/0!</v>
      </c>
    </row>
    <row r="101" spans="1:15" x14ac:dyDescent="0.25">
      <c r="A101" s="22">
        <v>43948</v>
      </c>
      <c r="B101" s="141" t="s">
        <v>21</v>
      </c>
      <c r="C101" s="141">
        <v>-0.2</v>
      </c>
      <c r="D101" s="25">
        <v>0.42152777777777778</v>
      </c>
      <c r="F101" s="115"/>
      <c r="H101" s="115"/>
      <c r="J101" s="115" t="s">
        <v>10</v>
      </c>
      <c r="L101" s="115"/>
      <c r="N101" s="141" t="s">
        <v>10</v>
      </c>
      <c r="O101" s="49" t="e">
        <f>+Harvest!O101/Effort!O101</f>
        <v>#DIV/0!</v>
      </c>
    </row>
    <row r="102" spans="1:15" x14ac:dyDescent="0.25">
      <c r="A102" s="22">
        <v>43949</v>
      </c>
      <c r="B102" s="141" t="s">
        <v>22</v>
      </c>
      <c r="C102" s="141">
        <v>-0.1</v>
      </c>
      <c r="D102" s="25">
        <v>0.45416666666666666</v>
      </c>
      <c r="F102" s="115"/>
      <c r="H102" s="115"/>
      <c r="J102" s="115"/>
      <c r="L102" s="115" t="s">
        <v>10</v>
      </c>
      <c r="N102" s="141" t="s">
        <v>10</v>
      </c>
      <c r="O102" s="49" t="e">
        <f>+Harvest!O102/Effort!O102</f>
        <v>#DIV/0!</v>
      </c>
    </row>
    <row r="103" spans="1:15" x14ac:dyDescent="0.25">
      <c r="A103" s="22">
        <v>43950</v>
      </c>
      <c r="B103" s="141" t="s">
        <v>23</v>
      </c>
      <c r="C103" s="141">
        <v>0.1</v>
      </c>
      <c r="D103" s="25">
        <v>0.4916666666666667</v>
      </c>
      <c r="F103" s="115"/>
      <c r="H103" s="115"/>
      <c r="J103" s="115" t="s">
        <v>10</v>
      </c>
      <c r="L103" s="115"/>
      <c r="N103" s="141" t="s">
        <v>10</v>
      </c>
      <c r="O103" s="49" t="e">
        <f>+Harvest!O103/Effort!O103</f>
        <v>#DIV/0!</v>
      </c>
    </row>
    <row r="105" spans="1:15" x14ac:dyDescent="0.25">
      <c r="A105" s="32" t="s">
        <v>25</v>
      </c>
      <c r="C105" s="34"/>
      <c r="D105" s="34"/>
      <c r="E105" s="8"/>
      <c r="F105" s="84">
        <f>Harvest!F105/Effort!F105</f>
        <v>13.900441996865375</v>
      </c>
      <c r="H105" s="5">
        <f>Harvest!H105/Effort!H105</f>
        <v>12.79828609270325</v>
      </c>
      <c r="J105" s="5">
        <f>Harvest!J105/Effort!J105</f>
        <v>13.576177069457088</v>
      </c>
      <c r="L105" s="5">
        <f>Harvest!L105/Effort!L105</f>
        <v>13.019758798728168</v>
      </c>
      <c r="N105" s="84">
        <v>0</v>
      </c>
    </row>
    <row r="106" spans="1:15" x14ac:dyDescent="0.25">
      <c r="A106" s="33" t="s">
        <v>16</v>
      </c>
      <c r="C106" s="34"/>
      <c r="D106" s="34"/>
      <c r="E106" s="8"/>
      <c r="F106"/>
    </row>
    <row r="107" spans="1:15" x14ac:dyDescent="0.25">
      <c r="A107" s="20" t="s">
        <v>17</v>
      </c>
      <c r="C107" s="34"/>
      <c r="D107" s="34"/>
      <c r="E107" s="8"/>
      <c r="F107"/>
    </row>
  </sheetData>
  <mergeCells count="5">
    <mergeCell ref="E1:F1"/>
    <mergeCell ref="G1:H1"/>
    <mergeCell ref="I1:J1"/>
    <mergeCell ref="K1:L1"/>
    <mergeCell ref="M1:N1"/>
  </mergeCells>
  <pageMargins left="0.7" right="0.7" top="0.75" bottom="0.75" header="0.3" footer="0.3"/>
  <pageSetup scale="4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17"/>
  <sheetViews>
    <sheetView zoomScale="90" zoomScaleNormal="90" workbookViewId="0">
      <selection activeCell="U110" sqref="U110"/>
    </sheetView>
  </sheetViews>
  <sheetFormatPr defaultRowHeight="15" x14ac:dyDescent="0.25"/>
  <cols>
    <col min="15" max="15" width="13.5703125" customWidth="1"/>
    <col min="20" max="20" width="10.85546875" style="48" customWidth="1"/>
  </cols>
  <sheetData>
    <row r="1" spans="1:21" ht="15.75" thickBot="1" x14ac:dyDescent="0.3">
      <c r="A1" s="66" t="s">
        <v>69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79"/>
      <c r="U1" s="66"/>
    </row>
    <row r="2" spans="1:21" ht="15.75" thickTop="1" x14ac:dyDescent="0.25">
      <c r="A2" s="67"/>
      <c r="B2" s="67"/>
      <c r="C2" s="67"/>
      <c r="D2" s="67"/>
      <c r="E2" s="152" t="s">
        <v>53</v>
      </c>
      <c r="F2" s="153"/>
      <c r="G2" s="154"/>
      <c r="H2" s="152" t="s">
        <v>54</v>
      </c>
      <c r="I2" s="153"/>
      <c r="J2" s="154"/>
      <c r="K2" s="152" t="s">
        <v>55</v>
      </c>
      <c r="L2" s="153"/>
      <c r="M2" s="154"/>
      <c r="N2" s="152" t="s">
        <v>56</v>
      </c>
      <c r="O2" s="153"/>
      <c r="P2" s="154"/>
      <c r="Q2" s="155" t="s">
        <v>57</v>
      </c>
      <c r="R2" s="156"/>
      <c r="S2" s="157"/>
      <c r="T2" s="150" t="s">
        <v>60</v>
      </c>
      <c r="U2" s="151"/>
    </row>
    <row r="3" spans="1:21" ht="15.75" thickBot="1" x14ac:dyDescent="0.3">
      <c r="A3" s="68" t="s">
        <v>61</v>
      </c>
      <c r="B3" s="68" t="s">
        <v>62</v>
      </c>
      <c r="C3" s="68" t="s">
        <v>63</v>
      </c>
      <c r="D3" s="68" t="s">
        <v>64</v>
      </c>
      <c r="E3" s="69" t="s">
        <v>29</v>
      </c>
      <c r="F3" s="68" t="s">
        <v>30</v>
      </c>
      <c r="G3" s="68" t="s">
        <v>31</v>
      </c>
      <c r="H3" s="69" t="s">
        <v>29</v>
      </c>
      <c r="I3" s="68" t="s">
        <v>30</v>
      </c>
      <c r="J3" s="68" t="s">
        <v>31</v>
      </c>
      <c r="K3" s="69" t="s">
        <v>29</v>
      </c>
      <c r="L3" s="68" t="s">
        <v>30</v>
      </c>
      <c r="M3" s="68" t="s">
        <v>31</v>
      </c>
      <c r="N3" s="69" t="s">
        <v>29</v>
      </c>
      <c r="O3" s="68" t="s">
        <v>30</v>
      </c>
      <c r="P3" s="68" t="s">
        <v>31</v>
      </c>
      <c r="Q3" s="69" t="s">
        <v>29</v>
      </c>
      <c r="R3" s="68" t="s">
        <v>30</v>
      </c>
      <c r="S3" s="68" t="s">
        <v>31</v>
      </c>
      <c r="T3" s="80" t="s">
        <v>29</v>
      </c>
      <c r="U3" s="70" t="s">
        <v>30</v>
      </c>
    </row>
    <row r="4" spans="1:21" ht="15.75" thickTop="1" x14ac:dyDescent="0.25">
      <c r="A4" s="71">
        <v>43735</v>
      </c>
      <c r="B4" s="72">
        <f>+A4</f>
        <v>43735</v>
      </c>
      <c r="C4" s="73">
        <v>-0.6</v>
      </c>
      <c r="D4" s="74">
        <v>0.87361111111111101</v>
      </c>
      <c r="E4" s="75">
        <f>Effort!F2</f>
        <v>2262.6376564983998</v>
      </c>
      <c r="F4" s="76">
        <f>Harvest!F2</f>
        <v>31676.927190977636</v>
      </c>
      <c r="G4" s="77">
        <f>+CPUE!F2</f>
        <v>14.000000000000018</v>
      </c>
      <c r="H4" s="75" t="str">
        <f>Effort!H2</f>
        <v>CLOSED</v>
      </c>
      <c r="I4" s="76" t="str">
        <f>Harvest!H2</f>
        <v>CLOSED</v>
      </c>
      <c r="J4" s="77" t="str">
        <f>CPUE!H2</f>
        <v>CLOSED</v>
      </c>
      <c r="K4" s="75" t="str">
        <f>Effort!J2</f>
        <v>CLOSED</v>
      </c>
      <c r="L4" s="76" t="str">
        <f>Harvest!J2</f>
        <v>CLOSED</v>
      </c>
      <c r="M4" s="77" t="str">
        <f>CPUE!J2</f>
        <v>CLOSED</v>
      </c>
      <c r="N4" s="75" t="str">
        <f>Effort!L2</f>
        <v>CLOSED</v>
      </c>
      <c r="O4" s="76" t="str">
        <f>Harvest!L2</f>
        <v>CLOSED</v>
      </c>
      <c r="P4" s="77" t="str">
        <f>CPUE!L2</f>
        <v>CLOSED</v>
      </c>
      <c r="Q4" s="75" t="str">
        <f>Effort!N2</f>
        <v>CLOSED</v>
      </c>
      <c r="R4" s="76" t="str">
        <f>Harvest!N2</f>
        <v>CLOSED</v>
      </c>
      <c r="S4" s="78" t="str">
        <f>CPUE!N2</f>
        <v>CLOSED</v>
      </c>
      <c r="T4" s="75">
        <f>+E4</f>
        <v>2262.6376564983998</v>
      </c>
      <c r="U4" s="76">
        <f>F4</f>
        <v>31676.927190977636</v>
      </c>
    </row>
    <row r="5" spans="1:21" x14ac:dyDescent="0.25">
      <c r="A5" s="71">
        <v>43736</v>
      </c>
      <c r="B5" s="72">
        <f>+A5</f>
        <v>43736</v>
      </c>
      <c r="C5" s="73">
        <v>-0.3</v>
      </c>
      <c r="D5" s="74">
        <v>0.90347222222222223</v>
      </c>
      <c r="E5" s="75">
        <f>Effort!F3</f>
        <v>8338.2153073289574</v>
      </c>
      <c r="F5" s="76">
        <f>Harvest!F3</f>
        <v>125073.22960993437</v>
      </c>
      <c r="G5" s="77">
        <f>+CPUE!F3</f>
        <v>15</v>
      </c>
      <c r="H5" s="75" t="str">
        <f>Effort!H3</f>
        <v>CLOSED</v>
      </c>
      <c r="I5" s="76" t="str">
        <f>Harvest!H3</f>
        <v>CLOSED</v>
      </c>
      <c r="J5" s="77" t="str">
        <f>CPUE!H3</f>
        <v>CLOSED</v>
      </c>
      <c r="K5" s="75" t="str">
        <f>Effort!J3</f>
        <v>CLOSED</v>
      </c>
      <c r="L5" s="76" t="str">
        <f>Harvest!J3</f>
        <v>CLOSED</v>
      </c>
      <c r="M5" s="77" t="str">
        <f>CPUE!J3</f>
        <v>CLOSED</v>
      </c>
      <c r="N5" s="75" t="str">
        <f>Effort!L3</f>
        <v>CLOSED</v>
      </c>
      <c r="O5" s="76" t="str">
        <f>Harvest!L3</f>
        <v>CLOSED</v>
      </c>
      <c r="P5" s="77" t="str">
        <f>CPUE!L3</f>
        <v>CLOSED</v>
      </c>
      <c r="Q5" s="75" t="str">
        <f>Effort!N3</f>
        <v>CLOSED</v>
      </c>
      <c r="R5" s="76" t="str">
        <f>Harvest!N3</f>
        <v>CLOSED</v>
      </c>
      <c r="S5" s="78" t="str">
        <f>CPUE!N3</f>
        <v>CLOSED</v>
      </c>
      <c r="T5" s="75">
        <f>+E5</f>
        <v>8338.2153073289574</v>
      </c>
      <c r="U5" s="76">
        <f>F5</f>
        <v>125073.22960993437</v>
      </c>
    </row>
    <row r="6" spans="1:21" x14ac:dyDescent="0.25">
      <c r="A6" s="71">
        <v>43737</v>
      </c>
      <c r="B6" s="72">
        <f>+A6</f>
        <v>43737</v>
      </c>
      <c r="C6" s="73">
        <v>0.1</v>
      </c>
      <c r="D6" s="74">
        <v>0.93472222222222223</v>
      </c>
      <c r="E6" s="75">
        <f>Effort!F4</f>
        <v>8000</v>
      </c>
      <c r="F6" s="76">
        <f>Harvest!F4</f>
        <v>120000</v>
      </c>
      <c r="G6" s="77">
        <f>+CPUE!F4</f>
        <v>15</v>
      </c>
      <c r="H6" s="75" t="str">
        <f>Effort!H4</f>
        <v>CLOSED</v>
      </c>
      <c r="I6" s="76" t="str">
        <f>Harvest!H4</f>
        <v>CLOSED</v>
      </c>
      <c r="J6" s="77" t="str">
        <f>CPUE!H4</f>
        <v>CLOSED</v>
      </c>
      <c r="K6" s="75" t="str">
        <f>Effort!J4</f>
        <v>CLOSED</v>
      </c>
      <c r="L6" s="76" t="str">
        <f>Harvest!J4</f>
        <v>CLOSED</v>
      </c>
      <c r="M6" s="77" t="str">
        <f>CPUE!J4</f>
        <v>CLOSED</v>
      </c>
      <c r="N6" s="75" t="str">
        <f>Effort!L4</f>
        <v>CLOSED</v>
      </c>
      <c r="O6" s="76" t="str">
        <f>Harvest!L4</f>
        <v>CLOSED</v>
      </c>
      <c r="P6" s="77" t="str">
        <f>CPUE!L4</f>
        <v>CLOSED</v>
      </c>
      <c r="Q6" s="75" t="str">
        <f>Effort!N4</f>
        <v>CLOSED</v>
      </c>
      <c r="R6" s="76" t="str">
        <f>Harvest!N4</f>
        <v>CLOSED</v>
      </c>
      <c r="S6" s="78" t="str">
        <f>CPUE!N4</f>
        <v>CLOSED</v>
      </c>
      <c r="T6" s="75">
        <f>+E6</f>
        <v>8000</v>
      </c>
      <c r="U6" s="76">
        <f>F6</f>
        <v>120000</v>
      </c>
    </row>
    <row r="7" spans="1:21" x14ac:dyDescent="0.25">
      <c r="A7" s="148" t="s">
        <v>65</v>
      </c>
      <c r="B7" s="148"/>
      <c r="C7" s="148"/>
      <c r="D7" s="149"/>
      <c r="E7" s="81">
        <f>SUM(E4:E6)</f>
        <v>18600.852963827358</v>
      </c>
      <c r="F7" s="82">
        <f>SUM(F4:F6)</f>
        <v>276750.15680091199</v>
      </c>
      <c r="G7" s="83">
        <f>+F7/E7</f>
        <v>14.878358392440472</v>
      </c>
      <c r="H7" s="81"/>
      <c r="I7" s="82"/>
      <c r="J7" s="83"/>
      <c r="K7" s="81"/>
      <c r="L7" s="82"/>
      <c r="M7" s="83"/>
      <c r="N7" s="81"/>
      <c r="O7" s="82"/>
      <c r="P7" s="83"/>
      <c r="Q7" s="81"/>
      <c r="R7" s="82"/>
      <c r="S7" s="83"/>
      <c r="T7" s="81">
        <f>SUM(T4:T6)</f>
        <v>18600.852963827358</v>
      </c>
      <c r="U7" s="82">
        <f>SUM(U4:U6)</f>
        <v>276750.15680091199</v>
      </c>
    </row>
    <row r="8" spans="1:21" x14ac:dyDescent="0.25">
      <c r="A8" s="71">
        <v>43764</v>
      </c>
      <c r="B8" s="72" t="s">
        <v>19</v>
      </c>
      <c r="C8" s="90">
        <v>0</v>
      </c>
      <c r="D8" s="25">
        <v>0.74930555555555556</v>
      </c>
      <c r="E8" s="75">
        <f>Effort!F6</f>
        <v>7854.35</v>
      </c>
      <c r="F8" s="76">
        <f>Harvest!F6</f>
        <v>117815.18</v>
      </c>
      <c r="G8" s="77">
        <f>+CPUE!F6</f>
        <v>14.999991087741186</v>
      </c>
      <c r="H8" s="75">
        <f>Effort!H6</f>
        <v>3611.7461011810879</v>
      </c>
      <c r="I8" s="76">
        <f>Harvest!H6</f>
        <v>54176.191517716317</v>
      </c>
      <c r="J8" s="77">
        <f>CPUE!H6</f>
        <v>15</v>
      </c>
      <c r="K8" s="75">
        <f>Effort!J6</f>
        <v>7348.1700568006618</v>
      </c>
      <c r="L8" s="76">
        <f>Harvest!J6</f>
        <v>110223</v>
      </c>
      <c r="M8" s="77">
        <f>CPUE!J6</f>
        <v>15.000061123788182</v>
      </c>
      <c r="N8" s="75" t="str">
        <f>Effort!L6</f>
        <v>CLOSED</v>
      </c>
      <c r="O8" s="76" t="str">
        <f>Harvest!L6</f>
        <v>CLOSED</v>
      </c>
      <c r="P8" s="77" t="str">
        <f>CPUE!L6</f>
        <v>CLOSED</v>
      </c>
      <c r="Q8" s="75" t="s">
        <v>10</v>
      </c>
      <c r="R8" s="76" t="s">
        <v>10</v>
      </c>
      <c r="S8" s="78" t="s">
        <v>10</v>
      </c>
      <c r="T8" s="75">
        <f>SUM(E8+H8+K8)</f>
        <v>18814.26615798175</v>
      </c>
      <c r="U8" s="76">
        <f>SUM(F8+I8+L8)</f>
        <v>282214.37151771632</v>
      </c>
    </row>
    <row r="9" spans="1:21" x14ac:dyDescent="0.25">
      <c r="A9" s="71">
        <v>43765</v>
      </c>
      <c r="B9" s="72" t="s">
        <v>20</v>
      </c>
      <c r="C9" s="90">
        <v>-0.8</v>
      </c>
      <c r="D9" s="25">
        <v>0.78263888888888899</v>
      </c>
      <c r="E9" s="75">
        <f>Effort!F7</f>
        <v>5198.1480000000001</v>
      </c>
      <c r="F9" s="76">
        <f>Harvest!F7</f>
        <v>77972.214999999997</v>
      </c>
      <c r="G9" s="77">
        <f>+CPUE!F7</f>
        <v>14.999999038118959</v>
      </c>
      <c r="H9" s="75">
        <f>Effort!H7</f>
        <v>2390.3229762897658</v>
      </c>
      <c r="I9" s="76">
        <f>Harvest!H7</f>
        <v>35854.844644346493</v>
      </c>
      <c r="J9" s="77">
        <f>CPUE!H7</f>
        <v>15.000000000000002</v>
      </c>
      <c r="K9" s="75" t="str">
        <f>Effort!J7</f>
        <v>CLOSED</v>
      </c>
      <c r="L9" s="76" t="str">
        <f>Harvest!J7</f>
        <v>CLOSED</v>
      </c>
      <c r="M9" s="77" t="str">
        <f>CPUE!J7</f>
        <v>CLOSED</v>
      </c>
      <c r="N9" s="75">
        <f>Effort!L7</f>
        <v>4926.3201530226488</v>
      </c>
      <c r="O9" s="76">
        <f>Harvest!L7</f>
        <v>73894.80229533973</v>
      </c>
      <c r="P9" s="77">
        <f>CPUE!L7</f>
        <v>15</v>
      </c>
      <c r="Q9" s="75" t="s">
        <v>10</v>
      </c>
      <c r="R9" s="76" t="s">
        <v>10</v>
      </c>
      <c r="S9" s="78" t="s">
        <v>10</v>
      </c>
      <c r="T9" s="75">
        <f>SUM(E9+H9+N9)</f>
        <v>12514.791129312414</v>
      </c>
      <c r="U9" s="76">
        <f>SUM(F9+I9+O9)</f>
        <v>187721.86193968623</v>
      </c>
    </row>
    <row r="10" spans="1:21" x14ac:dyDescent="0.25">
      <c r="A10" s="71">
        <v>43766</v>
      </c>
      <c r="B10" s="72" t="s">
        <v>21</v>
      </c>
      <c r="C10" s="90">
        <v>-1.2</v>
      </c>
      <c r="D10" s="25">
        <v>0.81458333333333333</v>
      </c>
      <c r="E10" s="75">
        <f>Effort!F8</f>
        <v>3142.5845163131498</v>
      </c>
      <c r="F10" s="76">
        <f>Harvest!F8</f>
        <v>46580.994937240932</v>
      </c>
      <c r="G10" s="77">
        <f>+CPUE!F8</f>
        <v>14.822511437779662</v>
      </c>
      <c r="H10" s="75">
        <f>Effort!H8</f>
        <v>1445.0867830471107</v>
      </c>
      <c r="I10" s="76">
        <f>Harvest!H8</f>
        <v>21419.82809690346</v>
      </c>
      <c r="J10" s="77">
        <f>CPUE!H8</f>
        <v>14.822520244588771</v>
      </c>
      <c r="K10" s="75">
        <f>Effort!J8</f>
        <v>2940.0581134960471</v>
      </c>
      <c r="L10" s="76">
        <f>Harvest!J8</f>
        <v>43579.248488755926</v>
      </c>
      <c r="M10" s="77">
        <f>CPUE!J8</f>
        <v>14.822580645161292</v>
      </c>
      <c r="N10" s="75" t="str">
        <f>Effort!L8</f>
        <v>CLOSED</v>
      </c>
      <c r="O10" s="76" t="str">
        <f>Harvest!L8</f>
        <v>CLOSED</v>
      </c>
      <c r="P10" s="77" t="str">
        <f>CPUE!L8</f>
        <v>CLOSED</v>
      </c>
      <c r="Q10" s="75" t="s">
        <v>10</v>
      </c>
      <c r="R10" s="76" t="s">
        <v>10</v>
      </c>
      <c r="S10" s="78" t="s">
        <v>10</v>
      </c>
      <c r="T10" s="75">
        <f>SUM(E10+H10+K10)</f>
        <v>7527.729412856308</v>
      </c>
      <c r="U10" s="76">
        <f>SUM(F10+I10+L10)</f>
        <v>111580.07152290031</v>
      </c>
    </row>
    <row r="11" spans="1:21" x14ac:dyDescent="0.25">
      <c r="A11" s="71">
        <v>43767</v>
      </c>
      <c r="B11" s="72" t="s">
        <v>22</v>
      </c>
      <c r="C11" s="90">
        <v>-1.4</v>
      </c>
      <c r="D11" s="25">
        <v>0.84583333333333333</v>
      </c>
      <c r="E11" s="75">
        <f>Effort!F9</f>
        <v>1021.8049764488662</v>
      </c>
      <c r="F11" s="76">
        <f>Harvest!F9</f>
        <v>15327.074646732994</v>
      </c>
      <c r="G11" s="77">
        <f>+CPUE!F9</f>
        <v>15</v>
      </c>
      <c r="H11" s="75">
        <f>Effort!H9</f>
        <v>834.99935172468508</v>
      </c>
      <c r="I11" s="76">
        <f>Harvest!H9</f>
        <v>12453.92650125541</v>
      </c>
      <c r="J11" s="77">
        <f>CPUE!H9</f>
        <v>14.914893617021276</v>
      </c>
      <c r="K11" s="75" t="str">
        <f>Effort!J9</f>
        <v>CLOSED</v>
      </c>
      <c r="L11" s="76" t="str">
        <f>Harvest!J9</f>
        <v>CLOSED</v>
      </c>
      <c r="M11" s="77" t="str">
        <f>CPUE!J9</f>
        <v>CLOSED</v>
      </c>
      <c r="N11" s="75">
        <f>Effort!L9</f>
        <v>1720.886329991713</v>
      </c>
      <c r="O11" s="76">
        <f>Harvest!L9</f>
        <v>25666.836538812568</v>
      </c>
      <c r="P11" s="77">
        <f>CPUE!L9</f>
        <v>14.914893617021276</v>
      </c>
      <c r="Q11" s="75" t="s">
        <v>10</v>
      </c>
      <c r="R11" s="76" t="s">
        <v>10</v>
      </c>
      <c r="S11" s="78" t="s">
        <v>10</v>
      </c>
      <c r="T11" s="75">
        <f>SUM(E11+H11+N11)</f>
        <v>3577.6906581652643</v>
      </c>
      <c r="U11" s="76">
        <f>SUM(F11+I11+O11)</f>
        <v>53447.837686800973</v>
      </c>
    </row>
    <row r="12" spans="1:21" x14ac:dyDescent="0.25">
      <c r="A12" s="71">
        <v>43768</v>
      </c>
      <c r="B12" s="72" t="s">
        <v>23</v>
      </c>
      <c r="C12" s="90">
        <v>-1.2</v>
      </c>
      <c r="D12" s="25">
        <v>0.87708333333333333</v>
      </c>
      <c r="E12" s="75">
        <f>Effort!F10</f>
        <v>888.31726445464278</v>
      </c>
      <c r="F12" s="76">
        <f>Harvest!F10</f>
        <v>12584.435822129952</v>
      </c>
      <c r="G12" s="77">
        <f>+CPUE!F10</f>
        <v>14.166600521780707</v>
      </c>
      <c r="H12" s="75">
        <f>Effort!H10</f>
        <v>358.75182773633452</v>
      </c>
      <c r="I12" s="76">
        <f>Harvest!H10</f>
        <v>5270.8922382799919</v>
      </c>
      <c r="J12" s="77">
        <f>CPUE!H10</f>
        <v>14.692307692307693</v>
      </c>
      <c r="K12" s="75">
        <f>Effort!J10</f>
        <v>831.06893932721107</v>
      </c>
      <c r="L12" s="76">
        <f>Harvest!J10</f>
        <v>11773.476640468823</v>
      </c>
      <c r="M12" s="77">
        <f>CPUE!J10</f>
        <v>14.166666666666666</v>
      </c>
      <c r="N12" s="75" t="str">
        <f>Effort!L10</f>
        <v>CLOSED</v>
      </c>
      <c r="O12" s="76" t="str">
        <f>Harvest!L10</f>
        <v>CLOSED</v>
      </c>
      <c r="P12" s="77" t="str">
        <f>CPUE!L10</f>
        <v>CLOSED</v>
      </c>
      <c r="Q12" s="75" t="s">
        <v>10</v>
      </c>
      <c r="R12" s="76" t="s">
        <v>10</v>
      </c>
      <c r="S12" s="78" t="s">
        <v>10</v>
      </c>
      <c r="T12" s="75">
        <f>SUM(E12+H12+K12)</f>
        <v>2078.1380315181882</v>
      </c>
      <c r="U12" s="76">
        <f>SUM(F12+I12+L12)</f>
        <v>29628.804700878765</v>
      </c>
    </row>
    <row r="13" spans="1:21" x14ac:dyDescent="0.25">
      <c r="A13" s="71">
        <v>43769</v>
      </c>
      <c r="B13" s="72" t="s">
        <v>24</v>
      </c>
      <c r="C13" s="90">
        <v>-0.8</v>
      </c>
      <c r="D13" s="25">
        <v>0.90972222222222221</v>
      </c>
      <c r="E13" s="75">
        <f>Effort!F11</f>
        <v>160.53772039361129</v>
      </c>
      <c r="F13" s="76">
        <f>Harvest!F11</f>
        <v>2408.0658059041693</v>
      </c>
      <c r="G13" s="123">
        <f>+CPUE!F11</f>
        <v>15</v>
      </c>
      <c r="H13" s="75">
        <f>Effort!H11</f>
        <v>131.18833392443585</v>
      </c>
      <c r="I13" s="76">
        <f>Harvest!H11</f>
        <v>1967.8250088665386</v>
      </c>
      <c r="J13" s="77">
        <f>CPUE!H11</f>
        <v>15.000000000000007</v>
      </c>
      <c r="K13" s="75" t="str">
        <f>Effort!J11</f>
        <v>CLOSED</v>
      </c>
      <c r="L13" s="76" t="str">
        <f>Harvest!J11</f>
        <v>CLOSED</v>
      </c>
      <c r="M13" s="77" t="str">
        <f>CPUE!J11</f>
        <v>CLOSED</v>
      </c>
      <c r="N13" s="75">
        <f>Effort!L11</f>
        <v>270.37171949731896</v>
      </c>
      <c r="O13" s="76">
        <f>Harvest!L11</f>
        <v>4055.5757924597856</v>
      </c>
      <c r="P13" s="77">
        <f>CPUE!L11</f>
        <v>15.000000000000004</v>
      </c>
      <c r="Q13" s="75" t="s">
        <v>10</v>
      </c>
      <c r="R13" s="76" t="s">
        <v>10</v>
      </c>
      <c r="S13" s="78" t="s">
        <v>10</v>
      </c>
      <c r="T13" s="75">
        <f>SUM(E13+H13+N13)</f>
        <v>562.09777381536605</v>
      </c>
      <c r="U13" s="76">
        <f>SUM(F13+I13+O13)</f>
        <v>8431.4666072304935</v>
      </c>
    </row>
    <row r="14" spans="1:21" x14ac:dyDescent="0.25">
      <c r="A14" s="71">
        <v>43770</v>
      </c>
      <c r="B14" s="72" t="s">
        <v>18</v>
      </c>
      <c r="C14" s="90">
        <v>-0.2</v>
      </c>
      <c r="D14" s="25">
        <v>0.94305555555555554</v>
      </c>
      <c r="E14" s="75">
        <f>Effort!F12</f>
        <v>752.81653361308054</v>
      </c>
      <c r="F14" s="76">
        <f>Harvest!F12</f>
        <v>10806.553497270295</v>
      </c>
      <c r="G14" s="77">
        <f>+CPUE!F12</f>
        <v>14.354830180741565</v>
      </c>
      <c r="H14" s="75">
        <f>Effort!H12</f>
        <v>346.17532707120318</v>
      </c>
      <c r="I14" s="76">
        <f>Harvest!H12</f>
        <v>4969.2909853769488</v>
      </c>
      <c r="J14" s="77">
        <f>CPUE!H12</f>
        <v>14.354838709677418</v>
      </c>
      <c r="K14" s="75">
        <f>Effort!J12</f>
        <v>744.83294881787833</v>
      </c>
      <c r="L14" s="76">
        <f>Harvest!J12</f>
        <v>11172.494232268176</v>
      </c>
      <c r="M14" s="77">
        <f>CPUE!J12</f>
        <v>15.000000000000002</v>
      </c>
      <c r="N14" s="75" t="str">
        <f>Effort!L12</f>
        <v>CLOSED</v>
      </c>
      <c r="O14" s="76" t="str">
        <f>Harvest!L12</f>
        <v>CLOSED</v>
      </c>
      <c r="P14" s="77" t="str">
        <f>CPUE!L12</f>
        <v>CLOSED</v>
      </c>
      <c r="Q14" s="75" t="s">
        <v>10</v>
      </c>
      <c r="R14" s="76" t="s">
        <v>10</v>
      </c>
      <c r="S14" s="78" t="s">
        <v>10</v>
      </c>
      <c r="T14" s="75">
        <f>SUM(E14+H14+K14)</f>
        <v>1843.824809502162</v>
      </c>
      <c r="U14" s="76">
        <f>SUM(F14+I14+L14)</f>
        <v>26948.338714915422</v>
      </c>
    </row>
    <row r="15" spans="1:21" x14ac:dyDescent="0.25">
      <c r="A15" s="148" t="s">
        <v>65</v>
      </c>
      <c r="B15" s="148"/>
      <c r="C15" s="148"/>
      <c r="D15" s="149"/>
      <c r="E15" s="81">
        <f>SUM(E8:E14)</f>
        <v>19018.559011223351</v>
      </c>
      <c r="F15" s="82">
        <f>SUM(F8:F14)</f>
        <v>283494.51970927831</v>
      </c>
      <c r="G15" s="83">
        <f>+F15/E15</f>
        <v>14.906203963296102</v>
      </c>
      <c r="H15" s="81">
        <f>SUM(H8:H14)</f>
        <v>9118.2707009746227</v>
      </c>
      <c r="I15" s="82">
        <f>SUM(I8:I14)</f>
        <v>136112.79899274517</v>
      </c>
      <c r="J15" s="83">
        <f>+I15/H15</f>
        <v>14.927479503125138</v>
      </c>
      <c r="K15" s="81">
        <f>SUM(K8:K14)</f>
        <v>11864.130058441799</v>
      </c>
      <c r="L15" s="82">
        <f>SUM(L8:L14)</f>
        <v>176748.21936149293</v>
      </c>
      <c r="M15" s="83">
        <f>+L15/K15</f>
        <v>14.897697386225934</v>
      </c>
      <c r="N15" s="81">
        <f>SUM(N8:N14)</f>
        <v>6917.5782025116805</v>
      </c>
      <c r="O15" s="82">
        <f>SUM(O8:O14)</f>
        <v>103617.21462661208</v>
      </c>
      <c r="P15" s="83">
        <f>+O15/N15</f>
        <v>14.978828080178415</v>
      </c>
      <c r="Q15" s="81"/>
      <c r="R15" s="82"/>
      <c r="S15" s="83"/>
      <c r="T15" s="81">
        <f>SUM(T8:T14)</f>
        <v>46918.537973151455</v>
      </c>
      <c r="U15" s="82">
        <f>SUM(U8:U14)</f>
        <v>699972.75269012863</v>
      </c>
    </row>
    <row r="16" spans="1:21" x14ac:dyDescent="0.25">
      <c r="A16" s="71">
        <v>43780</v>
      </c>
      <c r="B16" s="72" t="s">
        <v>21</v>
      </c>
      <c r="C16" s="113">
        <v>0.1</v>
      </c>
      <c r="D16" s="25">
        <v>0.74375000000000002</v>
      </c>
      <c r="E16" s="75">
        <f>Effort!F14</f>
        <v>1044.2736886910068</v>
      </c>
      <c r="F16" s="76">
        <f>Harvest!F14</f>
        <v>15664.105330365102</v>
      </c>
      <c r="G16" s="123">
        <f>+CPUE!F14</f>
        <v>15</v>
      </c>
      <c r="H16" s="75">
        <f>Effort!H14</f>
        <v>1100.4606889439924</v>
      </c>
      <c r="I16" s="76">
        <f>Harvest!H14</f>
        <v>16506.910334159886</v>
      </c>
      <c r="J16" s="123">
        <f>CPUE!H14</f>
        <v>15</v>
      </c>
      <c r="K16" s="75">
        <f>Effort!J14</f>
        <v>1880.8272706400699</v>
      </c>
      <c r="L16" s="76">
        <f>Harvest!J14</f>
        <v>28212.40905960105</v>
      </c>
      <c r="M16" s="77">
        <f>CPUE!J14</f>
        <v>15.000000000000002</v>
      </c>
      <c r="N16" s="75" t="str">
        <f>Effort!L14</f>
        <v>CLOSED</v>
      </c>
      <c r="O16" s="76" t="str">
        <f>Harvest!L14</f>
        <v>CLOSED</v>
      </c>
      <c r="P16" s="77" t="str">
        <f>CPUE!L14</f>
        <v>CLOSED</v>
      </c>
      <c r="Q16" s="75" t="s">
        <v>10</v>
      </c>
      <c r="R16" s="76" t="s">
        <v>10</v>
      </c>
      <c r="S16" s="78" t="s">
        <v>10</v>
      </c>
      <c r="T16" s="75">
        <f>SUM(E16+H16+K16)</f>
        <v>4025.5616482750688</v>
      </c>
      <c r="U16" s="76">
        <f>SUM(F16+I16+L16)</f>
        <v>60383.424724126038</v>
      </c>
    </row>
    <row r="17" spans="1:21" x14ac:dyDescent="0.25">
      <c r="A17" s="71">
        <v>43781</v>
      </c>
      <c r="B17" s="72" t="s">
        <v>22</v>
      </c>
      <c r="C17" s="113">
        <v>-0.3</v>
      </c>
      <c r="D17" s="25">
        <v>0.76874999999999993</v>
      </c>
      <c r="E17" s="75">
        <f>Effort!F15</f>
        <v>1066.5498</v>
      </c>
      <c r="F17" s="76">
        <f>Harvest!F15</f>
        <v>15998.2472</v>
      </c>
      <c r="G17" s="77">
        <f>+CPUE!F15</f>
        <v>15.000000187520545</v>
      </c>
      <c r="H17" s="75">
        <f>Effort!H15</f>
        <v>716.19050871488071</v>
      </c>
      <c r="I17" s="76">
        <f>Harvest!H15</f>
        <v>10742.857630723211</v>
      </c>
      <c r="J17" s="77">
        <f>CPUE!H15</f>
        <v>15</v>
      </c>
      <c r="K17" s="75" t="str">
        <f>Effort!J15</f>
        <v>CLOSED</v>
      </c>
      <c r="L17" s="76" t="str">
        <f>Harvest!J15</f>
        <v>CLOSED</v>
      </c>
      <c r="M17" s="77" t="str">
        <f>CPUE!J15</f>
        <v>CLOSED</v>
      </c>
      <c r="N17" s="75">
        <f>Effort!L15</f>
        <v>947.47896976629579</v>
      </c>
      <c r="O17" s="76">
        <f>Harvest!L15</f>
        <v>13580.531899983574</v>
      </c>
      <c r="P17" s="77">
        <f>CPUE!L15</f>
        <v>14.333333333333336</v>
      </c>
      <c r="Q17" s="75" t="s">
        <v>10</v>
      </c>
      <c r="R17" s="76" t="s">
        <v>10</v>
      </c>
      <c r="S17" s="78" t="s">
        <v>10</v>
      </c>
      <c r="T17" s="75">
        <f>SUM(E17+H17+N17)</f>
        <v>2730.2192784811764</v>
      </c>
      <c r="U17" s="76">
        <f>SUM(F17+I17+O17)</f>
        <v>40321.636730706785</v>
      </c>
    </row>
    <row r="18" spans="1:21" x14ac:dyDescent="0.25">
      <c r="A18" s="71">
        <v>43782</v>
      </c>
      <c r="B18" s="72" t="s">
        <v>23</v>
      </c>
      <c r="C18" s="113">
        <v>-0.5</v>
      </c>
      <c r="D18" s="25">
        <v>0.79375000000000007</v>
      </c>
      <c r="E18" s="75">
        <f>Effort!F16</f>
        <v>470.44496313611813</v>
      </c>
      <c r="F18" s="76">
        <f>Harvest!F16</f>
        <v>7056.6744470417716</v>
      </c>
      <c r="G18" s="123">
        <f>+CPUE!F16</f>
        <v>15</v>
      </c>
      <c r="H18" s="75">
        <f>Effort!H16</f>
        <v>495.7571887997546</v>
      </c>
      <c r="I18" s="76">
        <f>Harvest!H16</f>
        <v>7410.8119871252757</v>
      </c>
      <c r="J18" s="77">
        <f>CPUE!H16</f>
        <v>14.948471055088699</v>
      </c>
      <c r="K18" s="75">
        <f>Effort!J16</f>
        <v>847.31208454634043</v>
      </c>
      <c r="L18" s="76">
        <f>Harvest!J16</f>
        <v>12599.844516494655</v>
      </c>
      <c r="M18" s="77">
        <f>CPUE!J16</f>
        <v>14.87037037037037</v>
      </c>
      <c r="N18" s="75" t="str">
        <f>Effort!L16</f>
        <v>CLOSED</v>
      </c>
      <c r="O18" s="76" t="str">
        <f>Harvest!L16</f>
        <v>CLOSED</v>
      </c>
      <c r="P18" s="77" t="str">
        <f>CPUE!L16</f>
        <v>CLOSED</v>
      </c>
      <c r="Q18" s="75" t="s">
        <v>10</v>
      </c>
      <c r="R18" s="76" t="s">
        <v>10</v>
      </c>
      <c r="S18" s="78" t="s">
        <v>10</v>
      </c>
      <c r="T18" s="75">
        <f>SUM(E18+H18+K18)</f>
        <v>1813.5142364822132</v>
      </c>
      <c r="U18" s="76">
        <f>SUM(F18+I18+L18)</f>
        <v>27067.330950661701</v>
      </c>
    </row>
    <row r="19" spans="1:21" x14ac:dyDescent="0.25">
      <c r="A19" s="71">
        <v>43783</v>
      </c>
      <c r="B19" s="72" t="s">
        <v>24</v>
      </c>
      <c r="C19" s="113">
        <v>-0.6</v>
      </c>
      <c r="D19" s="25">
        <v>0.82013888888888886</v>
      </c>
      <c r="E19" s="75">
        <f>Effort!F17</f>
        <v>684.82271895787153</v>
      </c>
      <c r="F19" s="76">
        <f>Harvest!F17</f>
        <v>9096.2589478162226</v>
      </c>
      <c r="G19" s="77">
        <f>+CPUE!F17</f>
        <v>13.282647751024452</v>
      </c>
      <c r="H19" s="75">
        <f>Effort!H17</f>
        <v>459.85994415820602</v>
      </c>
      <c r="I19" s="76">
        <f>Harvest!H17</f>
        <v>6108.1575766988899</v>
      </c>
      <c r="J19" s="77">
        <f>CPUE!H17</f>
        <v>13.282647584973166</v>
      </c>
      <c r="K19" s="75" t="str">
        <f>Effort!J17</f>
        <v>CLOSED</v>
      </c>
      <c r="L19" s="76" t="str">
        <f>Harvest!J17</f>
        <v>CLOSED</v>
      </c>
      <c r="M19" s="77" t="str">
        <f>CPUE!J17</f>
        <v>CLOSED</v>
      </c>
      <c r="N19" s="75">
        <f>Effort!L17</f>
        <v>608.36833332185483</v>
      </c>
      <c r="O19" s="76">
        <f>Harvest!L17</f>
        <v>7721.5980767773881</v>
      </c>
      <c r="P19" s="77">
        <f>CPUE!L17</f>
        <v>12.692307692307692</v>
      </c>
      <c r="Q19" s="75" t="s">
        <v>10</v>
      </c>
      <c r="R19" s="76" t="s">
        <v>10</v>
      </c>
      <c r="S19" s="78" t="s">
        <v>10</v>
      </c>
      <c r="T19" s="75">
        <f>SUM(E19+H19+N19)</f>
        <v>1753.0509964379323</v>
      </c>
      <c r="U19" s="76">
        <f>SUM(F19+I19+O19)</f>
        <v>22926.0146012925</v>
      </c>
    </row>
    <row r="20" spans="1:21" x14ac:dyDescent="0.25">
      <c r="A20" s="71">
        <v>43784</v>
      </c>
      <c r="B20" s="72" t="s">
        <v>18</v>
      </c>
      <c r="C20" s="113">
        <v>-0.5</v>
      </c>
      <c r="D20" s="25">
        <v>0.84861111111111109</v>
      </c>
      <c r="E20" s="75">
        <f>Effort!F18</f>
        <v>811.33579999999995</v>
      </c>
      <c r="F20" s="76">
        <f>Harvest!F18</f>
        <v>12170.04</v>
      </c>
      <c r="G20" s="77">
        <f>+CPUE!F18</f>
        <v>15.000003697605852</v>
      </c>
      <c r="H20" s="75">
        <f>Effort!H18</f>
        <v>854.98960962245508</v>
      </c>
      <c r="I20" s="76">
        <f>Harvest!H18</f>
        <v>12091.995907517579</v>
      </c>
      <c r="J20" s="77">
        <f>CPUE!H18</f>
        <v>14.142857142857144</v>
      </c>
      <c r="K20" s="75">
        <f>Effort!J18</f>
        <v>1461.285977816209</v>
      </c>
      <c r="L20" s="76">
        <f>Harvest!J18</f>
        <v>20558.782032724594</v>
      </c>
      <c r="M20" s="77">
        <f>CPUE!J18</f>
        <v>14.068965517241379</v>
      </c>
      <c r="N20" s="75" t="str">
        <f>Effort!L18</f>
        <v>CLOSED</v>
      </c>
      <c r="O20" s="76" t="str">
        <f>Harvest!L18</f>
        <v>CLOSED</v>
      </c>
      <c r="P20" s="77" t="str">
        <f>CPUE!L18</f>
        <v>CLOSED</v>
      </c>
      <c r="Q20" s="75" t="s">
        <v>10</v>
      </c>
      <c r="R20" s="76" t="s">
        <v>10</v>
      </c>
      <c r="S20" s="78" t="s">
        <v>10</v>
      </c>
      <c r="T20" s="75">
        <f>SUM(E20+H20+K20)</f>
        <v>3127.6113874386638</v>
      </c>
      <c r="U20" s="76">
        <f>SUM(F20+I20+L20)</f>
        <v>44820.817940242174</v>
      </c>
    </row>
    <row r="21" spans="1:21" x14ac:dyDescent="0.25">
      <c r="A21" s="71">
        <v>43785</v>
      </c>
      <c r="B21" s="72" t="s">
        <v>19</v>
      </c>
      <c r="C21" s="113">
        <v>-0.3</v>
      </c>
      <c r="D21" s="25">
        <v>0.88055555555555554</v>
      </c>
      <c r="E21" s="75">
        <f>Effort!F19</f>
        <v>2195.7856000000002</v>
      </c>
      <c r="F21" s="76">
        <f>Harvest!F19</f>
        <v>32936.784699999997</v>
      </c>
      <c r="G21" s="77">
        <f>+CPUE!F19</f>
        <v>15.000000318792505</v>
      </c>
      <c r="H21" s="75">
        <f>Effort!H19</f>
        <v>2313.9295381254083</v>
      </c>
      <c r="I21" s="76">
        <f>Harvest!H19</f>
        <v>32725.56752477293</v>
      </c>
      <c r="J21" s="77">
        <f>CPUE!H19</f>
        <v>14.14285395711963</v>
      </c>
      <c r="K21" s="75" t="str">
        <f>Effort!J19</f>
        <v>CLOSED</v>
      </c>
      <c r="L21" s="76" t="str">
        <f>Harvest!J19</f>
        <v>CLOSED</v>
      </c>
      <c r="M21" s="77" t="str">
        <f>CPUE!J19</f>
        <v>CLOSED</v>
      </c>
      <c r="N21" s="75">
        <f>Effort!L19</f>
        <v>1903.9513264878728</v>
      </c>
      <c r="O21" s="76">
        <f>Harvest!L19</f>
        <v>28091.085144903042</v>
      </c>
      <c r="P21" s="77">
        <f>CPUE!L19</f>
        <v>14.754098360655737</v>
      </c>
      <c r="Q21" s="75" t="s">
        <v>10</v>
      </c>
      <c r="R21" s="76" t="s">
        <v>10</v>
      </c>
      <c r="S21" s="78" t="s">
        <v>10</v>
      </c>
      <c r="T21" s="75">
        <f>SUM(E21+H21+N21)</f>
        <v>6413.6664646132813</v>
      </c>
      <c r="U21" s="76">
        <f>SUM(F21+I21+O21)</f>
        <v>93753.437369675972</v>
      </c>
    </row>
    <row r="22" spans="1:21" x14ac:dyDescent="0.25">
      <c r="A22" s="71">
        <v>43786</v>
      </c>
      <c r="B22" s="72" t="s">
        <v>20</v>
      </c>
      <c r="C22" s="113">
        <v>-0.1</v>
      </c>
      <c r="D22" s="25">
        <v>0.9159722222222223</v>
      </c>
      <c r="E22" s="75">
        <f>Effort!F20</f>
        <v>196.82442204878413</v>
      </c>
      <c r="F22" s="76">
        <f>Harvest!F20</f>
        <v>2952.3663676403853</v>
      </c>
      <c r="G22" s="77">
        <f>+CPUE!F20</f>
        <v>15.000000187520547</v>
      </c>
      <c r="H22" s="75">
        <f>Effort!H20</f>
        <v>132.16802717944449</v>
      </c>
      <c r="I22" s="76">
        <f>Harvest!H20</f>
        <v>1982.5204076916675</v>
      </c>
      <c r="J22" s="77">
        <f>CPUE!H20</f>
        <v>15</v>
      </c>
      <c r="K22" s="75">
        <f>Effort!J20</f>
        <v>313.91261665416698</v>
      </c>
      <c r="L22" s="76">
        <f>Harvest!J20</f>
        <v>4030.6379978395034</v>
      </c>
      <c r="M22" s="77">
        <f>CPUE!J20</f>
        <v>12.839999999999998</v>
      </c>
      <c r="N22" s="75" t="str">
        <f>Effort!L20</f>
        <v>CLOSED</v>
      </c>
      <c r="O22" s="76" t="str">
        <f>Harvest!L20</f>
        <v>CLOSED</v>
      </c>
      <c r="P22" s="77" t="str">
        <f>CPUE!L20</f>
        <v>CLOSED</v>
      </c>
      <c r="Q22" s="75" t="s">
        <v>10</v>
      </c>
      <c r="R22" s="76" t="s">
        <v>10</v>
      </c>
      <c r="S22" s="78" t="s">
        <v>10</v>
      </c>
      <c r="T22" s="75">
        <f>SUM(E22+H22+K22)</f>
        <v>642.90506588239555</v>
      </c>
      <c r="U22" s="76">
        <f>SUM(F22+I22+L22)</f>
        <v>8965.5247731715572</v>
      </c>
    </row>
    <row r="23" spans="1:21" x14ac:dyDescent="0.25">
      <c r="A23" s="148" t="s">
        <v>65</v>
      </c>
      <c r="B23" s="148"/>
      <c r="C23" s="148"/>
      <c r="D23" s="149"/>
      <c r="E23" s="81">
        <f>SUM(E16:E22)</f>
        <v>6470.0369928337805</v>
      </c>
      <c r="F23" s="82">
        <f>SUM(F16:F22)</f>
        <v>95874.476992863478</v>
      </c>
      <c r="G23" s="83">
        <f>+F23/E23</f>
        <v>14.818227020812113</v>
      </c>
      <c r="H23" s="81">
        <f>SUM(H16:H22)</f>
        <v>6073.355505544142</v>
      </c>
      <c r="I23" s="82">
        <f>SUM(I16:I22)</f>
        <v>87568.821368689445</v>
      </c>
      <c r="J23" s="83">
        <f>+I23/H23</f>
        <v>14.418523876751674</v>
      </c>
      <c r="K23" s="81">
        <f>SUM(K16:K22)</f>
        <v>4503.3379496567868</v>
      </c>
      <c r="L23" s="82">
        <f>SUM(L16:L22)</f>
        <v>65401.673606659802</v>
      </c>
      <c r="M23" s="83">
        <f>+L23/K23</f>
        <v>14.52293261971251</v>
      </c>
      <c r="N23" s="81">
        <f>SUM(N16:N22)</f>
        <v>3459.7986295760234</v>
      </c>
      <c r="O23" s="82">
        <f>SUM(O16:O22)</f>
        <v>49393.215121664005</v>
      </c>
      <c r="P23" s="83">
        <f>+O23/N23</f>
        <v>14.276326575606753</v>
      </c>
      <c r="Q23" s="81"/>
      <c r="R23" s="82"/>
      <c r="S23" s="83"/>
      <c r="T23" s="81">
        <f>SUM(T16:T22)</f>
        <v>20506.529077610729</v>
      </c>
      <c r="U23" s="82">
        <f>SUM(U16:U22)</f>
        <v>298238.18708987674</v>
      </c>
    </row>
    <row r="24" spans="1:21" x14ac:dyDescent="0.25">
      <c r="A24" s="71">
        <v>43793</v>
      </c>
      <c r="B24" s="72" t="s">
        <v>20</v>
      </c>
      <c r="C24" s="127">
        <v>-0.4</v>
      </c>
      <c r="D24" s="25">
        <v>0.69930555555555562</v>
      </c>
      <c r="E24" s="75">
        <f>Effort!F22</f>
        <v>3014.0320000000002</v>
      </c>
      <c r="F24" s="76">
        <f>Harvest!F22</f>
        <v>43477.913800000002</v>
      </c>
      <c r="G24" s="123">
        <f>+CPUE!F22</f>
        <v>14.425166620659635</v>
      </c>
      <c r="H24" s="75">
        <f>Effort!H22</f>
        <v>1264.2011099304812</v>
      </c>
      <c r="I24" s="76">
        <f>Harvest!H22</f>
        <v>15334.262093498108</v>
      </c>
      <c r="J24" s="123">
        <f>CPUE!H22</f>
        <v>12.129606573705148</v>
      </c>
      <c r="K24" s="75">
        <f>Effort!J22</f>
        <v>3356.61746464207</v>
      </c>
      <c r="L24" s="76">
        <f>Harvest!J22</f>
        <v>47202.433096529101</v>
      </c>
      <c r="M24" s="77">
        <f>CPUE!J22</f>
        <v>14.062499999999998</v>
      </c>
      <c r="N24" s="75" t="str">
        <f>Effort!L22</f>
        <v>CLOSED</v>
      </c>
      <c r="O24" s="76" t="str">
        <f>Harvest!L22</f>
        <v>CLOSED</v>
      </c>
      <c r="P24" s="77" t="str">
        <f>CPUE!L22</f>
        <v>CLOSED</v>
      </c>
      <c r="Q24" s="75" t="s">
        <v>10</v>
      </c>
      <c r="R24" s="76" t="s">
        <v>10</v>
      </c>
      <c r="S24" s="78" t="s">
        <v>10</v>
      </c>
      <c r="T24" s="75">
        <f>SUM(E24+H24+K24)</f>
        <v>7634.8505745725506</v>
      </c>
      <c r="U24" s="76">
        <f>SUM(F24+I24+L24)</f>
        <v>106014.60899002722</v>
      </c>
    </row>
    <row r="25" spans="1:21" x14ac:dyDescent="0.25">
      <c r="A25" s="71">
        <v>43794</v>
      </c>
      <c r="B25" s="72" t="s">
        <v>21</v>
      </c>
      <c r="C25" s="127">
        <v>-1</v>
      </c>
      <c r="D25" s="25">
        <v>0.7319444444444444</v>
      </c>
      <c r="E25" s="75">
        <f>Effort!F23</f>
        <v>1548.5789765433412</v>
      </c>
      <c r="F25" s="76">
        <f>Harvest!F23</f>
        <v>23228.68464815012</v>
      </c>
      <c r="G25" s="77">
        <f>+CPUE!F23</f>
        <v>15</v>
      </c>
      <c r="H25" s="75">
        <f>Effort!H23</f>
        <v>942.04165887272404</v>
      </c>
      <c r="I25" s="76">
        <f>Harvest!H23</f>
        <v>13089.4209443368</v>
      </c>
      <c r="J25" s="77">
        <f>CPUE!H23</f>
        <v>13.894736842105265</v>
      </c>
      <c r="K25" s="75" t="str">
        <f>Effort!J23</f>
        <v>CLOSED</v>
      </c>
      <c r="L25" s="76" t="str">
        <f>Harvest!J23</f>
        <v>CLOSED</v>
      </c>
      <c r="M25" s="77" t="str">
        <f>CPUE!J23</f>
        <v>CLOSED</v>
      </c>
      <c r="N25" s="75">
        <f>Effort!L23</f>
        <v>1216.1297411451001</v>
      </c>
      <c r="O25" s="76">
        <f>Harvest!L23</f>
        <v>17468.045372811401</v>
      </c>
      <c r="P25" s="77">
        <f>CPUE!L23</f>
        <v>14.363636363636333</v>
      </c>
      <c r="Q25" s="75" t="s">
        <v>10</v>
      </c>
      <c r="R25" s="76" t="s">
        <v>10</v>
      </c>
      <c r="S25" s="78" t="s">
        <v>10</v>
      </c>
      <c r="T25" s="75">
        <f>SUM(E25+H25+N25)</f>
        <v>3706.7503765611655</v>
      </c>
      <c r="U25" s="76">
        <f>SUM(F25+I25+O25)</f>
        <v>53786.150965298322</v>
      </c>
    </row>
    <row r="26" spans="1:21" x14ac:dyDescent="0.25">
      <c r="A26" s="71">
        <v>43795</v>
      </c>
      <c r="B26" s="72" t="s">
        <v>22</v>
      </c>
      <c r="C26" s="127">
        <v>-1.3</v>
      </c>
      <c r="D26" s="25">
        <v>0.76250000000000007</v>
      </c>
      <c r="E26" s="75">
        <f>Effort!F24</f>
        <v>1059.5404458895632</v>
      </c>
      <c r="F26" s="76">
        <f>Harvest!F24</f>
        <v>15759.551172453799</v>
      </c>
      <c r="G26" s="123">
        <f>+CPUE!F24</f>
        <v>14.87394958219125</v>
      </c>
      <c r="H26" s="75">
        <f>Effort!H24</f>
        <v>444.41207250282105</v>
      </c>
      <c r="I26" s="76">
        <f>Harvest!H24</f>
        <v>5558.2493968305798</v>
      </c>
      <c r="J26" s="77">
        <f>CPUE!H24</f>
        <v>12.506972111553736</v>
      </c>
      <c r="K26" s="75">
        <f>Effort!J24</f>
        <v>1179.97153486345</v>
      </c>
      <c r="L26" s="76">
        <f>Harvest!J24</f>
        <v>17109.58725552</v>
      </c>
      <c r="M26" s="77">
        <f>CPUE!J24</f>
        <v>14.49999999999998</v>
      </c>
      <c r="N26" s="75" t="str">
        <f>Effort!L24</f>
        <v>CLOSED</v>
      </c>
      <c r="O26" s="76" t="str">
        <f>Harvest!L24</f>
        <v>CLOSED</v>
      </c>
      <c r="P26" s="77" t="str">
        <f>CPUE!L24</f>
        <v>CLOSED</v>
      </c>
      <c r="Q26" s="75" t="s">
        <v>10</v>
      </c>
      <c r="R26" s="76" t="s">
        <v>10</v>
      </c>
      <c r="S26" s="78" t="s">
        <v>10</v>
      </c>
      <c r="T26" s="75">
        <f>SUM(E26+H26+K26)</f>
        <v>2683.9240532558342</v>
      </c>
      <c r="U26" s="76">
        <f>SUM(F26+I26+L26)</f>
        <v>38427.387824804377</v>
      </c>
    </row>
    <row r="27" spans="1:21" x14ac:dyDescent="0.25">
      <c r="A27" s="71">
        <v>43796</v>
      </c>
      <c r="B27" s="72" t="s">
        <v>23</v>
      </c>
      <c r="C27" s="127">
        <v>-1.4</v>
      </c>
      <c r="D27" s="25">
        <v>0.79305555555555562</v>
      </c>
      <c r="E27" s="75">
        <f>Effort!F25</f>
        <v>1220.5420342859243</v>
      </c>
      <c r="F27" s="76">
        <f>Harvest!F25</f>
        <v>18308.130514288863</v>
      </c>
      <c r="G27" s="77">
        <f>+CPUE!F25</f>
        <v>15</v>
      </c>
      <c r="H27" s="75">
        <f>Effort!H25</f>
        <v>603.11255995900137</v>
      </c>
      <c r="I27" s="76">
        <f>Harvest!H25</f>
        <v>5959.2595174477747</v>
      </c>
      <c r="J27" s="77">
        <f>CPUE!H25</f>
        <v>9.8808413438660203</v>
      </c>
      <c r="K27" s="75" t="str">
        <f>Effort!J25</f>
        <v>CLOSED</v>
      </c>
      <c r="L27" s="76" t="str">
        <f>Harvest!J25</f>
        <v>CLOSED</v>
      </c>
      <c r="M27" s="77" t="str">
        <f>CPUE!J25</f>
        <v>CLOSED</v>
      </c>
      <c r="N27" s="75">
        <f>Effort!L25</f>
        <v>778.58883895005602</v>
      </c>
      <c r="O27" s="76">
        <f>Harvest!L25</f>
        <v>7952.7288549898603</v>
      </c>
      <c r="P27" s="77">
        <f>CPUE!L25</f>
        <v>10.214285714285717</v>
      </c>
      <c r="Q27" s="75" t="s">
        <v>10</v>
      </c>
      <c r="R27" s="76" t="s">
        <v>10</v>
      </c>
      <c r="S27" s="78" t="s">
        <v>10</v>
      </c>
      <c r="T27" s="75">
        <f>SUM(E27+H27+N27)</f>
        <v>2602.2434331949817</v>
      </c>
      <c r="U27" s="76">
        <f>SUM(F27+I27+O27)</f>
        <v>32220.118886726501</v>
      </c>
    </row>
    <row r="28" spans="1:21" x14ac:dyDescent="0.25">
      <c r="A28" s="71">
        <v>43797</v>
      </c>
      <c r="B28" s="72" t="s">
        <v>24</v>
      </c>
      <c r="C28" s="127">
        <v>-1.2</v>
      </c>
      <c r="D28" s="25">
        <v>0.8222222222222223</v>
      </c>
      <c r="E28" s="75">
        <f>Effort!F26</f>
        <v>1458.1811963325936</v>
      </c>
      <c r="F28" s="76">
        <f>Harvest!F26</f>
        <v>21810.001126699401</v>
      </c>
      <c r="G28" s="77">
        <f>+CPUE!F26</f>
        <v>14.956989694801141</v>
      </c>
      <c r="H28" s="75">
        <f>Effort!H26</f>
        <v>611.61735737491233</v>
      </c>
      <c r="I28" s="76">
        <f>Harvest!H26</f>
        <v>7692.1876949923408</v>
      </c>
      <c r="J28" s="77">
        <f>CPUE!H26</f>
        <v>12.576797571618204</v>
      </c>
      <c r="K28" s="75">
        <f>Effort!J26</f>
        <v>1623.9231933246399</v>
      </c>
      <c r="L28" s="76">
        <f>Harvest!J26</f>
        <v>23678.346752190599</v>
      </c>
      <c r="M28" s="77">
        <f>CPUE!J26</f>
        <v>14.580952380952317</v>
      </c>
      <c r="N28" s="75" t="str">
        <f>Effort!L26</f>
        <v>CLOSED</v>
      </c>
      <c r="O28" s="76" t="str">
        <f>Harvest!L26</f>
        <v>CLOSED</v>
      </c>
      <c r="P28" s="77" t="str">
        <f>CPUE!L26</f>
        <v>CLOSED</v>
      </c>
      <c r="Q28" s="75" t="s">
        <v>10</v>
      </c>
      <c r="R28" s="76" t="s">
        <v>10</v>
      </c>
      <c r="S28" s="78" t="s">
        <v>10</v>
      </c>
      <c r="T28" s="75">
        <f>SUM(E28+H28+K28)</f>
        <v>3693.7217470321457</v>
      </c>
      <c r="U28" s="76">
        <f>SUM(F28+I28+L28)</f>
        <v>53180.535573882342</v>
      </c>
    </row>
    <row r="29" spans="1:21" x14ac:dyDescent="0.25">
      <c r="A29" s="71">
        <v>43798</v>
      </c>
      <c r="B29" s="72" t="s">
        <v>18</v>
      </c>
      <c r="C29" s="127">
        <v>-0.7</v>
      </c>
      <c r="D29" s="25">
        <v>0.8520833333333333</v>
      </c>
      <c r="E29" s="75">
        <f>Effort!F27</f>
        <v>3184.4980043530381</v>
      </c>
      <c r="F29" s="76">
        <f>Harvest!F27</f>
        <v>47767.470065295573</v>
      </c>
      <c r="G29" s="77">
        <f>+CPUE!F27</f>
        <v>15</v>
      </c>
      <c r="H29" s="75">
        <f>Effort!H27</f>
        <v>1573.5719783819993</v>
      </c>
      <c r="I29" s="76">
        <f>Harvest!H27</f>
        <v>22722.738541349096</v>
      </c>
      <c r="J29" s="77">
        <f>CPUE!H27</f>
        <v>14.440228253628026</v>
      </c>
      <c r="K29" s="75" t="str">
        <f>Effort!J27</f>
        <v>CLOSED</v>
      </c>
      <c r="L29" s="76" t="str">
        <f>Harvest!J27</f>
        <v>CLOSED</v>
      </c>
      <c r="M29" s="77" t="str">
        <f>CPUE!J27</f>
        <v>CLOSED</v>
      </c>
      <c r="N29" s="75">
        <f>Effort!L27</f>
        <v>2031.40451881166</v>
      </c>
      <c r="O29" s="76">
        <f>Harvest!L27</f>
        <v>30323.864556174001</v>
      </c>
      <c r="P29" s="77">
        <f>CPUE!L27</f>
        <v>14.927536231884032</v>
      </c>
      <c r="Q29" s="75" t="s">
        <v>10</v>
      </c>
      <c r="R29" s="76" t="s">
        <v>10</v>
      </c>
      <c r="S29" s="78" t="s">
        <v>10</v>
      </c>
      <c r="T29" s="75">
        <f>SUM(E29+H29+N29)</f>
        <v>6789.474501546697</v>
      </c>
      <c r="U29" s="76">
        <f>SUM(F29+I29+O29)</f>
        <v>100814.07316281866</v>
      </c>
    </row>
    <row r="30" spans="1:21" x14ac:dyDescent="0.25">
      <c r="A30" s="71">
        <v>43799</v>
      </c>
      <c r="B30" s="72" t="s">
        <v>19</v>
      </c>
      <c r="C30" s="127">
        <v>-0.2</v>
      </c>
      <c r="D30" s="25">
        <v>0.88194444444444453</v>
      </c>
      <c r="E30" s="75">
        <f>Effort!F28</f>
        <v>938.41457788952334</v>
      </c>
      <c r="F30" s="76">
        <f>Harvest!F28</f>
        <v>13922.942228798516</v>
      </c>
      <c r="G30" s="77">
        <f>+CPUE!F28</f>
        <v>14.836664473084967</v>
      </c>
      <c r="H30" s="75">
        <f>Effort!H28</f>
        <v>570.86247395574901</v>
      </c>
      <c r="I30" s="76">
        <f>Harvest!H28</f>
        <v>6866.2069784122004</v>
      </c>
      <c r="J30" s="77">
        <f>CPUE!H28</f>
        <v>12.027777777777773</v>
      </c>
      <c r="K30" s="75">
        <f>Effort!J28</f>
        <v>1515.7137064165499</v>
      </c>
      <c r="L30" s="76">
        <f>Harvest!J28</f>
        <v>21135.7855728086</v>
      </c>
      <c r="M30" s="77">
        <f>CPUE!J28</f>
        <v>13.944444444444473</v>
      </c>
      <c r="N30" s="75" t="str">
        <f>Effort!L28</f>
        <v>CLOSED</v>
      </c>
      <c r="O30" s="76" t="str">
        <f>Harvest!L28</f>
        <v>CLOSED</v>
      </c>
      <c r="P30" s="77" t="str">
        <f>CPUE!L28</f>
        <v>CLOSED</v>
      </c>
      <c r="Q30" s="75" t="s">
        <v>10</v>
      </c>
      <c r="R30" s="76" t="s">
        <v>10</v>
      </c>
      <c r="S30" s="78" t="s">
        <v>10</v>
      </c>
      <c r="T30" s="75">
        <f>SUM(E30+H30+K30)</f>
        <v>3024.9907582618225</v>
      </c>
      <c r="U30" s="76">
        <f>SUM(F30+I30+L30)</f>
        <v>41924.934780019321</v>
      </c>
    </row>
    <row r="31" spans="1:21" x14ac:dyDescent="0.25">
      <c r="A31" s="148" t="s">
        <v>65</v>
      </c>
      <c r="B31" s="148"/>
      <c r="C31" s="148"/>
      <c r="D31" s="149"/>
      <c r="E31" s="81">
        <f>SUM(E24:E30)</f>
        <v>12423.787235293983</v>
      </c>
      <c r="F31" s="82">
        <f>SUM(F24:F30)</f>
        <v>184274.69355568627</v>
      </c>
      <c r="G31" s="83">
        <f>+F31/E31</f>
        <v>14.832408996202984</v>
      </c>
      <c r="H31" s="81">
        <f>SUM(H24:H30)</f>
        <v>6009.8192109776883</v>
      </c>
      <c r="I31" s="82">
        <f>SUM(I24:I30)</f>
        <v>77222.325166866896</v>
      </c>
      <c r="J31" s="83">
        <f>+I31/H31</f>
        <v>12.849359099822943</v>
      </c>
      <c r="K31" s="81">
        <f>SUM(K24:K30)</f>
        <v>7676.2258992467105</v>
      </c>
      <c r="L31" s="82">
        <f>SUM(L24:L30)</f>
        <v>109126.1526770483</v>
      </c>
      <c r="M31" s="83">
        <f>+L31/K31</f>
        <v>14.216120540141629</v>
      </c>
      <c r="N31" s="81">
        <f>SUM(N24:N30)</f>
        <v>4026.1230989068163</v>
      </c>
      <c r="O31" s="82">
        <f>SUM(O24:O30)</f>
        <v>55744.638783975257</v>
      </c>
      <c r="P31" s="83">
        <f>+O31/N31</f>
        <v>13.845736311219891</v>
      </c>
      <c r="Q31" s="81"/>
      <c r="R31" s="82"/>
      <c r="S31" s="83"/>
      <c r="T31" s="81">
        <f>SUM(T24:T30)</f>
        <v>30135.955444425195</v>
      </c>
      <c r="U31" s="82">
        <f>SUM(U24:U30)</f>
        <v>426367.81018357677</v>
      </c>
    </row>
    <row r="32" spans="1:21" x14ac:dyDescent="0.25">
      <c r="A32" s="71">
        <v>43809</v>
      </c>
      <c r="B32" s="72" t="s">
        <v>22</v>
      </c>
      <c r="C32" s="128">
        <v>-0.2</v>
      </c>
      <c r="D32" s="25">
        <v>0.72777777777777775</v>
      </c>
      <c r="E32" s="75">
        <f>Effort!F30</f>
        <v>462.89739893191853</v>
      </c>
      <c r="F32" s="76">
        <f>Harvest!F30</f>
        <v>5379.1866038337912</v>
      </c>
      <c r="G32" s="123">
        <f>+CPUE!F30</f>
        <v>11.620688766550932</v>
      </c>
      <c r="H32" s="75">
        <f>Effort!H30</f>
        <v>439.96592515078737</v>
      </c>
      <c r="I32" s="76">
        <f>Harvest!H30</f>
        <v>3919.7423975215538</v>
      </c>
      <c r="J32" s="123">
        <f>CPUE!H30</f>
        <v>8.9091954022988471</v>
      </c>
      <c r="K32" s="75" t="str">
        <f>Effort!J30</f>
        <v>CLOSED</v>
      </c>
      <c r="L32" s="76" t="str">
        <f>Harvest!J30</f>
        <v>CLOSED</v>
      </c>
      <c r="M32" s="77" t="str">
        <f>CPUE!J30</f>
        <v>CLOSED</v>
      </c>
      <c r="N32" s="75">
        <f>Effort!L30</f>
        <v>465.07350413715398</v>
      </c>
      <c r="O32" s="76">
        <f>Harvest!L30</f>
        <v>5404.4748584214103</v>
      </c>
      <c r="P32" s="77">
        <f>CPUE!L30</f>
        <v>11.620689655172415</v>
      </c>
      <c r="Q32" s="75" t="s">
        <v>10</v>
      </c>
      <c r="R32" s="76" t="s">
        <v>10</v>
      </c>
      <c r="S32" s="78" t="s">
        <v>10</v>
      </c>
      <c r="T32" s="75">
        <f>SUM(E32+H32+N32)</f>
        <v>1367.93682821986</v>
      </c>
      <c r="U32" s="76">
        <f>SUM(F32+I32+O32)</f>
        <v>14703.403859776756</v>
      </c>
    </row>
    <row r="33" spans="1:21" x14ac:dyDescent="0.25">
      <c r="A33" s="71">
        <v>43810</v>
      </c>
      <c r="B33" s="72" t="s">
        <v>23</v>
      </c>
      <c r="C33" s="128">
        <v>-0.6</v>
      </c>
      <c r="D33" s="25">
        <v>0.75416666666666676</v>
      </c>
      <c r="E33" s="75">
        <f>Effort!F31</f>
        <v>165.48694939305824</v>
      </c>
      <c r="F33" s="76">
        <f>Harvest!F31</f>
        <v>634.71076648059011</v>
      </c>
      <c r="G33" s="77">
        <f>+CPUE!F31</f>
        <v>3.8354128153818916</v>
      </c>
      <c r="H33" s="75">
        <f>Effort!H31</f>
        <v>253.86568870844101</v>
      </c>
      <c r="I33" s="76">
        <f>Harvest!H31</f>
        <v>456.95823967519402</v>
      </c>
      <c r="J33" s="77">
        <f>CPUE!H31</f>
        <v>1.8000000000000007</v>
      </c>
      <c r="K33" s="75">
        <f>Effort!J31</f>
        <v>290.65742365040001</v>
      </c>
      <c r="L33" s="76">
        <f>Harvest!J31</f>
        <v>2252.5950332911402</v>
      </c>
      <c r="M33" s="77">
        <f>CPUE!J31</f>
        <v>7.7500000000018581</v>
      </c>
      <c r="N33" s="75" t="str">
        <f>Effort!L31</f>
        <v>CLOSED</v>
      </c>
      <c r="O33" s="76" t="str">
        <f>Harvest!L31</f>
        <v>CLOSED</v>
      </c>
      <c r="P33" s="77" t="str">
        <f>CPUE!L31</f>
        <v>CLOSED</v>
      </c>
      <c r="Q33" s="75" t="s">
        <v>10</v>
      </c>
      <c r="R33" s="76" t="s">
        <v>10</v>
      </c>
      <c r="S33" s="78" t="s">
        <v>10</v>
      </c>
      <c r="T33" s="75">
        <f>SUM(E33+H33+K33)</f>
        <v>710.01006175189923</v>
      </c>
      <c r="U33" s="76">
        <f>SUM(F33+I33+L33)</f>
        <v>3344.2640394469245</v>
      </c>
    </row>
    <row r="34" spans="1:21" x14ac:dyDescent="0.25">
      <c r="A34" s="71">
        <v>43811</v>
      </c>
      <c r="B34" s="72" t="s">
        <v>24</v>
      </c>
      <c r="C34" s="128">
        <v>-0.9</v>
      </c>
      <c r="D34" s="25">
        <v>0.78125</v>
      </c>
      <c r="E34" s="75">
        <f>Effort!F32</f>
        <v>271.60359230769217</v>
      </c>
      <c r="F34" s="76">
        <f>Harvest!F32</f>
        <v>248.96994057692311</v>
      </c>
      <c r="G34" s="123">
        <f>+CPUE!F32</f>
        <v>0.91666659657016603</v>
      </c>
      <c r="H34" s="75">
        <f>Effort!H32</f>
        <v>258.14862222093888</v>
      </c>
      <c r="I34" s="76">
        <f>Harvest!H32</f>
        <v>181.42111506082659</v>
      </c>
      <c r="J34" s="77">
        <f>CPUE!H32</f>
        <v>0.70277777777777817</v>
      </c>
      <c r="K34" s="75" t="str">
        <f>Effort!J32</f>
        <v>CLOSED</v>
      </c>
      <c r="L34" s="76" t="str">
        <f>Harvest!J32</f>
        <v>CLOSED</v>
      </c>
      <c r="M34" s="77" t="str">
        <f>CPUE!J32</f>
        <v>CLOSED</v>
      </c>
      <c r="N34" s="75">
        <f>Effort!L32</f>
        <v>272.88041518970698</v>
      </c>
      <c r="O34" s="76">
        <f>Harvest!L32</f>
        <v>250.140380590565</v>
      </c>
      <c r="P34" s="77">
        <f>CPUE!L32</f>
        <v>0.91666666666666763</v>
      </c>
      <c r="Q34" s="75" t="s">
        <v>10</v>
      </c>
      <c r="R34" s="76" t="s">
        <v>10</v>
      </c>
      <c r="S34" s="78" t="s">
        <v>10</v>
      </c>
      <c r="T34" s="75">
        <f>SUM(E34+H34+N34)</f>
        <v>802.63262971833797</v>
      </c>
      <c r="U34" s="76">
        <f>SUM(F34+I34+O34)</f>
        <v>680.53143622831465</v>
      </c>
    </row>
    <row r="35" spans="1:21" x14ac:dyDescent="0.25">
      <c r="A35" s="71">
        <v>43812</v>
      </c>
      <c r="B35" s="72" t="s">
        <v>18</v>
      </c>
      <c r="C35" s="128">
        <v>-1</v>
      </c>
      <c r="D35" s="25">
        <v>0.80972222222222223</v>
      </c>
      <c r="E35" s="75">
        <f>Effort!F33</f>
        <v>674.39800000000002</v>
      </c>
      <c r="F35" s="76">
        <f>Harvest!F33</f>
        <v>4325.4539000000004</v>
      </c>
      <c r="G35" s="77">
        <f>+CPUE!F33</f>
        <v>6.4138000112693101</v>
      </c>
      <c r="H35" s="75">
        <f>Effort!H33</f>
        <v>1034.5620205189239</v>
      </c>
      <c r="I35" s="76">
        <f>Harvest!H33</f>
        <v>3114.0984276980075</v>
      </c>
      <c r="J35" s="77">
        <f>CPUE!H33</f>
        <v>3.0100645161282968</v>
      </c>
      <c r="K35" s="75">
        <f>Effort!J33</f>
        <v>1184.49694017506</v>
      </c>
      <c r="L35" s="76">
        <f>Harvest!J33</f>
        <v>15351.0803446687</v>
      </c>
      <c r="M35" s="77">
        <f>CPUE!J33</f>
        <v>12.959999999999935</v>
      </c>
      <c r="N35" s="75" t="str">
        <f>Effort!L33</f>
        <v>CLOSED</v>
      </c>
      <c r="O35" s="76" t="str">
        <f>Harvest!L33</f>
        <v>CLOSED</v>
      </c>
      <c r="P35" s="77" t="str">
        <f>CPUE!L33</f>
        <v>CLOSED</v>
      </c>
      <c r="Q35" s="75" t="s">
        <v>10</v>
      </c>
      <c r="R35" s="76" t="s">
        <v>10</v>
      </c>
      <c r="S35" s="78" t="s">
        <v>10</v>
      </c>
      <c r="T35" s="75">
        <f>SUM(E35+H35+K35)</f>
        <v>2893.456960693984</v>
      </c>
      <c r="U35" s="76">
        <f>SUM(F35+I35+L35)</f>
        <v>22790.632672366708</v>
      </c>
    </row>
    <row r="36" spans="1:21" x14ac:dyDescent="0.25">
      <c r="A36" s="71">
        <v>43813</v>
      </c>
      <c r="B36" s="72" t="s">
        <v>19</v>
      </c>
      <c r="C36" s="128">
        <v>-1</v>
      </c>
      <c r="D36" s="25">
        <v>0.83888888888888891</v>
      </c>
      <c r="E36" s="75">
        <f>Effort!F34</f>
        <v>1668.252414583329</v>
      </c>
      <c r="F36" s="76">
        <f>Harvest!F34</f>
        <v>24947.95465579856</v>
      </c>
      <c r="G36" s="77">
        <f>+CPUE!F34</f>
        <v>14.954544310987666</v>
      </c>
      <c r="H36" s="75">
        <f>Effort!H34</f>
        <v>1585.6088598915198</v>
      </c>
      <c r="I36" s="76">
        <f>Harvest!H34</f>
        <v>18179.24582242293</v>
      </c>
      <c r="J36" s="77">
        <f>CPUE!H34</f>
        <v>11.465151515151518</v>
      </c>
      <c r="K36" s="75" t="str">
        <f>Effort!J34</f>
        <v>CLOSED</v>
      </c>
      <c r="L36" s="76" t="str">
        <f>Harvest!J34</f>
        <v>CLOSED</v>
      </c>
      <c r="M36" s="77" t="str">
        <f>CPUE!J34</f>
        <v>CLOSED</v>
      </c>
      <c r="N36" s="75">
        <f>Effort!L34</f>
        <v>1676.0949575991201</v>
      </c>
      <c r="O36" s="76">
        <f>Harvest!L34</f>
        <v>25065.238229550501</v>
      </c>
      <c r="P36" s="77">
        <f>CPUE!L34</f>
        <v>14.954545454545469</v>
      </c>
      <c r="Q36" s="75" t="s">
        <v>10</v>
      </c>
      <c r="R36" s="76" t="s">
        <v>10</v>
      </c>
      <c r="S36" s="78" t="s">
        <v>10</v>
      </c>
      <c r="T36" s="75">
        <f>SUM(E36+H36+N36)</f>
        <v>4929.9562320739687</v>
      </c>
      <c r="U36" s="76">
        <f>SUM(F36+I36+O36)</f>
        <v>68192.438707772002</v>
      </c>
    </row>
    <row r="37" spans="1:21" x14ac:dyDescent="0.25">
      <c r="A37" s="71">
        <v>43814</v>
      </c>
      <c r="B37" s="72" t="s">
        <v>20</v>
      </c>
      <c r="C37" s="128">
        <v>-0.8</v>
      </c>
      <c r="D37" s="25">
        <v>0.87013888888888891</v>
      </c>
      <c r="E37" s="75">
        <f>Effort!F35</f>
        <v>218.05044111316437</v>
      </c>
      <c r="F37" s="76">
        <f>Harvest!F35</f>
        <v>3270.7566166974657</v>
      </c>
      <c r="G37" s="77">
        <f>+CPUE!F35</f>
        <v>15</v>
      </c>
      <c r="H37" s="75">
        <f>Effort!H35</f>
        <v>334.50085103021945</v>
      </c>
      <c r="I37" s="76">
        <f>Harvest!H35</f>
        <v>5017.5127654532916</v>
      </c>
      <c r="J37" s="77">
        <f>CPUE!H35</f>
        <v>15</v>
      </c>
      <c r="K37" s="75">
        <f>Effort!J35</f>
        <v>382.97871628083902</v>
      </c>
      <c r="L37" s="76">
        <f>Harvest!J35</f>
        <v>5744.6807442125901</v>
      </c>
      <c r="M37" s="77">
        <f>CPUE!J35</f>
        <v>15.000000000000012</v>
      </c>
      <c r="N37" s="75" t="str">
        <f>Effort!L35</f>
        <v>CLOSED</v>
      </c>
      <c r="O37" s="76" t="str">
        <f>Harvest!L35</f>
        <v>CLOSED</v>
      </c>
      <c r="P37" s="77" t="str">
        <f>CPUE!L35</f>
        <v>CLOSED</v>
      </c>
      <c r="Q37" s="75" t="s">
        <v>10</v>
      </c>
      <c r="R37" s="76" t="s">
        <v>10</v>
      </c>
      <c r="S37" s="78" t="s">
        <v>10</v>
      </c>
      <c r="T37" s="75">
        <f>SUM(E37+H37+K37)</f>
        <v>935.53000842422284</v>
      </c>
      <c r="U37" s="76">
        <f>SUM(F37+I37+L37)</f>
        <v>14032.950126363346</v>
      </c>
    </row>
    <row r="38" spans="1:21" x14ac:dyDescent="0.25">
      <c r="A38" s="71">
        <v>43815</v>
      </c>
      <c r="B38" s="72" t="s">
        <v>21</v>
      </c>
      <c r="C38" s="128">
        <v>-0.4</v>
      </c>
      <c r="D38" s="25">
        <v>0.90347222222222223</v>
      </c>
      <c r="E38" s="75">
        <f>Effort!F36</f>
        <v>87.181399999999996</v>
      </c>
      <c r="F38" s="76">
        <f>Harvest!F36</f>
        <v>1307.7209</v>
      </c>
      <c r="G38" s="77">
        <f>+CPUE!F36</f>
        <v>14.999998852966344</v>
      </c>
      <c r="H38" s="75">
        <f>Effort!H36</f>
        <v>82.862520712893996</v>
      </c>
      <c r="I38" s="76">
        <f>Harvest!H36</f>
        <v>952.918988198281</v>
      </c>
      <c r="J38" s="77">
        <f>CPUE!H36</f>
        <v>11.5</v>
      </c>
      <c r="K38" s="75" t="str">
        <f>Effort!J36</f>
        <v>CLOSED</v>
      </c>
      <c r="L38" s="76" t="str">
        <f>Harvest!J36</f>
        <v>CLOSED</v>
      </c>
      <c r="M38" s="77" t="str">
        <f>CPUE!J36</f>
        <v>CLOSED</v>
      </c>
      <c r="N38" s="75">
        <f>Effort!L36</f>
        <v>87.591244381881296</v>
      </c>
      <c r="O38" s="76">
        <f>Harvest!L36</f>
        <v>1313.8686657282201</v>
      </c>
      <c r="P38" s="77">
        <f>CPUE!L36</f>
        <v>15.000000000000007</v>
      </c>
      <c r="Q38" s="75" t="s">
        <v>10</v>
      </c>
      <c r="R38" s="76" t="s">
        <v>10</v>
      </c>
      <c r="S38" s="78" t="s">
        <v>10</v>
      </c>
      <c r="T38" s="75">
        <f>SUM(E38+H38+N38)</f>
        <v>257.63516509477529</v>
      </c>
      <c r="U38" s="76">
        <f>SUM(F38+I38+O38)</f>
        <v>3574.508553926501</v>
      </c>
    </row>
    <row r="39" spans="1:21" x14ac:dyDescent="0.25">
      <c r="A39" s="148" t="s">
        <v>65</v>
      </c>
      <c r="B39" s="148"/>
      <c r="C39" s="148"/>
      <c r="D39" s="149"/>
      <c r="E39" s="81">
        <f>SUM(E32:E38)</f>
        <v>3547.8701963291624</v>
      </c>
      <c r="F39" s="82">
        <f>SUM(F32:F38)</f>
        <v>40114.753383387331</v>
      </c>
      <c r="G39" s="83">
        <f>+F39/E39</f>
        <v>11.306713933585407</v>
      </c>
      <c r="H39" s="81">
        <f>SUM(H32:H38)</f>
        <v>3989.5144882337245</v>
      </c>
      <c r="I39" s="82">
        <f>SUM(I32:I38)</f>
        <v>31821.897756030085</v>
      </c>
      <c r="J39" s="83">
        <f>+I39/H39</f>
        <v>7.9763835549118598</v>
      </c>
      <c r="K39" s="81">
        <f>SUM(K32:K38)</f>
        <v>1858.1330801062991</v>
      </c>
      <c r="L39" s="82">
        <f>SUM(L32:L38)</f>
        <v>23348.35612217243</v>
      </c>
      <c r="M39" s="83">
        <f>+L39/K39</f>
        <v>12.565491875768515</v>
      </c>
      <c r="N39" s="81">
        <f>SUM(N32:N38)</f>
        <v>2501.640121307862</v>
      </c>
      <c r="O39" s="82">
        <f>SUM(O32:O38)</f>
        <v>32033.722134290696</v>
      </c>
      <c r="P39" s="83">
        <f>+O39/N39</f>
        <v>12.805088094583088</v>
      </c>
      <c r="Q39" s="81"/>
      <c r="R39" s="82"/>
      <c r="S39" s="83"/>
      <c r="T39" s="81">
        <f>SUM(T32:T38)</f>
        <v>11897.157885977047</v>
      </c>
      <c r="U39" s="82">
        <f>SUM(U32:U38)</f>
        <v>127318.72939588055</v>
      </c>
    </row>
    <row r="40" spans="1:21" x14ac:dyDescent="0.25">
      <c r="A40" s="71">
        <v>43822</v>
      </c>
      <c r="B40" s="72" t="s">
        <v>21</v>
      </c>
      <c r="C40" s="130">
        <v>-0.4</v>
      </c>
      <c r="D40" s="25">
        <v>0.69097222222222221</v>
      </c>
      <c r="E40" s="75">
        <f>Effort!F38</f>
        <v>1627.0353358049681</v>
      </c>
      <c r="F40" s="76">
        <f>Harvest!F38</f>
        <v>24405.530037074521</v>
      </c>
      <c r="G40" s="123">
        <f>+CPUE!F38</f>
        <v>15</v>
      </c>
      <c r="H40" s="75">
        <f>Effort!H38</f>
        <v>639.1947708826641</v>
      </c>
      <c r="I40" s="76">
        <f>Harvest!H38</f>
        <v>9587.921563239961</v>
      </c>
      <c r="J40" s="77">
        <f>CPUE!H38</f>
        <v>15</v>
      </c>
      <c r="K40" s="75" t="str">
        <f>Effort!J38</f>
        <v>CLOSED</v>
      </c>
      <c r="L40" s="76" t="str">
        <f>Harvest!J38</f>
        <v>CLOSED</v>
      </c>
      <c r="M40" s="77" t="str">
        <f>CPUE!J38</f>
        <v>CLOSED</v>
      </c>
      <c r="N40" s="75">
        <f>Effort!L38</f>
        <v>1240.07003266891</v>
      </c>
      <c r="O40" s="76">
        <f>Harvest!L38</f>
        <v>18533.410306433601</v>
      </c>
      <c r="P40" s="77">
        <f>CPUE!L38</f>
        <v>14.945454545454604</v>
      </c>
      <c r="Q40" s="75" t="s">
        <v>10</v>
      </c>
      <c r="R40" s="76" t="s">
        <v>10</v>
      </c>
      <c r="S40" s="78" t="s">
        <v>10</v>
      </c>
      <c r="T40" s="75">
        <f>SUM(E40+H40+N40)</f>
        <v>3506.3001393565419</v>
      </c>
      <c r="U40" s="76">
        <f>SUM(F40+I40+O40)</f>
        <v>52526.861906748083</v>
      </c>
    </row>
    <row r="41" spans="1:21" x14ac:dyDescent="0.25">
      <c r="A41" s="71">
        <v>43825</v>
      </c>
      <c r="B41" s="72" t="s">
        <v>24</v>
      </c>
      <c r="C41" s="130">
        <v>-1.1000000000000001</v>
      </c>
      <c r="D41" s="25">
        <v>0.78263888888888899</v>
      </c>
      <c r="E41" s="75">
        <f>Effort!F39</f>
        <v>1648.2925170778749</v>
      </c>
      <c r="F41" s="76">
        <f>Harvest!F39</f>
        <v>18074.414921109739</v>
      </c>
      <c r="G41" s="77">
        <f>+CPUE!F39</f>
        <v>10.965538418600852</v>
      </c>
      <c r="H41" s="75">
        <f>Effort!H39</f>
        <v>1586.9084403974909</v>
      </c>
      <c r="I41" s="76">
        <f>Harvest!H39</f>
        <v>15869.08440397491</v>
      </c>
      <c r="J41" s="77">
        <f>CPUE!H39</f>
        <v>10</v>
      </c>
      <c r="K41" s="75">
        <f>Effort!J39</f>
        <v>1843.1760681501601</v>
      </c>
      <c r="L41" s="76">
        <f>Harvest!J39</f>
        <v>16165.560597710401</v>
      </c>
      <c r="M41" s="77">
        <f>CPUE!J39</f>
        <v>8.7704918032786772</v>
      </c>
      <c r="N41" s="75" t="str">
        <f>Effort!L39</f>
        <v>CLOSED</v>
      </c>
      <c r="O41" s="76" t="str">
        <f>Harvest!L39</f>
        <v>CLOSED</v>
      </c>
      <c r="P41" s="77" t="str">
        <f>CPUE!L39</f>
        <v>CLOSED</v>
      </c>
      <c r="Q41" s="75" t="s">
        <v>10</v>
      </c>
      <c r="R41" s="76" t="s">
        <v>10</v>
      </c>
      <c r="S41" s="78" t="s">
        <v>10</v>
      </c>
      <c r="T41" s="75">
        <f>SUM(E41+H41+K41)</f>
        <v>5078.3770256255257</v>
      </c>
      <c r="U41" s="76">
        <f>SUM(F41+I41+L41)</f>
        <v>50109.059922795044</v>
      </c>
    </row>
    <row r="42" spans="1:21" x14ac:dyDescent="0.25">
      <c r="A42" s="71">
        <v>43826</v>
      </c>
      <c r="B42" s="72" t="s">
        <v>18</v>
      </c>
      <c r="C42" s="130">
        <v>-0.9</v>
      </c>
      <c r="D42" s="25">
        <v>0.80972222222222223</v>
      </c>
      <c r="E42" s="75">
        <f>Effort!F40</f>
        <v>2566.05806283931</v>
      </c>
      <c r="F42" s="76">
        <f>Harvest!F40</f>
        <v>16679.377408455515</v>
      </c>
      <c r="G42" s="77">
        <f>+CPUE!F40</f>
        <v>6.5</v>
      </c>
      <c r="H42" s="75">
        <f>Effort!H40</f>
        <v>1008.09789403664</v>
      </c>
      <c r="I42" s="76">
        <f>Harvest!H40</f>
        <v>6581.1673837108901</v>
      </c>
      <c r="J42" s="77">
        <f>CPUE!H40</f>
        <v>6.5283018867924474</v>
      </c>
      <c r="K42" s="75" t="str">
        <f>Effort!J40</f>
        <v>CLOSED</v>
      </c>
      <c r="L42" s="76" t="str">
        <f>Harvest!J40</f>
        <v>CLOSED</v>
      </c>
      <c r="M42" s="77" t="str">
        <f>CPUE!J40</f>
        <v>CLOSED</v>
      </c>
      <c r="N42" s="75">
        <f>Effort!L40</f>
        <v>1955.76066222381</v>
      </c>
      <c r="O42" s="76">
        <f>Harvest!L40</f>
        <v>5893.7111848096001</v>
      </c>
      <c r="P42" s="77">
        <f>CPUE!L40</f>
        <v>3.0135135135135189</v>
      </c>
      <c r="Q42" s="75" t="s">
        <v>10</v>
      </c>
      <c r="R42" s="76" t="s">
        <v>10</v>
      </c>
      <c r="S42" s="78" t="s">
        <v>10</v>
      </c>
      <c r="T42" s="75">
        <f>SUM(E42+H42+N42)</f>
        <v>5529.9166190997603</v>
      </c>
      <c r="U42" s="76">
        <f>SUM(F42+I42+O42)</f>
        <v>29154.255976976005</v>
      </c>
    </row>
    <row r="43" spans="1:21" x14ac:dyDescent="0.25">
      <c r="A43" s="71">
        <v>43827</v>
      </c>
      <c r="B43" s="72" t="s">
        <v>19</v>
      </c>
      <c r="C43" s="130">
        <v>-0.6</v>
      </c>
      <c r="D43" s="25">
        <v>0.83680555555555547</v>
      </c>
      <c r="E43" s="75">
        <f>Effort!F41</f>
        <v>1048.7061657756917</v>
      </c>
      <c r="F43" s="76">
        <f>Harvest!F41</f>
        <v>14362.714879101819</v>
      </c>
      <c r="G43" s="77">
        <f>+CPUE!F41</f>
        <v>13.695652173913</v>
      </c>
      <c r="H43" s="75">
        <f>Effort!H41</f>
        <v>1335.27272727273</v>
      </c>
      <c r="I43" s="76">
        <f>Harvest!H41</f>
        <v>17672.727272727301</v>
      </c>
      <c r="J43" s="77">
        <f>CPUE!H41</f>
        <v>13.235294117647053</v>
      </c>
      <c r="K43" s="75">
        <f>Effort!J41</f>
        <v>1550.90405514903</v>
      </c>
      <c r="L43" s="76">
        <f>Harvest!J41</f>
        <v>13464.6670242484</v>
      </c>
      <c r="M43" s="77">
        <f>CPUE!J41</f>
        <v>8.6818181818181834</v>
      </c>
      <c r="N43" s="75" t="str">
        <f>Effort!L41</f>
        <v>CLOSED</v>
      </c>
      <c r="O43" s="76" t="str">
        <f>Harvest!L41</f>
        <v>CLOSED</v>
      </c>
      <c r="P43" s="77" t="str">
        <f>CPUE!L41</f>
        <v>CLOSED</v>
      </c>
      <c r="Q43" s="75" t="s">
        <v>10</v>
      </c>
      <c r="R43" s="76" t="s">
        <v>10</v>
      </c>
      <c r="S43" s="78" t="s">
        <v>10</v>
      </c>
      <c r="T43" s="75">
        <f>SUM(E43+H43+K43)</f>
        <v>3934.8829481974517</v>
      </c>
      <c r="U43" s="76">
        <f>SUM(F43+I43+L43)</f>
        <v>45500.109176077516</v>
      </c>
    </row>
    <row r="44" spans="1:21" x14ac:dyDescent="0.25">
      <c r="A44" s="71">
        <v>43828</v>
      </c>
      <c r="B44" s="72" t="s">
        <v>20</v>
      </c>
      <c r="C44" s="130">
        <v>-0.2</v>
      </c>
      <c r="D44" s="25">
        <v>0.86319444444444438</v>
      </c>
      <c r="E44" s="75">
        <f>Effort!F42</f>
        <v>732.64174039187958</v>
      </c>
      <c r="F44" s="76">
        <f>Harvest!F42</f>
        <v>9817.3993212511868</v>
      </c>
      <c r="G44" s="77">
        <f>+CPUE!F42</f>
        <v>13.4</v>
      </c>
      <c r="H44" s="75">
        <f>Effort!H42</f>
        <v>287.82458443483904</v>
      </c>
      <c r="I44" s="76">
        <f>Harvest!H42</f>
        <v>3856.8494314268432</v>
      </c>
      <c r="J44" s="77">
        <f>CPUE!H42</f>
        <v>13.4</v>
      </c>
      <c r="K44" s="75" t="str">
        <f>Effort!J42</f>
        <v>CLOSED</v>
      </c>
      <c r="L44" s="76" t="str">
        <f>Harvest!J42</f>
        <v>CLOSED</v>
      </c>
      <c r="M44" s="77" t="str">
        <f>CPUE!J42</f>
        <v>CLOSED</v>
      </c>
      <c r="N44" s="75">
        <f>Effort!L42</f>
        <v>558.39418293449398</v>
      </c>
      <c r="O44" s="76">
        <f>Harvest!L42</f>
        <v>7496.0188799994103</v>
      </c>
      <c r="P44" s="77">
        <f>CPUE!L42</f>
        <v>13.424242424242408</v>
      </c>
      <c r="Q44" s="75" t="s">
        <v>10</v>
      </c>
      <c r="R44" s="76" t="s">
        <v>10</v>
      </c>
      <c r="S44" s="78" t="s">
        <v>10</v>
      </c>
      <c r="T44" s="75">
        <f>SUM(E44+H44+N44)</f>
        <v>1578.8605077612126</v>
      </c>
      <c r="U44" s="76">
        <f>SUM(F44+I44+O44)</f>
        <v>21170.267632677438</v>
      </c>
    </row>
    <row r="45" spans="1:21" x14ac:dyDescent="0.25">
      <c r="A45" s="148" t="s">
        <v>65</v>
      </c>
      <c r="B45" s="148"/>
      <c r="C45" s="148"/>
      <c r="D45" s="149"/>
      <c r="E45" s="81">
        <f>SUM(E40:E44)</f>
        <v>7622.7338218897248</v>
      </c>
      <c r="F45" s="82">
        <f>SUM(F40:F44)</f>
        <v>83339.436566992794</v>
      </c>
      <c r="G45" s="83">
        <f>+F45/E45</f>
        <v>10.933011504044938</v>
      </c>
      <c r="H45" s="81">
        <f>SUM(H40:H44)</f>
        <v>4857.2984170243644</v>
      </c>
      <c r="I45" s="82">
        <f>SUM(I40:I44)</f>
        <v>53567.750055079909</v>
      </c>
      <c r="J45" s="83">
        <f>+I45/H45</f>
        <v>11.028301219321854</v>
      </c>
      <c r="K45" s="81">
        <f>SUM(K40:K44)</f>
        <v>3394.0801232991898</v>
      </c>
      <c r="L45" s="82">
        <f>SUM(L40:L44)</f>
        <v>29630.227621958802</v>
      </c>
      <c r="M45" s="83">
        <f>+L45/K45</f>
        <v>8.7299729368666057</v>
      </c>
      <c r="N45" s="81">
        <f>SUM(N40:N44)</f>
        <v>3754.2248778272142</v>
      </c>
      <c r="O45" s="82">
        <f>SUM(O40:O44)</f>
        <v>31923.140371242611</v>
      </c>
      <c r="P45" s="83">
        <f>+O45/N45</f>
        <v>8.5032573727225333</v>
      </c>
      <c r="Q45" s="81"/>
      <c r="R45" s="82"/>
      <c r="S45" s="83"/>
      <c r="T45" s="81">
        <f>SUM(T40:T44)</f>
        <v>19628.337240040491</v>
      </c>
      <c r="U45" s="82">
        <f>SUM(U40:U44)</f>
        <v>198460.55461527413</v>
      </c>
    </row>
    <row r="46" spans="1:21" x14ac:dyDescent="0.25">
      <c r="A46" s="71">
        <v>43838</v>
      </c>
      <c r="B46" s="72" t="s">
        <v>23</v>
      </c>
      <c r="C46" s="132">
        <v>-0.3</v>
      </c>
      <c r="D46" s="25">
        <v>0.71180555555555547</v>
      </c>
      <c r="E46" s="75">
        <f>Effort!F44</f>
        <v>497.3093870923318</v>
      </c>
      <c r="F46" s="76">
        <f>Harvest!F44</f>
        <v>7459.6408063849767</v>
      </c>
      <c r="G46" s="123">
        <f>CPUE!F44</f>
        <v>15</v>
      </c>
      <c r="H46" s="75">
        <f>Effort!H44</f>
        <v>218.44573032807753</v>
      </c>
      <c r="I46" s="76">
        <f>Harvest!H44</f>
        <v>3276.6859549211631</v>
      </c>
      <c r="J46" s="123">
        <f>CPUE!H44</f>
        <v>15</v>
      </c>
      <c r="K46" s="75" t="str">
        <f>Effort!J44</f>
        <v>CLOSED</v>
      </c>
      <c r="L46" s="76" t="str">
        <f>Harvest!J44</f>
        <v>CLOSED</v>
      </c>
      <c r="M46" s="77" t="str">
        <f>CPUE!J44</f>
        <v>CLOSED</v>
      </c>
      <c r="N46" s="75">
        <f>Effort!L44</f>
        <v>255.47446278048699</v>
      </c>
      <c r="O46" s="76">
        <f>Harvest!L44</f>
        <v>3715.9921858980001</v>
      </c>
      <c r="P46" s="77">
        <f>CPUE!L44</f>
        <v>14.545454545454575</v>
      </c>
      <c r="Q46" s="75" t="s">
        <v>10</v>
      </c>
      <c r="R46" s="76" t="s">
        <v>10</v>
      </c>
      <c r="S46" s="78" t="s">
        <v>10</v>
      </c>
      <c r="T46" s="75">
        <f>SUM(E46+H46+N46)</f>
        <v>971.22958020089629</v>
      </c>
      <c r="U46" s="76">
        <f>SUM(F46+I46+O46)</f>
        <v>14452.318947204139</v>
      </c>
    </row>
    <row r="47" spans="1:21" x14ac:dyDescent="0.25">
      <c r="A47" s="71">
        <v>43839</v>
      </c>
      <c r="B47" s="72" t="s">
        <v>24</v>
      </c>
      <c r="C47" s="132">
        <v>-0.8</v>
      </c>
      <c r="D47" s="25">
        <v>0.74097222222222225</v>
      </c>
      <c r="E47" s="75">
        <f>Effort!F45</f>
        <v>505.9332492962443</v>
      </c>
      <c r="F47" s="76">
        <f>Harvest!F45</f>
        <v>7588.9987394436648</v>
      </c>
      <c r="G47" s="123">
        <f>CPUE!F45</f>
        <v>15</v>
      </c>
      <c r="H47" s="75">
        <f>Effort!H45</f>
        <v>519.77399356269802</v>
      </c>
      <c r="I47" s="76">
        <f>Harvest!H45</f>
        <v>7781.3224330415796</v>
      </c>
      <c r="J47" s="123">
        <f>CPUE!H45</f>
        <v>14.970588235294141</v>
      </c>
      <c r="K47" s="75">
        <f>Effort!J45</f>
        <v>1027.62434187908</v>
      </c>
      <c r="L47" s="76">
        <f>Harvest!J45</f>
        <v>15414.3651281862</v>
      </c>
      <c r="M47" s="77">
        <f>CPUE!J45</f>
        <v>15</v>
      </c>
      <c r="N47" s="75" t="str">
        <f>Effort!L45</f>
        <v>CLOSED</v>
      </c>
      <c r="O47" s="76" t="str">
        <f>Harvest!L45</f>
        <v>CLOSED</v>
      </c>
      <c r="P47" s="77" t="str">
        <f>CPUE!L45</f>
        <v>CLOSED</v>
      </c>
      <c r="Q47" s="75" t="s">
        <v>10</v>
      </c>
      <c r="R47" s="76" t="s">
        <v>10</v>
      </c>
      <c r="S47" s="78" t="s">
        <v>10</v>
      </c>
      <c r="T47" s="75">
        <f>SUM(E47+H47+K47)</f>
        <v>2053.3315847380222</v>
      </c>
      <c r="U47" s="76">
        <f>SUM(F47+I47+L47)</f>
        <v>30784.686300671445</v>
      </c>
    </row>
    <row r="48" spans="1:21" x14ac:dyDescent="0.25">
      <c r="A48" s="71">
        <v>43840</v>
      </c>
      <c r="B48" s="72" t="s">
        <v>18</v>
      </c>
      <c r="C48" s="132">
        <v>-1.2</v>
      </c>
      <c r="D48" s="25">
        <v>0.77013888888888893</v>
      </c>
      <c r="E48" s="75">
        <f>Effort!F46</f>
        <v>752.68960211836463</v>
      </c>
      <c r="F48" s="76">
        <f>Harvest!F46</f>
        <v>3763.4480105918233</v>
      </c>
      <c r="G48" s="123">
        <f>CPUE!F46</f>
        <v>5</v>
      </c>
      <c r="H48" s="75">
        <f>Effort!H46</f>
        <v>330.62281572129115</v>
      </c>
      <c r="I48" s="76">
        <f>Harvest!H46</f>
        <v>1653.1140786064557</v>
      </c>
      <c r="J48" s="123">
        <f>CPUE!H46</f>
        <v>5</v>
      </c>
      <c r="K48" s="75" t="str">
        <f>Effort!J46</f>
        <v>CLOSED</v>
      </c>
      <c r="L48" s="76" t="str">
        <f>Harvest!J46</f>
        <v>CLOSED</v>
      </c>
      <c r="M48" s="77" t="str">
        <f>CPUE!J46</f>
        <v>CLOSED</v>
      </c>
      <c r="N48" s="75">
        <f>Effort!L46</f>
        <v>386.66668422638497</v>
      </c>
      <c r="O48" s="76">
        <f>Harvest!L46</f>
        <v>880.740780737877</v>
      </c>
      <c r="P48" s="77">
        <f>CPUE!L46</f>
        <v>2.2777777777777781</v>
      </c>
      <c r="Q48" s="75" t="s">
        <v>10</v>
      </c>
      <c r="R48" s="76" t="s">
        <v>10</v>
      </c>
      <c r="S48" s="78" t="s">
        <v>10</v>
      </c>
      <c r="T48" s="75">
        <f t="shared" ref="T48:T58" si="0">SUM(E48+H48+N48)</f>
        <v>1469.9791020660409</v>
      </c>
      <c r="U48" s="76">
        <f t="shared" ref="U48:U58" si="1">SUM(F48+I48+O48)</f>
        <v>6297.3028699361557</v>
      </c>
    </row>
    <row r="49" spans="1:21" x14ac:dyDescent="0.25">
      <c r="A49" s="71">
        <v>43841</v>
      </c>
      <c r="B49" s="72" t="s">
        <v>19</v>
      </c>
      <c r="C49" s="132">
        <v>-1.4</v>
      </c>
      <c r="D49" s="25">
        <v>0.7993055555555556</v>
      </c>
      <c r="E49" s="75">
        <f>Effort!F47</f>
        <v>0</v>
      </c>
      <c r="F49" s="76">
        <f>Harvest!F47</f>
        <v>0</v>
      </c>
      <c r="G49" s="123">
        <f>CPUE!F47</f>
        <v>0</v>
      </c>
      <c r="H49" s="75">
        <f>Effort!H47</f>
        <v>0</v>
      </c>
      <c r="I49" s="76">
        <f>Harvest!H47</f>
        <v>0</v>
      </c>
      <c r="J49" s="123">
        <f>CPUE!H47</f>
        <v>0</v>
      </c>
      <c r="K49" s="75">
        <f>Effort!J47</f>
        <v>0</v>
      </c>
      <c r="L49" s="76">
        <f>Harvest!J47</f>
        <v>0</v>
      </c>
      <c r="M49" s="77">
        <f>CPUE!J47</f>
        <v>0</v>
      </c>
      <c r="N49" s="75" t="str">
        <f>Effort!L47</f>
        <v>CLOSED</v>
      </c>
      <c r="O49" s="76" t="str">
        <f>Harvest!L47</f>
        <v>CLOSED</v>
      </c>
      <c r="P49" s="77" t="str">
        <f>CPUE!L47</f>
        <v>CLOSED</v>
      </c>
      <c r="Q49" s="75" t="s">
        <v>10</v>
      </c>
      <c r="R49" s="76" t="s">
        <v>10</v>
      </c>
      <c r="S49" s="78" t="s">
        <v>10</v>
      </c>
      <c r="T49" s="75">
        <f>SUM(E49+H49+K49)</f>
        <v>0</v>
      </c>
      <c r="U49" s="76">
        <f>SUM(F49+I49+L49)</f>
        <v>0</v>
      </c>
    </row>
    <row r="50" spans="1:21" x14ac:dyDescent="0.25">
      <c r="A50" s="71">
        <v>43842</v>
      </c>
      <c r="B50" s="72" t="s">
        <v>20</v>
      </c>
      <c r="C50" s="132">
        <v>-1.3</v>
      </c>
      <c r="D50" s="25">
        <v>0.82847222222222217</v>
      </c>
      <c r="E50" s="75">
        <f>Effort!F48</f>
        <v>0</v>
      </c>
      <c r="F50" s="76">
        <f>Harvest!F48</f>
        <v>0</v>
      </c>
      <c r="G50" s="123">
        <f>CPUE!F48</f>
        <v>0</v>
      </c>
      <c r="H50" s="75">
        <f>Effort!H48</f>
        <v>0</v>
      </c>
      <c r="I50" s="76">
        <f>Harvest!H48</f>
        <v>0</v>
      </c>
      <c r="J50" s="123">
        <f>CPUE!H48</f>
        <v>0</v>
      </c>
      <c r="K50" s="75" t="str">
        <f>Effort!J48</f>
        <v>CLOSED</v>
      </c>
      <c r="L50" s="76" t="str">
        <f>Harvest!J48</f>
        <v>CLOSED</v>
      </c>
      <c r="M50" s="77" t="str">
        <f>CPUE!J48</f>
        <v>CLOSED</v>
      </c>
      <c r="N50" s="75">
        <f>Effort!L48</f>
        <v>0</v>
      </c>
      <c r="O50" s="76">
        <f>Harvest!L48</f>
        <v>0</v>
      </c>
      <c r="P50" s="77">
        <f>CPUE!L48</f>
        <v>0</v>
      </c>
      <c r="Q50" s="75" t="s">
        <v>10</v>
      </c>
      <c r="R50" s="76" t="s">
        <v>10</v>
      </c>
      <c r="S50" s="78" t="s">
        <v>10</v>
      </c>
      <c r="T50" s="75">
        <f t="shared" si="0"/>
        <v>0</v>
      </c>
      <c r="U50" s="76">
        <f t="shared" si="1"/>
        <v>0</v>
      </c>
    </row>
    <row r="51" spans="1:21" x14ac:dyDescent="0.25">
      <c r="A51" s="71">
        <v>43843</v>
      </c>
      <c r="B51" s="72" t="s">
        <v>21</v>
      </c>
      <c r="C51" s="132">
        <v>-1.2</v>
      </c>
      <c r="D51" s="25">
        <v>0.85833333333333339</v>
      </c>
      <c r="E51" s="75">
        <f>Effort!F49</f>
        <v>50.266806740436877</v>
      </c>
      <c r="F51" s="76">
        <f>Harvest!F49</f>
        <v>754.00210110655314</v>
      </c>
      <c r="G51" s="123">
        <f>CPUE!F49</f>
        <v>15</v>
      </c>
      <c r="H51" s="75">
        <f>Effort!H49</f>
        <v>29.795158260321301</v>
      </c>
      <c r="I51" s="76">
        <f>Harvest!H49</f>
        <v>335.19553042861497</v>
      </c>
      <c r="J51" s="123">
        <f>CPUE!H49</f>
        <v>11.250000000000011</v>
      </c>
      <c r="K51" s="75">
        <f>Effort!J49</f>
        <v>131.62705885288599</v>
      </c>
      <c r="L51" s="76">
        <f>Harvest!J49</f>
        <v>1974.4058827932899</v>
      </c>
      <c r="M51" s="77">
        <f>CPUE!J49</f>
        <v>15</v>
      </c>
      <c r="N51" s="75" t="str">
        <f>Effort!L49</f>
        <v>CLOSED</v>
      </c>
      <c r="O51" s="76" t="str">
        <f>Harvest!L49</f>
        <v>CLOSED</v>
      </c>
      <c r="P51" s="77" t="str">
        <f>CPUE!L49</f>
        <v>CLOSED</v>
      </c>
      <c r="Q51" s="75" t="s">
        <v>10</v>
      </c>
      <c r="R51" s="76" t="s">
        <v>10</v>
      </c>
      <c r="S51" s="78" t="s">
        <v>10</v>
      </c>
      <c r="T51" s="75">
        <f>SUM(E51+H51+K51)</f>
        <v>211.68902385364419</v>
      </c>
      <c r="U51" s="76">
        <f>SUM(F51+I51+L51)</f>
        <v>3063.603514328458</v>
      </c>
    </row>
    <row r="52" spans="1:21" x14ac:dyDescent="0.25">
      <c r="A52" s="71">
        <v>43844</v>
      </c>
      <c r="B52" s="72" t="s">
        <v>22</v>
      </c>
      <c r="C52" s="132">
        <v>-0.5</v>
      </c>
      <c r="D52" s="25">
        <v>0.88888888888888884</v>
      </c>
      <c r="E52" s="75">
        <f>Effort!F50</f>
        <v>42.394430960339513</v>
      </c>
      <c r="F52" s="76">
        <f>Harvest!F50</f>
        <v>635.91646440509271</v>
      </c>
      <c r="G52" s="123">
        <f>CPUE!F50</f>
        <v>15</v>
      </c>
      <c r="H52" s="75">
        <f>Effort!H50</f>
        <v>18.621973912700799</v>
      </c>
      <c r="I52" s="76">
        <f>Harvest!H50</f>
        <v>279.329608690513</v>
      </c>
      <c r="J52" s="123">
        <f>CPUE!H50</f>
        <v>15.000000000000055</v>
      </c>
      <c r="K52" s="75" t="str">
        <f>Effort!J50</f>
        <v>CLOSED</v>
      </c>
      <c r="L52" s="76" t="str">
        <f>Harvest!J50</f>
        <v>CLOSED</v>
      </c>
      <c r="M52" s="77" t="str">
        <f>CPUE!J50</f>
        <v>CLOSED</v>
      </c>
      <c r="N52" s="75">
        <f>Effort!L50</f>
        <v>21.778584429708999</v>
      </c>
      <c r="O52" s="76">
        <f>Harvest!L50</f>
        <v>326.67876644563501</v>
      </c>
      <c r="P52" s="77">
        <f>CPUE!L50</f>
        <v>15</v>
      </c>
      <c r="Q52" s="75" t="s">
        <v>10</v>
      </c>
      <c r="R52" s="76" t="s">
        <v>10</v>
      </c>
      <c r="S52" s="78" t="s">
        <v>10</v>
      </c>
      <c r="T52" s="75">
        <f t="shared" si="0"/>
        <v>82.794989302749315</v>
      </c>
      <c r="U52" s="76">
        <f t="shared" si="1"/>
        <v>1241.9248395412405</v>
      </c>
    </row>
    <row r="53" spans="1:21" x14ac:dyDescent="0.25">
      <c r="A53" s="148" t="s">
        <v>65</v>
      </c>
      <c r="B53" s="148"/>
      <c r="C53" s="148"/>
      <c r="D53" s="149"/>
      <c r="E53" s="81">
        <f>SUM(E46:E52)</f>
        <v>1848.5934762077172</v>
      </c>
      <c r="F53" s="82">
        <f>SUM(F46:F52)</f>
        <v>20202.006121932114</v>
      </c>
      <c r="G53" s="83">
        <f>F53/E53</f>
        <v>10.92831192035545</v>
      </c>
      <c r="H53" s="81">
        <f>SUM(H46:H52)</f>
        <v>1117.2596717850888</v>
      </c>
      <c r="I53" s="82">
        <f>SUM(I46:I52)</f>
        <v>13325.647605688326</v>
      </c>
      <c r="J53" s="83">
        <f>I53/H53</f>
        <v>11.927081897082552</v>
      </c>
      <c r="K53" s="81">
        <f>SUM(K46:K52)</f>
        <v>1159.251400731966</v>
      </c>
      <c r="L53" s="82">
        <f>SUM(L46:L52)</f>
        <v>17388.77101097949</v>
      </c>
      <c r="M53" s="83">
        <f>L53/K53</f>
        <v>15</v>
      </c>
      <c r="N53" s="81">
        <f>SUM(N46:N52)</f>
        <v>663.91973143658095</v>
      </c>
      <c r="O53" s="82">
        <f>SUM(O46:O52)</f>
        <v>4923.4117330815125</v>
      </c>
      <c r="P53" s="83">
        <f>O53/N53</f>
        <v>7.4156731604109698</v>
      </c>
      <c r="Q53" s="81"/>
      <c r="R53" s="82"/>
      <c r="S53" s="83"/>
      <c r="T53" s="81">
        <f>SUM(T46:T52)</f>
        <v>4789.0242801613522</v>
      </c>
      <c r="U53" s="82">
        <f>SUM(U46:U52)</f>
        <v>55839.836471681439</v>
      </c>
    </row>
    <row r="54" spans="1:21" x14ac:dyDescent="0.25">
      <c r="A54" s="71">
        <v>43851</v>
      </c>
      <c r="B54" s="72" t="s">
        <v>22</v>
      </c>
      <c r="C54" s="132">
        <v>-0.1</v>
      </c>
      <c r="D54" s="25">
        <v>0.68263888888888891</v>
      </c>
      <c r="E54" s="75">
        <f>Effort!F52</f>
        <v>398.70989589425676</v>
      </c>
      <c r="F54" s="76">
        <f>Harvest!F52</f>
        <v>4425.6798444262495</v>
      </c>
      <c r="G54" s="123">
        <f>CPUE!F52</f>
        <v>11.1</v>
      </c>
      <c r="H54" s="75">
        <f>Effort!H52</f>
        <v>297.28274476541498</v>
      </c>
      <c r="I54" s="76">
        <f>Harvest!H52</f>
        <v>686.03710330480396</v>
      </c>
      <c r="J54" s="123">
        <f>CPUE!H52</f>
        <v>2.3076923076923084</v>
      </c>
      <c r="K54" s="75" t="str">
        <f>Effort!J52</f>
        <v>CLOSED</v>
      </c>
      <c r="L54" s="76" t="str">
        <f>Harvest!J52</f>
        <v>CLOSED</v>
      </c>
      <c r="M54" s="77" t="str">
        <f>CPUE!J52</f>
        <v>CLOSED</v>
      </c>
      <c r="N54" s="75">
        <f>Effort!L52</f>
        <v>246.35037482404101</v>
      </c>
      <c r="O54" s="76">
        <f>Harvest!L52</f>
        <v>1524.2929442237601</v>
      </c>
      <c r="P54" s="77">
        <f>CPUE!L52</f>
        <v>6.1875000000000258</v>
      </c>
      <c r="Q54" s="75" t="s">
        <v>10</v>
      </c>
      <c r="R54" s="76" t="s">
        <v>10</v>
      </c>
      <c r="S54" s="78" t="s">
        <v>10</v>
      </c>
      <c r="T54" s="75">
        <f t="shared" si="0"/>
        <v>942.34301548371263</v>
      </c>
      <c r="U54" s="76">
        <f t="shared" si="1"/>
        <v>6636.0098919548136</v>
      </c>
    </row>
    <row r="55" spans="1:21" x14ac:dyDescent="0.25">
      <c r="A55" s="71">
        <v>43852</v>
      </c>
      <c r="B55" s="72" t="s">
        <v>23</v>
      </c>
      <c r="C55" s="132">
        <v>-0.5</v>
      </c>
      <c r="D55" s="25">
        <v>0.71527777777777779</v>
      </c>
      <c r="E55" s="75">
        <f>Effort!F53</f>
        <v>274.26621691410969</v>
      </c>
      <c r="F55" s="76">
        <f>Harvest!F53</f>
        <v>1371.3310845705485</v>
      </c>
      <c r="G55" s="123">
        <f>CPUE!F53</f>
        <v>5</v>
      </c>
      <c r="H55" s="75">
        <f>Effort!H53</f>
        <v>141.59540919027199</v>
      </c>
      <c r="I55" s="76">
        <f>Harvest!H53</f>
        <v>707.97704595135997</v>
      </c>
      <c r="J55" s="123">
        <f>CPUE!H53</f>
        <v>5</v>
      </c>
      <c r="K55" s="75">
        <f>Effort!J53</f>
        <v>278.08472334003801</v>
      </c>
      <c r="L55" s="76">
        <f>Harvest!J53</f>
        <v>1243.20229257899</v>
      </c>
      <c r="M55" s="77">
        <f>CPUE!J53</f>
        <v>4.4705882352941053</v>
      </c>
      <c r="N55" s="75" t="str">
        <f>Effort!L53</f>
        <v>CLOSED</v>
      </c>
      <c r="O55" s="76" t="str">
        <f>Harvest!L53</f>
        <v>CLOSED</v>
      </c>
      <c r="P55" s="77" t="str">
        <f>CPUE!L53</f>
        <v>CLOSED</v>
      </c>
      <c r="Q55" s="75" t="s">
        <v>10</v>
      </c>
      <c r="R55" s="76" t="s">
        <v>10</v>
      </c>
      <c r="S55" s="78" t="s">
        <v>10</v>
      </c>
      <c r="T55" s="75">
        <f>SUM(E55+H55+K55)</f>
        <v>693.94634944441964</v>
      </c>
      <c r="U55" s="76">
        <f>SUM(F55+I55+L55)</f>
        <v>3322.5104231008982</v>
      </c>
    </row>
    <row r="56" spans="1:21" x14ac:dyDescent="0.25">
      <c r="A56" s="71">
        <v>43853</v>
      </c>
      <c r="B56" s="72" t="s">
        <v>24</v>
      </c>
      <c r="C56" s="132">
        <v>-0.6</v>
      </c>
      <c r="D56" s="25">
        <v>0.74513888888888891</v>
      </c>
      <c r="E56" s="75">
        <f>Effort!F54</f>
        <v>89.801142623586784</v>
      </c>
      <c r="F56" s="76">
        <f>Harvest!F54</f>
        <v>89.801142623586784</v>
      </c>
      <c r="G56" s="123">
        <f>CPUE!F54</f>
        <v>1</v>
      </c>
      <c r="H56" s="75">
        <f>Effort!H54</f>
        <v>55.143748773495048</v>
      </c>
      <c r="I56" s="76">
        <f>Harvest!H54</f>
        <v>55.143748773495048</v>
      </c>
      <c r="J56" s="123">
        <f>CPUE!H54</f>
        <v>1</v>
      </c>
      <c r="K56" s="75" t="str">
        <f>Effort!J54</f>
        <v>CLOSED</v>
      </c>
      <c r="L56" s="76" t="str">
        <f>Harvest!J54</f>
        <v>CLOSED</v>
      </c>
      <c r="M56" s="77" t="str">
        <f>CPUE!J54</f>
        <v>CLOSED</v>
      </c>
      <c r="N56" s="75">
        <f>Effort!L54</f>
        <v>64.761907702941301</v>
      </c>
      <c r="O56" s="76">
        <f>Harvest!L54</f>
        <v>30.476191860207699</v>
      </c>
      <c r="P56" s="77">
        <f>CPUE!L54</f>
        <v>0.47058823529411808</v>
      </c>
      <c r="Q56" s="75" t="s">
        <v>10</v>
      </c>
      <c r="R56" s="76" t="s">
        <v>10</v>
      </c>
      <c r="S56" s="78" t="s">
        <v>10</v>
      </c>
      <c r="T56" s="75">
        <f t="shared" si="0"/>
        <v>209.70679910002315</v>
      </c>
      <c r="U56" s="76">
        <f t="shared" si="1"/>
        <v>175.42108325728955</v>
      </c>
    </row>
    <row r="57" spans="1:21" x14ac:dyDescent="0.25">
      <c r="A57" s="71">
        <v>43854</v>
      </c>
      <c r="B57" s="72" t="s">
        <v>18</v>
      </c>
      <c r="C57" s="132">
        <v>-0.6</v>
      </c>
      <c r="D57" s="25">
        <v>0.77222222222222225</v>
      </c>
      <c r="E57" s="75">
        <f>Effort!F55</f>
        <v>678.41049337451057</v>
      </c>
      <c r="F57" s="76">
        <f>Harvest!F55</f>
        <v>8140.9259204941263</v>
      </c>
      <c r="G57" s="123">
        <f>CPUE!F55</f>
        <v>12</v>
      </c>
      <c r="H57" s="75">
        <f>Effort!H55</f>
        <v>350.24295915533997</v>
      </c>
      <c r="I57" s="76">
        <f>Harvest!H55</f>
        <v>758.85974483657003</v>
      </c>
      <c r="J57" s="123">
        <f>CPUE!H55</f>
        <v>2.166666666666667</v>
      </c>
      <c r="K57" s="75">
        <f>Effort!J55</f>
        <v>687.855750094477</v>
      </c>
      <c r="L57" s="76">
        <f>Harvest!J55</f>
        <v>5645.1609835339796</v>
      </c>
      <c r="M57" s="77">
        <f>CPUE!J55</f>
        <v>8.2068965517241317</v>
      </c>
      <c r="N57" s="75" t="str">
        <f>Effort!L55</f>
        <v>CLOSED</v>
      </c>
      <c r="O57" s="76" t="str">
        <f>Harvest!L55</f>
        <v>CLOSED</v>
      </c>
      <c r="P57" s="77" t="str">
        <f>CPUE!L55</f>
        <v>CLOSED</v>
      </c>
      <c r="Q57" s="75" t="s">
        <v>10</v>
      </c>
      <c r="R57" s="76" t="s">
        <v>10</v>
      </c>
      <c r="S57" s="78" t="s">
        <v>10</v>
      </c>
      <c r="T57" s="75">
        <f>SUM(E57+H57+K57)</f>
        <v>1716.5092026243274</v>
      </c>
      <c r="U57" s="76">
        <f>SUM(F57+I57+L57)</f>
        <v>14544.946648864676</v>
      </c>
    </row>
    <row r="58" spans="1:21" x14ac:dyDescent="0.25">
      <c r="A58" s="71">
        <v>43855</v>
      </c>
      <c r="B58" s="72" t="s">
        <v>19</v>
      </c>
      <c r="C58" s="132">
        <v>-0.5</v>
      </c>
      <c r="D58" s="25">
        <v>0.79722222222222217</v>
      </c>
      <c r="E58" s="75">
        <f>Effort!F56</f>
        <v>1409.3855361303954</v>
      </c>
      <c r="F58" s="76">
        <f>Harvest!F56</f>
        <v>17899.196308856019</v>
      </c>
      <c r="G58" s="123">
        <f>CPUE!F56</f>
        <v>12.7</v>
      </c>
      <c r="H58" s="75">
        <f>Effort!H56</f>
        <v>865.45448820334798</v>
      </c>
      <c r="I58" s="76">
        <f>Harvest!H56</f>
        <v>3417.43567136707</v>
      </c>
      <c r="J58" s="123">
        <f>CPUE!H56</f>
        <v>3.9487179487179529</v>
      </c>
      <c r="K58" s="75" t="str">
        <f>Effort!J56</f>
        <v>CLOSED</v>
      </c>
      <c r="L58" s="76" t="str">
        <f>Harvest!J56</f>
        <v>CLOSED</v>
      </c>
      <c r="M58" s="77" t="str">
        <f>CPUE!J56</f>
        <v>CLOSED</v>
      </c>
      <c r="N58" s="75">
        <f>Effort!L56</f>
        <v>1016.40684452453</v>
      </c>
      <c r="O58" s="76">
        <f>Harvest!L56</f>
        <v>8554.7576080814797</v>
      </c>
      <c r="P58" s="77">
        <f>CPUE!L56</f>
        <v>8.4166666666666856</v>
      </c>
      <c r="Q58" s="75" t="s">
        <v>10</v>
      </c>
      <c r="R58" s="76" t="s">
        <v>10</v>
      </c>
      <c r="S58" s="78" t="s">
        <v>10</v>
      </c>
      <c r="T58" s="75">
        <f t="shared" si="0"/>
        <v>3291.246868858273</v>
      </c>
      <c r="U58" s="76">
        <f t="shared" si="1"/>
        <v>29871.38958830457</v>
      </c>
    </row>
    <row r="59" spans="1:21" x14ac:dyDescent="0.25">
      <c r="A59" s="71">
        <v>43856</v>
      </c>
      <c r="B59" s="72" t="s">
        <v>20</v>
      </c>
      <c r="C59" s="132">
        <v>-0.3</v>
      </c>
      <c r="D59" s="25">
        <v>0.8208333333333333</v>
      </c>
      <c r="E59" s="75">
        <f>Effort!F57</f>
        <v>155.93408867809589</v>
      </c>
      <c r="F59" s="76">
        <f>Harvest!F57</f>
        <v>1559.340886780959</v>
      </c>
      <c r="G59" s="123">
        <f>CPUE!F57</f>
        <v>10</v>
      </c>
      <c r="H59" s="75">
        <f>Effort!H57</f>
        <v>80.504085926126535</v>
      </c>
      <c r="I59" s="76">
        <f>Harvest!H57</f>
        <v>805.04085926126538</v>
      </c>
      <c r="J59" s="123">
        <f>CPUE!H57</f>
        <v>10</v>
      </c>
      <c r="K59" s="75">
        <f>Effort!J57</f>
        <v>158.105100938877</v>
      </c>
      <c r="L59" s="76">
        <f>Harvest!J57</f>
        <v>1488.3687088383899</v>
      </c>
      <c r="M59" s="77">
        <f>CPUE!J57</f>
        <v>9.4137931034482509</v>
      </c>
      <c r="N59" s="75" t="str">
        <f>Effort!L57</f>
        <v>CLOSED</v>
      </c>
      <c r="O59" s="76" t="str">
        <f>Harvest!L57</f>
        <v>CLOSED</v>
      </c>
      <c r="P59" s="77" t="str">
        <f>CPUE!L57</f>
        <v>CLOSED</v>
      </c>
      <c r="Q59" s="75" t="s">
        <v>10</v>
      </c>
      <c r="R59" s="76" t="s">
        <v>10</v>
      </c>
      <c r="S59" s="78" t="s">
        <v>10</v>
      </c>
      <c r="T59" s="75">
        <f>SUM(E59+H59+K59)</f>
        <v>394.54327554309941</v>
      </c>
      <c r="U59" s="76">
        <f>SUM(F59+I59+L59)</f>
        <v>3852.7504548806141</v>
      </c>
    </row>
    <row r="60" spans="1:21" x14ac:dyDescent="0.25">
      <c r="A60" s="148" t="s">
        <v>65</v>
      </c>
      <c r="B60" s="148"/>
      <c r="C60" s="148"/>
      <c r="D60" s="149"/>
      <c r="E60" s="81">
        <f>SUM(E54:E59)</f>
        <v>3006.5073736149552</v>
      </c>
      <c r="F60" s="82">
        <f>SUM(F54:F59)</f>
        <v>33486.275187751489</v>
      </c>
      <c r="G60" s="83">
        <f>F60/E60</f>
        <v>11.137932167280322</v>
      </c>
      <c r="H60" s="81">
        <f>SUM(H54:H59)</f>
        <v>1790.2234360139962</v>
      </c>
      <c r="I60" s="82">
        <f>SUM(I54:I59)</f>
        <v>6430.4941734945642</v>
      </c>
      <c r="J60" s="83">
        <f>I60/H60</f>
        <v>3.5920064747964173</v>
      </c>
      <c r="K60" s="81">
        <f>SUM(K54:K59)</f>
        <v>1124.0455743733921</v>
      </c>
      <c r="L60" s="82">
        <f>SUM(L54:L59)</f>
        <v>8376.7319849513588</v>
      </c>
      <c r="M60" s="83">
        <f>L60/K60</f>
        <v>7.4523063618848662</v>
      </c>
      <c r="N60" s="81">
        <f>SUM(N54:N59)</f>
        <v>1327.5191270515124</v>
      </c>
      <c r="O60" s="82">
        <f>SUM(O54:O59)</f>
        <v>10109.526744165447</v>
      </c>
      <c r="P60" s="83">
        <f>O60/N60</f>
        <v>7.6153529829880648</v>
      </c>
      <c r="Q60" s="81"/>
      <c r="R60" s="82"/>
      <c r="S60" s="83"/>
      <c r="T60" s="81">
        <f>SUM(T54:T59)</f>
        <v>7248.2955110538551</v>
      </c>
      <c r="U60" s="82">
        <f>SUM(U54:U59)</f>
        <v>58403.028090362866</v>
      </c>
    </row>
    <row r="61" spans="1:21" x14ac:dyDescent="0.25">
      <c r="A61" s="71">
        <v>43867</v>
      </c>
      <c r="B61" s="72" t="s">
        <v>24</v>
      </c>
      <c r="C61" s="132">
        <v>-0.3</v>
      </c>
      <c r="D61" s="25">
        <v>0.69444444444444453</v>
      </c>
      <c r="E61" s="75">
        <f>Effort!F59</f>
        <v>426.00803005631042</v>
      </c>
      <c r="F61" s="76">
        <f>Harvest!F59</f>
        <v>5751.1084057601911</v>
      </c>
      <c r="G61" s="123">
        <f>CPUE!F59</f>
        <v>13.5</v>
      </c>
      <c r="H61" s="75">
        <f>Effort!H59</f>
        <v>266.70758539179263</v>
      </c>
      <c r="I61" s="76">
        <f>Harvest!H59</f>
        <v>3467.1986100933041</v>
      </c>
      <c r="J61" s="123">
        <f>CPUE!H59</f>
        <v>13</v>
      </c>
      <c r="K61" s="75" t="str">
        <f>Effort!J59</f>
        <v>CLOSED</v>
      </c>
      <c r="L61" s="76" t="str">
        <f>Harvest!J59</f>
        <v>CLOSED</v>
      </c>
      <c r="M61" s="77" t="str">
        <f>CPUE!J59</f>
        <v>CLOSED</v>
      </c>
      <c r="N61" s="75">
        <f>Effort!L59</f>
        <v>225.88236319918599</v>
      </c>
      <c r="O61" s="76">
        <f>Harvest!L59</f>
        <v>2871.93290353251</v>
      </c>
      <c r="P61" s="77">
        <f>CPUE!L59</f>
        <v>12.714285714285724</v>
      </c>
      <c r="Q61" s="75" t="s">
        <v>10</v>
      </c>
      <c r="R61" s="76" t="s">
        <v>10</v>
      </c>
      <c r="S61" s="78" t="s">
        <v>10</v>
      </c>
      <c r="T61" s="75">
        <f t="shared" ref="T61:U67" si="2">SUM(E61+H61+N61)</f>
        <v>918.5979786472891</v>
      </c>
      <c r="U61" s="76">
        <f t="shared" si="2"/>
        <v>12090.239919386006</v>
      </c>
    </row>
    <row r="62" spans="1:21" x14ac:dyDescent="0.25">
      <c r="A62" s="71">
        <v>43868</v>
      </c>
      <c r="B62" s="72" t="s">
        <v>18</v>
      </c>
      <c r="C62" s="132">
        <v>-0.9</v>
      </c>
      <c r="D62" s="25">
        <v>0.72638888888888886</v>
      </c>
      <c r="E62" s="75">
        <f>Effort!F60</f>
        <v>1292.4206697841582</v>
      </c>
      <c r="F62" s="76">
        <f>Harvest!F60</f>
        <v>17469.962157082358</v>
      </c>
      <c r="G62" s="123">
        <f>CPUE!F60</f>
        <v>13.517241379310301</v>
      </c>
      <c r="H62" s="75">
        <f>Effort!H60</f>
        <v>494.67003800918457</v>
      </c>
      <c r="I62" s="76">
        <f>Harvest!H60</f>
        <v>6925.3805321285836</v>
      </c>
      <c r="J62" s="123">
        <f>CPUE!H60</f>
        <v>14</v>
      </c>
      <c r="K62" s="75">
        <f>Effort!J60</f>
        <v>883.55452970237798</v>
      </c>
      <c r="L62" s="76">
        <f>Harvest!J60</f>
        <v>12744.6047314646</v>
      </c>
      <c r="M62" s="77">
        <f>CPUE!J60</f>
        <v>14.42424242424242</v>
      </c>
      <c r="N62" s="75" t="str">
        <f>Effort!L60</f>
        <v>CLOSED</v>
      </c>
      <c r="O62" s="76" t="str">
        <f>Harvest!L60</f>
        <v>CLOSED</v>
      </c>
      <c r="P62" s="77" t="str">
        <f>CPUE!L60</f>
        <v>CLOSED</v>
      </c>
      <c r="Q62" s="75" t="s">
        <v>10</v>
      </c>
      <c r="R62" s="76" t="s">
        <v>10</v>
      </c>
      <c r="S62" s="78" t="s">
        <v>10</v>
      </c>
      <c r="T62" s="75">
        <f>SUM(E62+H62+K62)</f>
        <v>2670.6452374957207</v>
      </c>
      <c r="U62" s="76">
        <f>SUM(F62+I62+L62)</f>
        <v>37139.94742067554</v>
      </c>
    </row>
    <row r="63" spans="1:21" x14ac:dyDescent="0.25">
      <c r="A63" s="71">
        <v>43869</v>
      </c>
      <c r="B63" s="72" t="s">
        <v>19</v>
      </c>
      <c r="C63" s="132">
        <v>-1.3</v>
      </c>
      <c r="D63" s="25">
        <v>0.75624999999999998</v>
      </c>
      <c r="E63" s="75">
        <f>Effort!F61</f>
        <v>7496.8358357944808</v>
      </c>
      <c r="F63" s="76">
        <f>Harvest!F61</f>
        <v>101207.28378322549</v>
      </c>
      <c r="G63" s="123">
        <f>CPUE!F61</f>
        <v>13.5</v>
      </c>
      <c r="H63" s="75">
        <f>Effort!H61</f>
        <v>4693.4866077034158</v>
      </c>
      <c r="I63" s="76">
        <f>Harvest!H61</f>
        <v>63362.069203996114</v>
      </c>
      <c r="J63" s="123">
        <f>CPUE!H61</f>
        <v>13.5</v>
      </c>
      <c r="K63" s="75" t="str">
        <f>Effort!J61</f>
        <v>CLOSED</v>
      </c>
      <c r="L63" s="76" t="str">
        <f>Harvest!J61</f>
        <v>CLOSED</v>
      </c>
      <c r="M63" s="77" t="str">
        <f>CPUE!J61</f>
        <v>CLOSED</v>
      </c>
      <c r="N63" s="75">
        <f>Effort!L61</f>
        <v>3975.04947238146</v>
      </c>
      <c r="O63" s="76">
        <f>Harvest!L61</f>
        <v>53317.511401290401</v>
      </c>
      <c r="P63" s="77">
        <f>CPUE!L61</f>
        <v>13.413043478260857</v>
      </c>
      <c r="Q63" s="75" t="s">
        <v>10</v>
      </c>
      <c r="R63" s="76" t="s">
        <v>10</v>
      </c>
      <c r="S63" s="78" t="s">
        <v>10</v>
      </c>
      <c r="T63" s="75">
        <f t="shared" si="2"/>
        <v>16165.371915879357</v>
      </c>
      <c r="U63" s="76">
        <f t="shared" si="2"/>
        <v>217886.86438851201</v>
      </c>
    </row>
    <row r="64" spans="1:21" x14ac:dyDescent="0.25">
      <c r="A64" s="71">
        <v>43870</v>
      </c>
      <c r="B64" s="72" t="s">
        <v>20</v>
      </c>
      <c r="C64" s="132">
        <v>-1.4</v>
      </c>
      <c r="D64" s="25">
        <v>0.78541666666666676</v>
      </c>
      <c r="E64" s="75">
        <f>Effort!F62</f>
        <v>4574.289040294957</v>
      </c>
      <c r="F64" s="76">
        <f>Harvest!F62</f>
        <v>64040.046564129399</v>
      </c>
      <c r="G64" s="123">
        <f>CPUE!F62</f>
        <v>14</v>
      </c>
      <c r="H64" s="75">
        <f>Effort!H62</f>
        <v>1750.7950672172378</v>
      </c>
      <c r="I64" s="76">
        <f>Harvest!H62</f>
        <v>24511.130941041331</v>
      </c>
      <c r="J64" s="123">
        <f>CPUE!H62</f>
        <v>14</v>
      </c>
      <c r="K64" s="75">
        <f>Effort!J62</f>
        <v>3127.1813397997798</v>
      </c>
      <c r="L64" s="76">
        <f>Harvest!J62</f>
        <v>45677.353668223099</v>
      </c>
      <c r="M64" s="77">
        <f>CPUE!J62</f>
        <v>14.606557377049208</v>
      </c>
      <c r="N64" s="75" t="str">
        <f>Effort!L62</f>
        <v>CLOSED</v>
      </c>
      <c r="O64" s="76" t="str">
        <f>Harvest!L62</f>
        <v>CLOSED</v>
      </c>
      <c r="P64" s="77" t="str">
        <f>CPUE!L62</f>
        <v>CLOSED</v>
      </c>
      <c r="Q64" s="75" t="s">
        <v>10</v>
      </c>
      <c r="R64" s="76" t="s">
        <v>10</v>
      </c>
      <c r="S64" s="78" t="s">
        <v>10</v>
      </c>
      <c r="T64" s="75">
        <f>SUM(E64+H64+K64)</f>
        <v>9452.2654473119746</v>
      </c>
      <c r="U64" s="76">
        <f>SUM(F64+I64+L64)</f>
        <v>134228.53117339383</v>
      </c>
    </row>
    <row r="65" spans="1:21" x14ac:dyDescent="0.25">
      <c r="A65" s="71">
        <v>43871</v>
      </c>
      <c r="B65" s="72" t="s">
        <v>21</v>
      </c>
      <c r="C65" s="132">
        <v>-1.3</v>
      </c>
      <c r="D65" s="25">
        <v>0.81388888888888899</v>
      </c>
      <c r="E65" s="75">
        <f>Effort!F63</f>
        <v>1371.6167032116887</v>
      </c>
      <c r="F65" s="76">
        <f>Harvest!F63</f>
        <v>13716.167032116886</v>
      </c>
      <c r="G65" s="123">
        <f>CPUE!F63</f>
        <v>10</v>
      </c>
      <c r="H65" s="75">
        <f>Effort!H63</f>
        <v>858.71756677517499</v>
      </c>
      <c r="I65" s="76">
        <f>Harvest!H63</f>
        <v>8587.1756677517496</v>
      </c>
      <c r="J65" s="123">
        <f>CPUE!H63</f>
        <v>10</v>
      </c>
      <c r="K65" s="75" t="str">
        <f>Effort!J63</f>
        <v>CLOSED</v>
      </c>
      <c r="L65" s="76" t="str">
        <f>Harvest!J63</f>
        <v>CLOSED</v>
      </c>
      <c r="M65" s="77" t="str">
        <f>CPUE!J63</f>
        <v>CLOSED</v>
      </c>
      <c r="N65" s="75">
        <f>Effort!L63</f>
        <v>727.27272836612894</v>
      </c>
      <c r="O65" s="76">
        <f>Harvest!L63</f>
        <v>8669.09092212426</v>
      </c>
      <c r="P65" s="77">
        <f>CPUE!L63</f>
        <v>11.920000000000003</v>
      </c>
      <c r="Q65" s="75" t="s">
        <v>10</v>
      </c>
      <c r="R65" s="76" t="s">
        <v>10</v>
      </c>
      <c r="S65" s="78" t="s">
        <v>10</v>
      </c>
      <c r="T65" s="75">
        <f t="shared" si="2"/>
        <v>2957.6069983529924</v>
      </c>
      <c r="U65" s="76">
        <f t="shared" si="2"/>
        <v>30972.433621992895</v>
      </c>
    </row>
    <row r="66" spans="1:21" x14ac:dyDescent="0.25">
      <c r="A66" s="71">
        <v>43872</v>
      </c>
      <c r="B66" s="72" t="s">
        <v>22</v>
      </c>
      <c r="C66" s="132">
        <v>-0.8</v>
      </c>
      <c r="D66" s="25">
        <v>0.84236111111111101</v>
      </c>
      <c r="E66" s="75">
        <f>Effort!F64</f>
        <v>72.706397272072877</v>
      </c>
      <c r="F66" s="76">
        <f>Harvest!F64</f>
        <v>1090.595959081093</v>
      </c>
      <c r="G66" s="123">
        <f>CPUE!F64</f>
        <v>15</v>
      </c>
      <c r="H66" s="75">
        <f>Effort!H64</f>
        <v>168.253975894897</v>
      </c>
      <c r="I66" s="76">
        <f>Harvest!H64</f>
        <v>1648.8889637699899</v>
      </c>
      <c r="J66" s="123">
        <f>CPUE!H64</f>
        <v>9.7999999999999954</v>
      </c>
      <c r="K66" s="75">
        <f>Effort!J64</f>
        <v>300.52671704286797</v>
      </c>
      <c r="L66" s="76">
        <f>Harvest!J64</f>
        <v>4507.9007556430097</v>
      </c>
      <c r="M66" s="77">
        <f>CPUE!J64</f>
        <v>14.999999999999966</v>
      </c>
      <c r="N66" s="75" t="str">
        <f>Effort!L64</f>
        <v>CLOSED</v>
      </c>
      <c r="O66" s="76" t="str">
        <f>Harvest!L64</f>
        <v>CLOSED</v>
      </c>
      <c r="P66" s="77" t="str">
        <f>CPUE!L64</f>
        <v>CLOSED</v>
      </c>
      <c r="Q66" s="75" t="s">
        <v>10</v>
      </c>
      <c r="R66" s="76" t="s">
        <v>10</v>
      </c>
      <c r="S66" s="78" t="s">
        <v>10</v>
      </c>
      <c r="T66" s="75">
        <f>SUM(E66+H66+K66)</f>
        <v>541.48709020983779</v>
      </c>
      <c r="U66" s="76">
        <f>SUM(F66+I66+L66)</f>
        <v>7247.3856784940926</v>
      </c>
    </row>
    <row r="67" spans="1:21" x14ac:dyDescent="0.25">
      <c r="A67" s="71">
        <v>43873</v>
      </c>
      <c r="B67" s="72" t="s">
        <v>23</v>
      </c>
      <c r="C67" s="132">
        <v>-0.1</v>
      </c>
      <c r="D67" s="25">
        <v>0.87152777777777779</v>
      </c>
      <c r="E67" s="75">
        <f>Effort!F65</f>
        <v>192.81512866097228</v>
      </c>
      <c r="F67" s="76">
        <f>Harvest!F65</f>
        <v>1928.1512866097228</v>
      </c>
      <c r="G67" s="123">
        <f>CPUE!F65</f>
        <v>10</v>
      </c>
      <c r="H67" s="75">
        <f>Effort!H65</f>
        <v>120.714291196291</v>
      </c>
      <c r="I67" s="76">
        <f>Harvest!H65</f>
        <v>1383.57149140365</v>
      </c>
      <c r="J67" s="123">
        <f>CPUE!H65</f>
        <v>11.46153846153852</v>
      </c>
      <c r="K67" s="75" t="str">
        <f>Effort!J65</f>
        <v>CLOSED</v>
      </c>
      <c r="L67" s="76" t="str">
        <f>Harvest!J65</f>
        <v>CLOSED</v>
      </c>
      <c r="M67" s="77" t="str">
        <f>CPUE!J65</f>
        <v>CLOSED</v>
      </c>
      <c r="N67" s="75">
        <f>Effort!L65</f>
        <v>102.236422437245</v>
      </c>
      <c r="O67" s="76">
        <f>Harvest!L65</f>
        <v>869.00959071658303</v>
      </c>
      <c r="P67" s="77">
        <f>CPUE!L65</f>
        <v>8.5000000000000053</v>
      </c>
      <c r="Q67" s="75" t="s">
        <v>10</v>
      </c>
      <c r="R67" s="76" t="s">
        <v>10</v>
      </c>
      <c r="S67" s="78" t="s">
        <v>10</v>
      </c>
      <c r="T67" s="75">
        <f t="shared" si="2"/>
        <v>415.76584229450827</v>
      </c>
      <c r="U67" s="76">
        <f t="shared" si="2"/>
        <v>4180.7323687299559</v>
      </c>
    </row>
    <row r="68" spans="1:21" x14ac:dyDescent="0.25">
      <c r="A68" s="148" t="s">
        <v>65</v>
      </c>
      <c r="B68" s="148"/>
      <c r="C68" s="148"/>
      <c r="D68" s="149"/>
      <c r="E68" s="81">
        <f>SUM(E61:E67)</f>
        <v>15426.691805074639</v>
      </c>
      <c r="F68" s="82">
        <f>SUM(F61:F67)</f>
        <v>205203.31518800513</v>
      </c>
      <c r="G68" s="83">
        <f>F68/E68</f>
        <v>13.301835401968885</v>
      </c>
      <c r="H68" s="81">
        <f>SUM(H61:H67)</f>
        <v>8353.3451321879947</v>
      </c>
      <c r="I68" s="82">
        <f>SUM(I61:I67)</f>
        <v>109885.41541018472</v>
      </c>
      <c r="J68" s="83">
        <f>I68/H68</f>
        <v>13.15466003993569</v>
      </c>
      <c r="K68" s="81">
        <f>SUM(K61:K67)</f>
        <v>4311.2625865450254</v>
      </c>
      <c r="L68" s="82">
        <f>SUM(L61:L67)</f>
        <v>62929.859155330705</v>
      </c>
      <c r="M68" s="83">
        <f>L68/K68</f>
        <v>14.596619410686754</v>
      </c>
      <c r="N68" s="81">
        <f>SUM(N61:N67)</f>
        <v>5030.4409863840201</v>
      </c>
      <c r="O68" s="82">
        <f>SUM(O61:O67)</f>
        <v>65727.544817663758</v>
      </c>
      <c r="P68" s="83">
        <f>O68/N68</f>
        <v>13.065960816471085</v>
      </c>
      <c r="Q68" s="81"/>
      <c r="R68" s="82"/>
      <c r="S68" s="83"/>
      <c r="T68" s="81">
        <f>SUM(T61:T67)</f>
        <v>33121.740510191681</v>
      </c>
      <c r="U68" s="82">
        <f>SUM(U61:U67)</f>
        <v>443746.13457118435</v>
      </c>
    </row>
    <row r="69" spans="1:21" x14ac:dyDescent="0.25">
      <c r="A69" s="71">
        <v>43881</v>
      </c>
      <c r="B69" s="72" t="s">
        <v>24</v>
      </c>
      <c r="C69" s="132">
        <v>0</v>
      </c>
      <c r="D69" s="25">
        <v>0.70416666666666661</v>
      </c>
      <c r="E69" s="75">
        <f>Effort!F67</f>
        <v>1431.3495894722835</v>
      </c>
      <c r="F69" s="76">
        <f>Harvest!F67</f>
        <v>21470.243842084252</v>
      </c>
      <c r="G69" s="123">
        <f>CPUE!F67</f>
        <v>15</v>
      </c>
      <c r="H69" s="75">
        <f>Effort!H67</f>
        <v>1303.5753217486699</v>
      </c>
      <c r="I69" s="76">
        <f>Harvest!H67</f>
        <v>19553.629826230099</v>
      </c>
      <c r="J69" s="123">
        <f>CPUE!H67</f>
        <v>15.000000000000039</v>
      </c>
      <c r="K69" s="75">
        <f>Effort!J67</f>
        <v>1922.1650422361399</v>
      </c>
      <c r="L69" s="76">
        <f>Harvest!J67</f>
        <v>28747.0460761094</v>
      </c>
      <c r="M69" s="77">
        <f>CPUE!J67</f>
        <v>14.955555555555565</v>
      </c>
      <c r="N69" s="75" t="str">
        <f>Effort!L67</f>
        <v>CLOSED</v>
      </c>
      <c r="O69" s="76" t="str">
        <f>Harvest!L67</f>
        <v>CLOSED</v>
      </c>
      <c r="P69" s="77" t="str">
        <f>CPUE!L67</f>
        <v>CLOSED</v>
      </c>
      <c r="Q69" s="75" t="s">
        <v>10</v>
      </c>
      <c r="R69" s="76" t="s">
        <v>10</v>
      </c>
      <c r="S69" s="78" t="s">
        <v>10</v>
      </c>
      <c r="T69" s="75">
        <f>SUM(E69+H69+K69)</f>
        <v>4657.0899534570935</v>
      </c>
      <c r="U69" s="76">
        <f>SUM(F69+I69+L69)</f>
        <v>69770.919744423751</v>
      </c>
    </row>
    <row r="70" spans="1:21" x14ac:dyDescent="0.25">
      <c r="A70" s="71">
        <v>43882</v>
      </c>
      <c r="B70" s="72" t="s">
        <v>18</v>
      </c>
      <c r="C70" s="132">
        <v>-0.1</v>
      </c>
      <c r="D70" s="25">
        <v>0.73263888888888884</v>
      </c>
      <c r="E70" s="75">
        <f>Effort!F68</f>
        <v>1886.0757088001578</v>
      </c>
      <c r="F70" s="76">
        <f>Harvest!F68</f>
        <v>28291.135632002366</v>
      </c>
      <c r="G70" s="123">
        <f>CPUE!F68</f>
        <v>15</v>
      </c>
      <c r="H70" s="75">
        <f>Effort!H68</f>
        <v>1355.6769605423101</v>
      </c>
      <c r="I70" s="76">
        <f>Harvest!H68</f>
        <v>20335.1544081346</v>
      </c>
      <c r="J70" s="123">
        <f>CPUE!H68</f>
        <v>14.999999999999963</v>
      </c>
      <c r="K70" s="75" t="str">
        <f>Effort!J68</f>
        <v>CLOSED</v>
      </c>
      <c r="L70" s="76" t="str">
        <f>Harvest!J68</f>
        <v>CLOSED</v>
      </c>
      <c r="M70" s="77" t="str">
        <f>CPUE!J68</f>
        <v>CLOSED</v>
      </c>
      <c r="N70" s="75">
        <f>Effort!L68</f>
        <v>1836.0156719182301</v>
      </c>
      <c r="O70" s="76">
        <f>Harvest!L68</f>
        <v>26877.229419469601</v>
      </c>
      <c r="P70" s="77">
        <f>CPUE!L68</f>
        <v>14.638888888888864</v>
      </c>
      <c r="Q70" s="75" t="s">
        <v>10</v>
      </c>
      <c r="R70" s="76" t="s">
        <v>10</v>
      </c>
      <c r="S70" s="78" t="s">
        <v>10</v>
      </c>
      <c r="T70" s="75">
        <f>SUM(E70+H70+N70)</f>
        <v>5077.7683412606984</v>
      </c>
      <c r="U70" s="76">
        <f>SUM(F70+I70+O70)</f>
        <v>75503.51945960657</v>
      </c>
    </row>
    <row r="71" spans="1:21" x14ac:dyDescent="0.25">
      <c r="A71" s="71">
        <v>43883</v>
      </c>
      <c r="B71" s="72" t="s">
        <v>19</v>
      </c>
      <c r="C71" s="132">
        <v>-0.2</v>
      </c>
      <c r="D71" s="25">
        <v>0.75763888888888886</v>
      </c>
      <c r="E71" s="75">
        <f>Effort!F69</f>
        <v>3962.017915601421</v>
      </c>
      <c r="F71" s="76">
        <f>Harvest!F69</f>
        <v>39620.179156014208</v>
      </c>
      <c r="G71" s="123">
        <f>CPUE!F69</f>
        <v>10</v>
      </c>
      <c r="H71" s="75">
        <f>Effort!H69</f>
        <v>2740.4954551151</v>
      </c>
      <c r="I71" s="76">
        <f>Harvest!H69</f>
        <v>25238.051168036702</v>
      </c>
      <c r="J71" s="123">
        <f>CPUE!H69</f>
        <v>9.2093023255813833</v>
      </c>
      <c r="K71" s="75">
        <f>Effort!J69</f>
        <v>5320.6095772103599</v>
      </c>
      <c r="L71" s="76">
        <f>Harvest!J69</f>
        <v>55562.365727725301</v>
      </c>
      <c r="M71" s="77">
        <f>CPUE!J69</f>
        <v>10.442857142857138</v>
      </c>
      <c r="N71" s="75" t="str">
        <f>Effort!L69</f>
        <v>CLOSED</v>
      </c>
      <c r="O71" s="76" t="str">
        <f>Harvest!L69</f>
        <v>CLOSED</v>
      </c>
      <c r="P71" s="77" t="str">
        <f>CPUE!L69</f>
        <v>CLOSED</v>
      </c>
      <c r="Q71" s="75" t="s">
        <v>10</v>
      </c>
      <c r="R71" s="76" t="s">
        <v>10</v>
      </c>
      <c r="S71" s="78" t="s">
        <v>10</v>
      </c>
      <c r="T71" s="75">
        <f>SUM(E71+H71+K71)</f>
        <v>12023.12294792688</v>
      </c>
      <c r="U71" s="76">
        <f>SUM(F71+I71+L71)</f>
        <v>120420.5960517762</v>
      </c>
    </row>
    <row r="72" spans="1:21" x14ac:dyDescent="0.25">
      <c r="A72" s="71">
        <v>43884</v>
      </c>
      <c r="B72" s="72" t="s">
        <v>20</v>
      </c>
      <c r="C72" s="132">
        <v>-0.1</v>
      </c>
      <c r="D72" s="25">
        <v>0.78055555555555556</v>
      </c>
      <c r="E72" s="75">
        <f>Effort!F70</f>
        <v>215.67419957461055</v>
      </c>
      <c r="F72" s="76">
        <f>Harvest!F70</f>
        <v>431.34839914922111</v>
      </c>
      <c r="G72" s="123">
        <f>CPUE!F70</f>
        <v>2</v>
      </c>
      <c r="H72" s="75">
        <f>Effort!H70</f>
        <v>155.02269711787253</v>
      </c>
      <c r="I72" s="76">
        <f>Harvest!H70</f>
        <v>310.04539423574505</v>
      </c>
      <c r="J72" s="123">
        <f>CPUE!H70</f>
        <v>2</v>
      </c>
      <c r="K72" s="75" t="str">
        <f>Effort!J70</f>
        <v>CLOSED</v>
      </c>
      <c r="L72" s="76" t="str">
        <f>Harvest!J70</f>
        <v>CLOSED</v>
      </c>
      <c r="M72" s="77" t="str">
        <f>CPUE!J70</f>
        <v>CLOSED</v>
      </c>
      <c r="N72" s="75">
        <f>Effort!L70</f>
        <v>209.949796076485</v>
      </c>
      <c r="O72" s="76">
        <f>Harvest!L70</f>
        <v>451.39206156444402</v>
      </c>
      <c r="P72" s="77">
        <f>CPUE!L70</f>
        <v>2.1500000000000061</v>
      </c>
      <c r="Q72" s="75" t="s">
        <v>10</v>
      </c>
      <c r="R72" s="76" t="s">
        <v>10</v>
      </c>
      <c r="S72" s="78" t="s">
        <v>10</v>
      </c>
      <c r="T72" s="75">
        <f>SUM(E72+H72+N72)</f>
        <v>580.64669276896802</v>
      </c>
      <c r="U72" s="76">
        <f>SUM(F72+I72+O72)</f>
        <v>1192.7858549494101</v>
      </c>
    </row>
    <row r="73" spans="1:21" x14ac:dyDescent="0.25">
      <c r="A73" s="148" t="s">
        <v>65</v>
      </c>
      <c r="B73" s="148"/>
      <c r="C73" s="148"/>
      <c r="D73" s="149"/>
      <c r="E73" s="81">
        <f>SUM(E69:E72)</f>
        <v>7495.1174134484727</v>
      </c>
      <c r="F73" s="82">
        <f>SUM(F69:F72)</f>
        <v>89812.907029250055</v>
      </c>
      <c r="G73" s="83">
        <f>F73/E73</f>
        <v>11.982855247617463</v>
      </c>
      <c r="H73" s="81">
        <f>SUM(H69:H72)</f>
        <v>5554.7704345239526</v>
      </c>
      <c r="I73" s="82">
        <f>SUM(I69:I72)</f>
        <v>65436.880796637139</v>
      </c>
      <c r="J73" s="83">
        <f>I73/H73</f>
        <v>11.780303356901035</v>
      </c>
      <c r="K73" s="81">
        <f>SUM(K69:K72)</f>
        <v>7242.7746194464999</v>
      </c>
      <c r="L73" s="82">
        <f>SUM(L69:L72)</f>
        <v>84309.411803834693</v>
      </c>
      <c r="M73" s="83">
        <f>L73/K73</f>
        <v>11.640485343485354</v>
      </c>
      <c r="N73" s="81">
        <f>SUM(N69:N72)</f>
        <v>2045.965467994715</v>
      </c>
      <c r="O73" s="82">
        <f>SUM(O69:O72)</f>
        <v>27328.621481034046</v>
      </c>
      <c r="P73" s="83">
        <f>O73/N73</f>
        <v>13.357322940459637</v>
      </c>
      <c r="Q73" s="81"/>
      <c r="R73" s="82"/>
      <c r="S73" s="83"/>
      <c r="T73" s="81">
        <f>SUM(T69:T72)</f>
        <v>22338.627935413642</v>
      </c>
      <c r="U73" s="82">
        <f>SUM(U69:U72)</f>
        <v>266887.8211107559</v>
      </c>
    </row>
    <row r="74" spans="1:21" x14ac:dyDescent="0.25">
      <c r="A74" s="71">
        <v>43896</v>
      </c>
      <c r="B74" s="72" t="s">
        <v>18</v>
      </c>
      <c r="C74" s="141">
        <v>-0.2</v>
      </c>
      <c r="D74" s="25">
        <v>0.6743055555555556</v>
      </c>
      <c r="E74" s="75">
        <f>Effort!F72</f>
        <v>2322.2781749112205</v>
      </c>
      <c r="F74" s="76">
        <f>Harvest!F72</f>
        <v>34834.17262366831</v>
      </c>
      <c r="G74" s="123">
        <f>CPUE!F72</f>
        <v>15</v>
      </c>
      <c r="H74" s="75">
        <f>Effort!H72</f>
        <v>1392.14593897452</v>
      </c>
      <c r="I74" s="76">
        <f>Harvest!H72</f>
        <v>20882.189084617701</v>
      </c>
      <c r="J74" s="123">
        <f>CPUE!H72</f>
        <v>14.999999999999929</v>
      </c>
      <c r="K74" s="75" t="str">
        <f>Effort!J72</f>
        <v>CLOSED</v>
      </c>
      <c r="L74" s="76" t="str">
        <f>Harvest!J72</f>
        <v>CLOSED</v>
      </c>
      <c r="M74" s="77" t="str">
        <f>CPUE!J72</f>
        <v>CLOSED</v>
      </c>
      <c r="N74" s="75">
        <f>Effort!L72</f>
        <v>1719.12369978628</v>
      </c>
      <c r="O74" s="76">
        <f>Harvest!L72</f>
        <v>25438.384476567298</v>
      </c>
      <c r="P74" s="77">
        <f>CPUE!L72</f>
        <v>14.797297297297325</v>
      </c>
      <c r="Q74" s="75" t="s">
        <v>10</v>
      </c>
      <c r="R74" s="76" t="s">
        <v>10</v>
      </c>
      <c r="S74" s="78" t="s">
        <v>10</v>
      </c>
      <c r="T74" s="75">
        <f>SUM(E74+H74+N74)</f>
        <v>5433.5478136720203</v>
      </c>
      <c r="U74" s="76">
        <f>SUM(F74+I74+O74)</f>
        <v>81154.746184853313</v>
      </c>
    </row>
    <row r="75" spans="1:21" x14ac:dyDescent="0.25">
      <c r="A75" s="71">
        <v>43897</v>
      </c>
      <c r="B75" s="72" t="s">
        <v>19</v>
      </c>
      <c r="C75" s="141">
        <v>-0.7</v>
      </c>
      <c r="D75" s="25">
        <v>0.70763888888888893</v>
      </c>
      <c r="E75" s="75">
        <f>Effort!F73</f>
        <v>6482.9720007048081</v>
      </c>
      <c r="F75" s="76">
        <f>Harvest!F73</f>
        <v>97244.580010572128</v>
      </c>
      <c r="G75" s="123">
        <f>CPUE!F73</f>
        <v>15</v>
      </c>
      <c r="H75" s="75">
        <f>Effort!H73</f>
        <v>3916.616367061044</v>
      </c>
      <c r="I75" s="76">
        <f>Harvest!H73</f>
        <v>58749.245505915664</v>
      </c>
      <c r="J75" s="123">
        <f>CPUE!H73</f>
        <v>15</v>
      </c>
      <c r="K75" s="75">
        <f>Effort!J73</f>
        <v>6022.8431146241801</v>
      </c>
      <c r="L75" s="76">
        <f>Harvest!J73</f>
        <v>88426.287546527703</v>
      </c>
      <c r="M75" s="77">
        <f>CPUE!J73</f>
        <v>14.681818181818176</v>
      </c>
      <c r="N75" s="75" t="str">
        <f>Effort!L73</f>
        <v>CLOSED</v>
      </c>
      <c r="O75" s="76" t="str">
        <f>Harvest!L73</f>
        <v>CLOSED</v>
      </c>
      <c r="P75" s="77" t="str">
        <f>CPUE!L73</f>
        <v>CLOSED</v>
      </c>
      <c r="Q75" s="75" t="s">
        <v>10</v>
      </c>
      <c r="R75" s="76" t="s">
        <v>10</v>
      </c>
      <c r="S75" s="78" t="s">
        <v>10</v>
      </c>
      <c r="T75" s="75">
        <f>SUM(E75+H75+K75)</f>
        <v>16422.431482390035</v>
      </c>
      <c r="U75" s="76">
        <f>SUM(F75+I75+L75)</f>
        <v>244420.11306301551</v>
      </c>
    </row>
    <row r="76" spans="1:21" x14ac:dyDescent="0.25">
      <c r="A76" s="71">
        <v>43898</v>
      </c>
      <c r="B76" s="72" t="s">
        <v>20</v>
      </c>
      <c r="C76" s="141">
        <v>-1</v>
      </c>
      <c r="D76" s="25">
        <v>0.77986111111111101</v>
      </c>
      <c r="E76" s="75">
        <f>Effort!F74</f>
        <v>3972.1466517545441</v>
      </c>
      <c r="F76" s="76">
        <f>Harvest!F74</f>
        <v>59582.199776318164</v>
      </c>
      <c r="G76" s="123">
        <f>CPUE!F74</f>
        <v>15</v>
      </c>
      <c r="H76" s="75">
        <f>Effort!H74</f>
        <v>2381.1995866785974</v>
      </c>
      <c r="I76" s="76">
        <f>Harvest!H74</f>
        <v>35717.993800178963</v>
      </c>
      <c r="J76" s="123">
        <f>CPUE!H74</f>
        <v>15</v>
      </c>
      <c r="K76" s="75" t="str">
        <f>Effort!J74</f>
        <v>CLOSED</v>
      </c>
      <c r="L76" s="76" t="str">
        <f>Harvest!J74</f>
        <v>CLOSED</v>
      </c>
      <c r="M76" s="77" t="str">
        <f>CPUE!J74</f>
        <v>CLOSED</v>
      </c>
      <c r="N76" s="75">
        <f>Effort!L74</f>
        <v>2940.4795350664699</v>
      </c>
      <c r="O76" s="76">
        <f>Harvest!L74</f>
        <v>40554.113587791697</v>
      </c>
      <c r="P76" s="77">
        <f>CPUE!L74</f>
        <v>13.791666666666655</v>
      </c>
      <c r="Q76" s="75" t="s">
        <v>10</v>
      </c>
      <c r="R76" s="76" t="s">
        <v>10</v>
      </c>
      <c r="S76" s="78" t="s">
        <v>10</v>
      </c>
      <c r="T76" s="75">
        <f>SUM(E76+H76+N76)</f>
        <v>9293.8257734996114</v>
      </c>
      <c r="U76" s="76">
        <f>SUM(F76+I76+O76)</f>
        <v>135854.30716428882</v>
      </c>
    </row>
    <row r="77" spans="1:21" x14ac:dyDescent="0.25">
      <c r="A77" s="71">
        <v>43899</v>
      </c>
      <c r="B77" s="72" t="s">
        <v>21</v>
      </c>
      <c r="C77" s="141">
        <v>-1</v>
      </c>
      <c r="D77" s="25">
        <v>0.80902777777777779</v>
      </c>
      <c r="E77" s="75">
        <f>Effort!F75</f>
        <v>1544.7438408827247</v>
      </c>
      <c r="F77" s="76">
        <f>Harvest!F75</f>
        <v>23171.15761324087</v>
      </c>
      <c r="G77" s="123">
        <f>CPUE!F75</f>
        <v>15</v>
      </c>
      <c r="H77" s="75">
        <f>Effort!H75</f>
        <v>1104.8565361187971</v>
      </c>
      <c r="I77" s="76">
        <f>Harvest!H75</f>
        <v>16572.848041781956</v>
      </c>
      <c r="J77" s="123">
        <f>CPUE!H75</f>
        <v>15</v>
      </c>
      <c r="K77" s="75">
        <f>Effort!J75</f>
        <v>1699.0118402134799</v>
      </c>
      <c r="L77" s="76">
        <f>Harvest!J75</f>
        <v>25093.097947768299</v>
      </c>
      <c r="M77" s="77">
        <f>CPUE!J75</f>
        <v>14.769230769230758</v>
      </c>
      <c r="N77" s="75" t="str">
        <f>Effort!L75</f>
        <v>CLOSED</v>
      </c>
      <c r="O77" s="76" t="str">
        <f>Harvest!L75</f>
        <v>CLOSED</v>
      </c>
      <c r="P77" s="77" t="str">
        <f>CPUE!L75</f>
        <v>CLOSED</v>
      </c>
      <c r="Q77" s="75" t="s">
        <v>10</v>
      </c>
      <c r="R77" s="76" t="s">
        <v>10</v>
      </c>
      <c r="S77" s="78" t="s">
        <v>10</v>
      </c>
      <c r="T77" s="75">
        <f>SUM(E77+H77+K77)</f>
        <v>4348.6122172150017</v>
      </c>
      <c r="U77" s="76">
        <f>SUM(F77+I77+L77)</f>
        <v>64837.103602791125</v>
      </c>
    </row>
    <row r="78" spans="1:21" x14ac:dyDescent="0.25">
      <c r="A78" s="71">
        <v>43900</v>
      </c>
      <c r="B78" s="72" t="s">
        <v>22</v>
      </c>
      <c r="C78" s="141">
        <v>-0.8</v>
      </c>
      <c r="D78" s="25">
        <v>0.83750000000000002</v>
      </c>
      <c r="E78" s="75">
        <f>Effort!F76</f>
        <v>774.19776596036229</v>
      </c>
      <c r="F78" s="76">
        <f>Harvest!F76</f>
        <v>11612.966489405435</v>
      </c>
      <c r="G78" s="123">
        <f>CPUE!F76</f>
        <v>15</v>
      </c>
      <c r="H78" s="75">
        <f>Effort!H76</f>
        <v>464.11161569223628</v>
      </c>
      <c r="I78" s="76">
        <f>Harvest!H76</f>
        <v>6961.6742353835443</v>
      </c>
      <c r="J78" s="123">
        <f>CPUE!H76</f>
        <v>15</v>
      </c>
      <c r="K78" s="75" t="str">
        <f>Effort!J76</f>
        <v>CLOSED</v>
      </c>
      <c r="L78" s="76" t="str">
        <f>Harvest!J76</f>
        <v>CLOSED</v>
      </c>
      <c r="M78" s="77" t="str">
        <f>CPUE!J76</f>
        <v>CLOSED</v>
      </c>
      <c r="N78" s="75">
        <f>Effort!L76</f>
        <v>573.11899244582605</v>
      </c>
      <c r="O78" s="76">
        <f>Harvest!L76</f>
        <v>8376.3545049774602</v>
      </c>
      <c r="P78" s="77">
        <f>CPUE!L76</f>
        <v>14.61538461538462</v>
      </c>
      <c r="Q78" s="75" t="s">
        <v>10</v>
      </c>
      <c r="R78" s="76" t="s">
        <v>10</v>
      </c>
      <c r="S78" s="78" t="s">
        <v>10</v>
      </c>
      <c r="T78" s="75">
        <f>SUM(E78+H78+N78)</f>
        <v>1811.4283740984247</v>
      </c>
      <c r="U78" s="76">
        <f>SUM(F78+I78+O78)</f>
        <v>26950.995229766442</v>
      </c>
    </row>
    <row r="79" spans="1:21" x14ac:dyDescent="0.25">
      <c r="A79" s="71">
        <v>43901</v>
      </c>
      <c r="B79" s="72" t="s">
        <v>23</v>
      </c>
      <c r="C79" s="141">
        <v>-0.2</v>
      </c>
      <c r="D79" s="25">
        <v>0.8652777777777777</v>
      </c>
      <c r="E79" s="75">
        <f>Effort!F77</f>
        <v>565.37641153880736</v>
      </c>
      <c r="F79" s="76">
        <f>Harvest!F77</f>
        <v>5653.7641153880741</v>
      </c>
      <c r="G79" s="123">
        <f>CPUE!F77</f>
        <v>10</v>
      </c>
      <c r="H79" s="75">
        <f>Effort!H77</f>
        <v>341.565952581994</v>
      </c>
      <c r="I79" s="76">
        <f>Harvest!H77</f>
        <v>2390.96166807396</v>
      </c>
      <c r="J79" s="123">
        <f>CPUE!H77</f>
        <v>7.0000000000000062</v>
      </c>
      <c r="K79" s="75">
        <f>Effort!J77</f>
        <v>525.24882523589997</v>
      </c>
      <c r="L79" s="76">
        <f>Harvest!J77</f>
        <v>6769.8737474849404</v>
      </c>
      <c r="M79" s="77">
        <f>CPUE!J77</f>
        <v>12.888888888888903</v>
      </c>
      <c r="N79" s="75" t="str">
        <f>Effort!L77</f>
        <v>CLOSED</v>
      </c>
      <c r="O79" s="76" t="str">
        <f>Harvest!L77</f>
        <v>CLOSED</v>
      </c>
      <c r="P79" s="77" t="str">
        <f>CPUE!L77</f>
        <v>CLOSED</v>
      </c>
      <c r="Q79" s="75" t="s">
        <v>10</v>
      </c>
      <c r="R79" s="76" t="s">
        <v>10</v>
      </c>
      <c r="S79" s="78" t="s">
        <v>10</v>
      </c>
      <c r="T79" s="75">
        <f>SUM(E79+H79+K79)</f>
        <v>1432.1911893567012</v>
      </c>
      <c r="U79" s="76">
        <f>SUM(F79+I79+L79)</f>
        <v>14814.599530946974</v>
      </c>
    </row>
    <row r="80" spans="1:21" x14ac:dyDescent="0.25">
      <c r="A80" s="148" t="s">
        <v>65</v>
      </c>
      <c r="B80" s="148"/>
      <c r="C80" s="148"/>
      <c r="D80" s="149"/>
      <c r="E80" s="81">
        <f>SUM(E74:E79)</f>
        <v>15661.714845752467</v>
      </c>
      <c r="F80" s="82">
        <f>SUM(F74:F79)</f>
        <v>232098.84062859297</v>
      </c>
      <c r="G80" s="83">
        <f>F80/E80</f>
        <v>14.81950366958311</v>
      </c>
      <c r="H80" s="81">
        <f>SUM(H74:H79)</f>
        <v>9600.4959971071876</v>
      </c>
      <c r="I80" s="82">
        <f>SUM(I74:I79)</f>
        <v>141274.91233595178</v>
      </c>
      <c r="J80" s="83">
        <f>I80/H80</f>
        <v>14.715376411647961</v>
      </c>
      <c r="K80" s="81">
        <f>SUM(K74:K79)</f>
        <v>8247.1037800735594</v>
      </c>
      <c r="L80" s="82">
        <f>SUM(L74:L79)</f>
        <v>120289.25924178094</v>
      </c>
      <c r="M80" s="83">
        <f>L80/K80</f>
        <v>14.585636661008287</v>
      </c>
      <c r="N80" s="81">
        <f>SUM(N74:N79)</f>
        <v>5232.7222272985755</v>
      </c>
      <c r="O80" s="82">
        <f>SUM(O74:O79)</f>
        <v>74368.85256933645</v>
      </c>
      <c r="P80" s="83">
        <f>O80/N80</f>
        <v>14.212268364134021</v>
      </c>
      <c r="Q80" s="81"/>
      <c r="R80" s="82"/>
      <c r="S80" s="83"/>
      <c r="T80" s="81">
        <f>SUM(T74:T79)</f>
        <v>38742.036850231794</v>
      </c>
      <c r="U80" s="82">
        <f>SUM(U74:U79)</f>
        <v>568031.86477566219</v>
      </c>
    </row>
    <row r="81" spans="1:21" x14ac:dyDescent="0.25">
      <c r="A81" s="71">
        <v>43910</v>
      </c>
      <c r="B81" s="72" t="s">
        <v>18</v>
      </c>
      <c r="C81" s="141">
        <v>0.4</v>
      </c>
      <c r="D81" s="25">
        <v>0.7270833333333333</v>
      </c>
      <c r="E81" s="75">
        <f>Effort!F79</f>
        <v>0</v>
      </c>
      <c r="F81" s="76">
        <f>Harvest!F79</f>
        <v>0</v>
      </c>
      <c r="G81" s="123">
        <f>CPUE!F79</f>
        <v>0</v>
      </c>
      <c r="H81" s="75">
        <f>Effort!H79</f>
        <v>0</v>
      </c>
      <c r="I81" s="76">
        <f>Harvest!H79</f>
        <v>0</v>
      </c>
      <c r="J81" s="123">
        <f>CPUE!H79</f>
        <v>0</v>
      </c>
      <c r="K81" s="75" t="str">
        <f>Effort!J79</f>
        <v>CLOSED</v>
      </c>
      <c r="L81" s="76" t="str">
        <f>Harvest!J79</f>
        <v>CLOSED</v>
      </c>
      <c r="M81" s="77" t="str">
        <f>CPUE!J79</f>
        <v>CLOSED</v>
      </c>
      <c r="N81" s="75">
        <f>Effort!L79</f>
        <v>0</v>
      </c>
      <c r="O81" s="76">
        <f>Harvest!L79</f>
        <v>0</v>
      </c>
      <c r="P81" s="77">
        <f>CPUE!L79</f>
        <v>0</v>
      </c>
      <c r="Q81" s="75" t="s">
        <v>10</v>
      </c>
      <c r="R81" s="76" t="s">
        <v>10</v>
      </c>
      <c r="S81" s="78" t="s">
        <v>10</v>
      </c>
      <c r="T81" s="75">
        <f>SUM(E81+H81+N81)</f>
        <v>0</v>
      </c>
      <c r="U81" s="76">
        <f>SUM(F81+I81+O81)</f>
        <v>0</v>
      </c>
    </row>
    <row r="82" spans="1:21" x14ac:dyDescent="0.25">
      <c r="A82" s="71">
        <v>43911</v>
      </c>
      <c r="B82" s="72" t="s">
        <v>19</v>
      </c>
      <c r="C82" s="141">
        <v>0.4</v>
      </c>
      <c r="D82" s="25">
        <v>0.75486111111111109</v>
      </c>
      <c r="E82" s="75">
        <f>Effort!F80</f>
        <v>0</v>
      </c>
      <c r="F82" s="76">
        <f>Harvest!F80</f>
        <v>0</v>
      </c>
      <c r="G82" s="123">
        <f>CPUE!F80</f>
        <v>0</v>
      </c>
      <c r="H82" s="75">
        <f>Effort!H80</f>
        <v>0</v>
      </c>
      <c r="I82" s="76">
        <f>Harvest!H80</f>
        <v>0</v>
      </c>
      <c r="J82" s="123">
        <f>CPUE!H80</f>
        <v>0</v>
      </c>
      <c r="K82" s="75">
        <f>Effort!J80</f>
        <v>0</v>
      </c>
      <c r="L82" s="76">
        <f>Harvest!J80</f>
        <v>0</v>
      </c>
      <c r="M82" s="77">
        <f>CPUE!J80</f>
        <v>0</v>
      </c>
      <c r="N82" s="75" t="str">
        <f>Effort!L80</f>
        <v>CLOSED</v>
      </c>
      <c r="O82" s="76" t="str">
        <f>Harvest!L80</f>
        <v>CLOSED</v>
      </c>
      <c r="P82" s="77" t="str">
        <f>CPUE!L80</f>
        <v>CLOSED</v>
      </c>
      <c r="Q82" s="75" t="s">
        <v>10</v>
      </c>
      <c r="R82" s="76" t="s">
        <v>10</v>
      </c>
      <c r="S82" s="78" t="s">
        <v>10</v>
      </c>
      <c r="T82" s="75">
        <f>SUM(E82+H82+K82)</f>
        <v>0</v>
      </c>
      <c r="U82" s="76">
        <f>SUM(F82+I82+L82)</f>
        <v>0</v>
      </c>
    </row>
    <row r="83" spans="1:21" x14ac:dyDescent="0.25">
      <c r="A83" s="71">
        <v>43912</v>
      </c>
      <c r="B83" s="72" t="s">
        <v>20</v>
      </c>
      <c r="C83" s="141">
        <v>0.4</v>
      </c>
      <c r="D83" s="25">
        <v>0.77847222222222223</v>
      </c>
      <c r="E83" s="75">
        <f>Effort!F81</f>
        <v>0</v>
      </c>
      <c r="F83" s="76">
        <f>Harvest!F81</f>
        <v>0</v>
      </c>
      <c r="G83" s="123">
        <f>CPUE!F81</f>
        <v>0</v>
      </c>
      <c r="H83" s="75">
        <f>Effort!H81</f>
        <v>0</v>
      </c>
      <c r="I83" s="76">
        <f>Harvest!H81</f>
        <v>0</v>
      </c>
      <c r="J83" s="123">
        <f>CPUE!H81</f>
        <v>0</v>
      </c>
      <c r="K83" s="75" t="str">
        <f>Effort!J81</f>
        <v>CLOSED</v>
      </c>
      <c r="L83" s="76" t="str">
        <f>Harvest!J81</f>
        <v>CLOSED</v>
      </c>
      <c r="M83" s="77" t="str">
        <f>CPUE!J81</f>
        <v>CLOSED</v>
      </c>
      <c r="N83" s="75">
        <f>Effort!L81</f>
        <v>0</v>
      </c>
      <c r="O83" s="76">
        <f>Harvest!L81</f>
        <v>0</v>
      </c>
      <c r="P83" s="77">
        <f>CPUE!L81</f>
        <v>0</v>
      </c>
      <c r="Q83" s="75" t="s">
        <v>10</v>
      </c>
      <c r="R83" s="76" t="s">
        <v>10</v>
      </c>
      <c r="S83" s="78" t="s">
        <v>10</v>
      </c>
      <c r="T83" s="75">
        <f>SUM(E83+H83+N83)</f>
        <v>0</v>
      </c>
      <c r="U83" s="76">
        <f>SUM(F83+I83+O83)</f>
        <v>0</v>
      </c>
    </row>
    <row r="84" spans="1:21" x14ac:dyDescent="0.25">
      <c r="A84" s="71">
        <v>43913</v>
      </c>
      <c r="B84" s="72" t="s">
        <v>21</v>
      </c>
      <c r="C84" s="141">
        <v>0.5</v>
      </c>
      <c r="D84" s="25">
        <v>0.79999999999999993</v>
      </c>
      <c r="E84" s="75">
        <f>Effort!F82</f>
        <v>0</v>
      </c>
      <c r="F84" s="76">
        <f>Harvest!F82</f>
        <v>0</v>
      </c>
      <c r="G84" s="123">
        <f>CPUE!F82</f>
        <v>0</v>
      </c>
      <c r="H84" s="75">
        <f>Effort!H82</f>
        <v>0</v>
      </c>
      <c r="I84" s="76">
        <f>Harvest!H82</f>
        <v>0</v>
      </c>
      <c r="J84" s="123">
        <f>CPUE!H82</f>
        <v>0</v>
      </c>
      <c r="K84" s="75">
        <f>Effort!J82</f>
        <v>0</v>
      </c>
      <c r="L84" s="76">
        <f>Harvest!J82</f>
        <v>0</v>
      </c>
      <c r="M84" s="77">
        <f>CPUE!J82</f>
        <v>0</v>
      </c>
      <c r="N84" s="75" t="str">
        <f>Effort!L82</f>
        <v>CLOSED</v>
      </c>
      <c r="O84" s="76" t="str">
        <f>Harvest!L82</f>
        <v>CLOSED</v>
      </c>
      <c r="P84" s="77" t="str">
        <f>CPUE!L82</f>
        <v>CLOSED</v>
      </c>
      <c r="Q84" s="75" t="s">
        <v>10</v>
      </c>
      <c r="R84" s="76" t="s">
        <v>10</v>
      </c>
      <c r="S84" s="78" t="s">
        <v>10</v>
      </c>
      <c r="T84" s="75">
        <f>SUM(E84+H84+K84)</f>
        <v>0</v>
      </c>
      <c r="U84" s="76">
        <f>SUM(F84+I84+L84)</f>
        <v>0</v>
      </c>
    </row>
    <row r="85" spans="1:21" x14ac:dyDescent="0.25">
      <c r="A85" s="148" t="s">
        <v>65</v>
      </c>
      <c r="B85" s="148"/>
      <c r="C85" s="148"/>
      <c r="D85" s="149"/>
      <c r="E85" s="81">
        <f>SUM(E81:E84)</f>
        <v>0</v>
      </c>
      <c r="F85" s="82">
        <f>SUM(F81:F84)</f>
        <v>0</v>
      </c>
      <c r="G85" s="83" t="e">
        <f>F85/E85</f>
        <v>#DIV/0!</v>
      </c>
      <c r="H85" s="81">
        <f>SUM(H81:H84)</f>
        <v>0</v>
      </c>
      <c r="I85" s="82">
        <f>SUM(I81:I84)</f>
        <v>0</v>
      </c>
      <c r="J85" s="83" t="e">
        <f>I85/H85</f>
        <v>#DIV/0!</v>
      </c>
      <c r="K85" s="81">
        <f>SUM(K81:K84)</f>
        <v>0</v>
      </c>
      <c r="L85" s="82">
        <f>SUM(L81:L84)</f>
        <v>0</v>
      </c>
      <c r="M85" s="83" t="e">
        <f>L85/K85</f>
        <v>#DIV/0!</v>
      </c>
      <c r="N85" s="81">
        <f>SUM(N81:N84)</f>
        <v>0</v>
      </c>
      <c r="O85" s="82">
        <f>SUM(O81:O84)</f>
        <v>0</v>
      </c>
      <c r="P85" s="83" t="e">
        <f>O85/N85</f>
        <v>#DIV/0!</v>
      </c>
      <c r="Q85" s="81"/>
      <c r="R85" s="82"/>
      <c r="S85" s="83"/>
      <c r="T85" s="81">
        <f>SUM(T81:T84)</f>
        <v>0</v>
      </c>
      <c r="U85" s="82">
        <f>SUM(U81:U84)</f>
        <v>0</v>
      </c>
    </row>
    <row r="86" spans="1:21" x14ac:dyDescent="0.25">
      <c r="A86" s="71">
        <v>43924</v>
      </c>
      <c r="B86" s="72" t="s">
        <v>18</v>
      </c>
      <c r="C86" s="141">
        <v>0.3</v>
      </c>
      <c r="D86" s="25">
        <v>0.65347222222222223</v>
      </c>
      <c r="E86" s="75">
        <f>Effort!F84</f>
        <v>0</v>
      </c>
      <c r="F86" s="76">
        <f>Harvest!F84</f>
        <v>0</v>
      </c>
      <c r="G86" s="123">
        <f>CPUE!F84</f>
        <v>0</v>
      </c>
      <c r="H86" s="75">
        <f>Effort!H84</f>
        <v>0</v>
      </c>
      <c r="I86" s="76">
        <f>Harvest!H84</f>
        <v>0</v>
      </c>
      <c r="J86" s="123">
        <f>CPUE!H84</f>
        <v>0</v>
      </c>
      <c r="K86" s="75">
        <f>Effort!J84</f>
        <v>0</v>
      </c>
      <c r="L86" s="76">
        <f>Harvest!J84</f>
        <v>0</v>
      </c>
      <c r="M86" s="77">
        <f>CPUE!J84</f>
        <v>0</v>
      </c>
      <c r="N86" s="75" t="str">
        <f>Effort!L84</f>
        <v>CLOSED</v>
      </c>
      <c r="O86" s="76" t="str">
        <f>Harvest!L84</f>
        <v>CLOSED</v>
      </c>
      <c r="P86" s="77" t="str">
        <f>CPUE!L84</f>
        <v>CLOSED</v>
      </c>
      <c r="Q86" s="75" t="s">
        <v>10</v>
      </c>
      <c r="R86" s="76" t="s">
        <v>10</v>
      </c>
      <c r="S86" s="78" t="s">
        <v>10</v>
      </c>
      <c r="T86" s="75">
        <f>SUM(E86+H86+K86)</f>
        <v>0</v>
      </c>
      <c r="U86" s="76">
        <f>SUM(F86+I86+L86)</f>
        <v>0</v>
      </c>
    </row>
    <row r="87" spans="1:21" x14ac:dyDescent="0.25">
      <c r="A87" s="71">
        <v>43925</v>
      </c>
      <c r="B87" s="72" t="s">
        <v>19</v>
      </c>
      <c r="C87" s="141">
        <v>-0.1</v>
      </c>
      <c r="D87" s="25">
        <v>0.69236111111111109</v>
      </c>
      <c r="E87" s="75">
        <f>Effort!F85</f>
        <v>0</v>
      </c>
      <c r="F87" s="76">
        <f>Harvest!F85</f>
        <v>0</v>
      </c>
      <c r="G87" s="123">
        <f>CPUE!F85</f>
        <v>0</v>
      </c>
      <c r="H87" s="75">
        <f>Effort!H85</f>
        <v>0</v>
      </c>
      <c r="I87" s="76">
        <f>Harvest!H85</f>
        <v>0</v>
      </c>
      <c r="J87" s="123">
        <f>CPUE!H85</f>
        <v>0</v>
      </c>
      <c r="K87" s="75" t="str">
        <f>Effort!J85</f>
        <v>CLOSED</v>
      </c>
      <c r="L87" s="76" t="str">
        <f>Harvest!J85</f>
        <v>CLOSED</v>
      </c>
      <c r="M87" s="77" t="str">
        <f>CPUE!J85</f>
        <v>CLOSED</v>
      </c>
      <c r="N87" s="75">
        <f>Effort!L85</f>
        <v>0</v>
      </c>
      <c r="O87" s="76">
        <f>Harvest!L85</f>
        <v>0</v>
      </c>
      <c r="P87" s="77">
        <f>CPUE!L85</f>
        <v>0</v>
      </c>
      <c r="Q87" s="75" t="s">
        <v>10</v>
      </c>
      <c r="R87" s="76" t="s">
        <v>10</v>
      </c>
      <c r="S87" s="78" t="s">
        <v>10</v>
      </c>
      <c r="T87" s="75">
        <f>SUM(E87+H87+N87)</f>
        <v>0</v>
      </c>
      <c r="U87" s="76">
        <f>SUM(F87+I87+O87)</f>
        <v>0</v>
      </c>
    </row>
    <row r="88" spans="1:21" x14ac:dyDescent="0.25">
      <c r="A88" s="71">
        <v>43926</v>
      </c>
      <c r="B88" s="72" t="s">
        <v>20</v>
      </c>
      <c r="C88" s="141">
        <v>-0.4</v>
      </c>
      <c r="D88" s="25">
        <v>0.31041666666666667</v>
      </c>
      <c r="E88" s="75">
        <f>Effort!F86</f>
        <v>0</v>
      </c>
      <c r="F88" s="76">
        <f>Harvest!F86</f>
        <v>0</v>
      </c>
      <c r="G88" s="123">
        <f>CPUE!F86</f>
        <v>0</v>
      </c>
      <c r="H88" s="75">
        <f>Effort!H86</f>
        <v>0</v>
      </c>
      <c r="I88" s="76">
        <f>Harvest!H86</f>
        <v>0</v>
      </c>
      <c r="J88" s="123">
        <f>CPUE!H86</f>
        <v>0</v>
      </c>
      <c r="K88" s="75">
        <f>Effort!J86</f>
        <v>0</v>
      </c>
      <c r="L88" s="76">
        <f>Harvest!J86</f>
        <v>0</v>
      </c>
      <c r="M88" s="77">
        <f>CPUE!J86</f>
        <v>0</v>
      </c>
      <c r="N88" s="75" t="str">
        <f>Effort!L86</f>
        <v>CLOSED</v>
      </c>
      <c r="O88" s="76" t="str">
        <f>Harvest!L86</f>
        <v>CLOSED</v>
      </c>
      <c r="P88" s="77" t="str">
        <f>CPUE!L86</f>
        <v>CLOSED</v>
      </c>
      <c r="Q88" s="75" t="s">
        <v>10</v>
      </c>
      <c r="R88" s="76" t="s">
        <v>10</v>
      </c>
      <c r="S88" s="78" t="s">
        <v>10</v>
      </c>
      <c r="T88" s="75">
        <f>SUM(E88+H88+K88)</f>
        <v>0</v>
      </c>
      <c r="U88" s="76">
        <f>SUM(F88+I88+L88)</f>
        <v>0</v>
      </c>
    </row>
    <row r="89" spans="1:21" x14ac:dyDescent="0.25">
      <c r="A89" s="71">
        <v>43927</v>
      </c>
      <c r="B89" s="72" t="s">
        <v>21</v>
      </c>
      <c r="C89" s="141">
        <v>0.4</v>
      </c>
      <c r="D89" s="25">
        <v>0.7583333333333333</v>
      </c>
      <c r="E89" s="75">
        <f>Effort!F87</f>
        <v>0</v>
      </c>
      <c r="F89" s="76">
        <f>Harvest!F87</f>
        <v>0</v>
      </c>
      <c r="G89" s="123">
        <f>CPUE!F87</f>
        <v>0</v>
      </c>
      <c r="H89" s="75">
        <f>Effort!H87</f>
        <v>0</v>
      </c>
      <c r="I89" s="76">
        <f>Harvest!H87</f>
        <v>0</v>
      </c>
      <c r="J89" s="123">
        <f>CPUE!H87</f>
        <v>0</v>
      </c>
      <c r="K89" s="75" t="str">
        <f>Effort!J87</f>
        <v>CLOSED</v>
      </c>
      <c r="L89" s="76" t="str">
        <f>Harvest!J87</f>
        <v>CLOSED</v>
      </c>
      <c r="M89" s="77" t="str">
        <f>CPUE!J87</f>
        <v>CLOSED</v>
      </c>
      <c r="N89" s="75">
        <f>Effort!L87</f>
        <v>0</v>
      </c>
      <c r="O89" s="76">
        <f>Harvest!L87</f>
        <v>0</v>
      </c>
      <c r="P89" s="77">
        <f>CPUE!L87</f>
        <v>0</v>
      </c>
      <c r="Q89" s="75" t="s">
        <v>10</v>
      </c>
      <c r="R89" s="76" t="s">
        <v>10</v>
      </c>
      <c r="S89" s="78" t="s">
        <v>10</v>
      </c>
      <c r="T89" s="75">
        <f>SUM(E89+H89+N89)</f>
        <v>0</v>
      </c>
      <c r="U89" s="76">
        <f>SUM(F89+I89+O89)</f>
        <v>0</v>
      </c>
    </row>
    <row r="90" spans="1:21" x14ac:dyDescent="0.25">
      <c r="A90" s="71">
        <v>43928</v>
      </c>
      <c r="B90" s="72" t="s">
        <v>22</v>
      </c>
      <c r="C90" s="141">
        <v>-0.2</v>
      </c>
      <c r="D90" s="25">
        <v>0.78819444444444453</v>
      </c>
      <c r="E90" s="75">
        <f>Effort!F88</f>
        <v>0</v>
      </c>
      <c r="F90" s="76">
        <f>Harvest!F88</f>
        <v>0</v>
      </c>
      <c r="G90" s="123">
        <f>CPUE!F88</f>
        <v>0</v>
      </c>
      <c r="H90" s="75">
        <f>Effort!H88</f>
        <v>0</v>
      </c>
      <c r="I90" s="76">
        <f>Harvest!H88</f>
        <v>0</v>
      </c>
      <c r="J90" s="123">
        <f>CPUE!H88</f>
        <v>0</v>
      </c>
      <c r="K90" s="75">
        <f>Effort!J88</f>
        <v>0</v>
      </c>
      <c r="L90" s="76">
        <f>Harvest!J88</f>
        <v>0</v>
      </c>
      <c r="M90" s="77">
        <f>CPUE!J88</f>
        <v>0</v>
      </c>
      <c r="N90" s="75" t="str">
        <f>Effort!L88</f>
        <v>CLOSED</v>
      </c>
      <c r="O90" s="76" t="str">
        <f>Harvest!L88</f>
        <v>CLOSED</v>
      </c>
      <c r="P90" s="77" t="str">
        <f>CPUE!L88</f>
        <v>CLOSED</v>
      </c>
      <c r="Q90" s="75" t="s">
        <v>10</v>
      </c>
      <c r="R90" s="76" t="s">
        <v>10</v>
      </c>
      <c r="S90" s="78" t="s">
        <v>10</v>
      </c>
      <c r="T90" s="75">
        <f>SUM(E90+H90+K90)</f>
        <v>0</v>
      </c>
      <c r="U90" s="76">
        <f>SUM(F90+I90+L90)</f>
        <v>0</v>
      </c>
    </row>
    <row r="91" spans="1:21" x14ac:dyDescent="0.25">
      <c r="A91" s="71">
        <v>43929</v>
      </c>
      <c r="B91" s="72" t="s">
        <v>23</v>
      </c>
      <c r="C91" s="141">
        <v>-0.7</v>
      </c>
      <c r="D91" s="25">
        <v>0.30972222222222223</v>
      </c>
      <c r="E91" s="75">
        <f>Effort!F89</f>
        <v>0</v>
      </c>
      <c r="F91" s="76">
        <f>Harvest!F89</f>
        <v>0</v>
      </c>
      <c r="G91" s="123">
        <f>CPUE!F89</f>
        <v>0</v>
      </c>
      <c r="H91" s="75">
        <f>Effort!H89</f>
        <v>0</v>
      </c>
      <c r="I91" s="76">
        <f>Harvest!H89</f>
        <v>0</v>
      </c>
      <c r="J91" s="123">
        <f>CPUE!H89</f>
        <v>0</v>
      </c>
      <c r="K91" s="75" t="str">
        <f>Effort!J89</f>
        <v>CLOSED</v>
      </c>
      <c r="L91" s="76" t="str">
        <f>Harvest!J89</f>
        <v>CLOSED</v>
      </c>
      <c r="M91" s="77" t="str">
        <f>CPUE!J89</f>
        <v>CLOSED</v>
      </c>
      <c r="N91" s="75">
        <f>Effort!L89</f>
        <v>0</v>
      </c>
      <c r="O91" s="76">
        <f>Harvest!L89</f>
        <v>0</v>
      </c>
      <c r="P91" s="77">
        <f>CPUE!L89</f>
        <v>0</v>
      </c>
      <c r="Q91" s="75" t="s">
        <v>10</v>
      </c>
      <c r="R91" s="76" t="s">
        <v>10</v>
      </c>
      <c r="S91" s="78" t="s">
        <v>10</v>
      </c>
      <c r="T91" s="75">
        <f>SUM(E91+H91+N91)</f>
        <v>0</v>
      </c>
      <c r="U91" s="76">
        <f>SUM(F91+I91+O91)</f>
        <v>0</v>
      </c>
    </row>
    <row r="92" spans="1:21" x14ac:dyDescent="0.25">
      <c r="A92" s="71">
        <v>43930</v>
      </c>
      <c r="B92" s="72" t="s">
        <v>24</v>
      </c>
      <c r="C92" s="141">
        <v>-1.1000000000000001</v>
      </c>
      <c r="D92" s="25">
        <v>0.3430555555555555</v>
      </c>
      <c r="E92" s="75">
        <f>Effort!F90</f>
        <v>0</v>
      </c>
      <c r="F92" s="76">
        <f>Harvest!F90</f>
        <v>0</v>
      </c>
      <c r="G92" s="123">
        <f>CPUE!F90</f>
        <v>0</v>
      </c>
      <c r="H92" s="75">
        <f>Effort!H90</f>
        <v>0</v>
      </c>
      <c r="I92" s="76">
        <f>Harvest!H90</f>
        <v>0</v>
      </c>
      <c r="J92" s="123">
        <f>CPUE!H90</f>
        <v>0</v>
      </c>
      <c r="K92" s="75">
        <f>Effort!J90</f>
        <v>0</v>
      </c>
      <c r="L92" s="76">
        <f>Harvest!J90</f>
        <v>0</v>
      </c>
      <c r="M92" s="77">
        <f>CPUE!J90</f>
        <v>0</v>
      </c>
      <c r="N92" s="75" t="str">
        <f>Effort!L90</f>
        <v>CLOSED</v>
      </c>
      <c r="O92" s="76" t="str">
        <f>Harvest!L90</f>
        <v>CLOSED</v>
      </c>
      <c r="P92" s="77" t="str">
        <f>CPUE!L90</f>
        <v>CLOSED</v>
      </c>
      <c r="Q92" s="75" t="s">
        <v>10</v>
      </c>
      <c r="R92" s="76" t="s">
        <v>10</v>
      </c>
      <c r="S92" s="78" t="s">
        <v>10</v>
      </c>
      <c r="T92" s="75">
        <f>SUM(E92+H92+K92)</f>
        <v>0</v>
      </c>
      <c r="U92" s="76">
        <f>SUM(F92+I92+L92)</f>
        <v>0</v>
      </c>
    </row>
    <row r="93" spans="1:21" x14ac:dyDescent="0.25">
      <c r="A93" s="71">
        <v>43931</v>
      </c>
      <c r="B93" s="72" t="s">
        <v>18</v>
      </c>
      <c r="C93" s="141">
        <v>-1.3</v>
      </c>
      <c r="D93" s="25">
        <v>0.3756944444444445</v>
      </c>
      <c r="E93" s="75">
        <f>Effort!F91</f>
        <v>0</v>
      </c>
      <c r="F93" s="76">
        <f>Harvest!F91</f>
        <v>0</v>
      </c>
      <c r="G93" s="123">
        <f>CPUE!F91</f>
        <v>0</v>
      </c>
      <c r="H93" s="75">
        <f>Effort!H91</f>
        <v>0</v>
      </c>
      <c r="I93" s="76">
        <f>Harvest!H91</f>
        <v>0</v>
      </c>
      <c r="J93" s="123">
        <f>CPUE!H91</f>
        <v>0</v>
      </c>
      <c r="K93" s="75" t="str">
        <f>Effort!J91</f>
        <v>CLOSED</v>
      </c>
      <c r="L93" s="76" t="str">
        <f>Harvest!J91</f>
        <v>CLOSED</v>
      </c>
      <c r="M93" s="77" t="str">
        <f>CPUE!J91</f>
        <v>CLOSED</v>
      </c>
      <c r="N93" s="75">
        <f>Effort!L91</f>
        <v>0</v>
      </c>
      <c r="O93" s="76">
        <f>Harvest!L91</f>
        <v>0</v>
      </c>
      <c r="P93" s="77">
        <f>CPUE!L91</f>
        <v>0</v>
      </c>
      <c r="Q93" s="75" t="s">
        <v>10</v>
      </c>
      <c r="R93" s="76" t="s">
        <v>10</v>
      </c>
      <c r="S93" s="78" t="s">
        <v>10</v>
      </c>
      <c r="T93" s="75">
        <f>SUM(E93+H93+N93)</f>
        <v>0</v>
      </c>
      <c r="U93" s="76">
        <f>SUM(F93+I93+O93)</f>
        <v>0</v>
      </c>
    </row>
    <row r="94" spans="1:21" x14ac:dyDescent="0.25">
      <c r="A94" s="71">
        <v>43932</v>
      </c>
      <c r="B94" s="72" t="s">
        <v>19</v>
      </c>
      <c r="C94" s="141">
        <v>-1.1000000000000001</v>
      </c>
      <c r="D94" s="25">
        <v>0.40972222222222227</v>
      </c>
      <c r="E94" s="75">
        <f>Effort!F92</f>
        <v>0</v>
      </c>
      <c r="F94" s="76">
        <f>Harvest!F92</f>
        <v>0</v>
      </c>
      <c r="G94" s="123">
        <f>CPUE!F92</f>
        <v>0</v>
      </c>
      <c r="H94" s="75">
        <f>Effort!H92</f>
        <v>0</v>
      </c>
      <c r="I94" s="76">
        <f>Harvest!H92</f>
        <v>0</v>
      </c>
      <c r="J94" s="123">
        <f>CPUE!H92</f>
        <v>0</v>
      </c>
      <c r="K94" s="75">
        <f>Effort!J92</f>
        <v>0</v>
      </c>
      <c r="L94" s="76">
        <f>Harvest!J92</f>
        <v>0</v>
      </c>
      <c r="M94" s="77">
        <f>CPUE!J92</f>
        <v>0</v>
      </c>
      <c r="N94" s="75" t="str">
        <f>Effort!L92</f>
        <v>CLOSED</v>
      </c>
      <c r="O94" s="76" t="str">
        <f>Harvest!L92</f>
        <v>CLOSED</v>
      </c>
      <c r="P94" s="77" t="str">
        <f>CPUE!L92</f>
        <v>CLOSED</v>
      </c>
      <c r="Q94" s="75" t="s">
        <v>10</v>
      </c>
      <c r="R94" s="76" t="s">
        <v>10</v>
      </c>
      <c r="S94" s="78" t="s">
        <v>10</v>
      </c>
      <c r="T94" s="75">
        <f>SUM(E94+H94+K94)</f>
        <v>0</v>
      </c>
      <c r="U94" s="76">
        <f>SUM(F94+I94+L94)</f>
        <v>0</v>
      </c>
    </row>
    <row r="95" spans="1:21" x14ac:dyDescent="0.25">
      <c r="A95" s="71">
        <v>43933</v>
      </c>
      <c r="B95" s="72" t="s">
        <v>20</v>
      </c>
      <c r="C95" s="141">
        <v>-0.7</v>
      </c>
      <c r="D95" s="25">
        <v>0.4458333333333333</v>
      </c>
      <c r="E95" s="75">
        <f>Effort!F93</f>
        <v>0</v>
      </c>
      <c r="F95" s="76">
        <f>Harvest!F93</f>
        <v>0</v>
      </c>
      <c r="G95" s="123">
        <f>CPUE!F93</f>
        <v>0</v>
      </c>
      <c r="H95" s="75">
        <f>Effort!H93</f>
        <v>0</v>
      </c>
      <c r="I95" s="76">
        <f>Harvest!H93</f>
        <v>0</v>
      </c>
      <c r="J95" s="123">
        <f>CPUE!H93</f>
        <v>0</v>
      </c>
      <c r="K95" s="75" t="str">
        <f>Effort!J93</f>
        <v>CLOSED</v>
      </c>
      <c r="L95" s="76" t="str">
        <f>Harvest!J93</f>
        <v>CLOSED</v>
      </c>
      <c r="M95" s="77" t="str">
        <f>CPUE!J93</f>
        <v>CLOSED</v>
      </c>
      <c r="N95" s="75">
        <f>Effort!L93</f>
        <v>0</v>
      </c>
      <c r="O95" s="76">
        <f>Harvest!L93</f>
        <v>0</v>
      </c>
      <c r="P95" s="77">
        <f>CPUE!L93</f>
        <v>0</v>
      </c>
      <c r="Q95" s="75" t="s">
        <v>10</v>
      </c>
      <c r="R95" s="76" t="s">
        <v>10</v>
      </c>
      <c r="S95" s="78" t="s">
        <v>10</v>
      </c>
      <c r="T95" s="75">
        <f>SUM(E95+H95+N95)</f>
        <v>0</v>
      </c>
      <c r="U95" s="76">
        <f>SUM(F95+I95+O95)</f>
        <v>0</v>
      </c>
    </row>
    <row r="96" spans="1:21" x14ac:dyDescent="0.25">
      <c r="A96" s="71">
        <v>43934</v>
      </c>
      <c r="B96" s="72" t="s">
        <v>21</v>
      </c>
      <c r="C96" s="141">
        <v>-0.2</v>
      </c>
      <c r="D96" s="25">
        <v>0.48541666666666666</v>
      </c>
      <c r="E96" s="75">
        <f>Effort!F94</f>
        <v>0</v>
      </c>
      <c r="F96" s="76">
        <f>Harvest!F94</f>
        <v>0</v>
      </c>
      <c r="G96" s="123">
        <f>CPUE!F94</f>
        <v>0</v>
      </c>
      <c r="H96" s="75">
        <f>Effort!H94</f>
        <v>0</v>
      </c>
      <c r="I96" s="76">
        <f>Harvest!H94</f>
        <v>0</v>
      </c>
      <c r="J96" s="123">
        <f>CPUE!H94</f>
        <v>0</v>
      </c>
      <c r="K96" s="75">
        <f>Effort!J94</f>
        <v>0</v>
      </c>
      <c r="L96" s="76">
        <f>Harvest!J94</f>
        <v>0</v>
      </c>
      <c r="M96" s="77">
        <f>CPUE!J94</f>
        <v>0</v>
      </c>
      <c r="N96" s="75" t="str">
        <f>Effort!L94</f>
        <v>CLOSED</v>
      </c>
      <c r="O96" s="76" t="str">
        <f>Harvest!L94</f>
        <v>CLOSED</v>
      </c>
      <c r="P96" s="77" t="str">
        <f>CPUE!L94</f>
        <v>CLOSED</v>
      </c>
      <c r="Q96" s="75" t="s">
        <v>10</v>
      </c>
      <c r="R96" s="76" t="s">
        <v>10</v>
      </c>
      <c r="S96" s="78" t="s">
        <v>10</v>
      </c>
      <c r="T96" s="75">
        <f>SUM(E96+H96+K96)</f>
        <v>0</v>
      </c>
      <c r="U96" s="76">
        <f>SUM(F96+I96+L96)</f>
        <v>0</v>
      </c>
    </row>
    <row r="97" spans="1:21" x14ac:dyDescent="0.25">
      <c r="A97" s="148" t="s">
        <v>65</v>
      </c>
      <c r="B97" s="148"/>
      <c r="C97" s="148"/>
      <c r="D97" s="149"/>
      <c r="E97" s="81">
        <f>SUM(E86:E96)</f>
        <v>0</v>
      </c>
      <c r="F97" s="82">
        <f>SUM(F86:F96)</f>
        <v>0</v>
      </c>
      <c r="G97" s="83" t="e">
        <f>F97/E97</f>
        <v>#DIV/0!</v>
      </c>
      <c r="H97" s="81">
        <f>SUM(H86:H96)</f>
        <v>0</v>
      </c>
      <c r="I97" s="82">
        <f>SUM(I86:I96)</f>
        <v>0</v>
      </c>
      <c r="J97" s="83" t="e">
        <f>I97/H97</f>
        <v>#DIV/0!</v>
      </c>
      <c r="K97" s="81">
        <f>SUM(K86:K96)</f>
        <v>0</v>
      </c>
      <c r="L97" s="82">
        <f>SUM(L86:L96)</f>
        <v>0</v>
      </c>
      <c r="M97" s="83" t="e">
        <f>L97/K97</f>
        <v>#DIV/0!</v>
      </c>
      <c r="N97" s="81">
        <f>SUM(N86:N96)</f>
        <v>0</v>
      </c>
      <c r="O97" s="82">
        <f>SUM(O86:O96)</f>
        <v>0</v>
      </c>
      <c r="P97" s="83" t="e">
        <f>O97/N97</f>
        <v>#DIV/0!</v>
      </c>
      <c r="Q97" s="81"/>
      <c r="R97" s="82"/>
      <c r="S97" s="83"/>
      <c r="T97" s="81">
        <f>SUM(T86:T96)</f>
        <v>0</v>
      </c>
      <c r="U97" s="82">
        <f>SUM(U86:U96)</f>
        <v>0</v>
      </c>
    </row>
    <row r="98" spans="1:21" x14ac:dyDescent="0.25">
      <c r="A98" s="71">
        <v>43943</v>
      </c>
      <c r="B98" s="72" t="s">
        <v>23</v>
      </c>
      <c r="C98" s="141">
        <v>0.3</v>
      </c>
      <c r="D98" s="25">
        <v>0.29722222222222222</v>
      </c>
      <c r="E98" s="75">
        <f>Effort!F96</f>
        <v>0</v>
      </c>
      <c r="F98" s="76">
        <f>Harvest!F96</f>
        <v>0</v>
      </c>
      <c r="G98" s="123">
        <f>CPUE!F96</f>
        <v>0</v>
      </c>
      <c r="H98" s="75">
        <f>Effort!H96</f>
        <v>0</v>
      </c>
      <c r="I98" s="76">
        <f>Harvest!H96</f>
        <v>0</v>
      </c>
      <c r="J98" s="123">
        <f>CPUE!H96</f>
        <v>0</v>
      </c>
      <c r="K98" s="75">
        <f>Effort!J96</f>
        <v>0</v>
      </c>
      <c r="L98" s="76">
        <f>Harvest!J96</f>
        <v>0</v>
      </c>
      <c r="M98" s="77">
        <f>CPUE!J96</f>
        <v>0</v>
      </c>
      <c r="N98" s="75" t="str">
        <f>Effort!L96</f>
        <v>CLOSED</v>
      </c>
      <c r="O98" s="76" t="str">
        <f>Harvest!L96</f>
        <v>CLOSED</v>
      </c>
      <c r="P98" s="77" t="str">
        <f>CPUE!L96</f>
        <v>CLOSED</v>
      </c>
      <c r="Q98" s="75" t="s">
        <v>10</v>
      </c>
      <c r="R98" s="76" t="s">
        <v>10</v>
      </c>
      <c r="S98" s="78" t="s">
        <v>10</v>
      </c>
      <c r="T98" s="75">
        <f>SUM(E98+H98+K98)</f>
        <v>0</v>
      </c>
      <c r="U98" s="76">
        <f>SUM(F98+I98+L98)</f>
        <v>0</v>
      </c>
    </row>
    <row r="99" spans="1:21" x14ac:dyDescent="0.25">
      <c r="A99" s="71">
        <v>43944</v>
      </c>
      <c r="B99" s="72" t="s">
        <v>24</v>
      </c>
      <c r="C99" s="141">
        <v>0</v>
      </c>
      <c r="D99" s="25">
        <v>0.32013888888888892</v>
      </c>
      <c r="E99" s="75">
        <f>Effort!F97</f>
        <v>0</v>
      </c>
      <c r="F99" s="76">
        <f>Harvest!F97</f>
        <v>0</v>
      </c>
      <c r="G99" s="123">
        <f>CPUE!F97</f>
        <v>0</v>
      </c>
      <c r="H99" s="75">
        <f>Effort!H97</f>
        <v>0</v>
      </c>
      <c r="I99" s="76">
        <f>Harvest!H97</f>
        <v>0</v>
      </c>
      <c r="J99" s="123">
        <f>CPUE!H97</f>
        <v>0</v>
      </c>
      <c r="K99" s="75" t="str">
        <f>Effort!J97</f>
        <v>CLOSED</v>
      </c>
      <c r="L99" s="76" t="str">
        <f>Harvest!J97</f>
        <v>CLOSED</v>
      </c>
      <c r="M99" s="77" t="str">
        <f>CPUE!J97</f>
        <v>CLOSED</v>
      </c>
      <c r="N99" s="75">
        <f>Effort!L97</f>
        <v>0</v>
      </c>
      <c r="O99" s="76">
        <f>Harvest!L97</f>
        <v>0</v>
      </c>
      <c r="P99" s="77">
        <f>CPUE!L97</f>
        <v>0</v>
      </c>
      <c r="Q99" s="75" t="s">
        <v>10</v>
      </c>
      <c r="R99" s="76" t="s">
        <v>10</v>
      </c>
      <c r="S99" s="78" t="s">
        <v>10</v>
      </c>
      <c r="T99" s="75">
        <f>SUM(E99+H99+N99)</f>
        <v>0</v>
      </c>
      <c r="U99" s="76">
        <f>SUM(F99+I99+O99)</f>
        <v>0</v>
      </c>
    </row>
    <row r="100" spans="1:21" x14ac:dyDescent="0.25">
      <c r="A100" s="71">
        <v>43945</v>
      </c>
      <c r="B100" s="72" t="s">
        <v>18</v>
      </c>
      <c r="C100" s="141">
        <v>-0.3</v>
      </c>
      <c r="D100" s="25">
        <v>0.34375</v>
      </c>
      <c r="E100" s="75">
        <f>Effort!F98</f>
        <v>0</v>
      </c>
      <c r="F100" s="76">
        <f>Harvest!F98</f>
        <v>0</v>
      </c>
      <c r="G100" s="123">
        <f>CPUE!F98</f>
        <v>0</v>
      </c>
      <c r="H100" s="75">
        <f>Effort!H98</f>
        <v>0</v>
      </c>
      <c r="I100" s="76">
        <f>Harvest!H98</f>
        <v>0</v>
      </c>
      <c r="J100" s="123">
        <f>CPUE!H98</f>
        <v>0</v>
      </c>
      <c r="K100" s="75">
        <f>Effort!J98</f>
        <v>0</v>
      </c>
      <c r="L100" s="76">
        <f>Harvest!J98</f>
        <v>0</v>
      </c>
      <c r="M100" s="77">
        <f>CPUE!J98</f>
        <v>0</v>
      </c>
      <c r="N100" s="75" t="str">
        <f>Effort!L98</f>
        <v>CLOSED</v>
      </c>
      <c r="O100" s="76" t="str">
        <f>Harvest!L98</f>
        <v>CLOSED</v>
      </c>
      <c r="P100" s="77" t="str">
        <f>CPUE!L98</f>
        <v>CLOSED</v>
      </c>
      <c r="Q100" s="75" t="s">
        <v>10</v>
      </c>
      <c r="R100" s="76" t="s">
        <v>10</v>
      </c>
      <c r="S100" s="78" t="s">
        <v>10</v>
      </c>
      <c r="T100" s="75">
        <f>SUM(E100+H100+K100)</f>
        <v>0</v>
      </c>
      <c r="U100" s="76">
        <f>SUM(F100+I100+L100)</f>
        <v>0</v>
      </c>
    </row>
    <row r="101" spans="1:21" x14ac:dyDescent="0.25">
      <c r="A101" s="71">
        <v>43946</v>
      </c>
      <c r="B101" s="72" t="s">
        <v>19</v>
      </c>
      <c r="C101" s="141">
        <v>-0.1</v>
      </c>
      <c r="D101" s="25">
        <v>0.36736111111111108</v>
      </c>
      <c r="E101" s="75">
        <f>Effort!F99</f>
        <v>0</v>
      </c>
      <c r="F101" s="76">
        <f>Harvest!F99</f>
        <v>0</v>
      </c>
      <c r="G101" s="123">
        <f>CPUE!F99</f>
        <v>0</v>
      </c>
      <c r="H101" s="75">
        <f>Effort!H99</f>
        <v>0</v>
      </c>
      <c r="I101" s="76">
        <f>Harvest!H99</f>
        <v>0</v>
      </c>
      <c r="J101" s="123">
        <f>CPUE!H99</f>
        <v>0</v>
      </c>
      <c r="K101" s="75" t="str">
        <f>Effort!J99</f>
        <v>CLOSED</v>
      </c>
      <c r="L101" s="76" t="str">
        <f>Harvest!J99</f>
        <v>CLOSED</v>
      </c>
      <c r="M101" s="77" t="str">
        <f>CPUE!J99</f>
        <v>CLOSED</v>
      </c>
      <c r="N101" s="75">
        <f>Effort!L99</f>
        <v>0</v>
      </c>
      <c r="O101" s="76">
        <f>Harvest!L99</f>
        <v>0</v>
      </c>
      <c r="P101" s="77">
        <f>CPUE!L99</f>
        <v>0</v>
      </c>
      <c r="Q101" s="75" t="s">
        <v>10</v>
      </c>
      <c r="R101" s="76" t="s">
        <v>10</v>
      </c>
      <c r="S101" s="78" t="s">
        <v>10</v>
      </c>
      <c r="T101" s="75">
        <f>SUM(E101+H101+N101)</f>
        <v>0</v>
      </c>
      <c r="U101" s="76">
        <f>SUM(F101+I101+O101)</f>
        <v>0</v>
      </c>
    </row>
    <row r="102" spans="1:21" x14ac:dyDescent="0.25">
      <c r="A102" s="71">
        <v>43947</v>
      </c>
      <c r="B102" s="72" t="s">
        <v>20</v>
      </c>
      <c r="C102" s="141">
        <v>-0.3</v>
      </c>
      <c r="D102" s="25">
        <v>0.39305555555555555</v>
      </c>
      <c r="E102" s="75">
        <f>Effort!F100</f>
        <v>0</v>
      </c>
      <c r="F102" s="76">
        <f>Harvest!F100</f>
        <v>0</v>
      </c>
      <c r="G102" s="123">
        <f>CPUE!F100</f>
        <v>0</v>
      </c>
      <c r="H102" s="75">
        <f>Effort!H100</f>
        <v>0</v>
      </c>
      <c r="I102" s="76">
        <f>Harvest!H100</f>
        <v>0</v>
      </c>
      <c r="J102" s="123">
        <f>CPUE!H100</f>
        <v>0</v>
      </c>
      <c r="K102" s="75">
        <f>Effort!J100</f>
        <v>0</v>
      </c>
      <c r="L102" s="76">
        <f>Harvest!J100</f>
        <v>0</v>
      </c>
      <c r="M102" s="77">
        <f>CPUE!J100</f>
        <v>0</v>
      </c>
      <c r="N102" s="75" t="str">
        <f>Effort!L100</f>
        <v>CLOSED</v>
      </c>
      <c r="O102" s="76" t="str">
        <f>Harvest!L100</f>
        <v>CLOSED</v>
      </c>
      <c r="P102" s="77" t="str">
        <f>CPUE!L100</f>
        <v>CLOSED</v>
      </c>
      <c r="Q102" s="75" t="s">
        <v>10</v>
      </c>
      <c r="R102" s="76" t="s">
        <v>10</v>
      </c>
      <c r="S102" s="78" t="s">
        <v>10</v>
      </c>
      <c r="T102" s="75">
        <f>SUM(E102+H102+K102)</f>
        <v>0</v>
      </c>
      <c r="U102" s="76">
        <f>SUM(F102+I102+L102)</f>
        <v>0</v>
      </c>
    </row>
    <row r="103" spans="1:21" x14ac:dyDescent="0.25">
      <c r="A103" s="71">
        <v>43948</v>
      </c>
      <c r="B103" s="72" t="s">
        <v>21</v>
      </c>
      <c r="C103" s="141">
        <v>-0.2</v>
      </c>
      <c r="D103" s="25">
        <v>0.42152777777777778</v>
      </c>
      <c r="E103" s="75">
        <f>Effort!F101</f>
        <v>0</v>
      </c>
      <c r="F103" s="76">
        <f>Harvest!F101</f>
        <v>0</v>
      </c>
      <c r="G103" s="123">
        <f>CPUE!F101</f>
        <v>0</v>
      </c>
      <c r="H103" s="75">
        <f>Effort!H101</f>
        <v>0</v>
      </c>
      <c r="I103" s="76">
        <f>Harvest!H101</f>
        <v>0</v>
      </c>
      <c r="J103" s="123">
        <f>CPUE!H101</f>
        <v>0</v>
      </c>
      <c r="K103" s="75" t="str">
        <f>Effort!J101</f>
        <v>CLOSED</v>
      </c>
      <c r="L103" s="76" t="str">
        <f>Harvest!J101</f>
        <v>CLOSED</v>
      </c>
      <c r="M103" s="77" t="str">
        <f>CPUE!J101</f>
        <v>CLOSED</v>
      </c>
      <c r="N103" s="75">
        <f>Effort!L101</f>
        <v>0</v>
      </c>
      <c r="O103" s="76">
        <f>Harvest!L101</f>
        <v>0</v>
      </c>
      <c r="P103" s="77">
        <f>CPUE!L101</f>
        <v>0</v>
      </c>
      <c r="Q103" s="75" t="s">
        <v>10</v>
      </c>
      <c r="R103" s="76" t="s">
        <v>10</v>
      </c>
      <c r="S103" s="78" t="s">
        <v>10</v>
      </c>
      <c r="T103" s="75">
        <f>SUM(E103+H103+N103)</f>
        <v>0</v>
      </c>
      <c r="U103" s="76">
        <f>SUM(F103+I103+O103)</f>
        <v>0</v>
      </c>
    </row>
    <row r="104" spans="1:21" x14ac:dyDescent="0.25">
      <c r="A104" s="71">
        <v>43949</v>
      </c>
      <c r="B104" s="72" t="s">
        <v>22</v>
      </c>
      <c r="C104" s="141">
        <v>-0.1</v>
      </c>
      <c r="D104" s="25">
        <v>0.45416666666666666</v>
      </c>
      <c r="E104" s="75">
        <f>Effort!F102</f>
        <v>0</v>
      </c>
      <c r="F104" s="76">
        <f>Harvest!F102</f>
        <v>0</v>
      </c>
      <c r="G104" s="123">
        <f>CPUE!F102</f>
        <v>0</v>
      </c>
      <c r="H104" s="75">
        <f>Effort!H102</f>
        <v>0</v>
      </c>
      <c r="I104" s="76">
        <f>Harvest!H102</f>
        <v>0</v>
      </c>
      <c r="J104" s="123">
        <f>CPUE!H102</f>
        <v>0</v>
      </c>
      <c r="K104" s="75">
        <f>Effort!J102</f>
        <v>0</v>
      </c>
      <c r="L104" s="76">
        <f>Harvest!J102</f>
        <v>0</v>
      </c>
      <c r="M104" s="77">
        <f>CPUE!J102</f>
        <v>0</v>
      </c>
      <c r="N104" s="75" t="str">
        <f>Effort!L102</f>
        <v>CLOSED</v>
      </c>
      <c r="O104" s="76" t="str">
        <f>Harvest!L102</f>
        <v>CLOSED</v>
      </c>
      <c r="P104" s="77" t="str">
        <f>CPUE!L102</f>
        <v>CLOSED</v>
      </c>
      <c r="Q104" s="75" t="s">
        <v>10</v>
      </c>
      <c r="R104" s="76" t="s">
        <v>10</v>
      </c>
      <c r="S104" s="78" t="s">
        <v>10</v>
      </c>
      <c r="T104" s="75">
        <f>SUM(E104+H104+K104)</f>
        <v>0</v>
      </c>
      <c r="U104" s="76">
        <f>SUM(F104+I104+L104)</f>
        <v>0</v>
      </c>
    </row>
    <row r="105" spans="1:21" x14ac:dyDescent="0.25">
      <c r="A105" s="71">
        <v>43950</v>
      </c>
      <c r="B105" s="72" t="s">
        <v>23</v>
      </c>
      <c r="C105" s="141">
        <v>0.1</v>
      </c>
      <c r="D105" s="25">
        <v>0.4916666666666667</v>
      </c>
      <c r="E105" s="75">
        <f>Effort!F103</f>
        <v>0</v>
      </c>
      <c r="F105" s="76">
        <f>Harvest!F103</f>
        <v>0</v>
      </c>
      <c r="G105" s="123">
        <f>CPUE!F103</f>
        <v>0</v>
      </c>
      <c r="H105" s="75">
        <f>Effort!H103</f>
        <v>0</v>
      </c>
      <c r="I105" s="76">
        <f>Harvest!H103</f>
        <v>0</v>
      </c>
      <c r="J105" s="123">
        <f>CPUE!H103</f>
        <v>0</v>
      </c>
      <c r="K105" s="75" t="str">
        <f>Effort!J103</f>
        <v>CLOSED</v>
      </c>
      <c r="L105" s="76" t="str">
        <f>Harvest!J103</f>
        <v>CLOSED</v>
      </c>
      <c r="M105" s="77" t="str">
        <f>CPUE!J103</f>
        <v>CLOSED</v>
      </c>
      <c r="N105" s="75">
        <f>Effort!L103</f>
        <v>0</v>
      </c>
      <c r="O105" s="76">
        <f>Harvest!L103</f>
        <v>0</v>
      </c>
      <c r="P105" s="77">
        <f>CPUE!L103</f>
        <v>0</v>
      </c>
      <c r="Q105" s="75" t="s">
        <v>10</v>
      </c>
      <c r="R105" s="76" t="s">
        <v>10</v>
      </c>
      <c r="S105" s="78" t="s">
        <v>10</v>
      </c>
      <c r="T105" s="75">
        <f>SUM(E105+H105+N105)</f>
        <v>0</v>
      </c>
      <c r="U105" s="76">
        <f>SUM(F105+I105+O105)</f>
        <v>0</v>
      </c>
    </row>
    <row r="106" spans="1:21" x14ac:dyDescent="0.25">
      <c r="A106" s="148" t="s">
        <v>65</v>
      </c>
      <c r="B106" s="148"/>
      <c r="C106" s="148"/>
      <c r="D106" s="149"/>
      <c r="E106" s="81">
        <f>SUM(E98:E105)</f>
        <v>0</v>
      </c>
      <c r="F106" s="82">
        <f>SUM(F98:F105)</f>
        <v>0</v>
      </c>
      <c r="G106" s="83" t="e">
        <f>F106/E106</f>
        <v>#DIV/0!</v>
      </c>
      <c r="H106" s="81">
        <f>SUM(H98:H105)</f>
        <v>0</v>
      </c>
      <c r="I106" s="82">
        <f>SUM(I98:I105)</f>
        <v>0</v>
      </c>
      <c r="J106" s="83" t="e">
        <f>I106/H106</f>
        <v>#DIV/0!</v>
      </c>
      <c r="K106" s="81">
        <f>SUM(K98:K105)</f>
        <v>0</v>
      </c>
      <c r="L106" s="82">
        <f>SUM(L98:L105)</f>
        <v>0</v>
      </c>
      <c r="M106" s="83" t="e">
        <f>L106/K106</f>
        <v>#DIV/0!</v>
      </c>
      <c r="N106" s="81">
        <f>SUM(N98:N105)</f>
        <v>0</v>
      </c>
      <c r="O106" s="82">
        <f>SUM(O98:O105)</f>
        <v>0</v>
      </c>
      <c r="P106" s="83" t="e">
        <f>O106/N106</f>
        <v>#DIV/0!</v>
      </c>
      <c r="Q106" s="81"/>
      <c r="R106" s="82"/>
      <c r="S106" s="83"/>
      <c r="T106" s="81">
        <f>SUM(T98:T105)</f>
        <v>0</v>
      </c>
      <c r="U106" s="82">
        <f>SUM(U98:U105)</f>
        <v>0</v>
      </c>
    </row>
    <row r="107" spans="1:21" ht="15.75" thickBot="1" x14ac:dyDescent="0.3">
      <c r="A107" s="142"/>
      <c r="B107" s="142"/>
      <c r="C107" s="142"/>
      <c r="D107" s="142"/>
      <c r="E107" s="101"/>
      <c r="F107" s="101"/>
      <c r="G107" s="102"/>
      <c r="H107" s="101"/>
      <c r="I107" s="101"/>
      <c r="J107" s="102"/>
      <c r="K107" s="101"/>
      <c r="L107" s="101"/>
      <c r="M107" s="102"/>
      <c r="N107" s="101"/>
      <c r="O107" s="101"/>
      <c r="P107" s="102"/>
      <c r="Q107" s="101"/>
      <c r="R107" s="101"/>
      <c r="S107" s="102"/>
      <c r="T107" s="101"/>
      <c r="U107" s="101"/>
    </row>
    <row r="108" spans="1:21" ht="15.75" thickTop="1" x14ac:dyDescent="0.25">
      <c r="A108" s="95" t="s">
        <v>78</v>
      </c>
      <c r="B108" s="96"/>
      <c r="C108" s="96"/>
      <c r="D108" s="96"/>
      <c r="E108" s="97">
        <f>+SUM(E7,E15,E23,E31,E39,E45,E53,E60,E68,E73,E80)</f>
        <v>111122.46513549561</v>
      </c>
      <c r="F108" s="97">
        <f>SUM(F7,F15,F23,F31,F39,F45,F53,F60,F68,F73,F80)</f>
        <v>1544651.3811646521</v>
      </c>
      <c r="G108" s="98">
        <f>+F108/E108</f>
        <v>13.900441996865379</v>
      </c>
      <c r="H108" s="97">
        <f>SUM(H7,H15,H23,H31,H39,H45,H53,H60,H68,H73,H80)</f>
        <v>56464.352994372777</v>
      </c>
      <c r="I108" s="97">
        <f>SUM(I7,I15,I23,I31,I39,I45,I53,I60,I68,I73,I80)</f>
        <v>722646.9436613681</v>
      </c>
      <c r="J108" s="98">
        <f>+I108/H108</f>
        <v>12.798286092703249</v>
      </c>
      <c r="K108" s="97">
        <f>SUM(K7,K15,K23,K31,K39,K45,K53,K60,K68,K73,K80)</f>
        <v>51380.345071921227</v>
      </c>
      <c r="L108" s="97">
        <f>SUM(L7,L15,L23,L31,L39,L45,L53,L60,L68,L73,L80)</f>
        <v>697548.66258620948</v>
      </c>
      <c r="M108" s="98">
        <f>+L108/K108</f>
        <v>13.576177069457088</v>
      </c>
      <c r="N108" s="97">
        <f>SUM(N7,N15,N23,N31,N39,N45,N53,N60,N68,N73,N80)</f>
        <v>34959.932470295003</v>
      </c>
      <c r="O108" s="97">
        <f>SUM(O7,O15,O23,O31,O39,O45,O53,O60,O68,O73,O80)</f>
        <v>455169.88838306593</v>
      </c>
      <c r="P108" s="98">
        <f>+O108/N108</f>
        <v>13.019758798728168</v>
      </c>
      <c r="Q108" s="97">
        <f>+Q7+Q15+Q23+Q31</f>
        <v>0</v>
      </c>
      <c r="R108" s="97">
        <f>+R7+R15</f>
        <v>0</v>
      </c>
      <c r="S108" s="98">
        <v>0</v>
      </c>
      <c r="T108" s="97">
        <f>SUM(T7,T15,T23,T31,T39,T45,T53,T60,T68,T73,T80)</f>
        <v>253927.0956720846</v>
      </c>
      <c r="U108" s="97">
        <f>SUM(U7,U15,U23,U31,U39,U45,U53,U60,U68,U73,U80)</f>
        <v>3420016.8757952955</v>
      </c>
    </row>
    <row r="109" spans="1:21" x14ac:dyDescent="0.25">
      <c r="A109" s="99" t="s">
        <v>79</v>
      </c>
      <c r="B109" s="100"/>
      <c r="C109" s="100"/>
      <c r="D109" s="100"/>
      <c r="E109" s="101"/>
      <c r="F109" s="101">
        <f>Harvest!F107</f>
        <v>99544.200119499787</v>
      </c>
      <c r="G109" s="102"/>
      <c r="H109" s="101"/>
      <c r="I109" s="101">
        <f>Harvest!H107</f>
        <v>32519.112464761558</v>
      </c>
      <c r="J109" s="102"/>
      <c r="K109" s="101"/>
      <c r="L109" s="101">
        <f>Harvest!J107</f>
        <v>27901.946503448384</v>
      </c>
      <c r="M109" s="102"/>
      <c r="N109" s="101"/>
      <c r="O109" s="101">
        <f>Harvest!L107</f>
        <v>12744.756874725847</v>
      </c>
      <c r="P109" s="102"/>
      <c r="Q109" s="101"/>
      <c r="R109" s="101">
        <f>Harvest!N107</f>
        <v>0</v>
      </c>
      <c r="S109" s="102"/>
      <c r="T109" s="101"/>
      <c r="U109" s="101">
        <f>F109+I109+L109+O109+R109</f>
        <v>172710.01596243557</v>
      </c>
    </row>
    <row r="110" spans="1:21" x14ac:dyDescent="0.25">
      <c r="A110" s="103" t="s">
        <v>80</v>
      </c>
      <c r="B110" s="104"/>
      <c r="C110" s="104"/>
      <c r="D110" s="104"/>
      <c r="E110" s="105">
        <f>Effort!F105</f>
        <v>111122.46513549563</v>
      </c>
      <c r="F110" s="105">
        <f>F108+F109</f>
        <v>1644195.5812841519</v>
      </c>
      <c r="G110" s="106"/>
      <c r="H110" s="105">
        <f>Effort!H105</f>
        <v>56464.352994372755</v>
      </c>
      <c r="I110" s="105">
        <f>I108+I109</f>
        <v>755166.0561261297</v>
      </c>
      <c r="J110" s="106"/>
      <c r="K110" s="105">
        <f>Effort!J105</f>
        <v>51380.345071921234</v>
      </c>
      <c r="L110" s="105">
        <f>L108+L109</f>
        <v>725450.6090896579</v>
      </c>
      <c r="M110" s="106"/>
      <c r="N110" s="105">
        <f>Effort!L105</f>
        <v>34959.932470295003</v>
      </c>
      <c r="O110" s="105">
        <f>O108+O109</f>
        <v>467914.6452577918</v>
      </c>
      <c r="P110" s="106"/>
      <c r="Q110" s="105">
        <f>Effort!N105</f>
        <v>0</v>
      </c>
      <c r="R110" s="105">
        <f>R108+R109</f>
        <v>0</v>
      </c>
      <c r="S110" s="106"/>
      <c r="T110" s="105">
        <f>SUM(T108:T109)</f>
        <v>253927.0956720846</v>
      </c>
      <c r="U110" s="107">
        <f>SUM(U108:U109)</f>
        <v>3592726.8917577309</v>
      </c>
    </row>
    <row r="111" spans="1:21" x14ac:dyDescent="0.25">
      <c r="A111" s="108" t="s">
        <v>14</v>
      </c>
      <c r="B111" s="109"/>
      <c r="C111" s="109"/>
      <c r="D111" s="109"/>
      <c r="E111" s="109"/>
      <c r="F111" s="110">
        <f>Harvest!F110</f>
        <v>0.31585939253020523</v>
      </c>
      <c r="G111" s="109"/>
      <c r="H111" s="109"/>
      <c r="I111" s="110">
        <f>Harvest!H110</f>
        <v>0.4096977606049485</v>
      </c>
      <c r="J111" s="109"/>
      <c r="K111" s="109"/>
      <c r="L111" s="110">
        <f>Harvest!J110</f>
        <v>0.35629793913145491</v>
      </c>
      <c r="M111" s="109"/>
      <c r="N111" s="109"/>
      <c r="O111" s="110">
        <f>Harvest!L110</f>
        <v>0.28360347163532301</v>
      </c>
      <c r="P111" s="109"/>
      <c r="Q111" s="109"/>
      <c r="R111" s="110">
        <f>Harvest!N110</f>
        <v>0</v>
      </c>
      <c r="S111" s="109"/>
      <c r="T111" s="109"/>
      <c r="U111" s="111"/>
    </row>
    <row r="113" spans="6:20" x14ac:dyDescent="0.25">
      <c r="F113" s="48"/>
      <c r="O113" s="144">
        <f>'[1] 2019-20 Projections.Actual'!$Y$133</f>
        <v>724461.05050720542</v>
      </c>
      <c r="P113" s="145" t="s">
        <v>82</v>
      </c>
      <c r="T113" s="47"/>
    </row>
    <row r="114" spans="6:20" x14ac:dyDescent="0.25">
      <c r="O114" s="144">
        <f>'Summary Table'!$T$110</f>
        <v>253927.0956720846</v>
      </c>
      <c r="P114" s="145" t="s">
        <v>83</v>
      </c>
    </row>
    <row r="115" spans="6:20" x14ac:dyDescent="0.25">
      <c r="O115" s="146">
        <f>O114*90.8</f>
        <v>23056580.28702528</v>
      </c>
      <c r="P115" s="145" t="s">
        <v>84</v>
      </c>
    </row>
    <row r="116" spans="6:20" x14ac:dyDescent="0.25">
      <c r="O116" s="144">
        <f>O113-O114</f>
        <v>470533.95483512082</v>
      </c>
      <c r="P116" s="145" t="s">
        <v>85</v>
      </c>
    </row>
    <row r="117" spans="6:20" x14ac:dyDescent="0.25">
      <c r="O117" s="146">
        <f>O116*90.8</f>
        <v>42724483.099028967</v>
      </c>
      <c r="P117" s="145" t="s">
        <v>86</v>
      </c>
    </row>
  </sheetData>
  <mergeCells count="20">
    <mergeCell ref="A45:D45"/>
    <mergeCell ref="T2:U2"/>
    <mergeCell ref="A7:D7"/>
    <mergeCell ref="E2:G2"/>
    <mergeCell ref="H2:J2"/>
    <mergeCell ref="K2:M2"/>
    <mergeCell ref="N2:P2"/>
    <mergeCell ref="A39:D39"/>
    <mergeCell ref="A31:D31"/>
    <mergeCell ref="A23:D23"/>
    <mergeCell ref="A15:D15"/>
    <mergeCell ref="Q2:S2"/>
    <mergeCell ref="A80:D80"/>
    <mergeCell ref="A85:D85"/>
    <mergeCell ref="A97:D97"/>
    <mergeCell ref="A106:D106"/>
    <mergeCell ref="A53:D53"/>
    <mergeCell ref="A60:D60"/>
    <mergeCell ref="A68:D68"/>
    <mergeCell ref="A73:D73"/>
  </mergeCells>
  <pageMargins left="0.7" right="0.7" top="0.75" bottom="0.75" header="0.3" footer="0.3"/>
  <pageSetup scale="42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09"/>
  <sheetViews>
    <sheetView topLeftCell="A70" zoomScale="90" zoomScaleNormal="90" workbookViewId="0">
      <selection activeCell="J110" sqref="J110"/>
    </sheetView>
  </sheetViews>
  <sheetFormatPr defaultRowHeight="15" x14ac:dyDescent="0.25"/>
  <cols>
    <col min="17" max="17" width="10.85546875" style="48" customWidth="1"/>
  </cols>
  <sheetData>
    <row r="1" spans="1:18" ht="15.75" thickBot="1" x14ac:dyDescent="0.3">
      <c r="A1" s="66" t="s">
        <v>69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79"/>
      <c r="R1" s="66"/>
    </row>
    <row r="2" spans="1:18" ht="15.75" thickTop="1" x14ac:dyDescent="0.25">
      <c r="A2" s="67"/>
      <c r="B2" s="67"/>
      <c r="C2" s="67"/>
      <c r="D2" s="67"/>
      <c r="E2" s="152" t="s">
        <v>55</v>
      </c>
      <c r="F2" s="153"/>
      <c r="G2" s="153"/>
      <c r="H2" s="154"/>
      <c r="I2" s="152" t="s">
        <v>56</v>
      </c>
      <c r="J2" s="153"/>
      <c r="K2" s="153"/>
      <c r="L2" s="154"/>
      <c r="M2" s="155" t="s">
        <v>57</v>
      </c>
      <c r="N2" s="156"/>
      <c r="O2" s="156"/>
      <c r="P2" s="157"/>
      <c r="Q2" s="150" t="s">
        <v>60</v>
      </c>
      <c r="R2" s="151"/>
    </row>
    <row r="3" spans="1:18" ht="15.75" thickBot="1" x14ac:dyDescent="0.3">
      <c r="A3" s="68" t="s">
        <v>61</v>
      </c>
      <c r="B3" s="68" t="s">
        <v>62</v>
      </c>
      <c r="C3" s="68" t="s">
        <v>63</v>
      </c>
      <c r="D3" s="68" t="s">
        <v>64</v>
      </c>
      <c r="E3" s="69" t="s">
        <v>29</v>
      </c>
      <c r="F3" s="68" t="s">
        <v>30</v>
      </c>
      <c r="G3" s="68" t="s">
        <v>31</v>
      </c>
      <c r="H3" s="68" t="s">
        <v>81</v>
      </c>
      <c r="I3" s="69" t="s">
        <v>29</v>
      </c>
      <c r="J3" s="68" t="s">
        <v>30</v>
      </c>
      <c r="K3" s="68" t="s">
        <v>31</v>
      </c>
      <c r="L3" s="68" t="s">
        <v>81</v>
      </c>
      <c r="M3" s="69" t="s">
        <v>29</v>
      </c>
      <c r="N3" s="68" t="s">
        <v>30</v>
      </c>
      <c r="O3" s="68" t="s">
        <v>31</v>
      </c>
      <c r="P3" s="68" t="s">
        <v>81</v>
      </c>
      <c r="Q3" s="80" t="s">
        <v>29</v>
      </c>
      <c r="R3" s="70" t="s">
        <v>30</v>
      </c>
    </row>
    <row r="4" spans="1:18" ht="15.75" thickTop="1" x14ac:dyDescent="0.25">
      <c r="A4" s="71">
        <v>43764</v>
      </c>
      <c r="B4" s="72" t="s">
        <v>19</v>
      </c>
      <c r="C4" s="122">
        <v>0</v>
      </c>
      <c r="D4" s="25">
        <v>0.74930555555555556</v>
      </c>
      <c r="E4" s="75">
        <f>Effort!J6</f>
        <v>7348.1700568006618</v>
      </c>
      <c r="F4" s="76">
        <f>Harvest!J6</f>
        <v>110223</v>
      </c>
      <c r="G4" s="77">
        <f>CPUE!J6</f>
        <v>15.000061123788182</v>
      </c>
      <c r="H4" s="77"/>
      <c r="I4" s="75" t="str">
        <f>Effort!L6</f>
        <v>CLOSED</v>
      </c>
      <c r="J4" s="76" t="str">
        <f>Harvest!L6</f>
        <v>CLOSED</v>
      </c>
      <c r="K4" s="77" t="str">
        <f>CPUE!L6</f>
        <v>CLOSED</v>
      </c>
      <c r="L4" s="77"/>
      <c r="M4" s="75" t="s">
        <v>10</v>
      </c>
      <c r="N4" s="76" t="s">
        <v>10</v>
      </c>
      <c r="O4" s="124" t="s">
        <v>10</v>
      </c>
      <c r="P4" s="123"/>
      <c r="Q4" s="75">
        <f>E4</f>
        <v>7348.1700568006618</v>
      </c>
      <c r="R4" s="76">
        <f>F4</f>
        <v>110223</v>
      </c>
    </row>
    <row r="5" spans="1:18" x14ac:dyDescent="0.25">
      <c r="A5" s="71">
        <v>43765</v>
      </c>
      <c r="B5" s="72" t="s">
        <v>20</v>
      </c>
      <c r="C5" s="122">
        <v>-0.8</v>
      </c>
      <c r="D5" s="25">
        <v>0.78263888888888899</v>
      </c>
      <c r="E5" s="75" t="str">
        <f>Effort!J7</f>
        <v>CLOSED</v>
      </c>
      <c r="F5" s="76" t="str">
        <f>Harvest!J7</f>
        <v>CLOSED</v>
      </c>
      <c r="G5" s="77" t="str">
        <f>CPUE!J7</f>
        <v>CLOSED</v>
      </c>
      <c r="H5" s="77"/>
      <c r="I5" s="75">
        <f>Effort!L7</f>
        <v>4926.3201530226488</v>
      </c>
      <c r="J5" s="76">
        <f>Harvest!L7</f>
        <v>73894.80229533973</v>
      </c>
      <c r="K5" s="77">
        <f>CPUE!L7</f>
        <v>15</v>
      </c>
      <c r="L5" s="77"/>
      <c r="M5" s="75" t="s">
        <v>10</v>
      </c>
      <c r="N5" s="76" t="s">
        <v>10</v>
      </c>
      <c r="O5" s="123" t="s">
        <v>10</v>
      </c>
      <c r="P5" s="123"/>
      <c r="Q5" s="75">
        <f t="shared" ref="Q5:R10" si="0">SUM(E5,I5)</f>
        <v>4926.3201530226488</v>
      </c>
      <c r="R5" s="76">
        <f t="shared" si="0"/>
        <v>73894.80229533973</v>
      </c>
    </row>
    <row r="6" spans="1:18" x14ac:dyDescent="0.25">
      <c r="A6" s="71">
        <v>43766</v>
      </c>
      <c r="B6" s="72" t="s">
        <v>21</v>
      </c>
      <c r="C6" s="122">
        <v>-1.2</v>
      </c>
      <c r="D6" s="25">
        <v>0.81458333333333333</v>
      </c>
      <c r="E6" s="75">
        <f>Effort!J8</f>
        <v>2940.0581134960471</v>
      </c>
      <c r="F6" s="76">
        <f>Harvest!J8</f>
        <v>43579.248488755926</v>
      </c>
      <c r="G6" s="77">
        <f>CPUE!J8</f>
        <v>14.822580645161292</v>
      </c>
      <c r="H6" s="77"/>
      <c r="I6" s="75" t="str">
        <f>Effort!L8</f>
        <v>CLOSED</v>
      </c>
      <c r="J6" s="76" t="str">
        <f>Harvest!L8</f>
        <v>CLOSED</v>
      </c>
      <c r="K6" s="77" t="str">
        <f>CPUE!L8</f>
        <v>CLOSED</v>
      </c>
      <c r="L6" s="77"/>
      <c r="M6" s="75" t="s">
        <v>10</v>
      </c>
      <c r="N6" s="76" t="s">
        <v>10</v>
      </c>
      <c r="O6" s="123" t="s">
        <v>10</v>
      </c>
      <c r="P6" s="78"/>
      <c r="Q6" s="75">
        <f t="shared" si="0"/>
        <v>2940.0581134960471</v>
      </c>
      <c r="R6" s="76">
        <f t="shared" si="0"/>
        <v>43579.248488755926</v>
      </c>
    </row>
    <row r="7" spans="1:18" x14ac:dyDescent="0.25">
      <c r="A7" s="71">
        <v>43767</v>
      </c>
      <c r="B7" s="72" t="s">
        <v>22</v>
      </c>
      <c r="C7" s="122">
        <v>-1.4</v>
      </c>
      <c r="D7" s="25">
        <v>0.84583333333333333</v>
      </c>
      <c r="E7" s="75" t="str">
        <f>Effort!J9</f>
        <v>CLOSED</v>
      </c>
      <c r="F7" s="76" t="str">
        <f>Harvest!J9</f>
        <v>CLOSED</v>
      </c>
      <c r="G7" s="77" t="str">
        <f>CPUE!J9</f>
        <v>CLOSED</v>
      </c>
      <c r="H7" s="77"/>
      <c r="I7" s="75">
        <f>Effort!L9</f>
        <v>1720.886329991713</v>
      </c>
      <c r="J7" s="76">
        <f>Harvest!L9</f>
        <v>25666.836538812568</v>
      </c>
      <c r="K7" s="77">
        <f>CPUE!L9</f>
        <v>14.914893617021276</v>
      </c>
      <c r="L7" s="77"/>
      <c r="M7" s="75" t="s">
        <v>10</v>
      </c>
      <c r="N7" s="76" t="s">
        <v>10</v>
      </c>
      <c r="O7" s="123" t="s">
        <v>10</v>
      </c>
      <c r="P7" s="123"/>
      <c r="Q7" s="75">
        <f t="shared" si="0"/>
        <v>1720.886329991713</v>
      </c>
      <c r="R7" s="76">
        <f t="shared" si="0"/>
        <v>25666.836538812568</v>
      </c>
    </row>
    <row r="8" spans="1:18" x14ac:dyDescent="0.25">
      <c r="A8" s="71">
        <v>43768</v>
      </c>
      <c r="B8" s="72" t="s">
        <v>23</v>
      </c>
      <c r="C8" s="122">
        <v>-1.2</v>
      </c>
      <c r="D8" s="25">
        <v>0.87708333333333333</v>
      </c>
      <c r="E8" s="75">
        <f>Effort!J10</f>
        <v>831.06893932721107</v>
      </c>
      <c r="F8" s="76">
        <f>Harvest!J10</f>
        <v>11773.476640468823</v>
      </c>
      <c r="G8" s="77">
        <f>CPUE!J10</f>
        <v>14.166666666666666</v>
      </c>
      <c r="H8" s="77"/>
      <c r="I8" s="75" t="str">
        <f>Effort!L10</f>
        <v>CLOSED</v>
      </c>
      <c r="J8" s="76" t="str">
        <f>Harvest!L10</f>
        <v>CLOSED</v>
      </c>
      <c r="K8" s="77" t="str">
        <f>CPUE!L10</f>
        <v>CLOSED</v>
      </c>
      <c r="L8" s="77"/>
      <c r="M8" s="75" t="s">
        <v>10</v>
      </c>
      <c r="N8" s="76" t="s">
        <v>10</v>
      </c>
      <c r="O8" s="123" t="s">
        <v>10</v>
      </c>
      <c r="P8" s="78"/>
      <c r="Q8" s="75">
        <f t="shared" si="0"/>
        <v>831.06893932721107</v>
      </c>
      <c r="R8" s="76">
        <f t="shared" si="0"/>
        <v>11773.476640468823</v>
      </c>
    </row>
    <row r="9" spans="1:18" x14ac:dyDescent="0.25">
      <c r="A9" s="71">
        <v>43769</v>
      </c>
      <c r="B9" s="72" t="s">
        <v>24</v>
      </c>
      <c r="C9" s="122">
        <v>-0.8</v>
      </c>
      <c r="D9" s="25">
        <v>0.90972222222222221</v>
      </c>
      <c r="E9" s="75" t="str">
        <f>Effort!J11</f>
        <v>CLOSED</v>
      </c>
      <c r="F9" s="76" t="str">
        <f>Harvest!J11</f>
        <v>CLOSED</v>
      </c>
      <c r="G9" s="77" t="str">
        <f>CPUE!J11</f>
        <v>CLOSED</v>
      </c>
      <c r="H9" s="77"/>
      <c r="I9" s="75">
        <f>Effort!L11</f>
        <v>270.37171949731896</v>
      </c>
      <c r="J9" s="76">
        <f>Harvest!L11</f>
        <v>4055.5757924597856</v>
      </c>
      <c r="K9" s="77">
        <f>CPUE!L11</f>
        <v>15.000000000000004</v>
      </c>
      <c r="L9" s="77"/>
      <c r="M9" s="75" t="s">
        <v>10</v>
      </c>
      <c r="N9" s="76" t="s">
        <v>10</v>
      </c>
      <c r="O9" s="123" t="s">
        <v>10</v>
      </c>
      <c r="P9" s="78"/>
      <c r="Q9" s="75">
        <f t="shared" si="0"/>
        <v>270.37171949731896</v>
      </c>
      <c r="R9" s="76">
        <f t="shared" si="0"/>
        <v>4055.5757924597856</v>
      </c>
    </row>
    <row r="10" spans="1:18" x14ac:dyDescent="0.25">
      <c r="A10" s="71">
        <v>43770</v>
      </c>
      <c r="B10" s="72" t="s">
        <v>18</v>
      </c>
      <c r="C10" s="122">
        <v>-0.2</v>
      </c>
      <c r="D10" s="25">
        <v>0.94305555555555554</v>
      </c>
      <c r="E10" s="75">
        <f>Effort!J12</f>
        <v>744.83294881787833</v>
      </c>
      <c r="F10" s="76">
        <f>Harvest!J12</f>
        <v>11172.494232268176</v>
      </c>
      <c r="G10" s="77">
        <f>CPUE!J12</f>
        <v>15.000000000000002</v>
      </c>
      <c r="H10" s="77"/>
      <c r="I10" s="75" t="str">
        <f>Effort!L12</f>
        <v>CLOSED</v>
      </c>
      <c r="J10" s="76" t="str">
        <f>Harvest!L12</f>
        <v>CLOSED</v>
      </c>
      <c r="K10" s="77" t="str">
        <f>CPUE!L12</f>
        <v>CLOSED</v>
      </c>
      <c r="L10" s="77"/>
      <c r="M10" s="75" t="s">
        <v>10</v>
      </c>
      <c r="N10" s="76" t="s">
        <v>10</v>
      </c>
      <c r="O10" s="123" t="s">
        <v>10</v>
      </c>
      <c r="P10" s="125"/>
      <c r="Q10" s="75">
        <f t="shared" si="0"/>
        <v>744.83294881787833</v>
      </c>
      <c r="R10" s="76">
        <f t="shared" si="0"/>
        <v>11172.494232268176</v>
      </c>
    </row>
    <row r="11" spans="1:18" x14ac:dyDescent="0.25">
      <c r="A11" s="148" t="s">
        <v>65</v>
      </c>
      <c r="B11" s="148"/>
      <c r="C11" s="148"/>
      <c r="D11" s="149"/>
      <c r="E11" s="81">
        <f>SUM(E4:E10)</f>
        <v>11864.130058441799</v>
      </c>
      <c r="F11" s="82">
        <f>SUM(F4:F10)</f>
        <v>176748.21936149293</v>
      </c>
      <c r="G11" s="83">
        <f>+F11/E11</f>
        <v>14.897697386225934</v>
      </c>
      <c r="H11" s="83">
        <v>116.1</v>
      </c>
      <c r="I11" s="81">
        <f>SUM(I4:I10)</f>
        <v>6917.5782025116805</v>
      </c>
      <c r="J11" s="82">
        <f>SUM(J4:J10)</f>
        <v>103617.21462661208</v>
      </c>
      <c r="K11" s="83">
        <f>+J11/I11</f>
        <v>14.978828080178415</v>
      </c>
      <c r="L11" s="83">
        <v>116.3</v>
      </c>
      <c r="M11" s="81"/>
      <c r="N11" s="82"/>
      <c r="O11" s="83"/>
      <c r="P11" s="83"/>
      <c r="Q11" s="81">
        <f>SUM(Q4:Q10)</f>
        <v>18781.708260953477</v>
      </c>
      <c r="R11" s="82">
        <f>SUM(R4:R10)</f>
        <v>280365.43398810498</v>
      </c>
    </row>
    <row r="12" spans="1:18" x14ac:dyDescent="0.25">
      <c r="A12" s="71">
        <v>43780</v>
      </c>
      <c r="B12" s="72" t="s">
        <v>21</v>
      </c>
      <c r="C12" s="122">
        <v>0.1</v>
      </c>
      <c r="D12" s="25">
        <v>0.74375000000000002</v>
      </c>
      <c r="E12" s="75">
        <f>Effort!J14</f>
        <v>1880.8272706400699</v>
      </c>
      <c r="F12" s="76">
        <f>Harvest!J14</f>
        <v>28212.40905960105</v>
      </c>
      <c r="G12" s="77">
        <f>CPUE!J14</f>
        <v>15.000000000000002</v>
      </c>
      <c r="H12" s="77"/>
      <c r="I12" s="75" t="str">
        <f>Effort!L14</f>
        <v>CLOSED</v>
      </c>
      <c r="J12" s="76" t="str">
        <f>Harvest!L14</f>
        <v>CLOSED</v>
      </c>
      <c r="K12" s="77" t="str">
        <f>CPUE!L14</f>
        <v>CLOSED</v>
      </c>
      <c r="L12" s="77"/>
      <c r="M12" s="75" t="s">
        <v>10</v>
      </c>
      <c r="N12" s="76" t="s">
        <v>10</v>
      </c>
      <c r="O12" s="123" t="s">
        <v>10</v>
      </c>
      <c r="P12" s="126"/>
      <c r="Q12" s="75">
        <f t="shared" ref="Q12:R26" si="1">SUM(E12,I12)</f>
        <v>1880.8272706400699</v>
      </c>
      <c r="R12" s="76">
        <f t="shared" si="1"/>
        <v>28212.40905960105</v>
      </c>
    </row>
    <row r="13" spans="1:18" x14ac:dyDescent="0.25">
      <c r="A13" s="71">
        <v>43781</v>
      </c>
      <c r="B13" s="72" t="s">
        <v>22</v>
      </c>
      <c r="C13" s="122">
        <v>-0.3</v>
      </c>
      <c r="D13" s="25">
        <v>0.76874999999999993</v>
      </c>
      <c r="E13" s="75" t="str">
        <f>Effort!J15</f>
        <v>CLOSED</v>
      </c>
      <c r="F13" s="76" t="str">
        <f>Harvest!J15</f>
        <v>CLOSED</v>
      </c>
      <c r="G13" s="77" t="str">
        <f>CPUE!J15</f>
        <v>CLOSED</v>
      </c>
      <c r="H13" s="77"/>
      <c r="I13" s="75">
        <f>Effort!L15</f>
        <v>947.47896976629579</v>
      </c>
      <c r="J13" s="76">
        <f>Harvest!L15</f>
        <v>13580.531899983574</v>
      </c>
      <c r="K13" s="77">
        <f>CPUE!L15</f>
        <v>14.333333333333336</v>
      </c>
      <c r="L13" s="77"/>
      <c r="M13" s="75" t="s">
        <v>10</v>
      </c>
      <c r="N13" s="76" t="s">
        <v>10</v>
      </c>
      <c r="O13" s="123" t="s">
        <v>10</v>
      </c>
      <c r="P13" s="78"/>
      <c r="Q13" s="75">
        <f t="shared" si="1"/>
        <v>947.47896976629579</v>
      </c>
      <c r="R13" s="76">
        <f t="shared" si="1"/>
        <v>13580.531899983574</v>
      </c>
    </row>
    <row r="14" spans="1:18" x14ac:dyDescent="0.25">
      <c r="A14" s="71">
        <v>43782</v>
      </c>
      <c r="B14" s="72" t="s">
        <v>23</v>
      </c>
      <c r="C14" s="122">
        <v>-0.5</v>
      </c>
      <c r="D14" s="25">
        <v>0.79375000000000007</v>
      </c>
      <c r="E14" s="75">
        <f>Effort!J16</f>
        <v>847.31208454634043</v>
      </c>
      <c r="F14" s="76">
        <f>Harvest!J16</f>
        <v>12599.844516494655</v>
      </c>
      <c r="G14" s="77">
        <f>CPUE!J16</f>
        <v>14.87037037037037</v>
      </c>
      <c r="H14" s="77"/>
      <c r="I14" s="75" t="str">
        <f>Effort!L16</f>
        <v>CLOSED</v>
      </c>
      <c r="J14" s="76" t="str">
        <f>Harvest!L16</f>
        <v>CLOSED</v>
      </c>
      <c r="K14" s="77" t="str">
        <f>CPUE!L16</f>
        <v>CLOSED</v>
      </c>
      <c r="L14" s="77"/>
      <c r="M14" s="75" t="s">
        <v>10</v>
      </c>
      <c r="N14" s="76" t="s">
        <v>10</v>
      </c>
      <c r="O14" s="123" t="s">
        <v>10</v>
      </c>
      <c r="P14" s="78"/>
      <c r="Q14" s="75">
        <f t="shared" si="1"/>
        <v>847.31208454634043</v>
      </c>
      <c r="R14" s="76">
        <f t="shared" si="1"/>
        <v>12599.844516494655</v>
      </c>
    </row>
    <row r="15" spans="1:18" x14ac:dyDescent="0.25">
      <c r="A15" s="71">
        <v>43783</v>
      </c>
      <c r="B15" s="72" t="s">
        <v>24</v>
      </c>
      <c r="C15" s="122">
        <v>-0.6</v>
      </c>
      <c r="D15" s="25">
        <v>0.82013888888888886</v>
      </c>
      <c r="E15" s="75" t="str">
        <f>Effort!J17</f>
        <v>CLOSED</v>
      </c>
      <c r="F15" s="76" t="str">
        <f>Harvest!J17</f>
        <v>CLOSED</v>
      </c>
      <c r="G15" s="77" t="str">
        <f>CPUE!J17</f>
        <v>CLOSED</v>
      </c>
      <c r="H15" s="77"/>
      <c r="I15" s="75">
        <f>Effort!L17</f>
        <v>608.36833332185483</v>
      </c>
      <c r="J15" s="76">
        <f>Harvest!L17</f>
        <v>7721.5980767773881</v>
      </c>
      <c r="K15" s="77">
        <f>CPUE!L17</f>
        <v>12.692307692307692</v>
      </c>
      <c r="L15" s="77"/>
      <c r="M15" s="75" t="s">
        <v>10</v>
      </c>
      <c r="N15" s="76" t="s">
        <v>10</v>
      </c>
      <c r="O15" s="123" t="s">
        <v>10</v>
      </c>
      <c r="P15" s="78"/>
      <c r="Q15" s="75">
        <f t="shared" si="1"/>
        <v>608.36833332185483</v>
      </c>
      <c r="R15" s="76">
        <f t="shared" si="1"/>
        <v>7721.5980767773881</v>
      </c>
    </row>
    <row r="16" spans="1:18" x14ac:dyDescent="0.25">
      <c r="A16" s="71">
        <v>43784</v>
      </c>
      <c r="B16" s="72" t="s">
        <v>18</v>
      </c>
      <c r="C16" s="122">
        <v>-0.5</v>
      </c>
      <c r="D16" s="25">
        <v>0.84861111111111109</v>
      </c>
      <c r="E16" s="75">
        <f>Effort!J18</f>
        <v>1461.285977816209</v>
      </c>
      <c r="F16" s="76">
        <f>Harvest!J18</f>
        <v>20558.782032724594</v>
      </c>
      <c r="G16" s="77">
        <f>CPUE!J18</f>
        <v>14.068965517241379</v>
      </c>
      <c r="H16" s="77"/>
      <c r="I16" s="75" t="str">
        <f>Effort!L18</f>
        <v>CLOSED</v>
      </c>
      <c r="J16" s="76" t="str">
        <f>Harvest!L18</f>
        <v>CLOSED</v>
      </c>
      <c r="K16" s="77" t="str">
        <f>CPUE!L18</f>
        <v>CLOSED</v>
      </c>
      <c r="L16" s="77"/>
      <c r="M16" s="75" t="s">
        <v>10</v>
      </c>
      <c r="N16" s="76" t="s">
        <v>10</v>
      </c>
      <c r="O16" s="123" t="s">
        <v>10</v>
      </c>
      <c r="P16" s="78"/>
      <c r="Q16" s="75">
        <f t="shared" si="1"/>
        <v>1461.285977816209</v>
      </c>
      <c r="R16" s="76">
        <f t="shared" si="1"/>
        <v>20558.782032724594</v>
      </c>
    </row>
    <row r="17" spans="1:18" x14ac:dyDescent="0.25">
      <c r="A17" s="71">
        <v>43785</v>
      </c>
      <c r="B17" s="72" t="s">
        <v>19</v>
      </c>
      <c r="C17" s="122">
        <v>-0.3</v>
      </c>
      <c r="D17" s="25">
        <v>0.88055555555555554</v>
      </c>
      <c r="E17" s="75" t="str">
        <f>Effort!J19</f>
        <v>CLOSED</v>
      </c>
      <c r="F17" s="76" t="str">
        <f>Harvest!J19</f>
        <v>CLOSED</v>
      </c>
      <c r="G17" s="77" t="str">
        <f>CPUE!J19</f>
        <v>CLOSED</v>
      </c>
      <c r="H17" s="77"/>
      <c r="I17" s="75">
        <f>Effort!L19</f>
        <v>1903.9513264878728</v>
      </c>
      <c r="J17" s="76">
        <f>Harvest!L19</f>
        <v>28091.085144903042</v>
      </c>
      <c r="K17" s="77">
        <f>CPUE!L19</f>
        <v>14.754098360655737</v>
      </c>
      <c r="L17" s="77"/>
      <c r="M17" s="75" t="s">
        <v>10</v>
      </c>
      <c r="N17" s="76" t="s">
        <v>10</v>
      </c>
      <c r="O17" s="123" t="s">
        <v>10</v>
      </c>
      <c r="P17" s="78"/>
      <c r="Q17" s="75">
        <f t="shared" si="1"/>
        <v>1903.9513264878728</v>
      </c>
      <c r="R17" s="76">
        <f t="shared" si="1"/>
        <v>28091.085144903042</v>
      </c>
    </row>
    <row r="18" spans="1:18" x14ac:dyDescent="0.25">
      <c r="A18" s="71">
        <v>43786</v>
      </c>
      <c r="B18" s="72" t="s">
        <v>20</v>
      </c>
      <c r="C18" s="122">
        <v>-0.1</v>
      </c>
      <c r="D18" s="25">
        <v>0.9159722222222223</v>
      </c>
      <c r="E18" s="75">
        <f>Effort!J20</f>
        <v>313.91261665416698</v>
      </c>
      <c r="F18" s="76">
        <f>Harvest!J20</f>
        <v>4030.6379978395034</v>
      </c>
      <c r="G18" s="77">
        <f>CPUE!J20</f>
        <v>12.839999999999998</v>
      </c>
      <c r="H18" s="77"/>
      <c r="I18" s="75" t="str">
        <f>Effort!L20</f>
        <v>CLOSED</v>
      </c>
      <c r="J18" s="76" t="str">
        <f>Harvest!L20</f>
        <v>CLOSED</v>
      </c>
      <c r="K18" s="77" t="str">
        <f>CPUE!L20</f>
        <v>CLOSED</v>
      </c>
      <c r="L18" s="77"/>
      <c r="M18" s="75" t="s">
        <v>10</v>
      </c>
      <c r="N18" s="76" t="s">
        <v>10</v>
      </c>
      <c r="O18" s="123" t="s">
        <v>10</v>
      </c>
      <c r="P18" s="125"/>
      <c r="Q18" s="75">
        <f t="shared" si="1"/>
        <v>313.91261665416698</v>
      </c>
      <c r="R18" s="76">
        <f t="shared" si="1"/>
        <v>4030.6379978395034</v>
      </c>
    </row>
    <row r="19" spans="1:18" x14ac:dyDescent="0.25">
      <c r="A19" s="148" t="s">
        <v>65</v>
      </c>
      <c r="B19" s="148"/>
      <c r="C19" s="148"/>
      <c r="D19" s="149"/>
      <c r="E19" s="81">
        <f>SUM(E12:E18)</f>
        <v>4503.3379496567868</v>
      </c>
      <c r="F19" s="82">
        <f>SUM(F12:F18)</f>
        <v>65401.673606659802</v>
      </c>
      <c r="G19" s="83">
        <f>+F19/E19</f>
        <v>14.52293261971251</v>
      </c>
      <c r="H19" s="83">
        <v>104.76</v>
      </c>
      <c r="I19" s="81">
        <f>SUM(I12:I18)</f>
        <v>3459.7986295760234</v>
      </c>
      <c r="J19" s="82">
        <f>SUM(J12:J18)</f>
        <v>49393.215121664005</v>
      </c>
      <c r="K19" s="83">
        <f>+J19/I19</f>
        <v>14.276326575606753</v>
      </c>
      <c r="L19" s="83">
        <v>108.9</v>
      </c>
      <c r="M19" s="81"/>
      <c r="N19" s="82"/>
      <c r="O19" s="83"/>
      <c r="P19" s="83"/>
      <c r="Q19" s="81">
        <f>SUM(Q12:Q18)</f>
        <v>7963.1365792328097</v>
      </c>
      <c r="R19" s="82">
        <f>SUM(R12:R18)</f>
        <v>114794.8887283238</v>
      </c>
    </row>
    <row r="20" spans="1:18" x14ac:dyDescent="0.25">
      <c r="A20" s="71">
        <v>43793</v>
      </c>
      <c r="B20" s="72" t="s">
        <v>20</v>
      </c>
      <c r="C20" s="127">
        <v>-0.4</v>
      </c>
      <c r="D20" s="25">
        <v>0.69930555555555562</v>
      </c>
      <c r="E20" s="75">
        <f>Effort!J22</f>
        <v>3356.61746464207</v>
      </c>
      <c r="F20" s="76">
        <f>Harvest!J22</f>
        <v>47202.433096529101</v>
      </c>
      <c r="G20" s="77">
        <f>CPUE!J22</f>
        <v>14.062499999999998</v>
      </c>
      <c r="H20" s="77"/>
      <c r="I20" s="75" t="str">
        <f>Effort!L22</f>
        <v>CLOSED</v>
      </c>
      <c r="J20" s="76" t="str">
        <f>Harvest!L22</f>
        <v>CLOSED</v>
      </c>
      <c r="K20" s="77" t="str">
        <f>CPUE!L22</f>
        <v>CLOSED</v>
      </c>
      <c r="L20" s="77"/>
      <c r="M20" s="75" t="s">
        <v>10</v>
      </c>
      <c r="N20" s="76" t="s">
        <v>10</v>
      </c>
      <c r="O20" s="123" t="s">
        <v>10</v>
      </c>
      <c r="P20" s="126"/>
      <c r="Q20" s="75">
        <f t="shared" si="1"/>
        <v>3356.61746464207</v>
      </c>
      <c r="R20" s="76">
        <f t="shared" si="1"/>
        <v>47202.433096529101</v>
      </c>
    </row>
    <row r="21" spans="1:18" x14ac:dyDescent="0.25">
      <c r="A21" s="71">
        <v>43794</v>
      </c>
      <c r="B21" s="72" t="s">
        <v>21</v>
      </c>
      <c r="C21" s="127">
        <v>-1</v>
      </c>
      <c r="D21" s="25">
        <v>0.7319444444444444</v>
      </c>
      <c r="E21" s="75" t="str">
        <f>Effort!J23</f>
        <v>CLOSED</v>
      </c>
      <c r="F21" s="76" t="str">
        <f>Harvest!J23</f>
        <v>CLOSED</v>
      </c>
      <c r="G21" s="77" t="str">
        <f>CPUE!J23</f>
        <v>CLOSED</v>
      </c>
      <c r="H21" s="77"/>
      <c r="I21" s="75">
        <f>Effort!L23</f>
        <v>1216.1297411451001</v>
      </c>
      <c r="J21" s="76">
        <f>Harvest!L23</f>
        <v>17468.045372811401</v>
      </c>
      <c r="K21" s="77">
        <f>CPUE!L23</f>
        <v>14.363636363636333</v>
      </c>
      <c r="L21" s="77"/>
      <c r="M21" s="75" t="s">
        <v>10</v>
      </c>
      <c r="N21" s="76" t="s">
        <v>10</v>
      </c>
      <c r="O21" s="123" t="s">
        <v>10</v>
      </c>
      <c r="P21" s="78"/>
      <c r="Q21" s="75">
        <f t="shared" si="1"/>
        <v>1216.1297411451001</v>
      </c>
      <c r="R21" s="76">
        <f t="shared" si="1"/>
        <v>17468.045372811401</v>
      </c>
    </row>
    <row r="22" spans="1:18" x14ac:dyDescent="0.25">
      <c r="A22" s="71">
        <v>43795</v>
      </c>
      <c r="B22" s="72" t="s">
        <v>22</v>
      </c>
      <c r="C22" s="127">
        <v>-1.3</v>
      </c>
      <c r="D22" s="25">
        <v>0.76250000000000007</v>
      </c>
      <c r="E22" s="75">
        <f>Effort!J24</f>
        <v>1179.97153486345</v>
      </c>
      <c r="F22" s="76">
        <f>Harvest!J24</f>
        <v>17109.58725552</v>
      </c>
      <c r="G22" s="77">
        <f>CPUE!J24</f>
        <v>14.49999999999998</v>
      </c>
      <c r="H22" s="77"/>
      <c r="I22" s="75" t="str">
        <f>Effort!L24</f>
        <v>CLOSED</v>
      </c>
      <c r="J22" s="76" t="str">
        <f>Harvest!L24</f>
        <v>CLOSED</v>
      </c>
      <c r="K22" s="77" t="str">
        <f>CPUE!L24</f>
        <v>CLOSED</v>
      </c>
      <c r="L22" s="77"/>
      <c r="M22" s="75" t="s">
        <v>10</v>
      </c>
      <c r="N22" s="76" t="s">
        <v>10</v>
      </c>
      <c r="O22" s="123" t="s">
        <v>10</v>
      </c>
      <c r="P22" s="78"/>
      <c r="Q22" s="75">
        <f t="shared" si="1"/>
        <v>1179.97153486345</v>
      </c>
      <c r="R22" s="76">
        <f t="shared" si="1"/>
        <v>17109.58725552</v>
      </c>
    </row>
    <row r="23" spans="1:18" x14ac:dyDescent="0.25">
      <c r="A23" s="71">
        <v>43796</v>
      </c>
      <c r="B23" s="72" t="s">
        <v>23</v>
      </c>
      <c r="C23" s="127">
        <v>-1.4</v>
      </c>
      <c r="D23" s="25">
        <v>0.79305555555555562</v>
      </c>
      <c r="E23" s="75" t="str">
        <f>Effort!J25</f>
        <v>CLOSED</v>
      </c>
      <c r="F23" s="76" t="str">
        <f>Harvest!J25</f>
        <v>CLOSED</v>
      </c>
      <c r="G23" s="77" t="str">
        <f>CPUE!J25</f>
        <v>CLOSED</v>
      </c>
      <c r="H23" s="77"/>
      <c r="I23" s="75">
        <f>Effort!L25</f>
        <v>778.58883895005602</v>
      </c>
      <c r="J23" s="76">
        <f>Harvest!L25</f>
        <v>7952.7288549898603</v>
      </c>
      <c r="K23" s="77">
        <f>CPUE!L25</f>
        <v>10.214285714285717</v>
      </c>
      <c r="L23" s="77"/>
      <c r="M23" s="75" t="s">
        <v>10</v>
      </c>
      <c r="N23" s="76" t="s">
        <v>10</v>
      </c>
      <c r="O23" s="123" t="s">
        <v>10</v>
      </c>
      <c r="P23" s="78"/>
      <c r="Q23" s="75">
        <f t="shared" si="1"/>
        <v>778.58883895005602</v>
      </c>
      <c r="R23" s="76">
        <f t="shared" si="1"/>
        <v>7952.7288549898603</v>
      </c>
    </row>
    <row r="24" spans="1:18" x14ac:dyDescent="0.25">
      <c r="A24" s="71">
        <v>43797</v>
      </c>
      <c r="B24" s="72" t="s">
        <v>24</v>
      </c>
      <c r="C24" s="127">
        <v>-1.2</v>
      </c>
      <c r="D24" s="25">
        <v>0.8222222222222223</v>
      </c>
      <c r="E24" s="75">
        <f>Effort!J26</f>
        <v>1623.9231933246399</v>
      </c>
      <c r="F24" s="76">
        <f>Harvest!J26</f>
        <v>23678.346752190599</v>
      </c>
      <c r="G24" s="77">
        <f>CPUE!J26</f>
        <v>14.580952380952317</v>
      </c>
      <c r="H24" s="77"/>
      <c r="I24" s="75" t="str">
        <f>Effort!L26</f>
        <v>CLOSED</v>
      </c>
      <c r="J24" s="76" t="str">
        <f>Harvest!L26</f>
        <v>CLOSED</v>
      </c>
      <c r="K24" s="77" t="str">
        <f>CPUE!L26</f>
        <v>CLOSED</v>
      </c>
      <c r="L24" s="77"/>
      <c r="M24" s="75" t="s">
        <v>10</v>
      </c>
      <c r="N24" s="76" t="s">
        <v>10</v>
      </c>
      <c r="O24" s="123" t="s">
        <v>10</v>
      </c>
      <c r="P24" s="78"/>
      <c r="Q24" s="75">
        <f t="shared" si="1"/>
        <v>1623.9231933246399</v>
      </c>
      <c r="R24" s="76">
        <f t="shared" si="1"/>
        <v>23678.346752190599</v>
      </c>
    </row>
    <row r="25" spans="1:18" x14ac:dyDescent="0.25">
      <c r="A25" s="71">
        <v>43798</v>
      </c>
      <c r="B25" s="72" t="s">
        <v>18</v>
      </c>
      <c r="C25" s="127">
        <v>-0.7</v>
      </c>
      <c r="D25" s="25">
        <v>0.8520833333333333</v>
      </c>
      <c r="E25" s="75" t="str">
        <f>Effort!J27</f>
        <v>CLOSED</v>
      </c>
      <c r="F25" s="76" t="str">
        <f>Harvest!J27</f>
        <v>CLOSED</v>
      </c>
      <c r="G25" s="77" t="str">
        <f>CPUE!J27</f>
        <v>CLOSED</v>
      </c>
      <c r="H25" s="77"/>
      <c r="I25" s="75">
        <f>Effort!L27</f>
        <v>2031.40451881166</v>
      </c>
      <c r="J25" s="76">
        <f>Harvest!L27</f>
        <v>30323.864556174001</v>
      </c>
      <c r="K25" s="77">
        <f>CPUE!L27</f>
        <v>14.927536231884032</v>
      </c>
      <c r="L25" s="77"/>
      <c r="M25" s="75" t="s">
        <v>10</v>
      </c>
      <c r="N25" s="76" t="s">
        <v>10</v>
      </c>
      <c r="O25" s="123" t="s">
        <v>10</v>
      </c>
      <c r="P25" s="78"/>
      <c r="Q25" s="75">
        <f t="shared" si="1"/>
        <v>2031.40451881166</v>
      </c>
      <c r="R25" s="76">
        <f t="shared" si="1"/>
        <v>30323.864556174001</v>
      </c>
    </row>
    <row r="26" spans="1:18" x14ac:dyDescent="0.25">
      <c r="A26" s="71">
        <v>43799</v>
      </c>
      <c r="B26" s="72" t="s">
        <v>19</v>
      </c>
      <c r="C26" s="127">
        <v>-0.2</v>
      </c>
      <c r="D26" s="25">
        <v>0.88194444444444453</v>
      </c>
      <c r="E26" s="75">
        <f>Effort!J28</f>
        <v>1515.7137064165499</v>
      </c>
      <c r="F26" s="76">
        <f>Harvest!J28</f>
        <v>21135.7855728086</v>
      </c>
      <c r="G26" s="77">
        <f>CPUE!J28</f>
        <v>13.944444444444473</v>
      </c>
      <c r="H26" s="77"/>
      <c r="I26" s="75" t="str">
        <f>Effort!L28</f>
        <v>CLOSED</v>
      </c>
      <c r="J26" s="76" t="str">
        <f>Harvest!L28</f>
        <v>CLOSED</v>
      </c>
      <c r="K26" s="77" t="str">
        <f>CPUE!L28</f>
        <v>CLOSED</v>
      </c>
      <c r="L26" s="77"/>
      <c r="M26" s="75" t="s">
        <v>10</v>
      </c>
      <c r="N26" s="76" t="s">
        <v>10</v>
      </c>
      <c r="O26" s="123" t="s">
        <v>10</v>
      </c>
      <c r="P26" s="125"/>
      <c r="Q26" s="75">
        <f t="shared" si="1"/>
        <v>1515.7137064165499</v>
      </c>
      <c r="R26" s="76">
        <f t="shared" si="1"/>
        <v>21135.7855728086</v>
      </c>
    </row>
    <row r="27" spans="1:18" x14ac:dyDescent="0.25">
      <c r="A27" s="148" t="s">
        <v>65</v>
      </c>
      <c r="B27" s="148"/>
      <c r="C27" s="148"/>
      <c r="D27" s="149"/>
      <c r="E27" s="81">
        <f>SUM(E20:E26)</f>
        <v>7676.2258992467105</v>
      </c>
      <c r="F27" s="82">
        <f>SUM(F20:F26)</f>
        <v>109126.1526770483</v>
      </c>
      <c r="G27" s="83">
        <f>+F27/E27</f>
        <v>14.216120540141629</v>
      </c>
      <c r="H27" s="83">
        <v>115.5</v>
      </c>
      <c r="I27" s="81">
        <f>SUM(I20:I26)</f>
        <v>4026.1230989068163</v>
      </c>
      <c r="J27" s="82">
        <f>SUM(J20:J26)</f>
        <v>55744.638783975257</v>
      </c>
      <c r="K27" s="83">
        <f>+J27/I27</f>
        <v>13.845736311219891</v>
      </c>
      <c r="L27" s="83">
        <v>117.02</v>
      </c>
      <c r="M27" s="81"/>
      <c r="N27" s="82"/>
      <c r="O27" s="83"/>
      <c r="P27" s="83"/>
      <c r="Q27" s="81">
        <f>SUM(Q20:Q26)</f>
        <v>11702.348998153528</v>
      </c>
      <c r="R27" s="82">
        <f>SUM(R20:R26)</f>
        <v>164870.79146102356</v>
      </c>
    </row>
    <row r="28" spans="1:18" x14ac:dyDescent="0.25">
      <c r="A28" s="71">
        <v>43809</v>
      </c>
      <c r="B28" s="72" t="s">
        <v>22</v>
      </c>
      <c r="C28" s="129">
        <v>-0.2</v>
      </c>
      <c r="D28" s="25">
        <v>0.72777777777777775</v>
      </c>
      <c r="E28" s="75" t="str">
        <f>Effort!J30</f>
        <v>CLOSED</v>
      </c>
      <c r="F28" s="76" t="str">
        <f>Harvest!J30</f>
        <v>CLOSED</v>
      </c>
      <c r="G28" s="77" t="str">
        <f>CPUE!J30</f>
        <v>CLOSED</v>
      </c>
      <c r="H28" s="77"/>
      <c r="I28" s="75">
        <f>Effort!L30</f>
        <v>465.07350413715398</v>
      </c>
      <c r="J28" s="76">
        <f>Harvest!L30</f>
        <v>5404.4748584214103</v>
      </c>
      <c r="K28" s="77">
        <f>CPUE!L30</f>
        <v>11.620689655172415</v>
      </c>
      <c r="L28" s="77"/>
      <c r="M28" s="75" t="s">
        <v>10</v>
      </c>
      <c r="N28" s="76" t="s">
        <v>10</v>
      </c>
      <c r="O28" s="123" t="s">
        <v>10</v>
      </c>
      <c r="P28" s="126"/>
      <c r="Q28" s="75">
        <f t="shared" ref="Q28:Q40" si="2">SUM(E28,I28)</f>
        <v>465.07350413715398</v>
      </c>
      <c r="R28" s="76">
        <f t="shared" ref="R28:R40" si="3">SUM(F28,J28)</f>
        <v>5404.4748584214103</v>
      </c>
    </row>
    <row r="29" spans="1:18" x14ac:dyDescent="0.25">
      <c r="A29" s="71">
        <v>43810</v>
      </c>
      <c r="B29" s="72" t="s">
        <v>23</v>
      </c>
      <c r="C29" s="129">
        <v>-0.6</v>
      </c>
      <c r="D29" s="25">
        <v>0.75416666666666676</v>
      </c>
      <c r="E29" s="75">
        <f>Effort!J31</f>
        <v>290.65742365040001</v>
      </c>
      <c r="F29" s="76">
        <f>Harvest!J31</f>
        <v>2252.5950332911402</v>
      </c>
      <c r="G29" s="77">
        <f>CPUE!J31</f>
        <v>7.7500000000018581</v>
      </c>
      <c r="H29" s="77"/>
      <c r="I29" s="75" t="str">
        <f>Effort!L31</f>
        <v>CLOSED</v>
      </c>
      <c r="J29" s="76" t="str">
        <f>Harvest!L31</f>
        <v>CLOSED</v>
      </c>
      <c r="K29" s="77" t="str">
        <f>CPUE!L31</f>
        <v>CLOSED</v>
      </c>
      <c r="L29" s="77"/>
      <c r="M29" s="75" t="s">
        <v>10</v>
      </c>
      <c r="N29" s="76" t="s">
        <v>10</v>
      </c>
      <c r="O29" s="123" t="s">
        <v>10</v>
      </c>
      <c r="P29" s="78"/>
      <c r="Q29" s="75">
        <f t="shared" si="2"/>
        <v>290.65742365040001</v>
      </c>
      <c r="R29" s="76">
        <f t="shared" si="3"/>
        <v>2252.5950332911402</v>
      </c>
    </row>
    <row r="30" spans="1:18" x14ac:dyDescent="0.25">
      <c r="A30" s="71">
        <v>43811</v>
      </c>
      <c r="B30" s="72" t="s">
        <v>24</v>
      </c>
      <c r="C30" s="129">
        <v>-0.9</v>
      </c>
      <c r="D30" s="25">
        <v>0.78125</v>
      </c>
      <c r="E30" s="75" t="str">
        <f>Effort!J32</f>
        <v>CLOSED</v>
      </c>
      <c r="F30" s="76" t="str">
        <f>Harvest!J32</f>
        <v>CLOSED</v>
      </c>
      <c r="G30" s="77" t="str">
        <f>CPUE!J32</f>
        <v>CLOSED</v>
      </c>
      <c r="H30" s="77"/>
      <c r="I30" s="75">
        <f>Effort!L32</f>
        <v>272.88041518970698</v>
      </c>
      <c r="J30" s="76">
        <f>Harvest!L32</f>
        <v>250.140380590565</v>
      </c>
      <c r="K30" s="77">
        <f>CPUE!L32</f>
        <v>0.91666666666666763</v>
      </c>
      <c r="L30" s="77"/>
      <c r="M30" s="75" t="s">
        <v>10</v>
      </c>
      <c r="N30" s="76" t="s">
        <v>10</v>
      </c>
      <c r="O30" s="123" t="s">
        <v>10</v>
      </c>
      <c r="P30" s="78"/>
      <c r="Q30" s="75">
        <f t="shared" si="2"/>
        <v>272.88041518970698</v>
      </c>
      <c r="R30" s="76">
        <f t="shared" si="3"/>
        <v>250.140380590565</v>
      </c>
    </row>
    <row r="31" spans="1:18" x14ac:dyDescent="0.25">
      <c r="A31" s="71">
        <v>43812</v>
      </c>
      <c r="B31" s="72" t="s">
        <v>18</v>
      </c>
      <c r="C31" s="129">
        <v>-1</v>
      </c>
      <c r="D31" s="25">
        <v>0.80972222222222223</v>
      </c>
      <c r="E31" s="75">
        <f>Effort!J33</f>
        <v>1184.49694017506</v>
      </c>
      <c r="F31" s="76">
        <f>Harvest!J33</f>
        <v>15351.0803446687</v>
      </c>
      <c r="G31" s="77">
        <f>CPUE!J33</f>
        <v>12.959999999999935</v>
      </c>
      <c r="H31" s="77"/>
      <c r="I31" s="75" t="str">
        <f>Effort!L33</f>
        <v>CLOSED</v>
      </c>
      <c r="J31" s="76" t="str">
        <f>Harvest!L33</f>
        <v>CLOSED</v>
      </c>
      <c r="K31" s="77" t="str">
        <f>CPUE!L33</f>
        <v>CLOSED</v>
      </c>
      <c r="L31" s="77"/>
      <c r="M31" s="75" t="s">
        <v>10</v>
      </c>
      <c r="N31" s="76" t="s">
        <v>10</v>
      </c>
      <c r="O31" s="123" t="s">
        <v>10</v>
      </c>
      <c r="P31" s="78"/>
      <c r="Q31" s="75">
        <f t="shared" si="2"/>
        <v>1184.49694017506</v>
      </c>
      <c r="R31" s="76">
        <f t="shared" si="3"/>
        <v>15351.0803446687</v>
      </c>
    </row>
    <row r="32" spans="1:18" x14ac:dyDescent="0.25">
      <c r="A32" s="71">
        <v>43813</v>
      </c>
      <c r="B32" s="72" t="s">
        <v>19</v>
      </c>
      <c r="C32" s="129">
        <v>-1</v>
      </c>
      <c r="D32" s="25">
        <v>0.83888888888888891</v>
      </c>
      <c r="E32" s="75" t="str">
        <f>Effort!J34</f>
        <v>CLOSED</v>
      </c>
      <c r="F32" s="76" t="str">
        <f>Harvest!J34</f>
        <v>CLOSED</v>
      </c>
      <c r="G32" s="77" t="str">
        <f>CPUE!J34</f>
        <v>CLOSED</v>
      </c>
      <c r="H32" s="77"/>
      <c r="I32" s="75">
        <f>Effort!L34</f>
        <v>1676.0949575991201</v>
      </c>
      <c r="J32" s="76">
        <f>Harvest!L34</f>
        <v>25065.238229550501</v>
      </c>
      <c r="K32" s="77">
        <f>CPUE!L34</f>
        <v>14.954545454545469</v>
      </c>
      <c r="L32" s="77"/>
      <c r="M32" s="75" t="s">
        <v>10</v>
      </c>
      <c r="N32" s="76" t="s">
        <v>10</v>
      </c>
      <c r="O32" s="123" t="s">
        <v>10</v>
      </c>
      <c r="P32" s="78"/>
      <c r="Q32" s="75">
        <f t="shared" si="2"/>
        <v>1676.0949575991201</v>
      </c>
      <c r="R32" s="76">
        <f t="shared" si="3"/>
        <v>25065.238229550501</v>
      </c>
    </row>
    <row r="33" spans="1:18" x14ac:dyDescent="0.25">
      <c r="A33" s="71">
        <v>43814</v>
      </c>
      <c r="B33" s="72" t="s">
        <v>20</v>
      </c>
      <c r="C33" s="129">
        <v>-0.8</v>
      </c>
      <c r="D33" s="25">
        <v>0.87013888888888891</v>
      </c>
      <c r="E33" s="75">
        <f>Effort!J35</f>
        <v>382.97871628083902</v>
      </c>
      <c r="F33" s="76">
        <f>Harvest!J35</f>
        <v>5744.6807442125901</v>
      </c>
      <c r="G33" s="77">
        <f>CPUE!J35</f>
        <v>15.000000000000012</v>
      </c>
      <c r="H33" s="77"/>
      <c r="I33" s="75" t="str">
        <f>Effort!L35</f>
        <v>CLOSED</v>
      </c>
      <c r="J33" s="76" t="str">
        <f>Harvest!L35</f>
        <v>CLOSED</v>
      </c>
      <c r="K33" s="77" t="str">
        <f>CPUE!L35</f>
        <v>CLOSED</v>
      </c>
      <c r="L33" s="77"/>
      <c r="M33" s="75" t="s">
        <v>10</v>
      </c>
      <c r="N33" s="76" t="s">
        <v>10</v>
      </c>
      <c r="O33" s="123" t="s">
        <v>10</v>
      </c>
      <c r="P33" s="78"/>
      <c r="Q33" s="75">
        <f t="shared" si="2"/>
        <v>382.97871628083902</v>
      </c>
      <c r="R33" s="76">
        <f t="shared" si="3"/>
        <v>5744.6807442125901</v>
      </c>
    </row>
    <row r="34" spans="1:18" x14ac:dyDescent="0.25">
      <c r="A34" s="71">
        <v>43815</v>
      </c>
      <c r="B34" s="72" t="s">
        <v>21</v>
      </c>
      <c r="C34" s="129">
        <v>-0.4</v>
      </c>
      <c r="D34" s="25">
        <v>0.90347222222222223</v>
      </c>
      <c r="E34" s="75" t="str">
        <f>Effort!J36</f>
        <v>CLOSED</v>
      </c>
      <c r="F34" s="76" t="str">
        <f>Harvest!J36</f>
        <v>CLOSED</v>
      </c>
      <c r="G34" s="77" t="str">
        <f>CPUE!J36</f>
        <v>CLOSED</v>
      </c>
      <c r="H34" s="77"/>
      <c r="I34" s="75">
        <f>Effort!L36</f>
        <v>87.591244381881296</v>
      </c>
      <c r="J34" s="76">
        <f>Harvest!L36</f>
        <v>1313.8686657282201</v>
      </c>
      <c r="K34" s="77">
        <f>CPUE!L36</f>
        <v>15.000000000000007</v>
      </c>
      <c r="L34" s="77"/>
      <c r="M34" s="75" t="s">
        <v>10</v>
      </c>
      <c r="N34" s="76" t="s">
        <v>10</v>
      </c>
      <c r="O34" s="123" t="s">
        <v>10</v>
      </c>
      <c r="P34" s="125"/>
      <c r="Q34" s="75">
        <f t="shared" si="2"/>
        <v>87.591244381881296</v>
      </c>
      <c r="R34" s="76">
        <f t="shared" si="3"/>
        <v>1313.8686657282201</v>
      </c>
    </row>
    <row r="35" spans="1:18" x14ac:dyDescent="0.25">
      <c r="A35" s="148" t="s">
        <v>65</v>
      </c>
      <c r="B35" s="148"/>
      <c r="C35" s="148"/>
      <c r="D35" s="149"/>
      <c r="E35" s="81">
        <f>SUM(E28:E34)</f>
        <v>1858.1330801062991</v>
      </c>
      <c r="F35" s="82">
        <f>SUM(F28:F34)</f>
        <v>23348.35612217243</v>
      </c>
      <c r="G35" s="83">
        <f>+F35/E35</f>
        <v>12.565491875768515</v>
      </c>
      <c r="H35" s="83"/>
      <c r="I35" s="81">
        <f>SUM(I28:I34)</f>
        <v>2501.640121307862</v>
      </c>
      <c r="J35" s="82">
        <f>SUM(J28:J34)</f>
        <v>32033.722134290696</v>
      </c>
      <c r="K35" s="83">
        <f>+J35/I35</f>
        <v>12.805088094583088</v>
      </c>
      <c r="L35" s="83">
        <v>117.5</v>
      </c>
      <c r="M35" s="81"/>
      <c r="N35" s="82"/>
      <c r="O35" s="83"/>
      <c r="P35" s="83"/>
      <c r="Q35" s="81">
        <f>SUM(Q28:Q34)</f>
        <v>4359.7732014141611</v>
      </c>
      <c r="R35" s="82">
        <f>SUM(R28:R34)</f>
        <v>55382.078256463123</v>
      </c>
    </row>
    <row r="36" spans="1:18" x14ac:dyDescent="0.25">
      <c r="A36" s="71">
        <v>43822</v>
      </c>
      <c r="B36" s="72" t="s">
        <v>21</v>
      </c>
      <c r="C36" s="130">
        <v>-0.4</v>
      </c>
      <c r="D36" s="25">
        <v>0.69097222222222221</v>
      </c>
      <c r="E36" s="75" t="str">
        <f>Effort!J38</f>
        <v>CLOSED</v>
      </c>
      <c r="F36" s="76" t="str">
        <f>Harvest!J38</f>
        <v>CLOSED</v>
      </c>
      <c r="G36" s="77" t="str">
        <f>CPUE!J38</f>
        <v>CLOSED</v>
      </c>
      <c r="H36" s="77"/>
      <c r="I36" s="75">
        <f>Effort!L38</f>
        <v>1240.07003266891</v>
      </c>
      <c r="J36" s="76">
        <f>Harvest!L38</f>
        <v>18533.410306433601</v>
      </c>
      <c r="K36" s="77">
        <f>CPUE!L38</f>
        <v>14.945454545454604</v>
      </c>
      <c r="L36" s="77"/>
      <c r="M36" s="75" t="s">
        <v>10</v>
      </c>
      <c r="N36" s="76" t="s">
        <v>10</v>
      </c>
      <c r="O36" s="123" t="s">
        <v>10</v>
      </c>
      <c r="P36" s="77"/>
      <c r="Q36" s="75">
        <f>SUM(E36,I36)</f>
        <v>1240.07003266891</v>
      </c>
      <c r="R36" s="76">
        <f>SUM(F36,J36)</f>
        <v>18533.410306433601</v>
      </c>
    </row>
    <row r="37" spans="1:18" x14ac:dyDescent="0.25">
      <c r="A37" s="71">
        <v>43825</v>
      </c>
      <c r="B37" s="72" t="s">
        <v>24</v>
      </c>
      <c r="C37" s="130">
        <v>-1.1000000000000001</v>
      </c>
      <c r="D37" s="25">
        <v>0.78263888888888899</v>
      </c>
      <c r="E37" s="75">
        <f>Effort!J39</f>
        <v>1843.1760681501601</v>
      </c>
      <c r="F37" s="76">
        <f>Harvest!J39</f>
        <v>16165.560597710401</v>
      </c>
      <c r="G37" s="77">
        <f>CPUE!J39</f>
        <v>8.7704918032786772</v>
      </c>
      <c r="H37" s="77"/>
      <c r="I37" s="75" t="str">
        <f>Effort!L39</f>
        <v>CLOSED</v>
      </c>
      <c r="J37" s="76" t="str">
        <f>Harvest!L39</f>
        <v>CLOSED</v>
      </c>
      <c r="K37" s="77" t="str">
        <f>CPUE!L39</f>
        <v>CLOSED</v>
      </c>
      <c r="L37" s="77"/>
      <c r="M37" s="75" t="s">
        <v>10</v>
      </c>
      <c r="N37" s="76" t="s">
        <v>10</v>
      </c>
      <c r="O37" s="123" t="s">
        <v>10</v>
      </c>
      <c r="P37" s="77"/>
      <c r="Q37" s="75">
        <f t="shared" si="2"/>
        <v>1843.1760681501601</v>
      </c>
      <c r="R37" s="76">
        <f t="shared" si="3"/>
        <v>16165.560597710401</v>
      </c>
    </row>
    <row r="38" spans="1:18" x14ac:dyDescent="0.25">
      <c r="A38" s="71">
        <v>43826</v>
      </c>
      <c r="B38" s="72" t="s">
        <v>18</v>
      </c>
      <c r="C38" s="130">
        <v>-0.9</v>
      </c>
      <c r="D38" s="25">
        <v>0.80972222222222223</v>
      </c>
      <c r="E38" s="75" t="str">
        <f>Effort!J40</f>
        <v>CLOSED</v>
      </c>
      <c r="F38" s="76" t="str">
        <f>Harvest!J40</f>
        <v>CLOSED</v>
      </c>
      <c r="G38" s="77" t="str">
        <f>CPUE!J40</f>
        <v>CLOSED</v>
      </c>
      <c r="H38" s="77"/>
      <c r="I38" s="75">
        <f>Effort!L40</f>
        <v>1955.76066222381</v>
      </c>
      <c r="J38" s="76">
        <f>Harvest!L40</f>
        <v>5893.7111848096001</v>
      </c>
      <c r="K38" s="77">
        <f>CPUE!L40</f>
        <v>3.0135135135135189</v>
      </c>
      <c r="L38" s="77"/>
      <c r="M38" s="75" t="s">
        <v>10</v>
      </c>
      <c r="N38" s="76" t="s">
        <v>10</v>
      </c>
      <c r="O38" s="123" t="s">
        <v>10</v>
      </c>
      <c r="P38" s="77"/>
      <c r="Q38" s="75">
        <f t="shared" si="2"/>
        <v>1955.76066222381</v>
      </c>
      <c r="R38" s="76">
        <f t="shared" si="3"/>
        <v>5893.7111848096001</v>
      </c>
    </row>
    <row r="39" spans="1:18" x14ac:dyDescent="0.25">
      <c r="A39" s="71">
        <v>43827</v>
      </c>
      <c r="B39" s="72" t="s">
        <v>19</v>
      </c>
      <c r="C39" s="130">
        <v>-0.6</v>
      </c>
      <c r="D39" s="25">
        <v>0.83680555555555547</v>
      </c>
      <c r="E39" s="75">
        <f>Effort!J41</f>
        <v>1550.90405514903</v>
      </c>
      <c r="F39" s="76">
        <f>Harvest!J41</f>
        <v>13464.6670242484</v>
      </c>
      <c r="G39" s="77">
        <f>CPUE!J41</f>
        <v>8.6818181818181834</v>
      </c>
      <c r="H39" s="77"/>
      <c r="I39" s="75" t="str">
        <f>Effort!L41</f>
        <v>CLOSED</v>
      </c>
      <c r="J39" s="76" t="str">
        <f>Harvest!L41</f>
        <v>CLOSED</v>
      </c>
      <c r="K39" s="77" t="str">
        <f>CPUE!L41</f>
        <v>CLOSED</v>
      </c>
      <c r="L39" s="77"/>
      <c r="M39" s="75" t="s">
        <v>10</v>
      </c>
      <c r="N39" s="76" t="s">
        <v>10</v>
      </c>
      <c r="O39" s="123" t="s">
        <v>10</v>
      </c>
      <c r="P39" s="77"/>
      <c r="Q39" s="75">
        <f t="shared" si="2"/>
        <v>1550.90405514903</v>
      </c>
      <c r="R39" s="76">
        <f t="shared" si="3"/>
        <v>13464.6670242484</v>
      </c>
    </row>
    <row r="40" spans="1:18" x14ac:dyDescent="0.25">
      <c r="A40" s="71">
        <v>43828</v>
      </c>
      <c r="B40" s="72" t="s">
        <v>20</v>
      </c>
      <c r="C40" s="130">
        <v>-0.2</v>
      </c>
      <c r="D40" s="25">
        <v>0.86319444444444438</v>
      </c>
      <c r="E40" s="75" t="str">
        <f>Effort!J42</f>
        <v>CLOSED</v>
      </c>
      <c r="F40" s="76" t="str">
        <f>Harvest!J42</f>
        <v>CLOSED</v>
      </c>
      <c r="G40" s="77" t="str">
        <f>CPUE!J42</f>
        <v>CLOSED</v>
      </c>
      <c r="H40" s="77"/>
      <c r="I40" s="75">
        <f>Effort!L42</f>
        <v>558.39418293449398</v>
      </c>
      <c r="J40" s="76">
        <f>Harvest!L42</f>
        <v>7496.0188799994103</v>
      </c>
      <c r="K40" s="77">
        <f>CPUE!L42</f>
        <v>13.424242424242408</v>
      </c>
      <c r="L40" s="77"/>
      <c r="M40" s="75" t="s">
        <v>10</v>
      </c>
      <c r="N40" s="76" t="s">
        <v>10</v>
      </c>
      <c r="O40" s="123" t="s">
        <v>10</v>
      </c>
      <c r="P40" s="77"/>
      <c r="Q40" s="75">
        <f t="shared" si="2"/>
        <v>558.39418293449398</v>
      </c>
      <c r="R40" s="76">
        <f t="shared" si="3"/>
        <v>7496.0188799994103</v>
      </c>
    </row>
    <row r="41" spans="1:18" x14ac:dyDescent="0.25">
      <c r="A41" s="148" t="s">
        <v>65</v>
      </c>
      <c r="B41" s="148"/>
      <c r="C41" s="148"/>
      <c r="D41" s="149"/>
      <c r="E41" s="81">
        <f>SUM(E36:E40)</f>
        <v>3394.0801232991898</v>
      </c>
      <c r="F41" s="82">
        <f>SUM(F36:F40)</f>
        <v>29630.227621958802</v>
      </c>
      <c r="G41" s="83">
        <f>+F41/E41</f>
        <v>8.7299729368666057</v>
      </c>
      <c r="H41" s="83">
        <v>120.1</v>
      </c>
      <c r="I41" s="81">
        <f>SUM(I36:I40)</f>
        <v>3754.2248778272142</v>
      </c>
      <c r="J41" s="82">
        <f>SUM(J36:J40)</f>
        <v>31923.140371242611</v>
      </c>
      <c r="K41" s="83">
        <f>+J41/I41</f>
        <v>8.5032573727225333</v>
      </c>
      <c r="L41" s="83">
        <v>112.9</v>
      </c>
      <c r="M41" s="81"/>
      <c r="N41" s="82"/>
      <c r="O41" s="83"/>
      <c r="P41" s="83"/>
      <c r="Q41" s="81">
        <f>SUM(Q36:Q40)</f>
        <v>7148.305001126404</v>
      </c>
      <c r="R41" s="82">
        <f>SUM(R36:R40)</f>
        <v>61553.367993201406</v>
      </c>
    </row>
    <row r="42" spans="1:18" x14ac:dyDescent="0.25">
      <c r="A42" s="71">
        <v>43838</v>
      </c>
      <c r="B42" s="72" t="s">
        <v>23</v>
      </c>
      <c r="C42" s="132">
        <v>-0.3</v>
      </c>
      <c r="D42" s="25">
        <v>0.71180555555555547</v>
      </c>
      <c r="E42" s="75" t="str">
        <f>Effort!J44</f>
        <v>CLOSED</v>
      </c>
      <c r="F42" s="76" t="str">
        <f>Harvest!J44</f>
        <v>CLOSED</v>
      </c>
      <c r="G42" s="77" t="str">
        <f>CPUE!J44</f>
        <v>CLOSED</v>
      </c>
      <c r="H42" s="77"/>
      <c r="I42" s="75">
        <f>Effort!L44</f>
        <v>255.47446278048699</v>
      </c>
      <c r="J42" s="76">
        <f>Harvest!L44</f>
        <v>3715.9921858980001</v>
      </c>
      <c r="K42" s="77">
        <f>CPUE!L44</f>
        <v>14.545454545454575</v>
      </c>
      <c r="L42" s="77"/>
      <c r="M42" s="75" t="s">
        <v>10</v>
      </c>
      <c r="N42" s="76" t="s">
        <v>10</v>
      </c>
      <c r="O42" s="123" t="s">
        <v>10</v>
      </c>
      <c r="P42" s="126"/>
      <c r="Q42" s="75">
        <f>SUM(E42,I42)</f>
        <v>255.47446278048699</v>
      </c>
      <c r="R42" s="76">
        <f>SUM(F42,J42)</f>
        <v>3715.9921858980001</v>
      </c>
    </row>
    <row r="43" spans="1:18" x14ac:dyDescent="0.25">
      <c r="A43" s="71">
        <v>43839</v>
      </c>
      <c r="B43" s="72" t="s">
        <v>24</v>
      </c>
      <c r="C43" s="132">
        <v>-0.8</v>
      </c>
      <c r="D43" s="25">
        <v>0.74097222222222225</v>
      </c>
      <c r="E43" s="75">
        <f>Effort!J45</f>
        <v>1027.62434187908</v>
      </c>
      <c r="F43" s="76">
        <f>Harvest!J45</f>
        <v>15414.3651281862</v>
      </c>
      <c r="G43" s="77">
        <f>CPUE!J45</f>
        <v>15</v>
      </c>
      <c r="H43" s="77"/>
      <c r="I43" s="75" t="str">
        <f>Effort!L45</f>
        <v>CLOSED</v>
      </c>
      <c r="J43" s="76" t="str">
        <f>Harvest!L45</f>
        <v>CLOSED</v>
      </c>
      <c r="K43" s="77" t="str">
        <f>CPUE!L45</f>
        <v>CLOSED</v>
      </c>
      <c r="L43" s="77"/>
      <c r="M43" s="75" t="s">
        <v>10</v>
      </c>
      <c r="N43" s="76" t="s">
        <v>10</v>
      </c>
      <c r="O43" s="123" t="s">
        <v>10</v>
      </c>
      <c r="P43" s="78"/>
      <c r="Q43" s="75">
        <f t="shared" ref="Q43:Q75" si="4">SUM(E43,I43)</f>
        <v>1027.62434187908</v>
      </c>
      <c r="R43" s="76">
        <f t="shared" ref="R43:R75" si="5">SUM(F43,J43)</f>
        <v>15414.3651281862</v>
      </c>
    </row>
    <row r="44" spans="1:18" x14ac:dyDescent="0.25">
      <c r="A44" s="71">
        <v>43840</v>
      </c>
      <c r="B44" s="72" t="s">
        <v>18</v>
      </c>
      <c r="C44" s="132">
        <v>-1.2</v>
      </c>
      <c r="D44" s="25">
        <v>0.77013888888888893</v>
      </c>
      <c r="E44" s="75" t="str">
        <f>Effort!J46</f>
        <v>CLOSED</v>
      </c>
      <c r="F44" s="76" t="str">
        <f>Harvest!J46</f>
        <v>CLOSED</v>
      </c>
      <c r="G44" s="77" t="str">
        <f>CPUE!J46</f>
        <v>CLOSED</v>
      </c>
      <c r="H44" s="77"/>
      <c r="I44" s="75">
        <f>Effort!L46</f>
        <v>386.66668422638497</v>
      </c>
      <c r="J44" s="76">
        <f>Harvest!L46</f>
        <v>880.740780737877</v>
      </c>
      <c r="K44" s="77">
        <f>CPUE!L46</f>
        <v>2.2777777777777781</v>
      </c>
      <c r="L44" s="77"/>
      <c r="M44" s="75" t="s">
        <v>10</v>
      </c>
      <c r="N44" s="76" t="s">
        <v>10</v>
      </c>
      <c r="O44" s="123" t="s">
        <v>10</v>
      </c>
      <c r="P44" s="78"/>
      <c r="Q44" s="75">
        <f t="shared" si="4"/>
        <v>386.66668422638497</v>
      </c>
      <c r="R44" s="76">
        <f t="shared" si="5"/>
        <v>880.740780737877</v>
      </c>
    </row>
    <row r="45" spans="1:18" x14ac:dyDescent="0.25">
      <c r="A45" s="71">
        <v>43841</v>
      </c>
      <c r="B45" s="72" t="s">
        <v>19</v>
      </c>
      <c r="C45" s="132">
        <v>-1.4</v>
      </c>
      <c r="D45" s="25">
        <v>0.7993055555555556</v>
      </c>
      <c r="E45" s="75">
        <f>Effort!J47</f>
        <v>0</v>
      </c>
      <c r="F45" s="76">
        <f>Harvest!J47</f>
        <v>0</v>
      </c>
      <c r="G45" s="77">
        <f>CPUE!J47</f>
        <v>0</v>
      </c>
      <c r="H45" s="77"/>
      <c r="I45" s="75" t="str">
        <f>Effort!L47</f>
        <v>CLOSED</v>
      </c>
      <c r="J45" s="76" t="str">
        <f>Harvest!L47</f>
        <v>CLOSED</v>
      </c>
      <c r="K45" s="77" t="str">
        <f>CPUE!L47</f>
        <v>CLOSED</v>
      </c>
      <c r="L45" s="77"/>
      <c r="M45" s="75" t="s">
        <v>10</v>
      </c>
      <c r="N45" s="76" t="s">
        <v>10</v>
      </c>
      <c r="O45" s="123" t="s">
        <v>10</v>
      </c>
      <c r="P45" s="78"/>
      <c r="Q45" s="75">
        <f t="shared" si="4"/>
        <v>0</v>
      </c>
      <c r="R45" s="76">
        <f t="shared" si="5"/>
        <v>0</v>
      </c>
    </row>
    <row r="46" spans="1:18" x14ac:dyDescent="0.25">
      <c r="A46" s="71">
        <v>43842</v>
      </c>
      <c r="B46" s="72" t="s">
        <v>20</v>
      </c>
      <c r="C46" s="132">
        <v>-1.3</v>
      </c>
      <c r="D46" s="25">
        <v>0.82847222222222217</v>
      </c>
      <c r="E46" s="75" t="str">
        <f>Effort!J48</f>
        <v>CLOSED</v>
      </c>
      <c r="F46" s="76" t="str">
        <f>Harvest!J48</f>
        <v>CLOSED</v>
      </c>
      <c r="G46" s="77" t="str">
        <f>CPUE!J48</f>
        <v>CLOSED</v>
      </c>
      <c r="H46" s="77"/>
      <c r="I46" s="75">
        <f>Effort!L48</f>
        <v>0</v>
      </c>
      <c r="J46" s="76">
        <f>Harvest!L48</f>
        <v>0</v>
      </c>
      <c r="K46" s="77">
        <f>CPUE!L48</f>
        <v>0</v>
      </c>
      <c r="L46" s="77"/>
      <c r="M46" s="75" t="s">
        <v>10</v>
      </c>
      <c r="N46" s="76" t="s">
        <v>10</v>
      </c>
      <c r="O46" s="123" t="s">
        <v>10</v>
      </c>
      <c r="P46" s="78"/>
      <c r="Q46" s="75">
        <f t="shared" si="4"/>
        <v>0</v>
      </c>
      <c r="R46" s="76">
        <f t="shared" si="5"/>
        <v>0</v>
      </c>
    </row>
    <row r="47" spans="1:18" x14ac:dyDescent="0.25">
      <c r="A47" s="71">
        <v>43843</v>
      </c>
      <c r="B47" s="72" t="s">
        <v>21</v>
      </c>
      <c r="C47" s="132">
        <v>-1.2</v>
      </c>
      <c r="D47" s="25">
        <v>0.85833333333333339</v>
      </c>
      <c r="E47" s="75">
        <f>Effort!J49</f>
        <v>131.62705885288599</v>
      </c>
      <c r="F47" s="76">
        <f>Harvest!J49</f>
        <v>1974.4058827932899</v>
      </c>
      <c r="G47" s="77">
        <f>CPUE!J49</f>
        <v>15</v>
      </c>
      <c r="H47" s="77"/>
      <c r="I47" s="75" t="str">
        <f>Effort!L49</f>
        <v>CLOSED</v>
      </c>
      <c r="J47" s="76" t="str">
        <f>Harvest!L49</f>
        <v>CLOSED</v>
      </c>
      <c r="K47" s="77" t="str">
        <f>CPUE!L49</f>
        <v>CLOSED</v>
      </c>
      <c r="L47" s="77"/>
      <c r="M47" s="75" t="s">
        <v>10</v>
      </c>
      <c r="N47" s="76" t="s">
        <v>10</v>
      </c>
      <c r="O47" s="123" t="s">
        <v>10</v>
      </c>
      <c r="P47" s="78"/>
      <c r="Q47" s="75">
        <f t="shared" si="4"/>
        <v>131.62705885288599</v>
      </c>
      <c r="R47" s="76">
        <f t="shared" si="5"/>
        <v>1974.4058827932899</v>
      </c>
    </row>
    <row r="48" spans="1:18" x14ac:dyDescent="0.25">
      <c r="A48" s="71">
        <v>43844</v>
      </c>
      <c r="B48" s="72" t="s">
        <v>22</v>
      </c>
      <c r="C48" s="132">
        <v>-0.5</v>
      </c>
      <c r="D48" s="25">
        <v>0.88888888888888884</v>
      </c>
      <c r="E48" s="75" t="str">
        <f>Effort!J50</f>
        <v>CLOSED</v>
      </c>
      <c r="F48" s="76" t="str">
        <f>Harvest!J50</f>
        <v>CLOSED</v>
      </c>
      <c r="G48" s="77" t="str">
        <f>CPUE!J50</f>
        <v>CLOSED</v>
      </c>
      <c r="H48" s="77"/>
      <c r="I48" s="75">
        <f>Effort!L50</f>
        <v>21.778584429708999</v>
      </c>
      <c r="J48" s="76">
        <f>Harvest!L50</f>
        <v>326.67876644563501</v>
      </c>
      <c r="K48" s="77">
        <f>CPUE!L50</f>
        <v>15</v>
      </c>
      <c r="L48" s="77"/>
      <c r="M48" s="75" t="s">
        <v>10</v>
      </c>
      <c r="N48" s="76" t="s">
        <v>10</v>
      </c>
      <c r="O48" s="123" t="s">
        <v>10</v>
      </c>
      <c r="P48" s="125"/>
      <c r="Q48" s="75">
        <f t="shared" si="4"/>
        <v>21.778584429708999</v>
      </c>
      <c r="R48" s="76">
        <f t="shared" si="5"/>
        <v>326.67876644563501</v>
      </c>
    </row>
    <row r="49" spans="1:18" s="133" customFormat="1" x14ac:dyDescent="0.25">
      <c r="A49" s="148" t="s">
        <v>65</v>
      </c>
      <c r="B49" s="148"/>
      <c r="C49" s="148"/>
      <c r="D49" s="149"/>
      <c r="E49" s="81">
        <f>SUM(E42:E48)</f>
        <v>1159.251400731966</v>
      </c>
      <c r="F49" s="82">
        <f>SUM(F42:F48)</f>
        <v>17388.77101097949</v>
      </c>
      <c r="G49" s="83">
        <f>+F49/E49</f>
        <v>15</v>
      </c>
      <c r="H49" s="83">
        <v>108.47</v>
      </c>
      <c r="I49" s="81">
        <f>SUM(I42:I48)</f>
        <v>663.91973143658095</v>
      </c>
      <c r="J49" s="82">
        <f>SUM(J42:J48)</f>
        <v>4923.4117330815125</v>
      </c>
      <c r="K49" s="83">
        <f>+J49/I49</f>
        <v>7.4156731604109698</v>
      </c>
      <c r="L49" s="83">
        <v>113.33</v>
      </c>
      <c r="M49" s="81"/>
      <c r="N49" s="82"/>
      <c r="O49" s="83"/>
      <c r="P49" s="83"/>
      <c r="Q49" s="81">
        <f>SUM(Q42:Q48)</f>
        <v>1823.171132168547</v>
      </c>
      <c r="R49" s="82">
        <f>SUM(R42:R48)</f>
        <v>22312.182744061003</v>
      </c>
    </row>
    <row r="50" spans="1:18" x14ac:dyDescent="0.25">
      <c r="A50" s="71">
        <v>43851</v>
      </c>
      <c r="B50" s="72" t="s">
        <v>22</v>
      </c>
      <c r="C50" s="132">
        <v>-0.1</v>
      </c>
      <c r="D50" s="25">
        <v>0.68263888888888891</v>
      </c>
      <c r="E50" s="75" t="str">
        <f>Effort!J52</f>
        <v>CLOSED</v>
      </c>
      <c r="F50" s="76" t="str">
        <f>Harvest!J52</f>
        <v>CLOSED</v>
      </c>
      <c r="G50" s="77" t="str">
        <f>CPUE!J52</f>
        <v>CLOSED</v>
      </c>
      <c r="H50" s="77"/>
      <c r="I50" s="75">
        <f>Effort!L52</f>
        <v>246.35037482404101</v>
      </c>
      <c r="J50" s="76">
        <f>Harvest!L52</f>
        <v>1524.2929442237601</v>
      </c>
      <c r="K50" s="77">
        <f>CPUE!L52</f>
        <v>6.1875000000000258</v>
      </c>
      <c r="L50" s="77"/>
      <c r="M50" s="75" t="s">
        <v>10</v>
      </c>
      <c r="N50" s="76" t="s">
        <v>10</v>
      </c>
      <c r="O50" s="123" t="s">
        <v>10</v>
      </c>
      <c r="P50" s="78"/>
      <c r="Q50" s="75">
        <f t="shared" si="4"/>
        <v>246.35037482404101</v>
      </c>
      <c r="R50" s="76">
        <f t="shared" si="5"/>
        <v>1524.2929442237601</v>
      </c>
    </row>
    <row r="51" spans="1:18" x14ac:dyDescent="0.25">
      <c r="A51" s="71">
        <v>43852</v>
      </c>
      <c r="B51" s="72" t="s">
        <v>23</v>
      </c>
      <c r="C51" s="132">
        <v>-0.5</v>
      </c>
      <c r="D51" s="25">
        <v>0.71527777777777779</v>
      </c>
      <c r="E51" s="75">
        <f>Effort!J53</f>
        <v>278.08472334003801</v>
      </c>
      <c r="F51" s="76">
        <f>Harvest!J53</f>
        <v>1243.20229257899</v>
      </c>
      <c r="G51" s="77">
        <f>CPUE!J53</f>
        <v>4.4705882352941053</v>
      </c>
      <c r="H51" s="77"/>
      <c r="I51" s="75" t="str">
        <f>Effort!L53</f>
        <v>CLOSED</v>
      </c>
      <c r="J51" s="76" t="str">
        <f>Harvest!L53</f>
        <v>CLOSED</v>
      </c>
      <c r="K51" s="77" t="str">
        <f>CPUE!L53</f>
        <v>CLOSED</v>
      </c>
      <c r="L51" s="77"/>
      <c r="M51" s="75" t="s">
        <v>10</v>
      </c>
      <c r="N51" s="76" t="s">
        <v>10</v>
      </c>
      <c r="O51" s="123" t="s">
        <v>10</v>
      </c>
      <c r="P51" s="78"/>
      <c r="Q51" s="75">
        <f t="shared" si="4"/>
        <v>278.08472334003801</v>
      </c>
      <c r="R51" s="76">
        <f t="shared" si="5"/>
        <v>1243.20229257899</v>
      </c>
    </row>
    <row r="52" spans="1:18" x14ac:dyDescent="0.25">
      <c r="A52" s="71">
        <v>43853</v>
      </c>
      <c r="B52" s="72" t="s">
        <v>24</v>
      </c>
      <c r="C52" s="132">
        <v>-0.6</v>
      </c>
      <c r="D52" s="25">
        <v>0.74513888888888891</v>
      </c>
      <c r="E52" s="75" t="str">
        <f>Effort!J54</f>
        <v>CLOSED</v>
      </c>
      <c r="F52" s="76" t="str">
        <f>Harvest!J54</f>
        <v>CLOSED</v>
      </c>
      <c r="G52" s="77" t="str">
        <f>CPUE!J54</f>
        <v>CLOSED</v>
      </c>
      <c r="H52" s="77"/>
      <c r="I52" s="75">
        <f>Effort!L54</f>
        <v>64.761907702941301</v>
      </c>
      <c r="J52" s="76">
        <f>Harvest!L54</f>
        <v>30.476191860207699</v>
      </c>
      <c r="K52" s="77">
        <f>CPUE!L54</f>
        <v>0.47058823529411808</v>
      </c>
      <c r="L52" s="77"/>
      <c r="M52" s="75" t="s">
        <v>10</v>
      </c>
      <c r="N52" s="76" t="s">
        <v>10</v>
      </c>
      <c r="O52" s="123" t="s">
        <v>10</v>
      </c>
      <c r="P52" s="78"/>
      <c r="Q52" s="75">
        <f t="shared" si="4"/>
        <v>64.761907702941301</v>
      </c>
      <c r="R52" s="76">
        <f t="shared" si="5"/>
        <v>30.476191860207699</v>
      </c>
    </row>
    <row r="53" spans="1:18" x14ac:dyDescent="0.25">
      <c r="A53" s="71">
        <v>43854</v>
      </c>
      <c r="B53" s="72" t="s">
        <v>18</v>
      </c>
      <c r="C53" s="132">
        <v>-0.6</v>
      </c>
      <c r="D53" s="25">
        <v>0.77222222222222225</v>
      </c>
      <c r="E53" s="75">
        <f>Effort!J55</f>
        <v>687.855750094477</v>
      </c>
      <c r="F53" s="76">
        <f>Harvest!J55</f>
        <v>5645.1609835339796</v>
      </c>
      <c r="G53" s="77">
        <f>CPUE!J55</f>
        <v>8.2068965517241317</v>
      </c>
      <c r="H53" s="77"/>
      <c r="I53" s="75" t="str">
        <f>Effort!L55</f>
        <v>CLOSED</v>
      </c>
      <c r="J53" s="76" t="str">
        <f>Harvest!L55</f>
        <v>CLOSED</v>
      </c>
      <c r="K53" s="77" t="str">
        <f>CPUE!L55</f>
        <v>CLOSED</v>
      </c>
      <c r="L53" s="77"/>
      <c r="M53" s="75" t="s">
        <v>10</v>
      </c>
      <c r="N53" s="76" t="s">
        <v>10</v>
      </c>
      <c r="O53" s="123" t="s">
        <v>10</v>
      </c>
      <c r="P53" s="78"/>
      <c r="Q53" s="75">
        <f t="shared" si="4"/>
        <v>687.855750094477</v>
      </c>
      <c r="R53" s="76">
        <f t="shared" si="5"/>
        <v>5645.1609835339796</v>
      </c>
    </row>
    <row r="54" spans="1:18" x14ac:dyDescent="0.25">
      <c r="A54" s="71">
        <v>43855</v>
      </c>
      <c r="B54" s="72" t="s">
        <v>19</v>
      </c>
      <c r="C54" s="132">
        <v>-0.5</v>
      </c>
      <c r="D54" s="25">
        <v>0.79722222222222217</v>
      </c>
      <c r="E54" s="75" t="str">
        <f>Effort!J56</f>
        <v>CLOSED</v>
      </c>
      <c r="F54" s="76" t="str">
        <f>Harvest!J56</f>
        <v>CLOSED</v>
      </c>
      <c r="G54" s="77" t="str">
        <f>CPUE!J56</f>
        <v>CLOSED</v>
      </c>
      <c r="H54" s="77"/>
      <c r="I54" s="75">
        <f>Effort!L56</f>
        <v>1016.40684452453</v>
      </c>
      <c r="J54" s="76">
        <f>Harvest!L56</f>
        <v>8554.7576080814797</v>
      </c>
      <c r="K54" s="77">
        <f>CPUE!L56</f>
        <v>8.4166666666666856</v>
      </c>
      <c r="L54" s="77"/>
      <c r="M54" s="75" t="s">
        <v>10</v>
      </c>
      <c r="N54" s="76" t="s">
        <v>10</v>
      </c>
      <c r="O54" s="123" t="s">
        <v>10</v>
      </c>
      <c r="P54" s="78"/>
      <c r="Q54" s="75">
        <f t="shared" si="4"/>
        <v>1016.40684452453</v>
      </c>
      <c r="R54" s="76">
        <f t="shared" si="5"/>
        <v>8554.7576080814797</v>
      </c>
    </row>
    <row r="55" spans="1:18" x14ac:dyDescent="0.25">
      <c r="A55" s="71">
        <v>43856</v>
      </c>
      <c r="B55" s="72" t="s">
        <v>20</v>
      </c>
      <c r="C55" s="132">
        <v>-0.3</v>
      </c>
      <c r="D55" s="25">
        <v>0.8208333333333333</v>
      </c>
      <c r="E55" s="75">
        <f>Effort!J57</f>
        <v>158.105100938877</v>
      </c>
      <c r="F55" s="76">
        <f>Harvest!J57</f>
        <v>1488.3687088383899</v>
      </c>
      <c r="G55" s="77">
        <f>CPUE!J57</f>
        <v>9.4137931034482509</v>
      </c>
      <c r="H55" s="77"/>
      <c r="I55" s="75" t="str">
        <f>Effort!L57</f>
        <v>CLOSED</v>
      </c>
      <c r="J55" s="76" t="str">
        <f>Harvest!L57</f>
        <v>CLOSED</v>
      </c>
      <c r="K55" s="77" t="str">
        <f>CPUE!L57</f>
        <v>CLOSED</v>
      </c>
      <c r="L55" s="77"/>
      <c r="M55" s="75" t="s">
        <v>10</v>
      </c>
      <c r="N55" s="76" t="s">
        <v>10</v>
      </c>
      <c r="O55" s="123" t="s">
        <v>10</v>
      </c>
      <c r="P55" s="125"/>
      <c r="Q55" s="75">
        <f t="shared" si="4"/>
        <v>158.105100938877</v>
      </c>
      <c r="R55" s="76">
        <f t="shared" si="5"/>
        <v>1488.3687088383899</v>
      </c>
    </row>
    <row r="56" spans="1:18" x14ac:dyDescent="0.25">
      <c r="A56" s="148" t="s">
        <v>65</v>
      </c>
      <c r="B56" s="148"/>
      <c r="C56" s="148"/>
      <c r="D56" s="149"/>
      <c r="E56" s="81">
        <f>SUM(E50:E55)</f>
        <v>1124.0455743733921</v>
      </c>
      <c r="F56" s="82">
        <f>SUM(F50:F55)</f>
        <v>8376.7319849513588</v>
      </c>
      <c r="G56" s="83">
        <f>+F56/E56</f>
        <v>7.4523063618848662</v>
      </c>
      <c r="H56" s="83">
        <v>133.58000000000001</v>
      </c>
      <c r="I56" s="81">
        <f>SUM(I50:I55)</f>
        <v>1327.5191270515124</v>
      </c>
      <c r="J56" s="82">
        <f>SUM(J50:J55)</f>
        <v>10109.526744165447</v>
      </c>
      <c r="K56" s="83">
        <f>+J56/I56</f>
        <v>7.6153529829880648</v>
      </c>
      <c r="L56" s="83">
        <v>113.33</v>
      </c>
      <c r="M56" s="81"/>
      <c r="N56" s="82"/>
      <c r="O56" s="83"/>
      <c r="P56" s="83"/>
      <c r="Q56" s="81">
        <f>SUM(Q50:Q55)</f>
        <v>2451.5647014249048</v>
      </c>
      <c r="R56" s="82">
        <f>SUM(R50:R55)</f>
        <v>18486.258729116806</v>
      </c>
    </row>
    <row r="57" spans="1:18" x14ac:dyDescent="0.25">
      <c r="A57" s="71">
        <v>43867</v>
      </c>
      <c r="B57" s="72" t="s">
        <v>24</v>
      </c>
      <c r="C57" s="132">
        <v>-0.3</v>
      </c>
      <c r="D57" s="25">
        <v>0.69444444444444453</v>
      </c>
      <c r="E57" s="75" t="str">
        <f>Effort!J59</f>
        <v>CLOSED</v>
      </c>
      <c r="F57" s="76" t="str">
        <f>Harvest!J59</f>
        <v>CLOSED</v>
      </c>
      <c r="G57" s="77" t="str">
        <f>CPUE!J59</f>
        <v>CLOSED</v>
      </c>
      <c r="H57" s="77"/>
      <c r="I57" s="75">
        <f>Effort!L59</f>
        <v>225.88236319918599</v>
      </c>
      <c r="J57" s="76">
        <f>Harvest!L59</f>
        <v>2871.93290353251</v>
      </c>
      <c r="K57" s="77">
        <f>CPUE!L59</f>
        <v>12.714285714285724</v>
      </c>
      <c r="L57" s="77"/>
      <c r="M57" s="75" t="s">
        <v>10</v>
      </c>
      <c r="N57" s="76" t="s">
        <v>10</v>
      </c>
      <c r="O57" s="123" t="s">
        <v>10</v>
      </c>
      <c r="P57" s="126"/>
      <c r="Q57" s="75">
        <f t="shared" si="4"/>
        <v>225.88236319918599</v>
      </c>
      <c r="R57" s="76">
        <f t="shared" si="5"/>
        <v>2871.93290353251</v>
      </c>
    </row>
    <row r="58" spans="1:18" x14ac:dyDescent="0.25">
      <c r="A58" s="71">
        <v>43868</v>
      </c>
      <c r="B58" s="72" t="s">
        <v>18</v>
      </c>
      <c r="C58" s="132">
        <v>-0.9</v>
      </c>
      <c r="D58" s="25">
        <v>0.72638888888888886</v>
      </c>
      <c r="E58" s="75">
        <f>Effort!J60</f>
        <v>883.55452970237798</v>
      </c>
      <c r="F58" s="76">
        <f>Harvest!J60</f>
        <v>12744.6047314646</v>
      </c>
      <c r="G58" s="77">
        <f>CPUE!J60</f>
        <v>14.42424242424242</v>
      </c>
      <c r="H58" s="77"/>
      <c r="I58" s="75" t="str">
        <f>Effort!L60</f>
        <v>CLOSED</v>
      </c>
      <c r="J58" s="76" t="str">
        <f>Harvest!L60</f>
        <v>CLOSED</v>
      </c>
      <c r="K58" s="77" t="str">
        <f>CPUE!L60</f>
        <v>CLOSED</v>
      </c>
      <c r="L58" s="77"/>
      <c r="M58" s="75" t="s">
        <v>10</v>
      </c>
      <c r="N58" s="76" t="s">
        <v>10</v>
      </c>
      <c r="O58" s="123" t="s">
        <v>10</v>
      </c>
      <c r="P58" s="78"/>
      <c r="Q58" s="75">
        <f t="shared" si="4"/>
        <v>883.55452970237798</v>
      </c>
      <c r="R58" s="76">
        <f t="shared" si="5"/>
        <v>12744.6047314646</v>
      </c>
    </row>
    <row r="59" spans="1:18" x14ac:dyDescent="0.25">
      <c r="A59" s="71">
        <v>43869</v>
      </c>
      <c r="B59" s="72" t="s">
        <v>19</v>
      </c>
      <c r="C59" s="132">
        <v>-1.3</v>
      </c>
      <c r="D59" s="25">
        <v>0.75624999999999998</v>
      </c>
      <c r="E59" s="75" t="str">
        <f>Effort!J61</f>
        <v>CLOSED</v>
      </c>
      <c r="F59" s="76" t="str">
        <f>Harvest!J61</f>
        <v>CLOSED</v>
      </c>
      <c r="G59" s="77" t="str">
        <f>CPUE!J61</f>
        <v>CLOSED</v>
      </c>
      <c r="H59" s="77"/>
      <c r="I59" s="75">
        <f>Effort!L61</f>
        <v>3975.04947238146</v>
      </c>
      <c r="J59" s="76">
        <f>Harvest!L61</f>
        <v>53317.511401290401</v>
      </c>
      <c r="K59" s="77">
        <f>CPUE!L61</f>
        <v>13.413043478260857</v>
      </c>
      <c r="L59" s="77"/>
      <c r="M59" s="75" t="s">
        <v>10</v>
      </c>
      <c r="N59" s="76" t="s">
        <v>10</v>
      </c>
      <c r="O59" s="123" t="s">
        <v>10</v>
      </c>
      <c r="P59" s="78"/>
      <c r="Q59" s="75">
        <f t="shared" si="4"/>
        <v>3975.04947238146</v>
      </c>
      <c r="R59" s="76">
        <f t="shared" si="5"/>
        <v>53317.511401290401</v>
      </c>
    </row>
    <row r="60" spans="1:18" x14ac:dyDescent="0.25">
      <c r="A60" s="71">
        <v>43870</v>
      </c>
      <c r="B60" s="72" t="s">
        <v>20</v>
      </c>
      <c r="C60" s="132">
        <v>-1.4</v>
      </c>
      <c r="D60" s="25">
        <v>0.78541666666666676</v>
      </c>
      <c r="E60" s="75">
        <f>Effort!J62</f>
        <v>3127.1813397997798</v>
      </c>
      <c r="F60" s="76">
        <f>Harvest!J62</f>
        <v>45677.353668223099</v>
      </c>
      <c r="G60" s="77">
        <f>CPUE!J62</f>
        <v>14.606557377049208</v>
      </c>
      <c r="H60" s="77"/>
      <c r="I60" s="75" t="str">
        <f>Effort!L62</f>
        <v>CLOSED</v>
      </c>
      <c r="J60" s="76" t="str">
        <f>Harvest!L62</f>
        <v>CLOSED</v>
      </c>
      <c r="K60" s="77" t="str">
        <f>CPUE!L62</f>
        <v>CLOSED</v>
      </c>
      <c r="L60" s="77"/>
      <c r="M60" s="75" t="s">
        <v>10</v>
      </c>
      <c r="N60" s="76" t="s">
        <v>10</v>
      </c>
      <c r="O60" s="123" t="s">
        <v>10</v>
      </c>
      <c r="P60" s="78"/>
      <c r="Q60" s="75">
        <f t="shared" si="4"/>
        <v>3127.1813397997798</v>
      </c>
      <c r="R60" s="76">
        <f t="shared" si="5"/>
        <v>45677.353668223099</v>
      </c>
    </row>
    <row r="61" spans="1:18" x14ac:dyDescent="0.25">
      <c r="A61" s="71">
        <v>43871</v>
      </c>
      <c r="B61" s="72" t="s">
        <v>21</v>
      </c>
      <c r="C61" s="132">
        <v>-1.3</v>
      </c>
      <c r="D61" s="25">
        <v>0.81388888888888899</v>
      </c>
      <c r="E61" s="75" t="str">
        <f>Effort!J63</f>
        <v>CLOSED</v>
      </c>
      <c r="F61" s="76" t="str">
        <f>Harvest!J63</f>
        <v>CLOSED</v>
      </c>
      <c r="G61" s="77" t="str">
        <f>CPUE!J63</f>
        <v>CLOSED</v>
      </c>
      <c r="H61" s="77"/>
      <c r="I61" s="75">
        <f>Effort!L63</f>
        <v>727.27272836612894</v>
      </c>
      <c r="J61" s="76">
        <f>Harvest!L63</f>
        <v>8669.09092212426</v>
      </c>
      <c r="K61" s="77">
        <f>CPUE!L63</f>
        <v>11.920000000000003</v>
      </c>
      <c r="L61" s="77"/>
      <c r="M61" s="75" t="s">
        <v>10</v>
      </c>
      <c r="N61" s="76" t="s">
        <v>10</v>
      </c>
      <c r="O61" s="123" t="s">
        <v>10</v>
      </c>
      <c r="P61" s="78"/>
      <c r="Q61" s="75">
        <f t="shared" si="4"/>
        <v>727.27272836612894</v>
      </c>
      <c r="R61" s="76">
        <f t="shared" si="5"/>
        <v>8669.09092212426</v>
      </c>
    </row>
    <row r="62" spans="1:18" x14ac:dyDescent="0.25">
      <c r="A62" s="71">
        <v>43872</v>
      </c>
      <c r="B62" s="72" t="s">
        <v>22</v>
      </c>
      <c r="C62" s="132">
        <v>-0.8</v>
      </c>
      <c r="D62" s="25">
        <v>0.84236111111111101</v>
      </c>
      <c r="E62" s="75">
        <f>Effort!J64</f>
        <v>300.52671704286797</v>
      </c>
      <c r="F62" s="76">
        <f>Harvest!J64</f>
        <v>4507.9007556430097</v>
      </c>
      <c r="G62" s="77">
        <f>CPUE!J64</f>
        <v>14.999999999999966</v>
      </c>
      <c r="H62" s="77"/>
      <c r="I62" s="75" t="str">
        <f>Effort!L64</f>
        <v>CLOSED</v>
      </c>
      <c r="J62" s="76" t="str">
        <f>Harvest!L64</f>
        <v>CLOSED</v>
      </c>
      <c r="K62" s="77" t="str">
        <f>CPUE!L64</f>
        <v>CLOSED</v>
      </c>
      <c r="L62" s="77"/>
      <c r="M62" s="75" t="s">
        <v>10</v>
      </c>
      <c r="N62" s="76" t="s">
        <v>10</v>
      </c>
      <c r="O62" s="123" t="s">
        <v>10</v>
      </c>
      <c r="P62" s="78"/>
      <c r="Q62" s="75">
        <f t="shared" si="4"/>
        <v>300.52671704286797</v>
      </c>
      <c r="R62" s="76">
        <f t="shared" si="5"/>
        <v>4507.9007556430097</v>
      </c>
    </row>
    <row r="63" spans="1:18" x14ac:dyDescent="0.25">
      <c r="A63" s="71">
        <v>43873</v>
      </c>
      <c r="B63" s="72" t="s">
        <v>23</v>
      </c>
      <c r="C63" s="132">
        <v>-0.1</v>
      </c>
      <c r="D63" s="25">
        <v>0.87152777777777779</v>
      </c>
      <c r="E63" s="75" t="str">
        <f>Effort!J65</f>
        <v>CLOSED</v>
      </c>
      <c r="F63" s="76" t="str">
        <f>Harvest!J65</f>
        <v>CLOSED</v>
      </c>
      <c r="G63" s="77" t="str">
        <f>CPUE!J65</f>
        <v>CLOSED</v>
      </c>
      <c r="H63" s="77"/>
      <c r="I63" s="75">
        <f>Effort!L65</f>
        <v>102.236422437245</v>
      </c>
      <c r="J63" s="76">
        <f>Harvest!L65</f>
        <v>869.00959071658303</v>
      </c>
      <c r="K63" s="77">
        <f>CPUE!L65</f>
        <v>8.5000000000000053</v>
      </c>
      <c r="L63" s="77"/>
      <c r="M63" s="75" t="s">
        <v>10</v>
      </c>
      <c r="N63" s="76" t="s">
        <v>10</v>
      </c>
      <c r="O63" s="123" t="s">
        <v>10</v>
      </c>
      <c r="P63" s="125"/>
      <c r="Q63" s="75">
        <f t="shared" si="4"/>
        <v>102.236422437245</v>
      </c>
      <c r="R63" s="76">
        <f t="shared" si="5"/>
        <v>869.00959071658303</v>
      </c>
    </row>
    <row r="64" spans="1:18" x14ac:dyDescent="0.25">
      <c r="A64" s="148" t="s">
        <v>65</v>
      </c>
      <c r="B64" s="148"/>
      <c r="C64" s="148"/>
      <c r="D64" s="149"/>
      <c r="E64" s="81">
        <f>SUM(E57:E63)</f>
        <v>4311.2625865450254</v>
      </c>
      <c r="F64" s="82">
        <f>SUM(F57:F63)</f>
        <v>62929.859155330705</v>
      </c>
      <c r="G64" s="83">
        <f>+F64/E64</f>
        <v>14.596619410686754</v>
      </c>
      <c r="H64" s="83">
        <v>122.71</v>
      </c>
      <c r="I64" s="81">
        <f>SUM(I57:I63)</f>
        <v>5030.4409863840201</v>
      </c>
      <c r="J64" s="82">
        <f>SUM(J57:J63)</f>
        <v>65727.544817663758</v>
      </c>
      <c r="K64" s="83">
        <f>+J64/I64</f>
        <v>13.065960816471085</v>
      </c>
      <c r="L64" s="83">
        <v>118.29</v>
      </c>
      <c r="M64" s="81"/>
      <c r="N64" s="82"/>
      <c r="O64" s="83"/>
      <c r="P64" s="83"/>
      <c r="Q64" s="81">
        <f>SUM(Q57:Q63)</f>
        <v>9341.7035729290474</v>
      </c>
      <c r="R64" s="82">
        <f>SUM(R57:R63)</f>
        <v>128657.40397299446</v>
      </c>
    </row>
    <row r="65" spans="1:18" x14ac:dyDescent="0.25">
      <c r="A65" s="71">
        <v>43881</v>
      </c>
      <c r="B65" s="72" t="s">
        <v>24</v>
      </c>
      <c r="C65" s="132">
        <v>0</v>
      </c>
      <c r="D65" s="25">
        <v>0.70416666666666661</v>
      </c>
      <c r="E65" s="75">
        <f>Effort!J67</f>
        <v>1922.1650422361399</v>
      </c>
      <c r="F65" s="76">
        <f>Harvest!J67</f>
        <v>28747.0460761094</v>
      </c>
      <c r="G65" s="77">
        <f>CPUE!J67</f>
        <v>14.955555555555565</v>
      </c>
      <c r="H65" s="77"/>
      <c r="I65" s="75" t="str">
        <f>Effort!L67</f>
        <v>CLOSED</v>
      </c>
      <c r="J65" s="76" t="str">
        <f>Harvest!L67</f>
        <v>CLOSED</v>
      </c>
      <c r="K65" s="77" t="str">
        <f>CPUE!L67</f>
        <v>CLOSED</v>
      </c>
      <c r="L65" s="77"/>
      <c r="M65" s="75" t="s">
        <v>10</v>
      </c>
      <c r="N65" s="76" t="s">
        <v>10</v>
      </c>
      <c r="O65" s="123" t="s">
        <v>10</v>
      </c>
      <c r="P65" s="78"/>
      <c r="Q65" s="75">
        <f t="shared" si="4"/>
        <v>1922.1650422361399</v>
      </c>
      <c r="R65" s="76">
        <f t="shared" si="5"/>
        <v>28747.0460761094</v>
      </c>
    </row>
    <row r="66" spans="1:18" x14ac:dyDescent="0.25">
      <c r="A66" s="71">
        <v>43882</v>
      </c>
      <c r="B66" s="72" t="s">
        <v>18</v>
      </c>
      <c r="C66" s="132">
        <v>-0.1</v>
      </c>
      <c r="D66" s="25">
        <v>0.73263888888888884</v>
      </c>
      <c r="E66" s="75" t="str">
        <f>Effort!J68</f>
        <v>CLOSED</v>
      </c>
      <c r="F66" s="76" t="str">
        <f>Harvest!J68</f>
        <v>CLOSED</v>
      </c>
      <c r="G66" s="77" t="str">
        <f>CPUE!J68</f>
        <v>CLOSED</v>
      </c>
      <c r="H66" s="77"/>
      <c r="I66" s="75">
        <f>Effort!L68</f>
        <v>1836.0156719182301</v>
      </c>
      <c r="J66" s="76">
        <f>Harvest!L68</f>
        <v>26877.229419469601</v>
      </c>
      <c r="K66" s="77">
        <f>CPUE!L68</f>
        <v>14.638888888888864</v>
      </c>
      <c r="L66" s="77"/>
      <c r="M66" s="75" t="s">
        <v>10</v>
      </c>
      <c r="N66" s="76" t="s">
        <v>10</v>
      </c>
      <c r="O66" s="123" t="s">
        <v>10</v>
      </c>
      <c r="P66" s="78"/>
      <c r="Q66" s="75">
        <f t="shared" si="4"/>
        <v>1836.0156719182301</v>
      </c>
      <c r="R66" s="76">
        <f t="shared" si="5"/>
        <v>26877.229419469601</v>
      </c>
    </row>
    <row r="67" spans="1:18" x14ac:dyDescent="0.25">
      <c r="A67" s="71">
        <v>43883</v>
      </c>
      <c r="B67" s="72" t="s">
        <v>19</v>
      </c>
      <c r="C67" s="132">
        <v>-0.2</v>
      </c>
      <c r="D67" s="25">
        <v>0.75763888888888886</v>
      </c>
      <c r="E67" s="75">
        <f>Effort!J69</f>
        <v>5320.6095772103599</v>
      </c>
      <c r="F67" s="76">
        <f>Harvest!J69</f>
        <v>55562.365727725301</v>
      </c>
      <c r="G67" s="77">
        <f>CPUE!J69</f>
        <v>10.442857142857138</v>
      </c>
      <c r="H67" s="77"/>
      <c r="I67" s="75" t="str">
        <f>Effort!L69</f>
        <v>CLOSED</v>
      </c>
      <c r="J67" s="76" t="str">
        <f>Harvest!L69</f>
        <v>CLOSED</v>
      </c>
      <c r="K67" s="77" t="str">
        <f>CPUE!L69</f>
        <v>CLOSED</v>
      </c>
      <c r="L67" s="77"/>
      <c r="M67" s="75" t="s">
        <v>10</v>
      </c>
      <c r="N67" s="76" t="s">
        <v>10</v>
      </c>
      <c r="O67" s="123" t="s">
        <v>10</v>
      </c>
      <c r="P67" s="78"/>
      <c r="Q67" s="75">
        <f t="shared" si="4"/>
        <v>5320.6095772103599</v>
      </c>
      <c r="R67" s="76">
        <f t="shared" si="5"/>
        <v>55562.365727725301</v>
      </c>
    </row>
    <row r="68" spans="1:18" x14ac:dyDescent="0.25">
      <c r="A68" s="71">
        <v>43884</v>
      </c>
      <c r="B68" s="72" t="s">
        <v>20</v>
      </c>
      <c r="C68" s="132">
        <v>-0.1</v>
      </c>
      <c r="D68" s="25">
        <v>0.78055555555555556</v>
      </c>
      <c r="E68" s="75" t="str">
        <f>Effort!J70</f>
        <v>CLOSED</v>
      </c>
      <c r="F68" s="76" t="str">
        <f>Harvest!J70</f>
        <v>CLOSED</v>
      </c>
      <c r="G68" s="77" t="str">
        <f>CPUE!J70</f>
        <v>CLOSED</v>
      </c>
      <c r="H68" s="77"/>
      <c r="I68" s="75">
        <f>Effort!L70</f>
        <v>209.949796076485</v>
      </c>
      <c r="J68" s="76">
        <f>Harvest!L70</f>
        <v>451.39206156444402</v>
      </c>
      <c r="K68" s="77">
        <f>CPUE!L70</f>
        <v>2.1500000000000061</v>
      </c>
      <c r="L68" s="77"/>
      <c r="M68" s="75" t="s">
        <v>10</v>
      </c>
      <c r="N68" s="76" t="s">
        <v>10</v>
      </c>
      <c r="O68" s="123" t="s">
        <v>10</v>
      </c>
      <c r="P68" s="125"/>
      <c r="Q68" s="75">
        <f t="shared" si="4"/>
        <v>209.949796076485</v>
      </c>
      <c r="R68" s="76">
        <f t="shared" si="5"/>
        <v>451.39206156444402</v>
      </c>
    </row>
    <row r="69" spans="1:18" x14ac:dyDescent="0.25">
      <c r="A69" s="148" t="s">
        <v>65</v>
      </c>
      <c r="B69" s="148"/>
      <c r="C69" s="148"/>
      <c r="D69" s="149"/>
      <c r="E69" s="81">
        <f>SUM(E65:E68)</f>
        <v>7242.7746194464999</v>
      </c>
      <c r="F69" s="82">
        <f>SUM(F65:F68)</f>
        <v>84309.411803834693</v>
      </c>
      <c r="G69" s="83">
        <f>+F69/E69</f>
        <v>11.640485343485354</v>
      </c>
      <c r="H69" s="83">
        <v>117.79</v>
      </c>
      <c r="I69" s="81">
        <f>SUM(I65:I68)</f>
        <v>2045.965467994715</v>
      </c>
      <c r="J69" s="82">
        <f>SUM(J65:J68)</f>
        <v>27328.621481034046</v>
      </c>
      <c r="K69" s="83">
        <f>+J69/I69</f>
        <v>13.357322940459637</v>
      </c>
      <c r="L69" s="83">
        <v>117.86</v>
      </c>
      <c r="M69" s="81"/>
      <c r="N69" s="82"/>
      <c r="O69" s="83"/>
      <c r="P69" s="83"/>
      <c r="Q69" s="81">
        <f>SUM(Q65:Q68)</f>
        <v>9288.740087441216</v>
      </c>
      <c r="R69" s="82">
        <f>SUM(R65:R68)</f>
        <v>111638.03328486874</v>
      </c>
    </row>
    <row r="70" spans="1:18" x14ac:dyDescent="0.25">
      <c r="A70" s="71">
        <v>43896</v>
      </c>
      <c r="B70" s="72" t="s">
        <v>18</v>
      </c>
      <c r="C70" s="141">
        <v>-0.2</v>
      </c>
      <c r="D70" s="25">
        <v>0.6743055555555556</v>
      </c>
      <c r="E70" s="75" t="str">
        <f>Effort!J72</f>
        <v>CLOSED</v>
      </c>
      <c r="F70" s="76" t="str">
        <f>Harvest!J72</f>
        <v>CLOSED</v>
      </c>
      <c r="G70" s="77" t="str">
        <f>CPUE!J72</f>
        <v>CLOSED</v>
      </c>
      <c r="I70" s="75">
        <f>Effort!L72</f>
        <v>1719.12369978628</v>
      </c>
      <c r="J70" s="76">
        <f>Harvest!L72</f>
        <v>25438.384476567298</v>
      </c>
      <c r="K70" s="77">
        <f>CPUE!L72</f>
        <v>14.797297297297325</v>
      </c>
      <c r="M70" s="75" t="s">
        <v>10</v>
      </c>
      <c r="N70" s="76" t="s">
        <v>10</v>
      </c>
      <c r="O70" s="77" t="s">
        <v>10</v>
      </c>
      <c r="Q70" s="75">
        <f t="shared" si="4"/>
        <v>1719.12369978628</v>
      </c>
      <c r="R70" s="76">
        <f t="shared" si="5"/>
        <v>25438.384476567298</v>
      </c>
    </row>
    <row r="71" spans="1:18" x14ac:dyDescent="0.25">
      <c r="A71" s="71">
        <v>43897</v>
      </c>
      <c r="B71" s="72" t="s">
        <v>19</v>
      </c>
      <c r="C71" s="141">
        <v>-0.7</v>
      </c>
      <c r="D71" s="25">
        <v>0.70763888888888893</v>
      </c>
      <c r="E71" s="75">
        <f>Effort!J73</f>
        <v>6022.8431146241801</v>
      </c>
      <c r="F71" s="76">
        <f>Harvest!J73</f>
        <v>88426.287546527703</v>
      </c>
      <c r="G71" s="77">
        <f>CPUE!J73</f>
        <v>14.681818181818176</v>
      </c>
      <c r="I71" s="75" t="str">
        <f>Effort!L73</f>
        <v>CLOSED</v>
      </c>
      <c r="J71" s="76" t="str">
        <f>Harvest!L73</f>
        <v>CLOSED</v>
      </c>
      <c r="K71" s="77" t="str">
        <f>CPUE!L73</f>
        <v>CLOSED</v>
      </c>
      <c r="M71" s="75" t="s">
        <v>10</v>
      </c>
      <c r="N71" s="76" t="s">
        <v>10</v>
      </c>
      <c r="O71" s="77" t="s">
        <v>10</v>
      </c>
      <c r="Q71" s="75">
        <f t="shared" si="4"/>
        <v>6022.8431146241801</v>
      </c>
      <c r="R71" s="76">
        <f t="shared" si="5"/>
        <v>88426.287546527703</v>
      </c>
    </row>
    <row r="72" spans="1:18" x14ac:dyDescent="0.25">
      <c r="A72" s="71">
        <v>43898</v>
      </c>
      <c r="B72" s="72" t="s">
        <v>20</v>
      </c>
      <c r="C72" s="141">
        <v>-1</v>
      </c>
      <c r="D72" s="25">
        <v>0.77986111111111101</v>
      </c>
      <c r="E72" s="75" t="str">
        <f>Effort!J74</f>
        <v>CLOSED</v>
      </c>
      <c r="F72" s="76" t="str">
        <f>Harvest!J74</f>
        <v>CLOSED</v>
      </c>
      <c r="G72" s="77" t="str">
        <f>CPUE!J74</f>
        <v>CLOSED</v>
      </c>
      <c r="I72" s="75">
        <f>Effort!L74</f>
        <v>2940.4795350664699</v>
      </c>
      <c r="J72" s="76">
        <f>Harvest!L74</f>
        <v>40554.113587791697</v>
      </c>
      <c r="K72" s="77">
        <f>CPUE!L74</f>
        <v>13.791666666666655</v>
      </c>
      <c r="M72" s="75" t="s">
        <v>10</v>
      </c>
      <c r="N72" s="76" t="s">
        <v>10</v>
      </c>
      <c r="O72" s="77" t="s">
        <v>10</v>
      </c>
      <c r="Q72" s="75">
        <f t="shared" si="4"/>
        <v>2940.4795350664699</v>
      </c>
      <c r="R72" s="76">
        <f t="shared" si="5"/>
        <v>40554.113587791697</v>
      </c>
    </row>
    <row r="73" spans="1:18" x14ac:dyDescent="0.25">
      <c r="A73" s="71">
        <v>43899</v>
      </c>
      <c r="B73" s="72" t="s">
        <v>21</v>
      </c>
      <c r="C73" s="141">
        <v>-1</v>
      </c>
      <c r="D73" s="25">
        <v>0.80902777777777779</v>
      </c>
      <c r="E73" s="75">
        <f>Effort!J75</f>
        <v>1699.0118402134799</v>
      </c>
      <c r="F73" s="76">
        <f>Harvest!J75</f>
        <v>25093.097947768299</v>
      </c>
      <c r="G73" s="77">
        <f>CPUE!J75</f>
        <v>14.769230769230758</v>
      </c>
      <c r="I73" s="75" t="str">
        <f>Effort!L75</f>
        <v>CLOSED</v>
      </c>
      <c r="J73" s="76" t="str">
        <f>Harvest!L75</f>
        <v>CLOSED</v>
      </c>
      <c r="K73" s="77" t="str">
        <f>CPUE!L75</f>
        <v>CLOSED</v>
      </c>
      <c r="M73" s="75" t="s">
        <v>10</v>
      </c>
      <c r="N73" s="76" t="s">
        <v>10</v>
      </c>
      <c r="O73" s="77" t="s">
        <v>10</v>
      </c>
      <c r="Q73" s="75">
        <f t="shared" si="4"/>
        <v>1699.0118402134799</v>
      </c>
      <c r="R73" s="76">
        <f t="shared" si="5"/>
        <v>25093.097947768299</v>
      </c>
    </row>
    <row r="74" spans="1:18" x14ac:dyDescent="0.25">
      <c r="A74" s="71">
        <v>43900</v>
      </c>
      <c r="B74" s="72" t="s">
        <v>22</v>
      </c>
      <c r="C74" s="141">
        <v>-0.8</v>
      </c>
      <c r="D74" s="25">
        <v>0.83750000000000002</v>
      </c>
      <c r="E74" s="75" t="str">
        <f>Effort!J76</f>
        <v>CLOSED</v>
      </c>
      <c r="F74" s="76" t="str">
        <f>Harvest!J76</f>
        <v>CLOSED</v>
      </c>
      <c r="G74" s="77" t="str">
        <f>CPUE!J76</f>
        <v>CLOSED</v>
      </c>
      <c r="I74" s="75">
        <f>Effort!L76</f>
        <v>573.11899244582605</v>
      </c>
      <c r="J74" s="76">
        <f>Harvest!L76</f>
        <v>8376.3545049774602</v>
      </c>
      <c r="K74" s="77">
        <f>CPUE!L76</f>
        <v>14.61538461538462</v>
      </c>
      <c r="M74" s="75" t="s">
        <v>10</v>
      </c>
      <c r="N74" s="76" t="s">
        <v>10</v>
      </c>
      <c r="O74" s="77" t="s">
        <v>10</v>
      </c>
      <c r="Q74" s="75">
        <f t="shared" si="4"/>
        <v>573.11899244582605</v>
      </c>
      <c r="R74" s="76">
        <f t="shared" si="5"/>
        <v>8376.3545049774602</v>
      </c>
    </row>
    <row r="75" spans="1:18" x14ac:dyDescent="0.25">
      <c r="A75" s="71">
        <v>43901</v>
      </c>
      <c r="B75" s="72" t="s">
        <v>23</v>
      </c>
      <c r="C75" s="141">
        <v>-0.2</v>
      </c>
      <c r="D75" s="25">
        <v>0.8652777777777777</v>
      </c>
      <c r="E75" s="75">
        <f>Effort!J77</f>
        <v>525.24882523589997</v>
      </c>
      <c r="F75" s="76">
        <f>Harvest!J77</f>
        <v>6769.8737474849404</v>
      </c>
      <c r="G75" s="77">
        <f>CPUE!J77</f>
        <v>12.888888888888903</v>
      </c>
      <c r="H75" s="77"/>
      <c r="I75" s="75" t="str">
        <f>Effort!L77</f>
        <v>CLOSED</v>
      </c>
      <c r="J75" s="76" t="str">
        <f>Harvest!L77</f>
        <v>CLOSED</v>
      </c>
      <c r="K75" s="77" t="str">
        <f>CPUE!L77</f>
        <v>CLOSED</v>
      </c>
      <c r="L75" s="77"/>
      <c r="M75" s="75" t="s">
        <v>10</v>
      </c>
      <c r="N75" s="76" t="s">
        <v>10</v>
      </c>
      <c r="O75" s="77" t="s">
        <v>10</v>
      </c>
      <c r="P75" s="77"/>
      <c r="Q75" s="75">
        <f t="shared" si="4"/>
        <v>525.24882523589997</v>
      </c>
      <c r="R75" s="76">
        <f t="shared" si="5"/>
        <v>6769.8737474849404</v>
      </c>
    </row>
    <row r="76" spans="1:18" x14ac:dyDescent="0.25">
      <c r="A76" s="148" t="s">
        <v>65</v>
      </c>
      <c r="B76" s="148"/>
      <c r="C76" s="148"/>
      <c r="D76" s="149"/>
      <c r="E76" s="81">
        <f>SUM(E70:E75)</f>
        <v>8247.1037800735594</v>
      </c>
      <c r="F76" s="82">
        <f>SUM(F70:F75)</f>
        <v>120289.25924178094</v>
      </c>
      <c r="G76" s="83">
        <f>+F76/E76</f>
        <v>14.585636661008287</v>
      </c>
      <c r="H76" s="83">
        <v>121.91</v>
      </c>
      <c r="I76" s="81">
        <f>SUM(I70:I75)</f>
        <v>5232.7222272985755</v>
      </c>
      <c r="J76" s="82">
        <f>SUM(J70:J75)</f>
        <v>74368.85256933645</v>
      </c>
      <c r="K76" s="83">
        <f>+J76/I76</f>
        <v>14.212268364134021</v>
      </c>
      <c r="L76" s="83">
        <v>112.7</v>
      </c>
      <c r="M76" s="81"/>
      <c r="N76" s="82"/>
      <c r="O76" s="83"/>
      <c r="P76" s="83"/>
      <c r="Q76" s="81">
        <f>SUM(Q70:Q75)</f>
        <v>13479.826007372136</v>
      </c>
      <c r="R76" s="82">
        <f>SUM(R70:R75)</f>
        <v>194658.11181111739</v>
      </c>
    </row>
    <row r="77" spans="1:18" x14ac:dyDescent="0.25">
      <c r="A77" s="71">
        <v>43910</v>
      </c>
      <c r="B77" s="72" t="s">
        <v>18</v>
      </c>
      <c r="C77" s="141">
        <v>0.4</v>
      </c>
      <c r="D77" s="25">
        <v>0.7270833333333333</v>
      </c>
      <c r="E77" s="75"/>
      <c r="F77" s="76"/>
      <c r="G77" s="77"/>
      <c r="I77" s="75"/>
      <c r="J77" s="76"/>
      <c r="K77" s="77"/>
      <c r="M77" s="75" t="s">
        <v>10</v>
      </c>
      <c r="N77" s="76" t="s">
        <v>10</v>
      </c>
      <c r="O77" s="77" t="s">
        <v>10</v>
      </c>
      <c r="Q77" s="75"/>
      <c r="R77" s="76"/>
    </row>
    <row r="78" spans="1:18" x14ac:dyDescent="0.25">
      <c r="A78" s="71">
        <v>43911</v>
      </c>
      <c r="B78" s="72" t="s">
        <v>19</v>
      </c>
      <c r="C78" s="141">
        <v>0.4</v>
      </c>
      <c r="D78" s="25">
        <v>0.75486111111111109</v>
      </c>
      <c r="E78" s="75"/>
      <c r="F78" s="76"/>
      <c r="G78" s="77"/>
      <c r="I78" s="75"/>
      <c r="J78" s="76"/>
      <c r="K78" s="77"/>
      <c r="M78" s="75" t="s">
        <v>10</v>
      </c>
      <c r="N78" s="76" t="s">
        <v>10</v>
      </c>
      <c r="O78" s="77" t="s">
        <v>10</v>
      </c>
      <c r="Q78" s="75"/>
      <c r="R78" s="76"/>
    </row>
    <row r="79" spans="1:18" x14ac:dyDescent="0.25">
      <c r="A79" s="71">
        <v>43912</v>
      </c>
      <c r="B79" s="72" t="s">
        <v>20</v>
      </c>
      <c r="C79" s="141">
        <v>0.4</v>
      </c>
      <c r="D79" s="25">
        <v>0.77847222222222223</v>
      </c>
      <c r="E79" s="75"/>
      <c r="F79" s="76"/>
      <c r="G79" s="77"/>
      <c r="I79" s="75"/>
      <c r="J79" s="76"/>
      <c r="K79" s="77"/>
      <c r="M79" s="75" t="s">
        <v>10</v>
      </c>
      <c r="N79" s="76" t="s">
        <v>10</v>
      </c>
      <c r="O79" s="77" t="s">
        <v>10</v>
      </c>
      <c r="Q79" s="75"/>
      <c r="R79" s="76"/>
    </row>
    <row r="80" spans="1:18" x14ac:dyDescent="0.25">
      <c r="A80" s="71">
        <v>43913</v>
      </c>
      <c r="B80" s="72" t="s">
        <v>21</v>
      </c>
      <c r="C80" s="141">
        <v>0.5</v>
      </c>
      <c r="D80" s="25">
        <v>0.79999999999999993</v>
      </c>
      <c r="E80" s="75"/>
      <c r="F80" s="76"/>
      <c r="G80" s="77"/>
      <c r="H80" s="77"/>
      <c r="I80" s="75"/>
      <c r="J80" s="76"/>
      <c r="K80" s="77"/>
      <c r="L80" s="77"/>
      <c r="M80" s="75" t="s">
        <v>10</v>
      </c>
      <c r="N80" s="76" t="s">
        <v>10</v>
      </c>
      <c r="O80" s="77" t="s">
        <v>10</v>
      </c>
      <c r="P80" s="77"/>
      <c r="Q80" s="75"/>
      <c r="R80" s="76"/>
    </row>
    <row r="81" spans="1:18" x14ac:dyDescent="0.25">
      <c r="A81" s="148" t="s">
        <v>65</v>
      </c>
      <c r="B81" s="148"/>
      <c r="C81" s="148"/>
      <c r="D81" s="149"/>
      <c r="E81" s="81"/>
      <c r="F81" s="82"/>
      <c r="G81" s="83"/>
      <c r="H81" s="83"/>
      <c r="I81" s="81"/>
      <c r="J81" s="82"/>
      <c r="K81" s="83"/>
      <c r="L81" s="83"/>
      <c r="M81" s="81"/>
      <c r="N81" s="82"/>
      <c r="O81" s="83"/>
      <c r="P81" s="83"/>
      <c r="Q81" s="81"/>
      <c r="R81" s="82"/>
    </row>
    <row r="82" spans="1:18" x14ac:dyDescent="0.25">
      <c r="A82" s="71">
        <v>43924</v>
      </c>
      <c r="B82" s="72" t="s">
        <v>18</v>
      </c>
      <c r="C82" s="141">
        <v>0.3</v>
      </c>
      <c r="D82" s="25">
        <v>0.65347222222222223</v>
      </c>
      <c r="E82" s="75"/>
      <c r="F82" s="76"/>
      <c r="G82" s="77"/>
      <c r="I82" s="75"/>
      <c r="J82" s="76"/>
      <c r="K82" s="77"/>
      <c r="M82" s="75" t="s">
        <v>10</v>
      </c>
      <c r="N82" s="76" t="s">
        <v>10</v>
      </c>
      <c r="O82" s="77" t="s">
        <v>10</v>
      </c>
      <c r="Q82" s="75"/>
      <c r="R82" s="76"/>
    </row>
    <row r="83" spans="1:18" x14ac:dyDescent="0.25">
      <c r="A83" s="71">
        <v>43925</v>
      </c>
      <c r="B83" s="72" t="s">
        <v>19</v>
      </c>
      <c r="C83" s="141">
        <v>-0.1</v>
      </c>
      <c r="D83" s="25">
        <v>0.69236111111111109</v>
      </c>
      <c r="E83" s="75"/>
      <c r="F83" s="76"/>
      <c r="G83" s="77"/>
      <c r="I83" s="75"/>
      <c r="J83" s="76"/>
      <c r="K83" s="77"/>
      <c r="M83" s="75" t="s">
        <v>10</v>
      </c>
      <c r="N83" s="76" t="s">
        <v>10</v>
      </c>
      <c r="O83" s="77" t="s">
        <v>10</v>
      </c>
      <c r="Q83" s="75"/>
      <c r="R83" s="76"/>
    </row>
    <row r="84" spans="1:18" x14ac:dyDescent="0.25">
      <c r="A84" s="71">
        <v>43926</v>
      </c>
      <c r="B84" s="72" t="s">
        <v>20</v>
      </c>
      <c r="C84" s="141">
        <v>-0.4</v>
      </c>
      <c r="D84" s="25">
        <v>0.31041666666666667</v>
      </c>
      <c r="E84" s="75"/>
      <c r="F84" s="76"/>
      <c r="G84" s="77"/>
      <c r="I84" s="75"/>
      <c r="J84" s="76"/>
      <c r="K84" s="77"/>
      <c r="M84" s="75" t="s">
        <v>10</v>
      </c>
      <c r="N84" s="76" t="s">
        <v>10</v>
      </c>
      <c r="O84" s="77" t="s">
        <v>10</v>
      </c>
      <c r="Q84" s="75"/>
      <c r="R84" s="76"/>
    </row>
    <row r="85" spans="1:18" x14ac:dyDescent="0.25">
      <c r="A85" s="71">
        <v>43927</v>
      </c>
      <c r="B85" s="72" t="s">
        <v>21</v>
      </c>
      <c r="C85" s="141">
        <v>0.4</v>
      </c>
      <c r="D85" s="25">
        <v>0.7583333333333333</v>
      </c>
      <c r="E85" s="75"/>
      <c r="F85" s="76"/>
      <c r="G85" s="77"/>
      <c r="I85" s="75"/>
      <c r="J85" s="76"/>
      <c r="K85" s="77"/>
      <c r="M85" s="75" t="s">
        <v>10</v>
      </c>
      <c r="N85" s="76" t="s">
        <v>10</v>
      </c>
      <c r="O85" s="77" t="s">
        <v>10</v>
      </c>
      <c r="Q85" s="75"/>
      <c r="R85" s="76"/>
    </row>
    <row r="86" spans="1:18" x14ac:dyDescent="0.25">
      <c r="A86" s="71">
        <v>43928</v>
      </c>
      <c r="B86" s="72" t="s">
        <v>22</v>
      </c>
      <c r="C86" s="141">
        <v>-0.2</v>
      </c>
      <c r="D86" s="25">
        <v>0.78819444444444453</v>
      </c>
      <c r="E86" s="75"/>
      <c r="F86" s="76"/>
      <c r="G86" s="77"/>
      <c r="I86" s="75"/>
      <c r="J86" s="76"/>
      <c r="K86" s="77"/>
      <c r="M86" s="75" t="s">
        <v>10</v>
      </c>
      <c r="N86" s="76" t="s">
        <v>10</v>
      </c>
      <c r="O86" s="77" t="s">
        <v>10</v>
      </c>
      <c r="Q86" s="75"/>
      <c r="R86" s="76"/>
    </row>
    <row r="87" spans="1:18" x14ac:dyDescent="0.25">
      <c r="A87" s="71">
        <v>43929</v>
      </c>
      <c r="B87" s="72" t="s">
        <v>23</v>
      </c>
      <c r="C87" s="141">
        <v>-0.7</v>
      </c>
      <c r="D87" s="25">
        <v>0.30972222222222223</v>
      </c>
      <c r="E87" s="75"/>
      <c r="F87" s="76"/>
      <c r="G87" s="77"/>
      <c r="I87" s="75"/>
      <c r="J87" s="76"/>
      <c r="K87" s="77"/>
      <c r="M87" s="75" t="s">
        <v>10</v>
      </c>
      <c r="N87" s="76" t="s">
        <v>10</v>
      </c>
      <c r="O87" s="77" t="s">
        <v>10</v>
      </c>
      <c r="Q87" s="75"/>
      <c r="R87" s="76"/>
    </row>
    <row r="88" spans="1:18" x14ac:dyDescent="0.25">
      <c r="A88" s="71">
        <v>43930</v>
      </c>
      <c r="B88" s="72" t="s">
        <v>24</v>
      </c>
      <c r="C88" s="141">
        <v>-1.1000000000000001</v>
      </c>
      <c r="D88" s="25">
        <v>0.3430555555555555</v>
      </c>
      <c r="E88" s="75"/>
      <c r="F88" s="76"/>
      <c r="G88" s="77"/>
      <c r="I88" s="75"/>
      <c r="J88" s="76"/>
      <c r="K88" s="77"/>
      <c r="M88" s="75" t="s">
        <v>10</v>
      </c>
      <c r="N88" s="76" t="s">
        <v>10</v>
      </c>
      <c r="O88" s="77" t="s">
        <v>10</v>
      </c>
      <c r="Q88" s="75"/>
      <c r="R88" s="76"/>
    </row>
    <row r="89" spans="1:18" x14ac:dyDescent="0.25">
      <c r="A89" s="71">
        <v>43931</v>
      </c>
      <c r="B89" s="72" t="s">
        <v>18</v>
      </c>
      <c r="C89" s="141">
        <v>-1.3</v>
      </c>
      <c r="D89" s="25">
        <v>0.3756944444444445</v>
      </c>
      <c r="E89" s="75"/>
      <c r="F89" s="76"/>
      <c r="G89" s="77"/>
      <c r="I89" s="75"/>
      <c r="J89" s="76"/>
      <c r="K89" s="77"/>
      <c r="M89" s="75" t="s">
        <v>10</v>
      </c>
      <c r="N89" s="76" t="s">
        <v>10</v>
      </c>
      <c r="O89" s="77" t="s">
        <v>10</v>
      </c>
      <c r="Q89" s="75"/>
      <c r="R89" s="76"/>
    </row>
    <row r="90" spans="1:18" x14ac:dyDescent="0.25">
      <c r="A90" s="71">
        <v>43932</v>
      </c>
      <c r="B90" s="72" t="s">
        <v>19</v>
      </c>
      <c r="C90" s="141">
        <v>-1.1000000000000001</v>
      </c>
      <c r="D90" s="25">
        <v>0.40972222222222227</v>
      </c>
      <c r="E90" s="75"/>
      <c r="F90" s="76"/>
      <c r="G90" s="77"/>
      <c r="I90" s="75"/>
      <c r="J90" s="76"/>
      <c r="K90" s="77"/>
      <c r="M90" s="75" t="s">
        <v>10</v>
      </c>
      <c r="N90" s="76" t="s">
        <v>10</v>
      </c>
      <c r="O90" s="77" t="s">
        <v>10</v>
      </c>
      <c r="Q90" s="75"/>
      <c r="R90" s="76"/>
    </row>
    <row r="91" spans="1:18" x14ac:dyDescent="0.25">
      <c r="A91" s="71">
        <v>43933</v>
      </c>
      <c r="B91" s="72" t="s">
        <v>20</v>
      </c>
      <c r="C91" s="141">
        <v>-0.7</v>
      </c>
      <c r="D91" s="25">
        <v>0.4458333333333333</v>
      </c>
      <c r="E91" s="75"/>
      <c r="F91" s="76"/>
      <c r="G91" s="77"/>
      <c r="I91" s="75"/>
      <c r="J91" s="76"/>
      <c r="K91" s="77"/>
      <c r="M91" s="75" t="s">
        <v>10</v>
      </c>
      <c r="N91" s="76" t="s">
        <v>10</v>
      </c>
      <c r="O91" s="77" t="s">
        <v>10</v>
      </c>
      <c r="Q91" s="75"/>
      <c r="R91" s="76"/>
    </row>
    <row r="92" spans="1:18" x14ac:dyDescent="0.25">
      <c r="A92" s="71">
        <v>43934</v>
      </c>
      <c r="B92" s="72" t="s">
        <v>21</v>
      </c>
      <c r="C92" s="141">
        <v>-0.2</v>
      </c>
      <c r="D92" s="25">
        <v>0.48541666666666666</v>
      </c>
      <c r="E92" s="75"/>
      <c r="F92" s="76"/>
      <c r="G92" s="77"/>
      <c r="H92" s="77"/>
      <c r="I92" s="75"/>
      <c r="J92" s="76"/>
      <c r="K92" s="77"/>
      <c r="L92" s="77"/>
      <c r="M92" s="75" t="s">
        <v>10</v>
      </c>
      <c r="N92" s="76" t="s">
        <v>10</v>
      </c>
      <c r="O92" s="77" t="s">
        <v>10</v>
      </c>
      <c r="P92" s="77"/>
      <c r="Q92" s="75"/>
      <c r="R92" s="76"/>
    </row>
    <row r="93" spans="1:18" x14ac:dyDescent="0.25">
      <c r="A93" s="148" t="s">
        <v>65</v>
      </c>
      <c r="B93" s="148"/>
      <c r="C93" s="148"/>
      <c r="D93" s="149"/>
      <c r="E93" s="81"/>
      <c r="F93" s="82"/>
      <c r="G93" s="83"/>
      <c r="H93" s="83"/>
      <c r="I93" s="81"/>
      <c r="J93" s="82"/>
      <c r="K93" s="83"/>
      <c r="L93" s="83"/>
      <c r="M93" s="81"/>
      <c r="N93" s="82"/>
      <c r="O93" s="83"/>
      <c r="P93" s="83"/>
      <c r="Q93" s="81"/>
      <c r="R93" s="82"/>
    </row>
    <row r="94" spans="1:18" x14ac:dyDescent="0.25">
      <c r="A94" s="71">
        <v>43943</v>
      </c>
      <c r="B94" s="72" t="s">
        <v>23</v>
      </c>
      <c r="C94" s="141">
        <v>0.3</v>
      </c>
      <c r="D94" s="25">
        <v>0.29722222222222222</v>
      </c>
      <c r="E94" s="75"/>
      <c r="F94" s="76"/>
      <c r="G94" s="77"/>
      <c r="I94" s="75"/>
      <c r="J94" s="76"/>
      <c r="K94" s="77"/>
      <c r="M94" s="75" t="s">
        <v>10</v>
      </c>
      <c r="N94" s="76" t="s">
        <v>10</v>
      </c>
      <c r="O94" s="77" t="s">
        <v>10</v>
      </c>
      <c r="Q94" s="75"/>
      <c r="R94" s="76"/>
    </row>
    <row r="95" spans="1:18" x14ac:dyDescent="0.25">
      <c r="A95" s="71">
        <v>43944</v>
      </c>
      <c r="B95" s="72" t="s">
        <v>24</v>
      </c>
      <c r="C95" s="141">
        <v>0</v>
      </c>
      <c r="D95" s="25">
        <v>0.32013888888888892</v>
      </c>
      <c r="E95" s="75"/>
      <c r="F95" s="76"/>
      <c r="G95" s="77"/>
      <c r="I95" s="75"/>
      <c r="J95" s="76"/>
      <c r="K95" s="77"/>
      <c r="M95" s="75" t="s">
        <v>10</v>
      </c>
      <c r="N95" s="76" t="s">
        <v>10</v>
      </c>
      <c r="O95" s="77" t="s">
        <v>10</v>
      </c>
      <c r="Q95" s="75"/>
      <c r="R95" s="76"/>
    </row>
    <row r="96" spans="1:18" x14ac:dyDescent="0.25">
      <c r="A96" s="71">
        <v>43945</v>
      </c>
      <c r="B96" s="72" t="s">
        <v>18</v>
      </c>
      <c r="C96" s="141">
        <v>-0.3</v>
      </c>
      <c r="D96" s="25">
        <v>0.34375</v>
      </c>
      <c r="E96" s="75"/>
      <c r="F96" s="76"/>
      <c r="G96" s="77"/>
      <c r="I96" s="75"/>
      <c r="J96" s="76"/>
      <c r="K96" s="77"/>
      <c r="M96" s="75" t="s">
        <v>10</v>
      </c>
      <c r="N96" s="76" t="s">
        <v>10</v>
      </c>
      <c r="O96" s="77" t="s">
        <v>10</v>
      </c>
      <c r="Q96" s="75"/>
      <c r="R96" s="76"/>
    </row>
    <row r="97" spans="1:18" x14ac:dyDescent="0.25">
      <c r="A97" s="71">
        <v>43946</v>
      </c>
      <c r="B97" s="72" t="s">
        <v>19</v>
      </c>
      <c r="C97" s="141">
        <v>-0.1</v>
      </c>
      <c r="D97" s="25">
        <v>0.36736111111111108</v>
      </c>
      <c r="E97" s="75"/>
      <c r="F97" s="76"/>
      <c r="G97" s="77"/>
      <c r="I97" s="75"/>
      <c r="J97" s="76"/>
      <c r="K97" s="77"/>
      <c r="M97" s="75" t="s">
        <v>10</v>
      </c>
      <c r="N97" s="76" t="s">
        <v>10</v>
      </c>
      <c r="O97" s="77" t="s">
        <v>10</v>
      </c>
      <c r="Q97" s="75"/>
      <c r="R97" s="76"/>
    </row>
    <row r="98" spans="1:18" x14ac:dyDescent="0.25">
      <c r="A98" s="71">
        <v>43947</v>
      </c>
      <c r="B98" s="72" t="s">
        <v>20</v>
      </c>
      <c r="C98" s="141">
        <v>-0.3</v>
      </c>
      <c r="D98" s="25">
        <v>0.39305555555555555</v>
      </c>
      <c r="E98" s="75"/>
      <c r="F98" s="76"/>
      <c r="G98" s="77"/>
      <c r="I98" s="75"/>
      <c r="J98" s="76"/>
      <c r="K98" s="77"/>
      <c r="M98" s="75" t="s">
        <v>10</v>
      </c>
      <c r="N98" s="76" t="s">
        <v>10</v>
      </c>
      <c r="O98" s="77" t="s">
        <v>10</v>
      </c>
      <c r="Q98" s="75"/>
      <c r="R98" s="76"/>
    </row>
    <row r="99" spans="1:18" x14ac:dyDescent="0.25">
      <c r="A99" s="71">
        <v>43948</v>
      </c>
      <c r="B99" s="72" t="s">
        <v>21</v>
      </c>
      <c r="C99" s="141">
        <v>-0.2</v>
      </c>
      <c r="D99" s="25">
        <v>0.42152777777777778</v>
      </c>
      <c r="E99" s="75"/>
      <c r="F99" s="76"/>
      <c r="G99" s="77"/>
      <c r="I99" s="75"/>
      <c r="J99" s="76"/>
      <c r="K99" s="77"/>
      <c r="M99" s="75" t="s">
        <v>10</v>
      </c>
      <c r="N99" s="76" t="s">
        <v>10</v>
      </c>
      <c r="O99" s="77" t="s">
        <v>10</v>
      </c>
      <c r="Q99" s="75"/>
      <c r="R99" s="76"/>
    </row>
    <row r="100" spans="1:18" x14ac:dyDescent="0.25">
      <c r="A100" s="71">
        <v>43949</v>
      </c>
      <c r="B100" s="72" t="s">
        <v>22</v>
      </c>
      <c r="C100" s="141">
        <v>-0.1</v>
      </c>
      <c r="D100" s="25">
        <v>0.45416666666666666</v>
      </c>
      <c r="E100" s="75"/>
      <c r="F100" s="76"/>
      <c r="G100" s="77"/>
      <c r="I100" s="75"/>
      <c r="J100" s="76"/>
      <c r="K100" s="77"/>
      <c r="M100" s="75" t="s">
        <v>10</v>
      </c>
      <c r="N100" s="76" t="s">
        <v>10</v>
      </c>
      <c r="O100" s="77" t="s">
        <v>10</v>
      </c>
      <c r="Q100" s="75"/>
      <c r="R100" s="76"/>
    </row>
    <row r="101" spans="1:18" x14ac:dyDescent="0.25">
      <c r="A101" s="71">
        <v>43950</v>
      </c>
      <c r="B101" s="72" t="s">
        <v>23</v>
      </c>
      <c r="C101" s="141">
        <v>0.1</v>
      </c>
      <c r="D101" s="25">
        <v>0.4916666666666667</v>
      </c>
      <c r="E101" s="75"/>
      <c r="F101" s="76"/>
      <c r="G101" s="77"/>
      <c r="H101" s="77"/>
      <c r="I101" s="75"/>
      <c r="J101" s="76"/>
      <c r="K101" s="77"/>
      <c r="L101" s="77"/>
      <c r="M101" s="75" t="s">
        <v>10</v>
      </c>
      <c r="N101" s="76" t="s">
        <v>10</v>
      </c>
      <c r="O101" s="77" t="s">
        <v>10</v>
      </c>
      <c r="P101" s="77"/>
      <c r="Q101" s="75"/>
      <c r="R101" s="76"/>
    </row>
    <row r="102" spans="1:18" x14ac:dyDescent="0.25">
      <c r="A102" s="148" t="s">
        <v>65</v>
      </c>
      <c r="B102" s="148"/>
      <c r="C102" s="148"/>
      <c r="D102" s="149"/>
      <c r="E102" s="81"/>
      <c r="F102" s="82"/>
      <c r="G102" s="83"/>
      <c r="H102" s="83"/>
      <c r="I102" s="81"/>
      <c r="J102" s="82"/>
      <c r="K102" s="83"/>
      <c r="L102" s="83"/>
      <c r="M102" s="81"/>
      <c r="N102" s="82"/>
      <c r="O102" s="83"/>
      <c r="P102" s="83"/>
      <c r="Q102" s="81"/>
      <c r="R102" s="82"/>
    </row>
    <row r="103" spans="1:18" ht="15.75" thickBot="1" x14ac:dyDescent="0.3"/>
    <row r="104" spans="1:18" ht="15.75" thickTop="1" x14ac:dyDescent="0.25">
      <c r="A104" s="95" t="s">
        <v>78</v>
      </c>
      <c r="B104" s="96"/>
      <c r="C104" s="96"/>
      <c r="D104" s="96"/>
      <c r="E104" s="97">
        <f>SUM(E11,E19,E27,E35,E41,E49,E56,E64,E69,E76)</f>
        <v>51380.345071921227</v>
      </c>
      <c r="F104" s="97">
        <f>SUM(F11,F19,F27,F35,F41,F49,F56,F64,F69,F76)</f>
        <v>697548.66258620948</v>
      </c>
      <c r="G104" s="98">
        <f>+F104/E104</f>
        <v>13.576177069457088</v>
      </c>
      <c r="H104" s="98">
        <f>SUM(H11,H19,H27,H41,H49,H56,H64,H69,H76)/9</f>
        <v>117.88000000000001</v>
      </c>
      <c r="I104" s="97">
        <f>SUM(I11,I19,I27,I35,I41,I49,I56,I64,I69,I76)</f>
        <v>34959.932470295003</v>
      </c>
      <c r="J104" s="97">
        <f>SUM(J11,J19,J27,J35,J41,J49,J56,J64,J69,J76)</f>
        <v>455169.88838306593</v>
      </c>
      <c r="K104" s="98">
        <f>+J104/I104</f>
        <v>13.019758798728168</v>
      </c>
      <c r="L104" s="98">
        <f>SUM(L11,L19,L27,L35,L41,L49,L56,L64,L69,L76)/10</f>
        <v>114.81300000000002</v>
      </c>
      <c r="M104" s="97">
        <f>SUM(M11,M19)</f>
        <v>0</v>
      </c>
      <c r="N104" s="97">
        <f>SUM(N11,N19)</f>
        <v>0</v>
      </c>
      <c r="O104" s="98">
        <v>0</v>
      </c>
      <c r="P104" s="98"/>
      <c r="Q104" s="97">
        <f>SUM(Q11,Q19,Q27,Q35,Q41,Q49,Q56,Q64,Q69,Q76)</f>
        <v>86340.277542216223</v>
      </c>
      <c r="R104" s="97">
        <f>SUM(R11,R19,R27,R35,R41,R49,R56,R64,R69,R76)</f>
        <v>1152718.5509692752</v>
      </c>
    </row>
    <row r="105" spans="1:18" x14ac:dyDescent="0.25">
      <c r="A105" s="99" t="s">
        <v>79</v>
      </c>
      <c r="B105" s="100"/>
      <c r="C105" s="100"/>
      <c r="D105" s="100"/>
      <c r="E105" s="101"/>
      <c r="F105" s="101">
        <f>Harvest!J107</f>
        <v>27901.946503448384</v>
      </c>
      <c r="G105" s="102"/>
      <c r="H105" s="102"/>
      <c r="I105" s="101"/>
      <c r="J105" s="101">
        <f>Harvest!L107</f>
        <v>12744.756874725847</v>
      </c>
      <c r="K105" s="102"/>
      <c r="L105" s="102"/>
      <c r="M105" s="101"/>
      <c r="N105" s="101">
        <f>Harvest!N107</f>
        <v>0</v>
      </c>
      <c r="O105" s="102"/>
      <c r="P105" s="102"/>
      <c r="Q105" s="101"/>
      <c r="R105" s="101"/>
    </row>
    <row r="106" spans="1:18" x14ac:dyDescent="0.25">
      <c r="A106" s="103" t="s">
        <v>80</v>
      </c>
      <c r="B106" s="104"/>
      <c r="C106" s="104"/>
      <c r="D106" s="104"/>
      <c r="E106" s="105">
        <f>Effort!J105</f>
        <v>51380.345071921234</v>
      </c>
      <c r="F106" s="105">
        <f>F104+F105</f>
        <v>725450.6090896579</v>
      </c>
      <c r="G106" s="106"/>
      <c r="H106" s="106"/>
      <c r="I106" s="105">
        <f>Effort!L105</f>
        <v>34959.932470295003</v>
      </c>
      <c r="J106" s="105">
        <f>J104+J105</f>
        <v>467914.6452577918</v>
      </c>
      <c r="K106" s="106"/>
      <c r="L106" s="106"/>
      <c r="M106" s="105">
        <f>Effort!N105</f>
        <v>0</v>
      </c>
      <c r="N106" s="105">
        <f>N104+N105</f>
        <v>0</v>
      </c>
      <c r="O106" s="106"/>
      <c r="P106" s="106"/>
      <c r="Q106" s="105">
        <f>SUM(Q104:Q105)</f>
        <v>86340.277542216223</v>
      </c>
      <c r="R106" s="107">
        <f>SUM(R104:R105)</f>
        <v>1152718.5509692752</v>
      </c>
    </row>
    <row r="107" spans="1:18" x14ac:dyDescent="0.25">
      <c r="A107" s="108" t="s">
        <v>14</v>
      </c>
      <c r="B107" s="109"/>
      <c r="C107" s="109"/>
      <c r="D107" s="109"/>
      <c r="E107" s="109"/>
      <c r="F107" s="110">
        <f>Harvest!J110</f>
        <v>0.35629793913145491</v>
      </c>
      <c r="G107" s="109"/>
      <c r="H107" s="109"/>
      <c r="I107" s="109"/>
      <c r="J107" s="110">
        <f>Harvest!L110</f>
        <v>0.28360347163532301</v>
      </c>
      <c r="K107" s="109"/>
      <c r="L107" s="109"/>
      <c r="M107" s="109"/>
      <c r="N107" s="110">
        <f>Harvest!N110</f>
        <v>0</v>
      </c>
      <c r="O107" s="109"/>
      <c r="P107" s="109"/>
      <c r="Q107" s="109"/>
      <c r="R107" s="111"/>
    </row>
    <row r="109" spans="1:18" x14ac:dyDescent="0.25">
      <c r="R109" s="48"/>
    </row>
  </sheetData>
  <mergeCells count="17">
    <mergeCell ref="A27:D27"/>
    <mergeCell ref="Q2:R2"/>
    <mergeCell ref="A11:D11"/>
    <mergeCell ref="A19:D19"/>
    <mergeCell ref="E2:H2"/>
    <mergeCell ref="I2:L2"/>
    <mergeCell ref="M2:P2"/>
    <mergeCell ref="A49:D49"/>
    <mergeCell ref="A56:D56"/>
    <mergeCell ref="A64:D64"/>
    <mergeCell ref="A41:D41"/>
    <mergeCell ref="A35:D35"/>
    <mergeCell ref="A76:D76"/>
    <mergeCell ref="A81:D81"/>
    <mergeCell ref="A93:D93"/>
    <mergeCell ref="A102:D102"/>
    <mergeCell ref="A69:D69"/>
  </mergeCells>
  <pageMargins left="0.7" right="0.7" top="0.75" bottom="0.75" header="0.3" footer="0.3"/>
  <pageSetup scale="7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workbookViewId="0">
      <selection activeCell="B9" sqref="B9"/>
    </sheetView>
  </sheetViews>
  <sheetFormatPr defaultRowHeight="15" x14ac:dyDescent="0.25"/>
  <cols>
    <col min="1" max="1" width="25.140625" customWidth="1"/>
    <col min="2" max="2" width="13.140625" style="48" customWidth="1"/>
    <col min="3" max="4" width="11.140625" customWidth="1"/>
    <col min="5" max="5" width="11.5703125" customWidth="1"/>
    <col min="6" max="7" width="12.28515625" customWidth="1"/>
    <col min="8" max="8" width="11.7109375" customWidth="1"/>
    <col min="9" max="9" width="11.85546875" customWidth="1"/>
    <col min="10" max="10" width="10.85546875" customWidth="1"/>
    <col min="11" max="11" width="11.42578125" customWidth="1"/>
  </cols>
  <sheetData>
    <row r="1" spans="1:11" x14ac:dyDescent="0.25">
      <c r="A1" s="54" t="s">
        <v>43</v>
      </c>
      <c r="B1" s="85"/>
      <c r="C1" s="54"/>
      <c r="D1" s="54"/>
      <c r="E1" s="54"/>
      <c r="F1" s="54"/>
      <c r="G1" s="54"/>
      <c r="H1" s="54"/>
      <c r="I1" s="54"/>
    </row>
    <row r="2" spans="1:11" x14ac:dyDescent="0.25">
      <c r="A2" s="54"/>
      <c r="B2" s="85"/>
      <c r="C2" s="54"/>
      <c r="D2" s="54"/>
      <c r="E2" s="54"/>
      <c r="F2" s="54"/>
      <c r="G2" s="54"/>
      <c r="H2" s="54"/>
      <c r="I2" s="54"/>
    </row>
    <row r="3" spans="1:11" ht="15.75" thickBot="1" x14ac:dyDescent="0.3">
      <c r="A3" s="54"/>
      <c r="B3" s="85" t="s">
        <v>59</v>
      </c>
      <c r="C3" s="21" t="s">
        <v>44</v>
      </c>
      <c r="D3" s="21" t="s">
        <v>45</v>
      </c>
      <c r="E3" s="54" t="s">
        <v>46</v>
      </c>
      <c r="F3" s="21" t="s">
        <v>47</v>
      </c>
      <c r="G3" s="54" t="s">
        <v>48</v>
      </c>
      <c r="H3" s="21" t="s">
        <v>49</v>
      </c>
      <c r="I3" s="21" t="s">
        <v>50</v>
      </c>
      <c r="J3" s="21" t="s">
        <v>51</v>
      </c>
      <c r="K3" s="21" t="s">
        <v>52</v>
      </c>
    </row>
    <row r="4" spans="1:11" x14ac:dyDescent="0.25">
      <c r="A4" s="55" t="s">
        <v>53</v>
      </c>
      <c r="B4" s="86">
        <v>5205466.8000000007</v>
      </c>
      <c r="C4" s="56">
        <v>333557</v>
      </c>
      <c r="D4" s="56">
        <v>872679.52221495111</v>
      </c>
      <c r="E4" s="56">
        <v>4895623.5998578668</v>
      </c>
      <c r="F4" s="56">
        <v>4768605</v>
      </c>
      <c r="G4" s="56">
        <v>3885491.5446236241</v>
      </c>
      <c r="H4" s="56">
        <v>2881223.2800000003</v>
      </c>
      <c r="I4" s="56">
        <v>1847952.1349999998</v>
      </c>
      <c r="J4" s="56">
        <v>1094641.4136540764</v>
      </c>
      <c r="K4" s="56">
        <v>1276247.6927039789</v>
      </c>
    </row>
    <row r="5" spans="1:11" x14ac:dyDescent="0.25">
      <c r="A5" s="57" t="s">
        <v>54</v>
      </c>
      <c r="B5" s="87">
        <v>1843227.2000000002</v>
      </c>
      <c r="C5" s="58">
        <v>1377125</v>
      </c>
      <c r="D5" s="58">
        <v>506698.75607162755</v>
      </c>
      <c r="E5" s="58">
        <v>1896630.873404826</v>
      </c>
      <c r="F5" s="58">
        <v>1198600</v>
      </c>
      <c r="G5" s="58">
        <v>2662860.8000000003</v>
      </c>
      <c r="H5" s="58">
        <f>5744410.73323314*0.4</f>
        <v>2297764.2932932558</v>
      </c>
      <c r="I5" s="58">
        <v>1881783.2000000002</v>
      </c>
      <c r="J5" s="58">
        <v>616314.30636927264</v>
      </c>
      <c r="K5" s="58">
        <v>845427.66684737173</v>
      </c>
    </row>
    <row r="6" spans="1:11" x14ac:dyDescent="0.25">
      <c r="A6" s="57" t="s">
        <v>55</v>
      </c>
      <c r="B6" s="87">
        <v>2036078.6</v>
      </c>
      <c r="C6" s="58">
        <v>860768</v>
      </c>
      <c r="D6" s="58">
        <v>591366.11976499634</v>
      </c>
      <c r="E6" s="58">
        <v>880571.44910342421</v>
      </c>
      <c r="F6" s="58">
        <v>1094781</v>
      </c>
      <c r="G6" s="59">
        <v>889827.43342746096</v>
      </c>
      <c r="H6" s="60">
        <f>(2615522*0.5)-(161153)+250000</f>
        <v>1396608</v>
      </c>
      <c r="I6" s="58">
        <v>1072689.5999999999</v>
      </c>
      <c r="J6" s="58">
        <v>371373.03795949166</v>
      </c>
      <c r="K6" s="58">
        <v>683167.40704835602</v>
      </c>
    </row>
    <row r="7" spans="1:11" x14ac:dyDescent="0.25">
      <c r="A7" s="57" t="s">
        <v>56</v>
      </c>
      <c r="B7" s="87">
        <v>1649890.4000000001</v>
      </c>
      <c r="C7" s="58">
        <v>1508774</v>
      </c>
      <c r="D7" s="58">
        <v>778354.53277878079</v>
      </c>
      <c r="E7" s="58">
        <v>941919.24030067341</v>
      </c>
      <c r="F7" s="58">
        <v>1695074</v>
      </c>
      <c r="G7" s="58">
        <v>2240308.7479108246</v>
      </c>
      <c r="H7" s="58">
        <v>2088668.5</v>
      </c>
      <c r="I7" s="58">
        <v>909667.35</v>
      </c>
      <c r="J7" s="58">
        <v>605830.70008886908</v>
      </c>
      <c r="K7" s="58">
        <v>545586.68998891278</v>
      </c>
    </row>
    <row r="8" spans="1:11" ht="15.75" thickBot="1" x14ac:dyDescent="0.3">
      <c r="A8" s="61" t="s">
        <v>57</v>
      </c>
      <c r="B8" s="88">
        <v>219560.64800000002</v>
      </c>
      <c r="C8" s="62">
        <v>777386</v>
      </c>
      <c r="D8" s="62">
        <v>24444.430036493428</v>
      </c>
      <c r="E8" s="62">
        <v>725888.21174021007</v>
      </c>
      <c r="F8" s="62">
        <v>63740</v>
      </c>
      <c r="G8" s="62">
        <v>125735.12787535199</v>
      </c>
      <c r="H8" s="62">
        <f>1033285.9456848*0.254*0.5</f>
        <v>131227.31510196961</v>
      </c>
      <c r="I8" s="62">
        <v>113543.20699999999</v>
      </c>
      <c r="J8" s="62">
        <v>144560.51050788548</v>
      </c>
      <c r="K8" s="62">
        <v>258924.12448845015</v>
      </c>
    </row>
    <row r="9" spans="1:11" ht="16.5" thickBot="1" x14ac:dyDescent="0.3">
      <c r="A9" s="63" t="s">
        <v>58</v>
      </c>
      <c r="B9" s="89">
        <f>SUM(B4:B8)</f>
        <v>10954223.648000002</v>
      </c>
      <c r="C9" s="64">
        <f>SUM(C4:C8)</f>
        <v>4857610</v>
      </c>
      <c r="D9" s="64">
        <f>SUM(D4:D8)</f>
        <v>2773543.3608668493</v>
      </c>
      <c r="E9" s="64">
        <f>SUM(E4:E8)</f>
        <v>9340633.3744070008</v>
      </c>
      <c r="F9" s="64">
        <f t="shared" ref="F9:K9" si="0">SUM(F4:F8)</f>
        <v>8820800</v>
      </c>
      <c r="G9" s="64">
        <f t="shared" si="0"/>
        <v>9804223.6538372617</v>
      </c>
      <c r="H9" s="64">
        <f t="shared" si="0"/>
        <v>8795491.3883952256</v>
      </c>
      <c r="I9" s="64">
        <f t="shared" si="0"/>
        <v>5825635.4919999996</v>
      </c>
      <c r="J9" s="64">
        <f t="shared" si="0"/>
        <v>2832719.968579595</v>
      </c>
      <c r="K9" s="64">
        <f t="shared" si="0"/>
        <v>3609353.5810770695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"/>
  <sheetViews>
    <sheetView topLeftCell="A94" workbookViewId="0">
      <selection activeCell="F101" sqref="F101"/>
    </sheetView>
  </sheetViews>
  <sheetFormatPr defaultRowHeight="15" x14ac:dyDescent="0.25"/>
  <sheetData>
    <row r="1" spans="1:5" x14ac:dyDescent="0.25">
      <c r="A1" s="92" t="s">
        <v>32</v>
      </c>
      <c r="B1" s="92" t="s">
        <v>37</v>
      </c>
      <c r="C1" s="92" t="s">
        <v>38</v>
      </c>
      <c r="D1" s="92" t="s">
        <v>39</v>
      </c>
      <c r="E1" s="92" t="s">
        <v>40</v>
      </c>
    </row>
    <row r="2" spans="1:5" x14ac:dyDescent="0.25">
      <c r="A2" s="93">
        <v>1623</v>
      </c>
      <c r="B2" s="94" t="s">
        <v>76</v>
      </c>
      <c r="C2" s="93">
        <v>100</v>
      </c>
      <c r="D2" s="93">
        <v>8</v>
      </c>
      <c r="E2" s="93">
        <v>8</v>
      </c>
    </row>
    <row r="3" spans="1:5" x14ac:dyDescent="0.25">
      <c r="A3" s="93">
        <v>1623</v>
      </c>
      <c r="B3" s="94" t="s">
        <v>77</v>
      </c>
      <c r="C3" s="93">
        <v>100</v>
      </c>
      <c r="D3" s="93">
        <v>1</v>
      </c>
      <c r="E3" s="93">
        <v>1</v>
      </c>
    </row>
    <row r="100" spans="3:6" x14ac:dyDescent="0.25">
      <c r="C100">
        <f>SUM(C2:C99)</f>
        <v>200</v>
      </c>
      <c r="D100">
        <f>SUM(D2:D99)</f>
        <v>9</v>
      </c>
      <c r="E100">
        <f>SUM(E2:E99)</f>
        <v>9</v>
      </c>
      <c r="F100" s="53">
        <f>E100/C100</f>
        <v>4.4999999999999998E-2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"/>
  <sheetViews>
    <sheetView workbookViewId="0">
      <selection activeCell="B13" sqref="B13"/>
    </sheetView>
  </sheetViews>
  <sheetFormatPr defaultRowHeight="15" x14ac:dyDescent="0.25"/>
  <sheetData>
    <row r="1" spans="1:5" x14ac:dyDescent="0.25">
      <c r="A1" s="50" t="s">
        <v>32</v>
      </c>
      <c r="B1" s="50" t="s">
        <v>37</v>
      </c>
      <c r="C1" s="50" t="s">
        <v>38</v>
      </c>
      <c r="D1" s="50" t="s">
        <v>39</v>
      </c>
      <c r="E1" s="50" t="s">
        <v>40</v>
      </c>
    </row>
    <row r="2" spans="1:5" x14ac:dyDescent="0.25">
      <c r="A2" s="51">
        <v>1621</v>
      </c>
      <c r="B2" s="52" t="s">
        <v>41</v>
      </c>
      <c r="C2" s="51">
        <v>25</v>
      </c>
      <c r="D2" s="51">
        <v>3</v>
      </c>
      <c r="E2" s="51">
        <v>3</v>
      </c>
    </row>
    <row r="3" spans="1:5" x14ac:dyDescent="0.25">
      <c r="A3" s="51">
        <v>1621</v>
      </c>
      <c r="B3" s="52" t="s">
        <v>41</v>
      </c>
      <c r="C3" s="51">
        <v>25</v>
      </c>
      <c r="D3" s="51">
        <v>2</v>
      </c>
      <c r="E3" s="51">
        <v>2</v>
      </c>
    </row>
    <row r="4" spans="1:5" x14ac:dyDescent="0.25">
      <c r="A4" s="51">
        <v>1621</v>
      </c>
      <c r="B4" s="52" t="s">
        <v>41</v>
      </c>
      <c r="C4" s="51">
        <v>25</v>
      </c>
      <c r="D4" s="51">
        <v>0</v>
      </c>
      <c r="E4" s="51">
        <v>0</v>
      </c>
    </row>
    <row r="5" spans="1:5" x14ac:dyDescent="0.25">
      <c r="A5" s="51">
        <v>1621</v>
      </c>
      <c r="B5" s="52" t="s">
        <v>41</v>
      </c>
      <c r="C5" s="51">
        <v>25</v>
      </c>
      <c r="D5" s="51">
        <v>2</v>
      </c>
      <c r="E5" s="51">
        <v>2</v>
      </c>
    </row>
    <row r="6" spans="1:5" x14ac:dyDescent="0.25">
      <c r="A6" s="51">
        <v>1621</v>
      </c>
      <c r="B6" s="52" t="s">
        <v>42</v>
      </c>
      <c r="C6" s="51">
        <v>100</v>
      </c>
      <c r="D6" s="51">
        <v>7</v>
      </c>
      <c r="E6" s="51">
        <v>7</v>
      </c>
    </row>
    <row r="7" spans="1:5" x14ac:dyDescent="0.25">
      <c r="A7" s="93">
        <v>1622</v>
      </c>
      <c r="B7" s="94" t="s">
        <v>71</v>
      </c>
      <c r="C7" s="93">
        <v>100</v>
      </c>
      <c r="D7" s="93">
        <v>1</v>
      </c>
      <c r="E7" s="93">
        <v>1</v>
      </c>
    </row>
    <row r="8" spans="1:5" x14ac:dyDescent="0.25">
      <c r="A8" s="93">
        <v>1622</v>
      </c>
      <c r="B8" s="94" t="s">
        <v>42</v>
      </c>
      <c r="C8" s="93">
        <v>100</v>
      </c>
      <c r="D8" s="93">
        <v>8</v>
      </c>
      <c r="E8" s="93">
        <v>8</v>
      </c>
    </row>
    <row r="9" spans="1:5" x14ac:dyDescent="0.25">
      <c r="A9" s="139">
        <v>1722</v>
      </c>
      <c r="B9" s="140">
        <v>12600</v>
      </c>
      <c r="C9" s="139">
        <v>50</v>
      </c>
      <c r="D9" s="139">
        <v>6</v>
      </c>
      <c r="E9" s="139">
        <v>6</v>
      </c>
    </row>
    <row r="100" spans="3:6" x14ac:dyDescent="0.25">
      <c r="C100">
        <f>SUM(C2:C99)</f>
        <v>450</v>
      </c>
      <c r="D100">
        <f>SUM(D2:D99)</f>
        <v>29</v>
      </c>
      <c r="E100">
        <f>SUM(E2:E99)</f>
        <v>29</v>
      </c>
      <c r="F100" s="53">
        <f>E100/C100</f>
        <v>6.4444444444444443E-2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"/>
  <sheetViews>
    <sheetView topLeftCell="A73" workbookViewId="0">
      <selection activeCell="F101" sqref="F101"/>
    </sheetView>
  </sheetViews>
  <sheetFormatPr defaultRowHeight="15" x14ac:dyDescent="0.25"/>
  <sheetData>
    <row r="1" spans="1:5" x14ac:dyDescent="0.25">
      <c r="A1" s="92" t="s">
        <v>32</v>
      </c>
      <c r="B1" s="92" t="s">
        <v>37</v>
      </c>
      <c r="C1" s="92" t="s">
        <v>38</v>
      </c>
      <c r="D1" s="92" t="s">
        <v>39</v>
      </c>
      <c r="E1" s="92" t="s">
        <v>40</v>
      </c>
    </row>
    <row r="2" spans="1:5" x14ac:dyDescent="0.25">
      <c r="A2" s="93">
        <v>1624</v>
      </c>
      <c r="B2" s="94" t="s">
        <v>72</v>
      </c>
      <c r="C2" s="93">
        <v>100</v>
      </c>
      <c r="D2" s="93">
        <v>4</v>
      </c>
      <c r="E2" s="93">
        <v>4</v>
      </c>
    </row>
    <row r="100" spans="3:6" x14ac:dyDescent="0.25">
      <c r="C100">
        <f>SUM(C2:C99)</f>
        <v>100</v>
      </c>
      <c r="D100">
        <f>SUM(D2:D99)</f>
        <v>4</v>
      </c>
      <c r="E100">
        <f>SUM(E2:E99)</f>
        <v>4</v>
      </c>
      <c r="F100" s="53">
        <f>E100/C100</f>
        <v>0.04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"/>
  <sheetViews>
    <sheetView workbookViewId="0">
      <selection activeCell="A100" sqref="A100:F100"/>
    </sheetView>
  </sheetViews>
  <sheetFormatPr defaultRowHeight="15" x14ac:dyDescent="0.25"/>
  <sheetData>
    <row r="1" spans="1:5" x14ac:dyDescent="0.25">
      <c r="A1" s="92" t="s">
        <v>32</v>
      </c>
      <c r="B1" s="92" t="s">
        <v>37</v>
      </c>
      <c r="C1" s="92" t="s">
        <v>38</v>
      </c>
      <c r="D1" s="92" t="s">
        <v>39</v>
      </c>
      <c r="E1" s="92" t="s">
        <v>40</v>
      </c>
    </row>
    <row r="2" spans="1:5" x14ac:dyDescent="0.25">
      <c r="A2" s="93">
        <v>1625</v>
      </c>
      <c r="B2" s="94" t="s">
        <v>73</v>
      </c>
      <c r="C2" s="93">
        <v>50</v>
      </c>
      <c r="D2" s="93">
        <v>0</v>
      </c>
      <c r="E2" s="93">
        <v>0</v>
      </c>
    </row>
    <row r="3" spans="1:5" x14ac:dyDescent="0.25">
      <c r="A3" s="93">
        <v>1625</v>
      </c>
      <c r="B3" s="94" t="s">
        <v>74</v>
      </c>
      <c r="C3" s="93">
        <v>100</v>
      </c>
      <c r="D3" s="93">
        <v>4</v>
      </c>
      <c r="E3" s="93">
        <v>4</v>
      </c>
    </row>
    <row r="4" spans="1:5" x14ac:dyDescent="0.25">
      <c r="A4" s="93">
        <v>1625</v>
      </c>
      <c r="B4" s="94" t="s">
        <v>75</v>
      </c>
      <c r="C4" s="93">
        <v>100</v>
      </c>
      <c r="D4" s="93">
        <v>3</v>
      </c>
      <c r="E4" s="93">
        <v>3</v>
      </c>
    </row>
    <row r="100" spans="3:6" x14ac:dyDescent="0.25">
      <c r="C100">
        <f>SUM(C2:C99)</f>
        <v>250</v>
      </c>
      <c r="D100">
        <f>SUM(D2:D99)</f>
        <v>7</v>
      </c>
      <c r="E100">
        <f>SUM(E2:E99)</f>
        <v>7</v>
      </c>
      <c r="F100" s="53">
        <f>E100/C100</f>
        <v>2.8000000000000001E-2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1"/>
  <sheetViews>
    <sheetView topLeftCell="E4" workbookViewId="0">
      <selection activeCell="A23" sqref="A23:U30"/>
    </sheetView>
  </sheetViews>
  <sheetFormatPr defaultRowHeight="15" x14ac:dyDescent="0.25"/>
  <cols>
    <col min="1" max="1" width="17.140625" customWidth="1"/>
    <col min="2" max="2" width="16.7109375" customWidth="1"/>
    <col min="4" max="4" width="16.42578125" customWidth="1"/>
  </cols>
  <sheetData>
    <row r="1" spans="1:8" x14ac:dyDescent="0.25">
      <c r="A1" s="158" t="s">
        <v>27</v>
      </c>
      <c r="B1" s="158"/>
      <c r="C1" s="158"/>
      <c r="D1" s="158"/>
      <c r="E1" s="158"/>
      <c r="F1" s="158"/>
      <c r="G1" s="158"/>
      <c r="H1" s="158"/>
    </row>
    <row r="2" spans="1:8" x14ac:dyDescent="0.25">
      <c r="A2" s="35" t="s">
        <v>28</v>
      </c>
      <c r="B2" s="35" t="s">
        <v>0</v>
      </c>
      <c r="C2" s="35" t="s">
        <v>29</v>
      </c>
      <c r="D2" s="35" t="s">
        <v>30</v>
      </c>
      <c r="E2" s="35" t="s">
        <v>31</v>
      </c>
      <c r="F2" s="35" t="s">
        <v>32</v>
      </c>
      <c r="G2" s="36" t="s">
        <v>33</v>
      </c>
      <c r="H2" s="37" t="s">
        <v>34</v>
      </c>
    </row>
    <row r="3" spans="1:8" x14ac:dyDescent="0.25">
      <c r="A3" s="38" t="s">
        <v>35</v>
      </c>
      <c r="B3" s="39">
        <v>43735</v>
      </c>
      <c r="C3" s="40">
        <v>2262.6376564983998</v>
      </c>
      <c r="D3" s="40">
        <v>31676.927190977636</v>
      </c>
      <c r="E3" s="41">
        <v>14</v>
      </c>
      <c r="F3" s="42">
        <v>1620</v>
      </c>
      <c r="G3" s="43">
        <v>0.30860000848770142</v>
      </c>
      <c r="H3" s="44">
        <v>100.7</v>
      </c>
    </row>
    <row r="4" spans="1:8" x14ac:dyDescent="0.25">
      <c r="A4" s="38" t="s">
        <v>35</v>
      </c>
      <c r="B4" s="39">
        <v>43736</v>
      </c>
      <c r="C4" s="40">
        <v>8338.2153073289574</v>
      </c>
      <c r="D4" s="40">
        <v>125073.22960993437</v>
      </c>
      <c r="E4" s="41">
        <v>15</v>
      </c>
      <c r="F4" s="42">
        <v>1621</v>
      </c>
      <c r="G4" s="43">
        <v>0.4862000048160553</v>
      </c>
      <c r="H4" s="44">
        <v>93.14</v>
      </c>
    </row>
    <row r="5" spans="1:8" x14ac:dyDescent="0.25">
      <c r="A5" t="s">
        <v>35</v>
      </c>
      <c r="B5" s="39">
        <v>43737</v>
      </c>
      <c r="C5" s="45">
        <v>8000</v>
      </c>
      <c r="D5" s="45">
        <v>125000</v>
      </c>
      <c r="E5" s="46">
        <v>15</v>
      </c>
    </row>
    <row r="7" spans="1:8" x14ac:dyDescent="0.25">
      <c r="A7" t="s">
        <v>36</v>
      </c>
      <c r="C7" s="47">
        <f>SUM(C3:C6)</f>
        <v>18600.852963827358</v>
      </c>
      <c r="D7" s="47">
        <f>SUM(D3:D6)</f>
        <v>281750.15680091199</v>
      </c>
      <c r="E7" s="47">
        <f>AVERAGE(E3:E5)</f>
        <v>14.666666666666666</v>
      </c>
      <c r="H7" s="47">
        <f>AVERAGE(H3:H6)</f>
        <v>96.92</v>
      </c>
    </row>
    <row r="10" spans="1:8" x14ac:dyDescent="0.25">
      <c r="A10" s="92" t="s">
        <v>32</v>
      </c>
      <c r="B10" s="92" t="s">
        <v>37</v>
      </c>
      <c r="C10" s="92" t="s">
        <v>38</v>
      </c>
      <c r="D10" s="92" t="s">
        <v>39</v>
      </c>
      <c r="E10" s="92" t="s">
        <v>40</v>
      </c>
    </row>
    <row r="11" spans="1:8" x14ac:dyDescent="0.25">
      <c r="A11" s="93">
        <v>1622</v>
      </c>
      <c r="B11" s="94" t="s">
        <v>71</v>
      </c>
      <c r="C11" s="93">
        <v>100</v>
      </c>
      <c r="D11" s="93">
        <v>1</v>
      </c>
      <c r="E11" s="93">
        <v>1</v>
      </c>
    </row>
    <row r="12" spans="1:8" x14ac:dyDescent="0.25">
      <c r="A12" s="93">
        <v>1622</v>
      </c>
      <c r="B12" s="94" t="s">
        <v>42</v>
      </c>
      <c r="C12" s="93">
        <v>100</v>
      </c>
      <c r="D12" s="93">
        <v>8</v>
      </c>
      <c r="E12" s="93">
        <v>8</v>
      </c>
    </row>
    <row r="13" spans="1:8" x14ac:dyDescent="0.25">
      <c r="A13" s="92" t="s">
        <v>32</v>
      </c>
      <c r="B13" s="92" t="s">
        <v>37</v>
      </c>
      <c r="C13" s="92" t="s">
        <v>38</v>
      </c>
      <c r="D13" s="92" t="s">
        <v>39</v>
      </c>
      <c r="E13" s="92" t="s">
        <v>40</v>
      </c>
    </row>
    <row r="14" spans="1:8" x14ac:dyDescent="0.25">
      <c r="A14" s="93">
        <v>1624</v>
      </c>
      <c r="B14" s="94" t="s">
        <v>72</v>
      </c>
      <c r="C14" s="93">
        <v>100</v>
      </c>
      <c r="D14" s="93">
        <v>4</v>
      </c>
      <c r="E14" s="93">
        <v>4</v>
      </c>
    </row>
    <row r="15" spans="1:8" x14ac:dyDescent="0.25">
      <c r="A15" s="92" t="s">
        <v>32</v>
      </c>
      <c r="B15" s="92" t="s">
        <v>37</v>
      </c>
      <c r="C15" s="92" t="s">
        <v>38</v>
      </c>
      <c r="D15" s="92" t="s">
        <v>39</v>
      </c>
      <c r="E15" s="92" t="s">
        <v>40</v>
      </c>
    </row>
    <row r="16" spans="1:8" x14ac:dyDescent="0.25">
      <c r="A16" s="93">
        <v>1625</v>
      </c>
      <c r="B16" s="94" t="s">
        <v>73</v>
      </c>
      <c r="C16" s="93">
        <v>50</v>
      </c>
      <c r="D16" s="93">
        <v>0</v>
      </c>
      <c r="E16" s="93">
        <v>0</v>
      </c>
    </row>
    <row r="17" spans="1:21" x14ac:dyDescent="0.25">
      <c r="A17" s="93">
        <v>1625</v>
      </c>
      <c r="B17" s="94" t="s">
        <v>74</v>
      </c>
      <c r="C17" s="93">
        <v>100</v>
      </c>
      <c r="D17" s="93">
        <v>4</v>
      </c>
      <c r="E17" s="93">
        <v>4</v>
      </c>
    </row>
    <row r="18" spans="1:21" x14ac:dyDescent="0.25">
      <c r="A18" s="93">
        <v>1625</v>
      </c>
      <c r="B18" s="94" t="s">
        <v>75</v>
      </c>
      <c r="C18" s="93">
        <v>100</v>
      </c>
      <c r="D18" s="93">
        <v>3</v>
      </c>
      <c r="E18" s="93">
        <v>3</v>
      </c>
    </row>
    <row r="19" spans="1:21" x14ac:dyDescent="0.25">
      <c r="A19" s="92" t="s">
        <v>32</v>
      </c>
      <c r="B19" s="92" t="s">
        <v>37</v>
      </c>
      <c r="C19" s="92" t="s">
        <v>38</v>
      </c>
      <c r="D19" s="92" t="s">
        <v>39</v>
      </c>
      <c r="E19" s="92" t="s">
        <v>40</v>
      </c>
    </row>
    <row r="20" spans="1:21" x14ac:dyDescent="0.25">
      <c r="A20" s="93">
        <v>1623</v>
      </c>
      <c r="B20" s="94" t="s">
        <v>76</v>
      </c>
      <c r="C20" s="93">
        <v>100</v>
      </c>
      <c r="D20" s="93">
        <v>8</v>
      </c>
      <c r="E20" s="93">
        <v>8</v>
      </c>
    </row>
    <row r="21" spans="1:21" x14ac:dyDescent="0.25">
      <c r="A21" s="93">
        <v>1623</v>
      </c>
      <c r="B21" s="94" t="s">
        <v>77</v>
      </c>
      <c r="C21" s="93">
        <v>100</v>
      </c>
      <c r="D21" s="93">
        <v>1</v>
      </c>
      <c r="E21" s="93">
        <v>1</v>
      </c>
    </row>
    <row r="23" spans="1:21" x14ac:dyDescent="0.25">
      <c r="A23" s="71">
        <v>43764</v>
      </c>
      <c r="B23" s="72" t="s">
        <v>19</v>
      </c>
      <c r="C23" s="113">
        <v>0</v>
      </c>
      <c r="D23" s="25">
        <v>0.74930555555555556</v>
      </c>
      <c r="E23" s="75">
        <f>Effort!F21</f>
        <v>0</v>
      </c>
      <c r="F23" s="76">
        <f>Harvest!F21</f>
        <v>0</v>
      </c>
      <c r="G23" s="77">
        <f>+CPUE!F21</f>
        <v>0</v>
      </c>
      <c r="H23" s="75">
        <f>Effort!H21</f>
        <v>0</v>
      </c>
      <c r="I23" s="76">
        <f>Harvest!H21</f>
        <v>0</v>
      </c>
      <c r="J23" s="77">
        <f>CPUE!H21</f>
        <v>0</v>
      </c>
      <c r="K23" s="75">
        <f>Effort!J21</f>
        <v>0</v>
      </c>
      <c r="L23" s="76">
        <f>Harvest!J21</f>
        <v>0</v>
      </c>
      <c r="M23" s="77">
        <f>CPUE!J21</f>
        <v>0</v>
      </c>
      <c r="N23" s="75">
        <f>Effort!L21</f>
        <v>0</v>
      </c>
      <c r="O23" s="76">
        <f>Harvest!L21</f>
        <v>0</v>
      </c>
      <c r="P23" s="77">
        <f>CPUE!L21</f>
        <v>0</v>
      </c>
      <c r="Q23" s="75" t="s">
        <v>10</v>
      </c>
      <c r="R23" s="76" t="s">
        <v>10</v>
      </c>
      <c r="S23" s="78" t="s">
        <v>10</v>
      </c>
      <c r="T23" s="75">
        <f>SUM(E23+H23+K23)</f>
        <v>0</v>
      </c>
      <c r="U23" s="76">
        <f>SUM(F23+I23+L23)</f>
        <v>0</v>
      </c>
    </row>
    <row r="24" spans="1:21" x14ac:dyDescent="0.25">
      <c r="A24" s="71">
        <v>43765</v>
      </c>
      <c r="B24" s="72" t="s">
        <v>20</v>
      </c>
      <c r="C24" s="113">
        <v>-0.8</v>
      </c>
      <c r="D24" s="25">
        <v>0.78263888888888899</v>
      </c>
      <c r="E24" s="75">
        <f>Effort!F22</f>
        <v>3014.0320000000002</v>
      </c>
      <c r="F24" s="76">
        <f>Harvest!F22</f>
        <v>43477.913800000002</v>
      </c>
      <c r="G24" s="77">
        <f>+CPUE!F22</f>
        <v>14.425166620659635</v>
      </c>
      <c r="H24" s="75">
        <f>Effort!H22</f>
        <v>1264.2011099304812</v>
      </c>
      <c r="I24" s="76">
        <f>Harvest!H22</f>
        <v>15334.262093498108</v>
      </c>
      <c r="J24" s="77">
        <f>CPUE!H22</f>
        <v>12.129606573705148</v>
      </c>
      <c r="K24" s="75">
        <f>Effort!J22</f>
        <v>3356.61746464207</v>
      </c>
      <c r="L24" s="76">
        <f>Harvest!J22</f>
        <v>47202.433096529101</v>
      </c>
      <c r="M24" s="77">
        <f>CPUE!J22</f>
        <v>14.062499999999998</v>
      </c>
      <c r="N24" s="75" t="str">
        <f>Effort!L22</f>
        <v>CLOSED</v>
      </c>
      <c r="O24" s="76" t="str">
        <f>Harvest!L22</f>
        <v>CLOSED</v>
      </c>
      <c r="P24" s="77" t="str">
        <f>CPUE!L22</f>
        <v>CLOSED</v>
      </c>
      <c r="Q24" s="75" t="s">
        <v>10</v>
      </c>
      <c r="R24" s="76" t="s">
        <v>10</v>
      </c>
      <c r="S24" s="78" t="s">
        <v>10</v>
      </c>
      <c r="T24" s="75" t="e">
        <f>SUM(E24+H24+N24)</f>
        <v>#VALUE!</v>
      </c>
      <c r="U24" s="76" t="e">
        <f>SUM(F24+I24+O24)</f>
        <v>#VALUE!</v>
      </c>
    </row>
    <row r="25" spans="1:21" x14ac:dyDescent="0.25">
      <c r="A25" s="71">
        <v>43766</v>
      </c>
      <c r="B25" s="72" t="s">
        <v>21</v>
      </c>
      <c r="C25" s="113">
        <v>-1.2</v>
      </c>
      <c r="D25" s="25">
        <v>0.81458333333333333</v>
      </c>
      <c r="E25" s="75">
        <f>Effort!F23</f>
        <v>1548.5789765433412</v>
      </c>
      <c r="F25" s="76">
        <f>Harvest!F23</f>
        <v>23228.68464815012</v>
      </c>
      <c r="G25" s="77">
        <f>+CPUE!F23</f>
        <v>15</v>
      </c>
      <c r="H25" s="75">
        <f>Effort!H23</f>
        <v>942.04165887272404</v>
      </c>
      <c r="I25" s="76">
        <f>Harvest!H23</f>
        <v>13089.4209443368</v>
      </c>
      <c r="J25" s="77">
        <f>CPUE!H23</f>
        <v>13.894736842105265</v>
      </c>
      <c r="K25" s="75" t="str">
        <f>Effort!J23</f>
        <v>CLOSED</v>
      </c>
      <c r="L25" s="76" t="str">
        <f>Harvest!J23</f>
        <v>CLOSED</v>
      </c>
      <c r="M25" s="77" t="str">
        <f>CPUE!J23</f>
        <v>CLOSED</v>
      </c>
      <c r="N25" s="75">
        <f>Effort!L23</f>
        <v>1216.1297411451001</v>
      </c>
      <c r="O25" s="76">
        <f>Harvest!L23</f>
        <v>17468.045372811401</v>
      </c>
      <c r="P25" s="77">
        <f>CPUE!L23</f>
        <v>14.363636363636333</v>
      </c>
      <c r="Q25" s="75" t="s">
        <v>10</v>
      </c>
      <c r="R25" s="76" t="s">
        <v>10</v>
      </c>
      <c r="S25" s="78" t="s">
        <v>10</v>
      </c>
      <c r="T25" s="75" t="e">
        <f>SUM(E25+H25+K25)</f>
        <v>#VALUE!</v>
      </c>
      <c r="U25" s="76" t="e">
        <f>SUM(F25+I25+L25)</f>
        <v>#VALUE!</v>
      </c>
    </row>
    <row r="26" spans="1:21" x14ac:dyDescent="0.25">
      <c r="A26" s="71">
        <v>43767</v>
      </c>
      <c r="B26" s="72" t="s">
        <v>22</v>
      </c>
      <c r="C26" s="113">
        <v>-1.4</v>
      </c>
      <c r="D26" s="25">
        <v>0.84583333333333333</v>
      </c>
      <c r="E26" s="75">
        <f>Effort!F24</f>
        <v>1059.5404458895632</v>
      </c>
      <c r="F26" s="76">
        <f>Harvest!F24</f>
        <v>15759.551172453799</v>
      </c>
      <c r="G26" s="77">
        <f>+CPUE!F24</f>
        <v>14.87394958219125</v>
      </c>
      <c r="H26" s="75">
        <f>Effort!H24</f>
        <v>444.41207250282105</v>
      </c>
      <c r="I26" s="76">
        <f>Harvest!H24</f>
        <v>5558.2493968305798</v>
      </c>
      <c r="J26" s="77">
        <f>CPUE!H24</f>
        <v>12.506972111553736</v>
      </c>
      <c r="K26" s="75">
        <f>Effort!J24</f>
        <v>1179.97153486345</v>
      </c>
      <c r="L26" s="76">
        <f>Harvest!J24</f>
        <v>17109.58725552</v>
      </c>
      <c r="M26" s="77">
        <f>CPUE!J24</f>
        <v>14.49999999999998</v>
      </c>
      <c r="N26" s="75" t="str">
        <f>Effort!L24</f>
        <v>CLOSED</v>
      </c>
      <c r="O26" s="76" t="str">
        <f>Harvest!L24</f>
        <v>CLOSED</v>
      </c>
      <c r="P26" s="77" t="str">
        <f>CPUE!L24</f>
        <v>CLOSED</v>
      </c>
      <c r="Q26" s="75" t="s">
        <v>10</v>
      </c>
      <c r="R26" s="76" t="s">
        <v>10</v>
      </c>
      <c r="S26" s="78" t="s">
        <v>10</v>
      </c>
      <c r="T26" s="75" t="e">
        <f>SUM(E26+H26+N26)</f>
        <v>#VALUE!</v>
      </c>
      <c r="U26" s="76" t="e">
        <f>SUM(F26+I26+O26)</f>
        <v>#VALUE!</v>
      </c>
    </row>
    <row r="27" spans="1:21" x14ac:dyDescent="0.25">
      <c r="A27" s="71">
        <v>43768</v>
      </c>
      <c r="B27" s="72" t="s">
        <v>23</v>
      </c>
      <c r="C27" s="113">
        <v>-1.2</v>
      </c>
      <c r="D27" s="25">
        <v>0.87708333333333333</v>
      </c>
      <c r="E27" s="75">
        <f>Effort!F25</f>
        <v>1220.5420342859243</v>
      </c>
      <c r="F27" s="76">
        <f>Harvest!F25</f>
        <v>18308.130514288863</v>
      </c>
      <c r="G27" s="77">
        <f>+CPUE!F25</f>
        <v>15</v>
      </c>
      <c r="H27" s="75">
        <f>Effort!H25</f>
        <v>603.11255995900137</v>
      </c>
      <c r="I27" s="76">
        <f>Harvest!H25</f>
        <v>5959.2595174477747</v>
      </c>
      <c r="J27" s="77">
        <f>CPUE!H25</f>
        <v>9.8808413438660203</v>
      </c>
      <c r="K27" s="75" t="str">
        <f>Effort!J25</f>
        <v>CLOSED</v>
      </c>
      <c r="L27" s="76" t="str">
        <f>Harvest!J25</f>
        <v>CLOSED</v>
      </c>
      <c r="M27" s="77" t="str">
        <f>CPUE!J25</f>
        <v>CLOSED</v>
      </c>
      <c r="N27" s="75">
        <f>Effort!L25</f>
        <v>778.58883895005602</v>
      </c>
      <c r="O27" s="76">
        <f>Harvest!L25</f>
        <v>7952.7288549898603</v>
      </c>
      <c r="P27" s="77">
        <f>CPUE!L25</f>
        <v>10.214285714285717</v>
      </c>
      <c r="Q27" s="75" t="s">
        <v>10</v>
      </c>
      <c r="R27" s="76" t="s">
        <v>10</v>
      </c>
      <c r="S27" s="78" t="s">
        <v>10</v>
      </c>
      <c r="T27" s="75" t="e">
        <f>SUM(E27+H27+K27)</f>
        <v>#VALUE!</v>
      </c>
      <c r="U27" s="76" t="e">
        <f>SUM(F27+I27+L27)</f>
        <v>#VALUE!</v>
      </c>
    </row>
    <row r="28" spans="1:21" x14ac:dyDescent="0.25">
      <c r="A28" s="71">
        <v>43769</v>
      </c>
      <c r="B28" s="72" t="s">
        <v>24</v>
      </c>
      <c r="C28" s="113">
        <v>-0.8</v>
      </c>
      <c r="D28" s="25">
        <v>0.90972222222222221</v>
      </c>
      <c r="E28" s="75">
        <f>Effort!F26</f>
        <v>1458.1811963325936</v>
      </c>
      <c r="F28" s="76">
        <f>Harvest!F26</f>
        <v>21810.001126699401</v>
      </c>
      <c r="G28" s="77">
        <f>+CPUE!F26</f>
        <v>14.956989694801141</v>
      </c>
      <c r="H28" s="75">
        <f>Effort!H26</f>
        <v>611.61735737491233</v>
      </c>
      <c r="I28" s="76">
        <f>Harvest!H26</f>
        <v>7692.1876949923408</v>
      </c>
      <c r="J28" s="77">
        <f>CPUE!H26</f>
        <v>12.576797571618204</v>
      </c>
      <c r="K28" s="75">
        <f>Effort!J26</f>
        <v>1623.9231933246399</v>
      </c>
      <c r="L28" s="76">
        <f>Harvest!J26</f>
        <v>23678.346752190599</v>
      </c>
      <c r="M28" s="77">
        <f>CPUE!J26</f>
        <v>14.580952380952317</v>
      </c>
      <c r="N28" s="75" t="str">
        <f>Effort!L26</f>
        <v>CLOSED</v>
      </c>
      <c r="O28" s="76" t="str">
        <f>Harvest!L26</f>
        <v>CLOSED</v>
      </c>
      <c r="P28" s="77" t="str">
        <f>CPUE!L26</f>
        <v>CLOSED</v>
      </c>
      <c r="Q28" s="75" t="s">
        <v>10</v>
      </c>
      <c r="R28" s="76" t="s">
        <v>10</v>
      </c>
      <c r="S28" s="78" t="s">
        <v>10</v>
      </c>
      <c r="T28" s="75" t="e">
        <f>SUM(E28+H28+N28)</f>
        <v>#VALUE!</v>
      </c>
      <c r="U28" s="76" t="e">
        <f>SUM(F28+I28+O28)</f>
        <v>#VALUE!</v>
      </c>
    </row>
    <row r="29" spans="1:21" x14ac:dyDescent="0.25">
      <c r="A29" s="71">
        <v>43770</v>
      </c>
      <c r="B29" s="72" t="s">
        <v>18</v>
      </c>
      <c r="C29" s="113">
        <v>-0.2</v>
      </c>
      <c r="D29" s="25">
        <v>0.94305555555555554</v>
      </c>
      <c r="E29" s="75">
        <f>Effort!F27</f>
        <v>3184.4980043530381</v>
      </c>
      <c r="F29" s="76">
        <f>Harvest!F27</f>
        <v>47767.470065295573</v>
      </c>
      <c r="G29" s="77">
        <f>+CPUE!F27</f>
        <v>15</v>
      </c>
      <c r="H29" s="75">
        <f>Effort!H27</f>
        <v>1573.5719783819993</v>
      </c>
      <c r="I29" s="76">
        <f>Harvest!H27</f>
        <v>22722.738541349096</v>
      </c>
      <c r="J29" s="77">
        <f>CPUE!H27</f>
        <v>14.440228253628026</v>
      </c>
      <c r="K29" s="75" t="str">
        <f>Effort!J27</f>
        <v>CLOSED</v>
      </c>
      <c r="L29" s="76" t="str">
        <f>Harvest!J27</f>
        <v>CLOSED</v>
      </c>
      <c r="M29" s="77" t="str">
        <f>CPUE!J27</f>
        <v>CLOSED</v>
      </c>
      <c r="N29" s="75">
        <f>Effort!L27</f>
        <v>2031.40451881166</v>
      </c>
      <c r="O29" s="76">
        <f>Harvest!L27</f>
        <v>30323.864556174001</v>
      </c>
      <c r="P29" s="77">
        <f>CPUE!L27</f>
        <v>14.927536231884032</v>
      </c>
      <c r="Q29" s="75" t="s">
        <v>10</v>
      </c>
      <c r="R29" s="76" t="s">
        <v>10</v>
      </c>
      <c r="S29" s="78" t="s">
        <v>10</v>
      </c>
      <c r="T29" s="75" t="e">
        <f>SUM(E29+H29+K29)</f>
        <v>#VALUE!</v>
      </c>
      <c r="U29" s="76" t="e">
        <f>SUM(F29+I29+L29)</f>
        <v>#VALUE!</v>
      </c>
    </row>
    <row r="30" spans="1:21" x14ac:dyDescent="0.25">
      <c r="A30" s="148" t="s">
        <v>65</v>
      </c>
      <c r="B30" s="148"/>
      <c r="C30" s="148"/>
      <c r="D30" s="149"/>
      <c r="E30" s="81">
        <f>SUM(E23:E29)</f>
        <v>11485.372657404459</v>
      </c>
      <c r="F30" s="82">
        <f>SUM(F23:F29)</f>
        <v>170351.75132688775</v>
      </c>
      <c r="G30" s="83">
        <f>+F30/E30</f>
        <v>14.832061301647393</v>
      </c>
      <c r="H30" s="81">
        <f>SUM(H23:H29)</f>
        <v>5438.9567370219393</v>
      </c>
      <c r="I30" s="82">
        <f>SUM(I23:I29)</f>
        <v>70356.118188454697</v>
      </c>
      <c r="J30" s="83">
        <f>+I30/H30</f>
        <v>12.935590700612499</v>
      </c>
      <c r="K30" s="81">
        <f>SUM(K23:K29)</f>
        <v>6160.5121928301605</v>
      </c>
      <c r="L30" s="82">
        <f>SUM(L23:L29)</f>
        <v>87990.367104239704</v>
      </c>
      <c r="M30" s="83">
        <f>+L30/K30</f>
        <v>14.282962901468851</v>
      </c>
      <c r="N30" s="81">
        <f>SUM(N23:N29)</f>
        <v>4026.1230989068163</v>
      </c>
      <c r="O30" s="82">
        <f>SUM(O23:O29)</f>
        <v>55744.638783975257</v>
      </c>
      <c r="P30" s="83">
        <f>+O30/N30</f>
        <v>13.845736311219891</v>
      </c>
      <c r="Q30" s="81"/>
      <c r="R30" s="82"/>
      <c r="S30" s="83"/>
      <c r="T30" s="81" t="e">
        <f>SUM(T23:T29)</f>
        <v>#VALUE!</v>
      </c>
      <c r="U30" s="82" t="e">
        <f>SUM(U23:U29)</f>
        <v>#VALUE!</v>
      </c>
    </row>
    <row r="31" spans="1:21" x14ac:dyDescent="0.25">
      <c r="T31" s="48"/>
    </row>
  </sheetData>
  <mergeCells count="2">
    <mergeCell ref="A1:H1"/>
    <mergeCell ref="A30:D30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0" ma:contentTypeDescription="Create a new document." ma:contentTypeScope="" ma:versionID="be37b145ad5d1ea89c8963a27abedd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24BCD1-11BA-49A8-B7A2-DF44CC78F935}"/>
</file>

<file path=customXml/itemProps2.xml><?xml version="1.0" encoding="utf-8"?>
<ds:datastoreItem xmlns:ds="http://schemas.openxmlformats.org/officeDocument/2006/customXml" ds:itemID="{648904E1-4A25-431B-B41C-F1062EA00DC1}"/>
</file>

<file path=customXml/itemProps3.xml><?xml version="1.0" encoding="utf-8"?>
<ds:datastoreItem xmlns:ds="http://schemas.openxmlformats.org/officeDocument/2006/customXml" ds:itemID="{CA82A35A-A746-422A-8C02-C193FCB3DB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Harvest</vt:lpstr>
      <vt:lpstr>Effort</vt:lpstr>
      <vt:lpstr>CPUE</vt:lpstr>
      <vt:lpstr>Summary Table</vt:lpstr>
      <vt:lpstr>Tribal Update</vt:lpstr>
      <vt:lpstr>TAC</vt:lpstr>
      <vt:lpstr>TH Wastage</vt:lpstr>
      <vt:lpstr>LB Wastage</vt:lpstr>
      <vt:lpstr>Cop Wastage</vt:lpstr>
      <vt:lpstr>Moc Wastage</vt:lpstr>
      <vt:lpstr>Kal Wastage</vt:lpstr>
      <vt:lpstr>Copy Sheet</vt:lpstr>
      <vt:lpstr>'Summary Table'!Print_Area</vt:lpstr>
      <vt:lpstr>'Tribal Update'!Print_Area</vt:lpstr>
    </vt:vector>
  </TitlesOfParts>
  <Company>Washington Dept of Fish &amp; Wildlife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Blumenthal, Bryce W (DFW)</dc:creator>
  <cp:lastModifiedBy>George, Matthew (DFW)</cp:lastModifiedBy>
  <cp:lastPrinted>2020-04-10T23:21:22Z</cp:lastPrinted>
  <dcterms:created xsi:type="dcterms:W3CDTF">2019-10-01T18:03:52Z</dcterms:created>
  <dcterms:modified xsi:type="dcterms:W3CDTF">2023-11-15T22:23:58Z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2021-08-13T17:47:06Z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3af67942-444d-4b9e-86ee-9e31aed8ca63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0x010100245DFC7247A834468B68F53E17E77B58</vt:lpwstr>
  </property>
  <property fmtid="{D5CDD505-2E9C-101B-9397-08002B2CF9AE}" pid="10" name="Order">
    <vt:r8>2815500</vt:r8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</Properties>
</file>