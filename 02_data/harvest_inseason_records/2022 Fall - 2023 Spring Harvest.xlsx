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-RazorClamData/Shared Documents/02_data/historical_harvest_recreational/"/>
    </mc:Choice>
  </mc:AlternateContent>
  <xr:revisionPtr revIDLastSave="10" documentId="13_ncr:1_{BA21D1C7-3FE9-4F54-B277-4836551A1491}" xr6:coauthVersionLast="47" xr6:coauthVersionMax="47" xr10:uidLastSave="{4260D138-058D-4CFA-B999-FC9C71694285}"/>
  <bookViews>
    <workbookView xWindow="360" yWindow="345" windowWidth="19140" windowHeight="10050" tabRatio="657" activeTab="12" xr2:uid="{00000000-000D-0000-FFFF-FFFF00000000}"/>
  </bookViews>
  <sheets>
    <sheet name="Harvest" sheetId="2" r:id="rId1"/>
    <sheet name="Effort" sheetId="1" r:id="rId2"/>
    <sheet name="CPUE" sheetId="3" r:id="rId3"/>
    <sheet name="Summary Table" sheetId="4" r:id="rId4"/>
    <sheet name="Summary Table Public" sheetId="15" r:id="rId5"/>
    <sheet name="Tribal Update" sheetId="13" r:id="rId6"/>
    <sheet name="TAC" sheetId="5" r:id="rId7"/>
    <sheet name="TH Wastage" sheetId="6" r:id="rId8"/>
    <sheet name="LB Wastage" sheetId="7" r:id="rId9"/>
    <sheet name="Cop Wastage" sheetId="8" r:id="rId10"/>
    <sheet name="Moc Wastage" sheetId="9" r:id="rId11"/>
    <sheet name="Kal Wastage" sheetId="11" r:id="rId12"/>
    <sheet name="Copy Sheet" sheetId="10" r:id="rId13"/>
  </sheets>
  <definedNames>
    <definedName name="_xlnm.Print_Area" localSheetId="5">'Tribal Update'!$A$1:$R$138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7" i="15" l="1"/>
  <c r="Q2" i="3"/>
  <c r="Q2" i="1"/>
  <c r="Q2" i="2"/>
  <c r="R134" i="13" l="1"/>
  <c r="Q134" i="13"/>
  <c r="J134" i="13"/>
  <c r="I134" i="13"/>
  <c r="F134" i="13"/>
  <c r="E134" i="13"/>
  <c r="Q132" i="13"/>
  <c r="K132" i="13"/>
  <c r="K124" i="13"/>
  <c r="K131" i="13"/>
  <c r="J131" i="13"/>
  <c r="I131" i="13"/>
  <c r="G131" i="13"/>
  <c r="F131" i="13"/>
  <c r="R131" i="13" s="1"/>
  <c r="E131" i="13"/>
  <c r="Q131" i="13" s="1"/>
  <c r="K130" i="13"/>
  <c r="J130" i="13"/>
  <c r="I130" i="13"/>
  <c r="G130" i="13"/>
  <c r="F130" i="13"/>
  <c r="R130" i="13" s="1"/>
  <c r="E130" i="13"/>
  <c r="Q130" i="13" s="1"/>
  <c r="K129" i="13"/>
  <c r="J129" i="13"/>
  <c r="I129" i="13"/>
  <c r="G129" i="13"/>
  <c r="F129" i="13"/>
  <c r="R129" i="13" s="1"/>
  <c r="E129" i="13"/>
  <c r="Q129" i="13" s="1"/>
  <c r="K128" i="13"/>
  <c r="J128" i="13"/>
  <c r="I128" i="13"/>
  <c r="G128" i="13"/>
  <c r="F128" i="13"/>
  <c r="R128" i="13" s="1"/>
  <c r="E128" i="13"/>
  <c r="Q128" i="13" s="1"/>
  <c r="K127" i="13"/>
  <c r="J127" i="13"/>
  <c r="I127" i="13"/>
  <c r="G127" i="13"/>
  <c r="F127" i="13"/>
  <c r="R127" i="13" s="1"/>
  <c r="E127" i="13"/>
  <c r="Q127" i="13" s="1"/>
  <c r="K126" i="13"/>
  <c r="J126" i="13"/>
  <c r="I126" i="13"/>
  <c r="G126" i="13"/>
  <c r="F126" i="13"/>
  <c r="R126" i="13" s="1"/>
  <c r="E126" i="13"/>
  <c r="Q126" i="13" s="1"/>
  <c r="K125" i="13"/>
  <c r="J125" i="13"/>
  <c r="J132" i="13" s="1"/>
  <c r="I125" i="13"/>
  <c r="I132" i="13" s="1"/>
  <c r="G125" i="13"/>
  <c r="F125" i="13"/>
  <c r="R125" i="13" s="1"/>
  <c r="R132" i="13" s="1"/>
  <c r="E125" i="13"/>
  <c r="E132" i="13" s="1"/>
  <c r="T132" i="13" s="1"/>
  <c r="R137" i="15"/>
  <c r="O137" i="15"/>
  <c r="L137" i="15"/>
  <c r="I137" i="15"/>
  <c r="Q136" i="15"/>
  <c r="N136" i="15"/>
  <c r="K136" i="15"/>
  <c r="H136" i="15"/>
  <c r="F136" i="15"/>
  <c r="E136" i="15"/>
  <c r="R135" i="15"/>
  <c r="R136" i="15" s="1"/>
  <c r="O135" i="15"/>
  <c r="L135" i="15"/>
  <c r="I135" i="15"/>
  <c r="U135" i="15" s="1"/>
  <c r="F135" i="15"/>
  <c r="X134" i="15"/>
  <c r="W134" i="15"/>
  <c r="U134" i="15"/>
  <c r="T134" i="15"/>
  <c r="T136" i="15" s="1"/>
  <c r="R134" i="15"/>
  <c r="X135" i="15" s="1"/>
  <c r="Q134" i="15"/>
  <c r="P134" i="15"/>
  <c r="O134" i="15"/>
  <c r="O136" i="15" s="1"/>
  <c r="N134" i="15"/>
  <c r="L134" i="15"/>
  <c r="L136" i="15" s="1"/>
  <c r="K134" i="15"/>
  <c r="M134" i="15" s="1"/>
  <c r="I134" i="15"/>
  <c r="I136" i="15" s="1"/>
  <c r="H134" i="15"/>
  <c r="W135" i="15" s="1"/>
  <c r="F134" i="15"/>
  <c r="G134" i="15" s="1"/>
  <c r="E134" i="15"/>
  <c r="U134" i="4"/>
  <c r="T134" i="4"/>
  <c r="O134" i="4"/>
  <c r="N134" i="4"/>
  <c r="L134" i="4"/>
  <c r="K134" i="4"/>
  <c r="I134" i="4"/>
  <c r="H134" i="4"/>
  <c r="E132" i="4"/>
  <c r="E134" i="4" s="1"/>
  <c r="F134" i="4"/>
  <c r="X134" i="4"/>
  <c r="T132" i="4"/>
  <c r="O131" i="2"/>
  <c r="L131" i="2"/>
  <c r="J131" i="2"/>
  <c r="H131" i="2"/>
  <c r="F131" i="2"/>
  <c r="O131" i="1"/>
  <c r="L131" i="1"/>
  <c r="J131" i="1"/>
  <c r="H131" i="1"/>
  <c r="F131" i="1"/>
  <c r="F126" i="2"/>
  <c r="F127" i="2"/>
  <c r="F128" i="2"/>
  <c r="F129" i="2"/>
  <c r="F131" i="4" s="1"/>
  <c r="F125" i="2"/>
  <c r="F127" i="4" s="1"/>
  <c r="F124" i="2"/>
  <c r="F126" i="4" s="1"/>
  <c r="F123" i="2"/>
  <c r="F125" i="4" s="1"/>
  <c r="H128" i="2"/>
  <c r="I130" i="4" s="1"/>
  <c r="H124" i="2"/>
  <c r="H123" i="2"/>
  <c r="I125" i="4" s="1"/>
  <c r="F129" i="1"/>
  <c r="E131" i="4" s="1"/>
  <c r="H128" i="1"/>
  <c r="H130" i="4" s="1"/>
  <c r="F125" i="1"/>
  <c r="E127" i="4" s="1"/>
  <c r="T127" i="4" s="1"/>
  <c r="H124" i="1"/>
  <c r="F124" i="1"/>
  <c r="H123" i="1"/>
  <c r="F123" i="1"/>
  <c r="F127" i="1"/>
  <c r="E129" i="4" s="1"/>
  <c r="F128" i="1"/>
  <c r="E130" i="4" s="1"/>
  <c r="F120" i="1"/>
  <c r="F126" i="1"/>
  <c r="E128" i="15"/>
  <c r="L129" i="3"/>
  <c r="L127" i="3"/>
  <c r="L125" i="3"/>
  <c r="P127" i="15" s="1"/>
  <c r="L123" i="3"/>
  <c r="J128" i="3"/>
  <c r="J126" i="3"/>
  <c r="J124" i="3"/>
  <c r="M126" i="4" s="1"/>
  <c r="H129" i="3"/>
  <c r="J131" i="4" s="1"/>
  <c r="H127" i="3"/>
  <c r="J129" i="4" s="1"/>
  <c r="H126" i="3"/>
  <c r="H125" i="3"/>
  <c r="J127" i="15" s="1"/>
  <c r="P131" i="4"/>
  <c r="O131" i="4"/>
  <c r="N131" i="4"/>
  <c r="M131" i="4"/>
  <c r="L131" i="4"/>
  <c r="K131" i="4"/>
  <c r="I131" i="4"/>
  <c r="H131" i="4"/>
  <c r="G131" i="4"/>
  <c r="P130" i="4"/>
  <c r="O130" i="4"/>
  <c r="N130" i="4"/>
  <c r="L130" i="4"/>
  <c r="K130" i="4"/>
  <c r="J130" i="4"/>
  <c r="G130" i="4"/>
  <c r="F130" i="4"/>
  <c r="O129" i="4"/>
  <c r="N129" i="4"/>
  <c r="M129" i="4"/>
  <c r="L129" i="4"/>
  <c r="K129" i="4"/>
  <c r="I129" i="4"/>
  <c r="H129" i="4"/>
  <c r="G129" i="4"/>
  <c r="F129" i="4"/>
  <c r="P128" i="4"/>
  <c r="O128" i="4"/>
  <c r="N128" i="4"/>
  <c r="M128" i="4"/>
  <c r="L128" i="4"/>
  <c r="K128" i="4"/>
  <c r="J128" i="4"/>
  <c r="I128" i="4"/>
  <c r="H128" i="4"/>
  <c r="G128" i="4"/>
  <c r="F128" i="4"/>
  <c r="P127" i="4"/>
  <c r="O127" i="4"/>
  <c r="N127" i="4"/>
  <c r="M127" i="4"/>
  <c r="L127" i="4"/>
  <c r="K127" i="4"/>
  <c r="I127" i="4"/>
  <c r="H127" i="4"/>
  <c r="G127" i="4"/>
  <c r="P126" i="4"/>
  <c r="O126" i="4"/>
  <c r="N126" i="4"/>
  <c r="L126" i="4"/>
  <c r="K126" i="4"/>
  <c r="J126" i="4"/>
  <c r="H126" i="4"/>
  <c r="G126" i="4"/>
  <c r="E126" i="4"/>
  <c r="T126" i="4" s="1"/>
  <c r="P125" i="4"/>
  <c r="O125" i="4"/>
  <c r="O132" i="4" s="1"/>
  <c r="N125" i="4"/>
  <c r="N132" i="4" s="1"/>
  <c r="M125" i="4"/>
  <c r="L125" i="4"/>
  <c r="K125" i="4"/>
  <c r="J125" i="4"/>
  <c r="H125" i="4"/>
  <c r="G125" i="4"/>
  <c r="E125" i="4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P130" i="15"/>
  <c r="O130" i="15"/>
  <c r="N130" i="15"/>
  <c r="M130" i="15"/>
  <c r="L130" i="15"/>
  <c r="K130" i="15"/>
  <c r="J130" i="15"/>
  <c r="H130" i="15"/>
  <c r="G130" i="15"/>
  <c r="F130" i="15"/>
  <c r="O129" i="15"/>
  <c r="N129" i="15"/>
  <c r="M129" i="15"/>
  <c r="L129" i="15"/>
  <c r="K129" i="15"/>
  <c r="J129" i="15"/>
  <c r="I129" i="15"/>
  <c r="H129" i="15"/>
  <c r="G129" i="15"/>
  <c r="F129" i="15"/>
  <c r="U129" i="15" s="1"/>
  <c r="P128" i="15"/>
  <c r="O128" i="15"/>
  <c r="N128" i="15"/>
  <c r="M128" i="15"/>
  <c r="L128" i="15"/>
  <c r="K128" i="15"/>
  <c r="J128" i="15"/>
  <c r="I128" i="15"/>
  <c r="H128" i="15"/>
  <c r="G128" i="15"/>
  <c r="F128" i="15"/>
  <c r="O127" i="15"/>
  <c r="N127" i="15"/>
  <c r="M127" i="15"/>
  <c r="L127" i="15"/>
  <c r="K127" i="15"/>
  <c r="I127" i="15"/>
  <c r="H127" i="15"/>
  <c r="G127" i="15"/>
  <c r="E127" i="15"/>
  <c r="P126" i="15"/>
  <c r="O126" i="15"/>
  <c r="N126" i="15"/>
  <c r="M126" i="15"/>
  <c r="L126" i="15"/>
  <c r="K126" i="15"/>
  <c r="J126" i="15"/>
  <c r="H126" i="15"/>
  <c r="G126" i="15"/>
  <c r="E126" i="15"/>
  <c r="P125" i="15"/>
  <c r="O125" i="15"/>
  <c r="N125" i="15"/>
  <c r="N132" i="15" s="1"/>
  <c r="M125" i="15"/>
  <c r="L125" i="15"/>
  <c r="K125" i="15"/>
  <c r="J125" i="15"/>
  <c r="H125" i="15"/>
  <c r="G125" i="15"/>
  <c r="F125" i="15"/>
  <c r="E125" i="15"/>
  <c r="O129" i="2"/>
  <c r="O127" i="2"/>
  <c r="O126" i="2"/>
  <c r="O125" i="2"/>
  <c r="H121" i="1"/>
  <c r="H121" i="2" s="1"/>
  <c r="H120" i="1"/>
  <c r="H120" i="2" s="1"/>
  <c r="F120" i="2"/>
  <c r="F116" i="1"/>
  <c r="F118" i="1" s="1"/>
  <c r="F116" i="2"/>
  <c r="O116" i="2" s="1"/>
  <c r="F117" i="1"/>
  <c r="F121" i="1" s="1"/>
  <c r="H117" i="1"/>
  <c r="H117" i="2" s="1"/>
  <c r="H115" i="1"/>
  <c r="H115" i="2" s="1"/>
  <c r="F115" i="1"/>
  <c r="O115" i="1" s="1"/>
  <c r="H119" i="3"/>
  <c r="H118" i="3"/>
  <c r="H116" i="3"/>
  <c r="L121" i="3"/>
  <c r="J120" i="3"/>
  <c r="L119" i="3"/>
  <c r="J118" i="3"/>
  <c r="L117" i="3"/>
  <c r="J116" i="3"/>
  <c r="L115" i="3"/>
  <c r="F117" i="2"/>
  <c r="F117" i="3" s="1"/>
  <c r="F132" i="13" l="1"/>
  <c r="Q125" i="13"/>
  <c r="U136" i="15"/>
  <c r="J134" i="15"/>
  <c r="W132" i="4"/>
  <c r="W134" i="4" s="1"/>
  <c r="F131" i="3"/>
  <c r="F127" i="15"/>
  <c r="U125" i="15"/>
  <c r="O123" i="2"/>
  <c r="I125" i="15"/>
  <c r="F126" i="15"/>
  <c r="O124" i="2"/>
  <c r="O128" i="2"/>
  <c r="I130" i="15"/>
  <c r="U130" i="15" s="1"/>
  <c r="I126" i="4"/>
  <c r="I132" i="4" s="1"/>
  <c r="I126" i="15"/>
  <c r="U125" i="4"/>
  <c r="T130" i="4"/>
  <c r="J127" i="4"/>
  <c r="T126" i="15"/>
  <c r="T125" i="4"/>
  <c r="E130" i="15"/>
  <c r="E129" i="15"/>
  <c r="E128" i="4"/>
  <c r="T128" i="4" s="1"/>
  <c r="P129" i="4"/>
  <c r="P129" i="15"/>
  <c r="M130" i="4"/>
  <c r="L132" i="15"/>
  <c r="U126" i="15"/>
  <c r="U127" i="15"/>
  <c r="U127" i="4"/>
  <c r="O132" i="15"/>
  <c r="U128" i="4"/>
  <c r="U128" i="15"/>
  <c r="U129" i="4"/>
  <c r="L132" i="4"/>
  <c r="U130" i="4"/>
  <c r="U131" i="15"/>
  <c r="U131" i="4"/>
  <c r="T125" i="15"/>
  <c r="H132" i="15"/>
  <c r="T127" i="15"/>
  <c r="H132" i="4"/>
  <c r="T129" i="4"/>
  <c r="T129" i="15"/>
  <c r="K132" i="4"/>
  <c r="K132" i="15"/>
  <c r="M132" i="15" s="1"/>
  <c r="T128" i="15"/>
  <c r="T130" i="15"/>
  <c r="T131" i="15"/>
  <c r="T131" i="4"/>
  <c r="F132" i="4"/>
  <c r="E132" i="15"/>
  <c r="F132" i="15"/>
  <c r="F115" i="2"/>
  <c r="O115" i="2" s="1"/>
  <c r="O115" i="3" s="1"/>
  <c r="F119" i="1"/>
  <c r="F119" i="2" s="1"/>
  <c r="O119" i="2" s="1"/>
  <c r="F121" i="2"/>
  <c r="F123" i="4" s="1"/>
  <c r="O121" i="1"/>
  <c r="O118" i="1"/>
  <c r="F118" i="2"/>
  <c r="O118" i="2" s="1"/>
  <c r="O118" i="3" s="1"/>
  <c r="O117" i="2"/>
  <c r="O120" i="1"/>
  <c r="O119" i="1"/>
  <c r="O119" i="3" s="1"/>
  <c r="O116" i="1"/>
  <c r="O116" i="3" s="1"/>
  <c r="O117" i="1"/>
  <c r="O120" i="2"/>
  <c r="P123" i="4"/>
  <c r="O123" i="4"/>
  <c r="N123" i="4"/>
  <c r="M123" i="4"/>
  <c r="L123" i="4"/>
  <c r="K123" i="4"/>
  <c r="J123" i="4"/>
  <c r="I123" i="4"/>
  <c r="H123" i="4"/>
  <c r="G123" i="4"/>
  <c r="E123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P120" i="4"/>
  <c r="O120" i="4"/>
  <c r="N120" i="4"/>
  <c r="M120" i="4"/>
  <c r="L120" i="4"/>
  <c r="K120" i="4"/>
  <c r="J120" i="4"/>
  <c r="I120" i="4"/>
  <c r="H120" i="4"/>
  <c r="G120" i="4"/>
  <c r="E120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P117" i="4"/>
  <c r="O117" i="4"/>
  <c r="N117" i="4"/>
  <c r="M117" i="4"/>
  <c r="L117" i="4"/>
  <c r="K117" i="4"/>
  <c r="J117" i="4"/>
  <c r="I117" i="4"/>
  <c r="H117" i="4"/>
  <c r="G117" i="4"/>
  <c r="E117" i="4"/>
  <c r="Q134" i="4"/>
  <c r="R134" i="4"/>
  <c r="K123" i="13"/>
  <c r="J123" i="13"/>
  <c r="I123" i="13"/>
  <c r="G123" i="13"/>
  <c r="F123" i="13"/>
  <c r="E123" i="13"/>
  <c r="K122" i="13"/>
  <c r="J122" i="13"/>
  <c r="I122" i="13"/>
  <c r="G122" i="13"/>
  <c r="F122" i="13"/>
  <c r="E122" i="13"/>
  <c r="K121" i="13"/>
  <c r="J121" i="13"/>
  <c r="I121" i="13"/>
  <c r="G121" i="13"/>
  <c r="F121" i="13"/>
  <c r="R121" i="13" s="1"/>
  <c r="E121" i="13"/>
  <c r="K120" i="13"/>
  <c r="J120" i="13"/>
  <c r="I120" i="13"/>
  <c r="G120" i="13"/>
  <c r="F120" i="13"/>
  <c r="E120" i="13"/>
  <c r="K119" i="13"/>
  <c r="J119" i="13"/>
  <c r="I119" i="13"/>
  <c r="G119" i="13"/>
  <c r="F119" i="13"/>
  <c r="E119" i="13"/>
  <c r="K118" i="13"/>
  <c r="J118" i="13"/>
  <c r="I118" i="13"/>
  <c r="G118" i="13"/>
  <c r="F118" i="13"/>
  <c r="E118" i="13"/>
  <c r="K117" i="13"/>
  <c r="J117" i="13"/>
  <c r="I117" i="13"/>
  <c r="G117" i="13"/>
  <c r="F117" i="13"/>
  <c r="R117" i="13" s="1"/>
  <c r="E117" i="13"/>
  <c r="M134" i="13"/>
  <c r="N134" i="13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U132" i="13" l="1"/>
  <c r="G132" i="13"/>
  <c r="I124" i="13"/>
  <c r="R120" i="13"/>
  <c r="Q119" i="13"/>
  <c r="Q123" i="13"/>
  <c r="I132" i="15"/>
  <c r="J132" i="15" s="1"/>
  <c r="U126" i="4"/>
  <c r="U132" i="4" s="1"/>
  <c r="J132" i="4"/>
  <c r="W132" i="15"/>
  <c r="M132" i="4"/>
  <c r="U132" i="15"/>
  <c r="T132" i="15"/>
  <c r="G132" i="15"/>
  <c r="G132" i="4"/>
  <c r="X132" i="4"/>
  <c r="L124" i="4"/>
  <c r="R118" i="13"/>
  <c r="F117" i="4"/>
  <c r="U117" i="4" s="1"/>
  <c r="U118" i="15"/>
  <c r="U120" i="15"/>
  <c r="U122" i="15"/>
  <c r="E124" i="4"/>
  <c r="O117" i="3"/>
  <c r="Q118" i="13"/>
  <c r="Q122" i="13"/>
  <c r="F120" i="4"/>
  <c r="U120" i="4" s="1"/>
  <c r="O121" i="2"/>
  <c r="O121" i="3" s="1"/>
  <c r="Q121" i="13"/>
  <c r="T118" i="4"/>
  <c r="T120" i="4"/>
  <c r="T122" i="4"/>
  <c r="Q120" i="13"/>
  <c r="U117" i="15"/>
  <c r="U119" i="15"/>
  <c r="U121" i="15"/>
  <c r="U123" i="15"/>
  <c r="T119" i="15"/>
  <c r="O124" i="4"/>
  <c r="J124" i="13"/>
  <c r="T119" i="4"/>
  <c r="T121" i="4"/>
  <c r="T123" i="4"/>
  <c r="R119" i="13"/>
  <c r="R123" i="13"/>
  <c r="T118" i="15"/>
  <c r="T120" i="15"/>
  <c r="T122" i="15"/>
  <c r="U118" i="4"/>
  <c r="R122" i="13"/>
  <c r="T117" i="4"/>
  <c r="H124" i="4"/>
  <c r="T117" i="15"/>
  <c r="T121" i="15"/>
  <c r="T123" i="15"/>
  <c r="K124" i="4"/>
  <c r="M124" i="4" s="1"/>
  <c r="N124" i="4"/>
  <c r="U119" i="4"/>
  <c r="U121" i="4"/>
  <c r="U123" i="4"/>
  <c r="O120" i="3"/>
  <c r="I124" i="15"/>
  <c r="U122" i="4"/>
  <c r="O124" i="15"/>
  <c r="L124" i="15"/>
  <c r="I124" i="4"/>
  <c r="N124" i="15"/>
  <c r="H124" i="15"/>
  <c r="K124" i="15"/>
  <c r="Q117" i="13"/>
  <c r="E124" i="13"/>
  <c r="F124" i="13"/>
  <c r="F124" i="15"/>
  <c r="E124" i="15"/>
  <c r="J115" i="13"/>
  <c r="I115" i="13"/>
  <c r="G115" i="13"/>
  <c r="F115" i="13"/>
  <c r="E115" i="13"/>
  <c r="Q115" i="13" s="1"/>
  <c r="K114" i="13"/>
  <c r="J114" i="13"/>
  <c r="I114" i="13"/>
  <c r="F114" i="13"/>
  <c r="E114" i="13"/>
  <c r="J113" i="13"/>
  <c r="I113" i="13"/>
  <c r="G113" i="13"/>
  <c r="F113" i="13"/>
  <c r="E113" i="13"/>
  <c r="K112" i="13"/>
  <c r="J112" i="13"/>
  <c r="I112" i="13"/>
  <c r="F112" i="13"/>
  <c r="E112" i="13"/>
  <c r="Q112" i="13" s="1"/>
  <c r="J111" i="13"/>
  <c r="I111" i="13"/>
  <c r="G111" i="13"/>
  <c r="F111" i="13"/>
  <c r="E111" i="13"/>
  <c r="K110" i="13"/>
  <c r="J110" i="13"/>
  <c r="I110" i="13"/>
  <c r="F110" i="13"/>
  <c r="E110" i="13"/>
  <c r="J109" i="13"/>
  <c r="I109" i="13"/>
  <c r="G109" i="13"/>
  <c r="F109" i="13"/>
  <c r="E109" i="13"/>
  <c r="K108" i="13"/>
  <c r="J108" i="13"/>
  <c r="I108" i="13"/>
  <c r="F108" i="13"/>
  <c r="E108" i="13"/>
  <c r="J107" i="13"/>
  <c r="I107" i="13"/>
  <c r="G107" i="13"/>
  <c r="F107" i="13"/>
  <c r="E107" i="13"/>
  <c r="Q107" i="13" s="1"/>
  <c r="K106" i="13"/>
  <c r="J106" i="13"/>
  <c r="I106" i="13"/>
  <c r="F106" i="13"/>
  <c r="E106" i="13"/>
  <c r="F110" i="1"/>
  <c r="F113" i="1"/>
  <c r="F113" i="2" s="1"/>
  <c r="H113" i="1"/>
  <c r="H113" i="2" s="1"/>
  <c r="I115" i="4" s="1"/>
  <c r="H110" i="1"/>
  <c r="H112" i="15" s="1"/>
  <c r="H109" i="1"/>
  <c r="O109" i="1" s="1"/>
  <c r="H108" i="1"/>
  <c r="O108" i="1" s="1"/>
  <c r="H107" i="1"/>
  <c r="H109" i="15" s="1"/>
  <c r="H104" i="1"/>
  <c r="H106" i="15" s="1"/>
  <c r="L113" i="3"/>
  <c r="P115" i="15" s="1"/>
  <c r="L111" i="3"/>
  <c r="K113" i="13" s="1"/>
  <c r="L109" i="3"/>
  <c r="P111" i="15" s="1"/>
  <c r="L107" i="3"/>
  <c r="P109" i="15" s="1"/>
  <c r="L105" i="3"/>
  <c r="K107" i="13" s="1"/>
  <c r="J112" i="3"/>
  <c r="M114" i="4" s="1"/>
  <c r="J110" i="3"/>
  <c r="M112" i="15" s="1"/>
  <c r="J108" i="3"/>
  <c r="M110" i="4" s="1"/>
  <c r="J106" i="3"/>
  <c r="M108" i="15" s="1"/>
  <c r="J104" i="3"/>
  <c r="G106" i="13" s="1"/>
  <c r="H112" i="3"/>
  <c r="H111" i="3"/>
  <c r="J113" i="15" s="1"/>
  <c r="H106" i="3"/>
  <c r="J108" i="15" s="1"/>
  <c r="H105" i="3"/>
  <c r="J107" i="4" s="1"/>
  <c r="H107" i="2"/>
  <c r="I109" i="15" s="1"/>
  <c r="O115" i="15"/>
  <c r="N115" i="15"/>
  <c r="M115" i="15"/>
  <c r="L115" i="15"/>
  <c r="K115" i="15"/>
  <c r="J115" i="15"/>
  <c r="P114" i="15"/>
  <c r="O114" i="15"/>
  <c r="N114" i="15"/>
  <c r="L114" i="15"/>
  <c r="K114" i="15"/>
  <c r="I114" i="15"/>
  <c r="H114" i="15"/>
  <c r="G114" i="15"/>
  <c r="O113" i="15"/>
  <c r="N113" i="15"/>
  <c r="M113" i="15"/>
  <c r="L113" i="15"/>
  <c r="K113" i="15"/>
  <c r="I113" i="15"/>
  <c r="H113" i="15"/>
  <c r="G113" i="15"/>
  <c r="P112" i="15"/>
  <c r="O112" i="15"/>
  <c r="N112" i="15"/>
  <c r="L112" i="15"/>
  <c r="K112" i="15"/>
  <c r="J112" i="15"/>
  <c r="G112" i="15"/>
  <c r="O111" i="15"/>
  <c r="N111" i="15"/>
  <c r="M111" i="15"/>
  <c r="L111" i="15"/>
  <c r="K111" i="15"/>
  <c r="J111" i="15"/>
  <c r="G111" i="15"/>
  <c r="F111" i="15"/>
  <c r="E111" i="15"/>
  <c r="P110" i="15"/>
  <c r="O110" i="15"/>
  <c r="N110" i="15"/>
  <c r="L110" i="15"/>
  <c r="K110" i="15"/>
  <c r="J110" i="15"/>
  <c r="G110" i="15"/>
  <c r="F110" i="15"/>
  <c r="E110" i="15"/>
  <c r="O109" i="15"/>
  <c r="N109" i="15"/>
  <c r="M109" i="15"/>
  <c r="L109" i="15"/>
  <c r="K109" i="15"/>
  <c r="J109" i="15"/>
  <c r="G109" i="15"/>
  <c r="F109" i="15"/>
  <c r="E109" i="15"/>
  <c r="P108" i="15"/>
  <c r="O108" i="15"/>
  <c r="N108" i="15"/>
  <c r="L108" i="15"/>
  <c r="K108" i="15"/>
  <c r="I108" i="15"/>
  <c r="H108" i="15"/>
  <c r="G108" i="15"/>
  <c r="F108" i="15"/>
  <c r="E108" i="15"/>
  <c r="O107" i="15"/>
  <c r="N107" i="15"/>
  <c r="M107" i="15"/>
  <c r="L107" i="15"/>
  <c r="K107" i="15"/>
  <c r="I107" i="15"/>
  <c r="H107" i="15"/>
  <c r="G107" i="15"/>
  <c r="F107" i="15"/>
  <c r="E107" i="15"/>
  <c r="P106" i="15"/>
  <c r="O106" i="15"/>
  <c r="N106" i="15"/>
  <c r="L106" i="15"/>
  <c r="K106" i="15"/>
  <c r="J106" i="15"/>
  <c r="G106" i="15"/>
  <c r="F106" i="15"/>
  <c r="E106" i="15"/>
  <c r="P108" i="4"/>
  <c r="P110" i="4"/>
  <c r="P112" i="4"/>
  <c r="P114" i="4"/>
  <c r="P106" i="4"/>
  <c r="O107" i="4"/>
  <c r="O108" i="4"/>
  <c r="O109" i="4"/>
  <c r="O110" i="4"/>
  <c r="O111" i="4"/>
  <c r="O112" i="4"/>
  <c r="O113" i="4"/>
  <c r="O114" i="4"/>
  <c r="O115" i="4"/>
  <c r="O106" i="4"/>
  <c r="N107" i="4"/>
  <c r="N108" i="4"/>
  <c r="N109" i="4"/>
  <c r="N110" i="4"/>
  <c r="N111" i="4"/>
  <c r="N112" i="4"/>
  <c r="N113" i="4"/>
  <c r="N114" i="4"/>
  <c r="N115" i="4"/>
  <c r="N106" i="4"/>
  <c r="M107" i="4"/>
  <c r="M108" i="4"/>
  <c r="M109" i="4"/>
  <c r="M111" i="4"/>
  <c r="M113" i="4"/>
  <c r="M115" i="4"/>
  <c r="L107" i="4"/>
  <c r="L108" i="4"/>
  <c r="L109" i="4"/>
  <c r="L110" i="4"/>
  <c r="L111" i="4"/>
  <c r="L112" i="4"/>
  <c r="L113" i="4"/>
  <c r="L114" i="4"/>
  <c r="L115" i="4"/>
  <c r="L106" i="4"/>
  <c r="K107" i="4"/>
  <c r="K108" i="4"/>
  <c r="K109" i="4"/>
  <c r="K110" i="4"/>
  <c r="K111" i="4"/>
  <c r="K112" i="4"/>
  <c r="K113" i="4"/>
  <c r="K114" i="4"/>
  <c r="K115" i="4"/>
  <c r="K106" i="4"/>
  <c r="J109" i="4"/>
  <c r="J110" i="4"/>
  <c r="J111" i="4"/>
  <c r="J112" i="4"/>
  <c r="J115" i="4"/>
  <c r="J106" i="4"/>
  <c r="I107" i="4"/>
  <c r="I108" i="4"/>
  <c r="I113" i="4"/>
  <c r="I114" i="4"/>
  <c r="H107" i="4"/>
  <c r="H108" i="4"/>
  <c r="H110" i="4"/>
  <c r="H113" i="4"/>
  <c r="H114" i="4"/>
  <c r="G107" i="4"/>
  <c r="G108" i="4"/>
  <c r="G109" i="4"/>
  <c r="G110" i="4"/>
  <c r="G111" i="4"/>
  <c r="G112" i="4"/>
  <c r="G113" i="4"/>
  <c r="G114" i="4"/>
  <c r="G106" i="4"/>
  <c r="F107" i="4"/>
  <c r="F108" i="4"/>
  <c r="F109" i="4"/>
  <c r="F110" i="4"/>
  <c r="F111" i="4"/>
  <c r="F106" i="4"/>
  <c r="E107" i="4"/>
  <c r="E108" i="4"/>
  <c r="E109" i="4"/>
  <c r="E110" i="4"/>
  <c r="E111" i="4"/>
  <c r="E106" i="4"/>
  <c r="O106" i="1"/>
  <c r="O105" i="1"/>
  <c r="O106" i="2"/>
  <c r="O105" i="2"/>
  <c r="X132" i="15" l="1"/>
  <c r="F124" i="4"/>
  <c r="X124" i="4" s="1"/>
  <c r="M124" i="15"/>
  <c r="Q124" i="13"/>
  <c r="O107" i="1"/>
  <c r="H109" i="4"/>
  <c r="T109" i="4" s="1"/>
  <c r="E136" i="13"/>
  <c r="K136" i="4"/>
  <c r="I136" i="13"/>
  <c r="N136" i="4"/>
  <c r="W124" i="4"/>
  <c r="T124" i="4"/>
  <c r="R124" i="13"/>
  <c r="J114" i="15"/>
  <c r="U124" i="4"/>
  <c r="T124" i="15"/>
  <c r="J124" i="15"/>
  <c r="U124" i="15"/>
  <c r="J124" i="4"/>
  <c r="G124" i="13"/>
  <c r="W124" i="15"/>
  <c r="G124" i="15"/>
  <c r="Q108" i="13"/>
  <c r="H112" i="4"/>
  <c r="H110" i="2"/>
  <c r="I112" i="15" s="1"/>
  <c r="Q106" i="13"/>
  <c r="I116" i="13"/>
  <c r="T124" i="13" s="1"/>
  <c r="Q111" i="13"/>
  <c r="E116" i="13"/>
  <c r="H110" i="15"/>
  <c r="T110" i="15" s="1"/>
  <c r="H115" i="15"/>
  <c r="Q113" i="13"/>
  <c r="O105" i="3"/>
  <c r="E115" i="15"/>
  <c r="Q110" i="13"/>
  <c r="H108" i="2"/>
  <c r="I110" i="4" s="1"/>
  <c r="U110" i="4" s="1"/>
  <c r="F111" i="1"/>
  <c r="Q109" i="13"/>
  <c r="T108" i="4"/>
  <c r="O110" i="1"/>
  <c r="F110" i="2"/>
  <c r="Q114" i="13"/>
  <c r="J114" i="4"/>
  <c r="F112" i="1"/>
  <c r="E114" i="15" s="1"/>
  <c r="U108" i="15"/>
  <c r="J113" i="4"/>
  <c r="P111" i="4"/>
  <c r="P113" i="15"/>
  <c r="R111" i="13"/>
  <c r="M106" i="4"/>
  <c r="M106" i="15"/>
  <c r="T110" i="4"/>
  <c r="P113" i="4"/>
  <c r="R106" i="13"/>
  <c r="R113" i="13"/>
  <c r="U108" i="4"/>
  <c r="P107" i="15"/>
  <c r="J107" i="15"/>
  <c r="K111" i="13"/>
  <c r="P109" i="4"/>
  <c r="F116" i="13"/>
  <c r="R115" i="13"/>
  <c r="M112" i="4"/>
  <c r="T106" i="15"/>
  <c r="G108" i="13"/>
  <c r="R112" i="13"/>
  <c r="T108" i="15"/>
  <c r="G112" i="13"/>
  <c r="K109" i="13"/>
  <c r="J116" i="13"/>
  <c r="K116" i="13" s="1"/>
  <c r="U107" i="4"/>
  <c r="P107" i="4"/>
  <c r="R114" i="13"/>
  <c r="L116" i="15"/>
  <c r="G110" i="13"/>
  <c r="G114" i="13"/>
  <c r="K115" i="13"/>
  <c r="R107" i="13"/>
  <c r="R110" i="13"/>
  <c r="R109" i="13"/>
  <c r="R108" i="13"/>
  <c r="E112" i="15"/>
  <c r="T112" i="15" s="1"/>
  <c r="E112" i="4"/>
  <c r="H109" i="2"/>
  <c r="H111" i="4"/>
  <c r="T111" i="4" s="1"/>
  <c r="H111" i="15"/>
  <c r="T111" i="15" s="1"/>
  <c r="I109" i="4"/>
  <c r="U109" i="4" s="1"/>
  <c r="O107" i="2"/>
  <c r="O107" i="3" s="1"/>
  <c r="H104" i="2"/>
  <c r="O104" i="1"/>
  <c r="H106" i="4"/>
  <c r="T106" i="4" s="1"/>
  <c r="P115" i="4"/>
  <c r="M114" i="15"/>
  <c r="M110" i="15"/>
  <c r="J108" i="4"/>
  <c r="I115" i="15"/>
  <c r="U109" i="15"/>
  <c r="E115" i="4"/>
  <c r="H115" i="4"/>
  <c r="O113" i="1"/>
  <c r="N116" i="15"/>
  <c r="K116" i="15"/>
  <c r="N116" i="4"/>
  <c r="T109" i="15"/>
  <c r="O106" i="3"/>
  <c r="T107" i="4"/>
  <c r="T107" i="15"/>
  <c r="K116" i="4"/>
  <c r="U107" i="15"/>
  <c r="L116" i="4"/>
  <c r="O116" i="4"/>
  <c r="O116" i="15"/>
  <c r="X124" i="15" s="1"/>
  <c r="T115" i="4" l="1"/>
  <c r="G124" i="4"/>
  <c r="T116" i="13"/>
  <c r="U124" i="13"/>
  <c r="T114" i="15"/>
  <c r="I110" i="15"/>
  <c r="U110" i="15" s="1"/>
  <c r="O108" i="2"/>
  <c r="O108" i="3" s="1"/>
  <c r="G116" i="13"/>
  <c r="I112" i="4"/>
  <c r="O110" i="2"/>
  <c r="O110" i="3" s="1"/>
  <c r="Q116" i="13"/>
  <c r="T115" i="15"/>
  <c r="F112" i="4"/>
  <c r="F112" i="15"/>
  <c r="U112" i="15" s="1"/>
  <c r="F112" i="2"/>
  <c r="E114" i="4"/>
  <c r="T114" i="4" s="1"/>
  <c r="O112" i="1"/>
  <c r="F111" i="2"/>
  <c r="O111" i="1"/>
  <c r="E113" i="4"/>
  <c r="T113" i="4" s="1"/>
  <c r="E113" i="15"/>
  <c r="T113" i="15" s="1"/>
  <c r="U116" i="13"/>
  <c r="R116" i="13"/>
  <c r="H116" i="4"/>
  <c r="M116" i="15"/>
  <c r="H116" i="15"/>
  <c r="T112" i="4"/>
  <c r="I111" i="15"/>
  <c r="U111" i="15" s="1"/>
  <c r="I111" i="4"/>
  <c r="U111" i="4" s="1"/>
  <c r="O109" i="2"/>
  <c r="O109" i="3" s="1"/>
  <c r="I106" i="4"/>
  <c r="O104" i="2"/>
  <c r="O104" i="3" s="1"/>
  <c r="I106" i="15"/>
  <c r="P116" i="4"/>
  <c r="M116" i="4"/>
  <c r="P116" i="15"/>
  <c r="U112" i="4" l="1"/>
  <c r="T116" i="15"/>
  <c r="E116" i="15"/>
  <c r="F114" i="4"/>
  <c r="U114" i="4" s="1"/>
  <c r="O112" i="2"/>
  <c r="O112" i="3" s="1"/>
  <c r="F114" i="15"/>
  <c r="E116" i="4"/>
  <c r="W116" i="4" s="1"/>
  <c r="F113" i="4"/>
  <c r="U113" i="4" s="1"/>
  <c r="F113" i="15"/>
  <c r="U113" i="15" s="1"/>
  <c r="O111" i="2"/>
  <c r="O111" i="3" s="1"/>
  <c r="T116" i="4"/>
  <c r="W116" i="15"/>
  <c r="U106" i="4"/>
  <c r="I116" i="4"/>
  <c r="I116" i="15"/>
  <c r="U106" i="15"/>
  <c r="J116" i="15" l="1"/>
  <c r="U114" i="15"/>
  <c r="J116" i="4"/>
  <c r="L101" i="3" l="1"/>
  <c r="P103" i="4" s="1"/>
  <c r="L99" i="3"/>
  <c r="K101" i="13" s="1"/>
  <c r="L97" i="3"/>
  <c r="J102" i="3"/>
  <c r="M104" i="15" s="1"/>
  <c r="J100" i="3"/>
  <c r="M102" i="4" s="1"/>
  <c r="J98" i="3"/>
  <c r="G100" i="13" s="1"/>
  <c r="K104" i="13"/>
  <c r="J104" i="13"/>
  <c r="I104" i="13"/>
  <c r="F104" i="13"/>
  <c r="E104" i="13"/>
  <c r="J103" i="13"/>
  <c r="I103" i="13"/>
  <c r="G103" i="13"/>
  <c r="F103" i="13"/>
  <c r="E103" i="13"/>
  <c r="K102" i="13"/>
  <c r="J102" i="13"/>
  <c r="I102" i="13"/>
  <c r="F102" i="13"/>
  <c r="E102" i="13"/>
  <c r="J101" i="13"/>
  <c r="I101" i="13"/>
  <c r="G101" i="13"/>
  <c r="F101" i="13"/>
  <c r="E101" i="13"/>
  <c r="K100" i="13"/>
  <c r="J100" i="13"/>
  <c r="I100" i="13"/>
  <c r="F100" i="13"/>
  <c r="E100" i="13"/>
  <c r="J99" i="13"/>
  <c r="I99" i="13"/>
  <c r="G99" i="13"/>
  <c r="F99" i="13"/>
  <c r="E99" i="13"/>
  <c r="P104" i="4"/>
  <c r="O104" i="4"/>
  <c r="N104" i="4"/>
  <c r="L104" i="4"/>
  <c r="U104" i="4" s="1"/>
  <c r="K104" i="4"/>
  <c r="T104" i="4" s="1"/>
  <c r="J104" i="4"/>
  <c r="I104" i="4"/>
  <c r="H104" i="4"/>
  <c r="G104" i="4"/>
  <c r="F104" i="4"/>
  <c r="E104" i="4"/>
  <c r="O103" i="4"/>
  <c r="U103" i="4" s="1"/>
  <c r="N103" i="4"/>
  <c r="T103" i="4" s="1"/>
  <c r="M103" i="4"/>
  <c r="L103" i="4"/>
  <c r="K103" i="4"/>
  <c r="J103" i="4"/>
  <c r="I103" i="4"/>
  <c r="H103" i="4"/>
  <c r="G103" i="4"/>
  <c r="F103" i="4"/>
  <c r="E103" i="4"/>
  <c r="P102" i="4"/>
  <c r="O102" i="4"/>
  <c r="N102" i="4"/>
  <c r="L102" i="4"/>
  <c r="K102" i="4"/>
  <c r="T102" i="4" s="1"/>
  <c r="J102" i="4"/>
  <c r="I102" i="4"/>
  <c r="H102" i="4"/>
  <c r="G102" i="4"/>
  <c r="F102" i="4"/>
  <c r="E102" i="4"/>
  <c r="O101" i="4"/>
  <c r="U101" i="4" s="1"/>
  <c r="N101" i="4"/>
  <c r="T101" i="4" s="1"/>
  <c r="M101" i="4"/>
  <c r="L101" i="4"/>
  <c r="K101" i="4"/>
  <c r="J101" i="4"/>
  <c r="I101" i="4"/>
  <c r="H101" i="4"/>
  <c r="G101" i="4"/>
  <c r="F101" i="4"/>
  <c r="E101" i="4"/>
  <c r="P100" i="4"/>
  <c r="O100" i="4"/>
  <c r="N100" i="4"/>
  <c r="L100" i="4"/>
  <c r="U100" i="4" s="1"/>
  <c r="K100" i="4"/>
  <c r="T100" i="4" s="1"/>
  <c r="J100" i="4"/>
  <c r="I100" i="4"/>
  <c r="H100" i="4"/>
  <c r="G100" i="4"/>
  <c r="F100" i="4"/>
  <c r="E100" i="4"/>
  <c r="O99" i="4"/>
  <c r="U99" i="4" s="1"/>
  <c r="N99" i="4"/>
  <c r="T99" i="4" s="1"/>
  <c r="M99" i="4"/>
  <c r="L99" i="4"/>
  <c r="K99" i="4"/>
  <c r="J99" i="4"/>
  <c r="I99" i="4"/>
  <c r="H99" i="4"/>
  <c r="G99" i="4"/>
  <c r="F99" i="4"/>
  <c r="E99" i="4"/>
  <c r="P104" i="15"/>
  <c r="O104" i="15"/>
  <c r="N104" i="15"/>
  <c r="L104" i="15"/>
  <c r="U104" i="15" s="1"/>
  <c r="K104" i="15"/>
  <c r="T104" i="15" s="1"/>
  <c r="J104" i="15"/>
  <c r="I104" i="15"/>
  <c r="H104" i="15"/>
  <c r="G104" i="15"/>
  <c r="F104" i="15"/>
  <c r="E104" i="15"/>
  <c r="O103" i="15"/>
  <c r="U103" i="15" s="1"/>
  <c r="N103" i="15"/>
  <c r="T103" i="15" s="1"/>
  <c r="M103" i="15"/>
  <c r="L103" i="15"/>
  <c r="K103" i="15"/>
  <c r="J103" i="15"/>
  <c r="I103" i="15"/>
  <c r="H103" i="15"/>
  <c r="G103" i="15"/>
  <c r="F103" i="15"/>
  <c r="E103" i="15"/>
  <c r="P102" i="15"/>
  <c r="O102" i="15"/>
  <c r="N102" i="15"/>
  <c r="L102" i="15"/>
  <c r="U102" i="15" s="1"/>
  <c r="K102" i="15"/>
  <c r="T102" i="15" s="1"/>
  <c r="J102" i="15"/>
  <c r="I102" i="15"/>
  <c r="H102" i="15"/>
  <c r="G102" i="15"/>
  <c r="F102" i="15"/>
  <c r="E102" i="15"/>
  <c r="O101" i="15"/>
  <c r="U101" i="15" s="1"/>
  <c r="N101" i="15"/>
  <c r="T101" i="15" s="1"/>
  <c r="M101" i="15"/>
  <c r="L101" i="15"/>
  <c r="K101" i="15"/>
  <c r="J101" i="15"/>
  <c r="I101" i="15"/>
  <c r="H101" i="15"/>
  <c r="G101" i="15"/>
  <c r="F101" i="15"/>
  <c r="E101" i="15"/>
  <c r="P100" i="15"/>
  <c r="O100" i="15"/>
  <c r="N100" i="15"/>
  <c r="L100" i="15"/>
  <c r="U100" i="15" s="1"/>
  <c r="K100" i="15"/>
  <c r="T100" i="15" s="1"/>
  <c r="J100" i="15"/>
  <c r="I100" i="15"/>
  <c r="H100" i="15"/>
  <c r="G100" i="15"/>
  <c r="F100" i="15"/>
  <c r="E100" i="15"/>
  <c r="O99" i="15"/>
  <c r="U99" i="15" s="1"/>
  <c r="N99" i="15"/>
  <c r="T99" i="15" s="1"/>
  <c r="M99" i="15"/>
  <c r="L99" i="15"/>
  <c r="K99" i="15"/>
  <c r="J99" i="15"/>
  <c r="I99" i="15"/>
  <c r="H99" i="15"/>
  <c r="G99" i="15"/>
  <c r="F99" i="15"/>
  <c r="E99" i="15"/>
  <c r="O102" i="1"/>
  <c r="O101" i="1"/>
  <c r="O100" i="1"/>
  <c r="O99" i="1"/>
  <c r="O98" i="1"/>
  <c r="O97" i="1"/>
  <c r="O102" i="2"/>
  <c r="O102" i="3" s="1"/>
  <c r="O101" i="2"/>
  <c r="O101" i="3" s="1"/>
  <c r="O100" i="2"/>
  <c r="O99" i="2"/>
  <c r="O98" i="2"/>
  <c r="O97" i="2"/>
  <c r="K97" i="13"/>
  <c r="J97" i="13"/>
  <c r="I97" i="13"/>
  <c r="F97" i="13"/>
  <c r="E97" i="13"/>
  <c r="J96" i="13"/>
  <c r="I96" i="13"/>
  <c r="G96" i="13"/>
  <c r="F96" i="13"/>
  <c r="E96" i="13"/>
  <c r="K95" i="13"/>
  <c r="J95" i="13"/>
  <c r="I95" i="13"/>
  <c r="F95" i="13"/>
  <c r="E95" i="13"/>
  <c r="J94" i="13"/>
  <c r="I94" i="13"/>
  <c r="G94" i="13"/>
  <c r="F94" i="13"/>
  <c r="E94" i="13"/>
  <c r="K93" i="13"/>
  <c r="J93" i="13"/>
  <c r="I93" i="13"/>
  <c r="F93" i="13"/>
  <c r="E93" i="13"/>
  <c r="J92" i="13"/>
  <c r="I92" i="13"/>
  <c r="G92" i="13"/>
  <c r="F92" i="13"/>
  <c r="E92" i="13"/>
  <c r="J86" i="13"/>
  <c r="J87" i="13"/>
  <c r="J88" i="13"/>
  <c r="J89" i="13"/>
  <c r="J90" i="13"/>
  <c r="J85" i="13"/>
  <c r="F86" i="13"/>
  <c r="F87" i="13"/>
  <c r="F88" i="13"/>
  <c r="F89" i="13"/>
  <c r="F90" i="13"/>
  <c r="F85" i="13"/>
  <c r="O86" i="15"/>
  <c r="U86" i="15" s="1"/>
  <c r="O87" i="15"/>
  <c r="O88" i="15"/>
  <c r="U88" i="15" s="1"/>
  <c r="O89" i="15"/>
  <c r="O90" i="15"/>
  <c r="U90" i="15" s="1"/>
  <c r="O85" i="15"/>
  <c r="L86" i="15"/>
  <c r="L87" i="15"/>
  <c r="U87" i="15" s="1"/>
  <c r="L88" i="15"/>
  <c r="L89" i="15"/>
  <c r="U89" i="15" s="1"/>
  <c r="L90" i="15"/>
  <c r="L85" i="15"/>
  <c r="I86" i="15"/>
  <c r="I87" i="15"/>
  <c r="I88" i="15"/>
  <c r="I89" i="15"/>
  <c r="I90" i="15"/>
  <c r="I85" i="15"/>
  <c r="F86" i="15"/>
  <c r="F87" i="15"/>
  <c r="F88" i="15"/>
  <c r="F89" i="15"/>
  <c r="F90" i="15"/>
  <c r="F85" i="15"/>
  <c r="P97" i="15"/>
  <c r="O97" i="15"/>
  <c r="N97" i="15"/>
  <c r="L97" i="15"/>
  <c r="U97" i="15" s="1"/>
  <c r="K97" i="15"/>
  <c r="T97" i="15" s="1"/>
  <c r="J97" i="15"/>
  <c r="I97" i="15"/>
  <c r="H97" i="15"/>
  <c r="G97" i="15"/>
  <c r="F97" i="15"/>
  <c r="E97" i="15"/>
  <c r="O96" i="15"/>
  <c r="U96" i="15" s="1"/>
  <c r="N96" i="15"/>
  <c r="T96" i="15" s="1"/>
  <c r="M96" i="15"/>
  <c r="L96" i="15"/>
  <c r="K96" i="15"/>
  <c r="J96" i="15"/>
  <c r="I96" i="15"/>
  <c r="H96" i="15"/>
  <c r="G96" i="15"/>
  <c r="F96" i="15"/>
  <c r="E96" i="15"/>
  <c r="P95" i="15"/>
  <c r="O95" i="15"/>
  <c r="N95" i="15"/>
  <c r="L95" i="15"/>
  <c r="U95" i="15" s="1"/>
  <c r="K95" i="15"/>
  <c r="T95" i="15" s="1"/>
  <c r="J95" i="15"/>
  <c r="I95" i="15"/>
  <c r="H95" i="15"/>
  <c r="G95" i="15"/>
  <c r="F95" i="15"/>
  <c r="E95" i="15"/>
  <c r="O94" i="15"/>
  <c r="U94" i="15" s="1"/>
  <c r="N94" i="15"/>
  <c r="T94" i="15" s="1"/>
  <c r="M94" i="15"/>
  <c r="L94" i="15"/>
  <c r="K94" i="15"/>
  <c r="J94" i="15"/>
  <c r="I94" i="15"/>
  <c r="H94" i="15"/>
  <c r="G94" i="15"/>
  <c r="F94" i="15"/>
  <c r="E94" i="15"/>
  <c r="P93" i="15"/>
  <c r="O93" i="15"/>
  <c r="N93" i="15"/>
  <c r="L93" i="15"/>
  <c r="U93" i="15" s="1"/>
  <c r="K93" i="15"/>
  <c r="T93" i="15" s="1"/>
  <c r="J93" i="15"/>
  <c r="I93" i="15"/>
  <c r="H93" i="15"/>
  <c r="G93" i="15"/>
  <c r="F93" i="15"/>
  <c r="E93" i="15"/>
  <c r="O92" i="15"/>
  <c r="U92" i="15" s="1"/>
  <c r="N92" i="15"/>
  <c r="M92" i="15"/>
  <c r="L92" i="15"/>
  <c r="K92" i="15"/>
  <c r="J92" i="15"/>
  <c r="I92" i="15"/>
  <c r="H92" i="15"/>
  <c r="G92" i="15"/>
  <c r="F92" i="15"/>
  <c r="E92" i="15"/>
  <c r="P97" i="4"/>
  <c r="O97" i="4"/>
  <c r="N97" i="4"/>
  <c r="L97" i="4"/>
  <c r="U97" i="4" s="1"/>
  <c r="K97" i="4"/>
  <c r="T97" i="4" s="1"/>
  <c r="J97" i="4"/>
  <c r="I97" i="4"/>
  <c r="H97" i="4"/>
  <c r="G97" i="4"/>
  <c r="F97" i="4"/>
  <c r="E97" i="4"/>
  <c r="O96" i="4"/>
  <c r="U96" i="4" s="1"/>
  <c r="N96" i="4"/>
  <c r="T96" i="4" s="1"/>
  <c r="M96" i="4"/>
  <c r="L96" i="4"/>
  <c r="K96" i="4"/>
  <c r="J96" i="4"/>
  <c r="I96" i="4"/>
  <c r="H96" i="4"/>
  <c r="G96" i="4"/>
  <c r="F96" i="4"/>
  <c r="E96" i="4"/>
  <c r="P95" i="4"/>
  <c r="O95" i="4"/>
  <c r="N95" i="4"/>
  <c r="L95" i="4"/>
  <c r="U95" i="4" s="1"/>
  <c r="K95" i="4"/>
  <c r="T95" i="4" s="1"/>
  <c r="J95" i="4"/>
  <c r="I95" i="4"/>
  <c r="H95" i="4"/>
  <c r="G95" i="4"/>
  <c r="F95" i="4"/>
  <c r="E95" i="4"/>
  <c r="O94" i="4"/>
  <c r="U94" i="4" s="1"/>
  <c r="N94" i="4"/>
  <c r="T94" i="4" s="1"/>
  <c r="M94" i="4"/>
  <c r="L94" i="4"/>
  <c r="K94" i="4"/>
  <c r="J94" i="4"/>
  <c r="I94" i="4"/>
  <c r="H94" i="4"/>
  <c r="G94" i="4"/>
  <c r="F94" i="4"/>
  <c r="E94" i="4"/>
  <c r="P93" i="4"/>
  <c r="O93" i="4"/>
  <c r="N93" i="4"/>
  <c r="L93" i="4"/>
  <c r="U93" i="4" s="1"/>
  <c r="K93" i="4"/>
  <c r="T93" i="4" s="1"/>
  <c r="J93" i="4"/>
  <c r="I93" i="4"/>
  <c r="H93" i="4"/>
  <c r="G93" i="4"/>
  <c r="F93" i="4"/>
  <c r="E93" i="4"/>
  <c r="O92" i="4"/>
  <c r="U92" i="4" s="1"/>
  <c r="N92" i="4"/>
  <c r="T92" i="4" s="1"/>
  <c r="M92" i="4"/>
  <c r="L92" i="4"/>
  <c r="K92" i="4"/>
  <c r="J92" i="4"/>
  <c r="I92" i="4"/>
  <c r="H92" i="4"/>
  <c r="G92" i="4"/>
  <c r="F92" i="4"/>
  <c r="E92" i="4"/>
  <c r="O86" i="4"/>
  <c r="O87" i="4"/>
  <c r="O88" i="4"/>
  <c r="U88" i="4" s="1"/>
  <c r="O89" i="4"/>
  <c r="O90" i="4"/>
  <c r="U90" i="4" s="1"/>
  <c r="O85" i="4"/>
  <c r="L86" i="4"/>
  <c r="L87" i="4"/>
  <c r="U87" i="4" s="1"/>
  <c r="L88" i="4"/>
  <c r="L89" i="4"/>
  <c r="U89" i="4" s="1"/>
  <c r="L90" i="4"/>
  <c r="L85" i="4"/>
  <c r="U85" i="4" s="1"/>
  <c r="I86" i="4"/>
  <c r="I87" i="4"/>
  <c r="I88" i="4"/>
  <c r="I89" i="4"/>
  <c r="I90" i="4"/>
  <c r="I85" i="4"/>
  <c r="F86" i="4"/>
  <c r="F87" i="4"/>
  <c r="F88" i="4"/>
  <c r="F89" i="4"/>
  <c r="F90" i="4"/>
  <c r="F85" i="4"/>
  <c r="J95" i="3"/>
  <c r="M97" i="15" s="1"/>
  <c r="L94" i="3"/>
  <c r="P96" i="15" s="1"/>
  <c r="J93" i="3"/>
  <c r="M95" i="15" s="1"/>
  <c r="L92" i="3"/>
  <c r="P94" i="15" s="1"/>
  <c r="J91" i="3"/>
  <c r="G93" i="13" s="1"/>
  <c r="L90" i="3"/>
  <c r="P92" i="4" s="1"/>
  <c r="L88" i="3"/>
  <c r="K90" i="13" s="1"/>
  <c r="L86" i="3"/>
  <c r="K88" i="13" s="1"/>
  <c r="L84" i="3"/>
  <c r="K86" i="13" s="1"/>
  <c r="J87" i="3"/>
  <c r="G89" i="13" s="1"/>
  <c r="J85" i="3"/>
  <c r="M87" i="4" s="1"/>
  <c r="J83" i="3"/>
  <c r="M85" i="4" s="1"/>
  <c r="O95" i="1"/>
  <c r="O94" i="1"/>
  <c r="O93" i="1"/>
  <c r="O92" i="1"/>
  <c r="O91" i="1"/>
  <c r="O90" i="1"/>
  <c r="O88" i="2"/>
  <c r="O87" i="2"/>
  <c r="O86" i="2"/>
  <c r="O85" i="2"/>
  <c r="O84" i="2"/>
  <c r="O83" i="2"/>
  <c r="I90" i="13"/>
  <c r="G90" i="13"/>
  <c r="E90" i="13"/>
  <c r="K89" i="13"/>
  <c r="I89" i="13"/>
  <c r="E89" i="13"/>
  <c r="I88" i="13"/>
  <c r="G88" i="13"/>
  <c r="E88" i="13"/>
  <c r="K87" i="13"/>
  <c r="I87" i="13"/>
  <c r="E87" i="13"/>
  <c r="I86" i="13"/>
  <c r="G86" i="13"/>
  <c r="E86" i="13"/>
  <c r="K85" i="13"/>
  <c r="I85" i="13"/>
  <c r="E85" i="13"/>
  <c r="N90" i="15"/>
  <c r="T90" i="15" s="1"/>
  <c r="M90" i="15"/>
  <c r="K90" i="15"/>
  <c r="J90" i="15"/>
  <c r="H90" i="15"/>
  <c r="G90" i="15"/>
  <c r="E90" i="15"/>
  <c r="P89" i="15"/>
  <c r="N89" i="15"/>
  <c r="K89" i="15"/>
  <c r="T89" i="15" s="1"/>
  <c r="J89" i="15"/>
  <c r="H89" i="15"/>
  <c r="G89" i="15"/>
  <c r="E89" i="15"/>
  <c r="N88" i="15"/>
  <c r="T88" i="15" s="1"/>
  <c r="M88" i="15"/>
  <c r="K88" i="15"/>
  <c r="J88" i="15"/>
  <c r="H88" i="15"/>
  <c r="G88" i="15"/>
  <c r="E88" i="15"/>
  <c r="P87" i="15"/>
  <c r="N87" i="15"/>
  <c r="K87" i="15"/>
  <c r="T87" i="15" s="1"/>
  <c r="J87" i="15"/>
  <c r="H87" i="15"/>
  <c r="G87" i="15"/>
  <c r="E87" i="15"/>
  <c r="N86" i="15"/>
  <c r="T86" i="15" s="1"/>
  <c r="M86" i="15"/>
  <c r="K86" i="15"/>
  <c r="J86" i="15"/>
  <c r="H86" i="15"/>
  <c r="G86" i="15"/>
  <c r="E86" i="15"/>
  <c r="P85" i="15"/>
  <c r="N85" i="15"/>
  <c r="U85" i="15"/>
  <c r="K85" i="15"/>
  <c r="J85" i="15"/>
  <c r="H85" i="15"/>
  <c r="G85" i="15"/>
  <c r="E85" i="15"/>
  <c r="N90" i="4"/>
  <c r="T90" i="4" s="1"/>
  <c r="M90" i="4"/>
  <c r="K90" i="4"/>
  <c r="J90" i="4"/>
  <c r="H90" i="4"/>
  <c r="G90" i="4"/>
  <c r="E90" i="4"/>
  <c r="P89" i="4"/>
  <c r="N89" i="4"/>
  <c r="K89" i="4"/>
  <c r="T89" i="4" s="1"/>
  <c r="J89" i="4"/>
  <c r="H89" i="4"/>
  <c r="G89" i="4"/>
  <c r="E89" i="4"/>
  <c r="N88" i="4"/>
  <c r="T88" i="4" s="1"/>
  <c r="M88" i="4"/>
  <c r="K88" i="4"/>
  <c r="J88" i="4"/>
  <c r="H88" i="4"/>
  <c r="G88" i="4"/>
  <c r="E88" i="4"/>
  <c r="P87" i="4"/>
  <c r="N87" i="4"/>
  <c r="K87" i="4"/>
  <c r="T87" i="4" s="1"/>
  <c r="J87" i="4"/>
  <c r="H87" i="4"/>
  <c r="G87" i="4"/>
  <c r="E87" i="4"/>
  <c r="N86" i="4"/>
  <c r="M86" i="4"/>
  <c r="K86" i="4"/>
  <c r="J86" i="4"/>
  <c r="H86" i="4"/>
  <c r="G86" i="4"/>
  <c r="E86" i="4"/>
  <c r="P85" i="4"/>
  <c r="N85" i="4"/>
  <c r="K85" i="4"/>
  <c r="J85" i="4"/>
  <c r="H85" i="4"/>
  <c r="G85" i="4"/>
  <c r="E85" i="4"/>
  <c r="O88" i="1"/>
  <c r="O87" i="1"/>
  <c r="O86" i="1"/>
  <c r="O85" i="1"/>
  <c r="O84" i="1"/>
  <c r="O83" i="1"/>
  <c r="O95" i="2"/>
  <c r="O94" i="2"/>
  <c r="O93" i="2"/>
  <c r="O92" i="2"/>
  <c r="O91" i="2"/>
  <c r="O90" i="2"/>
  <c r="O100" i="3" l="1"/>
  <c r="O98" i="3"/>
  <c r="O97" i="3"/>
  <c r="Q102" i="13"/>
  <c r="O99" i="3"/>
  <c r="O94" i="3"/>
  <c r="O85" i="3"/>
  <c r="R86" i="13"/>
  <c r="R103" i="13"/>
  <c r="R100" i="13"/>
  <c r="G104" i="13"/>
  <c r="M104" i="4"/>
  <c r="P103" i="15"/>
  <c r="R101" i="13"/>
  <c r="R104" i="13"/>
  <c r="R99" i="13"/>
  <c r="O95" i="3"/>
  <c r="Q99" i="13"/>
  <c r="O87" i="3"/>
  <c r="Q101" i="13"/>
  <c r="Q104" i="13"/>
  <c r="H105" i="4"/>
  <c r="Q100" i="13"/>
  <c r="Q95" i="13"/>
  <c r="O86" i="3"/>
  <c r="O91" i="3"/>
  <c r="O92" i="3"/>
  <c r="O88" i="3"/>
  <c r="E105" i="4"/>
  <c r="F105" i="4"/>
  <c r="Q103" i="13"/>
  <c r="O93" i="3"/>
  <c r="I105" i="4"/>
  <c r="R102" i="13"/>
  <c r="R94" i="13"/>
  <c r="K105" i="15"/>
  <c r="E98" i="15"/>
  <c r="E105" i="15"/>
  <c r="F105" i="15"/>
  <c r="H105" i="15"/>
  <c r="I105" i="15"/>
  <c r="K103" i="13"/>
  <c r="P101" i="15"/>
  <c r="P101" i="4"/>
  <c r="K99" i="13"/>
  <c r="P99" i="4"/>
  <c r="P99" i="15"/>
  <c r="M102" i="15"/>
  <c r="G102" i="13"/>
  <c r="M100" i="15"/>
  <c r="M100" i="4"/>
  <c r="N105" i="15"/>
  <c r="N105" i="4"/>
  <c r="I105" i="13"/>
  <c r="E105" i="13"/>
  <c r="K105" i="4"/>
  <c r="T105" i="4"/>
  <c r="L105" i="4"/>
  <c r="F105" i="13"/>
  <c r="J105" i="13"/>
  <c r="L105" i="15"/>
  <c r="Q92" i="13"/>
  <c r="R96" i="13"/>
  <c r="Q93" i="13"/>
  <c r="O105" i="4"/>
  <c r="U102" i="4"/>
  <c r="U105" i="4" s="1"/>
  <c r="U105" i="15"/>
  <c r="T105" i="15"/>
  <c r="O105" i="15"/>
  <c r="N98" i="15"/>
  <c r="H98" i="15"/>
  <c r="Q94" i="13"/>
  <c r="I98" i="15"/>
  <c r="O83" i="3"/>
  <c r="O84" i="3"/>
  <c r="E98" i="4"/>
  <c r="K98" i="15"/>
  <c r="E98" i="13"/>
  <c r="F98" i="4"/>
  <c r="L98" i="15"/>
  <c r="Q87" i="13"/>
  <c r="F98" i="15"/>
  <c r="U98" i="15"/>
  <c r="R97" i="13"/>
  <c r="O98" i="15"/>
  <c r="I98" i="4"/>
  <c r="J98" i="13"/>
  <c r="H98" i="4"/>
  <c r="R93" i="13"/>
  <c r="R95" i="13"/>
  <c r="T92" i="15"/>
  <c r="T98" i="15" s="1"/>
  <c r="U98" i="4"/>
  <c r="K92" i="13"/>
  <c r="P92" i="15"/>
  <c r="K98" i="4"/>
  <c r="M93" i="4"/>
  <c r="K94" i="13"/>
  <c r="M95" i="4"/>
  <c r="N98" i="4"/>
  <c r="K96" i="13"/>
  <c r="Q96" i="13"/>
  <c r="P96" i="4"/>
  <c r="Q97" i="13"/>
  <c r="L98" i="4"/>
  <c r="M97" i="4"/>
  <c r="G97" i="13"/>
  <c r="G95" i="13"/>
  <c r="P94" i="4"/>
  <c r="O98" i="4"/>
  <c r="M93" i="15"/>
  <c r="R92" i="13"/>
  <c r="O90" i="3"/>
  <c r="F98" i="13"/>
  <c r="I98" i="13"/>
  <c r="T98" i="4"/>
  <c r="E91" i="4"/>
  <c r="L131" i="3"/>
  <c r="N91" i="15"/>
  <c r="Q86" i="13"/>
  <c r="I91" i="4"/>
  <c r="Q89" i="13"/>
  <c r="Q88" i="13"/>
  <c r="H91" i="4"/>
  <c r="F91" i="4"/>
  <c r="K91" i="15"/>
  <c r="Q85" i="13"/>
  <c r="I91" i="13"/>
  <c r="E91" i="15"/>
  <c r="R90" i="13"/>
  <c r="P90" i="15"/>
  <c r="O91" i="4"/>
  <c r="R88" i="13"/>
  <c r="U91" i="15"/>
  <c r="K91" i="4"/>
  <c r="L91" i="4"/>
  <c r="H91" i="15"/>
  <c r="T85" i="15"/>
  <c r="T91" i="15" s="1"/>
  <c r="I91" i="15"/>
  <c r="T85" i="4"/>
  <c r="N91" i="4"/>
  <c r="T86" i="4"/>
  <c r="R85" i="13"/>
  <c r="R87" i="13"/>
  <c r="U86" i="4"/>
  <c r="U91" i="4" s="1"/>
  <c r="F91" i="15"/>
  <c r="R89" i="13"/>
  <c r="P90" i="4"/>
  <c r="P88" i="15"/>
  <c r="P88" i="4"/>
  <c r="P86" i="15"/>
  <c r="P86" i="4"/>
  <c r="M89" i="15"/>
  <c r="M89" i="4"/>
  <c r="M87" i="15"/>
  <c r="G87" i="13"/>
  <c r="G85" i="13"/>
  <c r="M85" i="15"/>
  <c r="O91" i="15"/>
  <c r="J91" i="13"/>
  <c r="K91" i="13" s="1"/>
  <c r="L91" i="15"/>
  <c r="F91" i="13"/>
  <c r="Q90" i="13"/>
  <c r="E91" i="13"/>
  <c r="G98" i="13" l="1"/>
  <c r="G105" i="13"/>
  <c r="K98" i="13"/>
  <c r="G91" i="13"/>
  <c r="K105" i="13"/>
  <c r="R105" i="13"/>
  <c r="Q105" i="13"/>
  <c r="M105" i="15"/>
  <c r="W105" i="15"/>
  <c r="M105" i="4"/>
  <c r="W105" i="4"/>
  <c r="T105" i="13"/>
  <c r="U105" i="13"/>
  <c r="R98" i="13"/>
  <c r="X105" i="4"/>
  <c r="P105" i="4"/>
  <c r="P98" i="15"/>
  <c r="X105" i="15"/>
  <c r="P105" i="15"/>
  <c r="M98" i="15"/>
  <c r="W98" i="15"/>
  <c r="P91" i="4"/>
  <c r="W98" i="4"/>
  <c r="M91" i="4"/>
  <c r="X98" i="15"/>
  <c r="M98" i="4"/>
  <c r="T98" i="13"/>
  <c r="Q98" i="13"/>
  <c r="X98" i="4"/>
  <c r="P98" i="4"/>
  <c r="U98" i="13"/>
  <c r="T91" i="4"/>
  <c r="Q91" i="13"/>
  <c r="W91" i="15"/>
  <c r="W91" i="4"/>
  <c r="R91" i="13"/>
  <c r="X91" i="15"/>
  <c r="J81" i="3" l="1"/>
  <c r="M83" i="4" s="1"/>
  <c r="J79" i="3"/>
  <c r="J77" i="3"/>
  <c r="G79" i="13" s="1"/>
  <c r="K83" i="13"/>
  <c r="J83" i="13"/>
  <c r="I83" i="13"/>
  <c r="F83" i="13"/>
  <c r="E83" i="13"/>
  <c r="K82" i="13"/>
  <c r="J82" i="13"/>
  <c r="I82" i="13"/>
  <c r="G82" i="13"/>
  <c r="F82" i="13"/>
  <c r="E82" i="13"/>
  <c r="K81" i="13"/>
  <c r="J81" i="13"/>
  <c r="I81" i="13"/>
  <c r="F81" i="13"/>
  <c r="E81" i="13"/>
  <c r="K80" i="13"/>
  <c r="J80" i="13"/>
  <c r="I80" i="13"/>
  <c r="G80" i="13"/>
  <c r="F80" i="13"/>
  <c r="E80" i="13"/>
  <c r="K79" i="13"/>
  <c r="J79" i="13"/>
  <c r="I79" i="13"/>
  <c r="F79" i="13"/>
  <c r="E79" i="13"/>
  <c r="K78" i="13"/>
  <c r="J78" i="13"/>
  <c r="I78" i="13"/>
  <c r="G78" i="13"/>
  <c r="F78" i="13"/>
  <c r="E78" i="13"/>
  <c r="K77" i="13"/>
  <c r="J77" i="13"/>
  <c r="I77" i="13"/>
  <c r="G77" i="13"/>
  <c r="F77" i="13"/>
  <c r="E77" i="13"/>
  <c r="K76" i="13"/>
  <c r="J76" i="13"/>
  <c r="I76" i="13"/>
  <c r="G76" i="13"/>
  <c r="F76" i="13"/>
  <c r="E76" i="13"/>
  <c r="K74" i="13"/>
  <c r="J74" i="13"/>
  <c r="I74" i="13"/>
  <c r="G74" i="13"/>
  <c r="F74" i="13"/>
  <c r="E74" i="13"/>
  <c r="K73" i="13"/>
  <c r="J73" i="13"/>
  <c r="I73" i="13"/>
  <c r="G73" i="13"/>
  <c r="F73" i="13"/>
  <c r="E73" i="13"/>
  <c r="K72" i="13"/>
  <c r="J72" i="13"/>
  <c r="I72" i="13"/>
  <c r="G72" i="13"/>
  <c r="F72" i="13"/>
  <c r="E72" i="13"/>
  <c r="K71" i="13"/>
  <c r="J71" i="13"/>
  <c r="I71" i="13"/>
  <c r="G71" i="13"/>
  <c r="F71" i="13"/>
  <c r="E71" i="13"/>
  <c r="K70" i="13"/>
  <c r="J70" i="13"/>
  <c r="I70" i="13"/>
  <c r="G70" i="13"/>
  <c r="F70" i="13"/>
  <c r="E70" i="13"/>
  <c r="K69" i="13"/>
  <c r="J69" i="13"/>
  <c r="I69" i="13"/>
  <c r="G69" i="13"/>
  <c r="F69" i="13"/>
  <c r="E69" i="13"/>
  <c r="K68" i="13"/>
  <c r="J68" i="13"/>
  <c r="I68" i="13"/>
  <c r="G68" i="13"/>
  <c r="F68" i="13"/>
  <c r="E68" i="13"/>
  <c r="K67" i="13"/>
  <c r="J67" i="13"/>
  <c r="I67" i="13"/>
  <c r="G67" i="13"/>
  <c r="F67" i="13"/>
  <c r="E67" i="13"/>
  <c r="P83" i="15"/>
  <c r="O83" i="15"/>
  <c r="N83" i="15"/>
  <c r="L83" i="15"/>
  <c r="U83" i="15" s="1"/>
  <c r="K83" i="15"/>
  <c r="T83" i="15" s="1"/>
  <c r="J83" i="15"/>
  <c r="I83" i="15"/>
  <c r="H83" i="15"/>
  <c r="G83" i="15"/>
  <c r="F83" i="15"/>
  <c r="E83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P81" i="15"/>
  <c r="O81" i="15"/>
  <c r="N81" i="15"/>
  <c r="L81" i="15"/>
  <c r="U81" i="15" s="1"/>
  <c r="K81" i="15"/>
  <c r="T81" i="15" s="1"/>
  <c r="J81" i="15"/>
  <c r="I81" i="15"/>
  <c r="H81" i="15"/>
  <c r="G81" i="15"/>
  <c r="F81" i="15"/>
  <c r="E81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P79" i="15"/>
  <c r="O79" i="15"/>
  <c r="N79" i="15"/>
  <c r="L79" i="15"/>
  <c r="U79" i="15" s="1"/>
  <c r="K79" i="15"/>
  <c r="T79" i="15" s="1"/>
  <c r="J79" i="15"/>
  <c r="I79" i="15"/>
  <c r="H79" i="15"/>
  <c r="G79" i="15"/>
  <c r="F79" i="15"/>
  <c r="E79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U75" i="15"/>
  <c r="T75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P83" i="4"/>
  <c r="O83" i="4"/>
  <c r="N83" i="4"/>
  <c r="L83" i="4"/>
  <c r="K83" i="4"/>
  <c r="J83" i="4"/>
  <c r="I83" i="4"/>
  <c r="H83" i="4"/>
  <c r="G83" i="4"/>
  <c r="F83" i="4"/>
  <c r="E83" i="4"/>
  <c r="P82" i="4"/>
  <c r="O82" i="4"/>
  <c r="N82" i="4"/>
  <c r="M82" i="4"/>
  <c r="L82" i="4"/>
  <c r="K82" i="4"/>
  <c r="J82" i="4"/>
  <c r="I82" i="4"/>
  <c r="H82" i="4"/>
  <c r="G82" i="4"/>
  <c r="F82" i="4"/>
  <c r="E82" i="4"/>
  <c r="P81" i="4"/>
  <c r="O81" i="4"/>
  <c r="N81" i="4"/>
  <c r="L81" i="4"/>
  <c r="U81" i="4" s="1"/>
  <c r="K81" i="4"/>
  <c r="T81" i="4" s="1"/>
  <c r="J81" i="4"/>
  <c r="I81" i="4"/>
  <c r="H81" i="4"/>
  <c r="G81" i="4"/>
  <c r="F81" i="4"/>
  <c r="E81" i="4"/>
  <c r="P80" i="4"/>
  <c r="O80" i="4"/>
  <c r="N80" i="4"/>
  <c r="M80" i="4"/>
  <c r="L80" i="4"/>
  <c r="K80" i="4"/>
  <c r="J80" i="4"/>
  <c r="I80" i="4"/>
  <c r="H80" i="4"/>
  <c r="G80" i="4"/>
  <c r="F80" i="4"/>
  <c r="E80" i="4"/>
  <c r="P79" i="4"/>
  <c r="O79" i="4"/>
  <c r="N79" i="4"/>
  <c r="L79" i="4"/>
  <c r="U79" i="4" s="1"/>
  <c r="K79" i="4"/>
  <c r="T79" i="4" s="1"/>
  <c r="J79" i="4"/>
  <c r="I79" i="4"/>
  <c r="H79" i="4"/>
  <c r="G79" i="4"/>
  <c r="F79" i="4"/>
  <c r="E79" i="4"/>
  <c r="P78" i="4"/>
  <c r="O78" i="4"/>
  <c r="N78" i="4"/>
  <c r="M78" i="4"/>
  <c r="L78" i="4"/>
  <c r="K78" i="4"/>
  <c r="J78" i="4"/>
  <c r="I78" i="4"/>
  <c r="H78" i="4"/>
  <c r="G78" i="4"/>
  <c r="F78" i="4"/>
  <c r="E78" i="4"/>
  <c r="P77" i="4"/>
  <c r="O77" i="4"/>
  <c r="N77" i="4"/>
  <c r="M77" i="4"/>
  <c r="L77" i="4"/>
  <c r="K77" i="4"/>
  <c r="J77" i="4"/>
  <c r="I77" i="4"/>
  <c r="H77" i="4"/>
  <c r="G77" i="4"/>
  <c r="F77" i="4"/>
  <c r="E77" i="4"/>
  <c r="P76" i="4"/>
  <c r="O76" i="4"/>
  <c r="N76" i="4"/>
  <c r="M76" i="4"/>
  <c r="L76" i="4"/>
  <c r="K76" i="4"/>
  <c r="J76" i="4"/>
  <c r="I76" i="4"/>
  <c r="H76" i="4"/>
  <c r="G76" i="4"/>
  <c r="F76" i="4"/>
  <c r="E76" i="4"/>
  <c r="U75" i="4"/>
  <c r="T75" i="4"/>
  <c r="P74" i="4"/>
  <c r="O74" i="4"/>
  <c r="N74" i="4"/>
  <c r="M74" i="4"/>
  <c r="L74" i="4"/>
  <c r="K74" i="4"/>
  <c r="J74" i="4"/>
  <c r="I74" i="4"/>
  <c r="H74" i="4"/>
  <c r="G74" i="4"/>
  <c r="F74" i="4"/>
  <c r="E74" i="4"/>
  <c r="P73" i="4"/>
  <c r="O73" i="4"/>
  <c r="N73" i="4"/>
  <c r="M73" i="4"/>
  <c r="L73" i="4"/>
  <c r="K73" i="4"/>
  <c r="J73" i="4"/>
  <c r="I73" i="4"/>
  <c r="H73" i="4"/>
  <c r="G73" i="4"/>
  <c r="F73" i="4"/>
  <c r="E73" i="4"/>
  <c r="P72" i="4"/>
  <c r="O72" i="4"/>
  <c r="N72" i="4"/>
  <c r="M72" i="4"/>
  <c r="L72" i="4"/>
  <c r="K72" i="4"/>
  <c r="J72" i="4"/>
  <c r="I72" i="4"/>
  <c r="H72" i="4"/>
  <c r="G72" i="4"/>
  <c r="F72" i="4"/>
  <c r="E72" i="4"/>
  <c r="P71" i="4"/>
  <c r="O71" i="4"/>
  <c r="N71" i="4"/>
  <c r="M71" i="4"/>
  <c r="L71" i="4"/>
  <c r="K71" i="4"/>
  <c r="J71" i="4"/>
  <c r="I71" i="4"/>
  <c r="H71" i="4"/>
  <c r="G71" i="4"/>
  <c r="F71" i="4"/>
  <c r="E71" i="4"/>
  <c r="P70" i="4"/>
  <c r="O70" i="4"/>
  <c r="N70" i="4"/>
  <c r="M70" i="4"/>
  <c r="L70" i="4"/>
  <c r="K70" i="4"/>
  <c r="J70" i="4"/>
  <c r="I70" i="4"/>
  <c r="H70" i="4"/>
  <c r="G70" i="4"/>
  <c r="F70" i="4"/>
  <c r="E70" i="4"/>
  <c r="P69" i="4"/>
  <c r="O69" i="4"/>
  <c r="N69" i="4"/>
  <c r="M69" i="4"/>
  <c r="L69" i="4"/>
  <c r="K69" i="4"/>
  <c r="J69" i="4"/>
  <c r="I69" i="4"/>
  <c r="H69" i="4"/>
  <c r="G69" i="4"/>
  <c r="F69" i="4"/>
  <c r="E69" i="4"/>
  <c r="P68" i="4"/>
  <c r="O68" i="4"/>
  <c r="N68" i="4"/>
  <c r="M68" i="4"/>
  <c r="L68" i="4"/>
  <c r="K68" i="4"/>
  <c r="J68" i="4"/>
  <c r="I68" i="4"/>
  <c r="H68" i="4"/>
  <c r="G68" i="4"/>
  <c r="F68" i="4"/>
  <c r="E68" i="4"/>
  <c r="P67" i="4"/>
  <c r="O67" i="4"/>
  <c r="N67" i="4"/>
  <c r="M67" i="4"/>
  <c r="L67" i="4"/>
  <c r="K67" i="4"/>
  <c r="J67" i="4"/>
  <c r="I67" i="4"/>
  <c r="H67" i="4"/>
  <c r="G67" i="4"/>
  <c r="F67" i="4"/>
  <c r="E67" i="4"/>
  <c r="O65" i="3"/>
  <c r="O66" i="3"/>
  <c r="O67" i="3"/>
  <c r="O68" i="3"/>
  <c r="O69" i="3"/>
  <c r="O70" i="3"/>
  <c r="O71" i="3"/>
  <c r="O72" i="3"/>
  <c r="O74" i="3"/>
  <c r="O75" i="3"/>
  <c r="O76" i="3"/>
  <c r="O78" i="3"/>
  <c r="O80" i="3"/>
  <c r="O81" i="1"/>
  <c r="O80" i="1"/>
  <c r="O79" i="1"/>
  <c r="O78" i="1"/>
  <c r="O77" i="1"/>
  <c r="O76" i="1"/>
  <c r="O75" i="1"/>
  <c r="O74" i="1"/>
  <c r="O72" i="1"/>
  <c r="O71" i="1"/>
  <c r="O70" i="1"/>
  <c r="O69" i="1"/>
  <c r="O68" i="1"/>
  <c r="O67" i="1"/>
  <c r="O66" i="1"/>
  <c r="O65" i="1"/>
  <c r="O81" i="2"/>
  <c r="O80" i="2"/>
  <c r="O79" i="2"/>
  <c r="O79" i="3" s="1"/>
  <c r="O78" i="2"/>
  <c r="O77" i="2"/>
  <c r="O77" i="3" s="1"/>
  <c r="O76" i="2"/>
  <c r="O75" i="2"/>
  <c r="O74" i="2"/>
  <c r="O72" i="2"/>
  <c r="O65" i="2"/>
  <c r="O66" i="2"/>
  <c r="O67" i="2"/>
  <c r="O68" i="2"/>
  <c r="O69" i="2"/>
  <c r="O70" i="2"/>
  <c r="O71" i="2"/>
  <c r="K65" i="13"/>
  <c r="J65" i="13"/>
  <c r="I65" i="13"/>
  <c r="G65" i="13"/>
  <c r="F65" i="13"/>
  <c r="E65" i="13"/>
  <c r="K64" i="13"/>
  <c r="J64" i="13"/>
  <c r="I64" i="13"/>
  <c r="G64" i="13"/>
  <c r="F64" i="13"/>
  <c r="E64" i="13"/>
  <c r="K63" i="13"/>
  <c r="J63" i="13"/>
  <c r="I63" i="13"/>
  <c r="G63" i="13"/>
  <c r="F63" i="13"/>
  <c r="E63" i="13"/>
  <c r="K62" i="13"/>
  <c r="J62" i="13"/>
  <c r="I62" i="13"/>
  <c r="G62" i="13"/>
  <c r="F62" i="13"/>
  <c r="E62" i="13"/>
  <c r="K61" i="13"/>
  <c r="J61" i="13"/>
  <c r="I61" i="13"/>
  <c r="G61" i="13"/>
  <c r="F61" i="13"/>
  <c r="E61" i="13"/>
  <c r="K60" i="13"/>
  <c r="J60" i="13"/>
  <c r="I60" i="13"/>
  <c r="G60" i="13"/>
  <c r="F60" i="13"/>
  <c r="E60" i="13"/>
  <c r="K59" i="13"/>
  <c r="J59" i="13"/>
  <c r="I59" i="13"/>
  <c r="G59" i="13"/>
  <c r="F59" i="13"/>
  <c r="E59" i="13"/>
  <c r="K58" i="13"/>
  <c r="J58" i="13"/>
  <c r="I58" i="13"/>
  <c r="G58" i="13"/>
  <c r="F58" i="13"/>
  <c r="E58" i="13"/>
  <c r="K57" i="13"/>
  <c r="J57" i="13"/>
  <c r="I57" i="13"/>
  <c r="G57" i="13"/>
  <c r="F57" i="13"/>
  <c r="E57" i="13"/>
  <c r="K55" i="13"/>
  <c r="J55" i="13"/>
  <c r="I55" i="13"/>
  <c r="G55" i="13"/>
  <c r="F55" i="13"/>
  <c r="E55" i="13"/>
  <c r="K54" i="13"/>
  <c r="J54" i="13"/>
  <c r="I54" i="13"/>
  <c r="G54" i="13"/>
  <c r="F54" i="13"/>
  <c r="E54" i="13"/>
  <c r="K53" i="13"/>
  <c r="J53" i="13"/>
  <c r="I53" i="13"/>
  <c r="G53" i="13"/>
  <c r="F53" i="13"/>
  <c r="E53" i="13"/>
  <c r="K52" i="13"/>
  <c r="J52" i="13"/>
  <c r="I52" i="13"/>
  <c r="G52" i="13"/>
  <c r="F52" i="13"/>
  <c r="E52" i="13"/>
  <c r="K51" i="13"/>
  <c r="J51" i="13"/>
  <c r="I51" i="13"/>
  <c r="G51" i="13"/>
  <c r="F51" i="13"/>
  <c r="E51" i="13"/>
  <c r="K50" i="13"/>
  <c r="J50" i="13"/>
  <c r="I50" i="13"/>
  <c r="G50" i="13"/>
  <c r="F50" i="13"/>
  <c r="E50" i="13"/>
  <c r="K49" i="13"/>
  <c r="J49" i="13"/>
  <c r="I49" i="13"/>
  <c r="G49" i="13"/>
  <c r="F49" i="13"/>
  <c r="E49" i="13"/>
  <c r="K48" i="13"/>
  <c r="J48" i="13"/>
  <c r="I48" i="13"/>
  <c r="G48" i="13"/>
  <c r="F48" i="13"/>
  <c r="E48" i="13"/>
  <c r="K47" i="13"/>
  <c r="J47" i="13"/>
  <c r="I47" i="13"/>
  <c r="G47" i="13"/>
  <c r="F47" i="13"/>
  <c r="E47" i="13"/>
  <c r="U66" i="15"/>
  <c r="T66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U56" i="15"/>
  <c r="T56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U66" i="4"/>
  <c r="T66" i="4"/>
  <c r="P65" i="4"/>
  <c r="O65" i="4"/>
  <c r="N65" i="4"/>
  <c r="M65" i="4"/>
  <c r="L65" i="4"/>
  <c r="K65" i="4"/>
  <c r="J65" i="4"/>
  <c r="I65" i="4"/>
  <c r="H65" i="4"/>
  <c r="G65" i="4"/>
  <c r="F65" i="4"/>
  <c r="E65" i="4"/>
  <c r="P64" i="4"/>
  <c r="O64" i="4"/>
  <c r="N64" i="4"/>
  <c r="M64" i="4"/>
  <c r="L64" i="4"/>
  <c r="K64" i="4"/>
  <c r="J64" i="4"/>
  <c r="I64" i="4"/>
  <c r="H64" i="4"/>
  <c r="G64" i="4"/>
  <c r="F64" i="4"/>
  <c r="E64" i="4"/>
  <c r="P63" i="4"/>
  <c r="O63" i="4"/>
  <c r="N63" i="4"/>
  <c r="M63" i="4"/>
  <c r="L63" i="4"/>
  <c r="K63" i="4"/>
  <c r="J63" i="4"/>
  <c r="I63" i="4"/>
  <c r="H63" i="4"/>
  <c r="G63" i="4"/>
  <c r="F63" i="4"/>
  <c r="E63" i="4"/>
  <c r="P62" i="4"/>
  <c r="O62" i="4"/>
  <c r="N62" i="4"/>
  <c r="M62" i="4"/>
  <c r="L62" i="4"/>
  <c r="K62" i="4"/>
  <c r="J62" i="4"/>
  <c r="I62" i="4"/>
  <c r="H62" i="4"/>
  <c r="G62" i="4"/>
  <c r="F62" i="4"/>
  <c r="E62" i="4"/>
  <c r="P61" i="4"/>
  <c r="O61" i="4"/>
  <c r="N61" i="4"/>
  <c r="M61" i="4"/>
  <c r="L61" i="4"/>
  <c r="K61" i="4"/>
  <c r="J61" i="4"/>
  <c r="I61" i="4"/>
  <c r="H61" i="4"/>
  <c r="G61" i="4"/>
  <c r="F61" i="4"/>
  <c r="E61" i="4"/>
  <c r="P60" i="4"/>
  <c r="O60" i="4"/>
  <c r="N60" i="4"/>
  <c r="M60" i="4"/>
  <c r="L60" i="4"/>
  <c r="K60" i="4"/>
  <c r="J60" i="4"/>
  <c r="I60" i="4"/>
  <c r="H60" i="4"/>
  <c r="G60" i="4"/>
  <c r="F60" i="4"/>
  <c r="E60" i="4"/>
  <c r="P59" i="4"/>
  <c r="O59" i="4"/>
  <c r="N59" i="4"/>
  <c r="M59" i="4"/>
  <c r="L59" i="4"/>
  <c r="K59" i="4"/>
  <c r="J59" i="4"/>
  <c r="I59" i="4"/>
  <c r="H59" i="4"/>
  <c r="G59" i="4"/>
  <c r="F59" i="4"/>
  <c r="E59" i="4"/>
  <c r="P58" i="4"/>
  <c r="O58" i="4"/>
  <c r="N58" i="4"/>
  <c r="M58" i="4"/>
  <c r="L58" i="4"/>
  <c r="K58" i="4"/>
  <c r="J58" i="4"/>
  <c r="I58" i="4"/>
  <c r="H58" i="4"/>
  <c r="G58" i="4"/>
  <c r="F58" i="4"/>
  <c r="E58" i="4"/>
  <c r="P57" i="4"/>
  <c r="O57" i="4"/>
  <c r="N57" i="4"/>
  <c r="M57" i="4"/>
  <c r="L57" i="4"/>
  <c r="K57" i="4"/>
  <c r="J57" i="4"/>
  <c r="I57" i="4"/>
  <c r="H57" i="4"/>
  <c r="G57" i="4"/>
  <c r="F57" i="4"/>
  <c r="E57" i="4"/>
  <c r="U56" i="4"/>
  <c r="P55" i="4"/>
  <c r="O55" i="4"/>
  <c r="N55" i="4"/>
  <c r="M55" i="4"/>
  <c r="L55" i="4"/>
  <c r="K55" i="4"/>
  <c r="J55" i="4"/>
  <c r="I55" i="4"/>
  <c r="H55" i="4"/>
  <c r="G55" i="4"/>
  <c r="F55" i="4"/>
  <c r="E55" i="4"/>
  <c r="P54" i="4"/>
  <c r="O54" i="4"/>
  <c r="N54" i="4"/>
  <c r="M54" i="4"/>
  <c r="L54" i="4"/>
  <c r="K54" i="4"/>
  <c r="J54" i="4"/>
  <c r="I54" i="4"/>
  <c r="H54" i="4"/>
  <c r="G54" i="4"/>
  <c r="F54" i="4"/>
  <c r="E54" i="4"/>
  <c r="P53" i="4"/>
  <c r="O53" i="4"/>
  <c r="N53" i="4"/>
  <c r="M53" i="4"/>
  <c r="L53" i="4"/>
  <c r="K53" i="4"/>
  <c r="J53" i="4"/>
  <c r="I53" i="4"/>
  <c r="H53" i="4"/>
  <c r="G53" i="4"/>
  <c r="F53" i="4"/>
  <c r="E53" i="4"/>
  <c r="T56" i="4" s="1"/>
  <c r="P52" i="4"/>
  <c r="O52" i="4"/>
  <c r="N52" i="4"/>
  <c r="M52" i="4"/>
  <c r="L52" i="4"/>
  <c r="K52" i="4"/>
  <c r="J52" i="4"/>
  <c r="I52" i="4"/>
  <c r="H52" i="4"/>
  <c r="G52" i="4"/>
  <c r="F52" i="4"/>
  <c r="E52" i="4"/>
  <c r="P51" i="4"/>
  <c r="O51" i="4"/>
  <c r="N51" i="4"/>
  <c r="M51" i="4"/>
  <c r="L51" i="4"/>
  <c r="K51" i="4"/>
  <c r="J51" i="4"/>
  <c r="I51" i="4"/>
  <c r="H51" i="4"/>
  <c r="G51" i="4"/>
  <c r="F51" i="4"/>
  <c r="E51" i="4"/>
  <c r="P50" i="4"/>
  <c r="O50" i="4"/>
  <c r="N50" i="4"/>
  <c r="M50" i="4"/>
  <c r="L50" i="4"/>
  <c r="K50" i="4"/>
  <c r="J50" i="4"/>
  <c r="I50" i="4"/>
  <c r="H50" i="4"/>
  <c r="G50" i="4"/>
  <c r="F50" i="4"/>
  <c r="E50" i="4"/>
  <c r="P49" i="4"/>
  <c r="O49" i="4"/>
  <c r="N49" i="4"/>
  <c r="M49" i="4"/>
  <c r="L49" i="4"/>
  <c r="K49" i="4"/>
  <c r="J49" i="4"/>
  <c r="I49" i="4"/>
  <c r="H49" i="4"/>
  <c r="G49" i="4"/>
  <c r="F49" i="4"/>
  <c r="E49" i="4"/>
  <c r="P48" i="4"/>
  <c r="O48" i="4"/>
  <c r="N48" i="4"/>
  <c r="M48" i="4"/>
  <c r="L48" i="4"/>
  <c r="K48" i="4"/>
  <c r="J48" i="4"/>
  <c r="I48" i="4"/>
  <c r="H48" i="4"/>
  <c r="G48" i="4"/>
  <c r="F48" i="4"/>
  <c r="E48" i="4"/>
  <c r="P47" i="4"/>
  <c r="O47" i="4"/>
  <c r="N47" i="4"/>
  <c r="M47" i="4"/>
  <c r="L47" i="4"/>
  <c r="K47" i="4"/>
  <c r="J47" i="4"/>
  <c r="I47" i="4"/>
  <c r="H47" i="4"/>
  <c r="G47" i="4"/>
  <c r="F47" i="4"/>
  <c r="E47" i="4"/>
  <c r="O63" i="3"/>
  <c r="O62" i="3"/>
  <c r="O61" i="3"/>
  <c r="O60" i="3"/>
  <c r="O59" i="3"/>
  <c r="O58" i="3"/>
  <c r="O57" i="3"/>
  <c r="O56" i="3"/>
  <c r="O55" i="3"/>
  <c r="O53" i="3"/>
  <c r="O52" i="3"/>
  <c r="O51" i="3"/>
  <c r="O50" i="3"/>
  <c r="O49" i="3"/>
  <c r="O48" i="3"/>
  <c r="O47" i="3"/>
  <c r="O46" i="3"/>
  <c r="O45" i="3"/>
  <c r="O63" i="1"/>
  <c r="O62" i="1"/>
  <c r="O61" i="1"/>
  <c r="O60" i="1"/>
  <c r="O59" i="1"/>
  <c r="O58" i="1"/>
  <c r="O57" i="1"/>
  <c r="O56" i="1"/>
  <c r="O55" i="1"/>
  <c r="O53" i="1"/>
  <c r="O52" i="1"/>
  <c r="O51" i="1"/>
  <c r="O50" i="1"/>
  <c r="O49" i="1"/>
  <c r="O48" i="1"/>
  <c r="O47" i="1"/>
  <c r="O46" i="1"/>
  <c r="O45" i="1"/>
  <c r="O45" i="2"/>
  <c r="O46" i="2"/>
  <c r="O47" i="2"/>
  <c r="O48" i="2"/>
  <c r="O49" i="2"/>
  <c r="O50" i="2"/>
  <c r="O51" i="2"/>
  <c r="O52" i="2"/>
  <c r="O53" i="2"/>
  <c r="O55" i="2"/>
  <c r="O56" i="2"/>
  <c r="O57" i="2"/>
  <c r="O58" i="2"/>
  <c r="O59" i="2"/>
  <c r="O60" i="2"/>
  <c r="O61" i="2"/>
  <c r="O62" i="2"/>
  <c r="O63" i="2"/>
  <c r="N132" i="2"/>
  <c r="J132" i="2"/>
  <c r="H132" i="2"/>
  <c r="F132" i="2"/>
  <c r="N131" i="2"/>
  <c r="Q76" i="13" l="1"/>
  <c r="R68" i="13"/>
  <c r="R70" i="13"/>
  <c r="R73" i="13"/>
  <c r="R80" i="13"/>
  <c r="O81" i="3"/>
  <c r="Q80" i="13"/>
  <c r="Q78" i="13"/>
  <c r="K75" i="4"/>
  <c r="Q82" i="13"/>
  <c r="E75" i="15"/>
  <c r="E75" i="4"/>
  <c r="F75" i="4"/>
  <c r="Q79" i="13"/>
  <c r="K84" i="4"/>
  <c r="F75" i="15"/>
  <c r="F84" i="13"/>
  <c r="R71" i="13"/>
  <c r="R78" i="13"/>
  <c r="Q77" i="13"/>
  <c r="Q71" i="13"/>
  <c r="R77" i="13"/>
  <c r="Q73" i="13"/>
  <c r="R74" i="13"/>
  <c r="J84" i="13"/>
  <c r="R79" i="13"/>
  <c r="R82" i="13"/>
  <c r="O66" i="15"/>
  <c r="O75" i="15" s="1"/>
  <c r="O84" i="15" s="1"/>
  <c r="H84" i="15"/>
  <c r="U84" i="15"/>
  <c r="T83" i="4"/>
  <c r="T84" i="4" s="1"/>
  <c r="U83" i="4"/>
  <c r="T84" i="15"/>
  <c r="M79" i="4"/>
  <c r="M79" i="15"/>
  <c r="L75" i="15"/>
  <c r="Q72" i="13"/>
  <c r="Q83" i="13"/>
  <c r="I84" i="4"/>
  <c r="I84" i="13"/>
  <c r="E56" i="15"/>
  <c r="E84" i="4"/>
  <c r="G83" i="13"/>
  <c r="H75" i="15"/>
  <c r="E84" i="15"/>
  <c r="I75" i="15"/>
  <c r="Q70" i="13"/>
  <c r="Q81" i="13"/>
  <c r="I75" i="13"/>
  <c r="H84" i="4"/>
  <c r="L75" i="4"/>
  <c r="F84" i="15"/>
  <c r="J75" i="13"/>
  <c r="I84" i="15"/>
  <c r="R83" i="13"/>
  <c r="H66" i="15"/>
  <c r="F84" i="4"/>
  <c r="K75" i="15"/>
  <c r="K84" i="15"/>
  <c r="R72" i="13"/>
  <c r="F75" i="13"/>
  <c r="U75" i="13" s="1"/>
  <c r="R69" i="13"/>
  <c r="R76" i="13"/>
  <c r="R81" i="13"/>
  <c r="M83" i="15"/>
  <c r="M81" i="15"/>
  <c r="M81" i="4"/>
  <c r="G81" i="13"/>
  <c r="E84" i="13"/>
  <c r="L84" i="4"/>
  <c r="L84" i="15"/>
  <c r="R67" i="13"/>
  <c r="Q69" i="13"/>
  <c r="Q68" i="13"/>
  <c r="Q67" i="13"/>
  <c r="Q58" i="13"/>
  <c r="Q62" i="13"/>
  <c r="Q74" i="13"/>
  <c r="E75" i="13"/>
  <c r="Q48" i="13"/>
  <c r="Q52" i="13"/>
  <c r="Q57" i="13"/>
  <c r="Q61" i="13"/>
  <c r="Q65" i="13"/>
  <c r="H75" i="4"/>
  <c r="I75" i="4"/>
  <c r="E66" i="4"/>
  <c r="I66" i="15"/>
  <c r="Q51" i="13"/>
  <c r="Q55" i="13"/>
  <c r="Q60" i="13"/>
  <c r="Q64" i="13"/>
  <c r="F56" i="15"/>
  <c r="E56" i="4"/>
  <c r="I66" i="13"/>
  <c r="E66" i="15"/>
  <c r="Q59" i="13"/>
  <c r="Q63" i="13"/>
  <c r="F66" i="4"/>
  <c r="N66" i="4"/>
  <c r="N75" i="4" s="1"/>
  <c r="H56" i="15"/>
  <c r="R48" i="13"/>
  <c r="R52" i="13"/>
  <c r="R57" i="13"/>
  <c r="R61" i="13"/>
  <c r="R65" i="13"/>
  <c r="R49" i="13"/>
  <c r="R53" i="13"/>
  <c r="R62" i="13"/>
  <c r="O56" i="15"/>
  <c r="R58" i="13"/>
  <c r="N56" i="15"/>
  <c r="L56" i="4"/>
  <c r="O66" i="4"/>
  <c r="O75" i="4" s="1"/>
  <c r="I56" i="15"/>
  <c r="H66" i="4"/>
  <c r="L66" i="4"/>
  <c r="J133" i="2"/>
  <c r="R59" i="13"/>
  <c r="R63" i="13"/>
  <c r="K66" i="15"/>
  <c r="K56" i="15"/>
  <c r="R47" i="13"/>
  <c r="R51" i="13"/>
  <c r="R55" i="13"/>
  <c r="R60" i="13"/>
  <c r="R64" i="13"/>
  <c r="J66" i="13"/>
  <c r="I56" i="4"/>
  <c r="N56" i="4"/>
  <c r="I66" i="4"/>
  <c r="K66" i="4"/>
  <c r="L56" i="15"/>
  <c r="L66" i="15"/>
  <c r="F56" i="4"/>
  <c r="N66" i="15"/>
  <c r="F66" i="15"/>
  <c r="E66" i="13"/>
  <c r="F66" i="13"/>
  <c r="E56" i="13"/>
  <c r="Q50" i="13"/>
  <c r="Q54" i="13"/>
  <c r="I56" i="13"/>
  <c r="R50" i="13"/>
  <c r="R54" i="13"/>
  <c r="J56" i="13"/>
  <c r="Q49" i="13"/>
  <c r="Q53" i="13"/>
  <c r="F56" i="13"/>
  <c r="Q47" i="13"/>
  <c r="O56" i="4"/>
  <c r="H56" i="4"/>
  <c r="K56" i="4"/>
  <c r="N133" i="2"/>
  <c r="N135" i="13" l="1"/>
  <c r="N136" i="13" s="1"/>
  <c r="R135" i="4"/>
  <c r="R136" i="4" s="1"/>
  <c r="L135" i="4"/>
  <c r="F135" i="13"/>
  <c r="G84" i="13"/>
  <c r="M84" i="4"/>
  <c r="T84" i="13"/>
  <c r="T66" i="13"/>
  <c r="Q75" i="13"/>
  <c r="U84" i="13"/>
  <c r="T91" i="13"/>
  <c r="U91" i="13"/>
  <c r="Q84" i="13"/>
  <c r="R84" i="13"/>
  <c r="X75" i="15"/>
  <c r="U84" i="4"/>
  <c r="T75" i="13"/>
  <c r="J134" i="2"/>
  <c r="R75" i="13"/>
  <c r="N134" i="2"/>
  <c r="N136" i="2" s="1"/>
  <c r="X84" i="15"/>
  <c r="W66" i="15"/>
  <c r="N75" i="15"/>
  <c r="W75" i="4"/>
  <c r="N84" i="4"/>
  <c r="X75" i="4"/>
  <c r="O84" i="4"/>
  <c r="W56" i="15"/>
  <c r="Q66" i="13"/>
  <c r="Q56" i="13"/>
  <c r="X56" i="15"/>
  <c r="X56" i="4"/>
  <c r="W56" i="4"/>
  <c r="X66" i="4"/>
  <c r="W66" i="4"/>
  <c r="X66" i="15"/>
  <c r="R66" i="13"/>
  <c r="U66" i="13"/>
  <c r="R56" i="13"/>
  <c r="T56" i="13"/>
  <c r="U56" i="13"/>
  <c r="R137" i="4" l="1"/>
  <c r="N137" i="13"/>
  <c r="N137" i="2"/>
  <c r="J136" i="2"/>
  <c r="J137" i="2"/>
  <c r="X84" i="4"/>
  <c r="X91" i="4"/>
  <c r="W84" i="4"/>
  <c r="N84" i="15"/>
  <c r="W84" i="15" s="1"/>
  <c r="W75" i="15"/>
  <c r="K45" i="13"/>
  <c r="J45" i="13"/>
  <c r="I45" i="13"/>
  <c r="G45" i="13"/>
  <c r="F45" i="13"/>
  <c r="E45" i="13"/>
  <c r="K44" i="13"/>
  <c r="J44" i="13"/>
  <c r="I44" i="13"/>
  <c r="G44" i="13"/>
  <c r="F44" i="13"/>
  <c r="E44" i="13"/>
  <c r="K43" i="13"/>
  <c r="J43" i="13"/>
  <c r="I43" i="13"/>
  <c r="G43" i="13"/>
  <c r="F43" i="13"/>
  <c r="E43" i="13"/>
  <c r="K42" i="13"/>
  <c r="J42" i="13"/>
  <c r="I42" i="13"/>
  <c r="G42" i="13"/>
  <c r="F42" i="13"/>
  <c r="E42" i="13"/>
  <c r="K41" i="13"/>
  <c r="J41" i="13"/>
  <c r="I41" i="13"/>
  <c r="G41" i="13"/>
  <c r="F41" i="13"/>
  <c r="E41" i="13"/>
  <c r="K40" i="13"/>
  <c r="J40" i="13"/>
  <c r="I40" i="13"/>
  <c r="G40" i="13"/>
  <c r="F40" i="13"/>
  <c r="E40" i="13"/>
  <c r="K39" i="13"/>
  <c r="J39" i="13"/>
  <c r="I39" i="13"/>
  <c r="G39" i="13"/>
  <c r="F39" i="13"/>
  <c r="E39" i="13"/>
  <c r="K37" i="13"/>
  <c r="J37" i="13"/>
  <c r="I37" i="13"/>
  <c r="G37" i="13"/>
  <c r="F37" i="13"/>
  <c r="E37" i="13"/>
  <c r="K36" i="13"/>
  <c r="J36" i="13"/>
  <c r="I36" i="13"/>
  <c r="G36" i="13"/>
  <c r="F36" i="13"/>
  <c r="E36" i="13"/>
  <c r="K35" i="13"/>
  <c r="J35" i="13"/>
  <c r="I35" i="13"/>
  <c r="G35" i="13"/>
  <c r="F35" i="13"/>
  <c r="E35" i="13"/>
  <c r="K34" i="13"/>
  <c r="J34" i="13"/>
  <c r="I34" i="13"/>
  <c r="G34" i="13"/>
  <c r="F34" i="13"/>
  <c r="E34" i="13"/>
  <c r="K33" i="13"/>
  <c r="J33" i="13"/>
  <c r="I33" i="13"/>
  <c r="G33" i="13"/>
  <c r="F33" i="13"/>
  <c r="E33" i="13"/>
  <c r="K32" i="13"/>
  <c r="J32" i="13"/>
  <c r="I32" i="13"/>
  <c r="G32" i="13"/>
  <c r="F32" i="13"/>
  <c r="E32" i="13"/>
  <c r="K31" i="13"/>
  <c r="J31" i="13"/>
  <c r="I31" i="13"/>
  <c r="G31" i="13"/>
  <c r="F31" i="13"/>
  <c r="E31" i="13"/>
  <c r="K30" i="13"/>
  <c r="J30" i="13"/>
  <c r="I30" i="13"/>
  <c r="G30" i="13"/>
  <c r="F30" i="13"/>
  <c r="E30" i="13"/>
  <c r="U46" i="4"/>
  <c r="T46" i="4"/>
  <c r="P45" i="4"/>
  <c r="O45" i="4"/>
  <c r="N45" i="4"/>
  <c r="M45" i="4"/>
  <c r="L45" i="4"/>
  <c r="K45" i="4"/>
  <c r="J45" i="4"/>
  <c r="I45" i="4"/>
  <c r="H45" i="4"/>
  <c r="G45" i="4"/>
  <c r="F45" i="4"/>
  <c r="E45" i="4"/>
  <c r="P44" i="4"/>
  <c r="O44" i="4"/>
  <c r="N44" i="4"/>
  <c r="M44" i="4"/>
  <c r="L44" i="4"/>
  <c r="K44" i="4"/>
  <c r="J44" i="4"/>
  <c r="I44" i="4"/>
  <c r="H44" i="4"/>
  <c r="G44" i="4"/>
  <c r="F44" i="4"/>
  <c r="E44" i="4"/>
  <c r="P43" i="4"/>
  <c r="O43" i="4"/>
  <c r="N43" i="4"/>
  <c r="M43" i="4"/>
  <c r="L43" i="4"/>
  <c r="K43" i="4"/>
  <c r="J43" i="4"/>
  <c r="I43" i="4"/>
  <c r="H43" i="4"/>
  <c r="G43" i="4"/>
  <c r="F43" i="4"/>
  <c r="E43" i="4"/>
  <c r="P42" i="4"/>
  <c r="O42" i="4"/>
  <c r="N42" i="4"/>
  <c r="M42" i="4"/>
  <c r="L42" i="4"/>
  <c r="K42" i="4"/>
  <c r="J42" i="4"/>
  <c r="I42" i="4"/>
  <c r="H42" i="4"/>
  <c r="G42" i="4"/>
  <c r="F42" i="4"/>
  <c r="E42" i="4"/>
  <c r="P41" i="4"/>
  <c r="O41" i="4"/>
  <c r="N41" i="4"/>
  <c r="M41" i="4"/>
  <c r="L41" i="4"/>
  <c r="K41" i="4"/>
  <c r="J41" i="4"/>
  <c r="I41" i="4"/>
  <c r="H41" i="4"/>
  <c r="G41" i="4"/>
  <c r="F41" i="4"/>
  <c r="E41" i="4"/>
  <c r="P40" i="4"/>
  <c r="O40" i="4"/>
  <c r="N40" i="4"/>
  <c r="M40" i="4"/>
  <c r="L40" i="4"/>
  <c r="K40" i="4"/>
  <c r="J40" i="4"/>
  <c r="I40" i="4"/>
  <c r="H40" i="4"/>
  <c r="G40" i="4"/>
  <c r="F40" i="4"/>
  <c r="E40" i="4"/>
  <c r="P39" i="4"/>
  <c r="O39" i="4"/>
  <c r="N39" i="4"/>
  <c r="M39" i="4"/>
  <c r="L39" i="4"/>
  <c r="K39" i="4"/>
  <c r="J39" i="4"/>
  <c r="I39" i="4"/>
  <c r="H39" i="4"/>
  <c r="G39" i="4"/>
  <c r="F39" i="4"/>
  <c r="E39" i="4"/>
  <c r="U38" i="4"/>
  <c r="T38" i="4"/>
  <c r="P37" i="4"/>
  <c r="O37" i="4"/>
  <c r="N37" i="4"/>
  <c r="M37" i="4"/>
  <c r="L37" i="4"/>
  <c r="K37" i="4"/>
  <c r="J37" i="4"/>
  <c r="I37" i="4"/>
  <c r="H37" i="4"/>
  <c r="G37" i="4"/>
  <c r="F37" i="4"/>
  <c r="E37" i="4"/>
  <c r="P36" i="4"/>
  <c r="O36" i="4"/>
  <c r="N36" i="4"/>
  <c r="M36" i="4"/>
  <c r="L36" i="4"/>
  <c r="K36" i="4"/>
  <c r="J36" i="4"/>
  <c r="I36" i="4"/>
  <c r="H36" i="4"/>
  <c r="G36" i="4"/>
  <c r="F36" i="4"/>
  <c r="E36" i="4"/>
  <c r="P35" i="4"/>
  <c r="O35" i="4"/>
  <c r="N35" i="4"/>
  <c r="M35" i="4"/>
  <c r="L35" i="4"/>
  <c r="K35" i="4"/>
  <c r="J35" i="4"/>
  <c r="I35" i="4"/>
  <c r="H35" i="4"/>
  <c r="G35" i="4"/>
  <c r="F35" i="4"/>
  <c r="E35" i="4"/>
  <c r="P34" i="4"/>
  <c r="O34" i="4"/>
  <c r="N34" i="4"/>
  <c r="M34" i="4"/>
  <c r="L34" i="4"/>
  <c r="K34" i="4"/>
  <c r="J34" i="4"/>
  <c r="I34" i="4"/>
  <c r="H34" i="4"/>
  <c r="G34" i="4"/>
  <c r="F34" i="4"/>
  <c r="E34" i="4"/>
  <c r="P33" i="4"/>
  <c r="O33" i="4"/>
  <c r="N33" i="4"/>
  <c r="M33" i="4"/>
  <c r="L33" i="4"/>
  <c r="K33" i="4"/>
  <c r="J33" i="4"/>
  <c r="I33" i="4"/>
  <c r="H33" i="4"/>
  <c r="G33" i="4"/>
  <c r="F33" i="4"/>
  <c r="E33" i="4"/>
  <c r="P32" i="4"/>
  <c r="O32" i="4"/>
  <c r="N32" i="4"/>
  <c r="M32" i="4"/>
  <c r="L32" i="4"/>
  <c r="K32" i="4"/>
  <c r="J32" i="4"/>
  <c r="I32" i="4"/>
  <c r="H32" i="4"/>
  <c r="G32" i="4"/>
  <c r="F32" i="4"/>
  <c r="E32" i="4"/>
  <c r="P31" i="4"/>
  <c r="O31" i="4"/>
  <c r="N31" i="4"/>
  <c r="M31" i="4"/>
  <c r="L31" i="4"/>
  <c r="K31" i="4"/>
  <c r="J31" i="4"/>
  <c r="I31" i="4"/>
  <c r="H31" i="4"/>
  <c r="G31" i="4"/>
  <c r="F31" i="4"/>
  <c r="E31" i="4"/>
  <c r="P30" i="4"/>
  <c r="O30" i="4"/>
  <c r="N30" i="4"/>
  <c r="M30" i="4"/>
  <c r="L30" i="4"/>
  <c r="K30" i="4"/>
  <c r="J30" i="4"/>
  <c r="I30" i="4"/>
  <c r="H30" i="4"/>
  <c r="G30" i="4"/>
  <c r="F30" i="4"/>
  <c r="E30" i="4"/>
  <c r="P45" i="15"/>
  <c r="O45" i="15"/>
  <c r="N45" i="15"/>
  <c r="M45" i="15"/>
  <c r="L45" i="15"/>
  <c r="K45" i="15"/>
  <c r="J45" i="15"/>
  <c r="I45" i="15"/>
  <c r="H45" i="15"/>
  <c r="G45" i="15"/>
  <c r="F45" i="15"/>
  <c r="E45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P39" i="15"/>
  <c r="O39" i="15"/>
  <c r="N39" i="15"/>
  <c r="M39" i="15"/>
  <c r="L39" i="15"/>
  <c r="K39" i="15"/>
  <c r="J39" i="15"/>
  <c r="I39" i="15"/>
  <c r="H39" i="15"/>
  <c r="G39" i="15"/>
  <c r="F39" i="15"/>
  <c r="U46" i="15" s="1"/>
  <c r="E39" i="15"/>
  <c r="T46" i="15" s="1"/>
  <c r="U38" i="15"/>
  <c r="T38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O28" i="3"/>
  <c r="O29" i="3"/>
  <c r="O30" i="3"/>
  <c r="O31" i="3"/>
  <c r="O32" i="3"/>
  <c r="O33" i="3"/>
  <c r="O34" i="3"/>
  <c r="O35" i="3"/>
  <c r="O43" i="3"/>
  <c r="O42" i="3"/>
  <c r="O41" i="3"/>
  <c r="O40" i="3"/>
  <c r="O39" i="3"/>
  <c r="O38" i="3"/>
  <c r="O37" i="3"/>
  <c r="O43" i="1"/>
  <c r="O42" i="1"/>
  <c r="O41" i="1"/>
  <c r="O40" i="1"/>
  <c r="O39" i="1"/>
  <c r="O38" i="1"/>
  <c r="O37" i="1"/>
  <c r="O35" i="1"/>
  <c r="O34" i="1"/>
  <c r="O33" i="1"/>
  <c r="O32" i="1"/>
  <c r="O31" i="1"/>
  <c r="O30" i="1"/>
  <c r="O29" i="1"/>
  <c r="O28" i="1"/>
  <c r="O29" i="2"/>
  <c r="O30" i="2"/>
  <c r="O31" i="2"/>
  <c r="O32" i="2"/>
  <c r="O33" i="2"/>
  <c r="O34" i="2"/>
  <c r="O35" i="2"/>
  <c r="O37" i="2"/>
  <c r="O38" i="2"/>
  <c r="O39" i="2"/>
  <c r="O40" i="2"/>
  <c r="O41" i="2"/>
  <c r="O42" i="2"/>
  <c r="O43" i="2"/>
  <c r="O28" i="2"/>
  <c r="L137" i="4" l="1"/>
  <c r="F137" i="13"/>
  <c r="Q44" i="13"/>
  <c r="Q40" i="13"/>
  <c r="Q32" i="13"/>
  <c r="Q36" i="13"/>
  <c r="Q41" i="13"/>
  <c r="R32" i="13"/>
  <c r="R36" i="13"/>
  <c r="R41" i="13"/>
  <c r="H38" i="4"/>
  <c r="K38" i="4"/>
  <c r="K46" i="4"/>
  <c r="I38" i="13"/>
  <c r="E38" i="13"/>
  <c r="E38" i="4"/>
  <c r="E46" i="13"/>
  <c r="Q43" i="13"/>
  <c r="H46" i="4"/>
  <c r="E38" i="15"/>
  <c r="E46" i="4"/>
  <c r="Q33" i="13"/>
  <c r="Q37" i="13"/>
  <c r="Q42" i="13"/>
  <c r="Q45" i="13"/>
  <c r="R45" i="13"/>
  <c r="I38" i="4"/>
  <c r="R39" i="13"/>
  <c r="I46" i="15"/>
  <c r="L38" i="4"/>
  <c r="F46" i="4"/>
  <c r="I46" i="4"/>
  <c r="L38" i="15"/>
  <c r="F38" i="13"/>
  <c r="K46" i="15"/>
  <c r="R33" i="13"/>
  <c r="R37" i="13"/>
  <c r="R42" i="13"/>
  <c r="J38" i="13"/>
  <c r="F38" i="15"/>
  <c r="L46" i="15"/>
  <c r="R43" i="13"/>
  <c r="I38" i="15"/>
  <c r="K38" i="15"/>
  <c r="H46" i="15"/>
  <c r="H38" i="15"/>
  <c r="F38" i="4"/>
  <c r="R40" i="13"/>
  <c r="R44" i="13"/>
  <c r="L46" i="4"/>
  <c r="R30" i="13"/>
  <c r="R34" i="13"/>
  <c r="F46" i="13"/>
  <c r="Q31" i="13"/>
  <c r="Q35" i="13"/>
  <c r="Q39" i="13"/>
  <c r="R31" i="13"/>
  <c r="R35" i="13"/>
  <c r="Q30" i="13"/>
  <c r="Q34" i="13"/>
  <c r="F46" i="15"/>
  <c r="E46" i="15"/>
  <c r="Q46" i="13" l="1"/>
  <c r="Q38" i="13"/>
  <c r="R46" i="13"/>
  <c r="R38" i="13"/>
  <c r="H26" i="1" l="1"/>
  <c r="H26" i="2" s="1"/>
  <c r="H24" i="1"/>
  <c r="H26" i="15" s="1"/>
  <c r="J26" i="3"/>
  <c r="G28" i="13" s="1"/>
  <c r="J24" i="3"/>
  <c r="G26" i="13" s="1"/>
  <c r="J22" i="3"/>
  <c r="G24" i="13" s="1"/>
  <c r="J20" i="3"/>
  <c r="G22" i="13" s="1"/>
  <c r="H25" i="3"/>
  <c r="J27" i="4" s="1"/>
  <c r="H23" i="3"/>
  <c r="J25" i="4" s="1"/>
  <c r="H21" i="3"/>
  <c r="J23" i="4" s="1"/>
  <c r="H20" i="3"/>
  <c r="J22" i="15" s="1"/>
  <c r="F22" i="2"/>
  <c r="F24" i="4" s="1"/>
  <c r="F24" i="1"/>
  <c r="E26" i="15" s="1"/>
  <c r="F21" i="1"/>
  <c r="F21" i="2" s="1"/>
  <c r="F23" i="15" s="1"/>
  <c r="F20" i="1"/>
  <c r="F20" i="2" s="1"/>
  <c r="F22" i="1"/>
  <c r="E24" i="15" s="1"/>
  <c r="K28" i="13"/>
  <c r="J28" i="13"/>
  <c r="I28" i="13"/>
  <c r="F28" i="13"/>
  <c r="E28" i="13"/>
  <c r="K27" i="13"/>
  <c r="J27" i="13"/>
  <c r="I27" i="13"/>
  <c r="G27" i="13"/>
  <c r="F27" i="13"/>
  <c r="E27" i="13"/>
  <c r="K26" i="13"/>
  <c r="J26" i="13"/>
  <c r="I26" i="13"/>
  <c r="F26" i="13"/>
  <c r="E26" i="13"/>
  <c r="K25" i="13"/>
  <c r="J25" i="13"/>
  <c r="I25" i="13"/>
  <c r="G25" i="13"/>
  <c r="F25" i="13"/>
  <c r="E25" i="13"/>
  <c r="K24" i="13"/>
  <c r="J24" i="13"/>
  <c r="I24" i="13"/>
  <c r="F24" i="13"/>
  <c r="E24" i="13"/>
  <c r="K23" i="13"/>
  <c r="J23" i="13"/>
  <c r="I23" i="13"/>
  <c r="G23" i="13"/>
  <c r="F23" i="13"/>
  <c r="E23" i="13"/>
  <c r="K22" i="13"/>
  <c r="J22" i="13"/>
  <c r="I22" i="13"/>
  <c r="F22" i="13"/>
  <c r="E22" i="13"/>
  <c r="P28" i="4"/>
  <c r="O28" i="4"/>
  <c r="N28" i="4"/>
  <c r="L28" i="4"/>
  <c r="K28" i="4"/>
  <c r="J28" i="4"/>
  <c r="G28" i="4"/>
  <c r="P27" i="4"/>
  <c r="O27" i="4"/>
  <c r="N27" i="4"/>
  <c r="M27" i="4"/>
  <c r="L27" i="4"/>
  <c r="K27" i="4"/>
  <c r="I27" i="4"/>
  <c r="H27" i="4"/>
  <c r="G27" i="4"/>
  <c r="P26" i="4"/>
  <c r="O26" i="4"/>
  <c r="N26" i="4"/>
  <c r="L26" i="4"/>
  <c r="K26" i="4"/>
  <c r="J26" i="4"/>
  <c r="G26" i="4"/>
  <c r="P25" i="4"/>
  <c r="O25" i="4"/>
  <c r="N25" i="4"/>
  <c r="M25" i="4"/>
  <c r="L25" i="4"/>
  <c r="K25" i="4"/>
  <c r="I25" i="4"/>
  <c r="H25" i="4"/>
  <c r="G25" i="4"/>
  <c r="P24" i="4"/>
  <c r="O24" i="4"/>
  <c r="N24" i="4"/>
  <c r="L24" i="4"/>
  <c r="K24" i="4"/>
  <c r="J24" i="4"/>
  <c r="P23" i="4"/>
  <c r="O23" i="4"/>
  <c r="N23" i="4"/>
  <c r="M23" i="4"/>
  <c r="L23" i="4"/>
  <c r="K23" i="4"/>
  <c r="I23" i="4"/>
  <c r="H23" i="4"/>
  <c r="G23" i="4"/>
  <c r="E23" i="4"/>
  <c r="P22" i="4"/>
  <c r="O22" i="4"/>
  <c r="N22" i="4"/>
  <c r="L22" i="4"/>
  <c r="K22" i="4"/>
  <c r="I22" i="4"/>
  <c r="H22" i="4"/>
  <c r="G22" i="4"/>
  <c r="P28" i="15"/>
  <c r="O28" i="15"/>
  <c r="N28" i="15"/>
  <c r="L28" i="15"/>
  <c r="K28" i="15"/>
  <c r="J28" i="15"/>
  <c r="G28" i="15"/>
  <c r="P27" i="15"/>
  <c r="O27" i="15"/>
  <c r="N27" i="15"/>
  <c r="M27" i="15"/>
  <c r="L27" i="15"/>
  <c r="K27" i="15"/>
  <c r="I27" i="15"/>
  <c r="H27" i="15"/>
  <c r="G27" i="15"/>
  <c r="P26" i="15"/>
  <c r="O26" i="15"/>
  <c r="N26" i="15"/>
  <c r="L26" i="15"/>
  <c r="K26" i="15"/>
  <c r="J26" i="15"/>
  <c r="G26" i="15"/>
  <c r="P25" i="15"/>
  <c r="O25" i="15"/>
  <c r="N25" i="15"/>
  <c r="M25" i="15"/>
  <c r="L25" i="15"/>
  <c r="K25" i="15"/>
  <c r="I25" i="15"/>
  <c r="H25" i="15"/>
  <c r="G25" i="15"/>
  <c r="P24" i="15"/>
  <c r="O24" i="15"/>
  <c r="N24" i="15"/>
  <c r="L24" i="15"/>
  <c r="K24" i="15"/>
  <c r="J24" i="15"/>
  <c r="P23" i="15"/>
  <c r="O23" i="15"/>
  <c r="N23" i="15"/>
  <c r="M23" i="15"/>
  <c r="L23" i="15"/>
  <c r="K23" i="15"/>
  <c r="I23" i="15"/>
  <c r="H23" i="15"/>
  <c r="G23" i="15"/>
  <c r="E23" i="15"/>
  <c r="P22" i="15"/>
  <c r="O22" i="15"/>
  <c r="N22" i="15"/>
  <c r="L22" i="15"/>
  <c r="K22" i="15"/>
  <c r="I22" i="15"/>
  <c r="H22" i="15"/>
  <c r="G22" i="15"/>
  <c r="H12" i="3"/>
  <c r="J14" i="15" s="1"/>
  <c r="H13" i="3"/>
  <c r="J15" i="4" s="1"/>
  <c r="J13" i="3"/>
  <c r="M15" i="15" s="1"/>
  <c r="J15" i="3"/>
  <c r="G17" i="13" s="1"/>
  <c r="H16" i="3"/>
  <c r="J18" i="4" s="1"/>
  <c r="J17" i="3"/>
  <c r="G19" i="13" s="1"/>
  <c r="H18" i="3"/>
  <c r="J20" i="4" s="1"/>
  <c r="H15" i="1"/>
  <c r="H17" i="15" s="1"/>
  <c r="F17" i="1"/>
  <c r="E19" i="4" s="1"/>
  <c r="F15" i="1"/>
  <c r="E17" i="15" s="1"/>
  <c r="F14" i="1"/>
  <c r="F12" i="1"/>
  <c r="F13" i="1" s="1"/>
  <c r="F8" i="1"/>
  <c r="K20" i="13"/>
  <c r="J20" i="13"/>
  <c r="I20" i="13"/>
  <c r="G20" i="13"/>
  <c r="F20" i="13"/>
  <c r="E20" i="13"/>
  <c r="K19" i="13"/>
  <c r="J19" i="13"/>
  <c r="I19" i="13"/>
  <c r="F19" i="13"/>
  <c r="E19" i="13"/>
  <c r="K18" i="13"/>
  <c r="J18" i="13"/>
  <c r="I18" i="13"/>
  <c r="G18" i="13"/>
  <c r="F18" i="13"/>
  <c r="E18" i="13"/>
  <c r="K17" i="13"/>
  <c r="J17" i="13"/>
  <c r="I17" i="13"/>
  <c r="F17" i="13"/>
  <c r="E17" i="13"/>
  <c r="K16" i="13"/>
  <c r="J16" i="13"/>
  <c r="I16" i="13"/>
  <c r="G16" i="13"/>
  <c r="F16" i="13"/>
  <c r="E16" i="13"/>
  <c r="K15" i="13"/>
  <c r="J15" i="13"/>
  <c r="I15" i="13"/>
  <c r="F15" i="13"/>
  <c r="E15" i="13"/>
  <c r="K14" i="13"/>
  <c r="J14" i="13"/>
  <c r="I14" i="13"/>
  <c r="G14" i="13"/>
  <c r="F14" i="13"/>
  <c r="E14" i="13"/>
  <c r="P20" i="15"/>
  <c r="O20" i="15"/>
  <c r="N20" i="15"/>
  <c r="M20" i="15"/>
  <c r="L20" i="15"/>
  <c r="K20" i="15"/>
  <c r="I20" i="15"/>
  <c r="H20" i="15"/>
  <c r="G20" i="15"/>
  <c r="P19" i="15"/>
  <c r="O19" i="15"/>
  <c r="N19" i="15"/>
  <c r="L19" i="15"/>
  <c r="K19" i="15"/>
  <c r="J19" i="15"/>
  <c r="G19" i="15"/>
  <c r="P18" i="15"/>
  <c r="O18" i="15"/>
  <c r="N18" i="15"/>
  <c r="M18" i="15"/>
  <c r="L18" i="15"/>
  <c r="K18" i="15"/>
  <c r="I18" i="15"/>
  <c r="H18" i="15"/>
  <c r="G18" i="15"/>
  <c r="P17" i="15"/>
  <c r="O17" i="15"/>
  <c r="N17" i="15"/>
  <c r="L17" i="15"/>
  <c r="K17" i="15"/>
  <c r="J17" i="15"/>
  <c r="G17" i="15"/>
  <c r="P16" i="15"/>
  <c r="O16" i="15"/>
  <c r="N16" i="15"/>
  <c r="M16" i="15"/>
  <c r="L16" i="15"/>
  <c r="K16" i="15"/>
  <c r="J16" i="15"/>
  <c r="G16" i="15"/>
  <c r="P15" i="15"/>
  <c r="O15" i="15"/>
  <c r="N15" i="15"/>
  <c r="L15" i="15"/>
  <c r="K15" i="15"/>
  <c r="I15" i="15"/>
  <c r="H15" i="15"/>
  <c r="G15" i="15"/>
  <c r="P14" i="15"/>
  <c r="O14" i="15"/>
  <c r="N14" i="15"/>
  <c r="M14" i="15"/>
  <c r="L14" i="15"/>
  <c r="K14" i="15"/>
  <c r="I14" i="15"/>
  <c r="H14" i="15"/>
  <c r="G14" i="15"/>
  <c r="P20" i="4"/>
  <c r="O20" i="4"/>
  <c r="N20" i="4"/>
  <c r="M20" i="4"/>
  <c r="L20" i="4"/>
  <c r="K20" i="4"/>
  <c r="I20" i="4"/>
  <c r="H20" i="4"/>
  <c r="G20" i="4"/>
  <c r="P19" i="4"/>
  <c r="O19" i="4"/>
  <c r="N19" i="4"/>
  <c r="L19" i="4"/>
  <c r="K19" i="4"/>
  <c r="J19" i="4"/>
  <c r="G19" i="4"/>
  <c r="P18" i="4"/>
  <c r="O18" i="4"/>
  <c r="N18" i="4"/>
  <c r="M18" i="4"/>
  <c r="L18" i="4"/>
  <c r="K18" i="4"/>
  <c r="I18" i="4"/>
  <c r="H18" i="4"/>
  <c r="G18" i="4"/>
  <c r="P17" i="4"/>
  <c r="O17" i="4"/>
  <c r="N17" i="4"/>
  <c r="L17" i="4"/>
  <c r="K17" i="4"/>
  <c r="J17" i="4"/>
  <c r="G17" i="4"/>
  <c r="P16" i="4"/>
  <c r="O16" i="4"/>
  <c r="N16" i="4"/>
  <c r="M16" i="4"/>
  <c r="L16" i="4"/>
  <c r="K16" i="4"/>
  <c r="J16" i="4"/>
  <c r="G16" i="4"/>
  <c r="P15" i="4"/>
  <c r="O15" i="4"/>
  <c r="N15" i="4"/>
  <c r="L15" i="4"/>
  <c r="K15" i="4"/>
  <c r="I15" i="4"/>
  <c r="H15" i="4"/>
  <c r="G15" i="4"/>
  <c r="P14" i="4"/>
  <c r="O14" i="4"/>
  <c r="N14" i="4"/>
  <c r="M14" i="4"/>
  <c r="L14" i="4"/>
  <c r="K14" i="4"/>
  <c r="I14" i="4"/>
  <c r="H14" i="4"/>
  <c r="G14" i="4"/>
  <c r="Q28" i="13" l="1"/>
  <c r="Q24" i="13"/>
  <c r="J131" i="3"/>
  <c r="E24" i="4"/>
  <c r="Q16" i="13"/>
  <c r="H28" i="15"/>
  <c r="Q27" i="13"/>
  <c r="M24" i="4"/>
  <c r="Q26" i="13"/>
  <c r="H22" i="1"/>
  <c r="H24" i="15" s="1"/>
  <c r="T24" i="15" s="1"/>
  <c r="H14" i="1"/>
  <c r="H16" i="15" s="1"/>
  <c r="F23" i="1"/>
  <c r="F23" i="2" s="1"/>
  <c r="F25" i="4" s="1"/>
  <c r="U25" i="4" s="1"/>
  <c r="F22" i="4"/>
  <c r="U22" i="4" s="1"/>
  <c r="F22" i="15"/>
  <c r="U22" i="15" s="1"/>
  <c r="Q23" i="13"/>
  <c r="E22" i="4"/>
  <c r="T22" i="4" s="1"/>
  <c r="F25" i="1"/>
  <c r="E27" i="4" s="1"/>
  <c r="T27" i="4" s="1"/>
  <c r="Q18" i="13"/>
  <c r="F24" i="2"/>
  <c r="F26" i="15" s="1"/>
  <c r="F26" i="1"/>
  <c r="E19" i="15"/>
  <c r="Q14" i="13"/>
  <c r="Q25" i="13"/>
  <c r="J23" i="15"/>
  <c r="R14" i="13"/>
  <c r="M24" i="15"/>
  <c r="M26" i="15"/>
  <c r="M26" i="4"/>
  <c r="R24" i="13"/>
  <c r="R23" i="13"/>
  <c r="T23" i="15"/>
  <c r="F24" i="15"/>
  <c r="M28" i="15"/>
  <c r="L29" i="4"/>
  <c r="R22" i="13"/>
  <c r="F22" i="3"/>
  <c r="R19" i="13"/>
  <c r="R16" i="13"/>
  <c r="R26" i="13"/>
  <c r="R25" i="13"/>
  <c r="R15" i="13"/>
  <c r="R28" i="13"/>
  <c r="R20" i="13"/>
  <c r="R27" i="13"/>
  <c r="I28" i="15"/>
  <c r="I28" i="4"/>
  <c r="H28" i="4"/>
  <c r="H24" i="2"/>
  <c r="H26" i="4"/>
  <c r="O24" i="1"/>
  <c r="F23" i="4"/>
  <c r="U23" i="4" s="1"/>
  <c r="O21" i="2"/>
  <c r="M28" i="4"/>
  <c r="M22" i="4"/>
  <c r="M22" i="15"/>
  <c r="J27" i="15"/>
  <c r="J25" i="15"/>
  <c r="J22" i="4"/>
  <c r="E29" i="13"/>
  <c r="K29" i="4"/>
  <c r="E26" i="4"/>
  <c r="E22" i="15"/>
  <c r="T22" i="15" s="1"/>
  <c r="O20" i="1"/>
  <c r="T26" i="15"/>
  <c r="U23" i="15"/>
  <c r="K29" i="15"/>
  <c r="F29" i="13"/>
  <c r="R18" i="13"/>
  <c r="Q22" i="13"/>
  <c r="R17" i="13"/>
  <c r="T23" i="4"/>
  <c r="L29" i="15"/>
  <c r="O13" i="1"/>
  <c r="F13" i="2"/>
  <c r="E14" i="4"/>
  <c r="T14" i="4" s="1"/>
  <c r="E14" i="15"/>
  <c r="T14" i="15" s="1"/>
  <c r="Q17" i="13"/>
  <c r="Q20" i="13"/>
  <c r="F17" i="2"/>
  <c r="F16" i="1"/>
  <c r="O21" i="1"/>
  <c r="O12" i="1"/>
  <c r="F12" i="2"/>
  <c r="O12" i="2" s="1"/>
  <c r="E16" i="4"/>
  <c r="F14" i="2"/>
  <c r="F15" i="2"/>
  <c r="F17" i="4" s="1"/>
  <c r="H17" i="1"/>
  <c r="H19" i="15" s="1"/>
  <c r="E16" i="15"/>
  <c r="Q19" i="13"/>
  <c r="F18" i="1"/>
  <c r="E20" i="15" s="1"/>
  <c r="T20" i="15" s="1"/>
  <c r="Q15" i="13"/>
  <c r="F21" i="13"/>
  <c r="K21" i="4"/>
  <c r="H17" i="4"/>
  <c r="H15" i="2"/>
  <c r="I17" i="15" s="1"/>
  <c r="T17" i="15"/>
  <c r="M19" i="4"/>
  <c r="M19" i="15"/>
  <c r="M17" i="15"/>
  <c r="M17" i="4"/>
  <c r="J20" i="15"/>
  <c r="J18" i="15"/>
  <c r="O15" i="1"/>
  <c r="E17" i="4"/>
  <c r="H14" i="2"/>
  <c r="I16" i="4" s="1"/>
  <c r="E21" i="13"/>
  <c r="M15" i="4"/>
  <c r="G15" i="13"/>
  <c r="J15" i="15"/>
  <c r="J14" i="4"/>
  <c r="L21" i="4"/>
  <c r="L21" i="15"/>
  <c r="E15" i="4"/>
  <c r="T15" i="4" s="1"/>
  <c r="E15" i="15"/>
  <c r="T15" i="15" s="1"/>
  <c r="K21" i="15"/>
  <c r="O14" i="1" l="1"/>
  <c r="H16" i="4"/>
  <c r="T16" i="4" s="1"/>
  <c r="E25" i="15"/>
  <c r="T25" i="15" s="1"/>
  <c r="H21" i="15"/>
  <c r="H24" i="4"/>
  <c r="T24" i="4" s="1"/>
  <c r="H29" i="15"/>
  <c r="O22" i="1"/>
  <c r="H22" i="2"/>
  <c r="I24" i="4" s="1"/>
  <c r="U24" i="4" s="1"/>
  <c r="F26" i="4"/>
  <c r="T16" i="15"/>
  <c r="F18" i="2"/>
  <c r="F20" i="4" s="1"/>
  <c r="U20" i="4" s="1"/>
  <c r="E20" i="4"/>
  <c r="T20" i="4" s="1"/>
  <c r="Q29" i="13"/>
  <c r="O23" i="1"/>
  <c r="E25" i="4"/>
  <c r="T25" i="4" s="1"/>
  <c r="O12" i="3"/>
  <c r="E27" i="15"/>
  <c r="O25" i="1"/>
  <c r="F25" i="2"/>
  <c r="E28" i="4"/>
  <c r="T28" i="4" s="1"/>
  <c r="O26" i="1"/>
  <c r="F26" i="2"/>
  <c r="E28" i="15"/>
  <c r="T28" i="15" s="1"/>
  <c r="H19" i="4"/>
  <c r="T19" i="4" s="1"/>
  <c r="O23" i="2"/>
  <c r="O21" i="3"/>
  <c r="F14" i="15"/>
  <c r="U14" i="15" s="1"/>
  <c r="R21" i="13"/>
  <c r="R29" i="13"/>
  <c r="T19" i="15"/>
  <c r="G24" i="15"/>
  <c r="G24" i="4"/>
  <c r="T26" i="4"/>
  <c r="I26" i="15"/>
  <c r="O24" i="2"/>
  <c r="O24" i="3" s="1"/>
  <c r="I26" i="4"/>
  <c r="F25" i="15"/>
  <c r="M29" i="4"/>
  <c r="M29" i="15"/>
  <c r="Q21" i="13"/>
  <c r="G29" i="13"/>
  <c r="I16" i="15"/>
  <c r="H17" i="2"/>
  <c r="O17" i="2" s="1"/>
  <c r="F19" i="4"/>
  <c r="F19" i="15"/>
  <c r="F16" i="15"/>
  <c r="F16" i="4"/>
  <c r="U16" i="4" s="1"/>
  <c r="O14" i="2"/>
  <c r="O14" i="3" s="1"/>
  <c r="F17" i="15"/>
  <c r="U17" i="15" s="1"/>
  <c r="O18" i="1"/>
  <c r="E18" i="15"/>
  <c r="T18" i="15" s="1"/>
  <c r="E18" i="4"/>
  <c r="T18" i="4" s="1"/>
  <c r="F16" i="2"/>
  <c r="O16" i="1"/>
  <c r="F15" i="15"/>
  <c r="U15" i="15" s="1"/>
  <c r="F15" i="4"/>
  <c r="U15" i="4" s="1"/>
  <c r="O13" i="2"/>
  <c r="O13" i="3" s="1"/>
  <c r="O17" i="1"/>
  <c r="F14" i="4"/>
  <c r="U14" i="4" s="1"/>
  <c r="T17" i="4"/>
  <c r="I17" i="4"/>
  <c r="O15" i="2"/>
  <c r="O15" i="3" s="1"/>
  <c r="M21" i="15"/>
  <c r="O23" i="3" l="1"/>
  <c r="I24" i="15"/>
  <c r="U24" i="15" s="1"/>
  <c r="H29" i="4"/>
  <c r="O22" i="2"/>
  <c r="O22" i="3" s="1"/>
  <c r="F20" i="15"/>
  <c r="U20" i="15" s="1"/>
  <c r="O18" i="2"/>
  <c r="O18" i="3" s="1"/>
  <c r="H21" i="4"/>
  <c r="E29" i="4"/>
  <c r="T29" i="4"/>
  <c r="O17" i="3"/>
  <c r="F27" i="15"/>
  <c r="U27" i="15" s="1"/>
  <c r="F27" i="4"/>
  <c r="O25" i="2"/>
  <c r="O25" i="3" s="1"/>
  <c r="F28" i="15"/>
  <c r="U28" i="15" s="1"/>
  <c r="F28" i="4"/>
  <c r="U28" i="4" s="1"/>
  <c r="O26" i="2"/>
  <c r="O26" i="3" s="1"/>
  <c r="T27" i="15"/>
  <c r="T29" i="15" s="1"/>
  <c r="E29" i="15"/>
  <c r="T21" i="15"/>
  <c r="I19" i="4"/>
  <c r="U19" i="4" s="1"/>
  <c r="U16" i="15"/>
  <c r="U26" i="15"/>
  <c r="I29" i="4"/>
  <c r="U26" i="4"/>
  <c r="U25" i="15"/>
  <c r="E21" i="4"/>
  <c r="E21" i="15"/>
  <c r="T21" i="4"/>
  <c r="I19" i="15"/>
  <c r="O16" i="2"/>
  <c r="O16" i="3" s="1"/>
  <c r="F18" i="4"/>
  <c r="U18" i="4" s="1"/>
  <c r="F18" i="15"/>
  <c r="U18" i="15" s="1"/>
  <c r="U17" i="4"/>
  <c r="F9" i="1"/>
  <c r="H10" i="3"/>
  <c r="J10" i="3"/>
  <c r="H9" i="3"/>
  <c r="J8" i="3"/>
  <c r="F8" i="2"/>
  <c r="F9" i="2" l="1"/>
  <c r="I29" i="15"/>
  <c r="J29" i="15" s="1"/>
  <c r="U27" i="4"/>
  <c r="U29" i="4" s="1"/>
  <c r="F29" i="4"/>
  <c r="F29" i="15"/>
  <c r="I21" i="4"/>
  <c r="U21" i="4"/>
  <c r="U29" i="15"/>
  <c r="J29" i="4"/>
  <c r="F21" i="4"/>
  <c r="F21" i="15"/>
  <c r="G21" i="15" s="1"/>
  <c r="U19" i="15"/>
  <c r="U21" i="15" s="1"/>
  <c r="I21" i="15"/>
  <c r="J21" i="15" s="1"/>
  <c r="F10" i="1"/>
  <c r="F10" i="2" s="1"/>
  <c r="H8" i="1"/>
  <c r="N131" i="1"/>
  <c r="H136" i="4" l="1"/>
  <c r="Q136" i="4"/>
  <c r="M136" i="13"/>
  <c r="G29" i="15"/>
  <c r="G29" i="4"/>
  <c r="H8" i="2"/>
  <c r="E136" i="4" l="1"/>
  <c r="P131" i="1"/>
  <c r="H131" i="3"/>
  <c r="H133" i="2"/>
  <c r="I135" i="4" l="1"/>
  <c r="H134" i="2"/>
  <c r="O12" i="15"/>
  <c r="N12" i="15"/>
  <c r="L12" i="15"/>
  <c r="K12" i="15"/>
  <c r="I12" i="15"/>
  <c r="H12" i="15"/>
  <c r="G12" i="15"/>
  <c r="P11" i="15"/>
  <c r="O11" i="15"/>
  <c r="N11" i="15"/>
  <c r="L11" i="15"/>
  <c r="K11" i="15"/>
  <c r="J11" i="15"/>
  <c r="G11" i="15"/>
  <c r="O10" i="15"/>
  <c r="N10" i="15"/>
  <c r="M10" i="15"/>
  <c r="L10" i="15"/>
  <c r="K10" i="15"/>
  <c r="I10" i="15"/>
  <c r="H10" i="15"/>
  <c r="G10" i="15"/>
  <c r="P9" i="15"/>
  <c r="O9" i="15"/>
  <c r="N9" i="15"/>
  <c r="L9" i="15"/>
  <c r="K9" i="15"/>
  <c r="I9" i="15"/>
  <c r="H9" i="15"/>
  <c r="G9" i="15"/>
  <c r="O8" i="15"/>
  <c r="N8" i="15"/>
  <c r="M8" i="15"/>
  <c r="L8" i="15"/>
  <c r="K8" i="15"/>
  <c r="I8" i="15"/>
  <c r="H8" i="15"/>
  <c r="P7" i="15"/>
  <c r="O7" i="15"/>
  <c r="N7" i="15"/>
  <c r="L7" i="15"/>
  <c r="K7" i="15"/>
  <c r="I7" i="15"/>
  <c r="H7" i="15"/>
  <c r="G7" i="15"/>
  <c r="O6" i="15"/>
  <c r="N6" i="15"/>
  <c r="M6" i="15"/>
  <c r="L6" i="15"/>
  <c r="K6" i="15"/>
  <c r="I6" i="15"/>
  <c r="H6" i="15"/>
  <c r="G6" i="15"/>
  <c r="P5" i="15"/>
  <c r="O5" i="15"/>
  <c r="N5" i="15"/>
  <c r="L5" i="15"/>
  <c r="K5" i="15"/>
  <c r="J5" i="15"/>
  <c r="G5" i="15"/>
  <c r="O4" i="15"/>
  <c r="N4" i="15"/>
  <c r="M4" i="15"/>
  <c r="L4" i="15"/>
  <c r="K4" i="15"/>
  <c r="J4" i="15"/>
  <c r="G4" i="15"/>
  <c r="G4" i="4"/>
  <c r="J4" i="4"/>
  <c r="K4" i="4"/>
  <c r="L4" i="4"/>
  <c r="M4" i="4"/>
  <c r="N4" i="4"/>
  <c r="O4" i="4"/>
  <c r="G5" i="4"/>
  <c r="J5" i="4"/>
  <c r="K5" i="4"/>
  <c r="L5" i="4"/>
  <c r="N5" i="4"/>
  <c r="O5" i="4"/>
  <c r="P5" i="4"/>
  <c r="G6" i="4"/>
  <c r="H6" i="4"/>
  <c r="I6" i="4"/>
  <c r="K6" i="4"/>
  <c r="L6" i="4"/>
  <c r="M6" i="4"/>
  <c r="N6" i="4"/>
  <c r="O6" i="4"/>
  <c r="G7" i="4"/>
  <c r="H7" i="4"/>
  <c r="I7" i="4"/>
  <c r="K7" i="4"/>
  <c r="L7" i="4"/>
  <c r="N7" i="4"/>
  <c r="O7" i="4"/>
  <c r="P7" i="4"/>
  <c r="H8" i="4"/>
  <c r="I8" i="4"/>
  <c r="K8" i="4"/>
  <c r="L8" i="4"/>
  <c r="M8" i="4"/>
  <c r="N8" i="4"/>
  <c r="O8" i="4"/>
  <c r="G9" i="4"/>
  <c r="H9" i="4"/>
  <c r="I9" i="4"/>
  <c r="K9" i="4"/>
  <c r="L9" i="4"/>
  <c r="N9" i="4"/>
  <c r="O9" i="4"/>
  <c r="P9" i="4"/>
  <c r="G10" i="4"/>
  <c r="H10" i="4"/>
  <c r="I10" i="4"/>
  <c r="K10" i="4"/>
  <c r="L10" i="4"/>
  <c r="M10" i="4"/>
  <c r="N10" i="4"/>
  <c r="O10" i="4"/>
  <c r="G11" i="4"/>
  <c r="J11" i="4"/>
  <c r="K11" i="4"/>
  <c r="L11" i="4"/>
  <c r="N11" i="4"/>
  <c r="O11" i="4"/>
  <c r="P11" i="4"/>
  <c r="G12" i="4"/>
  <c r="H12" i="4"/>
  <c r="I12" i="4"/>
  <c r="K12" i="4"/>
  <c r="L12" i="4"/>
  <c r="N12" i="4"/>
  <c r="O12" i="4"/>
  <c r="H11" i="4"/>
  <c r="H5" i="4"/>
  <c r="H136" i="2" l="1"/>
  <c r="H137" i="2"/>
  <c r="E7" i="4"/>
  <c r="E7" i="15"/>
  <c r="H11" i="15"/>
  <c r="H4" i="15"/>
  <c r="E9" i="4"/>
  <c r="H5" i="15"/>
  <c r="E9" i="15"/>
  <c r="H4" i="4"/>
  <c r="H13" i="4" s="1"/>
  <c r="N13" i="15"/>
  <c r="K13" i="15"/>
  <c r="O13" i="15"/>
  <c r="L13" i="15"/>
  <c r="O13" i="4"/>
  <c r="L13" i="4"/>
  <c r="K13" i="4"/>
  <c r="N13" i="4"/>
  <c r="P10" i="15"/>
  <c r="M11" i="15"/>
  <c r="P12" i="15"/>
  <c r="M12" i="15"/>
  <c r="M9" i="15"/>
  <c r="C9" i="5"/>
  <c r="P8" i="15"/>
  <c r="M7" i="15"/>
  <c r="P6" i="15"/>
  <c r="M5" i="15"/>
  <c r="P4" i="15"/>
  <c r="F8" i="15"/>
  <c r="G6" i="13"/>
  <c r="G8" i="13"/>
  <c r="G10" i="13"/>
  <c r="G4" i="13"/>
  <c r="F5" i="13"/>
  <c r="F6" i="13"/>
  <c r="F7" i="13"/>
  <c r="F8" i="13"/>
  <c r="F9" i="13"/>
  <c r="F10" i="13"/>
  <c r="F11" i="13"/>
  <c r="F12" i="13"/>
  <c r="F4" i="13"/>
  <c r="K5" i="13"/>
  <c r="K7" i="13"/>
  <c r="K9" i="13"/>
  <c r="K11" i="13"/>
  <c r="E5" i="13"/>
  <c r="E6" i="13"/>
  <c r="E7" i="13"/>
  <c r="E8" i="13"/>
  <c r="E9" i="13"/>
  <c r="E10" i="13"/>
  <c r="E11" i="13"/>
  <c r="E12" i="13"/>
  <c r="E4" i="13"/>
  <c r="J5" i="13"/>
  <c r="J6" i="13"/>
  <c r="J7" i="13"/>
  <c r="J8" i="13"/>
  <c r="J9" i="13"/>
  <c r="J10" i="13"/>
  <c r="J11" i="13"/>
  <c r="J12" i="13"/>
  <c r="I5" i="13"/>
  <c r="I6" i="13"/>
  <c r="I7" i="13"/>
  <c r="I8" i="13"/>
  <c r="I9" i="13"/>
  <c r="I10" i="13"/>
  <c r="I11" i="13"/>
  <c r="I12" i="13"/>
  <c r="J4" i="13"/>
  <c r="I4" i="13"/>
  <c r="I137" i="4" l="1"/>
  <c r="L136" i="4"/>
  <c r="M134" i="4"/>
  <c r="O21" i="15"/>
  <c r="N21" i="15"/>
  <c r="M21" i="4"/>
  <c r="N21" i="4"/>
  <c r="O21" i="4"/>
  <c r="E11" i="15"/>
  <c r="T11" i="15" s="1"/>
  <c r="E11" i="4"/>
  <c r="E5" i="15"/>
  <c r="E5" i="4"/>
  <c r="E12" i="15"/>
  <c r="T12" i="15" s="1"/>
  <c r="E12" i="4"/>
  <c r="F5" i="4"/>
  <c r="H13" i="15"/>
  <c r="O8" i="1"/>
  <c r="E8" i="15"/>
  <c r="E8" i="4"/>
  <c r="M13" i="15"/>
  <c r="F7" i="4"/>
  <c r="F7" i="15"/>
  <c r="I4" i="15"/>
  <c r="F9" i="4"/>
  <c r="F9" i="15"/>
  <c r="F12" i="4"/>
  <c r="F12" i="15"/>
  <c r="U12" i="15" s="1"/>
  <c r="I11" i="4"/>
  <c r="I11" i="15"/>
  <c r="I5" i="4"/>
  <c r="I5" i="15"/>
  <c r="J9" i="4"/>
  <c r="J9" i="15"/>
  <c r="J12" i="4"/>
  <c r="J12" i="15"/>
  <c r="J10" i="4"/>
  <c r="J10" i="15"/>
  <c r="F11" i="4"/>
  <c r="F11" i="15"/>
  <c r="Q12" i="13"/>
  <c r="F8" i="4"/>
  <c r="M13" i="4"/>
  <c r="G9" i="13"/>
  <c r="M9" i="4"/>
  <c r="G5" i="13"/>
  <c r="M5" i="4"/>
  <c r="K6" i="13"/>
  <c r="P6" i="4"/>
  <c r="G12" i="13"/>
  <c r="M12" i="4"/>
  <c r="G7" i="13"/>
  <c r="M7" i="4"/>
  <c r="I4" i="4"/>
  <c r="K12" i="13"/>
  <c r="P12" i="4"/>
  <c r="K10" i="13"/>
  <c r="P10" i="4"/>
  <c r="K4" i="13"/>
  <c r="P4" i="4"/>
  <c r="K8" i="13"/>
  <c r="P8" i="4"/>
  <c r="G11" i="13"/>
  <c r="M11" i="4"/>
  <c r="Q4" i="13"/>
  <c r="Q11" i="13"/>
  <c r="R10" i="13"/>
  <c r="Q10" i="13"/>
  <c r="R12" i="13"/>
  <c r="R11" i="13"/>
  <c r="R4" i="13"/>
  <c r="O9" i="2"/>
  <c r="O10" i="2"/>
  <c r="X21" i="4" l="1"/>
  <c r="O29" i="4"/>
  <c r="W21" i="4"/>
  <c r="N29" i="4"/>
  <c r="W21" i="15"/>
  <c r="N29" i="15"/>
  <c r="X21" i="15"/>
  <c r="O29" i="15"/>
  <c r="T12" i="4"/>
  <c r="U12" i="4"/>
  <c r="T11" i="4"/>
  <c r="U11" i="15"/>
  <c r="U11" i="4"/>
  <c r="F5" i="15"/>
  <c r="E6" i="4"/>
  <c r="E6" i="15"/>
  <c r="E10" i="15"/>
  <c r="T10" i="15" s="1"/>
  <c r="T13" i="15" s="1"/>
  <c r="E10" i="4"/>
  <c r="T10" i="4" s="1"/>
  <c r="E4" i="4"/>
  <c r="E4" i="15"/>
  <c r="I13" i="4"/>
  <c r="I13" i="15"/>
  <c r="G8" i="4"/>
  <c r="G8" i="15"/>
  <c r="O9" i="1"/>
  <c r="O9" i="3" s="1"/>
  <c r="P134" i="4" l="1"/>
  <c r="J134" i="4"/>
  <c r="I136" i="4"/>
  <c r="N38" i="4"/>
  <c r="N46" i="4" s="1"/>
  <c r="W46" i="4" s="1"/>
  <c r="O38" i="4"/>
  <c r="X38" i="4" s="1"/>
  <c r="X29" i="15"/>
  <c r="O38" i="15"/>
  <c r="N38" i="15"/>
  <c r="X29" i="4"/>
  <c r="W29" i="4"/>
  <c r="W29" i="15"/>
  <c r="J13" i="4"/>
  <c r="J13" i="15"/>
  <c r="E13" i="15"/>
  <c r="F6" i="4"/>
  <c r="F6" i="15"/>
  <c r="O8" i="2"/>
  <c r="F10" i="4"/>
  <c r="U10" i="4" s="1"/>
  <c r="F10" i="15"/>
  <c r="U10" i="15" s="1"/>
  <c r="U13" i="15" s="1"/>
  <c r="E13" i="4"/>
  <c r="T13" i="4"/>
  <c r="F4" i="15"/>
  <c r="F4" i="4"/>
  <c r="O10" i="1"/>
  <c r="O10" i="3" s="1"/>
  <c r="D9" i="5"/>
  <c r="W135" i="4" l="1"/>
  <c r="T136" i="4"/>
  <c r="W38" i="4"/>
  <c r="O8" i="3"/>
  <c r="O46" i="4"/>
  <c r="X46" i="4" s="1"/>
  <c r="W38" i="15"/>
  <c r="N46" i="15"/>
  <c r="W46" i="15" s="1"/>
  <c r="X38" i="15"/>
  <c r="O46" i="15"/>
  <c r="X46" i="15" s="1"/>
  <c r="J21" i="4"/>
  <c r="W13" i="15"/>
  <c r="W13" i="4"/>
  <c r="F13" i="4"/>
  <c r="U13" i="4"/>
  <c r="F13" i="15"/>
  <c r="E100" i="6"/>
  <c r="D100" i="6"/>
  <c r="C100" i="6"/>
  <c r="O2" i="2"/>
  <c r="O4" i="2"/>
  <c r="O6" i="2"/>
  <c r="O2" i="1"/>
  <c r="O4" i="1"/>
  <c r="O6" i="1"/>
  <c r="O3" i="2"/>
  <c r="O3" i="1"/>
  <c r="X13" i="15" l="1"/>
  <c r="G13" i="15"/>
  <c r="G13" i="4"/>
  <c r="X13" i="4"/>
  <c r="J8" i="4"/>
  <c r="J8" i="15"/>
  <c r="J7" i="4"/>
  <c r="J7" i="15"/>
  <c r="J6" i="4"/>
  <c r="J6" i="15"/>
  <c r="I13" i="13"/>
  <c r="I21" i="13" l="1"/>
  <c r="G21" i="4"/>
  <c r="O7" i="1"/>
  <c r="O5" i="1"/>
  <c r="T21" i="13" l="1"/>
  <c r="I29" i="13"/>
  <c r="O5" i="2"/>
  <c r="O7" i="2"/>
  <c r="T29" i="13" l="1"/>
  <c r="R6" i="13"/>
  <c r="Q5" i="13"/>
  <c r="Q7" i="13"/>
  <c r="Q9" i="13"/>
  <c r="R7" i="13"/>
  <c r="R8" i="13"/>
  <c r="R5" i="13"/>
  <c r="R9" i="13"/>
  <c r="Q6" i="13"/>
  <c r="Q8" i="13"/>
  <c r="F13" i="13"/>
  <c r="E13" i="13"/>
  <c r="J13" i="13"/>
  <c r="T135" i="13" l="1"/>
  <c r="F136" i="13"/>
  <c r="T38" i="13"/>
  <c r="I46" i="13"/>
  <c r="T46" i="13" s="1"/>
  <c r="J21" i="13"/>
  <c r="T13" i="13"/>
  <c r="T134" i="13" s="1"/>
  <c r="U13" i="13"/>
  <c r="Q13" i="13"/>
  <c r="R13" i="13"/>
  <c r="G13" i="13"/>
  <c r="G134" i="13" l="1"/>
  <c r="Q136" i="13"/>
  <c r="U21" i="13"/>
  <c r="J29" i="13"/>
  <c r="G21" i="13"/>
  <c r="E100" i="9"/>
  <c r="D100" i="9"/>
  <c r="C100" i="9"/>
  <c r="C100" i="7"/>
  <c r="D100" i="7"/>
  <c r="E100" i="7"/>
  <c r="E100" i="8"/>
  <c r="D100" i="8"/>
  <c r="C100" i="8"/>
  <c r="K134" i="13" l="1"/>
  <c r="U135" i="13"/>
  <c r="U29" i="13"/>
  <c r="F100" i="9"/>
  <c r="L132" i="2" s="1"/>
  <c r="L133" i="2" s="1"/>
  <c r="F100" i="8"/>
  <c r="F100" i="6"/>
  <c r="J135" i="13" l="1"/>
  <c r="O135" i="4"/>
  <c r="L134" i="2"/>
  <c r="U38" i="13"/>
  <c r="J46" i="13"/>
  <c r="U46" i="13" s="1"/>
  <c r="E9" i="5"/>
  <c r="U134" i="13" l="1"/>
  <c r="O136" i="4"/>
  <c r="R135" i="13"/>
  <c r="R136" i="13" s="1"/>
  <c r="J136" i="13"/>
  <c r="L137" i="2"/>
  <c r="L136" i="2"/>
  <c r="N9" i="5"/>
  <c r="M9" i="5"/>
  <c r="L9" i="5"/>
  <c r="J9" i="5"/>
  <c r="I9" i="5"/>
  <c r="H9" i="5"/>
  <c r="G9" i="5"/>
  <c r="F9" i="5"/>
  <c r="K8" i="5"/>
  <c r="K6" i="5"/>
  <c r="K5" i="5"/>
  <c r="F100" i="7"/>
  <c r="J137" i="13" l="1"/>
  <c r="O137" i="4"/>
  <c r="K9" i="5"/>
  <c r="O20" i="2" l="1"/>
  <c r="O20" i="3" l="1"/>
  <c r="F133" i="2"/>
  <c r="F115" i="4"/>
  <c r="U115" i="4" s="1"/>
  <c r="U116" i="4" s="1"/>
  <c r="O113" i="2"/>
  <c r="O113" i="3" s="1"/>
  <c r="F115" i="15"/>
  <c r="G115" i="15"/>
  <c r="F135" i="4" l="1"/>
  <c r="U135" i="4" s="1"/>
  <c r="U136" i="4" s="1"/>
  <c r="U115" i="15"/>
  <c r="F116" i="15"/>
  <c r="O133" i="2"/>
  <c r="F116" i="4"/>
  <c r="P131" i="2"/>
  <c r="F134" i="2"/>
  <c r="G115" i="4"/>
  <c r="G134" i="4" l="1"/>
  <c r="F136" i="4"/>
  <c r="X135" i="4"/>
  <c r="U116" i="15"/>
  <c r="X116" i="15"/>
  <c r="G116" i="15"/>
  <c r="F136" i="2"/>
  <c r="F137" i="2"/>
  <c r="O131" i="3"/>
  <c r="O134" i="2"/>
  <c r="G116" i="4"/>
  <c r="X116" i="4"/>
  <c r="F137" i="4" l="1"/>
  <c r="O136" i="2"/>
  <c r="O137" i="2"/>
  <c r="O124" i="1" l="1"/>
  <c r="O124" i="3" s="1"/>
  <c r="O126" i="1"/>
  <c r="O126" i="3" s="1"/>
  <c r="O127" i="1"/>
  <c r="O127" i="3" s="1"/>
  <c r="O129" i="1"/>
  <c r="O129" i="3" s="1"/>
  <c r="O123" i="1"/>
  <c r="O123" i="3" s="1"/>
  <c r="O128" i="1"/>
  <c r="O128" i="3" s="1"/>
  <c r="O125" i="1"/>
  <c r="O1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J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K4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J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K5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J6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K6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J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K7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J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K8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<sst xmlns="http://schemas.openxmlformats.org/spreadsheetml/2006/main" count="3374" uniqueCount="76">
  <si>
    <t>Date</t>
  </si>
  <si>
    <t>Day</t>
  </si>
  <si>
    <t>Tide</t>
  </si>
  <si>
    <t>Time</t>
  </si>
  <si>
    <t>Longbeach</t>
  </si>
  <si>
    <t>Twin Harbors</t>
  </si>
  <si>
    <t>Copalis</t>
  </si>
  <si>
    <t>Mocrocks</t>
  </si>
  <si>
    <t>Kalaloch</t>
  </si>
  <si>
    <t>Daily Totals</t>
  </si>
  <si>
    <t>CLOSED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</si>
  <si>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</si>
  <si>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</si>
  <si>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</si>
  <si>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</si>
  <si>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</si>
  <si>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</si>
  <si>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** - No beach count. Used data from another day with similar conditions to estimate count.</t>
  </si>
  <si>
    <t>Fri</t>
  </si>
  <si>
    <t>Sat</t>
  </si>
  <si>
    <t>Sun</t>
  </si>
  <si>
    <t>Mon</t>
  </si>
  <si>
    <t>Tue</t>
  </si>
  <si>
    <t>Wed</t>
  </si>
  <si>
    <t>Thu</t>
  </si>
  <si>
    <t>SEASON TOTALS :</t>
  </si>
  <si>
    <t># - Tide is not low enough for decent digging opportunity</t>
  </si>
  <si>
    <t>Effort</t>
  </si>
  <si>
    <t>Harvest</t>
  </si>
  <si>
    <t>CPUE</t>
  </si>
  <si>
    <t>EventID</t>
  </si>
  <si>
    <t>LocationID</t>
  </si>
  <si>
    <t>NHoles</t>
  </si>
  <si>
    <t>NClams</t>
  </si>
  <si>
    <t>NMorts</t>
  </si>
  <si>
    <t>NON-TRIBAL TOTAL ALLOWABLE CATCH (TAC)</t>
  </si>
  <si>
    <t>2018-2019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</si>
  <si>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</si>
  <si>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</si>
  <si>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</si>
  <si>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</si>
  <si>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</si>
  <si>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</si>
  <si>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</si>
  <si>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</si>
  <si>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LONG BEACH</t>
  </si>
  <si>
    <t>TWIN HARBORS</t>
  </si>
  <si>
    <t>COPALIS</t>
  </si>
  <si>
    <t>MOCROCKS</t>
  </si>
  <si>
    <t>KALALOCH</t>
  </si>
  <si>
    <t>COASTWIDE TAC</t>
  </si>
  <si>
    <t>2019-2020</t>
  </si>
  <si>
    <t>DAILY TOTALS</t>
  </si>
  <si>
    <t>DATE</t>
  </si>
  <si>
    <t>DAY</t>
  </si>
  <si>
    <t>TIDE</t>
  </si>
  <si>
    <t>TIME</t>
  </si>
  <si>
    <t>Tide Series Totals</t>
  </si>
  <si>
    <t>SEASON SUBTOTALS:</t>
  </si>
  <si>
    <t>WASTAGE</t>
  </si>
  <si>
    <t>SEASON TOTALS:</t>
  </si>
  <si>
    <t>Size (mm)</t>
  </si>
  <si>
    <t>*</t>
  </si>
  <si>
    <t>2020-2021</t>
  </si>
  <si>
    <t>2021-2022</t>
  </si>
  <si>
    <t>CROSS</t>
  </si>
  <si>
    <t>CHECK</t>
  </si>
  <si>
    <t>2022-2023 State (non-Tribal) Recreational Razor Clam Effort, Harvest and CPUE totals.</t>
  </si>
  <si>
    <t>2022-2023</t>
  </si>
  <si>
    <t>Fall 2022 / Spring 2023 Harvest Rate (clams/day):</t>
  </si>
  <si>
    <t>22309</t>
  </si>
  <si>
    <t>12400</t>
  </si>
  <si>
    <t>12500</t>
  </si>
  <si>
    <t>32009</t>
  </si>
  <si>
    <t xml:space="preserve">FALL 2022 - SPRING 2023 SEASON TOTALS: </t>
  </si>
  <si>
    <t>41200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</si>
</sst>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ddd"/>
    <numFmt numFmtId="166" formatCode="0.0"/>
    <numFmt numFmtId="167" formatCode="[$-409]h:mm\ AM/PM;@"/>
    <numFmt numFmtId="168" formatCode="0.0%"/>
    <numFmt numFmtId="169" formatCode="#,##0.0_);\(#,##0.0\)"/>
    <numFmt numFmtId="170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2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b/>
      <i/>
      <sz val="1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/>
      <right/>
      <top style="double">
        <color indexed="0"/>
      </top>
      <bottom/>
      <diagonal/>
    </border>
  </borders>
  <cellStyleXfs count="3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5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" fontId="18" fillId="0" borderId="0" applyFont="0" applyFill="0" applyBorder="0" applyAlignment="0" applyProtection="0"/>
    <xf numFmtId="0" fontId="1" fillId="0" borderId="0"/>
    <xf numFmtId="0" fontId="18" fillId="0" borderId="0">
      <alignment vertical="top"/>
    </xf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0" fontId="22" fillId="0" borderId="0">
      <alignment vertical="top"/>
    </xf>
    <xf numFmtId="4" fontId="18" fillId="0" borderId="0" applyFont="0" applyFill="0" applyBorder="0" applyAlignment="0" applyProtection="0"/>
    <xf numFmtId="0" fontId="23" fillId="0" borderId="0" applyNumberFormat="0" applyFont="0" applyFill="0" applyAlignment="0" applyProtection="0"/>
    <xf numFmtId="0" fontId="24" fillId="0" borderId="0" applyNumberFormat="0" applyFont="0" applyFill="0" applyAlignment="0" applyProtection="0"/>
    <xf numFmtId="0" fontId="18" fillId="0" borderId="33" applyNumberFormat="0" applyFont="0" applyBorder="0" applyAlignment="0" applyProtection="0"/>
    <xf numFmtId="0" fontId="1" fillId="0" borderId="0"/>
    <xf numFmtId="0" fontId="22" fillId="0" borderId="0">
      <alignment vertical="top"/>
    </xf>
  </cellStyleXfs>
  <cellXfs count="127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0" xfId="0" applyNumberFormat="1"/>
    <xf numFmtId="37" fontId="0" fillId="0" borderId="0" xfId="1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8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167" fontId="2" fillId="0" borderId="1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3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5" xfId="0" applyBorder="1"/>
    <xf numFmtId="3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3" fontId="0" fillId="3" borderId="8" xfId="0" applyNumberFormat="1" applyFill="1" applyBorder="1"/>
    <xf numFmtId="3" fontId="10" fillId="3" borderId="0" xfId="0" applyNumberFormat="1" applyFont="1" applyFill="1" applyAlignment="1">
      <alignment horizontal="center"/>
    </xf>
    <xf numFmtId="0" fontId="0" fillId="0" borderId="9" xfId="0" applyBorder="1"/>
    <xf numFmtId="3" fontId="0" fillId="0" borderId="10" xfId="0" applyNumberFormat="1" applyBorder="1"/>
    <xf numFmtId="0" fontId="11" fillId="0" borderId="11" xfId="0" applyFont="1" applyBorder="1"/>
    <xf numFmtId="3" fontId="0" fillId="0" borderId="12" xfId="0" applyNumberFormat="1" applyBorder="1"/>
    <xf numFmtId="10" fontId="0" fillId="0" borderId="0" xfId="2" quotePrefix="1" applyNumberFormat="1" applyFont="1" applyAlignment="1">
      <alignment horizontal="center"/>
    </xf>
    <xf numFmtId="0" fontId="12" fillId="0" borderId="17" xfId="0" applyFont="1" applyBorder="1"/>
    <xf numFmtId="0" fontId="12" fillId="0" borderId="18" xfId="0" applyFont="1" applyBorder="1"/>
    <xf numFmtId="0" fontId="12" fillId="0" borderId="17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16" fontId="12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166" fontId="12" fillId="0" borderId="23" xfId="0" applyNumberFormat="1" applyFont="1" applyBorder="1" applyAlignment="1">
      <alignment horizontal="center"/>
    </xf>
    <xf numFmtId="3" fontId="12" fillId="0" borderId="17" xfId="0" applyNumberFormat="1" applyFont="1" applyBorder="1"/>
    <xf numFmtId="3" fontId="12" fillId="0" borderId="21" xfId="0" applyNumberFormat="1" applyFont="1" applyBorder="1" applyAlignment="1">
      <alignment horizontal="center"/>
    </xf>
    <xf numFmtId="3" fontId="14" fillId="0" borderId="26" xfId="0" applyNumberFormat="1" applyFont="1" applyBorder="1" applyAlignment="1">
      <alignment horizontal="center"/>
    </xf>
    <xf numFmtId="3" fontId="14" fillId="0" borderId="24" xfId="0" applyNumberFormat="1" applyFont="1" applyBorder="1" applyAlignment="1">
      <alignment horizontal="center"/>
    </xf>
    <xf numFmtId="166" fontId="14" fillId="0" borderId="24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15" fillId="0" borderId="16" xfId="0" applyNumberFormat="1" applyFont="1" applyBorder="1"/>
    <xf numFmtId="166" fontId="2" fillId="0" borderId="1" xfId="0" applyNumberFormat="1" applyFont="1" applyBorder="1" applyAlignment="1">
      <alignment horizontal="center"/>
    </xf>
    <xf numFmtId="0" fontId="7" fillId="0" borderId="3" xfId="4" applyFont="1" applyBorder="1" applyAlignment="1">
      <alignment horizontal="right" wrapText="1"/>
    </xf>
    <xf numFmtId="0" fontId="7" fillId="0" borderId="3" xfId="4" applyFont="1" applyBorder="1" applyAlignment="1">
      <alignment wrapText="1"/>
    </xf>
    <xf numFmtId="16" fontId="14" fillId="0" borderId="18" xfId="0" applyNumberFormat="1" applyFont="1" applyBorder="1" applyAlignment="1">
      <alignment horizontal="left"/>
    </xf>
    <xf numFmtId="0" fontId="14" fillId="0" borderId="18" xfId="0" applyFont="1" applyBorder="1"/>
    <xf numFmtId="3" fontId="14" fillId="0" borderId="18" xfId="0" applyNumberFormat="1" applyFont="1" applyBorder="1" applyAlignment="1">
      <alignment horizontal="center"/>
    </xf>
    <xf numFmtId="166" fontId="14" fillId="0" borderId="18" xfId="0" applyNumberFormat="1" applyFont="1" applyBorder="1" applyAlignment="1">
      <alignment horizontal="center"/>
    </xf>
    <xf numFmtId="16" fontId="14" fillId="0" borderId="0" xfId="0" applyNumberFormat="1" applyFont="1" applyAlignment="1">
      <alignment horizontal="left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" fontId="14" fillId="0" borderId="27" xfId="0" applyNumberFormat="1" applyFont="1" applyBorder="1" applyAlignment="1">
      <alignment horizontal="left"/>
    </xf>
    <xf numFmtId="0" fontId="14" fillId="0" borderId="28" xfId="0" applyFont="1" applyBorder="1"/>
    <xf numFmtId="3" fontId="14" fillId="0" borderId="28" xfId="0" applyNumberFormat="1" applyFont="1" applyBorder="1" applyAlignment="1">
      <alignment horizontal="center"/>
    </xf>
    <xf numFmtId="166" fontId="14" fillId="0" borderId="28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0" fontId="16" fillId="0" borderId="30" xfId="0" applyFont="1" applyBorder="1" applyAlignment="1">
      <alignment horizontal="left"/>
    </xf>
    <xf numFmtId="0" fontId="14" fillId="0" borderId="1" xfId="0" applyFont="1" applyBorder="1"/>
    <xf numFmtId="168" fontId="14" fillId="0" borderId="1" xfId="0" applyNumberFormat="1" applyFont="1" applyBorder="1" applyAlignment="1">
      <alignment horizontal="center"/>
    </xf>
    <xf numFmtId="0" fontId="14" fillId="0" borderId="31" xfId="0" applyFont="1" applyBorder="1"/>
    <xf numFmtId="3" fontId="2" fillId="0" borderId="1" xfId="0" applyNumberFormat="1" applyFon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166" fontId="12" fillId="0" borderId="18" xfId="0" applyNumberFormat="1" applyFont="1" applyBorder="1" applyAlignment="1">
      <alignment horizontal="center"/>
    </xf>
    <xf numFmtId="166" fontId="12" fillId="0" borderId="32" xfId="0" applyNumberFormat="1" applyFont="1" applyBorder="1" applyAlignment="1">
      <alignment horizontal="center"/>
    </xf>
    <xf numFmtId="0" fontId="7" fillId="0" borderId="4" xfId="4" applyFont="1" applyBorder="1" applyAlignment="1">
      <alignment horizontal="righ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4" applyFont="1" applyAlignment="1">
      <alignment wrapText="1"/>
    </xf>
    <xf numFmtId="0" fontId="7" fillId="0" borderId="0" xfId="4" applyFont="1" applyAlignment="1">
      <alignment horizontal="right" wrapText="1"/>
    </xf>
    <xf numFmtId="166" fontId="14" fillId="0" borderId="14" xfId="0" applyNumberFormat="1" applyFont="1" applyBorder="1" applyAlignment="1">
      <alignment horizontal="center"/>
    </xf>
    <xf numFmtId="37" fontId="0" fillId="0" borderId="0" xfId="0" applyNumberFormat="1" applyAlignment="1">
      <alignment horizontal="center"/>
    </xf>
    <xf numFmtId="16" fontId="14" fillId="0" borderId="0" xfId="0" applyNumberFormat="1" applyFont="1" applyAlignment="1">
      <alignment horizontal="center"/>
    </xf>
    <xf numFmtId="0" fontId="7" fillId="0" borderId="3" xfId="5" applyFont="1" applyBorder="1" applyAlignment="1">
      <alignment horizontal="right" wrapText="1"/>
    </xf>
    <xf numFmtId="0" fontId="7" fillId="0" borderId="3" xfId="5" applyFont="1" applyBorder="1" applyAlignment="1">
      <alignment wrapText="1"/>
    </xf>
    <xf numFmtId="0" fontId="7" fillId="2" borderId="2" xfId="6" applyFont="1" applyFill="1" applyBorder="1" applyAlignment="1">
      <alignment horizontal="center"/>
    </xf>
    <xf numFmtId="0" fontId="7" fillId="0" borderId="3" xfId="7" applyFont="1" applyBorder="1" applyAlignment="1">
      <alignment horizontal="right" wrapText="1"/>
    </xf>
    <xf numFmtId="0" fontId="7" fillId="0" borderId="3" xfId="7" applyFont="1" applyBorder="1" applyAlignment="1">
      <alignment wrapText="1"/>
    </xf>
    <xf numFmtId="0" fontId="7" fillId="0" borderId="3" xfId="3" applyFont="1" applyBorder="1" applyAlignment="1">
      <alignment horizontal="right" wrapText="1"/>
    </xf>
    <xf numFmtId="0" fontId="7" fillId="0" borderId="3" xfId="3" applyFont="1" applyBorder="1" applyAlignment="1">
      <alignment wrapText="1"/>
    </xf>
    <xf numFmtId="3" fontId="12" fillId="4" borderId="22" xfId="0" applyNumberFormat="1" applyFont="1" applyFill="1" applyBorder="1" applyAlignment="1">
      <alignment horizontal="center"/>
    </xf>
    <xf numFmtId="3" fontId="12" fillId="4" borderId="0" xfId="0" applyNumberFormat="1" applyFont="1" applyFill="1" applyAlignment="1">
      <alignment horizontal="center"/>
    </xf>
    <xf numFmtId="166" fontId="12" fillId="4" borderId="0" xfId="0" applyNumberFormat="1" applyFont="1" applyFill="1" applyAlignment="1">
      <alignment horizontal="center"/>
    </xf>
    <xf numFmtId="0" fontId="12" fillId="0" borderId="0" xfId="0" applyFont="1"/>
    <xf numFmtId="0" fontId="7" fillId="0" borderId="0" xfId="3" applyFont="1" applyAlignment="1">
      <alignment horizontal="right" wrapText="1"/>
    </xf>
    <xf numFmtId="0" fontId="19" fillId="0" borderId="0" xfId="9" applyProtection="1">
      <protection locked="0"/>
    </xf>
    <xf numFmtId="3" fontId="11" fillId="0" borderId="16" xfId="0" applyNumberFormat="1" applyFont="1" applyBorder="1"/>
    <xf numFmtId="3" fontId="14" fillId="0" borderId="1" xfId="0" applyNumberFormat="1" applyFont="1" applyBorder="1"/>
    <xf numFmtId="3" fontId="14" fillId="0" borderId="31" xfId="0" applyNumberFormat="1" applyFont="1" applyBorder="1"/>
    <xf numFmtId="0" fontId="20" fillId="2" borderId="2" xfId="10" applyFont="1" applyFill="1" applyBorder="1" applyAlignment="1">
      <alignment horizontal="center"/>
    </xf>
    <xf numFmtId="0" fontId="20" fillId="0" borderId="3" xfId="10" applyFont="1" applyBorder="1" applyAlignment="1">
      <alignment horizontal="right" wrapText="1"/>
    </xf>
    <xf numFmtId="0" fontId="20" fillId="0" borderId="3" xfId="10" applyFont="1" applyBorder="1" applyAlignment="1">
      <alignment wrapText="1"/>
    </xf>
    <xf numFmtId="0" fontId="20" fillId="2" borderId="2" xfId="11" applyFont="1" applyFill="1" applyBorder="1" applyAlignment="1">
      <alignment horizontal="center"/>
    </xf>
    <xf numFmtId="0" fontId="20" fillId="0" borderId="3" xfId="11" applyFont="1" applyBorder="1" applyAlignment="1">
      <alignment horizontal="right" wrapText="1"/>
    </xf>
    <xf numFmtId="0" fontId="20" fillId="0" borderId="3" xfId="11" applyFont="1" applyBorder="1" applyAlignment="1">
      <alignment wrapText="1"/>
    </xf>
    <xf numFmtId="0" fontId="20" fillId="2" borderId="2" xfId="12" applyFont="1" applyFill="1" applyBorder="1" applyAlignment="1">
      <alignment horizontal="center"/>
    </xf>
    <xf numFmtId="0" fontId="20" fillId="0" borderId="3" xfId="12" applyFont="1" applyBorder="1" applyAlignment="1">
      <alignment horizontal="right" wrapText="1"/>
    </xf>
    <xf numFmtId="0" fontId="20" fillId="0" borderId="3" xfId="12" applyFont="1" applyBorder="1" applyAlignment="1">
      <alignment wrapText="1"/>
    </xf>
    <xf numFmtId="166" fontId="12" fillId="0" borderId="28" xfId="0" applyNumberFormat="1" applyFont="1" applyBorder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2" fillId="0" borderId="1" xfId="0" applyFont="1" applyBorder="1" applyAlignment="1">
      <alignment horizontal="center"/>
    </xf>
    <xf numFmtId="16" fontId="14" fillId="0" borderId="24" xfId="0" applyNumberFormat="1" applyFont="1" applyBorder="1" applyAlignment="1">
      <alignment horizontal="center"/>
    </xf>
    <xf numFmtId="16" fontId="14" fillId="0" borderId="25" xfId="0" applyNumberFormat="1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3" fontId="12" fillId="0" borderId="18" xfId="0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16" fontId="12" fillId="0" borderId="19" xfId="0" applyNumberFormat="1" applyFont="1" applyBorder="1" applyAlignment="1">
      <alignment horizontal="center"/>
    </xf>
    <xf numFmtId="16" fontId="12" fillId="0" borderId="18" xfId="0" applyNumberFormat="1" applyFont="1" applyBorder="1" applyAlignment="1">
      <alignment horizontal="center"/>
    </xf>
    <xf numFmtId="16" fontId="12" fillId="0" borderId="20" xfId="0" applyNumberFormat="1" applyFont="1" applyBorder="1" applyAlignment="1">
      <alignment horizontal="center"/>
    </xf>
  </cellXfs>
  <cellStyles count="33">
    <cellStyle name="Comma" xfId="1" builtinId="3"/>
    <cellStyle name="Comma 2" xfId="14" xr:uid="{5A0480C8-43E6-4579-AA5F-71BFA63E8A6F}"/>
    <cellStyle name="Comma 3" xfId="27" xr:uid="{45815489-39BE-47AA-A8D7-27FDEC6B825E}"/>
    <cellStyle name="Comma0" xfId="15" xr:uid="{D992EF3C-7028-40D2-A147-4E6A3565172A}"/>
    <cellStyle name="Currency 2" xfId="16" xr:uid="{3D0E7746-3610-4B4C-92BC-16FE03BB483D}"/>
    <cellStyle name="Currency0" xfId="17" xr:uid="{1FD5A51E-D1AF-4BDE-81BB-1F4C1166E357}"/>
    <cellStyle name="Date" xfId="18" xr:uid="{A25C44B2-778B-4463-8748-DABD73AB0F27}"/>
    <cellStyle name="Fixed" xfId="19" xr:uid="{21588A2B-5C0C-4377-9A37-C419901FE503}"/>
    <cellStyle name="Heading 1 2" xfId="28" xr:uid="{3E255AC5-6346-4902-BB6A-A9B41F3FA737}"/>
    <cellStyle name="Heading 2 2" xfId="29" xr:uid="{64DF30F8-FE72-4413-B8EF-551D4CE238D6}"/>
    <cellStyle name="Normal" xfId="0" builtinId="0"/>
    <cellStyle name="Normal 2" xfId="8" xr:uid="{5F026BFF-F180-40A1-98B2-919AFB767081}"/>
    <cellStyle name="Normal 3" xfId="9" xr:uid="{FA6E2879-CF0C-4935-9AA1-6F3A1A0A2A09}"/>
    <cellStyle name="Normal 3 2" xfId="31" xr:uid="{38A15E38-20BD-4C4E-A4F6-3A3F52867024}"/>
    <cellStyle name="Normal 3_Harvest" xfId="20" xr:uid="{E234AF35-0065-46F6-9D22-8A2606341E41}"/>
    <cellStyle name="Normal 4" xfId="21" xr:uid="{368060C2-7E6F-4433-8630-62FB143BEC16}"/>
    <cellStyle name="Normal 5" xfId="22" xr:uid="{035C9A1B-B44C-409D-ACCD-A6BD73AFC18B}"/>
    <cellStyle name="Normal 5 2" xfId="23" xr:uid="{8F8DB13E-473B-482E-A074-D0D6943C7DC4}"/>
    <cellStyle name="Normal 5 2 2" xfId="13" xr:uid="{B2EFC308-24F1-4ADE-A23A-3777C18BBAF7}"/>
    <cellStyle name="Normal 5 2 2 2" xfId="24" xr:uid="{DF0C93C7-9DA5-42DB-973D-0D6DC8A920B1}"/>
    <cellStyle name="Normal 6" xfId="26" xr:uid="{BDDACFF0-5A47-42F6-A848-B09E950EC19E}"/>
    <cellStyle name="Normal 7" xfId="32" xr:uid="{3A2F85EF-BD8D-4B4C-A9F2-39593565240D}"/>
    <cellStyle name="Normal_Cop Wastage" xfId="5" xr:uid="{C1062809-FD54-4060-B587-28A7D6901E3C}"/>
    <cellStyle name="Normal_Cop Wastage_1" xfId="12" xr:uid="{7987794B-CE1A-4972-B3BC-32F2D26DBBCD}"/>
    <cellStyle name="Normal_Copy Sheet" xfId="4" xr:uid="{00000000-0005-0000-0000-000002000000}"/>
    <cellStyle name="Normal_LB Wastage" xfId="3" xr:uid="{00000000-0005-0000-0000-000003000000}"/>
    <cellStyle name="Normal_LB Wastage_1" xfId="11" xr:uid="{FEEDB232-1B89-4072-A2EF-C67B734FB1DF}"/>
    <cellStyle name="Normal_Moc Wastage" xfId="6" xr:uid="{62C406E5-A92E-4E4C-BB7A-FDDD433B630E}"/>
    <cellStyle name="Normal_TH Wastage" xfId="7" xr:uid="{A5BF4D59-8031-4DC4-AE53-92F445AB51DC}"/>
    <cellStyle name="Normal_TH Wastage_1" xfId="10" xr:uid="{E73622CF-96CE-4D4E-AFBE-0616F89A43F6}"/>
    <cellStyle name="Percent" xfId="2" builtinId="5"/>
    <cellStyle name="Percent 2" xfId="25" xr:uid="{E5BA0AB6-0C8F-4FF7-9429-2967EB43FFDA}"/>
    <cellStyle name="Total 2" xfId="30" xr:uid="{72733C6B-FFF1-4D49-9835-DCDE6D4BE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2"/>
  <sheetViews>
    <sheetView topLeftCell="A106" zoomScaleNormal="100" workbookViewId="0">
      <selection activeCell="F137" sqref="F137"/>
    </sheetView>
  </sheetViews>
  <sheetFormatPr defaultRowHeight="15" x14ac:dyDescent="0.25"/>
  <cols>
    <col min="1" max="1" width="18.7109375" style="2" customWidth="1"/>
    <col min="2" max="2" width="5.42578125" style="8" customWidth="1"/>
    <col min="3" max="3" width="7.7109375" style="8" customWidth="1"/>
    <col min="4" max="4" width="9.85546875" style="13" customWidth="1"/>
    <col min="5" max="5" width="3.7109375" style="6" customWidth="1"/>
    <col min="6" max="6" width="12.7109375" style="9" customWidth="1"/>
    <col min="7" max="7" width="3.7109375" customWidth="1"/>
    <col min="8" max="8" width="12.7109375" style="9" customWidth="1"/>
    <col min="9" max="9" width="3.7109375" customWidth="1"/>
    <col min="10" max="10" width="12.7109375" style="9" customWidth="1"/>
    <col min="11" max="11" width="3.7109375" customWidth="1"/>
    <col min="12" max="12" width="12.7109375" style="9" customWidth="1"/>
    <col min="13" max="13" width="3.7109375" customWidth="1"/>
    <col min="14" max="14" width="12.7109375" style="8" customWidth="1"/>
    <col min="15" max="15" width="18.140625" style="9" bestFit="1" customWidth="1"/>
  </cols>
  <sheetData>
    <row r="1" spans="1:17" x14ac:dyDescent="0.25">
      <c r="A1" s="14" t="s">
        <v>0</v>
      </c>
      <c r="B1" s="1" t="s">
        <v>1</v>
      </c>
      <c r="C1" s="1" t="s">
        <v>2</v>
      </c>
      <c r="D1" s="12" t="s">
        <v>3</v>
      </c>
      <c r="E1" s="116" t="s">
        <v>4</v>
      </c>
      <c r="F1" s="116"/>
      <c r="G1" s="116" t="s">
        <v>5</v>
      </c>
      <c r="H1" s="116"/>
      <c r="I1" s="116" t="s">
        <v>6</v>
      </c>
      <c r="J1" s="116"/>
      <c r="K1" s="116" t="s">
        <v>7</v>
      </c>
      <c r="L1" s="116"/>
      <c r="M1" s="116" t="s">
        <v>8</v>
      </c>
      <c r="N1" s="116"/>
      <c r="O1" s="75" t="s">
        <v>9</v>
      </c>
    </row>
    <row r="2" spans="1:17" x14ac:dyDescent="0.25">
      <c r="A2" s="82">
        <v>44826</v>
      </c>
      <c r="B2" s="8" t="s">
        <v>24</v>
      </c>
      <c r="C2" s="8">
        <v>0.4</v>
      </c>
      <c r="D2" s="13">
        <v>0.21041666666666667</v>
      </c>
      <c r="E2" s="81"/>
      <c r="F2" s="9" t="s">
        <v>10</v>
      </c>
      <c r="G2" s="8"/>
      <c r="H2" s="9" t="s">
        <v>10</v>
      </c>
      <c r="I2" s="8"/>
      <c r="J2" s="9" t="s">
        <v>10</v>
      </c>
      <c r="K2" s="8"/>
      <c r="L2" s="9" t="s">
        <v>10</v>
      </c>
      <c r="M2" s="8"/>
      <c r="N2" s="9" t="s">
        <v>10</v>
      </c>
      <c r="O2" s="9">
        <f t="shared" ref="O2:O18" si="0">SUM(F2:N2)</f>
        <v>0</v>
      </c>
      <c r="Q2" s="20">
        <f>SUM(O2:O26)</f>
        <v>557405.82461815339</v>
      </c>
    </row>
    <row r="3" spans="1:17" x14ac:dyDescent="0.25">
      <c r="A3" s="82">
        <v>44827</v>
      </c>
      <c r="B3" s="8" t="s">
        <v>18</v>
      </c>
      <c r="C3" s="8">
        <v>0.1</v>
      </c>
      <c r="D3" s="13">
        <v>0.23680555555555557</v>
      </c>
      <c r="E3" s="81"/>
      <c r="F3" s="9" t="s">
        <v>10</v>
      </c>
      <c r="G3" s="8"/>
      <c r="H3" s="9" t="s">
        <v>10</v>
      </c>
      <c r="I3" s="8"/>
      <c r="J3" s="9" t="s">
        <v>10</v>
      </c>
      <c r="K3" s="8"/>
      <c r="L3" s="9" t="s">
        <v>10</v>
      </c>
      <c r="M3" s="8"/>
      <c r="N3" s="9" t="s">
        <v>10</v>
      </c>
      <c r="O3" s="9">
        <f t="shared" si="0"/>
        <v>0</v>
      </c>
    </row>
    <row r="4" spans="1:17" x14ac:dyDescent="0.25">
      <c r="A4" s="82">
        <v>44828</v>
      </c>
      <c r="B4" s="8" t="s">
        <v>19</v>
      </c>
      <c r="C4" s="8">
        <v>0</v>
      </c>
      <c r="D4" s="13">
        <v>0.26041666666666669</v>
      </c>
      <c r="E4" s="81"/>
      <c r="F4" s="9" t="s">
        <v>10</v>
      </c>
      <c r="G4" s="8"/>
      <c r="H4" s="9" t="s">
        <v>10</v>
      </c>
      <c r="I4" s="8"/>
      <c r="J4" s="9" t="s">
        <v>10</v>
      </c>
      <c r="K4" s="8"/>
      <c r="L4" s="9" t="s">
        <v>10</v>
      </c>
      <c r="M4" s="8"/>
      <c r="N4" s="9" t="s">
        <v>10</v>
      </c>
      <c r="O4" s="9">
        <f t="shared" si="0"/>
        <v>0</v>
      </c>
    </row>
    <row r="5" spans="1:17" x14ac:dyDescent="0.25">
      <c r="A5" s="82">
        <v>44829</v>
      </c>
      <c r="B5" s="8" t="s">
        <v>20</v>
      </c>
      <c r="C5" s="8">
        <v>0.1</v>
      </c>
      <c r="D5" s="13">
        <v>0.28333333333333333</v>
      </c>
      <c r="E5" s="81"/>
      <c r="F5" s="9" t="s">
        <v>10</v>
      </c>
      <c r="G5" s="8"/>
      <c r="H5" s="9" t="s">
        <v>10</v>
      </c>
      <c r="I5" s="8"/>
      <c r="J5" s="9" t="s">
        <v>10</v>
      </c>
      <c r="K5" s="8"/>
      <c r="L5" s="9" t="s">
        <v>10</v>
      </c>
      <c r="M5" s="8"/>
      <c r="N5" s="9" t="s">
        <v>10</v>
      </c>
      <c r="O5" s="9">
        <f t="shared" si="0"/>
        <v>0</v>
      </c>
    </row>
    <row r="6" spans="1:17" x14ac:dyDescent="0.25">
      <c r="A6" s="82">
        <v>44830</v>
      </c>
      <c r="B6" s="8" t="s">
        <v>21</v>
      </c>
      <c r="C6" s="8">
        <v>0.3</v>
      </c>
      <c r="D6" s="13">
        <v>0.30486111111111108</v>
      </c>
      <c r="E6" s="81"/>
      <c r="F6" s="9" t="s">
        <v>10</v>
      </c>
      <c r="G6" s="8"/>
      <c r="H6" s="9" t="s">
        <v>10</v>
      </c>
      <c r="I6" s="8"/>
      <c r="J6" s="9" t="s">
        <v>10</v>
      </c>
      <c r="K6" s="8"/>
      <c r="L6" s="9" t="s">
        <v>10</v>
      </c>
      <c r="M6" s="8"/>
      <c r="N6" s="9" t="s">
        <v>10</v>
      </c>
      <c r="O6" s="9">
        <f t="shared" si="0"/>
        <v>0</v>
      </c>
    </row>
    <row r="7" spans="1:17" x14ac:dyDescent="0.25">
      <c r="A7" s="82">
        <v>44831</v>
      </c>
      <c r="B7" s="8" t="s">
        <v>22</v>
      </c>
      <c r="C7" s="8">
        <v>-0.1</v>
      </c>
      <c r="D7" s="13">
        <v>0.85</v>
      </c>
      <c r="E7" s="81"/>
      <c r="F7" s="9" t="s">
        <v>10</v>
      </c>
      <c r="G7" s="8"/>
      <c r="H7" s="9" t="s">
        <v>10</v>
      </c>
      <c r="I7" s="8"/>
      <c r="J7" s="9" t="s">
        <v>10</v>
      </c>
      <c r="K7" s="8"/>
      <c r="L7" s="9" t="s">
        <v>10</v>
      </c>
      <c r="M7" s="8"/>
      <c r="N7" s="9" t="s">
        <v>10</v>
      </c>
      <c r="O7" s="9">
        <f t="shared" si="0"/>
        <v>0</v>
      </c>
    </row>
    <row r="8" spans="1:17" x14ac:dyDescent="0.25">
      <c r="A8" s="82">
        <v>44832</v>
      </c>
      <c r="B8" s="8" t="s">
        <v>23</v>
      </c>
      <c r="C8" s="8">
        <v>-0.3</v>
      </c>
      <c r="D8" s="13">
        <v>0.87916666666666676</v>
      </c>
      <c r="E8" s="81"/>
      <c r="F8" s="9">
        <f>CPUE!F8*Effort!F8</f>
        <v>996.90559844918062</v>
      </c>
      <c r="G8" s="8" t="s">
        <v>62</v>
      </c>
      <c r="H8" s="9">
        <f>CPUE!H8*Effort!H8</f>
        <v>1558.667575726686</v>
      </c>
      <c r="I8" s="8"/>
      <c r="J8" s="9">
        <v>1767.6191278920501</v>
      </c>
      <c r="K8" s="8"/>
      <c r="L8" s="9" t="s">
        <v>10</v>
      </c>
      <c r="M8" s="8"/>
      <c r="N8" s="9" t="s">
        <v>10</v>
      </c>
      <c r="O8" s="9">
        <f t="shared" si="0"/>
        <v>4323.1923020679169</v>
      </c>
    </row>
    <row r="9" spans="1:17" x14ac:dyDescent="0.25">
      <c r="A9" s="82">
        <v>44833</v>
      </c>
      <c r="B9" s="8" t="s">
        <v>24</v>
      </c>
      <c r="C9" s="8">
        <v>-0.4</v>
      </c>
      <c r="D9" s="13">
        <v>0.91041666666666676</v>
      </c>
      <c r="E9" s="81"/>
      <c r="F9" s="9">
        <f>CPUE!F9*Effort!F9</f>
        <v>3915.3930144816563</v>
      </c>
      <c r="G9" s="8"/>
      <c r="H9" s="9">
        <v>3826.0870358443699</v>
      </c>
      <c r="I9" s="8"/>
      <c r="J9" s="9" t="s">
        <v>10</v>
      </c>
      <c r="K9" s="8"/>
      <c r="L9" s="9" t="s">
        <v>10</v>
      </c>
      <c r="M9" s="8"/>
      <c r="N9" s="9" t="s">
        <v>10</v>
      </c>
      <c r="O9" s="9">
        <f t="shared" si="0"/>
        <v>7741.4800503260267</v>
      </c>
    </row>
    <row r="10" spans="1:17" x14ac:dyDescent="0.25">
      <c r="A10" s="82">
        <v>44834</v>
      </c>
      <c r="B10" s="8" t="s">
        <v>18</v>
      </c>
      <c r="C10" s="8">
        <v>-0.2</v>
      </c>
      <c r="D10" s="13">
        <v>0.94652777777777775</v>
      </c>
      <c r="E10" s="81" t="s">
        <v>62</v>
      </c>
      <c r="F10" s="9">
        <f>CPUE!F10*Effort!F10</f>
        <v>8603.1260719904822</v>
      </c>
      <c r="G10" s="8"/>
      <c r="H10" s="9">
        <v>5535</v>
      </c>
      <c r="I10" s="8"/>
      <c r="J10" s="9">
        <v>8299.6075133404793</v>
      </c>
      <c r="K10" s="8"/>
      <c r="L10" s="9" t="s">
        <v>10</v>
      </c>
      <c r="M10" s="8"/>
      <c r="N10" s="9" t="s">
        <v>10</v>
      </c>
      <c r="O10" s="9">
        <f t="shared" si="0"/>
        <v>22437.733585330963</v>
      </c>
    </row>
    <row r="11" spans="1:17" x14ac:dyDescent="0.25">
      <c r="A11" s="82"/>
      <c r="E11" s="81"/>
      <c r="G11" s="8"/>
      <c r="I11" s="8"/>
      <c r="K11" s="8"/>
      <c r="M11" s="8"/>
      <c r="N11" s="9"/>
    </row>
    <row r="12" spans="1:17" x14ac:dyDescent="0.25">
      <c r="A12" s="82">
        <v>44842</v>
      </c>
      <c r="B12" s="8" t="s">
        <v>19</v>
      </c>
      <c r="C12" s="8">
        <v>0.5</v>
      </c>
      <c r="D12" s="13">
        <v>0.76458333333333339</v>
      </c>
      <c r="E12" s="81"/>
      <c r="F12" s="9">
        <f>CPUE!F12*Effort!F12</f>
        <v>77650.791675119661</v>
      </c>
      <c r="G12" s="8"/>
      <c r="H12" s="9">
        <v>69057.748259907705</v>
      </c>
      <c r="I12" s="8"/>
      <c r="J12" s="9" t="s">
        <v>10</v>
      </c>
      <c r="K12" s="8"/>
      <c r="L12" s="9" t="s">
        <v>10</v>
      </c>
      <c r="M12" s="8"/>
      <c r="N12" s="9" t="s">
        <v>10</v>
      </c>
      <c r="O12" s="9">
        <f t="shared" si="0"/>
        <v>146708.53993502737</v>
      </c>
    </row>
    <row r="13" spans="1:17" x14ac:dyDescent="0.25">
      <c r="A13" s="82">
        <v>44843</v>
      </c>
      <c r="B13" s="8" t="s">
        <v>20</v>
      </c>
      <c r="C13" s="8">
        <v>-0.1</v>
      </c>
      <c r="D13" s="13">
        <v>0.79513888888888884</v>
      </c>
      <c r="E13" s="81" t="s">
        <v>62</v>
      </c>
      <c r="F13" s="9">
        <f>CPUE!F13*Effort!F13</f>
        <v>37179.628431169549</v>
      </c>
      <c r="G13" s="8"/>
      <c r="H13" s="9">
        <v>32809.272861653597</v>
      </c>
      <c r="I13" s="8"/>
      <c r="J13" s="9">
        <v>49687.844915192203</v>
      </c>
      <c r="K13" s="8"/>
      <c r="L13" s="9" t="s">
        <v>10</v>
      </c>
      <c r="M13" s="8"/>
      <c r="N13" s="9" t="s">
        <v>10</v>
      </c>
      <c r="O13" s="9">
        <f t="shared" si="0"/>
        <v>119676.74620801533</v>
      </c>
    </row>
    <row r="14" spans="1:17" x14ac:dyDescent="0.25">
      <c r="A14" s="82">
        <v>44844</v>
      </c>
      <c r="B14" s="8" t="s">
        <v>21</v>
      </c>
      <c r="C14" s="8">
        <v>-0.5</v>
      </c>
      <c r="D14" s="13">
        <v>0.82361111111111107</v>
      </c>
      <c r="E14" s="81"/>
      <c r="F14" s="9">
        <f>CPUE!F14*Effort!F14</f>
        <v>18662.154739056925</v>
      </c>
      <c r="G14" s="8" t="s">
        <v>62</v>
      </c>
      <c r="H14" s="9">
        <f>CPUE!H14*Effort!H14</f>
        <v>16596.950992454273</v>
      </c>
      <c r="I14" s="8"/>
      <c r="J14" s="9" t="s">
        <v>10</v>
      </c>
      <c r="K14" s="8"/>
      <c r="L14" s="9" t="s">
        <v>10</v>
      </c>
      <c r="M14" s="8"/>
      <c r="N14" s="9" t="s">
        <v>10</v>
      </c>
      <c r="O14" s="9">
        <f t="shared" si="0"/>
        <v>35259.105731511198</v>
      </c>
    </row>
    <row r="15" spans="1:17" x14ac:dyDescent="0.25">
      <c r="A15" s="82">
        <v>44845</v>
      </c>
      <c r="B15" s="8" t="s">
        <v>22</v>
      </c>
      <c r="C15" s="8">
        <v>-0.6</v>
      </c>
      <c r="D15" s="13">
        <v>0.85138888888888886</v>
      </c>
      <c r="E15" s="81"/>
      <c r="F15" s="9">
        <f>CPUE!F15*Effort!F15</f>
        <v>11273.973197686324</v>
      </c>
      <c r="G15" s="8" t="s">
        <v>62</v>
      </c>
      <c r="H15" s="9">
        <f>CPUE!H15*Effort!H15</f>
        <v>9159.1933626943664</v>
      </c>
      <c r="I15" s="8"/>
      <c r="J15" s="9">
        <v>14071.3263157895</v>
      </c>
      <c r="K15" s="8"/>
      <c r="L15" s="9" t="s">
        <v>10</v>
      </c>
      <c r="M15" s="8"/>
      <c r="N15" s="9" t="s">
        <v>10</v>
      </c>
      <c r="O15" s="9">
        <f t="shared" si="0"/>
        <v>34504.492876170189</v>
      </c>
    </row>
    <row r="16" spans="1:17" x14ac:dyDescent="0.25">
      <c r="A16" s="82">
        <v>44846</v>
      </c>
      <c r="B16" s="8" t="s">
        <v>23</v>
      </c>
      <c r="C16" s="8">
        <v>-0.4</v>
      </c>
      <c r="D16" s="13">
        <v>0.87916666666666676</v>
      </c>
      <c r="E16" s="81" t="s">
        <v>62</v>
      </c>
      <c r="F16" s="9">
        <f>CPUE!F16*Effort!F16</f>
        <v>5509.1939492951533</v>
      </c>
      <c r="G16" s="8"/>
      <c r="H16" s="9">
        <v>4812.0402335427298</v>
      </c>
      <c r="I16" s="8"/>
      <c r="J16" s="9" t="s">
        <v>10</v>
      </c>
      <c r="K16" s="8"/>
      <c r="L16" s="9" t="s">
        <v>10</v>
      </c>
      <c r="M16" s="8"/>
      <c r="N16" s="9" t="s">
        <v>10</v>
      </c>
      <c r="O16" s="9">
        <f t="shared" si="0"/>
        <v>10321.234182837883</v>
      </c>
    </row>
    <row r="17" spans="1:17" x14ac:dyDescent="0.25">
      <c r="A17" s="82">
        <v>44847</v>
      </c>
      <c r="B17" s="8" t="s">
        <v>24</v>
      </c>
      <c r="C17" s="8">
        <v>-0.2</v>
      </c>
      <c r="D17" s="13">
        <v>0.90694444444444444</v>
      </c>
      <c r="E17" s="81"/>
      <c r="F17" s="9">
        <f>CPUE!F17*Effort!F17</f>
        <v>4738.6041169787295</v>
      </c>
      <c r="G17" s="8" t="s">
        <v>62</v>
      </c>
      <c r="H17" s="9">
        <f>CPUE!H17*Effort!H17</f>
        <v>3933.2697273361518</v>
      </c>
      <c r="I17" s="8"/>
      <c r="J17" s="9">
        <v>6922.6666666666597</v>
      </c>
      <c r="K17" s="8"/>
      <c r="L17" s="9" t="s">
        <v>10</v>
      </c>
      <c r="M17" s="8"/>
      <c r="N17" s="9" t="s">
        <v>10</v>
      </c>
      <c r="O17" s="9">
        <f t="shared" si="0"/>
        <v>15594.54051098154</v>
      </c>
    </row>
    <row r="18" spans="1:17" x14ac:dyDescent="0.25">
      <c r="A18" s="82">
        <v>44848</v>
      </c>
      <c r="B18" s="8" t="s">
        <v>18</v>
      </c>
      <c r="C18" s="8">
        <v>0.3</v>
      </c>
      <c r="D18" s="13">
        <v>0.93680555555555556</v>
      </c>
      <c r="E18" s="81" t="s">
        <v>62</v>
      </c>
      <c r="F18" s="9">
        <f>CPUE!F18*Effort!F18</f>
        <v>7737.1676906865814</v>
      </c>
      <c r="G18" s="8"/>
      <c r="H18" s="9">
        <v>6880.9521075279099</v>
      </c>
      <c r="I18" s="8"/>
      <c r="J18" s="9" t="s">
        <v>10</v>
      </c>
      <c r="K18" s="8"/>
      <c r="L18" s="9" t="s">
        <v>10</v>
      </c>
      <c r="M18" s="8"/>
      <c r="N18" s="9" t="s">
        <v>10</v>
      </c>
      <c r="O18" s="9">
        <f t="shared" si="0"/>
        <v>14618.119798214491</v>
      </c>
    </row>
    <row r="19" spans="1:17" x14ac:dyDescent="0.25">
      <c r="A19" s="82"/>
      <c r="E19" s="81"/>
      <c r="G19" s="8"/>
      <c r="I19" s="8"/>
      <c r="K19" s="8"/>
      <c r="M19" s="8"/>
      <c r="N19" s="9"/>
    </row>
    <row r="20" spans="1:17" x14ac:dyDescent="0.25">
      <c r="A20" s="82">
        <v>44858</v>
      </c>
      <c r="B20" s="8" t="s">
        <v>21</v>
      </c>
      <c r="C20" s="8">
        <v>0</v>
      </c>
      <c r="D20" s="13">
        <v>0.78055555555555556</v>
      </c>
      <c r="E20" s="81"/>
      <c r="F20" s="9">
        <f>CPUE!F20*Effort!F20</f>
        <v>13759.097492642939</v>
      </c>
      <c r="G20" s="8"/>
      <c r="H20" s="9">
        <v>11335.032030526199</v>
      </c>
      <c r="I20" s="8"/>
      <c r="J20" s="9">
        <v>17932.356336452602</v>
      </c>
      <c r="K20" s="8"/>
      <c r="L20" s="9" t="s">
        <v>10</v>
      </c>
      <c r="M20" s="8"/>
      <c r="N20" s="9" t="s">
        <v>10</v>
      </c>
      <c r="O20" s="9">
        <f t="shared" ref="O20:O26" si="1">SUM(F20:N20)</f>
        <v>43026.485859621738</v>
      </c>
    </row>
    <row r="21" spans="1:17" x14ac:dyDescent="0.25">
      <c r="A21" s="82">
        <v>44859</v>
      </c>
      <c r="B21" s="8" t="s">
        <v>22</v>
      </c>
      <c r="C21" s="8">
        <v>-0.6</v>
      </c>
      <c r="D21" s="13">
        <v>0.80833333333333324</v>
      </c>
      <c r="E21" s="81"/>
      <c r="F21" s="9">
        <f>CPUE!F21*Effort!F21</f>
        <v>3178.7691694314926</v>
      </c>
      <c r="G21" s="8"/>
      <c r="H21" s="9">
        <v>5415.1711877566804</v>
      </c>
      <c r="I21" s="8"/>
      <c r="J21" s="9" t="s">
        <v>10</v>
      </c>
      <c r="K21" s="8"/>
      <c r="L21" s="9" t="s">
        <v>10</v>
      </c>
      <c r="M21" s="8"/>
      <c r="N21" s="9" t="s">
        <v>10</v>
      </c>
      <c r="O21" s="9">
        <f t="shared" si="1"/>
        <v>8593.9403571881739</v>
      </c>
    </row>
    <row r="22" spans="1:17" x14ac:dyDescent="0.25">
      <c r="A22" s="82">
        <v>44860</v>
      </c>
      <c r="B22" s="8" t="s">
        <v>23</v>
      </c>
      <c r="C22" s="8">
        <v>-1</v>
      </c>
      <c r="D22" s="13">
        <v>0.83680555555555547</v>
      </c>
      <c r="E22" s="81"/>
      <c r="F22" s="9">
        <f>4021.49690744578+6189.89090622317</f>
        <v>10211.387813668949</v>
      </c>
      <c r="G22" s="8" t="s">
        <v>62</v>
      </c>
      <c r="H22" s="9">
        <f>CPUE!H22*Effort!H22</f>
        <v>7474.2518258366981</v>
      </c>
      <c r="I22" s="8"/>
      <c r="J22" s="9">
        <v>7341.4864025517099</v>
      </c>
      <c r="K22" s="8"/>
      <c r="L22" s="9" t="s">
        <v>10</v>
      </c>
      <c r="M22" s="8"/>
      <c r="N22" s="9" t="s">
        <v>10</v>
      </c>
      <c r="O22" s="9">
        <f t="shared" si="1"/>
        <v>25027.126042057356</v>
      </c>
    </row>
    <row r="23" spans="1:17" x14ac:dyDescent="0.25">
      <c r="A23" s="82">
        <v>44861</v>
      </c>
      <c r="B23" s="8" t="s">
        <v>24</v>
      </c>
      <c r="C23" s="8">
        <v>-1.1000000000000001</v>
      </c>
      <c r="D23" s="13">
        <v>0.8666666666666667</v>
      </c>
      <c r="E23" s="81" t="s">
        <v>62</v>
      </c>
      <c r="F23" s="9">
        <f>CPUE!F23*Effort!F23</f>
        <v>4884.647944274122</v>
      </c>
      <c r="G23" s="8"/>
      <c r="H23" s="9">
        <v>4772.0198930447395</v>
      </c>
      <c r="I23" s="8"/>
      <c r="J23" s="9" t="s">
        <v>10</v>
      </c>
      <c r="K23" s="8"/>
      <c r="L23" s="9" t="s">
        <v>10</v>
      </c>
      <c r="M23" s="8"/>
      <c r="N23" s="9" t="s">
        <v>10</v>
      </c>
      <c r="O23" s="9">
        <f t="shared" si="1"/>
        <v>9656.6678373188624</v>
      </c>
    </row>
    <row r="24" spans="1:17" x14ac:dyDescent="0.25">
      <c r="A24" s="82">
        <v>44862</v>
      </c>
      <c r="B24" s="8" t="s">
        <v>18</v>
      </c>
      <c r="C24" s="8">
        <v>-1</v>
      </c>
      <c r="D24" s="13">
        <v>0.89930555555555547</v>
      </c>
      <c r="E24" s="81"/>
      <c r="F24" s="9">
        <f>CPUE!F24*Effort!F24</f>
        <v>5233.436352630496</v>
      </c>
      <c r="G24" s="8" t="s">
        <v>62</v>
      </c>
      <c r="H24" s="9">
        <f>CPUE!H24*Effort!H24</f>
        <v>8256.3585582193791</v>
      </c>
      <c r="I24" s="8"/>
      <c r="J24" s="9">
        <v>14229.0435522357</v>
      </c>
      <c r="K24" s="8"/>
      <c r="L24" s="9" t="s">
        <v>10</v>
      </c>
      <c r="M24" s="8"/>
      <c r="N24" s="9" t="s">
        <v>10</v>
      </c>
      <c r="O24" s="9">
        <f t="shared" si="1"/>
        <v>27718.838463085576</v>
      </c>
    </row>
    <row r="25" spans="1:17" x14ac:dyDescent="0.25">
      <c r="A25" s="82">
        <v>44863</v>
      </c>
      <c r="B25" s="8" t="s">
        <v>19</v>
      </c>
      <c r="C25" s="8">
        <v>-0.7</v>
      </c>
      <c r="D25" s="13">
        <v>0.93611111111111101</v>
      </c>
      <c r="E25" s="81" t="s">
        <v>62</v>
      </c>
      <c r="F25" s="9">
        <f>CPUE!F25*Effort!F25</f>
        <v>15968.621649619374</v>
      </c>
      <c r="G25" s="8"/>
      <c r="H25" s="9">
        <v>15817.8916322852</v>
      </c>
      <c r="I25" s="8"/>
      <c r="J25" s="9" t="s">
        <v>10</v>
      </c>
      <c r="K25" s="8"/>
      <c r="L25" s="9" t="s">
        <v>10</v>
      </c>
      <c r="M25" s="8"/>
      <c r="N25" s="9" t="s">
        <v>10</v>
      </c>
      <c r="O25" s="9">
        <f t="shared" si="1"/>
        <v>31786.513281904576</v>
      </c>
    </row>
    <row r="26" spans="1:17" x14ac:dyDescent="0.25">
      <c r="A26" s="82">
        <v>44864</v>
      </c>
      <c r="B26" s="8" t="s">
        <v>20</v>
      </c>
      <c r="C26" s="8">
        <v>-0.3</v>
      </c>
      <c r="D26" s="13">
        <v>0.9770833333333333</v>
      </c>
      <c r="E26" s="81" t="s">
        <v>62</v>
      </c>
      <c r="F26" s="9">
        <f>CPUE!F26*Effort!F26</f>
        <v>146.97851853698859</v>
      </c>
      <c r="G26" s="8" t="s">
        <v>62</v>
      </c>
      <c r="H26" s="9">
        <f>CPUE!H26*Effort!H26</f>
        <v>114.08908391768242</v>
      </c>
      <c r="I26" s="8"/>
      <c r="J26" s="9">
        <v>149.99999403953601</v>
      </c>
      <c r="K26" s="8"/>
      <c r="L26" s="9" t="s">
        <v>10</v>
      </c>
      <c r="M26" s="8"/>
      <c r="N26" s="9" t="s">
        <v>10</v>
      </c>
      <c r="O26" s="9">
        <f t="shared" si="1"/>
        <v>411.06759649420701</v>
      </c>
      <c r="Q26" s="20"/>
    </row>
    <row r="27" spans="1:17" x14ac:dyDescent="0.25">
      <c r="A27" s="82"/>
      <c r="E27" s="81"/>
      <c r="G27" s="8"/>
      <c r="I27" s="8"/>
      <c r="K27" s="8"/>
      <c r="M27" s="8"/>
      <c r="N27" s="9"/>
    </row>
    <row r="28" spans="1:17" x14ac:dyDescent="0.25">
      <c r="A28" s="82">
        <v>44871</v>
      </c>
      <c r="B28" s="8" t="s">
        <v>20</v>
      </c>
      <c r="C28" s="8">
        <v>0</v>
      </c>
      <c r="D28" s="13">
        <v>0.71388888888888891</v>
      </c>
      <c r="E28" s="81"/>
      <c r="F28" s="9" t="s">
        <v>10</v>
      </c>
      <c r="G28" s="8"/>
      <c r="H28" s="9" t="s">
        <v>10</v>
      </c>
      <c r="I28" s="8"/>
      <c r="J28" s="9" t="s">
        <v>10</v>
      </c>
      <c r="K28" s="8"/>
      <c r="L28" s="9" t="s">
        <v>10</v>
      </c>
      <c r="M28" s="8"/>
      <c r="N28" s="9" t="s">
        <v>10</v>
      </c>
      <c r="O28" s="9">
        <f t="shared" ref="O28:O72" si="2">SUM(F28:N28)</f>
        <v>0</v>
      </c>
    </row>
    <row r="29" spans="1:17" x14ac:dyDescent="0.25">
      <c r="A29" s="82">
        <v>44872</v>
      </c>
      <c r="B29" s="8" t="s">
        <v>21</v>
      </c>
      <c r="C29" s="8">
        <v>-0.5</v>
      </c>
      <c r="D29" s="13">
        <v>0.74236111111111114</v>
      </c>
      <c r="E29" s="81"/>
      <c r="F29" s="9" t="s">
        <v>10</v>
      </c>
      <c r="G29" s="8"/>
      <c r="H29" s="9" t="s">
        <v>10</v>
      </c>
      <c r="I29" s="8"/>
      <c r="J29" s="9" t="s">
        <v>10</v>
      </c>
      <c r="K29" s="8"/>
      <c r="L29" s="9" t="s">
        <v>10</v>
      </c>
      <c r="M29" s="8"/>
      <c r="N29" s="9" t="s">
        <v>10</v>
      </c>
      <c r="O29" s="9">
        <f t="shared" si="2"/>
        <v>0</v>
      </c>
    </row>
    <row r="30" spans="1:17" x14ac:dyDescent="0.25">
      <c r="A30" s="82">
        <v>44873</v>
      </c>
      <c r="B30" s="8" t="s">
        <v>22</v>
      </c>
      <c r="C30" s="8">
        <v>-0.7</v>
      </c>
      <c r="D30" s="13">
        <v>0.76944444444444438</v>
      </c>
      <c r="E30" s="81"/>
      <c r="F30" s="9" t="s">
        <v>10</v>
      </c>
      <c r="G30" s="8"/>
      <c r="H30" s="9" t="s">
        <v>10</v>
      </c>
      <c r="I30" s="8"/>
      <c r="J30" s="9" t="s">
        <v>10</v>
      </c>
      <c r="K30" s="8"/>
      <c r="L30" s="9" t="s">
        <v>10</v>
      </c>
      <c r="M30" s="8"/>
      <c r="N30" s="9" t="s">
        <v>10</v>
      </c>
      <c r="O30" s="9">
        <f t="shared" si="2"/>
        <v>0</v>
      </c>
    </row>
    <row r="31" spans="1:17" x14ac:dyDescent="0.25">
      <c r="A31" s="82">
        <v>44874</v>
      </c>
      <c r="B31" s="8" t="s">
        <v>23</v>
      </c>
      <c r="C31" s="8">
        <v>-0.7</v>
      </c>
      <c r="D31" s="13">
        <v>0.79513888888888884</v>
      </c>
      <c r="E31" s="81"/>
      <c r="F31" s="9" t="s">
        <v>10</v>
      </c>
      <c r="G31" s="8"/>
      <c r="H31" s="9" t="s">
        <v>10</v>
      </c>
      <c r="I31" s="8"/>
      <c r="J31" s="9" t="s">
        <v>10</v>
      </c>
      <c r="K31" s="8"/>
      <c r="L31" s="9" t="s">
        <v>10</v>
      </c>
      <c r="M31" s="8"/>
      <c r="N31" s="9" t="s">
        <v>10</v>
      </c>
      <c r="O31" s="9">
        <f t="shared" si="2"/>
        <v>0</v>
      </c>
    </row>
    <row r="32" spans="1:17" x14ac:dyDescent="0.25">
      <c r="A32" s="82">
        <v>44875</v>
      </c>
      <c r="B32" s="8" t="s">
        <v>24</v>
      </c>
      <c r="C32" s="8">
        <v>-0.6</v>
      </c>
      <c r="D32" s="13">
        <v>0.8208333333333333</v>
      </c>
      <c r="E32" s="81"/>
      <c r="F32" s="9" t="s">
        <v>10</v>
      </c>
      <c r="G32" s="8"/>
      <c r="H32" s="9" t="s">
        <v>10</v>
      </c>
      <c r="I32" s="8"/>
      <c r="J32" s="9" t="s">
        <v>10</v>
      </c>
      <c r="K32" s="8"/>
      <c r="L32" s="9" t="s">
        <v>10</v>
      </c>
      <c r="M32" s="8"/>
      <c r="N32" s="9" t="s">
        <v>10</v>
      </c>
      <c r="O32" s="9">
        <f t="shared" si="2"/>
        <v>0</v>
      </c>
    </row>
    <row r="33" spans="1:15" x14ac:dyDescent="0.25">
      <c r="A33" s="82">
        <v>44876</v>
      </c>
      <c r="B33" s="8" t="s">
        <v>18</v>
      </c>
      <c r="C33" s="8">
        <v>-0.2</v>
      </c>
      <c r="D33" s="13">
        <v>0.84652777777777777</v>
      </c>
      <c r="E33" s="81"/>
      <c r="F33" s="9" t="s">
        <v>10</v>
      </c>
      <c r="G33" s="8"/>
      <c r="H33" s="9" t="s">
        <v>10</v>
      </c>
      <c r="I33" s="8"/>
      <c r="J33" s="9" t="s">
        <v>10</v>
      </c>
      <c r="K33" s="8"/>
      <c r="L33" s="9" t="s">
        <v>10</v>
      </c>
      <c r="M33" s="8"/>
      <c r="N33" s="9" t="s">
        <v>10</v>
      </c>
      <c r="O33" s="9">
        <f t="shared" si="2"/>
        <v>0</v>
      </c>
    </row>
    <row r="34" spans="1:15" x14ac:dyDescent="0.25">
      <c r="A34" s="82">
        <v>44877</v>
      </c>
      <c r="B34" s="8" t="s">
        <v>19</v>
      </c>
      <c r="C34" s="8">
        <v>0.1</v>
      </c>
      <c r="D34" s="13">
        <v>0.87430555555555556</v>
      </c>
      <c r="E34" s="81"/>
      <c r="F34" s="9" t="s">
        <v>10</v>
      </c>
      <c r="G34" s="8"/>
      <c r="H34" s="9" t="s">
        <v>10</v>
      </c>
      <c r="I34" s="8"/>
      <c r="J34" s="9" t="s">
        <v>10</v>
      </c>
      <c r="K34" s="8"/>
      <c r="L34" s="9" t="s">
        <v>10</v>
      </c>
      <c r="M34" s="8"/>
      <c r="N34" s="9" t="s">
        <v>10</v>
      </c>
      <c r="O34" s="9">
        <f t="shared" si="2"/>
        <v>0</v>
      </c>
    </row>
    <row r="35" spans="1:15" x14ac:dyDescent="0.25">
      <c r="A35" s="82">
        <v>44878</v>
      </c>
      <c r="B35" s="8" t="s">
        <v>20</v>
      </c>
      <c r="C35" s="8">
        <v>0.5</v>
      </c>
      <c r="D35" s="13">
        <v>0.90486111111111101</v>
      </c>
      <c r="E35" s="81"/>
      <c r="F35" s="9" t="s">
        <v>10</v>
      </c>
      <c r="G35" s="8"/>
      <c r="H35" s="9" t="s">
        <v>10</v>
      </c>
      <c r="I35" s="8"/>
      <c r="J35" s="9" t="s">
        <v>10</v>
      </c>
      <c r="K35" s="8"/>
      <c r="L35" s="9" t="s">
        <v>10</v>
      </c>
      <c r="M35" s="8"/>
      <c r="N35" s="9" t="s">
        <v>10</v>
      </c>
      <c r="O35" s="9">
        <f t="shared" si="2"/>
        <v>0</v>
      </c>
    </row>
    <row r="36" spans="1:15" x14ac:dyDescent="0.25">
      <c r="A36" s="82"/>
      <c r="E36" s="81"/>
      <c r="G36" s="8"/>
      <c r="I36" s="8"/>
      <c r="K36" s="8"/>
      <c r="M36" s="8"/>
      <c r="N36" s="9"/>
    </row>
    <row r="37" spans="1:15" x14ac:dyDescent="0.25">
      <c r="A37" s="82">
        <v>44887</v>
      </c>
      <c r="B37" s="8" t="s">
        <v>22</v>
      </c>
      <c r="C37" s="8">
        <v>-0.6</v>
      </c>
      <c r="D37" s="13">
        <v>0.72361111111111109</v>
      </c>
      <c r="E37" s="81"/>
      <c r="F37" s="9" t="s">
        <v>10</v>
      </c>
      <c r="G37" s="8"/>
      <c r="H37" s="9" t="s">
        <v>10</v>
      </c>
      <c r="I37" s="8"/>
      <c r="J37" s="9" t="s">
        <v>10</v>
      </c>
      <c r="K37" s="8"/>
      <c r="L37" s="9" t="s">
        <v>10</v>
      </c>
      <c r="M37" s="8"/>
      <c r="N37" s="9" t="s">
        <v>10</v>
      </c>
      <c r="O37" s="9">
        <f t="shared" si="2"/>
        <v>0</v>
      </c>
    </row>
    <row r="38" spans="1:15" x14ac:dyDescent="0.25">
      <c r="A38" s="82">
        <v>44888</v>
      </c>
      <c r="B38" s="8" t="s">
        <v>23</v>
      </c>
      <c r="C38" s="8">
        <v>-1.2</v>
      </c>
      <c r="D38" s="13">
        <v>0.75277777777777777</v>
      </c>
      <c r="E38" s="81"/>
      <c r="F38" s="9" t="s">
        <v>10</v>
      </c>
      <c r="G38" s="8"/>
      <c r="H38" s="9" t="s">
        <v>10</v>
      </c>
      <c r="I38" s="8"/>
      <c r="J38" s="9" t="s">
        <v>10</v>
      </c>
      <c r="K38" s="8"/>
      <c r="L38" s="9" t="s">
        <v>10</v>
      </c>
      <c r="M38" s="8"/>
      <c r="N38" s="9" t="s">
        <v>10</v>
      </c>
      <c r="O38" s="9">
        <f t="shared" si="2"/>
        <v>0</v>
      </c>
    </row>
    <row r="39" spans="1:15" x14ac:dyDescent="0.25">
      <c r="A39" s="82">
        <v>44889</v>
      </c>
      <c r="B39" s="8" t="s">
        <v>24</v>
      </c>
      <c r="C39" s="8">
        <v>-1.6</v>
      </c>
      <c r="D39" s="13">
        <v>0.78333333333333333</v>
      </c>
      <c r="E39" s="81"/>
      <c r="F39" s="9" t="s">
        <v>10</v>
      </c>
      <c r="G39" s="8"/>
      <c r="H39" s="9" t="s">
        <v>10</v>
      </c>
      <c r="I39" s="8"/>
      <c r="J39" s="9" t="s">
        <v>10</v>
      </c>
      <c r="K39" s="8"/>
      <c r="L39" s="9" t="s">
        <v>10</v>
      </c>
      <c r="M39" s="8"/>
      <c r="N39" s="9" t="s">
        <v>10</v>
      </c>
      <c r="O39" s="9">
        <f t="shared" si="2"/>
        <v>0</v>
      </c>
    </row>
    <row r="40" spans="1:15" x14ac:dyDescent="0.25">
      <c r="A40" s="82">
        <v>44890</v>
      </c>
      <c r="B40" s="8" t="s">
        <v>18</v>
      </c>
      <c r="C40" s="8">
        <v>-1.6</v>
      </c>
      <c r="D40" s="13">
        <v>0.81597222222222221</v>
      </c>
      <c r="E40" s="81"/>
      <c r="F40" s="9" t="s">
        <v>10</v>
      </c>
      <c r="G40" s="8"/>
      <c r="H40" s="9" t="s">
        <v>10</v>
      </c>
      <c r="I40" s="8"/>
      <c r="J40" s="9" t="s">
        <v>10</v>
      </c>
      <c r="K40" s="8"/>
      <c r="L40" s="9" t="s">
        <v>10</v>
      </c>
      <c r="M40" s="8"/>
      <c r="N40" s="9" t="s">
        <v>10</v>
      </c>
      <c r="O40" s="9">
        <f t="shared" si="2"/>
        <v>0</v>
      </c>
    </row>
    <row r="41" spans="1:15" x14ac:dyDescent="0.25">
      <c r="A41" s="82">
        <v>44891</v>
      </c>
      <c r="B41" s="8" t="s">
        <v>19</v>
      </c>
      <c r="C41" s="8">
        <v>-1.5</v>
      </c>
      <c r="D41" s="13">
        <v>0.84930555555555554</v>
      </c>
      <c r="E41" s="81"/>
      <c r="F41" s="9" t="s">
        <v>10</v>
      </c>
      <c r="G41" s="8"/>
      <c r="H41" s="9" t="s">
        <v>10</v>
      </c>
      <c r="I41" s="8"/>
      <c r="J41" s="9" t="s">
        <v>10</v>
      </c>
      <c r="K41" s="8"/>
      <c r="L41" s="9" t="s">
        <v>10</v>
      </c>
      <c r="M41" s="8"/>
      <c r="N41" s="9" t="s">
        <v>10</v>
      </c>
      <c r="O41" s="9">
        <f t="shared" si="2"/>
        <v>0</v>
      </c>
    </row>
    <row r="42" spans="1:15" x14ac:dyDescent="0.25">
      <c r="A42" s="82">
        <v>44892</v>
      </c>
      <c r="B42" s="8" t="s">
        <v>20</v>
      </c>
      <c r="C42" s="8">
        <v>-1.1000000000000001</v>
      </c>
      <c r="D42" s="13">
        <v>0.88541666666666663</v>
      </c>
      <c r="E42" s="81"/>
      <c r="F42" s="9" t="s">
        <v>10</v>
      </c>
      <c r="G42" s="8"/>
      <c r="H42" s="9" t="s">
        <v>10</v>
      </c>
      <c r="I42" s="8"/>
      <c r="J42" s="9" t="s">
        <v>10</v>
      </c>
      <c r="K42" s="8"/>
      <c r="L42" s="9" t="s">
        <v>10</v>
      </c>
      <c r="M42" s="8"/>
      <c r="N42" s="9" t="s">
        <v>10</v>
      </c>
      <c r="O42" s="9">
        <f t="shared" si="2"/>
        <v>0</v>
      </c>
    </row>
    <row r="43" spans="1:15" x14ac:dyDescent="0.25">
      <c r="A43" s="82">
        <v>44893</v>
      </c>
      <c r="B43" s="8" t="s">
        <v>21</v>
      </c>
      <c r="C43" s="8">
        <v>-0.5</v>
      </c>
      <c r="D43" s="13">
        <v>0.92361111111111116</v>
      </c>
      <c r="E43" s="81"/>
      <c r="F43" s="9" t="s">
        <v>10</v>
      </c>
      <c r="G43" s="8"/>
      <c r="H43" s="9" t="s">
        <v>10</v>
      </c>
      <c r="I43" s="8"/>
      <c r="J43" s="9" t="s">
        <v>10</v>
      </c>
      <c r="K43" s="8"/>
      <c r="L43" s="9" t="s">
        <v>10</v>
      </c>
      <c r="M43" s="8"/>
      <c r="N43" s="9" t="s">
        <v>10</v>
      </c>
      <c r="O43" s="9">
        <f t="shared" si="2"/>
        <v>0</v>
      </c>
    </row>
    <row r="44" spans="1:15" x14ac:dyDescent="0.25">
      <c r="A44" s="82"/>
      <c r="E44" s="81"/>
      <c r="G44" s="8"/>
      <c r="I44" s="8"/>
      <c r="K44" s="8"/>
      <c r="M44" s="8"/>
      <c r="N44" s="9"/>
    </row>
    <row r="45" spans="1:15" x14ac:dyDescent="0.25">
      <c r="A45" s="82">
        <v>44899</v>
      </c>
      <c r="B45" s="8" t="s">
        <v>20</v>
      </c>
      <c r="C45" s="8">
        <v>0.4</v>
      </c>
      <c r="D45" s="13">
        <v>0.67291666666666661</v>
      </c>
      <c r="E45" s="81"/>
      <c r="F45" s="9" t="s">
        <v>10</v>
      </c>
      <c r="G45" s="8"/>
      <c r="H45" s="9" t="s">
        <v>10</v>
      </c>
      <c r="I45" s="8"/>
      <c r="J45" s="9" t="s">
        <v>10</v>
      </c>
      <c r="K45" s="8"/>
      <c r="L45" s="9" t="s">
        <v>10</v>
      </c>
      <c r="M45" s="8"/>
      <c r="N45" s="9" t="s">
        <v>10</v>
      </c>
      <c r="O45" s="9">
        <f t="shared" si="2"/>
        <v>0</v>
      </c>
    </row>
    <row r="46" spans="1:15" x14ac:dyDescent="0.25">
      <c r="A46" s="82">
        <v>44900</v>
      </c>
      <c r="B46" s="8" t="s">
        <v>21</v>
      </c>
      <c r="C46" s="8">
        <v>-0.1</v>
      </c>
      <c r="D46" s="13">
        <v>0.70347222222222217</v>
      </c>
      <c r="E46" s="81"/>
      <c r="F46" s="9" t="s">
        <v>10</v>
      </c>
      <c r="G46" s="8"/>
      <c r="H46" s="9" t="s">
        <v>10</v>
      </c>
      <c r="I46" s="8"/>
      <c r="J46" s="9" t="s">
        <v>10</v>
      </c>
      <c r="K46" s="8"/>
      <c r="L46" s="9" t="s">
        <v>10</v>
      </c>
      <c r="M46" s="8"/>
      <c r="N46" s="9" t="s">
        <v>10</v>
      </c>
      <c r="O46" s="9">
        <f t="shared" si="2"/>
        <v>0</v>
      </c>
    </row>
    <row r="47" spans="1:15" x14ac:dyDescent="0.25">
      <c r="A47" s="82">
        <v>44901</v>
      </c>
      <c r="B47" s="8" t="s">
        <v>22</v>
      </c>
      <c r="C47" s="8">
        <v>-0.5</v>
      </c>
      <c r="D47" s="13">
        <v>0.73125000000000007</v>
      </c>
      <c r="E47" s="81"/>
      <c r="F47" s="9" t="s">
        <v>10</v>
      </c>
      <c r="G47" s="8"/>
      <c r="H47" s="9" t="s">
        <v>10</v>
      </c>
      <c r="I47" s="8"/>
      <c r="J47" s="9" t="s">
        <v>10</v>
      </c>
      <c r="K47" s="8"/>
      <c r="L47" s="9" t="s">
        <v>10</v>
      </c>
      <c r="M47" s="8"/>
      <c r="N47" s="9" t="s">
        <v>10</v>
      </c>
      <c r="O47" s="9">
        <f t="shared" si="2"/>
        <v>0</v>
      </c>
    </row>
    <row r="48" spans="1:15" x14ac:dyDescent="0.25">
      <c r="A48" s="82">
        <v>44902</v>
      </c>
      <c r="B48" s="8" t="s">
        <v>23</v>
      </c>
      <c r="C48" s="8">
        <v>-0.6</v>
      </c>
      <c r="D48" s="13">
        <v>0.75763888888888886</v>
      </c>
      <c r="E48" s="81"/>
      <c r="F48" s="9" t="s">
        <v>10</v>
      </c>
      <c r="G48" s="8"/>
      <c r="H48" s="9" t="s">
        <v>10</v>
      </c>
      <c r="I48" s="8"/>
      <c r="J48" s="9" t="s">
        <v>10</v>
      </c>
      <c r="K48" s="8"/>
      <c r="L48" s="9" t="s">
        <v>10</v>
      </c>
      <c r="M48" s="8"/>
      <c r="N48" s="9" t="s">
        <v>10</v>
      </c>
      <c r="O48" s="9">
        <f t="shared" si="2"/>
        <v>0</v>
      </c>
    </row>
    <row r="49" spans="1:15" x14ac:dyDescent="0.25">
      <c r="A49" s="82">
        <v>44903</v>
      </c>
      <c r="B49" s="8" t="s">
        <v>24</v>
      </c>
      <c r="C49" s="8">
        <v>-0.6</v>
      </c>
      <c r="D49" s="13">
        <v>0.78263888888888899</v>
      </c>
      <c r="E49" s="81"/>
      <c r="F49" s="9" t="s">
        <v>10</v>
      </c>
      <c r="G49" s="8"/>
      <c r="H49" s="9" t="s">
        <v>10</v>
      </c>
      <c r="I49" s="8"/>
      <c r="J49" s="9" t="s">
        <v>10</v>
      </c>
      <c r="K49" s="8"/>
      <c r="L49" s="9" t="s">
        <v>10</v>
      </c>
      <c r="M49" s="8"/>
      <c r="N49" s="9" t="s">
        <v>10</v>
      </c>
      <c r="O49" s="9">
        <f t="shared" si="2"/>
        <v>0</v>
      </c>
    </row>
    <row r="50" spans="1:15" x14ac:dyDescent="0.25">
      <c r="A50" s="82">
        <v>44904</v>
      </c>
      <c r="B50" s="8" t="s">
        <v>18</v>
      </c>
      <c r="C50" s="8">
        <v>-0.5</v>
      </c>
      <c r="D50" s="13">
        <v>0.80763888888888891</v>
      </c>
      <c r="E50" s="81"/>
      <c r="F50" s="9" t="s">
        <v>10</v>
      </c>
      <c r="G50" s="8"/>
      <c r="H50" s="9" t="s">
        <v>10</v>
      </c>
      <c r="I50" s="8"/>
      <c r="J50" s="9" t="s">
        <v>10</v>
      </c>
      <c r="K50" s="8"/>
      <c r="L50" s="9" t="s">
        <v>10</v>
      </c>
      <c r="M50" s="8"/>
      <c r="N50" s="9" t="s">
        <v>10</v>
      </c>
      <c r="O50" s="9">
        <f t="shared" si="2"/>
        <v>0</v>
      </c>
    </row>
    <row r="51" spans="1:15" x14ac:dyDescent="0.25">
      <c r="A51" s="82">
        <v>44905</v>
      </c>
      <c r="B51" s="8" t="s">
        <v>19</v>
      </c>
      <c r="C51" s="8">
        <v>-0.3</v>
      </c>
      <c r="D51" s="13">
        <v>0.83263888888888893</v>
      </c>
      <c r="E51" s="81"/>
      <c r="F51" s="9" t="s">
        <v>10</v>
      </c>
      <c r="G51" s="8"/>
      <c r="H51" s="9" t="s">
        <v>10</v>
      </c>
      <c r="I51" s="8"/>
      <c r="J51" s="9" t="s">
        <v>10</v>
      </c>
      <c r="K51" s="8"/>
      <c r="L51" s="9" t="s">
        <v>10</v>
      </c>
      <c r="M51" s="8"/>
      <c r="N51" s="9" t="s">
        <v>10</v>
      </c>
      <c r="O51" s="9">
        <f t="shared" si="2"/>
        <v>0</v>
      </c>
    </row>
    <row r="52" spans="1:15" x14ac:dyDescent="0.25">
      <c r="A52" s="82">
        <v>44906</v>
      </c>
      <c r="B52" s="8" t="s">
        <v>20</v>
      </c>
      <c r="C52" s="8">
        <v>0</v>
      </c>
      <c r="D52" s="13">
        <v>0.85763888888888884</v>
      </c>
      <c r="E52" s="81"/>
      <c r="F52" s="9" t="s">
        <v>10</v>
      </c>
      <c r="G52" s="8"/>
      <c r="H52" s="9" t="s">
        <v>10</v>
      </c>
      <c r="I52" s="8"/>
      <c r="J52" s="9" t="s">
        <v>10</v>
      </c>
      <c r="K52" s="8"/>
      <c r="L52" s="9" t="s">
        <v>10</v>
      </c>
      <c r="M52" s="8"/>
      <c r="N52" s="9" t="s">
        <v>10</v>
      </c>
      <c r="O52" s="9">
        <f t="shared" si="2"/>
        <v>0</v>
      </c>
    </row>
    <row r="53" spans="1:15" x14ac:dyDescent="0.25">
      <c r="A53" s="82">
        <v>44907</v>
      </c>
      <c r="B53" s="8" t="s">
        <v>21</v>
      </c>
      <c r="C53" s="8">
        <v>0.3</v>
      </c>
      <c r="D53" s="13">
        <v>0.88402777777777775</v>
      </c>
      <c r="E53" s="81"/>
      <c r="F53" s="9" t="s">
        <v>10</v>
      </c>
      <c r="G53" s="8"/>
      <c r="H53" s="9" t="s">
        <v>10</v>
      </c>
      <c r="I53" s="8"/>
      <c r="J53" s="9" t="s">
        <v>10</v>
      </c>
      <c r="K53" s="8"/>
      <c r="L53" s="9" t="s">
        <v>10</v>
      </c>
      <c r="M53" s="8"/>
      <c r="N53" s="9" t="s">
        <v>10</v>
      </c>
      <c r="O53" s="9">
        <f t="shared" si="2"/>
        <v>0</v>
      </c>
    </row>
    <row r="54" spans="1:15" x14ac:dyDescent="0.25">
      <c r="A54" s="82"/>
      <c r="E54" s="81"/>
      <c r="G54" s="8"/>
      <c r="I54" s="8"/>
      <c r="K54" s="8"/>
      <c r="M54" s="8"/>
      <c r="N54" s="9"/>
    </row>
    <row r="55" spans="1:15" x14ac:dyDescent="0.25">
      <c r="A55" s="82">
        <v>44915</v>
      </c>
      <c r="B55" s="8" t="s">
        <v>22</v>
      </c>
      <c r="C55" s="8">
        <v>0</v>
      </c>
      <c r="D55" s="13">
        <v>0.67638888888888893</v>
      </c>
      <c r="E55" s="81"/>
      <c r="F55" s="9" t="s">
        <v>10</v>
      </c>
      <c r="G55" s="8"/>
      <c r="H55" s="9" t="s">
        <v>10</v>
      </c>
      <c r="I55" s="8"/>
      <c r="J55" s="9" t="s">
        <v>10</v>
      </c>
      <c r="K55" s="8"/>
      <c r="L55" s="9" t="s">
        <v>10</v>
      </c>
      <c r="M55" s="8"/>
      <c r="N55" s="9" t="s">
        <v>10</v>
      </c>
      <c r="O55" s="9">
        <f t="shared" si="2"/>
        <v>0</v>
      </c>
    </row>
    <row r="56" spans="1:15" x14ac:dyDescent="0.25">
      <c r="A56" s="82">
        <v>44916</v>
      </c>
      <c r="B56" s="8" t="s">
        <v>23</v>
      </c>
      <c r="C56" s="8">
        <v>-0.8</v>
      </c>
      <c r="D56" s="13">
        <v>0.70972222222222225</v>
      </c>
      <c r="E56" s="81"/>
      <c r="F56" s="9" t="s">
        <v>10</v>
      </c>
      <c r="G56" s="8"/>
      <c r="H56" s="9" t="s">
        <v>10</v>
      </c>
      <c r="I56" s="8"/>
      <c r="J56" s="9" t="s">
        <v>10</v>
      </c>
      <c r="K56" s="8"/>
      <c r="L56" s="9" t="s">
        <v>10</v>
      </c>
      <c r="M56" s="8"/>
      <c r="N56" s="9" t="s">
        <v>10</v>
      </c>
      <c r="O56" s="9">
        <f t="shared" si="2"/>
        <v>0</v>
      </c>
    </row>
    <row r="57" spans="1:15" x14ac:dyDescent="0.25">
      <c r="A57" s="82">
        <v>44917</v>
      </c>
      <c r="B57" s="8" t="s">
        <v>24</v>
      </c>
      <c r="C57" s="8">
        <v>-1.4</v>
      </c>
      <c r="D57" s="13">
        <v>0.7416666666666667</v>
      </c>
      <c r="E57" s="81"/>
      <c r="F57" s="9" t="s">
        <v>10</v>
      </c>
      <c r="G57" s="8"/>
      <c r="H57" s="9" t="s">
        <v>10</v>
      </c>
      <c r="I57" s="8"/>
      <c r="J57" s="9" t="s">
        <v>10</v>
      </c>
      <c r="K57" s="8"/>
      <c r="L57" s="9" t="s">
        <v>10</v>
      </c>
      <c r="M57" s="8"/>
      <c r="N57" s="9" t="s">
        <v>10</v>
      </c>
      <c r="O57" s="9">
        <f t="shared" si="2"/>
        <v>0</v>
      </c>
    </row>
    <row r="58" spans="1:15" x14ac:dyDescent="0.25">
      <c r="A58" s="82">
        <v>44918</v>
      </c>
      <c r="B58" s="8" t="s">
        <v>18</v>
      </c>
      <c r="C58" s="8">
        <v>-1.8</v>
      </c>
      <c r="D58" s="13">
        <v>0.77430555555555547</v>
      </c>
      <c r="E58" s="81"/>
      <c r="F58" s="9" t="s">
        <v>10</v>
      </c>
      <c r="G58" s="8"/>
      <c r="H58" s="9" t="s">
        <v>10</v>
      </c>
      <c r="I58" s="8"/>
      <c r="J58" s="9" t="s">
        <v>10</v>
      </c>
      <c r="K58" s="8"/>
      <c r="L58" s="9" t="s">
        <v>10</v>
      </c>
      <c r="M58" s="8"/>
      <c r="N58" s="9" t="s">
        <v>10</v>
      </c>
      <c r="O58" s="9">
        <f t="shared" si="2"/>
        <v>0</v>
      </c>
    </row>
    <row r="59" spans="1:15" x14ac:dyDescent="0.25">
      <c r="A59" s="82">
        <v>44919</v>
      </c>
      <c r="B59" s="8" t="s">
        <v>19</v>
      </c>
      <c r="C59" s="8">
        <v>-1.9</v>
      </c>
      <c r="D59" s="13">
        <v>0.80763888888888891</v>
      </c>
      <c r="E59" s="81"/>
      <c r="F59" s="9" t="s">
        <v>10</v>
      </c>
      <c r="G59" s="8"/>
      <c r="H59" s="9" t="s">
        <v>10</v>
      </c>
      <c r="I59" s="8"/>
      <c r="J59" s="9" t="s">
        <v>10</v>
      </c>
      <c r="K59" s="8"/>
      <c r="L59" s="9" t="s">
        <v>10</v>
      </c>
      <c r="M59" s="8"/>
      <c r="N59" s="9" t="s">
        <v>10</v>
      </c>
      <c r="O59" s="9">
        <f t="shared" si="2"/>
        <v>0</v>
      </c>
    </row>
    <row r="60" spans="1:15" x14ac:dyDescent="0.25">
      <c r="A60" s="82">
        <v>44920</v>
      </c>
      <c r="B60" s="8" t="s">
        <v>20</v>
      </c>
      <c r="C60" s="8">
        <v>-1.6</v>
      </c>
      <c r="D60" s="13">
        <v>0.84027777777777779</v>
      </c>
      <c r="E60" s="81"/>
      <c r="F60" s="9" t="s">
        <v>10</v>
      </c>
      <c r="G60" s="8"/>
      <c r="H60" s="9" t="s">
        <v>10</v>
      </c>
      <c r="I60" s="8"/>
      <c r="J60" s="9" t="s">
        <v>10</v>
      </c>
      <c r="K60" s="8"/>
      <c r="L60" s="9" t="s">
        <v>10</v>
      </c>
      <c r="M60" s="8"/>
      <c r="N60" s="9" t="s">
        <v>10</v>
      </c>
      <c r="O60" s="9">
        <f t="shared" si="2"/>
        <v>0</v>
      </c>
    </row>
    <row r="61" spans="1:15" x14ac:dyDescent="0.25">
      <c r="A61" s="82">
        <v>44921</v>
      </c>
      <c r="B61" s="8" t="s">
        <v>21</v>
      </c>
      <c r="C61" s="8">
        <v>-1.2</v>
      </c>
      <c r="D61" s="13">
        <v>0.87361111111111101</v>
      </c>
      <c r="E61" s="81"/>
      <c r="F61" s="9" t="s">
        <v>10</v>
      </c>
      <c r="G61" s="8"/>
      <c r="H61" s="9" t="s">
        <v>10</v>
      </c>
      <c r="I61" s="8"/>
      <c r="J61" s="9" t="s">
        <v>10</v>
      </c>
      <c r="K61" s="8"/>
      <c r="L61" s="9" t="s">
        <v>10</v>
      </c>
      <c r="M61" s="8"/>
      <c r="N61" s="9" t="s">
        <v>10</v>
      </c>
      <c r="O61" s="9">
        <f t="shared" si="2"/>
        <v>0</v>
      </c>
    </row>
    <row r="62" spans="1:15" x14ac:dyDescent="0.25">
      <c r="A62" s="82">
        <v>44922</v>
      </c>
      <c r="B62" s="8" t="s">
        <v>22</v>
      </c>
      <c r="C62" s="8">
        <v>-0.5</v>
      </c>
      <c r="D62" s="13">
        <v>0.90763888888888899</v>
      </c>
      <c r="E62" s="81"/>
      <c r="F62" s="9" t="s">
        <v>10</v>
      </c>
      <c r="G62" s="8"/>
      <c r="H62" s="9" t="s">
        <v>10</v>
      </c>
      <c r="I62" s="8"/>
      <c r="J62" s="9" t="s">
        <v>10</v>
      </c>
      <c r="K62" s="8"/>
      <c r="L62" s="9" t="s">
        <v>10</v>
      </c>
      <c r="M62" s="8"/>
      <c r="N62" s="9" t="s">
        <v>10</v>
      </c>
      <c r="O62" s="9">
        <f t="shared" si="2"/>
        <v>0</v>
      </c>
    </row>
    <row r="63" spans="1:15" x14ac:dyDescent="0.25">
      <c r="A63" s="82">
        <v>44923</v>
      </c>
      <c r="B63" s="8" t="s">
        <v>23</v>
      </c>
      <c r="C63" s="8">
        <v>0.3</v>
      </c>
      <c r="D63" s="13">
        <v>0.94236111111111109</v>
      </c>
      <c r="E63" s="81"/>
      <c r="F63" s="9" t="s">
        <v>10</v>
      </c>
      <c r="G63" s="8"/>
      <c r="H63" s="9" t="s">
        <v>10</v>
      </c>
      <c r="I63" s="8"/>
      <c r="J63" s="9" t="s">
        <v>10</v>
      </c>
      <c r="K63" s="8"/>
      <c r="L63" s="9" t="s">
        <v>10</v>
      </c>
      <c r="M63" s="8"/>
      <c r="N63" s="9" t="s">
        <v>10</v>
      </c>
      <c r="O63" s="9">
        <f t="shared" si="2"/>
        <v>0</v>
      </c>
    </row>
    <row r="64" spans="1:15" x14ac:dyDescent="0.25">
      <c r="A64" s="82"/>
      <c r="E64" s="81"/>
      <c r="G64" s="8"/>
      <c r="I64" s="8"/>
      <c r="K64" s="8"/>
      <c r="M64" s="8"/>
      <c r="N64" s="9"/>
    </row>
    <row r="65" spans="1:15" x14ac:dyDescent="0.25">
      <c r="A65" s="82">
        <v>44928</v>
      </c>
      <c r="B65" s="8" t="s">
        <v>21</v>
      </c>
      <c r="C65" s="8">
        <v>0.5</v>
      </c>
      <c r="D65" s="13">
        <v>0.65763888888888888</v>
      </c>
      <c r="E65" s="81"/>
      <c r="F65" s="9" t="s">
        <v>10</v>
      </c>
      <c r="G65" s="8"/>
      <c r="H65" s="9" t="s">
        <v>10</v>
      </c>
      <c r="I65" s="8"/>
      <c r="J65" s="9" t="s">
        <v>10</v>
      </c>
      <c r="K65" s="8"/>
      <c r="L65" s="9" t="s">
        <v>10</v>
      </c>
      <c r="M65" s="8"/>
      <c r="N65" s="9" t="s">
        <v>10</v>
      </c>
      <c r="O65" s="9">
        <f t="shared" si="2"/>
        <v>0</v>
      </c>
    </row>
    <row r="66" spans="1:15" x14ac:dyDescent="0.25">
      <c r="A66" s="82">
        <v>44929</v>
      </c>
      <c r="B66" s="8" t="s">
        <v>22</v>
      </c>
      <c r="C66" s="8">
        <v>0.1</v>
      </c>
      <c r="D66" s="13">
        <v>0.69027777777777777</v>
      </c>
      <c r="E66" s="81"/>
      <c r="F66" s="9" t="s">
        <v>10</v>
      </c>
      <c r="G66" s="8"/>
      <c r="H66" s="9" t="s">
        <v>10</v>
      </c>
      <c r="I66" s="8"/>
      <c r="J66" s="9" t="s">
        <v>10</v>
      </c>
      <c r="K66" s="8"/>
      <c r="L66" s="9" t="s">
        <v>10</v>
      </c>
      <c r="M66" s="8"/>
      <c r="N66" s="9" t="s">
        <v>10</v>
      </c>
      <c r="O66" s="9">
        <f t="shared" si="2"/>
        <v>0</v>
      </c>
    </row>
    <row r="67" spans="1:15" x14ac:dyDescent="0.25">
      <c r="A67" s="82">
        <v>44930</v>
      </c>
      <c r="B67" s="8" t="s">
        <v>23</v>
      </c>
      <c r="C67" s="8">
        <v>-0.1</v>
      </c>
      <c r="D67" s="13">
        <v>0.71944444444444444</v>
      </c>
      <c r="E67" s="81"/>
      <c r="F67" s="9" t="s">
        <v>10</v>
      </c>
      <c r="G67" s="8"/>
      <c r="H67" s="9" t="s">
        <v>10</v>
      </c>
      <c r="I67" s="8"/>
      <c r="J67" s="9" t="s">
        <v>10</v>
      </c>
      <c r="K67" s="8"/>
      <c r="L67" s="9" t="s">
        <v>10</v>
      </c>
      <c r="M67" s="8"/>
      <c r="N67" s="9" t="s">
        <v>10</v>
      </c>
      <c r="O67" s="9">
        <f t="shared" si="2"/>
        <v>0</v>
      </c>
    </row>
    <row r="68" spans="1:15" x14ac:dyDescent="0.25">
      <c r="A68" s="82">
        <v>44931</v>
      </c>
      <c r="B68" s="8" t="s">
        <v>24</v>
      </c>
      <c r="C68" s="8">
        <v>-0.3</v>
      </c>
      <c r="D68" s="13">
        <v>0.74583333333333324</v>
      </c>
      <c r="E68" s="81"/>
      <c r="F68" s="9" t="s">
        <v>10</v>
      </c>
      <c r="G68" s="8"/>
      <c r="H68" s="9" t="s">
        <v>10</v>
      </c>
      <c r="I68" s="8"/>
      <c r="J68" s="9" t="s">
        <v>10</v>
      </c>
      <c r="K68" s="8"/>
      <c r="L68" s="9" t="s">
        <v>10</v>
      </c>
      <c r="M68" s="8"/>
      <c r="N68" s="9" t="s">
        <v>10</v>
      </c>
      <c r="O68" s="9">
        <f t="shared" si="2"/>
        <v>0</v>
      </c>
    </row>
    <row r="69" spans="1:15" x14ac:dyDescent="0.25">
      <c r="A69" s="82">
        <v>44932</v>
      </c>
      <c r="B69" s="8" t="s">
        <v>18</v>
      </c>
      <c r="C69" s="8">
        <v>-0.3</v>
      </c>
      <c r="D69" s="13">
        <v>0.77083333333333337</v>
      </c>
      <c r="E69" s="81"/>
      <c r="F69" s="9" t="s">
        <v>10</v>
      </c>
      <c r="G69" s="8"/>
      <c r="H69" s="9" t="s">
        <v>10</v>
      </c>
      <c r="I69" s="8"/>
      <c r="J69" s="9" t="s">
        <v>10</v>
      </c>
      <c r="K69" s="8"/>
      <c r="L69" s="9" t="s">
        <v>10</v>
      </c>
      <c r="M69" s="8"/>
      <c r="N69" s="9" t="s">
        <v>10</v>
      </c>
      <c r="O69" s="9">
        <f t="shared" si="2"/>
        <v>0</v>
      </c>
    </row>
    <row r="70" spans="1:15" x14ac:dyDescent="0.25">
      <c r="A70" s="82">
        <v>44933</v>
      </c>
      <c r="B70" s="8" t="s">
        <v>19</v>
      </c>
      <c r="C70" s="8">
        <v>-0.3</v>
      </c>
      <c r="D70" s="13">
        <v>0.79513888888888884</v>
      </c>
      <c r="E70" s="81"/>
      <c r="F70" s="9" t="s">
        <v>10</v>
      </c>
      <c r="G70" s="8"/>
      <c r="H70" s="9" t="s">
        <v>10</v>
      </c>
      <c r="I70" s="8"/>
      <c r="J70" s="9" t="s">
        <v>10</v>
      </c>
      <c r="K70" s="8"/>
      <c r="L70" s="9" t="s">
        <v>10</v>
      </c>
      <c r="M70" s="8"/>
      <c r="N70" s="9" t="s">
        <v>10</v>
      </c>
      <c r="O70" s="9">
        <f t="shared" si="2"/>
        <v>0</v>
      </c>
    </row>
    <row r="71" spans="1:15" x14ac:dyDescent="0.25">
      <c r="A71" s="82">
        <v>44934</v>
      </c>
      <c r="B71" s="8" t="s">
        <v>20</v>
      </c>
      <c r="C71" s="8">
        <v>-0.2</v>
      </c>
      <c r="D71" s="13">
        <v>0.81805555555555554</v>
      </c>
      <c r="E71" s="81"/>
      <c r="F71" s="9" t="s">
        <v>10</v>
      </c>
      <c r="G71" s="8"/>
      <c r="H71" s="9" t="s">
        <v>10</v>
      </c>
      <c r="I71" s="8"/>
      <c r="J71" s="9" t="s">
        <v>10</v>
      </c>
      <c r="K71" s="8"/>
      <c r="L71" s="9" t="s">
        <v>10</v>
      </c>
      <c r="M71" s="8"/>
      <c r="N71" s="9" t="s">
        <v>10</v>
      </c>
      <c r="O71" s="9">
        <f t="shared" si="2"/>
        <v>0</v>
      </c>
    </row>
    <row r="72" spans="1:15" x14ac:dyDescent="0.25">
      <c r="A72" s="82">
        <v>44935</v>
      </c>
      <c r="B72" s="8" t="s">
        <v>21</v>
      </c>
      <c r="C72" s="8">
        <v>0</v>
      </c>
      <c r="D72" s="13">
        <v>0.84097222222222223</v>
      </c>
      <c r="E72" s="81"/>
      <c r="F72" s="9" t="s">
        <v>10</v>
      </c>
      <c r="G72" s="8"/>
      <c r="H72" s="9" t="s">
        <v>10</v>
      </c>
      <c r="I72" s="8"/>
      <c r="J72" s="9" t="s">
        <v>10</v>
      </c>
      <c r="K72" s="8"/>
      <c r="L72" s="9" t="s">
        <v>10</v>
      </c>
      <c r="M72" s="8"/>
      <c r="N72" s="9" t="s">
        <v>10</v>
      </c>
      <c r="O72" s="9">
        <f t="shared" si="2"/>
        <v>0</v>
      </c>
    </row>
    <row r="73" spans="1:15" x14ac:dyDescent="0.25">
      <c r="A73" s="82"/>
      <c r="E73" s="81"/>
      <c r="G73" s="8"/>
      <c r="I73" s="8"/>
      <c r="K73" s="8"/>
      <c r="M73" s="8"/>
      <c r="N73" s="9"/>
    </row>
    <row r="74" spans="1:15" x14ac:dyDescent="0.25">
      <c r="A74" s="82">
        <v>44944</v>
      </c>
      <c r="B74" s="8" t="s">
        <v>23</v>
      </c>
      <c r="C74" s="8">
        <v>-0.1</v>
      </c>
      <c r="D74" s="13">
        <v>0.66180555555555554</v>
      </c>
      <c r="E74" s="81"/>
      <c r="F74" s="9" t="s">
        <v>10</v>
      </c>
      <c r="G74" s="8"/>
      <c r="H74" s="9" t="s">
        <v>10</v>
      </c>
      <c r="I74" s="8"/>
      <c r="J74" s="9" t="s">
        <v>10</v>
      </c>
      <c r="K74" s="8"/>
      <c r="L74" s="9" t="s">
        <v>10</v>
      </c>
      <c r="M74" s="8"/>
      <c r="N74" s="9" t="s">
        <v>10</v>
      </c>
      <c r="O74" s="9">
        <f t="shared" ref="O74:O81" si="3">SUM(F74:N74)</f>
        <v>0</v>
      </c>
    </row>
    <row r="75" spans="1:15" x14ac:dyDescent="0.25">
      <c r="A75" s="82">
        <v>44945</v>
      </c>
      <c r="B75" s="8" t="s">
        <v>24</v>
      </c>
      <c r="C75" s="8">
        <v>-0.9</v>
      </c>
      <c r="D75" s="13">
        <v>0.69861111111111107</v>
      </c>
      <c r="E75" s="81"/>
      <c r="F75" s="9" t="s">
        <v>10</v>
      </c>
      <c r="G75" s="8"/>
      <c r="H75" s="9" t="s">
        <v>10</v>
      </c>
      <c r="I75" s="8"/>
      <c r="J75" s="9" t="s">
        <v>10</v>
      </c>
      <c r="K75" s="8"/>
      <c r="L75" s="9" t="s">
        <v>10</v>
      </c>
      <c r="M75" s="8"/>
      <c r="N75" s="9" t="s">
        <v>10</v>
      </c>
      <c r="O75" s="9">
        <f t="shared" si="3"/>
        <v>0</v>
      </c>
    </row>
    <row r="76" spans="1:15" x14ac:dyDescent="0.25">
      <c r="A76" s="82">
        <v>44946</v>
      </c>
      <c r="B76" s="8" t="s">
        <v>18</v>
      </c>
      <c r="C76" s="8">
        <v>-1.5</v>
      </c>
      <c r="D76" s="13">
        <v>0.73263888888888884</v>
      </c>
      <c r="E76" s="81"/>
      <c r="F76" s="9" t="s">
        <v>10</v>
      </c>
      <c r="G76" s="8"/>
      <c r="H76" s="9" t="s">
        <v>10</v>
      </c>
      <c r="I76" s="8"/>
      <c r="J76" s="9" t="s">
        <v>10</v>
      </c>
      <c r="K76" s="8"/>
      <c r="L76" s="9" t="s">
        <v>10</v>
      </c>
      <c r="M76" s="8"/>
      <c r="N76" s="9" t="s">
        <v>10</v>
      </c>
      <c r="O76" s="9">
        <f t="shared" si="3"/>
        <v>0</v>
      </c>
    </row>
    <row r="77" spans="1:15" x14ac:dyDescent="0.25">
      <c r="A77" s="82">
        <v>44947</v>
      </c>
      <c r="B77" s="8" t="s">
        <v>19</v>
      </c>
      <c r="C77" s="8">
        <v>-1.8</v>
      </c>
      <c r="D77" s="13">
        <v>0.76597222222222217</v>
      </c>
      <c r="E77" s="81"/>
      <c r="F77" s="9" t="s">
        <v>10</v>
      </c>
      <c r="G77" s="8"/>
      <c r="H77" s="9" t="s">
        <v>10</v>
      </c>
      <c r="I77" s="8"/>
      <c r="J77" s="9">
        <v>13608.5669327257</v>
      </c>
      <c r="K77" s="8"/>
      <c r="L77" s="9" t="s">
        <v>10</v>
      </c>
      <c r="M77" s="8"/>
      <c r="N77" s="9" t="s">
        <v>10</v>
      </c>
      <c r="O77" s="9">
        <f t="shared" si="3"/>
        <v>13608.5669327257</v>
      </c>
    </row>
    <row r="78" spans="1:15" x14ac:dyDescent="0.25">
      <c r="A78" s="82">
        <v>44948</v>
      </c>
      <c r="B78" s="8" t="s">
        <v>20</v>
      </c>
      <c r="C78" s="8">
        <v>-1.8</v>
      </c>
      <c r="D78" s="13">
        <v>0.79722222222222217</v>
      </c>
      <c r="E78" s="81"/>
      <c r="F78" s="9" t="s">
        <v>10</v>
      </c>
      <c r="G78" s="8"/>
      <c r="H78" s="9" t="s">
        <v>10</v>
      </c>
      <c r="I78" s="8"/>
      <c r="J78" s="9" t="s">
        <v>10</v>
      </c>
      <c r="K78" s="8"/>
      <c r="L78" s="9" t="s">
        <v>10</v>
      </c>
      <c r="M78" s="8"/>
      <c r="N78" s="9" t="s">
        <v>10</v>
      </c>
      <c r="O78" s="9">
        <f t="shared" si="3"/>
        <v>0</v>
      </c>
    </row>
    <row r="79" spans="1:15" x14ac:dyDescent="0.25">
      <c r="A79" s="82">
        <v>44949</v>
      </c>
      <c r="B79" s="8" t="s">
        <v>21</v>
      </c>
      <c r="C79" s="8">
        <v>-1.6</v>
      </c>
      <c r="D79" s="13">
        <v>0.82916666666666661</v>
      </c>
      <c r="E79" s="81"/>
      <c r="F79" s="9" t="s">
        <v>10</v>
      </c>
      <c r="G79" s="8"/>
      <c r="H79" s="9" t="s">
        <v>10</v>
      </c>
      <c r="I79" s="8"/>
      <c r="J79" s="9">
        <v>27755.449736012499</v>
      </c>
      <c r="K79" s="8"/>
      <c r="L79" s="9" t="s">
        <v>10</v>
      </c>
      <c r="M79" s="8"/>
      <c r="N79" s="9" t="s">
        <v>10</v>
      </c>
      <c r="O79" s="9">
        <f t="shared" si="3"/>
        <v>27755.449736012499</v>
      </c>
    </row>
    <row r="80" spans="1:15" x14ac:dyDescent="0.25">
      <c r="A80" s="82">
        <v>44950</v>
      </c>
      <c r="B80" s="8" t="s">
        <v>22</v>
      </c>
      <c r="C80" s="8">
        <v>-1</v>
      </c>
      <c r="D80" s="13">
        <v>0.8569444444444444</v>
      </c>
      <c r="E80" s="81"/>
      <c r="F80" s="9" t="s">
        <v>10</v>
      </c>
      <c r="G80" s="8"/>
      <c r="H80" s="9" t="s">
        <v>10</v>
      </c>
      <c r="I80" s="8"/>
      <c r="J80" s="9" t="s">
        <v>10</v>
      </c>
      <c r="K80" s="8"/>
      <c r="L80" s="9" t="s">
        <v>10</v>
      </c>
      <c r="M80" s="8"/>
      <c r="N80" s="9" t="s">
        <v>10</v>
      </c>
      <c r="O80" s="9">
        <f t="shared" si="3"/>
        <v>0</v>
      </c>
    </row>
    <row r="81" spans="1:15" x14ac:dyDescent="0.25">
      <c r="A81" s="82">
        <v>44951</v>
      </c>
      <c r="B81" s="8" t="s">
        <v>23</v>
      </c>
      <c r="C81" s="8">
        <v>-0.2</v>
      </c>
      <c r="D81" s="13">
        <v>0.88611111111111107</v>
      </c>
      <c r="E81" s="81"/>
      <c r="F81" s="9" t="s">
        <v>10</v>
      </c>
      <c r="G81" s="8"/>
      <c r="H81" s="9" t="s">
        <v>10</v>
      </c>
      <c r="I81" s="8"/>
      <c r="J81" s="9">
        <v>16343.892002205301</v>
      </c>
      <c r="K81" s="8"/>
      <c r="L81" s="9" t="s">
        <v>10</v>
      </c>
      <c r="M81" s="8"/>
      <c r="N81" s="9" t="s">
        <v>10</v>
      </c>
      <c r="O81" s="9">
        <f t="shared" si="3"/>
        <v>16343.892002205301</v>
      </c>
    </row>
    <row r="82" spans="1:15" x14ac:dyDescent="0.25">
      <c r="A82" s="82"/>
      <c r="E82" s="81"/>
      <c r="G82" s="8"/>
      <c r="I82" s="8"/>
      <c r="K82" s="8"/>
      <c r="M82" s="8"/>
      <c r="N82" s="9"/>
    </row>
    <row r="83" spans="1:15" x14ac:dyDescent="0.25">
      <c r="A83" s="82">
        <v>44960</v>
      </c>
      <c r="B83" s="8" t="s">
        <v>18</v>
      </c>
      <c r="C83" s="8">
        <v>0.1</v>
      </c>
      <c r="D83" s="13">
        <v>0.73402777777777783</v>
      </c>
      <c r="E83" s="81"/>
      <c r="F83" s="9" t="s">
        <v>10</v>
      </c>
      <c r="G83" s="8"/>
      <c r="H83" s="9" t="s">
        <v>10</v>
      </c>
      <c r="I83" s="8"/>
      <c r="J83" s="9">
        <v>6237.4236397815703</v>
      </c>
      <c r="K83" s="8"/>
      <c r="L83" s="9" t="s">
        <v>10</v>
      </c>
      <c r="M83" s="8"/>
      <c r="N83" s="9" t="s">
        <v>10</v>
      </c>
      <c r="O83" s="9">
        <f t="shared" ref="O83:O88" si="4">SUM(F83:N83)</f>
        <v>6237.4236397815703</v>
      </c>
    </row>
    <row r="84" spans="1:15" x14ac:dyDescent="0.25">
      <c r="A84" s="82">
        <v>44961</v>
      </c>
      <c r="B84" s="8" t="s">
        <v>19</v>
      </c>
      <c r="C84" s="8">
        <v>-0.1</v>
      </c>
      <c r="D84" s="13">
        <v>0.75763888888888886</v>
      </c>
      <c r="E84" s="81"/>
      <c r="F84" s="9" t="s">
        <v>10</v>
      </c>
      <c r="G84" s="8"/>
      <c r="H84" s="9" t="s">
        <v>10</v>
      </c>
      <c r="I84" s="8"/>
      <c r="J84" s="9" t="s">
        <v>10</v>
      </c>
      <c r="K84" s="8"/>
      <c r="L84" s="9">
        <v>23112.2676001195</v>
      </c>
      <c r="M84" s="8"/>
      <c r="N84" s="9" t="s">
        <v>10</v>
      </c>
      <c r="O84" s="9">
        <f t="shared" si="4"/>
        <v>23112.2676001195</v>
      </c>
    </row>
    <row r="85" spans="1:15" x14ac:dyDescent="0.25">
      <c r="A85" s="82">
        <v>44962</v>
      </c>
      <c r="B85" s="8" t="s">
        <v>20</v>
      </c>
      <c r="C85" s="8">
        <v>-0.2</v>
      </c>
      <c r="D85" s="13">
        <v>0.77986111111111101</v>
      </c>
      <c r="E85" s="81"/>
      <c r="F85" s="9" t="s">
        <v>10</v>
      </c>
      <c r="G85" s="8"/>
      <c r="H85" s="9" t="s">
        <v>10</v>
      </c>
      <c r="I85" s="8"/>
      <c r="J85" s="9">
        <v>29758.694469669601</v>
      </c>
      <c r="K85" s="8"/>
      <c r="L85" s="9" t="s">
        <v>10</v>
      </c>
      <c r="M85" s="8"/>
      <c r="N85" s="9" t="s">
        <v>10</v>
      </c>
      <c r="O85" s="9">
        <f t="shared" si="4"/>
        <v>29758.694469669601</v>
      </c>
    </row>
    <row r="86" spans="1:15" x14ac:dyDescent="0.25">
      <c r="A86" s="82">
        <v>44963</v>
      </c>
      <c r="B86" s="8" t="s">
        <v>21</v>
      </c>
      <c r="C86" s="8">
        <v>-0.1</v>
      </c>
      <c r="D86" s="13">
        <v>0.80069444444444438</v>
      </c>
      <c r="E86" s="81"/>
      <c r="F86" s="9" t="s">
        <v>10</v>
      </c>
      <c r="G86" s="8"/>
      <c r="H86" s="9" t="s">
        <v>10</v>
      </c>
      <c r="I86" s="8"/>
      <c r="J86" s="9" t="s">
        <v>10</v>
      </c>
      <c r="K86" s="8"/>
      <c r="L86" s="9">
        <v>4742.3078662545104</v>
      </c>
      <c r="M86" s="8"/>
      <c r="N86" s="9" t="s">
        <v>10</v>
      </c>
      <c r="O86" s="9">
        <f t="shared" si="4"/>
        <v>4742.3078662545104</v>
      </c>
    </row>
    <row r="87" spans="1:15" x14ac:dyDescent="0.25">
      <c r="A87" s="82">
        <v>44964</v>
      </c>
      <c r="B87" s="8" t="s">
        <v>22</v>
      </c>
      <c r="C87" s="8">
        <v>0.1</v>
      </c>
      <c r="D87" s="13">
        <v>0.8208333333333333</v>
      </c>
      <c r="E87" s="81"/>
      <c r="F87" s="9" t="s">
        <v>10</v>
      </c>
      <c r="G87" s="8"/>
      <c r="H87" s="9" t="s">
        <v>10</v>
      </c>
      <c r="I87" s="8"/>
      <c r="J87" s="9">
        <v>5868.72</v>
      </c>
      <c r="K87" s="8"/>
      <c r="L87" s="9" t="s">
        <v>10</v>
      </c>
      <c r="M87" s="8"/>
      <c r="N87" s="9" t="s">
        <v>10</v>
      </c>
      <c r="O87" s="9">
        <f t="shared" si="4"/>
        <v>5868.72</v>
      </c>
    </row>
    <row r="88" spans="1:15" x14ac:dyDescent="0.25">
      <c r="A88" s="82">
        <v>44965</v>
      </c>
      <c r="B88" s="8" t="s">
        <v>23</v>
      </c>
      <c r="C88" s="8">
        <v>0.4</v>
      </c>
      <c r="D88" s="13">
        <v>0.84097222222222223</v>
      </c>
      <c r="E88" s="81"/>
      <c r="F88" s="9" t="s">
        <v>10</v>
      </c>
      <c r="G88" s="8"/>
      <c r="H88" s="9" t="s">
        <v>10</v>
      </c>
      <c r="I88" s="8"/>
      <c r="J88" s="9" t="s">
        <v>10</v>
      </c>
      <c r="K88" s="8"/>
      <c r="L88" s="9">
        <v>3624.9243861893501</v>
      </c>
      <c r="M88" s="8"/>
      <c r="N88" s="9" t="s">
        <v>10</v>
      </c>
      <c r="O88" s="9">
        <f t="shared" si="4"/>
        <v>3624.9243861893501</v>
      </c>
    </row>
    <row r="89" spans="1:15" x14ac:dyDescent="0.25">
      <c r="A89" s="82"/>
      <c r="E89" s="81"/>
      <c r="G89" s="8"/>
      <c r="I89" s="8"/>
      <c r="K89" s="8"/>
      <c r="M89" s="8"/>
      <c r="N89" s="9"/>
    </row>
    <row r="90" spans="1:15" x14ac:dyDescent="0.25">
      <c r="A90" s="82">
        <v>44974</v>
      </c>
      <c r="B90" s="8" t="s">
        <v>18</v>
      </c>
      <c r="C90" s="8">
        <v>-0.7</v>
      </c>
      <c r="D90" s="13">
        <v>0.68680555555555556</v>
      </c>
      <c r="E90" s="81"/>
      <c r="F90" s="9" t="s">
        <v>10</v>
      </c>
      <c r="G90" s="8"/>
      <c r="H90" s="9" t="s">
        <v>10</v>
      </c>
      <c r="I90" s="8"/>
      <c r="J90" s="9" t="s">
        <v>10</v>
      </c>
      <c r="K90" s="8"/>
      <c r="L90" s="9">
        <v>21000.000053263699</v>
      </c>
      <c r="M90" s="8"/>
      <c r="N90" s="9" t="s">
        <v>10</v>
      </c>
      <c r="O90" s="9">
        <f t="shared" ref="O90:O95" si="5">SUM(F90:N90)</f>
        <v>21000.000053263699</v>
      </c>
    </row>
    <row r="91" spans="1:15" x14ac:dyDescent="0.25">
      <c r="A91" s="82">
        <v>44975</v>
      </c>
      <c r="B91" s="8" t="s">
        <v>19</v>
      </c>
      <c r="C91" s="8">
        <v>-1.2</v>
      </c>
      <c r="D91" s="13">
        <v>0.72152777777777777</v>
      </c>
      <c r="E91" s="81"/>
      <c r="F91" s="9" t="s">
        <v>10</v>
      </c>
      <c r="G91" s="8"/>
      <c r="H91" s="9" t="s">
        <v>10</v>
      </c>
      <c r="I91" s="8"/>
      <c r="J91" s="9">
        <v>84103.079418275098</v>
      </c>
      <c r="K91" s="8"/>
      <c r="L91" s="9" t="s">
        <v>10</v>
      </c>
      <c r="M91" s="8"/>
      <c r="N91" s="9" t="s">
        <v>10</v>
      </c>
      <c r="O91" s="9">
        <f t="shared" si="5"/>
        <v>84103.079418275098</v>
      </c>
    </row>
    <row r="92" spans="1:15" x14ac:dyDescent="0.25">
      <c r="A92" s="82">
        <v>44976</v>
      </c>
      <c r="B92" s="8" t="s">
        <v>20</v>
      </c>
      <c r="C92" s="8">
        <v>-1.5</v>
      </c>
      <c r="D92" s="13">
        <v>0.75277777777777777</v>
      </c>
      <c r="E92" s="81"/>
      <c r="F92" s="9" t="s">
        <v>10</v>
      </c>
      <c r="G92" s="8"/>
      <c r="H92" s="9" t="s">
        <v>10</v>
      </c>
      <c r="I92" s="8"/>
      <c r="J92" s="9" t="s">
        <v>10</v>
      </c>
      <c r="K92" s="8"/>
      <c r="L92" s="9">
        <v>73598.104654887793</v>
      </c>
      <c r="M92" s="8"/>
      <c r="N92" s="9" t="s">
        <v>10</v>
      </c>
      <c r="O92" s="9">
        <f t="shared" si="5"/>
        <v>73598.104654887793</v>
      </c>
    </row>
    <row r="93" spans="1:15" x14ac:dyDescent="0.25">
      <c r="A93" s="82">
        <v>44977</v>
      </c>
      <c r="B93" s="8" t="s">
        <v>21</v>
      </c>
      <c r="C93" s="8">
        <v>-1.4</v>
      </c>
      <c r="D93" s="13">
        <v>0.78194444444444444</v>
      </c>
      <c r="E93" s="81"/>
      <c r="F93" s="9" t="s">
        <v>10</v>
      </c>
      <c r="G93" s="8"/>
      <c r="H93" s="9" t="s">
        <v>10</v>
      </c>
      <c r="I93" s="8"/>
      <c r="J93" s="9">
        <v>17933.515899748902</v>
      </c>
      <c r="K93" s="8"/>
      <c r="L93" s="9" t="s">
        <v>10</v>
      </c>
      <c r="M93" s="8"/>
      <c r="N93" s="9" t="s">
        <v>10</v>
      </c>
      <c r="O93" s="9">
        <f t="shared" si="5"/>
        <v>17933.515899748902</v>
      </c>
    </row>
    <row r="94" spans="1:15" x14ac:dyDescent="0.25">
      <c r="A94" s="82">
        <v>44978</v>
      </c>
      <c r="B94" s="8" t="s">
        <v>22</v>
      </c>
      <c r="C94" s="8">
        <v>-1</v>
      </c>
      <c r="D94" s="13">
        <v>0.80972222222222223</v>
      </c>
      <c r="E94" s="81"/>
      <c r="F94" s="9" t="s">
        <v>10</v>
      </c>
      <c r="G94" s="8"/>
      <c r="H94" s="9" t="s">
        <v>10</v>
      </c>
      <c r="I94" s="8"/>
      <c r="J94" s="9" t="s">
        <v>10</v>
      </c>
      <c r="K94" s="8"/>
      <c r="L94" s="9">
        <v>548.75283491212997</v>
      </c>
      <c r="M94" s="8"/>
      <c r="N94" s="9" t="s">
        <v>10</v>
      </c>
      <c r="O94" s="9">
        <f t="shared" si="5"/>
        <v>548.75283491212997</v>
      </c>
    </row>
    <row r="95" spans="1:15" x14ac:dyDescent="0.25">
      <c r="A95" s="82">
        <v>44979</v>
      </c>
      <c r="B95" s="8" t="s">
        <v>23</v>
      </c>
      <c r="C95" s="8">
        <v>-0.3</v>
      </c>
      <c r="D95" s="13">
        <v>0.83680555555555547</v>
      </c>
      <c r="E95" s="81"/>
      <c r="F95" s="9" t="s">
        <v>10</v>
      </c>
      <c r="G95" s="8"/>
      <c r="H95" s="9" t="s">
        <v>10</v>
      </c>
      <c r="I95" s="8"/>
      <c r="J95" s="9">
        <v>1782.76244157878</v>
      </c>
      <c r="K95" s="8"/>
      <c r="L95" s="9" t="s">
        <v>10</v>
      </c>
      <c r="M95" s="8"/>
      <c r="N95" s="9" t="s">
        <v>10</v>
      </c>
      <c r="O95" s="9">
        <f t="shared" si="5"/>
        <v>1782.76244157878</v>
      </c>
    </row>
    <row r="96" spans="1:15" x14ac:dyDescent="0.25">
      <c r="A96" s="82"/>
      <c r="E96" s="81"/>
      <c r="G96" s="8"/>
      <c r="I96" s="8"/>
      <c r="K96" s="8"/>
      <c r="M96" s="8"/>
      <c r="N96" s="9"/>
    </row>
    <row r="97" spans="1:15" x14ac:dyDescent="0.25">
      <c r="A97" s="82">
        <v>44988</v>
      </c>
      <c r="B97" s="8" t="s">
        <v>18</v>
      </c>
      <c r="C97" s="8">
        <v>0.6</v>
      </c>
      <c r="D97" s="13">
        <v>0.68819444444444444</v>
      </c>
      <c r="E97" s="81"/>
      <c r="F97" s="9" t="s">
        <v>10</v>
      </c>
      <c r="G97" s="8"/>
      <c r="H97" s="9" t="s">
        <v>10</v>
      </c>
      <c r="I97" s="8"/>
      <c r="J97" s="9" t="s">
        <v>10</v>
      </c>
      <c r="K97" s="8"/>
      <c r="L97" s="9">
        <v>11690.7259949161</v>
      </c>
      <c r="M97" s="8"/>
      <c r="N97" s="9" t="s">
        <v>10</v>
      </c>
      <c r="O97" s="9">
        <f t="shared" ref="O97:O102" si="6">SUM(F97:N97)</f>
        <v>11690.7259949161</v>
      </c>
    </row>
    <row r="98" spans="1:15" x14ac:dyDescent="0.25">
      <c r="A98" s="82">
        <v>44989</v>
      </c>
      <c r="B98" s="8" t="s">
        <v>19</v>
      </c>
      <c r="C98" s="8">
        <v>0.4</v>
      </c>
      <c r="D98" s="13">
        <v>0.71458333333333324</v>
      </c>
      <c r="E98" s="81"/>
      <c r="F98" s="9" t="s">
        <v>10</v>
      </c>
      <c r="G98" s="8"/>
      <c r="H98" s="9" t="s">
        <v>10</v>
      </c>
      <c r="I98" s="8"/>
      <c r="J98" s="9">
        <v>14090.034376146299</v>
      </c>
      <c r="K98" s="8"/>
      <c r="L98" s="9" t="s">
        <v>10</v>
      </c>
      <c r="M98" s="8"/>
      <c r="N98" s="9" t="s">
        <v>10</v>
      </c>
      <c r="O98" s="9">
        <f t="shared" si="6"/>
        <v>14090.034376146299</v>
      </c>
    </row>
    <row r="99" spans="1:15" x14ac:dyDescent="0.25">
      <c r="A99" s="82">
        <v>44990</v>
      </c>
      <c r="B99" s="8" t="s">
        <v>20</v>
      </c>
      <c r="C99" s="8">
        <v>0.2</v>
      </c>
      <c r="D99" s="13">
        <v>0.73749999999999993</v>
      </c>
      <c r="E99" s="81"/>
      <c r="F99" s="9" t="s">
        <v>10</v>
      </c>
      <c r="G99" s="8"/>
      <c r="H99" s="9" t="s">
        <v>10</v>
      </c>
      <c r="I99" s="8"/>
      <c r="J99" s="9" t="s">
        <v>10</v>
      </c>
      <c r="K99" s="8"/>
      <c r="L99" s="9">
        <v>25884.192814358099</v>
      </c>
      <c r="M99" s="8"/>
      <c r="N99" s="9" t="s">
        <v>10</v>
      </c>
      <c r="O99" s="9">
        <f t="shared" si="6"/>
        <v>25884.192814358099</v>
      </c>
    </row>
    <row r="100" spans="1:15" x14ac:dyDescent="0.25">
      <c r="A100" s="82">
        <v>44991</v>
      </c>
      <c r="B100" s="8" t="s">
        <v>21</v>
      </c>
      <c r="C100" s="8">
        <v>0.1</v>
      </c>
      <c r="D100" s="13">
        <v>0.75902777777777775</v>
      </c>
      <c r="E100" s="81"/>
      <c r="F100" s="9" t="s">
        <v>10</v>
      </c>
      <c r="G100" s="8"/>
      <c r="H100" s="9" t="s">
        <v>10</v>
      </c>
      <c r="I100" s="8"/>
      <c r="J100" s="9">
        <v>10711.675867469199</v>
      </c>
      <c r="K100" s="8"/>
      <c r="L100" s="9" t="s">
        <v>10</v>
      </c>
      <c r="M100" s="8"/>
      <c r="N100" s="9" t="s">
        <v>10</v>
      </c>
      <c r="O100" s="9">
        <f t="shared" si="6"/>
        <v>10711.675867469199</v>
      </c>
    </row>
    <row r="101" spans="1:15" x14ac:dyDescent="0.25">
      <c r="A101" s="82">
        <v>44992</v>
      </c>
      <c r="B101" s="8" t="s">
        <v>22</v>
      </c>
      <c r="C101" s="8">
        <v>0.3</v>
      </c>
      <c r="D101" s="13">
        <v>0.77847222222222223</v>
      </c>
      <c r="E101" s="81"/>
      <c r="F101" s="9" t="s">
        <v>10</v>
      </c>
      <c r="G101" s="8"/>
      <c r="H101" s="9" t="s">
        <v>10</v>
      </c>
      <c r="I101" s="8"/>
      <c r="J101" s="9" t="s">
        <v>10</v>
      </c>
      <c r="K101" s="8"/>
      <c r="L101" s="9">
        <v>9274.9996314446307</v>
      </c>
      <c r="M101" s="8"/>
      <c r="N101" s="9" t="s">
        <v>10</v>
      </c>
      <c r="O101" s="9">
        <f t="shared" si="6"/>
        <v>9274.9996314446307</v>
      </c>
    </row>
    <row r="102" spans="1:15" x14ac:dyDescent="0.25">
      <c r="A102" s="82">
        <v>44993</v>
      </c>
      <c r="B102" s="8" t="s">
        <v>23</v>
      </c>
      <c r="C102" s="8">
        <v>0.5</v>
      </c>
      <c r="D102" s="13">
        <v>0.79791666666666661</v>
      </c>
      <c r="E102" s="81"/>
      <c r="F102" s="9" t="s">
        <v>10</v>
      </c>
      <c r="G102" s="8"/>
      <c r="H102" s="9" t="s">
        <v>10</v>
      </c>
      <c r="I102" s="8"/>
      <c r="J102" s="9">
        <v>9291.8516877518505</v>
      </c>
      <c r="K102" s="8"/>
      <c r="L102" s="9" t="s">
        <v>10</v>
      </c>
      <c r="M102" s="8"/>
      <c r="N102" s="9" t="s">
        <v>10</v>
      </c>
      <c r="O102" s="9">
        <f t="shared" si="6"/>
        <v>9291.8516877518505</v>
      </c>
    </row>
    <row r="103" spans="1:15" x14ac:dyDescent="0.25">
      <c r="A103" s="82"/>
      <c r="E103" s="81"/>
      <c r="G103" s="8"/>
      <c r="I103" s="8"/>
      <c r="K103" s="8"/>
      <c r="M103" s="8"/>
      <c r="N103" s="9"/>
    </row>
    <row r="104" spans="1:15" x14ac:dyDescent="0.25">
      <c r="A104" s="82">
        <v>45002</v>
      </c>
      <c r="B104" s="8" t="s">
        <v>18</v>
      </c>
      <c r="C104" s="8">
        <v>0</v>
      </c>
      <c r="D104" s="13">
        <v>0.67361111111111116</v>
      </c>
      <c r="E104" s="81"/>
      <c r="F104" s="9" t="s">
        <v>10</v>
      </c>
      <c r="G104" s="8" t="s">
        <v>62</v>
      </c>
      <c r="H104" s="9">
        <f>CPUE!H104*Effort!H104</f>
        <v>36531.610178332332</v>
      </c>
      <c r="I104" s="8"/>
      <c r="J104" s="9">
        <v>53808</v>
      </c>
      <c r="K104" s="8"/>
      <c r="L104" s="9" t="s">
        <v>10</v>
      </c>
      <c r="M104" s="8"/>
      <c r="N104" s="9" t="s">
        <v>10</v>
      </c>
      <c r="O104" s="9">
        <f t="shared" ref="O104:O121" si="7">SUM(F104:N104)</f>
        <v>90339.610178332339</v>
      </c>
    </row>
    <row r="105" spans="1:15" x14ac:dyDescent="0.25">
      <c r="A105" s="82">
        <v>45003</v>
      </c>
      <c r="B105" s="8" t="s">
        <v>19</v>
      </c>
      <c r="C105" s="8">
        <v>-0.5</v>
      </c>
      <c r="D105" s="13">
        <v>0.71250000000000002</v>
      </c>
      <c r="E105" s="81"/>
      <c r="F105" s="9" t="s">
        <v>10</v>
      </c>
      <c r="G105" s="8"/>
      <c r="H105" s="9">
        <v>84980.053333333301</v>
      </c>
      <c r="I105" s="8"/>
      <c r="J105" s="9" t="s">
        <v>10</v>
      </c>
      <c r="K105" s="8"/>
      <c r="L105" s="9">
        <v>114437.94690265501</v>
      </c>
      <c r="M105" s="8"/>
      <c r="N105" s="9" t="s">
        <v>10</v>
      </c>
      <c r="O105" s="9">
        <f t="shared" si="7"/>
        <v>199418.00023598829</v>
      </c>
    </row>
    <row r="106" spans="1:15" x14ac:dyDescent="0.25">
      <c r="A106" s="82">
        <v>45004</v>
      </c>
      <c r="B106" s="8" t="s">
        <v>20</v>
      </c>
      <c r="C106" s="8">
        <v>-0.7</v>
      </c>
      <c r="D106" s="13">
        <v>0.74583333333333324</v>
      </c>
      <c r="E106" s="81"/>
      <c r="F106" s="9" t="s">
        <v>10</v>
      </c>
      <c r="G106" s="8"/>
      <c r="H106" s="9">
        <v>48011.776887112901</v>
      </c>
      <c r="I106" s="8"/>
      <c r="J106" s="9">
        <v>68621.995284328703</v>
      </c>
      <c r="K106" s="8"/>
      <c r="L106" s="9" t="s">
        <v>10</v>
      </c>
      <c r="M106" s="8"/>
      <c r="N106" s="9" t="s">
        <v>10</v>
      </c>
      <c r="O106" s="9">
        <f t="shared" si="7"/>
        <v>116633.77217144161</v>
      </c>
    </row>
    <row r="107" spans="1:15" x14ac:dyDescent="0.25">
      <c r="A107" s="82">
        <v>45005</v>
      </c>
      <c r="B107" s="8" t="s">
        <v>21</v>
      </c>
      <c r="C107" s="8">
        <v>-0.7</v>
      </c>
      <c r="D107" s="13">
        <v>0.77638888888888891</v>
      </c>
      <c r="E107" s="81"/>
      <c r="F107" s="9" t="s">
        <v>10</v>
      </c>
      <c r="G107" s="8" t="s">
        <v>62</v>
      </c>
      <c r="H107" s="9">
        <f>CPUE!H107*Effort!H107</f>
        <v>17514.515965140054</v>
      </c>
      <c r="I107" s="8"/>
      <c r="J107" s="9" t="s">
        <v>10</v>
      </c>
      <c r="K107" s="8"/>
      <c r="L107" s="9">
        <v>23406.2227074812</v>
      </c>
      <c r="M107" s="8"/>
      <c r="N107" s="9" t="s">
        <v>10</v>
      </c>
      <c r="O107" s="9">
        <f t="shared" si="7"/>
        <v>40920.738672621257</v>
      </c>
    </row>
    <row r="108" spans="1:15" x14ac:dyDescent="0.25">
      <c r="A108" s="82">
        <v>45006</v>
      </c>
      <c r="B108" s="8" t="s">
        <v>22</v>
      </c>
      <c r="C108" s="8">
        <v>-0.5</v>
      </c>
      <c r="D108" s="13">
        <v>0.8041666666666667</v>
      </c>
      <c r="E108" s="81"/>
      <c r="F108" s="9" t="s">
        <v>10</v>
      </c>
      <c r="G108" s="8" t="s">
        <v>62</v>
      </c>
      <c r="H108" s="9">
        <f>CPUE!H108*Effort!H108</f>
        <v>15304.656926705697</v>
      </c>
      <c r="I108" s="8"/>
      <c r="J108" s="9">
        <v>22542.476936880899</v>
      </c>
      <c r="K108" s="8"/>
      <c r="L108" s="9" t="s">
        <v>10</v>
      </c>
      <c r="M108" s="8"/>
      <c r="N108" s="9" t="s">
        <v>10</v>
      </c>
      <c r="O108" s="9">
        <f t="shared" si="7"/>
        <v>37847.133863586598</v>
      </c>
    </row>
    <row r="109" spans="1:15" x14ac:dyDescent="0.25">
      <c r="A109" s="82">
        <v>45007</v>
      </c>
      <c r="B109" s="8" t="s">
        <v>23</v>
      </c>
      <c r="C109" s="8">
        <v>0</v>
      </c>
      <c r="D109" s="13">
        <v>0.8305555555555556</v>
      </c>
      <c r="E109" s="81"/>
      <c r="F109" s="9" t="s">
        <v>10</v>
      </c>
      <c r="G109" s="8" t="s">
        <v>62</v>
      </c>
      <c r="H109" s="9">
        <f>CPUE!H109*Effort!H109</f>
        <v>13661.124709766576</v>
      </c>
      <c r="I109" s="8"/>
      <c r="J109" s="9" t="s">
        <v>10</v>
      </c>
      <c r="K109" s="8"/>
      <c r="L109" s="9">
        <v>18102.6962825226</v>
      </c>
      <c r="M109" s="8"/>
      <c r="N109" s="9" t="s">
        <v>10</v>
      </c>
      <c r="O109" s="9">
        <f t="shared" si="7"/>
        <v>31763.820992289177</v>
      </c>
    </row>
    <row r="110" spans="1:15" x14ac:dyDescent="0.25">
      <c r="A110" s="82">
        <v>45008</v>
      </c>
      <c r="B110" s="8" t="s">
        <v>24</v>
      </c>
      <c r="C110" s="8">
        <v>-0.3</v>
      </c>
      <c r="D110" s="13">
        <v>0.35347222222222219</v>
      </c>
      <c r="E110" s="81"/>
      <c r="F110" s="9">
        <f>CPUE!F110*Effort!F110</f>
        <v>6279.3887031419836</v>
      </c>
      <c r="G110" s="8" t="s">
        <v>62</v>
      </c>
      <c r="H110" s="9">
        <f>CPUE!H110*Effort!H110</f>
        <v>6819.4502001610444</v>
      </c>
      <c r="I110" s="8"/>
      <c r="J110" s="9">
        <v>12797.7375867017</v>
      </c>
      <c r="K110" s="8"/>
      <c r="L110" s="9" t="s">
        <v>10</v>
      </c>
      <c r="M110" s="8"/>
      <c r="N110" s="9" t="s">
        <v>10</v>
      </c>
      <c r="O110" s="9">
        <f t="shared" si="7"/>
        <v>25896.576490004729</v>
      </c>
    </row>
    <row r="111" spans="1:15" x14ac:dyDescent="0.25">
      <c r="A111" s="82">
        <v>45009</v>
      </c>
      <c r="B111" s="8" t="s">
        <v>18</v>
      </c>
      <c r="C111" s="8">
        <v>-0.4</v>
      </c>
      <c r="D111" s="13">
        <v>0.3840277777777778</v>
      </c>
      <c r="E111" s="81" t="s">
        <v>62</v>
      </c>
      <c r="F111" s="9">
        <f>CPUE!F111*Effort!F111</f>
        <v>11352.074482973116</v>
      </c>
      <c r="G111" s="8"/>
      <c r="H111" s="9">
        <v>8219.8010562181898</v>
      </c>
      <c r="I111" s="8"/>
      <c r="J111" s="9" t="s">
        <v>10</v>
      </c>
      <c r="K111" s="8"/>
      <c r="L111" s="9">
        <v>14150.9189189189</v>
      </c>
      <c r="M111" s="8"/>
      <c r="N111" s="9" t="s">
        <v>10</v>
      </c>
      <c r="O111" s="9">
        <f t="shared" si="7"/>
        <v>33722.794458110206</v>
      </c>
    </row>
    <row r="112" spans="1:15" x14ac:dyDescent="0.25">
      <c r="A112" s="82">
        <v>45010</v>
      </c>
      <c r="B112" s="8" t="s">
        <v>19</v>
      </c>
      <c r="C112" s="8">
        <v>-0.2</v>
      </c>
      <c r="D112" s="13">
        <v>0.4145833333333333</v>
      </c>
      <c r="E112" s="81" t="s">
        <v>62</v>
      </c>
      <c r="F112" s="9">
        <f>CPUE!F112*Effort!F112</f>
        <v>47496.982349550941</v>
      </c>
      <c r="G112" s="8"/>
      <c r="H112" s="9">
        <v>39197.503606744998</v>
      </c>
      <c r="I112" s="8"/>
      <c r="J112" s="9">
        <v>76745.553162437107</v>
      </c>
      <c r="K112" s="8"/>
      <c r="L112" s="9" t="s">
        <v>10</v>
      </c>
      <c r="M112" s="8"/>
      <c r="N112" s="9" t="s">
        <v>10</v>
      </c>
      <c r="O112" s="9">
        <f t="shared" si="7"/>
        <v>163440.03911873305</v>
      </c>
    </row>
    <row r="113" spans="1:15" x14ac:dyDescent="0.25">
      <c r="A113" s="82">
        <v>45011</v>
      </c>
      <c r="B113" s="8" t="s">
        <v>20</v>
      </c>
      <c r="C113" s="8">
        <v>0.2</v>
      </c>
      <c r="D113" s="13">
        <v>0.44722222222222219</v>
      </c>
      <c r="E113" s="81"/>
      <c r="F113" s="9">
        <f>CPUE!F113*Effort!F113</f>
        <v>40001.511572188749</v>
      </c>
      <c r="G113" s="8" t="s">
        <v>62</v>
      </c>
      <c r="H113" s="9">
        <f>CPUE!H113*Effort!H113</f>
        <v>29213.954580432041</v>
      </c>
      <c r="I113" s="8"/>
      <c r="J113" s="9" t="s">
        <v>10</v>
      </c>
      <c r="K113" s="8"/>
      <c r="L113" s="9">
        <v>47523.072177218099</v>
      </c>
      <c r="M113" s="8"/>
      <c r="N113" s="9" t="s">
        <v>10</v>
      </c>
      <c r="O113" s="9">
        <f t="shared" si="7"/>
        <v>116738.53832983889</v>
      </c>
    </row>
    <row r="114" spans="1:15" x14ac:dyDescent="0.25">
      <c r="A114" s="82"/>
      <c r="E114" s="81"/>
      <c r="G114" s="8"/>
      <c r="I114" s="8"/>
      <c r="K114" s="8"/>
      <c r="M114" s="8"/>
      <c r="N114" s="9"/>
    </row>
    <row r="115" spans="1:15" x14ac:dyDescent="0.25">
      <c r="A115" s="82">
        <v>45022</v>
      </c>
      <c r="B115" s="8" t="s">
        <v>24</v>
      </c>
      <c r="C115" s="8">
        <v>0.3</v>
      </c>
      <c r="D115" s="13">
        <v>0.31527777777777777</v>
      </c>
      <c r="E115" s="81" t="s">
        <v>62</v>
      </c>
      <c r="F115" s="9">
        <f>CPUE!F115*Effort!F115</f>
        <v>19253.723783145484</v>
      </c>
      <c r="G115" s="8" t="s">
        <v>62</v>
      </c>
      <c r="H115" s="9">
        <f>CPUE!H115*Effort!H115</f>
        <v>11841.783651137164</v>
      </c>
      <c r="I115" s="8"/>
      <c r="J115" s="9" t="s">
        <v>10</v>
      </c>
      <c r="K115" s="8"/>
      <c r="L115" s="9">
        <v>12603.4620007538</v>
      </c>
      <c r="M115" s="8"/>
      <c r="N115" s="9" t="s">
        <v>10</v>
      </c>
      <c r="O115" s="9">
        <f t="shared" si="7"/>
        <v>43698.969435036444</v>
      </c>
    </row>
    <row r="116" spans="1:15" x14ac:dyDescent="0.25">
      <c r="A116" s="82">
        <v>45023</v>
      </c>
      <c r="B116" s="8" t="s">
        <v>18</v>
      </c>
      <c r="C116" s="8">
        <v>-0.1</v>
      </c>
      <c r="D116" s="13">
        <v>0.34027777777777773</v>
      </c>
      <c r="E116" s="81"/>
      <c r="F116" s="9">
        <f>CPUE!F116*Effort!F116</f>
        <v>48734.383271481725</v>
      </c>
      <c r="G116" s="8"/>
      <c r="H116" s="9">
        <v>24440.446790017901</v>
      </c>
      <c r="I116" s="8"/>
      <c r="J116" s="9">
        <v>46057.715240585203</v>
      </c>
      <c r="K116" s="8"/>
      <c r="L116" s="9" t="s">
        <v>10</v>
      </c>
      <c r="M116" s="8"/>
      <c r="N116" s="9" t="s">
        <v>10</v>
      </c>
      <c r="O116" s="9">
        <f t="shared" si="7"/>
        <v>119232.54530208482</v>
      </c>
    </row>
    <row r="117" spans="1:15" x14ac:dyDescent="0.25">
      <c r="A117" s="82">
        <v>45024</v>
      </c>
      <c r="B117" s="8" t="s">
        <v>19</v>
      </c>
      <c r="C117" s="8">
        <v>-0.3</v>
      </c>
      <c r="D117" s="13">
        <v>0.3666666666666667</v>
      </c>
      <c r="E117" s="81"/>
      <c r="F117" s="9">
        <f>18558.9647797744+43043.4765504755</f>
        <v>61602.441330249902</v>
      </c>
      <c r="G117" s="8" t="s">
        <v>62</v>
      </c>
      <c r="H117" s="9">
        <f>CPUE!H117*Effort!H117</f>
        <v>46035.638666575403</v>
      </c>
      <c r="I117" s="8"/>
      <c r="J117" s="9" t="s">
        <v>10</v>
      </c>
      <c r="K117" s="8"/>
      <c r="L117" s="9">
        <v>54395.831171837199</v>
      </c>
      <c r="M117" s="8"/>
      <c r="N117" s="9" t="s">
        <v>10</v>
      </c>
      <c r="O117" s="9">
        <f t="shared" si="7"/>
        <v>162033.91116866251</v>
      </c>
    </row>
    <row r="118" spans="1:15" x14ac:dyDescent="0.25">
      <c r="A118" s="82">
        <v>45025</v>
      </c>
      <c r="B118" s="8" t="s">
        <v>20</v>
      </c>
      <c r="C118" s="8">
        <v>-0.4</v>
      </c>
      <c r="D118" s="13">
        <v>0.39513888888888887</v>
      </c>
      <c r="E118" s="81" t="s">
        <v>62</v>
      </c>
      <c r="F118" s="9">
        <f>CPUE!F118*Effort!F118</f>
        <v>21091.018453936813</v>
      </c>
      <c r="G118" s="8"/>
      <c r="H118" s="9">
        <v>8091.6663451327404</v>
      </c>
      <c r="I118" s="8"/>
      <c r="J118" s="9">
        <v>19729.628845644598</v>
      </c>
      <c r="K118" s="8"/>
      <c r="L118" s="9" t="s">
        <v>10</v>
      </c>
      <c r="M118" s="8"/>
      <c r="N118" s="9" t="s">
        <v>10</v>
      </c>
      <c r="O118" s="9">
        <f t="shared" si="7"/>
        <v>48912.313644714151</v>
      </c>
    </row>
    <row r="119" spans="1:15" x14ac:dyDescent="0.25">
      <c r="A119" s="82">
        <v>45026</v>
      </c>
      <c r="B119" s="8" t="s">
        <v>21</v>
      </c>
      <c r="C119" s="8">
        <v>-0.4</v>
      </c>
      <c r="D119" s="13">
        <v>0.42708333333333331</v>
      </c>
      <c r="E119" s="81" t="s">
        <v>62</v>
      </c>
      <c r="F119" s="9">
        <f>CPUE!F119*Effort!F119</f>
        <v>28923.169598413897</v>
      </c>
      <c r="G119" s="8"/>
      <c r="H119" s="9">
        <v>17566.505406321601</v>
      </c>
      <c r="I119" s="8"/>
      <c r="J119" s="9" t="s">
        <v>10</v>
      </c>
      <c r="K119" s="8"/>
      <c r="L119" s="9">
        <v>18583.018731132699</v>
      </c>
      <c r="M119" s="8"/>
      <c r="N119" s="9" t="s">
        <v>10</v>
      </c>
      <c r="O119" s="9">
        <f t="shared" si="7"/>
        <v>65072.693735868204</v>
      </c>
    </row>
    <row r="120" spans="1:15" x14ac:dyDescent="0.25">
      <c r="A120" s="82">
        <v>45027</v>
      </c>
      <c r="B120" s="8" t="s">
        <v>22</v>
      </c>
      <c r="C120" s="8">
        <v>-0.2</v>
      </c>
      <c r="D120" s="13">
        <v>0.46458333333333335</v>
      </c>
      <c r="E120" s="81"/>
      <c r="F120" s="9">
        <f>CPUE!F120*Effort!F120</f>
        <v>22887.137971920492</v>
      </c>
      <c r="G120" s="8" t="s">
        <v>62</v>
      </c>
      <c r="H120" s="9">
        <f>CPUE!H120*Effort!H120</f>
        <v>15964.967344287303</v>
      </c>
      <c r="I120" s="8"/>
      <c r="J120" s="9">
        <v>26461.2179398997</v>
      </c>
      <c r="K120" s="8"/>
      <c r="L120" s="9" t="s">
        <v>10</v>
      </c>
      <c r="M120" s="8"/>
      <c r="N120" s="9" t="s">
        <v>10</v>
      </c>
      <c r="O120" s="9">
        <f t="shared" si="7"/>
        <v>65313.323256107498</v>
      </c>
    </row>
    <row r="121" spans="1:15" x14ac:dyDescent="0.25">
      <c r="A121" s="82">
        <v>45028</v>
      </c>
      <c r="B121" s="8" t="s">
        <v>23</v>
      </c>
      <c r="C121" s="8">
        <v>0.1</v>
      </c>
      <c r="D121" s="13">
        <v>0.5083333333333333</v>
      </c>
      <c r="E121" s="81" t="s">
        <v>62</v>
      </c>
      <c r="F121" s="9">
        <f>CPUE!F121*Effort!F121</f>
        <v>43398.707471475849</v>
      </c>
      <c r="G121" s="8" t="s">
        <v>62</v>
      </c>
      <c r="H121" s="9">
        <f>CPUE!H121*Effort!H121</f>
        <v>26691.881030623583</v>
      </c>
      <c r="I121" s="8"/>
      <c r="J121" s="9" t="s">
        <v>10</v>
      </c>
      <c r="K121" s="8"/>
      <c r="L121" s="9">
        <v>28467.360081172999</v>
      </c>
      <c r="M121" s="8"/>
      <c r="N121" s="9" t="s">
        <v>10</v>
      </c>
      <c r="O121" s="9">
        <f t="shared" si="7"/>
        <v>98557.948583272431</v>
      </c>
    </row>
    <row r="122" spans="1:15" x14ac:dyDescent="0.25">
      <c r="A122" s="82"/>
      <c r="E122" s="81"/>
      <c r="G122" s="8"/>
      <c r="I122" s="8"/>
      <c r="K122" s="8"/>
      <c r="M122" s="8"/>
      <c r="N122" s="9"/>
    </row>
    <row r="123" spans="1:15" x14ac:dyDescent="0.25">
      <c r="A123" s="82">
        <v>45035</v>
      </c>
      <c r="B123" s="8" t="s">
        <v>23</v>
      </c>
      <c r="C123" s="8">
        <v>-0.4</v>
      </c>
      <c r="D123" s="13">
        <v>0.28055555555555556</v>
      </c>
      <c r="E123" s="81" t="s">
        <v>62</v>
      </c>
      <c r="F123" s="9">
        <f>CPUE!F123*Effort!F123</f>
        <v>4319.1521197944212</v>
      </c>
      <c r="G123" s="8" t="s">
        <v>62</v>
      </c>
      <c r="H123" s="9">
        <f>CPUE!H123*Effort!H123</f>
        <v>2761.2147381077343</v>
      </c>
      <c r="I123" s="8"/>
      <c r="J123" s="9" t="s">
        <v>10</v>
      </c>
      <c r="K123" s="8"/>
      <c r="L123" s="9">
        <v>3433.5334224097301</v>
      </c>
      <c r="M123" s="8"/>
      <c r="N123" s="9" t="s">
        <v>10</v>
      </c>
      <c r="O123" s="9">
        <f t="shared" ref="O123:O129" si="8">SUM(F123:N123)</f>
        <v>10513.900280311886</v>
      </c>
    </row>
    <row r="124" spans="1:15" x14ac:dyDescent="0.25">
      <c r="A124" s="82">
        <v>45036</v>
      </c>
      <c r="B124" s="8" t="s">
        <v>24</v>
      </c>
      <c r="C124" s="8">
        <v>-0.9</v>
      </c>
      <c r="D124" s="13">
        <v>0.31111111111111112</v>
      </c>
      <c r="E124" s="81" t="s">
        <v>62</v>
      </c>
      <c r="F124" s="9">
        <f>CPUE!F124*Effort!F124</f>
        <v>28934.707760997604</v>
      </c>
      <c r="G124" s="8" t="s">
        <v>62</v>
      </c>
      <c r="H124" s="9">
        <f>CPUE!H124*Effort!H124</f>
        <v>16219.564578591908</v>
      </c>
      <c r="I124" s="8"/>
      <c r="J124" s="9">
        <v>22825.2158390076</v>
      </c>
      <c r="K124" s="8"/>
      <c r="L124" s="9" t="s">
        <v>10</v>
      </c>
      <c r="M124" s="8"/>
      <c r="N124" s="9" t="s">
        <v>10</v>
      </c>
      <c r="O124" s="9">
        <f t="shared" si="8"/>
        <v>67979.488178597123</v>
      </c>
    </row>
    <row r="125" spans="1:15" x14ac:dyDescent="0.25">
      <c r="A125" s="82">
        <v>45037</v>
      </c>
      <c r="B125" s="8" t="s">
        <v>18</v>
      </c>
      <c r="C125" s="8">
        <v>-1.2</v>
      </c>
      <c r="D125" s="13">
        <v>0.33958333333333335</v>
      </c>
      <c r="E125" s="81" t="s">
        <v>62</v>
      </c>
      <c r="F125" s="9">
        <f>CPUE!F125*Effort!F125</f>
        <v>56457.88903077034</v>
      </c>
      <c r="G125" s="8"/>
      <c r="H125" s="9">
        <v>45183.082260773299</v>
      </c>
      <c r="I125" s="8"/>
      <c r="J125" s="9" t="s">
        <v>10</v>
      </c>
      <c r="K125" s="8"/>
      <c r="L125" s="9">
        <v>52476.429892120199</v>
      </c>
      <c r="M125" s="8"/>
      <c r="N125" s="9" t="s">
        <v>10</v>
      </c>
      <c r="O125" s="9">
        <f t="shared" si="8"/>
        <v>154117.40118366384</v>
      </c>
    </row>
    <row r="126" spans="1:15" x14ac:dyDescent="0.25">
      <c r="A126" s="82">
        <v>45038</v>
      </c>
      <c r="B126" s="8" t="s">
        <v>19</v>
      </c>
      <c r="C126" s="8">
        <v>-1.1000000000000001</v>
      </c>
      <c r="D126" s="13">
        <v>0.36805555555555558</v>
      </c>
      <c r="E126" s="81"/>
      <c r="F126" s="9">
        <f>CPUE!F126*Effort!F126</f>
        <v>164452.98036363631</v>
      </c>
      <c r="G126" s="8"/>
      <c r="H126" s="9">
        <v>93725.847353756995</v>
      </c>
      <c r="I126" s="8"/>
      <c r="J126" s="9">
        <v>128900.644763391</v>
      </c>
      <c r="K126" s="8"/>
      <c r="L126" s="9" t="s">
        <v>10</v>
      </c>
      <c r="M126" s="8"/>
      <c r="N126" s="9" t="s">
        <v>10</v>
      </c>
      <c r="O126" s="9">
        <f t="shared" si="8"/>
        <v>387079.47248078429</v>
      </c>
    </row>
    <row r="127" spans="1:15" x14ac:dyDescent="0.25">
      <c r="A127" s="82">
        <v>45039</v>
      </c>
      <c r="B127" s="8" t="s">
        <v>20</v>
      </c>
      <c r="C127" s="8">
        <v>-0.8</v>
      </c>
      <c r="D127" s="13">
        <v>0.39652777777777781</v>
      </c>
      <c r="E127" s="81"/>
      <c r="F127" s="9">
        <f>CPUE!F127*Effort!F127</f>
        <v>106953.5956217346</v>
      </c>
      <c r="G127" s="8"/>
      <c r="H127" s="9">
        <v>58365.338541367499</v>
      </c>
      <c r="I127" s="8"/>
      <c r="J127" s="9" t="s">
        <v>10</v>
      </c>
      <c r="K127" s="8"/>
      <c r="L127" s="9">
        <v>95538.013578074693</v>
      </c>
      <c r="M127" s="8"/>
      <c r="N127" s="9" t="s">
        <v>10</v>
      </c>
      <c r="O127" s="9">
        <f t="shared" si="8"/>
        <v>260856.94774117679</v>
      </c>
    </row>
    <row r="128" spans="1:15" x14ac:dyDescent="0.25">
      <c r="A128" s="82">
        <v>45040</v>
      </c>
      <c r="B128" s="8" t="s">
        <v>21</v>
      </c>
      <c r="C128" s="8">
        <v>-0.4</v>
      </c>
      <c r="D128" s="13">
        <v>0.42638888888888887</v>
      </c>
      <c r="E128" s="81"/>
      <c r="F128" s="9">
        <f>CPUE!F128*Effort!F128</f>
        <v>34669.897946097954</v>
      </c>
      <c r="G128" s="8" t="s">
        <v>62</v>
      </c>
      <c r="H128" s="9">
        <f>CPUE!H128*Effort!H128</f>
        <v>20644.990880019101</v>
      </c>
      <c r="I128" s="8"/>
      <c r="J128" s="9">
        <v>35206.732847719803</v>
      </c>
      <c r="K128" s="8"/>
      <c r="L128" s="9" t="s">
        <v>10</v>
      </c>
      <c r="M128" s="8"/>
      <c r="N128" s="9" t="s">
        <v>10</v>
      </c>
      <c r="O128" s="9">
        <f t="shared" si="8"/>
        <v>90521.621673836853</v>
      </c>
    </row>
    <row r="129" spans="1:16" x14ac:dyDescent="0.25">
      <c r="A129" s="82">
        <v>45041</v>
      </c>
      <c r="B129" s="8" t="s">
        <v>22</v>
      </c>
      <c r="C129" s="8">
        <v>0.1</v>
      </c>
      <c r="D129" s="13">
        <v>0.45902777777777781</v>
      </c>
      <c r="E129" s="81" t="s">
        <v>62</v>
      </c>
      <c r="F129" s="9">
        <f>CPUE!F129*Effort!F129</f>
        <v>28971.979084810533</v>
      </c>
      <c r="G129" s="8"/>
      <c r="H129" s="9">
        <v>18511.103707365201</v>
      </c>
      <c r="I129" s="8"/>
      <c r="J129" s="9" t="s">
        <v>10</v>
      </c>
      <c r="K129" s="8"/>
      <c r="L129" s="9">
        <v>14065.1799993804</v>
      </c>
      <c r="M129" s="8"/>
      <c r="N129" s="9" t="s">
        <v>10</v>
      </c>
      <c r="O129" s="9">
        <f t="shared" si="8"/>
        <v>61548.262791556132</v>
      </c>
    </row>
    <row r="130" spans="1:16" x14ac:dyDescent="0.25">
      <c r="A130" s="82"/>
      <c r="E130" s="81"/>
      <c r="G130" s="8"/>
      <c r="I130" s="8"/>
      <c r="K130" s="8"/>
      <c r="M130" s="8"/>
      <c r="N130" s="9"/>
    </row>
    <row r="131" spans="1:16" x14ac:dyDescent="0.25">
      <c r="A131" s="15" t="s">
        <v>74</v>
      </c>
      <c r="F131" s="9">
        <f>SUM(F2:F130)</f>
        <v>1005430.6183420394</v>
      </c>
      <c r="G131" s="8"/>
      <c r="H131" s="9">
        <f>SUM(H2:H130)</f>
        <v>912852.47510629904</v>
      </c>
      <c r="I131" s="8"/>
      <c r="J131" s="9">
        <f>SUM(J2:J130)</f>
        <v>871584.53574212152</v>
      </c>
      <c r="K131" s="8"/>
      <c r="L131" s="9">
        <f>SUM(L2:L130)</f>
        <v>670659.96170202317</v>
      </c>
      <c r="M131" s="8"/>
      <c r="N131" s="9">
        <f>SUM(N2:N54)</f>
        <v>0</v>
      </c>
      <c r="O131" s="9">
        <f>SUM(O2:O130)</f>
        <v>3460527.590892483</v>
      </c>
      <c r="P131" s="20">
        <f>SUM(F131,H131,J131,L131,N131)</f>
        <v>3460527.590892483</v>
      </c>
    </row>
    <row r="132" spans="1:16" x14ac:dyDescent="0.25">
      <c r="A132" s="16" t="s">
        <v>11</v>
      </c>
      <c r="F132" s="33">
        <f>+'LB Wastage'!F100</f>
        <v>7.0000000000000007E-2</v>
      </c>
      <c r="H132" s="33">
        <f>+'TH Wastage'!F100</f>
        <v>0.01</v>
      </c>
      <c r="J132" s="33">
        <f>+'Cop Wastage'!F100</f>
        <v>0.02</v>
      </c>
      <c r="L132" s="33">
        <f>+'Moc Wastage'!F100</f>
        <v>0.02</v>
      </c>
      <c r="N132" s="33">
        <f>+'Kal Wastage'!F100</f>
        <v>0</v>
      </c>
    </row>
    <row r="133" spans="1:16" x14ac:dyDescent="0.25">
      <c r="A133" s="15" t="s">
        <v>12</v>
      </c>
      <c r="F133" s="9">
        <f>+F131*F132</f>
        <v>70380.143283942773</v>
      </c>
      <c r="H133" s="9">
        <f>+H131*H132</f>
        <v>9128.5247510629906</v>
      </c>
      <c r="J133" s="9">
        <f>+J131*J132</f>
        <v>17431.690714842429</v>
      </c>
      <c r="L133" s="9">
        <f>+L131*L132</f>
        <v>13413.199234040463</v>
      </c>
      <c r="N133" s="9">
        <f>+N131*N132</f>
        <v>0</v>
      </c>
      <c r="O133" s="9">
        <f>F133+H133+J133+L133+N133</f>
        <v>110353.55798388865</v>
      </c>
    </row>
    <row r="134" spans="1:16" x14ac:dyDescent="0.25">
      <c r="A134" s="16" t="s">
        <v>13</v>
      </c>
      <c r="F134" s="9">
        <f>F131+F133</f>
        <v>1075810.7616259821</v>
      </c>
      <c r="H134" s="9">
        <f>H131+H133</f>
        <v>921980.99985736201</v>
      </c>
      <c r="J134" s="9">
        <f>J131+J133</f>
        <v>889016.22645696392</v>
      </c>
      <c r="L134" s="9">
        <f>L131+L133</f>
        <v>684073.16093606362</v>
      </c>
      <c r="N134" s="9">
        <f>N131+N133</f>
        <v>0</v>
      </c>
      <c r="O134" s="9">
        <f>O131+O133</f>
        <v>3570881.1488763718</v>
      </c>
    </row>
    <row r="135" spans="1:16" x14ac:dyDescent="0.25">
      <c r="A135" s="17" t="s">
        <v>69</v>
      </c>
      <c r="N135" s="9"/>
    </row>
    <row r="136" spans="1:16" x14ac:dyDescent="0.25">
      <c r="A136" s="17" t="s">
        <v>14</v>
      </c>
      <c r="F136" s="10">
        <f>F134/TAC!C4</f>
        <v>0.12423868702885685</v>
      </c>
      <c r="H136" s="10">
        <f>H134/TAC!C5</f>
        <v>0.27023477090993786</v>
      </c>
      <c r="J136" s="10">
        <f>+J134/TAC!C6</f>
        <v>0.26908720242950146</v>
      </c>
      <c r="L136" s="10">
        <f>L134/TAC!C7</f>
        <v>0.34743762293161912</v>
      </c>
      <c r="N136" s="10">
        <f>N134/TAC!C8</f>
        <v>0</v>
      </c>
      <c r="O136" s="10">
        <f>O134/TAC!C9</f>
        <v>0.204689106093567</v>
      </c>
    </row>
    <row r="137" spans="1:16" x14ac:dyDescent="0.25">
      <c r="A137" s="17" t="s">
        <v>15</v>
      </c>
      <c r="F137" s="9">
        <f>+TAC!B4-Harvest!F134</f>
        <v>4789679.2383740181</v>
      </c>
      <c r="H137" s="9">
        <f>TAC!B5-Harvest!H134</f>
        <v>1336672.0001426381</v>
      </c>
      <c r="J137" s="9">
        <f>+TAC!B6-Harvest!J134</f>
        <v>1984926.7735430361</v>
      </c>
      <c r="L137" s="9">
        <f>TAC!B7-L134</f>
        <v>1280658.8390639364</v>
      </c>
      <c r="N137" s="9">
        <f>TAC!B8-N134</f>
        <v>152683</v>
      </c>
      <c r="O137" s="9">
        <f>TAC!C9-Harvest!O134</f>
        <v>13874508.18827799</v>
      </c>
    </row>
    <row r="138" spans="1:16" x14ac:dyDescent="0.25">
      <c r="A138" s="17"/>
    </row>
    <row r="139" spans="1:16" x14ac:dyDescent="0.25">
      <c r="A139" s="15" t="s">
        <v>16</v>
      </c>
    </row>
    <row r="140" spans="1:16" x14ac:dyDescent="0.25">
      <c r="A140" s="17" t="s">
        <v>17</v>
      </c>
    </row>
    <row r="141" spans="1:16" x14ac:dyDescent="0.25">
      <c r="E141"/>
    </row>
    <row r="142" spans="1:16" x14ac:dyDescent="0.25">
      <c r="E142"/>
    </row>
    <row r="143" spans="1:16" x14ac:dyDescent="0.25">
      <c r="E143"/>
    </row>
    <row r="144" spans="1:16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2:11" x14ac:dyDescent="0.25">
      <c r="B161" s="7"/>
      <c r="C161" s="4"/>
      <c r="K161" s="6"/>
    </row>
    <row r="162" spans="2:11" x14ac:dyDescent="0.25">
      <c r="B162" s="7"/>
      <c r="C162" s="4"/>
    </row>
  </sheetData>
  <mergeCells count="5">
    <mergeCell ref="E1:F1"/>
    <mergeCell ref="G1:H1"/>
    <mergeCell ref="I1:J1"/>
    <mergeCell ref="K1:L1"/>
    <mergeCell ref="M1:N1"/>
  </mergeCells>
  <phoneticPr fontId="17" type="noConversion"/>
  <pageMargins left="0.28999999999999998" right="0.36" top="0.66" bottom="0.5" header="0.2" footer="0.25"/>
  <pageSetup paperSize="3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61"/>
  <sheetViews>
    <sheetView workbookViewId="0">
      <selection activeCell="Q2" sqref="Q2"/>
    </sheetView>
  </sheetViews>
  <sheetFormatPr defaultRowHeight="15" x14ac:dyDescent="0.25"/>
  <cols>
    <col min="1" max="1" width="21.140625" customWidth="1"/>
    <col min="4" max="4" width="9.140625" customWidth="1"/>
    <col min="5" max="5" width="3.85546875" customWidth="1"/>
    <col min="6" max="6" width="14.42578125" style="9" customWidth="1"/>
    <col min="7" max="7" width="3.5703125" customWidth="1"/>
    <col min="8" max="8" width="15.28515625" style="9" customWidth="1"/>
    <col min="9" max="9" width="3.85546875" customWidth="1"/>
    <col min="10" max="10" width="16.28515625" style="9" customWidth="1"/>
    <col min="11" max="11" width="3" customWidth="1"/>
    <col min="12" max="12" width="15.42578125" style="9" customWidth="1"/>
    <col min="13" max="13" width="3" customWidth="1"/>
    <col min="14" max="14" width="16.42578125" customWidth="1"/>
    <col min="15" max="15" width="13.42578125" style="9" customWidth="1"/>
  </cols>
  <sheetData>
    <row r="1" spans="1:17" x14ac:dyDescent="0.25">
      <c r="A1" s="14" t="s">
        <v>0</v>
      </c>
      <c r="B1" s="1" t="s">
        <v>1</v>
      </c>
      <c r="C1" s="1" t="s">
        <v>2</v>
      </c>
      <c r="D1" s="12" t="s">
        <v>3</v>
      </c>
      <c r="E1" s="116" t="s">
        <v>4</v>
      </c>
      <c r="F1" s="116"/>
      <c r="G1" s="116" t="s">
        <v>5</v>
      </c>
      <c r="H1" s="116"/>
      <c r="I1" s="116" t="s">
        <v>6</v>
      </c>
      <c r="J1" s="116"/>
      <c r="K1" s="116" t="s">
        <v>7</v>
      </c>
      <c r="L1" s="116"/>
      <c r="M1" s="116" t="s">
        <v>8</v>
      </c>
      <c r="N1" s="116"/>
      <c r="O1" s="75" t="s">
        <v>9</v>
      </c>
    </row>
    <row r="2" spans="1:17" x14ac:dyDescent="0.25">
      <c r="A2" s="82">
        <v>44826</v>
      </c>
      <c r="B2" s="8" t="s">
        <v>24</v>
      </c>
      <c r="C2" s="8">
        <v>0.4</v>
      </c>
      <c r="D2" s="13">
        <v>0.21041666666666667</v>
      </c>
      <c r="E2" s="81"/>
      <c r="F2" s="9" t="s">
        <v>10</v>
      </c>
      <c r="G2" s="8"/>
      <c r="H2" s="9" t="s">
        <v>10</v>
      </c>
      <c r="I2" s="8"/>
      <c r="J2" s="9" t="s">
        <v>10</v>
      </c>
      <c r="K2" s="8"/>
      <c r="L2" s="9" t="s">
        <v>10</v>
      </c>
      <c r="M2" s="8"/>
      <c r="N2" s="9" t="s">
        <v>10</v>
      </c>
      <c r="O2" s="86">
        <f t="shared" ref="O2:O18" si="0">SUM(F2:N2)</f>
        <v>0</v>
      </c>
      <c r="Q2" s="20">
        <f>SUM(O2:O26)</f>
        <v>40883.329049910979</v>
      </c>
    </row>
    <row r="3" spans="1:17" x14ac:dyDescent="0.25">
      <c r="A3" s="82">
        <v>44827</v>
      </c>
      <c r="B3" s="8" t="s">
        <v>18</v>
      </c>
      <c r="C3" s="8">
        <v>0.1</v>
      </c>
      <c r="D3" s="13">
        <v>0.23680555555555557</v>
      </c>
      <c r="E3" s="81"/>
      <c r="F3" s="9" t="s">
        <v>10</v>
      </c>
      <c r="G3" s="8"/>
      <c r="H3" s="9" t="s">
        <v>10</v>
      </c>
      <c r="I3" s="8"/>
      <c r="J3" s="9" t="s">
        <v>10</v>
      </c>
      <c r="K3" s="8"/>
      <c r="L3" s="9" t="s">
        <v>10</v>
      </c>
      <c r="M3" s="8"/>
      <c r="N3" s="9" t="s">
        <v>10</v>
      </c>
      <c r="O3" s="86">
        <f t="shared" si="0"/>
        <v>0</v>
      </c>
    </row>
    <row r="4" spans="1:17" x14ac:dyDescent="0.25">
      <c r="A4" s="82">
        <v>44828</v>
      </c>
      <c r="B4" s="8" t="s">
        <v>19</v>
      </c>
      <c r="C4" s="8">
        <v>0</v>
      </c>
      <c r="D4" s="13">
        <v>0.26041666666666669</v>
      </c>
      <c r="E4" s="81"/>
      <c r="F4" s="9" t="s">
        <v>10</v>
      </c>
      <c r="G4" s="8"/>
      <c r="H4" s="9" t="s">
        <v>10</v>
      </c>
      <c r="I4" s="8"/>
      <c r="J4" s="9" t="s">
        <v>10</v>
      </c>
      <c r="K4" s="8"/>
      <c r="L4" s="9" t="s">
        <v>10</v>
      </c>
      <c r="M4" s="8"/>
      <c r="N4" s="9" t="s">
        <v>10</v>
      </c>
      <c r="O4" s="86">
        <f t="shared" si="0"/>
        <v>0</v>
      </c>
    </row>
    <row r="5" spans="1:17" x14ac:dyDescent="0.25">
      <c r="A5" s="82">
        <v>44829</v>
      </c>
      <c r="B5" s="8" t="s">
        <v>20</v>
      </c>
      <c r="C5" s="8">
        <v>0.1</v>
      </c>
      <c r="D5" s="13">
        <v>0.28333333333333333</v>
      </c>
      <c r="E5" s="81"/>
      <c r="F5" s="9" t="s">
        <v>10</v>
      </c>
      <c r="G5" s="8"/>
      <c r="H5" s="9" t="s">
        <v>10</v>
      </c>
      <c r="I5" s="8"/>
      <c r="J5" s="9" t="s">
        <v>10</v>
      </c>
      <c r="K5" s="8"/>
      <c r="L5" s="9" t="s">
        <v>10</v>
      </c>
      <c r="M5" s="8"/>
      <c r="N5" s="9" t="s">
        <v>10</v>
      </c>
      <c r="O5" s="86">
        <f t="shared" si="0"/>
        <v>0</v>
      </c>
    </row>
    <row r="6" spans="1:17" x14ac:dyDescent="0.25">
      <c r="A6" s="82">
        <v>44830</v>
      </c>
      <c r="B6" s="8" t="s">
        <v>21</v>
      </c>
      <c r="C6" s="8">
        <v>0.3</v>
      </c>
      <c r="D6" s="13">
        <v>0.30486111111111108</v>
      </c>
      <c r="E6" s="81"/>
      <c r="F6" s="9" t="s">
        <v>10</v>
      </c>
      <c r="G6" s="8"/>
      <c r="H6" s="9" t="s">
        <v>10</v>
      </c>
      <c r="I6" s="8"/>
      <c r="J6" s="9" t="s">
        <v>10</v>
      </c>
      <c r="K6" s="8"/>
      <c r="L6" s="9" t="s">
        <v>10</v>
      </c>
      <c r="M6" s="8"/>
      <c r="N6" s="9" t="s">
        <v>10</v>
      </c>
      <c r="O6" s="86">
        <f t="shared" si="0"/>
        <v>0</v>
      </c>
    </row>
    <row r="7" spans="1:17" x14ac:dyDescent="0.25">
      <c r="A7" s="82">
        <v>44831</v>
      </c>
      <c r="B7" s="8" t="s">
        <v>22</v>
      </c>
      <c r="C7" s="8">
        <v>-0.1</v>
      </c>
      <c r="D7" s="13">
        <v>0.85</v>
      </c>
      <c r="E7" s="81"/>
      <c r="F7" s="9" t="s">
        <v>10</v>
      </c>
      <c r="G7" s="8"/>
      <c r="H7" s="9" t="s">
        <v>10</v>
      </c>
      <c r="I7" s="8"/>
      <c r="J7" s="9" t="s">
        <v>10</v>
      </c>
      <c r="K7" s="8"/>
      <c r="L7" s="9" t="s">
        <v>10</v>
      </c>
      <c r="M7" s="8"/>
      <c r="N7" s="9" t="s">
        <v>10</v>
      </c>
      <c r="O7" s="86">
        <f t="shared" si="0"/>
        <v>0</v>
      </c>
    </row>
    <row r="8" spans="1:17" x14ac:dyDescent="0.25">
      <c r="A8" s="82">
        <v>44832</v>
      </c>
      <c r="B8" s="8" t="s">
        <v>23</v>
      </c>
      <c r="C8" s="8">
        <v>-0.3</v>
      </c>
      <c r="D8" s="13">
        <v>0.87916666666666676</v>
      </c>
      <c r="E8" s="81"/>
      <c r="F8" s="9">
        <f>(1965.57669210003/1431.52098212702*84.0182660750021)+84.0182660750021</f>
        <v>199.38111968983611</v>
      </c>
      <c r="G8" s="8" t="s">
        <v>62</v>
      </c>
      <c r="H8" s="9">
        <f>H9/F9*F8</f>
        <v>194.83344696583575</v>
      </c>
      <c r="I8" s="8"/>
      <c r="J8" s="9">
        <v>200.86580998773201</v>
      </c>
      <c r="K8" s="8"/>
      <c r="L8" s="9" t="s">
        <v>10</v>
      </c>
      <c r="M8" s="8"/>
      <c r="N8" s="9" t="s">
        <v>10</v>
      </c>
      <c r="O8" s="86">
        <f t="shared" si="0"/>
        <v>595.08037664340395</v>
      </c>
    </row>
    <row r="9" spans="1:17" x14ac:dyDescent="0.25">
      <c r="A9" s="82">
        <v>44833</v>
      </c>
      <c r="B9" s="8" t="s">
        <v>24</v>
      </c>
      <c r="C9" s="8">
        <v>-0.4</v>
      </c>
      <c r="D9" s="13">
        <v>0.91041666666666676</v>
      </c>
      <c r="E9" s="81"/>
      <c r="F9" s="9">
        <f>(1965.57669210003/1431.52098212702*109.99521338519)+109.99521338519</f>
        <v>261.02620096544376</v>
      </c>
      <c r="G9" s="8"/>
      <c r="H9" s="9">
        <v>255.072469056291</v>
      </c>
      <c r="I9" s="8"/>
      <c r="J9" s="9" t="s">
        <v>10</v>
      </c>
      <c r="K9" s="8"/>
      <c r="L9" s="9" t="s">
        <v>10</v>
      </c>
      <c r="M9" s="8"/>
      <c r="N9" s="9" t="s">
        <v>10</v>
      </c>
      <c r="O9" s="86">
        <f t="shared" si="0"/>
        <v>516.09867002173473</v>
      </c>
    </row>
    <row r="10" spans="1:17" x14ac:dyDescent="0.25">
      <c r="A10" s="82">
        <v>44834</v>
      </c>
      <c r="B10" s="8" t="s">
        <v>18</v>
      </c>
      <c r="C10" s="8">
        <v>-0.2</v>
      </c>
      <c r="D10" s="13">
        <v>0.94652777777777775</v>
      </c>
      <c r="E10" s="81" t="s">
        <v>62</v>
      </c>
      <c r="F10" s="9">
        <f>F8/J8*J10</f>
        <v>614.50900514217733</v>
      </c>
      <c r="G10" s="8"/>
      <c r="H10" s="9">
        <v>378</v>
      </c>
      <c r="I10" s="8"/>
      <c r="J10" s="9">
        <v>619.084942720036</v>
      </c>
      <c r="K10" s="8"/>
      <c r="L10" s="9" t="s">
        <v>10</v>
      </c>
      <c r="M10" s="8"/>
      <c r="N10" s="9" t="s">
        <v>10</v>
      </c>
      <c r="O10" s="86">
        <f t="shared" si="0"/>
        <v>1611.5939478622133</v>
      </c>
    </row>
    <row r="11" spans="1:17" x14ac:dyDescent="0.25">
      <c r="A11" s="82"/>
      <c r="B11" s="8"/>
      <c r="C11" s="8"/>
      <c r="D11" s="13"/>
      <c r="E11" s="81"/>
      <c r="G11" s="8"/>
      <c r="I11" s="8"/>
      <c r="K11" s="8"/>
      <c r="M11" s="8"/>
      <c r="N11" s="9"/>
      <c r="O11" s="86"/>
    </row>
    <row r="12" spans="1:17" x14ac:dyDescent="0.25">
      <c r="A12" s="82">
        <v>44842</v>
      </c>
      <c r="B12" s="8" t="s">
        <v>19</v>
      </c>
      <c r="C12" s="8">
        <v>0.5</v>
      </c>
      <c r="D12" s="13">
        <v>0.76458333333333339</v>
      </c>
      <c r="E12" s="81"/>
      <c r="F12" s="9">
        <f>(1965.57669210003/1431.52098212702*2256.66747529896)+2256.66747529896</f>
        <v>5355.2270120772182</v>
      </c>
      <c r="G12" s="8"/>
      <c r="H12" s="9">
        <v>4762.6033282694998</v>
      </c>
      <c r="I12" s="8"/>
      <c r="J12" s="9" t="s">
        <v>10</v>
      </c>
      <c r="K12" s="8"/>
      <c r="L12" s="9" t="s">
        <v>10</v>
      </c>
      <c r="M12" s="8"/>
      <c r="N12" s="9" t="s">
        <v>10</v>
      </c>
      <c r="O12" s="86">
        <f t="shared" si="0"/>
        <v>10117.830340346718</v>
      </c>
    </row>
    <row r="13" spans="1:17" x14ac:dyDescent="0.25">
      <c r="A13" s="82">
        <v>44843</v>
      </c>
      <c r="B13" s="8" t="s">
        <v>20</v>
      </c>
      <c r="C13" s="8">
        <v>-0.1</v>
      </c>
      <c r="D13" s="13">
        <v>0.79513888888888884</v>
      </c>
      <c r="E13" s="81" t="s">
        <v>62</v>
      </c>
      <c r="F13" s="9">
        <f>F12/H12*H13</f>
        <v>2564.1123055979001</v>
      </c>
      <c r="G13" s="8"/>
      <c r="H13" s="9">
        <v>2280.3608088241499</v>
      </c>
      <c r="I13" s="8"/>
      <c r="J13" s="9">
        <v>3429.6323931361599</v>
      </c>
      <c r="K13" s="8"/>
      <c r="L13" s="9" t="s">
        <v>10</v>
      </c>
      <c r="M13" s="8"/>
      <c r="N13" s="9" t="s">
        <v>10</v>
      </c>
      <c r="O13" s="86">
        <f t="shared" si="0"/>
        <v>8274.1055075582099</v>
      </c>
    </row>
    <row r="14" spans="1:17" x14ac:dyDescent="0.25">
      <c r="A14" s="82">
        <v>44844</v>
      </c>
      <c r="B14" s="8" t="s">
        <v>21</v>
      </c>
      <c r="C14" s="8">
        <v>-0.5</v>
      </c>
      <c r="D14" s="13">
        <v>0.82361111111111107</v>
      </c>
      <c r="E14" s="81"/>
      <c r="F14" s="9">
        <f>(1965.57669210003/1431.52098212702*524.276282140161)+524.276282140161</f>
        <v>1244.1436492704615</v>
      </c>
      <c r="G14" s="8" t="s">
        <v>62</v>
      </c>
      <c r="H14" s="9">
        <f>H12/F12*F14</f>
        <v>1106.4633994969515</v>
      </c>
      <c r="I14" s="8"/>
      <c r="J14" s="9" t="s">
        <v>10</v>
      </c>
      <c r="K14" s="8"/>
      <c r="L14" s="9" t="s">
        <v>10</v>
      </c>
      <c r="M14" s="8"/>
      <c r="N14" s="9" t="s">
        <v>10</v>
      </c>
      <c r="O14" s="86">
        <f t="shared" si="0"/>
        <v>2350.6070487674133</v>
      </c>
    </row>
    <row r="15" spans="1:17" x14ac:dyDescent="0.25">
      <c r="A15" s="82">
        <v>44845</v>
      </c>
      <c r="B15" s="8" t="s">
        <v>22</v>
      </c>
      <c r="C15" s="8">
        <v>-0.6</v>
      </c>
      <c r="D15" s="13">
        <v>0.85138888888888886</v>
      </c>
      <c r="E15" s="81"/>
      <c r="F15" s="9">
        <f>(1965.57669210003/1431.52098212702*327.641329647419)+327.641329647419</f>
        <v>777.51539294388442</v>
      </c>
      <c r="G15" s="8" t="s">
        <v>62</v>
      </c>
      <c r="H15" s="9">
        <f>H13/J13*J15</f>
        <v>631.66850777202524</v>
      </c>
      <c r="I15" s="8"/>
      <c r="J15" s="9">
        <v>950.02105263157898</v>
      </c>
      <c r="K15" s="8"/>
      <c r="L15" s="9" t="s">
        <v>10</v>
      </c>
      <c r="M15" s="8"/>
      <c r="N15" s="9" t="s">
        <v>10</v>
      </c>
      <c r="O15" s="86">
        <f t="shared" si="0"/>
        <v>2359.2049533474888</v>
      </c>
    </row>
    <row r="16" spans="1:17" x14ac:dyDescent="0.25">
      <c r="A16" s="82">
        <v>44846</v>
      </c>
      <c r="B16" s="8" t="s">
        <v>23</v>
      </c>
      <c r="C16" s="8">
        <v>-0.4</v>
      </c>
      <c r="D16" s="13">
        <v>0.87916666666666676</v>
      </c>
      <c r="E16" s="81" t="s">
        <v>62</v>
      </c>
      <c r="F16" s="9">
        <f>F12/H12*H16</f>
        <v>393.51385352108235</v>
      </c>
      <c r="G16" s="8"/>
      <c r="H16" s="9">
        <v>349.96656243947098</v>
      </c>
      <c r="I16" s="8"/>
      <c r="J16" s="9" t="s">
        <v>10</v>
      </c>
      <c r="K16" s="8"/>
      <c r="L16" s="9" t="s">
        <v>10</v>
      </c>
      <c r="M16" s="8"/>
      <c r="N16" s="9" t="s">
        <v>10</v>
      </c>
      <c r="O16" s="86">
        <f t="shared" si="0"/>
        <v>743.48041596055327</v>
      </c>
    </row>
    <row r="17" spans="1:15" x14ac:dyDescent="0.25">
      <c r="A17" s="82">
        <v>44847</v>
      </c>
      <c r="B17" s="8" t="s">
        <v>24</v>
      </c>
      <c r="C17" s="8">
        <v>-0.2</v>
      </c>
      <c r="D17" s="13">
        <v>0.90694444444444444</v>
      </c>
      <c r="E17" s="81"/>
      <c r="F17" s="9">
        <f>(1965.57669210003/1431.52098212702*133.121699167157)+133.121699167157</f>
        <v>315.90694113191529</v>
      </c>
      <c r="G17" s="8" t="s">
        <v>62</v>
      </c>
      <c r="H17" s="9">
        <f>H12/F12*F17</f>
        <v>280.947837666868</v>
      </c>
      <c r="I17" s="8"/>
      <c r="J17" s="9">
        <v>492.8</v>
      </c>
      <c r="K17" s="8"/>
      <c r="L17" s="9" t="s">
        <v>10</v>
      </c>
      <c r="M17" s="8"/>
      <c r="N17" s="9" t="s">
        <v>10</v>
      </c>
      <c r="O17" s="86">
        <f t="shared" si="0"/>
        <v>1089.6547787987834</v>
      </c>
    </row>
    <row r="18" spans="1:15" x14ac:dyDescent="0.25">
      <c r="A18" s="82">
        <v>44848</v>
      </c>
      <c r="B18" s="8" t="s">
        <v>18</v>
      </c>
      <c r="C18" s="8">
        <v>0.3</v>
      </c>
      <c r="D18" s="13">
        <v>0.93680555555555556</v>
      </c>
      <c r="E18" s="81" t="s">
        <v>62</v>
      </c>
      <c r="F18" s="9">
        <f>F12/H12*H18</f>
        <v>515.8111793791054</v>
      </c>
      <c r="G18" s="8"/>
      <c r="H18" s="9">
        <v>458.730140501861</v>
      </c>
      <c r="I18" s="8"/>
      <c r="J18" s="9" t="s">
        <v>10</v>
      </c>
      <c r="K18" s="8"/>
      <c r="L18" s="9" t="s">
        <v>10</v>
      </c>
      <c r="M18" s="8"/>
      <c r="N18" s="9" t="s">
        <v>10</v>
      </c>
      <c r="O18" s="86">
        <f t="shared" si="0"/>
        <v>974.5413198809664</v>
      </c>
    </row>
    <row r="19" spans="1:15" x14ac:dyDescent="0.25">
      <c r="A19" s="82"/>
      <c r="B19" s="8"/>
      <c r="C19" s="8"/>
      <c r="D19" s="13"/>
      <c r="E19" s="81"/>
      <c r="G19" s="8"/>
      <c r="I19" s="8"/>
      <c r="K19" s="8"/>
      <c r="M19" s="8"/>
      <c r="N19" s="9"/>
      <c r="O19" s="86"/>
    </row>
    <row r="20" spans="1:15" x14ac:dyDescent="0.25">
      <c r="A20" s="82">
        <v>44858</v>
      </c>
      <c r="B20" s="8" t="s">
        <v>21</v>
      </c>
      <c r="C20" s="8">
        <v>0</v>
      </c>
      <c r="D20" s="13">
        <v>0.78055555555555556</v>
      </c>
      <c r="E20" s="81"/>
      <c r="F20" s="9">
        <f>(480.102341756922/290.211117032169*471.24181687276)+471.24181687276</f>
        <v>1250.8270447857217</v>
      </c>
      <c r="G20" s="8"/>
      <c r="H20" s="9">
        <v>970.92903847137097</v>
      </c>
      <c r="I20" s="8"/>
      <c r="J20" s="9">
        <v>1276.54062056103</v>
      </c>
      <c r="K20" s="8"/>
      <c r="L20" s="9" t="s">
        <v>10</v>
      </c>
      <c r="M20" s="8"/>
      <c r="N20" s="9" t="s">
        <v>10</v>
      </c>
      <c r="O20" s="86">
        <f t="shared" ref="O20:O26" si="1">SUM(F20:N20)</f>
        <v>3498.2967038181223</v>
      </c>
    </row>
    <row r="21" spans="1:15" x14ac:dyDescent="0.25">
      <c r="A21" s="82">
        <v>44859</v>
      </c>
      <c r="B21" s="8" t="s">
        <v>22</v>
      </c>
      <c r="C21" s="8">
        <v>-0.6</v>
      </c>
      <c r="D21" s="13">
        <v>0.80833333333333324</v>
      </c>
      <c r="E21" s="81"/>
      <c r="F21" s="9">
        <f>(290.211117032169/480.102341756922*247.648295758035)+247.648295758035</f>
        <v>397.34614617893658</v>
      </c>
      <c r="G21" s="8"/>
      <c r="H21" s="9">
        <v>388.18431453452899</v>
      </c>
      <c r="I21" s="8"/>
      <c r="J21" s="9" t="s">
        <v>10</v>
      </c>
      <c r="K21" s="8"/>
      <c r="L21" s="9" t="s">
        <v>10</v>
      </c>
      <c r="M21" s="8"/>
      <c r="N21" s="9" t="s">
        <v>10</v>
      </c>
      <c r="O21" s="86">
        <f t="shared" si="1"/>
        <v>785.53046071346557</v>
      </c>
    </row>
    <row r="22" spans="1:15" x14ac:dyDescent="0.25">
      <c r="A22" s="82">
        <v>44860</v>
      </c>
      <c r="B22" s="8" t="s">
        <v>23</v>
      </c>
      <c r="C22" s="8">
        <v>-1</v>
      </c>
      <c r="D22" s="13">
        <v>0.83680555555555547</v>
      </c>
      <c r="E22" s="81"/>
      <c r="F22" s="9">
        <f>480.102341756922+290.211117032169</f>
        <v>770.31345878909099</v>
      </c>
      <c r="G22" s="8" t="s">
        <v>62</v>
      </c>
      <c r="H22" s="9">
        <f>H20/F20*F22</f>
        <v>597.94014606693588</v>
      </c>
      <c r="I22" s="8"/>
      <c r="J22" s="9">
        <v>597.74106409084902</v>
      </c>
      <c r="K22" s="8"/>
      <c r="L22" s="9" t="s">
        <v>10</v>
      </c>
      <c r="M22" s="8"/>
      <c r="N22" s="9" t="s">
        <v>10</v>
      </c>
      <c r="O22" s="86">
        <f t="shared" si="1"/>
        <v>1965.9946689468759</v>
      </c>
    </row>
    <row r="23" spans="1:15" x14ac:dyDescent="0.25">
      <c r="A23" s="82">
        <v>44861</v>
      </c>
      <c r="B23" s="8" t="s">
        <v>24</v>
      </c>
      <c r="C23" s="8">
        <v>-1.1000000000000001</v>
      </c>
      <c r="D23" s="13">
        <v>0.8666666666666667</v>
      </c>
      <c r="E23" s="81" t="s">
        <v>62</v>
      </c>
      <c r="F23" s="9">
        <f>F21/H21*H23</f>
        <v>514.17346781832862</v>
      </c>
      <c r="G23" s="8"/>
      <c r="H23" s="9">
        <v>502.31788347839301</v>
      </c>
      <c r="I23" s="8"/>
      <c r="J23" s="9" t="s">
        <v>10</v>
      </c>
      <c r="K23" s="8"/>
      <c r="L23" s="9" t="s">
        <v>10</v>
      </c>
      <c r="M23" s="8"/>
      <c r="N23" s="9" t="s">
        <v>10</v>
      </c>
      <c r="O23" s="86">
        <f t="shared" si="1"/>
        <v>1016.4913512967216</v>
      </c>
    </row>
    <row r="24" spans="1:15" x14ac:dyDescent="0.25">
      <c r="A24" s="82">
        <v>44862</v>
      </c>
      <c r="B24" s="8" t="s">
        <v>18</v>
      </c>
      <c r="C24" s="8">
        <v>-1</v>
      </c>
      <c r="D24" s="13">
        <v>0.89930555555555547</v>
      </c>
      <c r="E24" s="81"/>
      <c r="F24" s="9">
        <f>(480.102341756922/290.211117032169*303.333341368923)+303.333341368923</f>
        <v>805.14405425084556</v>
      </c>
      <c r="G24" s="8" t="s">
        <v>62</v>
      </c>
      <c r="H24" s="9">
        <f>H20/J20*J24</f>
        <v>825.63585582193787</v>
      </c>
      <c r="I24" s="8"/>
      <c r="J24" s="9">
        <v>1085.51466274788</v>
      </c>
      <c r="K24" s="8"/>
      <c r="L24" s="9" t="s">
        <v>10</v>
      </c>
      <c r="M24" s="8"/>
      <c r="N24" s="9" t="s">
        <v>10</v>
      </c>
      <c r="O24" s="86">
        <f t="shared" si="1"/>
        <v>2716.2945728206632</v>
      </c>
    </row>
    <row r="25" spans="1:15" x14ac:dyDescent="0.25">
      <c r="A25" s="82">
        <v>44863</v>
      </c>
      <c r="B25" s="8" t="s">
        <v>19</v>
      </c>
      <c r="C25" s="8">
        <v>-0.7</v>
      </c>
      <c r="D25" s="13">
        <v>0.93611111111111101</v>
      </c>
      <c r="E25" s="81" t="s">
        <v>62</v>
      </c>
      <c r="F25" s="9">
        <f>F21/H21*H25</f>
        <v>1101.2842516978878</v>
      </c>
      <c r="G25" s="8"/>
      <c r="H25" s="9">
        <v>1075.89132665326</v>
      </c>
      <c r="I25" s="8"/>
      <c r="J25" s="9" t="s">
        <v>10</v>
      </c>
      <c r="K25" s="8"/>
      <c r="L25" s="9" t="s">
        <v>10</v>
      </c>
      <c r="M25" s="8"/>
      <c r="N25" s="9" t="s">
        <v>10</v>
      </c>
      <c r="O25" s="86">
        <f t="shared" si="1"/>
        <v>2177.175578351148</v>
      </c>
    </row>
    <row r="26" spans="1:15" x14ac:dyDescent="0.25">
      <c r="A26" s="82">
        <v>44864</v>
      </c>
      <c r="B26" s="8" t="s">
        <v>20</v>
      </c>
      <c r="C26" s="8">
        <v>-0.3</v>
      </c>
      <c r="D26" s="13">
        <v>0.9770833333333333</v>
      </c>
      <c r="E26" s="81" t="s">
        <v>62</v>
      </c>
      <c r="F26" s="9">
        <f>F20/J20*J26</f>
        <v>32.661893008219685</v>
      </c>
      <c r="G26" s="8" t="s">
        <v>62</v>
      </c>
      <c r="H26" s="9">
        <f>H20/J20*J26</f>
        <v>25.353129759484982</v>
      </c>
      <c r="I26" s="8"/>
      <c r="J26" s="9">
        <v>33.333332008785703</v>
      </c>
      <c r="K26" s="8"/>
      <c r="L26" s="9" t="s">
        <v>10</v>
      </c>
      <c r="M26" s="8"/>
      <c r="N26" s="9" t="s">
        <v>10</v>
      </c>
      <c r="O26" s="86">
        <f t="shared" si="1"/>
        <v>91.348354776490368</v>
      </c>
    </row>
    <row r="27" spans="1:15" x14ac:dyDescent="0.25">
      <c r="A27" s="82"/>
      <c r="B27" s="8"/>
      <c r="C27" s="8"/>
      <c r="D27" s="13"/>
      <c r="E27" s="81"/>
      <c r="G27" s="8"/>
      <c r="I27" s="8"/>
      <c r="K27" s="8"/>
      <c r="M27" s="8"/>
      <c r="N27" s="9"/>
    </row>
    <row r="28" spans="1:15" x14ac:dyDescent="0.25">
      <c r="A28" s="82">
        <v>44871</v>
      </c>
      <c r="B28" s="8" t="s">
        <v>20</v>
      </c>
      <c r="C28" s="8">
        <v>0</v>
      </c>
      <c r="D28" s="13">
        <v>0.71388888888888891</v>
      </c>
      <c r="E28" s="81"/>
      <c r="F28" s="9" t="s">
        <v>10</v>
      </c>
      <c r="G28" s="8"/>
      <c r="H28" s="9" t="s">
        <v>10</v>
      </c>
      <c r="I28" s="8"/>
      <c r="J28" s="9" t="s">
        <v>10</v>
      </c>
      <c r="K28" s="8"/>
      <c r="L28" s="9" t="s">
        <v>10</v>
      </c>
      <c r="M28" s="8"/>
      <c r="N28" s="9" t="s">
        <v>10</v>
      </c>
      <c r="O28" s="9">
        <f t="shared" ref="O28:O43" si="2">SUM(F28:N28)</f>
        <v>0</v>
      </c>
    </row>
    <row r="29" spans="1:15" x14ac:dyDescent="0.25">
      <c r="A29" s="82">
        <v>44872</v>
      </c>
      <c r="B29" s="8" t="s">
        <v>21</v>
      </c>
      <c r="C29" s="8">
        <v>-0.5</v>
      </c>
      <c r="D29" s="13">
        <v>0.74236111111111114</v>
      </c>
      <c r="E29" s="81"/>
      <c r="F29" s="9" t="s">
        <v>10</v>
      </c>
      <c r="G29" s="8"/>
      <c r="H29" s="9" t="s">
        <v>10</v>
      </c>
      <c r="I29" s="8"/>
      <c r="J29" s="9" t="s">
        <v>10</v>
      </c>
      <c r="K29" s="8"/>
      <c r="L29" s="9" t="s">
        <v>10</v>
      </c>
      <c r="M29" s="8"/>
      <c r="N29" s="9" t="s">
        <v>10</v>
      </c>
      <c r="O29" s="9">
        <f t="shared" si="2"/>
        <v>0</v>
      </c>
    </row>
    <row r="30" spans="1:15" x14ac:dyDescent="0.25">
      <c r="A30" s="82">
        <v>44873</v>
      </c>
      <c r="B30" s="8" t="s">
        <v>22</v>
      </c>
      <c r="C30" s="8">
        <v>-0.7</v>
      </c>
      <c r="D30" s="13">
        <v>0.76944444444444438</v>
      </c>
      <c r="E30" s="81"/>
      <c r="F30" s="9" t="s">
        <v>10</v>
      </c>
      <c r="G30" s="8"/>
      <c r="H30" s="9" t="s">
        <v>10</v>
      </c>
      <c r="I30" s="8"/>
      <c r="J30" s="9" t="s">
        <v>10</v>
      </c>
      <c r="K30" s="8"/>
      <c r="L30" s="9" t="s">
        <v>10</v>
      </c>
      <c r="M30" s="8"/>
      <c r="N30" s="9" t="s">
        <v>10</v>
      </c>
      <c r="O30" s="9">
        <f t="shared" si="2"/>
        <v>0</v>
      </c>
    </row>
    <row r="31" spans="1:15" x14ac:dyDescent="0.25">
      <c r="A31" s="82">
        <v>44874</v>
      </c>
      <c r="B31" s="8" t="s">
        <v>23</v>
      </c>
      <c r="C31" s="8">
        <v>-0.7</v>
      </c>
      <c r="D31" s="13">
        <v>0.79513888888888884</v>
      </c>
      <c r="E31" s="81"/>
      <c r="F31" s="9" t="s">
        <v>10</v>
      </c>
      <c r="G31" s="8"/>
      <c r="H31" s="9" t="s">
        <v>10</v>
      </c>
      <c r="I31" s="8"/>
      <c r="J31" s="9" t="s">
        <v>10</v>
      </c>
      <c r="K31" s="8"/>
      <c r="L31" s="9" t="s">
        <v>10</v>
      </c>
      <c r="M31" s="8"/>
      <c r="N31" s="9" t="s">
        <v>10</v>
      </c>
      <c r="O31" s="9">
        <f t="shared" si="2"/>
        <v>0</v>
      </c>
    </row>
    <row r="32" spans="1:15" x14ac:dyDescent="0.25">
      <c r="A32" s="82">
        <v>44875</v>
      </c>
      <c r="B32" s="8" t="s">
        <v>24</v>
      </c>
      <c r="C32" s="8">
        <v>-0.6</v>
      </c>
      <c r="D32" s="13">
        <v>0.8208333333333333</v>
      </c>
      <c r="E32" s="81"/>
      <c r="F32" s="9" t="s">
        <v>10</v>
      </c>
      <c r="G32" s="8"/>
      <c r="H32" s="9" t="s">
        <v>10</v>
      </c>
      <c r="I32" s="8"/>
      <c r="J32" s="9" t="s">
        <v>10</v>
      </c>
      <c r="K32" s="8"/>
      <c r="L32" s="9" t="s">
        <v>10</v>
      </c>
      <c r="M32" s="8"/>
      <c r="N32" s="9" t="s">
        <v>10</v>
      </c>
      <c r="O32" s="9">
        <f t="shared" si="2"/>
        <v>0</v>
      </c>
    </row>
    <row r="33" spans="1:15" x14ac:dyDescent="0.25">
      <c r="A33" s="82">
        <v>44876</v>
      </c>
      <c r="B33" s="8" t="s">
        <v>18</v>
      </c>
      <c r="C33" s="8">
        <v>-0.2</v>
      </c>
      <c r="D33" s="13">
        <v>0.84652777777777777</v>
      </c>
      <c r="E33" s="81"/>
      <c r="F33" s="9" t="s">
        <v>10</v>
      </c>
      <c r="G33" s="8"/>
      <c r="H33" s="9" t="s">
        <v>10</v>
      </c>
      <c r="I33" s="8"/>
      <c r="J33" s="9" t="s">
        <v>10</v>
      </c>
      <c r="K33" s="8"/>
      <c r="L33" s="9" t="s">
        <v>10</v>
      </c>
      <c r="M33" s="8"/>
      <c r="N33" s="9" t="s">
        <v>10</v>
      </c>
      <c r="O33" s="9">
        <f t="shared" si="2"/>
        <v>0</v>
      </c>
    </row>
    <row r="34" spans="1:15" x14ac:dyDescent="0.25">
      <c r="A34" s="82">
        <v>44877</v>
      </c>
      <c r="B34" s="8" t="s">
        <v>19</v>
      </c>
      <c r="C34" s="8">
        <v>0.1</v>
      </c>
      <c r="D34" s="13">
        <v>0.87430555555555556</v>
      </c>
      <c r="E34" s="81"/>
      <c r="F34" s="9" t="s">
        <v>10</v>
      </c>
      <c r="G34" s="8"/>
      <c r="H34" s="9" t="s">
        <v>10</v>
      </c>
      <c r="I34" s="8"/>
      <c r="J34" s="9" t="s">
        <v>10</v>
      </c>
      <c r="K34" s="8"/>
      <c r="L34" s="9" t="s">
        <v>10</v>
      </c>
      <c r="M34" s="8"/>
      <c r="N34" s="9" t="s">
        <v>10</v>
      </c>
      <c r="O34" s="9">
        <f t="shared" si="2"/>
        <v>0</v>
      </c>
    </row>
    <row r="35" spans="1:15" x14ac:dyDescent="0.25">
      <c r="A35" s="82">
        <v>44878</v>
      </c>
      <c r="B35" s="8" t="s">
        <v>20</v>
      </c>
      <c r="C35" s="8">
        <v>0.5</v>
      </c>
      <c r="D35" s="13">
        <v>0.90486111111111101</v>
      </c>
      <c r="E35" s="81"/>
      <c r="F35" s="9" t="s">
        <v>10</v>
      </c>
      <c r="G35" s="8"/>
      <c r="H35" s="9" t="s">
        <v>10</v>
      </c>
      <c r="I35" s="8"/>
      <c r="J35" s="9" t="s">
        <v>10</v>
      </c>
      <c r="K35" s="8"/>
      <c r="L35" s="9" t="s">
        <v>10</v>
      </c>
      <c r="M35" s="8"/>
      <c r="N35" s="9" t="s">
        <v>10</v>
      </c>
      <c r="O35" s="9">
        <f t="shared" si="2"/>
        <v>0</v>
      </c>
    </row>
    <row r="36" spans="1:15" x14ac:dyDescent="0.25">
      <c r="A36" s="82"/>
      <c r="B36" s="8"/>
      <c r="C36" s="8"/>
      <c r="D36" s="13"/>
      <c r="E36" s="81"/>
      <c r="G36" s="8"/>
      <c r="I36" s="8"/>
      <c r="K36" s="8"/>
      <c r="M36" s="8"/>
      <c r="N36" s="9"/>
    </row>
    <row r="37" spans="1:15" x14ac:dyDescent="0.25">
      <c r="A37" s="82">
        <v>44887</v>
      </c>
      <c r="B37" s="8" t="s">
        <v>22</v>
      </c>
      <c r="C37" s="8">
        <v>-0.6</v>
      </c>
      <c r="D37" s="13">
        <v>0.72361111111111109</v>
      </c>
      <c r="E37" s="81"/>
      <c r="F37" s="9" t="s">
        <v>10</v>
      </c>
      <c r="G37" s="8"/>
      <c r="H37" s="9" t="s">
        <v>10</v>
      </c>
      <c r="I37" s="8"/>
      <c r="J37" s="9" t="s">
        <v>10</v>
      </c>
      <c r="K37" s="8"/>
      <c r="L37" s="9" t="s">
        <v>10</v>
      </c>
      <c r="M37" s="8"/>
      <c r="N37" s="9" t="s">
        <v>10</v>
      </c>
      <c r="O37" s="9">
        <f t="shared" si="2"/>
        <v>0</v>
      </c>
    </row>
    <row r="38" spans="1:15" x14ac:dyDescent="0.25">
      <c r="A38" s="82">
        <v>44888</v>
      </c>
      <c r="B38" s="8" t="s">
        <v>23</v>
      </c>
      <c r="C38" s="8">
        <v>-1.2</v>
      </c>
      <c r="D38" s="13">
        <v>0.75277777777777777</v>
      </c>
      <c r="E38" s="81"/>
      <c r="F38" s="9" t="s">
        <v>10</v>
      </c>
      <c r="G38" s="8"/>
      <c r="H38" s="9" t="s">
        <v>10</v>
      </c>
      <c r="I38" s="8"/>
      <c r="J38" s="9" t="s">
        <v>10</v>
      </c>
      <c r="K38" s="8"/>
      <c r="L38" s="9" t="s">
        <v>10</v>
      </c>
      <c r="M38" s="8"/>
      <c r="N38" s="9" t="s">
        <v>10</v>
      </c>
      <c r="O38" s="9">
        <f t="shared" si="2"/>
        <v>0</v>
      </c>
    </row>
    <row r="39" spans="1:15" x14ac:dyDescent="0.25">
      <c r="A39" s="82">
        <v>44889</v>
      </c>
      <c r="B39" s="8" t="s">
        <v>24</v>
      </c>
      <c r="C39" s="8">
        <v>-1.6</v>
      </c>
      <c r="D39" s="13">
        <v>0.78333333333333333</v>
      </c>
      <c r="E39" s="81"/>
      <c r="F39" s="9" t="s">
        <v>10</v>
      </c>
      <c r="G39" s="8"/>
      <c r="H39" s="9" t="s">
        <v>10</v>
      </c>
      <c r="I39" s="8"/>
      <c r="J39" s="9" t="s">
        <v>10</v>
      </c>
      <c r="K39" s="8"/>
      <c r="L39" s="9" t="s">
        <v>10</v>
      </c>
      <c r="M39" s="8"/>
      <c r="N39" s="9" t="s">
        <v>10</v>
      </c>
      <c r="O39" s="9">
        <f t="shared" si="2"/>
        <v>0</v>
      </c>
    </row>
    <row r="40" spans="1:15" x14ac:dyDescent="0.25">
      <c r="A40" s="82">
        <v>44890</v>
      </c>
      <c r="B40" s="8" t="s">
        <v>18</v>
      </c>
      <c r="C40" s="8">
        <v>-1.6</v>
      </c>
      <c r="D40" s="13">
        <v>0.81597222222222221</v>
      </c>
      <c r="E40" s="81"/>
      <c r="F40" s="9" t="s">
        <v>10</v>
      </c>
      <c r="G40" s="8"/>
      <c r="H40" s="9" t="s">
        <v>10</v>
      </c>
      <c r="I40" s="8"/>
      <c r="J40" s="9" t="s">
        <v>10</v>
      </c>
      <c r="K40" s="8"/>
      <c r="L40" s="9" t="s">
        <v>10</v>
      </c>
      <c r="M40" s="8"/>
      <c r="N40" s="9" t="s">
        <v>10</v>
      </c>
      <c r="O40" s="9">
        <f t="shared" si="2"/>
        <v>0</v>
      </c>
    </row>
    <row r="41" spans="1:15" x14ac:dyDescent="0.25">
      <c r="A41" s="82">
        <v>44891</v>
      </c>
      <c r="B41" s="8" t="s">
        <v>19</v>
      </c>
      <c r="C41" s="8">
        <v>-1.5</v>
      </c>
      <c r="D41" s="13">
        <v>0.84930555555555554</v>
      </c>
      <c r="E41" s="81"/>
      <c r="F41" s="9" t="s">
        <v>10</v>
      </c>
      <c r="G41" s="8"/>
      <c r="H41" s="9" t="s">
        <v>10</v>
      </c>
      <c r="I41" s="8"/>
      <c r="J41" s="9" t="s">
        <v>10</v>
      </c>
      <c r="K41" s="8"/>
      <c r="L41" s="9" t="s">
        <v>10</v>
      </c>
      <c r="M41" s="8"/>
      <c r="N41" s="9" t="s">
        <v>10</v>
      </c>
      <c r="O41" s="9">
        <f t="shared" si="2"/>
        <v>0</v>
      </c>
    </row>
    <row r="42" spans="1:15" x14ac:dyDescent="0.25">
      <c r="A42" s="82">
        <v>44892</v>
      </c>
      <c r="B42" s="8" t="s">
        <v>20</v>
      </c>
      <c r="C42" s="8">
        <v>-1.1000000000000001</v>
      </c>
      <c r="D42" s="13">
        <v>0.88541666666666663</v>
      </c>
      <c r="E42" s="81"/>
      <c r="F42" s="9" t="s">
        <v>10</v>
      </c>
      <c r="G42" s="8"/>
      <c r="H42" s="9" t="s">
        <v>10</v>
      </c>
      <c r="I42" s="8"/>
      <c r="J42" s="9" t="s">
        <v>10</v>
      </c>
      <c r="K42" s="8"/>
      <c r="L42" s="9" t="s">
        <v>10</v>
      </c>
      <c r="M42" s="8"/>
      <c r="N42" s="9" t="s">
        <v>10</v>
      </c>
      <c r="O42" s="9">
        <f t="shared" si="2"/>
        <v>0</v>
      </c>
    </row>
    <row r="43" spans="1:15" x14ac:dyDescent="0.25">
      <c r="A43" s="82">
        <v>44893</v>
      </c>
      <c r="B43" s="8" t="s">
        <v>21</v>
      </c>
      <c r="C43" s="8">
        <v>-0.5</v>
      </c>
      <c r="D43" s="13">
        <v>0.92361111111111116</v>
      </c>
      <c r="E43" s="81"/>
      <c r="F43" s="9" t="s">
        <v>10</v>
      </c>
      <c r="G43" s="8"/>
      <c r="H43" s="9" t="s">
        <v>10</v>
      </c>
      <c r="I43" s="8"/>
      <c r="J43" s="9" t="s">
        <v>10</v>
      </c>
      <c r="K43" s="8"/>
      <c r="L43" s="9" t="s">
        <v>10</v>
      </c>
      <c r="M43" s="8"/>
      <c r="N43" s="9" t="s">
        <v>10</v>
      </c>
      <c r="O43" s="9">
        <f t="shared" si="2"/>
        <v>0</v>
      </c>
    </row>
    <row r="44" spans="1:15" x14ac:dyDescent="0.25">
      <c r="A44" s="82"/>
      <c r="B44" s="8"/>
      <c r="C44" s="8"/>
      <c r="D44" s="13"/>
      <c r="E44" s="81"/>
      <c r="G44" s="8"/>
      <c r="I44" s="8"/>
      <c r="K44" s="8"/>
      <c r="M44" s="8"/>
      <c r="N44" s="9"/>
    </row>
    <row r="45" spans="1:15" x14ac:dyDescent="0.25">
      <c r="A45" s="82">
        <v>44899</v>
      </c>
      <c r="B45" s="8" t="s">
        <v>20</v>
      </c>
      <c r="C45" s="8">
        <v>0.4</v>
      </c>
      <c r="D45" s="13">
        <v>0.67291666666666661</v>
      </c>
      <c r="E45" s="81"/>
      <c r="F45" s="9" t="s">
        <v>10</v>
      </c>
      <c r="G45" s="8"/>
      <c r="H45" s="9" t="s">
        <v>10</v>
      </c>
      <c r="I45" s="8"/>
      <c r="J45" s="9" t="s">
        <v>10</v>
      </c>
      <c r="K45" s="8"/>
      <c r="L45" s="9" t="s">
        <v>10</v>
      </c>
      <c r="M45" s="8"/>
      <c r="N45" s="9" t="s">
        <v>10</v>
      </c>
      <c r="O45" s="9">
        <f t="shared" ref="O45:O63" si="3">SUM(F45:N45)</f>
        <v>0</v>
      </c>
    </row>
    <row r="46" spans="1:15" x14ac:dyDescent="0.25">
      <c r="A46" s="82">
        <v>44900</v>
      </c>
      <c r="B46" s="8" t="s">
        <v>21</v>
      </c>
      <c r="C46" s="8">
        <v>-0.1</v>
      </c>
      <c r="D46" s="13">
        <v>0.70347222222222217</v>
      </c>
      <c r="E46" s="81"/>
      <c r="F46" s="9" t="s">
        <v>10</v>
      </c>
      <c r="G46" s="8"/>
      <c r="H46" s="9" t="s">
        <v>10</v>
      </c>
      <c r="I46" s="8"/>
      <c r="J46" s="9" t="s">
        <v>10</v>
      </c>
      <c r="K46" s="8"/>
      <c r="L46" s="9" t="s">
        <v>10</v>
      </c>
      <c r="M46" s="8"/>
      <c r="N46" s="9" t="s">
        <v>10</v>
      </c>
      <c r="O46" s="9">
        <f t="shared" si="3"/>
        <v>0</v>
      </c>
    </row>
    <row r="47" spans="1:15" x14ac:dyDescent="0.25">
      <c r="A47" s="82">
        <v>44901</v>
      </c>
      <c r="B47" s="8" t="s">
        <v>22</v>
      </c>
      <c r="C47" s="8">
        <v>-0.5</v>
      </c>
      <c r="D47" s="13">
        <v>0.73125000000000007</v>
      </c>
      <c r="E47" s="81"/>
      <c r="F47" s="9" t="s">
        <v>10</v>
      </c>
      <c r="G47" s="8"/>
      <c r="H47" s="9" t="s">
        <v>10</v>
      </c>
      <c r="I47" s="8"/>
      <c r="J47" s="9" t="s">
        <v>10</v>
      </c>
      <c r="K47" s="8"/>
      <c r="L47" s="9" t="s">
        <v>10</v>
      </c>
      <c r="M47" s="8"/>
      <c r="N47" s="9" t="s">
        <v>10</v>
      </c>
      <c r="O47" s="9">
        <f t="shared" si="3"/>
        <v>0</v>
      </c>
    </row>
    <row r="48" spans="1:15" x14ac:dyDescent="0.25">
      <c r="A48" s="82">
        <v>44902</v>
      </c>
      <c r="B48" s="8" t="s">
        <v>23</v>
      </c>
      <c r="C48" s="8">
        <v>-0.6</v>
      </c>
      <c r="D48" s="13">
        <v>0.75763888888888886</v>
      </c>
      <c r="E48" s="81"/>
      <c r="F48" s="9" t="s">
        <v>10</v>
      </c>
      <c r="G48" s="8"/>
      <c r="H48" s="9" t="s">
        <v>10</v>
      </c>
      <c r="I48" s="8"/>
      <c r="J48" s="9" t="s">
        <v>10</v>
      </c>
      <c r="K48" s="8"/>
      <c r="L48" s="9" t="s">
        <v>10</v>
      </c>
      <c r="M48" s="8"/>
      <c r="N48" s="9" t="s">
        <v>10</v>
      </c>
      <c r="O48" s="9">
        <f t="shared" si="3"/>
        <v>0</v>
      </c>
    </row>
    <row r="49" spans="1:15" x14ac:dyDescent="0.25">
      <c r="A49" s="82">
        <v>44903</v>
      </c>
      <c r="B49" s="8" t="s">
        <v>24</v>
      </c>
      <c r="C49" s="8">
        <v>-0.6</v>
      </c>
      <c r="D49" s="13">
        <v>0.78263888888888899</v>
      </c>
      <c r="E49" s="81"/>
      <c r="F49" s="9" t="s">
        <v>10</v>
      </c>
      <c r="G49" s="8"/>
      <c r="H49" s="9" t="s">
        <v>10</v>
      </c>
      <c r="I49" s="8"/>
      <c r="J49" s="9" t="s">
        <v>10</v>
      </c>
      <c r="K49" s="8"/>
      <c r="L49" s="9" t="s">
        <v>10</v>
      </c>
      <c r="M49" s="8"/>
      <c r="N49" s="9" t="s">
        <v>10</v>
      </c>
      <c r="O49" s="9">
        <f t="shared" si="3"/>
        <v>0</v>
      </c>
    </row>
    <row r="50" spans="1:15" x14ac:dyDescent="0.25">
      <c r="A50" s="82">
        <v>44904</v>
      </c>
      <c r="B50" s="8" t="s">
        <v>18</v>
      </c>
      <c r="C50" s="8">
        <v>-0.5</v>
      </c>
      <c r="D50" s="13">
        <v>0.80763888888888891</v>
      </c>
      <c r="E50" s="81"/>
      <c r="F50" s="9" t="s">
        <v>10</v>
      </c>
      <c r="G50" s="8"/>
      <c r="H50" s="9" t="s">
        <v>10</v>
      </c>
      <c r="I50" s="8"/>
      <c r="J50" s="9" t="s">
        <v>10</v>
      </c>
      <c r="K50" s="8"/>
      <c r="L50" s="9" t="s">
        <v>10</v>
      </c>
      <c r="M50" s="8"/>
      <c r="N50" s="9" t="s">
        <v>10</v>
      </c>
      <c r="O50" s="9">
        <f t="shared" si="3"/>
        <v>0</v>
      </c>
    </row>
    <row r="51" spans="1:15" x14ac:dyDescent="0.25">
      <c r="A51" s="82">
        <v>44905</v>
      </c>
      <c r="B51" s="8" t="s">
        <v>19</v>
      </c>
      <c r="C51" s="8">
        <v>-0.3</v>
      </c>
      <c r="D51" s="13">
        <v>0.83263888888888893</v>
      </c>
      <c r="E51" s="81"/>
      <c r="F51" s="9" t="s">
        <v>10</v>
      </c>
      <c r="G51" s="8"/>
      <c r="H51" s="9" t="s">
        <v>10</v>
      </c>
      <c r="I51" s="8"/>
      <c r="J51" s="9" t="s">
        <v>10</v>
      </c>
      <c r="K51" s="8"/>
      <c r="L51" s="9" t="s">
        <v>10</v>
      </c>
      <c r="M51" s="8"/>
      <c r="N51" s="9" t="s">
        <v>10</v>
      </c>
      <c r="O51" s="9">
        <f t="shared" si="3"/>
        <v>0</v>
      </c>
    </row>
    <row r="52" spans="1:15" x14ac:dyDescent="0.25">
      <c r="A52" s="82">
        <v>44906</v>
      </c>
      <c r="B52" s="8" t="s">
        <v>20</v>
      </c>
      <c r="C52" s="8">
        <v>0</v>
      </c>
      <c r="D52" s="13">
        <v>0.85763888888888884</v>
      </c>
      <c r="E52" s="81"/>
      <c r="F52" s="9" t="s">
        <v>10</v>
      </c>
      <c r="G52" s="8"/>
      <c r="H52" s="9" t="s">
        <v>10</v>
      </c>
      <c r="I52" s="8"/>
      <c r="J52" s="9" t="s">
        <v>10</v>
      </c>
      <c r="K52" s="8"/>
      <c r="L52" s="9" t="s">
        <v>10</v>
      </c>
      <c r="M52" s="8"/>
      <c r="N52" s="9" t="s">
        <v>10</v>
      </c>
      <c r="O52" s="9">
        <f t="shared" si="3"/>
        <v>0</v>
      </c>
    </row>
    <row r="53" spans="1:15" x14ac:dyDescent="0.25">
      <c r="A53" s="82">
        <v>44907</v>
      </c>
      <c r="B53" s="8" t="s">
        <v>21</v>
      </c>
      <c r="C53" s="8">
        <v>0.3</v>
      </c>
      <c r="D53" s="13">
        <v>0.88402777777777775</v>
      </c>
      <c r="E53" s="81"/>
      <c r="F53" s="9" t="s">
        <v>10</v>
      </c>
      <c r="G53" s="8"/>
      <c r="H53" s="9" t="s">
        <v>10</v>
      </c>
      <c r="I53" s="8"/>
      <c r="J53" s="9" t="s">
        <v>10</v>
      </c>
      <c r="K53" s="8"/>
      <c r="L53" s="9" t="s">
        <v>10</v>
      </c>
      <c r="M53" s="8"/>
      <c r="N53" s="9" t="s">
        <v>10</v>
      </c>
      <c r="O53" s="9">
        <f t="shared" si="3"/>
        <v>0</v>
      </c>
    </row>
    <row r="54" spans="1:15" x14ac:dyDescent="0.25">
      <c r="A54" s="82"/>
      <c r="B54" s="8"/>
      <c r="C54" s="8"/>
      <c r="D54" s="13"/>
      <c r="E54" s="81"/>
      <c r="G54" s="8"/>
      <c r="I54" s="8"/>
      <c r="K54" s="8"/>
      <c r="M54" s="8"/>
      <c r="N54" s="9"/>
    </row>
    <row r="55" spans="1:15" x14ac:dyDescent="0.25">
      <c r="A55" s="82">
        <v>44915</v>
      </c>
      <c r="B55" s="8" t="s">
        <v>22</v>
      </c>
      <c r="C55" s="8">
        <v>0</v>
      </c>
      <c r="D55" s="13">
        <v>0.67638888888888893</v>
      </c>
      <c r="E55" s="81"/>
      <c r="F55" s="9" t="s">
        <v>10</v>
      </c>
      <c r="G55" s="8"/>
      <c r="H55" s="9" t="s">
        <v>10</v>
      </c>
      <c r="I55" s="8"/>
      <c r="J55" s="9" t="s">
        <v>10</v>
      </c>
      <c r="K55" s="8"/>
      <c r="L55" s="9" t="s">
        <v>10</v>
      </c>
      <c r="M55" s="8"/>
      <c r="N55" s="9" t="s">
        <v>10</v>
      </c>
      <c r="O55" s="9">
        <f t="shared" si="3"/>
        <v>0</v>
      </c>
    </row>
    <row r="56" spans="1:15" x14ac:dyDescent="0.25">
      <c r="A56" s="82">
        <v>44916</v>
      </c>
      <c r="B56" s="8" t="s">
        <v>23</v>
      </c>
      <c r="C56" s="8">
        <v>-0.8</v>
      </c>
      <c r="D56" s="13">
        <v>0.70972222222222225</v>
      </c>
      <c r="E56" s="81"/>
      <c r="F56" s="9" t="s">
        <v>10</v>
      </c>
      <c r="G56" s="8"/>
      <c r="H56" s="9" t="s">
        <v>10</v>
      </c>
      <c r="I56" s="8"/>
      <c r="J56" s="9" t="s">
        <v>10</v>
      </c>
      <c r="K56" s="8"/>
      <c r="L56" s="9" t="s">
        <v>10</v>
      </c>
      <c r="M56" s="8"/>
      <c r="N56" s="9" t="s">
        <v>10</v>
      </c>
      <c r="O56" s="9">
        <f t="shared" si="3"/>
        <v>0</v>
      </c>
    </row>
    <row r="57" spans="1:15" x14ac:dyDescent="0.25">
      <c r="A57" s="82">
        <v>44917</v>
      </c>
      <c r="B57" s="8" t="s">
        <v>24</v>
      </c>
      <c r="C57" s="8">
        <v>-1.4</v>
      </c>
      <c r="D57" s="13">
        <v>0.7416666666666667</v>
      </c>
      <c r="E57" s="81"/>
      <c r="F57" s="9" t="s">
        <v>10</v>
      </c>
      <c r="G57" s="8"/>
      <c r="H57" s="9" t="s">
        <v>10</v>
      </c>
      <c r="I57" s="8"/>
      <c r="J57" s="9" t="s">
        <v>10</v>
      </c>
      <c r="K57" s="8"/>
      <c r="L57" s="9" t="s">
        <v>10</v>
      </c>
      <c r="M57" s="8"/>
      <c r="N57" s="9" t="s">
        <v>10</v>
      </c>
      <c r="O57" s="9">
        <f t="shared" si="3"/>
        <v>0</v>
      </c>
    </row>
    <row r="58" spans="1:15" x14ac:dyDescent="0.25">
      <c r="A58" s="82">
        <v>44918</v>
      </c>
      <c r="B58" s="8" t="s">
        <v>18</v>
      </c>
      <c r="C58" s="8">
        <v>-1.8</v>
      </c>
      <c r="D58" s="13">
        <v>0.77430555555555547</v>
      </c>
      <c r="E58" s="81"/>
      <c r="F58" s="9" t="s">
        <v>10</v>
      </c>
      <c r="G58" s="8"/>
      <c r="H58" s="9" t="s">
        <v>10</v>
      </c>
      <c r="I58" s="8"/>
      <c r="J58" s="9" t="s">
        <v>10</v>
      </c>
      <c r="K58" s="8"/>
      <c r="L58" s="9" t="s">
        <v>10</v>
      </c>
      <c r="M58" s="8"/>
      <c r="N58" s="9" t="s">
        <v>10</v>
      </c>
      <c r="O58" s="9">
        <f t="shared" si="3"/>
        <v>0</v>
      </c>
    </row>
    <row r="59" spans="1:15" x14ac:dyDescent="0.25">
      <c r="A59" s="82">
        <v>44919</v>
      </c>
      <c r="B59" s="8" t="s">
        <v>19</v>
      </c>
      <c r="C59" s="8">
        <v>-1.9</v>
      </c>
      <c r="D59" s="13">
        <v>0.80763888888888891</v>
      </c>
      <c r="E59" s="81"/>
      <c r="F59" s="9" t="s">
        <v>10</v>
      </c>
      <c r="G59" s="8"/>
      <c r="H59" s="9" t="s">
        <v>10</v>
      </c>
      <c r="I59" s="8"/>
      <c r="J59" s="9" t="s">
        <v>10</v>
      </c>
      <c r="K59" s="8"/>
      <c r="L59" s="9" t="s">
        <v>10</v>
      </c>
      <c r="M59" s="8"/>
      <c r="N59" s="9" t="s">
        <v>10</v>
      </c>
      <c r="O59" s="9">
        <f t="shared" si="3"/>
        <v>0</v>
      </c>
    </row>
    <row r="60" spans="1:15" x14ac:dyDescent="0.25">
      <c r="A60" s="82">
        <v>44920</v>
      </c>
      <c r="B60" s="8" t="s">
        <v>20</v>
      </c>
      <c r="C60" s="8">
        <v>-1.6</v>
      </c>
      <c r="D60" s="13">
        <v>0.84027777777777779</v>
      </c>
      <c r="E60" s="81"/>
      <c r="F60" s="9" t="s">
        <v>10</v>
      </c>
      <c r="G60" s="8"/>
      <c r="H60" s="9" t="s">
        <v>10</v>
      </c>
      <c r="I60" s="8"/>
      <c r="J60" s="9" t="s">
        <v>10</v>
      </c>
      <c r="K60" s="8"/>
      <c r="L60" s="9" t="s">
        <v>10</v>
      </c>
      <c r="M60" s="8"/>
      <c r="N60" s="9" t="s">
        <v>10</v>
      </c>
      <c r="O60" s="9">
        <f t="shared" si="3"/>
        <v>0</v>
      </c>
    </row>
    <row r="61" spans="1:15" x14ac:dyDescent="0.25">
      <c r="A61" s="82">
        <v>44921</v>
      </c>
      <c r="B61" s="8" t="s">
        <v>21</v>
      </c>
      <c r="C61" s="8">
        <v>-1.2</v>
      </c>
      <c r="D61" s="13">
        <v>0.87361111111111101</v>
      </c>
      <c r="E61" s="81"/>
      <c r="F61" s="9" t="s">
        <v>10</v>
      </c>
      <c r="G61" s="8"/>
      <c r="H61" s="9" t="s">
        <v>10</v>
      </c>
      <c r="I61" s="8"/>
      <c r="J61" s="9" t="s">
        <v>10</v>
      </c>
      <c r="K61" s="8"/>
      <c r="L61" s="9" t="s">
        <v>10</v>
      </c>
      <c r="M61" s="8"/>
      <c r="N61" s="9" t="s">
        <v>10</v>
      </c>
      <c r="O61" s="9">
        <f t="shared" si="3"/>
        <v>0</v>
      </c>
    </row>
    <row r="62" spans="1:15" x14ac:dyDescent="0.25">
      <c r="A62" s="82">
        <v>44922</v>
      </c>
      <c r="B62" s="8" t="s">
        <v>22</v>
      </c>
      <c r="C62" s="8">
        <v>-0.5</v>
      </c>
      <c r="D62" s="13">
        <v>0.90763888888888899</v>
      </c>
      <c r="E62" s="81"/>
      <c r="F62" s="9" t="s">
        <v>10</v>
      </c>
      <c r="G62" s="8"/>
      <c r="H62" s="9" t="s">
        <v>10</v>
      </c>
      <c r="I62" s="8"/>
      <c r="J62" s="9" t="s">
        <v>10</v>
      </c>
      <c r="K62" s="8"/>
      <c r="L62" s="9" t="s">
        <v>10</v>
      </c>
      <c r="M62" s="8"/>
      <c r="N62" s="9" t="s">
        <v>10</v>
      </c>
      <c r="O62" s="9">
        <f t="shared" si="3"/>
        <v>0</v>
      </c>
    </row>
    <row r="63" spans="1:15" x14ac:dyDescent="0.25">
      <c r="A63" s="82">
        <v>44923</v>
      </c>
      <c r="B63" s="8" t="s">
        <v>23</v>
      </c>
      <c r="C63" s="8">
        <v>0.3</v>
      </c>
      <c r="D63" s="13">
        <v>0.94236111111111109</v>
      </c>
      <c r="E63" s="81"/>
      <c r="F63" s="9" t="s">
        <v>10</v>
      </c>
      <c r="G63" s="8"/>
      <c r="H63" s="9" t="s">
        <v>10</v>
      </c>
      <c r="I63" s="8"/>
      <c r="J63" s="9" t="s">
        <v>10</v>
      </c>
      <c r="K63" s="8"/>
      <c r="L63" s="9" t="s">
        <v>10</v>
      </c>
      <c r="M63" s="8"/>
      <c r="N63" s="9" t="s">
        <v>10</v>
      </c>
      <c r="O63" s="9">
        <f t="shared" si="3"/>
        <v>0</v>
      </c>
    </row>
    <row r="64" spans="1:15" x14ac:dyDescent="0.25">
      <c r="A64" s="82"/>
      <c r="B64" s="8"/>
      <c r="C64" s="8"/>
      <c r="D64" s="13"/>
      <c r="E64" s="81"/>
      <c r="G64" s="8"/>
      <c r="I64" s="8"/>
      <c r="K64" s="8"/>
      <c r="M64" s="8"/>
      <c r="N64" s="9"/>
    </row>
    <row r="65" spans="1:15" x14ac:dyDescent="0.25">
      <c r="A65" s="82">
        <v>44928</v>
      </c>
      <c r="B65" s="8" t="s">
        <v>21</v>
      </c>
      <c r="C65" s="8">
        <v>0.5</v>
      </c>
      <c r="D65" s="13">
        <v>0.65763888888888888</v>
      </c>
      <c r="E65" s="81"/>
      <c r="F65" s="9" t="s">
        <v>10</v>
      </c>
      <c r="G65" s="8"/>
      <c r="H65" s="9" t="s">
        <v>10</v>
      </c>
      <c r="I65" s="8"/>
      <c r="J65" s="9" t="s">
        <v>10</v>
      </c>
      <c r="K65" s="8"/>
      <c r="L65" s="9" t="s">
        <v>10</v>
      </c>
      <c r="M65" s="8"/>
      <c r="N65" s="9" t="s">
        <v>10</v>
      </c>
      <c r="O65" s="9">
        <f t="shared" ref="O65:O72" si="4">SUM(F65:N65)</f>
        <v>0</v>
      </c>
    </row>
    <row r="66" spans="1:15" x14ac:dyDescent="0.25">
      <c r="A66" s="82">
        <v>44929</v>
      </c>
      <c r="B66" s="8" t="s">
        <v>22</v>
      </c>
      <c r="C66" s="8">
        <v>0.1</v>
      </c>
      <c r="D66" s="13">
        <v>0.69027777777777777</v>
      </c>
      <c r="E66" s="81"/>
      <c r="F66" s="9" t="s">
        <v>10</v>
      </c>
      <c r="G66" s="8"/>
      <c r="H66" s="9" t="s">
        <v>10</v>
      </c>
      <c r="I66" s="8"/>
      <c r="J66" s="9" t="s">
        <v>10</v>
      </c>
      <c r="K66" s="8"/>
      <c r="L66" s="9" t="s">
        <v>10</v>
      </c>
      <c r="M66" s="8"/>
      <c r="N66" s="9" t="s">
        <v>10</v>
      </c>
      <c r="O66" s="9">
        <f t="shared" si="4"/>
        <v>0</v>
      </c>
    </row>
    <row r="67" spans="1:15" x14ac:dyDescent="0.25">
      <c r="A67" s="82">
        <v>44930</v>
      </c>
      <c r="B67" s="8" t="s">
        <v>23</v>
      </c>
      <c r="C67" s="8">
        <v>-0.1</v>
      </c>
      <c r="D67" s="13">
        <v>0.71944444444444444</v>
      </c>
      <c r="E67" s="81"/>
      <c r="F67" s="9" t="s">
        <v>10</v>
      </c>
      <c r="G67" s="8"/>
      <c r="H67" s="9" t="s">
        <v>10</v>
      </c>
      <c r="I67" s="8"/>
      <c r="J67" s="9" t="s">
        <v>10</v>
      </c>
      <c r="K67" s="8"/>
      <c r="L67" s="9" t="s">
        <v>10</v>
      </c>
      <c r="M67" s="8"/>
      <c r="N67" s="9" t="s">
        <v>10</v>
      </c>
      <c r="O67" s="9">
        <f t="shared" si="4"/>
        <v>0</v>
      </c>
    </row>
    <row r="68" spans="1:15" x14ac:dyDescent="0.25">
      <c r="A68" s="82">
        <v>44931</v>
      </c>
      <c r="B68" s="8" t="s">
        <v>24</v>
      </c>
      <c r="C68" s="8">
        <v>-0.3</v>
      </c>
      <c r="D68" s="13">
        <v>0.74583333333333324</v>
      </c>
      <c r="E68" s="81"/>
      <c r="F68" s="9" t="s">
        <v>10</v>
      </c>
      <c r="G68" s="8"/>
      <c r="H68" s="9" t="s">
        <v>10</v>
      </c>
      <c r="I68" s="8"/>
      <c r="J68" s="9" t="s">
        <v>10</v>
      </c>
      <c r="K68" s="8"/>
      <c r="L68" s="9" t="s">
        <v>10</v>
      </c>
      <c r="M68" s="8"/>
      <c r="N68" s="9" t="s">
        <v>10</v>
      </c>
      <c r="O68" s="9">
        <f t="shared" si="4"/>
        <v>0</v>
      </c>
    </row>
    <row r="69" spans="1:15" x14ac:dyDescent="0.25">
      <c r="A69" s="82">
        <v>44932</v>
      </c>
      <c r="B69" s="8" t="s">
        <v>18</v>
      </c>
      <c r="C69" s="8">
        <v>-0.3</v>
      </c>
      <c r="D69" s="13">
        <v>0.77083333333333337</v>
      </c>
      <c r="E69" s="81"/>
      <c r="F69" s="9" t="s">
        <v>10</v>
      </c>
      <c r="G69" s="8"/>
      <c r="H69" s="9" t="s">
        <v>10</v>
      </c>
      <c r="I69" s="8"/>
      <c r="J69" s="9" t="s">
        <v>10</v>
      </c>
      <c r="K69" s="8"/>
      <c r="L69" s="9" t="s">
        <v>10</v>
      </c>
      <c r="M69" s="8"/>
      <c r="N69" s="9" t="s">
        <v>10</v>
      </c>
      <c r="O69" s="9">
        <f t="shared" si="4"/>
        <v>0</v>
      </c>
    </row>
    <row r="70" spans="1:15" x14ac:dyDescent="0.25">
      <c r="A70" s="82">
        <v>44933</v>
      </c>
      <c r="B70" s="8" t="s">
        <v>19</v>
      </c>
      <c r="C70" s="8">
        <v>-0.3</v>
      </c>
      <c r="D70" s="13">
        <v>0.79513888888888884</v>
      </c>
      <c r="E70" s="81"/>
      <c r="F70" s="9" t="s">
        <v>10</v>
      </c>
      <c r="G70" s="8"/>
      <c r="H70" s="9" t="s">
        <v>10</v>
      </c>
      <c r="I70" s="8"/>
      <c r="J70" s="9" t="s">
        <v>10</v>
      </c>
      <c r="K70" s="8"/>
      <c r="L70" s="9" t="s">
        <v>10</v>
      </c>
      <c r="M70" s="8"/>
      <c r="N70" s="9" t="s">
        <v>10</v>
      </c>
      <c r="O70" s="9">
        <f t="shared" si="4"/>
        <v>0</v>
      </c>
    </row>
    <row r="71" spans="1:15" x14ac:dyDescent="0.25">
      <c r="A71" s="82">
        <v>44934</v>
      </c>
      <c r="B71" s="8" t="s">
        <v>20</v>
      </c>
      <c r="C71" s="8">
        <v>-0.2</v>
      </c>
      <c r="D71" s="13">
        <v>0.81805555555555554</v>
      </c>
      <c r="E71" s="81"/>
      <c r="F71" s="9" t="s">
        <v>10</v>
      </c>
      <c r="G71" s="8"/>
      <c r="H71" s="9" t="s">
        <v>10</v>
      </c>
      <c r="I71" s="8"/>
      <c r="J71" s="9" t="s">
        <v>10</v>
      </c>
      <c r="K71" s="8"/>
      <c r="L71" s="9" t="s">
        <v>10</v>
      </c>
      <c r="M71" s="8"/>
      <c r="N71" s="9" t="s">
        <v>10</v>
      </c>
      <c r="O71" s="9">
        <f t="shared" si="4"/>
        <v>0</v>
      </c>
    </row>
    <row r="72" spans="1:15" x14ac:dyDescent="0.25">
      <c r="A72" s="82">
        <v>44935</v>
      </c>
      <c r="B72" s="8" t="s">
        <v>21</v>
      </c>
      <c r="C72" s="8">
        <v>0</v>
      </c>
      <c r="D72" s="13">
        <v>0.84097222222222223</v>
      </c>
      <c r="E72" s="81"/>
      <c r="F72" s="9" t="s">
        <v>10</v>
      </c>
      <c r="G72" s="8"/>
      <c r="H72" s="9" t="s">
        <v>10</v>
      </c>
      <c r="I72" s="8"/>
      <c r="J72" s="9" t="s">
        <v>10</v>
      </c>
      <c r="K72" s="8"/>
      <c r="L72" s="9" t="s">
        <v>10</v>
      </c>
      <c r="M72" s="8"/>
      <c r="N72" s="9" t="s">
        <v>10</v>
      </c>
      <c r="O72" s="9">
        <f t="shared" si="4"/>
        <v>0</v>
      </c>
    </row>
    <row r="73" spans="1:15" x14ac:dyDescent="0.25">
      <c r="A73" s="82"/>
      <c r="B73" s="8"/>
      <c r="C73" s="8"/>
      <c r="D73" s="13"/>
      <c r="E73" s="81"/>
      <c r="G73" s="8"/>
      <c r="I73" s="8"/>
      <c r="K73" s="8"/>
      <c r="M73" s="8"/>
      <c r="N73" s="9"/>
    </row>
    <row r="74" spans="1:15" x14ac:dyDescent="0.25">
      <c r="A74" s="82">
        <v>44944</v>
      </c>
      <c r="B74" s="8" t="s">
        <v>23</v>
      </c>
      <c r="C74" s="8">
        <v>-0.1</v>
      </c>
      <c r="D74" s="13">
        <v>0.66180555555555554</v>
      </c>
      <c r="E74" s="81"/>
      <c r="F74" s="9" t="s">
        <v>10</v>
      </c>
      <c r="G74" s="8"/>
      <c r="H74" s="9" t="s">
        <v>10</v>
      </c>
      <c r="I74" s="8"/>
      <c r="J74" s="9" t="s">
        <v>10</v>
      </c>
      <c r="K74" s="8"/>
      <c r="L74" s="9" t="s">
        <v>10</v>
      </c>
      <c r="M74" s="8"/>
      <c r="N74" s="9" t="s">
        <v>10</v>
      </c>
      <c r="O74" s="9">
        <f t="shared" ref="O74:O81" si="5">SUM(F74:N74)</f>
        <v>0</v>
      </c>
    </row>
    <row r="75" spans="1:15" x14ac:dyDescent="0.25">
      <c r="A75" s="82">
        <v>44945</v>
      </c>
      <c r="B75" s="8" t="s">
        <v>24</v>
      </c>
      <c r="C75" s="8">
        <v>-0.9</v>
      </c>
      <c r="D75" s="13">
        <v>0.69861111111111107</v>
      </c>
      <c r="E75" s="81"/>
      <c r="F75" s="9" t="s">
        <v>10</v>
      </c>
      <c r="G75" s="8"/>
      <c r="H75" s="9" t="s">
        <v>10</v>
      </c>
      <c r="I75" s="8"/>
      <c r="J75" s="9" t="s">
        <v>10</v>
      </c>
      <c r="K75" s="8"/>
      <c r="L75" s="9" t="s">
        <v>10</v>
      </c>
      <c r="M75" s="8"/>
      <c r="N75" s="9" t="s">
        <v>10</v>
      </c>
      <c r="O75" s="9">
        <f t="shared" si="5"/>
        <v>0</v>
      </c>
    </row>
    <row r="76" spans="1:15" x14ac:dyDescent="0.25">
      <c r="A76" s="82">
        <v>44946</v>
      </c>
      <c r="B76" s="8" t="s">
        <v>18</v>
      </c>
      <c r="C76" s="8">
        <v>-1.5</v>
      </c>
      <c r="D76" s="13">
        <v>0.73263888888888884</v>
      </c>
      <c r="E76" s="81"/>
      <c r="F76" s="9" t="s">
        <v>10</v>
      </c>
      <c r="G76" s="8"/>
      <c r="H76" s="9" t="s">
        <v>10</v>
      </c>
      <c r="I76" s="8"/>
      <c r="J76" s="9" t="s">
        <v>10</v>
      </c>
      <c r="K76" s="8"/>
      <c r="L76" s="9" t="s">
        <v>10</v>
      </c>
      <c r="M76" s="8"/>
      <c r="N76" s="9" t="s">
        <v>10</v>
      </c>
      <c r="O76" s="9">
        <f t="shared" si="5"/>
        <v>0</v>
      </c>
    </row>
    <row r="77" spans="1:15" x14ac:dyDescent="0.25">
      <c r="A77" s="82">
        <v>44947</v>
      </c>
      <c r="B77" s="8" t="s">
        <v>19</v>
      </c>
      <c r="C77" s="8">
        <v>-1.8</v>
      </c>
      <c r="D77" s="13">
        <v>0.76597222222222217</v>
      </c>
      <c r="E77" s="81"/>
      <c r="F77" s="9" t="s">
        <v>10</v>
      </c>
      <c r="G77" s="8"/>
      <c r="H77" s="9" t="s">
        <v>10</v>
      </c>
      <c r="I77" s="8"/>
      <c r="J77" s="9">
        <v>1999.82524817833</v>
      </c>
      <c r="K77" s="8"/>
      <c r="L77" s="9" t="s">
        <v>10</v>
      </c>
      <c r="M77" s="8"/>
      <c r="N77" s="9" t="s">
        <v>10</v>
      </c>
      <c r="O77" s="9">
        <f t="shared" si="5"/>
        <v>1999.82524817833</v>
      </c>
    </row>
    <row r="78" spans="1:15" x14ac:dyDescent="0.25">
      <c r="A78" s="82">
        <v>44948</v>
      </c>
      <c r="B78" s="8" t="s">
        <v>20</v>
      </c>
      <c r="C78" s="8">
        <v>-1.8</v>
      </c>
      <c r="D78" s="13">
        <v>0.79722222222222217</v>
      </c>
      <c r="E78" s="81"/>
      <c r="F78" s="9" t="s">
        <v>10</v>
      </c>
      <c r="G78" s="8"/>
      <c r="H78" s="9" t="s">
        <v>10</v>
      </c>
      <c r="I78" s="8"/>
      <c r="J78" s="9" t="s">
        <v>10</v>
      </c>
      <c r="K78" s="8"/>
      <c r="L78" s="9" t="s">
        <v>10</v>
      </c>
      <c r="M78" s="8"/>
      <c r="N78" s="9" t="s">
        <v>10</v>
      </c>
      <c r="O78" s="9">
        <f t="shared" si="5"/>
        <v>0</v>
      </c>
    </row>
    <row r="79" spans="1:15" x14ac:dyDescent="0.25">
      <c r="A79" s="82">
        <v>44949</v>
      </c>
      <c r="B79" s="8" t="s">
        <v>21</v>
      </c>
      <c r="C79" s="8">
        <v>-1.6</v>
      </c>
      <c r="D79" s="13">
        <v>0.82916666666666661</v>
      </c>
      <c r="E79" s="81"/>
      <c r="F79" s="9" t="s">
        <v>10</v>
      </c>
      <c r="G79" s="8"/>
      <c r="H79" s="9" t="s">
        <v>10</v>
      </c>
      <c r="I79" s="8"/>
      <c r="J79" s="9">
        <v>1930.23511353564</v>
      </c>
      <c r="K79" s="8"/>
      <c r="L79" s="9" t="s">
        <v>10</v>
      </c>
      <c r="M79" s="8"/>
      <c r="N79" s="9" t="s">
        <v>10</v>
      </c>
      <c r="O79" s="9">
        <f t="shared" si="5"/>
        <v>1930.23511353564</v>
      </c>
    </row>
    <row r="80" spans="1:15" x14ac:dyDescent="0.25">
      <c r="A80" s="82">
        <v>44950</v>
      </c>
      <c r="B80" s="8" t="s">
        <v>22</v>
      </c>
      <c r="C80" s="8">
        <v>-1</v>
      </c>
      <c r="D80" s="13">
        <v>0.8569444444444444</v>
      </c>
      <c r="E80" s="81"/>
      <c r="F80" s="9" t="s">
        <v>10</v>
      </c>
      <c r="G80" s="8"/>
      <c r="H80" s="9" t="s">
        <v>10</v>
      </c>
      <c r="I80" s="8"/>
      <c r="J80" s="9" t="s">
        <v>10</v>
      </c>
      <c r="K80" s="8"/>
      <c r="L80" s="9" t="s">
        <v>10</v>
      </c>
      <c r="M80" s="8"/>
      <c r="N80" s="9" t="s">
        <v>10</v>
      </c>
      <c r="O80" s="9">
        <f t="shared" si="5"/>
        <v>0</v>
      </c>
    </row>
    <row r="81" spans="1:15" x14ac:dyDescent="0.25">
      <c r="A81" s="82">
        <v>44951</v>
      </c>
      <c r="B81" s="8" t="s">
        <v>23</v>
      </c>
      <c r="C81" s="8">
        <v>-0.2</v>
      </c>
      <c r="D81" s="13">
        <v>0.88611111111111107</v>
      </c>
      <c r="E81" s="81"/>
      <c r="F81" s="9" t="s">
        <v>10</v>
      </c>
      <c r="G81" s="8"/>
      <c r="H81" s="9" t="s">
        <v>10</v>
      </c>
      <c r="I81" s="8"/>
      <c r="J81" s="9">
        <v>1089.5928001470199</v>
      </c>
      <c r="K81" s="8"/>
      <c r="L81" s="9" t="s">
        <v>10</v>
      </c>
      <c r="M81" s="8"/>
      <c r="N81" s="9" t="s">
        <v>10</v>
      </c>
      <c r="O81" s="9">
        <f t="shared" si="5"/>
        <v>1089.5928001470199</v>
      </c>
    </row>
    <row r="82" spans="1:15" x14ac:dyDescent="0.25">
      <c r="A82" s="82"/>
      <c r="B82" s="8"/>
      <c r="C82" s="8"/>
      <c r="D82" s="13"/>
      <c r="E82" s="81"/>
      <c r="G82" s="8"/>
      <c r="I82" s="8"/>
      <c r="K82" s="8"/>
      <c r="M82" s="8"/>
      <c r="N82" s="9"/>
    </row>
    <row r="83" spans="1:15" x14ac:dyDescent="0.25">
      <c r="A83" s="82">
        <v>44960</v>
      </c>
      <c r="B83" s="8" t="s">
        <v>18</v>
      </c>
      <c r="C83" s="8">
        <v>0.1</v>
      </c>
      <c r="D83" s="13">
        <v>0.73402777777777783</v>
      </c>
      <c r="E83" s="81"/>
      <c r="F83" s="9" t="s">
        <v>10</v>
      </c>
      <c r="G83" s="8"/>
      <c r="H83" s="9" t="s">
        <v>10</v>
      </c>
      <c r="I83" s="8"/>
      <c r="J83" s="9">
        <v>979.13045508199002</v>
      </c>
      <c r="K83" s="8"/>
      <c r="L83" s="9" t="s">
        <v>10</v>
      </c>
      <c r="M83" s="8"/>
      <c r="N83" s="9" t="s">
        <v>10</v>
      </c>
      <c r="O83" s="9">
        <f t="shared" ref="O83:O88" si="6">SUM(F83:N83)</f>
        <v>979.13045508199002</v>
      </c>
    </row>
    <row r="84" spans="1:15" x14ac:dyDescent="0.25">
      <c r="A84" s="82">
        <v>44961</v>
      </c>
      <c r="B84" s="8" t="s">
        <v>19</v>
      </c>
      <c r="C84" s="8">
        <v>-0.1</v>
      </c>
      <c r="D84" s="13">
        <v>0.75763888888888886</v>
      </c>
      <c r="E84" s="81"/>
      <c r="F84" s="9" t="s">
        <v>10</v>
      </c>
      <c r="G84" s="8"/>
      <c r="H84" s="9" t="s">
        <v>10</v>
      </c>
      <c r="I84" s="8"/>
      <c r="J84" s="9" t="s">
        <v>10</v>
      </c>
      <c r="K84" s="8"/>
      <c r="L84" s="9">
        <v>1703.0091915877499</v>
      </c>
      <c r="M84" s="8"/>
      <c r="N84" s="9" t="s">
        <v>10</v>
      </c>
      <c r="O84" s="9">
        <f t="shared" si="6"/>
        <v>1703.0091915877499</v>
      </c>
    </row>
    <row r="85" spans="1:15" x14ac:dyDescent="0.25">
      <c r="A85" s="82">
        <v>44962</v>
      </c>
      <c r="B85" s="8" t="s">
        <v>20</v>
      </c>
      <c r="C85" s="8">
        <v>-0.2</v>
      </c>
      <c r="D85" s="13">
        <v>0.77986111111111101</v>
      </c>
      <c r="E85" s="81"/>
      <c r="F85" s="9" t="s">
        <v>10</v>
      </c>
      <c r="G85" s="8"/>
      <c r="H85" s="9" t="s">
        <v>10</v>
      </c>
      <c r="I85" s="8"/>
      <c r="J85" s="9">
        <v>2424.78251234345</v>
      </c>
      <c r="K85" s="8"/>
      <c r="L85" s="9" t="s">
        <v>10</v>
      </c>
      <c r="M85" s="8"/>
      <c r="N85" s="9" t="s">
        <v>10</v>
      </c>
      <c r="O85" s="9">
        <f t="shared" si="6"/>
        <v>2424.78251234345</v>
      </c>
    </row>
    <row r="86" spans="1:15" x14ac:dyDescent="0.25">
      <c r="A86" s="82">
        <v>44963</v>
      </c>
      <c r="B86" s="8" t="s">
        <v>21</v>
      </c>
      <c r="C86" s="8">
        <v>-0.1</v>
      </c>
      <c r="D86" s="13">
        <v>0.80069444444444438</v>
      </c>
      <c r="E86" s="81"/>
      <c r="F86" s="9" t="s">
        <v>10</v>
      </c>
      <c r="G86" s="8"/>
      <c r="H86" s="9" t="s">
        <v>10</v>
      </c>
      <c r="I86" s="8"/>
      <c r="J86" s="9" t="s">
        <v>10</v>
      </c>
      <c r="K86" s="8"/>
      <c r="L86" s="9">
        <v>415.38463062083298</v>
      </c>
      <c r="M86" s="8"/>
      <c r="N86" s="9" t="s">
        <v>10</v>
      </c>
      <c r="O86" s="9">
        <f t="shared" si="6"/>
        <v>415.38463062083298</v>
      </c>
    </row>
    <row r="87" spans="1:15" x14ac:dyDescent="0.25">
      <c r="A87" s="82">
        <v>44964</v>
      </c>
      <c r="B87" s="8" t="s">
        <v>22</v>
      </c>
      <c r="C87" s="8">
        <v>0.1</v>
      </c>
      <c r="D87" s="13">
        <v>0.8208333333333333</v>
      </c>
      <c r="E87" s="81"/>
      <c r="F87" s="9" t="s">
        <v>10</v>
      </c>
      <c r="G87" s="8"/>
      <c r="H87" s="9" t="s">
        <v>10</v>
      </c>
      <c r="I87" s="8"/>
      <c r="J87" s="9">
        <v>601.91999999999996</v>
      </c>
      <c r="K87" s="8"/>
      <c r="L87" s="9" t="s">
        <v>10</v>
      </c>
      <c r="M87" s="8"/>
      <c r="N87" s="9" t="s">
        <v>10</v>
      </c>
      <c r="O87" s="9">
        <f t="shared" si="6"/>
        <v>601.91999999999996</v>
      </c>
    </row>
    <row r="88" spans="1:15" x14ac:dyDescent="0.25">
      <c r="A88" s="82">
        <v>44965</v>
      </c>
      <c r="B88" s="8" t="s">
        <v>23</v>
      </c>
      <c r="C88" s="8">
        <v>0.4</v>
      </c>
      <c r="D88" s="13">
        <v>0.84097222222222223</v>
      </c>
      <c r="E88" s="81"/>
      <c r="F88" s="9" t="s">
        <v>10</v>
      </c>
      <c r="G88" s="8"/>
      <c r="H88" s="9" t="s">
        <v>10</v>
      </c>
      <c r="I88" s="8"/>
      <c r="J88" s="9" t="s">
        <v>10</v>
      </c>
      <c r="K88" s="8"/>
      <c r="L88" s="9">
        <v>323.65396305261999</v>
      </c>
      <c r="M88" s="8"/>
      <c r="N88" s="9" t="s">
        <v>10</v>
      </c>
      <c r="O88" s="9">
        <f t="shared" si="6"/>
        <v>323.65396305261999</v>
      </c>
    </row>
    <row r="89" spans="1:15" x14ac:dyDescent="0.25">
      <c r="A89" s="82"/>
      <c r="B89" s="8"/>
      <c r="C89" s="8"/>
      <c r="D89" s="13"/>
      <c r="E89" s="81"/>
      <c r="G89" s="8"/>
      <c r="I89" s="8"/>
      <c r="K89" s="8"/>
      <c r="M89" s="8"/>
      <c r="N89" s="9"/>
    </row>
    <row r="90" spans="1:15" x14ac:dyDescent="0.25">
      <c r="A90" s="82">
        <v>44974</v>
      </c>
      <c r="B90" s="8" t="s">
        <v>18</v>
      </c>
      <c r="C90" s="8">
        <v>-0.7</v>
      </c>
      <c r="D90" s="13">
        <v>0.68680555555555556</v>
      </c>
      <c r="E90" s="81"/>
      <c r="F90" s="9" t="s">
        <v>10</v>
      </c>
      <c r="G90" s="8"/>
      <c r="H90" s="9" t="s">
        <v>10</v>
      </c>
      <c r="I90" s="8"/>
      <c r="J90" s="9" t="s">
        <v>10</v>
      </c>
      <c r="K90" s="8"/>
      <c r="L90" s="9">
        <v>1400.0000035509199</v>
      </c>
      <c r="M90" s="8"/>
      <c r="N90" s="9" t="s">
        <v>10</v>
      </c>
      <c r="O90" s="9">
        <f t="shared" ref="O90:O95" si="7">SUM(F90:N90)</f>
        <v>1400.0000035509199</v>
      </c>
    </row>
    <row r="91" spans="1:15" x14ac:dyDescent="0.25">
      <c r="A91" s="82">
        <v>44975</v>
      </c>
      <c r="B91" s="8" t="s">
        <v>19</v>
      </c>
      <c r="C91" s="8">
        <v>-1.2</v>
      </c>
      <c r="D91" s="13">
        <v>0.72152777777777777</v>
      </c>
      <c r="E91" s="81"/>
      <c r="F91" s="9" t="s">
        <v>10</v>
      </c>
      <c r="G91" s="8"/>
      <c r="H91" s="9" t="s">
        <v>10</v>
      </c>
      <c r="I91" s="8"/>
      <c r="J91" s="9">
        <v>5652.2717341836697</v>
      </c>
      <c r="K91" s="8"/>
      <c r="L91" s="9" t="s">
        <v>10</v>
      </c>
      <c r="M91" s="8"/>
      <c r="N91" s="9" t="s">
        <v>10</v>
      </c>
      <c r="O91" s="9">
        <f t="shared" si="7"/>
        <v>5652.2717341836697</v>
      </c>
    </row>
    <row r="92" spans="1:15" x14ac:dyDescent="0.25">
      <c r="A92" s="82">
        <v>44976</v>
      </c>
      <c r="B92" s="8" t="s">
        <v>20</v>
      </c>
      <c r="C92" s="8">
        <v>-1.5</v>
      </c>
      <c r="D92" s="13">
        <v>0.75277777777777777</v>
      </c>
      <c r="E92" s="81"/>
      <c r="F92" s="9" t="s">
        <v>10</v>
      </c>
      <c r="G92" s="8"/>
      <c r="H92" s="9" t="s">
        <v>10</v>
      </c>
      <c r="I92" s="8"/>
      <c r="J92" s="9" t="s">
        <v>10</v>
      </c>
      <c r="K92" s="8"/>
      <c r="L92" s="9">
        <v>5569.9245869770502</v>
      </c>
      <c r="M92" s="8"/>
      <c r="N92" s="9" t="s">
        <v>10</v>
      </c>
      <c r="O92" s="9">
        <f t="shared" si="7"/>
        <v>5569.9245869770502</v>
      </c>
    </row>
    <row r="93" spans="1:15" x14ac:dyDescent="0.25">
      <c r="A93" s="82">
        <v>44977</v>
      </c>
      <c r="B93" s="8" t="s">
        <v>21</v>
      </c>
      <c r="C93" s="8">
        <v>-1.4</v>
      </c>
      <c r="D93" s="13">
        <v>0.78194444444444444</v>
      </c>
      <c r="E93" s="81"/>
      <c r="F93" s="9" t="s">
        <v>10</v>
      </c>
      <c r="G93" s="8"/>
      <c r="H93" s="9" t="s">
        <v>10</v>
      </c>
      <c r="I93" s="8"/>
      <c r="J93" s="9">
        <v>1436.4223900284301</v>
      </c>
      <c r="K93" s="8"/>
      <c r="L93" s="9" t="s">
        <v>10</v>
      </c>
      <c r="M93" s="8"/>
      <c r="N93" s="9" t="s">
        <v>10</v>
      </c>
      <c r="O93" s="9">
        <f t="shared" si="7"/>
        <v>1436.4223900284301</v>
      </c>
    </row>
    <row r="94" spans="1:15" x14ac:dyDescent="0.25">
      <c r="A94" s="82">
        <v>44978</v>
      </c>
      <c r="B94" s="8" t="s">
        <v>22</v>
      </c>
      <c r="C94" s="8">
        <v>-1</v>
      </c>
      <c r="D94" s="13">
        <v>0.80972222222222223</v>
      </c>
      <c r="E94" s="81"/>
      <c r="F94" s="9" t="s">
        <v>10</v>
      </c>
      <c r="G94" s="8"/>
      <c r="H94" s="9" t="s">
        <v>10</v>
      </c>
      <c r="I94" s="8"/>
      <c r="J94" s="9" t="s">
        <v>10</v>
      </c>
      <c r="K94" s="8"/>
      <c r="L94" s="9">
        <v>342.97052182008099</v>
      </c>
      <c r="M94" s="8"/>
      <c r="N94" s="9" t="s">
        <v>10</v>
      </c>
      <c r="O94" s="9">
        <f t="shared" si="7"/>
        <v>342.97052182008099</v>
      </c>
    </row>
    <row r="95" spans="1:15" x14ac:dyDescent="0.25">
      <c r="A95" s="82">
        <v>44979</v>
      </c>
      <c r="B95" s="8" t="s">
        <v>23</v>
      </c>
      <c r="C95" s="8">
        <v>-0.3</v>
      </c>
      <c r="D95" s="13">
        <v>0.83680555555555547</v>
      </c>
      <c r="E95" s="81"/>
      <c r="F95" s="9" t="s">
        <v>10</v>
      </c>
      <c r="G95" s="8"/>
      <c r="H95" s="9" t="s">
        <v>10</v>
      </c>
      <c r="I95" s="8"/>
      <c r="J95" s="9">
        <v>236.269721173091</v>
      </c>
      <c r="K95" s="8"/>
      <c r="L95" s="9" t="s">
        <v>10</v>
      </c>
      <c r="M95" s="8"/>
      <c r="N95" s="9" t="s">
        <v>10</v>
      </c>
      <c r="O95" s="9">
        <f t="shared" si="7"/>
        <v>236.269721173091</v>
      </c>
    </row>
    <row r="96" spans="1:15" x14ac:dyDescent="0.25">
      <c r="A96" s="82"/>
      <c r="B96" s="8"/>
      <c r="C96" s="8"/>
      <c r="D96" s="13"/>
      <c r="E96" s="81"/>
      <c r="G96" s="8"/>
      <c r="I96" s="8"/>
      <c r="K96" s="8"/>
      <c r="M96" s="8"/>
      <c r="N96" s="9"/>
    </row>
    <row r="97" spans="1:15" x14ac:dyDescent="0.25">
      <c r="A97" s="82">
        <v>44988</v>
      </c>
      <c r="B97" s="8" t="s">
        <v>18</v>
      </c>
      <c r="C97" s="8">
        <v>0.6</v>
      </c>
      <c r="D97" s="13">
        <v>0.68819444444444444</v>
      </c>
      <c r="E97" s="81"/>
      <c r="F97" s="9" t="s">
        <v>10</v>
      </c>
      <c r="G97" s="8"/>
      <c r="H97" s="9" t="s">
        <v>10</v>
      </c>
      <c r="I97" s="8"/>
      <c r="J97" s="9" t="s">
        <v>10</v>
      </c>
      <c r="K97" s="8"/>
      <c r="L97" s="9">
        <v>1332.2764666570999</v>
      </c>
      <c r="M97" s="8"/>
      <c r="N97" s="9" t="s">
        <v>10</v>
      </c>
      <c r="O97" s="9">
        <f t="shared" ref="O97:O102" si="8">SUM(F97:N97)</f>
        <v>1332.2764666570999</v>
      </c>
    </row>
    <row r="98" spans="1:15" x14ac:dyDescent="0.25">
      <c r="A98" s="82">
        <v>44989</v>
      </c>
      <c r="B98" s="8" t="s">
        <v>19</v>
      </c>
      <c r="C98" s="8">
        <v>0.4</v>
      </c>
      <c r="D98" s="13">
        <v>0.71458333333333324</v>
      </c>
      <c r="E98" s="81"/>
      <c r="F98" s="9" t="s">
        <v>10</v>
      </c>
      <c r="G98" s="8"/>
      <c r="H98" s="9" t="s">
        <v>10</v>
      </c>
      <c r="I98" s="8"/>
      <c r="J98" s="9">
        <v>3456.0461677339999</v>
      </c>
      <c r="K98" s="8"/>
      <c r="L98" s="9" t="s">
        <v>10</v>
      </c>
      <c r="M98" s="8"/>
      <c r="N98" s="9" t="s">
        <v>10</v>
      </c>
      <c r="O98" s="9">
        <f t="shared" si="8"/>
        <v>3456.0461677339999</v>
      </c>
    </row>
    <row r="99" spans="1:15" x14ac:dyDescent="0.25">
      <c r="A99" s="82">
        <v>44990</v>
      </c>
      <c r="B99" s="8" t="s">
        <v>20</v>
      </c>
      <c r="C99" s="8">
        <v>0.2</v>
      </c>
      <c r="D99" s="13">
        <v>0.73749999999999993</v>
      </c>
      <c r="E99" s="81"/>
      <c r="F99" s="9" t="s">
        <v>10</v>
      </c>
      <c r="G99" s="8"/>
      <c r="H99" s="9" t="s">
        <v>10</v>
      </c>
      <c r="I99" s="8"/>
      <c r="J99" s="9" t="s">
        <v>10</v>
      </c>
      <c r="K99" s="8"/>
      <c r="L99" s="9">
        <v>2507.9748065100198</v>
      </c>
      <c r="M99" s="8"/>
      <c r="N99" s="9" t="s">
        <v>10</v>
      </c>
      <c r="O99" s="9">
        <f t="shared" si="8"/>
        <v>2507.9748065100198</v>
      </c>
    </row>
    <row r="100" spans="1:15" x14ac:dyDescent="0.25">
      <c r="A100" s="82">
        <v>44991</v>
      </c>
      <c r="B100" s="8" t="s">
        <v>21</v>
      </c>
      <c r="C100" s="8">
        <v>0.1</v>
      </c>
      <c r="D100" s="13">
        <v>0.75902777777777775</v>
      </c>
      <c r="E100" s="81"/>
      <c r="F100" s="9" t="s">
        <v>10</v>
      </c>
      <c r="G100" s="8"/>
      <c r="H100" s="9" t="s">
        <v>10</v>
      </c>
      <c r="I100" s="8"/>
      <c r="J100" s="9">
        <v>1136.7492757314301</v>
      </c>
      <c r="K100" s="8"/>
      <c r="L100" s="9" t="s">
        <v>10</v>
      </c>
      <c r="M100" s="8"/>
      <c r="N100" s="9" t="s">
        <v>10</v>
      </c>
      <c r="O100" s="9">
        <f t="shared" si="8"/>
        <v>1136.7492757314301</v>
      </c>
    </row>
    <row r="101" spans="1:15" x14ac:dyDescent="0.25">
      <c r="A101" s="82">
        <v>44992</v>
      </c>
      <c r="B101" s="8" t="s">
        <v>22</v>
      </c>
      <c r="C101" s="8">
        <v>0.3</v>
      </c>
      <c r="D101" s="13">
        <v>0.77847222222222223</v>
      </c>
      <c r="E101" s="81"/>
      <c r="F101" s="9" t="s">
        <v>10</v>
      </c>
      <c r="G101" s="8"/>
      <c r="H101" s="9" t="s">
        <v>10</v>
      </c>
      <c r="I101" s="8"/>
      <c r="J101" s="9" t="s">
        <v>10</v>
      </c>
      <c r="K101" s="8"/>
      <c r="L101" s="9">
        <v>618.33330876297498</v>
      </c>
      <c r="M101" s="8"/>
      <c r="N101" s="9" t="s">
        <v>10</v>
      </c>
      <c r="O101" s="9">
        <f t="shared" si="8"/>
        <v>618.33330876297498</v>
      </c>
    </row>
    <row r="102" spans="1:15" x14ac:dyDescent="0.25">
      <c r="A102" s="82">
        <v>44993</v>
      </c>
      <c r="B102" s="8" t="s">
        <v>23</v>
      </c>
      <c r="C102" s="8">
        <v>0.5</v>
      </c>
      <c r="D102" s="13">
        <v>0.79791666666666661</v>
      </c>
      <c r="E102" s="81"/>
      <c r="F102" s="9" t="s">
        <v>10</v>
      </c>
      <c r="G102" s="8"/>
      <c r="H102" s="9" t="s">
        <v>10</v>
      </c>
      <c r="I102" s="8"/>
      <c r="J102" s="9">
        <v>642.96295160782904</v>
      </c>
      <c r="K102" s="8"/>
      <c r="L102" s="9" t="s">
        <v>10</v>
      </c>
      <c r="M102" s="8"/>
      <c r="N102" s="9" t="s">
        <v>10</v>
      </c>
      <c r="O102" s="9">
        <f t="shared" si="8"/>
        <v>642.96295160782904</v>
      </c>
    </row>
    <row r="103" spans="1:15" x14ac:dyDescent="0.25">
      <c r="A103" s="82"/>
      <c r="B103" s="8"/>
      <c r="C103" s="8"/>
      <c r="D103" s="13"/>
      <c r="E103" s="81"/>
      <c r="G103" s="8"/>
      <c r="I103" s="8"/>
      <c r="K103" s="8"/>
      <c r="M103" s="8"/>
      <c r="N103" s="9"/>
    </row>
    <row r="104" spans="1:15" x14ac:dyDescent="0.25">
      <c r="A104" s="82">
        <v>45002</v>
      </c>
      <c r="B104" s="8" t="s">
        <v>18</v>
      </c>
      <c r="C104" s="8">
        <v>0</v>
      </c>
      <c r="D104" s="13">
        <v>0.67361111111111116</v>
      </c>
      <c r="E104" s="81"/>
      <c r="F104" s="9" t="s">
        <v>10</v>
      </c>
      <c r="G104" s="8" t="s">
        <v>62</v>
      </c>
      <c r="H104" s="9">
        <f>H106/J106*J104</f>
        <v>2435.4406785554888</v>
      </c>
      <c r="I104" s="8"/>
      <c r="J104" s="9">
        <v>3587.2</v>
      </c>
      <c r="K104" s="8"/>
      <c r="L104" s="9" t="s">
        <v>10</v>
      </c>
      <c r="M104" s="8"/>
      <c r="N104" s="9" t="s">
        <v>10</v>
      </c>
      <c r="O104" s="9">
        <f t="shared" ref="O104:O121" si="9">SUM(F104:N104)</f>
        <v>6022.6406785554882</v>
      </c>
    </row>
    <row r="105" spans="1:15" x14ac:dyDescent="0.25">
      <c r="A105" s="82">
        <v>45003</v>
      </c>
      <c r="B105" s="8" t="s">
        <v>19</v>
      </c>
      <c r="C105" s="8">
        <v>-0.5</v>
      </c>
      <c r="D105" s="13">
        <v>0.71250000000000002</v>
      </c>
      <c r="E105" s="81"/>
      <c r="F105" s="9" t="s">
        <v>10</v>
      </c>
      <c r="G105" s="8"/>
      <c r="H105" s="9">
        <v>5889.7066666666697</v>
      </c>
      <c r="I105" s="8"/>
      <c r="J105" s="9" t="s">
        <v>10</v>
      </c>
      <c r="K105" s="8"/>
      <c r="L105" s="9">
        <v>7699.8371681415902</v>
      </c>
      <c r="M105" s="8"/>
      <c r="N105" s="9" t="s">
        <v>10</v>
      </c>
      <c r="O105" s="9">
        <f t="shared" si="9"/>
        <v>13589.543834808261</v>
      </c>
    </row>
    <row r="106" spans="1:15" x14ac:dyDescent="0.25">
      <c r="A106" s="82">
        <v>45004</v>
      </c>
      <c r="B106" s="8" t="s">
        <v>20</v>
      </c>
      <c r="C106" s="8">
        <v>-0.7</v>
      </c>
      <c r="D106" s="13">
        <v>0.74583333333333324</v>
      </c>
      <c r="E106" s="81"/>
      <c r="F106" s="9" t="s">
        <v>10</v>
      </c>
      <c r="G106" s="8"/>
      <c r="H106" s="9">
        <v>3200.7851258075202</v>
      </c>
      <c r="I106" s="8"/>
      <c r="J106" s="9">
        <v>4714.4882256409001</v>
      </c>
      <c r="K106" s="8"/>
      <c r="L106" s="9" t="s">
        <v>10</v>
      </c>
      <c r="M106" s="8"/>
      <c r="N106" s="9" t="s">
        <v>10</v>
      </c>
      <c r="O106" s="9">
        <f t="shared" si="9"/>
        <v>7915.2733514484207</v>
      </c>
    </row>
    <row r="107" spans="1:15" x14ac:dyDescent="0.25">
      <c r="A107" s="82">
        <v>45005</v>
      </c>
      <c r="B107" s="8" t="s">
        <v>21</v>
      </c>
      <c r="C107" s="8">
        <v>-0.7</v>
      </c>
      <c r="D107" s="13">
        <v>0.77638888888888891</v>
      </c>
      <c r="E107" s="81"/>
      <c r="F107" s="9" t="s">
        <v>10</v>
      </c>
      <c r="G107" s="8" t="s">
        <v>62</v>
      </c>
      <c r="H107" s="9">
        <f>H105/L105*L107</f>
        <v>1207.8976527682796</v>
      </c>
      <c r="I107" s="8"/>
      <c r="J107" s="9" t="s">
        <v>10</v>
      </c>
      <c r="K107" s="8"/>
      <c r="L107" s="9">
        <v>1579.13046752122</v>
      </c>
      <c r="M107" s="8"/>
      <c r="N107" s="9" t="s">
        <v>10</v>
      </c>
      <c r="O107" s="9">
        <f t="shared" si="9"/>
        <v>2787.0281202894994</v>
      </c>
    </row>
    <row r="108" spans="1:15" x14ac:dyDescent="0.25">
      <c r="A108" s="82">
        <v>45006</v>
      </c>
      <c r="B108" s="8" t="s">
        <v>22</v>
      </c>
      <c r="C108" s="8">
        <v>-0.5</v>
      </c>
      <c r="D108" s="13">
        <v>0.8041666666666667</v>
      </c>
      <c r="E108" s="81"/>
      <c r="F108" s="9" t="s">
        <v>10</v>
      </c>
      <c r="G108" s="8" t="s">
        <v>62</v>
      </c>
      <c r="H108" s="9">
        <f>H106/J106*J108</f>
        <v>1020.3104617803798</v>
      </c>
      <c r="I108" s="8"/>
      <c r="J108" s="9">
        <v>1502.8317957920599</v>
      </c>
      <c r="K108" s="8"/>
      <c r="L108" s="9" t="s">
        <v>10</v>
      </c>
      <c r="M108" s="8"/>
      <c r="N108" s="9" t="s">
        <v>10</v>
      </c>
      <c r="O108" s="9">
        <f t="shared" si="9"/>
        <v>2523.1422575724396</v>
      </c>
    </row>
    <row r="109" spans="1:15" x14ac:dyDescent="0.25">
      <c r="A109" s="82">
        <v>45007</v>
      </c>
      <c r="B109" s="8" t="s">
        <v>23</v>
      </c>
      <c r="C109" s="8">
        <v>0</v>
      </c>
      <c r="D109" s="13">
        <v>0.8305555555555556</v>
      </c>
      <c r="E109" s="81"/>
      <c r="F109" s="9" t="s">
        <v>10</v>
      </c>
      <c r="G109" s="8" t="s">
        <v>62</v>
      </c>
      <c r="H109" s="9">
        <f>H105/L105*L109</f>
        <v>975.79462212618409</v>
      </c>
      <c r="I109" s="8"/>
      <c r="J109" s="9" t="s">
        <v>10</v>
      </c>
      <c r="K109" s="8"/>
      <c r="L109" s="9">
        <v>1275.6933621911901</v>
      </c>
      <c r="M109" s="8"/>
      <c r="N109" s="9" t="s">
        <v>10</v>
      </c>
      <c r="O109" s="9">
        <f t="shared" si="9"/>
        <v>2251.487984317374</v>
      </c>
    </row>
    <row r="110" spans="1:15" x14ac:dyDescent="0.25">
      <c r="A110" s="82">
        <v>45008</v>
      </c>
      <c r="B110" s="8" t="s">
        <v>24</v>
      </c>
      <c r="C110" s="8">
        <v>-0.3</v>
      </c>
      <c r="D110" s="13">
        <v>0.35347222222222219</v>
      </c>
      <c r="E110" s="81"/>
      <c r="F110" s="9">
        <f>(1464.50361911464/1735.61730666046*227.045914018216)+227.045914018216</f>
        <v>418.62591354279891</v>
      </c>
      <c r="G110" s="8" t="s">
        <v>62</v>
      </c>
      <c r="H110" s="9">
        <f>H112/J112*J110</f>
        <v>487.10358572578889</v>
      </c>
      <c r="I110" s="8"/>
      <c r="J110" s="9">
        <v>928.33329644468199</v>
      </c>
      <c r="K110" s="8"/>
      <c r="L110" s="9" t="s">
        <v>10</v>
      </c>
      <c r="M110" s="8"/>
      <c r="N110" s="9" t="s">
        <v>10</v>
      </c>
      <c r="O110" s="9">
        <f t="shared" si="9"/>
        <v>1834.0627957132697</v>
      </c>
    </row>
    <row r="111" spans="1:15" x14ac:dyDescent="0.25">
      <c r="A111" s="82">
        <v>45009</v>
      </c>
      <c r="B111" s="8" t="s">
        <v>18</v>
      </c>
      <c r="C111" s="8">
        <v>-0.4</v>
      </c>
      <c r="D111" s="13">
        <v>0.3840277777777778</v>
      </c>
      <c r="E111" s="81" t="s">
        <v>62</v>
      </c>
      <c r="F111" s="9">
        <f>F113/L113*L111</f>
        <v>1081.1499507593444</v>
      </c>
      <c r="G111" s="8"/>
      <c r="H111" s="9">
        <v>789.58680096677199</v>
      </c>
      <c r="I111" s="8"/>
      <c r="J111" s="9" t="s">
        <v>10</v>
      </c>
      <c r="K111" s="8"/>
      <c r="L111" s="9">
        <v>1297.1675675675699</v>
      </c>
      <c r="M111" s="8"/>
      <c r="N111" s="9" t="s">
        <v>10</v>
      </c>
      <c r="O111" s="9">
        <f t="shared" si="9"/>
        <v>3167.9043192936861</v>
      </c>
    </row>
    <row r="112" spans="1:15" x14ac:dyDescent="0.25">
      <c r="A112" s="82">
        <v>45010</v>
      </c>
      <c r="B112" s="8" t="s">
        <v>19</v>
      </c>
      <c r="C112" s="8">
        <v>-0.2</v>
      </c>
      <c r="D112" s="13">
        <v>0.4145833333333333</v>
      </c>
      <c r="E112" s="81" t="s">
        <v>62</v>
      </c>
      <c r="F112" s="9">
        <f>F113/H113*H112</f>
        <v>3799.7585879640751</v>
      </c>
      <c r="G112" s="8"/>
      <c r="H112" s="9">
        <v>2775.0445031323902</v>
      </c>
      <c r="I112" s="8"/>
      <c r="J112" s="9">
        <v>5288.7440923578397</v>
      </c>
      <c r="K112" s="8"/>
      <c r="L112" s="9" t="s">
        <v>10</v>
      </c>
      <c r="M112" s="8"/>
      <c r="N112" s="9" t="s">
        <v>10</v>
      </c>
      <c r="O112" s="9">
        <f t="shared" si="9"/>
        <v>11863.547183454306</v>
      </c>
    </row>
    <row r="113" spans="1:15" x14ac:dyDescent="0.25">
      <c r="A113" s="82">
        <v>45011</v>
      </c>
      <c r="B113" s="8" t="s">
        <v>20</v>
      </c>
      <c r="C113" s="8">
        <v>0.2</v>
      </c>
      <c r="D113" s="13">
        <v>0.44722222222222219</v>
      </c>
      <c r="E113" s="81"/>
      <c r="F113" s="9">
        <f>1464.50361911464+1735.61730666046</f>
        <v>3200.1209257750997</v>
      </c>
      <c r="G113" s="8" t="s">
        <v>62</v>
      </c>
      <c r="H113" s="9">
        <f>H111/L111*L113</f>
        <v>2337.1163664345631</v>
      </c>
      <c r="I113" s="8"/>
      <c r="J113" s="9" t="s">
        <v>10</v>
      </c>
      <c r="K113" s="8"/>
      <c r="L113" s="9">
        <v>3839.5165021228099</v>
      </c>
      <c r="M113" s="8"/>
      <c r="N113" s="9" t="s">
        <v>10</v>
      </c>
      <c r="O113" s="9">
        <f t="shared" si="9"/>
        <v>9376.7537943324733</v>
      </c>
    </row>
    <row r="114" spans="1:15" x14ac:dyDescent="0.25">
      <c r="A114" s="82"/>
      <c r="B114" s="8"/>
      <c r="C114" s="8"/>
      <c r="D114" s="13"/>
      <c r="E114" s="81"/>
      <c r="G114" s="8"/>
      <c r="I114" s="8"/>
      <c r="K114" s="8"/>
      <c r="M114" s="8"/>
      <c r="N114" s="9"/>
    </row>
    <row r="115" spans="1:15" x14ac:dyDescent="0.25">
      <c r="A115" s="82">
        <v>45022</v>
      </c>
      <c r="B115" s="8" t="s">
        <v>24</v>
      </c>
      <c r="C115" s="8">
        <v>0.3</v>
      </c>
      <c r="D115" s="13">
        <v>0.31527777777777777</v>
      </c>
      <c r="E115" s="81" t="s">
        <v>62</v>
      </c>
      <c r="F115" s="9">
        <f>F117/L117*L115</f>
        <v>1100.2127876083134</v>
      </c>
      <c r="G115" s="8" t="s">
        <v>62</v>
      </c>
      <c r="H115" s="9">
        <f>H119/L119*L115</f>
        <v>676.67335149355222</v>
      </c>
      <c r="I115" s="8"/>
      <c r="J115" s="9" t="s">
        <v>10</v>
      </c>
      <c r="K115" s="8"/>
      <c r="L115" s="9">
        <v>723.46156499795097</v>
      </c>
      <c r="M115" s="8"/>
      <c r="N115" s="9" t="s">
        <v>10</v>
      </c>
      <c r="O115" s="9">
        <f t="shared" si="9"/>
        <v>2500.3477040998168</v>
      </c>
    </row>
    <row r="116" spans="1:15" x14ac:dyDescent="0.25">
      <c r="A116" s="82">
        <v>45023</v>
      </c>
      <c r="B116" s="8" t="s">
        <v>18</v>
      </c>
      <c r="C116" s="8">
        <v>-0.1</v>
      </c>
      <c r="D116" s="13">
        <v>0.34027777777777773</v>
      </c>
      <c r="E116" s="81"/>
      <c r="F116" s="9">
        <f>(2514.99990006288/2474.99990165234*1342.88130257089)+1342.88130257089</f>
        <v>2707.4657373045402</v>
      </c>
      <c r="G116" s="8"/>
      <c r="H116" s="9">
        <v>1382.5372584957399</v>
      </c>
      <c r="I116" s="8"/>
      <c r="J116" s="9">
        <v>2603.4286254029798</v>
      </c>
      <c r="K116" s="8"/>
      <c r="L116" s="9" t="s">
        <v>10</v>
      </c>
      <c r="M116" s="8"/>
      <c r="N116" s="9" t="s">
        <v>10</v>
      </c>
      <c r="O116" s="9">
        <f t="shared" si="9"/>
        <v>6693.43162120326</v>
      </c>
    </row>
    <row r="117" spans="1:15" x14ac:dyDescent="0.25">
      <c r="A117" s="82">
        <v>45024</v>
      </c>
      <c r="B117" s="8" t="s">
        <v>19</v>
      </c>
      <c r="C117" s="8">
        <v>-0.3</v>
      </c>
      <c r="D117" s="13">
        <v>0.3666666666666667</v>
      </c>
      <c r="E117" s="81"/>
      <c r="F117" s="9">
        <f>2514.99990006288+2474.99990165234</f>
        <v>4989.9998017152202</v>
      </c>
      <c r="G117" s="8" t="s">
        <v>62</v>
      </c>
      <c r="H117" s="9">
        <f>H119/L119*L117</f>
        <v>3069.0425777716937</v>
      </c>
      <c r="I117" s="8"/>
      <c r="J117" s="9" t="s">
        <v>10</v>
      </c>
      <c r="K117" s="8"/>
      <c r="L117" s="9">
        <v>3281.24986961484</v>
      </c>
      <c r="M117" s="8"/>
      <c r="N117" s="9" t="s">
        <v>10</v>
      </c>
      <c r="O117" s="9">
        <f t="shared" si="9"/>
        <v>11340.292249101754</v>
      </c>
    </row>
    <row r="118" spans="1:15" x14ac:dyDescent="0.25">
      <c r="A118" s="82">
        <v>45025</v>
      </c>
      <c r="B118" s="8" t="s">
        <v>20</v>
      </c>
      <c r="C118" s="8">
        <v>-0.4</v>
      </c>
      <c r="D118" s="13">
        <v>0.39513888888888887</v>
      </c>
      <c r="E118" s="81" t="s">
        <v>62</v>
      </c>
      <c r="F118" s="9">
        <f>F116/H116*H118</f>
        <v>2812.1357938582419</v>
      </c>
      <c r="G118" s="8"/>
      <c r="H118" s="9">
        <v>1435.98585843201</v>
      </c>
      <c r="I118" s="8"/>
      <c r="J118" s="9">
        <v>2395.7406455425598</v>
      </c>
      <c r="K118" s="8"/>
      <c r="L118" s="9" t="s">
        <v>10</v>
      </c>
      <c r="M118" s="8"/>
      <c r="N118" s="9" t="s">
        <v>10</v>
      </c>
      <c r="O118" s="9">
        <f t="shared" si="9"/>
        <v>6643.8622978328121</v>
      </c>
    </row>
    <row r="119" spans="1:15" x14ac:dyDescent="0.25">
      <c r="A119" s="82">
        <v>45026</v>
      </c>
      <c r="B119" s="8" t="s">
        <v>21</v>
      </c>
      <c r="C119" s="8">
        <v>-0.4</v>
      </c>
      <c r="D119" s="13">
        <v>0.42708333333333331</v>
      </c>
      <c r="E119" s="81" t="s">
        <v>62</v>
      </c>
      <c r="F119" s="9">
        <f>F117/L117*L119</f>
        <v>1807.6980999008686</v>
      </c>
      <c r="G119" s="8"/>
      <c r="H119" s="9">
        <v>1111.8041396405999</v>
      </c>
      <c r="I119" s="8"/>
      <c r="J119" s="9" t="s">
        <v>10</v>
      </c>
      <c r="K119" s="8"/>
      <c r="L119" s="9">
        <v>1188.67923653301</v>
      </c>
      <c r="M119" s="8"/>
      <c r="N119" s="9" t="s">
        <v>10</v>
      </c>
      <c r="O119" s="9">
        <f t="shared" si="9"/>
        <v>4108.1814760744783</v>
      </c>
    </row>
    <row r="120" spans="1:15" x14ac:dyDescent="0.25">
      <c r="A120" s="82">
        <v>45027</v>
      </c>
      <c r="B120" s="8" t="s">
        <v>22</v>
      </c>
      <c r="C120" s="8">
        <v>-0.2</v>
      </c>
      <c r="D120" s="13">
        <v>0.46458333333333335</v>
      </c>
      <c r="E120" s="81"/>
      <c r="F120" s="9">
        <f>(2514.99990006288/2474.99990165234*667.755115884749)+667.755115884749</f>
        <v>1346.3022336423819</v>
      </c>
      <c r="G120" s="8" t="s">
        <v>62</v>
      </c>
      <c r="H120" s="9">
        <f>H118/J118*J120</f>
        <v>939.11572613454723</v>
      </c>
      <c r="I120" s="8"/>
      <c r="J120" s="9">
        <v>1566.7826411782701</v>
      </c>
      <c r="K120" s="8"/>
      <c r="L120" s="9" t="s">
        <v>10</v>
      </c>
      <c r="M120" s="8"/>
      <c r="N120" s="9" t="s">
        <v>10</v>
      </c>
      <c r="O120" s="9">
        <f t="shared" si="9"/>
        <v>3852.2006009551988</v>
      </c>
    </row>
    <row r="121" spans="1:15" x14ac:dyDescent="0.25">
      <c r="A121" s="82">
        <v>45028</v>
      </c>
      <c r="B121" s="8" t="s">
        <v>23</v>
      </c>
      <c r="C121" s="8">
        <v>0.1</v>
      </c>
      <c r="D121" s="13">
        <v>0.5083333333333333</v>
      </c>
      <c r="E121" s="81" t="s">
        <v>62</v>
      </c>
      <c r="F121" s="9">
        <f>F117/L117*L121</f>
        <v>2630.2246952409605</v>
      </c>
      <c r="G121" s="8" t="s">
        <v>62</v>
      </c>
      <c r="H121" s="9">
        <f>H119/L119*L121</f>
        <v>1617.6897594317322</v>
      </c>
      <c r="I121" s="8"/>
      <c r="J121" s="9" t="s">
        <v>10</v>
      </c>
      <c r="K121" s="8"/>
      <c r="L121" s="9">
        <v>1729.54404434056</v>
      </c>
      <c r="M121" s="8"/>
      <c r="N121" s="9" t="s">
        <v>10</v>
      </c>
      <c r="O121" s="9">
        <f t="shared" si="9"/>
        <v>5977.4584990132535</v>
      </c>
    </row>
    <row r="122" spans="1:15" x14ac:dyDescent="0.25">
      <c r="A122" s="82"/>
      <c r="B122" s="8"/>
      <c r="C122" s="8"/>
      <c r="D122" s="13"/>
      <c r="E122" s="81"/>
      <c r="G122" s="8"/>
      <c r="I122" s="8"/>
      <c r="K122" s="8"/>
      <c r="M122" s="8"/>
      <c r="N122" s="9"/>
    </row>
    <row r="123" spans="1:15" x14ac:dyDescent="0.25">
      <c r="A123" s="82">
        <v>45035</v>
      </c>
      <c r="B123" s="8" t="s">
        <v>23</v>
      </c>
      <c r="C123" s="8">
        <v>-0.4</v>
      </c>
      <c r="D123" s="13">
        <v>0.28055555555555556</v>
      </c>
      <c r="E123" s="81" t="s">
        <v>62</v>
      </c>
      <c r="F123" s="9">
        <f>F127/L127*L123</f>
        <v>319.93719405884605</v>
      </c>
      <c r="G123" s="8" t="s">
        <v>62</v>
      </c>
      <c r="H123" s="9">
        <f>H127/L127*L123</f>
        <v>204.53442504501737</v>
      </c>
      <c r="I123" s="8"/>
      <c r="J123" s="9" t="s">
        <v>10</v>
      </c>
      <c r="K123" s="8"/>
      <c r="L123" s="9">
        <v>254.335809067387</v>
      </c>
      <c r="M123" s="8"/>
      <c r="N123" s="9" t="s">
        <v>10</v>
      </c>
      <c r="O123" s="9">
        <f t="shared" ref="O123:O129" si="10">SUM(F123:N123)</f>
        <v>778.80742817125042</v>
      </c>
    </row>
    <row r="124" spans="1:15" x14ac:dyDescent="0.25">
      <c r="A124" s="82">
        <v>45036</v>
      </c>
      <c r="B124" s="8" t="s">
        <v>24</v>
      </c>
      <c r="C124" s="8">
        <v>-0.9</v>
      </c>
      <c r="D124" s="13">
        <v>0.31111111111111112</v>
      </c>
      <c r="E124" s="81" t="s">
        <v>62</v>
      </c>
      <c r="F124" s="9">
        <f>F126/J126*J124</f>
        <v>1522.8793558419791</v>
      </c>
      <c r="G124" s="8" t="s">
        <v>62</v>
      </c>
      <c r="H124" s="9">
        <f>H126/J126*J124</f>
        <v>853.66129361010042</v>
      </c>
      <c r="I124" s="8"/>
      <c r="J124" s="9">
        <v>1204.78586482286</v>
      </c>
      <c r="K124" s="8"/>
      <c r="L124" s="9" t="s">
        <v>10</v>
      </c>
      <c r="M124" s="8"/>
      <c r="N124" s="9" t="s">
        <v>10</v>
      </c>
      <c r="O124" s="9">
        <f t="shared" si="10"/>
        <v>3581.3265142749397</v>
      </c>
    </row>
    <row r="125" spans="1:15" x14ac:dyDescent="0.25">
      <c r="A125" s="82">
        <v>45037</v>
      </c>
      <c r="B125" s="8" t="s">
        <v>18</v>
      </c>
      <c r="C125" s="8">
        <v>-1.2</v>
      </c>
      <c r="D125" s="13">
        <v>0.33958333333333335</v>
      </c>
      <c r="E125" s="81" t="s">
        <v>62</v>
      </c>
      <c r="F125" s="9">
        <f>F127/L127*L125</f>
        <v>3528.6180644231463</v>
      </c>
      <c r="G125" s="8"/>
      <c r="H125" s="9">
        <v>2866.7886675801001</v>
      </c>
      <c r="I125" s="8"/>
      <c r="J125" s="9" t="s">
        <v>10</v>
      </c>
      <c r="K125" s="8"/>
      <c r="L125" s="9">
        <v>2805.09408399634</v>
      </c>
      <c r="M125" s="8"/>
      <c r="N125" s="9" t="s">
        <v>10</v>
      </c>
      <c r="O125" s="9">
        <f t="shared" si="10"/>
        <v>9200.5008159995868</v>
      </c>
    </row>
    <row r="126" spans="1:15" x14ac:dyDescent="0.25">
      <c r="A126" s="82">
        <v>45038</v>
      </c>
      <c r="B126" s="8" t="s">
        <v>19</v>
      </c>
      <c r="C126" s="8">
        <v>-1.1000000000000001</v>
      </c>
      <c r="D126" s="13">
        <v>0.36805555555555558</v>
      </c>
      <c r="E126" s="81"/>
      <c r="F126" s="9">
        <f>(2514.99990006288/2474.99990165234*4161.6)+4161.6</f>
        <v>8390.4581818181778</v>
      </c>
      <c r="G126" s="8"/>
      <c r="H126" s="9">
        <v>4703.3334308430804</v>
      </c>
      <c r="I126" s="8"/>
      <c r="J126" s="9">
        <v>6637.8898486366897</v>
      </c>
      <c r="K126" s="8"/>
      <c r="L126" s="9" t="s">
        <v>10</v>
      </c>
      <c r="M126" s="8"/>
      <c r="N126" s="9" t="s">
        <v>10</v>
      </c>
      <c r="O126" s="9">
        <f t="shared" si="10"/>
        <v>19731.681461297947</v>
      </c>
    </row>
    <row r="127" spans="1:15" x14ac:dyDescent="0.25">
      <c r="A127" s="82">
        <v>45039</v>
      </c>
      <c r="B127" s="8" t="s">
        <v>20</v>
      </c>
      <c r="C127" s="8">
        <v>-0.8</v>
      </c>
      <c r="D127" s="13">
        <v>0.39652777777777781</v>
      </c>
      <c r="E127" s="81"/>
      <c r="F127" s="9">
        <f>(2514.99990006288/2474.99990165234*3254.48626287905)+3254.48626287905</f>
        <v>6561.5702835419997</v>
      </c>
      <c r="G127" s="8"/>
      <c r="H127" s="9">
        <v>4194.7826956621002</v>
      </c>
      <c r="I127" s="8"/>
      <c r="J127" s="9" t="s">
        <v>10</v>
      </c>
      <c r="K127" s="8"/>
      <c r="L127" s="9">
        <v>5216.1559137454597</v>
      </c>
      <c r="M127" s="8"/>
      <c r="N127" s="9" t="s">
        <v>10</v>
      </c>
      <c r="O127" s="9">
        <f t="shared" si="10"/>
        <v>15972.508892949561</v>
      </c>
    </row>
    <row r="128" spans="1:15" x14ac:dyDescent="0.25">
      <c r="A128" s="82">
        <v>45040</v>
      </c>
      <c r="B128" s="8" t="s">
        <v>21</v>
      </c>
      <c r="C128" s="8">
        <v>-0.4</v>
      </c>
      <c r="D128" s="13">
        <v>0.42638888888888887</v>
      </c>
      <c r="E128" s="81"/>
      <c r="F128" s="9">
        <f>(2514.99990006288/2474.99990165234*1375.67931730008)+1375.67931730008</f>
        <v>2773.5918356878365</v>
      </c>
      <c r="G128" s="8" t="s">
        <v>62</v>
      </c>
      <c r="H128" s="9">
        <f>H126/J126*J128</f>
        <v>1290.3119300011938</v>
      </c>
      <c r="I128" s="8"/>
      <c r="J128" s="9">
        <v>1821.03790591654</v>
      </c>
      <c r="K128" s="8"/>
      <c r="L128" s="9" t="s">
        <v>10</v>
      </c>
      <c r="M128" s="8"/>
      <c r="N128" s="9" t="s">
        <v>10</v>
      </c>
      <c r="O128" s="9">
        <f t="shared" si="10"/>
        <v>5884.9416716055703</v>
      </c>
    </row>
    <row r="129" spans="1:16" x14ac:dyDescent="0.25">
      <c r="A129" s="82">
        <v>45041</v>
      </c>
      <c r="B129" s="8" t="s">
        <v>22</v>
      </c>
      <c r="C129" s="8">
        <v>0.1</v>
      </c>
      <c r="D129" s="13">
        <v>0.45902777777777781</v>
      </c>
      <c r="E129" s="81" t="s">
        <v>62</v>
      </c>
      <c r="F129" s="9">
        <f>F127/H127*H129</f>
        <v>1485.742517169771</v>
      </c>
      <c r="G129" s="8"/>
      <c r="H129" s="9">
        <v>949.82858247597903</v>
      </c>
      <c r="I129" s="8"/>
      <c r="J129" s="9" t="s">
        <v>10</v>
      </c>
      <c r="K129" s="8"/>
      <c r="L129" s="9">
        <v>703.25899996902206</v>
      </c>
      <c r="M129" s="8"/>
      <c r="N129" s="9" t="s">
        <v>10</v>
      </c>
      <c r="O129" s="9">
        <f t="shared" si="10"/>
        <v>3138.8300996147723</v>
      </c>
    </row>
    <row r="130" spans="1:16" x14ac:dyDescent="0.25">
      <c r="A130" s="82"/>
      <c r="B130" s="8"/>
      <c r="C130" s="8"/>
      <c r="D130" s="13"/>
      <c r="E130" s="81"/>
      <c r="G130" s="8"/>
      <c r="I130" s="8"/>
      <c r="K130" s="8"/>
      <c r="M130" s="8"/>
      <c r="N130" s="9"/>
    </row>
    <row r="131" spans="1:16" x14ac:dyDescent="0.25">
      <c r="A131" s="18" t="s">
        <v>25</v>
      </c>
      <c r="C131" s="8"/>
      <c r="D131" s="8"/>
      <c r="E131" s="6"/>
      <c r="F131" s="9">
        <f>SUM(F2:F130)</f>
        <v>67589.388936101648</v>
      </c>
      <c r="H131" s="9">
        <f>SUM(H2:H130)</f>
        <v>61499.774356360351</v>
      </c>
      <c r="J131" s="9">
        <f>SUM(J2:J130)</f>
        <v>62523.005189364303</v>
      </c>
      <c r="L131" s="9">
        <f>SUM(L2:L130)</f>
        <v>45806.652069348296</v>
      </c>
      <c r="N131" s="86">
        <f>SUM(N2:N10)</f>
        <v>0</v>
      </c>
      <c r="O131" s="9">
        <f>SUM(O2:O130)</f>
        <v>237418.82055117455</v>
      </c>
      <c r="P131" s="20">
        <f>SUM(F131,H131,J131,L131,N131)</f>
        <v>237418.82055117461</v>
      </c>
    </row>
    <row r="132" spans="1:16" x14ac:dyDescent="0.25">
      <c r="A132" s="19" t="s">
        <v>16</v>
      </c>
      <c r="C132" s="8"/>
      <c r="D132" s="8"/>
      <c r="E132" s="6"/>
    </row>
    <row r="133" spans="1:16" x14ac:dyDescent="0.25">
      <c r="A133" s="11" t="s">
        <v>17</v>
      </c>
      <c r="C133" s="8"/>
      <c r="D133" s="8"/>
      <c r="E133" s="6"/>
    </row>
    <row r="134" spans="1:16" x14ac:dyDescent="0.25">
      <c r="A134" t="s">
        <v>26</v>
      </c>
      <c r="C134" s="8"/>
      <c r="D134" s="8"/>
      <c r="E134" s="6"/>
    </row>
    <row r="161" spans="1:14" x14ac:dyDescent="0.25">
      <c r="A161" s="2"/>
      <c r="B161" s="7"/>
      <c r="C161" s="4"/>
      <c r="D161" s="5"/>
      <c r="E161" s="6"/>
      <c r="F161" s="76"/>
      <c r="G161" s="6"/>
      <c r="H161" s="76"/>
      <c r="J161" s="76"/>
      <c r="L161" s="76"/>
      <c r="N161" s="3"/>
    </row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37"/>
  <sheetViews>
    <sheetView workbookViewId="0">
      <selection activeCell="Q3" sqref="Q3"/>
    </sheetView>
  </sheetViews>
  <sheetFormatPr defaultRowHeight="15" x14ac:dyDescent="0.25"/>
  <cols>
    <col min="1" max="1" width="20.7109375" customWidth="1"/>
    <col min="5" max="5" width="3.5703125" customWidth="1"/>
    <col min="6" max="6" width="15" style="4" customWidth="1"/>
    <col min="7" max="7" width="4" customWidth="1"/>
    <col min="8" max="8" width="13.85546875" style="21" customWidth="1"/>
    <col min="9" max="9" width="3.28515625" customWidth="1"/>
    <col min="10" max="10" width="14.28515625" style="21" customWidth="1"/>
    <col min="11" max="11" width="3.28515625" customWidth="1"/>
    <col min="12" max="12" width="15.42578125" style="21" customWidth="1"/>
    <col min="13" max="13" width="3.42578125" customWidth="1"/>
    <col min="14" max="14" width="16" customWidth="1"/>
    <col min="15" max="15" width="13.85546875" style="21" customWidth="1"/>
  </cols>
  <sheetData>
    <row r="1" spans="1:17" x14ac:dyDescent="0.25">
      <c r="A1" s="14" t="s">
        <v>0</v>
      </c>
      <c r="B1" s="1" t="s">
        <v>1</v>
      </c>
      <c r="C1" s="1" t="s">
        <v>2</v>
      </c>
      <c r="D1" s="12" t="s">
        <v>3</v>
      </c>
      <c r="E1" s="116" t="s">
        <v>4</v>
      </c>
      <c r="F1" s="116"/>
      <c r="G1" s="116" t="s">
        <v>5</v>
      </c>
      <c r="H1" s="116"/>
      <c r="I1" s="116" t="s">
        <v>6</v>
      </c>
      <c r="J1" s="116"/>
      <c r="K1" s="116" t="s">
        <v>7</v>
      </c>
      <c r="L1" s="116"/>
      <c r="M1" s="116" t="s">
        <v>8</v>
      </c>
      <c r="N1" s="116"/>
      <c r="O1" s="55" t="s">
        <v>9</v>
      </c>
    </row>
    <row r="2" spans="1:17" x14ac:dyDescent="0.25">
      <c r="A2" s="82">
        <v>44826</v>
      </c>
      <c r="B2" s="8" t="s">
        <v>24</v>
      </c>
      <c r="C2" s="8">
        <v>0.4</v>
      </c>
      <c r="D2" s="13">
        <v>0.21041666666666667</v>
      </c>
      <c r="E2" s="81"/>
      <c r="F2" s="4" t="s">
        <v>10</v>
      </c>
      <c r="G2" s="4"/>
      <c r="H2" s="4" t="s">
        <v>10</v>
      </c>
      <c r="I2" s="4"/>
      <c r="J2" s="4" t="s">
        <v>10</v>
      </c>
      <c r="K2" s="4"/>
      <c r="L2" s="4" t="s">
        <v>10</v>
      </c>
      <c r="M2" s="8"/>
      <c r="N2" s="9" t="s">
        <v>10</v>
      </c>
      <c r="O2" s="4">
        <v>0</v>
      </c>
      <c r="Q2" s="21">
        <f>AVERAGE(O2:O26)</f>
        <v>9.2497806155546076</v>
      </c>
    </row>
    <row r="3" spans="1:17" x14ac:dyDescent="0.25">
      <c r="A3" s="82">
        <v>44827</v>
      </c>
      <c r="B3" s="8" t="s">
        <v>18</v>
      </c>
      <c r="C3" s="8">
        <v>0.1</v>
      </c>
      <c r="D3" s="13">
        <v>0.23680555555555557</v>
      </c>
      <c r="E3" s="81"/>
      <c r="F3" s="4" t="s">
        <v>10</v>
      </c>
      <c r="G3" s="4"/>
      <c r="H3" s="4" t="s">
        <v>10</v>
      </c>
      <c r="I3" s="4"/>
      <c r="J3" s="4" t="s">
        <v>10</v>
      </c>
      <c r="K3" s="4"/>
      <c r="L3" s="4" t="s">
        <v>10</v>
      </c>
      <c r="M3" s="8"/>
      <c r="N3" s="9" t="s">
        <v>10</v>
      </c>
      <c r="O3" s="4">
        <v>0</v>
      </c>
    </row>
    <row r="4" spans="1:17" x14ac:dyDescent="0.25">
      <c r="A4" s="82">
        <v>44828</v>
      </c>
      <c r="B4" s="8" t="s">
        <v>19</v>
      </c>
      <c r="C4" s="8">
        <v>0</v>
      </c>
      <c r="D4" s="13">
        <v>0.26041666666666669</v>
      </c>
      <c r="E4" s="81"/>
      <c r="F4" s="4" t="s">
        <v>10</v>
      </c>
      <c r="G4" s="4"/>
      <c r="H4" s="4" t="s">
        <v>10</v>
      </c>
      <c r="I4" s="4"/>
      <c r="J4" s="4" t="s">
        <v>10</v>
      </c>
      <c r="K4" s="4"/>
      <c r="L4" s="4" t="s">
        <v>10</v>
      </c>
      <c r="M4" s="8"/>
      <c r="N4" s="9" t="s">
        <v>10</v>
      </c>
      <c r="O4" s="4">
        <v>0</v>
      </c>
    </row>
    <row r="5" spans="1:17" x14ac:dyDescent="0.25">
      <c r="A5" s="82">
        <v>44829</v>
      </c>
      <c r="B5" s="8" t="s">
        <v>20</v>
      </c>
      <c r="C5" s="8">
        <v>0.1</v>
      </c>
      <c r="D5" s="13">
        <v>0.28333333333333333</v>
      </c>
      <c r="E5" s="81"/>
      <c r="F5" s="4" t="s">
        <v>10</v>
      </c>
      <c r="G5" s="4"/>
      <c r="H5" s="4" t="s">
        <v>10</v>
      </c>
      <c r="I5" s="4"/>
      <c r="J5" s="4" t="s">
        <v>10</v>
      </c>
      <c r="K5" s="4"/>
      <c r="L5" s="4" t="s">
        <v>10</v>
      </c>
      <c r="M5" s="8"/>
      <c r="N5" s="9" t="s">
        <v>10</v>
      </c>
      <c r="O5" s="4">
        <v>0</v>
      </c>
    </row>
    <row r="6" spans="1:17" x14ac:dyDescent="0.25">
      <c r="A6" s="82">
        <v>44830</v>
      </c>
      <c r="B6" s="8" t="s">
        <v>21</v>
      </c>
      <c r="C6" s="8">
        <v>0.3</v>
      </c>
      <c r="D6" s="13">
        <v>0.30486111111111108</v>
      </c>
      <c r="E6" s="81"/>
      <c r="F6" s="4" t="s">
        <v>10</v>
      </c>
      <c r="G6" s="4"/>
      <c r="H6" s="4" t="s">
        <v>10</v>
      </c>
      <c r="I6" s="4"/>
      <c r="J6" s="4" t="s">
        <v>10</v>
      </c>
      <c r="K6" s="4"/>
      <c r="L6" s="4" t="s">
        <v>10</v>
      </c>
      <c r="M6" s="8"/>
      <c r="N6" s="9" t="s">
        <v>10</v>
      </c>
      <c r="O6" s="4">
        <v>0</v>
      </c>
    </row>
    <row r="7" spans="1:17" x14ac:dyDescent="0.25">
      <c r="A7" s="82">
        <v>44831</v>
      </c>
      <c r="B7" s="8" t="s">
        <v>22</v>
      </c>
      <c r="C7" s="8">
        <v>-0.1</v>
      </c>
      <c r="D7" s="13">
        <v>0.85</v>
      </c>
      <c r="E7" s="81"/>
      <c r="F7" s="4" t="s">
        <v>10</v>
      </c>
      <c r="G7" s="4"/>
      <c r="H7" s="4" t="s">
        <v>10</v>
      </c>
      <c r="I7" s="4"/>
      <c r="J7" s="4" t="s">
        <v>10</v>
      </c>
      <c r="K7" s="4"/>
      <c r="L7" s="4" t="s">
        <v>10</v>
      </c>
      <c r="M7" s="8"/>
      <c r="N7" s="9" t="s">
        <v>10</v>
      </c>
      <c r="O7" s="4">
        <v>0</v>
      </c>
    </row>
    <row r="8" spans="1:17" x14ac:dyDescent="0.25">
      <c r="A8" s="82">
        <v>44832</v>
      </c>
      <c r="B8" s="8" t="s">
        <v>23</v>
      </c>
      <c r="C8" s="8">
        <v>-0.3</v>
      </c>
      <c r="D8" s="13">
        <v>0.87916666666666676</v>
      </c>
      <c r="E8" s="81"/>
      <c r="F8" s="4">
        <v>5</v>
      </c>
      <c r="G8" s="4" t="s">
        <v>62</v>
      </c>
      <c r="H8" s="4">
        <v>8</v>
      </c>
      <c r="I8" s="4"/>
      <c r="J8" s="4">
        <f>+Harvest!J8/Effort!J8</f>
        <v>8.8000000000000416</v>
      </c>
      <c r="K8" s="4"/>
      <c r="L8" s="4" t="s">
        <v>10</v>
      </c>
      <c r="M8" s="8"/>
      <c r="N8" s="9" t="s">
        <v>10</v>
      </c>
      <c r="O8" s="4">
        <f>+Harvest!O8/Effort!O8</f>
        <v>7.2648880247962655</v>
      </c>
    </row>
    <row r="9" spans="1:17" x14ac:dyDescent="0.25">
      <c r="A9" s="82">
        <v>44833</v>
      </c>
      <c r="B9" s="8" t="s">
        <v>24</v>
      </c>
      <c r="C9" s="8">
        <v>-0.4</v>
      </c>
      <c r="D9" s="13">
        <v>0.91041666666666676</v>
      </c>
      <c r="E9" s="81"/>
      <c r="F9" s="4">
        <v>15</v>
      </c>
      <c r="G9" s="4"/>
      <c r="H9" s="4">
        <f>+Harvest!H9/Effort!H9</f>
        <v>15.00000000000002</v>
      </c>
      <c r="I9" s="4"/>
      <c r="J9" s="4" t="s">
        <v>10</v>
      </c>
      <c r="K9" s="4"/>
      <c r="L9" s="4" t="s">
        <v>10</v>
      </c>
      <c r="M9" s="8"/>
      <c r="N9" s="9" t="s">
        <v>10</v>
      </c>
      <c r="O9" s="4">
        <f>+Harvest!O9/Effort!O9</f>
        <v>15.000000000000011</v>
      </c>
    </row>
    <row r="10" spans="1:17" x14ac:dyDescent="0.25">
      <c r="A10" s="82">
        <v>44834</v>
      </c>
      <c r="B10" s="8" t="s">
        <v>18</v>
      </c>
      <c r="C10" s="8">
        <v>-0.2</v>
      </c>
      <c r="D10" s="13">
        <v>0.94652777777777775</v>
      </c>
      <c r="E10" s="81" t="s">
        <v>62</v>
      </c>
      <c r="F10" s="4">
        <v>14</v>
      </c>
      <c r="G10" s="4"/>
      <c r="H10" s="4">
        <f>+Harvest!H10/Effort!H10</f>
        <v>14.642857142857142</v>
      </c>
      <c r="I10" s="4"/>
      <c r="J10" s="4">
        <f>+Harvest!J10/Effort!J10</f>
        <v>13.406249999999995</v>
      </c>
      <c r="K10" s="4"/>
      <c r="L10" s="4" t="s">
        <v>10</v>
      </c>
      <c r="M10" s="8"/>
      <c r="N10" s="9" t="s">
        <v>10</v>
      </c>
      <c r="O10" s="4">
        <f>+Harvest!O10/Effort!O10</f>
        <v>13.922696604249921</v>
      </c>
    </row>
    <row r="11" spans="1:17" x14ac:dyDescent="0.25">
      <c r="A11" s="82"/>
      <c r="B11" s="8"/>
      <c r="C11" s="8"/>
      <c r="D11" s="13"/>
      <c r="E11" s="81"/>
      <c r="G11" s="4"/>
      <c r="H11" s="4"/>
      <c r="I11" s="4"/>
      <c r="J11" s="4"/>
      <c r="K11" s="4"/>
      <c r="L11" s="4"/>
      <c r="M11" s="8"/>
      <c r="N11" s="9"/>
      <c r="O11" s="4"/>
    </row>
    <row r="12" spans="1:17" x14ac:dyDescent="0.25">
      <c r="A12" s="82">
        <v>44842</v>
      </c>
      <c r="B12" s="8" t="s">
        <v>19</v>
      </c>
      <c r="C12" s="8">
        <v>0.5</v>
      </c>
      <c r="D12" s="13">
        <v>0.76458333333333339</v>
      </c>
      <c r="E12" s="81"/>
      <c r="F12" s="4">
        <v>14.5</v>
      </c>
      <c r="G12" s="8"/>
      <c r="H12" s="4">
        <f>+Harvest!H12/Effort!H12</f>
        <v>14.499999999999991</v>
      </c>
      <c r="I12" s="8"/>
      <c r="J12" s="9" t="s">
        <v>10</v>
      </c>
      <c r="K12" s="8"/>
      <c r="L12" s="9" t="s">
        <v>10</v>
      </c>
      <c r="M12" s="8"/>
      <c r="N12" s="9" t="s">
        <v>10</v>
      </c>
      <c r="O12" s="4">
        <f>+Harvest!O12/Effort!O12</f>
        <v>14.499999999999995</v>
      </c>
    </row>
    <row r="13" spans="1:17" x14ac:dyDescent="0.25">
      <c r="A13" s="82">
        <v>44843</v>
      </c>
      <c r="B13" s="8" t="s">
        <v>20</v>
      </c>
      <c r="C13" s="8">
        <v>-0.1</v>
      </c>
      <c r="D13" s="13">
        <v>0.79513888888888884</v>
      </c>
      <c r="E13" s="81" t="s">
        <v>62</v>
      </c>
      <c r="F13" s="4">
        <v>14.5</v>
      </c>
      <c r="G13" s="8"/>
      <c r="H13" s="4">
        <f>+Harvest!H13/Effort!H13</f>
        <v>14.387755102040822</v>
      </c>
      <c r="I13" s="8"/>
      <c r="J13" s="4">
        <f>+Harvest!J13/Effort!J13</f>
        <v>14.48780487804879</v>
      </c>
      <c r="K13" s="8"/>
      <c r="L13" s="9" t="s">
        <v>10</v>
      </c>
      <c r="M13" s="8"/>
      <c r="N13" s="9" t="s">
        <v>10</v>
      </c>
      <c r="O13" s="4">
        <f>+Harvest!O13/Effort!O13</f>
        <v>14.464010169884022</v>
      </c>
    </row>
    <row r="14" spans="1:17" x14ac:dyDescent="0.25">
      <c r="A14" s="82">
        <v>44844</v>
      </c>
      <c r="B14" s="8" t="s">
        <v>21</v>
      </c>
      <c r="C14" s="8">
        <v>-0.5</v>
      </c>
      <c r="D14" s="13">
        <v>0.82361111111111107</v>
      </c>
      <c r="E14" s="81"/>
      <c r="F14" s="4">
        <v>15</v>
      </c>
      <c r="G14" s="8" t="s">
        <v>62</v>
      </c>
      <c r="H14" s="9">
        <v>15</v>
      </c>
      <c r="I14" s="8"/>
      <c r="J14" s="9" t="s">
        <v>10</v>
      </c>
      <c r="K14" s="8"/>
      <c r="L14" s="9" t="s">
        <v>10</v>
      </c>
      <c r="M14" s="8"/>
      <c r="N14" s="9" t="s">
        <v>10</v>
      </c>
      <c r="O14" s="4">
        <f>+Harvest!O14/Effort!O14</f>
        <v>15</v>
      </c>
    </row>
    <row r="15" spans="1:17" x14ac:dyDescent="0.25">
      <c r="A15" s="82">
        <v>44845</v>
      </c>
      <c r="B15" s="8" t="s">
        <v>22</v>
      </c>
      <c r="C15" s="8">
        <v>-0.6</v>
      </c>
      <c r="D15" s="13">
        <v>0.85138888888888886</v>
      </c>
      <c r="E15" s="81"/>
      <c r="F15" s="4">
        <v>14.5</v>
      </c>
      <c r="G15" s="8" t="s">
        <v>62</v>
      </c>
      <c r="H15" s="9">
        <v>14.5</v>
      </c>
      <c r="I15" s="8"/>
      <c r="J15" s="4">
        <f>+Harvest!J15/Effort!J15</f>
        <v>14.811594202898577</v>
      </c>
      <c r="K15" s="8"/>
      <c r="L15" s="9" t="s">
        <v>10</v>
      </c>
      <c r="M15" s="8"/>
      <c r="N15" s="9" t="s">
        <v>10</v>
      </c>
      <c r="O15" s="4">
        <f>+Harvest!O15/Effort!O15</f>
        <v>14.62547491993503</v>
      </c>
    </row>
    <row r="16" spans="1:17" x14ac:dyDescent="0.25">
      <c r="A16" s="82">
        <v>44846</v>
      </c>
      <c r="B16" s="8" t="s">
        <v>23</v>
      </c>
      <c r="C16" s="8">
        <v>-0.4</v>
      </c>
      <c r="D16" s="13">
        <v>0.87916666666666676</v>
      </c>
      <c r="E16" s="81" t="s">
        <v>62</v>
      </c>
      <c r="F16" s="4">
        <v>14</v>
      </c>
      <c r="G16" s="8"/>
      <c r="H16" s="4">
        <f>+Harvest!H16/Effort!H16</f>
        <v>13.750000000000011</v>
      </c>
      <c r="I16" s="8"/>
      <c r="J16" s="9" t="s">
        <v>10</v>
      </c>
      <c r="K16" s="8"/>
      <c r="L16" s="9" t="s">
        <v>10</v>
      </c>
      <c r="M16" s="8"/>
      <c r="N16" s="9" t="s">
        <v>10</v>
      </c>
      <c r="O16" s="4">
        <f>+Harvest!O16/Effort!O16</f>
        <v>13.882321526254559</v>
      </c>
    </row>
    <row r="17" spans="1:15" x14ac:dyDescent="0.25">
      <c r="A17" s="82">
        <v>44847</v>
      </c>
      <c r="B17" s="8" t="s">
        <v>24</v>
      </c>
      <c r="C17" s="8">
        <v>-0.2</v>
      </c>
      <c r="D17" s="13">
        <v>0.90694444444444444</v>
      </c>
      <c r="E17" s="81"/>
      <c r="F17" s="4">
        <v>15</v>
      </c>
      <c r="G17" s="8" t="s">
        <v>62</v>
      </c>
      <c r="H17" s="9">
        <v>14</v>
      </c>
      <c r="I17" s="8"/>
      <c r="J17" s="4">
        <f>+Harvest!J17/Effort!J17</f>
        <v>14.047619047619033</v>
      </c>
      <c r="K17" s="8"/>
      <c r="L17" s="9" t="s">
        <v>10</v>
      </c>
      <c r="M17" s="8"/>
      <c r="N17" s="9" t="s">
        <v>10</v>
      </c>
      <c r="O17" s="4">
        <f>+Harvest!O17/Effort!O17</f>
        <v>14.311450575358089</v>
      </c>
    </row>
    <row r="18" spans="1:15" x14ac:dyDescent="0.25">
      <c r="A18" s="82">
        <v>44848</v>
      </c>
      <c r="B18" s="8" t="s">
        <v>18</v>
      </c>
      <c r="C18" s="8">
        <v>0.3</v>
      </c>
      <c r="D18" s="13">
        <v>0.93680555555555556</v>
      </c>
      <c r="E18" s="81" t="s">
        <v>62</v>
      </c>
      <c r="F18" s="4">
        <v>15</v>
      </c>
      <c r="G18" s="8"/>
      <c r="H18" s="4">
        <f>+Harvest!H18/Effort!H18</f>
        <v>14.999999999999989</v>
      </c>
      <c r="I18" s="8"/>
      <c r="J18" s="9" t="s">
        <v>10</v>
      </c>
      <c r="K18" s="8"/>
      <c r="L18" s="9" t="s">
        <v>10</v>
      </c>
      <c r="M18" s="8"/>
      <c r="N18" s="9" t="s">
        <v>10</v>
      </c>
      <c r="O18" s="4">
        <f>+Harvest!O18/Effort!O18</f>
        <v>14.999999999999995</v>
      </c>
    </row>
    <row r="19" spans="1:15" x14ac:dyDescent="0.25">
      <c r="A19" s="82"/>
      <c r="B19" s="8"/>
      <c r="C19" s="8"/>
      <c r="D19" s="13"/>
      <c r="E19" s="81"/>
      <c r="G19" s="4"/>
      <c r="H19" s="4"/>
      <c r="I19" s="4"/>
      <c r="J19" s="4"/>
      <c r="K19" s="4"/>
      <c r="L19" s="4"/>
      <c r="M19" s="8"/>
      <c r="N19" s="9"/>
      <c r="O19" s="4"/>
    </row>
    <row r="20" spans="1:15" x14ac:dyDescent="0.25">
      <c r="A20" s="82">
        <v>44858</v>
      </c>
      <c r="B20" s="8" t="s">
        <v>21</v>
      </c>
      <c r="C20" s="8">
        <v>0</v>
      </c>
      <c r="D20" s="13">
        <v>0.78055555555555556</v>
      </c>
      <c r="E20" s="81"/>
      <c r="F20" s="4">
        <v>11</v>
      </c>
      <c r="G20" s="4"/>
      <c r="H20" s="4">
        <f>+Harvest!H20/Effort!H20</f>
        <v>11.674418604651123</v>
      </c>
      <c r="I20" s="8"/>
      <c r="J20" s="4">
        <f>+Harvest!J20/Effort!J20</f>
        <v>14.047619047619078</v>
      </c>
      <c r="K20" s="8"/>
      <c r="L20" s="9" t="s">
        <v>10</v>
      </c>
      <c r="M20" s="8"/>
      <c r="N20" s="9" t="s">
        <v>10</v>
      </c>
      <c r="O20" s="4">
        <f>+Harvest!O20/Effort!O20</f>
        <v>12.299267186988923</v>
      </c>
    </row>
    <row r="21" spans="1:15" x14ac:dyDescent="0.25">
      <c r="A21" s="82">
        <v>44859</v>
      </c>
      <c r="B21" s="8" t="s">
        <v>22</v>
      </c>
      <c r="C21" s="8">
        <v>-0.6</v>
      </c>
      <c r="D21" s="13">
        <v>0.80833333333333324</v>
      </c>
      <c r="E21" s="81"/>
      <c r="F21" s="4">
        <v>8</v>
      </c>
      <c r="G21" s="4"/>
      <c r="H21" s="4">
        <f>+Harvest!H21/Effort!H21</f>
        <v>13.950000000000003</v>
      </c>
      <c r="I21" s="8"/>
      <c r="J21" s="9" t="s">
        <v>10</v>
      </c>
      <c r="K21" s="8"/>
      <c r="L21" s="9" t="s">
        <v>10</v>
      </c>
      <c r="M21" s="8"/>
      <c r="N21" s="9" t="s">
        <v>10</v>
      </c>
      <c r="O21" s="4">
        <f>+Harvest!O21/Effort!O21</f>
        <v>10.940301855872839</v>
      </c>
    </row>
    <row r="22" spans="1:15" x14ac:dyDescent="0.25">
      <c r="A22" s="82">
        <v>44860</v>
      </c>
      <c r="B22" s="8" t="s">
        <v>23</v>
      </c>
      <c r="C22" s="8">
        <v>-1</v>
      </c>
      <c r="D22" s="13">
        <v>0.83680555555555547</v>
      </c>
      <c r="E22" s="81"/>
      <c r="F22" s="4">
        <f>+Harvest!F22/Effort!F22</f>
        <v>13.256146179402</v>
      </c>
      <c r="G22" s="4" t="s">
        <v>62</v>
      </c>
      <c r="H22" s="4">
        <v>12.5</v>
      </c>
      <c r="I22" s="8"/>
      <c r="J22" s="4">
        <f>+Harvest!J22/Effort!J22</f>
        <v>12.282051282051283</v>
      </c>
      <c r="K22" s="8"/>
      <c r="L22" s="9" t="s">
        <v>10</v>
      </c>
      <c r="M22" s="8"/>
      <c r="N22" s="9" t="s">
        <v>10</v>
      </c>
      <c r="O22" s="4">
        <f>+Harvest!O22/Effort!O22</f>
        <v>12.730007073449306</v>
      </c>
    </row>
    <row r="23" spans="1:15" x14ac:dyDescent="0.25">
      <c r="A23" s="82">
        <v>44861</v>
      </c>
      <c r="B23" s="8" t="s">
        <v>24</v>
      </c>
      <c r="C23" s="8">
        <v>-1.1000000000000001</v>
      </c>
      <c r="D23" s="13">
        <v>0.8666666666666667</v>
      </c>
      <c r="E23" s="81" t="s">
        <v>62</v>
      </c>
      <c r="F23" s="4">
        <v>9.5</v>
      </c>
      <c r="G23" s="4"/>
      <c r="H23" s="4">
        <f>+Harvest!H23/Effort!H23</f>
        <v>9.5000000000000124</v>
      </c>
      <c r="I23" s="8"/>
      <c r="J23" s="9" t="s">
        <v>10</v>
      </c>
      <c r="K23" s="8"/>
      <c r="L23" s="9" t="s">
        <v>10</v>
      </c>
      <c r="M23" s="8"/>
      <c r="N23" s="9" t="s">
        <v>10</v>
      </c>
      <c r="O23" s="4">
        <f>+Harvest!O23/Effort!O23</f>
        <v>9.5000000000000071</v>
      </c>
    </row>
    <row r="24" spans="1:15" x14ac:dyDescent="0.25">
      <c r="A24" s="82">
        <v>44862</v>
      </c>
      <c r="B24" s="8" t="s">
        <v>18</v>
      </c>
      <c r="C24" s="8">
        <v>-1</v>
      </c>
      <c r="D24" s="13">
        <v>0.89930555555555547</v>
      </c>
      <c r="E24" s="81"/>
      <c r="F24" s="4">
        <v>6.5</v>
      </c>
      <c r="G24" s="4" t="s">
        <v>62</v>
      </c>
      <c r="H24" s="4">
        <v>10</v>
      </c>
      <c r="I24" s="8"/>
      <c r="J24" s="4">
        <f>+Harvest!J24/Effort!J24</f>
        <v>13.108108108108086</v>
      </c>
      <c r="K24" s="8"/>
      <c r="L24" s="9" t="s">
        <v>10</v>
      </c>
      <c r="M24" s="8"/>
      <c r="N24" s="9" t="s">
        <v>10</v>
      </c>
      <c r="O24" s="4">
        <f>+Harvest!O24/Effort!O24</f>
        <v>10.204651123056102</v>
      </c>
    </row>
    <row r="25" spans="1:15" x14ac:dyDescent="0.25">
      <c r="A25" s="82">
        <v>44863</v>
      </c>
      <c r="B25" s="8" t="s">
        <v>19</v>
      </c>
      <c r="C25" s="8">
        <v>-0.7</v>
      </c>
      <c r="D25" s="13">
        <v>0.93611111111111101</v>
      </c>
      <c r="E25" s="81" t="s">
        <v>62</v>
      </c>
      <c r="F25" s="4">
        <v>14.5</v>
      </c>
      <c r="G25" s="4"/>
      <c r="H25" s="4">
        <f>+Harvest!H25/Effort!H25</f>
        <v>14.702127659574503</v>
      </c>
      <c r="I25" s="8"/>
      <c r="J25" s="9" t="s">
        <v>10</v>
      </c>
      <c r="K25" s="8"/>
      <c r="L25" s="9" t="s">
        <v>10</v>
      </c>
      <c r="M25" s="8"/>
      <c r="N25" s="9" t="s">
        <v>10</v>
      </c>
      <c r="O25" s="4">
        <f>+Harvest!O25/Effort!O25</f>
        <v>14.599885097910947</v>
      </c>
    </row>
    <row r="26" spans="1:15" x14ac:dyDescent="0.25">
      <c r="A26" s="82">
        <v>44864</v>
      </c>
      <c r="B26" s="8" t="s">
        <v>20</v>
      </c>
      <c r="C26" s="8">
        <v>-0.3</v>
      </c>
      <c r="D26" s="13">
        <v>0.9770833333333333</v>
      </c>
      <c r="E26" s="81" t="s">
        <v>62</v>
      </c>
      <c r="F26" s="4">
        <v>4.5</v>
      </c>
      <c r="G26" s="4" t="s">
        <v>62</v>
      </c>
      <c r="H26" s="4">
        <v>4.5</v>
      </c>
      <c r="I26" s="8"/>
      <c r="J26" s="4">
        <f>+Harvest!J26/Effort!J26</f>
        <v>4.5000000000000107</v>
      </c>
      <c r="K26" s="8"/>
      <c r="L26" s="9" t="s">
        <v>10</v>
      </c>
      <c r="M26" s="8"/>
      <c r="N26" s="9" t="s">
        <v>10</v>
      </c>
      <c r="O26" s="4">
        <f>+Harvest!O26/Effort!O26</f>
        <v>4.5000000000000036</v>
      </c>
    </row>
    <row r="27" spans="1:15" x14ac:dyDescent="0.25">
      <c r="A27" s="82"/>
      <c r="B27" s="8"/>
      <c r="C27" s="8"/>
      <c r="D27" s="13"/>
      <c r="E27" s="81"/>
      <c r="F27" s="9"/>
      <c r="G27" s="8"/>
      <c r="H27" s="9"/>
      <c r="I27" s="8"/>
      <c r="J27" s="9"/>
      <c r="K27" s="8"/>
      <c r="L27" s="9"/>
      <c r="M27" s="8"/>
      <c r="N27" s="9"/>
      <c r="O27" s="4"/>
    </row>
    <row r="28" spans="1:15" x14ac:dyDescent="0.25">
      <c r="A28" s="82">
        <v>44871</v>
      </c>
      <c r="B28" s="8" t="s">
        <v>20</v>
      </c>
      <c r="C28" s="8">
        <v>0</v>
      </c>
      <c r="D28" s="13">
        <v>0.71388888888888891</v>
      </c>
      <c r="E28" s="81"/>
      <c r="F28" s="9" t="s">
        <v>10</v>
      </c>
      <c r="G28" s="8"/>
      <c r="H28" s="9" t="s">
        <v>10</v>
      </c>
      <c r="I28" s="8"/>
      <c r="J28" s="9" t="s">
        <v>10</v>
      </c>
      <c r="K28" s="8"/>
      <c r="L28" s="9" t="s">
        <v>10</v>
      </c>
      <c r="M28" s="8"/>
      <c r="N28" s="9" t="s">
        <v>10</v>
      </c>
      <c r="O28" s="4">
        <f t="shared" ref="O28:O43" si="0">SUM(F28:N28)</f>
        <v>0</v>
      </c>
    </row>
    <row r="29" spans="1:15" x14ac:dyDescent="0.25">
      <c r="A29" s="82">
        <v>44872</v>
      </c>
      <c r="B29" s="8" t="s">
        <v>21</v>
      </c>
      <c r="C29" s="8">
        <v>-0.5</v>
      </c>
      <c r="D29" s="13">
        <v>0.74236111111111114</v>
      </c>
      <c r="E29" s="81"/>
      <c r="F29" s="9" t="s">
        <v>10</v>
      </c>
      <c r="G29" s="8"/>
      <c r="H29" s="9" t="s">
        <v>10</v>
      </c>
      <c r="I29" s="8"/>
      <c r="J29" s="9" t="s">
        <v>10</v>
      </c>
      <c r="K29" s="8"/>
      <c r="L29" s="9" t="s">
        <v>10</v>
      </c>
      <c r="M29" s="8"/>
      <c r="N29" s="9" t="s">
        <v>10</v>
      </c>
      <c r="O29" s="4">
        <f t="shared" si="0"/>
        <v>0</v>
      </c>
    </row>
    <row r="30" spans="1:15" x14ac:dyDescent="0.25">
      <c r="A30" s="82">
        <v>44873</v>
      </c>
      <c r="B30" s="8" t="s">
        <v>22</v>
      </c>
      <c r="C30" s="8">
        <v>-0.7</v>
      </c>
      <c r="D30" s="13">
        <v>0.76944444444444438</v>
      </c>
      <c r="E30" s="81"/>
      <c r="F30" s="9" t="s">
        <v>10</v>
      </c>
      <c r="G30" s="8"/>
      <c r="H30" s="9" t="s">
        <v>10</v>
      </c>
      <c r="I30" s="8"/>
      <c r="J30" s="9" t="s">
        <v>10</v>
      </c>
      <c r="K30" s="8"/>
      <c r="L30" s="9" t="s">
        <v>10</v>
      </c>
      <c r="M30" s="8"/>
      <c r="N30" s="9" t="s">
        <v>10</v>
      </c>
      <c r="O30" s="4">
        <f t="shared" si="0"/>
        <v>0</v>
      </c>
    </row>
    <row r="31" spans="1:15" x14ac:dyDescent="0.25">
      <c r="A31" s="82">
        <v>44874</v>
      </c>
      <c r="B31" s="8" t="s">
        <v>23</v>
      </c>
      <c r="C31" s="8">
        <v>-0.7</v>
      </c>
      <c r="D31" s="13">
        <v>0.79513888888888884</v>
      </c>
      <c r="E31" s="81"/>
      <c r="F31" s="9" t="s">
        <v>10</v>
      </c>
      <c r="G31" s="8"/>
      <c r="H31" s="9" t="s">
        <v>10</v>
      </c>
      <c r="I31" s="8"/>
      <c r="J31" s="9" t="s">
        <v>10</v>
      </c>
      <c r="K31" s="8"/>
      <c r="L31" s="9" t="s">
        <v>10</v>
      </c>
      <c r="M31" s="8"/>
      <c r="N31" s="9" t="s">
        <v>10</v>
      </c>
      <c r="O31" s="4">
        <f t="shared" si="0"/>
        <v>0</v>
      </c>
    </row>
    <row r="32" spans="1:15" x14ac:dyDescent="0.25">
      <c r="A32" s="82">
        <v>44875</v>
      </c>
      <c r="B32" s="8" t="s">
        <v>24</v>
      </c>
      <c r="C32" s="8">
        <v>-0.6</v>
      </c>
      <c r="D32" s="13">
        <v>0.8208333333333333</v>
      </c>
      <c r="E32" s="81"/>
      <c r="F32" s="9" t="s">
        <v>10</v>
      </c>
      <c r="G32" s="8"/>
      <c r="H32" s="9" t="s">
        <v>10</v>
      </c>
      <c r="I32" s="8"/>
      <c r="J32" s="9" t="s">
        <v>10</v>
      </c>
      <c r="K32" s="8"/>
      <c r="L32" s="9" t="s">
        <v>10</v>
      </c>
      <c r="M32" s="8"/>
      <c r="N32" s="9" t="s">
        <v>10</v>
      </c>
      <c r="O32" s="4">
        <f t="shared" si="0"/>
        <v>0</v>
      </c>
    </row>
    <row r="33" spans="1:15" x14ac:dyDescent="0.25">
      <c r="A33" s="82">
        <v>44876</v>
      </c>
      <c r="B33" s="8" t="s">
        <v>18</v>
      </c>
      <c r="C33" s="8">
        <v>-0.2</v>
      </c>
      <c r="D33" s="13">
        <v>0.84652777777777777</v>
      </c>
      <c r="E33" s="81"/>
      <c r="F33" s="9" t="s">
        <v>10</v>
      </c>
      <c r="G33" s="8"/>
      <c r="H33" s="9" t="s">
        <v>10</v>
      </c>
      <c r="I33" s="8"/>
      <c r="J33" s="9" t="s">
        <v>10</v>
      </c>
      <c r="K33" s="8"/>
      <c r="L33" s="9" t="s">
        <v>10</v>
      </c>
      <c r="M33" s="8"/>
      <c r="N33" s="9" t="s">
        <v>10</v>
      </c>
      <c r="O33" s="4">
        <f t="shared" si="0"/>
        <v>0</v>
      </c>
    </row>
    <row r="34" spans="1:15" x14ac:dyDescent="0.25">
      <c r="A34" s="82">
        <v>44877</v>
      </c>
      <c r="B34" s="8" t="s">
        <v>19</v>
      </c>
      <c r="C34" s="8">
        <v>0.1</v>
      </c>
      <c r="D34" s="13">
        <v>0.87430555555555556</v>
      </c>
      <c r="E34" s="81"/>
      <c r="F34" s="9" t="s">
        <v>10</v>
      </c>
      <c r="G34" s="8"/>
      <c r="H34" s="9" t="s">
        <v>10</v>
      </c>
      <c r="I34" s="8"/>
      <c r="J34" s="9" t="s">
        <v>10</v>
      </c>
      <c r="K34" s="8"/>
      <c r="L34" s="9" t="s">
        <v>10</v>
      </c>
      <c r="M34" s="8"/>
      <c r="N34" s="9" t="s">
        <v>10</v>
      </c>
      <c r="O34" s="4">
        <f t="shared" si="0"/>
        <v>0</v>
      </c>
    </row>
    <row r="35" spans="1:15" x14ac:dyDescent="0.25">
      <c r="A35" s="82">
        <v>44878</v>
      </c>
      <c r="B35" s="8" t="s">
        <v>20</v>
      </c>
      <c r="C35" s="8">
        <v>0.5</v>
      </c>
      <c r="D35" s="13">
        <v>0.90486111111111101</v>
      </c>
      <c r="E35" s="81"/>
      <c r="F35" s="9" t="s">
        <v>10</v>
      </c>
      <c r="G35" s="8"/>
      <c r="H35" s="9" t="s">
        <v>10</v>
      </c>
      <c r="I35" s="8"/>
      <c r="J35" s="9" t="s">
        <v>10</v>
      </c>
      <c r="K35" s="8"/>
      <c r="L35" s="9" t="s">
        <v>10</v>
      </c>
      <c r="M35" s="8"/>
      <c r="N35" s="9" t="s">
        <v>10</v>
      </c>
      <c r="O35" s="4">
        <f t="shared" si="0"/>
        <v>0</v>
      </c>
    </row>
    <row r="36" spans="1:15" x14ac:dyDescent="0.25">
      <c r="A36" s="82"/>
      <c r="B36" s="8"/>
      <c r="C36" s="8"/>
      <c r="D36" s="13"/>
      <c r="E36" s="81"/>
      <c r="F36" s="9"/>
      <c r="G36" s="8"/>
      <c r="H36" s="9"/>
      <c r="I36" s="8"/>
      <c r="J36" s="9"/>
      <c r="K36" s="8"/>
      <c r="L36" s="9"/>
      <c r="M36" s="8"/>
      <c r="N36" s="9"/>
      <c r="O36" s="4"/>
    </row>
    <row r="37" spans="1:15" x14ac:dyDescent="0.25">
      <c r="A37" s="82">
        <v>44887</v>
      </c>
      <c r="B37" s="8" t="s">
        <v>22</v>
      </c>
      <c r="C37" s="8">
        <v>-0.6</v>
      </c>
      <c r="D37" s="13">
        <v>0.72361111111111109</v>
      </c>
      <c r="E37" s="81"/>
      <c r="F37" s="9" t="s">
        <v>10</v>
      </c>
      <c r="G37" s="8"/>
      <c r="H37" s="9" t="s">
        <v>10</v>
      </c>
      <c r="I37" s="8"/>
      <c r="J37" s="9" t="s">
        <v>10</v>
      </c>
      <c r="K37" s="8"/>
      <c r="L37" s="9" t="s">
        <v>10</v>
      </c>
      <c r="M37" s="8"/>
      <c r="N37" s="9" t="s">
        <v>10</v>
      </c>
      <c r="O37" s="4">
        <f t="shared" si="0"/>
        <v>0</v>
      </c>
    </row>
    <row r="38" spans="1:15" x14ac:dyDescent="0.25">
      <c r="A38" s="82">
        <v>44888</v>
      </c>
      <c r="B38" s="8" t="s">
        <v>23</v>
      </c>
      <c r="C38" s="8">
        <v>-1.2</v>
      </c>
      <c r="D38" s="13">
        <v>0.75277777777777777</v>
      </c>
      <c r="E38" s="81"/>
      <c r="F38" s="9" t="s">
        <v>10</v>
      </c>
      <c r="G38" s="8"/>
      <c r="H38" s="9" t="s">
        <v>10</v>
      </c>
      <c r="I38" s="8"/>
      <c r="J38" s="9" t="s">
        <v>10</v>
      </c>
      <c r="K38" s="8"/>
      <c r="L38" s="9" t="s">
        <v>10</v>
      </c>
      <c r="M38" s="8"/>
      <c r="N38" s="9" t="s">
        <v>10</v>
      </c>
      <c r="O38" s="4">
        <f t="shared" si="0"/>
        <v>0</v>
      </c>
    </row>
    <row r="39" spans="1:15" x14ac:dyDescent="0.25">
      <c r="A39" s="82">
        <v>44889</v>
      </c>
      <c r="B39" s="8" t="s">
        <v>24</v>
      </c>
      <c r="C39" s="8">
        <v>-1.6</v>
      </c>
      <c r="D39" s="13">
        <v>0.78333333333333333</v>
      </c>
      <c r="E39" s="81"/>
      <c r="F39" s="9" t="s">
        <v>10</v>
      </c>
      <c r="G39" s="8"/>
      <c r="H39" s="9" t="s">
        <v>10</v>
      </c>
      <c r="I39" s="8"/>
      <c r="J39" s="9" t="s">
        <v>10</v>
      </c>
      <c r="K39" s="8"/>
      <c r="L39" s="9" t="s">
        <v>10</v>
      </c>
      <c r="M39" s="8"/>
      <c r="N39" s="9" t="s">
        <v>10</v>
      </c>
      <c r="O39" s="4">
        <f t="shared" si="0"/>
        <v>0</v>
      </c>
    </row>
    <row r="40" spans="1:15" x14ac:dyDescent="0.25">
      <c r="A40" s="82">
        <v>44890</v>
      </c>
      <c r="B40" s="8" t="s">
        <v>18</v>
      </c>
      <c r="C40" s="8">
        <v>-1.6</v>
      </c>
      <c r="D40" s="13">
        <v>0.81597222222222221</v>
      </c>
      <c r="E40" s="81"/>
      <c r="F40" s="9" t="s">
        <v>10</v>
      </c>
      <c r="G40" s="8"/>
      <c r="H40" s="9" t="s">
        <v>10</v>
      </c>
      <c r="I40" s="8"/>
      <c r="J40" s="9" t="s">
        <v>10</v>
      </c>
      <c r="K40" s="8"/>
      <c r="L40" s="9" t="s">
        <v>10</v>
      </c>
      <c r="M40" s="8"/>
      <c r="N40" s="9" t="s">
        <v>10</v>
      </c>
      <c r="O40" s="4">
        <f t="shared" si="0"/>
        <v>0</v>
      </c>
    </row>
    <row r="41" spans="1:15" x14ac:dyDescent="0.25">
      <c r="A41" s="82">
        <v>44891</v>
      </c>
      <c r="B41" s="8" t="s">
        <v>19</v>
      </c>
      <c r="C41" s="8">
        <v>-1.5</v>
      </c>
      <c r="D41" s="13">
        <v>0.84930555555555554</v>
      </c>
      <c r="E41" s="81"/>
      <c r="F41" s="9" t="s">
        <v>10</v>
      </c>
      <c r="G41" s="8"/>
      <c r="H41" s="9" t="s">
        <v>10</v>
      </c>
      <c r="I41" s="8"/>
      <c r="J41" s="9" t="s">
        <v>10</v>
      </c>
      <c r="K41" s="8"/>
      <c r="L41" s="9" t="s">
        <v>10</v>
      </c>
      <c r="M41" s="8"/>
      <c r="N41" s="9" t="s">
        <v>10</v>
      </c>
      <c r="O41" s="4">
        <f t="shared" si="0"/>
        <v>0</v>
      </c>
    </row>
    <row r="42" spans="1:15" x14ac:dyDescent="0.25">
      <c r="A42" s="82">
        <v>44892</v>
      </c>
      <c r="B42" s="8" t="s">
        <v>20</v>
      </c>
      <c r="C42" s="8">
        <v>-1.1000000000000001</v>
      </c>
      <c r="D42" s="13">
        <v>0.88541666666666663</v>
      </c>
      <c r="E42" s="81"/>
      <c r="F42" s="9" t="s">
        <v>10</v>
      </c>
      <c r="G42" s="8"/>
      <c r="H42" s="9" t="s">
        <v>10</v>
      </c>
      <c r="I42" s="8"/>
      <c r="J42" s="9" t="s">
        <v>10</v>
      </c>
      <c r="K42" s="8"/>
      <c r="L42" s="9" t="s">
        <v>10</v>
      </c>
      <c r="M42" s="8"/>
      <c r="N42" s="9" t="s">
        <v>10</v>
      </c>
      <c r="O42" s="4">
        <f t="shared" si="0"/>
        <v>0</v>
      </c>
    </row>
    <row r="43" spans="1:15" x14ac:dyDescent="0.25">
      <c r="A43" s="82">
        <v>44893</v>
      </c>
      <c r="B43" s="8" t="s">
        <v>21</v>
      </c>
      <c r="C43" s="8">
        <v>-0.5</v>
      </c>
      <c r="D43" s="13">
        <v>0.92361111111111116</v>
      </c>
      <c r="E43" s="81"/>
      <c r="F43" s="9" t="s">
        <v>10</v>
      </c>
      <c r="G43" s="8"/>
      <c r="H43" s="9" t="s">
        <v>10</v>
      </c>
      <c r="I43" s="8"/>
      <c r="J43" s="9" t="s">
        <v>10</v>
      </c>
      <c r="K43" s="8"/>
      <c r="L43" s="9" t="s">
        <v>10</v>
      </c>
      <c r="M43" s="8"/>
      <c r="N43" s="9" t="s">
        <v>10</v>
      </c>
      <c r="O43" s="4">
        <f t="shared" si="0"/>
        <v>0</v>
      </c>
    </row>
    <row r="44" spans="1:15" x14ac:dyDescent="0.25">
      <c r="A44" s="82"/>
      <c r="B44" s="8"/>
      <c r="C44" s="8"/>
      <c r="D44" s="13"/>
      <c r="E44" s="81"/>
      <c r="F44" s="9"/>
      <c r="G44" s="8"/>
      <c r="H44" s="9"/>
      <c r="I44" s="8"/>
      <c r="J44" s="9"/>
      <c r="K44" s="8"/>
      <c r="L44" s="9"/>
      <c r="M44" s="8"/>
      <c r="N44" s="9"/>
      <c r="O44" s="4"/>
    </row>
    <row r="45" spans="1:15" x14ac:dyDescent="0.25">
      <c r="A45" s="82">
        <v>44899</v>
      </c>
      <c r="B45" s="8" t="s">
        <v>20</v>
      </c>
      <c r="C45" s="8">
        <v>0.4</v>
      </c>
      <c r="D45" s="13">
        <v>0.67291666666666661</v>
      </c>
      <c r="E45" s="81"/>
      <c r="F45" s="9" t="s">
        <v>10</v>
      </c>
      <c r="G45" s="8"/>
      <c r="H45" s="9" t="s">
        <v>10</v>
      </c>
      <c r="I45" s="8"/>
      <c r="J45" s="9" t="s">
        <v>10</v>
      </c>
      <c r="K45" s="8"/>
      <c r="L45" s="9" t="s">
        <v>10</v>
      </c>
      <c r="M45" s="8"/>
      <c r="N45" s="9" t="s">
        <v>10</v>
      </c>
      <c r="O45" s="4">
        <f t="shared" ref="O45:O80" si="1">SUM(F45:N45)</f>
        <v>0</v>
      </c>
    </row>
    <row r="46" spans="1:15" x14ac:dyDescent="0.25">
      <c r="A46" s="82">
        <v>44900</v>
      </c>
      <c r="B46" s="8" t="s">
        <v>21</v>
      </c>
      <c r="C46" s="8">
        <v>-0.1</v>
      </c>
      <c r="D46" s="13">
        <v>0.70347222222222217</v>
      </c>
      <c r="E46" s="81"/>
      <c r="F46" s="9" t="s">
        <v>10</v>
      </c>
      <c r="G46" s="8"/>
      <c r="H46" s="9" t="s">
        <v>10</v>
      </c>
      <c r="I46" s="8"/>
      <c r="J46" s="9" t="s">
        <v>10</v>
      </c>
      <c r="K46" s="8"/>
      <c r="L46" s="9" t="s">
        <v>10</v>
      </c>
      <c r="M46" s="8"/>
      <c r="N46" s="9" t="s">
        <v>10</v>
      </c>
      <c r="O46" s="4">
        <f t="shared" si="1"/>
        <v>0</v>
      </c>
    </row>
    <row r="47" spans="1:15" x14ac:dyDescent="0.25">
      <c r="A47" s="82">
        <v>44901</v>
      </c>
      <c r="B47" s="8" t="s">
        <v>22</v>
      </c>
      <c r="C47" s="8">
        <v>-0.5</v>
      </c>
      <c r="D47" s="13">
        <v>0.73125000000000007</v>
      </c>
      <c r="E47" s="81"/>
      <c r="F47" s="9" t="s">
        <v>10</v>
      </c>
      <c r="G47" s="8"/>
      <c r="H47" s="9" t="s">
        <v>10</v>
      </c>
      <c r="I47" s="8"/>
      <c r="J47" s="9" t="s">
        <v>10</v>
      </c>
      <c r="K47" s="8"/>
      <c r="L47" s="9" t="s">
        <v>10</v>
      </c>
      <c r="M47" s="8"/>
      <c r="N47" s="9" t="s">
        <v>10</v>
      </c>
      <c r="O47" s="4">
        <f t="shared" si="1"/>
        <v>0</v>
      </c>
    </row>
    <row r="48" spans="1:15" x14ac:dyDescent="0.25">
      <c r="A48" s="82">
        <v>44902</v>
      </c>
      <c r="B48" s="8" t="s">
        <v>23</v>
      </c>
      <c r="C48" s="8">
        <v>-0.6</v>
      </c>
      <c r="D48" s="13">
        <v>0.75763888888888886</v>
      </c>
      <c r="E48" s="81"/>
      <c r="F48" s="9" t="s">
        <v>10</v>
      </c>
      <c r="G48" s="8"/>
      <c r="H48" s="9" t="s">
        <v>10</v>
      </c>
      <c r="I48" s="8"/>
      <c r="J48" s="9" t="s">
        <v>10</v>
      </c>
      <c r="K48" s="8"/>
      <c r="L48" s="9" t="s">
        <v>10</v>
      </c>
      <c r="M48" s="8"/>
      <c r="N48" s="9" t="s">
        <v>10</v>
      </c>
      <c r="O48" s="4">
        <f t="shared" si="1"/>
        <v>0</v>
      </c>
    </row>
    <row r="49" spans="1:15" x14ac:dyDescent="0.25">
      <c r="A49" s="82">
        <v>44903</v>
      </c>
      <c r="B49" s="8" t="s">
        <v>24</v>
      </c>
      <c r="C49" s="8">
        <v>-0.6</v>
      </c>
      <c r="D49" s="13">
        <v>0.78263888888888899</v>
      </c>
      <c r="E49" s="81"/>
      <c r="F49" s="9" t="s">
        <v>10</v>
      </c>
      <c r="G49" s="8"/>
      <c r="H49" s="9" t="s">
        <v>10</v>
      </c>
      <c r="I49" s="8"/>
      <c r="J49" s="9" t="s">
        <v>10</v>
      </c>
      <c r="K49" s="8"/>
      <c r="L49" s="9" t="s">
        <v>10</v>
      </c>
      <c r="M49" s="8"/>
      <c r="N49" s="9" t="s">
        <v>10</v>
      </c>
      <c r="O49" s="4">
        <f t="shared" si="1"/>
        <v>0</v>
      </c>
    </row>
    <row r="50" spans="1:15" x14ac:dyDescent="0.25">
      <c r="A50" s="82">
        <v>44904</v>
      </c>
      <c r="B50" s="8" t="s">
        <v>18</v>
      </c>
      <c r="C50" s="8">
        <v>-0.5</v>
      </c>
      <c r="D50" s="13">
        <v>0.80763888888888891</v>
      </c>
      <c r="E50" s="81"/>
      <c r="F50" s="9" t="s">
        <v>10</v>
      </c>
      <c r="G50" s="8"/>
      <c r="H50" s="9" t="s">
        <v>10</v>
      </c>
      <c r="I50" s="8"/>
      <c r="J50" s="9" t="s">
        <v>10</v>
      </c>
      <c r="K50" s="8"/>
      <c r="L50" s="9" t="s">
        <v>10</v>
      </c>
      <c r="M50" s="8"/>
      <c r="N50" s="9" t="s">
        <v>10</v>
      </c>
      <c r="O50" s="4">
        <f t="shared" si="1"/>
        <v>0</v>
      </c>
    </row>
    <row r="51" spans="1:15" x14ac:dyDescent="0.25">
      <c r="A51" s="82">
        <v>44905</v>
      </c>
      <c r="B51" s="8" t="s">
        <v>19</v>
      </c>
      <c r="C51" s="8">
        <v>-0.3</v>
      </c>
      <c r="D51" s="13">
        <v>0.83263888888888893</v>
      </c>
      <c r="E51" s="81"/>
      <c r="F51" s="9" t="s">
        <v>10</v>
      </c>
      <c r="G51" s="8"/>
      <c r="H51" s="9" t="s">
        <v>10</v>
      </c>
      <c r="I51" s="8"/>
      <c r="J51" s="9" t="s">
        <v>10</v>
      </c>
      <c r="K51" s="8"/>
      <c r="L51" s="9" t="s">
        <v>10</v>
      </c>
      <c r="M51" s="8"/>
      <c r="N51" s="9" t="s">
        <v>10</v>
      </c>
      <c r="O51" s="4">
        <f t="shared" si="1"/>
        <v>0</v>
      </c>
    </row>
    <row r="52" spans="1:15" x14ac:dyDescent="0.25">
      <c r="A52" s="82">
        <v>44906</v>
      </c>
      <c r="B52" s="8" t="s">
        <v>20</v>
      </c>
      <c r="C52" s="8">
        <v>0</v>
      </c>
      <c r="D52" s="13">
        <v>0.85763888888888884</v>
      </c>
      <c r="E52" s="81"/>
      <c r="F52" s="9" t="s">
        <v>10</v>
      </c>
      <c r="G52" s="8"/>
      <c r="H52" s="9" t="s">
        <v>10</v>
      </c>
      <c r="I52" s="8"/>
      <c r="J52" s="9" t="s">
        <v>10</v>
      </c>
      <c r="K52" s="8"/>
      <c r="L52" s="9" t="s">
        <v>10</v>
      </c>
      <c r="M52" s="8"/>
      <c r="N52" s="9" t="s">
        <v>10</v>
      </c>
      <c r="O52" s="4">
        <f t="shared" si="1"/>
        <v>0</v>
      </c>
    </row>
    <row r="53" spans="1:15" x14ac:dyDescent="0.25">
      <c r="A53" s="82">
        <v>44907</v>
      </c>
      <c r="B53" s="8" t="s">
        <v>21</v>
      </c>
      <c r="C53" s="8">
        <v>0.3</v>
      </c>
      <c r="D53" s="13">
        <v>0.88402777777777775</v>
      </c>
      <c r="E53" s="81"/>
      <c r="F53" s="9" t="s">
        <v>10</v>
      </c>
      <c r="G53" s="8"/>
      <c r="H53" s="9" t="s">
        <v>10</v>
      </c>
      <c r="I53" s="8"/>
      <c r="J53" s="9" t="s">
        <v>10</v>
      </c>
      <c r="K53" s="8"/>
      <c r="L53" s="9" t="s">
        <v>10</v>
      </c>
      <c r="M53" s="8"/>
      <c r="N53" s="9" t="s">
        <v>10</v>
      </c>
      <c r="O53" s="4">
        <f t="shared" si="1"/>
        <v>0</v>
      </c>
    </row>
    <row r="54" spans="1:15" x14ac:dyDescent="0.25">
      <c r="A54" s="82"/>
      <c r="B54" s="8"/>
      <c r="C54" s="8"/>
      <c r="D54" s="13"/>
      <c r="E54" s="81"/>
      <c r="F54" s="9"/>
      <c r="G54" s="8"/>
      <c r="H54" s="9"/>
      <c r="I54" s="8"/>
      <c r="J54" s="9"/>
      <c r="K54" s="8"/>
      <c r="L54" s="9"/>
      <c r="M54" s="8"/>
      <c r="N54" s="9"/>
      <c r="O54" s="4"/>
    </row>
    <row r="55" spans="1:15" x14ac:dyDescent="0.25">
      <c r="A55" s="82">
        <v>44915</v>
      </c>
      <c r="B55" s="8" t="s">
        <v>22</v>
      </c>
      <c r="C55" s="8">
        <v>0</v>
      </c>
      <c r="D55" s="13">
        <v>0.67638888888888893</v>
      </c>
      <c r="E55" s="81"/>
      <c r="F55" s="9" t="s">
        <v>10</v>
      </c>
      <c r="G55" s="8"/>
      <c r="H55" s="9" t="s">
        <v>10</v>
      </c>
      <c r="I55" s="8"/>
      <c r="J55" s="9" t="s">
        <v>10</v>
      </c>
      <c r="K55" s="8"/>
      <c r="L55" s="9" t="s">
        <v>10</v>
      </c>
      <c r="M55" s="8"/>
      <c r="N55" s="9" t="s">
        <v>10</v>
      </c>
      <c r="O55" s="4">
        <f t="shared" si="1"/>
        <v>0</v>
      </c>
    </row>
    <row r="56" spans="1:15" x14ac:dyDescent="0.25">
      <c r="A56" s="82">
        <v>44916</v>
      </c>
      <c r="B56" s="8" t="s">
        <v>23</v>
      </c>
      <c r="C56" s="8">
        <v>-0.8</v>
      </c>
      <c r="D56" s="13">
        <v>0.70972222222222225</v>
      </c>
      <c r="E56" s="81"/>
      <c r="F56" s="9" t="s">
        <v>10</v>
      </c>
      <c r="G56" s="8"/>
      <c r="H56" s="9" t="s">
        <v>10</v>
      </c>
      <c r="I56" s="8"/>
      <c r="J56" s="9" t="s">
        <v>10</v>
      </c>
      <c r="K56" s="8"/>
      <c r="L56" s="9" t="s">
        <v>10</v>
      </c>
      <c r="M56" s="8"/>
      <c r="N56" s="9" t="s">
        <v>10</v>
      </c>
      <c r="O56" s="4">
        <f t="shared" si="1"/>
        <v>0</v>
      </c>
    </row>
    <row r="57" spans="1:15" x14ac:dyDescent="0.25">
      <c r="A57" s="82">
        <v>44917</v>
      </c>
      <c r="B57" s="8" t="s">
        <v>24</v>
      </c>
      <c r="C57" s="8">
        <v>-1.4</v>
      </c>
      <c r="D57" s="13">
        <v>0.7416666666666667</v>
      </c>
      <c r="E57" s="81"/>
      <c r="F57" s="9" t="s">
        <v>10</v>
      </c>
      <c r="G57" s="8"/>
      <c r="H57" s="9" t="s">
        <v>10</v>
      </c>
      <c r="I57" s="8"/>
      <c r="J57" s="9" t="s">
        <v>10</v>
      </c>
      <c r="K57" s="8"/>
      <c r="L57" s="9" t="s">
        <v>10</v>
      </c>
      <c r="M57" s="8"/>
      <c r="N57" s="9" t="s">
        <v>10</v>
      </c>
      <c r="O57" s="4">
        <f t="shared" si="1"/>
        <v>0</v>
      </c>
    </row>
    <row r="58" spans="1:15" x14ac:dyDescent="0.25">
      <c r="A58" s="82">
        <v>44918</v>
      </c>
      <c r="B58" s="8" t="s">
        <v>18</v>
      </c>
      <c r="C58" s="8">
        <v>-1.8</v>
      </c>
      <c r="D58" s="13">
        <v>0.77430555555555547</v>
      </c>
      <c r="E58" s="81"/>
      <c r="F58" s="9" t="s">
        <v>10</v>
      </c>
      <c r="G58" s="8"/>
      <c r="H58" s="9" t="s">
        <v>10</v>
      </c>
      <c r="I58" s="8"/>
      <c r="J58" s="9" t="s">
        <v>10</v>
      </c>
      <c r="K58" s="8"/>
      <c r="L58" s="9" t="s">
        <v>10</v>
      </c>
      <c r="M58" s="8"/>
      <c r="N58" s="9" t="s">
        <v>10</v>
      </c>
      <c r="O58" s="4">
        <f t="shared" si="1"/>
        <v>0</v>
      </c>
    </row>
    <row r="59" spans="1:15" x14ac:dyDescent="0.25">
      <c r="A59" s="82">
        <v>44919</v>
      </c>
      <c r="B59" s="8" t="s">
        <v>19</v>
      </c>
      <c r="C59" s="8">
        <v>-1.9</v>
      </c>
      <c r="D59" s="13">
        <v>0.80763888888888891</v>
      </c>
      <c r="E59" s="81"/>
      <c r="F59" s="9" t="s">
        <v>10</v>
      </c>
      <c r="G59" s="8"/>
      <c r="H59" s="9" t="s">
        <v>10</v>
      </c>
      <c r="I59" s="8"/>
      <c r="J59" s="9" t="s">
        <v>10</v>
      </c>
      <c r="K59" s="8"/>
      <c r="L59" s="9" t="s">
        <v>10</v>
      </c>
      <c r="M59" s="8"/>
      <c r="N59" s="9" t="s">
        <v>10</v>
      </c>
      <c r="O59" s="4">
        <f t="shared" si="1"/>
        <v>0</v>
      </c>
    </row>
    <row r="60" spans="1:15" x14ac:dyDescent="0.25">
      <c r="A60" s="82">
        <v>44920</v>
      </c>
      <c r="B60" s="8" t="s">
        <v>20</v>
      </c>
      <c r="C60" s="8">
        <v>-1.6</v>
      </c>
      <c r="D60" s="13">
        <v>0.84027777777777779</v>
      </c>
      <c r="E60" s="81"/>
      <c r="F60" s="9" t="s">
        <v>10</v>
      </c>
      <c r="G60" s="8"/>
      <c r="H60" s="9" t="s">
        <v>10</v>
      </c>
      <c r="I60" s="8"/>
      <c r="J60" s="9" t="s">
        <v>10</v>
      </c>
      <c r="K60" s="8"/>
      <c r="L60" s="9" t="s">
        <v>10</v>
      </c>
      <c r="M60" s="8"/>
      <c r="N60" s="9" t="s">
        <v>10</v>
      </c>
      <c r="O60" s="4">
        <f t="shared" si="1"/>
        <v>0</v>
      </c>
    </row>
    <row r="61" spans="1:15" x14ac:dyDescent="0.25">
      <c r="A61" s="82">
        <v>44921</v>
      </c>
      <c r="B61" s="8" t="s">
        <v>21</v>
      </c>
      <c r="C61" s="8">
        <v>-1.2</v>
      </c>
      <c r="D61" s="13">
        <v>0.87361111111111101</v>
      </c>
      <c r="E61" s="81"/>
      <c r="F61" s="9" t="s">
        <v>10</v>
      </c>
      <c r="G61" s="8"/>
      <c r="H61" s="9" t="s">
        <v>10</v>
      </c>
      <c r="I61" s="8"/>
      <c r="J61" s="9" t="s">
        <v>10</v>
      </c>
      <c r="K61" s="8"/>
      <c r="L61" s="9" t="s">
        <v>10</v>
      </c>
      <c r="M61" s="8"/>
      <c r="N61" s="9" t="s">
        <v>10</v>
      </c>
      <c r="O61" s="4">
        <f t="shared" si="1"/>
        <v>0</v>
      </c>
    </row>
    <row r="62" spans="1:15" x14ac:dyDescent="0.25">
      <c r="A62" s="82">
        <v>44922</v>
      </c>
      <c r="B62" s="8" t="s">
        <v>22</v>
      </c>
      <c r="C62" s="8">
        <v>-0.5</v>
      </c>
      <c r="D62" s="13">
        <v>0.90763888888888899</v>
      </c>
      <c r="E62" s="81"/>
      <c r="F62" s="9" t="s">
        <v>10</v>
      </c>
      <c r="G62" s="8"/>
      <c r="H62" s="9" t="s">
        <v>10</v>
      </c>
      <c r="I62" s="8"/>
      <c r="J62" s="9" t="s">
        <v>10</v>
      </c>
      <c r="K62" s="8"/>
      <c r="L62" s="9" t="s">
        <v>10</v>
      </c>
      <c r="M62" s="8"/>
      <c r="N62" s="9" t="s">
        <v>10</v>
      </c>
      <c r="O62" s="4">
        <f t="shared" si="1"/>
        <v>0</v>
      </c>
    </row>
    <row r="63" spans="1:15" x14ac:dyDescent="0.25">
      <c r="A63" s="82">
        <v>44923</v>
      </c>
      <c r="B63" s="8" t="s">
        <v>23</v>
      </c>
      <c r="C63" s="8">
        <v>0.3</v>
      </c>
      <c r="D63" s="13">
        <v>0.94236111111111109</v>
      </c>
      <c r="E63" s="81"/>
      <c r="F63" s="9" t="s">
        <v>10</v>
      </c>
      <c r="G63" s="8"/>
      <c r="H63" s="9" t="s">
        <v>10</v>
      </c>
      <c r="I63" s="8"/>
      <c r="J63" s="9" t="s">
        <v>10</v>
      </c>
      <c r="K63" s="8"/>
      <c r="L63" s="9" t="s">
        <v>10</v>
      </c>
      <c r="M63" s="8"/>
      <c r="N63" s="9" t="s">
        <v>10</v>
      </c>
      <c r="O63" s="4">
        <f t="shared" si="1"/>
        <v>0</v>
      </c>
    </row>
    <row r="64" spans="1:15" x14ac:dyDescent="0.25">
      <c r="A64" s="82"/>
      <c r="B64" s="8"/>
      <c r="C64" s="8"/>
      <c r="D64" s="13"/>
      <c r="E64" s="81"/>
      <c r="F64" s="9"/>
      <c r="G64" s="8"/>
      <c r="H64" s="9"/>
      <c r="I64" s="8"/>
      <c r="J64" s="9"/>
      <c r="K64" s="8"/>
      <c r="L64" s="9"/>
      <c r="M64" s="8"/>
      <c r="N64" s="9"/>
      <c r="O64" s="4"/>
    </row>
    <row r="65" spans="1:15" x14ac:dyDescent="0.25">
      <c r="A65" s="82">
        <v>44928</v>
      </c>
      <c r="B65" s="8" t="s">
        <v>21</v>
      </c>
      <c r="C65" s="8">
        <v>0.5</v>
      </c>
      <c r="D65" s="13">
        <v>0.65763888888888888</v>
      </c>
      <c r="E65" s="81"/>
      <c r="F65" s="9" t="s">
        <v>10</v>
      </c>
      <c r="G65" s="8"/>
      <c r="H65" s="9" t="s">
        <v>10</v>
      </c>
      <c r="I65" s="8"/>
      <c r="J65" s="9" t="s">
        <v>10</v>
      </c>
      <c r="K65" s="8"/>
      <c r="L65" s="9" t="s">
        <v>10</v>
      </c>
      <c r="M65" s="8"/>
      <c r="N65" s="9" t="s">
        <v>10</v>
      </c>
      <c r="O65" s="4">
        <f t="shared" si="1"/>
        <v>0</v>
      </c>
    </row>
    <row r="66" spans="1:15" x14ac:dyDescent="0.25">
      <c r="A66" s="82">
        <v>44929</v>
      </c>
      <c r="B66" s="8" t="s">
        <v>22</v>
      </c>
      <c r="C66" s="8">
        <v>0.1</v>
      </c>
      <c r="D66" s="13">
        <v>0.69027777777777777</v>
      </c>
      <c r="E66" s="81"/>
      <c r="F66" s="9" t="s">
        <v>10</v>
      </c>
      <c r="G66" s="8"/>
      <c r="H66" s="9" t="s">
        <v>10</v>
      </c>
      <c r="I66" s="8"/>
      <c r="J66" s="9" t="s">
        <v>10</v>
      </c>
      <c r="K66" s="8"/>
      <c r="L66" s="9" t="s">
        <v>10</v>
      </c>
      <c r="M66" s="8"/>
      <c r="N66" s="9" t="s">
        <v>10</v>
      </c>
      <c r="O66" s="4">
        <f t="shared" si="1"/>
        <v>0</v>
      </c>
    </row>
    <row r="67" spans="1:15" x14ac:dyDescent="0.25">
      <c r="A67" s="82">
        <v>44930</v>
      </c>
      <c r="B67" s="8" t="s">
        <v>23</v>
      </c>
      <c r="C67" s="8">
        <v>-0.1</v>
      </c>
      <c r="D67" s="13">
        <v>0.71944444444444444</v>
      </c>
      <c r="E67" s="81"/>
      <c r="F67" s="9" t="s">
        <v>10</v>
      </c>
      <c r="G67" s="8"/>
      <c r="H67" s="9" t="s">
        <v>10</v>
      </c>
      <c r="I67" s="8"/>
      <c r="J67" s="9" t="s">
        <v>10</v>
      </c>
      <c r="K67" s="8"/>
      <c r="L67" s="9" t="s">
        <v>10</v>
      </c>
      <c r="M67" s="8"/>
      <c r="N67" s="9" t="s">
        <v>10</v>
      </c>
      <c r="O67" s="4">
        <f t="shared" si="1"/>
        <v>0</v>
      </c>
    </row>
    <row r="68" spans="1:15" x14ac:dyDescent="0.25">
      <c r="A68" s="82">
        <v>44931</v>
      </c>
      <c r="B68" s="8" t="s">
        <v>24</v>
      </c>
      <c r="C68" s="8">
        <v>-0.3</v>
      </c>
      <c r="D68" s="13">
        <v>0.74583333333333324</v>
      </c>
      <c r="E68" s="81"/>
      <c r="F68" s="9" t="s">
        <v>10</v>
      </c>
      <c r="G68" s="8"/>
      <c r="H68" s="9" t="s">
        <v>10</v>
      </c>
      <c r="I68" s="8"/>
      <c r="J68" s="9" t="s">
        <v>10</v>
      </c>
      <c r="K68" s="8"/>
      <c r="L68" s="9" t="s">
        <v>10</v>
      </c>
      <c r="M68" s="8"/>
      <c r="N68" s="9" t="s">
        <v>10</v>
      </c>
      <c r="O68" s="4">
        <f t="shared" si="1"/>
        <v>0</v>
      </c>
    </row>
    <row r="69" spans="1:15" x14ac:dyDescent="0.25">
      <c r="A69" s="82">
        <v>44932</v>
      </c>
      <c r="B69" s="8" t="s">
        <v>18</v>
      </c>
      <c r="C69" s="8">
        <v>-0.3</v>
      </c>
      <c r="D69" s="13">
        <v>0.77083333333333337</v>
      </c>
      <c r="E69" s="81"/>
      <c r="F69" s="9" t="s">
        <v>10</v>
      </c>
      <c r="G69" s="8"/>
      <c r="H69" s="9" t="s">
        <v>10</v>
      </c>
      <c r="I69" s="8"/>
      <c r="J69" s="9" t="s">
        <v>10</v>
      </c>
      <c r="K69" s="8"/>
      <c r="L69" s="9" t="s">
        <v>10</v>
      </c>
      <c r="M69" s="8"/>
      <c r="N69" s="9" t="s">
        <v>10</v>
      </c>
      <c r="O69" s="4">
        <f t="shared" si="1"/>
        <v>0</v>
      </c>
    </row>
    <row r="70" spans="1:15" x14ac:dyDescent="0.25">
      <c r="A70" s="82">
        <v>44933</v>
      </c>
      <c r="B70" s="8" t="s">
        <v>19</v>
      </c>
      <c r="C70" s="8">
        <v>-0.3</v>
      </c>
      <c r="D70" s="13">
        <v>0.79513888888888884</v>
      </c>
      <c r="E70" s="81"/>
      <c r="F70" s="9" t="s">
        <v>10</v>
      </c>
      <c r="G70" s="8"/>
      <c r="H70" s="9" t="s">
        <v>10</v>
      </c>
      <c r="I70" s="8"/>
      <c r="J70" s="9" t="s">
        <v>10</v>
      </c>
      <c r="K70" s="8"/>
      <c r="L70" s="9" t="s">
        <v>10</v>
      </c>
      <c r="M70" s="8"/>
      <c r="N70" s="9" t="s">
        <v>10</v>
      </c>
      <c r="O70" s="4">
        <f t="shared" si="1"/>
        <v>0</v>
      </c>
    </row>
    <row r="71" spans="1:15" x14ac:dyDescent="0.25">
      <c r="A71" s="82">
        <v>44934</v>
      </c>
      <c r="B71" s="8" t="s">
        <v>20</v>
      </c>
      <c r="C71" s="8">
        <v>-0.2</v>
      </c>
      <c r="D71" s="13">
        <v>0.81805555555555554</v>
      </c>
      <c r="E71" s="81"/>
      <c r="F71" s="9" t="s">
        <v>10</v>
      </c>
      <c r="G71" s="8"/>
      <c r="H71" s="9" t="s">
        <v>10</v>
      </c>
      <c r="I71" s="8"/>
      <c r="J71" s="9" t="s">
        <v>10</v>
      </c>
      <c r="K71" s="8"/>
      <c r="L71" s="9" t="s">
        <v>10</v>
      </c>
      <c r="M71" s="8"/>
      <c r="N71" s="9" t="s">
        <v>10</v>
      </c>
      <c r="O71" s="4">
        <f t="shared" si="1"/>
        <v>0</v>
      </c>
    </row>
    <row r="72" spans="1:15" x14ac:dyDescent="0.25">
      <c r="A72" s="82">
        <v>44935</v>
      </c>
      <c r="B72" s="8" t="s">
        <v>21</v>
      </c>
      <c r="C72" s="8">
        <v>0</v>
      </c>
      <c r="D72" s="13">
        <v>0.84097222222222223</v>
      </c>
      <c r="E72" s="81"/>
      <c r="F72" s="9" t="s">
        <v>10</v>
      </c>
      <c r="G72" s="8"/>
      <c r="H72" s="9" t="s">
        <v>10</v>
      </c>
      <c r="I72" s="8"/>
      <c r="J72" s="9" t="s">
        <v>10</v>
      </c>
      <c r="K72" s="8"/>
      <c r="L72" s="9" t="s">
        <v>10</v>
      </c>
      <c r="M72" s="8"/>
      <c r="N72" s="9" t="s">
        <v>10</v>
      </c>
      <c r="O72" s="4">
        <f t="shared" si="1"/>
        <v>0</v>
      </c>
    </row>
    <row r="73" spans="1:15" x14ac:dyDescent="0.25">
      <c r="A73" s="82"/>
      <c r="B73" s="8"/>
      <c r="C73" s="8"/>
      <c r="D73" s="13"/>
      <c r="E73" s="81"/>
      <c r="F73" s="9"/>
      <c r="G73" s="8"/>
      <c r="H73" s="9"/>
      <c r="I73" s="8"/>
      <c r="J73" s="9"/>
      <c r="K73" s="8"/>
      <c r="L73" s="9"/>
      <c r="M73" s="8"/>
      <c r="N73" s="9"/>
      <c r="O73" s="4"/>
    </row>
    <row r="74" spans="1:15" x14ac:dyDescent="0.25">
      <c r="A74" s="82">
        <v>44944</v>
      </c>
      <c r="B74" s="8" t="s">
        <v>23</v>
      </c>
      <c r="C74" s="8">
        <v>-0.1</v>
      </c>
      <c r="D74" s="13">
        <v>0.66180555555555554</v>
      </c>
      <c r="E74" s="81"/>
      <c r="F74" s="9" t="s">
        <v>10</v>
      </c>
      <c r="G74" s="8"/>
      <c r="H74" s="9" t="s">
        <v>10</v>
      </c>
      <c r="I74" s="8"/>
      <c r="J74" s="9" t="s">
        <v>10</v>
      </c>
      <c r="K74" s="8"/>
      <c r="L74" s="9" t="s">
        <v>10</v>
      </c>
      <c r="M74" s="8"/>
      <c r="N74" s="9" t="s">
        <v>10</v>
      </c>
      <c r="O74" s="4">
        <f t="shared" si="1"/>
        <v>0</v>
      </c>
    </row>
    <row r="75" spans="1:15" x14ac:dyDescent="0.25">
      <c r="A75" s="82">
        <v>44945</v>
      </c>
      <c r="B75" s="8" t="s">
        <v>24</v>
      </c>
      <c r="C75" s="8">
        <v>-0.9</v>
      </c>
      <c r="D75" s="13">
        <v>0.69861111111111107</v>
      </c>
      <c r="E75" s="81"/>
      <c r="F75" s="9" t="s">
        <v>10</v>
      </c>
      <c r="G75" s="8"/>
      <c r="H75" s="9" t="s">
        <v>10</v>
      </c>
      <c r="I75" s="8"/>
      <c r="J75" s="9" t="s">
        <v>10</v>
      </c>
      <c r="K75" s="8"/>
      <c r="L75" s="9" t="s">
        <v>10</v>
      </c>
      <c r="M75" s="8"/>
      <c r="N75" s="9" t="s">
        <v>10</v>
      </c>
      <c r="O75" s="4">
        <f t="shared" si="1"/>
        <v>0</v>
      </c>
    </row>
    <row r="76" spans="1:15" x14ac:dyDescent="0.25">
      <c r="A76" s="82">
        <v>44946</v>
      </c>
      <c r="B76" s="8" t="s">
        <v>18</v>
      </c>
      <c r="C76" s="8">
        <v>-1.5</v>
      </c>
      <c r="D76" s="13">
        <v>0.73263888888888884</v>
      </c>
      <c r="E76" s="81"/>
      <c r="F76" s="9" t="s">
        <v>10</v>
      </c>
      <c r="G76" s="8"/>
      <c r="H76" s="9" t="s">
        <v>10</v>
      </c>
      <c r="I76" s="8"/>
      <c r="J76" s="9" t="s">
        <v>10</v>
      </c>
      <c r="K76" s="8"/>
      <c r="L76" s="9" t="s">
        <v>10</v>
      </c>
      <c r="M76" s="8"/>
      <c r="N76" s="9" t="s">
        <v>10</v>
      </c>
      <c r="O76" s="4">
        <f t="shared" si="1"/>
        <v>0</v>
      </c>
    </row>
    <row r="77" spans="1:15" x14ac:dyDescent="0.25">
      <c r="A77" s="82">
        <v>44947</v>
      </c>
      <c r="B77" s="8" t="s">
        <v>19</v>
      </c>
      <c r="C77" s="8">
        <v>-1.8</v>
      </c>
      <c r="D77" s="13">
        <v>0.76597222222222217</v>
      </c>
      <c r="E77" s="81"/>
      <c r="F77" s="9" t="s">
        <v>10</v>
      </c>
      <c r="G77" s="8"/>
      <c r="H77" s="9" t="s">
        <v>10</v>
      </c>
      <c r="I77" s="8"/>
      <c r="J77" s="4">
        <f>+Harvest!J77/Effort!J77</f>
        <v>6.8048780487804832</v>
      </c>
      <c r="K77" s="8"/>
      <c r="L77" s="9" t="s">
        <v>10</v>
      </c>
      <c r="M77" s="8"/>
      <c r="N77" s="9" t="s">
        <v>10</v>
      </c>
      <c r="O77" s="4">
        <f>+Harvest!O77/Effort!O77</f>
        <v>6.8048780487804832</v>
      </c>
    </row>
    <row r="78" spans="1:15" x14ac:dyDescent="0.25">
      <c r="A78" s="82">
        <v>44948</v>
      </c>
      <c r="B78" s="8" t="s">
        <v>20</v>
      </c>
      <c r="C78" s="8">
        <v>-1.8</v>
      </c>
      <c r="D78" s="13">
        <v>0.79722222222222217</v>
      </c>
      <c r="E78" s="81"/>
      <c r="F78" s="9" t="s">
        <v>10</v>
      </c>
      <c r="G78" s="8"/>
      <c r="H78" s="9" t="s">
        <v>10</v>
      </c>
      <c r="I78" s="8"/>
      <c r="J78" s="9" t="s">
        <v>10</v>
      </c>
      <c r="K78" s="8"/>
      <c r="L78" s="9" t="s">
        <v>10</v>
      </c>
      <c r="M78" s="8"/>
      <c r="N78" s="9" t="s">
        <v>10</v>
      </c>
      <c r="O78" s="4">
        <f t="shared" si="1"/>
        <v>0</v>
      </c>
    </row>
    <row r="79" spans="1:15" x14ac:dyDescent="0.25">
      <c r="A79" s="82">
        <v>44949</v>
      </c>
      <c r="B79" s="8" t="s">
        <v>21</v>
      </c>
      <c r="C79" s="8">
        <v>-1.6</v>
      </c>
      <c r="D79" s="13">
        <v>0.82916666666666661</v>
      </c>
      <c r="E79" s="81"/>
      <c r="F79" s="9" t="s">
        <v>10</v>
      </c>
      <c r="G79" s="8"/>
      <c r="H79" s="9" t="s">
        <v>10</v>
      </c>
      <c r="I79" s="8"/>
      <c r="J79" s="4">
        <f>+Harvest!J79/Effort!J79</f>
        <v>14.379310344827596</v>
      </c>
      <c r="K79" s="8"/>
      <c r="L79" s="9" t="s">
        <v>10</v>
      </c>
      <c r="M79" s="8"/>
      <c r="N79" s="9" t="s">
        <v>10</v>
      </c>
      <c r="O79" s="4">
        <f>+Harvest!O79/Effort!O79</f>
        <v>14.379310344827596</v>
      </c>
    </row>
    <row r="80" spans="1:15" x14ac:dyDescent="0.25">
      <c r="A80" s="82">
        <v>44950</v>
      </c>
      <c r="B80" s="8" t="s">
        <v>22</v>
      </c>
      <c r="C80" s="8">
        <v>-1</v>
      </c>
      <c r="D80" s="13">
        <v>0.8569444444444444</v>
      </c>
      <c r="E80" s="81"/>
      <c r="F80" s="9" t="s">
        <v>10</v>
      </c>
      <c r="G80" s="8"/>
      <c r="H80" s="9" t="s">
        <v>10</v>
      </c>
      <c r="I80" s="8"/>
      <c r="J80" s="9" t="s">
        <v>10</v>
      </c>
      <c r="K80" s="8"/>
      <c r="L80" s="9" t="s">
        <v>10</v>
      </c>
      <c r="M80" s="8"/>
      <c r="N80" s="9" t="s">
        <v>10</v>
      </c>
      <c r="O80" s="4">
        <f t="shared" si="1"/>
        <v>0</v>
      </c>
    </row>
    <row r="81" spans="1:15" x14ac:dyDescent="0.25">
      <c r="A81" s="82">
        <v>44951</v>
      </c>
      <c r="B81" s="8" t="s">
        <v>23</v>
      </c>
      <c r="C81" s="8">
        <v>-0.2</v>
      </c>
      <c r="D81" s="13">
        <v>0.88611111111111107</v>
      </c>
      <c r="E81" s="81"/>
      <c r="F81" s="9" t="s">
        <v>10</v>
      </c>
      <c r="G81" s="8"/>
      <c r="H81" s="9" t="s">
        <v>10</v>
      </c>
      <c r="I81" s="8"/>
      <c r="J81" s="4">
        <f>+Harvest!J81/Effort!J81</f>
        <v>15.000000000000002</v>
      </c>
      <c r="K81" s="8"/>
      <c r="L81" s="9" t="s">
        <v>10</v>
      </c>
      <c r="M81" s="8"/>
      <c r="N81" s="9" t="s">
        <v>10</v>
      </c>
      <c r="O81" s="4">
        <f>+Harvest!O81/Effort!O81</f>
        <v>15.000000000000002</v>
      </c>
    </row>
    <row r="82" spans="1:15" x14ac:dyDescent="0.25">
      <c r="A82" s="82"/>
      <c r="B82" s="8"/>
      <c r="C82" s="8"/>
      <c r="D82" s="13"/>
      <c r="E82" s="81"/>
      <c r="F82" s="9"/>
      <c r="G82" s="8"/>
      <c r="H82" s="9"/>
      <c r="I82" s="8"/>
      <c r="J82" s="9"/>
      <c r="K82" s="8"/>
      <c r="L82" s="9"/>
      <c r="M82" s="8"/>
      <c r="N82" s="9"/>
      <c r="O82" s="114"/>
    </row>
    <row r="83" spans="1:15" x14ac:dyDescent="0.25">
      <c r="A83" s="82">
        <v>44960</v>
      </c>
      <c r="B83" s="8" t="s">
        <v>18</v>
      </c>
      <c r="C83" s="8">
        <v>0.1</v>
      </c>
      <c r="D83" s="13">
        <v>0.73402777777777783</v>
      </c>
      <c r="E83" s="81"/>
      <c r="F83" s="9" t="s">
        <v>10</v>
      </c>
      <c r="G83" s="8"/>
      <c r="H83" s="9" t="s">
        <v>10</v>
      </c>
      <c r="I83" s="8"/>
      <c r="J83" s="4">
        <f>+Harvest!J83/Effort!J83</f>
        <v>6.3703703703703747</v>
      </c>
      <c r="K83" s="8"/>
      <c r="L83" s="9" t="s">
        <v>10</v>
      </c>
      <c r="M83" s="8"/>
      <c r="N83" s="9" t="s">
        <v>10</v>
      </c>
      <c r="O83" s="4">
        <f>+Harvest!O83/Effort!O83</f>
        <v>6.3703703703703747</v>
      </c>
    </row>
    <row r="84" spans="1:15" x14ac:dyDescent="0.25">
      <c r="A84" s="82">
        <v>44961</v>
      </c>
      <c r="B84" s="8" t="s">
        <v>19</v>
      </c>
      <c r="C84" s="8">
        <v>-0.1</v>
      </c>
      <c r="D84" s="13">
        <v>0.75763888888888886</v>
      </c>
      <c r="E84" s="81"/>
      <c r="F84" s="9" t="s">
        <v>10</v>
      </c>
      <c r="G84" s="8"/>
      <c r="H84" s="9" t="s">
        <v>10</v>
      </c>
      <c r="I84" s="8"/>
      <c r="J84" s="9" t="s">
        <v>10</v>
      </c>
      <c r="K84" s="8"/>
      <c r="L84" s="4">
        <f>+Harvest!L84/Effort!L84</f>
        <v>13.571428571428592</v>
      </c>
      <c r="M84" s="8"/>
      <c r="N84" s="9" t="s">
        <v>10</v>
      </c>
      <c r="O84" s="4">
        <f>+Harvest!O84/Effort!O84</f>
        <v>13.571428571428592</v>
      </c>
    </row>
    <row r="85" spans="1:15" x14ac:dyDescent="0.25">
      <c r="A85" s="82">
        <v>44962</v>
      </c>
      <c r="B85" s="8" t="s">
        <v>20</v>
      </c>
      <c r="C85" s="8">
        <v>-0.2</v>
      </c>
      <c r="D85" s="13">
        <v>0.77986111111111101</v>
      </c>
      <c r="E85" s="81"/>
      <c r="F85" s="9" t="s">
        <v>10</v>
      </c>
      <c r="G85" s="8"/>
      <c r="H85" s="9" t="s">
        <v>10</v>
      </c>
      <c r="I85" s="8"/>
      <c r="J85" s="4">
        <f>+Harvest!J85/Effort!J85</f>
        <v>12.272727272727268</v>
      </c>
      <c r="K85" s="8"/>
      <c r="L85" s="9" t="s">
        <v>10</v>
      </c>
      <c r="M85" s="8"/>
      <c r="N85" s="9" t="s">
        <v>10</v>
      </c>
      <c r="O85" s="4">
        <f>+Harvest!O85/Effort!O85</f>
        <v>12.272727272727268</v>
      </c>
    </row>
    <row r="86" spans="1:15" x14ac:dyDescent="0.25">
      <c r="A86" s="82">
        <v>44963</v>
      </c>
      <c r="B86" s="8" t="s">
        <v>21</v>
      </c>
      <c r="C86" s="8">
        <v>-0.1</v>
      </c>
      <c r="D86" s="13">
        <v>0.80069444444444438</v>
      </c>
      <c r="E86" s="81"/>
      <c r="F86" s="9" t="s">
        <v>10</v>
      </c>
      <c r="G86" s="8"/>
      <c r="H86" s="9" t="s">
        <v>10</v>
      </c>
      <c r="I86" s="8"/>
      <c r="J86" s="9" t="s">
        <v>10</v>
      </c>
      <c r="K86" s="8"/>
      <c r="L86" s="4">
        <f>+Harvest!L86/Effort!L86</f>
        <v>11.416666666666668</v>
      </c>
      <c r="M86" s="8"/>
      <c r="N86" s="9" t="s">
        <v>10</v>
      </c>
      <c r="O86" s="4">
        <f>+Harvest!O86/Effort!O86</f>
        <v>11.416666666666668</v>
      </c>
    </row>
    <row r="87" spans="1:15" x14ac:dyDescent="0.25">
      <c r="A87" s="82">
        <v>44964</v>
      </c>
      <c r="B87" s="8" t="s">
        <v>22</v>
      </c>
      <c r="C87" s="8">
        <v>0.1</v>
      </c>
      <c r="D87" s="13">
        <v>0.8208333333333333</v>
      </c>
      <c r="E87" s="81"/>
      <c r="F87" s="9" t="s">
        <v>10</v>
      </c>
      <c r="G87" s="8"/>
      <c r="H87" s="9" t="s">
        <v>10</v>
      </c>
      <c r="I87" s="8"/>
      <c r="J87" s="4">
        <f>+Harvest!J87/Effort!J87</f>
        <v>9.7500000000000018</v>
      </c>
      <c r="K87" s="8"/>
      <c r="L87" s="9" t="s">
        <v>10</v>
      </c>
      <c r="M87" s="8"/>
      <c r="N87" s="9" t="s">
        <v>10</v>
      </c>
      <c r="O87" s="4">
        <f>+Harvest!O87/Effort!O87</f>
        <v>9.7500000000000018</v>
      </c>
    </row>
    <row r="88" spans="1:15" x14ac:dyDescent="0.25">
      <c r="A88" s="82">
        <v>44965</v>
      </c>
      <c r="B88" s="8" t="s">
        <v>23</v>
      </c>
      <c r="C88" s="8">
        <v>0.4</v>
      </c>
      <c r="D88" s="13">
        <v>0.84097222222222223</v>
      </c>
      <c r="E88" s="81"/>
      <c r="F88" s="9" t="s">
        <v>10</v>
      </c>
      <c r="G88" s="8"/>
      <c r="H88" s="9" t="s">
        <v>10</v>
      </c>
      <c r="I88" s="8"/>
      <c r="J88" s="9" t="s">
        <v>10</v>
      </c>
      <c r="K88" s="8"/>
      <c r="L88" s="4">
        <f>+Harvest!L88/Effort!L88</f>
        <v>11.200000000000019</v>
      </c>
      <c r="M88" s="8"/>
      <c r="N88" s="9" t="s">
        <v>10</v>
      </c>
      <c r="O88" s="4">
        <f>+Harvest!O88/Effort!O88</f>
        <v>11.200000000000019</v>
      </c>
    </row>
    <row r="89" spans="1:15" x14ac:dyDescent="0.25">
      <c r="A89" s="82"/>
      <c r="B89" s="8"/>
      <c r="C89" s="8"/>
      <c r="D89" s="13"/>
      <c r="E89" s="81"/>
      <c r="F89" s="9"/>
      <c r="G89" s="8"/>
      <c r="H89" s="9"/>
      <c r="I89" s="8"/>
      <c r="J89" s="9"/>
      <c r="K89" s="8"/>
      <c r="L89" s="9"/>
      <c r="M89" s="8"/>
      <c r="N89" s="9"/>
      <c r="O89" s="9"/>
    </row>
    <row r="90" spans="1:15" x14ac:dyDescent="0.25">
      <c r="A90" s="82">
        <v>44974</v>
      </c>
      <c r="B90" s="8" t="s">
        <v>18</v>
      </c>
      <c r="C90" s="8">
        <v>-0.7</v>
      </c>
      <c r="D90" s="13">
        <v>0.68680555555555556</v>
      </c>
      <c r="E90" s="81"/>
      <c r="F90" s="9" t="s">
        <v>10</v>
      </c>
      <c r="G90" s="8"/>
      <c r="H90" s="9" t="s">
        <v>10</v>
      </c>
      <c r="I90" s="8"/>
      <c r="J90" s="9" t="s">
        <v>10</v>
      </c>
      <c r="K90" s="8"/>
      <c r="L90" s="4">
        <f>+Harvest!L90/Effort!L90</f>
        <v>14.999999999999929</v>
      </c>
      <c r="M90" s="8"/>
      <c r="N90" s="9" t="s">
        <v>10</v>
      </c>
      <c r="O90" s="4">
        <f>+Harvest!O90/Effort!O90</f>
        <v>14.999999999999929</v>
      </c>
    </row>
    <row r="91" spans="1:15" x14ac:dyDescent="0.25">
      <c r="A91" s="82">
        <v>44975</v>
      </c>
      <c r="B91" s="8" t="s">
        <v>19</v>
      </c>
      <c r="C91" s="8">
        <v>-1.2</v>
      </c>
      <c r="D91" s="13">
        <v>0.72152777777777777</v>
      </c>
      <c r="E91" s="81"/>
      <c r="F91" s="9" t="s">
        <v>10</v>
      </c>
      <c r="G91" s="8"/>
      <c r="H91" s="9" t="s">
        <v>10</v>
      </c>
      <c r="I91" s="8"/>
      <c r="J91" s="4">
        <f>+Harvest!J91/Effort!J91</f>
        <v>14.879518072289159</v>
      </c>
      <c r="K91" s="8"/>
      <c r="L91" s="9" t="s">
        <v>10</v>
      </c>
      <c r="M91" s="8"/>
      <c r="N91" s="9" t="s">
        <v>10</v>
      </c>
      <c r="O91" s="4">
        <f>+Harvest!O91/Effort!O91</f>
        <v>14.879518072289159</v>
      </c>
    </row>
    <row r="92" spans="1:15" x14ac:dyDescent="0.25">
      <c r="A92" s="82">
        <v>44976</v>
      </c>
      <c r="B92" s="8" t="s">
        <v>20</v>
      </c>
      <c r="C92" s="8">
        <v>-1.5</v>
      </c>
      <c r="D92" s="13">
        <v>0.75277777777777777</v>
      </c>
      <c r="E92" s="81"/>
      <c r="F92" s="9" t="s">
        <v>10</v>
      </c>
      <c r="G92" s="8"/>
      <c r="H92" s="9" t="s">
        <v>10</v>
      </c>
      <c r="I92" s="8"/>
      <c r="J92" s="9" t="s">
        <v>10</v>
      </c>
      <c r="K92" s="8"/>
      <c r="L92" s="4">
        <f>+Harvest!L92/Effort!L92</f>
        <v>13.213483146067421</v>
      </c>
      <c r="M92" s="8"/>
      <c r="N92" s="9" t="s">
        <v>10</v>
      </c>
      <c r="O92" s="4">
        <f>+Harvest!O92/Effort!O92</f>
        <v>13.213483146067421</v>
      </c>
    </row>
    <row r="93" spans="1:15" x14ac:dyDescent="0.25">
      <c r="A93" s="82">
        <v>44977</v>
      </c>
      <c r="B93" s="8" t="s">
        <v>21</v>
      </c>
      <c r="C93" s="8">
        <v>-1.4</v>
      </c>
      <c r="D93" s="13">
        <v>0.78194444444444444</v>
      </c>
      <c r="E93" s="81"/>
      <c r="F93" s="9" t="s">
        <v>10</v>
      </c>
      <c r="G93" s="8"/>
      <c r="H93" s="9" t="s">
        <v>10</v>
      </c>
      <c r="I93" s="8"/>
      <c r="J93" s="4">
        <f>+Harvest!J93/Effort!J93</f>
        <v>12.484848484848497</v>
      </c>
      <c r="K93" s="8"/>
      <c r="L93" s="9" t="s">
        <v>10</v>
      </c>
      <c r="M93" s="8"/>
      <c r="N93" s="9" t="s">
        <v>10</v>
      </c>
      <c r="O93" s="4">
        <f>+Harvest!O93/Effort!O93</f>
        <v>12.484848484848497</v>
      </c>
    </row>
    <row r="94" spans="1:15" x14ac:dyDescent="0.25">
      <c r="A94" s="82">
        <v>44978</v>
      </c>
      <c r="B94" s="8" t="s">
        <v>22</v>
      </c>
      <c r="C94" s="8">
        <v>-1</v>
      </c>
      <c r="D94" s="13">
        <v>0.80972222222222223</v>
      </c>
      <c r="E94" s="81"/>
      <c r="F94" s="9" t="s">
        <v>10</v>
      </c>
      <c r="G94" s="8"/>
      <c r="H94" s="9" t="s">
        <v>10</v>
      </c>
      <c r="I94" s="8"/>
      <c r="J94" s="9" t="s">
        <v>10</v>
      </c>
      <c r="K94" s="8"/>
      <c r="L94" s="4">
        <f>+Harvest!L94/Effort!L94</f>
        <v>1.6000000000000012</v>
      </c>
      <c r="M94" s="8"/>
      <c r="N94" s="9" t="s">
        <v>10</v>
      </c>
      <c r="O94" s="4">
        <f>+Harvest!O94/Effort!O94</f>
        <v>1.6000000000000012</v>
      </c>
    </row>
    <row r="95" spans="1:15" x14ac:dyDescent="0.25">
      <c r="A95" s="82">
        <v>44979</v>
      </c>
      <c r="B95" s="8" t="s">
        <v>23</v>
      </c>
      <c r="C95" s="8">
        <v>-0.3</v>
      </c>
      <c r="D95" s="13">
        <v>0.83680555555555547</v>
      </c>
      <c r="E95" s="81"/>
      <c r="F95" s="9" t="s">
        <v>10</v>
      </c>
      <c r="G95" s="8"/>
      <c r="H95" s="9" t="s">
        <v>10</v>
      </c>
      <c r="I95" s="8"/>
      <c r="J95" s="4">
        <f>+Harvest!J95/Effort!J95</f>
        <v>7.5454545454545556</v>
      </c>
      <c r="K95" s="8"/>
      <c r="L95" s="9" t="s">
        <v>10</v>
      </c>
      <c r="M95" s="8"/>
      <c r="N95" s="9" t="s">
        <v>10</v>
      </c>
      <c r="O95" s="4">
        <f>+Harvest!O95/Effort!O95</f>
        <v>7.5454545454545556</v>
      </c>
    </row>
    <row r="96" spans="1:15" x14ac:dyDescent="0.25">
      <c r="A96" s="82"/>
      <c r="B96" s="8"/>
      <c r="C96" s="8"/>
      <c r="D96" s="13"/>
      <c r="E96" s="81"/>
      <c r="F96" s="9"/>
      <c r="G96" s="8"/>
      <c r="H96" s="9"/>
      <c r="I96" s="8"/>
      <c r="J96" s="9"/>
      <c r="K96" s="8"/>
      <c r="L96" s="9"/>
      <c r="M96" s="8"/>
      <c r="N96" s="9"/>
      <c r="O96" s="4"/>
    </row>
    <row r="97" spans="1:15" x14ac:dyDescent="0.25">
      <c r="A97" s="82">
        <v>44988</v>
      </c>
      <c r="B97" s="8" t="s">
        <v>18</v>
      </c>
      <c r="C97" s="8">
        <v>0.6</v>
      </c>
      <c r="D97" s="13">
        <v>0.68819444444444444</v>
      </c>
      <c r="E97" s="81"/>
      <c r="F97" s="9" t="s">
        <v>10</v>
      </c>
      <c r="G97" s="8"/>
      <c r="H97" s="9" t="s">
        <v>10</v>
      </c>
      <c r="I97" s="8"/>
      <c r="J97" s="9" t="s">
        <v>10</v>
      </c>
      <c r="K97" s="8"/>
      <c r="L97" s="4">
        <f>+Harvest!L97/Effort!L97</f>
        <v>8.7750000000000359</v>
      </c>
      <c r="M97" s="8"/>
      <c r="N97" s="9" t="s">
        <v>10</v>
      </c>
      <c r="O97" s="4">
        <f>+Harvest!O97/Effort!O97</f>
        <v>8.7750000000000359</v>
      </c>
    </row>
    <row r="98" spans="1:15" x14ac:dyDescent="0.25">
      <c r="A98" s="82">
        <v>44989</v>
      </c>
      <c r="B98" s="8" t="s">
        <v>19</v>
      </c>
      <c r="C98" s="8">
        <v>0.4</v>
      </c>
      <c r="D98" s="13">
        <v>0.71458333333333324</v>
      </c>
      <c r="E98" s="81"/>
      <c r="F98" s="9" t="s">
        <v>10</v>
      </c>
      <c r="G98" s="8"/>
      <c r="H98" s="9" t="s">
        <v>10</v>
      </c>
      <c r="I98" s="8"/>
      <c r="J98" s="4">
        <f>+Harvest!J98/Effort!J98</f>
        <v>4.0769230769230749</v>
      </c>
      <c r="K98" s="8"/>
      <c r="L98" s="9" t="s">
        <v>10</v>
      </c>
      <c r="M98" s="8"/>
      <c r="N98" s="9" t="s">
        <v>10</v>
      </c>
      <c r="O98" s="4">
        <f>+Harvest!O98/Effort!O98</f>
        <v>4.0769230769230749</v>
      </c>
    </row>
    <row r="99" spans="1:15" x14ac:dyDescent="0.25">
      <c r="A99" s="82">
        <v>44990</v>
      </c>
      <c r="B99" s="8" t="s">
        <v>20</v>
      </c>
      <c r="C99" s="8">
        <v>0.2</v>
      </c>
      <c r="D99" s="13">
        <v>0.73749999999999993</v>
      </c>
      <c r="E99" s="81"/>
      <c r="F99" s="9" t="s">
        <v>10</v>
      </c>
      <c r="G99" s="8"/>
      <c r="H99" s="9" t="s">
        <v>10</v>
      </c>
      <c r="I99" s="8"/>
      <c r="J99" s="9" t="s">
        <v>10</v>
      </c>
      <c r="K99" s="8"/>
      <c r="L99" s="4">
        <f>+Harvest!L99/Effort!L99</f>
        <v>10.320754716981121</v>
      </c>
      <c r="M99" s="8"/>
      <c r="N99" s="9" t="s">
        <v>10</v>
      </c>
      <c r="O99" s="4">
        <f>+Harvest!O99/Effort!O99</f>
        <v>10.320754716981121</v>
      </c>
    </row>
    <row r="100" spans="1:15" x14ac:dyDescent="0.25">
      <c r="A100" s="82">
        <v>44991</v>
      </c>
      <c r="B100" s="8" t="s">
        <v>21</v>
      </c>
      <c r="C100" s="8">
        <v>0.1</v>
      </c>
      <c r="D100" s="13">
        <v>0.75902777777777775</v>
      </c>
      <c r="E100" s="81"/>
      <c r="F100" s="9" t="s">
        <v>10</v>
      </c>
      <c r="G100" s="8"/>
      <c r="H100" s="9" t="s">
        <v>10</v>
      </c>
      <c r="I100" s="8"/>
      <c r="J100" s="4">
        <f>+Harvest!J100/Effort!J100</f>
        <v>9.4230769230768825</v>
      </c>
      <c r="K100" s="8"/>
      <c r="L100" s="9" t="s">
        <v>10</v>
      </c>
      <c r="M100" s="8"/>
      <c r="N100" s="9" t="s">
        <v>10</v>
      </c>
      <c r="O100" s="4">
        <f>+Harvest!O100/Effort!O100</f>
        <v>9.4230769230768825</v>
      </c>
    </row>
    <row r="101" spans="1:15" x14ac:dyDescent="0.25">
      <c r="A101" s="82">
        <v>44992</v>
      </c>
      <c r="B101" s="8" t="s">
        <v>22</v>
      </c>
      <c r="C101" s="8">
        <v>0.3</v>
      </c>
      <c r="D101" s="13">
        <v>0.77847222222222223</v>
      </c>
      <c r="E101" s="81"/>
      <c r="F101" s="9" t="s">
        <v>10</v>
      </c>
      <c r="G101" s="8"/>
      <c r="H101" s="9" t="s">
        <v>10</v>
      </c>
      <c r="I101" s="8"/>
      <c r="J101" s="9" t="s">
        <v>10</v>
      </c>
      <c r="K101" s="8"/>
      <c r="L101" s="4">
        <f>+Harvest!L101/Effort!L101</f>
        <v>15.000000000000009</v>
      </c>
      <c r="M101" s="8"/>
      <c r="N101" s="9" t="s">
        <v>10</v>
      </c>
      <c r="O101" s="4">
        <f>+Harvest!O101/Effort!O101</f>
        <v>15.000000000000009</v>
      </c>
    </row>
    <row r="102" spans="1:15" x14ac:dyDescent="0.25">
      <c r="A102" s="82">
        <v>44993</v>
      </c>
      <c r="B102" s="8" t="s">
        <v>23</v>
      </c>
      <c r="C102" s="8">
        <v>0.5</v>
      </c>
      <c r="D102" s="13">
        <v>0.79791666666666661</v>
      </c>
      <c r="E102" s="81"/>
      <c r="F102" s="9" t="s">
        <v>10</v>
      </c>
      <c r="G102" s="8"/>
      <c r="H102" s="9" t="s">
        <v>10</v>
      </c>
      <c r="I102" s="8"/>
      <c r="J102" s="4">
        <f>+Harvest!J102/Effort!J102</f>
        <v>14.451612903225804</v>
      </c>
      <c r="K102" s="8"/>
      <c r="L102" s="9" t="s">
        <v>10</v>
      </c>
      <c r="M102" s="8"/>
      <c r="N102" s="9" t="s">
        <v>10</v>
      </c>
      <c r="O102" s="4">
        <f>+Harvest!O102/Effort!O102</f>
        <v>14.451612903225804</v>
      </c>
    </row>
    <row r="103" spans="1:15" x14ac:dyDescent="0.25">
      <c r="A103" s="82"/>
      <c r="B103" s="8"/>
      <c r="C103" s="8"/>
      <c r="D103" s="13"/>
      <c r="E103" s="81"/>
      <c r="F103" s="9"/>
      <c r="G103" s="8"/>
      <c r="H103" s="9"/>
      <c r="I103" s="8"/>
      <c r="J103" s="9"/>
      <c r="K103" s="8"/>
      <c r="L103" s="9"/>
      <c r="M103" s="8"/>
      <c r="N103" s="9"/>
      <c r="O103" s="4"/>
    </row>
    <row r="104" spans="1:15" x14ac:dyDescent="0.25">
      <c r="A104" s="82">
        <v>45002</v>
      </c>
      <c r="B104" s="8" t="s">
        <v>18</v>
      </c>
      <c r="C104" s="8">
        <v>0</v>
      </c>
      <c r="D104" s="13">
        <v>0.67361111111111116</v>
      </c>
      <c r="E104" s="81"/>
      <c r="F104" s="4" t="s">
        <v>10</v>
      </c>
      <c r="G104" s="4" t="s">
        <v>62</v>
      </c>
      <c r="H104" s="4">
        <v>15</v>
      </c>
      <c r="I104" s="8"/>
      <c r="J104" s="4">
        <f>+Harvest!J104/Effort!J104</f>
        <v>15</v>
      </c>
      <c r="K104" s="8"/>
      <c r="L104" s="9" t="s">
        <v>10</v>
      </c>
      <c r="M104" s="8"/>
      <c r="N104" s="9" t="s">
        <v>10</v>
      </c>
      <c r="O104" s="4">
        <f>+Harvest!O104/Effort!O104</f>
        <v>15.000000000000004</v>
      </c>
    </row>
    <row r="105" spans="1:15" x14ac:dyDescent="0.25">
      <c r="A105" s="82">
        <v>45003</v>
      </c>
      <c r="B105" s="8" t="s">
        <v>19</v>
      </c>
      <c r="C105" s="8">
        <v>-0.5</v>
      </c>
      <c r="D105" s="13">
        <v>0.71250000000000002</v>
      </c>
      <c r="E105" s="81"/>
      <c r="F105" s="4" t="s">
        <v>10</v>
      </c>
      <c r="G105" s="4"/>
      <c r="H105" s="4">
        <f>+Harvest!H105/Effort!H105</f>
        <v>14.428571428571416</v>
      </c>
      <c r="I105" s="8"/>
      <c r="J105" s="9" t="s">
        <v>10</v>
      </c>
      <c r="K105" s="8"/>
      <c r="L105" s="4">
        <f>+Harvest!L105/Effort!L105</f>
        <v>14.862385321100941</v>
      </c>
      <c r="M105" s="8"/>
      <c r="N105" s="9" t="s">
        <v>10</v>
      </c>
      <c r="O105" s="4">
        <f>+Harvest!O105/Effort!O105</f>
        <v>14.674370432155271</v>
      </c>
    </row>
    <row r="106" spans="1:15" x14ac:dyDescent="0.25">
      <c r="A106" s="82">
        <v>45004</v>
      </c>
      <c r="B106" s="8" t="s">
        <v>20</v>
      </c>
      <c r="C106" s="8">
        <v>-0.7</v>
      </c>
      <c r="D106" s="13">
        <v>0.74583333333333324</v>
      </c>
      <c r="E106" s="81"/>
      <c r="F106" s="4" t="s">
        <v>10</v>
      </c>
      <c r="G106" s="4"/>
      <c r="H106" s="4">
        <f>+Harvest!H106/Effort!H106</f>
        <v>15.00000000000003</v>
      </c>
      <c r="I106" s="8"/>
      <c r="J106" s="4">
        <f>+Harvest!J106/Effort!J106</f>
        <v>14.555555555555566</v>
      </c>
      <c r="K106" s="8"/>
      <c r="L106" s="9" t="s">
        <v>10</v>
      </c>
      <c r="M106" s="8"/>
      <c r="N106" s="9" t="s">
        <v>10</v>
      </c>
      <c r="O106" s="4">
        <f>+Harvest!O106/Effort!O106</f>
        <v>14.73528038675995</v>
      </c>
    </row>
    <row r="107" spans="1:15" x14ac:dyDescent="0.25">
      <c r="A107" s="82">
        <v>45005</v>
      </c>
      <c r="B107" s="8" t="s">
        <v>21</v>
      </c>
      <c r="C107" s="8">
        <v>-0.7</v>
      </c>
      <c r="D107" s="13">
        <v>0.77638888888888891</v>
      </c>
      <c r="E107" s="81"/>
      <c r="F107" s="4" t="s">
        <v>10</v>
      </c>
      <c r="G107" s="4" t="s">
        <v>62</v>
      </c>
      <c r="H107" s="4">
        <v>14.5</v>
      </c>
      <c r="I107" s="8"/>
      <c r="J107" s="9" t="s">
        <v>10</v>
      </c>
      <c r="K107" s="8"/>
      <c r="L107" s="4">
        <f>+Harvest!L107/Effort!L107</f>
        <v>14.822222222222226</v>
      </c>
      <c r="M107" s="8"/>
      <c r="N107" s="9" t="s">
        <v>10</v>
      </c>
      <c r="O107" s="4">
        <f>+Harvest!O107/Effort!O107</f>
        <v>14.682571149791865</v>
      </c>
    </row>
    <row r="108" spans="1:15" x14ac:dyDescent="0.25">
      <c r="A108" s="82">
        <v>45006</v>
      </c>
      <c r="B108" s="8" t="s">
        <v>22</v>
      </c>
      <c r="C108" s="8">
        <v>-0.5</v>
      </c>
      <c r="D108" s="13">
        <v>0.8041666666666667</v>
      </c>
      <c r="E108" s="81"/>
      <c r="F108" s="4" t="s">
        <v>10</v>
      </c>
      <c r="G108" s="4" t="s">
        <v>62</v>
      </c>
      <c r="H108" s="4">
        <v>15</v>
      </c>
      <c r="I108" s="8"/>
      <c r="J108" s="4">
        <f>+Harvest!J108/Effort!J108</f>
        <v>15</v>
      </c>
      <c r="K108" s="8"/>
      <c r="L108" s="9" t="s">
        <v>10</v>
      </c>
      <c r="M108" s="8"/>
      <c r="N108" s="9" t="s">
        <v>10</v>
      </c>
      <c r="O108" s="4">
        <f>+Harvest!O108/Effort!O108</f>
        <v>15.000000000000002</v>
      </c>
    </row>
    <row r="109" spans="1:15" x14ac:dyDescent="0.25">
      <c r="A109" s="82">
        <v>45007</v>
      </c>
      <c r="B109" s="8" t="s">
        <v>23</v>
      </c>
      <c r="C109" s="8">
        <v>0</v>
      </c>
      <c r="D109" s="13">
        <v>0.8305555555555556</v>
      </c>
      <c r="E109" s="81"/>
      <c r="F109" s="4" t="s">
        <v>10</v>
      </c>
      <c r="G109" s="4" t="s">
        <v>62</v>
      </c>
      <c r="H109" s="4">
        <v>14</v>
      </c>
      <c r="I109" s="8"/>
      <c r="J109" s="9" t="s">
        <v>10</v>
      </c>
      <c r="K109" s="8"/>
      <c r="L109" s="4">
        <f>+Harvest!L109/Effort!L109</f>
        <v>14.190476190476188</v>
      </c>
      <c r="M109" s="8"/>
      <c r="N109" s="9" t="s">
        <v>10</v>
      </c>
      <c r="O109" s="4">
        <f>+Harvest!O109/Effort!O109</f>
        <v>14.107923832389277</v>
      </c>
    </row>
    <row r="110" spans="1:15" x14ac:dyDescent="0.25">
      <c r="A110" s="82">
        <v>45008</v>
      </c>
      <c r="B110" s="8" t="s">
        <v>24</v>
      </c>
      <c r="C110" s="8">
        <v>-0.3</v>
      </c>
      <c r="D110" s="13">
        <v>0.35347222222222219</v>
      </c>
      <c r="E110" s="81"/>
      <c r="F110" s="4">
        <v>15</v>
      </c>
      <c r="G110" s="4" t="s">
        <v>62</v>
      </c>
      <c r="H110" s="4">
        <v>14</v>
      </c>
      <c r="I110" s="8"/>
      <c r="J110" s="4">
        <f>+Harvest!J110/Effort!J110</f>
        <v>13.785714285714299</v>
      </c>
      <c r="K110" s="8"/>
      <c r="L110" s="9" t="s">
        <v>10</v>
      </c>
      <c r="M110" s="8"/>
      <c r="N110" s="9" t="s">
        <v>10</v>
      </c>
      <c r="O110" s="4">
        <f>+Harvest!O110/Effort!O110</f>
        <v>14.119787256211973</v>
      </c>
    </row>
    <row r="111" spans="1:15" x14ac:dyDescent="0.25">
      <c r="A111" s="82">
        <v>45009</v>
      </c>
      <c r="B111" s="8" t="s">
        <v>18</v>
      </c>
      <c r="C111" s="8">
        <v>-0.4</v>
      </c>
      <c r="D111" s="13">
        <v>0.3840277777777778</v>
      </c>
      <c r="E111" s="81" t="s">
        <v>62</v>
      </c>
      <c r="F111" s="4">
        <v>10.5</v>
      </c>
      <c r="G111" s="4"/>
      <c r="H111" s="4">
        <f>+Harvest!H111/Effort!H111</f>
        <v>10.410256410256409</v>
      </c>
      <c r="I111" s="8"/>
      <c r="J111" s="9" t="s">
        <v>10</v>
      </c>
      <c r="K111" s="8"/>
      <c r="L111" s="4">
        <f>+Harvest!L111/Effort!L111</f>
        <v>10.909090909090875</v>
      </c>
      <c r="M111" s="8"/>
      <c r="N111" s="9" t="s">
        <v>10</v>
      </c>
      <c r="O111" s="4">
        <f>+Harvest!O111/Effort!O111</f>
        <v>10.645142990186338</v>
      </c>
    </row>
    <row r="112" spans="1:15" x14ac:dyDescent="0.25">
      <c r="A112" s="82">
        <v>45010</v>
      </c>
      <c r="B112" s="8" t="s">
        <v>19</v>
      </c>
      <c r="C112" s="8">
        <v>-0.2</v>
      </c>
      <c r="D112" s="13">
        <v>0.4145833333333333</v>
      </c>
      <c r="E112" s="81" t="s">
        <v>62</v>
      </c>
      <c r="F112" s="4">
        <v>12.5</v>
      </c>
      <c r="G112" s="4"/>
      <c r="H112" s="4">
        <f>+Harvest!H112/Effort!H112</f>
        <v>14.124999999999995</v>
      </c>
      <c r="I112" s="8"/>
      <c r="J112" s="4">
        <f>+Harvest!J112/Effort!J112</f>
        <v>14.511111111111113</v>
      </c>
      <c r="K112" s="8"/>
      <c r="L112" s="9" t="s">
        <v>10</v>
      </c>
      <c r="M112" s="8"/>
      <c r="N112" s="9" t="s">
        <v>10</v>
      </c>
      <c r="O112" s="4">
        <f>+Harvest!O112/Effort!O112</f>
        <v>13.776658582070414</v>
      </c>
    </row>
    <row r="113" spans="1:15" x14ac:dyDescent="0.25">
      <c r="A113" s="82">
        <v>45011</v>
      </c>
      <c r="B113" s="8" t="s">
        <v>20</v>
      </c>
      <c r="C113" s="8">
        <v>0.2</v>
      </c>
      <c r="D113" s="13">
        <v>0.44722222222222219</v>
      </c>
      <c r="E113" s="81"/>
      <c r="F113" s="4">
        <v>12.5</v>
      </c>
      <c r="G113" s="4" t="s">
        <v>62</v>
      </c>
      <c r="H113" s="4">
        <v>12.5</v>
      </c>
      <c r="I113" s="8"/>
      <c r="J113" s="9" t="s">
        <v>10</v>
      </c>
      <c r="K113" s="8"/>
      <c r="L113" s="4">
        <f>+Harvest!L113/Effort!L113</f>
        <v>12.377358490566017</v>
      </c>
      <c r="M113" s="8"/>
      <c r="N113" s="9" t="s">
        <v>10</v>
      </c>
      <c r="O113" s="4">
        <f>+Harvest!O113/Effort!O113</f>
        <v>12.449781757136288</v>
      </c>
    </row>
    <row r="114" spans="1:15" x14ac:dyDescent="0.25">
      <c r="A114" s="82"/>
      <c r="B114" s="8"/>
      <c r="C114" s="8"/>
      <c r="D114" s="13"/>
      <c r="E114" s="81"/>
      <c r="F114" s="9"/>
      <c r="G114" s="8"/>
      <c r="H114" s="9"/>
      <c r="I114" s="8"/>
      <c r="J114" s="9"/>
      <c r="K114" s="8"/>
      <c r="L114" s="9"/>
      <c r="M114" s="8"/>
      <c r="N114" s="9"/>
      <c r="O114" s="4"/>
    </row>
    <row r="115" spans="1:15" x14ac:dyDescent="0.25">
      <c r="A115" s="82">
        <v>45022</v>
      </c>
      <c r="B115" s="8" t="s">
        <v>24</v>
      </c>
      <c r="C115" s="8">
        <v>0.3</v>
      </c>
      <c r="D115" s="13">
        <v>0.31527777777777777</v>
      </c>
      <c r="E115" s="81" t="s">
        <v>62</v>
      </c>
      <c r="F115" s="4">
        <v>17.5</v>
      </c>
      <c r="G115" s="4" t="s">
        <v>62</v>
      </c>
      <c r="H115" s="4">
        <v>17.5</v>
      </c>
      <c r="I115" s="8"/>
      <c r="J115" s="9" t="s">
        <v>10</v>
      </c>
      <c r="K115" s="8"/>
      <c r="L115" s="4">
        <f>+Harvest!L115/Effort!L115</f>
        <v>17.421052631578977</v>
      </c>
      <c r="M115" s="8"/>
      <c r="N115" s="9" t="s">
        <v>10</v>
      </c>
      <c r="O115" s="4">
        <f>+Harvest!O115/Effort!O115</f>
        <v>17.477157022354653</v>
      </c>
    </row>
    <row r="116" spans="1:15" x14ac:dyDescent="0.25">
      <c r="A116" s="82">
        <v>45023</v>
      </c>
      <c r="B116" s="8" t="s">
        <v>18</v>
      </c>
      <c r="C116" s="8">
        <v>-0.1</v>
      </c>
      <c r="D116" s="13">
        <v>0.34027777777777773</v>
      </c>
      <c r="E116" s="81"/>
      <c r="F116" s="4">
        <v>18</v>
      </c>
      <c r="G116" s="4"/>
      <c r="H116" s="4">
        <f>+Harvest!H116/Effort!H116</f>
        <v>17.677966101694906</v>
      </c>
      <c r="I116" s="8"/>
      <c r="J116" s="4">
        <f>+Harvest!J116/Effort!J116</f>
        <v>17.691176470588285</v>
      </c>
      <c r="K116" s="8"/>
      <c r="L116" s="9" t="s">
        <v>10</v>
      </c>
      <c r="M116" s="8"/>
      <c r="N116" s="9" t="s">
        <v>10</v>
      </c>
      <c r="O116" s="4">
        <f>+Harvest!O116/Effort!O116</f>
        <v>17.813365706819713</v>
      </c>
    </row>
    <row r="117" spans="1:15" x14ac:dyDescent="0.25">
      <c r="A117" s="82">
        <v>45024</v>
      </c>
      <c r="B117" s="8" t="s">
        <v>19</v>
      </c>
      <c r="C117" s="8">
        <v>-0.3</v>
      </c>
      <c r="D117" s="13">
        <v>0.3666666666666667</v>
      </c>
      <c r="E117" s="81"/>
      <c r="F117" s="4">
        <f>+Harvest!F117/Effort!F117</f>
        <v>12.345179113849905</v>
      </c>
      <c r="G117" s="4" t="s">
        <v>62</v>
      </c>
      <c r="H117" s="4">
        <v>15</v>
      </c>
      <c r="I117" s="8"/>
      <c r="J117" s="9" t="s">
        <v>10</v>
      </c>
      <c r="K117" s="8"/>
      <c r="L117" s="4">
        <f>+Harvest!L117/Effort!L117</f>
        <v>16.577777777777801</v>
      </c>
      <c r="M117" s="8"/>
      <c r="N117" s="9" t="s">
        <v>10</v>
      </c>
      <c r="O117" s="4">
        <f>+Harvest!O117/Effort!O117</f>
        <v>14.288336456363984</v>
      </c>
    </row>
    <row r="118" spans="1:15" x14ac:dyDescent="0.25">
      <c r="A118" s="82">
        <v>45025</v>
      </c>
      <c r="B118" s="8" t="s">
        <v>20</v>
      </c>
      <c r="C118" s="8">
        <v>-0.4</v>
      </c>
      <c r="D118" s="13">
        <v>0.39513888888888887</v>
      </c>
      <c r="E118" s="81" t="s">
        <v>62</v>
      </c>
      <c r="F118" s="4">
        <v>7.5</v>
      </c>
      <c r="G118" s="4"/>
      <c r="H118" s="4">
        <f>+Harvest!H118/Effort!H118</f>
        <v>5.6349206349206247</v>
      </c>
      <c r="I118" s="8"/>
      <c r="J118" s="4">
        <f>+Harvest!J118/Effort!J118</f>
        <v>8.2352941176470544</v>
      </c>
      <c r="K118" s="8"/>
      <c r="L118" s="9" t="s">
        <v>10</v>
      </c>
      <c r="M118" s="8"/>
      <c r="N118" s="9" t="s">
        <v>10</v>
      </c>
      <c r="O118" s="4">
        <f>+Harvest!O118/Effort!O118</f>
        <v>7.3620300138774777</v>
      </c>
    </row>
    <row r="119" spans="1:15" x14ac:dyDescent="0.25">
      <c r="A119" s="82">
        <v>45026</v>
      </c>
      <c r="B119" s="8" t="s">
        <v>21</v>
      </c>
      <c r="C119" s="8">
        <v>-0.4</v>
      </c>
      <c r="D119" s="13">
        <v>0.42708333333333331</v>
      </c>
      <c r="E119" s="81" t="s">
        <v>62</v>
      </c>
      <c r="F119" s="4">
        <v>16</v>
      </c>
      <c r="G119" s="4"/>
      <c r="H119" s="4">
        <f>+Harvest!H119/Effort!H119</f>
        <v>15.800000000000109</v>
      </c>
      <c r="I119" s="8"/>
      <c r="J119" s="9" t="s">
        <v>10</v>
      </c>
      <c r="K119" s="8"/>
      <c r="L119" s="4">
        <f>+Harvest!L119/Effort!L119</f>
        <v>15.633333333333313</v>
      </c>
      <c r="M119" s="8"/>
      <c r="N119" s="9" t="s">
        <v>10</v>
      </c>
      <c r="O119" s="4">
        <f>+Harvest!O119/Effort!O119</f>
        <v>15.839780719241158</v>
      </c>
    </row>
    <row r="120" spans="1:15" x14ac:dyDescent="0.25">
      <c r="A120" s="82">
        <v>45027</v>
      </c>
      <c r="B120" s="8" t="s">
        <v>22</v>
      </c>
      <c r="C120" s="8">
        <v>-0.2</v>
      </c>
      <c r="D120" s="13">
        <v>0.46458333333333335</v>
      </c>
      <c r="E120" s="81"/>
      <c r="F120" s="4">
        <v>17</v>
      </c>
      <c r="G120" s="4" t="s">
        <v>62</v>
      </c>
      <c r="H120" s="4">
        <v>17</v>
      </c>
      <c r="I120" s="8"/>
      <c r="J120" s="4">
        <f>+Harvest!J120/Effort!J120</f>
        <v>16.888888888888907</v>
      </c>
      <c r="K120" s="8"/>
      <c r="L120" s="9" t="s">
        <v>10</v>
      </c>
      <c r="M120" s="8"/>
      <c r="N120" s="9" t="s">
        <v>10</v>
      </c>
      <c r="O120" s="4">
        <f>+Harvest!O120/Effort!O120</f>
        <v>16.95480843856166</v>
      </c>
    </row>
    <row r="121" spans="1:15" x14ac:dyDescent="0.25">
      <c r="A121" s="82">
        <v>45028</v>
      </c>
      <c r="B121" s="8" t="s">
        <v>23</v>
      </c>
      <c r="C121" s="8">
        <v>0.1</v>
      </c>
      <c r="D121" s="13">
        <v>0.5083333333333333</v>
      </c>
      <c r="E121" s="81" t="s">
        <v>62</v>
      </c>
      <c r="F121" s="4">
        <v>16.5</v>
      </c>
      <c r="G121" s="4" t="s">
        <v>62</v>
      </c>
      <c r="H121" s="4">
        <v>16.5</v>
      </c>
      <c r="I121" s="8"/>
      <c r="J121" s="9" t="s">
        <v>10</v>
      </c>
      <c r="K121" s="8"/>
      <c r="L121" s="4">
        <f>+Harvest!L121/Effort!L121</f>
        <v>16.45945945945946</v>
      </c>
      <c r="M121" s="8"/>
      <c r="N121" s="9" t="s">
        <v>10</v>
      </c>
      <c r="O121" s="4">
        <f>+Harvest!O121/Effort!O121</f>
        <v>16.488269822290221</v>
      </c>
    </row>
    <row r="122" spans="1:15" x14ac:dyDescent="0.25">
      <c r="A122" s="82"/>
      <c r="B122" s="8"/>
      <c r="C122" s="8"/>
      <c r="D122" s="13"/>
      <c r="E122" s="81"/>
      <c r="F122" s="9"/>
      <c r="G122" s="8"/>
      <c r="H122" s="9"/>
      <c r="I122" s="8"/>
      <c r="J122" s="9"/>
      <c r="K122" s="8"/>
      <c r="L122" s="9"/>
      <c r="M122" s="8"/>
      <c r="N122" s="9"/>
      <c r="O122" s="4"/>
    </row>
    <row r="123" spans="1:15" x14ac:dyDescent="0.25">
      <c r="A123" s="82">
        <v>45035</v>
      </c>
      <c r="B123" s="8" t="s">
        <v>23</v>
      </c>
      <c r="C123" s="8">
        <v>-0.4</v>
      </c>
      <c r="D123" s="13">
        <v>0.28055555555555556</v>
      </c>
      <c r="E123" s="81" t="s">
        <v>62</v>
      </c>
      <c r="F123" s="4">
        <v>13.5</v>
      </c>
      <c r="G123" s="8" t="s">
        <v>62</v>
      </c>
      <c r="H123" s="4">
        <v>13.5</v>
      </c>
      <c r="I123" s="8"/>
      <c r="J123" s="9" t="s">
        <v>10</v>
      </c>
      <c r="K123" s="8"/>
      <c r="L123" s="4">
        <f>+Harvest!L123/Effort!L123</f>
        <v>13.500000000000021</v>
      </c>
      <c r="M123" s="8"/>
      <c r="N123" s="9" t="s">
        <v>10</v>
      </c>
      <c r="O123" s="4">
        <f>+Harvest!O123/Effort!O123</f>
        <v>13.500000000000007</v>
      </c>
    </row>
    <row r="124" spans="1:15" x14ac:dyDescent="0.25">
      <c r="A124" s="82">
        <v>45036</v>
      </c>
      <c r="B124" s="8" t="s">
        <v>24</v>
      </c>
      <c r="C124" s="8">
        <v>-0.9</v>
      </c>
      <c r="D124" s="13">
        <v>0.31111111111111112</v>
      </c>
      <c r="E124" s="81" t="s">
        <v>62</v>
      </c>
      <c r="F124" s="4">
        <v>19</v>
      </c>
      <c r="G124" s="8" t="s">
        <v>62</v>
      </c>
      <c r="H124" s="4">
        <v>19</v>
      </c>
      <c r="I124" s="8"/>
      <c r="J124" s="4">
        <f>+Harvest!J124/Effort!J124</f>
        <v>18.945454545454513</v>
      </c>
      <c r="K124" s="8"/>
      <c r="L124" s="9" t="s">
        <v>10</v>
      </c>
      <c r="M124" s="8"/>
      <c r="N124" s="9" t="s">
        <v>10</v>
      </c>
      <c r="O124" s="4">
        <f>+Harvest!O124/Effort!O124</f>
        <v>18.981650488341458</v>
      </c>
    </row>
    <row r="125" spans="1:15" x14ac:dyDescent="0.25">
      <c r="A125" s="82">
        <v>45037</v>
      </c>
      <c r="B125" s="8" t="s">
        <v>18</v>
      </c>
      <c r="C125" s="8">
        <v>-1.2</v>
      </c>
      <c r="D125" s="13">
        <v>0.33958333333333335</v>
      </c>
      <c r="E125" s="81" t="s">
        <v>62</v>
      </c>
      <c r="F125" s="4">
        <v>16</v>
      </c>
      <c r="G125" s="8"/>
      <c r="H125" s="4">
        <f>+Harvest!H125/Effort!H125</f>
        <v>15.760869565217385</v>
      </c>
      <c r="I125" s="8"/>
      <c r="J125" s="9" t="s">
        <v>10</v>
      </c>
      <c r="K125" s="8"/>
      <c r="L125" s="4">
        <f>+Harvest!L125/Effort!L125</f>
        <v>18.707547169811317</v>
      </c>
      <c r="M125" s="8"/>
      <c r="N125" s="9" t="s">
        <v>10</v>
      </c>
      <c r="O125" s="4">
        <f>+Harvest!O125/Effort!O125</f>
        <v>16.750979567944288</v>
      </c>
    </row>
    <row r="126" spans="1:15" x14ac:dyDescent="0.25">
      <c r="A126" s="82">
        <v>45038</v>
      </c>
      <c r="B126" s="8" t="s">
        <v>19</v>
      </c>
      <c r="C126" s="8">
        <v>-1.1000000000000001</v>
      </c>
      <c r="D126" s="13">
        <v>0.36805555555555558</v>
      </c>
      <c r="E126" s="81"/>
      <c r="F126" s="4">
        <v>19.600000000000001</v>
      </c>
      <c r="G126" s="8"/>
      <c r="H126" s="4">
        <f>+Harvest!H126/Effort!H126</f>
        <v>19.927536231884048</v>
      </c>
      <c r="I126" s="8"/>
      <c r="J126" s="4">
        <f>+Harvest!J126/Effort!J126</f>
        <v>19.418918918918941</v>
      </c>
      <c r="K126" s="8"/>
      <c r="L126" s="9" t="s">
        <v>10</v>
      </c>
      <c r="M126" s="8"/>
      <c r="N126" s="9" t="s">
        <v>10</v>
      </c>
      <c r="O126" s="4">
        <f>+Harvest!O126/Effort!O126</f>
        <v>19.617155955006091</v>
      </c>
    </row>
    <row r="127" spans="1:15" x14ac:dyDescent="0.25">
      <c r="A127" s="82">
        <v>45039</v>
      </c>
      <c r="B127" s="8" t="s">
        <v>20</v>
      </c>
      <c r="C127" s="8">
        <v>-0.8</v>
      </c>
      <c r="D127" s="13">
        <v>0.39652777777777781</v>
      </c>
      <c r="E127" s="81"/>
      <c r="F127" s="4">
        <v>16.3</v>
      </c>
      <c r="G127" s="8"/>
      <c r="H127" s="4">
        <f>+Harvest!H127/Effort!H127</f>
        <v>13.913793103448276</v>
      </c>
      <c r="I127" s="8"/>
      <c r="J127" s="9" t="s">
        <v>10</v>
      </c>
      <c r="K127" s="8"/>
      <c r="L127" s="4">
        <f>+Harvest!L127/Effort!L127</f>
        <v>18.315789473684202</v>
      </c>
      <c r="M127" s="8"/>
      <c r="N127" s="9" t="s">
        <v>10</v>
      </c>
      <c r="O127" s="4">
        <f>+Harvest!O127/Effort!O127</f>
        <v>16.331620128652542</v>
      </c>
    </row>
    <row r="128" spans="1:15" x14ac:dyDescent="0.25">
      <c r="A128" s="82">
        <v>45040</v>
      </c>
      <c r="B128" s="8" t="s">
        <v>21</v>
      </c>
      <c r="C128" s="8">
        <v>-0.4</v>
      </c>
      <c r="D128" s="13">
        <v>0.42638888888888887</v>
      </c>
      <c r="E128" s="81"/>
      <c r="F128" s="4">
        <v>12.5</v>
      </c>
      <c r="G128" s="8" t="s">
        <v>62</v>
      </c>
      <c r="H128" s="4">
        <v>16</v>
      </c>
      <c r="I128" s="8"/>
      <c r="J128" s="4">
        <f>+Harvest!J128/Effort!J128</f>
        <v>19.33333333333335</v>
      </c>
      <c r="K128" s="8"/>
      <c r="L128" s="9" t="s">
        <v>10</v>
      </c>
      <c r="M128" s="8"/>
      <c r="N128" s="9" t="s">
        <v>10</v>
      </c>
      <c r="O128" s="4">
        <f>+Harvest!O128/Effort!O128</f>
        <v>15.381906351017431</v>
      </c>
    </row>
    <row r="129" spans="1:15" x14ac:dyDescent="0.25">
      <c r="A129" s="82">
        <v>45041</v>
      </c>
      <c r="B129" s="8" t="s">
        <v>22</v>
      </c>
      <c r="C129" s="8">
        <v>0.1</v>
      </c>
      <c r="D129" s="13">
        <v>0.45902777777777781</v>
      </c>
      <c r="E129" s="81" t="s">
        <v>62</v>
      </c>
      <c r="F129" s="4">
        <v>19.5</v>
      </c>
      <c r="G129" s="8"/>
      <c r="H129" s="4">
        <f>+Harvest!H129/Effort!H129</f>
        <v>19.488888888888898</v>
      </c>
      <c r="I129" s="8"/>
      <c r="J129" s="9" t="s">
        <v>10</v>
      </c>
      <c r="K129" s="8"/>
      <c r="L129" s="4">
        <f>+Harvest!L129/Effort!L129</f>
        <v>19.99999999999994</v>
      </c>
      <c r="M129" s="8"/>
      <c r="N129" s="9" t="s">
        <v>10</v>
      </c>
      <c r="O129" s="4">
        <f>+Harvest!O129/Effort!O129</f>
        <v>19.60866336763813</v>
      </c>
    </row>
    <row r="130" spans="1:15" x14ac:dyDescent="0.25">
      <c r="A130" s="82"/>
      <c r="B130" s="8"/>
      <c r="C130" s="8"/>
      <c r="D130" s="13"/>
      <c r="E130" s="81"/>
      <c r="F130" s="9"/>
      <c r="G130" s="8"/>
      <c r="H130" s="9"/>
      <c r="I130" s="8"/>
      <c r="J130" s="9"/>
      <c r="K130" s="8"/>
      <c r="L130" s="9"/>
      <c r="M130" s="8"/>
      <c r="N130" s="9"/>
      <c r="O130" s="9"/>
    </row>
    <row r="131" spans="1:15" ht="14.1" customHeight="1" x14ac:dyDescent="0.25">
      <c r="A131" s="18" t="s">
        <v>25</v>
      </c>
      <c r="C131" s="8"/>
      <c r="D131" s="8"/>
      <c r="E131" s="6"/>
      <c r="F131" s="4">
        <f>Harvest!F131/Effort!F131</f>
        <v>14.875568993419423</v>
      </c>
      <c r="G131" s="21"/>
      <c r="H131" s="4">
        <f>Harvest!H131/Effort!H131</f>
        <v>14.843184136201488</v>
      </c>
      <c r="I131" s="21"/>
      <c r="J131" s="4">
        <f>Harvest!J131/Effort!J131</f>
        <v>13.940221412939785</v>
      </c>
      <c r="K131" s="21"/>
      <c r="L131" s="4">
        <f>Harvest!L131/Effort!L131</f>
        <v>14.64110410616099</v>
      </c>
      <c r="N131" s="50">
        <v>0</v>
      </c>
      <c r="O131" s="4">
        <f>+Harvest!O131/Effort!O131</f>
        <v>14.575624556043071</v>
      </c>
    </row>
    <row r="132" spans="1:15" ht="14.1" customHeight="1" x14ac:dyDescent="0.25">
      <c r="A132" s="19" t="s">
        <v>16</v>
      </c>
      <c r="C132" s="8"/>
      <c r="D132" s="8"/>
      <c r="E132" s="6"/>
      <c r="F132" s="21"/>
    </row>
    <row r="133" spans="1:15" ht="14.1" customHeight="1" x14ac:dyDescent="0.25">
      <c r="A133" s="11" t="s">
        <v>17</v>
      </c>
      <c r="C133" s="8"/>
      <c r="D133" s="8"/>
      <c r="E133" s="6"/>
      <c r="F133" s="21"/>
    </row>
    <row r="134" spans="1:15" ht="14.1" customHeight="1" x14ac:dyDescent="0.25"/>
    <row r="135" spans="1:15" ht="14.1" customHeight="1" x14ac:dyDescent="0.25"/>
    <row r="136" spans="1:15" ht="14.1" customHeight="1" x14ac:dyDescent="0.25"/>
    <row r="137" spans="1:15" ht="14.1" customHeight="1" x14ac:dyDescent="0.25"/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39"/>
  <sheetViews>
    <sheetView topLeftCell="A106" zoomScale="90" zoomScaleNormal="90" workbookViewId="0">
      <selection activeCell="G127" sqref="G127"/>
    </sheetView>
  </sheetViews>
  <sheetFormatPr defaultRowHeight="15" x14ac:dyDescent="0.25"/>
  <cols>
    <col min="1" max="1" width="8.7109375" customWidth="1"/>
    <col min="20" max="20" width="10.85546875" style="20" customWidth="1"/>
    <col min="24" max="24" width="9.85546875" customWidth="1"/>
  </cols>
  <sheetData>
    <row r="1" spans="1:24" ht="15.75" thickBot="1" x14ac:dyDescent="0.3">
      <c r="A1" s="34" t="s">
        <v>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45"/>
      <c r="U1" s="34"/>
      <c r="V1" s="98"/>
    </row>
    <row r="2" spans="1:24" ht="15.75" thickTop="1" x14ac:dyDescent="0.25">
      <c r="A2" s="35"/>
      <c r="B2" s="35"/>
      <c r="C2" s="35"/>
      <c r="D2" s="35"/>
      <c r="E2" s="121" t="s">
        <v>45</v>
      </c>
      <c r="F2" s="122"/>
      <c r="G2" s="123"/>
      <c r="H2" s="121" t="s">
        <v>46</v>
      </c>
      <c r="I2" s="122"/>
      <c r="J2" s="123"/>
      <c r="K2" s="121" t="s">
        <v>47</v>
      </c>
      <c r="L2" s="122"/>
      <c r="M2" s="123"/>
      <c r="N2" s="121" t="s">
        <v>48</v>
      </c>
      <c r="O2" s="122"/>
      <c r="P2" s="123"/>
      <c r="Q2" s="124" t="s">
        <v>49</v>
      </c>
      <c r="R2" s="125"/>
      <c r="S2" s="126"/>
      <c r="T2" s="119" t="s">
        <v>52</v>
      </c>
      <c r="U2" s="120"/>
      <c r="V2" s="42"/>
      <c r="W2" s="8" t="s">
        <v>65</v>
      </c>
      <c r="X2" s="8" t="s">
        <v>66</v>
      </c>
    </row>
    <row r="3" spans="1:24" ht="15.75" thickBot="1" x14ac:dyDescent="0.3">
      <c r="A3" s="36" t="s">
        <v>53</v>
      </c>
      <c r="B3" s="36" t="s">
        <v>54</v>
      </c>
      <c r="C3" s="36" t="s">
        <v>55</v>
      </c>
      <c r="D3" s="36" t="s">
        <v>56</v>
      </c>
      <c r="E3" s="37" t="s">
        <v>27</v>
      </c>
      <c r="F3" s="36" t="s">
        <v>28</v>
      </c>
      <c r="G3" s="36" t="s">
        <v>29</v>
      </c>
      <c r="H3" s="37" t="s">
        <v>27</v>
      </c>
      <c r="I3" s="36" t="s">
        <v>28</v>
      </c>
      <c r="J3" s="36" t="s">
        <v>29</v>
      </c>
      <c r="K3" s="37" t="s">
        <v>27</v>
      </c>
      <c r="L3" s="36" t="s">
        <v>28</v>
      </c>
      <c r="M3" s="36" t="s">
        <v>29</v>
      </c>
      <c r="N3" s="37" t="s">
        <v>27</v>
      </c>
      <c r="O3" s="36" t="s">
        <v>28</v>
      </c>
      <c r="P3" s="36" t="s">
        <v>29</v>
      </c>
      <c r="Q3" s="37" t="s">
        <v>27</v>
      </c>
      <c r="R3" s="36" t="s">
        <v>28</v>
      </c>
      <c r="S3" s="36" t="s">
        <v>29</v>
      </c>
      <c r="T3" s="46" t="s">
        <v>27</v>
      </c>
      <c r="U3" s="38" t="s">
        <v>28</v>
      </c>
      <c r="V3" s="42"/>
    </row>
    <row r="4" spans="1:24" ht="15.75" thickTop="1" x14ac:dyDescent="0.25">
      <c r="A4" s="39">
        <v>44826</v>
      </c>
      <c r="B4" s="40" t="s">
        <v>24</v>
      </c>
      <c r="C4" s="8">
        <v>0.4</v>
      </c>
      <c r="D4" s="13">
        <v>0.21041666666666667</v>
      </c>
      <c r="E4" s="41" t="str">
        <f>Effort!F2</f>
        <v>CLOSED</v>
      </c>
      <c r="F4" s="42" t="str">
        <f>Harvest!F2</f>
        <v>CLOSED</v>
      </c>
      <c r="G4" s="43" t="str">
        <f>+CPUE!F2</f>
        <v>CLOSED</v>
      </c>
      <c r="H4" s="41" t="str">
        <f>Effort!H2</f>
        <v>CLOSED</v>
      </c>
      <c r="I4" s="42" t="str">
        <f>Harvest!H2</f>
        <v>CLOSED</v>
      </c>
      <c r="J4" s="43" t="str">
        <f>CPUE!H2</f>
        <v>CLOSED</v>
      </c>
      <c r="K4" s="41" t="str">
        <f>Effort!J2</f>
        <v>CLOSED</v>
      </c>
      <c r="L4" s="42" t="str">
        <f>Harvest!J2</f>
        <v>CLOSED</v>
      </c>
      <c r="M4" s="43" t="str">
        <f>CPUE!J2</f>
        <v>CLOSED</v>
      </c>
      <c r="N4" s="41" t="str">
        <f>Effort!L2</f>
        <v>CLOSED</v>
      </c>
      <c r="O4" s="42" t="str">
        <f>Harvest!L2</f>
        <v>CLOSED</v>
      </c>
      <c r="P4" s="43" t="str">
        <f>CPUE!L2</f>
        <v>CLOSED</v>
      </c>
      <c r="Q4" s="41" t="s">
        <v>10</v>
      </c>
      <c r="R4" s="42" t="s">
        <v>10</v>
      </c>
      <c r="S4" s="44" t="s">
        <v>10</v>
      </c>
      <c r="T4" s="41">
        <v>0</v>
      </c>
      <c r="U4" s="42">
        <v>0</v>
      </c>
      <c r="V4" s="42"/>
    </row>
    <row r="5" spans="1:24" x14ac:dyDescent="0.25">
      <c r="A5" s="39">
        <v>44827</v>
      </c>
      <c r="B5" s="40" t="s">
        <v>18</v>
      </c>
      <c r="C5" s="8">
        <v>0.1</v>
      </c>
      <c r="D5" s="13">
        <v>0.23680555555555557</v>
      </c>
      <c r="E5" s="41" t="str">
        <f>Effort!F3</f>
        <v>CLOSED</v>
      </c>
      <c r="F5" s="42" t="str">
        <f>Harvest!F3</f>
        <v>CLOSED</v>
      </c>
      <c r="G5" s="43" t="str">
        <f>+CPUE!F3</f>
        <v>CLOSED</v>
      </c>
      <c r="H5" s="41" t="str">
        <f>Effort!H3</f>
        <v>CLOSED</v>
      </c>
      <c r="I5" s="42" t="str">
        <f>Harvest!H3</f>
        <v>CLOSED</v>
      </c>
      <c r="J5" s="43" t="str">
        <f>CPUE!H3</f>
        <v>CLOSED</v>
      </c>
      <c r="K5" s="41" t="str">
        <f>Effort!J3</f>
        <v>CLOSED</v>
      </c>
      <c r="L5" s="42" t="str">
        <f>Harvest!J3</f>
        <v>CLOSED</v>
      </c>
      <c r="M5" s="43" t="str">
        <f>CPUE!J3</f>
        <v>CLOSED</v>
      </c>
      <c r="N5" s="41" t="str">
        <f>Effort!L3</f>
        <v>CLOSED</v>
      </c>
      <c r="O5" s="42" t="str">
        <f>Harvest!L3</f>
        <v>CLOSED</v>
      </c>
      <c r="P5" s="43" t="str">
        <f>CPUE!L3</f>
        <v>CLOSED</v>
      </c>
      <c r="Q5" s="41" t="s">
        <v>10</v>
      </c>
      <c r="R5" s="42" t="s">
        <v>10</v>
      </c>
      <c r="S5" s="44" t="s">
        <v>10</v>
      </c>
      <c r="T5" s="41">
        <v>0</v>
      </c>
      <c r="U5" s="42">
        <v>0</v>
      </c>
      <c r="V5" s="42"/>
    </row>
    <row r="6" spans="1:24" x14ac:dyDescent="0.25">
      <c r="A6" s="39">
        <v>44828</v>
      </c>
      <c r="B6" s="40" t="s">
        <v>19</v>
      </c>
      <c r="C6" s="8">
        <v>0</v>
      </c>
      <c r="D6" s="13">
        <v>0.26041666666666669</v>
      </c>
      <c r="E6" s="41" t="str">
        <f>Effort!F4</f>
        <v>CLOSED</v>
      </c>
      <c r="F6" s="42" t="str">
        <f>Harvest!F4</f>
        <v>CLOSED</v>
      </c>
      <c r="G6" s="43" t="str">
        <f>+CPUE!F4</f>
        <v>CLOSED</v>
      </c>
      <c r="H6" s="41" t="str">
        <f>Effort!H4</f>
        <v>CLOSED</v>
      </c>
      <c r="I6" s="42" t="str">
        <f>Harvest!H4</f>
        <v>CLOSED</v>
      </c>
      <c r="J6" s="43" t="str">
        <f>CPUE!H4</f>
        <v>CLOSED</v>
      </c>
      <c r="K6" s="41" t="str">
        <f>Effort!J4</f>
        <v>CLOSED</v>
      </c>
      <c r="L6" s="42" t="str">
        <f>Harvest!J4</f>
        <v>CLOSED</v>
      </c>
      <c r="M6" s="43" t="str">
        <f>CPUE!J4</f>
        <v>CLOSED</v>
      </c>
      <c r="N6" s="41" t="str">
        <f>Effort!L4</f>
        <v>CLOSED</v>
      </c>
      <c r="O6" s="42" t="str">
        <f>Harvest!L4</f>
        <v>CLOSED</v>
      </c>
      <c r="P6" s="43" t="str">
        <f>CPUE!L4</f>
        <v>CLOSED</v>
      </c>
      <c r="Q6" s="41" t="s">
        <v>10</v>
      </c>
      <c r="R6" s="42" t="s">
        <v>10</v>
      </c>
      <c r="S6" s="44" t="s">
        <v>10</v>
      </c>
      <c r="T6" s="41">
        <v>0</v>
      </c>
      <c r="U6" s="42">
        <v>0</v>
      </c>
      <c r="V6" s="42"/>
    </row>
    <row r="7" spans="1:24" x14ac:dyDescent="0.25">
      <c r="A7" s="39">
        <v>44829</v>
      </c>
      <c r="B7" s="40" t="s">
        <v>20</v>
      </c>
      <c r="C7" s="8">
        <v>0.1</v>
      </c>
      <c r="D7" s="13">
        <v>0.28333333333333333</v>
      </c>
      <c r="E7" s="41" t="str">
        <f>Effort!F5</f>
        <v>CLOSED</v>
      </c>
      <c r="F7" s="42" t="str">
        <f>Harvest!F5</f>
        <v>CLOSED</v>
      </c>
      <c r="G7" s="43" t="str">
        <f>+CPUE!F5</f>
        <v>CLOSED</v>
      </c>
      <c r="H7" s="41" t="str">
        <f>Effort!H5</f>
        <v>CLOSED</v>
      </c>
      <c r="I7" s="42" t="str">
        <f>Harvest!H5</f>
        <v>CLOSED</v>
      </c>
      <c r="J7" s="43" t="str">
        <f>CPUE!H5</f>
        <v>CLOSED</v>
      </c>
      <c r="K7" s="41" t="str">
        <f>Effort!J5</f>
        <v>CLOSED</v>
      </c>
      <c r="L7" s="42" t="str">
        <f>Harvest!J5</f>
        <v>CLOSED</v>
      </c>
      <c r="M7" s="43" t="str">
        <f>CPUE!J5</f>
        <v>CLOSED</v>
      </c>
      <c r="N7" s="41" t="str">
        <f>Effort!L5</f>
        <v>CLOSED</v>
      </c>
      <c r="O7" s="42" t="str">
        <f>Harvest!L5</f>
        <v>CLOSED</v>
      </c>
      <c r="P7" s="43" t="str">
        <f>CPUE!L5</f>
        <v>CLOSED</v>
      </c>
      <c r="Q7" s="41" t="s">
        <v>10</v>
      </c>
      <c r="R7" s="42" t="s">
        <v>10</v>
      </c>
      <c r="S7" s="44" t="s">
        <v>10</v>
      </c>
      <c r="T7" s="41">
        <v>0</v>
      </c>
      <c r="U7" s="42">
        <v>0</v>
      </c>
      <c r="V7" s="42"/>
    </row>
    <row r="8" spans="1:24" x14ac:dyDescent="0.25">
      <c r="A8" s="39">
        <v>44830</v>
      </c>
      <c r="B8" s="40" t="s">
        <v>21</v>
      </c>
      <c r="C8" s="8">
        <v>0.3</v>
      </c>
      <c r="D8" s="13">
        <v>0.30486111111111108</v>
      </c>
      <c r="E8" s="41" t="str">
        <f>Effort!F6</f>
        <v>CLOSED</v>
      </c>
      <c r="F8" s="42" t="str">
        <f>Harvest!F6</f>
        <v>CLOSED</v>
      </c>
      <c r="G8" s="43" t="str">
        <f>+CPUE!F6</f>
        <v>CLOSED</v>
      </c>
      <c r="H8" s="41" t="str">
        <f>Effort!H6</f>
        <v>CLOSED</v>
      </c>
      <c r="I8" s="42" t="str">
        <f>Harvest!H6</f>
        <v>CLOSED</v>
      </c>
      <c r="J8" s="43" t="str">
        <f>CPUE!H6</f>
        <v>CLOSED</v>
      </c>
      <c r="K8" s="41" t="str">
        <f>Effort!J6</f>
        <v>CLOSED</v>
      </c>
      <c r="L8" s="42" t="str">
        <f>Harvest!J6</f>
        <v>CLOSED</v>
      </c>
      <c r="M8" s="43" t="str">
        <f>CPUE!J6</f>
        <v>CLOSED</v>
      </c>
      <c r="N8" s="41" t="str">
        <f>Effort!L6</f>
        <v>CLOSED</v>
      </c>
      <c r="O8" s="42" t="str">
        <f>Harvest!L6</f>
        <v>CLOSED</v>
      </c>
      <c r="P8" s="43" t="str">
        <f>CPUE!L6</f>
        <v>CLOSED</v>
      </c>
      <c r="Q8" s="41" t="s">
        <v>10</v>
      </c>
      <c r="R8" s="42" t="s">
        <v>10</v>
      </c>
      <c r="S8" s="44" t="s">
        <v>10</v>
      </c>
      <c r="T8" s="41">
        <v>0</v>
      </c>
      <c r="U8" s="42">
        <v>0</v>
      </c>
      <c r="V8" s="42"/>
    </row>
    <row r="9" spans="1:24" x14ac:dyDescent="0.25">
      <c r="A9" s="39">
        <v>44831</v>
      </c>
      <c r="B9" s="40" t="s">
        <v>22</v>
      </c>
      <c r="C9" s="8">
        <v>-0.1</v>
      </c>
      <c r="D9" s="13">
        <v>0.85</v>
      </c>
      <c r="E9" s="41" t="str">
        <f>Effort!F7</f>
        <v>CLOSED</v>
      </c>
      <c r="F9" s="42" t="str">
        <f>Harvest!F7</f>
        <v>CLOSED</v>
      </c>
      <c r="G9" s="43" t="str">
        <f>+CPUE!F7</f>
        <v>CLOSED</v>
      </c>
      <c r="H9" s="41" t="str">
        <f>Effort!H7</f>
        <v>CLOSED</v>
      </c>
      <c r="I9" s="42" t="str">
        <f>Harvest!H7</f>
        <v>CLOSED</v>
      </c>
      <c r="J9" s="43" t="str">
        <f>CPUE!H7</f>
        <v>CLOSED</v>
      </c>
      <c r="K9" s="41" t="str">
        <f>Effort!J7</f>
        <v>CLOSED</v>
      </c>
      <c r="L9" s="42" t="str">
        <f>Harvest!J7</f>
        <v>CLOSED</v>
      </c>
      <c r="M9" s="43" t="str">
        <f>CPUE!J7</f>
        <v>CLOSED</v>
      </c>
      <c r="N9" s="41" t="str">
        <f>Effort!L7</f>
        <v>CLOSED</v>
      </c>
      <c r="O9" s="42" t="str">
        <f>Harvest!L7</f>
        <v>CLOSED</v>
      </c>
      <c r="P9" s="43" t="str">
        <f>CPUE!L7</f>
        <v>CLOSED</v>
      </c>
      <c r="Q9" s="41" t="s">
        <v>10</v>
      </c>
      <c r="R9" s="42" t="s">
        <v>10</v>
      </c>
      <c r="S9" s="44" t="s">
        <v>10</v>
      </c>
      <c r="T9" s="41">
        <v>0</v>
      </c>
      <c r="U9" s="42">
        <v>0</v>
      </c>
      <c r="V9" s="42"/>
    </row>
    <row r="10" spans="1:24" x14ac:dyDescent="0.25">
      <c r="A10" s="39">
        <v>44832</v>
      </c>
      <c r="B10" s="40" t="s">
        <v>23</v>
      </c>
      <c r="C10" s="8">
        <v>-0.3</v>
      </c>
      <c r="D10" s="13">
        <v>0.87916666666666676</v>
      </c>
      <c r="E10" s="95">
        <f>Effort!F8</f>
        <v>199.38111968983611</v>
      </c>
      <c r="F10" s="96">
        <f>Harvest!F8</f>
        <v>996.90559844918062</v>
      </c>
      <c r="G10" s="97">
        <f>+CPUE!F8</f>
        <v>5</v>
      </c>
      <c r="H10" s="41">
        <f>Effort!H8</f>
        <v>194.83344696583575</v>
      </c>
      <c r="I10" s="42">
        <f>Harvest!H8</f>
        <v>1558.667575726686</v>
      </c>
      <c r="J10" s="43">
        <f>CPUE!H8</f>
        <v>8</v>
      </c>
      <c r="K10" s="95">
        <f>Effort!J8</f>
        <v>200.86580998773201</v>
      </c>
      <c r="L10" s="96">
        <f>Harvest!J8</f>
        <v>1767.6191278920501</v>
      </c>
      <c r="M10" s="97">
        <f>CPUE!J8</f>
        <v>8.8000000000000416</v>
      </c>
      <c r="N10" s="41" t="str">
        <f>Effort!L8</f>
        <v>CLOSED</v>
      </c>
      <c r="O10" s="42" t="str">
        <f>Harvest!L8</f>
        <v>CLOSED</v>
      </c>
      <c r="P10" s="43" t="str">
        <f>CPUE!L8</f>
        <v>CLOSED</v>
      </c>
      <c r="Q10" s="41" t="s">
        <v>10</v>
      </c>
      <c r="R10" s="42" t="s">
        <v>10</v>
      </c>
      <c r="S10" s="44" t="s">
        <v>10</v>
      </c>
      <c r="T10" s="41">
        <f>SUM(E10+H10+K10)</f>
        <v>595.08037664340395</v>
      </c>
      <c r="U10" s="42">
        <f>SUM(F10+I10+L10)</f>
        <v>4323.1923020679169</v>
      </c>
      <c r="V10" s="42"/>
    </row>
    <row r="11" spans="1:24" x14ac:dyDescent="0.25">
      <c r="A11" s="39">
        <v>44833</v>
      </c>
      <c r="B11" s="40" t="s">
        <v>24</v>
      </c>
      <c r="C11" s="8">
        <v>-0.4</v>
      </c>
      <c r="D11" s="13">
        <v>0.91041666666666676</v>
      </c>
      <c r="E11" s="95">
        <f>Effort!F9</f>
        <v>261.02620096544376</v>
      </c>
      <c r="F11" s="96">
        <f>Harvest!F9</f>
        <v>3915.3930144816563</v>
      </c>
      <c r="G11" s="97">
        <f>+CPUE!F9</f>
        <v>15</v>
      </c>
      <c r="H11" s="95">
        <f>Effort!H9</f>
        <v>255.072469056291</v>
      </c>
      <c r="I11" s="96">
        <f>Harvest!H9</f>
        <v>3826.0870358443699</v>
      </c>
      <c r="J11" s="97">
        <f>CPUE!H9</f>
        <v>15.00000000000002</v>
      </c>
      <c r="K11" s="41" t="str">
        <f>Effort!J9</f>
        <v>CLOSED</v>
      </c>
      <c r="L11" s="42" t="str">
        <f>Harvest!J9</f>
        <v>CLOSED</v>
      </c>
      <c r="M11" s="43" t="str">
        <f>CPUE!J9</f>
        <v>CLOSED</v>
      </c>
      <c r="N11" s="41" t="str">
        <f>Effort!L9</f>
        <v>CLOSED</v>
      </c>
      <c r="O11" s="42" t="str">
        <f>Harvest!L9</f>
        <v>CLOSED</v>
      </c>
      <c r="P11" s="43" t="str">
        <f>CPUE!L9</f>
        <v>CLOSED</v>
      </c>
      <c r="Q11" s="41" t="s">
        <v>10</v>
      </c>
      <c r="R11" s="42" t="s">
        <v>10</v>
      </c>
      <c r="S11" s="44" t="s">
        <v>10</v>
      </c>
      <c r="T11" s="41">
        <f>SUM(E11+H11)</f>
        <v>516.09867002173473</v>
      </c>
      <c r="U11" s="42">
        <f>SUM(F11+I11)</f>
        <v>7741.4800503260267</v>
      </c>
      <c r="V11" s="42"/>
    </row>
    <row r="12" spans="1:24" x14ac:dyDescent="0.25">
      <c r="A12" s="39">
        <v>44834</v>
      </c>
      <c r="B12" s="40" t="s">
        <v>18</v>
      </c>
      <c r="C12" s="8">
        <v>-0.2</v>
      </c>
      <c r="D12" s="13">
        <v>0.94652777777777775</v>
      </c>
      <c r="E12" s="41">
        <f>Effort!F10</f>
        <v>614.50900514217733</v>
      </c>
      <c r="F12" s="42">
        <f>Harvest!F10</f>
        <v>8603.1260719904822</v>
      </c>
      <c r="G12" s="43">
        <f>+CPUE!F10</f>
        <v>14</v>
      </c>
      <c r="H12" s="95">
        <f>Effort!H10</f>
        <v>378</v>
      </c>
      <c r="I12" s="96">
        <f>Harvest!H10</f>
        <v>5535</v>
      </c>
      <c r="J12" s="97">
        <f>CPUE!H10</f>
        <v>14.642857142857142</v>
      </c>
      <c r="K12" s="95">
        <f>Effort!J10</f>
        <v>619.084942720036</v>
      </c>
      <c r="L12" s="96">
        <f>Harvest!J10</f>
        <v>8299.6075133404793</v>
      </c>
      <c r="M12" s="97">
        <f>CPUE!J10</f>
        <v>13.406249999999995</v>
      </c>
      <c r="N12" s="41" t="str">
        <f>Effort!L10</f>
        <v>CLOSED</v>
      </c>
      <c r="O12" s="42" t="str">
        <f>Harvest!L10</f>
        <v>CLOSED</v>
      </c>
      <c r="P12" s="43" t="str">
        <f>CPUE!L10</f>
        <v>CLOSED</v>
      </c>
      <c r="Q12" s="41" t="s">
        <v>10</v>
      </c>
      <c r="R12" s="42" t="s">
        <v>10</v>
      </c>
      <c r="S12" s="44" t="s">
        <v>10</v>
      </c>
      <c r="T12" s="41">
        <f>SUM(E12+H12+K12)</f>
        <v>1611.5939478622133</v>
      </c>
      <c r="U12" s="42">
        <f>SUM(F12+I12+L12)</f>
        <v>22437.733585330963</v>
      </c>
      <c r="V12" s="42"/>
    </row>
    <row r="13" spans="1:24" x14ac:dyDescent="0.25">
      <c r="A13" s="117" t="s">
        <v>57</v>
      </c>
      <c r="B13" s="117"/>
      <c r="C13" s="117"/>
      <c r="D13" s="118"/>
      <c r="E13" s="47">
        <f>SUM(E4:E12)</f>
        <v>1074.9163257974571</v>
      </c>
      <c r="F13" s="48">
        <f>SUM(F4:F12)</f>
        <v>13515.42468492132</v>
      </c>
      <c r="G13" s="49">
        <f>+F13/E13</f>
        <v>12.573466753232648</v>
      </c>
      <c r="H13" s="47">
        <f>SUM(H4:H12)</f>
        <v>827.9059160221268</v>
      </c>
      <c r="I13" s="48">
        <f>SUM(I4:I12)</f>
        <v>10919.754611571056</v>
      </c>
      <c r="J13" s="49">
        <f>+I13/H13</f>
        <v>13.189608142961031</v>
      </c>
      <c r="K13" s="47">
        <f>SUM(K4:K12)</f>
        <v>819.95075270776806</v>
      </c>
      <c r="L13" s="48">
        <f>SUM(L4:L12)</f>
        <v>10067.22664123253</v>
      </c>
      <c r="M13" s="49">
        <f>+L13/K13</f>
        <v>12.277843038727605</v>
      </c>
      <c r="N13" s="47">
        <f>SUM(N4:N12)</f>
        <v>0</v>
      </c>
      <c r="O13" s="48">
        <f>SUM(O4:O12)</f>
        <v>0</v>
      </c>
      <c r="P13" s="49">
        <v>0</v>
      </c>
      <c r="Q13" s="47"/>
      <c r="R13" s="48"/>
      <c r="S13" s="49"/>
      <c r="T13" s="47">
        <f>SUM(T4:T12)</f>
        <v>2722.7729945273522</v>
      </c>
      <c r="U13" s="48">
        <f>SUM(U4:U12)</f>
        <v>34502.405937724907</v>
      </c>
      <c r="V13" s="64"/>
      <c r="W13" s="20">
        <f>SUM(H13,K13,N13,Q13,E13)</f>
        <v>2722.7729945273522</v>
      </c>
      <c r="X13" s="20">
        <f>SUM(R13,O13,L13,I13,F13)</f>
        <v>34502.405937724907</v>
      </c>
    </row>
    <row r="14" spans="1:24" x14ac:dyDescent="0.25">
      <c r="A14" s="39">
        <v>44842</v>
      </c>
      <c r="B14" s="40" t="s">
        <v>19</v>
      </c>
      <c r="C14" s="8">
        <v>0.5</v>
      </c>
      <c r="D14" s="13">
        <v>0.76458333333333339</v>
      </c>
      <c r="E14" s="95">
        <f>Effort!F12</f>
        <v>5355.2270120772182</v>
      </c>
      <c r="F14" s="96">
        <f>Harvest!F12</f>
        <v>77650.791675119661</v>
      </c>
      <c r="G14" s="97">
        <f>+CPUE!F12</f>
        <v>14.5</v>
      </c>
      <c r="H14" s="95">
        <f>Effort!H12</f>
        <v>4762.6033282694998</v>
      </c>
      <c r="I14" s="96">
        <f>Harvest!H12</f>
        <v>69057.748259907705</v>
      </c>
      <c r="J14" s="97">
        <f>CPUE!H12</f>
        <v>14.499999999999991</v>
      </c>
      <c r="K14" s="41" t="str">
        <f>Effort!J12</f>
        <v>CLOSED</v>
      </c>
      <c r="L14" s="42" t="str">
        <f>Harvest!J12</f>
        <v>CLOSED</v>
      </c>
      <c r="M14" s="43" t="str">
        <f>CPUE!J12</f>
        <v>CLOSED</v>
      </c>
      <c r="N14" s="41" t="str">
        <f>Effort!L12</f>
        <v>CLOSED</v>
      </c>
      <c r="O14" s="42" t="str">
        <f>Harvest!L12</f>
        <v>CLOSED</v>
      </c>
      <c r="P14" s="43" t="str">
        <f>CPUE!L12</f>
        <v>CLOSED</v>
      </c>
      <c r="Q14" s="41" t="s">
        <v>10</v>
      </c>
      <c r="R14" s="42" t="s">
        <v>10</v>
      </c>
      <c r="S14" s="44" t="s">
        <v>10</v>
      </c>
      <c r="T14" s="41">
        <f>SUM(E14+H14)</f>
        <v>10117.830340346718</v>
      </c>
      <c r="U14" s="42">
        <f>SUM(F14+I14)</f>
        <v>146708.53993502737</v>
      </c>
      <c r="V14" s="42"/>
    </row>
    <row r="15" spans="1:24" x14ac:dyDescent="0.25">
      <c r="A15" s="39">
        <v>44843</v>
      </c>
      <c r="B15" s="40" t="s">
        <v>20</v>
      </c>
      <c r="C15" s="8">
        <v>-0.1</v>
      </c>
      <c r="D15" s="13">
        <v>0.79513888888888884</v>
      </c>
      <c r="E15" s="41">
        <f>Effort!F13</f>
        <v>2564.1123055979001</v>
      </c>
      <c r="F15" s="42">
        <f>Harvest!F13</f>
        <v>37179.628431169549</v>
      </c>
      <c r="G15" s="43">
        <f>+CPUE!F13</f>
        <v>14.5</v>
      </c>
      <c r="H15" s="95">
        <f>Effort!H13</f>
        <v>2280.3608088241499</v>
      </c>
      <c r="I15" s="96">
        <f>Harvest!H13</f>
        <v>32809.272861653597</v>
      </c>
      <c r="J15" s="97">
        <f>CPUE!H13</f>
        <v>14.387755102040822</v>
      </c>
      <c r="K15" s="95">
        <f>Effort!J13</f>
        <v>3429.6323931361599</v>
      </c>
      <c r="L15" s="96">
        <f>Harvest!J13</f>
        <v>49687.844915192203</v>
      </c>
      <c r="M15" s="97">
        <f>CPUE!J13</f>
        <v>14.48780487804879</v>
      </c>
      <c r="N15" s="41" t="str">
        <f>Effort!L13</f>
        <v>CLOSED</v>
      </c>
      <c r="O15" s="42" t="str">
        <f>Harvest!L13</f>
        <v>CLOSED</v>
      </c>
      <c r="P15" s="43" t="str">
        <f>CPUE!L13</f>
        <v>CLOSED</v>
      </c>
      <c r="Q15" s="41" t="s">
        <v>10</v>
      </c>
      <c r="R15" s="42" t="s">
        <v>10</v>
      </c>
      <c r="S15" s="44" t="s">
        <v>10</v>
      </c>
      <c r="T15" s="41">
        <f>SUM(E15+H15+K15)</f>
        <v>8274.1055075582099</v>
      </c>
      <c r="U15" s="42">
        <f>SUM(F15+I15+L15)</f>
        <v>119676.74620801533</v>
      </c>
      <c r="V15" s="42"/>
    </row>
    <row r="16" spans="1:24" x14ac:dyDescent="0.25">
      <c r="A16" s="39">
        <v>44844</v>
      </c>
      <c r="B16" s="40" t="s">
        <v>21</v>
      </c>
      <c r="C16" s="8">
        <v>-0.5</v>
      </c>
      <c r="D16" s="13">
        <v>0.82361111111111107</v>
      </c>
      <c r="E16" s="95">
        <f>Effort!F14</f>
        <v>1244.1436492704615</v>
      </c>
      <c r="F16" s="96">
        <f>Harvest!F14</f>
        <v>18662.154739056925</v>
      </c>
      <c r="G16" s="97">
        <f>+CPUE!F14</f>
        <v>15</v>
      </c>
      <c r="H16" s="41">
        <f>Effort!H14</f>
        <v>1106.4633994969515</v>
      </c>
      <c r="I16" s="42">
        <f>Harvest!H14</f>
        <v>16596.950992454273</v>
      </c>
      <c r="J16" s="43">
        <f>CPUE!H14</f>
        <v>15</v>
      </c>
      <c r="K16" s="41" t="str">
        <f>Effort!J14</f>
        <v>CLOSED</v>
      </c>
      <c r="L16" s="42" t="str">
        <f>Harvest!J14</f>
        <v>CLOSED</v>
      </c>
      <c r="M16" s="43" t="str">
        <f>CPUE!J14</f>
        <v>CLOSED</v>
      </c>
      <c r="N16" s="41" t="str">
        <f>Effort!L14</f>
        <v>CLOSED</v>
      </c>
      <c r="O16" s="42" t="str">
        <f>Harvest!L14</f>
        <v>CLOSED</v>
      </c>
      <c r="P16" s="43" t="str">
        <f>CPUE!L14</f>
        <v>CLOSED</v>
      </c>
      <c r="Q16" s="41" t="s">
        <v>10</v>
      </c>
      <c r="R16" s="42" t="s">
        <v>10</v>
      </c>
      <c r="S16" s="44" t="s">
        <v>10</v>
      </c>
      <c r="T16" s="41">
        <f>SUM(E16+H16)</f>
        <v>2350.6070487674133</v>
      </c>
      <c r="U16" s="42">
        <f>SUM(F16+I16)</f>
        <v>35259.105731511198</v>
      </c>
      <c r="V16" s="42"/>
    </row>
    <row r="17" spans="1:24" x14ac:dyDescent="0.25">
      <c r="A17" s="39">
        <v>44845</v>
      </c>
      <c r="B17" s="40" t="s">
        <v>22</v>
      </c>
      <c r="C17" s="8">
        <v>-0.6</v>
      </c>
      <c r="D17" s="13">
        <v>0.85138888888888886</v>
      </c>
      <c r="E17" s="95">
        <f>Effort!F15</f>
        <v>777.51539294388442</v>
      </c>
      <c r="F17" s="96">
        <f>Harvest!F15</f>
        <v>11273.973197686324</v>
      </c>
      <c r="G17" s="97">
        <f>+CPUE!F15</f>
        <v>14.5</v>
      </c>
      <c r="H17" s="41">
        <f>Effort!H15</f>
        <v>631.66850777202524</v>
      </c>
      <c r="I17" s="42">
        <f>Harvest!H15</f>
        <v>9159.1933626943664</v>
      </c>
      <c r="J17" s="43">
        <f>CPUE!H15</f>
        <v>14.5</v>
      </c>
      <c r="K17" s="95">
        <f>Effort!J15</f>
        <v>950.02105263157898</v>
      </c>
      <c r="L17" s="96">
        <f>Harvest!J15</f>
        <v>14071.3263157895</v>
      </c>
      <c r="M17" s="97">
        <f>CPUE!J15</f>
        <v>14.811594202898577</v>
      </c>
      <c r="N17" s="41" t="str">
        <f>Effort!L15</f>
        <v>CLOSED</v>
      </c>
      <c r="O17" s="42" t="str">
        <f>Harvest!L15</f>
        <v>CLOSED</v>
      </c>
      <c r="P17" s="43" t="str">
        <f>CPUE!L15</f>
        <v>CLOSED</v>
      </c>
      <c r="Q17" s="41" t="s">
        <v>10</v>
      </c>
      <c r="R17" s="42" t="s">
        <v>10</v>
      </c>
      <c r="S17" s="44" t="s">
        <v>10</v>
      </c>
      <c r="T17" s="41">
        <f>SUM(E17+H17+K17)</f>
        <v>2359.2049533474888</v>
      </c>
      <c r="U17" s="42">
        <f>SUM(F17+I17+L17)</f>
        <v>34504.492876170189</v>
      </c>
      <c r="V17" s="42"/>
    </row>
    <row r="18" spans="1:24" x14ac:dyDescent="0.25">
      <c r="A18" s="39">
        <v>44846</v>
      </c>
      <c r="B18" s="40" t="s">
        <v>23</v>
      </c>
      <c r="C18" s="8">
        <v>-0.4</v>
      </c>
      <c r="D18" s="13">
        <v>0.87916666666666676</v>
      </c>
      <c r="E18" s="41">
        <f>Effort!F16</f>
        <v>393.51385352108235</v>
      </c>
      <c r="F18" s="42">
        <f>Harvest!F16</f>
        <v>5509.1939492951533</v>
      </c>
      <c r="G18" s="43">
        <f>+CPUE!F16</f>
        <v>14</v>
      </c>
      <c r="H18" s="95">
        <f>Effort!H16</f>
        <v>349.96656243947098</v>
      </c>
      <c r="I18" s="96">
        <f>Harvest!H16</f>
        <v>4812.0402335427298</v>
      </c>
      <c r="J18" s="97">
        <f>CPUE!H16</f>
        <v>13.750000000000011</v>
      </c>
      <c r="K18" s="41" t="str">
        <f>Effort!J16</f>
        <v>CLOSED</v>
      </c>
      <c r="L18" s="42" t="str">
        <f>Harvest!J16</f>
        <v>CLOSED</v>
      </c>
      <c r="M18" s="43" t="str">
        <f>CPUE!J16</f>
        <v>CLOSED</v>
      </c>
      <c r="N18" s="41" t="str">
        <f>Effort!L16</f>
        <v>CLOSED</v>
      </c>
      <c r="O18" s="42" t="str">
        <f>Harvest!L16</f>
        <v>CLOSED</v>
      </c>
      <c r="P18" s="43" t="str">
        <f>CPUE!L16</f>
        <v>CLOSED</v>
      </c>
      <c r="Q18" s="41" t="s">
        <v>10</v>
      </c>
      <c r="R18" s="42" t="s">
        <v>10</v>
      </c>
      <c r="S18" s="44" t="s">
        <v>10</v>
      </c>
      <c r="T18" s="41">
        <f>SUM(E18+H18)</f>
        <v>743.48041596055327</v>
      </c>
      <c r="U18" s="42">
        <f>SUM(F18+I18)</f>
        <v>10321.234182837883</v>
      </c>
      <c r="V18" s="42"/>
    </row>
    <row r="19" spans="1:24" x14ac:dyDescent="0.25">
      <c r="A19" s="39">
        <v>44847</v>
      </c>
      <c r="B19" s="40" t="s">
        <v>24</v>
      </c>
      <c r="C19" s="8">
        <v>-0.2</v>
      </c>
      <c r="D19" s="13">
        <v>0.90694444444444444</v>
      </c>
      <c r="E19" s="95">
        <f>Effort!F17</f>
        <v>315.90694113191529</v>
      </c>
      <c r="F19" s="96">
        <f>Harvest!F17</f>
        <v>4738.6041169787295</v>
      </c>
      <c r="G19" s="97">
        <f>+CPUE!F17</f>
        <v>15</v>
      </c>
      <c r="H19" s="41">
        <f>Effort!H17</f>
        <v>280.947837666868</v>
      </c>
      <c r="I19" s="42">
        <f>Harvest!H17</f>
        <v>3933.2697273361518</v>
      </c>
      <c r="J19" s="43">
        <f>CPUE!H17</f>
        <v>14</v>
      </c>
      <c r="K19" s="95">
        <f>Effort!J17</f>
        <v>492.8</v>
      </c>
      <c r="L19" s="96">
        <f>Harvest!J17</f>
        <v>6922.6666666666597</v>
      </c>
      <c r="M19" s="97">
        <f>CPUE!J17</f>
        <v>14.047619047619033</v>
      </c>
      <c r="N19" s="41" t="str">
        <f>Effort!L17</f>
        <v>CLOSED</v>
      </c>
      <c r="O19" s="42" t="str">
        <f>Harvest!L17</f>
        <v>CLOSED</v>
      </c>
      <c r="P19" s="43" t="str">
        <f>CPUE!L17</f>
        <v>CLOSED</v>
      </c>
      <c r="Q19" s="41" t="s">
        <v>10</v>
      </c>
      <c r="R19" s="42" t="s">
        <v>10</v>
      </c>
      <c r="S19" s="44" t="s">
        <v>10</v>
      </c>
      <c r="T19" s="41">
        <f>SUM(E19+H19+K19)</f>
        <v>1089.6547787987834</v>
      </c>
      <c r="U19" s="42">
        <f>SUM(F19+I19+L19)</f>
        <v>15594.54051098154</v>
      </c>
      <c r="V19" s="42"/>
    </row>
    <row r="20" spans="1:24" x14ac:dyDescent="0.25">
      <c r="A20" s="39">
        <v>44848</v>
      </c>
      <c r="B20" s="40" t="s">
        <v>18</v>
      </c>
      <c r="C20" s="8">
        <v>0.3</v>
      </c>
      <c r="D20" s="13">
        <v>0.93680555555555556</v>
      </c>
      <c r="E20" s="41">
        <f>Effort!F18</f>
        <v>515.8111793791054</v>
      </c>
      <c r="F20" s="42">
        <f>Harvest!F18</f>
        <v>7737.1676906865814</v>
      </c>
      <c r="G20" s="43">
        <f>+CPUE!F18</f>
        <v>15</v>
      </c>
      <c r="H20" s="95">
        <f>Effort!H18</f>
        <v>458.730140501861</v>
      </c>
      <c r="I20" s="96">
        <f>Harvest!H18</f>
        <v>6880.9521075279099</v>
      </c>
      <c r="J20" s="97">
        <f>CPUE!H18</f>
        <v>14.999999999999989</v>
      </c>
      <c r="K20" s="41" t="str">
        <f>Effort!J18</f>
        <v>CLOSED</v>
      </c>
      <c r="L20" s="42" t="str">
        <f>Harvest!J18</f>
        <v>CLOSED</v>
      </c>
      <c r="M20" s="43" t="str">
        <f>CPUE!J18</f>
        <v>CLOSED</v>
      </c>
      <c r="N20" s="41" t="str">
        <f>Effort!L18</f>
        <v>CLOSED</v>
      </c>
      <c r="O20" s="42" t="str">
        <f>Harvest!L18</f>
        <v>CLOSED</v>
      </c>
      <c r="P20" s="43" t="str">
        <f>CPUE!L18</f>
        <v>CLOSED</v>
      </c>
      <c r="Q20" s="41" t="s">
        <v>10</v>
      </c>
      <c r="R20" s="42" t="s">
        <v>10</v>
      </c>
      <c r="S20" s="44" t="s">
        <v>10</v>
      </c>
      <c r="T20" s="41">
        <f>SUM(E20+H20)</f>
        <v>974.5413198809664</v>
      </c>
      <c r="U20" s="42">
        <f>SUM(F20+I20)</f>
        <v>14618.119798214491</v>
      </c>
      <c r="V20" s="42"/>
    </row>
    <row r="21" spans="1:24" x14ac:dyDescent="0.25">
      <c r="A21" s="117" t="s">
        <v>57</v>
      </c>
      <c r="B21" s="117"/>
      <c r="C21" s="117"/>
      <c r="D21" s="118"/>
      <c r="E21" s="47">
        <f>SUM(E14:E20)</f>
        <v>11166.230333921567</v>
      </c>
      <c r="F21" s="48">
        <f>SUM(F14:F20)</f>
        <v>162751.51379999291</v>
      </c>
      <c r="G21" s="49">
        <f>+F21/E21</f>
        <v>14.575331954739893</v>
      </c>
      <c r="H21" s="47">
        <f>SUM(H14:H20)</f>
        <v>9870.7405849708266</v>
      </c>
      <c r="I21" s="48">
        <f>SUM(I14:I20)</f>
        <v>143249.42754511672</v>
      </c>
      <c r="J21" s="49">
        <f>+I21/H21</f>
        <v>14.512530879722243</v>
      </c>
      <c r="K21" s="47">
        <f>SUM(K14:K20)</f>
        <v>4872.4534457677391</v>
      </c>
      <c r="L21" s="48">
        <f>SUM(L14:L20)</f>
        <v>70681.837897648365</v>
      </c>
      <c r="M21" s="49">
        <f>+L21/K21</f>
        <v>14.506416261204775</v>
      </c>
      <c r="N21" s="47">
        <f>SUM(N12:N20)</f>
        <v>0</v>
      </c>
      <c r="O21" s="48">
        <f>SUM(O12:O20)</f>
        <v>0</v>
      </c>
      <c r="P21" s="49">
        <v>0</v>
      </c>
      <c r="Q21" s="47"/>
      <c r="R21" s="48"/>
      <c r="S21" s="49"/>
      <c r="T21" s="47">
        <f>SUM(T14:T20)</f>
        <v>25909.424364660132</v>
      </c>
      <c r="U21" s="48">
        <f>SUM(U14:U20)</f>
        <v>376682.779242758</v>
      </c>
      <c r="V21" s="64"/>
      <c r="W21" s="20">
        <f>SUM(H21,K21,N21,Q21,E21)</f>
        <v>25909.424364660132</v>
      </c>
      <c r="X21" s="20">
        <f>SUM(R21,O21,L21,I21,F21)</f>
        <v>376682.779242758</v>
      </c>
    </row>
    <row r="22" spans="1:24" x14ac:dyDescent="0.25">
      <c r="A22" s="39">
        <v>44858</v>
      </c>
      <c r="B22" s="40" t="s">
        <v>21</v>
      </c>
      <c r="C22" s="8">
        <v>0</v>
      </c>
      <c r="D22" s="13">
        <v>0.78055555555555556</v>
      </c>
      <c r="E22" s="95">
        <f>Effort!F20</f>
        <v>1250.8270447857217</v>
      </c>
      <c r="F22" s="96">
        <f>Harvest!F20</f>
        <v>13759.097492642939</v>
      </c>
      <c r="G22" s="97">
        <f>+CPUE!F20</f>
        <v>11</v>
      </c>
      <c r="H22" s="95">
        <f>Effort!H20</f>
        <v>970.92903847137097</v>
      </c>
      <c r="I22" s="96">
        <f>Harvest!H20</f>
        <v>11335.032030526199</v>
      </c>
      <c r="J22" s="97">
        <f>CPUE!H20</f>
        <v>11.674418604651123</v>
      </c>
      <c r="K22" s="95">
        <f>Effort!J20</f>
        <v>1276.54062056103</v>
      </c>
      <c r="L22" s="96">
        <f>Harvest!J20</f>
        <v>17932.356336452602</v>
      </c>
      <c r="M22" s="97">
        <f>CPUE!J20</f>
        <v>14.047619047619078</v>
      </c>
      <c r="N22" s="41" t="str">
        <f>Effort!L20</f>
        <v>CLOSED</v>
      </c>
      <c r="O22" s="42" t="str">
        <f>Harvest!L20</f>
        <v>CLOSED</v>
      </c>
      <c r="P22" s="43" t="str">
        <f>CPUE!L20</f>
        <v>CLOSED</v>
      </c>
      <c r="Q22" s="41" t="s">
        <v>10</v>
      </c>
      <c r="R22" s="42" t="s">
        <v>10</v>
      </c>
      <c r="S22" s="44" t="s">
        <v>10</v>
      </c>
      <c r="T22" s="41">
        <f>SUM(E22+H22+K22)</f>
        <v>3498.2967038181223</v>
      </c>
      <c r="U22" s="42">
        <f>SUM(F22+I22+L22)</f>
        <v>43026.485859621738</v>
      </c>
      <c r="V22" s="42"/>
    </row>
    <row r="23" spans="1:24" x14ac:dyDescent="0.25">
      <c r="A23" s="39">
        <v>44859</v>
      </c>
      <c r="B23" s="40" t="s">
        <v>22</v>
      </c>
      <c r="C23" s="8">
        <v>-0.6</v>
      </c>
      <c r="D23" s="13">
        <v>0.80833333333333324</v>
      </c>
      <c r="E23" s="95">
        <f>Effort!F21</f>
        <v>397.34614617893658</v>
      </c>
      <c r="F23" s="96">
        <f>Harvest!F21</f>
        <v>3178.7691694314926</v>
      </c>
      <c r="G23" s="97">
        <f>+CPUE!F21</f>
        <v>8</v>
      </c>
      <c r="H23" s="95">
        <f>Effort!H21</f>
        <v>388.18431453452899</v>
      </c>
      <c r="I23" s="96">
        <f>Harvest!H21</f>
        <v>5415.1711877566804</v>
      </c>
      <c r="J23" s="97">
        <f>CPUE!H21</f>
        <v>13.950000000000003</v>
      </c>
      <c r="K23" s="41" t="str">
        <f>Effort!J21</f>
        <v>CLOSED</v>
      </c>
      <c r="L23" s="42" t="str">
        <f>Harvest!J21</f>
        <v>CLOSED</v>
      </c>
      <c r="M23" s="43" t="str">
        <f>CPUE!J21</f>
        <v>CLOSED</v>
      </c>
      <c r="N23" s="41" t="str">
        <f>Effort!L21</f>
        <v>CLOSED</v>
      </c>
      <c r="O23" s="42" t="str">
        <f>Harvest!L21</f>
        <v>CLOSED</v>
      </c>
      <c r="P23" s="43" t="str">
        <f>CPUE!L21</f>
        <v>CLOSED</v>
      </c>
      <c r="Q23" s="41" t="s">
        <v>10</v>
      </c>
      <c r="R23" s="42" t="s">
        <v>10</v>
      </c>
      <c r="S23" s="44" t="s">
        <v>10</v>
      </c>
      <c r="T23" s="41">
        <f>SUM(E23+H23)</f>
        <v>785.53046071346557</v>
      </c>
      <c r="U23" s="42">
        <f>SUM(F23+I23)</f>
        <v>8593.9403571881739</v>
      </c>
      <c r="V23" s="42"/>
    </row>
    <row r="24" spans="1:24" x14ac:dyDescent="0.25">
      <c r="A24" s="39">
        <v>44860</v>
      </c>
      <c r="B24" s="40" t="s">
        <v>23</v>
      </c>
      <c r="C24" s="8">
        <v>-1</v>
      </c>
      <c r="D24" s="13">
        <v>0.83680555555555547</v>
      </c>
      <c r="E24" s="95">
        <f>Effort!F22</f>
        <v>770.31345878909099</v>
      </c>
      <c r="F24" s="96">
        <f>Harvest!F22</f>
        <v>10211.387813668949</v>
      </c>
      <c r="G24" s="97">
        <f>+CPUE!F22</f>
        <v>13.256146179402</v>
      </c>
      <c r="H24" s="41">
        <f>Effort!H22</f>
        <v>597.94014606693588</v>
      </c>
      <c r="I24" s="42">
        <f>Harvest!H22</f>
        <v>7474.2518258366981</v>
      </c>
      <c r="J24" s="43">
        <f>CPUE!H22</f>
        <v>12.5</v>
      </c>
      <c r="K24" s="95">
        <f>Effort!J22</f>
        <v>597.74106409084902</v>
      </c>
      <c r="L24" s="96">
        <f>Harvest!J22</f>
        <v>7341.4864025517099</v>
      </c>
      <c r="M24" s="97">
        <f>CPUE!J22</f>
        <v>12.282051282051283</v>
      </c>
      <c r="N24" s="41" t="str">
        <f>Effort!L22</f>
        <v>CLOSED</v>
      </c>
      <c r="O24" s="42" t="str">
        <f>Harvest!L22</f>
        <v>CLOSED</v>
      </c>
      <c r="P24" s="43" t="str">
        <f>CPUE!L22</f>
        <v>CLOSED</v>
      </c>
      <c r="Q24" s="41" t="s">
        <v>10</v>
      </c>
      <c r="R24" s="42" t="s">
        <v>10</v>
      </c>
      <c r="S24" s="44" t="s">
        <v>10</v>
      </c>
      <c r="T24" s="41">
        <f>SUM(E24+H24+K24)</f>
        <v>1965.9946689468759</v>
      </c>
      <c r="U24" s="42">
        <f>SUM(F24+I24+L24)</f>
        <v>25027.126042057356</v>
      </c>
      <c r="V24" s="42"/>
    </row>
    <row r="25" spans="1:24" x14ac:dyDescent="0.25">
      <c r="A25" s="39">
        <v>44861</v>
      </c>
      <c r="B25" s="40" t="s">
        <v>24</v>
      </c>
      <c r="C25" s="8">
        <v>-1.1000000000000001</v>
      </c>
      <c r="D25" s="13">
        <v>0.8666666666666667</v>
      </c>
      <c r="E25" s="41">
        <f>Effort!F23</f>
        <v>514.17346781832862</v>
      </c>
      <c r="F25" s="42">
        <f>Harvest!F23</f>
        <v>4884.647944274122</v>
      </c>
      <c r="G25" s="43">
        <f>+CPUE!F23</f>
        <v>9.5</v>
      </c>
      <c r="H25" s="95">
        <f>Effort!H23</f>
        <v>502.31788347839301</v>
      </c>
      <c r="I25" s="96">
        <f>Harvest!H23</f>
        <v>4772.0198930447395</v>
      </c>
      <c r="J25" s="97">
        <f>CPUE!H23</f>
        <v>9.5000000000000124</v>
      </c>
      <c r="K25" s="41" t="str">
        <f>Effort!J23</f>
        <v>CLOSED</v>
      </c>
      <c r="L25" s="42" t="str">
        <f>Harvest!J23</f>
        <v>CLOSED</v>
      </c>
      <c r="M25" s="43" t="str">
        <f>CPUE!J23</f>
        <v>CLOSED</v>
      </c>
      <c r="N25" s="41" t="str">
        <f>Effort!L23</f>
        <v>CLOSED</v>
      </c>
      <c r="O25" s="42" t="str">
        <f>Harvest!L23</f>
        <v>CLOSED</v>
      </c>
      <c r="P25" s="43" t="str">
        <f>CPUE!L23</f>
        <v>CLOSED</v>
      </c>
      <c r="Q25" s="41" t="s">
        <v>10</v>
      </c>
      <c r="R25" s="42" t="s">
        <v>10</v>
      </c>
      <c r="S25" s="44" t="s">
        <v>10</v>
      </c>
      <c r="T25" s="41">
        <f>SUM(E25+H25)</f>
        <v>1016.4913512967216</v>
      </c>
      <c r="U25" s="42">
        <f>SUM(F25+I25)</f>
        <v>9656.6678373188624</v>
      </c>
      <c r="V25" s="42"/>
    </row>
    <row r="26" spans="1:24" x14ac:dyDescent="0.25">
      <c r="A26" s="39">
        <v>44862</v>
      </c>
      <c r="B26" s="40" t="s">
        <v>18</v>
      </c>
      <c r="C26" s="8">
        <v>-1</v>
      </c>
      <c r="D26" s="13">
        <v>0.89930555555555547</v>
      </c>
      <c r="E26" s="95">
        <f>Effort!F24</f>
        <v>805.14405425084556</v>
      </c>
      <c r="F26" s="96">
        <f>Harvest!F24</f>
        <v>5233.436352630496</v>
      </c>
      <c r="G26" s="97">
        <f>+CPUE!F24</f>
        <v>6.5</v>
      </c>
      <c r="H26" s="41">
        <f>Effort!H24</f>
        <v>825.63585582193787</v>
      </c>
      <c r="I26" s="42">
        <f>Harvest!H24</f>
        <v>8256.3585582193791</v>
      </c>
      <c r="J26" s="43">
        <f>CPUE!H24</f>
        <v>10</v>
      </c>
      <c r="K26" s="95">
        <f>Effort!J24</f>
        <v>1085.51466274788</v>
      </c>
      <c r="L26" s="96">
        <f>Harvest!J24</f>
        <v>14229.0435522357</v>
      </c>
      <c r="M26" s="97">
        <f>CPUE!J24</f>
        <v>13.108108108108086</v>
      </c>
      <c r="N26" s="41" t="str">
        <f>Effort!L24</f>
        <v>CLOSED</v>
      </c>
      <c r="O26" s="42" t="str">
        <f>Harvest!L24</f>
        <v>CLOSED</v>
      </c>
      <c r="P26" s="43" t="str">
        <f>CPUE!L24</f>
        <v>CLOSED</v>
      </c>
      <c r="Q26" s="41" t="s">
        <v>10</v>
      </c>
      <c r="R26" s="42" t="s">
        <v>10</v>
      </c>
      <c r="S26" s="44" t="s">
        <v>10</v>
      </c>
      <c r="T26" s="41">
        <f>SUM(E26+H26+K26)</f>
        <v>2716.2945728206632</v>
      </c>
      <c r="U26" s="42">
        <f>SUM(F26+I26+L26)</f>
        <v>27718.838463085576</v>
      </c>
      <c r="V26" s="42"/>
    </row>
    <row r="27" spans="1:24" x14ac:dyDescent="0.25">
      <c r="A27" s="39">
        <v>44863</v>
      </c>
      <c r="B27" s="40" t="s">
        <v>19</v>
      </c>
      <c r="C27" s="8">
        <v>-0.7</v>
      </c>
      <c r="D27" s="13">
        <v>0.93611111111111101</v>
      </c>
      <c r="E27" s="41">
        <f>Effort!F25</f>
        <v>1101.2842516978878</v>
      </c>
      <c r="F27" s="42">
        <f>Harvest!F25</f>
        <v>15968.621649619374</v>
      </c>
      <c r="G27" s="43">
        <f>+CPUE!F25</f>
        <v>14.5</v>
      </c>
      <c r="H27" s="95">
        <f>Effort!H25</f>
        <v>1075.89132665326</v>
      </c>
      <c r="I27" s="96">
        <f>Harvest!H25</f>
        <v>15817.8916322852</v>
      </c>
      <c r="J27" s="97">
        <f>CPUE!H25</f>
        <v>14.702127659574503</v>
      </c>
      <c r="K27" s="41" t="str">
        <f>Effort!J25</f>
        <v>CLOSED</v>
      </c>
      <c r="L27" s="42" t="str">
        <f>Harvest!J25</f>
        <v>CLOSED</v>
      </c>
      <c r="M27" s="43" t="str">
        <f>CPUE!J25</f>
        <v>CLOSED</v>
      </c>
      <c r="N27" s="41" t="str">
        <f>Effort!L25</f>
        <v>CLOSED</v>
      </c>
      <c r="O27" s="42" t="str">
        <f>Harvest!L25</f>
        <v>CLOSED</v>
      </c>
      <c r="P27" s="43" t="str">
        <f>CPUE!L25</f>
        <v>CLOSED</v>
      </c>
      <c r="Q27" s="41" t="s">
        <v>10</v>
      </c>
      <c r="R27" s="42" t="s">
        <v>10</v>
      </c>
      <c r="S27" s="44" t="s">
        <v>10</v>
      </c>
      <c r="T27" s="41">
        <f>SUM(E27+H27)</f>
        <v>2177.175578351148</v>
      </c>
      <c r="U27" s="42">
        <f>SUM(F27+I27)</f>
        <v>31786.513281904576</v>
      </c>
      <c r="V27" s="42"/>
    </row>
    <row r="28" spans="1:24" x14ac:dyDescent="0.25">
      <c r="A28" s="39">
        <v>44864</v>
      </c>
      <c r="B28" s="40" t="s">
        <v>20</v>
      </c>
      <c r="C28" s="8">
        <v>-0.3</v>
      </c>
      <c r="D28" s="13">
        <v>0.9770833333333333</v>
      </c>
      <c r="E28" s="41">
        <f>Effort!F26</f>
        <v>32.661893008219685</v>
      </c>
      <c r="F28" s="42">
        <f>Harvest!F26</f>
        <v>146.97851853698859</v>
      </c>
      <c r="G28" s="43">
        <f>+CPUE!F26</f>
        <v>4.5</v>
      </c>
      <c r="H28" s="41">
        <f>Effort!H26</f>
        <v>25.353129759484982</v>
      </c>
      <c r="I28" s="42">
        <f>Harvest!H26</f>
        <v>114.08908391768242</v>
      </c>
      <c r="J28" s="43">
        <f>CPUE!H26</f>
        <v>4.5</v>
      </c>
      <c r="K28" s="95">
        <f>Effort!J26</f>
        <v>33.333332008785703</v>
      </c>
      <c r="L28" s="96">
        <f>Harvest!J26</f>
        <v>149.99999403953601</v>
      </c>
      <c r="M28" s="97">
        <f>CPUE!J26</f>
        <v>4.5000000000000107</v>
      </c>
      <c r="N28" s="41" t="str">
        <f>Effort!L26</f>
        <v>CLOSED</v>
      </c>
      <c r="O28" s="42" t="str">
        <f>Harvest!L26</f>
        <v>CLOSED</v>
      </c>
      <c r="P28" s="43" t="str">
        <f>CPUE!L26</f>
        <v>CLOSED</v>
      </c>
      <c r="Q28" s="41" t="s">
        <v>10</v>
      </c>
      <c r="R28" s="42" t="s">
        <v>10</v>
      </c>
      <c r="S28" s="44" t="s">
        <v>10</v>
      </c>
      <c r="T28" s="41">
        <f>SUM(E28+H28+K28)</f>
        <v>91.348354776490368</v>
      </c>
      <c r="U28" s="42">
        <f>SUM(F28+I28+L28)</f>
        <v>411.06759649420701</v>
      </c>
      <c r="V28" s="42"/>
    </row>
    <row r="29" spans="1:24" x14ac:dyDescent="0.25">
      <c r="A29" s="117" t="s">
        <v>57</v>
      </c>
      <c r="B29" s="117"/>
      <c r="C29" s="117"/>
      <c r="D29" s="118"/>
      <c r="E29" s="47">
        <f>SUM(E22:E28)</f>
        <v>4871.7503165290309</v>
      </c>
      <c r="F29" s="48">
        <f>SUM(F22:F28)</f>
        <v>53382.938940804364</v>
      </c>
      <c r="G29" s="49">
        <f>+F29/E29</f>
        <v>10.957650838485096</v>
      </c>
      <c r="H29" s="47">
        <f>SUM(H22:H28)</f>
        <v>4386.2516947859112</v>
      </c>
      <c r="I29" s="48">
        <f>SUM(I22:I28)</f>
        <v>53184.814211586578</v>
      </c>
      <c r="J29" s="49">
        <f>+I29/H29</f>
        <v>12.125344807460365</v>
      </c>
      <c r="K29" s="47">
        <f>SUM(K22:K28)</f>
        <v>2993.1296794085447</v>
      </c>
      <c r="L29" s="48">
        <f>SUM(L22:L28)</f>
        <v>39652.886285279543</v>
      </c>
      <c r="M29" s="49">
        <f>+L29/K29</f>
        <v>13.247968024263862</v>
      </c>
      <c r="N29" s="47">
        <f>SUM(N20:N28)</f>
        <v>0</v>
      </c>
      <c r="O29" s="48">
        <f>SUM(O20:O28)</f>
        <v>0</v>
      </c>
      <c r="P29" s="49">
        <v>0</v>
      </c>
      <c r="Q29" s="47"/>
      <c r="R29" s="48"/>
      <c r="S29" s="49"/>
      <c r="T29" s="47">
        <f>SUM(T22:T28)</f>
        <v>12251.131690723485</v>
      </c>
      <c r="U29" s="48">
        <f>SUM(U22:U28)</f>
        <v>146220.6394376705</v>
      </c>
      <c r="V29" s="64"/>
      <c r="W29" s="20">
        <f>SUM(H29,K29,N29,Q29,E29)</f>
        <v>12251.131690723487</v>
      </c>
      <c r="X29" s="20">
        <f>SUM(R29,O29,L29,I29,F29)</f>
        <v>146220.63943767047</v>
      </c>
    </row>
    <row r="30" spans="1:24" x14ac:dyDescent="0.25">
      <c r="A30" s="39">
        <v>44871</v>
      </c>
      <c r="B30" s="40" t="s">
        <v>20</v>
      </c>
      <c r="C30" s="8">
        <v>0</v>
      </c>
      <c r="D30" s="13">
        <v>0.71388888888888891</v>
      </c>
      <c r="E30" s="41" t="str">
        <f>Effort!F28</f>
        <v>CLOSED</v>
      </c>
      <c r="F30" s="42" t="str">
        <f>Harvest!F28</f>
        <v>CLOSED</v>
      </c>
      <c r="G30" s="43" t="str">
        <f>+CPUE!F28</f>
        <v>CLOSED</v>
      </c>
      <c r="H30" s="41" t="str">
        <f>Effort!H28</f>
        <v>CLOSED</v>
      </c>
      <c r="I30" s="42" t="str">
        <f>Harvest!H28</f>
        <v>CLOSED</v>
      </c>
      <c r="J30" s="43" t="str">
        <f>CPUE!H28</f>
        <v>CLOSED</v>
      </c>
      <c r="K30" s="41" t="str">
        <f>Effort!J28</f>
        <v>CLOSED</v>
      </c>
      <c r="L30" s="42" t="str">
        <f>Harvest!J28</f>
        <v>CLOSED</v>
      </c>
      <c r="M30" s="43" t="str">
        <f>CPUE!J28</f>
        <v>CLOSED</v>
      </c>
      <c r="N30" s="41" t="str">
        <f>Effort!L28</f>
        <v>CLOSED</v>
      </c>
      <c r="O30" s="42" t="str">
        <f>Harvest!L28</f>
        <v>CLOSED</v>
      </c>
      <c r="P30" s="43" t="str">
        <f>CPUE!L28</f>
        <v>CLOSED</v>
      </c>
      <c r="Q30" s="41" t="s">
        <v>10</v>
      </c>
      <c r="R30" s="42" t="s">
        <v>10</v>
      </c>
      <c r="S30" s="44" t="s">
        <v>10</v>
      </c>
      <c r="T30" s="41">
        <v>0</v>
      </c>
      <c r="U30" s="42">
        <v>0</v>
      </c>
      <c r="V30" s="42"/>
    </row>
    <row r="31" spans="1:24" x14ac:dyDescent="0.25">
      <c r="A31" s="39">
        <v>44872</v>
      </c>
      <c r="B31" s="40" t="s">
        <v>21</v>
      </c>
      <c r="C31" s="8">
        <v>-0.5</v>
      </c>
      <c r="D31" s="13">
        <v>0.74236111111111114</v>
      </c>
      <c r="E31" s="41" t="str">
        <f>Effort!F29</f>
        <v>CLOSED</v>
      </c>
      <c r="F31" s="42" t="str">
        <f>Harvest!F29</f>
        <v>CLOSED</v>
      </c>
      <c r="G31" s="43" t="str">
        <f>+CPUE!F29</f>
        <v>CLOSED</v>
      </c>
      <c r="H31" s="41" t="str">
        <f>Effort!H29</f>
        <v>CLOSED</v>
      </c>
      <c r="I31" s="42" t="str">
        <f>Harvest!H29</f>
        <v>CLOSED</v>
      </c>
      <c r="J31" s="43" t="str">
        <f>CPUE!H29</f>
        <v>CLOSED</v>
      </c>
      <c r="K31" s="41" t="str">
        <f>Effort!J29</f>
        <v>CLOSED</v>
      </c>
      <c r="L31" s="42" t="str">
        <f>Harvest!J29</f>
        <v>CLOSED</v>
      </c>
      <c r="M31" s="43" t="str">
        <f>CPUE!J29</f>
        <v>CLOSED</v>
      </c>
      <c r="N31" s="41" t="str">
        <f>Effort!L29</f>
        <v>CLOSED</v>
      </c>
      <c r="O31" s="42" t="str">
        <f>Harvest!L29</f>
        <v>CLOSED</v>
      </c>
      <c r="P31" s="43" t="str">
        <f>CPUE!L29</f>
        <v>CLOSED</v>
      </c>
      <c r="Q31" s="41" t="s">
        <v>10</v>
      </c>
      <c r="R31" s="42" t="s">
        <v>10</v>
      </c>
      <c r="S31" s="44" t="s">
        <v>10</v>
      </c>
      <c r="T31" s="41">
        <v>0</v>
      </c>
      <c r="U31" s="42">
        <v>0</v>
      </c>
      <c r="V31" s="42"/>
    </row>
    <row r="32" spans="1:24" x14ac:dyDescent="0.25">
      <c r="A32" s="39">
        <v>44873</v>
      </c>
      <c r="B32" s="40" t="s">
        <v>22</v>
      </c>
      <c r="C32" s="8">
        <v>-0.7</v>
      </c>
      <c r="D32" s="13">
        <v>0.76944444444444438</v>
      </c>
      <c r="E32" s="41" t="str">
        <f>Effort!F30</f>
        <v>CLOSED</v>
      </c>
      <c r="F32" s="42" t="str">
        <f>Harvest!F30</f>
        <v>CLOSED</v>
      </c>
      <c r="G32" s="43" t="str">
        <f>+CPUE!F30</f>
        <v>CLOSED</v>
      </c>
      <c r="H32" s="41" t="str">
        <f>Effort!H30</f>
        <v>CLOSED</v>
      </c>
      <c r="I32" s="42" t="str">
        <f>Harvest!H30</f>
        <v>CLOSED</v>
      </c>
      <c r="J32" s="43" t="str">
        <f>CPUE!H30</f>
        <v>CLOSED</v>
      </c>
      <c r="K32" s="41" t="str">
        <f>Effort!J30</f>
        <v>CLOSED</v>
      </c>
      <c r="L32" s="42" t="str">
        <f>Harvest!J30</f>
        <v>CLOSED</v>
      </c>
      <c r="M32" s="43" t="str">
        <f>CPUE!J30</f>
        <v>CLOSED</v>
      </c>
      <c r="N32" s="41" t="str">
        <f>Effort!L30</f>
        <v>CLOSED</v>
      </c>
      <c r="O32" s="42" t="str">
        <f>Harvest!L30</f>
        <v>CLOSED</v>
      </c>
      <c r="P32" s="43" t="str">
        <f>CPUE!L30</f>
        <v>CLOSED</v>
      </c>
      <c r="Q32" s="41" t="s">
        <v>10</v>
      </c>
      <c r="R32" s="42" t="s">
        <v>10</v>
      </c>
      <c r="S32" s="44" t="s">
        <v>10</v>
      </c>
      <c r="T32" s="41">
        <v>0</v>
      </c>
      <c r="U32" s="42">
        <v>0</v>
      </c>
      <c r="V32" s="42"/>
    </row>
    <row r="33" spans="1:24" x14ac:dyDescent="0.25">
      <c r="A33" s="39">
        <v>44874</v>
      </c>
      <c r="B33" s="40" t="s">
        <v>23</v>
      </c>
      <c r="C33" s="8">
        <v>-0.7</v>
      </c>
      <c r="D33" s="13">
        <v>0.79513888888888884</v>
      </c>
      <c r="E33" s="41" t="str">
        <f>Effort!F31</f>
        <v>CLOSED</v>
      </c>
      <c r="F33" s="42" t="str">
        <f>Harvest!F31</f>
        <v>CLOSED</v>
      </c>
      <c r="G33" s="43" t="str">
        <f>+CPUE!F31</f>
        <v>CLOSED</v>
      </c>
      <c r="H33" s="41" t="str">
        <f>Effort!H31</f>
        <v>CLOSED</v>
      </c>
      <c r="I33" s="42" t="str">
        <f>Harvest!H31</f>
        <v>CLOSED</v>
      </c>
      <c r="J33" s="43" t="str">
        <f>CPUE!H31</f>
        <v>CLOSED</v>
      </c>
      <c r="K33" s="41" t="str">
        <f>Effort!J31</f>
        <v>CLOSED</v>
      </c>
      <c r="L33" s="42" t="str">
        <f>Harvest!J31</f>
        <v>CLOSED</v>
      </c>
      <c r="M33" s="43" t="str">
        <f>CPUE!J31</f>
        <v>CLOSED</v>
      </c>
      <c r="N33" s="41" t="str">
        <f>Effort!L31</f>
        <v>CLOSED</v>
      </c>
      <c r="O33" s="42" t="str">
        <f>Harvest!L31</f>
        <v>CLOSED</v>
      </c>
      <c r="P33" s="43" t="str">
        <f>CPUE!L31</f>
        <v>CLOSED</v>
      </c>
      <c r="Q33" s="41" t="s">
        <v>10</v>
      </c>
      <c r="R33" s="42" t="s">
        <v>10</v>
      </c>
      <c r="S33" s="44" t="s">
        <v>10</v>
      </c>
      <c r="T33" s="41">
        <v>0</v>
      </c>
      <c r="U33" s="42">
        <v>0</v>
      </c>
      <c r="V33" s="42"/>
    </row>
    <row r="34" spans="1:24" x14ac:dyDescent="0.25">
      <c r="A34" s="39">
        <v>44875</v>
      </c>
      <c r="B34" s="40" t="s">
        <v>24</v>
      </c>
      <c r="C34" s="8">
        <v>-0.6</v>
      </c>
      <c r="D34" s="13">
        <v>0.8208333333333333</v>
      </c>
      <c r="E34" s="41" t="str">
        <f>Effort!F32</f>
        <v>CLOSED</v>
      </c>
      <c r="F34" s="42" t="str">
        <f>Harvest!F32</f>
        <v>CLOSED</v>
      </c>
      <c r="G34" s="43" t="str">
        <f>+CPUE!F32</f>
        <v>CLOSED</v>
      </c>
      <c r="H34" s="41" t="str">
        <f>Effort!H32</f>
        <v>CLOSED</v>
      </c>
      <c r="I34" s="42" t="str">
        <f>Harvest!H32</f>
        <v>CLOSED</v>
      </c>
      <c r="J34" s="43" t="str">
        <f>CPUE!H32</f>
        <v>CLOSED</v>
      </c>
      <c r="K34" s="41" t="str">
        <f>Effort!J32</f>
        <v>CLOSED</v>
      </c>
      <c r="L34" s="42" t="str">
        <f>Harvest!J32</f>
        <v>CLOSED</v>
      </c>
      <c r="M34" s="43" t="str">
        <f>CPUE!J32</f>
        <v>CLOSED</v>
      </c>
      <c r="N34" s="41" t="str">
        <f>Effort!L32</f>
        <v>CLOSED</v>
      </c>
      <c r="O34" s="42" t="str">
        <f>Harvest!L32</f>
        <v>CLOSED</v>
      </c>
      <c r="P34" s="43" t="str">
        <f>CPUE!L32</f>
        <v>CLOSED</v>
      </c>
      <c r="Q34" s="41" t="s">
        <v>10</v>
      </c>
      <c r="R34" s="42" t="s">
        <v>10</v>
      </c>
      <c r="S34" s="44" t="s">
        <v>10</v>
      </c>
      <c r="T34" s="41">
        <v>0</v>
      </c>
      <c r="U34" s="42">
        <v>0</v>
      </c>
      <c r="V34" s="42"/>
    </row>
    <row r="35" spans="1:24" x14ac:dyDescent="0.25">
      <c r="A35" s="39">
        <v>44876</v>
      </c>
      <c r="B35" s="40" t="s">
        <v>18</v>
      </c>
      <c r="C35" s="8">
        <v>-0.2</v>
      </c>
      <c r="D35" s="13">
        <v>0.84652777777777777</v>
      </c>
      <c r="E35" s="41" t="str">
        <f>Effort!F33</f>
        <v>CLOSED</v>
      </c>
      <c r="F35" s="42" t="str">
        <f>Harvest!F33</f>
        <v>CLOSED</v>
      </c>
      <c r="G35" s="43" t="str">
        <f>+CPUE!F33</f>
        <v>CLOSED</v>
      </c>
      <c r="H35" s="41" t="str">
        <f>Effort!H33</f>
        <v>CLOSED</v>
      </c>
      <c r="I35" s="42" t="str">
        <f>Harvest!H33</f>
        <v>CLOSED</v>
      </c>
      <c r="J35" s="43" t="str">
        <f>CPUE!H33</f>
        <v>CLOSED</v>
      </c>
      <c r="K35" s="41" t="str">
        <f>Effort!J33</f>
        <v>CLOSED</v>
      </c>
      <c r="L35" s="42" t="str">
        <f>Harvest!J33</f>
        <v>CLOSED</v>
      </c>
      <c r="M35" s="43" t="str">
        <f>CPUE!J33</f>
        <v>CLOSED</v>
      </c>
      <c r="N35" s="41" t="str">
        <f>Effort!L33</f>
        <v>CLOSED</v>
      </c>
      <c r="O35" s="42" t="str">
        <f>Harvest!L33</f>
        <v>CLOSED</v>
      </c>
      <c r="P35" s="43" t="str">
        <f>CPUE!L33</f>
        <v>CLOSED</v>
      </c>
      <c r="Q35" s="41" t="s">
        <v>10</v>
      </c>
      <c r="R35" s="42" t="s">
        <v>10</v>
      </c>
      <c r="S35" s="44" t="s">
        <v>10</v>
      </c>
      <c r="T35" s="41">
        <v>0</v>
      </c>
      <c r="U35" s="42">
        <v>0</v>
      </c>
      <c r="V35" s="42"/>
    </row>
    <row r="36" spans="1:24" x14ac:dyDescent="0.25">
      <c r="A36" s="39">
        <v>44877</v>
      </c>
      <c r="B36" s="40" t="s">
        <v>19</v>
      </c>
      <c r="C36" s="8">
        <v>0.1</v>
      </c>
      <c r="D36" s="13">
        <v>0.87430555555555556</v>
      </c>
      <c r="E36" s="41" t="str">
        <f>Effort!F34</f>
        <v>CLOSED</v>
      </c>
      <c r="F36" s="42" t="str">
        <f>Harvest!F34</f>
        <v>CLOSED</v>
      </c>
      <c r="G36" s="43" t="str">
        <f>+CPUE!F34</f>
        <v>CLOSED</v>
      </c>
      <c r="H36" s="41" t="str">
        <f>Effort!H34</f>
        <v>CLOSED</v>
      </c>
      <c r="I36" s="42" t="str">
        <f>Harvest!H34</f>
        <v>CLOSED</v>
      </c>
      <c r="J36" s="43" t="str">
        <f>CPUE!H34</f>
        <v>CLOSED</v>
      </c>
      <c r="K36" s="41" t="str">
        <f>Effort!J34</f>
        <v>CLOSED</v>
      </c>
      <c r="L36" s="42" t="str">
        <f>Harvest!J34</f>
        <v>CLOSED</v>
      </c>
      <c r="M36" s="43" t="str">
        <f>CPUE!J34</f>
        <v>CLOSED</v>
      </c>
      <c r="N36" s="41" t="str">
        <f>Effort!L34</f>
        <v>CLOSED</v>
      </c>
      <c r="O36" s="42" t="str">
        <f>Harvest!L34</f>
        <v>CLOSED</v>
      </c>
      <c r="P36" s="43" t="str">
        <f>CPUE!L34</f>
        <v>CLOSED</v>
      </c>
      <c r="Q36" s="41" t="s">
        <v>10</v>
      </c>
      <c r="R36" s="42" t="s">
        <v>10</v>
      </c>
      <c r="S36" s="44" t="s">
        <v>10</v>
      </c>
      <c r="T36" s="41">
        <v>0</v>
      </c>
      <c r="U36" s="42">
        <v>0</v>
      </c>
      <c r="V36" s="42"/>
    </row>
    <row r="37" spans="1:24" x14ac:dyDescent="0.25">
      <c r="A37" s="39">
        <v>44878</v>
      </c>
      <c r="B37" s="40" t="s">
        <v>20</v>
      </c>
      <c r="C37" s="8">
        <v>0.5</v>
      </c>
      <c r="D37" s="13">
        <v>0.90486111111111101</v>
      </c>
      <c r="E37" s="41" t="str">
        <f>Effort!F35</f>
        <v>CLOSED</v>
      </c>
      <c r="F37" s="42" t="str">
        <f>Harvest!F35</f>
        <v>CLOSED</v>
      </c>
      <c r="G37" s="43" t="str">
        <f>+CPUE!F35</f>
        <v>CLOSED</v>
      </c>
      <c r="H37" s="41" t="str">
        <f>Effort!H35</f>
        <v>CLOSED</v>
      </c>
      <c r="I37" s="42" t="str">
        <f>Harvest!H35</f>
        <v>CLOSED</v>
      </c>
      <c r="J37" s="43" t="str">
        <f>CPUE!H35</f>
        <v>CLOSED</v>
      </c>
      <c r="K37" s="41" t="str">
        <f>Effort!J35</f>
        <v>CLOSED</v>
      </c>
      <c r="L37" s="42" t="str">
        <f>Harvest!J35</f>
        <v>CLOSED</v>
      </c>
      <c r="M37" s="43" t="str">
        <f>CPUE!J35</f>
        <v>CLOSED</v>
      </c>
      <c r="N37" s="41" t="str">
        <f>Effort!L35</f>
        <v>CLOSED</v>
      </c>
      <c r="O37" s="42" t="str">
        <f>Harvest!L35</f>
        <v>CLOSED</v>
      </c>
      <c r="P37" s="43" t="str">
        <f>CPUE!L35</f>
        <v>CLOSED</v>
      </c>
      <c r="Q37" s="41" t="s">
        <v>10</v>
      </c>
      <c r="R37" s="42" t="s">
        <v>10</v>
      </c>
      <c r="S37" s="44" t="s">
        <v>10</v>
      </c>
      <c r="T37" s="41">
        <v>0</v>
      </c>
      <c r="U37" s="42">
        <v>0</v>
      </c>
      <c r="V37" s="42"/>
    </row>
    <row r="38" spans="1:24" x14ac:dyDescent="0.25">
      <c r="A38" s="117" t="s">
        <v>57</v>
      </c>
      <c r="B38" s="117"/>
      <c r="C38" s="117"/>
      <c r="D38" s="118"/>
      <c r="E38" s="47">
        <f>SUM(E30:E37)</f>
        <v>0</v>
      </c>
      <c r="F38" s="48">
        <f>SUM(F30:F37)</f>
        <v>0</v>
      </c>
      <c r="G38" s="49">
        <v>0</v>
      </c>
      <c r="H38" s="47">
        <f>SUM(H30:H37)</f>
        <v>0</v>
      </c>
      <c r="I38" s="48">
        <f>SUM(I30:I37)</f>
        <v>0</v>
      </c>
      <c r="J38" s="49">
        <v>0</v>
      </c>
      <c r="K38" s="47">
        <f>SUM(K30:K37)</f>
        <v>0</v>
      </c>
      <c r="L38" s="48">
        <f>SUM(L30:L37)</f>
        <v>0</v>
      </c>
      <c r="M38" s="49">
        <v>0</v>
      </c>
      <c r="N38" s="47">
        <f>SUM(N29:N37)</f>
        <v>0</v>
      </c>
      <c r="O38" s="48">
        <f>SUM(O29:O37)</f>
        <v>0</v>
      </c>
      <c r="P38" s="49">
        <v>0</v>
      </c>
      <c r="Q38" s="47"/>
      <c r="R38" s="48"/>
      <c r="S38" s="49"/>
      <c r="T38" s="47">
        <f>SUM(T30:T37)</f>
        <v>0</v>
      </c>
      <c r="U38" s="48">
        <f>SUM(U30:U37)</f>
        <v>0</v>
      </c>
      <c r="V38" s="64"/>
      <c r="W38" s="20">
        <f>SUM(H38,K38,N38,Q38,E38)</f>
        <v>0</v>
      </c>
      <c r="X38" s="20">
        <f>SUM(R38,O38,L38,I38,F38)</f>
        <v>0</v>
      </c>
    </row>
    <row r="39" spans="1:24" x14ac:dyDescent="0.25">
      <c r="A39" s="39">
        <v>44887</v>
      </c>
      <c r="B39" s="40" t="s">
        <v>22</v>
      </c>
      <c r="C39" s="8">
        <v>-0.6</v>
      </c>
      <c r="D39" s="13">
        <v>0.72361111111111109</v>
      </c>
      <c r="E39" s="41" t="str">
        <f>Effort!F37</f>
        <v>CLOSED</v>
      </c>
      <c r="F39" s="42" t="str">
        <f>Harvest!F37</f>
        <v>CLOSED</v>
      </c>
      <c r="G39" s="43" t="str">
        <f>+CPUE!F37</f>
        <v>CLOSED</v>
      </c>
      <c r="H39" s="41" t="str">
        <f>Effort!H37</f>
        <v>CLOSED</v>
      </c>
      <c r="I39" s="42" t="str">
        <f>Harvest!H37</f>
        <v>CLOSED</v>
      </c>
      <c r="J39" s="43" t="str">
        <f>CPUE!H37</f>
        <v>CLOSED</v>
      </c>
      <c r="K39" s="41" t="str">
        <f>Effort!J37</f>
        <v>CLOSED</v>
      </c>
      <c r="L39" s="42" t="str">
        <f>Harvest!J37</f>
        <v>CLOSED</v>
      </c>
      <c r="M39" s="43" t="str">
        <f>CPUE!J37</f>
        <v>CLOSED</v>
      </c>
      <c r="N39" s="41" t="str">
        <f>Effort!L37</f>
        <v>CLOSED</v>
      </c>
      <c r="O39" s="42" t="str">
        <f>Harvest!L37</f>
        <v>CLOSED</v>
      </c>
      <c r="P39" s="43" t="str">
        <f>CPUE!L37</f>
        <v>CLOSED</v>
      </c>
      <c r="Q39" s="41" t="s">
        <v>10</v>
      </c>
      <c r="R39" s="42" t="s">
        <v>10</v>
      </c>
      <c r="S39" s="44" t="s">
        <v>10</v>
      </c>
      <c r="T39" s="41">
        <v>0</v>
      </c>
      <c r="U39" s="42">
        <v>0</v>
      </c>
      <c r="V39" s="42"/>
    </row>
    <row r="40" spans="1:24" x14ac:dyDescent="0.25">
      <c r="A40" s="39">
        <v>44888</v>
      </c>
      <c r="B40" s="40" t="s">
        <v>23</v>
      </c>
      <c r="C40" s="8">
        <v>-1.2</v>
      </c>
      <c r="D40" s="13">
        <v>0.75277777777777777</v>
      </c>
      <c r="E40" s="41" t="str">
        <f>Effort!F38</f>
        <v>CLOSED</v>
      </c>
      <c r="F40" s="42" t="str">
        <f>Harvest!F38</f>
        <v>CLOSED</v>
      </c>
      <c r="G40" s="43" t="str">
        <f>+CPUE!F38</f>
        <v>CLOSED</v>
      </c>
      <c r="H40" s="41" t="str">
        <f>Effort!H38</f>
        <v>CLOSED</v>
      </c>
      <c r="I40" s="42" t="str">
        <f>Harvest!H38</f>
        <v>CLOSED</v>
      </c>
      <c r="J40" s="43" t="str">
        <f>CPUE!H38</f>
        <v>CLOSED</v>
      </c>
      <c r="K40" s="41" t="str">
        <f>Effort!J38</f>
        <v>CLOSED</v>
      </c>
      <c r="L40" s="42" t="str">
        <f>Harvest!J38</f>
        <v>CLOSED</v>
      </c>
      <c r="M40" s="43" t="str">
        <f>CPUE!J38</f>
        <v>CLOSED</v>
      </c>
      <c r="N40" s="41" t="str">
        <f>Effort!L38</f>
        <v>CLOSED</v>
      </c>
      <c r="O40" s="42" t="str">
        <f>Harvest!L38</f>
        <v>CLOSED</v>
      </c>
      <c r="P40" s="43" t="str">
        <f>CPUE!L38</f>
        <v>CLOSED</v>
      </c>
      <c r="Q40" s="41" t="s">
        <v>10</v>
      </c>
      <c r="R40" s="42" t="s">
        <v>10</v>
      </c>
      <c r="S40" s="44" t="s">
        <v>10</v>
      </c>
      <c r="T40" s="41">
        <v>0</v>
      </c>
      <c r="U40" s="42">
        <v>0</v>
      </c>
      <c r="V40" s="42"/>
    </row>
    <row r="41" spans="1:24" x14ac:dyDescent="0.25">
      <c r="A41" s="39">
        <v>44889</v>
      </c>
      <c r="B41" s="40" t="s">
        <v>24</v>
      </c>
      <c r="C41" s="8">
        <v>-1.6</v>
      </c>
      <c r="D41" s="13">
        <v>0.78333333333333333</v>
      </c>
      <c r="E41" s="41" t="str">
        <f>Effort!F39</f>
        <v>CLOSED</v>
      </c>
      <c r="F41" s="42" t="str">
        <f>Harvest!F39</f>
        <v>CLOSED</v>
      </c>
      <c r="G41" s="43" t="str">
        <f>+CPUE!F39</f>
        <v>CLOSED</v>
      </c>
      <c r="H41" s="41" t="str">
        <f>Effort!H39</f>
        <v>CLOSED</v>
      </c>
      <c r="I41" s="42" t="str">
        <f>Harvest!H39</f>
        <v>CLOSED</v>
      </c>
      <c r="J41" s="43" t="str">
        <f>CPUE!H39</f>
        <v>CLOSED</v>
      </c>
      <c r="K41" s="41" t="str">
        <f>Effort!J39</f>
        <v>CLOSED</v>
      </c>
      <c r="L41" s="42" t="str">
        <f>Harvest!J39</f>
        <v>CLOSED</v>
      </c>
      <c r="M41" s="43" t="str">
        <f>CPUE!J39</f>
        <v>CLOSED</v>
      </c>
      <c r="N41" s="41" t="str">
        <f>Effort!L39</f>
        <v>CLOSED</v>
      </c>
      <c r="O41" s="42" t="str">
        <f>Harvest!L39</f>
        <v>CLOSED</v>
      </c>
      <c r="P41" s="43" t="str">
        <f>CPUE!L39</f>
        <v>CLOSED</v>
      </c>
      <c r="Q41" s="41" t="s">
        <v>10</v>
      </c>
      <c r="R41" s="42" t="s">
        <v>10</v>
      </c>
      <c r="S41" s="44" t="s">
        <v>10</v>
      </c>
      <c r="T41" s="41">
        <v>0</v>
      </c>
      <c r="U41" s="42">
        <v>0</v>
      </c>
      <c r="V41" s="42"/>
    </row>
    <row r="42" spans="1:24" x14ac:dyDescent="0.25">
      <c r="A42" s="39">
        <v>44890</v>
      </c>
      <c r="B42" s="40" t="s">
        <v>18</v>
      </c>
      <c r="C42" s="8">
        <v>-1.6</v>
      </c>
      <c r="D42" s="13">
        <v>0.81597222222222221</v>
      </c>
      <c r="E42" s="41" t="str">
        <f>Effort!F40</f>
        <v>CLOSED</v>
      </c>
      <c r="F42" s="42" t="str">
        <f>Harvest!F40</f>
        <v>CLOSED</v>
      </c>
      <c r="G42" s="43" t="str">
        <f>+CPUE!F40</f>
        <v>CLOSED</v>
      </c>
      <c r="H42" s="41" t="str">
        <f>Effort!H40</f>
        <v>CLOSED</v>
      </c>
      <c r="I42" s="42" t="str">
        <f>Harvest!H40</f>
        <v>CLOSED</v>
      </c>
      <c r="J42" s="43" t="str">
        <f>CPUE!H40</f>
        <v>CLOSED</v>
      </c>
      <c r="K42" s="41" t="str">
        <f>Effort!J40</f>
        <v>CLOSED</v>
      </c>
      <c r="L42" s="42" t="str">
        <f>Harvest!J40</f>
        <v>CLOSED</v>
      </c>
      <c r="M42" s="43" t="str">
        <f>CPUE!J40</f>
        <v>CLOSED</v>
      </c>
      <c r="N42" s="41" t="str">
        <f>Effort!L40</f>
        <v>CLOSED</v>
      </c>
      <c r="O42" s="42" t="str">
        <f>Harvest!L40</f>
        <v>CLOSED</v>
      </c>
      <c r="P42" s="43" t="str">
        <f>CPUE!L40</f>
        <v>CLOSED</v>
      </c>
      <c r="Q42" s="41" t="s">
        <v>10</v>
      </c>
      <c r="R42" s="42" t="s">
        <v>10</v>
      </c>
      <c r="S42" s="44" t="s">
        <v>10</v>
      </c>
      <c r="T42" s="41">
        <v>0</v>
      </c>
      <c r="U42" s="42">
        <v>0</v>
      </c>
      <c r="V42" s="42"/>
    </row>
    <row r="43" spans="1:24" x14ac:dyDescent="0.25">
      <c r="A43" s="39">
        <v>44891</v>
      </c>
      <c r="B43" s="40" t="s">
        <v>19</v>
      </c>
      <c r="C43" s="8">
        <v>-1.5</v>
      </c>
      <c r="D43" s="13">
        <v>0.84930555555555554</v>
      </c>
      <c r="E43" s="41" t="str">
        <f>Effort!F41</f>
        <v>CLOSED</v>
      </c>
      <c r="F43" s="42" t="str">
        <f>Harvest!F41</f>
        <v>CLOSED</v>
      </c>
      <c r="G43" s="43" t="str">
        <f>+CPUE!F41</f>
        <v>CLOSED</v>
      </c>
      <c r="H43" s="41" t="str">
        <f>Effort!H41</f>
        <v>CLOSED</v>
      </c>
      <c r="I43" s="42" t="str">
        <f>Harvest!H41</f>
        <v>CLOSED</v>
      </c>
      <c r="J43" s="43" t="str">
        <f>CPUE!H41</f>
        <v>CLOSED</v>
      </c>
      <c r="K43" s="41" t="str">
        <f>Effort!J41</f>
        <v>CLOSED</v>
      </c>
      <c r="L43" s="42" t="str">
        <f>Harvest!J41</f>
        <v>CLOSED</v>
      </c>
      <c r="M43" s="43" t="str">
        <f>CPUE!J41</f>
        <v>CLOSED</v>
      </c>
      <c r="N43" s="41" t="str">
        <f>Effort!L41</f>
        <v>CLOSED</v>
      </c>
      <c r="O43" s="42" t="str">
        <f>Harvest!L41</f>
        <v>CLOSED</v>
      </c>
      <c r="P43" s="43" t="str">
        <f>CPUE!L41</f>
        <v>CLOSED</v>
      </c>
      <c r="Q43" s="41" t="s">
        <v>10</v>
      </c>
      <c r="R43" s="42" t="s">
        <v>10</v>
      </c>
      <c r="S43" s="44" t="s">
        <v>10</v>
      </c>
      <c r="T43" s="41">
        <v>0</v>
      </c>
      <c r="U43" s="42">
        <v>0</v>
      </c>
      <c r="V43" s="42"/>
    </row>
    <row r="44" spans="1:24" x14ac:dyDescent="0.25">
      <c r="A44" s="39">
        <v>44892</v>
      </c>
      <c r="B44" s="40" t="s">
        <v>20</v>
      </c>
      <c r="C44" s="8">
        <v>-1.1000000000000001</v>
      </c>
      <c r="D44" s="13">
        <v>0.88541666666666663</v>
      </c>
      <c r="E44" s="41" t="str">
        <f>Effort!F42</f>
        <v>CLOSED</v>
      </c>
      <c r="F44" s="42" t="str">
        <f>Harvest!F42</f>
        <v>CLOSED</v>
      </c>
      <c r="G44" s="43" t="str">
        <f>+CPUE!F42</f>
        <v>CLOSED</v>
      </c>
      <c r="H44" s="41" t="str">
        <f>Effort!H42</f>
        <v>CLOSED</v>
      </c>
      <c r="I44" s="42" t="str">
        <f>Harvest!H42</f>
        <v>CLOSED</v>
      </c>
      <c r="J44" s="43" t="str">
        <f>CPUE!H42</f>
        <v>CLOSED</v>
      </c>
      <c r="K44" s="41" t="str">
        <f>Effort!J42</f>
        <v>CLOSED</v>
      </c>
      <c r="L44" s="42" t="str">
        <f>Harvest!J42</f>
        <v>CLOSED</v>
      </c>
      <c r="M44" s="43" t="str">
        <f>CPUE!J42</f>
        <v>CLOSED</v>
      </c>
      <c r="N44" s="41" t="str">
        <f>Effort!L42</f>
        <v>CLOSED</v>
      </c>
      <c r="O44" s="42" t="str">
        <f>Harvest!L42</f>
        <v>CLOSED</v>
      </c>
      <c r="P44" s="43" t="str">
        <f>CPUE!L42</f>
        <v>CLOSED</v>
      </c>
      <c r="Q44" s="41" t="s">
        <v>10</v>
      </c>
      <c r="R44" s="42" t="s">
        <v>10</v>
      </c>
      <c r="S44" s="44" t="s">
        <v>10</v>
      </c>
      <c r="T44" s="41">
        <v>0</v>
      </c>
      <c r="U44" s="42">
        <v>0</v>
      </c>
      <c r="V44" s="42"/>
    </row>
    <row r="45" spans="1:24" x14ac:dyDescent="0.25">
      <c r="A45" s="39">
        <v>44893</v>
      </c>
      <c r="B45" s="40" t="s">
        <v>21</v>
      </c>
      <c r="C45" s="8">
        <v>-0.5</v>
      </c>
      <c r="D45" s="13">
        <v>0.92361111111111116</v>
      </c>
      <c r="E45" s="41" t="str">
        <f>Effort!F43</f>
        <v>CLOSED</v>
      </c>
      <c r="F45" s="42" t="str">
        <f>Harvest!F43</f>
        <v>CLOSED</v>
      </c>
      <c r="G45" s="43" t="str">
        <f>+CPUE!F43</f>
        <v>CLOSED</v>
      </c>
      <c r="H45" s="41" t="str">
        <f>Effort!H43</f>
        <v>CLOSED</v>
      </c>
      <c r="I45" s="42" t="str">
        <f>Harvest!H43</f>
        <v>CLOSED</v>
      </c>
      <c r="J45" s="43" t="str">
        <f>CPUE!H43</f>
        <v>CLOSED</v>
      </c>
      <c r="K45" s="41" t="str">
        <f>Effort!J43</f>
        <v>CLOSED</v>
      </c>
      <c r="L45" s="42" t="str">
        <f>Harvest!J43</f>
        <v>CLOSED</v>
      </c>
      <c r="M45" s="43" t="str">
        <f>CPUE!J43</f>
        <v>CLOSED</v>
      </c>
      <c r="N45" s="41" t="str">
        <f>Effort!L43</f>
        <v>CLOSED</v>
      </c>
      <c r="O45" s="42" t="str">
        <f>Harvest!L43</f>
        <v>CLOSED</v>
      </c>
      <c r="P45" s="43" t="str">
        <f>CPUE!L43</f>
        <v>CLOSED</v>
      </c>
      <c r="Q45" s="41" t="s">
        <v>10</v>
      </c>
      <c r="R45" s="42" t="s">
        <v>10</v>
      </c>
      <c r="S45" s="44" t="s">
        <v>10</v>
      </c>
      <c r="T45" s="41">
        <v>0</v>
      </c>
      <c r="U45" s="42">
        <v>0</v>
      </c>
      <c r="V45" s="42"/>
    </row>
    <row r="46" spans="1:24" x14ac:dyDescent="0.25">
      <c r="A46" s="117" t="s">
        <v>57</v>
      </c>
      <c r="B46" s="117"/>
      <c r="C46" s="117"/>
      <c r="D46" s="118"/>
      <c r="E46" s="47">
        <f>SUM(E39:E45)</f>
        <v>0</v>
      </c>
      <c r="F46" s="48">
        <f>SUM(F39:F45)</f>
        <v>0</v>
      </c>
      <c r="G46" s="49">
        <v>0</v>
      </c>
      <c r="H46" s="47">
        <f>SUM(H39:H45)</f>
        <v>0</v>
      </c>
      <c r="I46" s="48">
        <f>SUM(I39:I45)</f>
        <v>0</v>
      </c>
      <c r="J46" s="49">
        <v>0</v>
      </c>
      <c r="K46" s="47">
        <f>SUM(K39:K45)</f>
        <v>0</v>
      </c>
      <c r="L46" s="48">
        <f>SUM(L39:L45)</f>
        <v>0</v>
      </c>
      <c r="M46" s="49">
        <v>0</v>
      </c>
      <c r="N46" s="47">
        <f>SUM(N37:N45)</f>
        <v>0</v>
      </c>
      <c r="O46" s="48">
        <f>SUM(O37:O45)</f>
        <v>0</v>
      </c>
      <c r="P46" s="49">
        <v>0</v>
      </c>
      <c r="Q46" s="47"/>
      <c r="R46" s="48"/>
      <c r="S46" s="49"/>
      <c r="T46" s="47">
        <f>SUM(T39:T45)</f>
        <v>0</v>
      </c>
      <c r="U46" s="48">
        <f>SUM(U39:U45)</f>
        <v>0</v>
      </c>
      <c r="V46" s="64"/>
      <c r="W46" s="20">
        <f>SUM(H46,K46,N46,Q46,E46)</f>
        <v>0</v>
      </c>
      <c r="X46" s="20">
        <f>SUM(R46,O46,L46,I46,F46)</f>
        <v>0</v>
      </c>
    </row>
    <row r="47" spans="1:24" x14ac:dyDescent="0.25">
      <c r="A47" s="39">
        <v>44899</v>
      </c>
      <c r="B47" s="40" t="s">
        <v>20</v>
      </c>
      <c r="C47" s="8">
        <v>0.4</v>
      </c>
      <c r="D47" s="13">
        <v>0.67291666666666661</v>
      </c>
      <c r="E47" s="41" t="str">
        <f>Effort!F45</f>
        <v>CLOSED</v>
      </c>
      <c r="F47" s="42" t="str">
        <f>Harvest!F45</f>
        <v>CLOSED</v>
      </c>
      <c r="G47" s="43" t="str">
        <f>+CPUE!F45</f>
        <v>CLOSED</v>
      </c>
      <c r="H47" s="41" t="str">
        <f>Effort!H45</f>
        <v>CLOSED</v>
      </c>
      <c r="I47" s="42" t="str">
        <f>Harvest!H45</f>
        <v>CLOSED</v>
      </c>
      <c r="J47" s="43" t="str">
        <f>CPUE!H45</f>
        <v>CLOSED</v>
      </c>
      <c r="K47" s="41" t="str">
        <f>Effort!J45</f>
        <v>CLOSED</v>
      </c>
      <c r="L47" s="42" t="str">
        <f>Harvest!J45</f>
        <v>CLOSED</v>
      </c>
      <c r="M47" s="43" t="str">
        <f>CPUE!J45</f>
        <v>CLOSED</v>
      </c>
      <c r="N47" s="41" t="str">
        <f>Effort!L45</f>
        <v>CLOSED</v>
      </c>
      <c r="O47" s="42" t="str">
        <f>Harvest!L45</f>
        <v>CLOSED</v>
      </c>
      <c r="P47" s="43" t="str">
        <f>CPUE!L45</f>
        <v>CLOSED</v>
      </c>
      <c r="Q47" s="41" t="s">
        <v>10</v>
      </c>
      <c r="R47" s="42" t="s">
        <v>10</v>
      </c>
      <c r="S47" s="44" t="s">
        <v>10</v>
      </c>
      <c r="T47" s="41">
        <v>0</v>
      </c>
      <c r="U47" s="42">
        <v>0</v>
      </c>
      <c r="V47" s="42"/>
    </row>
    <row r="48" spans="1:24" x14ac:dyDescent="0.25">
      <c r="A48" s="39">
        <v>44900</v>
      </c>
      <c r="B48" s="40" t="s">
        <v>21</v>
      </c>
      <c r="C48" s="8">
        <v>-0.1</v>
      </c>
      <c r="D48" s="13">
        <v>0.70347222222222217</v>
      </c>
      <c r="E48" s="41" t="str">
        <f>Effort!F46</f>
        <v>CLOSED</v>
      </c>
      <c r="F48" s="42" t="str">
        <f>Harvest!F46</f>
        <v>CLOSED</v>
      </c>
      <c r="G48" s="43" t="str">
        <f>+CPUE!F46</f>
        <v>CLOSED</v>
      </c>
      <c r="H48" s="41" t="str">
        <f>Effort!H46</f>
        <v>CLOSED</v>
      </c>
      <c r="I48" s="42" t="str">
        <f>Harvest!H46</f>
        <v>CLOSED</v>
      </c>
      <c r="J48" s="43" t="str">
        <f>CPUE!H46</f>
        <v>CLOSED</v>
      </c>
      <c r="K48" s="41" t="str">
        <f>Effort!J46</f>
        <v>CLOSED</v>
      </c>
      <c r="L48" s="42" t="str">
        <f>Harvest!J46</f>
        <v>CLOSED</v>
      </c>
      <c r="M48" s="43" t="str">
        <f>CPUE!J46</f>
        <v>CLOSED</v>
      </c>
      <c r="N48" s="41" t="str">
        <f>Effort!L46</f>
        <v>CLOSED</v>
      </c>
      <c r="O48" s="42" t="str">
        <f>Harvest!L46</f>
        <v>CLOSED</v>
      </c>
      <c r="P48" s="43" t="str">
        <f>CPUE!L46</f>
        <v>CLOSED</v>
      </c>
      <c r="Q48" s="41" t="s">
        <v>10</v>
      </c>
      <c r="R48" s="42" t="s">
        <v>10</v>
      </c>
      <c r="S48" s="44" t="s">
        <v>10</v>
      </c>
      <c r="T48" s="41">
        <v>0</v>
      </c>
      <c r="U48" s="42">
        <v>0</v>
      </c>
      <c r="V48" s="42"/>
    </row>
    <row r="49" spans="1:24" x14ac:dyDescent="0.25">
      <c r="A49" s="39">
        <v>44901</v>
      </c>
      <c r="B49" s="40" t="s">
        <v>22</v>
      </c>
      <c r="C49" s="8">
        <v>-0.5</v>
      </c>
      <c r="D49" s="13">
        <v>0.73125000000000007</v>
      </c>
      <c r="E49" s="41" t="str">
        <f>Effort!F47</f>
        <v>CLOSED</v>
      </c>
      <c r="F49" s="42" t="str">
        <f>Harvest!F47</f>
        <v>CLOSED</v>
      </c>
      <c r="G49" s="43" t="str">
        <f>+CPUE!F47</f>
        <v>CLOSED</v>
      </c>
      <c r="H49" s="41" t="str">
        <f>Effort!H47</f>
        <v>CLOSED</v>
      </c>
      <c r="I49" s="42" t="str">
        <f>Harvest!H47</f>
        <v>CLOSED</v>
      </c>
      <c r="J49" s="43" t="str">
        <f>CPUE!H47</f>
        <v>CLOSED</v>
      </c>
      <c r="K49" s="41" t="str">
        <f>Effort!J47</f>
        <v>CLOSED</v>
      </c>
      <c r="L49" s="42" t="str">
        <f>Harvest!J47</f>
        <v>CLOSED</v>
      </c>
      <c r="M49" s="43" t="str">
        <f>CPUE!J47</f>
        <v>CLOSED</v>
      </c>
      <c r="N49" s="41" t="str">
        <f>Effort!L47</f>
        <v>CLOSED</v>
      </c>
      <c r="O49" s="42" t="str">
        <f>Harvest!L47</f>
        <v>CLOSED</v>
      </c>
      <c r="P49" s="43" t="str">
        <f>CPUE!L47</f>
        <v>CLOSED</v>
      </c>
      <c r="Q49" s="41" t="s">
        <v>10</v>
      </c>
      <c r="R49" s="42" t="s">
        <v>10</v>
      </c>
      <c r="S49" s="44" t="s">
        <v>10</v>
      </c>
      <c r="T49" s="41">
        <v>0</v>
      </c>
      <c r="U49" s="42">
        <v>0</v>
      </c>
      <c r="V49" s="42"/>
    </row>
    <row r="50" spans="1:24" x14ac:dyDescent="0.25">
      <c r="A50" s="39">
        <v>44902</v>
      </c>
      <c r="B50" s="40" t="s">
        <v>23</v>
      </c>
      <c r="C50" s="8">
        <v>-0.6</v>
      </c>
      <c r="D50" s="13">
        <v>0.75763888888888886</v>
      </c>
      <c r="E50" s="41" t="str">
        <f>Effort!F48</f>
        <v>CLOSED</v>
      </c>
      <c r="F50" s="42" t="str">
        <f>Harvest!F48</f>
        <v>CLOSED</v>
      </c>
      <c r="G50" s="43" t="str">
        <f>+CPUE!F48</f>
        <v>CLOSED</v>
      </c>
      <c r="H50" s="41" t="str">
        <f>Effort!H48</f>
        <v>CLOSED</v>
      </c>
      <c r="I50" s="42" t="str">
        <f>Harvest!H48</f>
        <v>CLOSED</v>
      </c>
      <c r="J50" s="43" t="str">
        <f>CPUE!H48</f>
        <v>CLOSED</v>
      </c>
      <c r="K50" s="41" t="str">
        <f>Effort!J48</f>
        <v>CLOSED</v>
      </c>
      <c r="L50" s="42" t="str">
        <f>Harvest!J48</f>
        <v>CLOSED</v>
      </c>
      <c r="M50" s="43" t="str">
        <f>CPUE!J48</f>
        <v>CLOSED</v>
      </c>
      <c r="N50" s="41" t="str">
        <f>Effort!L48</f>
        <v>CLOSED</v>
      </c>
      <c r="O50" s="42" t="str">
        <f>Harvest!L48</f>
        <v>CLOSED</v>
      </c>
      <c r="P50" s="43" t="str">
        <f>CPUE!L48</f>
        <v>CLOSED</v>
      </c>
      <c r="Q50" s="41" t="s">
        <v>10</v>
      </c>
      <c r="R50" s="42" t="s">
        <v>10</v>
      </c>
      <c r="S50" s="44" t="s">
        <v>10</v>
      </c>
      <c r="T50" s="41">
        <v>0</v>
      </c>
      <c r="U50" s="42">
        <v>0</v>
      </c>
      <c r="V50" s="42"/>
    </row>
    <row r="51" spans="1:24" x14ac:dyDescent="0.25">
      <c r="A51" s="39">
        <v>44903</v>
      </c>
      <c r="B51" s="40" t="s">
        <v>24</v>
      </c>
      <c r="C51" s="8">
        <v>-0.6</v>
      </c>
      <c r="D51" s="13">
        <v>0.78263888888888899</v>
      </c>
      <c r="E51" s="41" t="str">
        <f>Effort!F49</f>
        <v>CLOSED</v>
      </c>
      <c r="F51" s="42" t="str">
        <f>Harvest!F49</f>
        <v>CLOSED</v>
      </c>
      <c r="G51" s="43" t="str">
        <f>+CPUE!F49</f>
        <v>CLOSED</v>
      </c>
      <c r="H51" s="41" t="str">
        <f>Effort!H49</f>
        <v>CLOSED</v>
      </c>
      <c r="I51" s="42" t="str">
        <f>Harvest!H49</f>
        <v>CLOSED</v>
      </c>
      <c r="J51" s="43" t="str">
        <f>CPUE!H49</f>
        <v>CLOSED</v>
      </c>
      <c r="K51" s="41" t="str">
        <f>Effort!J49</f>
        <v>CLOSED</v>
      </c>
      <c r="L51" s="42" t="str">
        <f>Harvest!J49</f>
        <v>CLOSED</v>
      </c>
      <c r="M51" s="43" t="str">
        <f>CPUE!J49</f>
        <v>CLOSED</v>
      </c>
      <c r="N51" s="41" t="str">
        <f>Effort!L49</f>
        <v>CLOSED</v>
      </c>
      <c r="O51" s="42" t="str">
        <f>Harvest!L49</f>
        <v>CLOSED</v>
      </c>
      <c r="P51" s="43" t="str">
        <f>CPUE!L49</f>
        <v>CLOSED</v>
      </c>
      <c r="Q51" s="41" t="s">
        <v>10</v>
      </c>
      <c r="R51" s="42" t="s">
        <v>10</v>
      </c>
      <c r="S51" s="44" t="s">
        <v>10</v>
      </c>
      <c r="T51" s="41">
        <v>0</v>
      </c>
      <c r="U51" s="42">
        <v>0</v>
      </c>
      <c r="V51" s="42"/>
    </row>
    <row r="52" spans="1:24" x14ac:dyDescent="0.25">
      <c r="A52" s="39">
        <v>44904</v>
      </c>
      <c r="B52" s="40" t="s">
        <v>18</v>
      </c>
      <c r="C52" s="8">
        <v>-0.5</v>
      </c>
      <c r="D52" s="13">
        <v>0.80763888888888891</v>
      </c>
      <c r="E52" s="41" t="str">
        <f>Effort!F50</f>
        <v>CLOSED</v>
      </c>
      <c r="F52" s="42" t="str">
        <f>Harvest!F50</f>
        <v>CLOSED</v>
      </c>
      <c r="G52" s="43" t="str">
        <f>+CPUE!F50</f>
        <v>CLOSED</v>
      </c>
      <c r="H52" s="41" t="str">
        <f>Effort!H50</f>
        <v>CLOSED</v>
      </c>
      <c r="I52" s="42" t="str">
        <f>Harvest!H50</f>
        <v>CLOSED</v>
      </c>
      <c r="J52" s="43" t="str">
        <f>CPUE!H50</f>
        <v>CLOSED</v>
      </c>
      <c r="K52" s="41" t="str">
        <f>Effort!J50</f>
        <v>CLOSED</v>
      </c>
      <c r="L52" s="42" t="str">
        <f>Harvest!J50</f>
        <v>CLOSED</v>
      </c>
      <c r="M52" s="43" t="str">
        <f>CPUE!J50</f>
        <v>CLOSED</v>
      </c>
      <c r="N52" s="41" t="str">
        <f>Effort!L50</f>
        <v>CLOSED</v>
      </c>
      <c r="O52" s="42" t="str">
        <f>Harvest!L50</f>
        <v>CLOSED</v>
      </c>
      <c r="P52" s="43" t="str">
        <f>CPUE!L50</f>
        <v>CLOSED</v>
      </c>
      <c r="Q52" s="41" t="s">
        <v>10</v>
      </c>
      <c r="R52" s="42" t="s">
        <v>10</v>
      </c>
      <c r="S52" s="44" t="s">
        <v>10</v>
      </c>
      <c r="T52" s="41">
        <v>0</v>
      </c>
      <c r="U52" s="42">
        <v>0</v>
      </c>
      <c r="V52" s="42"/>
    </row>
    <row r="53" spans="1:24" x14ac:dyDescent="0.25">
      <c r="A53" s="39">
        <v>44905</v>
      </c>
      <c r="B53" s="40" t="s">
        <v>19</v>
      </c>
      <c r="C53" s="8">
        <v>-0.3</v>
      </c>
      <c r="D53" s="13">
        <v>0.83263888888888893</v>
      </c>
      <c r="E53" s="41" t="str">
        <f>Effort!F51</f>
        <v>CLOSED</v>
      </c>
      <c r="F53" s="42" t="str">
        <f>Harvest!F51</f>
        <v>CLOSED</v>
      </c>
      <c r="G53" s="43" t="str">
        <f>+CPUE!F51</f>
        <v>CLOSED</v>
      </c>
      <c r="H53" s="41" t="str">
        <f>Effort!H51</f>
        <v>CLOSED</v>
      </c>
      <c r="I53" s="42" t="str">
        <f>Harvest!H51</f>
        <v>CLOSED</v>
      </c>
      <c r="J53" s="43" t="str">
        <f>CPUE!H51</f>
        <v>CLOSED</v>
      </c>
      <c r="K53" s="41" t="str">
        <f>Effort!J51</f>
        <v>CLOSED</v>
      </c>
      <c r="L53" s="42" t="str">
        <f>Harvest!J51</f>
        <v>CLOSED</v>
      </c>
      <c r="M53" s="43" t="str">
        <f>CPUE!J51</f>
        <v>CLOSED</v>
      </c>
      <c r="N53" s="41" t="str">
        <f>Effort!L51</f>
        <v>CLOSED</v>
      </c>
      <c r="O53" s="42" t="str">
        <f>Harvest!L51</f>
        <v>CLOSED</v>
      </c>
      <c r="P53" s="43" t="str">
        <f>CPUE!L51</f>
        <v>CLOSED</v>
      </c>
      <c r="Q53" s="41" t="s">
        <v>10</v>
      </c>
      <c r="R53" s="42" t="s">
        <v>10</v>
      </c>
      <c r="S53" s="44" t="s">
        <v>10</v>
      </c>
      <c r="T53" s="41">
        <v>0</v>
      </c>
      <c r="U53" s="42">
        <v>0</v>
      </c>
      <c r="V53" s="42"/>
    </row>
    <row r="54" spans="1:24" x14ac:dyDescent="0.25">
      <c r="A54" s="39">
        <v>44906</v>
      </c>
      <c r="B54" s="40" t="s">
        <v>20</v>
      </c>
      <c r="C54" s="8">
        <v>0</v>
      </c>
      <c r="D54" s="13">
        <v>0.85763888888888884</v>
      </c>
      <c r="E54" s="41" t="str">
        <f>Effort!F52</f>
        <v>CLOSED</v>
      </c>
      <c r="F54" s="42" t="str">
        <f>Harvest!F52</f>
        <v>CLOSED</v>
      </c>
      <c r="G54" s="43" t="str">
        <f>+CPUE!F52</f>
        <v>CLOSED</v>
      </c>
      <c r="H54" s="41" t="str">
        <f>Effort!H52</f>
        <v>CLOSED</v>
      </c>
      <c r="I54" s="42" t="str">
        <f>Harvest!H52</f>
        <v>CLOSED</v>
      </c>
      <c r="J54" s="43" t="str">
        <f>CPUE!H52</f>
        <v>CLOSED</v>
      </c>
      <c r="K54" s="41" t="str">
        <f>Effort!J52</f>
        <v>CLOSED</v>
      </c>
      <c r="L54" s="42" t="str">
        <f>Harvest!J52</f>
        <v>CLOSED</v>
      </c>
      <c r="M54" s="43" t="str">
        <f>CPUE!J52</f>
        <v>CLOSED</v>
      </c>
      <c r="N54" s="41" t="str">
        <f>Effort!L52</f>
        <v>CLOSED</v>
      </c>
      <c r="O54" s="42" t="str">
        <f>Harvest!L52</f>
        <v>CLOSED</v>
      </c>
      <c r="P54" s="43" t="str">
        <f>CPUE!L52</f>
        <v>CLOSED</v>
      </c>
      <c r="Q54" s="41" t="s">
        <v>10</v>
      </c>
      <c r="R54" s="42" t="s">
        <v>10</v>
      </c>
      <c r="S54" s="44" t="s">
        <v>10</v>
      </c>
      <c r="T54" s="41">
        <v>0</v>
      </c>
      <c r="U54" s="42">
        <v>0</v>
      </c>
      <c r="V54" s="42"/>
    </row>
    <row r="55" spans="1:24" x14ac:dyDescent="0.25">
      <c r="A55" s="39">
        <v>44907</v>
      </c>
      <c r="B55" s="40" t="s">
        <v>21</v>
      </c>
      <c r="C55" s="8">
        <v>0.3</v>
      </c>
      <c r="D55" s="13">
        <v>0.88402777777777775</v>
      </c>
      <c r="E55" s="41" t="str">
        <f>Effort!F53</f>
        <v>CLOSED</v>
      </c>
      <c r="F55" s="42" t="str">
        <f>Harvest!F53</f>
        <v>CLOSED</v>
      </c>
      <c r="G55" s="43" t="str">
        <f>+CPUE!F53</f>
        <v>CLOSED</v>
      </c>
      <c r="H55" s="41" t="str">
        <f>Effort!H53</f>
        <v>CLOSED</v>
      </c>
      <c r="I55" s="42" t="str">
        <f>Harvest!H53</f>
        <v>CLOSED</v>
      </c>
      <c r="J55" s="43" t="str">
        <f>CPUE!H53</f>
        <v>CLOSED</v>
      </c>
      <c r="K55" s="41" t="str">
        <f>Effort!J53</f>
        <v>CLOSED</v>
      </c>
      <c r="L55" s="42" t="str">
        <f>Harvest!J53</f>
        <v>CLOSED</v>
      </c>
      <c r="M55" s="43" t="str">
        <f>CPUE!J53</f>
        <v>CLOSED</v>
      </c>
      <c r="N55" s="41" t="str">
        <f>Effort!L53</f>
        <v>CLOSED</v>
      </c>
      <c r="O55" s="42" t="str">
        <f>Harvest!L53</f>
        <v>CLOSED</v>
      </c>
      <c r="P55" s="43" t="str">
        <f>CPUE!L53</f>
        <v>CLOSED</v>
      </c>
      <c r="Q55" s="41" t="s">
        <v>10</v>
      </c>
      <c r="R55" s="42" t="s">
        <v>10</v>
      </c>
      <c r="S55" s="44" t="s">
        <v>10</v>
      </c>
      <c r="T55" s="41">
        <v>0</v>
      </c>
      <c r="U55" s="42">
        <v>0</v>
      </c>
      <c r="V55" s="42"/>
    </row>
    <row r="56" spans="1:24" x14ac:dyDescent="0.25">
      <c r="A56" s="117" t="s">
        <v>57</v>
      </c>
      <c r="B56" s="117"/>
      <c r="C56" s="117"/>
      <c r="D56" s="118"/>
      <c r="E56" s="47">
        <f>SUM(E47:E55)</f>
        <v>0</v>
      </c>
      <c r="F56" s="48">
        <f>SUM(F47:F55)</f>
        <v>0</v>
      </c>
      <c r="G56" s="49">
        <v>0</v>
      </c>
      <c r="H56" s="47">
        <f>SUM(H47:H55)</f>
        <v>0</v>
      </c>
      <c r="I56" s="48">
        <f>SUM(I47:I55)</f>
        <v>0</v>
      </c>
      <c r="J56" s="49">
        <v>0</v>
      </c>
      <c r="K56" s="47">
        <f>SUM(K47:K55)</f>
        <v>0</v>
      </c>
      <c r="L56" s="48">
        <f>SUM(L47:L55)</f>
        <v>0</v>
      </c>
      <c r="M56" s="49">
        <v>0</v>
      </c>
      <c r="N56" s="47">
        <f>SUM(N47:N55)</f>
        <v>0</v>
      </c>
      <c r="O56" s="48">
        <f>SUM(O47:O55)</f>
        <v>0</v>
      </c>
      <c r="P56" s="49">
        <v>0</v>
      </c>
      <c r="Q56" s="47"/>
      <c r="R56" s="48"/>
      <c r="S56" s="49"/>
      <c r="T56" s="47">
        <f>SUM(T47:T55)</f>
        <v>0</v>
      </c>
      <c r="U56" s="48">
        <f>SUM(U47:U55)</f>
        <v>0</v>
      </c>
      <c r="V56" s="64"/>
      <c r="W56" s="20">
        <f>SUM(H56,K56,N56,Q56,E56)</f>
        <v>0</v>
      </c>
      <c r="X56" s="20">
        <f>SUM(R56,O56,L56,I56,F56)</f>
        <v>0</v>
      </c>
    </row>
    <row r="57" spans="1:24" x14ac:dyDescent="0.25">
      <c r="A57" s="39">
        <v>44915</v>
      </c>
      <c r="B57" s="40" t="s">
        <v>22</v>
      </c>
      <c r="C57" s="8">
        <v>0</v>
      </c>
      <c r="D57" s="13">
        <v>0.67638888888888893</v>
      </c>
      <c r="E57" s="41" t="str">
        <f>Effort!F55</f>
        <v>CLOSED</v>
      </c>
      <c r="F57" s="42" t="str">
        <f>Harvest!F55</f>
        <v>CLOSED</v>
      </c>
      <c r="G57" s="43" t="str">
        <f>+CPUE!F55</f>
        <v>CLOSED</v>
      </c>
      <c r="H57" s="41" t="str">
        <f>Effort!H55</f>
        <v>CLOSED</v>
      </c>
      <c r="I57" s="42" t="str">
        <f>Harvest!H55</f>
        <v>CLOSED</v>
      </c>
      <c r="J57" s="43" t="str">
        <f>CPUE!H55</f>
        <v>CLOSED</v>
      </c>
      <c r="K57" s="41" t="str">
        <f>Effort!J55</f>
        <v>CLOSED</v>
      </c>
      <c r="L57" s="42" t="str">
        <f>Harvest!J55</f>
        <v>CLOSED</v>
      </c>
      <c r="M57" s="43" t="str">
        <f>CPUE!J55</f>
        <v>CLOSED</v>
      </c>
      <c r="N57" s="41" t="str">
        <f>Effort!L55</f>
        <v>CLOSED</v>
      </c>
      <c r="O57" s="42" t="str">
        <f>Harvest!L55</f>
        <v>CLOSED</v>
      </c>
      <c r="P57" s="43" t="str">
        <f>CPUE!L55</f>
        <v>CLOSED</v>
      </c>
      <c r="Q57" s="41" t="s">
        <v>10</v>
      </c>
      <c r="R57" s="42" t="s">
        <v>10</v>
      </c>
      <c r="S57" s="44" t="s">
        <v>10</v>
      </c>
      <c r="T57" s="41">
        <v>0</v>
      </c>
      <c r="U57" s="42">
        <v>0</v>
      </c>
      <c r="V57" s="42"/>
    </row>
    <row r="58" spans="1:24" x14ac:dyDescent="0.25">
      <c r="A58" s="39">
        <v>44916</v>
      </c>
      <c r="B58" s="40" t="s">
        <v>23</v>
      </c>
      <c r="C58" s="8">
        <v>-0.8</v>
      </c>
      <c r="D58" s="13">
        <v>0.70972222222222225</v>
      </c>
      <c r="E58" s="41" t="str">
        <f>Effort!F56</f>
        <v>CLOSED</v>
      </c>
      <c r="F58" s="42" t="str">
        <f>Harvest!F56</f>
        <v>CLOSED</v>
      </c>
      <c r="G58" s="43" t="str">
        <f>+CPUE!F56</f>
        <v>CLOSED</v>
      </c>
      <c r="H58" s="41" t="str">
        <f>Effort!H56</f>
        <v>CLOSED</v>
      </c>
      <c r="I58" s="42" t="str">
        <f>Harvest!H56</f>
        <v>CLOSED</v>
      </c>
      <c r="J58" s="43" t="str">
        <f>CPUE!H56</f>
        <v>CLOSED</v>
      </c>
      <c r="K58" s="41" t="str">
        <f>Effort!J56</f>
        <v>CLOSED</v>
      </c>
      <c r="L58" s="42" t="str">
        <f>Harvest!J56</f>
        <v>CLOSED</v>
      </c>
      <c r="M58" s="43" t="str">
        <f>CPUE!J56</f>
        <v>CLOSED</v>
      </c>
      <c r="N58" s="41" t="str">
        <f>Effort!L56</f>
        <v>CLOSED</v>
      </c>
      <c r="O58" s="42" t="str">
        <f>Harvest!L56</f>
        <v>CLOSED</v>
      </c>
      <c r="P58" s="43" t="str">
        <f>CPUE!L56</f>
        <v>CLOSED</v>
      </c>
      <c r="Q58" s="41" t="s">
        <v>10</v>
      </c>
      <c r="R58" s="42" t="s">
        <v>10</v>
      </c>
      <c r="S58" s="44" t="s">
        <v>10</v>
      </c>
      <c r="T58" s="41">
        <v>0</v>
      </c>
      <c r="U58" s="42">
        <v>0</v>
      </c>
      <c r="V58" s="42"/>
    </row>
    <row r="59" spans="1:24" x14ac:dyDescent="0.25">
      <c r="A59" s="39">
        <v>44917</v>
      </c>
      <c r="B59" s="40" t="s">
        <v>24</v>
      </c>
      <c r="C59" s="8">
        <v>-1.4</v>
      </c>
      <c r="D59" s="13">
        <v>0.7416666666666667</v>
      </c>
      <c r="E59" s="41" t="str">
        <f>Effort!F57</f>
        <v>CLOSED</v>
      </c>
      <c r="F59" s="42" t="str">
        <f>Harvest!F57</f>
        <v>CLOSED</v>
      </c>
      <c r="G59" s="43" t="str">
        <f>+CPUE!F57</f>
        <v>CLOSED</v>
      </c>
      <c r="H59" s="41" t="str">
        <f>Effort!H57</f>
        <v>CLOSED</v>
      </c>
      <c r="I59" s="42" t="str">
        <f>Harvest!H57</f>
        <v>CLOSED</v>
      </c>
      <c r="J59" s="43" t="str">
        <f>CPUE!H57</f>
        <v>CLOSED</v>
      </c>
      <c r="K59" s="41" t="str">
        <f>Effort!J57</f>
        <v>CLOSED</v>
      </c>
      <c r="L59" s="42" t="str">
        <f>Harvest!J57</f>
        <v>CLOSED</v>
      </c>
      <c r="M59" s="43" t="str">
        <f>CPUE!J57</f>
        <v>CLOSED</v>
      </c>
      <c r="N59" s="41" t="str">
        <f>Effort!L57</f>
        <v>CLOSED</v>
      </c>
      <c r="O59" s="42" t="str">
        <f>Harvest!L57</f>
        <v>CLOSED</v>
      </c>
      <c r="P59" s="43" t="str">
        <f>CPUE!L57</f>
        <v>CLOSED</v>
      </c>
      <c r="Q59" s="41" t="s">
        <v>10</v>
      </c>
      <c r="R59" s="42" t="s">
        <v>10</v>
      </c>
      <c r="S59" s="44" t="s">
        <v>10</v>
      </c>
      <c r="T59" s="41">
        <v>0</v>
      </c>
      <c r="U59" s="42">
        <v>0</v>
      </c>
      <c r="V59" s="42"/>
    </row>
    <row r="60" spans="1:24" x14ac:dyDescent="0.25">
      <c r="A60" s="39">
        <v>44918</v>
      </c>
      <c r="B60" s="40" t="s">
        <v>18</v>
      </c>
      <c r="C60" s="8">
        <v>-1.8</v>
      </c>
      <c r="D60" s="13">
        <v>0.77430555555555547</v>
      </c>
      <c r="E60" s="41" t="str">
        <f>Effort!F58</f>
        <v>CLOSED</v>
      </c>
      <c r="F60" s="42" t="str">
        <f>Harvest!F58</f>
        <v>CLOSED</v>
      </c>
      <c r="G60" s="43" t="str">
        <f>+CPUE!F58</f>
        <v>CLOSED</v>
      </c>
      <c r="H60" s="41" t="str">
        <f>Effort!H58</f>
        <v>CLOSED</v>
      </c>
      <c r="I60" s="42" t="str">
        <f>Harvest!H58</f>
        <v>CLOSED</v>
      </c>
      <c r="J60" s="43" t="str">
        <f>CPUE!H58</f>
        <v>CLOSED</v>
      </c>
      <c r="K60" s="41" t="str">
        <f>Effort!J58</f>
        <v>CLOSED</v>
      </c>
      <c r="L60" s="42" t="str">
        <f>Harvest!J58</f>
        <v>CLOSED</v>
      </c>
      <c r="M60" s="43" t="str">
        <f>CPUE!J58</f>
        <v>CLOSED</v>
      </c>
      <c r="N60" s="41" t="str">
        <f>Effort!L58</f>
        <v>CLOSED</v>
      </c>
      <c r="O60" s="42" t="str">
        <f>Harvest!L58</f>
        <v>CLOSED</v>
      </c>
      <c r="P60" s="43" t="str">
        <f>CPUE!L58</f>
        <v>CLOSED</v>
      </c>
      <c r="Q60" s="41" t="s">
        <v>10</v>
      </c>
      <c r="R60" s="42" t="s">
        <v>10</v>
      </c>
      <c r="S60" s="44" t="s">
        <v>10</v>
      </c>
      <c r="T60" s="41">
        <v>0</v>
      </c>
      <c r="U60" s="42">
        <v>0</v>
      </c>
      <c r="V60" s="42"/>
    </row>
    <row r="61" spans="1:24" x14ac:dyDescent="0.25">
      <c r="A61" s="39">
        <v>44919</v>
      </c>
      <c r="B61" s="40" t="s">
        <v>19</v>
      </c>
      <c r="C61" s="8">
        <v>-1.9</v>
      </c>
      <c r="D61" s="13">
        <v>0.80763888888888891</v>
      </c>
      <c r="E61" s="41" t="str">
        <f>Effort!F59</f>
        <v>CLOSED</v>
      </c>
      <c r="F61" s="42" t="str">
        <f>Harvest!F59</f>
        <v>CLOSED</v>
      </c>
      <c r="G61" s="43" t="str">
        <f>+CPUE!F59</f>
        <v>CLOSED</v>
      </c>
      <c r="H61" s="41" t="str">
        <f>Effort!H59</f>
        <v>CLOSED</v>
      </c>
      <c r="I61" s="42" t="str">
        <f>Harvest!H59</f>
        <v>CLOSED</v>
      </c>
      <c r="J61" s="43" t="str">
        <f>CPUE!H59</f>
        <v>CLOSED</v>
      </c>
      <c r="K61" s="41" t="str">
        <f>Effort!J59</f>
        <v>CLOSED</v>
      </c>
      <c r="L61" s="42" t="str">
        <f>Harvest!J59</f>
        <v>CLOSED</v>
      </c>
      <c r="M61" s="43" t="str">
        <f>CPUE!J59</f>
        <v>CLOSED</v>
      </c>
      <c r="N61" s="41" t="str">
        <f>Effort!L59</f>
        <v>CLOSED</v>
      </c>
      <c r="O61" s="42" t="str">
        <f>Harvest!L59</f>
        <v>CLOSED</v>
      </c>
      <c r="P61" s="43" t="str">
        <f>CPUE!L59</f>
        <v>CLOSED</v>
      </c>
      <c r="Q61" s="41" t="s">
        <v>10</v>
      </c>
      <c r="R61" s="42" t="s">
        <v>10</v>
      </c>
      <c r="S61" s="44" t="s">
        <v>10</v>
      </c>
      <c r="T61" s="41">
        <v>0</v>
      </c>
      <c r="U61" s="42">
        <v>0</v>
      </c>
      <c r="V61" s="42"/>
    </row>
    <row r="62" spans="1:24" x14ac:dyDescent="0.25">
      <c r="A62" s="39">
        <v>44920</v>
      </c>
      <c r="B62" s="40" t="s">
        <v>20</v>
      </c>
      <c r="C62" s="8">
        <v>-1.6</v>
      </c>
      <c r="D62" s="13">
        <v>0.84027777777777779</v>
      </c>
      <c r="E62" s="41" t="str">
        <f>Effort!F60</f>
        <v>CLOSED</v>
      </c>
      <c r="F62" s="42" t="str">
        <f>Harvest!F60</f>
        <v>CLOSED</v>
      </c>
      <c r="G62" s="43" t="str">
        <f>+CPUE!F60</f>
        <v>CLOSED</v>
      </c>
      <c r="H62" s="41" t="str">
        <f>Effort!H60</f>
        <v>CLOSED</v>
      </c>
      <c r="I62" s="42" t="str">
        <f>Harvest!H60</f>
        <v>CLOSED</v>
      </c>
      <c r="J62" s="43" t="str">
        <f>CPUE!H60</f>
        <v>CLOSED</v>
      </c>
      <c r="K62" s="41" t="str">
        <f>Effort!J60</f>
        <v>CLOSED</v>
      </c>
      <c r="L62" s="42" t="str">
        <f>Harvest!J60</f>
        <v>CLOSED</v>
      </c>
      <c r="M62" s="43" t="str">
        <f>CPUE!J60</f>
        <v>CLOSED</v>
      </c>
      <c r="N62" s="41" t="str">
        <f>Effort!L60</f>
        <v>CLOSED</v>
      </c>
      <c r="O62" s="42" t="str">
        <f>Harvest!L60</f>
        <v>CLOSED</v>
      </c>
      <c r="P62" s="43" t="str">
        <f>CPUE!L60</f>
        <v>CLOSED</v>
      </c>
      <c r="Q62" s="41" t="s">
        <v>10</v>
      </c>
      <c r="R62" s="42" t="s">
        <v>10</v>
      </c>
      <c r="S62" s="44" t="s">
        <v>10</v>
      </c>
      <c r="T62" s="41">
        <v>0</v>
      </c>
      <c r="U62" s="42">
        <v>0</v>
      </c>
      <c r="V62" s="42"/>
    </row>
    <row r="63" spans="1:24" x14ac:dyDescent="0.25">
      <c r="A63" s="39">
        <v>44921</v>
      </c>
      <c r="B63" s="40" t="s">
        <v>21</v>
      </c>
      <c r="C63" s="8">
        <v>-1.2</v>
      </c>
      <c r="D63" s="13">
        <v>0.87361111111111101</v>
      </c>
      <c r="E63" s="41" t="str">
        <f>Effort!F61</f>
        <v>CLOSED</v>
      </c>
      <c r="F63" s="42" t="str">
        <f>Harvest!F61</f>
        <v>CLOSED</v>
      </c>
      <c r="G63" s="43" t="str">
        <f>+CPUE!F61</f>
        <v>CLOSED</v>
      </c>
      <c r="H63" s="41" t="str">
        <f>Effort!H61</f>
        <v>CLOSED</v>
      </c>
      <c r="I63" s="42" t="str">
        <f>Harvest!H61</f>
        <v>CLOSED</v>
      </c>
      <c r="J63" s="43" t="str">
        <f>CPUE!H61</f>
        <v>CLOSED</v>
      </c>
      <c r="K63" s="41" t="str">
        <f>Effort!J61</f>
        <v>CLOSED</v>
      </c>
      <c r="L63" s="42" t="str">
        <f>Harvest!J61</f>
        <v>CLOSED</v>
      </c>
      <c r="M63" s="43" t="str">
        <f>CPUE!J61</f>
        <v>CLOSED</v>
      </c>
      <c r="N63" s="41" t="str">
        <f>Effort!L61</f>
        <v>CLOSED</v>
      </c>
      <c r="O63" s="42" t="str">
        <f>Harvest!L61</f>
        <v>CLOSED</v>
      </c>
      <c r="P63" s="43" t="str">
        <f>CPUE!L61</f>
        <v>CLOSED</v>
      </c>
      <c r="Q63" s="41" t="s">
        <v>10</v>
      </c>
      <c r="R63" s="42" t="s">
        <v>10</v>
      </c>
      <c r="S63" s="44" t="s">
        <v>10</v>
      </c>
      <c r="T63" s="41">
        <v>0</v>
      </c>
      <c r="U63" s="42">
        <v>0</v>
      </c>
      <c r="V63" s="42"/>
    </row>
    <row r="64" spans="1:24" x14ac:dyDescent="0.25">
      <c r="A64" s="39">
        <v>44922</v>
      </c>
      <c r="B64" s="40" t="s">
        <v>22</v>
      </c>
      <c r="C64" s="8">
        <v>-0.5</v>
      </c>
      <c r="D64" s="13">
        <v>0.90763888888888899</v>
      </c>
      <c r="E64" s="41" t="str">
        <f>Effort!F62</f>
        <v>CLOSED</v>
      </c>
      <c r="F64" s="42" t="str">
        <f>Harvest!F62</f>
        <v>CLOSED</v>
      </c>
      <c r="G64" s="43" t="str">
        <f>+CPUE!F62</f>
        <v>CLOSED</v>
      </c>
      <c r="H64" s="41" t="str">
        <f>Effort!H62</f>
        <v>CLOSED</v>
      </c>
      <c r="I64" s="42" t="str">
        <f>Harvest!H62</f>
        <v>CLOSED</v>
      </c>
      <c r="J64" s="43" t="str">
        <f>CPUE!H62</f>
        <v>CLOSED</v>
      </c>
      <c r="K64" s="41" t="str">
        <f>Effort!J62</f>
        <v>CLOSED</v>
      </c>
      <c r="L64" s="42" t="str">
        <f>Harvest!J62</f>
        <v>CLOSED</v>
      </c>
      <c r="M64" s="43" t="str">
        <f>CPUE!J62</f>
        <v>CLOSED</v>
      </c>
      <c r="N64" s="41" t="str">
        <f>Effort!L62</f>
        <v>CLOSED</v>
      </c>
      <c r="O64" s="42" t="str">
        <f>Harvest!L62</f>
        <v>CLOSED</v>
      </c>
      <c r="P64" s="43" t="str">
        <f>CPUE!L62</f>
        <v>CLOSED</v>
      </c>
      <c r="Q64" s="41" t="s">
        <v>10</v>
      </c>
      <c r="R64" s="42" t="s">
        <v>10</v>
      </c>
      <c r="S64" s="44" t="s">
        <v>10</v>
      </c>
      <c r="T64" s="41">
        <v>0</v>
      </c>
      <c r="U64" s="42">
        <v>0</v>
      </c>
      <c r="V64" s="42"/>
    </row>
    <row r="65" spans="1:24" x14ac:dyDescent="0.25">
      <c r="A65" s="39">
        <v>44923</v>
      </c>
      <c r="B65" s="40" t="s">
        <v>23</v>
      </c>
      <c r="C65" s="8">
        <v>0.3</v>
      </c>
      <c r="D65" s="13">
        <v>0.94236111111111109</v>
      </c>
      <c r="E65" s="41" t="str">
        <f>Effort!F63</f>
        <v>CLOSED</v>
      </c>
      <c r="F65" s="42" t="str">
        <f>Harvest!F63</f>
        <v>CLOSED</v>
      </c>
      <c r="G65" s="43" t="str">
        <f>+CPUE!F63</f>
        <v>CLOSED</v>
      </c>
      <c r="H65" s="41" t="str">
        <f>Effort!H63</f>
        <v>CLOSED</v>
      </c>
      <c r="I65" s="42" t="str">
        <f>Harvest!H63</f>
        <v>CLOSED</v>
      </c>
      <c r="J65" s="43" t="str">
        <f>CPUE!H63</f>
        <v>CLOSED</v>
      </c>
      <c r="K65" s="41" t="str">
        <f>Effort!J63</f>
        <v>CLOSED</v>
      </c>
      <c r="L65" s="42" t="str">
        <f>Harvest!J63</f>
        <v>CLOSED</v>
      </c>
      <c r="M65" s="43" t="str">
        <f>CPUE!J63</f>
        <v>CLOSED</v>
      </c>
      <c r="N65" s="41" t="str">
        <f>Effort!L63</f>
        <v>CLOSED</v>
      </c>
      <c r="O65" s="42" t="str">
        <f>Harvest!L63</f>
        <v>CLOSED</v>
      </c>
      <c r="P65" s="43" t="str">
        <f>CPUE!L63</f>
        <v>CLOSED</v>
      </c>
      <c r="Q65" s="41" t="s">
        <v>10</v>
      </c>
      <c r="R65" s="42" t="s">
        <v>10</v>
      </c>
      <c r="S65" s="44" t="s">
        <v>10</v>
      </c>
      <c r="T65" s="41">
        <v>0</v>
      </c>
      <c r="U65" s="42">
        <v>0</v>
      </c>
      <c r="V65" s="42"/>
    </row>
    <row r="66" spans="1:24" x14ac:dyDescent="0.25">
      <c r="A66" s="117" t="s">
        <v>57</v>
      </c>
      <c r="B66" s="117"/>
      <c r="C66" s="117"/>
      <c r="D66" s="118"/>
      <c r="E66" s="47">
        <f>SUM(E57:E65)</f>
        <v>0</v>
      </c>
      <c r="F66" s="48">
        <f>SUM(F57:F65)</f>
        <v>0</v>
      </c>
      <c r="G66" s="49">
        <v>0</v>
      </c>
      <c r="H66" s="47">
        <f>SUM(H57:H65)</f>
        <v>0</v>
      </c>
      <c r="I66" s="48">
        <f>SUM(I57:I65)</f>
        <v>0</v>
      </c>
      <c r="J66" s="49">
        <v>0</v>
      </c>
      <c r="K66" s="47">
        <f>SUM(K57:K65)</f>
        <v>0</v>
      </c>
      <c r="L66" s="48">
        <f>SUM(L57:L65)</f>
        <v>0</v>
      </c>
      <c r="M66" s="49">
        <v>0</v>
      </c>
      <c r="N66" s="47">
        <f>SUM(N57:N65)</f>
        <v>0</v>
      </c>
      <c r="O66" s="48">
        <f>SUM(O57:O65)</f>
        <v>0</v>
      </c>
      <c r="P66" s="49">
        <v>0</v>
      </c>
      <c r="Q66" s="47"/>
      <c r="R66" s="48"/>
      <c r="S66" s="49"/>
      <c r="T66" s="47">
        <f>SUM(T57:T65)</f>
        <v>0</v>
      </c>
      <c r="U66" s="48">
        <f>SUM(U57:U65)</f>
        <v>0</v>
      </c>
      <c r="V66" s="64"/>
      <c r="W66" s="20">
        <f>SUM(H66,K66,N66,Q66,E66)</f>
        <v>0</v>
      </c>
      <c r="X66" s="20">
        <f>SUM(R66,O66,L66,I66,F66)</f>
        <v>0</v>
      </c>
    </row>
    <row r="67" spans="1:24" x14ac:dyDescent="0.25">
      <c r="A67" s="39">
        <v>44928</v>
      </c>
      <c r="B67" s="40" t="s">
        <v>21</v>
      </c>
      <c r="C67" s="8">
        <v>0.5</v>
      </c>
      <c r="D67" s="13">
        <v>0.65763888888888888</v>
      </c>
      <c r="E67" s="41" t="str">
        <f>Effort!F65</f>
        <v>CLOSED</v>
      </c>
      <c r="F67" s="42" t="str">
        <f>Harvest!F65</f>
        <v>CLOSED</v>
      </c>
      <c r="G67" s="43" t="str">
        <f>+CPUE!F65</f>
        <v>CLOSED</v>
      </c>
      <c r="H67" s="41" t="str">
        <f>Effort!H65</f>
        <v>CLOSED</v>
      </c>
      <c r="I67" s="42" t="str">
        <f>Harvest!H65</f>
        <v>CLOSED</v>
      </c>
      <c r="J67" s="43" t="str">
        <f>CPUE!H65</f>
        <v>CLOSED</v>
      </c>
      <c r="K67" s="41" t="str">
        <f>Effort!J65</f>
        <v>CLOSED</v>
      </c>
      <c r="L67" s="42" t="str">
        <f>Harvest!J65</f>
        <v>CLOSED</v>
      </c>
      <c r="M67" s="43" t="str">
        <f>CPUE!J65</f>
        <v>CLOSED</v>
      </c>
      <c r="N67" s="41" t="str">
        <f>Effort!L65</f>
        <v>CLOSED</v>
      </c>
      <c r="O67" s="42" t="str">
        <f>Harvest!L65</f>
        <v>CLOSED</v>
      </c>
      <c r="P67" s="43" t="str">
        <f>CPUE!L65</f>
        <v>CLOSED</v>
      </c>
      <c r="Q67" s="41" t="s">
        <v>10</v>
      </c>
      <c r="R67" s="42" t="s">
        <v>10</v>
      </c>
      <c r="S67" s="44" t="s">
        <v>10</v>
      </c>
      <c r="T67" s="41">
        <v>0</v>
      </c>
      <c r="U67" s="42">
        <v>0</v>
      </c>
      <c r="V67" s="42"/>
    </row>
    <row r="68" spans="1:24" x14ac:dyDescent="0.25">
      <c r="A68" s="39">
        <v>44929</v>
      </c>
      <c r="B68" s="40" t="s">
        <v>22</v>
      </c>
      <c r="C68" s="8">
        <v>0.1</v>
      </c>
      <c r="D68" s="13">
        <v>0.69027777777777777</v>
      </c>
      <c r="E68" s="41" t="str">
        <f>Effort!F66</f>
        <v>CLOSED</v>
      </c>
      <c r="F68" s="42" t="str">
        <f>Harvest!F66</f>
        <v>CLOSED</v>
      </c>
      <c r="G68" s="43" t="str">
        <f>+CPUE!F66</f>
        <v>CLOSED</v>
      </c>
      <c r="H68" s="41" t="str">
        <f>Effort!H66</f>
        <v>CLOSED</v>
      </c>
      <c r="I68" s="42" t="str">
        <f>Harvest!H66</f>
        <v>CLOSED</v>
      </c>
      <c r="J68" s="43" t="str">
        <f>CPUE!H66</f>
        <v>CLOSED</v>
      </c>
      <c r="K68" s="41" t="str">
        <f>Effort!J66</f>
        <v>CLOSED</v>
      </c>
      <c r="L68" s="42" t="str">
        <f>Harvest!J66</f>
        <v>CLOSED</v>
      </c>
      <c r="M68" s="43" t="str">
        <f>CPUE!J66</f>
        <v>CLOSED</v>
      </c>
      <c r="N68" s="41" t="str">
        <f>Effort!L66</f>
        <v>CLOSED</v>
      </c>
      <c r="O68" s="42" t="str">
        <f>Harvest!L66</f>
        <v>CLOSED</v>
      </c>
      <c r="P68" s="43" t="str">
        <f>CPUE!L66</f>
        <v>CLOSED</v>
      </c>
      <c r="Q68" s="41" t="s">
        <v>10</v>
      </c>
      <c r="R68" s="42" t="s">
        <v>10</v>
      </c>
      <c r="S68" s="44" t="s">
        <v>10</v>
      </c>
      <c r="T68" s="41">
        <v>0</v>
      </c>
      <c r="U68" s="42">
        <v>0</v>
      </c>
      <c r="V68" s="42"/>
    </row>
    <row r="69" spans="1:24" x14ac:dyDescent="0.25">
      <c r="A69" s="39">
        <v>44930</v>
      </c>
      <c r="B69" s="40" t="s">
        <v>23</v>
      </c>
      <c r="C69" s="8">
        <v>-0.1</v>
      </c>
      <c r="D69" s="13">
        <v>0.71944444444444444</v>
      </c>
      <c r="E69" s="41" t="str">
        <f>Effort!F67</f>
        <v>CLOSED</v>
      </c>
      <c r="F69" s="42" t="str">
        <f>Harvest!F67</f>
        <v>CLOSED</v>
      </c>
      <c r="G69" s="43" t="str">
        <f>+CPUE!F67</f>
        <v>CLOSED</v>
      </c>
      <c r="H69" s="41" t="str">
        <f>Effort!H67</f>
        <v>CLOSED</v>
      </c>
      <c r="I69" s="42" t="str">
        <f>Harvest!H67</f>
        <v>CLOSED</v>
      </c>
      <c r="J69" s="43" t="str">
        <f>CPUE!H67</f>
        <v>CLOSED</v>
      </c>
      <c r="K69" s="41" t="str">
        <f>Effort!J67</f>
        <v>CLOSED</v>
      </c>
      <c r="L69" s="42" t="str">
        <f>Harvest!J67</f>
        <v>CLOSED</v>
      </c>
      <c r="M69" s="43" t="str">
        <f>CPUE!J67</f>
        <v>CLOSED</v>
      </c>
      <c r="N69" s="41" t="str">
        <f>Effort!L67</f>
        <v>CLOSED</v>
      </c>
      <c r="O69" s="42" t="str">
        <f>Harvest!L67</f>
        <v>CLOSED</v>
      </c>
      <c r="P69" s="43" t="str">
        <f>CPUE!L67</f>
        <v>CLOSED</v>
      </c>
      <c r="Q69" s="41" t="s">
        <v>10</v>
      </c>
      <c r="R69" s="42" t="s">
        <v>10</v>
      </c>
      <c r="S69" s="44" t="s">
        <v>10</v>
      </c>
      <c r="T69" s="41">
        <v>0</v>
      </c>
      <c r="U69" s="42">
        <v>0</v>
      </c>
      <c r="V69" s="42"/>
    </row>
    <row r="70" spans="1:24" x14ac:dyDescent="0.25">
      <c r="A70" s="39">
        <v>44931</v>
      </c>
      <c r="B70" s="40" t="s">
        <v>24</v>
      </c>
      <c r="C70" s="8">
        <v>-0.3</v>
      </c>
      <c r="D70" s="13">
        <v>0.74583333333333324</v>
      </c>
      <c r="E70" s="41" t="str">
        <f>Effort!F68</f>
        <v>CLOSED</v>
      </c>
      <c r="F70" s="42" t="str">
        <f>Harvest!F68</f>
        <v>CLOSED</v>
      </c>
      <c r="G70" s="43" t="str">
        <f>+CPUE!F68</f>
        <v>CLOSED</v>
      </c>
      <c r="H70" s="41" t="str">
        <f>Effort!H68</f>
        <v>CLOSED</v>
      </c>
      <c r="I70" s="42" t="str">
        <f>Harvest!H68</f>
        <v>CLOSED</v>
      </c>
      <c r="J70" s="43" t="str">
        <f>CPUE!H68</f>
        <v>CLOSED</v>
      </c>
      <c r="K70" s="41" t="str">
        <f>Effort!J68</f>
        <v>CLOSED</v>
      </c>
      <c r="L70" s="42" t="str">
        <f>Harvest!J68</f>
        <v>CLOSED</v>
      </c>
      <c r="M70" s="43" t="str">
        <f>CPUE!J68</f>
        <v>CLOSED</v>
      </c>
      <c r="N70" s="41" t="str">
        <f>Effort!L68</f>
        <v>CLOSED</v>
      </c>
      <c r="O70" s="42" t="str">
        <f>Harvest!L68</f>
        <v>CLOSED</v>
      </c>
      <c r="P70" s="43" t="str">
        <f>CPUE!L68</f>
        <v>CLOSED</v>
      </c>
      <c r="Q70" s="41" t="s">
        <v>10</v>
      </c>
      <c r="R70" s="42" t="s">
        <v>10</v>
      </c>
      <c r="S70" s="44" t="s">
        <v>10</v>
      </c>
      <c r="T70" s="41">
        <v>0</v>
      </c>
      <c r="U70" s="42">
        <v>0</v>
      </c>
      <c r="V70" s="42"/>
    </row>
    <row r="71" spans="1:24" x14ac:dyDescent="0.25">
      <c r="A71" s="39">
        <v>44932</v>
      </c>
      <c r="B71" s="40" t="s">
        <v>18</v>
      </c>
      <c r="C71" s="8">
        <v>-0.3</v>
      </c>
      <c r="D71" s="13">
        <v>0.77083333333333337</v>
      </c>
      <c r="E71" s="41" t="str">
        <f>Effort!F69</f>
        <v>CLOSED</v>
      </c>
      <c r="F71" s="42" t="str">
        <f>Harvest!F69</f>
        <v>CLOSED</v>
      </c>
      <c r="G71" s="43" t="str">
        <f>+CPUE!F69</f>
        <v>CLOSED</v>
      </c>
      <c r="H71" s="41" t="str">
        <f>Effort!H69</f>
        <v>CLOSED</v>
      </c>
      <c r="I71" s="42" t="str">
        <f>Harvest!H69</f>
        <v>CLOSED</v>
      </c>
      <c r="J71" s="43" t="str">
        <f>CPUE!H69</f>
        <v>CLOSED</v>
      </c>
      <c r="K71" s="41" t="str">
        <f>Effort!J69</f>
        <v>CLOSED</v>
      </c>
      <c r="L71" s="42" t="str">
        <f>Harvest!J69</f>
        <v>CLOSED</v>
      </c>
      <c r="M71" s="43" t="str">
        <f>CPUE!J69</f>
        <v>CLOSED</v>
      </c>
      <c r="N71" s="41" t="str">
        <f>Effort!L69</f>
        <v>CLOSED</v>
      </c>
      <c r="O71" s="42" t="str">
        <f>Harvest!L69</f>
        <v>CLOSED</v>
      </c>
      <c r="P71" s="43" t="str">
        <f>CPUE!L69</f>
        <v>CLOSED</v>
      </c>
      <c r="Q71" s="41" t="s">
        <v>10</v>
      </c>
      <c r="R71" s="42" t="s">
        <v>10</v>
      </c>
      <c r="S71" s="44" t="s">
        <v>10</v>
      </c>
      <c r="T71" s="41">
        <v>0</v>
      </c>
      <c r="U71" s="42">
        <v>0</v>
      </c>
      <c r="V71" s="42"/>
    </row>
    <row r="72" spans="1:24" x14ac:dyDescent="0.25">
      <c r="A72" s="39">
        <v>44933</v>
      </c>
      <c r="B72" s="40" t="s">
        <v>19</v>
      </c>
      <c r="C72" s="8">
        <v>-0.3</v>
      </c>
      <c r="D72" s="13">
        <v>0.79513888888888884</v>
      </c>
      <c r="E72" s="41" t="str">
        <f>Effort!F70</f>
        <v>CLOSED</v>
      </c>
      <c r="F72" s="42" t="str">
        <f>Harvest!F70</f>
        <v>CLOSED</v>
      </c>
      <c r="G72" s="43" t="str">
        <f>+CPUE!F70</f>
        <v>CLOSED</v>
      </c>
      <c r="H72" s="41" t="str">
        <f>Effort!H70</f>
        <v>CLOSED</v>
      </c>
      <c r="I72" s="42" t="str">
        <f>Harvest!H70</f>
        <v>CLOSED</v>
      </c>
      <c r="J72" s="43" t="str">
        <f>CPUE!H70</f>
        <v>CLOSED</v>
      </c>
      <c r="K72" s="41" t="str">
        <f>Effort!J70</f>
        <v>CLOSED</v>
      </c>
      <c r="L72" s="42" t="str">
        <f>Harvest!J70</f>
        <v>CLOSED</v>
      </c>
      <c r="M72" s="43" t="str">
        <f>CPUE!J70</f>
        <v>CLOSED</v>
      </c>
      <c r="N72" s="41" t="str">
        <f>Effort!L70</f>
        <v>CLOSED</v>
      </c>
      <c r="O72" s="42" t="str">
        <f>Harvest!L70</f>
        <v>CLOSED</v>
      </c>
      <c r="P72" s="43" t="str">
        <f>CPUE!L70</f>
        <v>CLOSED</v>
      </c>
      <c r="Q72" s="41" t="s">
        <v>10</v>
      </c>
      <c r="R72" s="42" t="s">
        <v>10</v>
      </c>
      <c r="S72" s="44" t="s">
        <v>10</v>
      </c>
      <c r="T72" s="41">
        <v>0</v>
      </c>
      <c r="U72" s="42">
        <v>0</v>
      </c>
      <c r="V72" s="42"/>
    </row>
    <row r="73" spans="1:24" x14ac:dyDescent="0.25">
      <c r="A73" s="39">
        <v>44934</v>
      </c>
      <c r="B73" s="40" t="s">
        <v>20</v>
      </c>
      <c r="C73" s="8">
        <v>-0.2</v>
      </c>
      <c r="D73" s="13">
        <v>0.81805555555555554</v>
      </c>
      <c r="E73" s="41" t="str">
        <f>Effort!F71</f>
        <v>CLOSED</v>
      </c>
      <c r="F73" s="42" t="str">
        <f>Harvest!F71</f>
        <v>CLOSED</v>
      </c>
      <c r="G73" s="43" t="str">
        <f>+CPUE!F71</f>
        <v>CLOSED</v>
      </c>
      <c r="H73" s="41" t="str">
        <f>Effort!H71</f>
        <v>CLOSED</v>
      </c>
      <c r="I73" s="42" t="str">
        <f>Harvest!H71</f>
        <v>CLOSED</v>
      </c>
      <c r="J73" s="43" t="str">
        <f>CPUE!H71</f>
        <v>CLOSED</v>
      </c>
      <c r="K73" s="41" t="str">
        <f>Effort!J71</f>
        <v>CLOSED</v>
      </c>
      <c r="L73" s="42" t="str">
        <f>Harvest!J71</f>
        <v>CLOSED</v>
      </c>
      <c r="M73" s="43" t="str">
        <f>CPUE!J71</f>
        <v>CLOSED</v>
      </c>
      <c r="N73" s="41" t="str">
        <f>Effort!L71</f>
        <v>CLOSED</v>
      </c>
      <c r="O73" s="42" t="str">
        <f>Harvest!L71</f>
        <v>CLOSED</v>
      </c>
      <c r="P73" s="43" t="str">
        <f>CPUE!L71</f>
        <v>CLOSED</v>
      </c>
      <c r="Q73" s="41" t="s">
        <v>10</v>
      </c>
      <c r="R73" s="42" t="s">
        <v>10</v>
      </c>
      <c r="S73" s="44" t="s">
        <v>10</v>
      </c>
      <c r="T73" s="41">
        <v>0</v>
      </c>
      <c r="U73" s="42">
        <v>0</v>
      </c>
      <c r="V73" s="42"/>
    </row>
    <row r="74" spans="1:24" x14ac:dyDescent="0.25">
      <c r="A74" s="39">
        <v>44935</v>
      </c>
      <c r="B74" s="40" t="s">
        <v>21</v>
      </c>
      <c r="C74" s="8">
        <v>0</v>
      </c>
      <c r="D74" s="13">
        <v>0.84097222222222223</v>
      </c>
      <c r="E74" s="41" t="str">
        <f>Effort!F72</f>
        <v>CLOSED</v>
      </c>
      <c r="F74" s="42" t="str">
        <f>Harvest!F72</f>
        <v>CLOSED</v>
      </c>
      <c r="G74" s="43" t="str">
        <f>+CPUE!F72</f>
        <v>CLOSED</v>
      </c>
      <c r="H74" s="41" t="str">
        <f>Effort!H72</f>
        <v>CLOSED</v>
      </c>
      <c r="I74" s="42" t="str">
        <f>Harvest!H72</f>
        <v>CLOSED</v>
      </c>
      <c r="J74" s="43" t="str">
        <f>CPUE!H72</f>
        <v>CLOSED</v>
      </c>
      <c r="K74" s="41" t="str">
        <f>Effort!J72</f>
        <v>CLOSED</v>
      </c>
      <c r="L74" s="42" t="str">
        <f>Harvest!J72</f>
        <v>CLOSED</v>
      </c>
      <c r="M74" s="43" t="str">
        <f>CPUE!J72</f>
        <v>CLOSED</v>
      </c>
      <c r="N74" s="41" t="str">
        <f>Effort!L72</f>
        <v>CLOSED</v>
      </c>
      <c r="O74" s="42" t="str">
        <f>Harvest!L72</f>
        <v>CLOSED</v>
      </c>
      <c r="P74" s="43" t="str">
        <f>CPUE!L72</f>
        <v>CLOSED</v>
      </c>
      <c r="Q74" s="41" t="s">
        <v>10</v>
      </c>
      <c r="R74" s="42" t="s">
        <v>10</v>
      </c>
      <c r="S74" s="44" t="s">
        <v>10</v>
      </c>
      <c r="T74" s="41">
        <v>0</v>
      </c>
      <c r="U74" s="42">
        <v>0</v>
      </c>
      <c r="V74" s="42"/>
    </row>
    <row r="75" spans="1:24" x14ac:dyDescent="0.25">
      <c r="A75" s="117" t="s">
        <v>57</v>
      </c>
      <c r="B75" s="117"/>
      <c r="C75" s="117"/>
      <c r="D75" s="118"/>
      <c r="E75" s="47">
        <f>SUM(E67:E74)</f>
        <v>0</v>
      </c>
      <c r="F75" s="48">
        <f>SUM(F67:F74)</f>
        <v>0</v>
      </c>
      <c r="G75" s="49">
        <v>0</v>
      </c>
      <c r="H75" s="47">
        <f>SUM(H67:H74)</f>
        <v>0</v>
      </c>
      <c r="I75" s="48">
        <f>SUM(I67:I74)</f>
        <v>0</v>
      </c>
      <c r="J75" s="49">
        <v>0</v>
      </c>
      <c r="K75" s="47">
        <f>SUM(K67:K74)</f>
        <v>0</v>
      </c>
      <c r="L75" s="48">
        <f>SUM(L67:L74)</f>
        <v>0</v>
      </c>
      <c r="M75" s="49">
        <v>0</v>
      </c>
      <c r="N75" s="47">
        <f>SUM(N66:N74)</f>
        <v>0</v>
      </c>
      <c r="O75" s="48">
        <f>SUM(O66:O74)</f>
        <v>0</v>
      </c>
      <c r="P75" s="49">
        <v>0</v>
      </c>
      <c r="Q75" s="47"/>
      <c r="R75" s="48"/>
      <c r="S75" s="49"/>
      <c r="T75" s="47">
        <f>SUM(T67:T74)</f>
        <v>0</v>
      </c>
      <c r="U75" s="48">
        <f>SUM(U67:U74)</f>
        <v>0</v>
      </c>
      <c r="V75" s="64"/>
      <c r="W75" s="20">
        <f>SUM(H75,K75,N75,Q75,E75)</f>
        <v>0</v>
      </c>
      <c r="X75" s="20">
        <f>SUM(R75,O75,L75,I75,F75)</f>
        <v>0</v>
      </c>
    </row>
    <row r="76" spans="1:24" x14ac:dyDescent="0.25">
      <c r="A76" s="39">
        <v>44944</v>
      </c>
      <c r="B76" s="40" t="s">
        <v>23</v>
      </c>
      <c r="C76" s="8">
        <v>-0.1</v>
      </c>
      <c r="D76" s="13">
        <v>0.66180555555555554</v>
      </c>
      <c r="E76" s="41" t="str">
        <f>Effort!F74</f>
        <v>CLOSED</v>
      </c>
      <c r="F76" s="42" t="str">
        <f>Harvest!F74</f>
        <v>CLOSED</v>
      </c>
      <c r="G76" s="43" t="str">
        <f>+CPUE!F74</f>
        <v>CLOSED</v>
      </c>
      <c r="H76" s="41" t="str">
        <f>Effort!H74</f>
        <v>CLOSED</v>
      </c>
      <c r="I76" s="42" t="str">
        <f>Harvest!H74</f>
        <v>CLOSED</v>
      </c>
      <c r="J76" s="43" t="str">
        <f>CPUE!H74</f>
        <v>CLOSED</v>
      </c>
      <c r="K76" s="41" t="str">
        <f>Effort!J74</f>
        <v>CLOSED</v>
      </c>
      <c r="L76" s="42" t="str">
        <f>Harvest!J74</f>
        <v>CLOSED</v>
      </c>
      <c r="M76" s="43" t="str">
        <f>CPUE!J74</f>
        <v>CLOSED</v>
      </c>
      <c r="N76" s="41" t="str">
        <f>Effort!L74</f>
        <v>CLOSED</v>
      </c>
      <c r="O76" s="42" t="str">
        <f>Harvest!L74</f>
        <v>CLOSED</v>
      </c>
      <c r="P76" s="43" t="str">
        <f>CPUE!L74</f>
        <v>CLOSED</v>
      </c>
      <c r="Q76" s="41" t="s">
        <v>10</v>
      </c>
      <c r="R76" s="42" t="s">
        <v>10</v>
      </c>
      <c r="S76" s="44" t="s">
        <v>10</v>
      </c>
      <c r="T76" s="41">
        <v>0</v>
      </c>
      <c r="U76" s="42">
        <v>0</v>
      </c>
      <c r="V76" s="64"/>
      <c r="W76" s="20"/>
      <c r="X76" s="20"/>
    </row>
    <row r="77" spans="1:24" x14ac:dyDescent="0.25">
      <c r="A77" s="39">
        <v>44945</v>
      </c>
      <c r="B77" s="40" t="s">
        <v>24</v>
      </c>
      <c r="C77" s="8">
        <v>-0.9</v>
      </c>
      <c r="D77" s="13">
        <v>0.69861111111111107</v>
      </c>
      <c r="E77" s="41" t="str">
        <f>Effort!F75</f>
        <v>CLOSED</v>
      </c>
      <c r="F77" s="42" t="str">
        <f>Harvest!F75</f>
        <v>CLOSED</v>
      </c>
      <c r="G77" s="43" t="str">
        <f>+CPUE!F75</f>
        <v>CLOSED</v>
      </c>
      <c r="H77" s="41" t="str">
        <f>Effort!H75</f>
        <v>CLOSED</v>
      </c>
      <c r="I77" s="42" t="str">
        <f>Harvest!H75</f>
        <v>CLOSED</v>
      </c>
      <c r="J77" s="43" t="str">
        <f>CPUE!H75</f>
        <v>CLOSED</v>
      </c>
      <c r="K77" s="41" t="str">
        <f>Effort!J75</f>
        <v>CLOSED</v>
      </c>
      <c r="L77" s="42" t="str">
        <f>Harvest!J75</f>
        <v>CLOSED</v>
      </c>
      <c r="M77" s="43" t="str">
        <f>CPUE!J75</f>
        <v>CLOSED</v>
      </c>
      <c r="N77" s="41" t="str">
        <f>Effort!L75</f>
        <v>CLOSED</v>
      </c>
      <c r="O77" s="42" t="str">
        <f>Harvest!L75</f>
        <v>CLOSED</v>
      </c>
      <c r="P77" s="43" t="str">
        <f>CPUE!L75</f>
        <v>CLOSED</v>
      </c>
      <c r="Q77" s="41" t="s">
        <v>10</v>
      </c>
      <c r="R77" s="42" t="s">
        <v>10</v>
      </c>
      <c r="S77" s="44" t="s">
        <v>10</v>
      </c>
      <c r="T77" s="41">
        <v>0</v>
      </c>
      <c r="U77" s="42">
        <v>0</v>
      </c>
      <c r="V77" s="64"/>
      <c r="W77" s="20"/>
      <c r="X77" s="20"/>
    </row>
    <row r="78" spans="1:24" x14ac:dyDescent="0.25">
      <c r="A78" s="39">
        <v>44946</v>
      </c>
      <c r="B78" s="40" t="s">
        <v>18</v>
      </c>
      <c r="C78" s="8">
        <v>-1.5</v>
      </c>
      <c r="D78" s="13">
        <v>0.73263888888888884</v>
      </c>
      <c r="E78" s="41" t="str">
        <f>Effort!F76</f>
        <v>CLOSED</v>
      </c>
      <c r="F78" s="42" t="str">
        <f>Harvest!F76</f>
        <v>CLOSED</v>
      </c>
      <c r="G78" s="43" t="str">
        <f>+CPUE!F76</f>
        <v>CLOSED</v>
      </c>
      <c r="H78" s="41" t="str">
        <f>Effort!H76</f>
        <v>CLOSED</v>
      </c>
      <c r="I78" s="42" t="str">
        <f>Harvest!H76</f>
        <v>CLOSED</v>
      </c>
      <c r="J78" s="43" t="str">
        <f>CPUE!H76</f>
        <v>CLOSED</v>
      </c>
      <c r="K78" s="41" t="str">
        <f>Effort!J76</f>
        <v>CLOSED</v>
      </c>
      <c r="L78" s="42" t="str">
        <f>Harvest!J76</f>
        <v>CLOSED</v>
      </c>
      <c r="M78" s="43" t="str">
        <f>CPUE!J76</f>
        <v>CLOSED</v>
      </c>
      <c r="N78" s="41" t="str">
        <f>Effort!L76</f>
        <v>CLOSED</v>
      </c>
      <c r="O78" s="42" t="str">
        <f>Harvest!L76</f>
        <v>CLOSED</v>
      </c>
      <c r="P78" s="43" t="str">
        <f>CPUE!L76</f>
        <v>CLOSED</v>
      </c>
      <c r="Q78" s="41" t="s">
        <v>10</v>
      </c>
      <c r="R78" s="42" t="s">
        <v>10</v>
      </c>
      <c r="S78" s="44" t="s">
        <v>10</v>
      </c>
      <c r="T78" s="41">
        <v>0</v>
      </c>
      <c r="U78" s="42">
        <v>0</v>
      </c>
      <c r="V78" s="64"/>
      <c r="W78" s="20"/>
      <c r="X78" s="20"/>
    </row>
    <row r="79" spans="1:24" x14ac:dyDescent="0.25">
      <c r="A79" s="39">
        <v>44947</v>
      </c>
      <c r="B79" s="40" t="s">
        <v>19</v>
      </c>
      <c r="C79" s="8">
        <v>-1.8</v>
      </c>
      <c r="D79" s="13">
        <v>0.76597222222222217</v>
      </c>
      <c r="E79" s="41" t="str">
        <f>Effort!F77</f>
        <v>CLOSED</v>
      </c>
      <c r="F79" s="42" t="str">
        <f>Harvest!F77</f>
        <v>CLOSED</v>
      </c>
      <c r="G79" s="43" t="str">
        <f>+CPUE!F77</f>
        <v>CLOSED</v>
      </c>
      <c r="H79" s="41" t="str">
        <f>Effort!H77</f>
        <v>CLOSED</v>
      </c>
      <c r="I79" s="42" t="str">
        <f>Harvest!H77</f>
        <v>CLOSED</v>
      </c>
      <c r="J79" s="43" t="str">
        <f>CPUE!H77</f>
        <v>CLOSED</v>
      </c>
      <c r="K79" s="95">
        <f>Effort!J77</f>
        <v>1999.82524817833</v>
      </c>
      <c r="L79" s="96">
        <f>Harvest!J77</f>
        <v>13608.5669327257</v>
      </c>
      <c r="M79" s="97">
        <f>CPUE!J77</f>
        <v>6.8048780487804832</v>
      </c>
      <c r="N79" s="41" t="str">
        <f>Effort!L77</f>
        <v>CLOSED</v>
      </c>
      <c r="O79" s="42" t="str">
        <f>Harvest!L77</f>
        <v>CLOSED</v>
      </c>
      <c r="P79" s="43" t="str">
        <f>CPUE!L77</f>
        <v>CLOSED</v>
      </c>
      <c r="Q79" s="41" t="s">
        <v>10</v>
      </c>
      <c r="R79" s="42" t="s">
        <v>10</v>
      </c>
      <c r="S79" s="44" t="s">
        <v>10</v>
      </c>
      <c r="T79" s="41">
        <f>SUM(K79)</f>
        <v>1999.82524817833</v>
      </c>
      <c r="U79" s="42">
        <f>SUM(L79)</f>
        <v>13608.5669327257</v>
      </c>
      <c r="V79" s="64"/>
    </row>
    <row r="80" spans="1:24" x14ac:dyDescent="0.25">
      <c r="A80" s="39">
        <v>44948</v>
      </c>
      <c r="B80" s="40" t="s">
        <v>20</v>
      </c>
      <c r="C80" s="8">
        <v>-1.8</v>
      </c>
      <c r="D80" s="13">
        <v>0.79722222222222217</v>
      </c>
      <c r="E80" s="41" t="str">
        <f>Effort!F78</f>
        <v>CLOSED</v>
      </c>
      <c r="F80" s="42" t="str">
        <f>Harvest!F78</f>
        <v>CLOSED</v>
      </c>
      <c r="G80" s="43" t="str">
        <f>+CPUE!F78</f>
        <v>CLOSED</v>
      </c>
      <c r="H80" s="41" t="str">
        <f>Effort!H78</f>
        <v>CLOSED</v>
      </c>
      <c r="I80" s="42" t="str">
        <f>Harvest!H78</f>
        <v>CLOSED</v>
      </c>
      <c r="J80" s="43" t="str">
        <f>CPUE!H78</f>
        <v>CLOSED</v>
      </c>
      <c r="K80" s="41" t="str">
        <f>Effort!J78</f>
        <v>CLOSED</v>
      </c>
      <c r="L80" s="42" t="str">
        <f>Harvest!J78</f>
        <v>CLOSED</v>
      </c>
      <c r="M80" s="43" t="str">
        <f>CPUE!J78</f>
        <v>CLOSED</v>
      </c>
      <c r="N80" s="41" t="str">
        <f>Effort!L78</f>
        <v>CLOSED</v>
      </c>
      <c r="O80" s="42" t="str">
        <f>Harvest!L78</f>
        <v>CLOSED</v>
      </c>
      <c r="P80" s="43" t="str">
        <f>CPUE!L78</f>
        <v>CLOSED</v>
      </c>
      <c r="Q80" s="41" t="s">
        <v>10</v>
      </c>
      <c r="R80" s="42" t="s">
        <v>10</v>
      </c>
      <c r="S80" s="44" t="s">
        <v>10</v>
      </c>
      <c r="T80" s="41">
        <v>0</v>
      </c>
      <c r="U80" s="42">
        <v>0</v>
      </c>
      <c r="V80" s="63"/>
    </row>
    <row r="81" spans="1:24" x14ac:dyDescent="0.25">
      <c r="A81" s="39">
        <v>44949</v>
      </c>
      <c r="B81" s="40" t="s">
        <v>21</v>
      </c>
      <c r="C81" s="8">
        <v>-1.6</v>
      </c>
      <c r="D81" s="13">
        <v>0.82916666666666661</v>
      </c>
      <c r="E81" s="41" t="str">
        <f>Effort!F79</f>
        <v>CLOSED</v>
      </c>
      <c r="F81" s="42" t="str">
        <f>Harvest!F79</f>
        <v>CLOSED</v>
      </c>
      <c r="G81" s="43" t="str">
        <f>+CPUE!F79</f>
        <v>CLOSED</v>
      </c>
      <c r="H81" s="41" t="str">
        <f>Effort!H79</f>
        <v>CLOSED</v>
      </c>
      <c r="I81" s="42" t="str">
        <f>Harvest!H79</f>
        <v>CLOSED</v>
      </c>
      <c r="J81" s="43" t="str">
        <f>CPUE!H79</f>
        <v>CLOSED</v>
      </c>
      <c r="K81" s="95">
        <f>Effort!J79</f>
        <v>1930.23511353564</v>
      </c>
      <c r="L81" s="96">
        <f>Harvest!J79</f>
        <v>27755.449736012499</v>
      </c>
      <c r="M81" s="97">
        <f>CPUE!J79</f>
        <v>14.379310344827596</v>
      </c>
      <c r="N81" s="41" t="str">
        <f>Effort!L79</f>
        <v>CLOSED</v>
      </c>
      <c r="O81" s="42" t="str">
        <f>Harvest!L79</f>
        <v>CLOSED</v>
      </c>
      <c r="P81" s="43" t="str">
        <f>CPUE!L79</f>
        <v>CLOSED</v>
      </c>
      <c r="Q81" s="41" t="s">
        <v>10</v>
      </c>
      <c r="R81" s="42" t="s">
        <v>10</v>
      </c>
      <c r="S81" s="44" t="s">
        <v>10</v>
      </c>
      <c r="T81" s="41">
        <f>SUM(K81)</f>
        <v>1930.23511353564</v>
      </c>
      <c r="U81" s="42">
        <f>SUM(L81)</f>
        <v>27755.449736012499</v>
      </c>
    </row>
    <row r="82" spans="1:24" x14ac:dyDescent="0.25">
      <c r="A82" s="39">
        <v>44950</v>
      </c>
      <c r="B82" s="40" t="s">
        <v>22</v>
      </c>
      <c r="C82" s="8">
        <v>-1</v>
      </c>
      <c r="D82" s="13">
        <v>0.8569444444444444</v>
      </c>
      <c r="E82" s="41" t="str">
        <f>Effort!F80</f>
        <v>CLOSED</v>
      </c>
      <c r="F82" s="42" t="str">
        <f>Harvest!F80</f>
        <v>CLOSED</v>
      </c>
      <c r="G82" s="43" t="str">
        <f>+CPUE!F80</f>
        <v>CLOSED</v>
      </c>
      <c r="H82" s="41" t="str">
        <f>Effort!H80</f>
        <v>CLOSED</v>
      </c>
      <c r="I82" s="42" t="str">
        <f>Harvest!H80</f>
        <v>CLOSED</v>
      </c>
      <c r="J82" s="43" t="str">
        <f>CPUE!H80</f>
        <v>CLOSED</v>
      </c>
      <c r="K82" s="41" t="str">
        <f>Effort!J80</f>
        <v>CLOSED</v>
      </c>
      <c r="L82" s="42" t="str">
        <f>Harvest!J80</f>
        <v>CLOSED</v>
      </c>
      <c r="M82" s="43" t="str">
        <f>CPUE!J80</f>
        <v>CLOSED</v>
      </c>
      <c r="N82" s="41" t="str">
        <f>Effort!L80</f>
        <v>CLOSED</v>
      </c>
      <c r="O82" s="42" t="str">
        <f>Harvest!L80</f>
        <v>CLOSED</v>
      </c>
      <c r="P82" s="43" t="str">
        <f>CPUE!L80</f>
        <v>CLOSED</v>
      </c>
      <c r="Q82" s="41" t="s">
        <v>10</v>
      </c>
      <c r="R82" s="42" t="s">
        <v>10</v>
      </c>
      <c r="S82" s="44" t="s">
        <v>10</v>
      </c>
      <c r="T82" s="41">
        <v>0</v>
      </c>
      <c r="U82" s="42">
        <v>0</v>
      </c>
    </row>
    <row r="83" spans="1:24" x14ac:dyDescent="0.25">
      <c r="A83" s="39">
        <v>44951</v>
      </c>
      <c r="B83" s="40" t="s">
        <v>23</v>
      </c>
      <c r="C83" s="8">
        <v>-0.2</v>
      </c>
      <c r="D83" s="13">
        <v>0.88611111111111107</v>
      </c>
      <c r="E83" s="41" t="str">
        <f>Effort!F81</f>
        <v>CLOSED</v>
      </c>
      <c r="F83" s="42" t="str">
        <f>Harvest!F81</f>
        <v>CLOSED</v>
      </c>
      <c r="G83" s="43" t="str">
        <f>+CPUE!F81</f>
        <v>CLOSED</v>
      </c>
      <c r="H83" s="41" t="str">
        <f>Effort!H81</f>
        <v>CLOSED</v>
      </c>
      <c r="I83" s="42" t="str">
        <f>Harvest!H81</f>
        <v>CLOSED</v>
      </c>
      <c r="J83" s="43" t="str">
        <f>CPUE!H81</f>
        <v>CLOSED</v>
      </c>
      <c r="K83" s="95">
        <f>Effort!J81</f>
        <v>1089.5928001470199</v>
      </c>
      <c r="L83" s="96">
        <f>Harvest!J81</f>
        <v>16343.892002205301</v>
      </c>
      <c r="M83" s="97">
        <f>CPUE!J81</f>
        <v>15.000000000000002</v>
      </c>
      <c r="N83" s="41" t="str">
        <f>Effort!L81</f>
        <v>CLOSED</v>
      </c>
      <c r="O83" s="42" t="str">
        <f>Harvest!L81</f>
        <v>CLOSED</v>
      </c>
      <c r="P83" s="43" t="str">
        <f>CPUE!L81</f>
        <v>CLOSED</v>
      </c>
      <c r="Q83" s="41" t="s">
        <v>10</v>
      </c>
      <c r="R83" s="42" t="s">
        <v>10</v>
      </c>
      <c r="S83" s="44" t="s">
        <v>10</v>
      </c>
      <c r="T83" s="41">
        <f>SUM(K83)</f>
        <v>1089.5928001470199</v>
      </c>
      <c r="U83" s="42">
        <f>SUM(L83)</f>
        <v>16343.892002205301</v>
      </c>
    </row>
    <row r="84" spans="1:24" x14ac:dyDescent="0.25">
      <c r="A84" s="117" t="s">
        <v>57</v>
      </c>
      <c r="B84" s="117"/>
      <c r="C84" s="117"/>
      <c r="D84" s="118"/>
      <c r="E84" s="47">
        <f>SUM(E76:E83)</f>
        <v>0</v>
      </c>
      <c r="F84" s="48">
        <f>SUM(F76:F83)</f>
        <v>0</v>
      </c>
      <c r="G84" s="49">
        <v>0</v>
      </c>
      <c r="H84" s="47">
        <f>SUM(H76:H83)</f>
        <v>0</v>
      </c>
      <c r="I84" s="48">
        <f>SUM(I76:I83)</f>
        <v>0</v>
      </c>
      <c r="J84" s="49">
        <v>0</v>
      </c>
      <c r="K84" s="47">
        <f>SUM(K76:K83)</f>
        <v>5019.6531618609897</v>
      </c>
      <c r="L84" s="48">
        <f>SUM(L76:L83)</f>
        <v>57707.9086709435</v>
      </c>
      <c r="M84" s="49">
        <f>+L84/K84</f>
        <v>11.496393637194812</v>
      </c>
      <c r="N84" s="47">
        <f>SUM(N75:N83)</f>
        <v>0</v>
      </c>
      <c r="O84" s="48">
        <f>SUM(O75:O83)</f>
        <v>0</v>
      </c>
      <c r="P84" s="49">
        <v>0</v>
      </c>
      <c r="Q84" s="47"/>
      <c r="R84" s="48"/>
      <c r="S84" s="49"/>
      <c r="T84" s="47">
        <f>SUM(T76:T83)</f>
        <v>5019.6531618609897</v>
      </c>
      <c r="U84" s="48">
        <f>SUM(U76:U83)</f>
        <v>57707.9086709435</v>
      </c>
      <c r="W84" s="20">
        <f>SUM(H84,K84,N84,Q84,E84)</f>
        <v>5019.6531618609897</v>
      </c>
      <c r="X84" s="20">
        <f>SUM(R84,O84,L84,I84,F84)</f>
        <v>57707.9086709435</v>
      </c>
    </row>
    <row r="85" spans="1:24" x14ac:dyDescent="0.25">
      <c r="A85" s="39">
        <v>44960</v>
      </c>
      <c r="B85" s="8" t="s">
        <v>18</v>
      </c>
      <c r="C85" s="8">
        <v>0.1</v>
      </c>
      <c r="D85" s="13">
        <v>0.73402777777777783</v>
      </c>
      <c r="E85" s="41" t="str">
        <f>Effort!F83</f>
        <v>CLOSED</v>
      </c>
      <c r="F85" s="42" t="str">
        <f>Harvest!F83</f>
        <v>CLOSED</v>
      </c>
      <c r="G85" s="43" t="str">
        <f>+CPUE!F83</f>
        <v>CLOSED</v>
      </c>
      <c r="H85" s="41" t="str">
        <f>Effort!H83</f>
        <v>CLOSED</v>
      </c>
      <c r="I85" s="42" t="str">
        <f>Harvest!H83</f>
        <v>CLOSED</v>
      </c>
      <c r="J85" s="43" t="str">
        <f>CPUE!H83</f>
        <v>CLOSED</v>
      </c>
      <c r="K85" s="95">
        <f>Effort!J83</f>
        <v>979.13045508199002</v>
      </c>
      <c r="L85" s="96">
        <f>Harvest!J83</f>
        <v>6237.4236397815703</v>
      </c>
      <c r="M85" s="97">
        <f>CPUE!J83</f>
        <v>6.3703703703703747</v>
      </c>
      <c r="N85" s="41" t="str">
        <f>Effort!L83</f>
        <v>CLOSED</v>
      </c>
      <c r="O85" s="42" t="str">
        <f>Harvest!L83</f>
        <v>CLOSED</v>
      </c>
      <c r="P85" s="43" t="str">
        <f>CPUE!L83</f>
        <v>CLOSED</v>
      </c>
      <c r="Q85" s="41" t="s">
        <v>10</v>
      </c>
      <c r="R85" s="42" t="s">
        <v>10</v>
      </c>
      <c r="S85" s="44" t="s">
        <v>10</v>
      </c>
      <c r="T85" s="41">
        <f>SUM(K85)</f>
        <v>979.13045508199002</v>
      </c>
      <c r="U85" s="42">
        <f>SUM(L85)</f>
        <v>6237.4236397815703</v>
      </c>
      <c r="V85" s="42"/>
    </row>
    <row r="86" spans="1:24" x14ac:dyDescent="0.25">
      <c r="A86" s="39">
        <v>44961</v>
      </c>
      <c r="B86" s="8" t="s">
        <v>19</v>
      </c>
      <c r="C86" s="8">
        <v>-0.1</v>
      </c>
      <c r="D86" s="13">
        <v>0.75763888888888886</v>
      </c>
      <c r="E86" s="41" t="str">
        <f>Effort!F84</f>
        <v>CLOSED</v>
      </c>
      <c r="F86" s="42" t="str">
        <f>Harvest!F84</f>
        <v>CLOSED</v>
      </c>
      <c r="G86" s="43" t="str">
        <f>+CPUE!F84</f>
        <v>CLOSED</v>
      </c>
      <c r="H86" s="41" t="str">
        <f>Effort!H84</f>
        <v>CLOSED</v>
      </c>
      <c r="I86" s="42" t="str">
        <f>Harvest!H84</f>
        <v>CLOSED</v>
      </c>
      <c r="J86" s="43" t="str">
        <f>CPUE!H84</f>
        <v>CLOSED</v>
      </c>
      <c r="K86" s="41" t="str">
        <f>Effort!J84</f>
        <v>CLOSED</v>
      </c>
      <c r="L86" s="42" t="str">
        <f>Harvest!J84</f>
        <v>CLOSED</v>
      </c>
      <c r="M86" s="43" t="str">
        <f>CPUE!J84</f>
        <v>CLOSED</v>
      </c>
      <c r="N86" s="95">
        <f>Effort!L84</f>
        <v>1703.0091915877499</v>
      </c>
      <c r="O86" s="96">
        <f>Harvest!L84</f>
        <v>23112.2676001195</v>
      </c>
      <c r="P86" s="97">
        <f>CPUE!L84</f>
        <v>13.571428571428592</v>
      </c>
      <c r="Q86" s="41" t="s">
        <v>10</v>
      </c>
      <c r="R86" s="42" t="s">
        <v>10</v>
      </c>
      <c r="S86" s="44" t="s">
        <v>10</v>
      </c>
      <c r="T86" s="41">
        <f>SUM(N86)</f>
        <v>1703.0091915877499</v>
      </c>
      <c r="U86" s="42">
        <f>SUM(O86)</f>
        <v>23112.2676001195</v>
      </c>
      <c r="V86" s="42"/>
    </row>
    <row r="87" spans="1:24" x14ac:dyDescent="0.25">
      <c r="A87" s="39">
        <v>44962</v>
      </c>
      <c r="B87" s="8" t="s">
        <v>20</v>
      </c>
      <c r="C87" s="8">
        <v>-0.2</v>
      </c>
      <c r="D87" s="13">
        <v>0.77986111111111101</v>
      </c>
      <c r="E87" s="41" t="str">
        <f>Effort!F85</f>
        <v>CLOSED</v>
      </c>
      <c r="F87" s="42" t="str">
        <f>Harvest!F85</f>
        <v>CLOSED</v>
      </c>
      <c r="G87" s="43" t="str">
        <f>+CPUE!F85</f>
        <v>CLOSED</v>
      </c>
      <c r="H87" s="41" t="str">
        <f>Effort!H85</f>
        <v>CLOSED</v>
      </c>
      <c r="I87" s="42" t="str">
        <f>Harvest!H85</f>
        <v>CLOSED</v>
      </c>
      <c r="J87" s="43" t="str">
        <f>CPUE!H85</f>
        <v>CLOSED</v>
      </c>
      <c r="K87" s="95">
        <f>Effort!J85</f>
        <v>2424.78251234345</v>
      </c>
      <c r="L87" s="96">
        <f>Harvest!J85</f>
        <v>29758.694469669601</v>
      </c>
      <c r="M87" s="97">
        <f>CPUE!J85</f>
        <v>12.272727272727268</v>
      </c>
      <c r="N87" s="41" t="str">
        <f>Effort!L85</f>
        <v>CLOSED</v>
      </c>
      <c r="O87" s="42" t="str">
        <f>Harvest!L85</f>
        <v>CLOSED</v>
      </c>
      <c r="P87" s="43" t="str">
        <f>CPUE!L85</f>
        <v>CLOSED</v>
      </c>
      <c r="Q87" s="41" t="s">
        <v>10</v>
      </c>
      <c r="R87" s="42" t="s">
        <v>10</v>
      </c>
      <c r="S87" s="44" t="s">
        <v>10</v>
      </c>
      <c r="T87" s="41">
        <f>SUM(K87)</f>
        <v>2424.78251234345</v>
      </c>
      <c r="U87" s="42">
        <f>SUM(L87)</f>
        <v>29758.694469669601</v>
      </c>
      <c r="V87" s="42"/>
    </row>
    <row r="88" spans="1:24" x14ac:dyDescent="0.25">
      <c r="A88" s="39">
        <v>44963</v>
      </c>
      <c r="B88" s="8" t="s">
        <v>21</v>
      </c>
      <c r="C88" s="8">
        <v>-0.1</v>
      </c>
      <c r="D88" s="13">
        <v>0.80069444444444438</v>
      </c>
      <c r="E88" s="41" t="str">
        <f>Effort!F86</f>
        <v>CLOSED</v>
      </c>
      <c r="F88" s="42" t="str">
        <f>Harvest!F86</f>
        <v>CLOSED</v>
      </c>
      <c r="G88" s="43" t="str">
        <f>+CPUE!F86</f>
        <v>CLOSED</v>
      </c>
      <c r="H88" s="41" t="str">
        <f>Effort!H86</f>
        <v>CLOSED</v>
      </c>
      <c r="I88" s="42" t="str">
        <f>Harvest!H86</f>
        <v>CLOSED</v>
      </c>
      <c r="J88" s="43" t="str">
        <f>CPUE!H86</f>
        <v>CLOSED</v>
      </c>
      <c r="K88" s="41" t="str">
        <f>Effort!J86</f>
        <v>CLOSED</v>
      </c>
      <c r="L88" s="42" t="str">
        <f>Harvest!J86</f>
        <v>CLOSED</v>
      </c>
      <c r="M88" s="43" t="str">
        <f>CPUE!J86</f>
        <v>CLOSED</v>
      </c>
      <c r="N88" s="95">
        <f>Effort!L86</f>
        <v>415.38463062083298</v>
      </c>
      <c r="O88" s="96">
        <f>Harvest!L86</f>
        <v>4742.3078662545104</v>
      </c>
      <c r="P88" s="97">
        <f>CPUE!L86</f>
        <v>11.416666666666668</v>
      </c>
      <c r="Q88" s="41" t="s">
        <v>10</v>
      </c>
      <c r="R88" s="42" t="s">
        <v>10</v>
      </c>
      <c r="S88" s="44" t="s">
        <v>10</v>
      </c>
      <c r="T88" s="41">
        <f>SUM(N88)</f>
        <v>415.38463062083298</v>
      </c>
      <c r="U88" s="42">
        <f>SUM(O88)</f>
        <v>4742.3078662545104</v>
      </c>
      <c r="V88" s="42"/>
    </row>
    <row r="89" spans="1:24" x14ac:dyDescent="0.25">
      <c r="A89" s="39">
        <v>44964</v>
      </c>
      <c r="B89" s="8" t="s">
        <v>22</v>
      </c>
      <c r="C89" s="8">
        <v>0.1</v>
      </c>
      <c r="D89" s="13">
        <v>0.8208333333333333</v>
      </c>
      <c r="E89" s="41" t="str">
        <f>Effort!F87</f>
        <v>CLOSED</v>
      </c>
      <c r="F89" s="42" t="str">
        <f>Harvest!F87</f>
        <v>CLOSED</v>
      </c>
      <c r="G89" s="43" t="str">
        <f>+CPUE!F87</f>
        <v>CLOSED</v>
      </c>
      <c r="H89" s="41" t="str">
        <f>Effort!H87</f>
        <v>CLOSED</v>
      </c>
      <c r="I89" s="42" t="str">
        <f>Harvest!H87</f>
        <v>CLOSED</v>
      </c>
      <c r="J89" s="43" t="str">
        <f>CPUE!H87</f>
        <v>CLOSED</v>
      </c>
      <c r="K89" s="95">
        <f>Effort!J87</f>
        <v>601.91999999999996</v>
      </c>
      <c r="L89" s="96">
        <f>Harvest!J87</f>
        <v>5868.72</v>
      </c>
      <c r="M89" s="97">
        <f>CPUE!J87</f>
        <v>9.7500000000000018</v>
      </c>
      <c r="N89" s="41" t="str">
        <f>Effort!L87</f>
        <v>CLOSED</v>
      </c>
      <c r="O89" s="42" t="str">
        <f>Harvest!L87</f>
        <v>CLOSED</v>
      </c>
      <c r="P89" s="43" t="str">
        <f>CPUE!L87</f>
        <v>CLOSED</v>
      </c>
      <c r="Q89" s="41" t="s">
        <v>10</v>
      </c>
      <c r="R89" s="42" t="s">
        <v>10</v>
      </c>
      <c r="S89" s="44" t="s">
        <v>10</v>
      </c>
      <c r="T89" s="41">
        <f>SUM(K89)</f>
        <v>601.91999999999996</v>
      </c>
      <c r="U89" s="42">
        <f>SUM(L89)</f>
        <v>5868.72</v>
      </c>
      <c r="V89" s="42"/>
    </row>
    <row r="90" spans="1:24" x14ac:dyDescent="0.25">
      <c r="A90" s="39">
        <v>44965</v>
      </c>
      <c r="B90" s="8" t="s">
        <v>23</v>
      </c>
      <c r="C90" s="8">
        <v>0.4</v>
      </c>
      <c r="D90" s="13">
        <v>0.84097222222222223</v>
      </c>
      <c r="E90" s="41" t="str">
        <f>Effort!F88</f>
        <v>CLOSED</v>
      </c>
      <c r="F90" s="42" t="str">
        <f>Harvest!F88</f>
        <v>CLOSED</v>
      </c>
      <c r="G90" s="43" t="str">
        <f>+CPUE!F88</f>
        <v>CLOSED</v>
      </c>
      <c r="H90" s="41" t="str">
        <f>Effort!H88</f>
        <v>CLOSED</v>
      </c>
      <c r="I90" s="42" t="str">
        <f>Harvest!H88</f>
        <v>CLOSED</v>
      </c>
      <c r="J90" s="43" t="str">
        <f>CPUE!H88</f>
        <v>CLOSED</v>
      </c>
      <c r="K90" s="41" t="str">
        <f>Effort!J88</f>
        <v>CLOSED</v>
      </c>
      <c r="L90" s="42" t="str">
        <f>Harvest!J88</f>
        <v>CLOSED</v>
      </c>
      <c r="M90" s="43" t="str">
        <f>CPUE!J88</f>
        <v>CLOSED</v>
      </c>
      <c r="N90" s="95">
        <f>Effort!L88</f>
        <v>323.65396305261999</v>
      </c>
      <c r="O90" s="96">
        <f>Harvest!L88</f>
        <v>3624.9243861893501</v>
      </c>
      <c r="P90" s="97">
        <f>CPUE!L88</f>
        <v>11.200000000000019</v>
      </c>
      <c r="Q90" s="41" t="s">
        <v>10</v>
      </c>
      <c r="R90" s="42" t="s">
        <v>10</v>
      </c>
      <c r="S90" s="44" t="s">
        <v>10</v>
      </c>
      <c r="T90" s="41">
        <f>SUM(N90)</f>
        <v>323.65396305261999</v>
      </c>
      <c r="U90" s="42">
        <f>SUM(O90)</f>
        <v>3624.9243861893501</v>
      </c>
      <c r="V90" s="42"/>
    </row>
    <row r="91" spans="1:24" x14ac:dyDescent="0.25">
      <c r="A91" s="117" t="s">
        <v>57</v>
      </c>
      <c r="B91" s="117"/>
      <c r="C91" s="117"/>
      <c r="D91" s="118"/>
      <c r="E91" s="47">
        <f>SUM(E85:E90)</f>
        <v>0</v>
      </c>
      <c r="F91" s="48">
        <f>SUM(F85:F90)</f>
        <v>0</v>
      </c>
      <c r="G91" s="49">
        <v>0</v>
      </c>
      <c r="H91" s="47">
        <f>SUM(H85:H90)</f>
        <v>0</v>
      </c>
      <c r="I91" s="48">
        <f>SUM(I85:I90)</f>
        <v>0</v>
      </c>
      <c r="J91" s="49">
        <v>0</v>
      </c>
      <c r="K91" s="47">
        <f>SUM(K85:K90)</f>
        <v>4005.8329674254401</v>
      </c>
      <c r="L91" s="48">
        <f>SUM(L85:L90)</f>
        <v>41864.838109451171</v>
      </c>
      <c r="M91" s="49">
        <f>+L91/K91</f>
        <v>10.450969486218447</v>
      </c>
      <c r="N91" s="47">
        <f>SUM(N85:N90)</f>
        <v>2442.047785261203</v>
      </c>
      <c r="O91" s="48">
        <f>SUM(O85:O90)</f>
        <v>31479.499852563356</v>
      </c>
      <c r="P91" s="49">
        <f>+O91/N91</f>
        <v>12.890615835838892</v>
      </c>
      <c r="Q91" s="47"/>
      <c r="R91" s="48"/>
      <c r="S91" s="49"/>
      <c r="T91" s="47">
        <f>SUM(T85:T90)</f>
        <v>6447.8807526866431</v>
      </c>
      <c r="U91" s="48">
        <f>SUM(U85:U90)</f>
        <v>73344.337962014528</v>
      </c>
      <c r="V91" s="64"/>
      <c r="W91" s="20">
        <f>SUM(H91,K91,N91,Q91,E91)</f>
        <v>6447.8807526866431</v>
      </c>
      <c r="X91" s="20">
        <f>SUM(R91,O91,L91,I91,F91)</f>
        <v>73344.337962014528</v>
      </c>
    </row>
    <row r="92" spans="1:24" x14ac:dyDescent="0.25">
      <c r="A92" s="39">
        <v>44974</v>
      </c>
      <c r="B92" s="8" t="s">
        <v>18</v>
      </c>
      <c r="C92" s="8">
        <v>-0.7</v>
      </c>
      <c r="D92" s="13">
        <v>0.68680555555555556</v>
      </c>
      <c r="E92" s="41" t="str">
        <f>Effort!F90</f>
        <v>CLOSED</v>
      </c>
      <c r="F92" s="42" t="str">
        <f>Harvest!F90</f>
        <v>CLOSED</v>
      </c>
      <c r="G92" s="43" t="str">
        <f>+CPUE!F90</f>
        <v>CLOSED</v>
      </c>
      <c r="H92" s="41" t="str">
        <f>Effort!H90</f>
        <v>CLOSED</v>
      </c>
      <c r="I92" s="42" t="str">
        <f>Harvest!H90</f>
        <v>CLOSED</v>
      </c>
      <c r="J92" s="43" t="str">
        <f>CPUE!H90</f>
        <v>CLOSED</v>
      </c>
      <c r="K92" s="41" t="str">
        <f>Effort!J90</f>
        <v>CLOSED</v>
      </c>
      <c r="L92" s="42" t="str">
        <f>Harvest!J90</f>
        <v>CLOSED</v>
      </c>
      <c r="M92" s="43" t="str">
        <f>CPUE!J90</f>
        <v>CLOSED</v>
      </c>
      <c r="N92" s="95">
        <f>Effort!L90</f>
        <v>1400.0000035509199</v>
      </c>
      <c r="O92" s="96">
        <f>Harvest!L90</f>
        <v>21000.000053263699</v>
      </c>
      <c r="P92" s="97">
        <f>CPUE!L90</f>
        <v>14.999999999999929</v>
      </c>
      <c r="Q92" s="41" t="s">
        <v>10</v>
      </c>
      <c r="R92" s="42" t="s">
        <v>10</v>
      </c>
      <c r="S92" s="44" t="s">
        <v>10</v>
      </c>
      <c r="T92" s="41">
        <f>SUM(N92)</f>
        <v>1400.0000035509199</v>
      </c>
      <c r="U92" s="42">
        <f>SUM(O92)</f>
        <v>21000.000053263699</v>
      </c>
      <c r="V92" s="42"/>
    </row>
    <row r="93" spans="1:24" x14ac:dyDescent="0.25">
      <c r="A93" s="39">
        <v>44975</v>
      </c>
      <c r="B93" s="8" t="s">
        <v>19</v>
      </c>
      <c r="C93" s="8">
        <v>-1.2</v>
      </c>
      <c r="D93" s="13">
        <v>0.72152777777777777</v>
      </c>
      <c r="E93" s="41" t="str">
        <f>Effort!F91</f>
        <v>CLOSED</v>
      </c>
      <c r="F93" s="42" t="str">
        <f>Harvest!F91</f>
        <v>CLOSED</v>
      </c>
      <c r="G93" s="43" t="str">
        <f>+CPUE!F91</f>
        <v>CLOSED</v>
      </c>
      <c r="H93" s="41" t="str">
        <f>Effort!H91</f>
        <v>CLOSED</v>
      </c>
      <c r="I93" s="42" t="str">
        <f>Harvest!H91</f>
        <v>CLOSED</v>
      </c>
      <c r="J93" s="43" t="str">
        <f>CPUE!H91</f>
        <v>CLOSED</v>
      </c>
      <c r="K93" s="95">
        <f>Effort!J91</f>
        <v>5652.2717341836697</v>
      </c>
      <c r="L93" s="96">
        <f>Harvest!J91</f>
        <v>84103.079418275098</v>
      </c>
      <c r="M93" s="97">
        <f>CPUE!J91</f>
        <v>14.879518072289159</v>
      </c>
      <c r="N93" s="41" t="str">
        <f>Effort!L91</f>
        <v>CLOSED</v>
      </c>
      <c r="O93" s="42" t="str">
        <f>Harvest!L91</f>
        <v>CLOSED</v>
      </c>
      <c r="P93" s="43" t="str">
        <f>CPUE!L91</f>
        <v>CLOSED</v>
      </c>
      <c r="Q93" s="41" t="s">
        <v>10</v>
      </c>
      <c r="R93" s="42" t="s">
        <v>10</v>
      </c>
      <c r="S93" s="44" t="s">
        <v>10</v>
      </c>
      <c r="T93" s="41">
        <f>SUM(K93)</f>
        <v>5652.2717341836697</v>
      </c>
      <c r="U93" s="42">
        <f>SUM(L93)</f>
        <v>84103.079418275098</v>
      </c>
      <c r="V93" s="42"/>
    </row>
    <row r="94" spans="1:24" x14ac:dyDescent="0.25">
      <c r="A94" s="39">
        <v>44976</v>
      </c>
      <c r="B94" s="8" t="s">
        <v>20</v>
      </c>
      <c r="C94" s="8">
        <v>-1.5</v>
      </c>
      <c r="D94" s="13">
        <v>0.75277777777777777</v>
      </c>
      <c r="E94" s="41" t="str">
        <f>Effort!F92</f>
        <v>CLOSED</v>
      </c>
      <c r="F94" s="42" t="str">
        <f>Harvest!F92</f>
        <v>CLOSED</v>
      </c>
      <c r="G94" s="43" t="str">
        <f>+CPUE!F92</f>
        <v>CLOSED</v>
      </c>
      <c r="H94" s="41" t="str">
        <f>Effort!H92</f>
        <v>CLOSED</v>
      </c>
      <c r="I94" s="42" t="str">
        <f>Harvest!H92</f>
        <v>CLOSED</v>
      </c>
      <c r="J94" s="43" t="str">
        <f>CPUE!H92</f>
        <v>CLOSED</v>
      </c>
      <c r="K94" s="41" t="str">
        <f>Effort!J92</f>
        <v>CLOSED</v>
      </c>
      <c r="L94" s="42" t="str">
        <f>Harvest!J92</f>
        <v>CLOSED</v>
      </c>
      <c r="M94" s="43" t="str">
        <f>CPUE!J92</f>
        <v>CLOSED</v>
      </c>
      <c r="N94" s="95">
        <f>Effort!L92</f>
        <v>5569.9245869770502</v>
      </c>
      <c r="O94" s="96">
        <f>Harvest!L92</f>
        <v>73598.104654887793</v>
      </c>
      <c r="P94" s="97">
        <f>CPUE!L92</f>
        <v>13.213483146067421</v>
      </c>
      <c r="Q94" s="41" t="s">
        <v>10</v>
      </c>
      <c r="R94" s="42" t="s">
        <v>10</v>
      </c>
      <c r="S94" s="44" t="s">
        <v>10</v>
      </c>
      <c r="T94" s="41">
        <f>SUM(N94)</f>
        <v>5569.9245869770502</v>
      </c>
      <c r="U94" s="42">
        <f>SUM(O94)</f>
        <v>73598.104654887793</v>
      </c>
      <c r="V94" s="42"/>
    </row>
    <row r="95" spans="1:24" x14ac:dyDescent="0.25">
      <c r="A95" s="39">
        <v>44977</v>
      </c>
      <c r="B95" s="8" t="s">
        <v>21</v>
      </c>
      <c r="C95" s="8">
        <v>-1.4</v>
      </c>
      <c r="D95" s="13">
        <v>0.78194444444444444</v>
      </c>
      <c r="E95" s="41" t="str">
        <f>Effort!F93</f>
        <v>CLOSED</v>
      </c>
      <c r="F95" s="42" t="str">
        <f>Harvest!F93</f>
        <v>CLOSED</v>
      </c>
      <c r="G95" s="43" t="str">
        <f>+CPUE!F93</f>
        <v>CLOSED</v>
      </c>
      <c r="H95" s="41" t="str">
        <f>Effort!H93</f>
        <v>CLOSED</v>
      </c>
      <c r="I95" s="42" t="str">
        <f>Harvest!H93</f>
        <v>CLOSED</v>
      </c>
      <c r="J95" s="43" t="str">
        <f>CPUE!H93</f>
        <v>CLOSED</v>
      </c>
      <c r="K95" s="95">
        <f>Effort!J93</f>
        <v>1436.4223900284301</v>
      </c>
      <c r="L95" s="96">
        <f>Harvest!J93</f>
        <v>17933.515899748902</v>
      </c>
      <c r="M95" s="97">
        <f>CPUE!J93</f>
        <v>12.484848484848497</v>
      </c>
      <c r="N95" s="41" t="str">
        <f>Effort!L93</f>
        <v>CLOSED</v>
      </c>
      <c r="O95" s="42" t="str">
        <f>Harvest!L93</f>
        <v>CLOSED</v>
      </c>
      <c r="P95" s="43" t="str">
        <f>CPUE!L93</f>
        <v>CLOSED</v>
      </c>
      <c r="Q95" s="41" t="s">
        <v>10</v>
      </c>
      <c r="R95" s="42" t="s">
        <v>10</v>
      </c>
      <c r="S95" s="44" t="s">
        <v>10</v>
      </c>
      <c r="T95" s="41">
        <f>SUM(K95)</f>
        <v>1436.4223900284301</v>
      </c>
      <c r="U95" s="42">
        <f>SUM(L95)</f>
        <v>17933.515899748902</v>
      </c>
      <c r="V95" s="42"/>
    </row>
    <row r="96" spans="1:24" x14ac:dyDescent="0.25">
      <c r="A96" s="39">
        <v>44978</v>
      </c>
      <c r="B96" s="8" t="s">
        <v>22</v>
      </c>
      <c r="C96" s="8">
        <v>-1</v>
      </c>
      <c r="D96" s="13">
        <v>0.80972222222222223</v>
      </c>
      <c r="E96" s="41" t="str">
        <f>Effort!F94</f>
        <v>CLOSED</v>
      </c>
      <c r="F96" s="42" t="str">
        <f>Harvest!F94</f>
        <v>CLOSED</v>
      </c>
      <c r="G96" s="43" t="str">
        <f>+CPUE!F94</f>
        <v>CLOSED</v>
      </c>
      <c r="H96" s="41" t="str">
        <f>Effort!H94</f>
        <v>CLOSED</v>
      </c>
      <c r="I96" s="42" t="str">
        <f>Harvest!H94</f>
        <v>CLOSED</v>
      </c>
      <c r="J96" s="43" t="str">
        <f>CPUE!H94</f>
        <v>CLOSED</v>
      </c>
      <c r="K96" s="41" t="str">
        <f>Effort!J94</f>
        <v>CLOSED</v>
      </c>
      <c r="L96" s="42" t="str">
        <f>Harvest!J94</f>
        <v>CLOSED</v>
      </c>
      <c r="M96" s="43" t="str">
        <f>CPUE!J94</f>
        <v>CLOSED</v>
      </c>
      <c r="N96" s="95">
        <f>Effort!L94</f>
        <v>342.97052182008099</v>
      </c>
      <c r="O96" s="96">
        <f>Harvest!L94</f>
        <v>548.75283491212997</v>
      </c>
      <c r="P96" s="97">
        <f>CPUE!L94</f>
        <v>1.6000000000000012</v>
      </c>
      <c r="Q96" s="41" t="s">
        <v>10</v>
      </c>
      <c r="R96" s="42" t="s">
        <v>10</v>
      </c>
      <c r="S96" s="44" t="s">
        <v>10</v>
      </c>
      <c r="T96" s="41">
        <f>SUM(N96)</f>
        <v>342.97052182008099</v>
      </c>
      <c r="U96" s="42">
        <f>SUM(O96)</f>
        <v>548.75283491212997</v>
      </c>
      <c r="V96" s="42"/>
    </row>
    <row r="97" spans="1:24" x14ac:dyDescent="0.25">
      <c r="A97" s="39">
        <v>44979</v>
      </c>
      <c r="B97" s="8" t="s">
        <v>23</v>
      </c>
      <c r="C97" s="8">
        <v>-0.3</v>
      </c>
      <c r="D97" s="13">
        <v>0.83680555555555547</v>
      </c>
      <c r="E97" s="41" t="str">
        <f>Effort!F95</f>
        <v>CLOSED</v>
      </c>
      <c r="F97" s="42" t="str">
        <f>Harvest!F95</f>
        <v>CLOSED</v>
      </c>
      <c r="G97" s="43" t="str">
        <f>+CPUE!F95</f>
        <v>CLOSED</v>
      </c>
      <c r="H97" s="41" t="str">
        <f>Effort!H95</f>
        <v>CLOSED</v>
      </c>
      <c r="I97" s="42" t="str">
        <f>Harvest!H95</f>
        <v>CLOSED</v>
      </c>
      <c r="J97" s="43" t="str">
        <f>CPUE!H95</f>
        <v>CLOSED</v>
      </c>
      <c r="K97" s="95">
        <f>Effort!J95</f>
        <v>236.269721173091</v>
      </c>
      <c r="L97" s="96">
        <f>Harvest!J95</f>
        <v>1782.76244157878</v>
      </c>
      <c r="M97" s="97">
        <f>CPUE!J95</f>
        <v>7.5454545454545556</v>
      </c>
      <c r="N97" s="41" t="str">
        <f>Effort!L95</f>
        <v>CLOSED</v>
      </c>
      <c r="O97" s="42" t="str">
        <f>Harvest!L95</f>
        <v>CLOSED</v>
      </c>
      <c r="P97" s="43" t="str">
        <f>CPUE!L95</f>
        <v>CLOSED</v>
      </c>
      <c r="Q97" s="41" t="s">
        <v>10</v>
      </c>
      <c r="R97" s="42" t="s">
        <v>10</v>
      </c>
      <c r="S97" s="44" t="s">
        <v>10</v>
      </c>
      <c r="T97" s="41">
        <f>SUM(K97)</f>
        <v>236.269721173091</v>
      </c>
      <c r="U97" s="42">
        <f>SUM(L97)</f>
        <v>1782.76244157878</v>
      </c>
      <c r="V97" s="42"/>
    </row>
    <row r="98" spans="1:24" x14ac:dyDescent="0.25">
      <c r="A98" s="117" t="s">
        <v>57</v>
      </c>
      <c r="B98" s="117"/>
      <c r="C98" s="117"/>
      <c r="D98" s="118"/>
      <c r="E98" s="47">
        <f>SUM(E92:E97)</f>
        <v>0</v>
      </c>
      <c r="F98" s="48">
        <f>SUM(F92:F97)</f>
        <v>0</v>
      </c>
      <c r="G98" s="49">
        <v>0</v>
      </c>
      <c r="H98" s="47">
        <f>SUM(H92:H97)</f>
        <v>0</v>
      </c>
      <c r="I98" s="48">
        <f>SUM(I92:I97)</f>
        <v>0</v>
      </c>
      <c r="J98" s="49">
        <v>0</v>
      </c>
      <c r="K98" s="47">
        <f>SUM(K92:K97)</f>
        <v>7324.9638453851903</v>
      </c>
      <c r="L98" s="48">
        <f>SUM(L92:L97)</f>
        <v>103819.35775960279</v>
      </c>
      <c r="M98" s="49">
        <f>+L98/K98</f>
        <v>14.173361118363765</v>
      </c>
      <c r="N98" s="47">
        <f>SUM(N92:N97)</f>
        <v>7312.895112348051</v>
      </c>
      <c r="O98" s="48">
        <f>SUM(O92:O97)</f>
        <v>95146.857543063612</v>
      </c>
      <c r="P98" s="49">
        <f>+O98/N98</f>
        <v>13.010833066975783</v>
      </c>
      <c r="Q98" s="47"/>
      <c r="R98" s="48"/>
      <c r="S98" s="49"/>
      <c r="T98" s="47">
        <f>SUM(T92:T97)</f>
        <v>14637.858957733242</v>
      </c>
      <c r="U98" s="48">
        <f>SUM(U92:U97)</f>
        <v>198966.21530266639</v>
      </c>
      <c r="V98" s="64"/>
      <c r="W98" s="20">
        <f>SUM(H98,K98,N98,Q98,E98)</f>
        <v>14637.858957733242</v>
      </c>
      <c r="X98" s="20">
        <f>SUM(R98,O98,L98,I98,F98)</f>
        <v>198966.21530266642</v>
      </c>
    </row>
    <row r="99" spans="1:24" x14ac:dyDescent="0.25">
      <c r="A99" s="39">
        <v>44988</v>
      </c>
      <c r="B99" s="8" t="s">
        <v>18</v>
      </c>
      <c r="C99" s="8">
        <v>0.6</v>
      </c>
      <c r="D99" s="13">
        <v>0.68819444444444444</v>
      </c>
      <c r="E99" s="41" t="str">
        <f>Effort!F97</f>
        <v>CLOSED</v>
      </c>
      <c r="F99" s="42" t="str">
        <f>Harvest!F97</f>
        <v>CLOSED</v>
      </c>
      <c r="G99" s="43" t="str">
        <f>+CPUE!F97</f>
        <v>CLOSED</v>
      </c>
      <c r="H99" s="41" t="str">
        <f>Effort!H97</f>
        <v>CLOSED</v>
      </c>
      <c r="I99" s="42" t="str">
        <f>Harvest!H97</f>
        <v>CLOSED</v>
      </c>
      <c r="J99" s="43" t="str">
        <f>CPUE!H97</f>
        <v>CLOSED</v>
      </c>
      <c r="K99" s="41" t="str">
        <f>Effort!J97</f>
        <v>CLOSED</v>
      </c>
      <c r="L99" s="42" t="str">
        <f>Harvest!J97</f>
        <v>CLOSED</v>
      </c>
      <c r="M99" s="43" t="str">
        <f>CPUE!J97</f>
        <v>CLOSED</v>
      </c>
      <c r="N99" s="95">
        <f>Effort!L97</f>
        <v>1332.2764666570999</v>
      </c>
      <c r="O99" s="96">
        <f>Harvest!L97</f>
        <v>11690.7259949161</v>
      </c>
      <c r="P99" s="97">
        <f>CPUE!L97</f>
        <v>8.7750000000000359</v>
      </c>
      <c r="Q99" s="41" t="s">
        <v>10</v>
      </c>
      <c r="R99" s="42" t="s">
        <v>10</v>
      </c>
      <c r="S99" s="44" t="s">
        <v>10</v>
      </c>
      <c r="T99" s="41">
        <f>SUM(N99)</f>
        <v>1332.2764666570999</v>
      </c>
      <c r="U99" s="42">
        <f>SUM(O99)</f>
        <v>11690.7259949161</v>
      </c>
      <c r="V99" s="42"/>
    </row>
    <row r="100" spans="1:24" x14ac:dyDescent="0.25">
      <c r="A100" s="39">
        <v>44989</v>
      </c>
      <c r="B100" s="8" t="s">
        <v>19</v>
      </c>
      <c r="C100" s="8">
        <v>0.4</v>
      </c>
      <c r="D100" s="13">
        <v>0.71458333333333324</v>
      </c>
      <c r="E100" s="41" t="str">
        <f>Effort!F98</f>
        <v>CLOSED</v>
      </c>
      <c r="F100" s="42" t="str">
        <f>Harvest!F98</f>
        <v>CLOSED</v>
      </c>
      <c r="G100" s="43" t="str">
        <f>+CPUE!F98</f>
        <v>CLOSED</v>
      </c>
      <c r="H100" s="41" t="str">
        <f>Effort!H98</f>
        <v>CLOSED</v>
      </c>
      <c r="I100" s="42" t="str">
        <f>Harvest!H98</f>
        <v>CLOSED</v>
      </c>
      <c r="J100" s="43" t="str">
        <f>CPUE!H98</f>
        <v>CLOSED</v>
      </c>
      <c r="K100" s="95">
        <f>Effort!J98</f>
        <v>3456.0461677339999</v>
      </c>
      <c r="L100" s="96">
        <f>Harvest!J98</f>
        <v>14090.034376146299</v>
      </c>
      <c r="M100" s="97">
        <f>CPUE!J98</f>
        <v>4.0769230769230749</v>
      </c>
      <c r="N100" s="41" t="str">
        <f>Effort!L98</f>
        <v>CLOSED</v>
      </c>
      <c r="O100" s="42" t="str">
        <f>Harvest!L98</f>
        <v>CLOSED</v>
      </c>
      <c r="P100" s="43" t="str">
        <f>CPUE!L98</f>
        <v>CLOSED</v>
      </c>
      <c r="Q100" s="41" t="s">
        <v>10</v>
      </c>
      <c r="R100" s="42" t="s">
        <v>10</v>
      </c>
      <c r="S100" s="44" t="s">
        <v>10</v>
      </c>
      <c r="T100" s="41">
        <f>SUM(K100)</f>
        <v>3456.0461677339999</v>
      </c>
      <c r="U100" s="42">
        <f>SUM(L100)</f>
        <v>14090.034376146299</v>
      </c>
      <c r="V100" s="42"/>
    </row>
    <row r="101" spans="1:24" x14ac:dyDescent="0.25">
      <c r="A101" s="39">
        <v>44990</v>
      </c>
      <c r="B101" s="8" t="s">
        <v>20</v>
      </c>
      <c r="C101" s="8">
        <v>0.2</v>
      </c>
      <c r="D101" s="13">
        <v>0.73749999999999993</v>
      </c>
      <c r="E101" s="41" t="str">
        <f>Effort!F99</f>
        <v>CLOSED</v>
      </c>
      <c r="F101" s="42" t="str">
        <f>Harvest!F99</f>
        <v>CLOSED</v>
      </c>
      <c r="G101" s="43" t="str">
        <f>+CPUE!F99</f>
        <v>CLOSED</v>
      </c>
      <c r="H101" s="41" t="str">
        <f>Effort!H99</f>
        <v>CLOSED</v>
      </c>
      <c r="I101" s="42" t="str">
        <f>Harvest!H99</f>
        <v>CLOSED</v>
      </c>
      <c r="J101" s="43" t="str">
        <f>CPUE!H99</f>
        <v>CLOSED</v>
      </c>
      <c r="K101" s="41" t="str">
        <f>Effort!J99</f>
        <v>CLOSED</v>
      </c>
      <c r="L101" s="42" t="str">
        <f>Harvest!J99</f>
        <v>CLOSED</v>
      </c>
      <c r="M101" s="43" t="str">
        <f>CPUE!J99</f>
        <v>CLOSED</v>
      </c>
      <c r="N101" s="95">
        <f>Effort!L99</f>
        <v>2507.9748065100198</v>
      </c>
      <c r="O101" s="96">
        <f>Harvest!L99</f>
        <v>25884.192814358099</v>
      </c>
      <c r="P101" s="97">
        <f>CPUE!L99</f>
        <v>10.320754716981121</v>
      </c>
      <c r="Q101" s="41" t="s">
        <v>10</v>
      </c>
      <c r="R101" s="42" t="s">
        <v>10</v>
      </c>
      <c r="S101" s="44" t="s">
        <v>10</v>
      </c>
      <c r="T101" s="41">
        <f>SUM(N101)</f>
        <v>2507.9748065100198</v>
      </c>
      <c r="U101" s="42">
        <f>SUM(O101)</f>
        <v>25884.192814358099</v>
      </c>
      <c r="V101" s="42"/>
    </row>
    <row r="102" spans="1:24" x14ac:dyDescent="0.25">
      <c r="A102" s="39">
        <v>44991</v>
      </c>
      <c r="B102" s="8" t="s">
        <v>21</v>
      </c>
      <c r="C102" s="8">
        <v>0.1</v>
      </c>
      <c r="D102" s="13">
        <v>0.75902777777777775</v>
      </c>
      <c r="E102" s="41" t="str">
        <f>Effort!F100</f>
        <v>CLOSED</v>
      </c>
      <c r="F102" s="42" t="str">
        <f>Harvest!F100</f>
        <v>CLOSED</v>
      </c>
      <c r="G102" s="43" t="str">
        <f>+CPUE!F100</f>
        <v>CLOSED</v>
      </c>
      <c r="H102" s="41" t="str">
        <f>Effort!H100</f>
        <v>CLOSED</v>
      </c>
      <c r="I102" s="42" t="str">
        <f>Harvest!H100</f>
        <v>CLOSED</v>
      </c>
      <c r="J102" s="43" t="str">
        <f>CPUE!H100</f>
        <v>CLOSED</v>
      </c>
      <c r="K102" s="95">
        <f>Effort!J100</f>
        <v>1136.7492757314301</v>
      </c>
      <c r="L102" s="96">
        <f>Harvest!J100</f>
        <v>10711.675867469199</v>
      </c>
      <c r="M102" s="97">
        <f>CPUE!J100</f>
        <v>9.4230769230768825</v>
      </c>
      <c r="N102" s="41" t="str">
        <f>Effort!L100</f>
        <v>CLOSED</v>
      </c>
      <c r="O102" s="42" t="str">
        <f>Harvest!L100</f>
        <v>CLOSED</v>
      </c>
      <c r="P102" s="43" t="str">
        <f>CPUE!L100</f>
        <v>CLOSED</v>
      </c>
      <c r="Q102" s="41" t="s">
        <v>10</v>
      </c>
      <c r="R102" s="42" t="s">
        <v>10</v>
      </c>
      <c r="S102" s="44" t="s">
        <v>10</v>
      </c>
      <c r="T102" s="41">
        <f>SUM(K102)</f>
        <v>1136.7492757314301</v>
      </c>
      <c r="U102" s="42">
        <f>SUM(L102)</f>
        <v>10711.675867469199</v>
      </c>
      <c r="V102" s="42"/>
    </row>
    <row r="103" spans="1:24" x14ac:dyDescent="0.25">
      <c r="A103" s="39">
        <v>44992</v>
      </c>
      <c r="B103" s="8" t="s">
        <v>22</v>
      </c>
      <c r="C103" s="8">
        <v>0.3</v>
      </c>
      <c r="D103" s="13">
        <v>0.77847222222222223</v>
      </c>
      <c r="E103" s="41" t="str">
        <f>Effort!F101</f>
        <v>CLOSED</v>
      </c>
      <c r="F103" s="42" t="str">
        <f>Harvest!F101</f>
        <v>CLOSED</v>
      </c>
      <c r="G103" s="43" t="str">
        <f>+CPUE!F101</f>
        <v>CLOSED</v>
      </c>
      <c r="H103" s="41" t="str">
        <f>Effort!H101</f>
        <v>CLOSED</v>
      </c>
      <c r="I103" s="42" t="str">
        <f>Harvest!H101</f>
        <v>CLOSED</v>
      </c>
      <c r="J103" s="43" t="str">
        <f>CPUE!H101</f>
        <v>CLOSED</v>
      </c>
      <c r="K103" s="41" t="str">
        <f>Effort!J101</f>
        <v>CLOSED</v>
      </c>
      <c r="L103" s="42" t="str">
        <f>Harvest!J101</f>
        <v>CLOSED</v>
      </c>
      <c r="M103" s="43" t="str">
        <f>CPUE!J101</f>
        <v>CLOSED</v>
      </c>
      <c r="N103" s="95">
        <f>Effort!L101</f>
        <v>618.33330876297498</v>
      </c>
      <c r="O103" s="96">
        <f>Harvest!L101</f>
        <v>9274.9996314446307</v>
      </c>
      <c r="P103" s="97">
        <f>CPUE!L101</f>
        <v>15.000000000000009</v>
      </c>
      <c r="Q103" s="41" t="s">
        <v>10</v>
      </c>
      <c r="R103" s="42" t="s">
        <v>10</v>
      </c>
      <c r="S103" s="44" t="s">
        <v>10</v>
      </c>
      <c r="T103" s="41">
        <f>SUM(N103)</f>
        <v>618.33330876297498</v>
      </c>
      <c r="U103" s="42">
        <f>SUM(O103)</f>
        <v>9274.9996314446307</v>
      </c>
      <c r="V103" s="42"/>
    </row>
    <row r="104" spans="1:24" x14ac:dyDescent="0.25">
      <c r="A104" s="39">
        <v>44993</v>
      </c>
      <c r="B104" s="8" t="s">
        <v>23</v>
      </c>
      <c r="C104" s="8">
        <v>0.5</v>
      </c>
      <c r="D104" s="13">
        <v>0.79791666666666661</v>
      </c>
      <c r="E104" s="41" t="str">
        <f>Effort!F102</f>
        <v>CLOSED</v>
      </c>
      <c r="F104" s="42" t="str">
        <f>Harvest!F102</f>
        <v>CLOSED</v>
      </c>
      <c r="G104" s="43" t="str">
        <f>+CPUE!F102</f>
        <v>CLOSED</v>
      </c>
      <c r="H104" s="41" t="str">
        <f>Effort!H102</f>
        <v>CLOSED</v>
      </c>
      <c r="I104" s="42" t="str">
        <f>Harvest!H102</f>
        <v>CLOSED</v>
      </c>
      <c r="J104" s="43" t="str">
        <f>CPUE!H102</f>
        <v>CLOSED</v>
      </c>
      <c r="K104" s="95">
        <f>Effort!J102</f>
        <v>642.96295160782904</v>
      </c>
      <c r="L104" s="96">
        <f>Harvest!J102</f>
        <v>9291.8516877518505</v>
      </c>
      <c r="M104" s="97">
        <f>CPUE!J102</f>
        <v>14.451612903225804</v>
      </c>
      <c r="N104" s="41" t="str">
        <f>Effort!L102</f>
        <v>CLOSED</v>
      </c>
      <c r="O104" s="42" t="str">
        <f>Harvest!L102</f>
        <v>CLOSED</v>
      </c>
      <c r="P104" s="43" t="str">
        <f>CPUE!L102</f>
        <v>CLOSED</v>
      </c>
      <c r="Q104" s="41" t="s">
        <v>10</v>
      </c>
      <c r="R104" s="42" t="s">
        <v>10</v>
      </c>
      <c r="S104" s="44" t="s">
        <v>10</v>
      </c>
      <c r="T104" s="41">
        <f>SUM(K104)</f>
        <v>642.96295160782904</v>
      </c>
      <c r="U104" s="42">
        <f>SUM(L104)</f>
        <v>9291.8516877518505</v>
      </c>
      <c r="V104" s="42"/>
    </row>
    <row r="105" spans="1:24" x14ac:dyDescent="0.25">
      <c r="A105" s="117" t="s">
        <v>57</v>
      </c>
      <c r="B105" s="117"/>
      <c r="C105" s="117"/>
      <c r="D105" s="118"/>
      <c r="E105" s="47">
        <f>SUM(E99:E104)</f>
        <v>0</v>
      </c>
      <c r="F105" s="48">
        <f>SUM(F99:F104)</f>
        <v>0</v>
      </c>
      <c r="G105" s="49">
        <v>0</v>
      </c>
      <c r="H105" s="47">
        <f>SUM(H99:H104)</f>
        <v>0</v>
      </c>
      <c r="I105" s="48">
        <f>SUM(I99:I104)</f>
        <v>0</v>
      </c>
      <c r="J105" s="49">
        <v>0</v>
      </c>
      <c r="K105" s="47">
        <f>SUM(K99:K104)</f>
        <v>5235.7583950732596</v>
      </c>
      <c r="L105" s="48">
        <f>SUM(L99:L104)</f>
        <v>34093.561931367345</v>
      </c>
      <c r="M105" s="49">
        <f>+L105/K105</f>
        <v>6.5116759328407285</v>
      </c>
      <c r="N105" s="47">
        <f>SUM(N99:N104)</f>
        <v>4458.5845819300948</v>
      </c>
      <c r="O105" s="48">
        <f>SUM(O99:O104)</f>
        <v>46849.91844071883</v>
      </c>
      <c r="P105" s="49">
        <f>+O105/N105</f>
        <v>10.507800756005345</v>
      </c>
      <c r="Q105" s="47"/>
      <c r="R105" s="48"/>
      <c r="S105" s="49"/>
      <c r="T105" s="47">
        <f>SUM(T99:T104)</f>
        <v>9694.3429770033545</v>
      </c>
      <c r="U105" s="48">
        <f>SUM(U99:U104)</f>
        <v>80943.480372086182</v>
      </c>
      <c r="V105" s="64"/>
      <c r="W105" s="20">
        <f>SUM(H105,K105,N105,Q105,E105)</f>
        <v>9694.3429770033545</v>
      </c>
      <c r="X105" s="20">
        <f>SUM(R105,O105,L105,I105,F105)</f>
        <v>80943.480372086167</v>
      </c>
    </row>
    <row r="106" spans="1:24" x14ac:dyDescent="0.25">
      <c r="A106" s="39">
        <v>45002</v>
      </c>
      <c r="B106" s="40" t="s">
        <v>18</v>
      </c>
      <c r="C106" s="8">
        <v>0</v>
      </c>
      <c r="D106" s="13">
        <v>0.67361111111111116</v>
      </c>
      <c r="E106" s="41" t="str">
        <f>Effort!F104</f>
        <v>CLOSED</v>
      </c>
      <c r="F106" s="42" t="str">
        <f>Harvest!F104</f>
        <v>CLOSED</v>
      </c>
      <c r="G106" s="43" t="str">
        <f>+CPUE!F104</f>
        <v>CLOSED</v>
      </c>
      <c r="H106" s="41">
        <f>Effort!H104</f>
        <v>2435.4406785554888</v>
      </c>
      <c r="I106" s="42">
        <f>Harvest!H104</f>
        <v>36531.610178332332</v>
      </c>
      <c r="J106" s="43">
        <f>CPUE!H104</f>
        <v>15</v>
      </c>
      <c r="K106" s="95">
        <f>Effort!J104</f>
        <v>3587.2</v>
      </c>
      <c r="L106" s="96">
        <f>Harvest!J104</f>
        <v>53808</v>
      </c>
      <c r="M106" s="97">
        <f>CPUE!J104</f>
        <v>15</v>
      </c>
      <c r="N106" s="41" t="str">
        <f>Effort!L104</f>
        <v>CLOSED</v>
      </c>
      <c r="O106" s="42" t="str">
        <f>Harvest!L104</f>
        <v>CLOSED</v>
      </c>
      <c r="P106" s="43" t="str">
        <f>CPUE!L104</f>
        <v>CLOSED</v>
      </c>
      <c r="Q106" s="41" t="s">
        <v>10</v>
      </c>
      <c r="R106" s="42" t="s">
        <v>10</v>
      </c>
      <c r="S106" s="44" t="s">
        <v>10</v>
      </c>
      <c r="T106" s="41">
        <f>SUM(H106+K106)</f>
        <v>6022.6406785554882</v>
      </c>
      <c r="U106" s="42">
        <f>SUM(I106+L106)</f>
        <v>90339.610178332339</v>
      </c>
      <c r="V106" s="42"/>
    </row>
    <row r="107" spans="1:24" x14ac:dyDescent="0.25">
      <c r="A107" s="39">
        <v>45003</v>
      </c>
      <c r="B107" s="40" t="s">
        <v>19</v>
      </c>
      <c r="C107" s="8">
        <v>-0.5</v>
      </c>
      <c r="D107" s="13">
        <v>0.71250000000000002</v>
      </c>
      <c r="E107" s="41" t="str">
        <f>Effort!F105</f>
        <v>CLOSED</v>
      </c>
      <c r="F107" s="42" t="str">
        <f>Harvest!F105</f>
        <v>CLOSED</v>
      </c>
      <c r="G107" s="43" t="str">
        <f>+CPUE!F105</f>
        <v>CLOSED</v>
      </c>
      <c r="H107" s="95">
        <f>Effort!H105</f>
        <v>5889.7066666666697</v>
      </c>
      <c r="I107" s="96">
        <f>Harvest!H105</f>
        <v>84980.053333333301</v>
      </c>
      <c r="J107" s="97">
        <f>CPUE!H105</f>
        <v>14.428571428571416</v>
      </c>
      <c r="K107" s="41" t="str">
        <f>Effort!J105</f>
        <v>CLOSED</v>
      </c>
      <c r="L107" s="42" t="str">
        <f>Harvest!J105</f>
        <v>CLOSED</v>
      </c>
      <c r="M107" s="43" t="str">
        <f>CPUE!J105</f>
        <v>CLOSED</v>
      </c>
      <c r="N107" s="95">
        <f>Effort!L105</f>
        <v>7699.8371681415902</v>
      </c>
      <c r="O107" s="96">
        <f>Harvest!L105</f>
        <v>114437.94690265501</v>
      </c>
      <c r="P107" s="97">
        <f>CPUE!L105</f>
        <v>14.862385321100941</v>
      </c>
      <c r="Q107" s="41" t="s">
        <v>10</v>
      </c>
      <c r="R107" s="42" t="s">
        <v>10</v>
      </c>
      <c r="S107" s="44" t="s">
        <v>10</v>
      </c>
      <c r="T107" s="41">
        <f>SUM(H107+N107)</f>
        <v>13589.543834808261</v>
      </c>
      <c r="U107" s="42">
        <f>SUM(I107+O107)</f>
        <v>199418.00023598829</v>
      </c>
      <c r="V107" s="42"/>
    </row>
    <row r="108" spans="1:24" x14ac:dyDescent="0.25">
      <c r="A108" s="39">
        <v>45004</v>
      </c>
      <c r="B108" s="40" t="s">
        <v>20</v>
      </c>
      <c r="C108" s="8">
        <v>-0.7</v>
      </c>
      <c r="D108" s="13">
        <v>0.74583333333333324</v>
      </c>
      <c r="E108" s="41" t="str">
        <f>Effort!F106</f>
        <v>CLOSED</v>
      </c>
      <c r="F108" s="42" t="str">
        <f>Harvest!F106</f>
        <v>CLOSED</v>
      </c>
      <c r="G108" s="43" t="str">
        <f>+CPUE!F106</f>
        <v>CLOSED</v>
      </c>
      <c r="H108" s="95">
        <f>Effort!H106</f>
        <v>3200.7851258075202</v>
      </c>
      <c r="I108" s="96">
        <f>Harvest!H106</f>
        <v>48011.776887112901</v>
      </c>
      <c r="J108" s="97">
        <f>CPUE!H106</f>
        <v>15.00000000000003</v>
      </c>
      <c r="K108" s="95">
        <f>Effort!J106</f>
        <v>4714.4882256409001</v>
      </c>
      <c r="L108" s="96">
        <f>Harvest!J106</f>
        <v>68621.995284328703</v>
      </c>
      <c r="M108" s="97">
        <f>CPUE!J106</f>
        <v>14.555555555555566</v>
      </c>
      <c r="N108" s="41" t="str">
        <f>Effort!L106</f>
        <v>CLOSED</v>
      </c>
      <c r="O108" s="42" t="str">
        <f>Harvest!L106</f>
        <v>CLOSED</v>
      </c>
      <c r="P108" s="43" t="str">
        <f>CPUE!L106</f>
        <v>CLOSED</v>
      </c>
      <c r="Q108" s="41" t="s">
        <v>10</v>
      </c>
      <c r="R108" s="42" t="s">
        <v>10</v>
      </c>
      <c r="S108" s="44" t="s">
        <v>10</v>
      </c>
      <c r="T108" s="41">
        <f>SUM(H108+K108)</f>
        <v>7915.2733514484207</v>
      </c>
      <c r="U108" s="42">
        <f>SUM(I108+L108)</f>
        <v>116633.77217144161</v>
      </c>
      <c r="V108" s="42"/>
    </row>
    <row r="109" spans="1:24" x14ac:dyDescent="0.25">
      <c r="A109" s="39">
        <v>45005</v>
      </c>
      <c r="B109" s="40" t="s">
        <v>21</v>
      </c>
      <c r="C109" s="8">
        <v>-0.7</v>
      </c>
      <c r="D109" s="13">
        <v>0.77638888888888891</v>
      </c>
      <c r="E109" s="41" t="str">
        <f>Effort!F107</f>
        <v>CLOSED</v>
      </c>
      <c r="F109" s="42" t="str">
        <f>Harvest!F107</f>
        <v>CLOSED</v>
      </c>
      <c r="G109" s="43" t="str">
        <f>+CPUE!F107</f>
        <v>CLOSED</v>
      </c>
      <c r="H109" s="41">
        <f>Effort!H107</f>
        <v>1207.8976527682796</v>
      </c>
      <c r="I109" s="42">
        <f>Harvest!H107</f>
        <v>17514.515965140054</v>
      </c>
      <c r="J109" s="43">
        <f>CPUE!H107</f>
        <v>14.5</v>
      </c>
      <c r="K109" s="41" t="str">
        <f>Effort!J107</f>
        <v>CLOSED</v>
      </c>
      <c r="L109" s="42" t="str">
        <f>Harvest!J107</f>
        <v>CLOSED</v>
      </c>
      <c r="M109" s="43" t="str">
        <f>CPUE!J107</f>
        <v>CLOSED</v>
      </c>
      <c r="N109" s="95">
        <f>Effort!L107</f>
        <v>1579.13046752122</v>
      </c>
      <c r="O109" s="96">
        <f>Harvest!L107</f>
        <v>23406.2227074812</v>
      </c>
      <c r="P109" s="97">
        <f>CPUE!L107</f>
        <v>14.822222222222226</v>
      </c>
      <c r="Q109" s="41" t="s">
        <v>10</v>
      </c>
      <c r="R109" s="42" t="s">
        <v>10</v>
      </c>
      <c r="S109" s="44" t="s">
        <v>10</v>
      </c>
      <c r="T109" s="41">
        <f>SUM(H109+N109)</f>
        <v>2787.0281202894994</v>
      </c>
      <c r="U109" s="42">
        <f>SUM(I109+O109)</f>
        <v>40920.738672621257</v>
      </c>
      <c r="V109" s="42"/>
    </row>
    <row r="110" spans="1:24" x14ac:dyDescent="0.25">
      <c r="A110" s="39">
        <v>45006</v>
      </c>
      <c r="B110" s="40" t="s">
        <v>22</v>
      </c>
      <c r="C110" s="8">
        <v>-0.5</v>
      </c>
      <c r="D110" s="13">
        <v>0.8041666666666667</v>
      </c>
      <c r="E110" s="41" t="str">
        <f>Effort!F108</f>
        <v>CLOSED</v>
      </c>
      <c r="F110" s="42" t="str">
        <f>Harvest!F108</f>
        <v>CLOSED</v>
      </c>
      <c r="G110" s="43" t="str">
        <f>+CPUE!F108</f>
        <v>CLOSED</v>
      </c>
      <c r="H110" s="41">
        <f>Effort!H108</f>
        <v>1020.3104617803798</v>
      </c>
      <c r="I110" s="42">
        <f>Harvest!H108</f>
        <v>15304.656926705697</v>
      </c>
      <c r="J110" s="43">
        <f>CPUE!H108</f>
        <v>15</v>
      </c>
      <c r="K110" s="95">
        <f>Effort!J108</f>
        <v>1502.8317957920599</v>
      </c>
      <c r="L110" s="96">
        <f>Harvest!J108</f>
        <v>22542.476936880899</v>
      </c>
      <c r="M110" s="97">
        <f>CPUE!J108</f>
        <v>15</v>
      </c>
      <c r="N110" s="41" t="str">
        <f>Effort!L108</f>
        <v>CLOSED</v>
      </c>
      <c r="O110" s="42" t="str">
        <f>Harvest!L108</f>
        <v>CLOSED</v>
      </c>
      <c r="P110" s="43" t="str">
        <f>CPUE!L108</f>
        <v>CLOSED</v>
      </c>
      <c r="Q110" s="41" t="s">
        <v>10</v>
      </c>
      <c r="R110" s="42" t="s">
        <v>10</v>
      </c>
      <c r="S110" s="44" t="s">
        <v>10</v>
      </c>
      <c r="T110" s="41">
        <f>SUM(H110+K110)</f>
        <v>2523.1422575724396</v>
      </c>
      <c r="U110" s="42">
        <f>SUM(I110+L110)</f>
        <v>37847.133863586598</v>
      </c>
      <c r="V110" s="42"/>
    </row>
    <row r="111" spans="1:24" x14ac:dyDescent="0.25">
      <c r="A111" s="39">
        <v>45007</v>
      </c>
      <c r="B111" s="40" t="s">
        <v>23</v>
      </c>
      <c r="C111" s="8">
        <v>0</v>
      </c>
      <c r="D111" s="13">
        <v>0.8305555555555556</v>
      </c>
      <c r="E111" s="41" t="str">
        <f>Effort!F109</f>
        <v>CLOSED</v>
      </c>
      <c r="F111" s="42" t="str">
        <f>Harvest!F109</f>
        <v>CLOSED</v>
      </c>
      <c r="G111" s="43" t="str">
        <f>+CPUE!F109</f>
        <v>CLOSED</v>
      </c>
      <c r="H111" s="41">
        <f>Effort!H109</f>
        <v>975.79462212618409</v>
      </c>
      <c r="I111" s="42">
        <f>Harvest!H109</f>
        <v>13661.124709766576</v>
      </c>
      <c r="J111" s="43">
        <f>CPUE!H109</f>
        <v>14</v>
      </c>
      <c r="K111" s="41" t="str">
        <f>Effort!J109</f>
        <v>CLOSED</v>
      </c>
      <c r="L111" s="42" t="str">
        <f>Harvest!J109</f>
        <v>CLOSED</v>
      </c>
      <c r="M111" s="43" t="str">
        <f>CPUE!J109</f>
        <v>CLOSED</v>
      </c>
      <c r="N111" s="95">
        <f>Effort!L109</f>
        <v>1275.6933621911901</v>
      </c>
      <c r="O111" s="96">
        <f>Harvest!L109</f>
        <v>18102.6962825226</v>
      </c>
      <c r="P111" s="97">
        <f>CPUE!L109</f>
        <v>14.190476190476188</v>
      </c>
      <c r="Q111" s="41" t="s">
        <v>10</v>
      </c>
      <c r="R111" s="42" t="s">
        <v>10</v>
      </c>
      <c r="S111" s="44" t="s">
        <v>10</v>
      </c>
      <c r="T111" s="41">
        <f>SUM(H111+N111)</f>
        <v>2251.487984317374</v>
      </c>
      <c r="U111" s="42">
        <f>SUM(I111+O111)</f>
        <v>31763.820992289177</v>
      </c>
      <c r="V111" s="42"/>
    </row>
    <row r="112" spans="1:24" x14ac:dyDescent="0.25">
      <c r="A112" s="39">
        <v>45008</v>
      </c>
      <c r="B112" s="40" t="s">
        <v>24</v>
      </c>
      <c r="C112" s="8">
        <v>-0.3</v>
      </c>
      <c r="D112" s="13">
        <v>0.35347222222222219</v>
      </c>
      <c r="E112" s="95">
        <f>Effort!F110</f>
        <v>418.62591354279891</v>
      </c>
      <c r="F112" s="96">
        <f>Harvest!F110</f>
        <v>6279.3887031419836</v>
      </c>
      <c r="G112" s="97">
        <f>+CPUE!F110</f>
        <v>15</v>
      </c>
      <c r="H112" s="41">
        <f>Effort!H110</f>
        <v>487.10358572578889</v>
      </c>
      <c r="I112" s="42">
        <f>Harvest!H110</f>
        <v>6819.4502001610444</v>
      </c>
      <c r="J112" s="43">
        <f>CPUE!H110</f>
        <v>14</v>
      </c>
      <c r="K112" s="95">
        <f>Effort!J110</f>
        <v>928.33329644468199</v>
      </c>
      <c r="L112" s="96">
        <f>Harvest!J110</f>
        <v>12797.7375867017</v>
      </c>
      <c r="M112" s="97">
        <f>CPUE!J110</f>
        <v>13.785714285714299</v>
      </c>
      <c r="N112" s="41" t="str">
        <f>Effort!L110</f>
        <v>CLOSED</v>
      </c>
      <c r="O112" s="42" t="str">
        <f>Harvest!L110</f>
        <v>CLOSED</v>
      </c>
      <c r="P112" s="43" t="str">
        <f>CPUE!L110</f>
        <v>CLOSED</v>
      </c>
      <c r="Q112" s="41" t="s">
        <v>10</v>
      </c>
      <c r="R112" s="42" t="s">
        <v>10</v>
      </c>
      <c r="S112" s="44" t="s">
        <v>10</v>
      </c>
      <c r="T112" s="41">
        <f>SUM(E112+H112+K112)</f>
        <v>1834.0627957132697</v>
      </c>
      <c r="U112" s="42">
        <f>SUM(F112+I112+L112)</f>
        <v>25896.576490004729</v>
      </c>
      <c r="V112" s="42"/>
    </row>
    <row r="113" spans="1:24" x14ac:dyDescent="0.25">
      <c r="A113" s="39">
        <v>45009</v>
      </c>
      <c r="B113" s="40" t="s">
        <v>18</v>
      </c>
      <c r="C113" s="8">
        <v>-0.4</v>
      </c>
      <c r="D113" s="13">
        <v>0.3840277777777778</v>
      </c>
      <c r="E113" s="41">
        <f>Effort!F111</f>
        <v>1081.1499507593444</v>
      </c>
      <c r="F113" s="42">
        <f>Harvest!F111</f>
        <v>11352.074482973116</v>
      </c>
      <c r="G113" s="43">
        <f>+CPUE!F111</f>
        <v>10.5</v>
      </c>
      <c r="H113" s="95">
        <f>Effort!H111</f>
        <v>789.58680096677199</v>
      </c>
      <c r="I113" s="96">
        <f>Harvest!H111</f>
        <v>8219.8010562181898</v>
      </c>
      <c r="J113" s="97">
        <f>CPUE!H111</f>
        <v>10.410256410256409</v>
      </c>
      <c r="K113" s="41" t="str">
        <f>Effort!J111</f>
        <v>CLOSED</v>
      </c>
      <c r="L113" s="42" t="str">
        <f>Harvest!J111</f>
        <v>CLOSED</v>
      </c>
      <c r="M113" s="43" t="str">
        <f>CPUE!J111</f>
        <v>CLOSED</v>
      </c>
      <c r="N113" s="95">
        <f>Effort!L111</f>
        <v>1297.1675675675699</v>
      </c>
      <c r="O113" s="96">
        <f>Harvest!L111</f>
        <v>14150.9189189189</v>
      </c>
      <c r="P113" s="97">
        <f>CPUE!L111</f>
        <v>10.909090909090875</v>
      </c>
      <c r="Q113" s="41" t="s">
        <v>10</v>
      </c>
      <c r="R113" s="42" t="s">
        <v>10</v>
      </c>
      <c r="S113" s="44" t="s">
        <v>10</v>
      </c>
      <c r="T113" s="41">
        <f>SUM(E113+H113+N113)</f>
        <v>3167.9043192936861</v>
      </c>
      <c r="U113" s="42">
        <f>SUM(F113+I113+O113)</f>
        <v>33722.794458110206</v>
      </c>
      <c r="V113" s="42"/>
    </row>
    <row r="114" spans="1:24" x14ac:dyDescent="0.25">
      <c r="A114" s="39">
        <v>45010</v>
      </c>
      <c r="B114" s="40" t="s">
        <v>19</v>
      </c>
      <c r="C114" s="8">
        <v>-0.2</v>
      </c>
      <c r="D114" s="13">
        <v>0.4145833333333333</v>
      </c>
      <c r="E114" s="41">
        <f>Effort!F112</f>
        <v>3799.7585879640751</v>
      </c>
      <c r="F114" s="42">
        <f>Harvest!F112</f>
        <v>47496.982349550941</v>
      </c>
      <c r="G114" s="43">
        <f>+CPUE!F112</f>
        <v>12.5</v>
      </c>
      <c r="H114" s="95">
        <f>Effort!H112</f>
        <v>2775.0445031323902</v>
      </c>
      <c r="I114" s="96">
        <f>Harvest!H112</f>
        <v>39197.503606744998</v>
      </c>
      <c r="J114" s="97">
        <f>CPUE!H112</f>
        <v>14.124999999999995</v>
      </c>
      <c r="K114" s="95">
        <f>Effort!J112</f>
        <v>5288.7440923578397</v>
      </c>
      <c r="L114" s="96">
        <f>Harvest!J112</f>
        <v>76745.553162437107</v>
      </c>
      <c r="M114" s="97">
        <f>CPUE!J112</f>
        <v>14.511111111111113</v>
      </c>
      <c r="N114" s="41" t="str">
        <f>Effort!L112</f>
        <v>CLOSED</v>
      </c>
      <c r="O114" s="42" t="str">
        <f>Harvest!L112</f>
        <v>CLOSED</v>
      </c>
      <c r="P114" s="43" t="str">
        <f>CPUE!L112</f>
        <v>CLOSED</v>
      </c>
      <c r="Q114" s="41" t="s">
        <v>10</v>
      </c>
      <c r="R114" s="42" t="s">
        <v>10</v>
      </c>
      <c r="S114" s="44" t="s">
        <v>10</v>
      </c>
      <c r="T114" s="41">
        <f>SUM(E114+H114+K114)</f>
        <v>11863.547183454306</v>
      </c>
      <c r="U114" s="42">
        <f>SUM(F114+I114+L114)</f>
        <v>163440.03911873305</v>
      </c>
      <c r="V114" s="42"/>
    </row>
    <row r="115" spans="1:24" x14ac:dyDescent="0.25">
      <c r="A115" s="39">
        <v>45011</v>
      </c>
      <c r="B115" s="40" t="s">
        <v>20</v>
      </c>
      <c r="C115" s="8">
        <v>0.2</v>
      </c>
      <c r="D115" s="13">
        <v>0.44722222222222219</v>
      </c>
      <c r="E115" s="95">
        <f>Effort!F113</f>
        <v>3200.1209257750997</v>
      </c>
      <c r="F115" s="96">
        <f>Harvest!F113</f>
        <v>40001.511572188749</v>
      </c>
      <c r="G115" s="97">
        <f>+CPUE!F113</f>
        <v>12.5</v>
      </c>
      <c r="H115" s="41">
        <f>Effort!H113</f>
        <v>2337.1163664345631</v>
      </c>
      <c r="I115" s="42">
        <f>Harvest!H113</f>
        <v>29213.954580432041</v>
      </c>
      <c r="J115" s="43">
        <f>CPUE!H113</f>
        <v>12.5</v>
      </c>
      <c r="K115" s="41" t="str">
        <f>Effort!J113</f>
        <v>CLOSED</v>
      </c>
      <c r="L115" s="42" t="str">
        <f>Harvest!J113</f>
        <v>CLOSED</v>
      </c>
      <c r="M115" s="43" t="str">
        <f>CPUE!J113</f>
        <v>CLOSED</v>
      </c>
      <c r="N115" s="95">
        <f>Effort!L113</f>
        <v>3839.5165021228099</v>
      </c>
      <c r="O115" s="96">
        <f>Harvest!L113</f>
        <v>47523.072177218099</v>
      </c>
      <c r="P115" s="97">
        <f>CPUE!L113</f>
        <v>12.377358490566017</v>
      </c>
      <c r="Q115" s="41" t="s">
        <v>10</v>
      </c>
      <c r="R115" s="42" t="s">
        <v>10</v>
      </c>
      <c r="S115" s="44" t="s">
        <v>10</v>
      </c>
      <c r="T115" s="41">
        <f>SUM(E115+H115+N115)</f>
        <v>9376.7537943324733</v>
      </c>
      <c r="U115" s="42">
        <f>SUM(F115+I115+O115)</f>
        <v>116738.53832983889</v>
      </c>
      <c r="V115" s="42"/>
    </row>
    <row r="116" spans="1:24" x14ac:dyDescent="0.25">
      <c r="A116" s="117" t="s">
        <v>57</v>
      </c>
      <c r="B116" s="117"/>
      <c r="C116" s="117"/>
      <c r="D116" s="118"/>
      <c r="E116" s="47">
        <f>SUM(E106:E115)</f>
        <v>8499.6553780413178</v>
      </c>
      <c r="F116" s="48">
        <f>SUM(F106:F115)</f>
        <v>105129.95710785479</v>
      </c>
      <c r="G116" s="49">
        <f>+F116/E116</f>
        <v>12.368731722871475</v>
      </c>
      <c r="H116" s="47">
        <f>SUM(H106:H115)</f>
        <v>21118.786463964036</v>
      </c>
      <c r="I116" s="48">
        <f>SUM(I106:I115)</f>
        <v>299454.44744394714</v>
      </c>
      <c r="J116" s="49">
        <f>+I116/H116</f>
        <v>14.179529110487486</v>
      </c>
      <c r="K116" s="47">
        <f>SUM(K106:K115)</f>
        <v>16021.597410235481</v>
      </c>
      <c r="L116" s="48">
        <f>SUM(L106:L115)</f>
        <v>234515.76297034841</v>
      </c>
      <c r="M116" s="49">
        <f>+L116/K116</f>
        <v>14.637476960975613</v>
      </c>
      <c r="N116" s="47">
        <f>SUM(N106:N115)</f>
        <v>15691.34506754438</v>
      </c>
      <c r="O116" s="48">
        <f>SUM(O106:O115)</f>
        <v>217620.85698879583</v>
      </c>
      <c r="P116" s="49">
        <f>+O116/N116</f>
        <v>13.868846555348391</v>
      </c>
      <c r="Q116" s="47"/>
      <c r="R116" s="48"/>
      <c r="S116" s="49"/>
      <c r="T116" s="47">
        <f>SUM(T106:T115)</f>
        <v>61331.384319785218</v>
      </c>
      <c r="U116" s="48">
        <f>SUM(U106:U115)</f>
        <v>856721.02451094612</v>
      </c>
      <c r="V116" s="64"/>
      <c r="W116" s="20">
        <f>SUM(H116,K116,N116,Q116,E116)</f>
        <v>61331.384319785211</v>
      </c>
      <c r="X116" s="20">
        <f>SUM(R116,O116,L116,I116,F116)</f>
        <v>856721.02451094612</v>
      </c>
    </row>
    <row r="117" spans="1:24" x14ac:dyDescent="0.25">
      <c r="A117" s="39">
        <v>45022</v>
      </c>
      <c r="B117" s="40" t="s">
        <v>24</v>
      </c>
      <c r="C117" s="8">
        <v>0.3</v>
      </c>
      <c r="D117" s="13">
        <v>0.31527777777777777</v>
      </c>
      <c r="E117" s="41">
        <f>Effort!F115</f>
        <v>1100.2127876083134</v>
      </c>
      <c r="F117" s="42">
        <f>Harvest!F115</f>
        <v>19253.723783145484</v>
      </c>
      <c r="G117" s="43">
        <f>+CPUE!F115</f>
        <v>17.5</v>
      </c>
      <c r="H117" s="41">
        <f>Effort!H115</f>
        <v>676.67335149355222</v>
      </c>
      <c r="I117" s="42">
        <f>Harvest!H115</f>
        <v>11841.783651137164</v>
      </c>
      <c r="J117" s="43">
        <f>CPUE!H115</f>
        <v>17.5</v>
      </c>
      <c r="K117" s="41" t="str">
        <f>Effort!J115</f>
        <v>CLOSED</v>
      </c>
      <c r="L117" s="42" t="str">
        <f>Harvest!J115</f>
        <v>CLOSED</v>
      </c>
      <c r="M117" s="43" t="str">
        <f>CPUE!J115</f>
        <v>CLOSED</v>
      </c>
      <c r="N117" s="95">
        <f>Effort!L115</f>
        <v>723.46156499795097</v>
      </c>
      <c r="O117" s="96">
        <f>Harvest!L115</f>
        <v>12603.4620007538</v>
      </c>
      <c r="P117" s="97">
        <f>CPUE!L115</f>
        <v>17.421052631578977</v>
      </c>
      <c r="Q117" s="41" t="s">
        <v>10</v>
      </c>
      <c r="R117" s="42" t="s">
        <v>10</v>
      </c>
      <c r="S117" s="44" t="s">
        <v>10</v>
      </c>
      <c r="T117" s="41">
        <f>SUM(E117+H117+N117)</f>
        <v>2500.3477040998168</v>
      </c>
      <c r="U117" s="42">
        <f>SUM(F117+I117+O117)</f>
        <v>43698.969435036444</v>
      </c>
      <c r="V117" s="42"/>
    </row>
    <row r="118" spans="1:24" x14ac:dyDescent="0.25">
      <c r="A118" s="39">
        <v>45023</v>
      </c>
      <c r="B118" s="40" t="s">
        <v>18</v>
      </c>
      <c r="C118" s="8">
        <v>-0.1</v>
      </c>
      <c r="D118" s="13">
        <v>0.34027777777777773</v>
      </c>
      <c r="E118" s="95">
        <f>Effort!F116</f>
        <v>2707.4657373045402</v>
      </c>
      <c r="F118" s="96">
        <f>Harvest!F116</f>
        <v>48734.383271481725</v>
      </c>
      <c r="G118" s="97">
        <f>+CPUE!F116</f>
        <v>18</v>
      </c>
      <c r="H118" s="95">
        <f>Effort!H116</f>
        <v>1382.5372584957399</v>
      </c>
      <c r="I118" s="96">
        <f>Harvest!H116</f>
        <v>24440.446790017901</v>
      </c>
      <c r="J118" s="97">
        <f>CPUE!H116</f>
        <v>17.677966101694906</v>
      </c>
      <c r="K118" s="95">
        <f>Effort!J116</f>
        <v>2603.4286254029798</v>
      </c>
      <c r="L118" s="96">
        <f>Harvest!J116</f>
        <v>46057.715240585203</v>
      </c>
      <c r="M118" s="97">
        <f>CPUE!J116</f>
        <v>17.691176470588285</v>
      </c>
      <c r="N118" s="41" t="str">
        <f>Effort!L116</f>
        <v>CLOSED</v>
      </c>
      <c r="O118" s="42" t="str">
        <f>Harvest!L116</f>
        <v>CLOSED</v>
      </c>
      <c r="P118" s="43" t="str">
        <f>CPUE!L116</f>
        <v>CLOSED</v>
      </c>
      <c r="Q118" s="41" t="s">
        <v>10</v>
      </c>
      <c r="R118" s="42" t="s">
        <v>10</v>
      </c>
      <c r="S118" s="44" t="s">
        <v>10</v>
      </c>
      <c r="T118" s="41">
        <f>SUM(E118+H118+K118)</f>
        <v>6693.43162120326</v>
      </c>
      <c r="U118" s="42">
        <f>SUM(F118+I118+L118)</f>
        <v>119232.54530208482</v>
      </c>
      <c r="V118" s="42"/>
    </row>
    <row r="119" spans="1:24" x14ac:dyDescent="0.25">
      <c r="A119" s="39">
        <v>45024</v>
      </c>
      <c r="B119" s="40" t="s">
        <v>19</v>
      </c>
      <c r="C119" s="8">
        <v>-0.3</v>
      </c>
      <c r="D119" s="13">
        <v>0.3666666666666667</v>
      </c>
      <c r="E119" s="95">
        <f>Effort!F117</f>
        <v>4989.9998017152202</v>
      </c>
      <c r="F119" s="96">
        <f>Harvest!F117</f>
        <v>61602.441330249902</v>
      </c>
      <c r="G119" s="97">
        <f>+CPUE!F117</f>
        <v>12.345179113849905</v>
      </c>
      <c r="H119" s="41">
        <f>Effort!H117</f>
        <v>3069.0425777716937</v>
      </c>
      <c r="I119" s="42">
        <f>Harvest!H117</f>
        <v>46035.638666575403</v>
      </c>
      <c r="J119" s="43">
        <f>CPUE!H117</f>
        <v>15</v>
      </c>
      <c r="K119" s="41" t="str">
        <f>Effort!J117</f>
        <v>CLOSED</v>
      </c>
      <c r="L119" s="42" t="str">
        <f>Harvest!J117</f>
        <v>CLOSED</v>
      </c>
      <c r="M119" s="43" t="str">
        <f>CPUE!J117</f>
        <v>CLOSED</v>
      </c>
      <c r="N119" s="95">
        <f>Effort!L117</f>
        <v>3281.24986961484</v>
      </c>
      <c r="O119" s="96">
        <f>Harvest!L117</f>
        <v>54395.831171837199</v>
      </c>
      <c r="P119" s="97">
        <f>CPUE!L117</f>
        <v>16.577777777777801</v>
      </c>
      <c r="Q119" s="41" t="s">
        <v>10</v>
      </c>
      <c r="R119" s="42" t="s">
        <v>10</v>
      </c>
      <c r="S119" s="44" t="s">
        <v>10</v>
      </c>
      <c r="T119" s="41">
        <f>SUM(E119+H119+N119)</f>
        <v>11340.292249101754</v>
      </c>
      <c r="U119" s="42">
        <f>SUM(F119+I119+O119)</f>
        <v>162033.91116866251</v>
      </c>
      <c r="V119" s="42"/>
    </row>
    <row r="120" spans="1:24" x14ac:dyDescent="0.25">
      <c r="A120" s="39">
        <v>45025</v>
      </c>
      <c r="B120" s="40" t="s">
        <v>20</v>
      </c>
      <c r="C120" s="8">
        <v>-0.4</v>
      </c>
      <c r="D120" s="13">
        <v>0.39513888888888887</v>
      </c>
      <c r="E120" s="41">
        <f>Effort!F118</f>
        <v>2812.1357938582419</v>
      </c>
      <c r="F120" s="42">
        <f>Harvest!F118</f>
        <v>21091.018453936813</v>
      </c>
      <c r="G120" s="43">
        <f>+CPUE!F118</f>
        <v>7.5</v>
      </c>
      <c r="H120" s="95">
        <f>Effort!H118</f>
        <v>1435.98585843201</v>
      </c>
      <c r="I120" s="96">
        <f>Harvest!H118</f>
        <v>8091.6663451327404</v>
      </c>
      <c r="J120" s="97">
        <f>CPUE!H118</f>
        <v>5.6349206349206247</v>
      </c>
      <c r="K120" s="95">
        <f>Effort!J118</f>
        <v>2395.7406455425598</v>
      </c>
      <c r="L120" s="96">
        <f>Harvest!J118</f>
        <v>19729.628845644598</v>
      </c>
      <c r="M120" s="97">
        <f>CPUE!J118</f>
        <v>8.2352941176470544</v>
      </c>
      <c r="N120" s="41" t="str">
        <f>Effort!L118</f>
        <v>CLOSED</v>
      </c>
      <c r="O120" s="42" t="str">
        <f>Harvest!L118</f>
        <v>CLOSED</v>
      </c>
      <c r="P120" s="43" t="str">
        <f>CPUE!L118</f>
        <v>CLOSED</v>
      </c>
      <c r="Q120" s="41" t="s">
        <v>10</v>
      </c>
      <c r="R120" s="42" t="s">
        <v>10</v>
      </c>
      <c r="S120" s="44" t="s">
        <v>10</v>
      </c>
      <c r="T120" s="41">
        <f>SUM(E120+H120+K120)</f>
        <v>6643.8622978328121</v>
      </c>
      <c r="U120" s="42">
        <f>SUM(F120+I120+L120)</f>
        <v>48912.313644714151</v>
      </c>
      <c r="V120" s="42"/>
    </row>
    <row r="121" spans="1:24" x14ac:dyDescent="0.25">
      <c r="A121" s="39">
        <v>45026</v>
      </c>
      <c r="B121" s="40" t="s">
        <v>21</v>
      </c>
      <c r="C121" s="8">
        <v>-0.4</v>
      </c>
      <c r="D121" s="13">
        <v>0.42708333333333331</v>
      </c>
      <c r="E121" s="41">
        <f>Effort!F119</f>
        <v>1807.6980999008686</v>
      </c>
      <c r="F121" s="42">
        <f>Harvest!F119</f>
        <v>28923.169598413897</v>
      </c>
      <c r="G121" s="43">
        <f>+CPUE!F119</f>
        <v>16</v>
      </c>
      <c r="H121" s="95">
        <f>Effort!H119</f>
        <v>1111.8041396405999</v>
      </c>
      <c r="I121" s="96">
        <f>Harvest!H119</f>
        <v>17566.505406321601</v>
      </c>
      <c r="J121" s="97">
        <f>CPUE!H119</f>
        <v>15.800000000000109</v>
      </c>
      <c r="K121" s="41" t="str">
        <f>Effort!J119</f>
        <v>CLOSED</v>
      </c>
      <c r="L121" s="42" t="str">
        <f>Harvest!J119</f>
        <v>CLOSED</v>
      </c>
      <c r="M121" s="43" t="str">
        <f>CPUE!J119</f>
        <v>CLOSED</v>
      </c>
      <c r="N121" s="95">
        <f>Effort!L119</f>
        <v>1188.67923653301</v>
      </c>
      <c r="O121" s="96">
        <f>Harvest!L119</f>
        <v>18583.018731132699</v>
      </c>
      <c r="P121" s="97">
        <f>CPUE!L119</f>
        <v>15.633333333333313</v>
      </c>
      <c r="Q121" s="41" t="s">
        <v>10</v>
      </c>
      <c r="R121" s="42" t="s">
        <v>10</v>
      </c>
      <c r="S121" s="44" t="s">
        <v>10</v>
      </c>
      <c r="T121" s="41">
        <f>SUM(E121+H121+N121)</f>
        <v>4108.1814760744783</v>
      </c>
      <c r="U121" s="42">
        <f>SUM(F121+I121+O121)</f>
        <v>65072.693735868204</v>
      </c>
      <c r="V121" s="42"/>
    </row>
    <row r="122" spans="1:24" x14ac:dyDescent="0.25">
      <c r="A122" s="39">
        <v>45027</v>
      </c>
      <c r="B122" s="40" t="s">
        <v>22</v>
      </c>
      <c r="C122" s="8">
        <v>-0.2</v>
      </c>
      <c r="D122" s="13">
        <v>0.46458333333333335</v>
      </c>
      <c r="E122" s="95">
        <f>Effort!F120</f>
        <v>1346.3022336423819</v>
      </c>
      <c r="F122" s="96">
        <f>Harvest!F120</f>
        <v>22887.137971920492</v>
      </c>
      <c r="G122" s="97">
        <f>+CPUE!F120</f>
        <v>17</v>
      </c>
      <c r="H122" s="41">
        <f>Effort!H120</f>
        <v>939.11572613454723</v>
      </c>
      <c r="I122" s="42">
        <f>Harvest!H120</f>
        <v>15964.967344287303</v>
      </c>
      <c r="J122" s="43">
        <f>CPUE!H120</f>
        <v>17</v>
      </c>
      <c r="K122" s="95">
        <f>Effort!J120</f>
        <v>1566.7826411782701</v>
      </c>
      <c r="L122" s="96">
        <f>Harvest!J120</f>
        <v>26461.2179398997</v>
      </c>
      <c r="M122" s="97">
        <f>CPUE!J120</f>
        <v>16.888888888888907</v>
      </c>
      <c r="N122" s="41" t="str">
        <f>Effort!L120</f>
        <v>CLOSED</v>
      </c>
      <c r="O122" s="42" t="str">
        <f>Harvest!L120</f>
        <v>CLOSED</v>
      </c>
      <c r="P122" s="43" t="str">
        <f>CPUE!L120</f>
        <v>CLOSED</v>
      </c>
      <c r="Q122" s="41" t="s">
        <v>10</v>
      </c>
      <c r="R122" s="42" t="s">
        <v>10</v>
      </c>
      <c r="S122" s="44" t="s">
        <v>10</v>
      </c>
      <c r="T122" s="41">
        <f>SUM(E122+H122+K122)</f>
        <v>3852.2006009551988</v>
      </c>
      <c r="U122" s="42">
        <f>SUM(F122+I122+L122)</f>
        <v>65313.323256107498</v>
      </c>
      <c r="V122" s="42"/>
    </row>
    <row r="123" spans="1:24" x14ac:dyDescent="0.25">
      <c r="A123" s="39">
        <v>45028</v>
      </c>
      <c r="B123" s="40" t="s">
        <v>23</v>
      </c>
      <c r="C123" s="8">
        <v>0.1</v>
      </c>
      <c r="D123" s="13">
        <v>0.5083333333333333</v>
      </c>
      <c r="E123" s="41">
        <f>Effort!F121</f>
        <v>2630.2246952409605</v>
      </c>
      <c r="F123" s="42">
        <f>Harvest!F121</f>
        <v>43398.707471475849</v>
      </c>
      <c r="G123" s="43">
        <f>+CPUE!F121</f>
        <v>16.5</v>
      </c>
      <c r="H123" s="41">
        <f>Effort!H121</f>
        <v>1617.6897594317322</v>
      </c>
      <c r="I123" s="42">
        <f>Harvest!H121</f>
        <v>26691.881030623583</v>
      </c>
      <c r="J123" s="43">
        <f>CPUE!H121</f>
        <v>16.5</v>
      </c>
      <c r="K123" s="41" t="str">
        <f>Effort!J121</f>
        <v>CLOSED</v>
      </c>
      <c r="L123" s="42" t="str">
        <f>Harvest!J121</f>
        <v>CLOSED</v>
      </c>
      <c r="M123" s="43" t="str">
        <f>CPUE!J121</f>
        <v>CLOSED</v>
      </c>
      <c r="N123" s="95">
        <f>Effort!L121</f>
        <v>1729.54404434056</v>
      </c>
      <c r="O123" s="96">
        <f>Harvest!L121</f>
        <v>28467.360081172999</v>
      </c>
      <c r="P123" s="97">
        <f>CPUE!L121</f>
        <v>16.45945945945946</v>
      </c>
      <c r="Q123" s="41" t="s">
        <v>10</v>
      </c>
      <c r="R123" s="42" t="s">
        <v>10</v>
      </c>
      <c r="S123" s="44" t="s">
        <v>10</v>
      </c>
      <c r="T123" s="41">
        <f>SUM(E123+H123+N123)</f>
        <v>5977.4584990132535</v>
      </c>
      <c r="U123" s="42">
        <f>SUM(F123+I123+O123)</f>
        <v>98557.948583272431</v>
      </c>
      <c r="V123" s="42"/>
    </row>
    <row r="124" spans="1:24" x14ac:dyDescent="0.25">
      <c r="A124" s="117" t="s">
        <v>57</v>
      </c>
      <c r="B124" s="117"/>
      <c r="C124" s="117"/>
      <c r="D124" s="118"/>
      <c r="E124" s="47">
        <f>SUM(E117:E123)</f>
        <v>17394.039149270524</v>
      </c>
      <c r="F124" s="48">
        <f>SUM(F117:F123)</f>
        <v>245890.58188062414</v>
      </c>
      <c r="G124" s="49">
        <f>+F124/E124</f>
        <v>14.13648548048349</v>
      </c>
      <c r="H124" s="47">
        <f>SUM(H117:H123)</f>
        <v>10232.848671399875</v>
      </c>
      <c r="I124" s="48">
        <f>SUM(I117:I123)</f>
        <v>150632.8892340957</v>
      </c>
      <c r="J124" s="49">
        <f>+I124/H124</f>
        <v>14.720523489720366</v>
      </c>
      <c r="K124" s="47">
        <f>SUM(K117:K123)</f>
        <v>6565.95191212381</v>
      </c>
      <c r="L124" s="48">
        <f>SUM(L117:L123)</f>
        <v>92248.562026129497</v>
      </c>
      <c r="M124" s="49">
        <f>+L124/K124</f>
        <v>14.049533603162036</v>
      </c>
      <c r="N124" s="47">
        <f>SUM(N117:N123)</f>
        <v>6922.9347154863608</v>
      </c>
      <c r="O124" s="48">
        <f>SUM(O117:O123)</f>
        <v>114049.6719848967</v>
      </c>
      <c r="P124" s="49">
        <v>0</v>
      </c>
      <c r="Q124" s="47"/>
      <c r="R124" s="48"/>
      <c r="S124" s="49"/>
      <c r="T124" s="47">
        <f>SUM(T117:T123)</f>
        <v>41115.774448280572</v>
      </c>
      <c r="U124" s="48">
        <f>SUM(U117:U123)</f>
        <v>602821.70512574608</v>
      </c>
      <c r="V124" s="64"/>
      <c r="W124" s="20">
        <f>SUM(H124,K124,N124,Q124,E124)</f>
        <v>41115.774448280572</v>
      </c>
      <c r="X124" s="20">
        <f>SUM(R124,O124,L124,I124,F124)</f>
        <v>602821.70512574608</v>
      </c>
    </row>
    <row r="125" spans="1:24" x14ac:dyDescent="0.25">
      <c r="A125" s="39">
        <v>45035</v>
      </c>
      <c r="B125" s="40" t="s">
        <v>23</v>
      </c>
      <c r="C125" s="8">
        <v>-0.4</v>
      </c>
      <c r="D125" s="13">
        <v>0.28055555555555556</v>
      </c>
      <c r="E125" s="41">
        <f>Effort!F123</f>
        <v>319.93719405884605</v>
      </c>
      <c r="F125" s="42">
        <f>Harvest!F123</f>
        <v>4319.1521197944212</v>
      </c>
      <c r="G125" s="43">
        <f>+CPUE!F123</f>
        <v>13.5</v>
      </c>
      <c r="H125" s="41">
        <f>Effort!H123</f>
        <v>204.53442504501737</v>
      </c>
      <c r="I125" s="42">
        <f>Harvest!H123</f>
        <v>2761.2147381077343</v>
      </c>
      <c r="J125" s="43">
        <f>CPUE!H123</f>
        <v>13.5</v>
      </c>
      <c r="K125" s="41" t="str">
        <f>Effort!J123</f>
        <v>CLOSED</v>
      </c>
      <c r="L125" s="42" t="str">
        <f>Harvest!J123</f>
        <v>CLOSED</v>
      </c>
      <c r="M125" s="43" t="str">
        <f>CPUE!J123</f>
        <v>CLOSED</v>
      </c>
      <c r="N125" s="95">
        <f>Effort!L123</f>
        <v>254.335809067387</v>
      </c>
      <c r="O125" s="96">
        <f>Harvest!L123</f>
        <v>3433.5334224097301</v>
      </c>
      <c r="P125" s="97">
        <f>CPUE!L123</f>
        <v>13.500000000000021</v>
      </c>
      <c r="Q125" s="41" t="s">
        <v>10</v>
      </c>
      <c r="R125" s="42" t="s">
        <v>10</v>
      </c>
      <c r="S125" s="44" t="s">
        <v>10</v>
      </c>
      <c r="T125" s="41">
        <f>SUM(E125+H125+N125)</f>
        <v>778.80742817125042</v>
      </c>
      <c r="U125" s="42">
        <f>SUM(F125+I125+O125)</f>
        <v>10513.900280311886</v>
      </c>
      <c r="V125" s="42"/>
    </row>
    <row r="126" spans="1:24" x14ac:dyDescent="0.25">
      <c r="A126" s="39">
        <v>45036</v>
      </c>
      <c r="B126" s="40" t="s">
        <v>24</v>
      </c>
      <c r="C126" s="8">
        <v>-0.9</v>
      </c>
      <c r="D126" s="13">
        <v>0.31111111111111112</v>
      </c>
      <c r="E126" s="41">
        <f>Effort!F124</f>
        <v>1522.8793558419791</v>
      </c>
      <c r="F126" s="42">
        <f>Harvest!F124</f>
        <v>28934.707760997604</v>
      </c>
      <c r="G126" s="43">
        <f>+CPUE!F124</f>
        <v>19</v>
      </c>
      <c r="H126" s="41">
        <f>Effort!H124</f>
        <v>853.66129361010042</v>
      </c>
      <c r="I126" s="42">
        <f>Harvest!H124</f>
        <v>16219.564578591908</v>
      </c>
      <c r="J126" s="43">
        <f>CPUE!H124</f>
        <v>19</v>
      </c>
      <c r="K126" s="95">
        <f>Effort!J124</f>
        <v>1204.78586482286</v>
      </c>
      <c r="L126" s="96">
        <f>Harvest!J124</f>
        <v>22825.2158390076</v>
      </c>
      <c r="M126" s="97">
        <f>CPUE!J124</f>
        <v>18.945454545454513</v>
      </c>
      <c r="N126" s="41" t="str">
        <f>Effort!L124</f>
        <v>CLOSED</v>
      </c>
      <c r="O126" s="42" t="str">
        <f>Harvest!L124</f>
        <v>CLOSED</v>
      </c>
      <c r="P126" s="43" t="str">
        <f>CPUE!L124</f>
        <v>CLOSED</v>
      </c>
      <c r="Q126" s="41" t="s">
        <v>10</v>
      </c>
      <c r="R126" s="42" t="s">
        <v>10</v>
      </c>
      <c r="S126" s="44" t="s">
        <v>10</v>
      </c>
      <c r="T126" s="41">
        <f>SUM(E126+H126+K126)</f>
        <v>3581.3265142749397</v>
      </c>
      <c r="U126" s="42">
        <f>SUM(F126+I126+L126)</f>
        <v>67979.488178597123</v>
      </c>
      <c r="V126" s="42"/>
    </row>
    <row r="127" spans="1:24" x14ac:dyDescent="0.25">
      <c r="A127" s="39">
        <v>45037</v>
      </c>
      <c r="B127" s="40" t="s">
        <v>18</v>
      </c>
      <c r="C127" s="8">
        <v>-1.2</v>
      </c>
      <c r="D127" s="13">
        <v>0.33958333333333335</v>
      </c>
      <c r="E127" s="41">
        <f>Effort!F125</f>
        <v>3528.6180644231463</v>
      </c>
      <c r="F127" s="42">
        <f>Harvest!F125</f>
        <v>56457.88903077034</v>
      </c>
      <c r="G127" s="43">
        <f>+CPUE!F125</f>
        <v>16</v>
      </c>
      <c r="H127" s="95">
        <f>Effort!H125</f>
        <v>2866.7886675801001</v>
      </c>
      <c r="I127" s="96">
        <f>Harvest!H125</f>
        <v>45183.082260773299</v>
      </c>
      <c r="J127" s="97">
        <f>CPUE!H125</f>
        <v>15.760869565217385</v>
      </c>
      <c r="K127" s="41" t="str">
        <f>Effort!J125</f>
        <v>CLOSED</v>
      </c>
      <c r="L127" s="42" t="str">
        <f>Harvest!J125</f>
        <v>CLOSED</v>
      </c>
      <c r="M127" s="43" t="str">
        <f>CPUE!J125</f>
        <v>CLOSED</v>
      </c>
      <c r="N127" s="95">
        <f>Effort!L125</f>
        <v>2805.09408399634</v>
      </c>
      <c r="O127" s="96">
        <f>Harvest!L125</f>
        <v>52476.429892120199</v>
      </c>
      <c r="P127" s="97">
        <f>CPUE!L125</f>
        <v>18.707547169811317</v>
      </c>
      <c r="Q127" s="41" t="s">
        <v>10</v>
      </c>
      <c r="R127" s="42" t="s">
        <v>10</v>
      </c>
      <c r="S127" s="44" t="s">
        <v>10</v>
      </c>
      <c r="T127" s="41">
        <f>SUM(E127+H127+N127)</f>
        <v>9200.5008159995868</v>
      </c>
      <c r="U127" s="42">
        <f>SUM(F127+I127+O127)</f>
        <v>154117.40118366384</v>
      </c>
      <c r="V127" s="42"/>
    </row>
    <row r="128" spans="1:24" x14ac:dyDescent="0.25">
      <c r="A128" s="39">
        <v>45038</v>
      </c>
      <c r="B128" s="40" t="s">
        <v>19</v>
      </c>
      <c r="C128" s="8">
        <v>-1.1000000000000001</v>
      </c>
      <c r="D128" s="13">
        <v>0.36805555555555558</v>
      </c>
      <c r="E128" s="95">
        <f>Effort!F126</f>
        <v>8390.4581818181778</v>
      </c>
      <c r="F128" s="96">
        <f>Harvest!F126</f>
        <v>164452.98036363631</v>
      </c>
      <c r="G128" s="97">
        <f>+CPUE!F126</f>
        <v>19.600000000000001</v>
      </c>
      <c r="H128" s="95">
        <f>Effort!H126</f>
        <v>4703.3334308430804</v>
      </c>
      <c r="I128" s="96">
        <f>Harvest!H126</f>
        <v>93725.847353756995</v>
      </c>
      <c r="J128" s="97">
        <f>CPUE!H126</f>
        <v>19.927536231884048</v>
      </c>
      <c r="K128" s="95">
        <f>Effort!J126</f>
        <v>6637.8898486366897</v>
      </c>
      <c r="L128" s="96">
        <f>Harvest!J126</f>
        <v>128900.644763391</v>
      </c>
      <c r="M128" s="97">
        <f>CPUE!J126</f>
        <v>19.418918918918941</v>
      </c>
      <c r="N128" s="41" t="str">
        <f>Effort!L126</f>
        <v>CLOSED</v>
      </c>
      <c r="O128" s="42" t="str">
        <f>Harvest!L126</f>
        <v>CLOSED</v>
      </c>
      <c r="P128" s="43" t="str">
        <f>CPUE!L126</f>
        <v>CLOSED</v>
      </c>
      <c r="Q128" s="41" t="s">
        <v>10</v>
      </c>
      <c r="R128" s="42" t="s">
        <v>10</v>
      </c>
      <c r="S128" s="44" t="s">
        <v>10</v>
      </c>
      <c r="T128" s="41">
        <f>SUM(E128+H128+K128)</f>
        <v>19731.681461297947</v>
      </c>
      <c r="U128" s="42">
        <f>SUM(F128+I128+L128)</f>
        <v>387079.47248078429</v>
      </c>
      <c r="V128" s="42"/>
    </row>
    <row r="129" spans="1:24" x14ac:dyDescent="0.25">
      <c r="A129" s="39">
        <v>45039</v>
      </c>
      <c r="B129" s="40" t="s">
        <v>20</v>
      </c>
      <c r="C129" s="8">
        <v>-0.8</v>
      </c>
      <c r="D129" s="13">
        <v>0.39652777777777781</v>
      </c>
      <c r="E129" s="95">
        <f>Effort!F127</f>
        <v>6561.5702835419997</v>
      </c>
      <c r="F129" s="96">
        <f>Harvest!F127</f>
        <v>106953.5956217346</v>
      </c>
      <c r="G129" s="97">
        <f>+CPUE!F127</f>
        <v>16.3</v>
      </c>
      <c r="H129" s="95">
        <f>Effort!H127</f>
        <v>4194.7826956621002</v>
      </c>
      <c r="I129" s="96">
        <f>Harvest!H127</f>
        <v>58365.338541367499</v>
      </c>
      <c r="J129" s="97">
        <f>CPUE!H127</f>
        <v>13.913793103448276</v>
      </c>
      <c r="K129" s="41" t="str">
        <f>Effort!J127</f>
        <v>CLOSED</v>
      </c>
      <c r="L129" s="42" t="str">
        <f>Harvest!J127</f>
        <v>CLOSED</v>
      </c>
      <c r="M129" s="43" t="str">
        <f>CPUE!J127</f>
        <v>CLOSED</v>
      </c>
      <c r="N129" s="95">
        <f>Effort!L127</f>
        <v>5216.1559137454597</v>
      </c>
      <c r="O129" s="96">
        <f>Harvest!L127</f>
        <v>95538.013578074693</v>
      </c>
      <c r="P129" s="97">
        <f>CPUE!L127</f>
        <v>18.315789473684202</v>
      </c>
      <c r="Q129" s="41" t="s">
        <v>10</v>
      </c>
      <c r="R129" s="42" t="s">
        <v>10</v>
      </c>
      <c r="S129" s="44" t="s">
        <v>10</v>
      </c>
      <c r="T129" s="41">
        <f>SUM(E129+H129+N129)</f>
        <v>15972.508892949561</v>
      </c>
      <c r="U129" s="42">
        <f>SUM(F129+I129+O129)</f>
        <v>260856.94774117679</v>
      </c>
      <c r="V129" s="42"/>
    </row>
    <row r="130" spans="1:24" x14ac:dyDescent="0.25">
      <c r="A130" s="39">
        <v>45040</v>
      </c>
      <c r="B130" s="40" t="s">
        <v>21</v>
      </c>
      <c r="C130" s="8">
        <v>-0.4</v>
      </c>
      <c r="D130" s="13">
        <v>0.42638888888888887</v>
      </c>
      <c r="E130" s="95">
        <f>Effort!F128</f>
        <v>2773.5918356878365</v>
      </c>
      <c r="F130" s="96">
        <f>Harvest!F128</f>
        <v>34669.897946097954</v>
      </c>
      <c r="G130" s="97">
        <f>+CPUE!F128</f>
        <v>12.5</v>
      </c>
      <c r="H130" s="41">
        <f>Effort!H128</f>
        <v>1290.3119300011938</v>
      </c>
      <c r="I130" s="42">
        <f>Harvest!H128</f>
        <v>20644.990880019101</v>
      </c>
      <c r="J130" s="43">
        <f>CPUE!H128</f>
        <v>16</v>
      </c>
      <c r="K130" s="95">
        <f>Effort!J128</f>
        <v>1821.03790591654</v>
      </c>
      <c r="L130" s="96">
        <f>Harvest!J128</f>
        <v>35206.732847719803</v>
      </c>
      <c r="M130" s="97">
        <f>CPUE!J128</f>
        <v>19.33333333333335</v>
      </c>
      <c r="N130" s="41" t="str">
        <f>Effort!L128</f>
        <v>CLOSED</v>
      </c>
      <c r="O130" s="42" t="str">
        <f>Harvest!L128</f>
        <v>CLOSED</v>
      </c>
      <c r="P130" s="43" t="str">
        <f>CPUE!L128</f>
        <v>CLOSED</v>
      </c>
      <c r="Q130" s="41" t="s">
        <v>10</v>
      </c>
      <c r="R130" s="42" t="s">
        <v>10</v>
      </c>
      <c r="S130" s="44" t="s">
        <v>10</v>
      </c>
      <c r="T130" s="41">
        <f>SUM(E130+H130+K130)</f>
        <v>5884.9416716055703</v>
      </c>
      <c r="U130" s="42">
        <f>SUM(F130+I130+L130)</f>
        <v>90521.621673836853</v>
      </c>
      <c r="V130" s="42"/>
    </row>
    <row r="131" spans="1:24" x14ac:dyDescent="0.25">
      <c r="A131" s="39">
        <v>45041</v>
      </c>
      <c r="B131" s="40" t="s">
        <v>22</v>
      </c>
      <c r="C131" s="8">
        <v>0.1</v>
      </c>
      <c r="D131" s="13">
        <v>0.45902777777777781</v>
      </c>
      <c r="E131" s="41">
        <f>Effort!F129</f>
        <v>1485.742517169771</v>
      </c>
      <c r="F131" s="42">
        <f>Harvest!F129</f>
        <v>28971.979084810533</v>
      </c>
      <c r="G131" s="43">
        <f>+CPUE!F129</f>
        <v>19.5</v>
      </c>
      <c r="H131" s="95">
        <f>Effort!H129</f>
        <v>949.82858247597903</v>
      </c>
      <c r="I131" s="96">
        <f>Harvest!H129</f>
        <v>18511.103707365201</v>
      </c>
      <c r="J131" s="97">
        <f>CPUE!H129</f>
        <v>19.488888888888898</v>
      </c>
      <c r="K131" s="41" t="str">
        <f>Effort!J129</f>
        <v>CLOSED</v>
      </c>
      <c r="L131" s="42" t="str">
        <f>Harvest!J129</f>
        <v>CLOSED</v>
      </c>
      <c r="M131" s="43" t="str">
        <f>CPUE!J129</f>
        <v>CLOSED</v>
      </c>
      <c r="N131" s="95">
        <f>Effort!L129</f>
        <v>703.25899996902206</v>
      </c>
      <c r="O131" s="96">
        <f>Harvest!L129</f>
        <v>14065.1799993804</v>
      </c>
      <c r="P131" s="97">
        <f>CPUE!L129</f>
        <v>19.99999999999994</v>
      </c>
      <c r="Q131" s="41" t="s">
        <v>10</v>
      </c>
      <c r="R131" s="42" t="s">
        <v>10</v>
      </c>
      <c r="S131" s="44" t="s">
        <v>10</v>
      </c>
      <c r="T131" s="41">
        <f>SUM(E131+H131+N131)</f>
        <v>3138.8300996147723</v>
      </c>
      <c r="U131" s="42">
        <f>SUM(F131+I131+O131)</f>
        <v>61548.262791556132</v>
      </c>
      <c r="V131" s="42"/>
    </row>
    <row r="132" spans="1:24" x14ac:dyDescent="0.25">
      <c r="A132" s="117" t="s">
        <v>57</v>
      </c>
      <c r="B132" s="117"/>
      <c r="C132" s="117"/>
      <c r="D132" s="118"/>
      <c r="E132" s="47">
        <f>SUM(E125:E131)</f>
        <v>24582.797432541756</v>
      </c>
      <c r="F132" s="48">
        <f>SUM(F125:F131)</f>
        <v>424760.20192784176</v>
      </c>
      <c r="G132" s="49">
        <f>+F132/E132</f>
        <v>17.278757761130986</v>
      </c>
      <c r="H132" s="47">
        <f>SUM(H125:H131)</f>
        <v>15063.24102521757</v>
      </c>
      <c r="I132" s="48">
        <f>SUM(I125:I131)</f>
        <v>255411.14205998174</v>
      </c>
      <c r="J132" s="49">
        <f>+I132/H132</f>
        <v>16.955922144005701</v>
      </c>
      <c r="K132" s="47">
        <f>SUM(K125:K131)</f>
        <v>9663.7136193760907</v>
      </c>
      <c r="L132" s="48">
        <f>SUM(L125:L131)</f>
        <v>186932.59345011841</v>
      </c>
      <c r="M132" s="49">
        <f>+L132/K132</f>
        <v>19.34376377579235</v>
      </c>
      <c r="N132" s="47">
        <f>SUM(N125:N131)</f>
        <v>8978.8448067782101</v>
      </c>
      <c r="O132" s="48">
        <f>SUM(O125:O131)</f>
        <v>165513.15689198501</v>
      </c>
      <c r="P132" s="49">
        <v>0</v>
      </c>
      <c r="Q132" s="47"/>
      <c r="R132" s="48"/>
      <c r="S132" s="49"/>
      <c r="T132" s="47">
        <f>SUM(T125:T131)</f>
        <v>58288.596883913626</v>
      </c>
      <c r="U132" s="48">
        <f>SUM(U125:U131)</f>
        <v>1032617.0943299269</v>
      </c>
      <c r="V132" s="64"/>
      <c r="W132" s="20">
        <f>SUM(H132,K132,N132,Q132,E132)</f>
        <v>58288.596883913633</v>
      </c>
      <c r="X132" s="20">
        <f>SUM(R132,O132,L132,I132,F132)</f>
        <v>1032617.0943299269</v>
      </c>
    </row>
    <row r="133" spans="1:24" ht="15.75" thickBot="1" x14ac:dyDescent="0.3">
      <c r="A133" s="87"/>
      <c r="B133" s="87"/>
      <c r="C133" s="87"/>
      <c r="D133" s="87"/>
      <c r="E133" s="64"/>
      <c r="F133" s="64"/>
      <c r="G133" s="65"/>
      <c r="H133" s="64"/>
      <c r="I133" s="64"/>
      <c r="J133" s="65"/>
      <c r="K133" s="64"/>
      <c r="L133" s="64"/>
      <c r="M133" s="65"/>
      <c r="N133" s="64"/>
      <c r="O133" s="64"/>
      <c r="P133" s="65"/>
      <c r="Q133" s="64"/>
      <c r="R133" s="64"/>
      <c r="S133" s="65"/>
      <c r="T133" s="64"/>
      <c r="U133" s="64"/>
    </row>
    <row r="134" spans="1:24" ht="15.75" thickTop="1" x14ac:dyDescent="0.25">
      <c r="A134" s="58" t="s">
        <v>58</v>
      </c>
      <c r="B134" s="59"/>
      <c r="C134" s="59"/>
      <c r="D134" s="59"/>
      <c r="E134" s="60">
        <f>+SUM(E13,E21,E29,E84,E91,E98,E105,E116,E124,E132)</f>
        <v>67589.388936101648</v>
      </c>
      <c r="F134" s="60">
        <f>+SUM(F13,F21,F29,F84,F91,F98,F105,F116,F124,F132)</f>
        <v>1005430.6183420393</v>
      </c>
      <c r="G134" s="61">
        <f>+F134/E134</f>
        <v>14.875568993419421</v>
      </c>
      <c r="H134" s="60">
        <f>+SUM(H13,H21,H29,H84,H91,H98,H105,H116,H124,H132)</f>
        <v>61499.774356360336</v>
      </c>
      <c r="I134" s="60">
        <f>+SUM(I13,I21,I29,I84,I91,I98,I105,I116,I124,I132)</f>
        <v>912852.47510629892</v>
      </c>
      <c r="J134" s="61">
        <f>+I134/H134</f>
        <v>14.84318413620149</v>
      </c>
      <c r="K134" s="60">
        <f>+SUM(K13,K21,K29,K84,K91,K98,K105,K116,K124,K132)</f>
        <v>62523.005189364318</v>
      </c>
      <c r="L134" s="60">
        <f>+SUM(L13,L21,L29,L84,L91,L98,L105,L116,L124,L132)</f>
        <v>871584.53574212152</v>
      </c>
      <c r="M134" s="61">
        <f>+L134/K134</f>
        <v>13.940221412939781</v>
      </c>
      <c r="N134" s="60">
        <f>+SUM(N13,N21,N29,N84,N91,N98,N105,N116,N124,N132)</f>
        <v>45806.652069348296</v>
      </c>
      <c r="O134" s="60">
        <f>+SUM(O13,O21,O29,O84,O91,O98,O105,O116,O124,O132)</f>
        <v>670659.9617020234</v>
      </c>
      <c r="P134" s="61">
        <f>+O134/N134</f>
        <v>14.641104106160995</v>
      </c>
      <c r="Q134" s="60">
        <f>+Q13</f>
        <v>0</v>
      </c>
      <c r="R134" s="60">
        <f>+R13</f>
        <v>0</v>
      </c>
      <c r="S134" s="61">
        <v>0</v>
      </c>
      <c r="T134" s="60">
        <f>+SUM(T13,T21,T29,T84,T91,T98,T105,T116,T124,T132)</f>
        <v>237418.82055117461</v>
      </c>
      <c r="U134" s="60">
        <f>+SUM(U13,U21,U29,U84,U91,U98,U105,U116,U124,U132)</f>
        <v>3460527.5908924835</v>
      </c>
      <c r="V134" s="64"/>
      <c r="W134" s="20">
        <f>SUM(W4:W133)</f>
        <v>237418.82055117463</v>
      </c>
      <c r="X134" s="20">
        <f>SUM(X4:X133)</f>
        <v>3460527.5908924835</v>
      </c>
    </row>
    <row r="135" spans="1:24" x14ac:dyDescent="0.25">
      <c r="A135" s="62" t="s">
        <v>59</v>
      </c>
      <c r="B135" s="63"/>
      <c r="C135" s="63"/>
      <c r="D135" s="63"/>
      <c r="E135" s="64"/>
      <c r="F135" s="64">
        <f>Harvest!F133</f>
        <v>70380.143283942773</v>
      </c>
      <c r="G135" s="65"/>
      <c r="H135" s="64"/>
      <c r="I135" s="64">
        <f>Harvest!H133</f>
        <v>9128.5247510629906</v>
      </c>
      <c r="J135" s="65"/>
      <c r="K135" s="64"/>
      <c r="L135" s="64">
        <f>Harvest!J133</f>
        <v>17431.690714842429</v>
      </c>
      <c r="M135" s="65"/>
      <c r="N135" s="64"/>
      <c r="O135" s="64">
        <f>Harvest!L133</f>
        <v>13413.199234040463</v>
      </c>
      <c r="P135" s="65"/>
      <c r="Q135" s="64"/>
      <c r="R135" s="64">
        <f>Harvest!N133</f>
        <v>0</v>
      </c>
      <c r="S135" s="65"/>
      <c r="T135" s="64"/>
      <c r="U135" s="64">
        <f>F135+I135+L135+O135+R135</f>
        <v>110353.55798388865</v>
      </c>
      <c r="V135" s="64"/>
      <c r="W135" s="20">
        <f>SUM(H134,K134,N134,Q134,E134)</f>
        <v>237418.82055117458</v>
      </c>
      <c r="X135" s="20">
        <f>SUM(R134,O134,L134,I134,F134)</f>
        <v>3460527.590892483</v>
      </c>
    </row>
    <row r="136" spans="1:24" x14ac:dyDescent="0.25">
      <c r="A136" s="66" t="s">
        <v>60</v>
      </c>
      <c r="B136" s="67"/>
      <c r="C136" s="67"/>
      <c r="D136" s="67"/>
      <c r="E136" s="68">
        <f>Effort!F131</f>
        <v>67589.388936101648</v>
      </c>
      <c r="F136" s="68">
        <f>F134+F135</f>
        <v>1075810.7616259821</v>
      </c>
      <c r="G136" s="69"/>
      <c r="H136" s="68">
        <f>Effort!H131</f>
        <v>61499.774356360351</v>
      </c>
      <c r="I136" s="68">
        <f>I134+I135</f>
        <v>921980.99985736189</v>
      </c>
      <c r="J136" s="69"/>
      <c r="K136" s="68">
        <f>Effort!J131</f>
        <v>62523.005189364303</v>
      </c>
      <c r="L136" s="68">
        <f>L134+L135</f>
        <v>889016.22645696392</v>
      </c>
      <c r="M136" s="69"/>
      <c r="N136" s="68">
        <f>Effort!L131</f>
        <v>45806.652069348296</v>
      </c>
      <c r="O136" s="68">
        <f>O134+O135</f>
        <v>684073.16093606385</v>
      </c>
      <c r="P136" s="69"/>
      <c r="Q136" s="68">
        <f>Effort!N131</f>
        <v>0</v>
      </c>
      <c r="R136" s="68">
        <f>R134+R135</f>
        <v>0</v>
      </c>
      <c r="S136" s="69"/>
      <c r="T136" s="68">
        <f>SUM(T134:T135)</f>
        <v>237418.82055117461</v>
      </c>
      <c r="U136" s="70">
        <f>SUM(U134:U135)</f>
        <v>3570881.1488763723</v>
      </c>
      <c r="V136" s="64"/>
    </row>
    <row r="137" spans="1:24" x14ac:dyDescent="0.25">
      <c r="A137" s="71" t="s">
        <v>14</v>
      </c>
      <c r="B137" s="72"/>
      <c r="C137" s="72"/>
      <c r="D137" s="72"/>
      <c r="E137" s="72"/>
      <c r="F137" s="73">
        <f>Harvest!F136</f>
        <v>0.12423868702885685</v>
      </c>
      <c r="G137" s="72"/>
      <c r="H137" s="72"/>
      <c r="I137" s="73">
        <f>Harvest!H136</f>
        <v>0.27023477090993786</v>
      </c>
      <c r="J137" s="72"/>
      <c r="K137" s="72"/>
      <c r="L137" s="73">
        <f>Harvest!J136</f>
        <v>0.26908720242950146</v>
      </c>
      <c r="M137" s="72"/>
      <c r="N137" s="72"/>
      <c r="O137" s="73">
        <f>Harvest!L136</f>
        <v>0.34743762293161912</v>
      </c>
      <c r="P137" s="72"/>
      <c r="Q137" s="72"/>
      <c r="R137" s="73">
        <f>Harvest!N136</f>
        <v>0</v>
      </c>
      <c r="S137" s="72"/>
      <c r="T137" s="102"/>
      <c r="U137" s="103"/>
      <c r="V137" s="63"/>
    </row>
    <row r="139" spans="1:24" x14ac:dyDescent="0.25">
      <c r="F139" s="20"/>
    </row>
  </sheetData>
  <mergeCells count="21">
    <mergeCell ref="A132:D132"/>
    <mergeCell ref="T2:U2"/>
    <mergeCell ref="E2:G2"/>
    <mergeCell ref="H2:J2"/>
    <mergeCell ref="K2:M2"/>
    <mergeCell ref="N2:P2"/>
    <mergeCell ref="Q2:S2"/>
    <mergeCell ref="A124:D124"/>
    <mergeCell ref="A84:D84"/>
    <mergeCell ref="A21:D21"/>
    <mergeCell ref="A116:D116"/>
    <mergeCell ref="A13:D13"/>
    <mergeCell ref="A105:D105"/>
    <mergeCell ref="A98:D98"/>
    <mergeCell ref="A38:D38"/>
    <mergeCell ref="A46:D46"/>
    <mergeCell ref="A56:D56"/>
    <mergeCell ref="A66:D66"/>
    <mergeCell ref="A29:D29"/>
    <mergeCell ref="A91:D91"/>
    <mergeCell ref="A75:D75"/>
  </mergeCells>
  <phoneticPr fontId="17" type="noConversion"/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FD5E-4554-456C-879B-68A9CCB6CA1E}">
  <sheetPr>
    <pageSetUpPr fitToPage="1"/>
  </sheetPr>
  <dimension ref="A1:X139"/>
  <sheetViews>
    <sheetView topLeftCell="A34" zoomScale="90" zoomScaleNormal="90" workbookViewId="0">
      <selection activeCell="F137" sqref="F137"/>
    </sheetView>
  </sheetViews>
  <sheetFormatPr defaultRowHeight="15" x14ac:dyDescent="0.25"/>
  <cols>
    <col min="1" max="1" width="9.140625" customWidth="1"/>
    <col min="20" max="20" width="10.85546875" style="20" customWidth="1"/>
    <col min="24" max="24" width="9.85546875" customWidth="1"/>
  </cols>
  <sheetData>
    <row r="1" spans="1:24" ht="15.75" thickBot="1" x14ac:dyDescent="0.3">
      <c r="A1" s="34" t="s">
        <v>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45"/>
      <c r="U1" s="34"/>
      <c r="V1" s="98"/>
    </row>
    <row r="2" spans="1:24" ht="15.75" thickTop="1" x14ac:dyDescent="0.25">
      <c r="A2" s="35"/>
      <c r="B2" s="35"/>
      <c r="C2" s="35"/>
      <c r="D2" s="35"/>
      <c r="E2" s="121" t="s">
        <v>45</v>
      </c>
      <c r="F2" s="122"/>
      <c r="G2" s="123"/>
      <c r="H2" s="121" t="s">
        <v>46</v>
      </c>
      <c r="I2" s="122"/>
      <c r="J2" s="123"/>
      <c r="K2" s="121" t="s">
        <v>47</v>
      </c>
      <c r="L2" s="122"/>
      <c r="M2" s="123"/>
      <c r="N2" s="121" t="s">
        <v>48</v>
      </c>
      <c r="O2" s="122"/>
      <c r="P2" s="123"/>
      <c r="Q2" s="124" t="s">
        <v>49</v>
      </c>
      <c r="R2" s="125"/>
      <c r="S2" s="126"/>
      <c r="T2" s="119" t="s">
        <v>52</v>
      </c>
      <c r="U2" s="120"/>
      <c r="V2" s="42"/>
      <c r="W2" s="8" t="s">
        <v>65</v>
      </c>
      <c r="X2" s="8" t="s">
        <v>66</v>
      </c>
    </row>
    <row r="3" spans="1:24" ht="15.75" thickBot="1" x14ac:dyDescent="0.3">
      <c r="A3" s="36" t="s">
        <v>53</v>
      </c>
      <c r="B3" s="36" t="s">
        <v>54</v>
      </c>
      <c r="C3" s="36" t="s">
        <v>55</v>
      </c>
      <c r="D3" s="36" t="s">
        <v>56</v>
      </c>
      <c r="E3" s="37" t="s">
        <v>27</v>
      </c>
      <c r="F3" s="36" t="s">
        <v>28</v>
      </c>
      <c r="G3" s="36" t="s">
        <v>29</v>
      </c>
      <c r="H3" s="37" t="s">
        <v>27</v>
      </c>
      <c r="I3" s="36" t="s">
        <v>28</v>
      </c>
      <c r="J3" s="36" t="s">
        <v>29</v>
      </c>
      <c r="K3" s="37" t="s">
        <v>27</v>
      </c>
      <c r="L3" s="36" t="s">
        <v>28</v>
      </c>
      <c r="M3" s="36" t="s">
        <v>29</v>
      </c>
      <c r="N3" s="37" t="s">
        <v>27</v>
      </c>
      <c r="O3" s="36" t="s">
        <v>28</v>
      </c>
      <c r="P3" s="36" t="s">
        <v>29</v>
      </c>
      <c r="Q3" s="37" t="s">
        <v>27</v>
      </c>
      <c r="R3" s="36" t="s">
        <v>28</v>
      </c>
      <c r="S3" s="36" t="s">
        <v>29</v>
      </c>
      <c r="T3" s="46" t="s">
        <v>27</v>
      </c>
      <c r="U3" s="38" t="s">
        <v>28</v>
      </c>
      <c r="V3" s="42"/>
    </row>
    <row r="4" spans="1:24" ht="15.75" thickTop="1" x14ac:dyDescent="0.25">
      <c r="A4" s="39">
        <v>44826</v>
      </c>
      <c r="B4" s="40" t="s">
        <v>24</v>
      </c>
      <c r="C4" s="8">
        <v>0.4</v>
      </c>
      <c r="D4" s="13">
        <v>0.21041666666666667</v>
      </c>
      <c r="E4" s="41" t="str">
        <f>Effort!F2</f>
        <v>CLOSED</v>
      </c>
      <c r="F4" s="42" t="str">
        <f>Harvest!F2</f>
        <v>CLOSED</v>
      </c>
      <c r="G4" s="43" t="str">
        <f>+CPUE!F2</f>
        <v>CLOSED</v>
      </c>
      <c r="H4" s="41" t="str">
        <f>Effort!H2</f>
        <v>CLOSED</v>
      </c>
      <c r="I4" s="42" t="str">
        <f>Harvest!H2</f>
        <v>CLOSED</v>
      </c>
      <c r="J4" s="43" t="str">
        <f>CPUE!H2</f>
        <v>CLOSED</v>
      </c>
      <c r="K4" s="41" t="str">
        <f>Effort!J2</f>
        <v>CLOSED</v>
      </c>
      <c r="L4" s="42" t="str">
        <f>Harvest!J2</f>
        <v>CLOSED</v>
      </c>
      <c r="M4" s="43" t="str">
        <f>CPUE!J2</f>
        <v>CLOSED</v>
      </c>
      <c r="N4" s="41" t="str">
        <f>Effort!L2</f>
        <v>CLOSED</v>
      </c>
      <c r="O4" s="42" t="str">
        <f>Harvest!L2</f>
        <v>CLOSED</v>
      </c>
      <c r="P4" s="43" t="str">
        <f>CPUE!L2</f>
        <v>CLOSED</v>
      </c>
      <c r="Q4" s="41" t="s">
        <v>10</v>
      </c>
      <c r="R4" s="42" t="s">
        <v>10</v>
      </c>
      <c r="S4" s="44" t="s">
        <v>10</v>
      </c>
      <c r="T4" s="41">
        <v>0</v>
      </c>
      <c r="U4" s="42">
        <v>0</v>
      </c>
      <c r="V4" s="42"/>
    </row>
    <row r="5" spans="1:24" x14ac:dyDescent="0.25">
      <c r="A5" s="39">
        <v>44827</v>
      </c>
      <c r="B5" s="40" t="s">
        <v>18</v>
      </c>
      <c r="C5" s="8">
        <v>0.1</v>
      </c>
      <c r="D5" s="13">
        <v>0.23680555555555557</v>
      </c>
      <c r="E5" s="41" t="str">
        <f>Effort!F3</f>
        <v>CLOSED</v>
      </c>
      <c r="F5" s="42" t="str">
        <f>Harvest!F3</f>
        <v>CLOSED</v>
      </c>
      <c r="G5" s="43" t="str">
        <f>+CPUE!F3</f>
        <v>CLOSED</v>
      </c>
      <c r="H5" s="41" t="str">
        <f>Effort!H3</f>
        <v>CLOSED</v>
      </c>
      <c r="I5" s="42" t="str">
        <f>Harvest!H3</f>
        <v>CLOSED</v>
      </c>
      <c r="J5" s="43" t="str">
        <f>CPUE!H3</f>
        <v>CLOSED</v>
      </c>
      <c r="K5" s="41" t="str">
        <f>Effort!J3</f>
        <v>CLOSED</v>
      </c>
      <c r="L5" s="42" t="str">
        <f>Harvest!J3</f>
        <v>CLOSED</v>
      </c>
      <c r="M5" s="43" t="str">
        <f>CPUE!J3</f>
        <v>CLOSED</v>
      </c>
      <c r="N5" s="41" t="str">
        <f>Effort!L3</f>
        <v>CLOSED</v>
      </c>
      <c r="O5" s="42" t="str">
        <f>Harvest!L3</f>
        <v>CLOSED</v>
      </c>
      <c r="P5" s="43" t="str">
        <f>CPUE!L3</f>
        <v>CLOSED</v>
      </c>
      <c r="Q5" s="41" t="s">
        <v>10</v>
      </c>
      <c r="R5" s="42" t="s">
        <v>10</v>
      </c>
      <c r="S5" s="44" t="s">
        <v>10</v>
      </c>
      <c r="T5" s="41">
        <v>0</v>
      </c>
      <c r="U5" s="42">
        <v>0</v>
      </c>
      <c r="V5" s="42"/>
    </row>
    <row r="6" spans="1:24" x14ac:dyDescent="0.25">
      <c r="A6" s="39">
        <v>44828</v>
      </c>
      <c r="B6" s="40" t="s">
        <v>19</v>
      </c>
      <c r="C6" s="8">
        <v>0</v>
      </c>
      <c r="D6" s="13">
        <v>0.26041666666666669</v>
      </c>
      <c r="E6" s="41" t="str">
        <f>Effort!F4</f>
        <v>CLOSED</v>
      </c>
      <c r="F6" s="42" t="str">
        <f>Harvest!F4</f>
        <v>CLOSED</v>
      </c>
      <c r="G6" s="43" t="str">
        <f>+CPUE!F4</f>
        <v>CLOSED</v>
      </c>
      <c r="H6" s="41" t="str">
        <f>Effort!H4</f>
        <v>CLOSED</v>
      </c>
      <c r="I6" s="42" t="str">
        <f>Harvest!H4</f>
        <v>CLOSED</v>
      </c>
      <c r="J6" s="43" t="str">
        <f>CPUE!H4</f>
        <v>CLOSED</v>
      </c>
      <c r="K6" s="41" t="str">
        <f>Effort!J4</f>
        <v>CLOSED</v>
      </c>
      <c r="L6" s="42" t="str">
        <f>Harvest!J4</f>
        <v>CLOSED</v>
      </c>
      <c r="M6" s="43" t="str">
        <f>CPUE!J4</f>
        <v>CLOSED</v>
      </c>
      <c r="N6" s="41" t="str">
        <f>Effort!L4</f>
        <v>CLOSED</v>
      </c>
      <c r="O6" s="42" t="str">
        <f>Harvest!L4</f>
        <v>CLOSED</v>
      </c>
      <c r="P6" s="43" t="str">
        <f>CPUE!L4</f>
        <v>CLOSED</v>
      </c>
      <c r="Q6" s="41" t="s">
        <v>10</v>
      </c>
      <c r="R6" s="42" t="s">
        <v>10</v>
      </c>
      <c r="S6" s="44" t="s">
        <v>10</v>
      </c>
      <c r="T6" s="41">
        <v>0</v>
      </c>
      <c r="U6" s="42">
        <v>0</v>
      </c>
      <c r="V6" s="42"/>
    </row>
    <row r="7" spans="1:24" x14ac:dyDescent="0.25">
      <c r="A7" s="39">
        <v>44829</v>
      </c>
      <c r="B7" s="40" t="s">
        <v>20</v>
      </c>
      <c r="C7" s="8">
        <v>0.1</v>
      </c>
      <c r="D7" s="13">
        <v>0.28333333333333333</v>
      </c>
      <c r="E7" s="41" t="str">
        <f>Effort!F5</f>
        <v>CLOSED</v>
      </c>
      <c r="F7" s="42" t="str">
        <f>Harvest!F5</f>
        <v>CLOSED</v>
      </c>
      <c r="G7" s="43" t="str">
        <f>+CPUE!F5</f>
        <v>CLOSED</v>
      </c>
      <c r="H7" s="41" t="str">
        <f>Effort!H5</f>
        <v>CLOSED</v>
      </c>
      <c r="I7" s="42" t="str">
        <f>Harvest!H5</f>
        <v>CLOSED</v>
      </c>
      <c r="J7" s="43" t="str">
        <f>CPUE!H5</f>
        <v>CLOSED</v>
      </c>
      <c r="K7" s="41" t="str">
        <f>Effort!J5</f>
        <v>CLOSED</v>
      </c>
      <c r="L7" s="42" t="str">
        <f>Harvest!J5</f>
        <v>CLOSED</v>
      </c>
      <c r="M7" s="43" t="str">
        <f>CPUE!J5</f>
        <v>CLOSED</v>
      </c>
      <c r="N7" s="41" t="str">
        <f>Effort!L5</f>
        <v>CLOSED</v>
      </c>
      <c r="O7" s="42" t="str">
        <f>Harvest!L5</f>
        <v>CLOSED</v>
      </c>
      <c r="P7" s="43" t="str">
        <f>CPUE!L5</f>
        <v>CLOSED</v>
      </c>
      <c r="Q7" s="41" t="s">
        <v>10</v>
      </c>
      <c r="R7" s="42" t="s">
        <v>10</v>
      </c>
      <c r="S7" s="44" t="s">
        <v>10</v>
      </c>
      <c r="T7" s="41">
        <v>0</v>
      </c>
      <c r="U7" s="42">
        <v>0</v>
      </c>
      <c r="V7" s="42"/>
    </row>
    <row r="8" spans="1:24" x14ac:dyDescent="0.25">
      <c r="A8" s="39">
        <v>44830</v>
      </c>
      <c r="B8" s="40" t="s">
        <v>21</v>
      </c>
      <c r="C8" s="8">
        <v>0.3</v>
      </c>
      <c r="D8" s="13">
        <v>0.30486111111111108</v>
      </c>
      <c r="E8" s="41" t="str">
        <f>Effort!F6</f>
        <v>CLOSED</v>
      </c>
      <c r="F8" s="42" t="str">
        <f>Harvest!F6</f>
        <v>CLOSED</v>
      </c>
      <c r="G8" s="43" t="str">
        <f>+CPUE!F6</f>
        <v>CLOSED</v>
      </c>
      <c r="H8" s="41" t="str">
        <f>Effort!H6</f>
        <v>CLOSED</v>
      </c>
      <c r="I8" s="42" t="str">
        <f>Harvest!H6</f>
        <v>CLOSED</v>
      </c>
      <c r="J8" s="43" t="str">
        <f>CPUE!H6</f>
        <v>CLOSED</v>
      </c>
      <c r="K8" s="41" t="str">
        <f>Effort!J6</f>
        <v>CLOSED</v>
      </c>
      <c r="L8" s="42" t="str">
        <f>Harvest!J6</f>
        <v>CLOSED</v>
      </c>
      <c r="M8" s="43" t="str">
        <f>CPUE!J6</f>
        <v>CLOSED</v>
      </c>
      <c r="N8" s="41" t="str">
        <f>Effort!L6</f>
        <v>CLOSED</v>
      </c>
      <c r="O8" s="42" t="str">
        <f>Harvest!L6</f>
        <v>CLOSED</v>
      </c>
      <c r="P8" s="43" t="str">
        <f>CPUE!L6</f>
        <v>CLOSED</v>
      </c>
      <c r="Q8" s="41" t="s">
        <v>10</v>
      </c>
      <c r="R8" s="42" t="s">
        <v>10</v>
      </c>
      <c r="S8" s="44" t="s">
        <v>10</v>
      </c>
      <c r="T8" s="41">
        <v>0</v>
      </c>
      <c r="U8" s="42">
        <v>0</v>
      </c>
      <c r="V8" s="42"/>
    </row>
    <row r="9" spans="1:24" x14ac:dyDescent="0.25">
      <c r="A9" s="39">
        <v>44831</v>
      </c>
      <c r="B9" s="40" t="s">
        <v>22</v>
      </c>
      <c r="C9" s="8">
        <v>-0.1</v>
      </c>
      <c r="D9" s="13">
        <v>0.85</v>
      </c>
      <c r="E9" s="41" t="str">
        <f>Effort!F7</f>
        <v>CLOSED</v>
      </c>
      <c r="F9" s="42" t="str">
        <f>Harvest!F7</f>
        <v>CLOSED</v>
      </c>
      <c r="G9" s="43" t="str">
        <f>+CPUE!F7</f>
        <v>CLOSED</v>
      </c>
      <c r="H9" s="41" t="str">
        <f>Effort!H7</f>
        <v>CLOSED</v>
      </c>
      <c r="I9" s="42" t="str">
        <f>Harvest!H7</f>
        <v>CLOSED</v>
      </c>
      <c r="J9" s="43" t="str">
        <f>CPUE!H7</f>
        <v>CLOSED</v>
      </c>
      <c r="K9" s="41" t="str">
        <f>Effort!J7</f>
        <v>CLOSED</v>
      </c>
      <c r="L9" s="42" t="str">
        <f>Harvest!J7</f>
        <v>CLOSED</v>
      </c>
      <c r="M9" s="43" t="str">
        <f>CPUE!J7</f>
        <v>CLOSED</v>
      </c>
      <c r="N9" s="41" t="str">
        <f>Effort!L7</f>
        <v>CLOSED</v>
      </c>
      <c r="O9" s="42" t="str">
        <f>Harvest!L7</f>
        <v>CLOSED</v>
      </c>
      <c r="P9" s="43" t="str">
        <f>CPUE!L7</f>
        <v>CLOSED</v>
      </c>
      <c r="Q9" s="41" t="s">
        <v>10</v>
      </c>
      <c r="R9" s="42" t="s">
        <v>10</v>
      </c>
      <c r="S9" s="44" t="s">
        <v>10</v>
      </c>
      <c r="T9" s="41">
        <v>0</v>
      </c>
      <c r="U9" s="42">
        <v>0</v>
      </c>
      <c r="V9" s="42"/>
    </row>
    <row r="10" spans="1:24" x14ac:dyDescent="0.25">
      <c r="A10" s="39">
        <v>44832</v>
      </c>
      <c r="B10" s="40" t="s">
        <v>23</v>
      </c>
      <c r="C10" s="8">
        <v>-0.3</v>
      </c>
      <c r="D10" s="13">
        <v>0.87916666666666676</v>
      </c>
      <c r="E10" s="41">
        <f>Effort!F8</f>
        <v>199.38111968983611</v>
      </c>
      <c r="F10" s="42">
        <f>Harvest!F8</f>
        <v>996.90559844918062</v>
      </c>
      <c r="G10" s="43">
        <f>+CPUE!F8</f>
        <v>5</v>
      </c>
      <c r="H10" s="41">
        <f>Effort!H8</f>
        <v>194.83344696583575</v>
      </c>
      <c r="I10" s="42">
        <f>Harvest!H8</f>
        <v>1558.667575726686</v>
      </c>
      <c r="J10" s="43">
        <f>CPUE!H8</f>
        <v>8</v>
      </c>
      <c r="K10" s="41">
        <f>Effort!J8</f>
        <v>200.86580998773201</v>
      </c>
      <c r="L10" s="42">
        <f>Harvest!J8</f>
        <v>1767.6191278920501</v>
      </c>
      <c r="M10" s="43">
        <f>CPUE!J8</f>
        <v>8.8000000000000416</v>
      </c>
      <c r="N10" s="41" t="str">
        <f>Effort!L8</f>
        <v>CLOSED</v>
      </c>
      <c r="O10" s="42" t="str">
        <f>Harvest!L8</f>
        <v>CLOSED</v>
      </c>
      <c r="P10" s="43" t="str">
        <f>CPUE!L8</f>
        <v>CLOSED</v>
      </c>
      <c r="Q10" s="41" t="s">
        <v>10</v>
      </c>
      <c r="R10" s="42" t="s">
        <v>10</v>
      </c>
      <c r="S10" s="44" t="s">
        <v>10</v>
      </c>
      <c r="T10" s="41">
        <f>SUM(E10+H10+K10)</f>
        <v>595.08037664340395</v>
      </c>
      <c r="U10" s="42">
        <f>SUM(F10+I10+L10)</f>
        <v>4323.1923020679169</v>
      </c>
      <c r="V10" s="42"/>
    </row>
    <row r="11" spans="1:24" x14ac:dyDescent="0.25">
      <c r="A11" s="39">
        <v>44833</v>
      </c>
      <c r="B11" s="40" t="s">
        <v>24</v>
      </c>
      <c r="C11" s="8">
        <v>-0.4</v>
      </c>
      <c r="D11" s="13">
        <v>0.91041666666666676</v>
      </c>
      <c r="E11" s="41">
        <f>Effort!F9</f>
        <v>261.02620096544376</v>
      </c>
      <c r="F11" s="42">
        <f>Harvest!F9</f>
        <v>3915.3930144816563</v>
      </c>
      <c r="G11" s="43">
        <f>+CPUE!F9</f>
        <v>15</v>
      </c>
      <c r="H11" s="41">
        <f>Effort!H9</f>
        <v>255.072469056291</v>
      </c>
      <c r="I11" s="42">
        <f>Harvest!H9</f>
        <v>3826.0870358443699</v>
      </c>
      <c r="J11" s="43">
        <f>CPUE!H9</f>
        <v>15.00000000000002</v>
      </c>
      <c r="K11" s="41" t="str">
        <f>Effort!J9</f>
        <v>CLOSED</v>
      </c>
      <c r="L11" s="42" t="str">
        <f>Harvest!J9</f>
        <v>CLOSED</v>
      </c>
      <c r="M11" s="43" t="str">
        <f>CPUE!J9</f>
        <v>CLOSED</v>
      </c>
      <c r="N11" s="41" t="str">
        <f>Effort!L9</f>
        <v>CLOSED</v>
      </c>
      <c r="O11" s="42" t="str">
        <f>Harvest!L9</f>
        <v>CLOSED</v>
      </c>
      <c r="P11" s="43" t="str">
        <f>CPUE!L9</f>
        <v>CLOSED</v>
      </c>
      <c r="Q11" s="41" t="s">
        <v>10</v>
      </c>
      <c r="R11" s="42" t="s">
        <v>10</v>
      </c>
      <c r="S11" s="44" t="s">
        <v>10</v>
      </c>
      <c r="T11" s="41">
        <f>SUM(E11+H11)</f>
        <v>516.09867002173473</v>
      </c>
      <c r="U11" s="42">
        <f>SUM(F11+I11)</f>
        <v>7741.4800503260267</v>
      </c>
      <c r="V11" s="42"/>
    </row>
    <row r="12" spans="1:24" x14ac:dyDescent="0.25">
      <c r="A12" s="39">
        <v>44834</v>
      </c>
      <c r="B12" s="40" t="s">
        <v>18</v>
      </c>
      <c r="C12" s="8">
        <v>-0.2</v>
      </c>
      <c r="D12" s="13">
        <v>0.94652777777777775</v>
      </c>
      <c r="E12" s="41">
        <f>Effort!F10</f>
        <v>614.50900514217733</v>
      </c>
      <c r="F12" s="42">
        <f>Harvest!F10</f>
        <v>8603.1260719904822</v>
      </c>
      <c r="G12" s="43">
        <f>+CPUE!F10</f>
        <v>14</v>
      </c>
      <c r="H12" s="41">
        <f>Effort!H10</f>
        <v>378</v>
      </c>
      <c r="I12" s="42">
        <f>Harvest!H10</f>
        <v>5535</v>
      </c>
      <c r="J12" s="43">
        <f>CPUE!H10</f>
        <v>14.642857142857142</v>
      </c>
      <c r="K12" s="41">
        <f>Effort!J10</f>
        <v>619.084942720036</v>
      </c>
      <c r="L12" s="42">
        <f>Harvest!J10</f>
        <v>8299.6075133404793</v>
      </c>
      <c r="M12" s="43">
        <f>CPUE!J10</f>
        <v>13.406249999999995</v>
      </c>
      <c r="N12" s="41" t="str">
        <f>Effort!L10</f>
        <v>CLOSED</v>
      </c>
      <c r="O12" s="42" t="str">
        <f>Harvest!L10</f>
        <v>CLOSED</v>
      </c>
      <c r="P12" s="43" t="str">
        <f>CPUE!L10</f>
        <v>CLOSED</v>
      </c>
      <c r="Q12" s="41" t="s">
        <v>10</v>
      </c>
      <c r="R12" s="42" t="s">
        <v>10</v>
      </c>
      <c r="S12" s="44" t="s">
        <v>10</v>
      </c>
      <c r="T12" s="41">
        <f>SUM(E12+H12+K12)</f>
        <v>1611.5939478622133</v>
      </c>
      <c r="U12" s="42">
        <f>SUM(F12+I12+L12)</f>
        <v>22437.733585330963</v>
      </c>
      <c r="V12" s="42"/>
    </row>
    <row r="13" spans="1:24" x14ac:dyDescent="0.25">
      <c r="A13" s="117" t="s">
        <v>57</v>
      </c>
      <c r="B13" s="117"/>
      <c r="C13" s="117"/>
      <c r="D13" s="118"/>
      <c r="E13" s="47">
        <f>SUM(E4:E12)</f>
        <v>1074.9163257974571</v>
      </c>
      <c r="F13" s="48">
        <f>SUM(F4:F12)</f>
        <v>13515.42468492132</v>
      </c>
      <c r="G13" s="49">
        <f>+F13/E13</f>
        <v>12.573466753232648</v>
      </c>
      <c r="H13" s="47">
        <f>SUM(H4:H12)</f>
        <v>827.9059160221268</v>
      </c>
      <c r="I13" s="48">
        <f>SUM(I4:I12)</f>
        <v>10919.754611571056</v>
      </c>
      <c r="J13" s="49">
        <f>+I13/H13</f>
        <v>13.189608142961031</v>
      </c>
      <c r="K13" s="47">
        <f>SUM(K4:K12)</f>
        <v>819.95075270776806</v>
      </c>
      <c r="L13" s="48">
        <f>SUM(L4:L12)</f>
        <v>10067.22664123253</v>
      </c>
      <c r="M13" s="49">
        <f>+L13/K13</f>
        <v>12.277843038727605</v>
      </c>
      <c r="N13" s="47">
        <f>SUM(N4:N12)</f>
        <v>0</v>
      </c>
      <c r="O13" s="48">
        <f>SUM(O4:O12)</f>
        <v>0</v>
      </c>
      <c r="P13" s="49">
        <v>0</v>
      </c>
      <c r="Q13" s="47"/>
      <c r="R13" s="48"/>
      <c r="S13" s="49"/>
      <c r="T13" s="47">
        <f>SUM(T4:T12)</f>
        <v>2722.7729945273522</v>
      </c>
      <c r="U13" s="48">
        <f>SUM(U4:U12)</f>
        <v>34502.405937724907</v>
      </c>
      <c r="V13" s="64"/>
      <c r="W13" s="20">
        <f>SUM(H13,K13,N13,Q13,E13)</f>
        <v>2722.7729945273522</v>
      </c>
      <c r="X13" s="20">
        <f>SUM(R13,O13,L13,I13,F13)</f>
        <v>34502.405937724907</v>
      </c>
    </row>
    <row r="14" spans="1:24" x14ac:dyDescent="0.25">
      <c r="A14" s="39">
        <v>44842</v>
      </c>
      <c r="B14" s="40" t="s">
        <v>19</v>
      </c>
      <c r="C14" s="8">
        <v>0.5</v>
      </c>
      <c r="D14" s="13">
        <v>0.76458333333333339</v>
      </c>
      <c r="E14" s="41">
        <f>Effort!F12</f>
        <v>5355.2270120772182</v>
      </c>
      <c r="F14" s="42">
        <f>Harvest!F12</f>
        <v>77650.791675119661</v>
      </c>
      <c r="G14" s="43">
        <f>+CPUE!F12</f>
        <v>14.5</v>
      </c>
      <c r="H14" s="41">
        <f>Effort!H12</f>
        <v>4762.6033282694998</v>
      </c>
      <c r="I14" s="42">
        <f>Harvest!H12</f>
        <v>69057.748259907705</v>
      </c>
      <c r="J14" s="43">
        <f>CPUE!H12</f>
        <v>14.499999999999991</v>
      </c>
      <c r="K14" s="41" t="str">
        <f>Effort!J12</f>
        <v>CLOSED</v>
      </c>
      <c r="L14" s="42" t="str">
        <f>Harvest!J12</f>
        <v>CLOSED</v>
      </c>
      <c r="M14" s="43" t="str">
        <f>CPUE!J12</f>
        <v>CLOSED</v>
      </c>
      <c r="N14" s="41" t="str">
        <f>Effort!L12</f>
        <v>CLOSED</v>
      </c>
      <c r="O14" s="42" t="str">
        <f>Harvest!L12</f>
        <v>CLOSED</v>
      </c>
      <c r="P14" s="43" t="str">
        <f>CPUE!L12</f>
        <v>CLOSED</v>
      </c>
      <c r="Q14" s="41" t="s">
        <v>10</v>
      </c>
      <c r="R14" s="42" t="s">
        <v>10</v>
      </c>
      <c r="S14" s="44" t="s">
        <v>10</v>
      </c>
      <c r="T14" s="41">
        <f>SUM(E14+H14)</f>
        <v>10117.830340346718</v>
      </c>
      <c r="U14" s="42">
        <f>SUM(F14+I14)</f>
        <v>146708.53993502737</v>
      </c>
      <c r="V14" s="42"/>
    </row>
    <row r="15" spans="1:24" x14ac:dyDescent="0.25">
      <c r="A15" s="39">
        <v>44843</v>
      </c>
      <c r="B15" s="40" t="s">
        <v>20</v>
      </c>
      <c r="C15" s="8">
        <v>-0.1</v>
      </c>
      <c r="D15" s="13">
        <v>0.79513888888888884</v>
      </c>
      <c r="E15" s="41">
        <f>Effort!F13</f>
        <v>2564.1123055979001</v>
      </c>
      <c r="F15" s="42">
        <f>Harvest!F13</f>
        <v>37179.628431169549</v>
      </c>
      <c r="G15" s="43">
        <f>+CPUE!F13</f>
        <v>14.5</v>
      </c>
      <c r="H15" s="41">
        <f>Effort!H13</f>
        <v>2280.3608088241499</v>
      </c>
      <c r="I15" s="42">
        <f>Harvest!H13</f>
        <v>32809.272861653597</v>
      </c>
      <c r="J15" s="43">
        <f>CPUE!H13</f>
        <v>14.387755102040822</v>
      </c>
      <c r="K15" s="41">
        <f>Effort!J13</f>
        <v>3429.6323931361599</v>
      </c>
      <c r="L15" s="42">
        <f>Harvest!J13</f>
        <v>49687.844915192203</v>
      </c>
      <c r="M15" s="43">
        <f>CPUE!J13</f>
        <v>14.48780487804879</v>
      </c>
      <c r="N15" s="41" t="str">
        <f>Effort!L13</f>
        <v>CLOSED</v>
      </c>
      <c r="O15" s="42" t="str">
        <f>Harvest!L13</f>
        <v>CLOSED</v>
      </c>
      <c r="P15" s="43" t="str">
        <f>CPUE!L13</f>
        <v>CLOSED</v>
      </c>
      <c r="Q15" s="41" t="s">
        <v>10</v>
      </c>
      <c r="R15" s="42" t="s">
        <v>10</v>
      </c>
      <c r="S15" s="44" t="s">
        <v>10</v>
      </c>
      <c r="T15" s="41">
        <f>SUM(E15+H15+K15)</f>
        <v>8274.1055075582099</v>
      </c>
      <c r="U15" s="42">
        <f>SUM(F15+I15+L15)</f>
        <v>119676.74620801533</v>
      </c>
      <c r="V15" s="42"/>
    </row>
    <row r="16" spans="1:24" x14ac:dyDescent="0.25">
      <c r="A16" s="39">
        <v>44844</v>
      </c>
      <c r="B16" s="40" t="s">
        <v>21</v>
      </c>
      <c r="C16" s="8">
        <v>-0.5</v>
      </c>
      <c r="D16" s="13">
        <v>0.82361111111111107</v>
      </c>
      <c r="E16" s="41">
        <f>Effort!F14</f>
        <v>1244.1436492704615</v>
      </c>
      <c r="F16" s="42">
        <f>Harvest!F14</f>
        <v>18662.154739056925</v>
      </c>
      <c r="G16" s="43">
        <f>+CPUE!F14</f>
        <v>15</v>
      </c>
      <c r="H16" s="41">
        <f>Effort!H14</f>
        <v>1106.4633994969515</v>
      </c>
      <c r="I16" s="42">
        <f>Harvest!H14</f>
        <v>16596.950992454273</v>
      </c>
      <c r="J16" s="43">
        <f>CPUE!H14</f>
        <v>15</v>
      </c>
      <c r="K16" s="41" t="str">
        <f>Effort!J14</f>
        <v>CLOSED</v>
      </c>
      <c r="L16" s="42" t="str">
        <f>Harvest!J14</f>
        <v>CLOSED</v>
      </c>
      <c r="M16" s="43" t="str">
        <f>CPUE!J14</f>
        <v>CLOSED</v>
      </c>
      <c r="N16" s="41" t="str">
        <f>Effort!L14</f>
        <v>CLOSED</v>
      </c>
      <c r="O16" s="42" t="str">
        <f>Harvest!L14</f>
        <v>CLOSED</v>
      </c>
      <c r="P16" s="43" t="str">
        <f>CPUE!L14</f>
        <v>CLOSED</v>
      </c>
      <c r="Q16" s="41" t="s">
        <v>10</v>
      </c>
      <c r="R16" s="42" t="s">
        <v>10</v>
      </c>
      <c r="S16" s="44" t="s">
        <v>10</v>
      </c>
      <c r="T16" s="41">
        <f>SUM(E16+H16)</f>
        <v>2350.6070487674133</v>
      </c>
      <c r="U16" s="42">
        <f>SUM(F16+I16)</f>
        <v>35259.105731511198</v>
      </c>
      <c r="V16" s="42"/>
    </row>
    <row r="17" spans="1:24" x14ac:dyDescent="0.25">
      <c r="A17" s="39">
        <v>44845</v>
      </c>
      <c r="B17" s="40" t="s">
        <v>22</v>
      </c>
      <c r="C17" s="8">
        <v>-0.6</v>
      </c>
      <c r="D17" s="13">
        <v>0.85138888888888886</v>
      </c>
      <c r="E17" s="41">
        <f>Effort!F15</f>
        <v>777.51539294388442</v>
      </c>
      <c r="F17" s="42">
        <f>Harvest!F15</f>
        <v>11273.973197686324</v>
      </c>
      <c r="G17" s="43">
        <f>+CPUE!F15</f>
        <v>14.5</v>
      </c>
      <c r="H17" s="41">
        <f>Effort!H15</f>
        <v>631.66850777202524</v>
      </c>
      <c r="I17" s="42">
        <f>Harvest!H15</f>
        <v>9159.1933626943664</v>
      </c>
      <c r="J17" s="43">
        <f>CPUE!H15</f>
        <v>14.5</v>
      </c>
      <c r="K17" s="41">
        <f>Effort!J15</f>
        <v>950.02105263157898</v>
      </c>
      <c r="L17" s="42">
        <f>Harvest!J15</f>
        <v>14071.3263157895</v>
      </c>
      <c r="M17" s="43">
        <f>CPUE!J15</f>
        <v>14.811594202898577</v>
      </c>
      <c r="N17" s="41" t="str">
        <f>Effort!L15</f>
        <v>CLOSED</v>
      </c>
      <c r="O17" s="42" t="str">
        <f>Harvest!L15</f>
        <v>CLOSED</v>
      </c>
      <c r="P17" s="43" t="str">
        <f>CPUE!L15</f>
        <v>CLOSED</v>
      </c>
      <c r="Q17" s="41" t="s">
        <v>10</v>
      </c>
      <c r="R17" s="42" t="s">
        <v>10</v>
      </c>
      <c r="S17" s="44" t="s">
        <v>10</v>
      </c>
      <c r="T17" s="41">
        <f>SUM(E17+H17+K17)</f>
        <v>2359.2049533474888</v>
      </c>
      <c r="U17" s="42">
        <f>SUM(F17+I17+L17)</f>
        <v>34504.492876170189</v>
      </c>
      <c r="V17" s="42"/>
    </row>
    <row r="18" spans="1:24" x14ac:dyDescent="0.25">
      <c r="A18" s="39">
        <v>44846</v>
      </c>
      <c r="B18" s="40" t="s">
        <v>23</v>
      </c>
      <c r="C18" s="8">
        <v>-0.4</v>
      </c>
      <c r="D18" s="13">
        <v>0.87916666666666676</v>
      </c>
      <c r="E18" s="41">
        <f>Effort!F16</f>
        <v>393.51385352108235</v>
      </c>
      <c r="F18" s="42">
        <f>Harvest!F16</f>
        <v>5509.1939492951533</v>
      </c>
      <c r="G18" s="43">
        <f>+CPUE!F16</f>
        <v>14</v>
      </c>
      <c r="H18" s="41">
        <f>Effort!H16</f>
        <v>349.96656243947098</v>
      </c>
      <c r="I18" s="42">
        <f>Harvest!H16</f>
        <v>4812.0402335427298</v>
      </c>
      <c r="J18" s="43">
        <f>CPUE!H16</f>
        <v>13.750000000000011</v>
      </c>
      <c r="K18" s="41" t="str">
        <f>Effort!J16</f>
        <v>CLOSED</v>
      </c>
      <c r="L18" s="42" t="str">
        <f>Harvest!J16</f>
        <v>CLOSED</v>
      </c>
      <c r="M18" s="43" t="str">
        <f>CPUE!J16</f>
        <v>CLOSED</v>
      </c>
      <c r="N18" s="41" t="str">
        <f>Effort!L16</f>
        <v>CLOSED</v>
      </c>
      <c r="O18" s="42" t="str">
        <f>Harvest!L16</f>
        <v>CLOSED</v>
      </c>
      <c r="P18" s="43" t="str">
        <f>CPUE!L16</f>
        <v>CLOSED</v>
      </c>
      <c r="Q18" s="41" t="s">
        <v>10</v>
      </c>
      <c r="R18" s="42" t="s">
        <v>10</v>
      </c>
      <c r="S18" s="44" t="s">
        <v>10</v>
      </c>
      <c r="T18" s="41">
        <f>SUM(E18+H18)</f>
        <v>743.48041596055327</v>
      </c>
      <c r="U18" s="42">
        <f>SUM(F18+I18)</f>
        <v>10321.234182837883</v>
      </c>
      <c r="V18" s="42"/>
    </row>
    <row r="19" spans="1:24" x14ac:dyDescent="0.25">
      <c r="A19" s="39">
        <v>44847</v>
      </c>
      <c r="B19" s="40" t="s">
        <v>24</v>
      </c>
      <c r="C19" s="8">
        <v>-0.2</v>
      </c>
      <c r="D19" s="13">
        <v>0.90694444444444444</v>
      </c>
      <c r="E19" s="41">
        <f>Effort!F17</f>
        <v>315.90694113191529</v>
      </c>
      <c r="F19" s="42">
        <f>Harvest!F17</f>
        <v>4738.6041169787295</v>
      </c>
      <c r="G19" s="43">
        <f>+CPUE!F17</f>
        <v>15</v>
      </c>
      <c r="H19" s="41">
        <f>Effort!H17</f>
        <v>280.947837666868</v>
      </c>
      <c r="I19" s="42">
        <f>Harvest!H17</f>
        <v>3933.2697273361518</v>
      </c>
      <c r="J19" s="43">
        <f>CPUE!H17</f>
        <v>14</v>
      </c>
      <c r="K19" s="41">
        <f>Effort!J17</f>
        <v>492.8</v>
      </c>
      <c r="L19" s="42">
        <f>Harvest!J17</f>
        <v>6922.6666666666597</v>
      </c>
      <c r="M19" s="43">
        <f>CPUE!J17</f>
        <v>14.047619047619033</v>
      </c>
      <c r="N19" s="41" t="str">
        <f>Effort!L17</f>
        <v>CLOSED</v>
      </c>
      <c r="O19" s="42" t="str">
        <f>Harvest!L17</f>
        <v>CLOSED</v>
      </c>
      <c r="P19" s="43" t="str">
        <f>CPUE!L17</f>
        <v>CLOSED</v>
      </c>
      <c r="Q19" s="41" t="s">
        <v>10</v>
      </c>
      <c r="R19" s="42" t="s">
        <v>10</v>
      </c>
      <c r="S19" s="44" t="s">
        <v>10</v>
      </c>
      <c r="T19" s="41">
        <f>SUM(E19+H19+K19)</f>
        <v>1089.6547787987834</v>
      </c>
      <c r="U19" s="42">
        <f>SUM(F19+I19+L19)</f>
        <v>15594.54051098154</v>
      </c>
      <c r="V19" s="42"/>
    </row>
    <row r="20" spans="1:24" x14ac:dyDescent="0.25">
      <c r="A20" s="39">
        <v>44848</v>
      </c>
      <c r="B20" s="40" t="s">
        <v>18</v>
      </c>
      <c r="C20" s="8">
        <v>0.3</v>
      </c>
      <c r="D20" s="13">
        <v>0.93680555555555556</v>
      </c>
      <c r="E20" s="41">
        <f>Effort!F18</f>
        <v>515.8111793791054</v>
      </c>
      <c r="F20" s="42">
        <f>Harvest!F18</f>
        <v>7737.1676906865814</v>
      </c>
      <c r="G20" s="43">
        <f>+CPUE!F18</f>
        <v>15</v>
      </c>
      <c r="H20" s="41">
        <f>Effort!H18</f>
        <v>458.730140501861</v>
      </c>
      <c r="I20" s="42">
        <f>Harvest!H18</f>
        <v>6880.9521075279099</v>
      </c>
      <c r="J20" s="43">
        <f>CPUE!H18</f>
        <v>14.999999999999989</v>
      </c>
      <c r="K20" s="41" t="str">
        <f>Effort!J18</f>
        <v>CLOSED</v>
      </c>
      <c r="L20" s="42" t="str">
        <f>Harvest!J18</f>
        <v>CLOSED</v>
      </c>
      <c r="M20" s="43" t="str">
        <f>CPUE!J18</f>
        <v>CLOSED</v>
      </c>
      <c r="N20" s="41" t="str">
        <f>Effort!L18</f>
        <v>CLOSED</v>
      </c>
      <c r="O20" s="42" t="str">
        <f>Harvest!L18</f>
        <v>CLOSED</v>
      </c>
      <c r="P20" s="43" t="str">
        <f>CPUE!L18</f>
        <v>CLOSED</v>
      </c>
      <c r="Q20" s="41" t="s">
        <v>10</v>
      </c>
      <c r="R20" s="42" t="s">
        <v>10</v>
      </c>
      <c r="S20" s="44" t="s">
        <v>10</v>
      </c>
      <c r="T20" s="41">
        <f>SUM(E20+H20)</f>
        <v>974.5413198809664</v>
      </c>
      <c r="U20" s="42">
        <f>SUM(F20+I20)</f>
        <v>14618.119798214491</v>
      </c>
      <c r="V20" s="42"/>
    </row>
    <row r="21" spans="1:24" x14ac:dyDescent="0.25">
      <c r="A21" s="117" t="s">
        <v>57</v>
      </c>
      <c r="B21" s="117"/>
      <c r="C21" s="117"/>
      <c r="D21" s="118"/>
      <c r="E21" s="47">
        <f>SUM(E14:E20)</f>
        <v>11166.230333921567</v>
      </c>
      <c r="F21" s="48">
        <f>SUM(F14:F20)</f>
        <v>162751.51379999291</v>
      </c>
      <c r="G21" s="49">
        <f>+F21/E21</f>
        <v>14.575331954739893</v>
      </c>
      <c r="H21" s="47">
        <f>SUM(H14:H20)</f>
        <v>9870.7405849708266</v>
      </c>
      <c r="I21" s="48">
        <f>SUM(I14:I20)</f>
        <v>143249.42754511672</v>
      </c>
      <c r="J21" s="49">
        <f>+I21/H21</f>
        <v>14.512530879722243</v>
      </c>
      <c r="K21" s="47">
        <f>SUM(K14:K20)</f>
        <v>4872.4534457677391</v>
      </c>
      <c r="L21" s="48">
        <f>SUM(L14:L20)</f>
        <v>70681.837897648365</v>
      </c>
      <c r="M21" s="49">
        <f>+L21/K21</f>
        <v>14.506416261204775</v>
      </c>
      <c r="N21" s="47">
        <f>SUM(N12:N20)</f>
        <v>0</v>
      </c>
      <c r="O21" s="48">
        <f>SUM(O12:O20)</f>
        <v>0</v>
      </c>
      <c r="P21" s="49">
        <v>0</v>
      </c>
      <c r="Q21" s="47"/>
      <c r="R21" s="48"/>
      <c r="S21" s="49"/>
      <c r="T21" s="47">
        <f>SUM(T14:T20)</f>
        <v>25909.424364660132</v>
      </c>
      <c r="U21" s="48">
        <f>SUM(U14:U20)</f>
        <v>376682.779242758</v>
      </c>
      <c r="V21" s="64"/>
      <c r="W21" s="20">
        <f>SUM(H21,K21,N21,Q21,E21)</f>
        <v>25909.424364660132</v>
      </c>
      <c r="X21" s="20">
        <f>SUM(R21,O21,L21,I21,F21)</f>
        <v>376682.779242758</v>
      </c>
    </row>
    <row r="22" spans="1:24" x14ac:dyDescent="0.25">
      <c r="A22" s="39">
        <v>44858</v>
      </c>
      <c r="B22" s="40" t="s">
        <v>21</v>
      </c>
      <c r="C22" s="8">
        <v>0</v>
      </c>
      <c r="D22" s="13">
        <v>0.78055555555555556</v>
      </c>
      <c r="E22" s="41">
        <f>Effort!F20</f>
        <v>1250.8270447857217</v>
      </c>
      <c r="F22" s="42">
        <f>Harvest!F20</f>
        <v>13759.097492642939</v>
      </c>
      <c r="G22" s="43">
        <f>+CPUE!F20</f>
        <v>11</v>
      </c>
      <c r="H22" s="41">
        <f>Effort!H20</f>
        <v>970.92903847137097</v>
      </c>
      <c r="I22" s="42">
        <f>Harvest!H20</f>
        <v>11335.032030526199</v>
      </c>
      <c r="J22" s="43">
        <f>CPUE!H20</f>
        <v>11.674418604651123</v>
      </c>
      <c r="K22" s="41">
        <f>Effort!J20</f>
        <v>1276.54062056103</v>
      </c>
      <c r="L22" s="42">
        <f>Harvest!J20</f>
        <v>17932.356336452602</v>
      </c>
      <c r="M22" s="43">
        <f>CPUE!J20</f>
        <v>14.047619047619078</v>
      </c>
      <c r="N22" s="41" t="str">
        <f>Effort!L20</f>
        <v>CLOSED</v>
      </c>
      <c r="O22" s="42" t="str">
        <f>Harvest!L20</f>
        <v>CLOSED</v>
      </c>
      <c r="P22" s="43" t="str">
        <f>CPUE!L20</f>
        <v>CLOSED</v>
      </c>
      <c r="Q22" s="41" t="s">
        <v>10</v>
      </c>
      <c r="R22" s="42" t="s">
        <v>10</v>
      </c>
      <c r="S22" s="44" t="s">
        <v>10</v>
      </c>
      <c r="T22" s="41">
        <f>SUM(E22+H22+K22)</f>
        <v>3498.2967038181223</v>
      </c>
      <c r="U22" s="42">
        <f>SUM(F22+I22+L22)</f>
        <v>43026.485859621738</v>
      </c>
      <c r="V22" s="42"/>
    </row>
    <row r="23" spans="1:24" x14ac:dyDescent="0.25">
      <c r="A23" s="39">
        <v>44859</v>
      </c>
      <c r="B23" s="40" t="s">
        <v>22</v>
      </c>
      <c r="C23" s="8">
        <v>-0.6</v>
      </c>
      <c r="D23" s="13">
        <v>0.80833333333333324</v>
      </c>
      <c r="E23" s="41">
        <f>Effort!F21</f>
        <v>397.34614617893658</v>
      </c>
      <c r="F23" s="42">
        <f>Harvest!F21</f>
        <v>3178.7691694314926</v>
      </c>
      <c r="G23" s="43">
        <f>+CPUE!F21</f>
        <v>8</v>
      </c>
      <c r="H23" s="41">
        <f>Effort!H21</f>
        <v>388.18431453452899</v>
      </c>
      <c r="I23" s="42">
        <f>Harvest!H21</f>
        <v>5415.1711877566804</v>
      </c>
      <c r="J23" s="43">
        <f>CPUE!H21</f>
        <v>13.950000000000003</v>
      </c>
      <c r="K23" s="41" t="str">
        <f>Effort!J21</f>
        <v>CLOSED</v>
      </c>
      <c r="L23" s="42" t="str">
        <f>Harvest!J21</f>
        <v>CLOSED</v>
      </c>
      <c r="M23" s="43" t="str">
        <f>CPUE!J21</f>
        <v>CLOSED</v>
      </c>
      <c r="N23" s="41" t="str">
        <f>Effort!L21</f>
        <v>CLOSED</v>
      </c>
      <c r="O23" s="42" t="str">
        <f>Harvest!L21</f>
        <v>CLOSED</v>
      </c>
      <c r="P23" s="43" t="str">
        <f>CPUE!L21</f>
        <v>CLOSED</v>
      </c>
      <c r="Q23" s="41" t="s">
        <v>10</v>
      </c>
      <c r="R23" s="42" t="s">
        <v>10</v>
      </c>
      <c r="S23" s="44" t="s">
        <v>10</v>
      </c>
      <c r="T23" s="41">
        <f>SUM(E23+H23)</f>
        <v>785.53046071346557</v>
      </c>
      <c r="U23" s="42">
        <f>SUM(F23+I23)</f>
        <v>8593.9403571881739</v>
      </c>
      <c r="V23" s="42"/>
    </row>
    <row r="24" spans="1:24" x14ac:dyDescent="0.25">
      <c r="A24" s="39">
        <v>44860</v>
      </c>
      <c r="B24" s="40" t="s">
        <v>23</v>
      </c>
      <c r="C24" s="8">
        <v>-1</v>
      </c>
      <c r="D24" s="13">
        <v>0.83680555555555547</v>
      </c>
      <c r="E24" s="41">
        <f>Effort!F22</f>
        <v>770.31345878909099</v>
      </c>
      <c r="F24" s="42">
        <f>Harvest!F22</f>
        <v>10211.387813668949</v>
      </c>
      <c r="G24" s="43">
        <f>+CPUE!F22</f>
        <v>13.256146179402</v>
      </c>
      <c r="H24" s="41">
        <f>Effort!H22</f>
        <v>597.94014606693588</v>
      </c>
      <c r="I24" s="42">
        <f>Harvest!H22</f>
        <v>7474.2518258366981</v>
      </c>
      <c r="J24" s="43">
        <f>CPUE!H22</f>
        <v>12.5</v>
      </c>
      <c r="K24" s="41">
        <f>Effort!J22</f>
        <v>597.74106409084902</v>
      </c>
      <c r="L24" s="42">
        <f>Harvest!J22</f>
        <v>7341.4864025517099</v>
      </c>
      <c r="M24" s="43">
        <f>CPUE!J22</f>
        <v>12.282051282051283</v>
      </c>
      <c r="N24" s="41" t="str">
        <f>Effort!L22</f>
        <v>CLOSED</v>
      </c>
      <c r="O24" s="42" t="str">
        <f>Harvest!L22</f>
        <v>CLOSED</v>
      </c>
      <c r="P24" s="43" t="str">
        <f>CPUE!L22</f>
        <v>CLOSED</v>
      </c>
      <c r="Q24" s="41" t="s">
        <v>10</v>
      </c>
      <c r="R24" s="42" t="s">
        <v>10</v>
      </c>
      <c r="S24" s="44" t="s">
        <v>10</v>
      </c>
      <c r="T24" s="41">
        <f>SUM(E24+H24+K24)</f>
        <v>1965.9946689468759</v>
      </c>
      <c r="U24" s="42">
        <f>SUM(F24+I24+L24)</f>
        <v>25027.126042057356</v>
      </c>
      <c r="V24" s="42"/>
    </row>
    <row r="25" spans="1:24" x14ac:dyDescent="0.25">
      <c r="A25" s="39">
        <v>44861</v>
      </c>
      <c r="B25" s="40" t="s">
        <v>24</v>
      </c>
      <c r="C25" s="8">
        <v>-1.1000000000000001</v>
      </c>
      <c r="D25" s="13">
        <v>0.8666666666666667</v>
      </c>
      <c r="E25" s="41">
        <f>Effort!F23</f>
        <v>514.17346781832862</v>
      </c>
      <c r="F25" s="42">
        <f>Harvest!F23</f>
        <v>4884.647944274122</v>
      </c>
      <c r="G25" s="43">
        <f>+CPUE!F23</f>
        <v>9.5</v>
      </c>
      <c r="H25" s="41">
        <f>Effort!H23</f>
        <v>502.31788347839301</v>
      </c>
      <c r="I25" s="42">
        <f>Harvest!H23</f>
        <v>4772.0198930447395</v>
      </c>
      <c r="J25" s="43">
        <f>CPUE!H23</f>
        <v>9.5000000000000124</v>
      </c>
      <c r="K25" s="41" t="str">
        <f>Effort!J23</f>
        <v>CLOSED</v>
      </c>
      <c r="L25" s="42" t="str">
        <f>Harvest!J23</f>
        <v>CLOSED</v>
      </c>
      <c r="M25" s="43" t="str">
        <f>CPUE!J23</f>
        <v>CLOSED</v>
      </c>
      <c r="N25" s="41" t="str">
        <f>Effort!L23</f>
        <v>CLOSED</v>
      </c>
      <c r="O25" s="42" t="str">
        <f>Harvest!L23</f>
        <v>CLOSED</v>
      </c>
      <c r="P25" s="43" t="str">
        <f>CPUE!L23</f>
        <v>CLOSED</v>
      </c>
      <c r="Q25" s="41" t="s">
        <v>10</v>
      </c>
      <c r="R25" s="42" t="s">
        <v>10</v>
      </c>
      <c r="S25" s="44" t="s">
        <v>10</v>
      </c>
      <c r="T25" s="41">
        <f>SUM(E25+H25)</f>
        <v>1016.4913512967216</v>
      </c>
      <c r="U25" s="42">
        <f>SUM(F25+I25)</f>
        <v>9656.6678373188624</v>
      </c>
      <c r="V25" s="42"/>
    </row>
    <row r="26" spans="1:24" x14ac:dyDescent="0.25">
      <c r="A26" s="39">
        <v>44862</v>
      </c>
      <c r="B26" s="40" t="s">
        <v>18</v>
      </c>
      <c r="C26" s="8">
        <v>-1</v>
      </c>
      <c r="D26" s="13">
        <v>0.89930555555555547</v>
      </c>
      <c r="E26" s="41">
        <f>Effort!F24</f>
        <v>805.14405425084556</v>
      </c>
      <c r="F26" s="42">
        <f>Harvest!F24</f>
        <v>5233.436352630496</v>
      </c>
      <c r="G26" s="43">
        <f>+CPUE!F24</f>
        <v>6.5</v>
      </c>
      <c r="H26" s="41">
        <f>Effort!H24</f>
        <v>825.63585582193787</v>
      </c>
      <c r="I26" s="42">
        <f>Harvest!H24</f>
        <v>8256.3585582193791</v>
      </c>
      <c r="J26" s="43">
        <f>CPUE!H24</f>
        <v>10</v>
      </c>
      <c r="K26" s="41">
        <f>Effort!J24</f>
        <v>1085.51466274788</v>
      </c>
      <c r="L26" s="42">
        <f>Harvest!J24</f>
        <v>14229.0435522357</v>
      </c>
      <c r="M26" s="43">
        <f>CPUE!J24</f>
        <v>13.108108108108086</v>
      </c>
      <c r="N26" s="41" t="str">
        <f>Effort!L24</f>
        <v>CLOSED</v>
      </c>
      <c r="O26" s="42" t="str">
        <f>Harvest!L24</f>
        <v>CLOSED</v>
      </c>
      <c r="P26" s="43" t="str">
        <f>CPUE!L24</f>
        <v>CLOSED</v>
      </c>
      <c r="Q26" s="41" t="s">
        <v>10</v>
      </c>
      <c r="R26" s="42" t="s">
        <v>10</v>
      </c>
      <c r="S26" s="44" t="s">
        <v>10</v>
      </c>
      <c r="T26" s="41">
        <f>SUM(E26+H26+K26)</f>
        <v>2716.2945728206632</v>
      </c>
      <c r="U26" s="42">
        <f>SUM(F26+I26+L26)</f>
        <v>27718.838463085576</v>
      </c>
      <c r="V26" s="42"/>
    </row>
    <row r="27" spans="1:24" x14ac:dyDescent="0.25">
      <c r="A27" s="39">
        <v>44863</v>
      </c>
      <c r="B27" s="40" t="s">
        <v>19</v>
      </c>
      <c r="C27" s="8">
        <v>-0.7</v>
      </c>
      <c r="D27" s="13">
        <v>0.93611111111111101</v>
      </c>
      <c r="E27" s="41">
        <f>Effort!F25</f>
        <v>1101.2842516978878</v>
      </c>
      <c r="F27" s="42">
        <f>Harvest!F25</f>
        <v>15968.621649619374</v>
      </c>
      <c r="G27" s="43">
        <f>+CPUE!F25</f>
        <v>14.5</v>
      </c>
      <c r="H27" s="41">
        <f>Effort!H25</f>
        <v>1075.89132665326</v>
      </c>
      <c r="I27" s="42">
        <f>Harvest!H25</f>
        <v>15817.8916322852</v>
      </c>
      <c r="J27" s="43">
        <f>CPUE!H25</f>
        <v>14.702127659574503</v>
      </c>
      <c r="K27" s="41" t="str">
        <f>Effort!J25</f>
        <v>CLOSED</v>
      </c>
      <c r="L27" s="42" t="str">
        <f>Harvest!J25</f>
        <v>CLOSED</v>
      </c>
      <c r="M27" s="43" t="str">
        <f>CPUE!J25</f>
        <v>CLOSED</v>
      </c>
      <c r="N27" s="41" t="str">
        <f>Effort!L25</f>
        <v>CLOSED</v>
      </c>
      <c r="O27" s="42" t="str">
        <f>Harvest!L25</f>
        <v>CLOSED</v>
      </c>
      <c r="P27" s="43" t="str">
        <f>CPUE!L25</f>
        <v>CLOSED</v>
      </c>
      <c r="Q27" s="41" t="s">
        <v>10</v>
      </c>
      <c r="R27" s="42" t="s">
        <v>10</v>
      </c>
      <c r="S27" s="44" t="s">
        <v>10</v>
      </c>
      <c r="T27" s="41">
        <f>SUM(E27+H27)</f>
        <v>2177.175578351148</v>
      </c>
      <c r="U27" s="42">
        <f>SUM(F27+I27)</f>
        <v>31786.513281904576</v>
      </c>
      <c r="V27" s="42"/>
    </row>
    <row r="28" spans="1:24" x14ac:dyDescent="0.25">
      <c r="A28" s="39">
        <v>44864</v>
      </c>
      <c r="B28" s="40" t="s">
        <v>20</v>
      </c>
      <c r="C28" s="8">
        <v>-0.3</v>
      </c>
      <c r="D28" s="13">
        <v>0.9770833333333333</v>
      </c>
      <c r="E28" s="41">
        <f>Effort!F26</f>
        <v>32.661893008219685</v>
      </c>
      <c r="F28" s="42">
        <f>Harvest!F26</f>
        <v>146.97851853698859</v>
      </c>
      <c r="G28" s="43">
        <f>+CPUE!F26</f>
        <v>4.5</v>
      </c>
      <c r="H28" s="41">
        <f>Effort!H26</f>
        <v>25.353129759484982</v>
      </c>
      <c r="I28" s="42">
        <f>Harvest!H26</f>
        <v>114.08908391768242</v>
      </c>
      <c r="J28" s="43">
        <f>CPUE!H26</f>
        <v>4.5</v>
      </c>
      <c r="K28" s="41">
        <f>Effort!J26</f>
        <v>33.333332008785703</v>
      </c>
      <c r="L28" s="42">
        <f>Harvest!J26</f>
        <v>149.99999403953601</v>
      </c>
      <c r="M28" s="43">
        <f>CPUE!J26</f>
        <v>4.5000000000000107</v>
      </c>
      <c r="N28" s="41" t="str">
        <f>Effort!L26</f>
        <v>CLOSED</v>
      </c>
      <c r="O28" s="42" t="str">
        <f>Harvest!L26</f>
        <v>CLOSED</v>
      </c>
      <c r="P28" s="43" t="str">
        <f>CPUE!L26</f>
        <v>CLOSED</v>
      </c>
      <c r="Q28" s="41" t="s">
        <v>10</v>
      </c>
      <c r="R28" s="42" t="s">
        <v>10</v>
      </c>
      <c r="S28" s="44" t="s">
        <v>10</v>
      </c>
      <c r="T28" s="41">
        <f>SUM(E28+H28+K28)</f>
        <v>91.348354776490368</v>
      </c>
      <c r="U28" s="42">
        <f>SUM(F28+I28+L28)</f>
        <v>411.06759649420701</v>
      </c>
      <c r="V28" s="42"/>
    </row>
    <row r="29" spans="1:24" x14ac:dyDescent="0.25">
      <c r="A29" s="117" t="s">
        <v>57</v>
      </c>
      <c r="B29" s="117"/>
      <c r="C29" s="117"/>
      <c r="D29" s="118"/>
      <c r="E29" s="47">
        <f>SUM(E22:E28)</f>
        <v>4871.7503165290309</v>
      </c>
      <c r="F29" s="48">
        <f>SUM(F22:F28)</f>
        <v>53382.938940804364</v>
      </c>
      <c r="G29" s="49">
        <f>+F29/E29</f>
        <v>10.957650838485096</v>
      </c>
      <c r="H29" s="47">
        <f>SUM(H22:H28)</f>
        <v>4386.2516947859112</v>
      </c>
      <c r="I29" s="48">
        <f>SUM(I22:I28)</f>
        <v>53184.814211586578</v>
      </c>
      <c r="J29" s="49">
        <f>+I29/H29</f>
        <v>12.125344807460365</v>
      </c>
      <c r="K29" s="47">
        <f>SUM(K22:K28)</f>
        <v>2993.1296794085447</v>
      </c>
      <c r="L29" s="48">
        <f>SUM(L22:L28)</f>
        <v>39652.886285279543</v>
      </c>
      <c r="M29" s="49">
        <f>+L29/K29</f>
        <v>13.247968024263862</v>
      </c>
      <c r="N29" s="47">
        <f>SUM(N20:N28)</f>
        <v>0</v>
      </c>
      <c r="O29" s="48">
        <f>SUM(O20:O28)</f>
        <v>0</v>
      </c>
      <c r="P29" s="49">
        <v>0</v>
      </c>
      <c r="Q29" s="47"/>
      <c r="R29" s="48"/>
      <c r="S29" s="49"/>
      <c r="T29" s="47">
        <f>SUM(T22:T28)</f>
        <v>12251.131690723485</v>
      </c>
      <c r="U29" s="48">
        <f>SUM(U22:U28)</f>
        <v>146220.6394376705</v>
      </c>
      <c r="V29" s="64"/>
      <c r="W29" s="20">
        <f>SUM(H29,K29,N29,Q29,E29)</f>
        <v>12251.131690723487</v>
      </c>
      <c r="X29" s="20">
        <f>SUM(R29,O29,L29,I29,F29)</f>
        <v>146220.63943767047</v>
      </c>
    </row>
    <row r="30" spans="1:24" x14ac:dyDescent="0.25">
      <c r="A30" s="39">
        <v>44871</v>
      </c>
      <c r="B30" s="40" t="s">
        <v>20</v>
      </c>
      <c r="C30" s="8">
        <v>0</v>
      </c>
      <c r="D30" s="13">
        <v>0.71388888888888891</v>
      </c>
      <c r="E30" s="41" t="str">
        <f>Effort!F28</f>
        <v>CLOSED</v>
      </c>
      <c r="F30" s="42" t="str">
        <f>Harvest!F28</f>
        <v>CLOSED</v>
      </c>
      <c r="G30" s="43" t="str">
        <f>+CPUE!F28</f>
        <v>CLOSED</v>
      </c>
      <c r="H30" s="41" t="str">
        <f>Effort!H28</f>
        <v>CLOSED</v>
      </c>
      <c r="I30" s="42" t="str">
        <f>Harvest!H28</f>
        <v>CLOSED</v>
      </c>
      <c r="J30" s="43" t="str">
        <f>CPUE!H28</f>
        <v>CLOSED</v>
      </c>
      <c r="K30" s="41" t="str">
        <f>Effort!J28</f>
        <v>CLOSED</v>
      </c>
      <c r="L30" s="42" t="str">
        <f>Harvest!J28</f>
        <v>CLOSED</v>
      </c>
      <c r="M30" s="43" t="str">
        <f>CPUE!J28</f>
        <v>CLOSED</v>
      </c>
      <c r="N30" s="41" t="str">
        <f>Effort!L28</f>
        <v>CLOSED</v>
      </c>
      <c r="O30" s="42" t="str">
        <f>Harvest!L28</f>
        <v>CLOSED</v>
      </c>
      <c r="P30" s="43" t="str">
        <f>CPUE!L28</f>
        <v>CLOSED</v>
      </c>
      <c r="Q30" s="41" t="s">
        <v>10</v>
      </c>
      <c r="R30" s="42" t="s">
        <v>10</v>
      </c>
      <c r="S30" s="44" t="s">
        <v>10</v>
      </c>
      <c r="T30" s="41">
        <v>0</v>
      </c>
      <c r="U30" s="42">
        <v>0</v>
      </c>
      <c r="V30" s="42"/>
    </row>
    <row r="31" spans="1:24" x14ac:dyDescent="0.25">
      <c r="A31" s="39">
        <v>44872</v>
      </c>
      <c r="B31" s="40" t="s">
        <v>21</v>
      </c>
      <c r="C31" s="8">
        <v>-0.5</v>
      </c>
      <c r="D31" s="13">
        <v>0.74236111111111114</v>
      </c>
      <c r="E31" s="41" t="str">
        <f>Effort!F29</f>
        <v>CLOSED</v>
      </c>
      <c r="F31" s="42" t="str">
        <f>Harvest!F29</f>
        <v>CLOSED</v>
      </c>
      <c r="G31" s="43" t="str">
        <f>+CPUE!F29</f>
        <v>CLOSED</v>
      </c>
      <c r="H31" s="41" t="str">
        <f>Effort!H29</f>
        <v>CLOSED</v>
      </c>
      <c r="I31" s="42" t="str">
        <f>Harvest!H29</f>
        <v>CLOSED</v>
      </c>
      <c r="J31" s="43" t="str">
        <f>CPUE!H29</f>
        <v>CLOSED</v>
      </c>
      <c r="K31" s="41" t="str">
        <f>Effort!J29</f>
        <v>CLOSED</v>
      </c>
      <c r="L31" s="42" t="str">
        <f>Harvest!J29</f>
        <v>CLOSED</v>
      </c>
      <c r="M31" s="43" t="str">
        <f>CPUE!J29</f>
        <v>CLOSED</v>
      </c>
      <c r="N31" s="41" t="str">
        <f>Effort!L29</f>
        <v>CLOSED</v>
      </c>
      <c r="O31" s="42" t="str">
        <f>Harvest!L29</f>
        <v>CLOSED</v>
      </c>
      <c r="P31" s="43" t="str">
        <f>CPUE!L29</f>
        <v>CLOSED</v>
      </c>
      <c r="Q31" s="41" t="s">
        <v>10</v>
      </c>
      <c r="R31" s="42" t="s">
        <v>10</v>
      </c>
      <c r="S31" s="44" t="s">
        <v>10</v>
      </c>
      <c r="T31" s="41">
        <v>0</v>
      </c>
      <c r="U31" s="42">
        <v>0</v>
      </c>
      <c r="V31" s="42"/>
    </row>
    <row r="32" spans="1:24" x14ac:dyDescent="0.25">
      <c r="A32" s="39">
        <v>44873</v>
      </c>
      <c r="B32" s="40" t="s">
        <v>22</v>
      </c>
      <c r="C32" s="8">
        <v>-0.7</v>
      </c>
      <c r="D32" s="13">
        <v>0.76944444444444438</v>
      </c>
      <c r="E32" s="41" t="str">
        <f>Effort!F30</f>
        <v>CLOSED</v>
      </c>
      <c r="F32" s="42" t="str">
        <f>Harvest!F30</f>
        <v>CLOSED</v>
      </c>
      <c r="G32" s="43" t="str">
        <f>+CPUE!F30</f>
        <v>CLOSED</v>
      </c>
      <c r="H32" s="41" t="str">
        <f>Effort!H30</f>
        <v>CLOSED</v>
      </c>
      <c r="I32" s="42" t="str">
        <f>Harvest!H30</f>
        <v>CLOSED</v>
      </c>
      <c r="J32" s="43" t="str">
        <f>CPUE!H30</f>
        <v>CLOSED</v>
      </c>
      <c r="K32" s="41" t="str">
        <f>Effort!J30</f>
        <v>CLOSED</v>
      </c>
      <c r="L32" s="42" t="str">
        <f>Harvest!J30</f>
        <v>CLOSED</v>
      </c>
      <c r="M32" s="43" t="str">
        <f>CPUE!J30</f>
        <v>CLOSED</v>
      </c>
      <c r="N32" s="41" t="str">
        <f>Effort!L30</f>
        <v>CLOSED</v>
      </c>
      <c r="O32" s="42" t="str">
        <f>Harvest!L30</f>
        <v>CLOSED</v>
      </c>
      <c r="P32" s="43" t="str">
        <f>CPUE!L30</f>
        <v>CLOSED</v>
      </c>
      <c r="Q32" s="41" t="s">
        <v>10</v>
      </c>
      <c r="R32" s="42" t="s">
        <v>10</v>
      </c>
      <c r="S32" s="44" t="s">
        <v>10</v>
      </c>
      <c r="T32" s="41">
        <v>0</v>
      </c>
      <c r="U32" s="42">
        <v>0</v>
      </c>
      <c r="V32" s="42"/>
    </row>
    <row r="33" spans="1:24" x14ac:dyDescent="0.25">
      <c r="A33" s="39">
        <v>44874</v>
      </c>
      <c r="B33" s="40" t="s">
        <v>23</v>
      </c>
      <c r="C33" s="8">
        <v>-0.7</v>
      </c>
      <c r="D33" s="13">
        <v>0.79513888888888884</v>
      </c>
      <c r="E33" s="41" t="str">
        <f>Effort!F31</f>
        <v>CLOSED</v>
      </c>
      <c r="F33" s="42" t="str">
        <f>Harvest!F31</f>
        <v>CLOSED</v>
      </c>
      <c r="G33" s="43" t="str">
        <f>+CPUE!F31</f>
        <v>CLOSED</v>
      </c>
      <c r="H33" s="41" t="str">
        <f>Effort!H31</f>
        <v>CLOSED</v>
      </c>
      <c r="I33" s="42" t="str">
        <f>Harvest!H31</f>
        <v>CLOSED</v>
      </c>
      <c r="J33" s="43" t="str">
        <f>CPUE!H31</f>
        <v>CLOSED</v>
      </c>
      <c r="K33" s="41" t="str">
        <f>Effort!J31</f>
        <v>CLOSED</v>
      </c>
      <c r="L33" s="42" t="str">
        <f>Harvest!J31</f>
        <v>CLOSED</v>
      </c>
      <c r="M33" s="43" t="str">
        <f>CPUE!J31</f>
        <v>CLOSED</v>
      </c>
      <c r="N33" s="41" t="str">
        <f>Effort!L31</f>
        <v>CLOSED</v>
      </c>
      <c r="O33" s="42" t="str">
        <f>Harvest!L31</f>
        <v>CLOSED</v>
      </c>
      <c r="P33" s="43" t="str">
        <f>CPUE!L31</f>
        <v>CLOSED</v>
      </c>
      <c r="Q33" s="41" t="s">
        <v>10</v>
      </c>
      <c r="R33" s="42" t="s">
        <v>10</v>
      </c>
      <c r="S33" s="44" t="s">
        <v>10</v>
      </c>
      <c r="T33" s="41">
        <v>0</v>
      </c>
      <c r="U33" s="42">
        <v>0</v>
      </c>
      <c r="V33" s="42"/>
    </row>
    <row r="34" spans="1:24" x14ac:dyDescent="0.25">
      <c r="A34" s="39">
        <v>44875</v>
      </c>
      <c r="B34" s="40" t="s">
        <v>24</v>
      </c>
      <c r="C34" s="8">
        <v>-0.6</v>
      </c>
      <c r="D34" s="13">
        <v>0.8208333333333333</v>
      </c>
      <c r="E34" s="41" t="str">
        <f>Effort!F32</f>
        <v>CLOSED</v>
      </c>
      <c r="F34" s="42" t="str">
        <f>Harvest!F32</f>
        <v>CLOSED</v>
      </c>
      <c r="G34" s="43" t="str">
        <f>+CPUE!F32</f>
        <v>CLOSED</v>
      </c>
      <c r="H34" s="41" t="str">
        <f>Effort!H32</f>
        <v>CLOSED</v>
      </c>
      <c r="I34" s="42" t="str">
        <f>Harvest!H32</f>
        <v>CLOSED</v>
      </c>
      <c r="J34" s="43" t="str">
        <f>CPUE!H32</f>
        <v>CLOSED</v>
      </c>
      <c r="K34" s="41" t="str">
        <f>Effort!J32</f>
        <v>CLOSED</v>
      </c>
      <c r="L34" s="42" t="str">
        <f>Harvest!J32</f>
        <v>CLOSED</v>
      </c>
      <c r="M34" s="43" t="str">
        <f>CPUE!J32</f>
        <v>CLOSED</v>
      </c>
      <c r="N34" s="41" t="str">
        <f>Effort!L32</f>
        <v>CLOSED</v>
      </c>
      <c r="O34" s="42" t="str">
        <f>Harvest!L32</f>
        <v>CLOSED</v>
      </c>
      <c r="P34" s="43" t="str">
        <f>CPUE!L32</f>
        <v>CLOSED</v>
      </c>
      <c r="Q34" s="41" t="s">
        <v>10</v>
      </c>
      <c r="R34" s="42" t="s">
        <v>10</v>
      </c>
      <c r="S34" s="44" t="s">
        <v>10</v>
      </c>
      <c r="T34" s="41">
        <v>0</v>
      </c>
      <c r="U34" s="42">
        <v>0</v>
      </c>
      <c r="V34" s="42"/>
    </row>
    <row r="35" spans="1:24" x14ac:dyDescent="0.25">
      <c r="A35" s="39">
        <v>44876</v>
      </c>
      <c r="B35" s="40" t="s">
        <v>18</v>
      </c>
      <c r="C35" s="8">
        <v>-0.2</v>
      </c>
      <c r="D35" s="13">
        <v>0.84652777777777777</v>
      </c>
      <c r="E35" s="41" t="str">
        <f>Effort!F33</f>
        <v>CLOSED</v>
      </c>
      <c r="F35" s="42" t="str">
        <f>Harvest!F33</f>
        <v>CLOSED</v>
      </c>
      <c r="G35" s="43" t="str">
        <f>+CPUE!F33</f>
        <v>CLOSED</v>
      </c>
      <c r="H35" s="41" t="str">
        <f>Effort!H33</f>
        <v>CLOSED</v>
      </c>
      <c r="I35" s="42" t="str">
        <f>Harvest!H33</f>
        <v>CLOSED</v>
      </c>
      <c r="J35" s="43" t="str">
        <f>CPUE!H33</f>
        <v>CLOSED</v>
      </c>
      <c r="K35" s="41" t="str">
        <f>Effort!J33</f>
        <v>CLOSED</v>
      </c>
      <c r="L35" s="42" t="str">
        <f>Harvest!J33</f>
        <v>CLOSED</v>
      </c>
      <c r="M35" s="43" t="str">
        <f>CPUE!J33</f>
        <v>CLOSED</v>
      </c>
      <c r="N35" s="41" t="str">
        <f>Effort!L33</f>
        <v>CLOSED</v>
      </c>
      <c r="O35" s="42" t="str">
        <f>Harvest!L33</f>
        <v>CLOSED</v>
      </c>
      <c r="P35" s="43" t="str">
        <f>CPUE!L33</f>
        <v>CLOSED</v>
      </c>
      <c r="Q35" s="41" t="s">
        <v>10</v>
      </c>
      <c r="R35" s="42" t="s">
        <v>10</v>
      </c>
      <c r="S35" s="44" t="s">
        <v>10</v>
      </c>
      <c r="T35" s="41">
        <v>0</v>
      </c>
      <c r="U35" s="42">
        <v>0</v>
      </c>
      <c r="V35" s="42"/>
    </row>
    <row r="36" spans="1:24" x14ac:dyDescent="0.25">
      <c r="A36" s="39">
        <v>44877</v>
      </c>
      <c r="B36" s="40" t="s">
        <v>19</v>
      </c>
      <c r="C36" s="8">
        <v>0.1</v>
      </c>
      <c r="D36" s="13">
        <v>0.87430555555555556</v>
      </c>
      <c r="E36" s="41" t="str">
        <f>Effort!F34</f>
        <v>CLOSED</v>
      </c>
      <c r="F36" s="42" t="str">
        <f>Harvest!F34</f>
        <v>CLOSED</v>
      </c>
      <c r="G36" s="43" t="str">
        <f>+CPUE!F34</f>
        <v>CLOSED</v>
      </c>
      <c r="H36" s="41" t="str">
        <f>Effort!H34</f>
        <v>CLOSED</v>
      </c>
      <c r="I36" s="42" t="str">
        <f>Harvest!H34</f>
        <v>CLOSED</v>
      </c>
      <c r="J36" s="43" t="str">
        <f>CPUE!H34</f>
        <v>CLOSED</v>
      </c>
      <c r="K36" s="41" t="str">
        <f>Effort!J34</f>
        <v>CLOSED</v>
      </c>
      <c r="L36" s="42" t="str">
        <f>Harvest!J34</f>
        <v>CLOSED</v>
      </c>
      <c r="M36" s="43" t="str">
        <f>CPUE!J34</f>
        <v>CLOSED</v>
      </c>
      <c r="N36" s="41" t="str">
        <f>Effort!L34</f>
        <v>CLOSED</v>
      </c>
      <c r="O36" s="42" t="str">
        <f>Harvest!L34</f>
        <v>CLOSED</v>
      </c>
      <c r="P36" s="43" t="str">
        <f>CPUE!L34</f>
        <v>CLOSED</v>
      </c>
      <c r="Q36" s="41" t="s">
        <v>10</v>
      </c>
      <c r="R36" s="42" t="s">
        <v>10</v>
      </c>
      <c r="S36" s="44" t="s">
        <v>10</v>
      </c>
      <c r="T36" s="41">
        <v>0</v>
      </c>
      <c r="U36" s="42">
        <v>0</v>
      </c>
      <c r="V36" s="42"/>
    </row>
    <row r="37" spans="1:24" x14ac:dyDescent="0.25">
      <c r="A37" s="39">
        <v>44878</v>
      </c>
      <c r="B37" s="40" t="s">
        <v>20</v>
      </c>
      <c r="C37" s="8">
        <v>0.5</v>
      </c>
      <c r="D37" s="13">
        <v>0.90486111111111101</v>
      </c>
      <c r="E37" s="41" t="str">
        <f>Effort!F35</f>
        <v>CLOSED</v>
      </c>
      <c r="F37" s="42" t="str">
        <f>Harvest!F35</f>
        <v>CLOSED</v>
      </c>
      <c r="G37" s="43" t="str">
        <f>+CPUE!F35</f>
        <v>CLOSED</v>
      </c>
      <c r="H37" s="41" t="str">
        <f>Effort!H35</f>
        <v>CLOSED</v>
      </c>
      <c r="I37" s="42" t="str">
        <f>Harvest!H35</f>
        <v>CLOSED</v>
      </c>
      <c r="J37" s="43" t="str">
        <f>CPUE!H35</f>
        <v>CLOSED</v>
      </c>
      <c r="K37" s="41" t="str">
        <f>Effort!J35</f>
        <v>CLOSED</v>
      </c>
      <c r="L37" s="42" t="str">
        <f>Harvest!J35</f>
        <v>CLOSED</v>
      </c>
      <c r="M37" s="43" t="str">
        <f>CPUE!J35</f>
        <v>CLOSED</v>
      </c>
      <c r="N37" s="41" t="str">
        <f>Effort!L35</f>
        <v>CLOSED</v>
      </c>
      <c r="O37" s="42" t="str">
        <f>Harvest!L35</f>
        <v>CLOSED</v>
      </c>
      <c r="P37" s="43" t="str">
        <f>CPUE!L35</f>
        <v>CLOSED</v>
      </c>
      <c r="Q37" s="41" t="s">
        <v>10</v>
      </c>
      <c r="R37" s="42" t="s">
        <v>10</v>
      </c>
      <c r="S37" s="44" t="s">
        <v>10</v>
      </c>
      <c r="T37" s="41">
        <v>0</v>
      </c>
      <c r="U37" s="42">
        <v>0</v>
      </c>
      <c r="V37" s="42"/>
    </row>
    <row r="38" spans="1:24" x14ac:dyDescent="0.25">
      <c r="A38" s="117" t="s">
        <v>57</v>
      </c>
      <c r="B38" s="117"/>
      <c r="C38" s="117"/>
      <c r="D38" s="118"/>
      <c r="E38" s="47">
        <f>SUM(E30:E37)</f>
        <v>0</v>
      </c>
      <c r="F38" s="48">
        <f>SUM(F30:F37)</f>
        <v>0</v>
      </c>
      <c r="G38" s="49">
        <v>0</v>
      </c>
      <c r="H38" s="47">
        <f>SUM(H30:H37)</f>
        <v>0</v>
      </c>
      <c r="I38" s="48">
        <f>SUM(I30:I37)</f>
        <v>0</v>
      </c>
      <c r="J38" s="49">
        <v>0</v>
      </c>
      <c r="K38" s="47">
        <f>SUM(K30:K37)</f>
        <v>0</v>
      </c>
      <c r="L38" s="48">
        <f>SUM(L30:L37)</f>
        <v>0</v>
      </c>
      <c r="M38" s="49">
        <v>0</v>
      </c>
      <c r="N38" s="47">
        <f>SUM(N29:N37)</f>
        <v>0</v>
      </c>
      <c r="O38" s="48">
        <f>SUM(O29:O37)</f>
        <v>0</v>
      </c>
      <c r="P38" s="49">
        <v>0</v>
      </c>
      <c r="Q38" s="47"/>
      <c r="R38" s="48"/>
      <c r="S38" s="49"/>
      <c r="T38" s="47">
        <f>SUM(T30:T37)</f>
        <v>0</v>
      </c>
      <c r="U38" s="48">
        <f>SUM(U30:U37)</f>
        <v>0</v>
      </c>
      <c r="V38" s="64"/>
      <c r="W38" s="20">
        <f>SUM(H38,K38,N38,Q38,E38)</f>
        <v>0</v>
      </c>
      <c r="X38" s="20">
        <f>SUM(R38,O38,L38,I38,F38)</f>
        <v>0</v>
      </c>
    </row>
    <row r="39" spans="1:24" x14ac:dyDescent="0.25">
      <c r="A39" s="39">
        <v>44887</v>
      </c>
      <c r="B39" s="40" t="s">
        <v>22</v>
      </c>
      <c r="C39" s="8">
        <v>-0.6</v>
      </c>
      <c r="D39" s="13">
        <v>0.72361111111111109</v>
      </c>
      <c r="E39" s="41" t="str">
        <f>Effort!F37</f>
        <v>CLOSED</v>
      </c>
      <c r="F39" s="42" t="str">
        <f>Harvest!F37</f>
        <v>CLOSED</v>
      </c>
      <c r="G39" s="43" t="str">
        <f>+CPUE!F37</f>
        <v>CLOSED</v>
      </c>
      <c r="H39" s="41" t="str">
        <f>Effort!H37</f>
        <v>CLOSED</v>
      </c>
      <c r="I39" s="42" t="str">
        <f>Harvest!H37</f>
        <v>CLOSED</v>
      </c>
      <c r="J39" s="43" t="str">
        <f>CPUE!H37</f>
        <v>CLOSED</v>
      </c>
      <c r="K39" s="41" t="str">
        <f>Effort!J37</f>
        <v>CLOSED</v>
      </c>
      <c r="L39" s="42" t="str">
        <f>Harvest!J37</f>
        <v>CLOSED</v>
      </c>
      <c r="M39" s="43" t="str">
        <f>CPUE!J37</f>
        <v>CLOSED</v>
      </c>
      <c r="N39" s="41" t="str">
        <f>Effort!L37</f>
        <v>CLOSED</v>
      </c>
      <c r="O39" s="42" t="str">
        <f>Harvest!L37</f>
        <v>CLOSED</v>
      </c>
      <c r="P39" s="43" t="str">
        <f>CPUE!L37</f>
        <v>CLOSED</v>
      </c>
      <c r="Q39" s="41" t="s">
        <v>10</v>
      </c>
      <c r="R39" s="42" t="s">
        <v>10</v>
      </c>
      <c r="S39" s="44" t="s">
        <v>10</v>
      </c>
      <c r="T39" s="41">
        <v>0</v>
      </c>
      <c r="U39" s="42">
        <v>0</v>
      </c>
      <c r="V39" s="42"/>
    </row>
    <row r="40" spans="1:24" x14ac:dyDescent="0.25">
      <c r="A40" s="39">
        <v>44888</v>
      </c>
      <c r="B40" s="40" t="s">
        <v>23</v>
      </c>
      <c r="C40" s="8">
        <v>-1.2</v>
      </c>
      <c r="D40" s="13">
        <v>0.75277777777777777</v>
      </c>
      <c r="E40" s="41" t="str">
        <f>Effort!F38</f>
        <v>CLOSED</v>
      </c>
      <c r="F40" s="42" t="str">
        <f>Harvest!F38</f>
        <v>CLOSED</v>
      </c>
      <c r="G40" s="43" t="str">
        <f>+CPUE!F38</f>
        <v>CLOSED</v>
      </c>
      <c r="H40" s="41" t="str">
        <f>Effort!H38</f>
        <v>CLOSED</v>
      </c>
      <c r="I40" s="42" t="str">
        <f>Harvest!H38</f>
        <v>CLOSED</v>
      </c>
      <c r="J40" s="43" t="str">
        <f>CPUE!H38</f>
        <v>CLOSED</v>
      </c>
      <c r="K40" s="41" t="str">
        <f>Effort!J38</f>
        <v>CLOSED</v>
      </c>
      <c r="L40" s="42" t="str">
        <f>Harvest!J38</f>
        <v>CLOSED</v>
      </c>
      <c r="M40" s="43" t="str">
        <f>CPUE!J38</f>
        <v>CLOSED</v>
      </c>
      <c r="N40" s="41" t="str">
        <f>Effort!L38</f>
        <v>CLOSED</v>
      </c>
      <c r="O40" s="42" t="str">
        <f>Harvest!L38</f>
        <v>CLOSED</v>
      </c>
      <c r="P40" s="43" t="str">
        <f>CPUE!L38</f>
        <v>CLOSED</v>
      </c>
      <c r="Q40" s="41" t="s">
        <v>10</v>
      </c>
      <c r="R40" s="42" t="s">
        <v>10</v>
      </c>
      <c r="S40" s="44" t="s">
        <v>10</v>
      </c>
      <c r="T40" s="41">
        <v>0</v>
      </c>
      <c r="U40" s="42">
        <v>0</v>
      </c>
      <c r="V40" s="42"/>
    </row>
    <row r="41" spans="1:24" x14ac:dyDescent="0.25">
      <c r="A41" s="39">
        <v>44889</v>
      </c>
      <c r="B41" s="40" t="s">
        <v>24</v>
      </c>
      <c r="C41" s="8">
        <v>-1.6</v>
      </c>
      <c r="D41" s="13">
        <v>0.78333333333333333</v>
      </c>
      <c r="E41" s="41" t="str">
        <f>Effort!F39</f>
        <v>CLOSED</v>
      </c>
      <c r="F41" s="42" t="str">
        <f>Harvest!F39</f>
        <v>CLOSED</v>
      </c>
      <c r="G41" s="43" t="str">
        <f>+CPUE!F39</f>
        <v>CLOSED</v>
      </c>
      <c r="H41" s="41" t="str">
        <f>Effort!H39</f>
        <v>CLOSED</v>
      </c>
      <c r="I41" s="42" t="str">
        <f>Harvest!H39</f>
        <v>CLOSED</v>
      </c>
      <c r="J41" s="43" t="str">
        <f>CPUE!H39</f>
        <v>CLOSED</v>
      </c>
      <c r="K41" s="41" t="str">
        <f>Effort!J39</f>
        <v>CLOSED</v>
      </c>
      <c r="L41" s="42" t="str">
        <f>Harvest!J39</f>
        <v>CLOSED</v>
      </c>
      <c r="M41" s="43" t="str">
        <f>CPUE!J39</f>
        <v>CLOSED</v>
      </c>
      <c r="N41" s="41" t="str">
        <f>Effort!L39</f>
        <v>CLOSED</v>
      </c>
      <c r="O41" s="42" t="str">
        <f>Harvest!L39</f>
        <v>CLOSED</v>
      </c>
      <c r="P41" s="43" t="str">
        <f>CPUE!L39</f>
        <v>CLOSED</v>
      </c>
      <c r="Q41" s="41" t="s">
        <v>10</v>
      </c>
      <c r="R41" s="42" t="s">
        <v>10</v>
      </c>
      <c r="S41" s="44" t="s">
        <v>10</v>
      </c>
      <c r="T41" s="41">
        <v>0</v>
      </c>
      <c r="U41" s="42">
        <v>0</v>
      </c>
      <c r="V41" s="42"/>
    </row>
    <row r="42" spans="1:24" x14ac:dyDescent="0.25">
      <c r="A42" s="39">
        <v>44890</v>
      </c>
      <c r="B42" s="40" t="s">
        <v>18</v>
      </c>
      <c r="C42" s="8">
        <v>-1.6</v>
      </c>
      <c r="D42" s="13">
        <v>0.81597222222222221</v>
      </c>
      <c r="E42" s="41" t="str">
        <f>Effort!F40</f>
        <v>CLOSED</v>
      </c>
      <c r="F42" s="42" t="str">
        <f>Harvest!F40</f>
        <v>CLOSED</v>
      </c>
      <c r="G42" s="43" t="str">
        <f>+CPUE!F40</f>
        <v>CLOSED</v>
      </c>
      <c r="H42" s="41" t="str">
        <f>Effort!H40</f>
        <v>CLOSED</v>
      </c>
      <c r="I42" s="42" t="str">
        <f>Harvest!H40</f>
        <v>CLOSED</v>
      </c>
      <c r="J42" s="43" t="str">
        <f>CPUE!H40</f>
        <v>CLOSED</v>
      </c>
      <c r="K42" s="41" t="str">
        <f>Effort!J40</f>
        <v>CLOSED</v>
      </c>
      <c r="L42" s="42" t="str">
        <f>Harvest!J40</f>
        <v>CLOSED</v>
      </c>
      <c r="M42" s="43" t="str">
        <f>CPUE!J40</f>
        <v>CLOSED</v>
      </c>
      <c r="N42" s="41" t="str">
        <f>Effort!L40</f>
        <v>CLOSED</v>
      </c>
      <c r="O42" s="42" t="str">
        <f>Harvest!L40</f>
        <v>CLOSED</v>
      </c>
      <c r="P42" s="43" t="str">
        <f>CPUE!L40</f>
        <v>CLOSED</v>
      </c>
      <c r="Q42" s="41" t="s">
        <v>10</v>
      </c>
      <c r="R42" s="42" t="s">
        <v>10</v>
      </c>
      <c r="S42" s="44" t="s">
        <v>10</v>
      </c>
      <c r="T42" s="41">
        <v>0</v>
      </c>
      <c r="U42" s="42">
        <v>0</v>
      </c>
      <c r="V42" s="42"/>
    </row>
    <row r="43" spans="1:24" x14ac:dyDescent="0.25">
      <c r="A43" s="39">
        <v>44891</v>
      </c>
      <c r="B43" s="40" t="s">
        <v>19</v>
      </c>
      <c r="C43" s="8">
        <v>-1.5</v>
      </c>
      <c r="D43" s="13">
        <v>0.84930555555555554</v>
      </c>
      <c r="E43" s="41" t="str">
        <f>Effort!F41</f>
        <v>CLOSED</v>
      </c>
      <c r="F43" s="42" t="str">
        <f>Harvest!F41</f>
        <v>CLOSED</v>
      </c>
      <c r="G43" s="43" t="str">
        <f>+CPUE!F41</f>
        <v>CLOSED</v>
      </c>
      <c r="H43" s="41" t="str">
        <f>Effort!H41</f>
        <v>CLOSED</v>
      </c>
      <c r="I43" s="42" t="str">
        <f>Harvest!H41</f>
        <v>CLOSED</v>
      </c>
      <c r="J43" s="43" t="str">
        <f>CPUE!H41</f>
        <v>CLOSED</v>
      </c>
      <c r="K43" s="41" t="str">
        <f>Effort!J41</f>
        <v>CLOSED</v>
      </c>
      <c r="L43" s="42" t="str">
        <f>Harvest!J41</f>
        <v>CLOSED</v>
      </c>
      <c r="M43" s="43" t="str">
        <f>CPUE!J41</f>
        <v>CLOSED</v>
      </c>
      <c r="N43" s="41" t="str">
        <f>Effort!L41</f>
        <v>CLOSED</v>
      </c>
      <c r="O43" s="42" t="str">
        <f>Harvest!L41</f>
        <v>CLOSED</v>
      </c>
      <c r="P43" s="43" t="str">
        <f>CPUE!L41</f>
        <v>CLOSED</v>
      </c>
      <c r="Q43" s="41" t="s">
        <v>10</v>
      </c>
      <c r="R43" s="42" t="s">
        <v>10</v>
      </c>
      <c r="S43" s="44" t="s">
        <v>10</v>
      </c>
      <c r="T43" s="41">
        <v>0</v>
      </c>
      <c r="U43" s="42">
        <v>0</v>
      </c>
      <c r="V43" s="42"/>
    </row>
    <row r="44" spans="1:24" x14ac:dyDescent="0.25">
      <c r="A44" s="39">
        <v>44892</v>
      </c>
      <c r="B44" s="40" t="s">
        <v>20</v>
      </c>
      <c r="C44" s="8">
        <v>-1.1000000000000001</v>
      </c>
      <c r="D44" s="13">
        <v>0.88541666666666663</v>
      </c>
      <c r="E44" s="41" t="str">
        <f>Effort!F42</f>
        <v>CLOSED</v>
      </c>
      <c r="F44" s="42" t="str">
        <f>Harvest!F42</f>
        <v>CLOSED</v>
      </c>
      <c r="G44" s="43" t="str">
        <f>+CPUE!F42</f>
        <v>CLOSED</v>
      </c>
      <c r="H44" s="41" t="str">
        <f>Effort!H42</f>
        <v>CLOSED</v>
      </c>
      <c r="I44" s="42" t="str">
        <f>Harvest!H42</f>
        <v>CLOSED</v>
      </c>
      <c r="J44" s="43" t="str">
        <f>CPUE!H42</f>
        <v>CLOSED</v>
      </c>
      <c r="K44" s="41" t="str">
        <f>Effort!J42</f>
        <v>CLOSED</v>
      </c>
      <c r="L44" s="42" t="str">
        <f>Harvest!J42</f>
        <v>CLOSED</v>
      </c>
      <c r="M44" s="43" t="str">
        <f>CPUE!J42</f>
        <v>CLOSED</v>
      </c>
      <c r="N44" s="41" t="str">
        <f>Effort!L42</f>
        <v>CLOSED</v>
      </c>
      <c r="O44" s="42" t="str">
        <f>Harvest!L42</f>
        <v>CLOSED</v>
      </c>
      <c r="P44" s="43" t="str">
        <f>CPUE!L42</f>
        <v>CLOSED</v>
      </c>
      <c r="Q44" s="41" t="s">
        <v>10</v>
      </c>
      <c r="R44" s="42" t="s">
        <v>10</v>
      </c>
      <c r="S44" s="44" t="s">
        <v>10</v>
      </c>
      <c r="T44" s="41">
        <v>0</v>
      </c>
      <c r="U44" s="42">
        <v>0</v>
      </c>
      <c r="V44" s="42"/>
    </row>
    <row r="45" spans="1:24" x14ac:dyDescent="0.25">
      <c r="A45" s="39">
        <v>44893</v>
      </c>
      <c r="B45" s="40" t="s">
        <v>21</v>
      </c>
      <c r="C45" s="8">
        <v>-0.5</v>
      </c>
      <c r="D45" s="13">
        <v>0.92361111111111116</v>
      </c>
      <c r="E45" s="41" t="str">
        <f>Effort!F43</f>
        <v>CLOSED</v>
      </c>
      <c r="F45" s="42" t="str">
        <f>Harvest!F43</f>
        <v>CLOSED</v>
      </c>
      <c r="G45" s="43" t="str">
        <f>+CPUE!F43</f>
        <v>CLOSED</v>
      </c>
      <c r="H45" s="41" t="str">
        <f>Effort!H43</f>
        <v>CLOSED</v>
      </c>
      <c r="I45" s="42" t="str">
        <f>Harvest!H43</f>
        <v>CLOSED</v>
      </c>
      <c r="J45" s="43" t="str">
        <f>CPUE!H43</f>
        <v>CLOSED</v>
      </c>
      <c r="K45" s="41" t="str">
        <f>Effort!J43</f>
        <v>CLOSED</v>
      </c>
      <c r="L45" s="42" t="str">
        <f>Harvest!J43</f>
        <v>CLOSED</v>
      </c>
      <c r="M45" s="43" t="str">
        <f>CPUE!J43</f>
        <v>CLOSED</v>
      </c>
      <c r="N45" s="41" t="str">
        <f>Effort!L43</f>
        <v>CLOSED</v>
      </c>
      <c r="O45" s="42" t="str">
        <f>Harvest!L43</f>
        <v>CLOSED</v>
      </c>
      <c r="P45" s="43" t="str">
        <f>CPUE!L43</f>
        <v>CLOSED</v>
      </c>
      <c r="Q45" s="41" t="s">
        <v>10</v>
      </c>
      <c r="R45" s="42" t="s">
        <v>10</v>
      </c>
      <c r="S45" s="44" t="s">
        <v>10</v>
      </c>
      <c r="T45" s="41">
        <v>0</v>
      </c>
      <c r="U45" s="42">
        <v>0</v>
      </c>
      <c r="V45" s="42"/>
    </row>
    <row r="46" spans="1:24" x14ac:dyDescent="0.25">
      <c r="A46" s="117" t="s">
        <v>57</v>
      </c>
      <c r="B46" s="117"/>
      <c r="C46" s="117"/>
      <c r="D46" s="118"/>
      <c r="E46" s="47">
        <f>SUM(E39:E45)</f>
        <v>0</v>
      </c>
      <c r="F46" s="48">
        <f>SUM(F39:F45)</f>
        <v>0</v>
      </c>
      <c r="G46" s="49">
        <v>0</v>
      </c>
      <c r="H46" s="47">
        <f>SUM(H39:H45)</f>
        <v>0</v>
      </c>
      <c r="I46" s="48">
        <f>SUM(I39:I45)</f>
        <v>0</v>
      </c>
      <c r="J46" s="49">
        <v>0</v>
      </c>
      <c r="K46" s="47">
        <f>SUM(K39:K45)</f>
        <v>0</v>
      </c>
      <c r="L46" s="48">
        <f>SUM(L39:L45)</f>
        <v>0</v>
      </c>
      <c r="M46" s="49">
        <v>0</v>
      </c>
      <c r="N46" s="47">
        <f>SUM(N37:N45)</f>
        <v>0</v>
      </c>
      <c r="O46" s="48">
        <f>SUM(O37:O45)</f>
        <v>0</v>
      </c>
      <c r="P46" s="49">
        <v>0</v>
      </c>
      <c r="Q46" s="47"/>
      <c r="R46" s="48"/>
      <c r="S46" s="49"/>
      <c r="T46" s="47">
        <f>SUM(T39:T45)</f>
        <v>0</v>
      </c>
      <c r="U46" s="48">
        <f>SUM(U39:U45)</f>
        <v>0</v>
      </c>
      <c r="V46" s="64"/>
      <c r="W46" s="20">
        <f>SUM(H46,K46,N46,Q46,E46)</f>
        <v>0</v>
      </c>
      <c r="X46" s="20">
        <f>SUM(R46,O46,L46,I46,F46)</f>
        <v>0</v>
      </c>
    </row>
    <row r="47" spans="1:24" x14ac:dyDescent="0.25">
      <c r="A47" s="39">
        <v>44899</v>
      </c>
      <c r="B47" s="40" t="s">
        <v>20</v>
      </c>
      <c r="C47" s="8">
        <v>0.4</v>
      </c>
      <c r="D47" s="13">
        <v>0.67291666666666661</v>
      </c>
      <c r="E47" s="41" t="str">
        <f>Effort!F45</f>
        <v>CLOSED</v>
      </c>
      <c r="F47" s="42" t="str">
        <f>Harvest!F45</f>
        <v>CLOSED</v>
      </c>
      <c r="G47" s="43" t="str">
        <f>+CPUE!F45</f>
        <v>CLOSED</v>
      </c>
      <c r="H47" s="41" t="str">
        <f>Effort!H45</f>
        <v>CLOSED</v>
      </c>
      <c r="I47" s="42" t="str">
        <f>Harvest!H45</f>
        <v>CLOSED</v>
      </c>
      <c r="J47" s="43" t="str">
        <f>CPUE!H45</f>
        <v>CLOSED</v>
      </c>
      <c r="K47" s="41" t="str">
        <f>Effort!J45</f>
        <v>CLOSED</v>
      </c>
      <c r="L47" s="42" t="str">
        <f>Harvest!J45</f>
        <v>CLOSED</v>
      </c>
      <c r="M47" s="43" t="str">
        <f>CPUE!J45</f>
        <v>CLOSED</v>
      </c>
      <c r="N47" s="41" t="str">
        <f>Effort!L45</f>
        <v>CLOSED</v>
      </c>
      <c r="O47" s="42" t="str">
        <f>Harvest!L45</f>
        <v>CLOSED</v>
      </c>
      <c r="P47" s="43" t="str">
        <f>CPUE!L45</f>
        <v>CLOSED</v>
      </c>
      <c r="Q47" s="41" t="s">
        <v>10</v>
      </c>
      <c r="R47" s="42" t="s">
        <v>10</v>
      </c>
      <c r="S47" s="44" t="s">
        <v>10</v>
      </c>
      <c r="T47" s="41">
        <v>0</v>
      </c>
      <c r="U47" s="42">
        <v>0</v>
      </c>
      <c r="V47" s="42"/>
    </row>
    <row r="48" spans="1:24" x14ac:dyDescent="0.25">
      <c r="A48" s="39">
        <v>44900</v>
      </c>
      <c r="B48" s="40" t="s">
        <v>21</v>
      </c>
      <c r="C48" s="8">
        <v>-0.1</v>
      </c>
      <c r="D48" s="13">
        <v>0.70347222222222217</v>
      </c>
      <c r="E48" s="41" t="str">
        <f>Effort!F46</f>
        <v>CLOSED</v>
      </c>
      <c r="F48" s="42" t="str">
        <f>Harvest!F46</f>
        <v>CLOSED</v>
      </c>
      <c r="G48" s="43" t="str">
        <f>+CPUE!F46</f>
        <v>CLOSED</v>
      </c>
      <c r="H48" s="41" t="str">
        <f>Effort!H46</f>
        <v>CLOSED</v>
      </c>
      <c r="I48" s="42" t="str">
        <f>Harvest!H46</f>
        <v>CLOSED</v>
      </c>
      <c r="J48" s="43" t="str">
        <f>CPUE!H46</f>
        <v>CLOSED</v>
      </c>
      <c r="K48" s="41" t="str">
        <f>Effort!J46</f>
        <v>CLOSED</v>
      </c>
      <c r="L48" s="42" t="str">
        <f>Harvest!J46</f>
        <v>CLOSED</v>
      </c>
      <c r="M48" s="43" t="str">
        <f>CPUE!J46</f>
        <v>CLOSED</v>
      </c>
      <c r="N48" s="41" t="str">
        <f>Effort!L46</f>
        <v>CLOSED</v>
      </c>
      <c r="O48" s="42" t="str">
        <f>Harvest!L46</f>
        <v>CLOSED</v>
      </c>
      <c r="P48" s="43" t="str">
        <f>CPUE!L46</f>
        <v>CLOSED</v>
      </c>
      <c r="Q48" s="41" t="s">
        <v>10</v>
      </c>
      <c r="R48" s="42" t="s">
        <v>10</v>
      </c>
      <c r="S48" s="44" t="s">
        <v>10</v>
      </c>
      <c r="T48" s="41">
        <v>0</v>
      </c>
      <c r="U48" s="42">
        <v>0</v>
      </c>
      <c r="V48" s="42"/>
    </row>
    <row r="49" spans="1:24" x14ac:dyDescent="0.25">
      <c r="A49" s="39">
        <v>44901</v>
      </c>
      <c r="B49" s="40" t="s">
        <v>22</v>
      </c>
      <c r="C49" s="8">
        <v>-0.5</v>
      </c>
      <c r="D49" s="13">
        <v>0.73125000000000007</v>
      </c>
      <c r="E49" s="41" t="str">
        <f>Effort!F47</f>
        <v>CLOSED</v>
      </c>
      <c r="F49" s="42" t="str">
        <f>Harvest!F47</f>
        <v>CLOSED</v>
      </c>
      <c r="G49" s="43" t="str">
        <f>+CPUE!F47</f>
        <v>CLOSED</v>
      </c>
      <c r="H49" s="41" t="str">
        <f>Effort!H47</f>
        <v>CLOSED</v>
      </c>
      <c r="I49" s="42" t="str">
        <f>Harvest!H47</f>
        <v>CLOSED</v>
      </c>
      <c r="J49" s="43" t="str">
        <f>CPUE!H47</f>
        <v>CLOSED</v>
      </c>
      <c r="K49" s="41" t="str">
        <f>Effort!J47</f>
        <v>CLOSED</v>
      </c>
      <c r="L49" s="42" t="str">
        <f>Harvest!J47</f>
        <v>CLOSED</v>
      </c>
      <c r="M49" s="43" t="str">
        <f>CPUE!J47</f>
        <v>CLOSED</v>
      </c>
      <c r="N49" s="41" t="str">
        <f>Effort!L47</f>
        <v>CLOSED</v>
      </c>
      <c r="O49" s="42" t="str">
        <f>Harvest!L47</f>
        <v>CLOSED</v>
      </c>
      <c r="P49" s="43" t="str">
        <f>CPUE!L47</f>
        <v>CLOSED</v>
      </c>
      <c r="Q49" s="41" t="s">
        <v>10</v>
      </c>
      <c r="R49" s="42" t="s">
        <v>10</v>
      </c>
      <c r="S49" s="44" t="s">
        <v>10</v>
      </c>
      <c r="T49" s="41">
        <v>0</v>
      </c>
      <c r="U49" s="42">
        <v>0</v>
      </c>
      <c r="V49" s="42"/>
    </row>
    <row r="50" spans="1:24" x14ac:dyDescent="0.25">
      <c r="A50" s="39">
        <v>44902</v>
      </c>
      <c r="B50" s="40" t="s">
        <v>23</v>
      </c>
      <c r="C50" s="8">
        <v>-0.6</v>
      </c>
      <c r="D50" s="13">
        <v>0.75763888888888886</v>
      </c>
      <c r="E50" s="41" t="str">
        <f>Effort!F48</f>
        <v>CLOSED</v>
      </c>
      <c r="F50" s="42" t="str">
        <f>Harvest!F48</f>
        <v>CLOSED</v>
      </c>
      <c r="G50" s="43" t="str">
        <f>+CPUE!F48</f>
        <v>CLOSED</v>
      </c>
      <c r="H50" s="41" t="str">
        <f>Effort!H48</f>
        <v>CLOSED</v>
      </c>
      <c r="I50" s="42" t="str">
        <f>Harvest!H48</f>
        <v>CLOSED</v>
      </c>
      <c r="J50" s="43" t="str">
        <f>CPUE!H48</f>
        <v>CLOSED</v>
      </c>
      <c r="K50" s="41" t="str">
        <f>Effort!J48</f>
        <v>CLOSED</v>
      </c>
      <c r="L50" s="42" t="str">
        <f>Harvest!J48</f>
        <v>CLOSED</v>
      </c>
      <c r="M50" s="43" t="str">
        <f>CPUE!J48</f>
        <v>CLOSED</v>
      </c>
      <c r="N50" s="41" t="str">
        <f>Effort!L48</f>
        <v>CLOSED</v>
      </c>
      <c r="O50" s="42" t="str">
        <f>Harvest!L48</f>
        <v>CLOSED</v>
      </c>
      <c r="P50" s="43" t="str">
        <f>CPUE!L48</f>
        <v>CLOSED</v>
      </c>
      <c r="Q50" s="41" t="s">
        <v>10</v>
      </c>
      <c r="R50" s="42" t="s">
        <v>10</v>
      </c>
      <c r="S50" s="44" t="s">
        <v>10</v>
      </c>
      <c r="T50" s="41">
        <v>0</v>
      </c>
      <c r="U50" s="42">
        <v>0</v>
      </c>
      <c r="V50" s="42"/>
    </row>
    <row r="51" spans="1:24" x14ac:dyDescent="0.25">
      <c r="A51" s="39">
        <v>44903</v>
      </c>
      <c r="B51" s="40" t="s">
        <v>24</v>
      </c>
      <c r="C51" s="8">
        <v>-0.6</v>
      </c>
      <c r="D51" s="13">
        <v>0.78263888888888899</v>
      </c>
      <c r="E51" s="41" t="str">
        <f>Effort!F49</f>
        <v>CLOSED</v>
      </c>
      <c r="F51" s="42" t="str">
        <f>Harvest!F49</f>
        <v>CLOSED</v>
      </c>
      <c r="G51" s="43" t="str">
        <f>+CPUE!F49</f>
        <v>CLOSED</v>
      </c>
      <c r="H51" s="41" t="str">
        <f>Effort!H49</f>
        <v>CLOSED</v>
      </c>
      <c r="I51" s="42" t="str">
        <f>Harvest!H49</f>
        <v>CLOSED</v>
      </c>
      <c r="J51" s="43" t="str">
        <f>CPUE!H49</f>
        <v>CLOSED</v>
      </c>
      <c r="K51" s="41" t="str">
        <f>Effort!J49</f>
        <v>CLOSED</v>
      </c>
      <c r="L51" s="42" t="str">
        <f>Harvest!J49</f>
        <v>CLOSED</v>
      </c>
      <c r="M51" s="43" t="str">
        <f>CPUE!J49</f>
        <v>CLOSED</v>
      </c>
      <c r="N51" s="41" t="str">
        <f>Effort!L49</f>
        <v>CLOSED</v>
      </c>
      <c r="O51" s="42" t="str">
        <f>Harvest!L49</f>
        <v>CLOSED</v>
      </c>
      <c r="P51" s="43" t="str">
        <f>CPUE!L49</f>
        <v>CLOSED</v>
      </c>
      <c r="Q51" s="41" t="s">
        <v>10</v>
      </c>
      <c r="R51" s="42" t="s">
        <v>10</v>
      </c>
      <c r="S51" s="44" t="s">
        <v>10</v>
      </c>
      <c r="T51" s="41">
        <v>0</v>
      </c>
      <c r="U51" s="42">
        <v>0</v>
      </c>
      <c r="V51" s="42"/>
    </row>
    <row r="52" spans="1:24" x14ac:dyDescent="0.25">
      <c r="A52" s="39">
        <v>44904</v>
      </c>
      <c r="B52" s="40" t="s">
        <v>18</v>
      </c>
      <c r="C52" s="8">
        <v>-0.5</v>
      </c>
      <c r="D52" s="13">
        <v>0.80763888888888891</v>
      </c>
      <c r="E52" s="41" t="str">
        <f>Effort!F50</f>
        <v>CLOSED</v>
      </c>
      <c r="F52" s="42" t="str">
        <f>Harvest!F50</f>
        <v>CLOSED</v>
      </c>
      <c r="G52" s="43" t="str">
        <f>+CPUE!F50</f>
        <v>CLOSED</v>
      </c>
      <c r="H52" s="41" t="str">
        <f>Effort!H50</f>
        <v>CLOSED</v>
      </c>
      <c r="I52" s="42" t="str">
        <f>Harvest!H50</f>
        <v>CLOSED</v>
      </c>
      <c r="J52" s="43" t="str">
        <f>CPUE!H50</f>
        <v>CLOSED</v>
      </c>
      <c r="K52" s="41" t="str">
        <f>Effort!J50</f>
        <v>CLOSED</v>
      </c>
      <c r="L52" s="42" t="str">
        <f>Harvest!J50</f>
        <v>CLOSED</v>
      </c>
      <c r="M52" s="43" t="str">
        <f>CPUE!J50</f>
        <v>CLOSED</v>
      </c>
      <c r="N52" s="41" t="str">
        <f>Effort!L50</f>
        <v>CLOSED</v>
      </c>
      <c r="O52" s="42" t="str">
        <f>Harvest!L50</f>
        <v>CLOSED</v>
      </c>
      <c r="P52" s="43" t="str">
        <f>CPUE!L50</f>
        <v>CLOSED</v>
      </c>
      <c r="Q52" s="41" t="s">
        <v>10</v>
      </c>
      <c r="R52" s="42" t="s">
        <v>10</v>
      </c>
      <c r="S52" s="44" t="s">
        <v>10</v>
      </c>
      <c r="T52" s="41">
        <v>0</v>
      </c>
      <c r="U52" s="42">
        <v>0</v>
      </c>
      <c r="V52" s="42"/>
    </row>
    <row r="53" spans="1:24" x14ac:dyDescent="0.25">
      <c r="A53" s="39">
        <v>44905</v>
      </c>
      <c r="B53" s="40" t="s">
        <v>19</v>
      </c>
      <c r="C53" s="8">
        <v>-0.3</v>
      </c>
      <c r="D53" s="13">
        <v>0.83263888888888893</v>
      </c>
      <c r="E53" s="41" t="str">
        <f>Effort!F51</f>
        <v>CLOSED</v>
      </c>
      <c r="F53" s="42" t="str">
        <f>Harvest!F51</f>
        <v>CLOSED</v>
      </c>
      <c r="G53" s="43" t="str">
        <f>+CPUE!F51</f>
        <v>CLOSED</v>
      </c>
      <c r="H53" s="41" t="str">
        <f>Effort!H51</f>
        <v>CLOSED</v>
      </c>
      <c r="I53" s="42" t="str">
        <f>Harvest!H51</f>
        <v>CLOSED</v>
      </c>
      <c r="J53" s="43" t="str">
        <f>CPUE!H51</f>
        <v>CLOSED</v>
      </c>
      <c r="K53" s="41" t="str">
        <f>Effort!J51</f>
        <v>CLOSED</v>
      </c>
      <c r="L53" s="42" t="str">
        <f>Harvest!J51</f>
        <v>CLOSED</v>
      </c>
      <c r="M53" s="43" t="str">
        <f>CPUE!J51</f>
        <v>CLOSED</v>
      </c>
      <c r="N53" s="41" t="str">
        <f>Effort!L51</f>
        <v>CLOSED</v>
      </c>
      <c r="O53" s="42" t="str">
        <f>Harvest!L51</f>
        <v>CLOSED</v>
      </c>
      <c r="P53" s="43" t="str">
        <f>CPUE!L51</f>
        <v>CLOSED</v>
      </c>
      <c r="Q53" s="41" t="s">
        <v>10</v>
      </c>
      <c r="R53" s="42" t="s">
        <v>10</v>
      </c>
      <c r="S53" s="44" t="s">
        <v>10</v>
      </c>
      <c r="T53" s="41">
        <v>0</v>
      </c>
      <c r="U53" s="42">
        <v>0</v>
      </c>
      <c r="V53" s="42"/>
    </row>
    <row r="54" spans="1:24" x14ac:dyDescent="0.25">
      <c r="A54" s="39">
        <v>44906</v>
      </c>
      <c r="B54" s="40" t="s">
        <v>20</v>
      </c>
      <c r="C54" s="8">
        <v>0</v>
      </c>
      <c r="D54" s="13">
        <v>0.85763888888888884</v>
      </c>
      <c r="E54" s="41" t="str">
        <f>Effort!F52</f>
        <v>CLOSED</v>
      </c>
      <c r="F54" s="42" t="str">
        <f>Harvest!F52</f>
        <v>CLOSED</v>
      </c>
      <c r="G54" s="43" t="str">
        <f>+CPUE!F52</f>
        <v>CLOSED</v>
      </c>
      <c r="H54" s="41" t="str">
        <f>Effort!H52</f>
        <v>CLOSED</v>
      </c>
      <c r="I54" s="42" t="str">
        <f>Harvest!H52</f>
        <v>CLOSED</v>
      </c>
      <c r="J54" s="43" t="str">
        <f>CPUE!H52</f>
        <v>CLOSED</v>
      </c>
      <c r="K54" s="41" t="str">
        <f>Effort!J52</f>
        <v>CLOSED</v>
      </c>
      <c r="L54" s="42" t="str">
        <f>Harvest!J52</f>
        <v>CLOSED</v>
      </c>
      <c r="M54" s="43" t="str">
        <f>CPUE!J52</f>
        <v>CLOSED</v>
      </c>
      <c r="N54" s="41" t="str">
        <f>Effort!L52</f>
        <v>CLOSED</v>
      </c>
      <c r="O54" s="42" t="str">
        <f>Harvest!L52</f>
        <v>CLOSED</v>
      </c>
      <c r="P54" s="43" t="str">
        <f>CPUE!L52</f>
        <v>CLOSED</v>
      </c>
      <c r="Q54" s="41" t="s">
        <v>10</v>
      </c>
      <c r="R54" s="42" t="s">
        <v>10</v>
      </c>
      <c r="S54" s="44" t="s">
        <v>10</v>
      </c>
      <c r="T54" s="41">
        <v>0</v>
      </c>
      <c r="U54" s="42">
        <v>0</v>
      </c>
      <c r="V54" s="42"/>
    </row>
    <row r="55" spans="1:24" x14ac:dyDescent="0.25">
      <c r="A55" s="39">
        <v>44907</v>
      </c>
      <c r="B55" s="40" t="s">
        <v>21</v>
      </c>
      <c r="C55" s="8">
        <v>0.3</v>
      </c>
      <c r="D55" s="13">
        <v>0.88402777777777775</v>
      </c>
      <c r="E55" s="41" t="str">
        <f>Effort!F53</f>
        <v>CLOSED</v>
      </c>
      <c r="F55" s="42" t="str">
        <f>Harvest!F53</f>
        <v>CLOSED</v>
      </c>
      <c r="G55" s="43" t="str">
        <f>+CPUE!F53</f>
        <v>CLOSED</v>
      </c>
      <c r="H55" s="41" t="str">
        <f>Effort!H53</f>
        <v>CLOSED</v>
      </c>
      <c r="I55" s="42" t="str">
        <f>Harvest!H53</f>
        <v>CLOSED</v>
      </c>
      <c r="J55" s="43" t="str">
        <f>CPUE!H53</f>
        <v>CLOSED</v>
      </c>
      <c r="K55" s="41" t="str">
        <f>Effort!J53</f>
        <v>CLOSED</v>
      </c>
      <c r="L55" s="42" t="str">
        <f>Harvest!J53</f>
        <v>CLOSED</v>
      </c>
      <c r="M55" s="43" t="str">
        <f>CPUE!J53</f>
        <v>CLOSED</v>
      </c>
      <c r="N55" s="41" t="str">
        <f>Effort!L53</f>
        <v>CLOSED</v>
      </c>
      <c r="O55" s="42" t="str">
        <f>Harvest!L53</f>
        <v>CLOSED</v>
      </c>
      <c r="P55" s="43" t="str">
        <f>CPUE!L53</f>
        <v>CLOSED</v>
      </c>
      <c r="Q55" s="41" t="s">
        <v>10</v>
      </c>
      <c r="R55" s="42" t="s">
        <v>10</v>
      </c>
      <c r="S55" s="44" t="s">
        <v>10</v>
      </c>
      <c r="T55" s="41">
        <v>0</v>
      </c>
      <c r="U55" s="42">
        <v>0</v>
      </c>
      <c r="V55" s="42"/>
    </row>
    <row r="56" spans="1:24" x14ac:dyDescent="0.25">
      <c r="A56" s="117" t="s">
        <v>57</v>
      </c>
      <c r="B56" s="117"/>
      <c r="C56" s="117"/>
      <c r="D56" s="118"/>
      <c r="E56" s="47">
        <f>SUM(E47:E55)</f>
        <v>0</v>
      </c>
      <c r="F56" s="48">
        <f>SUM(F47:F55)</f>
        <v>0</v>
      </c>
      <c r="G56" s="49">
        <v>0</v>
      </c>
      <c r="H56" s="47">
        <f>SUM(H47:H55)</f>
        <v>0</v>
      </c>
      <c r="I56" s="48">
        <f>SUM(I47:I55)</f>
        <v>0</v>
      </c>
      <c r="J56" s="49">
        <v>0</v>
      </c>
      <c r="K56" s="47">
        <f>SUM(K47:K55)</f>
        <v>0</v>
      </c>
      <c r="L56" s="48">
        <f>SUM(L47:L55)</f>
        <v>0</v>
      </c>
      <c r="M56" s="49">
        <v>0</v>
      </c>
      <c r="N56" s="47">
        <f>SUM(N47:N55)</f>
        <v>0</v>
      </c>
      <c r="O56" s="48">
        <f>SUM(O47:O55)</f>
        <v>0</v>
      </c>
      <c r="P56" s="49">
        <v>0</v>
      </c>
      <c r="Q56" s="47"/>
      <c r="R56" s="48"/>
      <c r="S56" s="49"/>
      <c r="T56" s="47">
        <f>SUM(T47:T55)</f>
        <v>0</v>
      </c>
      <c r="U56" s="48">
        <f>SUM(U47:U55)</f>
        <v>0</v>
      </c>
      <c r="V56" s="64"/>
      <c r="W56" s="20">
        <f>SUM(H56,K56,N56,Q56,E56)</f>
        <v>0</v>
      </c>
      <c r="X56" s="20">
        <f>SUM(R56,O56,L56,I56,F56)</f>
        <v>0</v>
      </c>
    </row>
    <row r="57" spans="1:24" x14ac:dyDescent="0.25">
      <c r="A57" s="39">
        <v>44915</v>
      </c>
      <c r="B57" s="40" t="s">
        <v>22</v>
      </c>
      <c r="C57" s="8">
        <v>0</v>
      </c>
      <c r="D57" s="13">
        <v>0.67638888888888893</v>
      </c>
      <c r="E57" s="41" t="str">
        <f>Effort!F55</f>
        <v>CLOSED</v>
      </c>
      <c r="F57" s="42" t="str">
        <f>Harvest!F55</f>
        <v>CLOSED</v>
      </c>
      <c r="G57" s="43" t="str">
        <f>+CPUE!F55</f>
        <v>CLOSED</v>
      </c>
      <c r="H57" s="41" t="str">
        <f>Effort!H55</f>
        <v>CLOSED</v>
      </c>
      <c r="I57" s="42" t="str">
        <f>Harvest!H55</f>
        <v>CLOSED</v>
      </c>
      <c r="J57" s="43" t="str">
        <f>CPUE!H55</f>
        <v>CLOSED</v>
      </c>
      <c r="K57" s="41" t="str">
        <f>Effort!J55</f>
        <v>CLOSED</v>
      </c>
      <c r="L57" s="42" t="str">
        <f>Harvest!J55</f>
        <v>CLOSED</v>
      </c>
      <c r="M57" s="43" t="str">
        <f>CPUE!J55</f>
        <v>CLOSED</v>
      </c>
      <c r="N57" s="41" t="str">
        <f>Effort!L55</f>
        <v>CLOSED</v>
      </c>
      <c r="O57" s="42" t="str">
        <f>Harvest!L55</f>
        <v>CLOSED</v>
      </c>
      <c r="P57" s="43" t="str">
        <f>CPUE!L55</f>
        <v>CLOSED</v>
      </c>
      <c r="Q57" s="41" t="s">
        <v>10</v>
      </c>
      <c r="R57" s="42" t="s">
        <v>10</v>
      </c>
      <c r="S57" s="44" t="s">
        <v>10</v>
      </c>
      <c r="T57" s="41">
        <v>0</v>
      </c>
      <c r="U57" s="42">
        <v>0</v>
      </c>
      <c r="V57" s="42"/>
    </row>
    <row r="58" spans="1:24" x14ac:dyDescent="0.25">
      <c r="A58" s="39">
        <v>44916</v>
      </c>
      <c r="B58" s="40" t="s">
        <v>23</v>
      </c>
      <c r="C58" s="8">
        <v>-0.8</v>
      </c>
      <c r="D58" s="13">
        <v>0.70972222222222225</v>
      </c>
      <c r="E58" s="41" t="str">
        <f>Effort!F56</f>
        <v>CLOSED</v>
      </c>
      <c r="F58" s="42" t="str">
        <f>Harvest!F56</f>
        <v>CLOSED</v>
      </c>
      <c r="G58" s="43" t="str">
        <f>+CPUE!F56</f>
        <v>CLOSED</v>
      </c>
      <c r="H58" s="41" t="str">
        <f>Effort!H56</f>
        <v>CLOSED</v>
      </c>
      <c r="I58" s="42" t="str">
        <f>Harvest!H56</f>
        <v>CLOSED</v>
      </c>
      <c r="J58" s="43" t="str">
        <f>CPUE!H56</f>
        <v>CLOSED</v>
      </c>
      <c r="K58" s="41" t="str">
        <f>Effort!J56</f>
        <v>CLOSED</v>
      </c>
      <c r="L58" s="42" t="str">
        <f>Harvest!J56</f>
        <v>CLOSED</v>
      </c>
      <c r="M58" s="43" t="str">
        <f>CPUE!J56</f>
        <v>CLOSED</v>
      </c>
      <c r="N58" s="41" t="str">
        <f>Effort!L56</f>
        <v>CLOSED</v>
      </c>
      <c r="O58" s="42" t="str">
        <f>Harvest!L56</f>
        <v>CLOSED</v>
      </c>
      <c r="P58" s="43" t="str">
        <f>CPUE!L56</f>
        <v>CLOSED</v>
      </c>
      <c r="Q58" s="41" t="s">
        <v>10</v>
      </c>
      <c r="R58" s="42" t="s">
        <v>10</v>
      </c>
      <c r="S58" s="44" t="s">
        <v>10</v>
      </c>
      <c r="T58" s="41">
        <v>0</v>
      </c>
      <c r="U58" s="42">
        <v>0</v>
      </c>
      <c r="V58" s="42"/>
    </row>
    <row r="59" spans="1:24" x14ac:dyDescent="0.25">
      <c r="A59" s="39">
        <v>44917</v>
      </c>
      <c r="B59" s="40" t="s">
        <v>24</v>
      </c>
      <c r="C59" s="8">
        <v>-1.4</v>
      </c>
      <c r="D59" s="13">
        <v>0.7416666666666667</v>
      </c>
      <c r="E59" s="41" t="str">
        <f>Effort!F57</f>
        <v>CLOSED</v>
      </c>
      <c r="F59" s="42" t="str">
        <f>Harvest!F57</f>
        <v>CLOSED</v>
      </c>
      <c r="G59" s="43" t="str">
        <f>+CPUE!F57</f>
        <v>CLOSED</v>
      </c>
      <c r="H59" s="41" t="str">
        <f>Effort!H57</f>
        <v>CLOSED</v>
      </c>
      <c r="I59" s="42" t="str">
        <f>Harvest!H57</f>
        <v>CLOSED</v>
      </c>
      <c r="J59" s="43" t="str">
        <f>CPUE!H57</f>
        <v>CLOSED</v>
      </c>
      <c r="K59" s="41" t="str">
        <f>Effort!J57</f>
        <v>CLOSED</v>
      </c>
      <c r="L59" s="42" t="str">
        <f>Harvest!J57</f>
        <v>CLOSED</v>
      </c>
      <c r="M59" s="43" t="str">
        <f>CPUE!J57</f>
        <v>CLOSED</v>
      </c>
      <c r="N59" s="41" t="str">
        <f>Effort!L57</f>
        <v>CLOSED</v>
      </c>
      <c r="O59" s="42" t="str">
        <f>Harvest!L57</f>
        <v>CLOSED</v>
      </c>
      <c r="P59" s="43" t="str">
        <f>CPUE!L57</f>
        <v>CLOSED</v>
      </c>
      <c r="Q59" s="41" t="s">
        <v>10</v>
      </c>
      <c r="R59" s="42" t="s">
        <v>10</v>
      </c>
      <c r="S59" s="44" t="s">
        <v>10</v>
      </c>
      <c r="T59" s="41">
        <v>0</v>
      </c>
      <c r="U59" s="42">
        <v>0</v>
      </c>
      <c r="V59" s="42"/>
    </row>
    <row r="60" spans="1:24" x14ac:dyDescent="0.25">
      <c r="A60" s="39">
        <v>44918</v>
      </c>
      <c r="B60" s="40" t="s">
        <v>18</v>
      </c>
      <c r="C60" s="8">
        <v>-1.8</v>
      </c>
      <c r="D60" s="13">
        <v>0.77430555555555547</v>
      </c>
      <c r="E60" s="41" t="str">
        <f>Effort!F58</f>
        <v>CLOSED</v>
      </c>
      <c r="F60" s="42" t="str">
        <f>Harvest!F58</f>
        <v>CLOSED</v>
      </c>
      <c r="G60" s="43" t="str">
        <f>+CPUE!F58</f>
        <v>CLOSED</v>
      </c>
      <c r="H60" s="41" t="str">
        <f>Effort!H58</f>
        <v>CLOSED</v>
      </c>
      <c r="I60" s="42" t="str">
        <f>Harvest!H58</f>
        <v>CLOSED</v>
      </c>
      <c r="J60" s="43" t="str">
        <f>CPUE!H58</f>
        <v>CLOSED</v>
      </c>
      <c r="K60" s="41" t="str">
        <f>Effort!J58</f>
        <v>CLOSED</v>
      </c>
      <c r="L60" s="42" t="str">
        <f>Harvest!J58</f>
        <v>CLOSED</v>
      </c>
      <c r="M60" s="43" t="str">
        <f>CPUE!J58</f>
        <v>CLOSED</v>
      </c>
      <c r="N60" s="41" t="str">
        <f>Effort!L58</f>
        <v>CLOSED</v>
      </c>
      <c r="O60" s="42" t="str">
        <f>Harvest!L58</f>
        <v>CLOSED</v>
      </c>
      <c r="P60" s="43" t="str">
        <f>CPUE!L58</f>
        <v>CLOSED</v>
      </c>
      <c r="Q60" s="41" t="s">
        <v>10</v>
      </c>
      <c r="R60" s="42" t="s">
        <v>10</v>
      </c>
      <c r="S60" s="44" t="s">
        <v>10</v>
      </c>
      <c r="T60" s="41">
        <v>0</v>
      </c>
      <c r="U60" s="42">
        <v>0</v>
      </c>
      <c r="V60" s="42"/>
    </row>
    <row r="61" spans="1:24" x14ac:dyDescent="0.25">
      <c r="A61" s="39">
        <v>44919</v>
      </c>
      <c r="B61" s="40" t="s">
        <v>19</v>
      </c>
      <c r="C61" s="8">
        <v>-1.9</v>
      </c>
      <c r="D61" s="13">
        <v>0.80763888888888891</v>
      </c>
      <c r="E61" s="41" t="str">
        <f>Effort!F59</f>
        <v>CLOSED</v>
      </c>
      <c r="F61" s="42" t="str">
        <f>Harvest!F59</f>
        <v>CLOSED</v>
      </c>
      <c r="G61" s="43" t="str">
        <f>+CPUE!F59</f>
        <v>CLOSED</v>
      </c>
      <c r="H61" s="41" t="str">
        <f>Effort!H59</f>
        <v>CLOSED</v>
      </c>
      <c r="I61" s="42" t="str">
        <f>Harvest!H59</f>
        <v>CLOSED</v>
      </c>
      <c r="J61" s="43" t="str">
        <f>CPUE!H59</f>
        <v>CLOSED</v>
      </c>
      <c r="K61" s="41" t="str">
        <f>Effort!J59</f>
        <v>CLOSED</v>
      </c>
      <c r="L61" s="42" t="str">
        <f>Harvest!J59</f>
        <v>CLOSED</v>
      </c>
      <c r="M61" s="43" t="str">
        <f>CPUE!J59</f>
        <v>CLOSED</v>
      </c>
      <c r="N61" s="41" t="str">
        <f>Effort!L59</f>
        <v>CLOSED</v>
      </c>
      <c r="O61" s="42" t="str">
        <f>Harvest!L59</f>
        <v>CLOSED</v>
      </c>
      <c r="P61" s="43" t="str">
        <f>CPUE!L59</f>
        <v>CLOSED</v>
      </c>
      <c r="Q61" s="41" t="s">
        <v>10</v>
      </c>
      <c r="R61" s="42" t="s">
        <v>10</v>
      </c>
      <c r="S61" s="44" t="s">
        <v>10</v>
      </c>
      <c r="T61" s="41">
        <v>0</v>
      </c>
      <c r="U61" s="42">
        <v>0</v>
      </c>
      <c r="V61" s="42"/>
    </row>
    <row r="62" spans="1:24" x14ac:dyDescent="0.25">
      <c r="A62" s="39">
        <v>44920</v>
      </c>
      <c r="B62" s="40" t="s">
        <v>20</v>
      </c>
      <c r="C62" s="8">
        <v>-1.6</v>
      </c>
      <c r="D62" s="13">
        <v>0.84027777777777779</v>
      </c>
      <c r="E62" s="41" t="str">
        <f>Effort!F60</f>
        <v>CLOSED</v>
      </c>
      <c r="F62" s="42" t="str">
        <f>Harvest!F60</f>
        <v>CLOSED</v>
      </c>
      <c r="G62" s="43" t="str">
        <f>+CPUE!F60</f>
        <v>CLOSED</v>
      </c>
      <c r="H62" s="41" t="str">
        <f>Effort!H60</f>
        <v>CLOSED</v>
      </c>
      <c r="I62" s="42" t="str">
        <f>Harvest!H60</f>
        <v>CLOSED</v>
      </c>
      <c r="J62" s="43" t="str">
        <f>CPUE!H60</f>
        <v>CLOSED</v>
      </c>
      <c r="K62" s="41" t="str">
        <f>Effort!J60</f>
        <v>CLOSED</v>
      </c>
      <c r="L62" s="42" t="str">
        <f>Harvest!J60</f>
        <v>CLOSED</v>
      </c>
      <c r="M62" s="43" t="str">
        <f>CPUE!J60</f>
        <v>CLOSED</v>
      </c>
      <c r="N62" s="41" t="str">
        <f>Effort!L60</f>
        <v>CLOSED</v>
      </c>
      <c r="O62" s="42" t="str">
        <f>Harvest!L60</f>
        <v>CLOSED</v>
      </c>
      <c r="P62" s="43" t="str">
        <f>CPUE!L60</f>
        <v>CLOSED</v>
      </c>
      <c r="Q62" s="41" t="s">
        <v>10</v>
      </c>
      <c r="R62" s="42" t="s">
        <v>10</v>
      </c>
      <c r="S62" s="44" t="s">
        <v>10</v>
      </c>
      <c r="T62" s="41">
        <v>0</v>
      </c>
      <c r="U62" s="42">
        <v>0</v>
      </c>
      <c r="V62" s="42"/>
    </row>
    <row r="63" spans="1:24" x14ac:dyDescent="0.25">
      <c r="A63" s="39">
        <v>44921</v>
      </c>
      <c r="B63" s="40" t="s">
        <v>21</v>
      </c>
      <c r="C63" s="8">
        <v>-1.2</v>
      </c>
      <c r="D63" s="13">
        <v>0.87361111111111101</v>
      </c>
      <c r="E63" s="41" t="str">
        <f>Effort!F61</f>
        <v>CLOSED</v>
      </c>
      <c r="F63" s="42" t="str">
        <f>Harvest!F61</f>
        <v>CLOSED</v>
      </c>
      <c r="G63" s="43" t="str">
        <f>+CPUE!F61</f>
        <v>CLOSED</v>
      </c>
      <c r="H63" s="41" t="str">
        <f>Effort!H61</f>
        <v>CLOSED</v>
      </c>
      <c r="I63" s="42" t="str">
        <f>Harvest!H61</f>
        <v>CLOSED</v>
      </c>
      <c r="J63" s="43" t="str">
        <f>CPUE!H61</f>
        <v>CLOSED</v>
      </c>
      <c r="K63" s="41" t="str">
        <f>Effort!J61</f>
        <v>CLOSED</v>
      </c>
      <c r="L63" s="42" t="str">
        <f>Harvest!J61</f>
        <v>CLOSED</v>
      </c>
      <c r="M63" s="43" t="str">
        <f>CPUE!J61</f>
        <v>CLOSED</v>
      </c>
      <c r="N63" s="41" t="str">
        <f>Effort!L61</f>
        <v>CLOSED</v>
      </c>
      <c r="O63" s="42" t="str">
        <f>Harvest!L61</f>
        <v>CLOSED</v>
      </c>
      <c r="P63" s="43" t="str">
        <f>CPUE!L61</f>
        <v>CLOSED</v>
      </c>
      <c r="Q63" s="41" t="s">
        <v>10</v>
      </c>
      <c r="R63" s="42" t="s">
        <v>10</v>
      </c>
      <c r="S63" s="44" t="s">
        <v>10</v>
      </c>
      <c r="T63" s="41">
        <v>0</v>
      </c>
      <c r="U63" s="42">
        <v>0</v>
      </c>
      <c r="V63" s="42"/>
    </row>
    <row r="64" spans="1:24" x14ac:dyDescent="0.25">
      <c r="A64" s="39">
        <v>44922</v>
      </c>
      <c r="B64" s="40" t="s">
        <v>22</v>
      </c>
      <c r="C64" s="8">
        <v>-0.5</v>
      </c>
      <c r="D64" s="13">
        <v>0.90763888888888899</v>
      </c>
      <c r="E64" s="41" t="str">
        <f>Effort!F62</f>
        <v>CLOSED</v>
      </c>
      <c r="F64" s="42" t="str">
        <f>Harvest!F62</f>
        <v>CLOSED</v>
      </c>
      <c r="G64" s="43" t="str">
        <f>+CPUE!F62</f>
        <v>CLOSED</v>
      </c>
      <c r="H64" s="41" t="str">
        <f>Effort!H62</f>
        <v>CLOSED</v>
      </c>
      <c r="I64" s="42" t="str">
        <f>Harvest!H62</f>
        <v>CLOSED</v>
      </c>
      <c r="J64" s="43" t="str">
        <f>CPUE!H62</f>
        <v>CLOSED</v>
      </c>
      <c r="K64" s="41" t="str">
        <f>Effort!J62</f>
        <v>CLOSED</v>
      </c>
      <c r="L64" s="42" t="str">
        <f>Harvest!J62</f>
        <v>CLOSED</v>
      </c>
      <c r="M64" s="43" t="str">
        <f>CPUE!J62</f>
        <v>CLOSED</v>
      </c>
      <c r="N64" s="41" t="str">
        <f>Effort!L62</f>
        <v>CLOSED</v>
      </c>
      <c r="O64" s="42" t="str">
        <f>Harvest!L62</f>
        <v>CLOSED</v>
      </c>
      <c r="P64" s="43" t="str">
        <f>CPUE!L62</f>
        <v>CLOSED</v>
      </c>
      <c r="Q64" s="41" t="s">
        <v>10</v>
      </c>
      <c r="R64" s="42" t="s">
        <v>10</v>
      </c>
      <c r="S64" s="44" t="s">
        <v>10</v>
      </c>
      <c r="T64" s="41">
        <v>0</v>
      </c>
      <c r="U64" s="42">
        <v>0</v>
      </c>
      <c r="V64" s="42"/>
    </row>
    <row r="65" spans="1:24" x14ac:dyDescent="0.25">
      <c r="A65" s="39">
        <v>44923</v>
      </c>
      <c r="B65" s="40" t="s">
        <v>23</v>
      </c>
      <c r="C65" s="8">
        <v>0.3</v>
      </c>
      <c r="D65" s="13">
        <v>0.94236111111111109</v>
      </c>
      <c r="E65" s="41" t="str">
        <f>Effort!F63</f>
        <v>CLOSED</v>
      </c>
      <c r="F65" s="42" t="str">
        <f>Harvest!F63</f>
        <v>CLOSED</v>
      </c>
      <c r="G65" s="43" t="str">
        <f>+CPUE!F63</f>
        <v>CLOSED</v>
      </c>
      <c r="H65" s="41" t="str">
        <f>Effort!H63</f>
        <v>CLOSED</v>
      </c>
      <c r="I65" s="42" t="str">
        <f>Harvest!H63</f>
        <v>CLOSED</v>
      </c>
      <c r="J65" s="43" t="str">
        <f>CPUE!H63</f>
        <v>CLOSED</v>
      </c>
      <c r="K65" s="41" t="str">
        <f>Effort!J63</f>
        <v>CLOSED</v>
      </c>
      <c r="L65" s="42" t="str">
        <f>Harvest!J63</f>
        <v>CLOSED</v>
      </c>
      <c r="M65" s="43" t="str">
        <f>CPUE!J63</f>
        <v>CLOSED</v>
      </c>
      <c r="N65" s="41" t="str">
        <f>Effort!L63</f>
        <v>CLOSED</v>
      </c>
      <c r="O65" s="42" t="str">
        <f>Harvest!L63</f>
        <v>CLOSED</v>
      </c>
      <c r="P65" s="43" t="str">
        <f>CPUE!L63</f>
        <v>CLOSED</v>
      </c>
      <c r="Q65" s="41" t="s">
        <v>10</v>
      </c>
      <c r="R65" s="42" t="s">
        <v>10</v>
      </c>
      <c r="S65" s="44" t="s">
        <v>10</v>
      </c>
      <c r="T65" s="41">
        <v>0</v>
      </c>
      <c r="U65" s="42">
        <v>0</v>
      </c>
      <c r="V65" s="42"/>
    </row>
    <row r="66" spans="1:24" x14ac:dyDescent="0.25">
      <c r="A66" s="117" t="s">
        <v>57</v>
      </c>
      <c r="B66" s="117"/>
      <c r="C66" s="117"/>
      <c r="D66" s="118"/>
      <c r="E66" s="47">
        <f>SUM(E57:E65)</f>
        <v>0</v>
      </c>
      <c r="F66" s="48">
        <f>SUM(F57:F65)</f>
        <v>0</v>
      </c>
      <c r="G66" s="49">
        <v>0</v>
      </c>
      <c r="H66" s="47">
        <f>SUM(H57:H65)</f>
        <v>0</v>
      </c>
      <c r="I66" s="48">
        <f>SUM(I57:I65)</f>
        <v>0</v>
      </c>
      <c r="J66" s="49">
        <v>0</v>
      </c>
      <c r="K66" s="47">
        <f>SUM(K57:K65)</f>
        <v>0</v>
      </c>
      <c r="L66" s="48">
        <f>SUM(L57:L65)</f>
        <v>0</v>
      </c>
      <c r="M66" s="49">
        <v>0</v>
      </c>
      <c r="N66" s="47">
        <f>SUM(N57:N65)</f>
        <v>0</v>
      </c>
      <c r="O66" s="48">
        <f>SUM(O57:O65)</f>
        <v>0</v>
      </c>
      <c r="P66" s="49">
        <v>0</v>
      </c>
      <c r="Q66" s="47"/>
      <c r="R66" s="48"/>
      <c r="S66" s="49"/>
      <c r="T66" s="47">
        <f>SUM(T57:T65)</f>
        <v>0</v>
      </c>
      <c r="U66" s="48">
        <f>SUM(U57:U65)</f>
        <v>0</v>
      </c>
      <c r="V66" s="64"/>
      <c r="W66" s="20">
        <f>SUM(H66,K66,N66,Q66,E66)</f>
        <v>0</v>
      </c>
      <c r="X66" s="20">
        <f>SUM(R66,O66,L66,I66,F66)</f>
        <v>0</v>
      </c>
    </row>
    <row r="67" spans="1:24" x14ac:dyDescent="0.25">
      <c r="A67" s="39">
        <v>44928</v>
      </c>
      <c r="B67" s="40" t="s">
        <v>21</v>
      </c>
      <c r="C67" s="8">
        <v>0.5</v>
      </c>
      <c r="D67" s="13">
        <v>0.65763888888888888</v>
      </c>
      <c r="E67" s="41" t="str">
        <f>Effort!F65</f>
        <v>CLOSED</v>
      </c>
      <c r="F67" s="42" t="str">
        <f>Harvest!F65</f>
        <v>CLOSED</v>
      </c>
      <c r="G67" s="43" t="str">
        <f>+CPUE!F65</f>
        <v>CLOSED</v>
      </c>
      <c r="H67" s="41" t="str">
        <f>Effort!H65</f>
        <v>CLOSED</v>
      </c>
      <c r="I67" s="42" t="str">
        <f>Harvest!H65</f>
        <v>CLOSED</v>
      </c>
      <c r="J67" s="43" t="str">
        <f>CPUE!H65</f>
        <v>CLOSED</v>
      </c>
      <c r="K67" s="41" t="str">
        <f>Effort!J65</f>
        <v>CLOSED</v>
      </c>
      <c r="L67" s="42" t="str">
        <f>Harvest!J65</f>
        <v>CLOSED</v>
      </c>
      <c r="M67" s="43" t="str">
        <f>CPUE!J65</f>
        <v>CLOSED</v>
      </c>
      <c r="N67" s="41" t="str">
        <f>Effort!L65</f>
        <v>CLOSED</v>
      </c>
      <c r="O67" s="42" t="str">
        <f>Harvest!L65</f>
        <v>CLOSED</v>
      </c>
      <c r="P67" s="43" t="str">
        <f>CPUE!L65</f>
        <v>CLOSED</v>
      </c>
      <c r="Q67" s="41" t="s">
        <v>10</v>
      </c>
      <c r="R67" s="42" t="s">
        <v>10</v>
      </c>
      <c r="S67" s="44" t="s">
        <v>10</v>
      </c>
      <c r="T67" s="41">
        <v>0</v>
      </c>
      <c r="U67" s="42">
        <v>0</v>
      </c>
      <c r="V67" s="42"/>
    </row>
    <row r="68" spans="1:24" x14ac:dyDescent="0.25">
      <c r="A68" s="39">
        <v>44929</v>
      </c>
      <c r="B68" s="40" t="s">
        <v>22</v>
      </c>
      <c r="C68" s="8">
        <v>0.1</v>
      </c>
      <c r="D68" s="13">
        <v>0.69027777777777777</v>
      </c>
      <c r="E68" s="41" t="str">
        <f>Effort!F66</f>
        <v>CLOSED</v>
      </c>
      <c r="F68" s="42" t="str">
        <f>Harvest!F66</f>
        <v>CLOSED</v>
      </c>
      <c r="G68" s="43" t="str">
        <f>+CPUE!F66</f>
        <v>CLOSED</v>
      </c>
      <c r="H68" s="41" t="str">
        <f>Effort!H66</f>
        <v>CLOSED</v>
      </c>
      <c r="I68" s="42" t="str">
        <f>Harvest!H66</f>
        <v>CLOSED</v>
      </c>
      <c r="J68" s="43" t="str">
        <f>CPUE!H66</f>
        <v>CLOSED</v>
      </c>
      <c r="K68" s="41" t="str">
        <f>Effort!J66</f>
        <v>CLOSED</v>
      </c>
      <c r="L68" s="42" t="str">
        <f>Harvest!J66</f>
        <v>CLOSED</v>
      </c>
      <c r="M68" s="43" t="str">
        <f>CPUE!J66</f>
        <v>CLOSED</v>
      </c>
      <c r="N68" s="41" t="str">
        <f>Effort!L66</f>
        <v>CLOSED</v>
      </c>
      <c r="O68" s="42" t="str">
        <f>Harvest!L66</f>
        <v>CLOSED</v>
      </c>
      <c r="P68" s="43" t="str">
        <f>CPUE!L66</f>
        <v>CLOSED</v>
      </c>
      <c r="Q68" s="41" t="s">
        <v>10</v>
      </c>
      <c r="R68" s="42" t="s">
        <v>10</v>
      </c>
      <c r="S68" s="44" t="s">
        <v>10</v>
      </c>
      <c r="T68" s="41">
        <v>0</v>
      </c>
      <c r="U68" s="42">
        <v>0</v>
      </c>
      <c r="V68" s="42"/>
    </row>
    <row r="69" spans="1:24" x14ac:dyDescent="0.25">
      <c r="A69" s="39">
        <v>44930</v>
      </c>
      <c r="B69" s="40" t="s">
        <v>23</v>
      </c>
      <c r="C69" s="8">
        <v>-0.1</v>
      </c>
      <c r="D69" s="13">
        <v>0.71944444444444444</v>
      </c>
      <c r="E69" s="41" t="str">
        <f>Effort!F67</f>
        <v>CLOSED</v>
      </c>
      <c r="F69" s="42" t="str">
        <f>Harvest!F67</f>
        <v>CLOSED</v>
      </c>
      <c r="G69" s="43" t="str">
        <f>+CPUE!F67</f>
        <v>CLOSED</v>
      </c>
      <c r="H69" s="41" t="str">
        <f>Effort!H67</f>
        <v>CLOSED</v>
      </c>
      <c r="I69" s="42" t="str">
        <f>Harvest!H67</f>
        <v>CLOSED</v>
      </c>
      <c r="J69" s="43" t="str">
        <f>CPUE!H67</f>
        <v>CLOSED</v>
      </c>
      <c r="K69" s="41" t="str">
        <f>Effort!J67</f>
        <v>CLOSED</v>
      </c>
      <c r="L69" s="42" t="str">
        <f>Harvest!J67</f>
        <v>CLOSED</v>
      </c>
      <c r="M69" s="43" t="str">
        <f>CPUE!J67</f>
        <v>CLOSED</v>
      </c>
      <c r="N69" s="41" t="str">
        <f>Effort!L67</f>
        <v>CLOSED</v>
      </c>
      <c r="O69" s="42" t="str">
        <f>Harvest!L67</f>
        <v>CLOSED</v>
      </c>
      <c r="P69" s="43" t="str">
        <f>CPUE!L67</f>
        <v>CLOSED</v>
      </c>
      <c r="Q69" s="41" t="s">
        <v>10</v>
      </c>
      <c r="R69" s="42" t="s">
        <v>10</v>
      </c>
      <c r="S69" s="44" t="s">
        <v>10</v>
      </c>
      <c r="T69" s="41">
        <v>0</v>
      </c>
      <c r="U69" s="42">
        <v>0</v>
      </c>
      <c r="V69" s="42"/>
    </row>
    <row r="70" spans="1:24" x14ac:dyDescent="0.25">
      <c r="A70" s="39">
        <v>44931</v>
      </c>
      <c r="B70" s="40" t="s">
        <v>24</v>
      </c>
      <c r="C70" s="8">
        <v>-0.3</v>
      </c>
      <c r="D70" s="13">
        <v>0.74583333333333324</v>
      </c>
      <c r="E70" s="41" t="str">
        <f>Effort!F68</f>
        <v>CLOSED</v>
      </c>
      <c r="F70" s="42" t="str">
        <f>Harvest!F68</f>
        <v>CLOSED</v>
      </c>
      <c r="G70" s="43" t="str">
        <f>+CPUE!F68</f>
        <v>CLOSED</v>
      </c>
      <c r="H70" s="41" t="str">
        <f>Effort!H68</f>
        <v>CLOSED</v>
      </c>
      <c r="I70" s="42" t="str">
        <f>Harvest!H68</f>
        <v>CLOSED</v>
      </c>
      <c r="J70" s="43" t="str">
        <f>CPUE!H68</f>
        <v>CLOSED</v>
      </c>
      <c r="K70" s="41" t="str">
        <f>Effort!J68</f>
        <v>CLOSED</v>
      </c>
      <c r="L70" s="42" t="str">
        <f>Harvest!J68</f>
        <v>CLOSED</v>
      </c>
      <c r="M70" s="43" t="str">
        <f>CPUE!J68</f>
        <v>CLOSED</v>
      </c>
      <c r="N70" s="41" t="str">
        <f>Effort!L68</f>
        <v>CLOSED</v>
      </c>
      <c r="O70" s="42" t="str">
        <f>Harvest!L68</f>
        <v>CLOSED</v>
      </c>
      <c r="P70" s="43" t="str">
        <f>CPUE!L68</f>
        <v>CLOSED</v>
      </c>
      <c r="Q70" s="41" t="s">
        <v>10</v>
      </c>
      <c r="R70" s="42" t="s">
        <v>10</v>
      </c>
      <c r="S70" s="44" t="s">
        <v>10</v>
      </c>
      <c r="T70" s="41">
        <v>0</v>
      </c>
      <c r="U70" s="42">
        <v>0</v>
      </c>
      <c r="V70" s="42"/>
    </row>
    <row r="71" spans="1:24" x14ac:dyDescent="0.25">
      <c r="A71" s="39">
        <v>44932</v>
      </c>
      <c r="B71" s="40" t="s">
        <v>18</v>
      </c>
      <c r="C71" s="8">
        <v>-0.3</v>
      </c>
      <c r="D71" s="13">
        <v>0.77083333333333337</v>
      </c>
      <c r="E71" s="41" t="str">
        <f>Effort!F69</f>
        <v>CLOSED</v>
      </c>
      <c r="F71" s="42" t="str">
        <f>Harvest!F69</f>
        <v>CLOSED</v>
      </c>
      <c r="G71" s="43" t="str">
        <f>+CPUE!F69</f>
        <v>CLOSED</v>
      </c>
      <c r="H71" s="41" t="str">
        <f>Effort!H69</f>
        <v>CLOSED</v>
      </c>
      <c r="I71" s="42" t="str">
        <f>Harvest!H69</f>
        <v>CLOSED</v>
      </c>
      <c r="J71" s="43" t="str">
        <f>CPUE!H69</f>
        <v>CLOSED</v>
      </c>
      <c r="K71" s="41" t="str">
        <f>Effort!J69</f>
        <v>CLOSED</v>
      </c>
      <c r="L71" s="42" t="str">
        <f>Harvest!J69</f>
        <v>CLOSED</v>
      </c>
      <c r="M71" s="43" t="str">
        <f>CPUE!J69</f>
        <v>CLOSED</v>
      </c>
      <c r="N71" s="41" t="str">
        <f>Effort!L69</f>
        <v>CLOSED</v>
      </c>
      <c r="O71" s="42" t="str">
        <f>Harvest!L69</f>
        <v>CLOSED</v>
      </c>
      <c r="P71" s="43" t="str">
        <f>CPUE!L69</f>
        <v>CLOSED</v>
      </c>
      <c r="Q71" s="41" t="s">
        <v>10</v>
      </c>
      <c r="R71" s="42" t="s">
        <v>10</v>
      </c>
      <c r="S71" s="44" t="s">
        <v>10</v>
      </c>
      <c r="T71" s="41">
        <v>0</v>
      </c>
      <c r="U71" s="42">
        <v>0</v>
      </c>
      <c r="V71" s="42"/>
    </row>
    <row r="72" spans="1:24" x14ac:dyDescent="0.25">
      <c r="A72" s="39">
        <v>44933</v>
      </c>
      <c r="B72" s="40" t="s">
        <v>19</v>
      </c>
      <c r="C72" s="8">
        <v>-0.3</v>
      </c>
      <c r="D72" s="13">
        <v>0.79513888888888884</v>
      </c>
      <c r="E72" s="41" t="str">
        <f>Effort!F70</f>
        <v>CLOSED</v>
      </c>
      <c r="F72" s="42" t="str">
        <f>Harvest!F70</f>
        <v>CLOSED</v>
      </c>
      <c r="G72" s="43" t="str">
        <f>+CPUE!F70</f>
        <v>CLOSED</v>
      </c>
      <c r="H72" s="41" t="str">
        <f>Effort!H70</f>
        <v>CLOSED</v>
      </c>
      <c r="I72" s="42" t="str">
        <f>Harvest!H70</f>
        <v>CLOSED</v>
      </c>
      <c r="J72" s="43" t="str">
        <f>CPUE!H70</f>
        <v>CLOSED</v>
      </c>
      <c r="K72" s="41" t="str">
        <f>Effort!J70</f>
        <v>CLOSED</v>
      </c>
      <c r="L72" s="42" t="str">
        <f>Harvest!J70</f>
        <v>CLOSED</v>
      </c>
      <c r="M72" s="43" t="str">
        <f>CPUE!J70</f>
        <v>CLOSED</v>
      </c>
      <c r="N72" s="41" t="str">
        <f>Effort!L70</f>
        <v>CLOSED</v>
      </c>
      <c r="O72" s="42" t="str">
        <f>Harvest!L70</f>
        <v>CLOSED</v>
      </c>
      <c r="P72" s="43" t="str">
        <f>CPUE!L70</f>
        <v>CLOSED</v>
      </c>
      <c r="Q72" s="41" t="s">
        <v>10</v>
      </c>
      <c r="R72" s="42" t="s">
        <v>10</v>
      </c>
      <c r="S72" s="44" t="s">
        <v>10</v>
      </c>
      <c r="T72" s="41">
        <v>0</v>
      </c>
      <c r="U72" s="42">
        <v>0</v>
      </c>
      <c r="V72" s="42"/>
    </row>
    <row r="73" spans="1:24" x14ac:dyDescent="0.25">
      <c r="A73" s="39">
        <v>44934</v>
      </c>
      <c r="B73" s="40" t="s">
        <v>20</v>
      </c>
      <c r="C73" s="8">
        <v>-0.2</v>
      </c>
      <c r="D73" s="13">
        <v>0.81805555555555554</v>
      </c>
      <c r="E73" s="41" t="str">
        <f>Effort!F71</f>
        <v>CLOSED</v>
      </c>
      <c r="F73" s="42" t="str">
        <f>Harvest!F71</f>
        <v>CLOSED</v>
      </c>
      <c r="G73" s="43" t="str">
        <f>+CPUE!F71</f>
        <v>CLOSED</v>
      </c>
      <c r="H73" s="41" t="str">
        <f>Effort!H71</f>
        <v>CLOSED</v>
      </c>
      <c r="I73" s="42" t="str">
        <f>Harvest!H71</f>
        <v>CLOSED</v>
      </c>
      <c r="J73" s="43" t="str">
        <f>CPUE!H71</f>
        <v>CLOSED</v>
      </c>
      <c r="K73" s="41" t="str">
        <f>Effort!J71</f>
        <v>CLOSED</v>
      </c>
      <c r="L73" s="42" t="str">
        <f>Harvest!J71</f>
        <v>CLOSED</v>
      </c>
      <c r="M73" s="43" t="str">
        <f>CPUE!J71</f>
        <v>CLOSED</v>
      </c>
      <c r="N73" s="41" t="str">
        <f>Effort!L71</f>
        <v>CLOSED</v>
      </c>
      <c r="O73" s="42" t="str">
        <f>Harvest!L71</f>
        <v>CLOSED</v>
      </c>
      <c r="P73" s="43" t="str">
        <f>CPUE!L71</f>
        <v>CLOSED</v>
      </c>
      <c r="Q73" s="41" t="s">
        <v>10</v>
      </c>
      <c r="R73" s="42" t="s">
        <v>10</v>
      </c>
      <c r="S73" s="44" t="s">
        <v>10</v>
      </c>
      <c r="T73" s="41">
        <v>0</v>
      </c>
      <c r="U73" s="42">
        <v>0</v>
      </c>
      <c r="V73" s="42"/>
    </row>
    <row r="74" spans="1:24" x14ac:dyDescent="0.25">
      <c r="A74" s="39">
        <v>44935</v>
      </c>
      <c r="B74" s="40" t="s">
        <v>21</v>
      </c>
      <c r="C74" s="8">
        <v>0</v>
      </c>
      <c r="D74" s="13">
        <v>0.84097222222222223</v>
      </c>
      <c r="E74" s="41" t="str">
        <f>Effort!F72</f>
        <v>CLOSED</v>
      </c>
      <c r="F74" s="42" t="str">
        <f>Harvest!F72</f>
        <v>CLOSED</v>
      </c>
      <c r="G74" s="43" t="str">
        <f>+CPUE!F72</f>
        <v>CLOSED</v>
      </c>
      <c r="H74" s="41" t="str">
        <f>Effort!H72</f>
        <v>CLOSED</v>
      </c>
      <c r="I74" s="42" t="str">
        <f>Harvest!H72</f>
        <v>CLOSED</v>
      </c>
      <c r="J74" s="43" t="str">
        <f>CPUE!H72</f>
        <v>CLOSED</v>
      </c>
      <c r="K74" s="41" t="str">
        <f>Effort!J72</f>
        <v>CLOSED</v>
      </c>
      <c r="L74" s="42" t="str">
        <f>Harvest!J72</f>
        <v>CLOSED</v>
      </c>
      <c r="M74" s="43" t="str">
        <f>CPUE!J72</f>
        <v>CLOSED</v>
      </c>
      <c r="N74" s="41" t="str">
        <f>Effort!L72</f>
        <v>CLOSED</v>
      </c>
      <c r="O74" s="42" t="str">
        <f>Harvest!L72</f>
        <v>CLOSED</v>
      </c>
      <c r="P74" s="43" t="str">
        <f>CPUE!L72</f>
        <v>CLOSED</v>
      </c>
      <c r="Q74" s="41" t="s">
        <v>10</v>
      </c>
      <c r="R74" s="42" t="s">
        <v>10</v>
      </c>
      <c r="S74" s="44" t="s">
        <v>10</v>
      </c>
      <c r="T74" s="41">
        <v>0</v>
      </c>
      <c r="U74" s="42">
        <v>0</v>
      </c>
      <c r="V74" s="42"/>
    </row>
    <row r="75" spans="1:24" x14ac:dyDescent="0.25">
      <c r="A75" s="117" t="s">
        <v>57</v>
      </c>
      <c r="B75" s="117"/>
      <c r="C75" s="117"/>
      <c r="D75" s="118"/>
      <c r="E75" s="47">
        <f>SUM(E67:E74)</f>
        <v>0</v>
      </c>
      <c r="F75" s="48">
        <f>SUM(F67:F74)</f>
        <v>0</v>
      </c>
      <c r="G75" s="49">
        <v>0</v>
      </c>
      <c r="H75" s="47">
        <f>SUM(H67:H74)</f>
        <v>0</v>
      </c>
      <c r="I75" s="48">
        <f>SUM(I67:I74)</f>
        <v>0</v>
      </c>
      <c r="J75" s="49">
        <v>0</v>
      </c>
      <c r="K75" s="47">
        <f>SUM(K67:K74)</f>
        <v>0</v>
      </c>
      <c r="L75" s="48">
        <f>SUM(L67:L74)</f>
        <v>0</v>
      </c>
      <c r="M75" s="49">
        <v>0</v>
      </c>
      <c r="N75" s="47">
        <f>SUM(N66:N74)</f>
        <v>0</v>
      </c>
      <c r="O75" s="48">
        <f>SUM(O66:O74)</f>
        <v>0</v>
      </c>
      <c r="P75" s="49">
        <v>0</v>
      </c>
      <c r="Q75" s="47"/>
      <c r="R75" s="48"/>
      <c r="S75" s="49"/>
      <c r="T75" s="47">
        <f>SUM(T67:T74)</f>
        <v>0</v>
      </c>
      <c r="U75" s="48">
        <f>SUM(U67:U74)</f>
        <v>0</v>
      </c>
      <c r="V75" s="64"/>
      <c r="W75" s="20">
        <f>SUM(H75,K75,N75,Q75,E75)</f>
        <v>0</v>
      </c>
      <c r="X75" s="20">
        <f>SUM(R75,O75,L75,I75,F75)</f>
        <v>0</v>
      </c>
    </row>
    <row r="76" spans="1:24" x14ac:dyDescent="0.25">
      <c r="A76" s="39">
        <v>44944</v>
      </c>
      <c r="B76" s="40" t="s">
        <v>23</v>
      </c>
      <c r="C76" s="8">
        <v>-0.1</v>
      </c>
      <c r="D76" s="13">
        <v>0.66180555555555554</v>
      </c>
      <c r="E76" s="41" t="str">
        <f>Effort!F74</f>
        <v>CLOSED</v>
      </c>
      <c r="F76" s="42" t="str">
        <f>Harvest!F74</f>
        <v>CLOSED</v>
      </c>
      <c r="G76" s="43" t="str">
        <f>+CPUE!F74</f>
        <v>CLOSED</v>
      </c>
      <c r="H76" s="41" t="str">
        <f>Effort!H74</f>
        <v>CLOSED</v>
      </c>
      <c r="I76" s="42" t="str">
        <f>Harvest!H74</f>
        <v>CLOSED</v>
      </c>
      <c r="J76" s="43" t="str">
        <f>CPUE!H74</f>
        <v>CLOSED</v>
      </c>
      <c r="K76" s="41" t="str">
        <f>Effort!J74</f>
        <v>CLOSED</v>
      </c>
      <c r="L76" s="42" t="str">
        <f>Harvest!J74</f>
        <v>CLOSED</v>
      </c>
      <c r="M76" s="43" t="str">
        <f>CPUE!J74</f>
        <v>CLOSED</v>
      </c>
      <c r="N76" s="41" t="str">
        <f>Effort!L74</f>
        <v>CLOSED</v>
      </c>
      <c r="O76" s="42" t="str">
        <f>Harvest!L74</f>
        <v>CLOSED</v>
      </c>
      <c r="P76" s="43" t="str">
        <f>CPUE!L74</f>
        <v>CLOSED</v>
      </c>
      <c r="Q76" s="41" t="s">
        <v>10</v>
      </c>
      <c r="R76" s="42" t="s">
        <v>10</v>
      </c>
      <c r="S76" s="44" t="s">
        <v>10</v>
      </c>
      <c r="T76" s="41">
        <v>0</v>
      </c>
      <c r="U76" s="42">
        <v>0</v>
      </c>
      <c r="V76" s="64"/>
      <c r="W76" s="20"/>
      <c r="X76" s="20"/>
    </row>
    <row r="77" spans="1:24" x14ac:dyDescent="0.25">
      <c r="A77" s="39">
        <v>44945</v>
      </c>
      <c r="B77" s="40" t="s">
        <v>24</v>
      </c>
      <c r="C77" s="8">
        <v>-0.9</v>
      </c>
      <c r="D77" s="13">
        <v>0.69861111111111107</v>
      </c>
      <c r="E77" s="41" t="str">
        <f>Effort!F75</f>
        <v>CLOSED</v>
      </c>
      <c r="F77" s="42" t="str">
        <f>Harvest!F75</f>
        <v>CLOSED</v>
      </c>
      <c r="G77" s="43" t="str">
        <f>+CPUE!F75</f>
        <v>CLOSED</v>
      </c>
      <c r="H77" s="41" t="str">
        <f>Effort!H75</f>
        <v>CLOSED</v>
      </c>
      <c r="I77" s="42" t="str">
        <f>Harvest!H75</f>
        <v>CLOSED</v>
      </c>
      <c r="J77" s="43" t="str">
        <f>CPUE!H75</f>
        <v>CLOSED</v>
      </c>
      <c r="K77" s="41" t="str">
        <f>Effort!J75</f>
        <v>CLOSED</v>
      </c>
      <c r="L77" s="42" t="str">
        <f>Harvest!J75</f>
        <v>CLOSED</v>
      </c>
      <c r="M77" s="43" t="str">
        <f>CPUE!J75</f>
        <v>CLOSED</v>
      </c>
      <c r="N77" s="41" t="str">
        <f>Effort!L75</f>
        <v>CLOSED</v>
      </c>
      <c r="O77" s="42" t="str">
        <f>Harvest!L75</f>
        <v>CLOSED</v>
      </c>
      <c r="P77" s="43" t="str">
        <f>CPUE!L75</f>
        <v>CLOSED</v>
      </c>
      <c r="Q77" s="41" t="s">
        <v>10</v>
      </c>
      <c r="R77" s="42" t="s">
        <v>10</v>
      </c>
      <c r="S77" s="44" t="s">
        <v>10</v>
      </c>
      <c r="T77" s="41">
        <v>0</v>
      </c>
      <c r="U77" s="42">
        <v>0</v>
      </c>
      <c r="V77" s="64"/>
      <c r="W77" s="20"/>
      <c r="X77" s="20"/>
    </row>
    <row r="78" spans="1:24" x14ac:dyDescent="0.25">
      <c r="A78" s="39">
        <v>44946</v>
      </c>
      <c r="B78" s="40" t="s">
        <v>18</v>
      </c>
      <c r="C78" s="8">
        <v>-1.5</v>
      </c>
      <c r="D78" s="13">
        <v>0.73263888888888884</v>
      </c>
      <c r="E78" s="41" t="str">
        <f>Effort!F76</f>
        <v>CLOSED</v>
      </c>
      <c r="F78" s="42" t="str">
        <f>Harvest!F76</f>
        <v>CLOSED</v>
      </c>
      <c r="G78" s="43" t="str">
        <f>+CPUE!F76</f>
        <v>CLOSED</v>
      </c>
      <c r="H78" s="41" t="str">
        <f>Effort!H76</f>
        <v>CLOSED</v>
      </c>
      <c r="I78" s="42" t="str">
        <f>Harvest!H76</f>
        <v>CLOSED</v>
      </c>
      <c r="J78" s="43" t="str">
        <f>CPUE!H76</f>
        <v>CLOSED</v>
      </c>
      <c r="K78" s="41" t="str">
        <f>Effort!J76</f>
        <v>CLOSED</v>
      </c>
      <c r="L78" s="42" t="str">
        <f>Harvest!J76</f>
        <v>CLOSED</v>
      </c>
      <c r="M78" s="43" t="str">
        <f>CPUE!J76</f>
        <v>CLOSED</v>
      </c>
      <c r="N78" s="41" t="str">
        <f>Effort!L76</f>
        <v>CLOSED</v>
      </c>
      <c r="O78" s="42" t="str">
        <f>Harvest!L76</f>
        <v>CLOSED</v>
      </c>
      <c r="P78" s="43" t="str">
        <f>CPUE!L76</f>
        <v>CLOSED</v>
      </c>
      <c r="Q78" s="41" t="s">
        <v>10</v>
      </c>
      <c r="R78" s="42" t="s">
        <v>10</v>
      </c>
      <c r="S78" s="44" t="s">
        <v>10</v>
      </c>
      <c r="T78" s="41">
        <v>0</v>
      </c>
      <c r="U78" s="42">
        <v>0</v>
      </c>
      <c r="V78" s="64"/>
      <c r="W78" s="20"/>
      <c r="X78" s="20"/>
    </row>
    <row r="79" spans="1:24" x14ac:dyDescent="0.25">
      <c r="A79" s="39">
        <v>44947</v>
      </c>
      <c r="B79" s="40" t="s">
        <v>19</v>
      </c>
      <c r="C79" s="8">
        <v>-1.8</v>
      </c>
      <c r="D79" s="13">
        <v>0.76597222222222217</v>
      </c>
      <c r="E79" s="41" t="str">
        <f>Effort!F77</f>
        <v>CLOSED</v>
      </c>
      <c r="F79" s="42" t="str">
        <f>Harvest!F77</f>
        <v>CLOSED</v>
      </c>
      <c r="G79" s="43" t="str">
        <f>+CPUE!F77</f>
        <v>CLOSED</v>
      </c>
      <c r="H79" s="41" t="str">
        <f>Effort!H77</f>
        <v>CLOSED</v>
      </c>
      <c r="I79" s="42" t="str">
        <f>Harvest!H77</f>
        <v>CLOSED</v>
      </c>
      <c r="J79" s="43" t="str">
        <f>CPUE!H77</f>
        <v>CLOSED</v>
      </c>
      <c r="K79" s="41">
        <f>Effort!J77</f>
        <v>1999.82524817833</v>
      </c>
      <c r="L79" s="42">
        <f>Harvest!J77</f>
        <v>13608.5669327257</v>
      </c>
      <c r="M79" s="43">
        <f>CPUE!J77</f>
        <v>6.8048780487804832</v>
      </c>
      <c r="N79" s="41" t="str">
        <f>Effort!L77</f>
        <v>CLOSED</v>
      </c>
      <c r="O79" s="42" t="str">
        <f>Harvest!L77</f>
        <v>CLOSED</v>
      </c>
      <c r="P79" s="43" t="str">
        <f>CPUE!L77</f>
        <v>CLOSED</v>
      </c>
      <c r="Q79" s="41" t="s">
        <v>10</v>
      </c>
      <c r="R79" s="42" t="s">
        <v>10</v>
      </c>
      <c r="S79" s="44" t="s">
        <v>10</v>
      </c>
      <c r="T79" s="41">
        <f>SUM(K79)</f>
        <v>1999.82524817833</v>
      </c>
      <c r="U79" s="42">
        <f>SUM(L79)</f>
        <v>13608.5669327257</v>
      </c>
      <c r="V79" s="64"/>
    </row>
    <row r="80" spans="1:24" x14ac:dyDescent="0.25">
      <c r="A80" s="39">
        <v>44948</v>
      </c>
      <c r="B80" s="40" t="s">
        <v>20</v>
      </c>
      <c r="C80" s="8">
        <v>-1.8</v>
      </c>
      <c r="D80" s="13">
        <v>0.79722222222222217</v>
      </c>
      <c r="E80" s="41" t="str">
        <f>Effort!F78</f>
        <v>CLOSED</v>
      </c>
      <c r="F80" s="42" t="str">
        <f>Harvest!F78</f>
        <v>CLOSED</v>
      </c>
      <c r="G80" s="43" t="str">
        <f>+CPUE!F78</f>
        <v>CLOSED</v>
      </c>
      <c r="H80" s="41" t="str">
        <f>Effort!H78</f>
        <v>CLOSED</v>
      </c>
      <c r="I80" s="42" t="str">
        <f>Harvest!H78</f>
        <v>CLOSED</v>
      </c>
      <c r="J80" s="43" t="str">
        <f>CPUE!H78</f>
        <v>CLOSED</v>
      </c>
      <c r="K80" s="41" t="str">
        <f>Effort!J78</f>
        <v>CLOSED</v>
      </c>
      <c r="L80" s="42" t="str">
        <f>Harvest!J78</f>
        <v>CLOSED</v>
      </c>
      <c r="M80" s="43" t="str">
        <f>CPUE!J78</f>
        <v>CLOSED</v>
      </c>
      <c r="N80" s="41" t="str">
        <f>Effort!L78</f>
        <v>CLOSED</v>
      </c>
      <c r="O80" s="42" t="str">
        <f>Harvest!L78</f>
        <v>CLOSED</v>
      </c>
      <c r="P80" s="43" t="str">
        <f>CPUE!L78</f>
        <v>CLOSED</v>
      </c>
      <c r="Q80" s="41" t="s">
        <v>10</v>
      </c>
      <c r="R80" s="42" t="s">
        <v>10</v>
      </c>
      <c r="S80" s="44" t="s">
        <v>10</v>
      </c>
      <c r="T80" s="41">
        <v>0</v>
      </c>
      <c r="U80" s="42">
        <v>0</v>
      </c>
      <c r="V80" s="63"/>
    </row>
    <row r="81" spans="1:24" x14ac:dyDescent="0.25">
      <c r="A81" s="39">
        <v>44949</v>
      </c>
      <c r="B81" s="40" t="s">
        <v>21</v>
      </c>
      <c r="C81" s="8">
        <v>-1.6</v>
      </c>
      <c r="D81" s="13">
        <v>0.82916666666666661</v>
      </c>
      <c r="E81" s="41" t="str">
        <f>Effort!F79</f>
        <v>CLOSED</v>
      </c>
      <c r="F81" s="42" t="str">
        <f>Harvest!F79</f>
        <v>CLOSED</v>
      </c>
      <c r="G81" s="43" t="str">
        <f>+CPUE!F79</f>
        <v>CLOSED</v>
      </c>
      <c r="H81" s="41" t="str">
        <f>Effort!H79</f>
        <v>CLOSED</v>
      </c>
      <c r="I81" s="42" t="str">
        <f>Harvest!H79</f>
        <v>CLOSED</v>
      </c>
      <c r="J81" s="43" t="str">
        <f>CPUE!H79</f>
        <v>CLOSED</v>
      </c>
      <c r="K81" s="41">
        <f>Effort!J79</f>
        <v>1930.23511353564</v>
      </c>
      <c r="L81" s="42">
        <f>Harvest!J79</f>
        <v>27755.449736012499</v>
      </c>
      <c r="M81" s="43">
        <f>CPUE!J79</f>
        <v>14.379310344827596</v>
      </c>
      <c r="N81" s="41" t="str">
        <f>Effort!L79</f>
        <v>CLOSED</v>
      </c>
      <c r="O81" s="42" t="str">
        <f>Harvest!L79</f>
        <v>CLOSED</v>
      </c>
      <c r="P81" s="43" t="str">
        <f>CPUE!L79</f>
        <v>CLOSED</v>
      </c>
      <c r="Q81" s="41" t="s">
        <v>10</v>
      </c>
      <c r="R81" s="42" t="s">
        <v>10</v>
      </c>
      <c r="S81" s="44" t="s">
        <v>10</v>
      </c>
      <c r="T81" s="41">
        <f>SUM(K81)</f>
        <v>1930.23511353564</v>
      </c>
      <c r="U81" s="42">
        <f>SUM(L81)</f>
        <v>27755.449736012499</v>
      </c>
    </row>
    <row r="82" spans="1:24" x14ac:dyDescent="0.25">
      <c r="A82" s="39">
        <v>44950</v>
      </c>
      <c r="B82" s="40" t="s">
        <v>22</v>
      </c>
      <c r="C82" s="8">
        <v>-1</v>
      </c>
      <c r="D82" s="13">
        <v>0.8569444444444444</v>
      </c>
      <c r="E82" s="41" t="str">
        <f>Effort!F80</f>
        <v>CLOSED</v>
      </c>
      <c r="F82" s="42" t="str">
        <f>Harvest!F80</f>
        <v>CLOSED</v>
      </c>
      <c r="G82" s="43" t="str">
        <f>+CPUE!F80</f>
        <v>CLOSED</v>
      </c>
      <c r="H82" s="41" t="str">
        <f>Effort!H80</f>
        <v>CLOSED</v>
      </c>
      <c r="I82" s="42" t="str">
        <f>Harvest!H80</f>
        <v>CLOSED</v>
      </c>
      <c r="J82" s="43" t="str">
        <f>CPUE!H80</f>
        <v>CLOSED</v>
      </c>
      <c r="K82" s="41" t="str">
        <f>Effort!J80</f>
        <v>CLOSED</v>
      </c>
      <c r="L82" s="42" t="str">
        <f>Harvest!J80</f>
        <v>CLOSED</v>
      </c>
      <c r="M82" s="43" t="str">
        <f>CPUE!J80</f>
        <v>CLOSED</v>
      </c>
      <c r="N82" s="41" t="str">
        <f>Effort!L80</f>
        <v>CLOSED</v>
      </c>
      <c r="O82" s="42" t="str">
        <f>Harvest!L80</f>
        <v>CLOSED</v>
      </c>
      <c r="P82" s="43" t="str">
        <f>CPUE!L80</f>
        <v>CLOSED</v>
      </c>
      <c r="Q82" s="41" t="s">
        <v>10</v>
      </c>
      <c r="R82" s="42" t="s">
        <v>10</v>
      </c>
      <c r="S82" s="44" t="s">
        <v>10</v>
      </c>
      <c r="T82" s="41">
        <v>0</v>
      </c>
      <c r="U82" s="42">
        <v>0</v>
      </c>
    </row>
    <row r="83" spans="1:24" x14ac:dyDescent="0.25">
      <c r="A83" s="39">
        <v>44951</v>
      </c>
      <c r="B83" s="40" t="s">
        <v>23</v>
      </c>
      <c r="C83" s="8">
        <v>-0.2</v>
      </c>
      <c r="D83" s="13">
        <v>0.88611111111111107</v>
      </c>
      <c r="E83" s="41" t="str">
        <f>Effort!F81</f>
        <v>CLOSED</v>
      </c>
      <c r="F83" s="42" t="str">
        <f>Harvest!F81</f>
        <v>CLOSED</v>
      </c>
      <c r="G83" s="43" t="str">
        <f>+CPUE!F81</f>
        <v>CLOSED</v>
      </c>
      <c r="H83" s="41" t="str">
        <f>Effort!H81</f>
        <v>CLOSED</v>
      </c>
      <c r="I83" s="42" t="str">
        <f>Harvest!H81</f>
        <v>CLOSED</v>
      </c>
      <c r="J83" s="43" t="str">
        <f>CPUE!H81</f>
        <v>CLOSED</v>
      </c>
      <c r="K83" s="41">
        <f>Effort!J81</f>
        <v>1089.5928001470199</v>
      </c>
      <c r="L83" s="42">
        <f>Harvest!J81</f>
        <v>16343.892002205301</v>
      </c>
      <c r="M83" s="43">
        <f>CPUE!J81</f>
        <v>15.000000000000002</v>
      </c>
      <c r="N83" s="41" t="str">
        <f>Effort!L81</f>
        <v>CLOSED</v>
      </c>
      <c r="O83" s="42" t="str">
        <f>Harvest!L81</f>
        <v>CLOSED</v>
      </c>
      <c r="P83" s="43" t="str">
        <f>CPUE!L81</f>
        <v>CLOSED</v>
      </c>
      <c r="Q83" s="41" t="s">
        <v>10</v>
      </c>
      <c r="R83" s="42" t="s">
        <v>10</v>
      </c>
      <c r="S83" s="44" t="s">
        <v>10</v>
      </c>
      <c r="T83" s="41">
        <f>SUM(K83)</f>
        <v>1089.5928001470199</v>
      </c>
      <c r="U83" s="42">
        <f>SUM(L83)</f>
        <v>16343.892002205301</v>
      </c>
    </row>
    <row r="84" spans="1:24" x14ac:dyDescent="0.25">
      <c r="A84" s="117" t="s">
        <v>57</v>
      </c>
      <c r="B84" s="117"/>
      <c r="C84" s="117"/>
      <c r="D84" s="118"/>
      <c r="E84" s="47">
        <f>SUM(E76:E83)</f>
        <v>0</v>
      </c>
      <c r="F84" s="48">
        <f>SUM(F76:F83)</f>
        <v>0</v>
      </c>
      <c r="G84" s="49">
        <v>0</v>
      </c>
      <c r="H84" s="47">
        <f>SUM(H76:H83)</f>
        <v>0</v>
      </c>
      <c r="I84" s="48">
        <f>SUM(I76:I83)</f>
        <v>0</v>
      </c>
      <c r="J84" s="49">
        <v>0</v>
      </c>
      <c r="K84" s="47">
        <f>SUM(K76:K83)</f>
        <v>5019.6531618609897</v>
      </c>
      <c r="L84" s="48">
        <f>SUM(L76:L83)</f>
        <v>57707.9086709435</v>
      </c>
      <c r="M84" s="49">
        <v>0</v>
      </c>
      <c r="N84" s="47">
        <f>SUM(N75:N83)</f>
        <v>0</v>
      </c>
      <c r="O84" s="48">
        <f>SUM(O75:O83)</f>
        <v>0</v>
      </c>
      <c r="P84" s="49">
        <v>0</v>
      </c>
      <c r="Q84" s="47"/>
      <c r="R84" s="48"/>
      <c r="S84" s="49"/>
      <c r="T84" s="47">
        <f>SUM(T76:T83)</f>
        <v>5019.6531618609897</v>
      </c>
      <c r="U84" s="48">
        <f>SUM(U76:U83)</f>
        <v>57707.9086709435</v>
      </c>
      <c r="W84" s="20">
        <f>SUM(H84,K84,N84,Q84,E84)</f>
        <v>5019.6531618609897</v>
      </c>
      <c r="X84" s="20">
        <f>SUM(R84,O84,L84,I84,F84)</f>
        <v>57707.9086709435</v>
      </c>
    </row>
    <row r="85" spans="1:24" x14ac:dyDescent="0.25">
      <c r="A85" s="39">
        <v>44960</v>
      </c>
      <c r="B85" s="8" t="s">
        <v>18</v>
      </c>
      <c r="C85" s="8">
        <v>0.1</v>
      </c>
      <c r="D85" s="13">
        <v>0.73402777777777783</v>
      </c>
      <c r="E85" s="41" t="str">
        <f>Effort!F83</f>
        <v>CLOSED</v>
      </c>
      <c r="F85" s="42" t="str">
        <f>Harvest!F83</f>
        <v>CLOSED</v>
      </c>
      <c r="G85" s="43" t="str">
        <f>+CPUE!F83</f>
        <v>CLOSED</v>
      </c>
      <c r="H85" s="41" t="str">
        <f>Effort!H83</f>
        <v>CLOSED</v>
      </c>
      <c r="I85" s="42" t="str">
        <f>Harvest!H83</f>
        <v>CLOSED</v>
      </c>
      <c r="J85" s="43" t="str">
        <f>CPUE!H83</f>
        <v>CLOSED</v>
      </c>
      <c r="K85" s="41">
        <f>Effort!J83</f>
        <v>979.13045508199002</v>
      </c>
      <c r="L85" s="42">
        <f>Harvest!J83</f>
        <v>6237.4236397815703</v>
      </c>
      <c r="M85" s="43">
        <f>CPUE!J83</f>
        <v>6.3703703703703747</v>
      </c>
      <c r="N85" s="41" t="str">
        <f>Effort!L83</f>
        <v>CLOSED</v>
      </c>
      <c r="O85" s="42" t="str">
        <f>Harvest!L83</f>
        <v>CLOSED</v>
      </c>
      <c r="P85" s="43" t="str">
        <f>CPUE!L83</f>
        <v>CLOSED</v>
      </c>
      <c r="Q85" s="41" t="s">
        <v>10</v>
      </c>
      <c r="R85" s="42" t="s">
        <v>10</v>
      </c>
      <c r="S85" s="44" t="s">
        <v>10</v>
      </c>
      <c r="T85" s="41">
        <f>SUM(K85)</f>
        <v>979.13045508199002</v>
      </c>
      <c r="U85" s="42">
        <f>SUM(L85)</f>
        <v>6237.4236397815703</v>
      </c>
      <c r="V85" s="42"/>
    </row>
    <row r="86" spans="1:24" x14ac:dyDescent="0.25">
      <c r="A86" s="39">
        <v>44961</v>
      </c>
      <c r="B86" s="8" t="s">
        <v>19</v>
      </c>
      <c r="C86" s="8">
        <v>-0.1</v>
      </c>
      <c r="D86" s="13">
        <v>0.75763888888888886</v>
      </c>
      <c r="E86" s="41" t="str">
        <f>Effort!F84</f>
        <v>CLOSED</v>
      </c>
      <c r="F86" s="42" t="str">
        <f>Harvest!F84</f>
        <v>CLOSED</v>
      </c>
      <c r="G86" s="43" t="str">
        <f>+CPUE!F84</f>
        <v>CLOSED</v>
      </c>
      <c r="H86" s="41" t="str">
        <f>Effort!H84</f>
        <v>CLOSED</v>
      </c>
      <c r="I86" s="42" t="str">
        <f>Harvest!H84</f>
        <v>CLOSED</v>
      </c>
      <c r="J86" s="43" t="str">
        <f>CPUE!H84</f>
        <v>CLOSED</v>
      </c>
      <c r="K86" s="41" t="str">
        <f>Effort!J84</f>
        <v>CLOSED</v>
      </c>
      <c r="L86" s="42" t="str">
        <f>Harvest!J84</f>
        <v>CLOSED</v>
      </c>
      <c r="M86" s="43" t="str">
        <f>CPUE!J84</f>
        <v>CLOSED</v>
      </c>
      <c r="N86" s="41">
        <f>Effort!L84</f>
        <v>1703.0091915877499</v>
      </c>
      <c r="O86" s="42">
        <f>Harvest!L84</f>
        <v>23112.2676001195</v>
      </c>
      <c r="P86" s="43">
        <f>CPUE!L84</f>
        <v>13.571428571428592</v>
      </c>
      <c r="Q86" s="41" t="s">
        <v>10</v>
      </c>
      <c r="R86" s="42" t="s">
        <v>10</v>
      </c>
      <c r="S86" s="44" t="s">
        <v>10</v>
      </c>
      <c r="T86" s="41">
        <f>SUM(N86)</f>
        <v>1703.0091915877499</v>
      </c>
      <c r="U86" s="42">
        <f>SUM(O86)</f>
        <v>23112.2676001195</v>
      </c>
      <c r="V86" s="42"/>
    </row>
    <row r="87" spans="1:24" x14ac:dyDescent="0.25">
      <c r="A87" s="39">
        <v>44962</v>
      </c>
      <c r="B87" s="8" t="s">
        <v>20</v>
      </c>
      <c r="C87" s="8">
        <v>-0.2</v>
      </c>
      <c r="D87" s="13">
        <v>0.77986111111111101</v>
      </c>
      <c r="E87" s="41" t="str">
        <f>Effort!F85</f>
        <v>CLOSED</v>
      </c>
      <c r="F87" s="42" t="str">
        <f>Harvest!F85</f>
        <v>CLOSED</v>
      </c>
      <c r="G87" s="43" t="str">
        <f>+CPUE!F85</f>
        <v>CLOSED</v>
      </c>
      <c r="H87" s="41" t="str">
        <f>Effort!H85</f>
        <v>CLOSED</v>
      </c>
      <c r="I87" s="42" t="str">
        <f>Harvest!H85</f>
        <v>CLOSED</v>
      </c>
      <c r="J87" s="43" t="str">
        <f>CPUE!H85</f>
        <v>CLOSED</v>
      </c>
      <c r="K87" s="41">
        <f>Effort!J85</f>
        <v>2424.78251234345</v>
      </c>
      <c r="L87" s="42">
        <f>Harvest!J85</f>
        <v>29758.694469669601</v>
      </c>
      <c r="M87" s="43">
        <f>CPUE!J85</f>
        <v>12.272727272727268</v>
      </c>
      <c r="N87" s="41" t="str">
        <f>Effort!L85</f>
        <v>CLOSED</v>
      </c>
      <c r="O87" s="42" t="str">
        <f>Harvest!L85</f>
        <v>CLOSED</v>
      </c>
      <c r="P87" s="43" t="str">
        <f>CPUE!L85</f>
        <v>CLOSED</v>
      </c>
      <c r="Q87" s="41" t="s">
        <v>10</v>
      </c>
      <c r="R87" s="42" t="s">
        <v>10</v>
      </c>
      <c r="S87" s="44" t="s">
        <v>10</v>
      </c>
      <c r="T87" s="41">
        <f>SUM(K87)</f>
        <v>2424.78251234345</v>
      </c>
      <c r="U87" s="42">
        <f>SUM(L87)</f>
        <v>29758.694469669601</v>
      </c>
      <c r="V87" s="42"/>
    </row>
    <row r="88" spans="1:24" x14ac:dyDescent="0.25">
      <c r="A88" s="39">
        <v>44963</v>
      </c>
      <c r="B88" s="8" t="s">
        <v>21</v>
      </c>
      <c r="C88" s="8">
        <v>-0.1</v>
      </c>
      <c r="D88" s="13">
        <v>0.80069444444444438</v>
      </c>
      <c r="E88" s="41" t="str">
        <f>Effort!F86</f>
        <v>CLOSED</v>
      </c>
      <c r="F88" s="42" t="str">
        <f>Harvest!F86</f>
        <v>CLOSED</v>
      </c>
      <c r="G88" s="43" t="str">
        <f>+CPUE!F86</f>
        <v>CLOSED</v>
      </c>
      <c r="H88" s="41" t="str">
        <f>Effort!H86</f>
        <v>CLOSED</v>
      </c>
      <c r="I88" s="42" t="str">
        <f>Harvest!H86</f>
        <v>CLOSED</v>
      </c>
      <c r="J88" s="43" t="str">
        <f>CPUE!H86</f>
        <v>CLOSED</v>
      </c>
      <c r="K88" s="41" t="str">
        <f>Effort!J86</f>
        <v>CLOSED</v>
      </c>
      <c r="L88" s="42" t="str">
        <f>Harvest!J86</f>
        <v>CLOSED</v>
      </c>
      <c r="M88" s="43" t="str">
        <f>CPUE!J86</f>
        <v>CLOSED</v>
      </c>
      <c r="N88" s="41">
        <f>Effort!L86</f>
        <v>415.38463062083298</v>
      </c>
      <c r="O88" s="42">
        <f>Harvest!L86</f>
        <v>4742.3078662545104</v>
      </c>
      <c r="P88" s="43">
        <f>CPUE!L86</f>
        <v>11.416666666666668</v>
      </c>
      <c r="Q88" s="41" t="s">
        <v>10</v>
      </c>
      <c r="R88" s="42" t="s">
        <v>10</v>
      </c>
      <c r="S88" s="44" t="s">
        <v>10</v>
      </c>
      <c r="T88" s="41">
        <f>SUM(N88)</f>
        <v>415.38463062083298</v>
      </c>
      <c r="U88" s="42">
        <f>SUM(O88)</f>
        <v>4742.3078662545104</v>
      </c>
      <c r="V88" s="42"/>
    </row>
    <row r="89" spans="1:24" x14ac:dyDescent="0.25">
      <c r="A89" s="39">
        <v>44964</v>
      </c>
      <c r="B89" s="8" t="s">
        <v>22</v>
      </c>
      <c r="C89" s="8">
        <v>0.1</v>
      </c>
      <c r="D89" s="13">
        <v>0.8208333333333333</v>
      </c>
      <c r="E89" s="41" t="str">
        <f>Effort!F87</f>
        <v>CLOSED</v>
      </c>
      <c r="F89" s="42" t="str">
        <f>Harvest!F87</f>
        <v>CLOSED</v>
      </c>
      <c r="G89" s="43" t="str">
        <f>+CPUE!F87</f>
        <v>CLOSED</v>
      </c>
      <c r="H89" s="41" t="str">
        <f>Effort!H87</f>
        <v>CLOSED</v>
      </c>
      <c r="I89" s="42" t="str">
        <f>Harvest!H87</f>
        <v>CLOSED</v>
      </c>
      <c r="J89" s="43" t="str">
        <f>CPUE!H87</f>
        <v>CLOSED</v>
      </c>
      <c r="K89" s="41">
        <f>Effort!J87</f>
        <v>601.91999999999996</v>
      </c>
      <c r="L89" s="42">
        <f>Harvest!J87</f>
        <v>5868.72</v>
      </c>
      <c r="M89" s="43">
        <f>CPUE!J87</f>
        <v>9.7500000000000018</v>
      </c>
      <c r="N89" s="41" t="str">
        <f>Effort!L87</f>
        <v>CLOSED</v>
      </c>
      <c r="O89" s="42" t="str">
        <f>Harvest!L87</f>
        <v>CLOSED</v>
      </c>
      <c r="P89" s="43" t="str">
        <f>CPUE!L87</f>
        <v>CLOSED</v>
      </c>
      <c r="Q89" s="41" t="s">
        <v>10</v>
      </c>
      <c r="R89" s="42" t="s">
        <v>10</v>
      </c>
      <c r="S89" s="44" t="s">
        <v>10</v>
      </c>
      <c r="T89" s="41">
        <f>SUM(K89)</f>
        <v>601.91999999999996</v>
      </c>
      <c r="U89" s="42">
        <f>SUM(L89)</f>
        <v>5868.72</v>
      </c>
      <c r="V89" s="42"/>
    </row>
    <row r="90" spans="1:24" x14ac:dyDescent="0.25">
      <c r="A90" s="39">
        <v>44965</v>
      </c>
      <c r="B90" s="8" t="s">
        <v>23</v>
      </c>
      <c r="C90" s="8">
        <v>0.4</v>
      </c>
      <c r="D90" s="13">
        <v>0.84097222222222223</v>
      </c>
      <c r="E90" s="41" t="str">
        <f>Effort!F88</f>
        <v>CLOSED</v>
      </c>
      <c r="F90" s="42" t="str">
        <f>Harvest!F88</f>
        <v>CLOSED</v>
      </c>
      <c r="G90" s="43" t="str">
        <f>+CPUE!F88</f>
        <v>CLOSED</v>
      </c>
      <c r="H90" s="41" t="str">
        <f>Effort!H88</f>
        <v>CLOSED</v>
      </c>
      <c r="I90" s="42" t="str">
        <f>Harvest!H88</f>
        <v>CLOSED</v>
      </c>
      <c r="J90" s="43" t="str">
        <f>CPUE!H88</f>
        <v>CLOSED</v>
      </c>
      <c r="K90" s="41" t="str">
        <f>Effort!J88</f>
        <v>CLOSED</v>
      </c>
      <c r="L90" s="42" t="str">
        <f>Harvest!J88</f>
        <v>CLOSED</v>
      </c>
      <c r="M90" s="43" t="str">
        <f>CPUE!J88</f>
        <v>CLOSED</v>
      </c>
      <c r="N90" s="41">
        <f>Effort!L88</f>
        <v>323.65396305261999</v>
      </c>
      <c r="O90" s="42">
        <f>Harvest!L88</f>
        <v>3624.9243861893501</v>
      </c>
      <c r="P90" s="43">
        <f>CPUE!L88</f>
        <v>11.200000000000019</v>
      </c>
      <c r="Q90" s="41" t="s">
        <v>10</v>
      </c>
      <c r="R90" s="42" t="s">
        <v>10</v>
      </c>
      <c r="S90" s="44" t="s">
        <v>10</v>
      </c>
      <c r="T90" s="41">
        <f>SUM(N90)</f>
        <v>323.65396305261999</v>
      </c>
      <c r="U90" s="42">
        <f>SUM(O90)</f>
        <v>3624.9243861893501</v>
      </c>
      <c r="V90" s="42"/>
    </row>
    <row r="91" spans="1:24" x14ac:dyDescent="0.25">
      <c r="A91" s="117" t="s">
        <v>57</v>
      </c>
      <c r="B91" s="117"/>
      <c r="C91" s="117"/>
      <c r="D91" s="118"/>
      <c r="E91" s="47">
        <f>SUM(E85:E90)</f>
        <v>0</v>
      </c>
      <c r="F91" s="48">
        <f>SUM(F85:F90)</f>
        <v>0</v>
      </c>
      <c r="G91" s="49">
        <v>0</v>
      </c>
      <c r="H91" s="47">
        <f>SUM(H85:H90)</f>
        <v>0</v>
      </c>
      <c r="I91" s="48">
        <f>SUM(I85:I90)</f>
        <v>0</v>
      </c>
      <c r="J91" s="49">
        <v>0</v>
      </c>
      <c r="K91" s="47">
        <f>SUM(K85:K90)</f>
        <v>4005.8329674254401</v>
      </c>
      <c r="L91" s="48">
        <f>SUM(L85:L90)</f>
        <v>41864.838109451171</v>
      </c>
      <c r="M91" s="49">
        <v>0</v>
      </c>
      <c r="N91" s="47">
        <f>SUM(N85:N90)</f>
        <v>2442.047785261203</v>
      </c>
      <c r="O91" s="48">
        <f>SUM(O85:O90)</f>
        <v>31479.499852563356</v>
      </c>
      <c r="P91" s="49">
        <v>0</v>
      </c>
      <c r="Q91" s="47"/>
      <c r="R91" s="48"/>
      <c r="S91" s="49"/>
      <c r="T91" s="47">
        <f>SUM(T85:T90)</f>
        <v>6447.8807526866431</v>
      </c>
      <c r="U91" s="48">
        <f>SUM(U85:U90)</f>
        <v>73344.337962014528</v>
      </c>
      <c r="V91" s="64"/>
      <c r="W91" s="20">
        <f>SUM(H91,K91,N91,Q91,E91)</f>
        <v>6447.8807526866431</v>
      </c>
      <c r="X91" s="20">
        <f>SUM(R91,O91,L91,I91,F91)</f>
        <v>73344.337962014528</v>
      </c>
    </row>
    <row r="92" spans="1:24" x14ac:dyDescent="0.25">
      <c r="A92" s="39">
        <v>44974</v>
      </c>
      <c r="B92" s="8" t="s">
        <v>18</v>
      </c>
      <c r="C92" s="8">
        <v>-0.7</v>
      </c>
      <c r="D92" s="13">
        <v>0.68680555555555556</v>
      </c>
      <c r="E92" s="41" t="str">
        <f>Effort!F90</f>
        <v>CLOSED</v>
      </c>
      <c r="F92" s="42" t="str">
        <f>Harvest!F90</f>
        <v>CLOSED</v>
      </c>
      <c r="G92" s="43" t="str">
        <f>+CPUE!F90</f>
        <v>CLOSED</v>
      </c>
      <c r="H92" s="41" t="str">
        <f>Effort!H90</f>
        <v>CLOSED</v>
      </c>
      <c r="I92" s="42" t="str">
        <f>Harvest!H90</f>
        <v>CLOSED</v>
      </c>
      <c r="J92" s="43" t="str">
        <f>CPUE!H90</f>
        <v>CLOSED</v>
      </c>
      <c r="K92" s="41" t="str">
        <f>Effort!J90</f>
        <v>CLOSED</v>
      </c>
      <c r="L92" s="42" t="str">
        <f>Harvest!J90</f>
        <v>CLOSED</v>
      </c>
      <c r="M92" s="43" t="str">
        <f>CPUE!J90</f>
        <v>CLOSED</v>
      </c>
      <c r="N92" s="41">
        <f>Effort!L90</f>
        <v>1400.0000035509199</v>
      </c>
      <c r="O92" s="42">
        <f>Harvest!L90</f>
        <v>21000.000053263699</v>
      </c>
      <c r="P92" s="43">
        <f>CPUE!L90</f>
        <v>14.999999999999929</v>
      </c>
      <c r="Q92" s="41" t="s">
        <v>10</v>
      </c>
      <c r="R92" s="42" t="s">
        <v>10</v>
      </c>
      <c r="S92" s="44" t="s">
        <v>10</v>
      </c>
      <c r="T92" s="41">
        <f>SUM(N92)</f>
        <v>1400.0000035509199</v>
      </c>
      <c r="U92" s="42">
        <f>SUM(O92)</f>
        <v>21000.000053263699</v>
      </c>
      <c r="V92" s="42"/>
    </row>
    <row r="93" spans="1:24" x14ac:dyDescent="0.25">
      <c r="A93" s="39">
        <v>44975</v>
      </c>
      <c r="B93" s="8" t="s">
        <v>19</v>
      </c>
      <c r="C93" s="8">
        <v>-1.2</v>
      </c>
      <c r="D93" s="13">
        <v>0.72152777777777777</v>
      </c>
      <c r="E93" s="41" t="str">
        <f>Effort!F91</f>
        <v>CLOSED</v>
      </c>
      <c r="F93" s="42" t="str">
        <f>Harvest!F91</f>
        <v>CLOSED</v>
      </c>
      <c r="G93" s="43" t="str">
        <f>+CPUE!F91</f>
        <v>CLOSED</v>
      </c>
      <c r="H93" s="41" t="str">
        <f>Effort!H91</f>
        <v>CLOSED</v>
      </c>
      <c r="I93" s="42" t="str">
        <f>Harvest!H91</f>
        <v>CLOSED</v>
      </c>
      <c r="J93" s="43" t="str">
        <f>CPUE!H91</f>
        <v>CLOSED</v>
      </c>
      <c r="K93" s="41">
        <f>Effort!J91</f>
        <v>5652.2717341836697</v>
      </c>
      <c r="L93" s="42">
        <f>Harvest!J91</f>
        <v>84103.079418275098</v>
      </c>
      <c r="M93" s="43">
        <f>CPUE!J91</f>
        <v>14.879518072289159</v>
      </c>
      <c r="N93" s="41" t="str">
        <f>Effort!L91</f>
        <v>CLOSED</v>
      </c>
      <c r="O93" s="42" t="str">
        <f>Harvest!L91</f>
        <v>CLOSED</v>
      </c>
      <c r="P93" s="43" t="str">
        <f>CPUE!L91</f>
        <v>CLOSED</v>
      </c>
      <c r="Q93" s="41" t="s">
        <v>10</v>
      </c>
      <c r="R93" s="42" t="s">
        <v>10</v>
      </c>
      <c r="S93" s="44" t="s">
        <v>10</v>
      </c>
      <c r="T93" s="41">
        <f>SUM(K93)</f>
        <v>5652.2717341836697</v>
      </c>
      <c r="U93" s="42">
        <f>SUM(L93)</f>
        <v>84103.079418275098</v>
      </c>
      <c r="V93" s="42"/>
    </row>
    <row r="94" spans="1:24" x14ac:dyDescent="0.25">
      <c r="A94" s="39">
        <v>44976</v>
      </c>
      <c r="B94" s="8" t="s">
        <v>20</v>
      </c>
      <c r="C94" s="8">
        <v>-1.5</v>
      </c>
      <c r="D94" s="13">
        <v>0.75277777777777777</v>
      </c>
      <c r="E94" s="41" t="str">
        <f>Effort!F92</f>
        <v>CLOSED</v>
      </c>
      <c r="F94" s="42" t="str">
        <f>Harvest!F92</f>
        <v>CLOSED</v>
      </c>
      <c r="G94" s="43" t="str">
        <f>+CPUE!F92</f>
        <v>CLOSED</v>
      </c>
      <c r="H94" s="41" t="str">
        <f>Effort!H92</f>
        <v>CLOSED</v>
      </c>
      <c r="I94" s="42" t="str">
        <f>Harvest!H92</f>
        <v>CLOSED</v>
      </c>
      <c r="J94" s="43" t="str">
        <f>CPUE!H92</f>
        <v>CLOSED</v>
      </c>
      <c r="K94" s="41" t="str">
        <f>Effort!J92</f>
        <v>CLOSED</v>
      </c>
      <c r="L94" s="42" t="str">
        <f>Harvest!J92</f>
        <v>CLOSED</v>
      </c>
      <c r="M94" s="43" t="str">
        <f>CPUE!J92</f>
        <v>CLOSED</v>
      </c>
      <c r="N94" s="41">
        <f>Effort!L92</f>
        <v>5569.9245869770502</v>
      </c>
      <c r="O94" s="42">
        <f>Harvest!L92</f>
        <v>73598.104654887793</v>
      </c>
      <c r="P94" s="43">
        <f>CPUE!L92</f>
        <v>13.213483146067421</v>
      </c>
      <c r="Q94" s="41" t="s">
        <v>10</v>
      </c>
      <c r="R94" s="42" t="s">
        <v>10</v>
      </c>
      <c r="S94" s="44" t="s">
        <v>10</v>
      </c>
      <c r="T94" s="41">
        <f>SUM(N94)</f>
        <v>5569.9245869770502</v>
      </c>
      <c r="U94" s="42">
        <f>SUM(O94)</f>
        <v>73598.104654887793</v>
      </c>
      <c r="V94" s="42"/>
    </row>
    <row r="95" spans="1:24" x14ac:dyDescent="0.25">
      <c r="A95" s="39">
        <v>44977</v>
      </c>
      <c r="B95" s="8" t="s">
        <v>21</v>
      </c>
      <c r="C95" s="8">
        <v>-1.4</v>
      </c>
      <c r="D95" s="13">
        <v>0.78194444444444444</v>
      </c>
      <c r="E95" s="41" t="str">
        <f>Effort!F93</f>
        <v>CLOSED</v>
      </c>
      <c r="F95" s="42" t="str">
        <f>Harvest!F93</f>
        <v>CLOSED</v>
      </c>
      <c r="G95" s="43" t="str">
        <f>+CPUE!F93</f>
        <v>CLOSED</v>
      </c>
      <c r="H95" s="41" t="str">
        <f>Effort!H93</f>
        <v>CLOSED</v>
      </c>
      <c r="I95" s="42" t="str">
        <f>Harvest!H93</f>
        <v>CLOSED</v>
      </c>
      <c r="J95" s="43" t="str">
        <f>CPUE!H93</f>
        <v>CLOSED</v>
      </c>
      <c r="K95" s="41">
        <f>Effort!J93</f>
        <v>1436.4223900284301</v>
      </c>
      <c r="L95" s="42">
        <f>Harvest!J93</f>
        <v>17933.515899748902</v>
      </c>
      <c r="M95" s="43">
        <f>CPUE!J93</f>
        <v>12.484848484848497</v>
      </c>
      <c r="N95" s="41" t="str">
        <f>Effort!L93</f>
        <v>CLOSED</v>
      </c>
      <c r="O95" s="42" t="str">
        <f>Harvest!L93</f>
        <v>CLOSED</v>
      </c>
      <c r="P95" s="43" t="str">
        <f>CPUE!L93</f>
        <v>CLOSED</v>
      </c>
      <c r="Q95" s="41" t="s">
        <v>10</v>
      </c>
      <c r="R95" s="42" t="s">
        <v>10</v>
      </c>
      <c r="S95" s="44" t="s">
        <v>10</v>
      </c>
      <c r="T95" s="41">
        <f>SUM(K95)</f>
        <v>1436.4223900284301</v>
      </c>
      <c r="U95" s="42">
        <f>SUM(L95)</f>
        <v>17933.515899748902</v>
      </c>
      <c r="V95" s="42"/>
    </row>
    <row r="96" spans="1:24" x14ac:dyDescent="0.25">
      <c r="A96" s="39">
        <v>44978</v>
      </c>
      <c r="B96" s="8" t="s">
        <v>22</v>
      </c>
      <c r="C96" s="8">
        <v>-1</v>
      </c>
      <c r="D96" s="13">
        <v>0.80972222222222223</v>
      </c>
      <c r="E96" s="41" t="str">
        <f>Effort!F94</f>
        <v>CLOSED</v>
      </c>
      <c r="F96" s="42" t="str">
        <f>Harvest!F94</f>
        <v>CLOSED</v>
      </c>
      <c r="G96" s="43" t="str">
        <f>+CPUE!F94</f>
        <v>CLOSED</v>
      </c>
      <c r="H96" s="41" t="str">
        <f>Effort!H94</f>
        <v>CLOSED</v>
      </c>
      <c r="I96" s="42" t="str">
        <f>Harvest!H94</f>
        <v>CLOSED</v>
      </c>
      <c r="J96" s="43" t="str">
        <f>CPUE!H94</f>
        <v>CLOSED</v>
      </c>
      <c r="K96" s="41" t="str">
        <f>Effort!J94</f>
        <v>CLOSED</v>
      </c>
      <c r="L96" s="42" t="str">
        <f>Harvest!J94</f>
        <v>CLOSED</v>
      </c>
      <c r="M96" s="43" t="str">
        <f>CPUE!J94</f>
        <v>CLOSED</v>
      </c>
      <c r="N96" s="41">
        <f>Effort!L94</f>
        <v>342.97052182008099</v>
      </c>
      <c r="O96" s="42">
        <f>Harvest!L94</f>
        <v>548.75283491212997</v>
      </c>
      <c r="P96" s="43">
        <f>CPUE!L94</f>
        <v>1.6000000000000012</v>
      </c>
      <c r="Q96" s="41" t="s">
        <v>10</v>
      </c>
      <c r="R96" s="42" t="s">
        <v>10</v>
      </c>
      <c r="S96" s="44" t="s">
        <v>10</v>
      </c>
      <c r="T96" s="41">
        <f>SUM(N96)</f>
        <v>342.97052182008099</v>
      </c>
      <c r="U96" s="42">
        <f>SUM(O96)</f>
        <v>548.75283491212997</v>
      </c>
      <c r="V96" s="42"/>
    </row>
    <row r="97" spans="1:24" x14ac:dyDescent="0.25">
      <c r="A97" s="39">
        <v>44979</v>
      </c>
      <c r="B97" s="8" t="s">
        <v>23</v>
      </c>
      <c r="C97" s="8">
        <v>-0.3</v>
      </c>
      <c r="D97" s="13">
        <v>0.83680555555555547</v>
      </c>
      <c r="E97" s="41" t="str">
        <f>Effort!F95</f>
        <v>CLOSED</v>
      </c>
      <c r="F97" s="42" t="str">
        <f>Harvest!F95</f>
        <v>CLOSED</v>
      </c>
      <c r="G97" s="43" t="str">
        <f>+CPUE!F95</f>
        <v>CLOSED</v>
      </c>
      <c r="H97" s="41" t="str">
        <f>Effort!H95</f>
        <v>CLOSED</v>
      </c>
      <c r="I97" s="42" t="str">
        <f>Harvest!H95</f>
        <v>CLOSED</v>
      </c>
      <c r="J97" s="43" t="str">
        <f>CPUE!H95</f>
        <v>CLOSED</v>
      </c>
      <c r="K97" s="41">
        <f>Effort!J95</f>
        <v>236.269721173091</v>
      </c>
      <c r="L97" s="42">
        <f>Harvest!J95</f>
        <v>1782.76244157878</v>
      </c>
      <c r="M97" s="43">
        <f>CPUE!J95</f>
        <v>7.5454545454545556</v>
      </c>
      <c r="N97" s="41" t="str">
        <f>Effort!L95</f>
        <v>CLOSED</v>
      </c>
      <c r="O97" s="42" t="str">
        <f>Harvest!L95</f>
        <v>CLOSED</v>
      </c>
      <c r="P97" s="43" t="str">
        <f>CPUE!L95</f>
        <v>CLOSED</v>
      </c>
      <c r="Q97" s="41" t="s">
        <v>10</v>
      </c>
      <c r="R97" s="42" t="s">
        <v>10</v>
      </c>
      <c r="S97" s="44" t="s">
        <v>10</v>
      </c>
      <c r="T97" s="41">
        <f>SUM(K97)</f>
        <v>236.269721173091</v>
      </c>
      <c r="U97" s="42">
        <f>SUM(L97)</f>
        <v>1782.76244157878</v>
      </c>
      <c r="V97" s="42"/>
    </row>
    <row r="98" spans="1:24" x14ac:dyDescent="0.25">
      <c r="A98" s="117" t="s">
        <v>57</v>
      </c>
      <c r="B98" s="117"/>
      <c r="C98" s="117"/>
      <c r="D98" s="118"/>
      <c r="E98" s="47">
        <f>SUM(E92:E97)</f>
        <v>0</v>
      </c>
      <c r="F98" s="48">
        <f>SUM(F92:F97)</f>
        <v>0</v>
      </c>
      <c r="G98" s="49">
        <v>0</v>
      </c>
      <c r="H98" s="47">
        <f>SUM(H92:H97)</f>
        <v>0</v>
      </c>
      <c r="I98" s="48">
        <f>SUM(I92:I97)</f>
        <v>0</v>
      </c>
      <c r="J98" s="49">
        <v>0</v>
      </c>
      <c r="K98" s="47">
        <f>SUM(K92:K97)</f>
        <v>7324.9638453851903</v>
      </c>
      <c r="L98" s="48">
        <f>SUM(L92:L97)</f>
        <v>103819.35775960279</v>
      </c>
      <c r="M98" s="49">
        <f>+L98/K98</f>
        <v>14.173361118363765</v>
      </c>
      <c r="N98" s="47">
        <f>SUM(N92:N97)</f>
        <v>7312.895112348051</v>
      </c>
      <c r="O98" s="48">
        <f>SUM(O92:O97)</f>
        <v>95146.857543063612</v>
      </c>
      <c r="P98" s="49">
        <f>+O98/N98</f>
        <v>13.010833066975783</v>
      </c>
      <c r="Q98" s="47"/>
      <c r="R98" s="48"/>
      <c r="S98" s="49"/>
      <c r="T98" s="47">
        <f>SUM(T92:T97)</f>
        <v>14637.858957733242</v>
      </c>
      <c r="U98" s="48">
        <f>SUM(U92:U97)</f>
        <v>198966.21530266639</v>
      </c>
      <c r="V98" s="64"/>
      <c r="W98" s="20">
        <f>SUM(H98,K98,N98,Q98,E98)</f>
        <v>14637.858957733242</v>
      </c>
      <c r="X98" s="20">
        <f>SUM(R98,O98,L98,I98,F98)</f>
        <v>198966.21530266642</v>
      </c>
    </row>
    <row r="99" spans="1:24" x14ac:dyDescent="0.25">
      <c r="A99" s="39">
        <v>44988</v>
      </c>
      <c r="B99" s="8" t="s">
        <v>18</v>
      </c>
      <c r="C99" s="8">
        <v>0.6</v>
      </c>
      <c r="D99" s="13">
        <v>0.68819444444444444</v>
      </c>
      <c r="E99" s="41" t="str">
        <f>Effort!F97</f>
        <v>CLOSED</v>
      </c>
      <c r="F99" s="42" t="str">
        <f>Harvest!F97</f>
        <v>CLOSED</v>
      </c>
      <c r="G99" s="43" t="str">
        <f>+CPUE!F97</f>
        <v>CLOSED</v>
      </c>
      <c r="H99" s="41" t="str">
        <f>Effort!H97</f>
        <v>CLOSED</v>
      </c>
      <c r="I99" s="42" t="str">
        <f>Harvest!H97</f>
        <v>CLOSED</v>
      </c>
      <c r="J99" s="43" t="str">
        <f>CPUE!H97</f>
        <v>CLOSED</v>
      </c>
      <c r="K99" s="41" t="str">
        <f>Effort!J97</f>
        <v>CLOSED</v>
      </c>
      <c r="L99" s="42" t="str">
        <f>Harvest!J97</f>
        <v>CLOSED</v>
      </c>
      <c r="M99" s="43" t="str">
        <f>CPUE!J97</f>
        <v>CLOSED</v>
      </c>
      <c r="N99" s="41">
        <f>Effort!L97</f>
        <v>1332.2764666570999</v>
      </c>
      <c r="O99" s="42">
        <f>Harvest!L97</f>
        <v>11690.7259949161</v>
      </c>
      <c r="P99" s="43">
        <f>CPUE!L97</f>
        <v>8.7750000000000359</v>
      </c>
      <c r="Q99" s="41" t="s">
        <v>10</v>
      </c>
      <c r="R99" s="42" t="s">
        <v>10</v>
      </c>
      <c r="S99" s="44" t="s">
        <v>10</v>
      </c>
      <c r="T99" s="41">
        <f>SUM(N99)</f>
        <v>1332.2764666570999</v>
      </c>
      <c r="U99" s="42">
        <f>SUM(O99)</f>
        <v>11690.7259949161</v>
      </c>
      <c r="V99" s="42"/>
    </row>
    <row r="100" spans="1:24" x14ac:dyDescent="0.25">
      <c r="A100" s="39">
        <v>44989</v>
      </c>
      <c r="B100" s="8" t="s">
        <v>19</v>
      </c>
      <c r="C100" s="8">
        <v>0.4</v>
      </c>
      <c r="D100" s="13">
        <v>0.71458333333333324</v>
      </c>
      <c r="E100" s="41" t="str">
        <f>Effort!F98</f>
        <v>CLOSED</v>
      </c>
      <c r="F100" s="42" t="str">
        <f>Harvest!F98</f>
        <v>CLOSED</v>
      </c>
      <c r="G100" s="43" t="str">
        <f>+CPUE!F98</f>
        <v>CLOSED</v>
      </c>
      <c r="H100" s="41" t="str">
        <f>Effort!H98</f>
        <v>CLOSED</v>
      </c>
      <c r="I100" s="42" t="str">
        <f>Harvest!H98</f>
        <v>CLOSED</v>
      </c>
      <c r="J100" s="43" t="str">
        <f>CPUE!H98</f>
        <v>CLOSED</v>
      </c>
      <c r="K100" s="41">
        <f>Effort!J98</f>
        <v>3456.0461677339999</v>
      </c>
      <c r="L100" s="42">
        <f>Harvest!J98</f>
        <v>14090.034376146299</v>
      </c>
      <c r="M100" s="43">
        <f>CPUE!J98</f>
        <v>4.0769230769230749</v>
      </c>
      <c r="N100" s="41" t="str">
        <f>Effort!L98</f>
        <v>CLOSED</v>
      </c>
      <c r="O100" s="42" t="str">
        <f>Harvest!L98</f>
        <v>CLOSED</v>
      </c>
      <c r="P100" s="43" t="str">
        <f>CPUE!L98</f>
        <v>CLOSED</v>
      </c>
      <c r="Q100" s="41" t="s">
        <v>10</v>
      </c>
      <c r="R100" s="42" t="s">
        <v>10</v>
      </c>
      <c r="S100" s="44" t="s">
        <v>10</v>
      </c>
      <c r="T100" s="41">
        <f>SUM(K100)</f>
        <v>3456.0461677339999</v>
      </c>
      <c r="U100" s="42">
        <f>SUM(L100)</f>
        <v>14090.034376146299</v>
      </c>
      <c r="V100" s="42"/>
    </row>
    <row r="101" spans="1:24" x14ac:dyDescent="0.25">
      <c r="A101" s="39">
        <v>44990</v>
      </c>
      <c r="B101" s="8" t="s">
        <v>20</v>
      </c>
      <c r="C101" s="8">
        <v>0.2</v>
      </c>
      <c r="D101" s="13">
        <v>0.73749999999999993</v>
      </c>
      <c r="E101" s="41" t="str">
        <f>Effort!F99</f>
        <v>CLOSED</v>
      </c>
      <c r="F101" s="42" t="str">
        <f>Harvest!F99</f>
        <v>CLOSED</v>
      </c>
      <c r="G101" s="43" t="str">
        <f>+CPUE!F99</f>
        <v>CLOSED</v>
      </c>
      <c r="H101" s="41" t="str">
        <f>Effort!H99</f>
        <v>CLOSED</v>
      </c>
      <c r="I101" s="42" t="str">
        <f>Harvest!H99</f>
        <v>CLOSED</v>
      </c>
      <c r="J101" s="43" t="str">
        <f>CPUE!H99</f>
        <v>CLOSED</v>
      </c>
      <c r="K101" s="41" t="str">
        <f>Effort!J99</f>
        <v>CLOSED</v>
      </c>
      <c r="L101" s="42" t="str">
        <f>Harvest!J99</f>
        <v>CLOSED</v>
      </c>
      <c r="M101" s="43" t="str">
        <f>CPUE!J99</f>
        <v>CLOSED</v>
      </c>
      <c r="N101" s="41">
        <f>Effort!L99</f>
        <v>2507.9748065100198</v>
      </c>
      <c r="O101" s="42">
        <f>Harvest!L99</f>
        <v>25884.192814358099</v>
      </c>
      <c r="P101" s="43">
        <f>CPUE!L99</f>
        <v>10.320754716981121</v>
      </c>
      <c r="Q101" s="41" t="s">
        <v>10</v>
      </c>
      <c r="R101" s="42" t="s">
        <v>10</v>
      </c>
      <c r="S101" s="44" t="s">
        <v>10</v>
      </c>
      <c r="T101" s="41">
        <f>SUM(N101)</f>
        <v>2507.9748065100198</v>
      </c>
      <c r="U101" s="42">
        <f>SUM(O101)</f>
        <v>25884.192814358099</v>
      </c>
      <c r="V101" s="42"/>
    </row>
    <row r="102" spans="1:24" x14ac:dyDescent="0.25">
      <c r="A102" s="39">
        <v>44991</v>
      </c>
      <c r="B102" s="8" t="s">
        <v>21</v>
      </c>
      <c r="C102" s="8">
        <v>0.1</v>
      </c>
      <c r="D102" s="13">
        <v>0.75902777777777775</v>
      </c>
      <c r="E102" s="41" t="str">
        <f>Effort!F100</f>
        <v>CLOSED</v>
      </c>
      <c r="F102" s="42" t="str">
        <f>Harvest!F100</f>
        <v>CLOSED</v>
      </c>
      <c r="G102" s="43" t="str">
        <f>+CPUE!F100</f>
        <v>CLOSED</v>
      </c>
      <c r="H102" s="41" t="str">
        <f>Effort!H100</f>
        <v>CLOSED</v>
      </c>
      <c r="I102" s="42" t="str">
        <f>Harvest!H100</f>
        <v>CLOSED</v>
      </c>
      <c r="J102" s="43" t="str">
        <f>CPUE!H100</f>
        <v>CLOSED</v>
      </c>
      <c r="K102" s="41">
        <f>Effort!J100</f>
        <v>1136.7492757314301</v>
      </c>
      <c r="L102" s="42">
        <f>Harvest!J100</f>
        <v>10711.675867469199</v>
      </c>
      <c r="M102" s="43">
        <f>CPUE!J100</f>
        <v>9.4230769230768825</v>
      </c>
      <c r="N102" s="41" t="str">
        <f>Effort!L100</f>
        <v>CLOSED</v>
      </c>
      <c r="O102" s="42" t="str">
        <f>Harvest!L100</f>
        <v>CLOSED</v>
      </c>
      <c r="P102" s="43" t="str">
        <f>CPUE!L100</f>
        <v>CLOSED</v>
      </c>
      <c r="Q102" s="41" t="s">
        <v>10</v>
      </c>
      <c r="R102" s="42" t="s">
        <v>10</v>
      </c>
      <c r="S102" s="44" t="s">
        <v>10</v>
      </c>
      <c r="T102" s="41">
        <f>SUM(K102)</f>
        <v>1136.7492757314301</v>
      </c>
      <c r="U102" s="42">
        <f>SUM(L102)</f>
        <v>10711.675867469199</v>
      </c>
      <c r="V102" s="42"/>
    </row>
    <row r="103" spans="1:24" x14ac:dyDescent="0.25">
      <c r="A103" s="39">
        <v>44992</v>
      </c>
      <c r="B103" s="8" t="s">
        <v>22</v>
      </c>
      <c r="C103" s="8">
        <v>0.3</v>
      </c>
      <c r="D103" s="13">
        <v>0.77847222222222223</v>
      </c>
      <c r="E103" s="41" t="str">
        <f>Effort!F101</f>
        <v>CLOSED</v>
      </c>
      <c r="F103" s="42" t="str">
        <f>Harvest!F101</f>
        <v>CLOSED</v>
      </c>
      <c r="G103" s="43" t="str">
        <f>+CPUE!F101</f>
        <v>CLOSED</v>
      </c>
      <c r="H103" s="41" t="str">
        <f>Effort!H101</f>
        <v>CLOSED</v>
      </c>
      <c r="I103" s="42" t="str">
        <f>Harvest!H101</f>
        <v>CLOSED</v>
      </c>
      <c r="J103" s="43" t="str">
        <f>CPUE!H101</f>
        <v>CLOSED</v>
      </c>
      <c r="K103" s="41" t="str">
        <f>Effort!J101</f>
        <v>CLOSED</v>
      </c>
      <c r="L103" s="42" t="str">
        <f>Harvest!J101</f>
        <v>CLOSED</v>
      </c>
      <c r="M103" s="43" t="str">
        <f>CPUE!J101</f>
        <v>CLOSED</v>
      </c>
      <c r="N103" s="41">
        <f>Effort!L101</f>
        <v>618.33330876297498</v>
      </c>
      <c r="O103" s="42">
        <f>Harvest!L101</f>
        <v>9274.9996314446307</v>
      </c>
      <c r="P103" s="43">
        <f>CPUE!L101</f>
        <v>15.000000000000009</v>
      </c>
      <c r="Q103" s="41" t="s">
        <v>10</v>
      </c>
      <c r="R103" s="42" t="s">
        <v>10</v>
      </c>
      <c r="S103" s="44" t="s">
        <v>10</v>
      </c>
      <c r="T103" s="41">
        <f>SUM(N103)</f>
        <v>618.33330876297498</v>
      </c>
      <c r="U103" s="42">
        <f>SUM(O103)</f>
        <v>9274.9996314446307</v>
      </c>
      <c r="V103" s="42"/>
    </row>
    <row r="104" spans="1:24" x14ac:dyDescent="0.25">
      <c r="A104" s="39">
        <v>44993</v>
      </c>
      <c r="B104" s="8" t="s">
        <v>23</v>
      </c>
      <c r="C104" s="8">
        <v>0.5</v>
      </c>
      <c r="D104" s="13">
        <v>0.79791666666666661</v>
      </c>
      <c r="E104" s="41" t="str">
        <f>Effort!F102</f>
        <v>CLOSED</v>
      </c>
      <c r="F104" s="42" t="str">
        <f>Harvest!F102</f>
        <v>CLOSED</v>
      </c>
      <c r="G104" s="43" t="str">
        <f>+CPUE!F102</f>
        <v>CLOSED</v>
      </c>
      <c r="H104" s="41" t="str">
        <f>Effort!H102</f>
        <v>CLOSED</v>
      </c>
      <c r="I104" s="42" t="str">
        <f>Harvest!H102</f>
        <v>CLOSED</v>
      </c>
      <c r="J104" s="43" t="str">
        <f>CPUE!H102</f>
        <v>CLOSED</v>
      </c>
      <c r="K104" s="41">
        <f>Effort!J102</f>
        <v>642.96295160782904</v>
      </c>
      <c r="L104" s="42">
        <f>Harvest!J102</f>
        <v>9291.8516877518505</v>
      </c>
      <c r="M104" s="43">
        <f>CPUE!J102</f>
        <v>14.451612903225804</v>
      </c>
      <c r="N104" s="41" t="str">
        <f>Effort!L102</f>
        <v>CLOSED</v>
      </c>
      <c r="O104" s="42" t="str">
        <f>Harvest!L102</f>
        <v>CLOSED</v>
      </c>
      <c r="P104" s="43" t="str">
        <f>CPUE!L102</f>
        <v>CLOSED</v>
      </c>
      <c r="Q104" s="41" t="s">
        <v>10</v>
      </c>
      <c r="R104" s="42" t="s">
        <v>10</v>
      </c>
      <c r="S104" s="44" t="s">
        <v>10</v>
      </c>
      <c r="T104" s="41">
        <f>SUM(K104)</f>
        <v>642.96295160782904</v>
      </c>
      <c r="U104" s="42">
        <f>SUM(L104)</f>
        <v>9291.8516877518505</v>
      </c>
      <c r="V104" s="42"/>
    </row>
    <row r="105" spans="1:24" x14ac:dyDescent="0.25">
      <c r="A105" s="117" t="s">
        <v>57</v>
      </c>
      <c r="B105" s="117"/>
      <c r="C105" s="117"/>
      <c r="D105" s="118"/>
      <c r="E105" s="47">
        <f>SUM(E99:E104)</f>
        <v>0</v>
      </c>
      <c r="F105" s="48">
        <f>SUM(F99:F104)</f>
        <v>0</v>
      </c>
      <c r="G105" s="49">
        <v>0</v>
      </c>
      <c r="H105" s="47">
        <f>SUM(H99:H104)</f>
        <v>0</v>
      </c>
      <c r="I105" s="48">
        <f>SUM(I99:I104)</f>
        <v>0</v>
      </c>
      <c r="J105" s="49">
        <v>0</v>
      </c>
      <c r="K105" s="47">
        <f>SUM(K99:K104)</f>
        <v>5235.7583950732596</v>
      </c>
      <c r="L105" s="48">
        <f>SUM(L99:L104)</f>
        <v>34093.561931367345</v>
      </c>
      <c r="M105" s="49">
        <f>+L105/K105</f>
        <v>6.5116759328407285</v>
      </c>
      <c r="N105" s="47">
        <f>SUM(N99:N104)</f>
        <v>4458.5845819300948</v>
      </c>
      <c r="O105" s="48">
        <f>SUM(O99:O104)</f>
        <v>46849.91844071883</v>
      </c>
      <c r="P105" s="49">
        <f>+O105/N105</f>
        <v>10.507800756005345</v>
      </c>
      <c r="Q105" s="47"/>
      <c r="R105" s="48"/>
      <c r="S105" s="49"/>
      <c r="T105" s="47">
        <f>SUM(T99:T104)</f>
        <v>9694.3429770033545</v>
      </c>
      <c r="U105" s="48">
        <f>SUM(U99:U104)</f>
        <v>80943.480372086182</v>
      </c>
      <c r="V105" s="64"/>
      <c r="W105" s="20">
        <f>SUM(H105,K105,N105,Q105,E105)</f>
        <v>9694.3429770033545</v>
      </c>
      <c r="X105" s="20">
        <f>SUM(R105,O105,L105,I105,F105)</f>
        <v>80943.480372086167</v>
      </c>
    </row>
    <row r="106" spans="1:24" x14ac:dyDescent="0.25">
      <c r="A106" s="39">
        <v>45002</v>
      </c>
      <c r="B106" s="40" t="s">
        <v>18</v>
      </c>
      <c r="C106" s="8">
        <v>0</v>
      </c>
      <c r="D106" s="13">
        <v>0.67361111111111116</v>
      </c>
      <c r="E106" s="41" t="str">
        <f>Effort!F104</f>
        <v>CLOSED</v>
      </c>
      <c r="F106" s="42" t="str">
        <f>Harvest!F104</f>
        <v>CLOSED</v>
      </c>
      <c r="G106" s="43" t="str">
        <f>+CPUE!F104</f>
        <v>CLOSED</v>
      </c>
      <c r="H106" s="41">
        <f>Effort!H104</f>
        <v>2435.4406785554888</v>
      </c>
      <c r="I106" s="42">
        <f>Harvest!H104</f>
        <v>36531.610178332332</v>
      </c>
      <c r="J106" s="43">
        <f>CPUE!H104</f>
        <v>15</v>
      </c>
      <c r="K106" s="41">
        <f>Effort!J104</f>
        <v>3587.2</v>
      </c>
      <c r="L106" s="42">
        <f>Harvest!J104</f>
        <v>53808</v>
      </c>
      <c r="M106" s="43">
        <f>CPUE!J104</f>
        <v>15</v>
      </c>
      <c r="N106" s="41" t="str">
        <f>Effort!L104</f>
        <v>CLOSED</v>
      </c>
      <c r="O106" s="42" t="str">
        <f>Harvest!L104</f>
        <v>CLOSED</v>
      </c>
      <c r="P106" s="43" t="str">
        <f>CPUE!L104</f>
        <v>CLOSED</v>
      </c>
      <c r="Q106" s="41" t="s">
        <v>10</v>
      </c>
      <c r="R106" s="42" t="s">
        <v>10</v>
      </c>
      <c r="S106" s="44" t="s">
        <v>10</v>
      </c>
      <c r="T106" s="41">
        <f>SUM(H106+K106)</f>
        <v>6022.6406785554882</v>
      </c>
      <c r="U106" s="42">
        <f>SUM(I106+L106)</f>
        <v>90339.610178332339</v>
      </c>
      <c r="V106" s="42"/>
    </row>
    <row r="107" spans="1:24" x14ac:dyDescent="0.25">
      <c r="A107" s="39">
        <v>45003</v>
      </c>
      <c r="B107" s="40" t="s">
        <v>19</v>
      </c>
      <c r="C107" s="8">
        <v>-0.5</v>
      </c>
      <c r="D107" s="13">
        <v>0.71250000000000002</v>
      </c>
      <c r="E107" s="41" t="str">
        <f>Effort!F105</f>
        <v>CLOSED</v>
      </c>
      <c r="F107" s="42" t="str">
        <f>Harvest!F105</f>
        <v>CLOSED</v>
      </c>
      <c r="G107" s="43" t="str">
        <f>+CPUE!F105</f>
        <v>CLOSED</v>
      </c>
      <c r="H107" s="41">
        <f>Effort!H105</f>
        <v>5889.7066666666697</v>
      </c>
      <c r="I107" s="42">
        <f>Harvest!H105</f>
        <v>84980.053333333301</v>
      </c>
      <c r="J107" s="43">
        <f>CPUE!H105</f>
        <v>14.428571428571416</v>
      </c>
      <c r="K107" s="41" t="str">
        <f>Effort!J105</f>
        <v>CLOSED</v>
      </c>
      <c r="L107" s="42" t="str">
        <f>Harvest!J105</f>
        <v>CLOSED</v>
      </c>
      <c r="M107" s="43" t="str">
        <f>CPUE!J105</f>
        <v>CLOSED</v>
      </c>
      <c r="N107" s="41">
        <f>Effort!L105</f>
        <v>7699.8371681415902</v>
      </c>
      <c r="O107" s="42">
        <f>Harvest!L105</f>
        <v>114437.94690265501</v>
      </c>
      <c r="P107" s="43">
        <f>CPUE!L105</f>
        <v>14.862385321100941</v>
      </c>
      <c r="Q107" s="41" t="s">
        <v>10</v>
      </c>
      <c r="R107" s="42" t="s">
        <v>10</v>
      </c>
      <c r="S107" s="44" t="s">
        <v>10</v>
      </c>
      <c r="T107" s="41">
        <f>SUM(H107+N107)</f>
        <v>13589.543834808261</v>
      </c>
      <c r="U107" s="42">
        <f>SUM(I107+O107)</f>
        <v>199418.00023598829</v>
      </c>
      <c r="V107" s="42"/>
    </row>
    <row r="108" spans="1:24" x14ac:dyDescent="0.25">
      <c r="A108" s="39">
        <v>45004</v>
      </c>
      <c r="B108" s="40" t="s">
        <v>20</v>
      </c>
      <c r="C108" s="8">
        <v>-0.7</v>
      </c>
      <c r="D108" s="13">
        <v>0.74583333333333324</v>
      </c>
      <c r="E108" s="41" t="str">
        <f>Effort!F106</f>
        <v>CLOSED</v>
      </c>
      <c r="F108" s="42" t="str">
        <f>Harvest!F106</f>
        <v>CLOSED</v>
      </c>
      <c r="G108" s="43" t="str">
        <f>+CPUE!F106</f>
        <v>CLOSED</v>
      </c>
      <c r="H108" s="41">
        <f>Effort!H106</f>
        <v>3200.7851258075202</v>
      </c>
      <c r="I108" s="42">
        <f>Harvest!H106</f>
        <v>48011.776887112901</v>
      </c>
      <c r="J108" s="43">
        <f>CPUE!H106</f>
        <v>15.00000000000003</v>
      </c>
      <c r="K108" s="41">
        <f>Effort!J106</f>
        <v>4714.4882256409001</v>
      </c>
      <c r="L108" s="42">
        <f>Harvest!J106</f>
        <v>68621.995284328703</v>
      </c>
      <c r="M108" s="43">
        <f>CPUE!J106</f>
        <v>14.555555555555566</v>
      </c>
      <c r="N108" s="41" t="str">
        <f>Effort!L106</f>
        <v>CLOSED</v>
      </c>
      <c r="O108" s="42" t="str">
        <f>Harvest!L106</f>
        <v>CLOSED</v>
      </c>
      <c r="P108" s="43" t="str">
        <f>CPUE!L106</f>
        <v>CLOSED</v>
      </c>
      <c r="Q108" s="41" t="s">
        <v>10</v>
      </c>
      <c r="R108" s="42" t="s">
        <v>10</v>
      </c>
      <c r="S108" s="44" t="s">
        <v>10</v>
      </c>
      <c r="T108" s="41">
        <f>SUM(H108+K108)</f>
        <v>7915.2733514484207</v>
      </c>
      <c r="U108" s="42">
        <f>SUM(I108+L108)</f>
        <v>116633.77217144161</v>
      </c>
      <c r="V108" s="42"/>
    </row>
    <row r="109" spans="1:24" x14ac:dyDescent="0.25">
      <c r="A109" s="39">
        <v>45005</v>
      </c>
      <c r="B109" s="40" t="s">
        <v>21</v>
      </c>
      <c r="C109" s="8">
        <v>-0.7</v>
      </c>
      <c r="D109" s="13">
        <v>0.77638888888888891</v>
      </c>
      <c r="E109" s="41" t="str">
        <f>Effort!F107</f>
        <v>CLOSED</v>
      </c>
      <c r="F109" s="42" t="str">
        <f>Harvest!F107</f>
        <v>CLOSED</v>
      </c>
      <c r="G109" s="43" t="str">
        <f>+CPUE!F107</f>
        <v>CLOSED</v>
      </c>
      <c r="H109" s="41">
        <f>Effort!H107</f>
        <v>1207.8976527682796</v>
      </c>
      <c r="I109" s="42">
        <f>Harvest!H107</f>
        <v>17514.515965140054</v>
      </c>
      <c r="J109" s="43">
        <f>CPUE!H107</f>
        <v>14.5</v>
      </c>
      <c r="K109" s="41" t="str">
        <f>Effort!J107</f>
        <v>CLOSED</v>
      </c>
      <c r="L109" s="42" t="str">
        <f>Harvest!J107</f>
        <v>CLOSED</v>
      </c>
      <c r="M109" s="43" t="str">
        <f>CPUE!J107</f>
        <v>CLOSED</v>
      </c>
      <c r="N109" s="41">
        <f>Effort!L107</f>
        <v>1579.13046752122</v>
      </c>
      <c r="O109" s="42">
        <f>Harvest!L107</f>
        <v>23406.2227074812</v>
      </c>
      <c r="P109" s="43">
        <f>CPUE!L107</f>
        <v>14.822222222222226</v>
      </c>
      <c r="Q109" s="41" t="s">
        <v>10</v>
      </c>
      <c r="R109" s="42" t="s">
        <v>10</v>
      </c>
      <c r="S109" s="44" t="s">
        <v>10</v>
      </c>
      <c r="T109" s="41">
        <f>SUM(H109+N109)</f>
        <v>2787.0281202894994</v>
      </c>
      <c r="U109" s="42">
        <f>SUM(I109+O109)</f>
        <v>40920.738672621257</v>
      </c>
      <c r="V109" s="42"/>
    </row>
    <row r="110" spans="1:24" x14ac:dyDescent="0.25">
      <c r="A110" s="39">
        <v>45006</v>
      </c>
      <c r="B110" s="40" t="s">
        <v>22</v>
      </c>
      <c r="C110" s="8">
        <v>-0.5</v>
      </c>
      <c r="D110" s="13">
        <v>0.8041666666666667</v>
      </c>
      <c r="E110" s="41" t="str">
        <f>Effort!F108</f>
        <v>CLOSED</v>
      </c>
      <c r="F110" s="42" t="str">
        <f>Harvest!F108</f>
        <v>CLOSED</v>
      </c>
      <c r="G110" s="43" t="str">
        <f>+CPUE!F108</f>
        <v>CLOSED</v>
      </c>
      <c r="H110" s="41">
        <f>Effort!H108</f>
        <v>1020.3104617803798</v>
      </c>
      <c r="I110" s="42">
        <f>Harvest!H108</f>
        <v>15304.656926705697</v>
      </c>
      <c r="J110" s="43">
        <f>CPUE!H108</f>
        <v>15</v>
      </c>
      <c r="K110" s="41">
        <f>Effort!J108</f>
        <v>1502.8317957920599</v>
      </c>
      <c r="L110" s="42">
        <f>Harvest!J108</f>
        <v>22542.476936880899</v>
      </c>
      <c r="M110" s="43">
        <f>CPUE!J108</f>
        <v>15</v>
      </c>
      <c r="N110" s="41" t="str">
        <f>Effort!L108</f>
        <v>CLOSED</v>
      </c>
      <c r="O110" s="42" t="str">
        <f>Harvest!L108</f>
        <v>CLOSED</v>
      </c>
      <c r="P110" s="43" t="str">
        <f>CPUE!L108</f>
        <v>CLOSED</v>
      </c>
      <c r="Q110" s="41" t="s">
        <v>10</v>
      </c>
      <c r="R110" s="42" t="s">
        <v>10</v>
      </c>
      <c r="S110" s="44" t="s">
        <v>10</v>
      </c>
      <c r="T110" s="41">
        <f>SUM(H110+K110)</f>
        <v>2523.1422575724396</v>
      </c>
      <c r="U110" s="42">
        <f>SUM(I110+L110)</f>
        <v>37847.133863586598</v>
      </c>
      <c r="V110" s="42"/>
    </row>
    <row r="111" spans="1:24" x14ac:dyDescent="0.25">
      <c r="A111" s="39">
        <v>45007</v>
      </c>
      <c r="B111" s="40" t="s">
        <v>23</v>
      </c>
      <c r="C111" s="8">
        <v>0</v>
      </c>
      <c r="D111" s="13">
        <v>0.8305555555555556</v>
      </c>
      <c r="E111" s="41" t="str">
        <f>Effort!F109</f>
        <v>CLOSED</v>
      </c>
      <c r="F111" s="42" t="str">
        <f>Harvest!F109</f>
        <v>CLOSED</v>
      </c>
      <c r="G111" s="43" t="str">
        <f>+CPUE!F109</f>
        <v>CLOSED</v>
      </c>
      <c r="H111" s="41">
        <f>Effort!H109</f>
        <v>975.79462212618409</v>
      </c>
      <c r="I111" s="42">
        <f>Harvest!H109</f>
        <v>13661.124709766576</v>
      </c>
      <c r="J111" s="43">
        <f>CPUE!H109</f>
        <v>14</v>
      </c>
      <c r="K111" s="41" t="str">
        <f>Effort!J109</f>
        <v>CLOSED</v>
      </c>
      <c r="L111" s="42" t="str">
        <f>Harvest!J109</f>
        <v>CLOSED</v>
      </c>
      <c r="M111" s="43" t="str">
        <f>CPUE!J109</f>
        <v>CLOSED</v>
      </c>
      <c r="N111" s="41">
        <f>Effort!L109</f>
        <v>1275.6933621911901</v>
      </c>
      <c r="O111" s="42">
        <f>Harvest!L109</f>
        <v>18102.6962825226</v>
      </c>
      <c r="P111" s="43">
        <f>CPUE!L109</f>
        <v>14.190476190476188</v>
      </c>
      <c r="Q111" s="41" t="s">
        <v>10</v>
      </c>
      <c r="R111" s="42" t="s">
        <v>10</v>
      </c>
      <c r="S111" s="44" t="s">
        <v>10</v>
      </c>
      <c r="T111" s="41">
        <f>SUM(H111+N111)</f>
        <v>2251.487984317374</v>
      </c>
      <c r="U111" s="42">
        <f>SUM(I111+O111)</f>
        <v>31763.820992289177</v>
      </c>
      <c r="V111" s="42"/>
    </row>
    <row r="112" spans="1:24" x14ac:dyDescent="0.25">
      <c r="A112" s="39">
        <v>45008</v>
      </c>
      <c r="B112" s="40" t="s">
        <v>24</v>
      </c>
      <c r="C112" s="8">
        <v>-0.3</v>
      </c>
      <c r="D112" s="13">
        <v>0.35347222222222219</v>
      </c>
      <c r="E112" s="41">
        <f>Effort!F110</f>
        <v>418.62591354279891</v>
      </c>
      <c r="F112" s="42">
        <f>Harvest!F110</f>
        <v>6279.3887031419836</v>
      </c>
      <c r="G112" s="43">
        <f>+CPUE!F110</f>
        <v>15</v>
      </c>
      <c r="H112" s="41">
        <f>Effort!H110</f>
        <v>487.10358572578889</v>
      </c>
      <c r="I112" s="42">
        <f>Harvest!H110</f>
        <v>6819.4502001610444</v>
      </c>
      <c r="J112" s="43">
        <f>CPUE!H110</f>
        <v>14</v>
      </c>
      <c r="K112" s="41">
        <f>Effort!J110</f>
        <v>928.33329644468199</v>
      </c>
      <c r="L112" s="42">
        <f>Harvest!J110</f>
        <v>12797.7375867017</v>
      </c>
      <c r="M112" s="43">
        <f>CPUE!J110</f>
        <v>13.785714285714299</v>
      </c>
      <c r="N112" s="41" t="str">
        <f>Effort!L110</f>
        <v>CLOSED</v>
      </c>
      <c r="O112" s="42" t="str">
        <f>Harvest!L110</f>
        <v>CLOSED</v>
      </c>
      <c r="P112" s="43" t="str">
        <f>CPUE!L110</f>
        <v>CLOSED</v>
      </c>
      <c r="Q112" s="41" t="s">
        <v>10</v>
      </c>
      <c r="R112" s="42" t="s">
        <v>10</v>
      </c>
      <c r="S112" s="44" t="s">
        <v>10</v>
      </c>
      <c r="T112" s="41">
        <f>SUM(E112+H112+K112)</f>
        <v>1834.0627957132697</v>
      </c>
      <c r="U112" s="42">
        <f>SUM(F112+I112+L112)</f>
        <v>25896.576490004729</v>
      </c>
      <c r="V112" s="42"/>
    </row>
    <row r="113" spans="1:24" x14ac:dyDescent="0.25">
      <c r="A113" s="39">
        <v>45009</v>
      </c>
      <c r="B113" s="40" t="s">
        <v>18</v>
      </c>
      <c r="C113" s="8">
        <v>-0.4</v>
      </c>
      <c r="D113" s="13">
        <v>0.3840277777777778</v>
      </c>
      <c r="E113" s="41">
        <f>Effort!F111</f>
        <v>1081.1499507593444</v>
      </c>
      <c r="F113" s="42">
        <f>Harvest!F111</f>
        <v>11352.074482973116</v>
      </c>
      <c r="G113" s="43">
        <f>+CPUE!F111</f>
        <v>10.5</v>
      </c>
      <c r="H113" s="41">
        <f>Effort!H111</f>
        <v>789.58680096677199</v>
      </c>
      <c r="I113" s="42">
        <f>Harvest!H111</f>
        <v>8219.8010562181898</v>
      </c>
      <c r="J113" s="43">
        <f>CPUE!H111</f>
        <v>10.410256410256409</v>
      </c>
      <c r="K113" s="41" t="str">
        <f>Effort!J111</f>
        <v>CLOSED</v>
      </c>
      <c r="L113" s="42" t="str">
        <f>Harvest!J111</f>
        <v>CLOSED</v>
      </c>
      <c r="M113" s="43" t="str">
        <f>CPUE!J111</f>
        <v>CLOSED</v>
      </c>
      <c r="N113" s="41">
        <f>Effort!L111</f>
        <v>1297.1675675675699</v>
      </c>
      <c r="O113" s="42">
        <f>Harvest!L111</f>
        <v>14150.9189189189</v>
      </c>
      <c r="P113" s="43">
        <f>CPUE!L111</f>
        <v>10.909090909090875</v>
      </c>
      <c r="Q113" s="41" t="s">
        <v>10</v>
      </c>
      <c r="R113" s="42" t="s">
        <v>10</v>
      </c>
      <c r="S113" s="44" t="s">
        <v>10</v>
      </c>
      <c r="T113" s="41">
        <f>SUM(E113+H113+N113)</f>
        <v>3167.9043192936861</v>
      </c>
      <c r="U113" s="42">
        <f>SUM(F113+I113+O113)</f>
        <v>33722.794458110206</v>
      </c>
      <c r="V113" s="42"/>
    </row>
    <row r="114" spans="1:24" x14ac:dyDescent="0.25">
      <c r="A114" s="39">
        <v>45010</v>
      </c>
      <c r="B114" s="40" t="s">
        <v>19</v>
      </c>
      <c r="C114" s="8">
        <v>-0.2</v>
      </c>
      <c r="D114" s="13">
        <v>0.4145833333333333</v>
      </c>
      <c r="E114" s="41">
        <f>Effort!F112</f>
        <v>3799.7585879640751</v>
      </c>
      <c r="F114" s="42">
        <f>Harvest!F112</f>
        <v>47496.982349550941</v>
      </c>
      <c r="G114" s="43">
        <f>+CPUE!F112</f>
        <v>12.5</v>
      </c>
      <c r="H114" s="41">
        <f>Effort!H112</f>
        <v>2775.0445031323902</v>
      </c>
      <c r="I114" s="42">
        <f>Harvest!H112</f>
        <v>39197.503606744998</v>
      </c>
      <c r="J114" s="43">
        <f>CPUE!H112</f>
        <v>14.124999999999995</v>
      </c>
      <c r="K114" s="41">
        <f>Effort!J112</f>
        <v>5288.7440923578397</v>
      </c>
      <c r="L114" s="42">
        <f>Harvest!J112</f>
        <v>76745.553162437107</v>
      </c>
      <c r="M114" s="43">
        <f>CPUE!J112</f>
        <v>14.511111111111113</v>
      </c>
      <c r="N114" s="41" t="str">
        <f>Effort!L112</f>
        <v>CLOSED</v>
      </c>
      <c r="O114" s="42" t="str">
        <f>Harvest!L112</f>
        <v>CLOSED</v>
      </c>
      <c r="P114" s="43" t="str">
        <f>CPUE!L112</f>
        <v>CLOSED</v>
      </c>
      <c r="Q114" s="41" t="s">
        <v>10</v>
      </c>
      <c r="R114" s="42" t="s">
        <v>10</v>
      </c>
      <c r="S114" s="44" t="s">
        <v>10</v>
      </c>
      <c r="T114" s="41">
        <f>SUM(E114+H114+K114)</f>
        <v>11863.547183454306</v>
      </c>
      <c r="U114" s="42">
        <f>SUM(F114+I114+L114)</f>
        <v>163440.03911873305</v>
      </c>
      <c r="V114" s="42"/>
    </row>
    <row r="115" spans="1:24" x14ac:dyDescent="0.25">
      <c r="A115" s="39">
        <v>45011</v>
      </c>
      <c r="B115" s="40" t="s">
        <v>20</v>
      </c>
      <c r="C115" s="8">
        <v>0.2</v>
      </c>
      <c r="D115" s="13">
        <v>0.44722222222222219</v>
      </c>
      <c r="E115" s="41">
        <f>Effort!F113</f>
        <v>3200.1209257750997</v>
      </c>
      <c r="F115" s="42">
        <f>Harvest!F113</f>
        <v>40001.511572188749</v>
      </c>
      <c r="G115" s="43">
        <f>+CPUE!F113</f>
        <v>12.5</v>
      </c>
      <c r="H115" s="41">
        <f>Effort!H113</f>
        <v>2337.1163664345631</v>
      </c>
      <c r="I115" s="42">
        <f>Harvest!H113</f>
        <v>29213.954580432041</v>
      </c>
      <c r="J115" s="43">
        <f>CPUE!H113</f>
        <v>12.5</v>
      </c>
      <c r="K115" s="41" t="str">
        <f>Effort!J113</f>
        <v>CLOSED</v>
      </c>
      <c r="L115" s="42" t="str">
        <f>Harvest!J113</f>
        <v>CLOSED</v>
      </c>
      <c r="M115" s="43" t="str">
        <f>CPUE!J113</f>
        <v>CLOSED</v>
      </c>
      <c r="N115" s="41">
        <f>Effort!L113</f>
        <v>3839.5165021228099</v>
      </c>
      <c r="O115" s="42">
        <f>Harvest!L113</f>
        <v>47523.072177218099</v>
      </c>
      <c r="P115" s="43">
        <f>CPUE!L113</f>
        <v>12.377358490566017</v>
      </c>
      <c r="Q115" s="41" t="s">
        <v>10</v>
      </c>
      <c r="R115" s="42" t="s">
        <v>10</v>
      </c>
      <c r="S115" s="44" t="s">
        <v>10</v>
      </c>
      <c r="T115" s="41">
        <f>SUM(E115+H115+N115)</f>
        <v>9376.7537943324733</v>
      </c>
      <c r="U115" s="42">
        <f>SUM(F115+I115+O115)</f>
        <v>116738.53832983889</v>
      </c>
      <c r="V115" s="42"/>
    </row>
    <row r="116" spans="1:24" x14ac:dyDescent="0.25">
      <c r="A116" s="117" t="s">
        <v>57</v>
      </c>
      <c r="B116" s="117"/>
      <c r="C116" s="117"/>
      <c r="D116" s="118"/>
      <c r="E116" s="47">
        <f>SUM(E106:E115)</f>
        <v>8499.6553780413178</v>
      </c>
      <c r="F116" s="48">
        <f>SUM(F106:F115)</f>
        <v>105129.95710785479</v>
      </c>
      <c r="G116" s="49">
        <f>+F116/E116</f>
        <v>12.368731722871475</v>
      </c>
      <c r="H116" s="47">
        <f>SUM(H106:H115)</f>
        <v>21118.786463964036</v>
      </c>
      <c r="I116" s="48">
        <f>SUM(I106:I115)</f>
        <v>299454.44744394714</v>
      </c>
      <c r="J116" s="49">
        <f>+I116/H116</f>
        <v>14.179529110487486</v>
      </c>
      <c r="K116" s="47">
        <f>SUM(K106:K115)</f>
        <v>16021.597410235481</v>
      </c>
      <c r="L116" s="48">
        <f>SUM(L106:L115)</f>
        <v>234515.76297034841</v>
      </c>
      <c r="M116" s="49">
        <f>+L116/K116</f>
        <v>14.637476960975613</v>
      </c>
      <c r="N116" s="47">
        <f>SUM(N106:N115)</f>
        <v>15691.34506754438</v>
      </c>
      <c r="O116" s="48">
        <f>SUM(O106:O115)</f>
        <v>217620.85698879583</v>
      </c>
      <c r="P116" s="49">
        <f>+O116/N116</f>
        <v>13.868846555348391</v>
      </c>
      <c r="Q116" s="47"/>
      <c r="R116" s="48"/>
      <c r="S116" s="49"/>
      <c r="T116" s="47">
        <f>SUM(T106:T115)</f>
        <v>61331.384319785218</v>
      </c>
      <c r="U116" s="48">
        <f>SUM(U106:U115)</f>
        <v>856721.02451094612</v>
      </c>
      <c r="V116" s="64"/>
      <c r="W116" s="20">
        <f>SUM(H116,K116,N116,Q116,E116)</f>
        <v>61331.384319785211</v>
      </c>
      <c r="X116" s="20">
        <f>SUM(R116,O116,L116,I116,F116)</f>
        <v>856721.02451094612</v>
      </c>
    </row>
    <row r="117" spans="1:24" x14ac:dyDescent="0.25">
      <c r="A117" s="39">
        <v>45022</v>
      </c>
      <c r="B117" s="40" t="s">
        <v>24</v>
      </c>
      <c r="C117" s="8">
        <v>0.3</v>
      </c>
      <c r="D117" s="13">
        <v>0.31527777777777777</v>
      </c>
      <c r="E117" s="41">
        <f>Effort!F115</f>
        <v>1100.2127876083134</v>
      </c>
      <c r="F117" s="42">
        <f>Harvest!F115</f>
        <v>19253.723783145484</v>
      </c>
      <c r="G117" s="43">
        <f>+CPUE!F115</f>
        <v>17.5</v>
      </c>
      <c r="H117" s="41">
        <f>Effort!H115</f>
        <v>676.67335149355222</v>
      </c>
      <c r="I117" s="42">
        <f>Harvest!H115</f>
        <v>11841.783651137164</v>
      </c>
      <c r="J117" s="43">
        <f>CPUE!H115</f>
        <v>17.5</v>
      </c>
      <c r="K117" s="41" t="str">
        <f>Effort!J115</f>
        <v>CLOSED</v>
      </c>
      <c r="L117" s="42" t="str">
        <f>Harvest!J115</f>
        <v>CLOSED</v>
      </c>
      <c r="M117" s="43" t="str">
        <f>CPUE!J115</f>
        <v>CLOSED</v>
      </c>
      <c r="N117" s="41">
        <f>Effort!L115</f>
        <v>723.46156499795097</v>
      </c>
      <c r="O117" s="42">
        <f>Harvest!L115</f>
        <v>12603.4620007538</v>
      </c>
      <c r="P117" s="43">
        <f>CPUE!L115</f>
        <v>17.421052631578977</v>
      </c>
      <c r="Q117" s="41" t="s">
        <v>10</v>
      </c>
      <c r="R117" s="42" t="s">
        <v>10</v>
      </c>
      <c r="S117" s="44" t="s">
        <v>10</v>
      </c>
      <c r="T117" s="41">
        <f>SUM(E117+H117+N117)</f>
        <v>2500.3477040998168</v>
      </c>
      <c r="U117" s="42">
        <f>SUM(F117+I117+O117)</f>
        <v>43698.969435036444</v>
      </c>
      <c r="V117" s="42"/>
    </row>
    <row r="118" spans="1:24" x14ac:dyDescent="0.25">
      <c r="A118" s="39">
        <v>45023</v>
      </c>
      <c r="B118" s="40" t="s">
        <v>18</v>
      </c>
      <c r="C118" s="8">
        <v>-0.1</v>
      </c>
      <c r="D118" s="13">
        <v>0.34027777777777773</v>
      </c>
      <c r="E118" s="41">
        <f>Effort!F116</f>
        <v>2707.4657373045402</v>
      </c>
      <c r="F118" s="42">
        <f>Harvest!F116</f>
        <v>48734.383271481725</v>
      </c>
      <c r="G118" s="43">
        <f>+CPUE!F116</f>
        <v>18</v>
      </c>
      <c r="H118" s="41">
        <f>Effort!H116</f>
        <v>1382.5372584957399</v>
      </c>
      <c r="I118" s="42">
        <f>Harvest!H116</f>
        <v>24440.446790017901</v>
      </c>
      <c r="J118" s="43">
        <f>CPUE!H116</f>
        <v>17.677966101694906</v>
      </c>
      <c r="K118" s="41">
        <f>Effort!J116</f>
        <v>2603.4286254029798</v>
      </c>
      <c r="L118" s="42">
        <f>Harvest!J116</f>
        <v>46057.715240585203</v>
      </c>
      <c r="M118" s="43">
        <f>CPUE!J116</f>
        <v>17.691176470588285</v>
      </c>
      <c r="N118" s="41" t="str">
        <f>Effort!L116</f>
        <v>CLOSED</v>
      </c>
      <c r="O118" s="42" t="str">
        <f>Harvest!L116</f>
        <v>CLOSED</v>
      </c>
      <c r="P118" s="43" t="str">
        <f>CPUE!L116</f>
        <v>CLOSED</v>
      </c>
      <c r="Q118" s="41" t="s">
        <v>10</v>
      </c>
      <c r="R118" s="42" t="s">
        <v>10</v>
      </c>
      <c r="S118" s="44" t="s">
        <v>10</v>
      </c>
      <c r="T118" s="41">
        <f>SUM(E118+H118+K118)</f>
        <v>6693.43162120326</v>
      </c>
      <c r="U118" s="42">
        <f>SUM(F118+I118+L118)</f>
        <v>119232.54530208482</v>
      </c>
      <c r="V118" s="42"/>
    </row>
    <row r="119" spans="1:24" x14ac:dyDescent="0.25">
      <c r="A119" s="39">
        <v>45024</v>
      </c>
      <c r="B119" s="40" t="s">
        <v>19</v>
      </c>
      <c r="C119" s="8">
        <v>-0.3</v>
      </c>
      <c r="D119" s="13">
        <v>0.3666666666666667</v>
      </c>
      <c r="E119" s="41">
        <f>Effort!F117</f>
        <v>4989.9998017152202</v>
      </c>
      <c r="F119" s="42">
        <f>Harvest!F117</f>
        <v>61602.441330249902</v>
      </c>
      <c r="G119" s="43">
        <f>+CPUE!F117</f>
        <v>12.345179113849905</v>
      </c>
      <c r="H119" s="41">
        <f>Effort!H117</f>
        <v>3069.0425777716937</v>
      </c>
      <c r="I119" s="42">
        <f>Harvest!H117</f>
        <v>46035.638666575403</v>
      </c>
      <c r="J119" s="43">
        <f>CPUE!H117</f>
        <v>15</v>
      </c>
      <c r="K119" s="41" t="str">
        <f>Effort!J117</f>
        <v>CLOSED</v>
      </c>
      <c r="L119" s="42" t="str">
        <f>Harvest!J117</f>
        <v>CLOSED</v>
      </c>
      <c r="M119" s="43" t="str">
        <f>CPUE!J117</f>
        <v>CLOSED</v>
      </c>
      <c r="N119" s="41">
        <f>Effort!L117</f>
        <v>3281.24986961484</v>
      </c>
      <c r="O119" s="42">
        <f>Harvest!L117</f>
        <v>54395.831171837199</v>
      </c>
      <c r="P119" s="43">
        <f>CPUE!L117</f>
        <v>16.577777777777801</v>
      </c>
      <c r="Q119" s="41" t="s">
        <v>10</v>
      </c>
      <c r="R119" s="42" t="s">
        <v>10</v>
      </c>
      <c r="S119" s="44" t="s">
        <v>10</v>
      </c>
      <c r="T119" s="41">
        <f>SUM(E119+H119+N119)</f>
        <v>11340.292249101754</v>
      </c>
      <c r="U119" s="42">
        <f>SUM(F119+I119+O119)</f>
        <v>162033.91116866251</v>
      </c>
      <c r="V119" s="42"/>
    </row>
    <row r="120" spans="1:24" x14ac:dyDescent="0.25">
      <c r="A120" s="39">
        <v>45025</v>
      </c>
      <c r="B120" s="40" t="s">
        <v>20</v>
      </c>
      <c r="C120" s="8">
        <v>-0.4</v>
      </c>
      <c r="D120" s="13">
        <v>0.39513888888888887</v>
      </c>
      <c r="E120" s="41">
        <f>Effort!F118</f>
        <v>2812.1357938582419</v>
      </c>
      <c r="F120" s="42">
        <f>Harvest!F118</f>
        <v>21091.018453936813</v>
      </c>
      <c r="G120" s="43">
        <f>+CPUE!F118</f>
        <v>7.5</v>
      </c>
      <c r="H120" s="41">
        <f>Effort!H118</f>
        <v>1435.98585843201</v>
      </c>
      <c r="I120" s="42">
        <f>Harvest!H118</f>
        <v>8091.6663451327404</v>
      </c>
      <c r="J120" s="43">
        <f>CPUE!H118</f>
        <v>5.6349206349206247</v>
      </c>
      <c r="K120" s="41">
        <f>Effort!J118</f>
        <v>2395.7406455425598</v>
      </c>
      <c r="L120" s="42">
        <f>Harvest!J118</f>
        <v>19729.628845644598</v>
      </c>
      <c r="M120" s="43">
        <f>CPUE!J118</f>
        <v>8.2352941176470544</v>
      </c>
      <c r="N120" s="41" t="str">
        <f>Effort!L118</f>
        <v>CLOSED</v>
      </c>
      <c r="O120" s="42" t="str">
        <f>Harvest!L118</f>
        <v>CLOSED</v>
      </c>
      <c r="P120" s="43" t="str">
        <f>CPUE!L118</f>
        <v>CLOSED</v>
      </c>
      <c r="Q120" s="41" t="s">
        <v>10</v>
      </c>
      <c r="R120" s="42" t="s">
        <v>10</v>
      </c>
      <c r="S120" s="44" t="s">
        <v>10</v>
      </c>
      <c r="T120" s="41">
        <f>SUM(E120+H120+K120)</f>
        <v>6643.8622978328121</v>
      </c>
      <c r="U120" s="42">
        <f>SUM(F120+I120+L120)</f>
        <v>48912.313644714151</v>
      </c>
      <c r="V120" s="42"/>
    </row>
    <row r="121" spans="1:24" x14ac:dyDescent="0.25">
      <c r="A121" s="39">
        <v>45026</v>
      </c>
      <c r="B121" s="40" t="s">
        <v>21</v>
      </c>
      <c r="C121" s="8">
        <v>-0.4</v>
      </c>
      <c r="D121" s="13">
        <v>0.42708333333333331</v>
      </c>
      <c r="E121" s="41">
        <f>Effort!F119</f>
        <v>1807.6980999008686</v>
      </c>
      <c r="F121" s="42">
        <f>Harvest!F119</f>
        <v>28923.169598413897</v>
      </c>
      <c r="G121" s="43">
        <f>+CPUE!F119</f>
        <v>16</v>
      </c>
      <c r="H121" s="41">
        <f>Effort!H119</f>
        <v>1111.8041396405999</v>
      </c>
      <c r="I121" s="42">
        <f>Harvest!H119</f>
        <v>17566.505406321601</v>
      </c>
      <c r="J121" s="43">
        <f>CPUE!H119</f>
        <v>15.800000000000109</v>
      </c>
      <c r="K121" s="41" t="str">
        <f>Effort!J119</f>
        <v>CLOSED</v>
      </c>
      <c r="L121" s="42" t="str">
        <f>Harvest!J119</f>
        <v>CLOSED</v>
      </c>
      <c r="M121" s="43" t="str">
        <f>CPUE!J119</f>
        <v>CLOSED</v>
      </c>
      <c r="N121" s="41">
        <f>Effort!L119</f>
        <v>1188.67923653301</v>
      </c>
      <c r="O121" s="42">
        <f>Harvest!L119</f>
        <v>18583.018731132699</v>
      </c>
      <c r="P121" s="43">
        <f>CPUE!L119</f>
        <v>15.633333333333313</v>
      </c>
      <c r="Q121" s="41" t="s">
        <v>10</v>
      </c>
      <c r="R121" s="42" t="s">
        <v>10</v>
      </c>
      <c r="S121" s="44" t="s">
        <v>10</v>
      </c>
      <c r="T121" s="41">
        <f>SUM(E121+H121+N121)</f>
        <v>4108.1814760744783</v>
      </c>
      <c r="U121" s="42">
        <f>SUM(F121+I121+O121)</f>
        <v>65072.693735868204</v>
      </c>
      <c r="V121" s="42"/>
    </row>
    <row r="122" spans="1:24" x14ac:dyDescent="0.25">
      <c r="A122" s="39">
        <v>45027</v>
      </c>
      <c r="B122" s="40" t="s">
        <v>22</v>
      </c>
      <c r="C122" s="8">
        <v>-0.2</v>
      </c>
      <c r="D122" s="13">
        <v>0.46458333333333335</v>
      </c>
      <c r="E122" s="41">
        <f>Effort!F120</f>
        <v>1346.3022336423819</v>
      </c>
      <c r="F122" s="42">
        <f>Harvest!F120</f>
        <v>22887.137971920492</v>
      </c>
      <c r="G122" s="43">
        <f>+CPUE!F120</f>
        <v>17</v>
      </c>
      <c r="H122" s="41">
        <f>Effort!H120</f>
        <v>939.11572613454723</v>
      </c>
      <c r="I122" s="42">
        <f>Harvest!H120</f>
        <v>15964.967344287303</v>
      </c>
      <c r="J122" s="43">
        <f>CPUE!H120</f>
        <v>17</v>
      </c>
      <c r="K122" s="41">
        <f>Effort!J120</f>
        <v>1566.7826411782701</v>
      </c>
      <c r="L122" s="42">
        <f>Harvest!J120</f>
        <v>26461.2179398997</v>
      </c>
      <c r="M122" s="43">
        <f>CPUE!J120</f>
        <v>16.888888888888907</v>
      </c>
      <c r="N122" s="41" t="str">
        <f>Effort!L120</f>
        <v>CLOSED</v>
      </c>
      <c r="O122" s="42" t="str">
        <f>Harvest!L120</f>
        <v>CLOSED</v>
      </c>
      <c r="P122" s="43" t="str">
        <f>CPUE!L120</f>
        <v>CLOSED</v>
      </c>
      <c r="Q122" s="41" t="s">
        <v>10</v>
      </c>
      <c r="R122" s="42" t="s">
        <v>10</v>
      </c>
      <c r="S122" s="44" t="s">
        <v>10</v>
      </c>
      <c r="T122" s="41">
        <f>SUM(E122+H122+K122)</f>
        <v>3852.2006009551988</v>
      </c>
      <c r="U122" s="42">
        <f>SUM(F122+I122+L122)</f>
        <v>65313.323256107498</v>
      </c>
      <c r="V122" s="42"/>
    </row>
    <row r="123" spans="1:24" x14ac:dyDescent="0.25">
      <c r="A123" s="39">
        <v>45028</v>
      </c>
      <c r="B123" s="40" t="s">
        <v>23</v>
      </c>
      <c r="C123" s="8">
        <v>0.1</v>
      </c>
      <c r="D123" s="13">
        <v>0.5083333333333333</v>
      </c>
      <c r="E123" s="41">
        <f>Effort!F121</f>
        <v>2630.2246952409605</v>
      </c>
      <c r="F123" s="42">
        <f>Harvest!F121</f>
        <v>43398.707471475849</v>
      </c>
      <c r="G123" s="43">
        <f>+CPUE!F121</f>
        <v>16.5</v>
      </c>
      <c r="H123" s="41">
        <f>Effort!H121</f>
        <v>1617.6897594317322</v>
      </c>
      <c r="I123" s="42">
        <f>Harvest!H121</f>
        <v>26691.881030623583</v>
      </c>
      <c r="J123" s="43">
        <f>CPUE!H121</f>
        <v>16.5</v>
      </c>
      <c r="K123" s="41" t="str">
        <f>Effort!J121</f>
        <v>CLOSED</v>
      </c>
      <c r="L123" s="42" t="str">
        <f>Harvest!J121</f>
        <v>CLOSED</v>
      </c>
      <c r="M123" s="43" t="str">
        <f>CPUE!J121</f>
        <v>CLOSED</v>
      </c>
      <c r="N123" s="41">
        <f>Effort!L121</f>
        <v>1729.54404434056</v>
      </c>
      <c r="O123" s="42">
        <f>Harvest!L121</f>
        <v>28467.360081172999</v>
      </c>
      <c r="P123" s="43">
        <f>CPUE!L121</f>
        <v>16.45945945945946</v>
      </c>
      <c r="Q123" s="41" t="s">
        <v>10</v>
      </c>
      <c r="R123" s="42" t="s">
        <v>10</v>
      </c>
      <c r="S123" s="44" t="s">
        <v>10</v>
      </c>
      <c r="T123" s="41">
        <f>SUM(E123+H123+N123)</f>
        <v>5977.4584990132535</v>
      </c>
      <c r="U123" s="42">
        <f>SUM(F123+I123+O123)</f>
        <v>98557.948583272431</v>
      </c>
      <c r="V123" s="42"/>
    </row>
    <row r="124" spans="1:24" x14ac:dyDescent="0.25">
      <c r="A124" s="117" t="s">
        <v>57</v>
      </c>
      <c r="B124" s="117"/>
      <c r="C124" s="117"/>
      <c r="D124" s="118"/>
      <c r="E124" s="47">
        <f>SUM(E117:E123)</f>
        <v>17394.039149270524</v>
      </c>
      <c r="F124" s="48">
        <f>SUM(F117:F123)</f>
        <v>245890.58188062414</v>
      </c>
      <c r="G124" s="49">
        <f>+F124/E124</f>
        <v>14.13648548048349</v>
      </c>
      <c r="H124" s="47">
        <f>SUM(H117:H123)</f>
        <v>10232.848671399875</v>
      </c>
      <c r="I124" s="48">
        <f>SUM(I117:I123)</f>
        <v>150632.8892340957</v>
      </c>
      <c r="J124" s="49">
        <f>+I124/H124</f>
        <v>14.720523489720366</v>
      </c>
      <c r="K124" s="47">
        <f>SUM(K117:K123)</f>
        <v>6565.95191212381</v>
      </c>
      <c r="L124" s="48">
        <f>SUM(L117:L123)</f>
        <v>92248.562026129497</v>
      </c>
      <c r="M124" s="49">
        <f>+L124/K124</f>
        <v>14.049533603162036</v>
      </c>
      <c r="N124" s="47">
        <f>SUM(N117:N123)</f>
        <v>6922.9347154863608</v>
      </c>
      <c r="O124" s="48">
        <f>SUM(O117:O123)</f>
        <v>114049.6719848967</v>
      </c>
      <c r="P124" s="49">
        <v>0</v>
      </c>
      <c r="Q124" s="47"/>
      <c r="R124" s="48"/>
      <c r="S124" s="49"/>
      <c r="T124" s="47">
        <f>SUM(T117:T123)</f>
        <v>41115.774448280572</v>
      </c>
      <c r="U124" s="48">
        <f>SUM(U117:U123)</f>
        <v>602821.70512574608</v>
      </c>
      <c r="V124" s="64"/>
      <c r="W124" s="20">
        <f>SUM(H124,K124,N124,Q124,E124)</f>
        <v>41115.774448280572</v>
      </c>
      <c r="X124" s="20">
        <f>SUM(R124,O124,L124,I124,F124)</f>
        <v>602821.70512574608</v>
      </c>
    </row>
    <row r="125" spans="1:24" x14ac:dyDescent="0.25">
      <c r="A125" s="39">
        <v>45035</v>
      </c>
      <c r="B125" s="40" t="s">
        <v>23</v>
      </c>
      <c r="C125" s="8">
        <v>-0.4</v>
      </c>
      <c r="D125" s="13">
        <v>0.28055555555555556</v>
      </c>
      <c r="E125" s="41">
        <f>Effort!F123</f>
        <v>319.93719405884605</v>
      </c>
      <c r="F125" s="42">
        <f>Harvest!F123</f>
        <v>4319.1521197944212</v>
      </c>
      <c r="G125" s="43">
        <f>+CPUE!F123</f>
        <v>13.5</v>
      </c>
      <c r="H125" s="41">
        <f>Effort!H123</f>
        <v>204.53442504501737</v>
      </c>
      <c r="I125" s="42">
        <f>Harvest!H123</f>
        <v>2761.2147381077343</v>
      </c>
      <c r="J125" s="43">
        <f>CPUE!H123</f>
        <v>13.5</v>
      </c>
      <c r="K125" s="41" t="str">
        <f>Effort!J123</f>
        <v>CLOSED</v>
      </c>
      <c r="L125" s="42" t="str">
        <f>Harvest!J123</f>
        <v>CLOSED</v>
      </c>
      <c r="M125" s="43" t="str">
        <f>CPUE!J123</f>
        <v>CLOSED</v>
      </c>
      <c r="N125" s="41">
        <f>Effort!L123</f>
        <v>254.335809067387</v>
      </c>
      <c r="O125" s="42">
        <f>Harvest!L123</f>
        <v>3433.5334224097301</v>
      </c>
      <c r="P125" s="43">
        <f>CPUE!L123</f>
        <v>13.500000000000021</v>
      </c>
      <c r="Q125" s="41" t="s">
        <v>10</v>
      </c>
      <c r="R125" s="42" t="s">
        <v>10</v>
      </c>
      <c r="S125" s="44" t="s">
        <v>10</v>
      </c>
      <c r="T125" s="41">
        <f>SUM(E125+H125+N125)</f>
        <v>778.80742817125042</v>
      </c>
      <c r="U125" s="42">
        <f>SUM(F125+I125+O125)</f>
        <v>10513.900280311886</v>
      </c>
      <c r="V125" s="42"/>
    </row>
    <row r="126" spans="1:24" x14ac:dyDescent="0.25">
      <c r="A126" s="39">
        <v>45036</v>
      </c>
      <c r="B126" s="40" t="s">
        <v>24</v>
      </c>
      <c r="C126" s="8">
        <v>-0.9</v>
      </c>
      <c r="D126" s="13">
        <v>0.31111111111111112</v>
      </c>
      <c r="E126" s="41">
        <f>Effort!F124</f>
        <v>1522.8793558419791</v>
      </c>
      <c r="F126" s="42">
        <f>Harvest!F124</f>
        <v>28934.707760997604</v>
      </c>
      <c r="G126" s="43">
        <f>+CPUE!F124</f>
        <v>19</v>
      </c>
      <c r="H126" s="41">
        <f>Effort!H124</f>
        <v>853.66129361010042</v>
      </c>
      <c r="I126" s="42">
        <f>Harvest!H124</f>
        <v>16219.564578591908</v>
      </c>
      <c r="J126" s="43">
        <f>CPUE!H124</f>
        <v>19</v>
      </c>
      <c r="K126" s="41">
        <f>Effort!J124</f>
        <v>1204.78586482286</v>
      </c>
      <c r="L126" s="42">
        <f>Harvest!J124</f>
        <v>22825.2158390076</v>
      </c>
      <c r="M126" s="43">
        <f>CPUE!J124</f>
        <v>18.945454545454513</v>
      </c>
      <c r="N126" s="41" t="str">
        <f>Effort!L124</f>
        <v>CLOSED</v>
      </c>
      <c r="O126" s="42" t="str">
        <f>Harvest!L124</f>
        <v>CLOSED</v>
      </c>
      <c r="P126" s="43" t="str">
        <f>CPUE!L124</f>
        <v>CLOSED</v>
      </c>
      <c r="Q126" s="41" t="s">
        <v>10</v>
      </c>
      <c r="R126" s="42" t="s">
        <v>10</v>
      </c>
      <c r="S126" s="44" t="s">
        <v>10</v>
      </c>
      <c r="T126" s="41">
        <f>SUM(E126+H126+K126)</f>
        <v>3581.3265142749397</v>
      </c>
      <c r="U126" s="42">
        <f>SUM(F126+I126+L126)</f>
        <v>67979.488178597123</v>
      </c>
      <c r="V126" s="42"/>
    </row>
    <row r="127" spans="1:24" x14ac:dyDescent="0.25">
      <c r="A127" s="39">
        <v>45037</v>
      </c>
      <c r="B127" s="40" t="s">
        <v>18</v>
      </c>
      <c r="C127" s="8">
        <v>-1.2</v>
      </c>
      <c r="D127" s="13">
        <v>0.33958333333333335</v>
      </c>
      <c r="E127" s="41">
        <f>Effort!F125</f>
        <v>3528.6180644231463</v>
      </c>
      <c r="F127" s="42">
        <f>Harvest!F125</f>
        <v>56457.88903077034</v>
      </c>
      <c r="G127" s="43">
        <f>+CPUE!F125</f>
        <v>16</v>
      </c>
      <c r="H127" s="41">
        <f>Effort!H125</f>
        <v>2866.7886675801001</v>
      </c>
      <c r="I127" s="42">
        <f>Harvest!H125</f>
        <v>45183.082260773299</v>
      </c>
      <c r="J127" s="43">
        <f>CPUE!H125</f>
        <v>15.760869565217385</v>
      </c>
      <c r="K127" s="41" t="str">
        <f>Effort!J125</f>
        <v>CLOSED</v>
      </c>
      <c r="L127" s="42" t="str">
        <f>Harvest!J125</f>
        <v>CLOSED</v>
      </c>
      <c r="M127" s="43" t="str">
        <f>CPUE!J125</f>
        <v>CLOSED</v>
      </c>
      <c r="N127" s="41">
        <f>Effort!L125</f>
        <v>2805.09408399634</v>
      </c>
      <c r="O127" s="42">
        <f>Harvest!L125</f>
        <v>52476.429892120199</v>
      </c>
      <c r="P127" s="43">
        <f>CPUE!L125</f>
        <v>18.707547169811317</v>
      </c>
      <c r="Q127" s="41" t="s">
        <v>10</v>
      </c>
      <c r="R127" s="42" t="s">
        <v>10</v>
      </c>
      <c r="S127" s="44" t="s">
        <v>10</v>
      </c>
      <c r="T127" s="41">
        <f>SUM(E127+H127+N127)</f>
        <v>9200.5008159995868</v>
      </c>
      <c r="U127" s="42">
        <f>SUM(F127+I127+O127)</f>
        <v>154117.40118366384</v>
      </c>
      <c r="V127" s="42"/>
    </row>
    <row r="128" spans="1:24" x14ac:dyDescent="0.25">
      <c r="A128" s="39">
        <v>45038</v>
      </c>
      <c r="B128" s="40" t="s">
        <v>19</v>
      </c>
      <c r="C128" s="8">
        <v>-1.1000000000000001</v>
      </c>
      <c r="D128" s="13">
        <v>0.36805555555555558</v>
      </c>
      <c r="E128" s="41">
        <f>Effort!F126</f>
        <v>8390.4581818181778</v>
      </c>
      <c r="F128" s="42">
        <f>Harvest!F126</f>
        <v>164452.98036363631</v>
      </c>
      <c r="G128" s="43">
        <f>+CPUE!F126</f>
        <v>19.600000000000001</v>
      </c>
      <c r="H128" s="41">
        <f>Effort!H126</f>
        <v>4703.3334308430804</v>
      </c>
      <c r="I128" s="42">
        <f>Harvest!H126</f>
        <v>93725.847353756995</v>
      </c>
      <c r="J128" s="43">
        <f>CPUE!H126</f>
        <v>19.927536231884048</v>
      </c>
      <c r="K128" s="41">
        <f>Effort!J126</f>
        <v>6637.8898486366897</v>
      </c>
      <c r="L128" s="42">
        <f>Harvest!J126</f>
        <v>128900.644763391</v>
      </c>
      <c r="M128" s="43">
        <f>CPUE!J126</f>
        <v>19.418918918918941</v>
      </c>
      <c r="N128" s="41" t="str">
        <f>Effort!L126</f>
        <v>CLOSED</v>
      </c>
      <c r="O128" s="42" t="str">
        <f>Harvest!L126</f>
        <v>CLOSED</v>
      </c>
      <c r="P128" s="43" t="str">
        <f>CPUE!L126</f>
        <v>CLOSED</v>
      </c>
      <c r="Q128" s="41" t="s">
        <v>10</v>
      </c>
      <c r="R128" s="42" t="s">
        <v>10</v>
      </c>
      <c r="S128" s="44" t="s">
        <v>10</v>
      </c>
      <c r="T128" s="41">
        <f>SUM(E128+H128+K128)</f>
        <v>19731.681461297947</v>
      </c>
      <c r="U128" s="42">
        <f>SUM(F128+I128+L128)</f>
        <v>387079.47248078429</v>
      </c>
      <c r="V128" s="42"/>
    </row>
    <row r="129" spans="1:24" x14ac:dyDescent="0.25">
      <c r="A129" s="39">
        <v>45039</v>
      </c>
      <c r="B129" s="40" t="s">
        <v>20</v>
      </c>
      <c r="C129" s="8">
        <v>-0.8</v>
      </c>
      <c r="D129" s="13">
        <v>0.39652777777777781</v>
      </c>
      <c r="E129" s="41">
        <f>Effort!F127</f>
        <v>6561.5702835419997</v>
      </c>
      <c r="F129" s="42">
        <f>Harvest!F127</f>
        <v>106953.5956217346</v>
      </c>
      <c r="G129" s="43">
        <f>+CPUE!F127</f>
        <v>16.3</v>
      </c>
      <c r="H129" s="41">
        <f>Effort!H127</f>
        <v>4194.7826956621002</v>
      </c>
      <c r="I129" s="42">
        <f>Harvest!H127</f>
        <v>58365.338541367499</v>
      </c>
      <c r="J129" s="43">
        <f>CPUE!H127</f>
        <v>13.913793103448276</v>
      </c>
      <c r="K129" s="41" t="str">
        <f>Effort!J127</f>
        <v>CLOSED</v>
      </c>
      <c r="L129" s="42" t="str">
        <f>Harvest!J127</f>
        <v>CLOSED</v>
      </c>
      <c r="M129" s="43" t="str">
        <f>CPUE!J127</f>
        <v>CLOSED</v>
      </c>
      <c r="N129" s="41">
        <f>Effort!L127</f>
        <v>5216.1559137454597</v>
      </c>
      <c r="O129" s="42">
        <f>Harvest!L127</f>
        <v>95538.013578074693</v>
      </c>
      <c r="P129" s="43">
        <f>CPUE!L127</f>
        <v>18.315789473684202</v>
      </c>
      <c r="Q129" s="41" t="s">
        <v>10</v>
      </c>
      <c r="R129" s="42" t="s">
        <v>10</v>
      </c>
      <c r="S129" s="44" t="s">
        <v>10</v>
      </c>
      <c r="T129" s="41">
        <f>SUM(E129+H129+N129)</f>
        <v>15972.508892949561</v>
      </c>
      <c r="U129" s="42">
        <f>SUM(F129+I129+O129)</f>
        <v>260856.94774117679</v>
      </c>
      <c r="V129" s="42"/>
    </row>
    <row r="130" spans="1:24" x14ac:dyDescent="0.25">
      <c r="A130" s="39">
        <v>45040</v>
      </c>
      <c r="B130" s="40" t="s">
        <v>21</v>
      </c>
      <c r="C130" s="8">
        <v>-0.4</v>
      </c>
      <c r="D130" s="13">
        <v>0.42638888888888887</v>
      </c>
      <c r="E130" s="41">
        <f>Effort!F128</f>
        <v>2773.5918356878365</v>
      </c>
      <c r="F130" s="42">
        <f>Harvest!F128</f>
        <v>34669.897946097954</v>
      </c>
      <c r="G130" s="43">
        <f>+CPUE!F128</f>
        <v>12.5</v>
      </c>
      <c r="H130" s="41">
        <f>Effort!H128</f>
        <v>1290.3119300011938</v>
      </c>
      <c r="I130" s="42">
        <f>Harvest!H128</f>
        <v>20644.990880019101</v>
      </c>
      <c r="J130" s="43">
        <f>CPUE!H128</f>
        <v>16</v>
      </c>
      <c r="K130" s="41">
        <f>Effort!J128</f>
        <v>1821.03790591654</v>
      </c>
      <c r="L130" s="42">
        <f>Harvest!J128</f>
        <v>35206.732847719803</v>
      </c>
      <c r="M130" s="43">
        <f>CPUE!J128</f>
        <v>19.33333333333335</v>
      </c>
      <c r="N130" s="41" t="str">
        <f>Effort!L128</f>
        <v>CLOSED</v>
      </c>
      <c r="O130" s="42" t="str">
        <f>Harvest!L128</f>
        <v>CLOSED</v>
      </c>
      <c r="P130" s="43" t="str">
        <f>CPUE!L128</f>
        <v>CLOSED</v>
      </c>
      <c r="Q130" s="41" t="s">
        <v>10</v>
      </c>
      <c r="R130" s="42" t="s">
        <v>10</v>
      </c>
      <c r="S130" s="44" t="s">
        <v>10</v>
      </c>
      <c r="T130" s="41">
        <f>SUM(E130+H130+K130)</f>
        <v>5884.9416716055703</v>
      </c>
      <c r="U130" s="42">
        <f>SUM(F130+I130+L130)</f>
        <v>90521.621673836853</v>
      </c>
      <c r="V130" s="42"/>
    </row>
    <row r="131" spans="1:24" x14ac:dyDescent="0.25">
      <c r="A131" s="39">
        <v>45041</v>
      </c>
      <c r="B131" s="40" t="s">
        <v>22</v>
      </c>
      <c r="C131" s="8">
        <v>0.1</v>
      </c>
      <c r="D131" s="13">
        <v>0.45902777777777781</v>
      </c>
      <c r="E131" s="41">
        <f>Effort!F129</f>
        <v>1485.742517169771</v>
      </c>
      <c r="F131" s="42">
        <f>Harvest!F129</f>
        <v>28971.979084810533</v>
      </c>
      <c r="G131" s="43">
        <f>+CPUE!F129</f>
        <v>19.5</v>
      </c>
      <c r="H131" s="41">
        <f>Effort!H129</f>
        <v>949.82858247597903</v>
      </c>
      <c r="I131" s="42">
        <f>Harvest!H129</f>
        <v>18511.103707365201</v>
      </c>
      <c r="J131" s="43">
        <f>CPUE!H129</f>
        <v>19.488888888888898</v>
      </c>
      <c r="K131" s="41" t="str">
        <f>Effort!J129</f>
        <v>CLOSED</v>
      </c>
      <c r="L131" s="42" t="str">
        <f>Harvest!J129</f>
        <v>CLOSED</v>
      </c>
      <c r="M131" s="43" t="str">
        <f>CPUE!J129</f>
        <v>CLOSED</v>
      </c>
      <c r="N131" s="41">
        <f>Effort!L129</f>
        <v>703.25899996902206</v>
      </c>
      <c r="O131" s="42">
        <f>Harvest!L129</f>
        <v>14065.1799993804</v>
      </c>
      <c r="P131" s="43">
        <f>CPUE!L129</f>
        <v>19.99999999999994</v>
      </c>
      <c r="Q131" s="41" t="s">
        <v>10</v>
      </c>
      <c r="R131" s="42" t="s">
        <v>10</v>
      </c>
      <c r="S131" s="44" t="s">
        <v>10</v>
      </c>
      <c r="T131" s="41">
        <f>SUM(E131+H131+N131)</f>
        <v>3138.8300996147723</v>
      </c>
      <c r="U131" s="42">
        <f>SUM(F131+I131+O131)</f>
        <v>61548.262791556132</v>
      </c>
      <c r="V131" s="42"/>
    </row>
    <row r="132" spans="1:24" x14ac:dyDescent="0.25">
      <c r="A132" s="117" t="s">
        <v>57</v>
      </c>
      <c r="B132" s="117"/>
      <c r="C132" s="117"/>
      <c r="D132" s="118"/>
      <c r="E132" s="47">
        <f>SUM(E125:E131)</f>
        <v>24582.797432541756</v>
      </c>
      <c r="F132" s="48">
        <f>SUM(F125:F131)</f>
        <v>424760.20192784176</v>
      </c>
      <c r="G132" s="49">
        <f>+F132/E132</f>
        <v>17.278757761130986</v>
      </c>
      <c r="H132" s="47">
        <f>SUM(H125:H131)</f>
        <v>15063.24102521757</v>
      </c>
      <c r="I132" s="48">
        <f>SUM(I125:I131)</f>
        <v>255411.14205998174</v>
      </c>
      <c r="J132" s="49">
        <f>+I132/H132</f>
        <v>16.955922144005701</v>
      </c>
      <c r="K132" s="47">
        <f>SUM(K125:K131)</f>
        <v>9663.7136193760907</v>
      </c>
      <c r="L132" s="48">
        <f>SUM(L125:L131)</f>
        <v>186932.59345011841</v>
      </c>
      <c r="M132" s="49">
        <f>+L132/K132</f>
        <v>19.34376377579235</v>
      </c>
      <c r="N132" s="47">
        <f>SUM(N125:N131)</f>
        <v>8978.8448067782101</v>
      </c>
      <c r="O132" s="48">
        <f>SUM(O125:O131)</f>
        <v>165513.15689198501</v>
      </c>
      <c r="P132" s="49">
        <v>0</v>
      </c>
      <c r="Q132" s="47"/>
      <c r="R132" s="48"/>
      <c r="S132" s="49"/>
      <c r="T132" s="47">
        <f>SUM(T125:T131)</f>
        <v>58288.596883913626</v>
      </c>
      <c r="U132" s="48">
        <f>SUM(U125:U131)</f>
        <v>1032617.0943299269</v>
      </c>
      <c r="V132" s="64"/>
      <c r="W132" s="20">
        <f>SUM(H132,K132,N132,Q132,E132)</f>
        <v>58288.596883913633</v>
      </c>
      <c r="X132" s="20">
        <f>SUM(R132,O132,L132,I132,F132)</f>
        <v>1032617.0943299269</v>
      </c>
    </row>
    <row r="133" spans="1:24" ht="15.75" thickBot="1" x14ac:dyDescent="0.3">
      <c r="A133" s="87"/>
      <c r="B133" s="87"/>
      <c r="C133" s="87"/>
      <c r="D133" s="87"/>
      <c r="E133" s="64"/>
      <c r="F133" s="64"/>
      <c r="G133" s="65"/>
      <c r="H133" s="64"/>
      <c r="I133" s="64"/>
      <c r="J133" s="65"/>
      <c r="K133" s="64"/>
      <c r="L133" s="64"/>
      <c r="M133" s="65"/>
      <c r="N133" s="64"/>
      <c r="O133" s="64"/>
      <c r="P133" s="65"/>
      <c r="Q133" s="64"/>
      <c r="R133" s="64"/>
      <c r="S133" s="65"/>
      <c r="T133" s="64"/>
      <c r="U133" s="64"/>
    </row>
    <row r="134" spans="1:24" ht="15.75" thickTop="1" x14ac:dyDescent="0.25">
      <c r="A134" s="58" t="s">
        <v>58</v>
      </c>
      <c r="B134" s="59"/>
      <c r="C134" s="59"/>
      <c r="D134" s="59"/>
      <c r="E134" s="60">
        <f>+SUM(E13,E21,E29,E84,E91,E98,E105,E116,E124,E132)</f>
        <v>67589.388936101648</v>
      </c>
      <c r="F134" s="60">
        <f>+SUM(F13,F21,F29,F84,F91,F98,F105,F116,F124,F132)</f>
        <v>1005430.6183420393</v>
      </c>
      <c r="G134" s="61">
        <f>+F134/E134</f>
        <v>14.875568993419421</v>
      </c>
      <c r="H134" s="60">
        <f>+SUM(H13,H21,H29,H84,H91,H98,H105,H116,H124,H132)</f>
        <v>61499.774356360336</v>
      </c>
      <c r="I134" s="60">
        <f>+SUM(I13,I21,I29,I84,I91,I98,I105,I116,I124,I132)</f>
        <v>912852.47510629892</v>
      </c>
      <c r="J134" s="61">
        <f>+I134/H134</f>
        <v>14.84318413620149</v>
      </c>
      <c r="K134" s="60">
        <f>+SUM(K13,K21,K29,K84,K91,K98,K105,K116,K124,K132)</f>
        <v>62523.005189364318</v>
      </c>
      <c r="L134" s="60">
        <f>+SUM(L13,L21,L29,L84,L91,L98,L105,L116,L124,L132)</f>
        <v>871584.53574212152</v>
      </c>
      <c r="M134" s="61">
        <f>+L134/K134</f>
        <v>13.940221412939781</v>
      </c>
      <c r="N134" s="60">
        <f>+SUM(N13,N21,N29,N84,N91,N98,N105,N116,N124,N132)</f>
        <v>45806.652069348296</v>
      </c>
      <c r="O134" s="60">
        <f>+SUM(O13,O21,O29,O84,O91,O98,O105,O116,O124,O132)</f>
        <v>670659.9617020234</v>
      </c>
      <c r="P134" s="61">
        <f>+O134/N134</f>
        <v>14.641104106160995</v>
      </c>
      <c r="Q134" s="60">
        <f>+Q13</f>
        <v>0</v>
      </c>
      <c r="R134" s="60">
        <f>+R13</f>
        <v>0</v>
      </c>
      <c r="S134" s="61">
        <v>0</v>
      </c>
      <c r="T134" s="60">
        <f>+SUM(T13,T21,T29,T84,T91,T98,T105,T116,T124,T132)</f>
        <v>237418.82055117461</v>
      </c>
      <c r="U134" s="60">
        <f>+SUM(U13,U21,U29,U84,U91,U98,U105,U116,U124,U132)</f>
        <v>3460527.5908924835</v>
      </c>
      <c r="V134" s="64"/>
      <c r="W134" s="20">
        <f>SUM(W4:W133)</f>
        <v>237418.82055117463</v>
      </c>
      <c r="X134" s="20">
        <f>SUM(X4:X133)</f>
        <v>3460527.5908924835</v>
      </c>
    </row>
    <row r="135" spans="1:24" x14ac:dyDescent="0.25">
      <c r="A135" s="62" t="s">
        <v>59</v>
      </c>
      <c r="B135" s="63"/>
      <c r="C135" s="63"/>
      <c r="D135" s="63"/>
      <c r="E135" s="64"/>
      <c r="F135" s="64">
        <f>Harvest!F133</f>
        <v>70380.143283942773</v>
      </c>
      <c r="G135" s="65"/>
      <c r="H135" s="64"/>
      <c r="I135" s="64">
        <f>Harvest!H133</f>
        <v>9128.5247510629906</v>
      </c>
      <c r="J135" s="65"/>
      <c r="K135" s="64"/>
      <c r="L135" s="64">
        <f>Harvest!J133</f>
        <v>17431.690714842429</v>
      </c>
      <c r="M135" s="65"/>
      <c r="N135" s="64"/>
      <c r="O135" s="64">
        <f>Harvest!L133</f>
        <v>13413.199234040463</v>
      </c>
      <c r="P135" s="65"/>
      <c r="Q135" s="64"/>
      <c r="R135" s="64">
        <f>Harvest!N133</f>
        <v>0</v>
      </c>
      <c r="S135" s="65"/>
      <c r="T135" s="64"/>
      <c r="U135" s="64">
        <f>F135+I135+L135+O135+R135</f>
        <v>110353.55798388865</v>
      </c>
      <c r="V135" s="64"/>
      <c r="W135" s="20">
        <f>SUM(H134,K134,N134,Q134,E134)</f>
        <v>237418.82055117458</v>
      </c>
      <c r="X135" s="20">
        <f>SUM(R134,O134,L134,I134,F134)</f>
        <v>3460527.590892483</v>
      </c>
    </row>
    <row r="136" spans="1:24" x14ac:dyDescent="0.25">
      <c r="A136" s="66" t="s">
        <v>60</v>
      </c>
      <c r="B136" s="67"/>
      <c r="C136" s="67"/>
      <c r="D136" s="67"/>
      <c r="E136" s="68">
        <f>Effort!F131</f>
        <v>67589.388936101648</v>
      </c>
      <c r="F136" s="68">
        <f>F134+F135</f>
        <v>1075810.7616259821</v>
      </c>
      <c r="G136" s="69"/>
      <c r="H136" s="68">
        <f>Effort!H131</f>
        <v>61499.774356360351</v>
      </c>
      <c r="I136" s="68">
        <f>I134+I135</f>
        <v>921980.99985736189</v>
      </c>
      <c r="J136" s="69"/>
      <c r="K136" s="68">
        <f>Effort!J131</f>
        <v>62523.005189364303</v>
      </c>
      <c r="L136" s="68">
        <f>L134+L135</f>
        <v>889016.22645696392</v>
      </c>
      <c r="M136" s="69"/>
      <c r="N136" s="68">
        <f>Effort!L131</f>
        <v>45806.652069348296</v>
      </c>
      <c r="O136" s="68">
        <f>O134+O135</f>
        <v>684073.16093606385</v>
      </c>
      <c r="P136" s="69"/>
      <c r="Q136" s="68">
        <f>Effort!N131</f>
        <v>0</v>
      </c>
      <c r="R136" s="68">
        <f>R134+R135</f>
        <v>0</v>
      </c>
      <c r="S136" s="69"/>
      <c r="T136" s="68">
        <f>SUM(T134:T135)</f>
        <v>237418.82055117461</v>
      </c>
      <c r="U136" s="70">
        <f>SUM(U134:U135)</f>
        <v>3570881.1488763723</v>
      </c>
      <c r="V136" s="64"/>
    </row>
    <row r="137" spans="1:24" x14ac:dyDescent="0.25">
      <c r="A137" s="71" t="s">
        <v>14</v>
      </c>
      <c r="B137" s="72"/>
      <c r="C137" s="72"/>
      <c r="D137" s="72"/>
      <c r="E137" s="72"/>
      <c r="F137" s="73">
        <f>Harvest!F136</f>
        <v>0.12423868702885685</v>
      </c>
      <c r="G137" s="72"/>
      <c r="H137" s="72"/>
      <c r="I137" s="73">
        <f>Harvest!H136</f>
        <v>0.27023477090993786</v>
      </c>
      <c r="J137" s="72"/>
      <c r="K137" s="72"/>
      <c r="L137" s="73">
        <f>Harvest!J136</f>
        <v>0.26908720242950146</v>
      </c>
      <c r="M137" s="72"/>
      <c r="N137" s="72"/>
      <c r="O137" s="73">
        <f>Harvest!L136</f>
        <v>0.34743762293161912</v>
      </c>
      <c r="P137" s="72"/>
      <c r="Q137" s="72"/>
      <c r="R137" s="73">
        <f>Harvest!N136</f>
        <v>0</v>
      </c>
      <c r="S137" s="72"/>
      <c r="T137" s="102"/>
      <c r="U137" s="103"/>
      <c r="V137" s="63"/>
    </row>
    <row r="139" spans="1:24" x14ac:dyDescent="0.25">
      <c r="F139" s="20"/>
    </row>
  </sheetData>
  <mergeCells count="21">
    <mergeCell ref="A132:D132"/>
    <mergeCell ref="A21:D21"/>
    <mergeCell ref="Q2:S2"/>
    <mergeCell ref="A38:D38"/>
    <mergeCell ref="A46:D46"/>
    <mergeCell ref="A124:D124"/>
    <mergeCell ref="A56:D56"/>
    <mergeCell ref="A66:D66"/>
    <mergeCell ref="A116:D116"/>
    <mergeCell ref="A29:D29"/>
    <mergeCell ref="A105:D105"/>
    <mergeCell ref="A98:D98"/>
    <mergeCell ref="A91:D91"/>
    <mergeCell ref="A75:D75"/>
    <mergeCell ref="A84:D84"/>
    <mergeCell ref="T2:U2"/>
    <mergeCell ref="A13:D13"/>
    <mergeCell ref="E2:G2"/>
    <mergeCell ref="H2:J2"/>
    <mergeCell ref="N2:P2"/>
    <mergeCell ref="K2:M2"/>
  </mergeCells>
  <phoneticPr fontId="17" type="noConversion"/>
  <pageMargins left="0.7" right="0.7" top="0.75" bottom="0.75" header="0.3" footer="0.3"/>
  <pageSetup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39"/>
  <sheetViews>
    <sheetView topLeftCell="A104" zoomScale="90" zoomScaleNormal="90" workbookViewId="0">
      <selection activeCell="S139" sqref="S139"/>
    </sheetView>
  </sheetViews>
  <sheetFormatPr defaultRowHeight="15" x14ac:dyDescent="0.25"/>
  <cols>
    <col min="17" max="17" width="10.85546875" style="20" customWidth="1"/>
    <col min="21" max="21" width="10.140625" customWidth="1"/>
  </cols>
  <sheetData>
    <row r="1" spans="1:21" ht="15.75" thickBot="1" x14ac:dyDescent="0.3">
      <c r="A1" s="34" t="s">
        <v>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45"/>
      <c r="R1" s="34"/>
    </row>
    <row r="2" spans="1:21" ht="15.75" thickTop="1" x14ac:dyDescent="0.25">
      <c r="A2" s="35"/>
      <c r="B2" s="35"/>
      <c r="C2" s="35"/>
      <c r="D2" s="35"/>
      <c r="E2" s="121" t="s">
        <v>47</v>
      </c>
      <c r="F2" s="122"/>
      <c r="G2" s="122"/>
      <c r="H2" s="123"/>
      <c r="I2" s="121" t="s">
        <v>48</v>
      </c>
      <c r="J2" s="122"/>
      <c r="K2" s="122"/>
      <c r="L2" s="123"/>
      <c r="M2" s="124" t="s">
        <v>49</v>
      </c>
      <c r="N2" s="125"/>
      <c r="O2" s="125"/>
      <c r="P2" s="126"/>
      <c r="Q2" s="119" t="s">
        <v>52</v>
      </c>
      <c r="R2" s="120"/>
    </row>
    <row r="3" spans="1:21" ht="15.75" thickBot="1" x14ac:dyDescent="0.3">
      <c r="A3" s="36" t="s">
        <v>53</v>
      </c>
      <c r="B3" s="36" t="s">
        <v>54</v>
      </c>
      <c r="C3" s="36" t="s">
        <v>55</v>
      </c>
      <c r="D3" s="36" t="s">
        <v>56</v>
      </c>
      <c r="E3" s="37" t="s">
        <v>27</v>
      </c>
      <c r="F3" s="36" t="s">
        <v>28</v>
      </c>
      <c r="G3" s="36" t="s">
        <v>29</v>
      </c>
      <c r="H3" s="36" t="s">
        <v>61</v>
      </c>
      <c r="I3" s="37" t="s">
        <v>27</v>
      </c>
      <c r="J3" s="36" t="s">
        <v>28</v>
      </c>
      <c r="K3" s="36" t="s">
        <v>29</v>
      </c>
      <c r="L3" s="36" t="s">
        <v>61</v>
      </c>
      <c r="M3" s="37" t="s">
        <v>27</v>
      </c>
      <c r="N3" s="36" t="s">
        <v>28</v>
      </c>
      <c r="O3" s="36" t="s">
        <v>29</v>
      </c>
      <c r="P3" s="36" t="s">
        <v>61</v>
      </c>
      <c r="Q3" s="46" t="s">
        <v>27</v>
      </c>
      <c r="R3" s="38" t="s">
        <v>28</v>
      </c>
      <c r="T3" s="8" t="s">
        <v>65</v>
      </c>
      <c r="U3" s="8" t="s">
        <v>66</v>
      </c>
    </row>
    <row r="4" spans="1:21" ht="15.75" thickTop="1" x14ac:dyDescent="0.25">
      <c r="A4" s="39">
        <v>44826</v>
      </c>
      <c r="B4" s="40" t="s">
        <v>24</v>
      </c>
      <c r="C4" s="8">
        <v>0.4</v>
      </c>
      <c r="D4" s="13">
        <v>0.21041666666666667</v>
      </c>
      <c r="E4" s="41" t="str">
        <f>Effort!J2</f>
        <v>CLOSED</v>
      </c>
      <c r="F4" s="42" t="str">
        <f>Harvest!J2</f>
        <v>CLOSED</v>
      </c>
      <c r="G4" s="43" t="str">
        <f>CPUE!J2</f>
        <v>CLOSED</v>
      </c>
      <c r="H4" s="43"/>
      <c r="I4" s="41" t="str">
        <f>Effort!L2</f>
        <v>CLOSED</v>
      </c>
      <c r="J4" s="42" t="str">
        <f>Harvest!L2</f>
        <v>CLOSED</v>
      </c>
      <c r="K4" s="43" t="str">
        <f>CPUE!L2</f>
        <v>CLOSED</v>
      </c>
      <c r="L4" s="43"/>
      <c r="M4" s="41" t="s">
        <v>10</v>
      </c>
      <c r="N4" s="42" t="s">
        <v>10</v>
      </c>
      <c r="O4" s="77" t="s">
        <v>10</v>
      </c>
      <c r="P4" s="43"/>
      <c r="Q4" s="41">
        <f t="shared" ref="Q4:R11" si="0">SUM(E4,I4)</f>
        <v>0</v>
      </c>
      <c r="R4" s="42">
        <f t="shared" si="0"/>
        <v>0</v>
      </c>
    </row>
    <row r="5" spans="1:21" x14ac:dyDescent="0.25">
      <c r="A5" s="39">
        <v>44827</v>
      </c>
      <c r="B5" s="40" t="s">
        <v>18</v>
      </c>
      <c r="C5" s="8">
        <v>0.1</v>
      </c>
      <c r="D5" s="13">
        <v>0.23680555555555557</v>
      </c>
      <c r="E5" s="41" t="str">
        <f>Effort!J3</f>
        <v>CLOSED</v>
      </c>
      <c r="F5" s="42" t="str">
        <f>Harvest!J3</f>
        <v>CLOSED</v>
      </c>
      <c r="G5" s="43" t="str">
        <f>CPUE!J3</f>
        <v>CLOSED</v>
      </c>
      <c r="H5" s="43"/>
      <c r="I5" s="41" t="str">
        <f>Effort!L3</f>
        <v>CLOSED</v>
      </c>
      <c r="J5" s="42" t="str">
        <f>Harvest!L3</f>
        <v>CLOSED</v>
      </c>
      <c r="K5" s="43" t="str">
        <f>CPUE!L3</f>
        <v>CLOSED</v>
      </c>
      <c r="L5" s="43"/>
      <c r="M5" s="41" t="s">
        <v>10</v>
      </c>
      <c r="N5" s="42" t="s">
        <v>10</v>
      </c>
      <c r="O5" s="43" t="s">
        <v>10</v>
      </c>
      <c r="P5" s="43"/>
      <c r="Q5" s="41">
        <f t="shared" si="0"/>
        <v>0</v>
      </c>
      <c r="R5" s="42">
        <f t="shared" si="0"/>
        <v>0</v>
      </c>
    </row>
    <row r="6" spans="1:21" x14ac:dyDescent="0.25">
      <c r="A6" s="39">
        <v>44828</v>
      </c>
      <c r="B6" s="40" t="s">
        <v>19</v>
      </c>
      <c r="C6" s="8">
        <v>0</v>
      </c>
      <c r="D6" s="13">
        <v>0.26041666666666669</v>
      </c>
      <c r="E6" s="41" t="str">
        <f>Effort!J4</f>
        <v>CLOSED</v>
      </c>
      <c r="F6" s="42" t="str">
        <f>Harvest!J4</f>
        <v>CLOSED</v>
      </c>
      <c r="G6" s="43" t="str">
        <f>CPUE!J4</f>
        <v>CLOSED</v>
      </c>
      <c r="H6" s="43"/>
      <c r="I6" s="41" t="str">
        <f>Effort!L4</f>
        <v>CLOSED</v>
      </c>
      <c r="J6" s="42" t="str">
        <f>Harvest!L4</f>
        <v>CLOSED</v>
      </c>
      <c r="K6" s="43" t="str">
        <f>CPUE!L4</f>
        <v>CLOSED</v>
      </c>
      <c r="L6" s="43"/>
      <c r="M6" s="41" t="s">
        <v>10</v>
      </c>
      <c r="N6" s="42" t="s">
        <v>10</v>
      </c>
      <c r="O6" s="43" t="s">
        <v>10</v>
      </c>
      <c r="P6" s="44"/>
      <c r="Q6" s="41">
        <f t="shared" si="0"/>
        <v>0</v>
      </c>
      <c r="R6" s="42">
        <f t="shared" si="0"/>
        <v>0</v>
      </c>
    </row>
    <row r="7" spans="1:21" x14ac:dyDescent="0.25">
      <c r="A7" s="39">
        <v>44829</v>
      </c>
      <c r="B7" s="40" t="s">
        <v>20</v>
      </c>
      <c r="C7" s="8">
        <v>0.1</v>
      </c>
      <c r="D7" s="13">
        <v>0.28333333333333333</v>
      </c>
      <c r="E7" s="41" t="str">
        <f>Effort!J5</f>
        <v>CLOSED</v>
      </c>
      <c r="F7" s="42" t="str">
        <f>Harvest!J5</f>
        <v>CLOSED</v>
      </c>
      <c r="G7" s="43" t="str">
        <f>CPUE!J5</f>
        <v>CLOSED</v>
      </c>
      <c r="H7" s="43"/>
      <c r="I7" s="41" t="str">
        <f>Effort!L5</f>
        <v>CLOSED</v>
      </c>
      <c r="J7" s="42" t="str">
        <f>Harvest!L5</f>
        <v>CLOSED</v>
      </c>
      <c r="K7" s="43" t="str">
        <f>CPUE!L5</f>
        <v>CLOSED</v>
      </c>
      <c r="L7" s="43"/>
      <c r="M7" s="41" t="s">
        <v>10</v>
      </c>
      <c r="N7" s="42" t="s">
        <v>10</v>
      </c>
      <c r="O7" s="43" t="s">
        <v>10</v>
      </c>
      <c r="P7" s="43"/>
      <c r="Q7" s="41">
        <f t="shared" si="0"/>
        <v>0</v>
      </c>
      <c r="R7" s="42">
        <f t="shared" si="0"/>
        <v>0</v>
      </c>
    </row>
    <row r="8" spans="1:21" x14ac:dyDescent="0.25">
      <c r="A8" s="39">
        <v>44830</v>
      </c>
      <c r="B8" s="40" t="s">
        <v>21</v>
      </c>
      <c r="C8" s="8">
        <v>0.3</v>
      </c>
      <c r="D8" s="13">
        <v>0.30486111111111108</v>
      </c>
      <c r="E8" s="41" t="str">
        <f>Effort!J6</f>
        <v>CLOSED</v>
      </c>
      <c r="F8" s="42" t="str">
        <f>Harvest!J6</f>
        <v>CLOSED</v>
      </c>
      <c r="G8" s="43" t="str">
        <f>CPUE!J6</f>
        <v>CLOSED</v>
      </c>
      <c r="H8" s="43"/>
      <c r="I8" s="41" t="str">
        <f>Effort!L6</f>
        <v>CLOSED</v>
      </c>
      <c r="J8" s="42" t="str">
        <f>Harvest!L6</f>
        <v>CLOSED</v>
      </c>
      <c r="K8" s="43" t="str">
        <f>CPUE!L6</f>
        <v>CLOSED</v>
      </c>
      <c r="L8" s="43"/>
      <c r="M8" s="41" t="s">
        <v>10</v>
      </c>
      <c r="N8" s="42" t="s">
        <v>10</v>
      </c>
      <c r="O8" s="43" t="s">
        <v>10</v>
      </c>
      <c r="P8" s="44"/>
      <c r="Q8" s="41">
        <f t="shared" si="0"/>
        <v>0</v>
      </c>
      <c r="R8" s="42">
        <f t="shared" si="0"/>
        <v>0</v>
      </c>
    </row>
    <row r="9" spans="1:21" x14ac:dyDescent="0.25">
      <c r="A9" s="39">
        <v>44831</v>
      </c>
      <c r="B9" s="40" t="s">
        <v>22</v>
      </c>
      <c r="C9" s="8">
        <v>-0.1</v>
      </c>
      <c r="D9" s="13">
        <v>0.85</v>
      </c>
      <c r="E9" s="41" t="str">
        <f>Effort!J7</f>
        <v>CLOSED</v>
      </c>
      <c r="F9" s="42" t="str">
        <f>Harvest!J7</f>
        <v>CLOSED</v>
      </c>
      <c r="G9" s="43" t="str">
        <f>CPUE!J7</f>
        <v>CLOSED</v>
      </c>
      <c r="H9" s="43"/>
      <c r="I9" s="41" t="str">
        <f>Effort!L7</f>
        <v>CLOSED</v>
      </c>
      <c r="J9" s="42" t="str">
        <f>Harvest!L7</f>
        <v>CLOSED</v>
      </c>
      <c r="K9" s="43" t="str">
        <f>CPUE!L7</f>
        <v>CLOSED</v>
      </c>
      <c r="L9" s="43"/>
      <c r="M9" s="41" t="s">
        <v>10</v>
      </c>
      <c r="N9" s="42" t="s">
        <v>10</v>
      </c>
      <c r="O9" s="43" t="s">
        <v>10</v>
      </c>
      <c r="P9" s="44"/>
      <c r="Q9" s="41">
        <f t="shared" si="0"/>
        <v>0</v>
      </c>
      <c r="R9" s="42">
        <f t="shared" si="0"/>
        <v>0</v>
      </c>
    </row>
    <row r="10" spans="1:21" x14ac:dyDescent="0.25">
      <c r="A10" s="39">
        <v>44832</v>
      </c>
      <c r="B10" s="40" t="s">
        <v>23</v>
      </c>
      <c r="C10" s="8">
        <v>-0.3</v>
      </c>
      <c r="D10" s="13">
        <v>0.87916666666666676</v>
      </c>
      <c r="E10" s="41">
        <f>Effort!J8</f>
        <v>200.86580998773201</v>
      </c>
      <c r="F10" s="42">
        <f>Harvest!J8</f>
        <v>1767.6191278920501</v>
      </c>
      <c r="G10" s="43">
        <f>CPUE!J8</f>
        <v>8.8000000000000416</v>
      </c>
      <c r="H10" s="43"/>
      <c r="I10" s="41" t="str">
        <f>Effort!L8</f>
        <v>CLOSED</v>
      </c>
      <c r="J10" s="42" t="str">
        <f>Harvest!L8</f>
        <v>CLOSED</v>
      </c>
      <c r="K10" s="43" t="str">
        <f>CPUE!L8</f>
        <v>CLOSED</v>
      </c>
      <c r="L10" s="43"/>
      <c r="M10" s="41" t="s">
        <v>10</v>
      </c>
      <c r="N10" s="42" t="s">
        <v>10</v>
      </c>
      <c r="O10" s="43" t="s">
        <v>10</v>
      </c>
      <c r="P10" s="44"/>
      <c r="Q10" s="41">
        <f t="shared" si="0"/>
        <v>200.86580998773201</v>
      </c>
      <c r="R10" s="42">
        <f t="shared" si="0"/>
        <v>1767.6191278920501</v>
      </c>
    </row>
    <row r="11" spans="1:21" x14ac:dyDescent="0.25">
      <c r="A11" s="39">
        <v>44833</v>
      </c>
      <c r="B11" s="40" t="s">
        <v>24</v>
      </c>
      <c r="C11" s="8">
        <v>-0.4</v>
      </c>
      <c r="D11" s="13">
        <v>0.91041666666666676</v>
      </c>
      <c r="E11" s="41" t="str">
        <f>Effort!J9</f>
        <v>CLOSED</v>
      </c>
      <c r="F11" s="42" t="str">
        <f>Harvest!J9</f>
        <v>CLOSED</v>
      </c>
      <c r="G11" s="43" t="str">
        <f>CPUE!J9</f>
        <v>CLOSED</v>
      </c>
      <c r="H11" s="43"/>
      <c r="I11" s="41" t="str">
        <f>Effort!L9</f>
        <v>CLOSED</v>
      </c>
      <c r="J11" s="42" t="str">
        <f>Harvest!L9</f>
        <v>CLOSED</v>
      </c>
      <c r="K11" s="43" t="str">
        <f>CPUE!L9</f>
        <v>CLOSED</v>
      </c>
      <c r="L11" s="43"/>
      <c r="M11" s="41" t="s">
        <v>10</v>
      </c>
      <c r="N11" s="42" t="s">
        <v>10</v>
      </c>
      <c r="O11" s="43" t="s">
        <v>10</v>
      </c>
      <c r="P11" s="44"/>
      <c r="Q11" s="41">
        <f>SUM(E11,I11)</f>
        <v>0</v>
      </c>
      <c r="R11" s="42">
        <f t="shared" si="0"/>
        <v>0</v>
      </c>
    </row>
    <row r="12" spans="1:21" x14ac:dyDescent="0.25">
      <c r="A12" s="39">
        <v>44834</v>
      </c>
      <c r="B12" s="40" t="s">
        <v>18</v>
      </c>
      <c r="C12" s="8">
        <v>-0.2</v>
      </c>
      <c r="D12" s="13">
        <v>0.94652777777777775</v>
      </c>
      <c r="E12" s="41">
        <f>Effort!J10</f>
        <v>619.084942720036</v>
      </c>
      <c r="F12" s="42">
        <f>Harvest!J10</f>
        <v>8299.6075133404793</v>
      </c>
      <c r="G12" s="43">
        <f>CPUE!J10</f>
        <v>13.406249999999995</v>
      </c>
      <c r="H12" s="43"/>
      <c r="I12" s="41" t="str">
        <f>Effort!L10</f>
        <v>CLOSED</v>
      </c>
      <c r="J12" s="42" t="str">
        <f>Harvest!L10</f>
        <v>CLOSED</v>
      </c>
      <c r="K12" s="43" t="str">
        <f>CPUE!L10</f>
        <v>CLOSED</v>
      </c>
      <c r="L12" s="43"/>
      <c r="M12" s="41" t="s">
        <v>10</v>
      </c>
      <c r="N12" s="42" t="s">
        <v>10</v>
      </c>
      <c r="O12" s="43" t="s">
        <v>10</v>
      </c>
      <c r="P12" s="78"/>
      <c r="Q12" s="41">
        <f>SUM(E12,I12)</f>
        <v>619.084942720036</v>
      </c>
      <c r="R12" s="42">
        <f>SUM(F12,J12)</f>
        <v>8299.6075133404793</v>
      </c>
    </row>
    <row r="13" spans="1:21" x14ac:dyDescent="0.25">
      <c r="A13" s="117" t="s">
        <v>57</v>
      </c>
      <c r="B13" s="117"/>
      <c r="C13" s="117"/>
      <c r="D13" s="118"/>
      <c r="E13" s="47">
        <f>SUM(E4:E12)</f>
        <v>819.95075270776806</v>
      </c>
      <c r="F13" s="48">
        <f>SUM(F4:F12)</f>
        <v>10067.22664123253</v>
      </c>
      <c r="G13" s="49">
        <f>+F13/E13</f>
        <v>12.277843038727605</v>
      </c>
      <c r="H13" s="49"/>
      <c r="I13" s="47">
        <f>SUM(I4:I12)</f>
        <v>0</v>
      </c>
      <c r="J13" s="48">
        <f>SUM(J4:J12)</f>
        <v>0</v>
      </c>
      <c r="K13" s="49">
        <v>0</v>
      </c>
      <c r="L13" s="49"/>
      <c r="M13" s="47"/>
      <c r="N13" s="48"/>
      <c r="O13" s="85"/>
      <c r="P13" s="49"/>
      <c r="Q13" s="47">
        <f>SUM(Q4:Q12)</f>
        <v>819.95075270776806</v>
      </c>
      <c r="R13" s="48">
        <f>SUM(R4:R12)</f>
        <v>10067.22664123253</v>
      </c>
      <c r="T13" s="20">
        <f>SUM(E13,I13)</f>
        <v>819.95075270776806</v>
      </c>
      <c r="U13" s="20">
        <f>SUM(F13,J13)</f>
        <v>10067.22664123253</v>
      </c>
    </row>
    <row r="14" spans="1:21" x14ac:dyDescent="0.25">
      <c r="A14" s="39">
        <v>44842</v>
      </c>
      <c r="B14" s="40" t="s">
        <v>19</v>
      </c>
      <c r="C14" s="8">
        <v>0.5</v>
      </c>
      <c r="D14" s="13">
        <v>0.76458333333333339</v>
      </c>
      <c r="E14" s="41" t="str">
        <f>Effort!J12</f>
        <v>CLOSED</v>
      </c>
      <c r="F14" s="42" t="str">
        <f>Harvest!J12</f>
        <v>CLOSED</v>
      </c>
      <c r="G14" s="43" t="str">
        <f>CPUE!J12</f>
        <v>CLOSED</v>
      </c>
      <c r="H14" s="43"/>
      <c r="I14" s="41" t="str">
        <f>Effort!L12</f>
        <v>CLOSED</v>
      </c>
      <c r="J14" s="42" t="str">
        <f>Harvest!L12</f>
        <v>CLOSED</v>
      </c>
      <c r="K14" s="43" t="str">
        <f>CPUE!L12</f>
        <v>CLOSED</v>
      </c>
      <c r="L14" s="43"/>
      <c r="M14" s="41" t="s">
        <v>10</v>
      </c>
      <c r="N14" s="42" t="s">
        <v>10</v>
      </c>
      <c r="O14" s="43" t="s">
        <v>10</v>
      </c>
      <c r="P14" s="44"/>
      <c r="Q14" s="41">
        <f t="shared" ref="Q14:Q18" si="1">SUM(E14,I14)</f>
        <v>0</v>
      </c>
      <c r="R14" s="42">
        <f t="shared" ref="R14:R19" si="2">SUM(F14,J14)</f>
        <v>0</v>
      </c>
    </row>
    <row r="15" spans="1:21" x14ac:dyDescent="0.25">
      <c r="A15" s="39">
        <v>44843</v>
      </c>
      <c r="B15" s="40" t="s">
        <v>20</v>
      </c>
      <c r="C15" s="8">
        <v>-0.1</v>
      </c>
      <c r="D15" s="13">
        <v>0.79513888888888884</v>
      </c>
      <c r="E15" s="41">
        <f>Effort!J13</f>
        <v>3429.6323931361599</v>
      </c>
      <c r="F15" s="42">
        <f>Harvest!J13</f>
        <v>49687.844915192203</v>
      </c>
      <c r="G15" s="43">
        <f>CPUE!J13</f>
        <v>14.48780487804879</v>
      </c>
      <c r="H15" s="43"/>
      <c r="I15" s="41" t="str">
        <f>Effort!L13</f>
        <v>CLOSED</v>
      </c>
      <c r="J15" s="42" t="str">
        <f>Harvest!L13</f>
        <v>CLOSED</v>
      </c>
      <c r="K15" s="43" t="str">
        <f>CPUE!L13</f>
        <v>CLOSED</v>
      </c>
      <c r="L15" s="43"/>
      <c r="M15" s="41" t="s">
        <v>10</v>
      </c>
      <c r="N15" s="42" t="s">
        <v>10</v>
      </c>
      <c r="O15" s="43" t="s">
        <v>10</v>
      </c>
      <c r="P15" s="43"/>
      <c r="Q15" s="41">
        <f t="shared" si="1"/>
        <v>3429.6323931361599</v>
      </c>
      <c r="R15" s="42">
        <f t="shared" si="2"/>
        <v>49687.844915192203</v>
      </c>
    </row>
    <row r="16" spans="1:21" x14ac:dyDescent="0.25">
      <c r="A16" s="39">
        <v>44844</v>
      </c>
      <c r="B16" s="40" t="s">
        <v>21</v>
      </c>
      <c r="C16" s="8">
        <v>-0.5</v>
      </c>
      <c r="D16" s="13">
        <v>0.82361111111111107</v>
      </c>
      <c r="E16" s="41" t="str">
        <f>Effort!J14</f>
        <v>CLOSED</v>
      </c>
      <c r="F16" s="42" t="str">
        <f>Harvest!J14</f>
        <v>CLOSED</v>
      </c>
      <c r="G16" s="43" t="str">
        <f>CPUE!J14</f>
        <v>CLOSED</v>
      </c>
      <c r="H16" s="43"/>
      <c r="I16" s="41" t="str">
        <f>Effort!L14</f>
        <v>CLOSED</v>
      </c>
      <c r="J16" s="42" t="str">
        <f>Harvest!L14</f>
        <v>CLOSED</v>
      </c>
      <c r="K16" s="43" t="str">
        <f>CPUE!L14</f>
        <v>CLOSED</v>
      </c>
      <c r="L16" s="43"/>
      <c r="M16" s="41" t="s">
        <v>10</v>
      </c>
      <c r="N16" s="42" t="s">
        <v>10</v>
      </c>
      <c r="O16" s="43" t="s">
        <v>10</v>
      </c>
      <c r="P16" s="44"/>
      <c r="Q16" s="41">
        <f t="shared" si="1"/>
        <v>0</v>
      </c>
      <c r="R16" s="42">
        <f t="shared" si="2"/>
        <v>0</v>
      </c>
    </row>
    <row r="17" spans="1:21" x14ac:dyDescent="0.25">
      <c r="A17" s="39">
        <v>44845</v>
      </c>
      <c r="B17" s="40" t="s">
        <v>22</v>
      </c>
      <c r="C17" s="8">
        <v>-0.6</v>
      </c>
      <c r="D17" s="13">
        <v>0.85138888888888886</v>
      </c>
      <c r="E17" s="41">
        <f>Effort!J15</f>
        <v>950.02105263157898</v>
      </c>
      <c r="F17" s="42">
        <f>Harvest!J15</f>
        <v>14071.3263157895</v>
      </c>
      <c r="G17" s="43">
        <f>CPUE!J15</f>
        <v>14.811594202898577</v>
      </c>
      <c r="H17" s="43"/>
      <c r="I17" s="41" t="str">
        <f>Effort!L15</f>
        <v>CLOSED</v>
      </c>
      <c r="J17" s="42" t="str">
        <f>Harvest!L15</f>
        <v>CLOSED</v>
      </c>
      <c r="K17" s="43" t="str">
        <f>CPUE!L15</f>
        <v>CLOSED</v>
      </c>
      <c r="L17" s="43"/>
      <c r="M17" s="41" t="s">
        <v>10</v>
      </c>
      <c r="N17" s="42" t="s">
        <v>10</v>
      </c>
      <c r="O17" s="43" t="s">
        <v>10</v>
      </c>
      <c r="P17" s="44"/>
      <c r="Q17" s="41">
        <f t="shared" si="1"/>
        <v>950.02105263157898</v>
      </c>
      <c r="R17" s="42">
        <f t="shared" si="2"/>
        <v>14071.3263157895</v>
      </c>
    </row>
    <row r="18" spans="1:21" x14ac:dyDescent="0.25">
      <c r="A18" s="39">
        <v>44846</v>
      </c>
      <c r="B18" s="40" t="s">
        <v>23</v>
      </c>
      <c r="C18" s="8">
        <v>-0.4</v>
      </c>
      <c r="D18" s="13">
        <v>0.87916666666666676</v>
      </c>
      <c r="E18" s="41" t="str">
        <f>Effort!J16</f>
        <v>CLOSED</v>
      </c>
      <c r="F18" s="42" t="str">
        <f>Harvest!J16</f>
        <v>CLOSED</v>
      </c>
      <c r="G18" s="43" t="str">
        <f>CPUE!J16</f>
        <v>CLOSED</v>
      </c>
      <c r="H18" s="43"/>
      <c r="I18" s="41" t="str">
        <f>Effort!L16</f>
        <v>CLOSED</v>
      </c>
      <c r="J18" s="42" t="str">
        <f>Harvest!L16</f>
        <v>CLOSED</v>
      </c>
      <c r="K18" s="43" t="str">
        <f>CPUE!L16</f>
        <v>CLOSED</v>
      </c>
      <c r="L18" s="43"/>
      <c r="M18" s="41" t="s">
        <v>10</v>
      </c>
      <c r="N18" s="42" t="s">
        <v>10</v>
      </c>
      <c r="O18" s="43" t="s">
        <v>10</v>
      </c>
      <c r="P18" s="44"/>
      <c r="Q18" s="41">
        <f t="shared" si="1"/>
        <v>0</v>
      </c>
      <c r="R18" s="42">
        <f t="shared" si="2"/>
        <v>0</v>
      </c>
    </row>
    <row r="19" spans="1:21" x14ac:dyDescent="0.25">
      <c r="A19" s="39">
        <v>44847</v>
      </c>
      <c r="B19" s="40" t="s">
        <v>24</v>
      </c>
      <c r="C19" s="8">
        <v>-0.2</v>
      </c>
      <c r="D19" s="13">
        <v>0.90694444444444444</v>
      </c>
      <c r="E19" s="41">
        <f>Effort!J17</f>
        <v>492.8</v>
      </c>
      <c r="F19" s="42">
        <f>Harvest!J17</f>
        <v>6922.6666666666597</v>
      </c>
      <c r="G19" s="43">
        <f>CPUE!J17</f>
        <v>14.047619047619033</v>
      </c>
      <c r="H19" s="43"/>
      <c r="I19" s="41" t="str">
        <f>Effort!L17</f>
        <v>CLOSED</v>
      </c>
      <c r="J19" s="42" t="str">
        <f>Harvest!L17</f>
        <v>CLOSED</v>
      </c>
      <c r="K19" s="43" t="str">
        <f>CPUE!L17</f>
        <v>CLOSED</v>
      </c>
      <c r="L19" s="43"/>
      <c r="M19" s="41" t="s">
        <v>10</v>
      </c>
      <c r="N19" s="42" t="s">
        <v>10</v>
      </c>
      <c r="O19" s="43" t="s">
        <v>10</v>
      </c>
      <c r="P19" s="44"/>
      <c r="Q19" s="41">
        <f>SUM(E19,I19)</f>
        <v>492.8</v>
      </c>
      <c r="R19" s="42">
        <f t="shared" si="2"/>
        <v>6922.6666666666597</v>
      </c>
    </row>
    <row r="20" spans="1:21" x14ac:dyDescent="0.25">
      <c r="A20" s="39">
        <v>44848</v>
      </c>
      <c r="B20" s="40" t="s">
        <v>18</v>
      </c>
      <c r="C20" s="8">
        <v>0.3</v>
      </c>
      <c r="D20" s="13">
        <v>0.93680555555555556</v>
      </c>
      <c r="E20" s="41" t="str">
        <f>Effort!J18</f>
        <v>CLOSED</v>
      </c>
      <c r="F20" s="42" t="str">
        <f>Harvest!J18</f>
        <v>CLOSED</v>
      </c>
      <c r="G20" s="43" t="str">
        <f>CPUE!J18</f>
        <v>CLOSED</v>
      </c>
      <c r="H20" s="43"/>
      <c r="I20" s="41" t="str">
        <f>Effort!L18</f>
        <v>CLOSED</v>
      </c>
      <c r="J20" s="42" t="str">
        <f>Harvest!L18</f>
        <v>CLOSED</v>
      </c>
      <c r="K20" s="43" t="str">
        <f>CPUE!L18</f>
        <v>CLOSED</v>
      </c>
      <c r="L20" s="43"/>
      <c r="M20" s="41" t="s">
        <v>10</v>
      </c>
      <c r="N20" s="42" t="s">
        <v>10</v>
      </c>
      <c r="O20" s="43" t="s">
        <v>10</v>
      </c>
      <c r="P20" s="78"/>
      <c r="Q20" s="41">
        <f>SUM(E20,I20)</f>
        <v>0</v>
      </c>
      <c r="R20" s="42">
        <f>SUM(F20,J20)</f>
        <v>0</v>
      </c>
    </row>
    <row r="21" spans="1:21" x14ac:dyDescent="0.25">
      <c r="A21" s="117" t="s">
        <v>57</v>
      </c>
      <c r="B21" s="117"/>
      <c r="C21" s="117"/>
      <c r="D21" s="118"/>
      <c r="E21" s="47">
        <f>SUM(E14:E20)</f>
        <v>4872.4534457677391</v>
      </c>
      <c r="F21" s="48">
        <f>SUM(F14:F20)</f>
        <v>70681.837897648365</v>
      </c>
      <c r="G21" s="49">
        <f>+F21/E21</f>
        <v>14.506416261204775</v>
      </c>
      <c r="H21" s="49"/>
      <c r="I21" s="47">
        <f>SUM(I12:I20)</f>
        <v>0</v>
      </c>
      <c r="J21" s="48">
        <f>SUM(J12:J20)</f>
        <v>0</v>
      </c>
      <c r="K21" s="49">
        <v>0</v>
      </c>
      <c r="L21" s="49"/>
      <c r="M21" s="47"/>
      <c r="N21" s="48"/>
      <c r="O21" s="85"/>
      <c r="P21" s="49"/>
      <c r="Q21" s="47">
        <f>SUM(Q14:Q20)</f>
        <v>4872.4534457677391</v>
      </c>
      <c r="R21" s="48">
        <f>SUM(R14:R20)</f>
        <v>70681.837897648365</v>
      </c>
      <c r="T21" s="20">
        <f>SUM(E21,I21)</f>
        <v>4872.4534457677391</v>
      </c>
      <c r="U21" s="20">
        <f>SUM(F21,J21)</f>
        <v>70681.837897648365</v>
      </c>
    </row>
    <row r="22" spans="1:21" x14ac:dyDescent="0.25">
      <c r="A22" s="39">
        <v>44858</v>
      </c>
      <c r="B22" s="40" t="s">
        <v>21</v>
      </c>
      <c r="C22" s="8">
        <v>0</v>
      </c>
      <c r="D22" s="13">
        <v>0.78055555555555556</v>
      </c>
      <c r="E22" s="41">
        <f>Effort!J20</f>
        <v>1276.54062056103</v>
      </c>
      <c r="F22" s="42">
        <f>Harvest!J20</f>
        <v>17932.356336452602</v>
      </c>
      <c r="G22" s="43">
        <f>CPUE!J20</f>
        <v>14.047619047619078</v>
      </c>
      <c r="H22" s="43"/>
      <c r="I22" s="41" t="str">
        <f>Effort!L20</f>
        <v>CLOSED</v>
      </c>
      <c r="J22" s="42" t="str">
        <f>Harvest!L20</f>
        <v>CLOSED</v>
      </c>
      <c r="K22" s="43" t="str">
        <f>CPUE!L20</f>
        <v>CLOSED</v>
      </c>
      <c r="L22" s="43"/>
      <c r="M22" s="41" t="s">
        <v>10</v>
      </c>
      <c r="N22" s="42" t="s">
        <v>10</v>
      </c>
      <c r="O22" s="43" t="s">
        <v>10</v>
      </c>
      <c r="P22" s="44"/>
      <c r="Q22" s="41">
        <f t="shared" ref="Q22:Q26" si="3">SUM(E22,I22)</f>
        <v>1276.54062056103</v>
      </c>
      <c r="R22" s="42">
        <f t="shared" ref="R22:R27" si="4">SUM(F22,J22)</f>
        <v>17932.356336452602</v>
      </c>
    </row>
    <row r="23" spans="1:21" x14ac:dyDescent="0.25">
      <c r="A23" s="39">
        <v>44859</v>
      </c>
      <c r="B23" s="40" t="s">
        <v>22</v>
      </c>
      <c r="C23" s="8">
        <v>-0.6</v>
      </c>
      <c r="D23" s="13">
        <v>0.80833333333333324</v>
      </c>
      <c r="E23" s="41" t="str">
        <f>Effort!J21</f>
        <v>CLOSED</v>
      </c>
      <c r="F23" s="42" t="str">
        <f>Harvest!J21</f>
        <v>CLOSED</v>
      </c>
      <c r="G23" s="43" t="str">
        <f>CPUE!J21</f>
        <v>CLOSED</v>
      </c>
      <c r="H23" s="43"/>
      <c r="I23" s="41" t="str">
        <f>Effort!L21</f>
        <v>CLOSED</v>
      </c>
      <c r="J23" s="42" t="str">
        <f>Harvest!L21</f>
        <v>CLOSED</v>
      </c>
      <c r="K23" s="43" t="str">
        <f>CPUE!L21</f>
        <v>CLOSED</v>
      </c>
      <c r="L23" s="43"/>
      <c r="M23" s="41" t="s">
        <v>10</v>
      </c>
      <c r="N23" s="42" t="s">
        <v>10</v>
      </c>
      <c r="O23" s="43" t="s">
        <v>10</v>
      </c>
      <c r="P23" s="43"/>
      <c r="Q23" s="41">
        <f t="shared" si="3"/>
        <v>0</v>
      </c>
      <c r="R23" s="42">
        <f t="shared" si="4"/>
        <v>0</v>
      </c>
    </row>
    <row r="24" spans="1:21" x14ac:dyDescent="0.25">
      <c r="A24" s="39">
        <v>44860</v>
      </c>
      <c r="B24" s="40" t="s">
        <v>23</v>
      </c>
      <c r="C24" s="8">
        <v>-1</v>
      </c>
      <c r="D24" s="13">
        <v>0.83680555555555547</v>
      </c>
      <c r="E24" s="41">
        <f>Effort!J22</f>
        <v>597.74106409084902</v>
      </c>
      <c r="F24" s="42">
        <f>Harvest!J22</f>
        <v>7341.4864025517099</v>
      </c>
      <c r="G24" s="43">
        <f>CPUE!J22</f>
        <v>12.282051282051283</v>
      </c>
      <c r="H24" s="43"/>
      <c r="I24" s="41" t="str">
        <f>Effort!L22</f>
        <v>CLOSED</v>
      </c>
      <c r="J24" s="42" t="str">
        <f>Harvest!L22</f>
        <v>CLOSED</v>
      </c>
      <c r="K24" s="43" t="str">
        <f>CPUE!L22</f>
        <v>CLOSED</v>
      </c>
      <c r="L24" s="43"/>
      <c r="M24" s="41" t="s">
        <v>10</v>
      </c>
      <c r="N24" s="42" t="s">
        <v>10</v>
      </c>
      <c r="O24" s="43" t="s">
        <v>10</v>
      </c>
      <c r="P24" s="44"/>
      <c r="Q24" s="41">
        <f t="shared" si="3"/>
        <v>597.74106409084902</v>
      </c>
      <c r="R24" s="42">
        <f t="shared" si="4"/>
        <v>7341.4864025517099</v>
      </c>
    </row>
    <row r="25" spans="1:21" x14ac:dyDescent="0.25">
      <c r="A25" s="39">
        <v>44861</v>
      </c>
      <c r="B25" s="40" t="s">
        <v>24</v>
      </c>
      <c r="C25" s="8">
        <v>-1.1000000000000001</v>
      </c>
      <c r="D25" s="13">
        <v>0.8666666666666667</v>
      </c>
      <c r="E25" s="41" t="str">
        <f>Effort!J23</f>
        <v>CLOSED</v>
      </c>
      <c r="F25" s="42" t="str">
        <f>Harvest!J23</f>
        <v>CLOSED</v>
      </c>
      <c r="G25" s="43" t="str">
        <f>CPUE!J23</f>
        <v>CLOSED</v>
      </c>
      <c r="H25" s="43"/>
      <c r="I25" s="41" t="str">
        <f>Effort!L23</f>
        <v>CLOSED</v>
      </c>
      <c r="J25" s="42" t="str">
        <f>Harvest!L23</f>
        <v>CLOSED</v>
      </c>
      <c r="K25" s="43" t="str">
        <f>CPUE!L23</f>
        <v>CLOSED</v>
      </c>
      <c r="L25" s="43"/>
      <c r="M25" s="41" t="s">
        <v>10</v>
      </c>
      <c r="N25" s="42" t="s">
        <v>10</v>
      </c>
      <c r="O25" s="43" t="s">
        <v>10</v>
      </c>
      <c r="P25" s="44"/>
      <c r="Q25" s="41">
        <f t="shared" si="3"/>
        <v>0</v>
      </c>
      <c r="R25" s="42">
        <f t="shared" si="4"/>
        <v>0</v>
      </c>
    </row>
    <row r="26" spans="1:21" x14ac:dyDescent="0.25">
      <c r="A26" s="39">
        <v>44862</v>
      </c>
      <c r="B26" s="40" t="s">
        <v>18</v>
      </c>
      <c r="C26" s="8">
        <v>-1</v>
      </c>
      <c r="D26" s="13">
        <v>0.89930555555555547</v>
      </c>
      <c r="E26" s="41">
        <f>Effort!J24</f>
        <v>1085.51466274788</v>
      </c>
      <c r="F26" s="42">
        <f>Harvest!J24</f>
        <v>14229.0435522357</v>
      </c>
      <c r="G26" s="43">
        <f>CPUE!J24</f>
        <v>13.108108108108086</v>
      </c>
      <c r="H26" s="43"/>
      <c r="I26" s="41" t="str">
        <f>Effort!L24</f>
        <v>CLOSED</v>
      </c>
      <c r="J26" s="42" t="str">
        <f>Harvest!L24</f>
        <v>CLOSED</v>
      </c>
      <c r="K26" s="43" t="str">
        <f>CPUE!L24</f>
        <v>CLOSED</v>
      </c>
      <c r="L26" s="43"/>
      <c r="M26" s="41" t="s">
        <v>10</v>
      </c>
      <c r="N26" s="42" t="s">
        <v>10</v>
      </c>
      <c r="O26" s="43" t="s">
        <v>10</v>
      </c>
      <c r="P26" s="44"/>
      <c r="Q26" s="41">
        <f t="shared" si="3"/>
        <v>1085.51466274788</v>
      </c>
      <c r="R26" s="42">
        <f t="shared" si="4"/>
        <v>14229.0435522357</v>
      </c>
    </row>
    <row r="27" spans="1:21" x14ac:dyDescent="0.25">
      <c r="A27" s="39">
        <v>44863</v>
      </c>
      <c r="B27" s="40" t="s">
        <v>19</v>
      </c>
      <c r="C27" s="8">
        <v>-0.7</v>
      </c>
      <c r="D27" s="13">
        <v>0.93611111111111101</v>
      </c>
      <c r="E27" s="41" t="str">
        <f>Effort!J25</f>
        <v>CLOSED</v>
      </c>
      <c r="F27" s="42" t="str">
        <f>Harvest!J25</f>
        <v>CLOSED</v>
      </c>
      <c r="G27" s="43" t="str">
        <f>CPUE!J25</f>
        <v>CLOSED</v>
      </c>
      <c r="H27" s="43"/>
      <c r="I27" s="41" t="str">
        <f>Effort!L25</f>
        <v>CLOSED</v>
      </c>
      <c r="J27" s="42" t="str">
        <f>Harvest!L25</f>
        <v>CLOSED</v>
      </c>
      <c r="K27" s="43" t="str">
        <f>CPUE!L25</f>
        <v>CLOSED</v>
      </c>
      <c r="L27" s="43"/>
      <c r="M27" s="41" t="s">
        <v>10</v>
      </c>
      <c r="N27" s="42" t="s">
        <v>10</v>
      </c>
      <c r="O27" s="43" t="s">
        <v>10</v>
      </c>
      <c r="P27" s="44"/>
      <c r="Q27" s="41">
        <f>SUM(E27,I27)</f>
        <v>0</v>
      </c>
      <c r="R27" s="42">
        <f t="shared" si="4"/>
        <v>0</v>
      </c>
    </row>
    <row r="28" spans="1:21" x14ac:dyDescent="0.25">
      <c r="A28" s="39">
        <v>44864</v>
      </c>
      <c r="B28" s="40" t="s">
        <v>20</v>
      </c>
      <c r="C28" s="8">
        <v>-0.3</v>
      </c>
      <c r="D28" s="13">
        <v>0.9770833333333333</v>
      </c>
      <c r="E28" s="41">
        <f>Effort!J26</f>
        <v>33.333332008785703</v>
      </c>
      <c r="F28" s="42">
        <f>Harvest!J26</f>
        <v>149.99999403953601</v>
      </c>
      <c r="G28" s="43">
        <f>CPUE!J26</f>
        <v>4.5000000000000107</v>
      </c>
      <c r="H28" s="43"/>
      <c r="I28" s="41" t="str">
        <f>Effort!L26</f>
        <v>CLOSED</v>
      </c>
      <c r="J28" s="42" t="str">
        <f>Harvest!L26</f>
        <v>CLOSED</v>
      </c>
      <c r="K28" s="43" t="str">
        <f>CPUE!L26</f>
        <v>CLOSED</v>
      </c>
      <c r="L28" s="43"/>
      <c r="M28" s="41" t="s">
        <v>10</v>
      </c>
      <c r="N28" s="42" t="s">
        <v>10</v>
      </c>
      <c r="O28" s="43" t="s">
        <v>10</v>
      </c>
      <c r="P28" s="78"/>
      <c r="Q28" s="41">
        <f>SUM(E28,I28)</f>
        <v>33.333332008785703</v>
      </c>
      <c r="R28" s="42">
        <f>SUM(F28,J28)</f>
        <v>149.99999403953601</v>
      </c>
    </row>
    <row r="29" spans="1:21" x14ac:dyDescent="0.25">
      <c r="A29" s="117" t="s">
        <v>57</v>
      </c>
      <c r="B29" s="117"/>
      <c r="C29" s="117"/>
      <c r="D29" s="118"/>
      <c r="E29" s="47">
        <f>SUM(E22:E28)</f>
        <v>2993.1296794085447</v>
      </c>
      <c r="F29" s="48">
        <f>SUM(F22:F28)</f>
        <v>39652.886285279543</v>
      </c>
      <c r="G29" s="49">
        <f>+F29/E29</f>
        <v>13.247968024263862</v>
      </c>
      <c r="H29" s="49"/>
      <c r="I29" s="47">
        <f>SUM(I20:I28)</f>
        <v>0</v>
      </c>
      <c r="J29" s="48">
        <f>SUM(J20:J28)</f>
        <v>0</v>
      </c>
      <c r="K29" s="49">
        <v>0</v>
      </c>
      <c r="L29" s="49"/>
      <c r="M29" s="47"/>
      <c r="N29" s="48"/>
      <c r="O29" s="85"/>
      <c r="P29" s="49"/>
      <c r="Q29" s="47">
        <f>SUM(Q22:Q28)</f>
        <v>2993.1296794085447</v>
      </c>
      <c r="R29" s="48">
        <f>SUM(R22:R28)</f>
        <v>39652.886285279543</v>
      </c>
      <c r="T29" s="20">
        <f>SUM(E29,I29)</f>
        <v>2993.1296794085447</v>
      </c>
      <c r="U29" s="20">
        <f>SUM(F29,J29)</f>
        <v>39652.886285279543</v>
      </c>
    </row>
    <row r="30" spans="1:21" x14ac:dyDescent="0.25">
      <c r="A30" s="39">
        <v>44871</v>
      </c>
      <c r="B30" s="40" t="s">
        <v>20</v>
      </c>
      <c r="C30" s="8">
        <v>0</v>
      </c>
      <c r="D30" s="13">
        <v>0.71388888888888891</v>
      </c>
      <c r="E30" s="41" t="str">
        <f>Effort!J28</f>
        <v>CLOSED</v>
      </c>
      <c r="F30" s="42" t="str">
        <f>Harvest!J28</f>
        <v>CLOSED</v>
      </c>
      <c r="G30" s="43" t="str">
        <f>CPUE!J28</f>
        <v>CLOSED</v>
      </c>
      <c r="H30" s="43"/>
      <c r="I30" s="41" t="str">
        <f>Effort!L28</f>
        <v>CLOSED</v>
      </c>
      <c r="J30" s="42" t="str">
        <f>Harvest!L28</f>
        <v>CLOSED</v>
      </c>
      <c r="K30" s="43" t="str">
        <f>CPUE!L28</f>
        <v>CLOSED</v>
      </c>
      <c r="L30" s="43"/>
      <c r="M30" s="41" t="s">
        <v>10</v>
      </c>
      <c r="N30" s="42" t="s">
        <v>10</v>
      </c>
      <c r="O30" s="43" t="s">
        <v>10</v>
      </c>
      <c r="P30" s="43"/>
      <c r="Q30" s="41">
        <f t="shared" ref="Q30:Q35" si="5">SUM(E30,I30)</f>
        <v>0</v>
      </c>
      <c r="R30" s="42">
        <f t="shared" ref="R30:R36" si="6">SUM(F30,J30)</f>
        <v>0</v>
      </c>
    </row>
    <row r="31" spans="1:21" x14ac:dyDescent="0.25">
      <c r="A31" s="39">
        <v>44872</v>
      </c>
      <c r="B31" s="40" t="s">
        <v>21</v>
      </c>
      <c r="C31" s="8">
        <v>-0.5</v>
      </c>
      <c r="D31" s="13">
        <v>0.74236111111111114</v>
      </c>
      <c r="E31" s="41" t="str">
        <f>Effort!J29</f>
        <v>CLOSED</v>
      </c>
      <c r="F31" s="42" t="str">
        <f>Harvest!J29</f>
        <v>CLOSED</v>
      </c>
      <c r="G31" s="43" t="str">
        <f>CPUE!J29</f>
        <v>CLOSED</v>
      </c>
      <c r="H31" s="43"/>
      <c r="I31" s="41" t="str">
        <f>Effort!L29</f>
        <v>CLOSED</v>
      </c>
      <c r="J31" s="42" t="str">
        <f>Harvest!L29</f>
        <v>CLOSED</v>
      </c>
      <c r="K31" s="43" t="str">
        <f>CPUE!L29</f>
        <v>CLOSED</v>
      </c>
      <c r="L31" s="43"/>
      <c r="M31" s="41" t="s">
        <v>10</v>
      </c>
      <c r="N31" s="42" t="s">
        <v>10</v>
      </c>
      <c r="O31" s="43" t="s">
        <v>10</v>
      </c>
      <c r="P31" s="44"/>
      <c r="Q31" s="41">
        <f t="shared" si="5"/>
        <v>0</v>
      </c>
      <c r="R31" s="42">
        <f t="shared" si="6"/>
        <v>0</v>
      </c>
    </row>
    <row r="32" spans="1:21" x14ac:dyDescent="0.25">
      <c r="A32" s="39">
        <v>44873</v>
      </c>
      <c r="B32" s="40" t="s">
        <v>22</v>
      </c>
      <c r="C32" s="8">
        <v>-0.7</v>
      </c>
      <c r="D32" s="13">
        <v>0.76944444444444438</v>
      </c>
      <c r="E32" s="41" t="str">
        <f>Effort!J30</f>
        <v>CLOSED</v>
      </c>
      <c r="F32" s="42" t="str">
        <f>Harvest!J30</f>
        <v>CLOSED</v>
      </c>
      <c r="G32" s="43" t="str">
        <f>CPUE!J30</f>
        <v>CLOSED</v>
      </c>
      <c r="H32" s="43"/>
      <c r="I32" s="41" t="str">
        <f>Effort!L30</f>
        <v>CLOSED</v>
      </c>
      <c r="J32" s="42" t="str">
        <f>Harvest!L30</f>
        <v>CLOSED</v>
      </c>
      <c r="K32" s="43" t="str">
        <f>CPUE!L30</f>
        <v>CLOSED</v>
      </c>
      <c r="L32" s="43"/>
      <c r="M32" s="41" t="s">
        <v>10</v>
      </c>
      <c r="N32" s="42" t="s">
        <v>10</v>
      </c>
      <c r="O32" s="43" t="s">
        <v>10</v>
      </c>
      <c r="P32" s="43"/>
      <c r="Q32" s="41">
        <f t="shared" si="5"/>
        <v>0</v>
      </c>
      <c r="R32" s="42">
        <f t="shared" si="6"/>
        <v>0</v>
      </c>
    </row>
    <row r="33" spans="1:21" x14ac:dyDescent="0.25">
      <c r="A33" s="39">
        <v>44874</v>
      </c>
      <c r="B33" s="40" t="s">
        <v>23</v>
      </c>
      <c r="C33" s="8">
        <v>-0.7</v>
      </c>
      <c r="D33" s="13">
        <v>0.79513888888888884</v>
      </c>
      <c r="E33" s="41" t="str">
        <f>Effort!J31</f>
        <v>CLOSED</v>
      </c>
      <c r="F33" s="42" t="str">
        <f>Harvest!J31</f>
        <v>CLOSED</v>
      </c>
      <c r="G33" s="43" t="str">
        <f>CPUE!J31</f>
        <v>CLOSED</v>
      </c>
      <c r="H33" s="43"/>
      <c r="I33" s="41" t="str">
        <f>Effort!L31</f>
        <v>CLOSED</v>
      </c>
      <c r="J33" s="42" t="str">
        <f>Harvest!L31</f>
        <v>CLOSED</v>
      </c>
      <c r="K33" s="43" t="str">
        <f>CPUE!L31</f>
        <v>CLOSED</v>
      </c>
      <c r="L33" s="43"/>
      <c r="M33" s="41" t="s">
        <v>10</v>
      </c>
      <c r="N33" s="42" t="s">
        <v>10</v>
      </c>
      <c r="O33" s="43" t="s">
        <v>10</v>
      </c>
      <c r="P33" s="44"/>
      <c r="Q33" s="41">
        <f t="shared" si="5"/>
        <v>0</v>
      </c>
      <c r="R33" s="42">
        <f t="shared" si="6"/>
        <v>0</v>
      </c>
    </row>
    <row r="34" spans="1:21" x14ac:dyDescent="0.25">
      <c r="A34" s="39">
        <v>44875</v>
      </c>
      <c r="B34" s="40" t="s">
        <v>24</v>
      </c>
      <c r="C34" s="8">
        <v>-0.6</v>
      </c>
      <c r="D34" s="13">
        <v>0.8208333333333333</v>
      </c>
      <c r="E34" s="41" t="str">
        <f>Effort!J32</f>
        <v>CLOSED</v>
      </c>
      <c r="F34" s="42" t="str">
        <f>Harvest!J32</f>
        <v>CLOSED</v>
      </c>
      <c r="G34" s="43" t="str">
        <f>CPUE!J32</f>
        <v>CLOSED</v>
      </c>
      <c r="H34" s="43"/>
      <c r="I34" s="41" t="str">
        <f>Effort!L32</f>
        <v>CLOSED</v>
      </c>
      <c r="J34" s="42" t="str">
        <f>Harvest!L32</f>
        <v>CLOSED</v>
      </c>
      <c r="K34" s="43" t="str">
        <f>CPUE!L32</f>
        <v>CLOSED</v>
      </c>
      <c r="L34" s="43"/>
      <c r="M34" s="41" t="s">
        <v>10</v>
      </c>
      <c r="N34" s="42" t="s">
        <v>10</v>
      </c>
      <c r="O34" s="43" t="s">
        <v>10</v>
      </c>
      <c r="P34" s="44"/>
      <c r="Q34" s="41">
        <f t="shared" si="5"/>
        <v>0</v>
      </c>
      <c r="R34" s="42">
        <f t="shared" si="6"/>
        <v>0</v>
      </c>
    </row>
    <row r="35" spans="1:21" x14ac:dyDescent="0.25">
      <c r="A35" s="39">
        <v>44876</v>
      </c>
      <c r="B35" s="40" t="s">
        <v>18</v>
      </c>
      <c r="C35" s="8">
        <v>-0.2</v>
      </c>
      <c r="D35" s="13">
        <v>0.84652777777777777</v>
      </c>
      <c r="E35" s="41" t="str">
        <f>Effort!J33</f>
        <v>CLOSED</v>
      </c>
      <c r="F35" s="42" t="str">
        <f>Harvest!J33</f>
        <v>CLOSED</v>
      </c>
      <c r="G35" s="43" t="str">
        <f>CPUE!J33</f>
        <v>CLOSED</v>
      </c>
      <c r="H35" s="43"/>
      <c r="I35" s="41" t="str">
        <f>Effort!L33</f>
        <v>CLOSED</v>
      </c>
      <c r="J35" s="42" t="str">
        <f>Harvest!L33</f>
        <v>CLOSED</v>
      </c>
      <c r="K35" s="43" t="str">
        <f>CPUE!L33</f>
        <v>CLOSED</v>
      </c>
      <c r="L35" s="43"/>
      <c r="M35" s="41" t="s">
        <v>10</v>
      </c>
      <c r="N35" s="42" t="s">
        <v>10</v>
      </c>
      <c r="O35" s="43" t="s">
        <v>10</v>
      </c>
      <c r="P35" s="44"/>
      <c r="Q35" s="41">
        <f t="shared" si="5"/>
        <v>0</v>
      </c>
      <c r="R35" s="42">
        <f t="shared" si="6"/>
        <v>0</v>
      </c>
    </row>
    <row r="36" spans="1:21" x14ac:dyDescent="0.25">
      <c r="A36" s="39">
        <v>44877</v>
      </c>
      <c r="B36" s="40" t="s">
        <v>19</v>
      </c>
      <c r="C36" s="8">
        <v>0.1</v>
      </c>
      <c r="D36" s="13">
        <v>0.87430555555555556</v>
      </c>
      <c r="E36" s="41" t="str">
        <f>Effort!J34</f>
        <v>CLOSED</v>
      </c>
      <c r="F36" s="42" t="str">
        <f>Harvest!J34</f>
        <v>CLOSED</v>
      </c>
      <c r="G36" s="43" t="str">
        <f>CPUE!J34</f>
        <v>CLOSED</v>
      </c>
      <c r="H36" s="43"/>
      <c r="I36" s="41" t="str">
        <f>Effort!L34</f>
        <v>CLOSED</v>
      </c>
      <c r="J36" s="42" t="str">
        <f>Harvest!L34</f>
        <v>CLOSED</v>
      </c>
      <c r="K36" s="43" t="str">
        <f>CPUE!L34</f>
        <v>CLOSED</v>
      </c>
      <c r="L36" s="43"/>
      <c r="M36" s="41" t="s">
        <v>10</v>
      </c>
      <c r="N36" s="42" t="s">
        <v>10</v>
      </c>
      <c r="O36" s="43" t="s">
        <v>10</v>
      </c>
      <c r="P36" s="44"/>
      <c r="Q36" s="41">
        <f>SUM(E36,I36)</f>
        <v>0</v>
      </c>
      <c r="R36" s="42">
        <f t="shared" si="6"/>
        <v>0</v>
      </c>
    </row>
    <row r="37" spans="1:21" x14ac:dyDescent="0.25">
      <c r="A37" s="39">
        <v>44878</v>
      </c>
      <c r="B37" s="40" t="s">
        <v>20</v>
      </c>
      <c r="C37" s="8">
        <v>0.5</v>
      </c>
      <c r="D37" s="13">
        <v>0.90486111111111101</v>
      </c>
      <c r="E37" s="41" t="str">
        <f>Effort!J35</f>
        <v>CLOSED</v>
      </c>
      <c r="F37" s="42" t="str">
        <f>Harvest!J35</f>
        <v>CLOSED</v>
      </c>
      <c r="G37" s="43" t="str">
        <f>CPUE!J35</f>
        <v>CLOSED</v>
      </c>
      <c r="H37" s="43"/>
      <c r="I37" s="41" t="str">
        <f>Effort!L35</f>
        <v>CLOSED</v>
      </c>
      <c r="J37" s="42" t="str">
        <f>Harvest!L35</f>
        <v>CLOSED</v>
      </c>
      <c r="K37" s="43" t="str">
        <f>CPUE!L35</f>
        <v>CLOSED</v>
      </c>
      <c r="L37" s="43"/>
      <c r="M37" s="41" t="s">
        <v>10</v>
      </c>
      <c r="N37" s="42" t="s">
        <v>10</v>
      </c>
      <c r="O37" s="43" t="s">
        <v>10</v>
      </c>
      <c r="P37" s="78"/>
      <c r="Q37" s="41">
        <f>SUM(E37,I37)</f>
        <v>0</v>
      </c>
      <c r="R37" s="42">
        <f>SUM(F37,J37)</f>
        <v>0</v>
      </c>
    </row>
    <row r="38" spans="1:21" x14ac:dyDescent="0.25">
      <c r="A38" s="117" t="s">
        <v>57</v>
      </c>
      <c r="B38" s="117"/>
      <c r="C38" s="117"/>
      <c r="D38" s="118"/>
      <c r="E38" s="47">
        <f>SUM(E30:E37)</f>
        <v>0</v>
      </c>
      <c r="F38" s="48">
        <f>SUM(F30:F37)</f>
        <v>0</v>
      </c>
      <c r="G38" s="49">
        <v>0</v>
      </c>
      <c r="H38" s="49"/>
      <c r="I38" s="47">
        <f>SUM(I30:I37)</f>
        <v>0</v>
      </c>
      <c r="J38" s="48">
        <f>SUM(J30:J37)</f>
        <v>0</v>
      </c>
      <c r="K38" s="49">
        <v>0</v>
      </c>
      <c r="L38" s="49"/>
      <c r="M38" s="47"/>
      <c r="N38" s="48"/>
      <c r="O38" s="85"/>
      <c r="P38" s="49"/>
      <c r="Q38" s="47">
        <f>SUM(Q30:Q37)</f>
        <v>0</v>
      </c>
      <c r="R38" s="48">
        <f>SUM(R30:R37)</f>
        <v>0</v>
      </c>
      <c r="T38" s="20">
        <f>SUM(E38,I38)</f>
        <v>0</v>
      </c>
      <c r="U38" s="20">
        <f>SUM(F38,J38)</f>
        <v>0</v>
      </c>
    </row>
    <row r="39" spans="1:21" x14ac:dyDescent="0.25">
      <c r="A39" s="39">
        <v>44887</v>
      </c>
      <c r="B39" s="40" t="s">
        <v>22</v>
      </c>
      <c r="C39" s="8">
        <v>-0.6</v>
      </c>
      <c r="D39" s="13">
        <v>0.72361111111111109</v>
      </c>
      <c r="E39" s="41" t="str">
        <f>Effort!J37</f>
        <v>CLOSED</v>
      </c>
      <c r="F39" s="42" t="str">
        <f>Harvest!J37</f>
        <v>CLOSED</v>
      </c>
      <c r="G39" s="43" t="str">
        <f>CPUE!J37</f>
        <v>CLOSED</v>
      </c>
      <c r="H39" s="43"/>
      <c r="I39" s="41" t="str">
        <f>Effort!L37</f>
        <v>CLOSED</v>
      </c>
      <c r="J39" s="42" t="str">
        <f>Harvest!L37</f>
        <v>CLOSED</v>
      </c>
      <c r="K39" s="43" t="str">
        <f>CPUE!L37</f>
        <v>CLOSED</v>
      </c>
      <c r="L39" s="43"/>
      <c r="M39" s="41" t="s">
        <v>10</v>
      </c>
      <c r="N39" s="42" t="s">
        <v>10</v>
      </c>
      <c r="O39" s="43" t="s">
        <v>10</v>
      </c>
      <c r="P39" s="44"/>
      <c r="Q39" s="41">
        <f t="shared" ref="Q39:Q43" si="7">SUM(E39,I39)</f>
        <v>0</v>
      </c>
      <c r="R39" s="42">
        <f t="shared" ref="R39:R44" si="8">SUM(F39,J39)</f>
        <v>0</v>
      </c>
    </row>
    <row r="40" spans="1:21" x14ac:dyDescent="0.25">
      <c r="A40" s="39">
        <v>44888</v>
      </c>
      <c r="B40" s="40" t="s">
        <v>23</v>
      </c>
      <c r="C40" s="8">
        <v>-1.2</v>
      </c>
      <c r="D40" s="13">
        <v>0.75277777777777777</v>
      </c>
      <c r="E40" s="41" t="str">
        <f>Effort!J38</f>
        <v>CLOSED</v>
      </c>
      <c r="F40" s="42" t="str">
        <f>Harvest!J38</f>
        <v>CLOSED</v>
      </c>
      <c r="G40" s="43" t="str">
        <f>CPUE!J38</f>
        <v>CLOSED</v>
      </c>
      <c r="H40" s="43"/>
      <c r="I40" s="41" t="str">
        <f>Effort!L38</f>
        <v>CLOSED</v>
      </c>
      <c r="J40" s="42" t="str">
        <f>Harvest!L38</f>
        <v>CLOSED</v>
      </c>
      <c r="K40" s="43" t="str">
        <f>CPUE!L38</f>
        <v>CLOSED</v>
      </c>
      <c r="L40" s="43"/>
      <c r="M40" s="41" t="s">
        <v>10</v>
      </c>
      <c r="N40" s="42" t="s">
        <v>10</v>
      </c>
      <c r="O40" s="43" t="s">
        <v>10</v>
      </c>
      <c r="P40" s="43"/>
      <c r="Q40" s="41">
        <f t="shared" si="7"/>
        <v>0</v>
      </c>
      <c r="R40" s="42">
        <f t="shared" si="8"/>
        <v>0</v>
      </c>
    </row>
    <row r="41" spans="1:21" x14ac:dyDescent="0.25">
      <c r="A41" s="39">
        <v>44889</v>
      </c>
      <c r="B41" s="40" t="s">
        <v>24</v>
      </c>
      <c r="C41" s="8">
        <v>-1.6</v>
      </c>
      <c r="D41" s="13">
        <v>0.78333333333333333</v>
      </c>
      <c r="E41" s="41" t="str">
        <f>Effort!J39</f>
        <v>CLOSED</v>
      </c>
      <c r="F41" s="42" t="str">
        <f>Harvest!J39</f>
        <v>CLOSED</v>
      </c>
      <c r="G41" s="43" t="str">
        <f>CPUE!J39</f>
        <v>CLOSED</v>
      </c>
      <c r="H41" s="43"/>
      <c r="I41" s="41" t="str">
        <f>Effort!L39</f>
        <v>CLOSED</v>
      </c>
      <c r="J41" s="42" t="str">
        <f>Harvest!L39</f>
        <v>CLOSED</v>
      </c>
      <c r="K41" s="43" t="str">
        <f>CPUE!L39</f>
        <v>CLOSED</v>
      </c>
      <c r="L41" s="43"/>
      <c r="M41" s="41" t="s">
        <v>10</v>
      </c>
      <c r="N41" s="42" t="s">
        <v>10</v>
      </c>
      <c r="O41" s="43" t="s">
        <v>10</v>
      </c>
      <c r="P41" s="44"/>
      <c r="Q41" s="41">
        <f t="shared" si="7"/>
        <v>0</v>
      </c>
      <c r="R41" s="42">
        <f t="shared" si="8"/>
        <v>0</v>
      </c>
    </row>
    <row r="42" spans="1:21" x14ac:dyDescent="0.25">
      <c r="A42" s="39">
        <v>44890</v>
      </c>
      <c r="B42" s="40" t="s">
        <v>18</v>
      </c>
      <c r="C42" s="8">
        <v>-1.6</v>
      </c>
      <c r="D42" s="13">
        <v>0.81597222222222221</v>
      </c>
      <c r="E42" s="41" t="str">
        <f>Effort!J40</f>
        <v>CLOSED</v>
      </c>
      <c r="F42" s="42" t="str">
        <f>Harvest!J40</f>
        <v>CLOSED</v>
      </c>
      <c r="G42" s="43" t="str">
        <f>CPUE!J40</f>
        <v>CLOSED</v>
      </c>
      <c r="H42" s="43"/>
      <c r="I42" s="41" t="str">
        <f>Effort!L40</f>
        <v>CLOSED</v>
      </c>
      <c r="J42" s="42" t="str">
        <f>Harvest!L40</f>
        <v>CLOSED</v>
      </c>
      <c r="K42" s="43" t="str">
        <f>CPUE!L40</f>
        <v>CLOSED</v>
      </c>
      <c r="L42" s="43"/>
      <c r="M42" s="41" t="s">
        <v>10</v>
      </c>
      <c r="N42" s="42" t="s">
        <v>10</v>
      </c>
      <c r="O42" s="43" t="s">
        <v>10</v>
      </c>
      <c r="P42" s="44"/>
      <c r="Q42" s="41">
        <f t="shared" si="7"/>
        <v>0</v>
      </c>
      <c r="R42" s="42">
        <f t="shared" si="8"/>
        <v>0</v>
      </c>
    </row>
    <row r="43" spans="1:21" x14ac:dyDescent="0.25">
      <c r="A43" s="39">
        <v>44891</v>
      </c>
      <c r="B43" s="40" t="s">
        <v>19</v>
      </c>
      <c r="C43" s="8">
        <v>-1.5</v>
      </c>
      <c r="D43" s="13">
        <v>0.84930555555555554</v>
      </c>
      <c r="E43" s="41" t="str">
        <f>Effort!J41</f>
        <v>CLOSED</v>
      </c>
      <c r="F43" s="42" t="str">
        <f>Harvest!J41</f>
        <v>CLOSED</v>
      </c>
      <c r="G43" s="43" t="str">
        <f>CPUE!J41</f>
        <v>CLOSED</v>
      </c>
      <c r="H43" s="43"/>
      <c r="I43" s="41" t="str">
        <f>Effort!L41</f>
        <v>CLOSED</v>
      </c>
      <c r="J43" s="42" t="str">
        <f>Harvest!L41</f>
        <v>CLOSED</v>
      </c>
      <c r="K43" s="43" t="str">
        <f>CPUE!L41</f>
        <v>CLOSED</v>
      </c>
      <c r="L43" s="43"/>
      <c r="M43" s="41" t="s">
        <v>10</v>
      </c>
      <c r="N43" s="42" t="s">
        <v>10</v>
      </c>
      <c r="O43" s="43" t="s">
        <v>10</v>
      </c>
      <c r="P43" s="44"/>
      <c r="Q43" s="41">
        <f t="shared" si="7"/>
        <v>0</v>
      </c>
      <c r="R43" s="42">
        <f t="shared" si="8"/>
        <v>0</v>
      </c>
    </row>
    <row r="44" spans="1:21" x14ac:dyDescent="0.25">
      <c r="A44" s="39">
        <v>44892</v>
      </c>
      <c r="B44" s="40" t="s">
        <v>20</v>
      </c>
      <c r="C44" s="8">
        <v>-1.1000000000000001</v>
      </c>
      <c r="D44" s="13">
        <v>0.88541666666666663</v>
      </c>
      <c r="E44" s="41" t="str">
        <f>Effort!J42</f>
        <v>CLOSED</v>
      </c>
      <c r="F44" s="42" t="str">
        <f>Harvest!J42</f>
        <v>CLOSED</v>
      </c>
      <c r="G44" s="43" t="str">
        <f>CPUE!J42</f>
        <v>CLOSED</v>
      </c>
      <c r="H44" s="43"/>
      <c r="I44" s="41" t="str">
        <f>Effort!L42</f>
        <v>CLOSED</v>
      </c>
      <c r="J44" s="42" t="str">
        <f>Harvest!L42</f>
        <v>CLOSED</v>
      </c>
      <c r="K44" s="43" t="str">
        <f>CPUE!L42</f>
        <v>CLOSED</v>
      </c>
      <c r="L44" s="43"/>
      <c r="M44" s="41" t="s">
        <v>10</v>
      </c>
      <c r="N44" s="42" t="s">
        <v>10</v>
      </c>
      <c r="O44" s="43" t="s">
        <v>10</v>
      </c>
      <c r="P44" s="44"/>
      <c r="Q44" s="41">
        <f>SUM(E44,I44)</f>
        <v>0</v>
      </c>
      <c r="R44" s="42">
        <f t="shared" si="8"/>
        <v>0</v>
      </c>
    </row>
    <row r="45" spans="1:21" x14ac:dyDescent="0.25">
      <c r="A45" s="39">
        <v>44893</v>
      </c>
      <c r="B45" s="40" t="s">
        <v>21</v>
      </c>
      <c r="C45" s="8">
        <v>-0.5</v>
      </c>
      <c r="D45" s="13">
        <v>0.92361111111111116</v>
      </c>
      <c r="E45" s="41" t="str">
        <f>Effort!J43</f>
        <v>CLOSED</v>
      </c>
      <c r="F45" s="42" t="str">
        <f>Harvest!J43</f>
        <v>CLOSED</v>
      </c>
      <c r="G45" s="43" t="str">
        <f>CPUE!J43</f>
        <v>CLOSED</v>
      </c>
      <c r="H45" s="43"/>
      <c r="I45" s="41" t="str">
        <f>Effort!L43</f>
        <v>CLOSED</v>
      </c>
      <c r="J45" s="42" t="str">
        <f>Harvest!L43</f>
        <v>CLOSED</v>
      </c>
      <c r="K45" s="43" t="str">
        <f>CPUE!L43</f>
        <v>CLOSED</v>
      </c>
      <c r="L45" s="43"/>
      <c r="M45" s="41" t="s">
        <v>10</v>
      </c>
      <c r="N45" s="42" t="s">
        <v>10</v>
      </c>
      <c r="O45" s="43" t="s">
        <v>10</v>
      </c>
      <c r="P45" s="78"/>
      <c r="Q45" s="41">
        <f>SUM(E45,I45)</f>
        <v>0</v>
      </c>
      <c r="R45" s="42">
        <f>SUM(F45,J45)</f>
        <v>0</v>
      </c>
    </row>
    <row r="46" spans="1:21" x14ac:dyDescent="0.25">
      <c r="A46" s="117" t="s">
        <v>57</v>
      </c>
      <c r="B46" s="117"/>
      <c r="C46" s="117"/>
      <c r="D46" s="118"/>
      <c r="E46" s="47">
        <f>SUM(E39:E45)</f>
        <v>0</v>
      </c>
      <c r="F46" s="48">
        <f>SUM(F39:F45)</f>
        <v>0</v>
      </c>
      <c r="G46" s="49">
        <v>0</v>
      </c>
      <c r="H46" s="49"/>
      <c r="I46" s="47">
        <f>SUM(I37:I45)</f>
        <v>0</v>
      </c>
      <c r="J46" s="48">
        <f>SUM(J37:J45)</f>
        <v>0</v>
      </c>
      <c r="K46" s="49">
        <v>0</v>
      </c>
      <c r="L46" s="49"/>
      <c r="M46" s="47"/>
      <c r="N46" s="48"/>
      <c r="O46" s="69"/>
      <c r="P46" s="49"/>
      <c r="Q46" s="47">
        <f>SUM(Q39:Q45)</f>
        <v>0</v>
      </c>
      <c r="R46" s="48">
        <f>SUM(R39:R45)</f>
        <v>0</v>
      </c>
      <c r="T46" s="20">
        <f>SUM(E46,I46)</f>
        <v>0</v>
      </c>
      <c r="U46" s="20">
        <f>SUM(F46,J46)</f>
        <v>0</v>
      </c>
    </row>
    <row r="47" spans="1:21" x14ac:dyDescent="0.25">
      <c r="A47" s="39">
        <v>44899</v>
      </c>
      <c r="B47" s="40" t="s">
        <v>20</v>
      </c>
      <c r="C47" s="8">
        <v>0.4</v>
      </c>
      <c r="D47" s="13">
        <v>0.67291666666666661</v>
      </c>
      <c r="E47" s="41" t="str">
        <f>Effort!J45</f>
        <v>CLOSED</v>
      </c>
      <c r="F47" s="42" t="str">
        <f>Harvest!J45</f>
        <v>CLOSED</v>
      </c>
      <c r="G47" s="43" t="str">
        <f>CPUE!J45</f>
        <v>CLOSED</v>
      </c>
      <c r="H47" s="43"/>
      <c r="I47" s="41" t="str">
        <f>Effort!L45</f>
        <v>CLOSED</v>
      </c>
      <c r="J47" s="42" t="str">
        <f>Harvest!L45</f>
        <v>CLOSED</v>
      </c>
      <c r="K47" s="43" t="str">
        <f>CPUE!L45</f>
        <v>CLOSED</v>
      </c>
      <c r="L47" s="43"/>
      <c r="M47" s="41" t="s">
        <v>10</v>
      </c>
      <c r="N47" s="42" t="s">
        <v>10</v>
      </c>
      <c r="O47" s="113" t="s">
        <v>10</v>
      </c>
      <c r="P47" s="43"/>
      <c r="Q47" s="41">
        <f t="shared" ref="Q47:Q53" si="9">SUM(E47,I47)</f>
        <v>0</v>
      </c>
      <c r="R47" s="42">
        <f t="shared" ref="R47:R54" si="10">SUM(F47,J47)</f>
        <v>0</v>
      </c>
    </row>
    <row r="48" spans="1:21" x14ac:dyDescent="0.25">
      <c r="A48" s="39">
        <v>44900</v>
      </c>
      <c r="B48" s="40" t="s">
        <v>21</v>
      </c>
      <c r="C48" s="8">
        <v>-0.1</v>
      </c>
      <c r="D48" s="13">
        <v>0.70347222222222217</v>
      </c>
      <c r="E48" s="41" t="str">
        <f>Effort!J46</f>
        <v>CLOSED</v>
      </c>
      <c r="F48" s="42" t="str">
        <f>Harvest!J46</f>
        <v>CLOSED</v>
      </c>
      <c r="G48" s="43" t="str">
        <f>CPUE!J46</f>
        <v>CLOSED</v>
      </c>
      <c r="H48" s="43"/>
      <c r="I48" s="41" t="str">
        <f>Effort!L46</f>
        <v>CLOSED</v>
      </c>
      <c r="J48" s="42" t="str">
        <f>Harvest!L46</f>
        <v>CLOSED</v>
      </c>
      <c r="K48" s="43" t="str">
        <f>CPUE!L46</f>
        <v>CLOSED</v>
      </c>
      <c r="L48" s="43"/>
      <c r="M48" s="41" t="s">
        <v>10</v>
      </c>
      <c r="N48" s="42" t="s">
        <v>10</v>
      </c>
      <c r="O48" s="43" t="s">
        <v>10</v>
      </c>
      <c r="P48" s="43"/>
      <c r="Q48" s="41">
        <f t="shared" si="9"/>
        <v>0</v>
      </c>
      <c r="R48" s="42">
        <f t="shared" si="10"/>
        <v>0</v>
      </c>
    </row>
    <row r="49" spans="1:21" x14ac:dyDescent="0.25">
      <c r="A49" s="39">
        <v>44901</v>
      </c>
      <c r="B49" s="40" t="s">
        <v>22</v>
      </c>
      <c r="C49" s="8">
        <v>-0.5</v>
      </c>
      <c r="D49" s="13">
        <v>0.73125000000000007</v>
      </c>
      <c r="E49" s="41" t="str">
        <f>Effort!J47</f>
        <v>CLOSED</v>
      </c>
      <c r="F49" s="42" t="str">
        <f>Harvest!J47</f>
        <v>CLOSED</v>
      </c>
      <c r="G49" s="43" t="str">
        <f>CPUE!J47</f>
        <v>CLOSED</v>
      </c>
      <c r="H49" s="43"/>
      <c r="I49" s="41" t="str">
        <f>Effort!L47</f>
        <v>CLOSED</v>
      </c>
      <c r="J49" s="42" t="str">
        <f>Harvest!L47</f>
        <v>CLOSED</v>
      </c>
      <c r="K49" s="43" t="str">
        <f>CPUE!L47</f>
        <v>CLOSED</v>
      </c>
      <c r="L49" s="43"/>
      <c r="M49" s="41" t="s">
        <v>10</v>
      </c>
      <c r="N49" s="42" t="s">
        <v>10</v>
      </c>
      <c r="O49" s="43" t="s">
        <v>10</v>
      </c>
      <c r="P49" s="44"/>
      <c r="Q49" s="41">
        <f t="shared" si="9"/>
        <v>0</v>
      </c>
      <c r="R49" s="42">
        <f t="shared" si="10"/>
        <v>0</v>
      </c>
    </row>
    <row r="50" spans="1:21" x14ac:dyDescent="0.25">
      <c r="A50" s="39">
        <v>44902</v>
      </c>
      <c r="B50" s="40" t="s">
        <v>23</v>
      </c>
      <c r="C50" s="8">
        <v>-0.6</v>
      </c>
      <c r="D50" s="13">
        <v>0.75763888888888886</v>
      </c>
      <c r="E50" s="41" t="str">
        <f>Effort!J48</f>
        <v>CLOSED</v>
      </c>
      <c r="F50" s="42" t="str">
        <f>Harvest!J48</f>
        <v>CLOSED</v>
      </c>
      <c r="G50" s="43" t="str">
        <f>CPUE!J48</f>
        <v>CLOSED</v>
      </c>
      <c r="H50" s="43"/>
      <c r="I50" s="41" t="str">
        <f>Effort!L48</f>
        <v>CLOSED</v>
      </c>
      <c r="J50" s="42" t="str">
        <f>Harvest!L48</f>
        <v>CLOSED</v>
      </c>
      <c r="K50" s="43" t="str">
        <f>CPUE!L48</f>
        <v>CLOSED</v>
      </c>
      <c r="L50" s="43"/>
      <c r="M50" s="41" t="s">
        <v>10</v>
      </c>
      <c r="N50" s="42" t="s">
        <v>10</v>
      </c>
      <c r="O50" s="43" t="s">
        <v>10</v>
      </c>
      <c r="P50" s="43"/>
      <c r="Q50" s="41">
        <f t="shared" si="9"/>
        <v>0</v>
      </c>
      <c r="R50" s="42">
        <f t="shared" si="10"/>
        <v>0</v>
      </c>
    </row>
    <row r="51" spans="1:21" x14ac:dyDescent="0.25">
      <c r="A51" s="39">
        <v>44903</v>
      </c>
      <c r="B51" s="40" t="s">
        <v>24</v>
      </c>
      <c r="C51" s="8">
        <v>-0.6</v>
      </c>
      <c r="D51" s="13">
        <v>0.78263888888888899</v>
      </c>
      <c r="E51" s="41" t="str">
        <f>Effort!J49</f>
        <v>CLOSED</v>
      </c>
      <c r="F51" s="42" t="str">
        <f>Harvest!J49</f>
        <v>CLOSED</v>
      </c>
      <c r="G51" s="43" t="str">
        <f>CPUE!J49</f>
        <v>CLOSED</v>
      </c>
      <c r="H51" s="43"/>
      <c r="I51" s="41" t="str">
        <f>Effort!L49</f>
        <v>CLOSED</v>
      </c>
      <c r="J51" s="42" t="str">
        <f>Harvest!L49</f>
        <v>CLOSED</v>
      </c>
      <c r="K51" s="43" t="str">
        <f>CPUE!L49</f>
        <v>CLOSED</v>
      </c>
      <c r="L51" s="43"/>
      <c r="M51" s="41" t="s">
        <v>10</v>
      </c>
      <c r="N51" s="42" t="s">
        <v>10</v>
      </c>
      <c r="O51" s="43" t="s">
        <v>10</v>
      </c>
      <c r="P51" s="44"/>
      <c r="Q51" s="41">
        <f t="shared" si="9"/>
        <v>0</v>
      </c>
      <c r="R51" s="42">
        <f t="shared" si="10"/>
        <v>0</v>
      </c>
    </row>
    <row r="52" spans="1:21" x14ac:dyDescent="0.25">
      <c r="A52" s="39">
        <v>44904</v>
      </c>
      <c r="B52" s="40" t="s">
        <v>18</v>
      </c>
      <c r="C52" s="8">
        <v>-0.5</v>
      </c>
      <c r="D52" s="13">
        <v>0.80763888888888891</v>
      </c>
      <c r="E52" s="41" t="str">
        <f>Effort!J50</f>
        <v>CLOSED</v>
      </c>
      <c r="F52" s="42" t="str">
        <f>Harvest!J50</f>
        <v>CLOSED</v>
      </c>
      <c r="G52" s="43" t="str">
        <f>CPUE!J50</f>
        <v>CLOSED</v>
      </c>
      <c r="H52" s="43"/>
      <c r="I52" s="41" t="str">
        <f>Effort!L50</f>
        <v>CLOSED</v>
      </c>
      <c r="J52" s="42" t="str">
        <f>Harvest!L50</f>
        <v>CLOSED</v>
      </c>
      <c r="K52" s="43" t="str">
        <f>CPUE!L50</f>
        <v>CLOSED</v>
      </c>
      <c r="L52" s="43"/>
      <c r="M52" s="41" t="s">
        <v>10</v>
      </c>
      <c r="N52" s="42" t="s">
        <v>10</v>
      </c>
      <c r="O52" s="43" t="s">
        <v>10</v>
      </c>
      <c r="P52" s="44"/>
      <c r="Q52" s="41">
        <f t="shared" si="9"/>
        <v>0</v>
      </c>
      <c r="R52" s="42">
        <f t="shared" si="10"/>
        <v>0</v>
      </c>
    </row>
    <row r="53" spans="1:21" x14ac:dyDescent="0.25">
      <c r="A53" s="39">
        <v>44905</v>
      </c>
      <c r="B53" s="40" t="s">
        <v>19</v>
      </c>
      <c r="C53" s="8">
        <v>-0.3</v>
      </c>
      <c r="D53" s="13">
        <v>0.83263888888888893</v>
      </c>
      <c r="E53" s="41" t="str">
        <f>Effort!J51</f>
        <v>CLOSED</v>
      </c>
      <c r="F53" s="42" t="str">
        <f>Harvest!J51</f>
        <v>CLOSED</v>
      </c>
      <c r="G53" s="43" t="str">
        <f>CPUE!J51</f>
        <v>CLOSED</v>
      </c>
      <c r="H53" s="43"/>
      <c r="I53" s="41" t="str">
        <f>Effort!L51</f>
        <v>CLOSED</v>
      </c>
      <c r="J53" s="42" t="str">
        <f>Harvest!L51</f>
        <v>CLOSED</v>
      </c>
      <c r="K53" s="43" t="str">
        <f>CPUE!L51</f>
        <v>CLOSED</v>
      </c>
      <c r="L53" s="43"/>
      <c r="M53" s="41" t="s">
        <v>10</v>
      </c>
      <c r="N53" s="42" t="s">
        <v>10</v>
      </c>
      <c r="O53" s="43" t="s">
        <v>10</v>
      </c>
      <c r="P53" s="44"/>
      <c r="Q53" s="41">
        <f t="shared" si="9"/>
        <v>0</v>
      </c>
      <c r="R53" s="42">
        <f t="shared" si="10"/>
        <v>0</v>
      </c>
    </row>
    <row r="54" spans="1:21" x14ac:dyDescent="0.25">
      <c r="A54" s="39">
        <v>44906</v>
      </c>
      <c r="B54" s="40" t="s">
        <v>20</v>
      </c>
      <c r="C54" s="8">
        <v>0</v>
      </c>
      <c r="D54" s="13">
        <v>0.85763888888888884</v>
      </c>
      <c r="E54" s="41" t="str">
        <f>Effort!J52</f>
        <v>CLOSED</v>
      </c>
      <c r="F54" s="42" t="str">
        <f>Harvest!J52</f>
        <v>CLOSED</v>
      </c>
      <c r="G54" s="43" t="str">
        <f>CPUE!J52</f>
        <v>CLOSED</v>
      </c>
      <c r="H54" s="43"/>
      <c r="I54" s="41" t="str">
        <f>Effort!L52</f>
        <v>CLOSED</v>
      </c>
      <c r="J54" s="42" t="str">
        <f>Harvest!L52</f>
        <v>CLOSED</v>
      </c>
      <c r="K54" s="43" t="str">
        <f>CPUE!L52</f>
        <v>CLOSED</v>
      </c>
      <c r="L54" s="43"/>
      <c r="M54" s="41" t="s">
        <v>10</v>
      </c>
      <c r="N54" s="42" t="s">
        <v>10</v>
      </c>
      <c r="O54" s="43" t="s">
        <v>10</v>
      </c>
      <c r="P54" s="44"/>
      <c r="Q54" s="41">
        <f>SUM(E54,I54)</f>
        <v>0</v>
      </c>
      <c r="R54" s="42">
        <f t="shared" si="10"/>
        <v>0</v>
      </c>
    </row>
    <row r="55" spans="1:21" x14ac:dyDescent="0.25">
      <c r="A55" s="39">
        <v>44907</v>
      </c>
      <c r="B55" s="40" t="s">
        <v>21</v>
      </c>
      <c r="C55" s="8">
        <v>0.3</v>
      </c>
      <c r="D55" s="13">
        <v>0.88402777777777775</v>
      </c>
      <c r="E55" s="41" t="str">
        <f>Effort!J53</f>
        <v>CLOSED</v>
      </c>
      <c r="F55" s="42" t="str">
        <f>Harvest!J53</f>
        <v>CLOSED</v>
      </c>
      <c r="G55" s="43" t="str">
        <f>CPUE!J53</f>
        <v>CLOSED</v>
      </c>
      <c r="H55" s="43"/>
      <c r="I55" s="41" t="str">
        <f>Effort!L53</f>
        <v>CLOSED</v>
      </c>
      <c r="J55" s="42" t="str">
        <f>Harvest!L53</f>
        <v>CLOSED</v>
      </c>
      <c r="K55" s="43" t="str">
        <f>CPUE!L53</f>
        <v>CLOSED</v>
      </c>
      <c r="L55" s="43"/>
      <c r="M55" s="41" t="s">
        <v>10</v>
      </c>
      <c r="N55" s="42" t="s">
        <v>10</v>
      </c>
      <c r="O55" s="43" t="s">
        <v>10</v>
      </c>
      <c r="P55" s="78"/>
      <c r="Q55" s="41">
        <f>SUM(E55,I55)</f>
        <v>0</v>
      </c>
      <c r="R55" s="42">
        <f>SUM(F55,J55)</f>
        <v>0</v>
      </c>
    </row>
    <row r="56" spans="1:21" x14ac:dyDescent="0.25">
      <c r="A56" s="117" t="s">
        <v>57</v>
      </c>
      <c r="B56" s="117"/>
      <c r="C56" s="117"/>
      <c r="D56" s="118"/>
      <c r="E56" s="47">
        <f>SUM(E47:E55)</f>
        <v>0</v>
      </c>
      <c r="F56" s="48">
        <f>SUM(F47:F55)</f>
        <v>0</v>
      </c>
      <c r="G56" s="49">
        <v>0</v>
      </c>
      <c r="H56" s="49"/>
      <c r="I56" s="47">
        <f>SUM(I47:I55)</f>
        <v>0</v>
      </c>
      <c r="J56" s="48">
        <f>SUM(J47:J55)</f>
        <v>0</v>
      </c>
      <c r="K56" s="49">
        <v>0</v>
      </c>
      <c r="L56" s="49"/>
      <c r="M56" s="47"/>
      <c r="N56" s="48"/>
      <c r="O56" s="69"/>
      <c r="P56" s="49"/>
      <c r="Q56" s="47">
        <f>SUM(Q47:Q55)</f>
        <v>0</v>
      </c>
      <c r="R56" s="48">
        <f>SUM(R47:R55)</f>
        <v>0</v>
      </c>
      <c r="T56" s="20">
        <f>SUM(E56,I56)</f>
        <v>0</v>
      </c>
      <c r="U56" s="20">
        <f>SUM(F56,J56)</f>
        <v>0</v>
      </c>
    </row>
    <row r="57" spans="1:21" x14ac:dyDescent="0.25">
      <c r="A57" s="39">
        <v>44915</v>
      </c>
      <c r="B57" s="40" t="s">
        <v>22</v>
      </c>
      <c r="C57" s="8">
        <v>0</v>
      </c>
      <c r="D57" s="13">
        <v>0.67638888888888893</v>
      </c>
      <c r="E57" s="41" t="str">
        <f>Effort!J55</f>
        <v>CLOSED</v>
      </c>
      <c r="F57" s="42" t="str">
        <f>Harvest!J55</f>
        <v>CLOSED</v>
      </c>
      <c r="G57" s="43" t="str">
        <f>CPUE!J55</f>
        <v>CLOSED</v>
      </c>
      <c r="H57" s="43"/>
      <c r="I57" s="41" t="str">
        <f>Effort!L55</f>
        <v>CLOSED</v>
      </c>
      <c r="J57" s="42" t="str">
        <f>Harvest!L55</f>
        <v>CLOSED</v>
      </c>
      <c r="K57" s="43" t="str">
        <f>CPUE!L55</f>
        <v>CLOSED</v>
      </c>
      <c r="L57" s="43"/>
      <c r="M57" s="41" t="s">
        <v>10</v>
      </c>
      <c r="N57" s="42" t="s">
        <v>10</v>
      </c>
      <c r="O57" s="113" t="s">
        <v>10</v>
      </c>
      <c r="P57" s="43"/>
      <c r="Q57" s="41">
        <f t="shared" ref="Q57:Q63" si="11">SUM(E57,I57)</f>
        <v>0</v>
      </c>
      <c r="R57" s="42">
        <f t="shared" ref="R57:R64" si="12">SUM(F57,J57)</f>
        <v>0</v>
      </c>
    </row>
    <row r="58" spans="1:21" x14ac:dyDescent="0.25">
      <c r="A58" s="39">
        <v>44916</v>
      </c>
      <c r="B58" s="40" t="s">
        <v>23</v>
      </c>
      <c r="C58" s="8">
        <v>-0.8</v>
      </c>
      <c r="D58" s="13">
        <v>0.70972222222222225</v>
      </c>
      <c r="E58" s="41" t="str">
        <f>Effort!J56</f>
        <v>CLOSED</v>
      </c>
      <c r="F58" s="42" t="str">
        <f>Harvest!J56</f>
        <v>CLOSED</v>
      </c>
      <c r="G58" s="43" t="str">
        <f>CPUE!J56</f>
        <v>CLOSED</v>
      </c>
      <c r="H58" s="43"/>
      <c r="I58" s="41" t="str">
        <f>Effort!L56</f>
        <v>CLOSED</v>
      </c>
      <c r="J58" s="42" t="str">
        <f>Harvest!L56</f>
        <v>CLOSED</v>
      </c>
      <c r="K58" s="43" t="str">
        <f>CPUE!L56</f>
        <v>CLOSED</v>
      </c>
      <c r="L58" s="43"/>
      <c r="M58" s="41" t="s">
        <v>10</v>
      </c>
      <c r="N58" s="42" t="s">
        <v>10</v>
      </c>
      <c r="O58" s="43" t="s">
        <v>10</v>
      </c>
      <c r="P58" s="43"/>
      <c r="Q58" s="41">
        <f t="shared" si="11"/>
        <v>0</v>
      </c>
      <c r="R58" s="42">
        <f t="shared" si="12"/>
        <v>0</v>
      </c>
    </row>
    <row r="59" spans="1:21" x14ac:dyDescent="0.25">
      <c r="A59" s="39">
        <v>44917</v>
      </c>
      <c r="B59" s="40" t="s">
        <v>24</v>
      </c>
      <c r="C59" s="8">
        <v>-1.4</v>
      </c>
      <c r="D59" s="13">
        <v>0.7416666666666667</v>
      </c>
      <c r="E59" s="41" t="str">
        <f>Effort!J57</f>
        <v>CLOSED</v>
      </c>
      <c r="F59" s="42" t="str">
        <f>Harvest!J57</f>
        <v>CLOSED</v>
      </c>
      <c r="G59" s="43" t="str">
        <f>CPUE!J57</f>
        <v>CLOSED</v>
      </c>
      <c r="H59" s="43"/>
      <c r="I59" s="41" t="str">
        <f>Effort!L57</f>
        <v>CLOSED</v>
      </c>
      <c r="J59" s="42" t="str">
        <f>Harvest!L57</f>
        <v>CLOSED</v>
      </c>
      <c r="K59" s="43" t="str">
        <f>CPUE!L57</f>
        <v>CLOSED</v>
      </c>
      <c r="L59" s="43"/>
      <c r="M59" s="41" t="s">
        <v>10</v>
      </c>
      <c r="N59" s="42" t="s">
        <v>10</v>
      </c>
      <c r="O59" s="43" t="s">
        <v>10</v>
      </c>
      <c r="P59" s="44"/>
      <c r="Q59" s="41">
        <f t="shared" si="11"/>
        <v>0</v>
      </c>
      <c r="R59" s="42">
        <f t="shared" si="12"/>
        <v>0</v>
      </c>
    </row>
    <row r="60" spans="1:21" x14ac:dyDescent="0.25">
      <c r="A60" s="39">
        <v>44918</v>
      </c>
      <c r="B60" s="40" t="s">
        <v>18</v>
      </c>
      <c r="C60" s="8">
        <v>-1.8</v>
      </c>
      <c r="D60" s="13">
        <v>0.77430555555555547</v>
      </c>
      <c r="E60" s="41" t="str">
        <f>Effort!J58</f>
        <v>CLOSED</v>
      </c>
      <c r="F60" s="42" t="str">
        <f>Harvest!J58</f>
        <v>CLOSED</v>
      </c>
      <c r="G60" s="43" t="str">
        <f>CPUE!J58</f>
        <v>CLOSED</v>
      </c>
      <c r="H60" s="43"/>
      <c r="I60" s="41" t="str">
        <f>Effort!L58</f>
        <v>CLOSED</v>
      </c>
      <c r="J60" s="42" t="str">
        <f>Harvest!L58</f>
        <v>CLOSED</v>
      </c>
      <c r="K60" s="43" t="str">
        <f>CPUE!L58</f>
        <v>CLOSED</v>
      </c>
      <c r="L60" s="43"/>
      <c r="M60" s="41" t="s">
        <v>10</v>
      </c>
      <c r="N60" s="42" t="s">
        <v>10</v>
      </c>
      <c r="O60" s="43" t="s">
        <v>10</v>
      </c>
      <c r="P60" s="43"/>
      <c r="Q60" s="41">
        <f t="shared" si="11"/>
        <v>0</v>
      </c>
      <c r="R60" s="42">
        <f t="shared" si="12"/>
        <v>0</v>
      </c>
    </row>
    <row r="61" spans="1:21" x14ac:dyDescent="0.25">
      <c r="A61" s="39">
        <v>44919</v>
      </c>
      <c r="B61" s="40" t="s">
        <v>19</v>
      </c>
      <c r="C61" s="8">
        <v>-1.9</v>
      </c>
      <c r="D61" s="13">
        <v>0.80763888888888891</v>
      </c>
      <c r="E61" s="41" t="str">
        <f>Effort!J59</f>
        <v>CLOSED</v>
      </c>
      <c r="F61" s="42" t="str">
        <f>Harvest!J59</f>
        <v>CLOSED</v>
      </c>
      <c r="G61" s="43" t="str">
        <f>CPUE!J59</f>
        <v>CLOSED</v>
      </c>
      <c r="H61" s="43"/>
      <c r="I61" s="41" t="str">
        <f>Effort!L59</f>
        <v>CLOSED</v>
      </c>
      <c r="J61" s="42" t="str">
        <f>Harvest!L59</f>
        <v>CLOSED</v>
      </c>
      <c r="K61" s="43" t="str">
        <f>CPUE!L59</f>
        <v>CLOSED</v>
      </c>
      <c r="L61" s="43"/>
      <c r="M61" s="41" t="s">
        <v>10</v>
      </c>
      <c r="N61" s="42" t="s">
        <v>10</v>
      </c>
      <c r="O61" s="43" t="s">
        <v>10</v>
      </c>
      <c r="P61" s="44"/>
      <c r="Q61" s="41">
        <f t="shared" si="11"/>
        <v>0</v>
      </c>
      <c r="R61" s="42">
        <f t="shared" si="12"/>
        <v>0</v>
      </c>
    </row>
    <row r="62" spans="1:21" x14ac:dyDescent="0.25">
      <c r="A62" s="39">
        <v>44920</v>
      </c>
      <c r="B62" s="40" t="s">
        <v>20</v>
      </c>
      <c r="C62" s="8">
        <v>-1.6</v>
      </c>
      <c r="D62" s="13">
        <v>0.84027777777777779</v>
      </c>
      <c r="E62" s="41" t="str">
        <f>Effort!J60</f>
        <v>CLOSED</v>
      </c>
      <c r="F62" s="42" t="str">
        <f>Harvest!J60</f>
        <v>CLOSED</v>
      </c>
      <c r="G62" s="43" t="str">
        <f>CPUE!J60</f>
        <v>CLOSED</v>
      </c>
      <c r="H62" s="43"/>
      <c r="I62" s="41" t="str">
        <f>Effort!L60</f>
        <v>CLOSED</v>
      </c>
      <c r="J62" s="42" t="str">
        <f>Harvest!L60</f>
        <v>CLOSED</v>
      </c>
      <c r="K62" s="43" t="str">
        <f>CPUE!L60</f>
        <v>CLOSED</v>
      </c>
      <c r="L62" s="43"/>
      <c r="M62" s="41" t="s">
        <v>10</v>
      </c>
      <c r="N62" s="42" t="s">
        <v>10</v>
      </c>
      <c r="O62" s="43" t="s">
        <v>10</v>
      </c>
      <c r="P62" s="44"/>
      <c r="Q62" s="41">
        <f t="shared" si="11"/>
        <v>0</v>
      </c>
      <c r="R62" s="42">
        <f t="shared" si="12"/>
        <v>0</v>
      </c>
    </row>
    <row r="63" spans="1:21" x14ac:dyDescent="0.25">
      <c r="A63" s="39">
        <v>44921</v>
      </c>
      <c r="B63" s="40" t="s">
        <v>21</v>
      </c>
      <c r="C63" s="8">
        <v>-1.2</v>
      </c>
      <c r="D63" s="13">
        <v>0.87361111111111101</v>
      </c>
      <c r="E63" s="41" t="str">
        <f>Effort!J61</f>
        <v>CLOSED</v>
      </c>
      <c r="F63" s="42" t="str">
        <f>Harvest!J61</f>
        <v>CLOSED</v>
      </c>
      <c r="G63" s="43" t="str">
        <f>CPUE!J61</f>
        <v>CLOSED</v>
      </c>
      <c r="H63" s="43"/>
      <c r="I63" s="41" t="str">
        <f>Effort!L61</f>
        <v>CLOSED</v>
      </c>
      <c r="J63" s="42" t="str">
        <f>Harvest!L61</f>
        <v>CLOSED</v>
      </c>
      <c r="K63" s="43" t="str">
        <f>CPUE!L61</f>
        <v>CLOSED</v>
      </c>
      <c r="L63" s="43"/>
      <c r="M63" s="41" t="s">
        <v>10</v>
      </c>
      <c r="N63" s="42" t="s">
        <v>10</v>
      </c>
      <c r="O63" s="43" t="s">
        <v>10</v>
      </c>
      <c r="P63" s="44"/>
      <c r="Q63" s="41">
        <f t="shared" si="11"/>
        <v>0</v>
      </c>
      <c r="R63" s="42">
        <f t="shared" si="12"/>
        <v>0</v>
      </c>
    </row>
    <row r="64" spans="1:21" x14ac:dyDescent="0.25">
      <c r="A64" s="39">
        <v>44922</v>
      </c>
      <c r="B64" s="40" t="s">
        <v>22</v>
      </c>
      <c r="C64" s="8">
        <v>-0.5</v>
      </c>
      <c r="D64" s="13">
        <v>0.90763888888888899</v>
      </c>
      <c r="E64" s="41" t="str">
        <f>Effort!J62</f>
        <v>CLOSED</v>
      </c>
      <c r="F64" s="42" t="str">
        <f>Harvest!J62</f>
        <v>CLOSED</v>
      </c>
      <c r="G64" s="43" t="str">
        <f>CPUE!J62</f>
        <v>CLOSED</v>
      </c>
      <c r="H64" s="43"/>
      <c r="I64" s="41" t="str">
        <f>Effort!L62</f>
        <v>CLOSED</v>
      </c>
      <c r="J64" s="42" t="str">
        <f>Harvest!L62</f>
        <v>CLOSED</v>
      </c>
      <c r="K64" s="43" t="str">
        <f>CPUE!L62</f>
        <v>CLOSED</v>
      </c>
      <c r="L64" s="43"/>
      <c r="M64" s="41" t="s">
        <v>10</v>
      </c>
      <c r="N64" s="42" t="s">
        <v>10</v>
      </c>
      <c r="O64" s="43" t="s">
        <v>10</v>
      </c>
      <c r="P64" s="44"/>
      <c r="Q64" s="41">
        <f>SUM(E64,I64)</f>
        <v>0</v>
      </c>
      <c r="R64" s="42">
        <f t="shared" si="12"/>
        <v>0</v>
      </c>
    </row>
    <row r="65" spans="1:21" x14ac:dyDescent="0.25">
      <c r="A65" s="39">
        <v>44923</v>
      </c>
      <c r="B65" s="40" t="s">
        <v>23</v>
      </c>
      <c r="C65" s="8">
        <v>0.3</v>
      </c>
      <c r="D65" s="13">
        <v>0.94236111111111109</v>
      </c>
      <c r="E65" s="41" t="str">
        <f>Effort!J63</f>
        <v>CLOSED</v>
      </c>
      <c r="F65" s="42" t="str">
        <f>Harvest!J63</f>
        <v>CLOSED</v>
      </c>
      <c r="G65" s="43" t="str">
        <f>CPUE!J63</f>
        <v>CLOSED</v>
      </c>
      <c r="H65" s="43"/>
      <c r="I65" s="41" t="str">
        <f>Effort!L63</f>
        <v>CLOSED</v>
      </c>
      <c r="J65" s="42" t="str">
        <f>Harvest!L63</f>
        <v>CLOSED</v>
      </c>
      <c r="K65" s="43" t="str">
        <f>CPUE!L63</f>
        <v>CLOSED</v>
      </c>
      <c r="L65" s="43"/>
      <c r="M65" s="41" t="s">
        <v>10</v>
      </c>
      <c r="N65" s="42" t="s">
        <v>10</v>
      </c>
      <c r="O65" s="43" t="s">
        <v>10</v>
      </c>
      <c r="P65" s="78"/>
      <c r="Q65" s="41">
        <f>SUM(E65,I65)</f>
        <v>0</v>
      </c>
      <c r="R65" s="42">
        <f>SUM(F65,J65)</f>
        <v>0</v>
      </c>
    </row>
    <row r="66" spans="1:21" x14ac:dyDescent="0.25">
      <c r="A66" s="117" t="s">
        <v>57</v>
      </c>
      <c r="B66" s="117"/>
      <c r="C66" s="117"/>
      <c r="D66" s="118"/>
      <c r="E66" s="47">
        <f>SUM(E57:E65)</f>
        <v>0</v>
      </c>
      <c r="F66" s="48">
        <f>SUM(F57:F65)</f>
        <v>0</v>
      </c>
      <c r="G66" s="49">
        <v>0</v>
      </c>
      <c r="H66" s="49"/>
      <c r="I66" s="47">
        <f>SUM(I57:I65)</f>
        <v>0</v>
      </c>
      <c r="J66" s="48">
        <f>SUM(J57:J65)</f>
        <v>0</v>
      </c>
      <c r="K66" s="49">
        <v>0</v>
      </c>
      <c r="L66" s="49"/>
      <c r="M66" s="47"/>
      <c r="N66" s="48"/>
      <c r="O66" s="85"/>
      <c r="P66" s="49"/>
      <c r="Q66" s="47">
        <f>SUM(Q57:Q65)</f>
        <v>0</v>
      </c>
      <c r="R66" s="48">
        <f>SUM(R57:R65)</f>
        <v>0</v>
      </c>
      <c r="T66" s="20">
        <f>SUM(E66,I66)</f>
        <v>0</v>
      </c>
      <c r="U66" s="20">
        <f>SUM(F66,J66)</f>
        <v>0</v>
      </c>
    </row>
    <row r="67" spans="1:21" x14ac:dyDescent="0.25">
      <c r="A67" s="39">
        <v>44928</v>
      </c>
      <c r="B67" s="40" t="s">
        <v>21</v>
      </c>
      <c r="C67" s="8">
        <v>0.5</v>
      </c>
      <c r="D67" s="13">
        <v>0.65763888888888888</v>
      </c>
      <c r="E67" s="41" t="str">
        <f>Effort!J65</f>
        <v>CLOSED</v>
      </c>
      <c r="F67" s="42" t="str">
        <f>Harvest!J65</f>
        <v>CLOSED</v>
      </c>
      <c r="G67" s="43" t="str">
        <f>CPUE!J65</f>
        <v>CLOSED</v>
      </c>
      <c r="H67" s="43"/>
      <c r="I67" s="41" t="str">
        <f>Effort!L65</f>
        <v>CLOSED</v>
      </c>
      <c r="J67" s="42" t="str">
        <f>Harvest!L65</f>
        <v>CLOSED</v>
      </c>
      <c r="K67" s="43" t="str">
        <f>CPUE!L65</f>
        <v>CLOSED</v>
      </c>
      <c r="L67" s="43"/>
      <c r="M67" s="41" t="s">
        <v>10</v>
      </c>
      <c r="N67" s="42" t="s">
        <v>10</v>
      </c>
      <c r="O67" s="43" t="s">
        <v>10</v>
      </c>
      <c r="P67" s="43"/>
      <c r="Q67" s="41">
        <f t="shared" ref="Q67:Q72" si="13">SUM(E67,I67)</f>
        <v>0</v>
      </c>
      <c r="R67" s="42">
        <f t="shared" ref="R67:R73" si="14">SUM(F67,J67)</f>
        <v>0</v>
      </c>
    </row>
    <row r="68" spans="1:21" x14ac:dyDescent="0.25">
      <c r="A68" s="39">
        <v>44929</v>
      </c>
      <c r="B68" s="40" t="s">
        <v>22</v>
      </c>
      <c r="C68" s="8">
        <v>0.1</v>
      </c>
      <c r="D68" s="13">
        <v>0.69027777777777777</v>
      </c>
      <c r="E68" s="41" t="str">
        <f>Effort!J66</f>
        <v>CLOSED</v>
      </c>
      <c r="F68" s="42" t="str">
        <f>Harvest!J66</f>
        <v>CLOSED</v>
      </c>
      <c r="G68" s="43" t="str">
        <f>CPUE!J66</f>
        <v>CLOSED</v>
      </c>
      <c r="H68" s="43"/>
      <c r="I68" s="41" t="str">
        <f>Effort!L66</f>
        <v>CLOSED</v>
      </c>
      <c r="J68" s="42" t="str">
        <f>Harvest!L66</f>
        <v>CLOSED</v>
      </c>
      <c r="K68" s="43" t="str">
        <f>CPUE!L66</f>
        <v>CLOSED</v>
      </c>
      <c r="L68" s="43"/>
      <c r="M68" s="41" t="s">
        <v>10</v>
      </c>
      <c r="N68" s="42" t="s">
        <v>10</v>
      </c>
      <c r="O68" s="43" t="s">
        <v>10</v>
      </c>
      <c r="P68" s="44"/>
      <c r="Q68" s="41">
        <f t="shared" si="13"/>
        <v>0</v>
      </c>
      <c r="R68" s="42">
        <f t="shared" si="14"/>
        <v>0</v>
      </c>
    </row>
    <row r="69" spans="1:21" x14ac:dyDescent="0.25">
      <c r="A69" s="39">
        <v>44930</v>
      </c>
      <c r="B69" s="40" t="s">
        <v>23</v>
      </c>
      <c r="C69" s="8">
        <v>-0.1</v>
      </c>
      <c r="D69" s="13">
        <v>0.71944444444444444</v>
      </c>
      <c r="E69" s="41" t="str">
        <f>Effort!J67</f>
        <v>CLOSED</v>
      </c>
      <c r="F69" s="42" t="str">
        <f>Harvest!J67</f>
        <v>CLOSED</v>
      </c>
      <c r="G69" s="43" t="str">
        <f>CPUE!J67</f>
        <v>CLOSED</v>
      </c>
      <c r="H69" s="43"/>
      <c r="I69" s="41" t="str">
        <f>Effort!L67</f>
        <v>CLOSED</v>
      </c>
      <c r="J69" s="42" t="str">
        <f>Harvest!L67</f>
        <v>CLOSED</v>
      </c>
      <c r="K69" s="43" t="str">
        <f>CPUE!L67</f>
        <v>CLOSED</v>
      </c>
      <c r="L69" s="43"/>
      <c r="M69" s="41" t="s">
        <v>10</v>
      </c>
      <c r="N69" s="42" t="s">
        <v>10</v>
      </c>
      <c r="O69" s="43" t="s">
        <v>10</v>
      </c>
      <c r="P69" s="43"/>
      <c r="Q69" s="41">
        <f t="shared" si="13"/>
        <v>0</v>
      </c>
      <c r="R69" s="42">
        <f t="shared" si="14"/>
        <v>0</v>
      </c>
    </row>
    <row r="70" spans="1:21" x14ac:dyDescent="0.25">
      <c r="A70" s="39">
        <v>44931</v>
      </c>
      <c r="B70" s="40" t="s">
        <v>24</v>
      </c>
      <c r="C70" s="8">
        <v>-0.3</v>
      </c>
      <c r="D70" s="13">
        <v>0.74583333333333324</v>
      </c>
      <c r="E70" s="41" t="str">
        <f>Effort!J68</f>
        <v>CLOSED</v>
      </c>
      <c r="F70" s="42" t="str">
        <f>Harvest!J68</f>
        <v>CLOSED</v>
      </c>
      <c r="G70" s="43" t="str">
        <f>CPUE!J68</f>
        <v>CLOSED</v>
      </c>
      <c r="H70" s="43"/>
      <c r="I70" s="41" t="str">
        <f>Effort!L68</f>
        <v>CLOSED</v>
      </c>
      <c r="J70" s="42" t="str">
        <f>Harvest!L68</f>
        <v>CLOSED</v>
      </c>
      <c r="K70" s="43" t="str">
        <f>CPUE!L68</f>
        <v>CLOSED</v>
      </c>
      <c r="L70" s="43"/>
      <c r="M70" s="41" t="s">
        <v>10</v>
      </c>
      <c r="N70" s="42" t="s">
        <v>10</v>
      </c>
      <c r="O70" s="43" t="s">
        <v>10</v>
      </c>
      <c r="P70" s="44"/>
      <c r="Q70" s="41">
        <f t="shared" si="13"/>
        <v>0</v>
      </c>
      <c r="R70" s="42">
        <f t="shared" si="14"/>
        <v>0</v>
      </c>
    </row>
    <row r="71" spans="1:21" x14ac:dyDescent="0.25">
      <c r="A71" s="39">
        <v>44932</v>
      </c>
      <c r="B71" s="40" t="s">
        <v>18</v>
      </c>
      <c r="C71" s="8">
        <v>-0.3</v>
      </c>
      <c r="D71" s="13">
        <v>0.77083333333333337</v>
      </c>
      <c r="E71" s="41" t="str">
        <f>Effort!J69</f>
        <v>CLOSED</v>
      </c>
      <c r="F71" s="42" t="str">
        <f>Harvest!J69</f>
        <v>CLOSED</v>
      </c>
      <c r="G71" s="43" t="str">
        <f>CPUE!J69</f>
        <v>CLOSED</v>
      </c>
      <c r="H71" s="43"/>
      <c r="I71" s="41" t="str">
        <f>Effort!L69</f>
        <v>CLOSED</v>
      </c>
      <c r="J71" s="42" t="str">
        <f>Harvest!L69</f>
        <v>CLOSED</v>
      </c>
      <c r="K71" s="43" t="str">
        <f>CPUE!L69</f>
        <v>CLOSED</v>
      </c>
      <c r="L71" s="43"/>
      <c r="M71" s="41" t="s">
        <v>10</v>
      </c>
      <c r="N71" s="42" t="s">
        <v>10</v>
      </c>
      <c r="O71" s="43" t="s">
        <v>10</v>
      </c>
      <c r="P71" s="44"/>
      <c r="Q71" s="41">
        <f t="shared" si="13"/>
        <v>0</v>
      </c>
      <c r="R71" s="42">
        <f t="shared" si="14"/>
        <v>0</v>
      </c>
    </row>
    <row r="72" spans="1:21" x14ac:dyDescent="0.25">
      <c r="A72" s="39">
        <v>44933</v>
      </c>
      <c r="B72" s="40" t="s">
        <v>19</v>
      </c>
      <c r="C72" s="8">
        <v>-0.3</v>
      </c>
      <c r="D72" s="13">
        <v>0.79513888888888884</v>
      </c>
      <c r="E72" s="41" t="str">
        <f>Effort!J70</f>
        <v>CLOSED</v>
      </c>
      <c r="F72" s="42" t="str">
        <f>Harvest!J70</f>
        <v>CLOSED</v>
      </c>
      <c r="G72" s="43" t="str">
        <f>CPUE!J70</f>
        <v>CLOSED</v>
      </c>
      <c r="H72" s="43"/>
      <c r="I72" s="41" t="str">
        <f>Effort!L70</f>
        <v>CLOSED</v>
      </c>
      <c r="J72" s="42" t="str">
        <f>Harvest!L70</f>
        <v>CLOSED</v>
      </c>
      <c r="K72" s="43" t="str">
        <f>CPUE!L70</f>
        <v>CLOSED</v>
      </c>
      <c r="L72" s="43"/>
      <c r="M72" s="41" t="s">
        <v>10</v>
      </c>
      <c r="N72" s="42" t="s">
        <v>10</v>
      </c>
      <c r="O72" s="43" t="s">
        <v>10</v>
      </c>
      <c r="P72" s="44"/>
      <c r="Q72" s="41">
        <f t="shared" si="13"/>
        <v>0</v>
      </c>
      <c r="R72" s="42">
        <f t="shared" si="14"/>
        <v>0</v>
      </c>
    </row>
    <row r="73" spans="1:21" x14ac:dyDescent="0.25">
      <c r="A73" s="39">
        <v>44934</v>
      </c>
      <c r="B73" s="40" t="s">
        <v>20</v>
      </c>
      <c r="C73" s="8">
        <v>-0.2</v>
      </c>
      <c r="D73" s="13">
        <v>0.81805555555555554</v>
      </c>
      <c r="E73" s="41" t="str">
        <f>Effort!J71</f>
        <v>CLOSED</v>
      </c>
      <c r="F73" s="42" t="str">
        <f>Harvest!J71</f>
        <v>CLOSED</v>
      </c>
      <c r="G73" s="43" t="str">
        <f>CPUE!J71</f>
        <v>CLOSED</v>
      </c>
      <c r="H73" s="43"/>
      <c r="I73" s="41" t="str">
        <f>Effort!L71</f>
        <v>CLOSED</v>
      </c>
      <c r="J73" s="42" t="str">
        <f>Harvest!L71</f>
        <v>CLOSED</v>
      </c>
      <c r="K73" s="43" t="str">
        <f>CPUE!L71</f>
        <v>CLOSED</v>
      </c>
      <c r="L73" s="43"/>
      <c r="M73" s="41" t="s">
        <v>10</v>
      </c>
      <c r="N73" s="42" t="s">
        <v>10</v>
      </c>
      <c r="O73" s="43" t="s">
        <v>10</v>
      </c>
      <c r="P73" s="44"/>
      <c r="Q73" s="41">
        <f>SUM(E73,I73)</f>
        <v>0</v>
      </c>
      <c r="R73" s="42">
        <f t="shared" si="14"/>
        <v>0</v>
      </c>
    </row>
    <row r="74" spans="1:21" x14ac:dyDescent="0.25">
      <c r="A74" s="39">
        <v>44935</v>
      </c>
      <c r="B74" s="40" t="s">
        <v>21</v>
      </c>
      <c r="C74" s="8">
        <v>0</v>
      </c>
      <c r="D74" s="13">
        <v>0.84097222222222223</v>
      </c>
      <c r="E74" s="41" t="str">
        <f>Effort!J72</f>
        <v>CLOSED</v>
      </c>
      <c r="F74" s="42" t="str">
        <f>Harvest!J72</f>
        <v>CLOSED</v>
      </c>
      <c r="G74" s="43" t="str">
        <f>CPUE!J72</f>
        <v>CLOSED</v>
      </c>
      <c r="H74" s="43"/>
      <c r="I74" s="41" t="str">
        <f>Effort!L72</f>
        <v>CLOSED</v>
      </c>
      <c r="J74" s="42" t="str">
        <f>Harvest!L72</f>
        <v>CLOSED</v>
      </c>
      <c r="K74" s="43" t="str">
        <f>CPUE!L72</f>
        <v>CLOSED</v>
      </c>
      <c r="L74" s="43"/>
      <c r="M74" s="41" t="s">
        <v>10</v>
      </c>
      <c r="N74" s="42" t="s">
        <v>10</v>
      </c>
      <c r="O74" s="43" t="s">
        <v>10</v>
      </c>
      <c r="P74" s="78"/>
      <c r="Q74" s="41">
        <f>SUM(E74,I74)</f>
        <v>0</v>
      </c>
      <c r="R74" s="42">
        <f>SUM(F74,J74)</f>
        <v>0</v>
      </c>
    </row>
    <row r="75" spans="1:21" x14ac:dyDescent="0.25">
      <c r="A75" s="117" t="s">
        <v>57</v>
      </c>
      <c r="B75" s="117"/>
      <c r="C75" s="117"/>
      <c r="D75" s="118"/>
      <c r="E75" s="47">
        <f>SUM(E67:E74)</f>
        <v>0</v>
      </c>
      <c r="F75" s="48">
        <f>SUM(F67:F74)</f>
        <v>0</v>
      </c>
      <c r="G75" s="49">
        <v>0</v>
      </c>
      <c r="H75" s="49"/>
      <c r="I75" s="47">
        <f>SUM(I67:I74)</f>
        <v>0</v>
      </c>
      <c r="J75" s="48">
        <f>SUM(J67:J74)</f>
        <v>0</v>
      </c>
      <c r="K75" s="49">
        <v>0</v>
      </c>
      <c r="L75" s="49"/>
      <c r="M75" s="47"/>
      <c r="N75" s="48"/>
      <c r="O75" s="85"/>
      <c r="P75" s="49"/>
      <c r="Q75" s="47">
        <f>SUM(Q67:Q74)</f>
        <v>0</v>
      </c>
      <c r="R75" s="48">
        <f>SUM(R67:R74)</f>
        <v>0</v>
      </c>
      <c r="T75" s="20">
        <f>SUM(E75,I75)</f>
        <v>0</v>
      </c>
      <c r="U75" s="20">
        <f>SUM(F75,J75)</f>
        <v>0</v>
      </c>
    </row>
    <row r="76" spans="1:21" x14ac:dyDescent="0.25">
      <c r="A76" s="39">
        <v>44944</v>
      </c>
      <c r="B76" s="40" t="s">
        <v>23</v>
      </c>
      <c r="C76" s="8">
        <v>-0.1</v>
      </c>
      <c r="D76" s="13">
        <v>0.66180555555555554</v>
      </c>
      <c r="E76" s="41" t="str">
        <f>Effort!J74</f>
        <v>CLOSED</v>
      </c>
      <c r="F76" s="42" t="str">
        <f>Harvest!J74</f>
        <v>CLOSED</v>
      </c>
      <c r="G76" s="43" t="str">
        <f>CPUE!J74</f>
        <v>CLOSED</v>
      </c>
      <c r="H76" s="43"/>
      <c r="I76" s="41" t="str">
        <f>Effort!L74</f>
        <v>CLOSED</v>
      </c>
      <c r="J76" s="42" t="str">
        <f>Harvest!L74</f>
        <v>CLOSED</v>
      </c>
      <c r="K76" s="43" t="str">
        <f>CPUE!L74</f>
        <v>CLOSED</v>
      </c>
      <c r="L76" s="43"/>
      <c r="M76" s="41" t="s">
        <v>10</v>
      </c>
      <c r="N76" s="42" t="s">
        <v>10</v>
      </c>
      <c r="O76" s="43" t="s">
        <v>10</v>
      </c>
      <c r="P76" s="43"/>
      <c r="Q76" s="41">
        <f t="shared" ref="Q76:Q81" si="15">SUM(E76,I76)</f>
        <v>0</v>
      </c>
      <c r="R76" s="42">
        <f t="shared" ref="R76:R82" si="16">SUM(F76,J76)</f>
        <v>0</v>
      </c>
    </row>
    <row r="77" spans="1:21" x14ac:dyDescent="0.25">
      <c r="A77" s="39">
        <v>44945</v>
      </c>
      <c r="B77" s="40" t="s">
        <v>24</v>
      </c>
      <c r="C77" s="8">
        <v>-0.9</v>
      </c>
      <c r="D77" s="13">
        <v>0.69861111111111107</v>
      </c>
      <c r="E77" s="41" t="str">
        <f>Effort!J75</f>
        <v>CLOSED</v>
      </c>
      <c r="F77" s="42" t="str">
        <f>Harvest!J75</f>
        <v>CLOSED</v>
      </c>
      <c r="G77" s="43" t="str">
        <f>CPUE!J75</f>
        <v>CLOSED</v>
      </c>
      <c r="H77" s="43"/>
      <c r="I77" s="41" t="str">
        <f>Effort!L75</f>
        <v>CLOSED</v>
      </c>
      <c r="J77" s="42" t="str">
        <f>Harvest!L75</f>
        <v>CLOSED</v>
      </c>
      <c r="K77" s="43" t="str">
        <f>CPUE!L75</f>
        <v>CLOSED</v>
      </c>
      <c r="L77" s="43"/>
      <c r="M77" s="41" t="s">
        <v>10</v>
      </c>
      <c r="N77" s="42" t="s">
        <v>10</v>
      </c>
      <c r="O77" s="43" t="s">
        <v>10</v>
      </c>
      <c r="P77" s="44"/>
      <c r="Q77" s="41">
        <f t="shared" si="15"/>
        <v>0</v>
      </c>
      <c r="R77" s="42">
        <f t="shared" si="16"/>
        <v>0</v>
      </c>
    </row>
    <row r="78" spans="1:21" x14ac:dyDescent="0.25">
      <c r="A78" s="39">
        <v>44946</v>
      </c>
      <c r="B78" s="40" t="s">
        <v>18</v>
      </c>
      <c r="C78" s="8">
        <v>-1.5</v>
      </c>
      <c r="D78" s="13">
        <v>0.73263888888888884</v>
      </c>
      <c r="E78" s="41" t="str">
        <f>Effort!J76</f>
        <v>CLOSED</v>
      </c>
      <c r="F78" s="42" t="str">
        <f>Harvest!J76</f>
        <v>CLOSED</v>
      </c>
      <c r="G78" s="43" t="str">
        <f>CPUE!J76</f>
        <v>CLOSED</v>
      </c>
      <c r="H78" s="43"/>
      <c r="I78" s="41" t="str">
        <f>Effort!L76</f>
        <v>CLOSED</v>
      </c>
      <c r="J78" s="42" t="str">
        <f>Harvest!L76</f>
        <v>CLOSED</v>
      </c>
      <c r="K78" s="43" t="str">
        <f>CPUE!L76</f>
        <v>CLOSED</v>
      </c>
      <c r="L78" s="43"/>
      <c r="M78" s="41" t="s">
        <v>10</v>
      </c>
      <c r="N78" s="42" t="s">
        <v>10</v>
      </c>
      <c r="O78" s="43" t="s">
        <v>10</v>
      </c>
      <c r="P78" s="43"/>
      <c r="Q78" s="41">
        <f t="shared" si="15"/>
        <v>0</v>
      </c>
      <c r="R78" s="42">
        <f t="shared" si="16"/>
        <v>0</v>
      </c>
    </row>
    <row r="79" spans="1:21" x14ac:dyDescent="0.25">
      <c r="A79" s="39">
        <v>44947</v>
      </c>
      <c r="B79" s="40" t="s">
        <v>19</v>
      </c>
      <c r="C79" s="8">
        <v>-1.8</v>
      </c>
      <c r="D79" s="13">
        <v>0.76597222222222217</v>
      </c>
      <c r="E79" s="41">
        <f>Effort!J77</f>
        <v>1999.82524817833</v>
      </c>
      <c r="F79" s="42">
        <f>Harvest!J77</f>
        <v>13608.5669327257</v>
      </c>
      <c r="G79" s="43">
        <f>CPUE!J77</f>
        <v>6.8048780487804832</v>
      </c>
      <c r="H79" s="43"/>
      <c r="I79" s="41" t="str">
        <f>Effort!L77</f>
        <v>CLOSED</v>
      </c>
      <c r="J79" s="42" t="str">
        <f>Harvest!L77</f>
        <v>CLOSED</v>
      </c>
      <c r="K79" s="43" t="str">
        <f>CPUE!L77</f>
        <v>CLOSED</v>
      </c>
      <c r="L79" s="43"/>
      <c r="M79" s="41" t="s">
        <v>10</v>
      </c>
      <c r="N79" s="42" t="s">
        <v>10</v>
      </c>
      <c r="O79" s="43" t="s">
        <v>10</v>
      </c>
      <c r="P79" s="44"/>
      <c r="Q79" s="41">
        <f t="shared" si="15"/>
        <v>1999.82524817833</v>
      </c>
      <c r="R79" s="42">
        <f t="shared" si="16"/>
        <v>13608.5669327257</v>
      </c>
    </row>
    <row r="80" spans="1:21" x14ac:dyDescent="0.25">
      <c r="A80" s="39">
        <v>44948</v>
      </c>
      <c r="B80" s="40" t="s">
        <v>20</v>
      </c>
      <c r="C80" s="8">
        <v>-1.8</v>
      </c>
      <c r="D80" s="13">
        <v>0.79722222222222217</v>
      </c>
      <c r="E80" s="41" t="str">
        <f>Effort!J78</f>
        <v>CLOSED</v>
      </c>
      <c r="F80" s="42" t="str">
        <f>Harvest!J78</f>
        <v>CLOSED</v>
      </c>
      <c r="G80" s="43" t="str">
        <f>CPUE!J78</f>
        <v>CLOSED</v>
      </c>
      <c r="H80" s="43"/>
      <c r="I80" s="41" t="str">
        <f>Effort!L78</f>
        <v>CLOSED</v>
      </c>
      <c r="J80" s="42" t="str">
        <f>Harvest!L78</f>
        <v>CLOSED</v>
      </c>
      <c r="K80" s="43" t="str">
        <f>CPUE!L78</f>
        <v>CLOSED</v>
      </c>
      <c r="L80" s="43"/>
      <c r="M80" s="41" t="s">
        <v>10</v>
      </c>
      <c r="N80" s="42" t="s">
        <v>10</v>
      </c>
      <c r="O80" s="43" t="s">
        <v>10</v>
      </c>
      <c r="P80" s="44"/>
      <c r="Q80" s="41">
        <f t="shared" si="15"/>
        <v>0</v>
      </c>
      <c r="R80" s="42">
        <f t="shared" si="16"/>
        <v>0</v>
      </c>
    </row>
    <row r="81" spans="1:21" x14ac:dyDescent="0.25">
      <c r="A81" s="39">
        <v>44949</v>
      </c>
      <c r="B81" s="40" t="s">
        <v>21</v>
      </c>
      <c r="C81" s="8">
        <v>-1.6</v>
      </c>
      <c r="D81" s="13">
        <v>0.82916666666666661</v>
      </c>
      <c r="E81" s="41">
        <f>Effort!J79</f>
        <v>1930.23511353564</v>
      </c>
      <c r="F81" s="42">
        <f>Harvest!J79</f>
        <v>27755.449736012499</v>
      </c>
      <c r="G81" s="43">
        <f>CPUE!J79</f>
        <v>14.379310344827596</v>
      </c>
      <c r="H81" s="43"/>
      <c r="I81" s="41" t="str">
        <f>Effort!L79</f>
        <v>CLOSED</v>
      </c>
      <c r="J81" s="42" t="str">
        <f>Harvest!L79</f>
        <v>CLOSED</v>
      </c>
      <c r="K81" s="43" t="str">
        <f>CPUE!L79</f>
        <v>CLOSED</v>
      </c>
      <c r="L81" s="43"/>
      <c r="M81" s="41" t="s">
        <v>10</v>
      </c>
      <c r="N81" s="42" t="s">
        <v>10</v>
      </c>
      <c r="O81" s="43" t="s">
        <v>10</v>
      </c>
      <c r="P81" s="44"/>
      <c r="Q81" s="41">
        <f t="shared" si="15"/>
        <v>1930.23511353564</v>
      </c>
      <c r="R81" s="42">
        <f t="shared" si="16"/>
        <v>27755.449736012499</v>
      </c>
    </row>
    <row r="82" spans="1:21" x14ac:dyDescent="0.25">
      <c r="A82" s="39">
        <v>44950</v>
      </c>
      <c r="B82" s="40" t="s">
        <v>22</v>
      </c>
      <c r="C82" s="8">
        <v>-1</v>
      </c>
      <c r="D82" s="13">
        <v>0.8569444444444444</v>
      </c>
      <c r="E82" s="41" t="str">
        <f>Effort!J80</f>
        <v>CLOSED</v>
      </c>
      <c r="F82" s="42" t="str">
        <f>Harvest!J80</f>
        <v>CLOSED</v>
      </c>
      <c r="G82" s="43" t="str">
        <f>CPUE!J80</f>
        <v>CLOSED</v>
      </c>
      <c r="H82" s="43"/>
      <c r="I82" s="41" t="str">
        <f>Effort!L80</f>
        <v>CLOSED</v>
      </c>
      <c r="J82" s="42" t="str">
        <f>Harvest!L80</f>
        <v>CLOSED</v>
      </c>
      <c r="K82" s="43" t="str">
        <f>CPUE!L80</f>
        <v>CLOSED</v>
      </c>
      <c r="L82" s="43"/>
      <c r="M82" s="41" t="s">
        <v>10</v>
      </c>
      <c r="N82" s="42" t="s">
        <v>10</v>
      </c>
      <c r="O82" s="43" t="s">
        <v>10</v>
      </c>
      <c r="P82" s="44"/>
      <c r="Q82" s="41">
        <f>SUM(E82,I82)</f>
        <v>0</v>
      </c>
      <c r="R82" s="42">
        <f t="shared" si="16"/>
        <v>0</v>
      </c>
    </row>
    <row r="83" spans="1:21" x14ac:dyDescent="0.25">
      <c r="A83" s="39">
        <v>44951</v>
      </c>
      <c r="B83" s="40" t="s">
        <v>23</v>
      </c>
      <c r="C83" s="8">
        <v>-0.2</v>
      </c>
      <c r="D83" s="13">
        <v>0.88611111111111107</v>
      </c>
      <c r="E83" s="41">
        <f>Effort!J81</f>
        <v>1089.5928001470199</v>
      </c>
      <c r="F83" s="42">
        <f>Harvest!J81</f>
        <v>16343.892002205301</v>
      </c>
      <c r="G83" s="43">
        <f>CPUE!J81</f>
        <v>15.000000000000002</v>
      </c>
      <c r="H83" s="43"/>
      <c r="I83" s="41" t="str">
        <f>Effort!L81</f>
        <v>CLOSED</v>
      </c>
      <c r="J83" s="42" t="str">
        <f>Harvest!L81</f>
        <v>CLOSED</v>
      </c>
      <c r="K83" s="43" t="str">
        <f>CPUE!L81</f>
        <v>CLOSED</v>
      </c>
      <c r="L83" s="43"/>
      <c r="M83" s="41" t="s">
        <v>10</v>
      </c>
      <c r="N83" s="42" t="s">
        <v>10</v>
      </c>
      <c r="O83" s="43" t="s">
        <v>10</v>
      </c>
      <c r="P83" s="78"/>
      <c r="Q83" s="41">
        <f>SUM(E83,I83)</f>
        <v>1089.5928001470199</v>
      </c>
      <c r="R83" s="42">
        <f>SUM(F83,J83)</f>
        <v>16343.892002205301</v>
      </c>
    </row>
    <row r="84" spans="1:21" x14ac:dyDescent="0.25">
      <c r="A84" s="117" t="s">
        <v>57</v>
      </c>
      <c r="B84" s="117"/>
      <c r="C84" s="117"/>
      <c r="D84" s="118"/>
      <c r="E84" s="47">
        <f>SUM(E76:E83)</f>
        <v>5019.6531618609897</v>
      </c>
      <c r="F84" s="48">
        <f>SUM(F76:F83)</f>
        <v>57707.9086709435</v>
      </c>
      <c r="G84" s="49">
        <f>+F84/E84</f>
        <v>11.496393637194812</v>
      </c>
      <c r="H84" s="49"/>
      <c r="I84" s="47">
        <f>SUM(I76:I83)</f>
        <v>0</v>
      </c>
      <c r="J84" s="48">
        <f>SUM(J76:J83)</f>
        <v>0</v>
      </c>
      <c r="K84" s="49">
        <v>0</v>
      </c>
      <c r="L84" s="49"/>
      <c r="M84" s="47"/>
      <c r="N84" s="48"/>
      <c r="O84" s="85"/>
      <c r="P84" s="49"/>
      <c r="Q84" s="47">
        <f>SUM(Q76:Q83)</f>
        <v>5019.6531618609897</v>
      </c>
      <c r="R84" s="48">
        <f>SUM(R76:R83)</f>
        <v>57707.9086709435</v>
      </c>
      <c r="T84" s="20">
        <f>SUM(E84,I84)</f>
        <v>5019.6531618609897</v>
      </c>
      <c r="U84" s="20">
        <f>SUM(F84,J84)</f>
        <v>57707.9086709435</v>
      </c>
    </row>
    <row r="85" spans="1:21" x14ac:dyDescent="0.25">
      <c r="A85" s="39">
        <v>44960</v>
      </c>
      <c r="B85" s="8" t="s">
        <v>18</v>
      </c>
      <c r="C85" s="8">
        <v>0.1</v>
      </c>
      <c r="D85" s="13">
        <v>0.73402777777777783</v>
      </c>
      <c r="E85" s="41">
        <f>Effort!J83</f>
        <v>979.13045508199002</v>
      </c>
      <c r="F85" s="42">
        <f>Harvest!J83</f>
        <v>6237.4236397815703</v>
      </c>
      <c r="G85" s="43">
        <f>CPUE!J83</f>
        <v>6.3703703703703747</v>
      </c>
      <c r="H85" s="43"/>
      <c r="I85" s="41" t="str">
        <f>Effort!L83</f>
        <v>CLOSED</v>
      </c>
      <c r="J85" s="42" t="str">
        <f>Harvest!L83</f>
        <v>CLOSED</v>
      </c>
      <c r="K85" s="43" t="str">
        <f>CPUE!L83</f>
        <v>CLOSED</v>
      </c>
      <c r="L85" s="43"/>
      <c r="M85" s="41" t="s">
        <v>10</v>
      </c>
      <c r="N85" s="42" t="s">
        <v>10</v>
      </c>
      <c r="O85" s="43" t="s">
        <v>10</v>
      </c>
      <c r="P85" s="43"/>
      <c r="Q85" s="41">
        <f t="shared" ref="Q85:Q88" si="17">SUM(E85,I85)</f>
        <v>979.13045508199002</v>
      </c>
      <c r="R85" s="42">
        <f t="shared" ref="R85:R89" si="18">SUM(F85,J85)</f>
        <v>6237.4236397815703</v>
      </c>
    </row>
    <row r="86" spans="1:21" x14ac:dyDescent="0.25">
      <c r="A86" s="39">
        <v>44961</v>
      </c>
      <c r="B86" s="8" t="s">
        <v>19</v>
      </c>
      <c r="C86" s="8">
        <v>-0.1</v>
      </c>
      <c r="D86" s="13">
        <v>0.75763888888888886</v>
      </c>
      <c r="E86" s="41" t="str">
        <f>Effort!J84</f>
        <v>CLOSED</v>
      </c>
      <c r="F86" s="42" t="str">
        <f>Harvest!J84</f>
        <v>CLOSED</v>
      </c>
      <c r="G86" s="43" t="str">
        <f>CPUE!J84</f>
        <v>CLOSED</v>
      </c>
      <c r="H86" s="43"/>
      <c r="I86" s="41">
        <f>Effort!L84</f>
        <v>1703.0091915877499</v>
      </c>
      <c r="J86" s="42">
        <f>Harvest!L84</f>
        <v>23112.2676001195</v>
      </c>
      <c r="K86" s="43">
        <f>CPUE!L84</f>
        <v>13.571428571428592</v>
      </c>
      <c r="L86" s="43"/>
      <c r="M86" s="41" t="s">
        <v>10</v>
      </c>
      <c r="N86" s="42" t="s">
        <v>10</v>
      </c>
      <c r="O86" s="43" t="s">
        <v>10</v>
      </c>
      <c r="P86" s="44"/>
      <c r="Q86" s="41">
        <f t="shared" si="17"/>
        <v>1703.0091915877499</v>
      </c>
      <c r="R86" s="42">
        <f t="shared" si="18"/>
        <v>23112.2676001195</v>
      </c>
    </row>
    <row r="87" spans="1:21" x14ac:dyDescent="0.25">
      <c r="A87" s="39">
        <v>44962</v>
      </c>
      <c r="B87" s="8" t="s">
        <v>20</v>
      </c>
      <c r="C87" s="8">
        <v>-0.2</v>
      </c>
      <c r="D87" s="13">
        <v>0.77986111111111101</v>
      </c>
      <c r="E87" s="41">
        <f>Effort!J85</f>
        <v>2424.78251234345</v>
      </c>
      <c r="F87" s="42">
        <f>Harvest!J85</f>
        <v>29758.694469669601</v>
      </c>
      <c r="G87" s="43">
        <f>CPUE!J85</f>
        <v>12.272727272727268</v>
      </c>
      <c r="H87" s="43"/>
      <c r="I87" s="41" t="str">
        <f>Effort!L85</f>
        <v>CLOSED</v>
      </c>
      <c r="J87" s="42" t="str">
        <f>Harvest!L85</f>
        <v>CLOSED</v>
      </c>
      <c r="K87" s="43" t="str">
        <f>CPUE!L85</f>
        <v>CLOSED</v>
      </c>
      <c r="L87" s="43"/>
      <c r="M87" s="41" t="s">
        <v>10</v>
      </c>
      <c r="N87" s="42" t="s">
        <v>10</v>
      </c>
      <c r="O87" s="43" t="s">
        <v>10</v>
      </c>
      <c r="P87" s="44"/>
      <c r="Q87" s="41">
        <f t="shared" si="17"/>
        <v>2424.78251234345</v>
      </c>
      <c r="R87" s="42">
        <f t="shared" si="18"/>
        <v>29758.694469669601</v>
      </c>
    </row>
    <row r="88" spans="1:21" x14ac:dyDescent="0.25">
      <c r="A88" s="39">
        <v>44963</v>
      </c>
      <c r="B88" s="8" t="s">
        <v>21</v>
      </c>
      <c r="C88" s="8">
        <v>-0.1</v>
      </c>
      <c r="D88" s="13">
        <v>0.80069444444444438</v>
      </c>
      <c r="E88" s="41" t="str">
        <f>Effort!J86</f>
        <v>CLOSED</v>
      </c>
      <c r="F88" s="42" t="str">
        <f>Harvest!J86</f>
        <v>CLOSED</v>
      </c>
      <c r="G88" s="43" t="str">
        <f>CPUE!J86</f>
        <v>CLOSED</v>
      </c>
      <c r="H88" s="43"/>
      <c r="I88" s="41">
        <f>Effort!L86</f>
        <v>415.38463062083298</v>
      </c>
      <c r="J88" s="42">
        <f>Harvest!L86</f>
        <v>4742.3078662545104</v>
      </c>
      <c r="K88" s="43">
        <f>CPUE!L86</f>
        <v>11.416666666666668</v>
      </c>
      <c r="L88" s="43"/>
      <c r="M88" s="41" t="s">
        <v>10</v>
      </c>
      <c r="N88" s="42" t="s">
        <v>10</v>
      </c>
      <c r="O88" s="43" t="s">
        <v>10</v>
      </c>
      <c r="P88" s="44"/>
      <c r="Q88" s="41">
        <f t="shared" si="17"/>
        <v>415.38463062083298</v>
      </c>
      <c r="R88" s="42">
        <f t="shared" si="18"/>
        <v>4742.3078662545104</v>
      </c>
    </row>
    <row r="89" spans="1:21" x14ac:dyDescent="0.25">
      <c r="A89" s="39">
        <v>44964</v>
      </c>
      <c r="B89" s="8" t="s">
        <v>22</v>
      </c>
      <c r="C89" s="8">
        <v>0.1</v>
      </c>
      <c r="D89" s="13">
        <v>0.8208333333333333</v>
      </c>
      <c r="E89" s="41">
        <f>Effort!J87</f>
        <v>601.91999999999996</v>
      </c>
      <c r="F89" s="42">
        <f>Harvest!J87</f>
        <v>5868.72</v>
      </c>
      <c r="G89" s="43">
        <f>CPUE!J87</f>
        <v>9.7500000000000018</v>
      </c>
      <c r="H89" s="43"/>
      <c r="I89" s="41" t="str">
        <f>Effort!L87</f>
        <v>CLOSED</v>
      </c>
      <c r="J89" s="42" t="str">
        <f>Harvest!L87</f>
        <v>CLOSED</v>
      </c>
      <c r="K89" s="43" t="str">
        <f>CPUE!L87</f>
        <v>CLOSED</v>
      </c>
      <c r="L89" s="43"/>
      <c r="M89" s="41" t="s">
        <v>10</v>
      </c>
      <c r="N89" s="42" t="s">
        <v>10</v>
      </c>
      <c r="O89" s="43" t="s">
        <v>10</v>
      </c>
      <c r="P89" s="44"/>
      <c r="Q89" s="41">
        <f>SUM(E89,I89)</f>
        <v>601.91999999999996</v>
      </c>
      <c r="R89" s="42">
        <f t="shared" si="18"/>
        <v>5868.72</v>
      </c>
    </row>
    <row r="90" spans="1:21" x14ac:dyDescent="0.25">
      <c r="A90" s="39">
        <v>44965</v>
      </c>
      <c r="B90" s="8" t="s">
        <v>23</v>
      </c>
      <c r="C90" s="8">
        <v>0.4</v>
      </c>
      <c r="D90" s="13">
        <v>0.84097222222222223</v>
      </c>
      <c r="E90" s="41" t="str">
        <f>Effort!J88</f>
        <v>CLOSED</v>
      </c>
      <c r="F90" s="42" t="str">
        <f>Harvest!J88</f>
        <v>CLOSED</v>
      </c>
      <c r="G90" s="43" t="str">
        <f>CPUE!J88</f>
        <v>CLOSED</v>
      </c>
      <c r="H90" s="43"/>
      <c r="I90" s="41">
        <f>Effort!L88</f>
        <v>323.65396305261999</v>
      </c>
      <c r="J90" s="42">
        <f>Harvest!L88</f>
        <v>3624.9243861893501</v>
      </c>
      <c r="K90" s="43">
        <f>CPUE!L88</f>
        <v>11.200000000000019</v>
      </c>
      <c r="L90" s="43"/>
      <c r="M90" s="41" t="s">
        <v>10</v>
      </c>
      <c r="N90" s="42" t="s">
        <v>10</v>
      </c>
      <c r="O90" s="43" t="s">
        <v>10</v>
      </c>
      <c r="P90" s="78"/>
      <c r="Q90" s="41">
        <f>SUM(E90,I90)</f>
        <v>323.65396305261999</v>
      </c>
      <c r="R90" s="42">
        <f>SUM(F90,J90)</f>
        <v>3624.9243861893501</v>
      </c>
    </row>
    <row r="91" spans="1:21" x14ac:dyDescent="0.25">
      <c r="A91" s="117" t="s">
        <v>57</v>
      </c>
      <c r="B91" s="117"/>
      <c r="C91" s="117"/>
      <c r="D91" s="118"/>
      <c r="E91" s="47">
        <f>SUM(E85:E90)</f>
        <v>4005.8329674254401</v>
      </c>
      <c r="F91" s="48">
        <f>SUM(F85:F90)</f>
        <v>41864.838109451171</v>
      </c>
      <c r="G91" s="49">
        <f>+F91/E91</f>
        <v>10.450969486218447</v>
      </c>
      <c r="H91" s="49"/>
      <c r="I91" s="47">
        <f>SUM(I85:I90)</f>
        <v>2442.047785261203</v>
      </c>
      <c r="J91" s="48">
        <f>SUM(J85:J90)</f>
        <v>31479.499852563356</v>
      </c>
      <c r="K91" s="49">
        <f>+J91/I91</f>
        <v>12.890615835838892</v>
      </c>
      <c r="L91" s="49"/>
      <c r="M91" s="47"/>
      <c r="N91" s="48"/>
      <c r="O91" s="85"/>
      <c r="P91" s="49"/>
      <c r="Q91" s="47">
        <f>SUM(Q85:Q90)</f>
        <v>6447.8807526866431</v>
      </c>
      <c r="R91" s="48">
        <f>SUM(R85:R90)</f>
        <v>73344.337962014528</v>
      </c>
      <c r="T91" s="20">
        <f>SUM(E91,I91)</f>
        <v>6447.8807526866431</v>
      </c>
      <c r="U91" s="20">
        <f>SUM(F91,J91)</f>
        <v>73344.337962014528</v>
      </c>
    </row>
    <row r="92" spans="1:21" x14ac:dyDescent="0.25">
      <c r="A92" s="39">
        <v>44960</v>
      </c>
      <c r="B92" s="8" t="s">
        <v>18</v>
      </c>
      <c r="C92" s="8">
        <v>0.1</v>
      </c>
      <c r="D92" s="13">
        <v>0.73402777777777783</v>
      </c>
      <c r="E92" s="41" t="str">
        <f>Effort!J90</f>
        <v>CLOSED</v>
      </c>
      <c r="F92" s="42" t="str">
        <f>Harvest!J90</f>
        <v>CLOSED</v>
      </c>
      <c r="G92" s="43" t="str">
        <f>CPUE!J90</f>
        <v>CLOSED</v>
      </c>
      <c r="H92" s="43"/>
      <c r="I92" s="41">
        <f>Effort!L90</f>
        <v>1400.0000035509199</v>
      </c>
      <c r="J92" s="42">
        <f>Harvest!L90</f>
        <v>21000.000053263699</v>
      </c>
      <c r="K92" s="43">
        <f>CPUE!L90</f>
        <v>14.999999999999929</v>
      </c>
      <c r="L92" s="43"/>
      <c r="M92" s="41" t="s">
        <v>10</v>
      </c>
      <c r="N92" s="42" t="s">
        <v>10</v>
      </c>
      <c r="O92" s="43" t="s">
        <v>10</v>
      </c>
      <c r="P92" s="43"/>
      <c r="Q92" s="41">
        <f t="shared" ref="Q92:Q95" si="19">SUM(E92,I92)</f>
        <v>1400.0000035509199</v>
      </c>
      <c r="R92" s="42">
        <f t="shared" ref="R92:R96" si="20">SUM(F92,J92)</f>
        <v>21000.000053263699</v>
      </c>
    </row>
    <row r="93" spans="1:21" x14ac:dyDescent="0.25">
      <c r="A93" s="39">
        <v>44961</v>
      </c>
      <c r="B93" s="8" t="s">
        <v>19</v>
      </c>
      <c r="C93" s="8">
        <v>-0.1</v>
      </c>
      <c r="D93" s="13">
        <v>0.75763888888888886</v>
      </c>
      <c r="E93" s="41">
        <f>Effort!J91</f>
        <v>5652.2717341836697</v>
      </c>
      <c r="F93" s="42">
        <f>Harvest!J91</f>
        <v>84103.079418275098</v>
      </c>
      <c r="G93" s="43">
        <f>CPUE!J91</f>
        <v>14.879518072289159</v>
      </c>
      <c r="H93" s="43"/>
      <c r="I93" s="41" t="str">
        <f>Effort!L91</f>
        <v>CLOSED</v>
      </c>
      <c r="J93" s="42" t="str">
        <f>Harvest!L91</f>
        <v>CLOSED</v>
      </c>
      <c r="K93" s="43" t="str">
        <f>CPUE!L91</f>
        <v>CLOSED</v>
      </c>
      <c r="L93" s="43"/>
      <c r="M93" s="41" t="s">
        <v>10</v>
      </c>
      <c r="N93" s="42" t="s">
        <v>10</v>
      </c>
      <c r="O93" s="43" t="s">
        <v>10</v>
      </c>
      <c r="P93" s="44"/>
      <c r="Q93" s="41">
        <f t="shared" si="19"/>
        <v>5652.2717341836697</v>
      </c>
      <c r="R93" s="42">
        <f t="shared" si="20"/>
        <v>84103.079418275098</v>
      </c>
    </row>
    <row r="94" spans="1:21" x14ac:dyDescent="0.25">
      <c r="A94" s="39">
        <v>44962</v>
      </c>
      <c r="B94" s="8" t="s">
        <v>20</v>
      </c>
      <c r="C94" s="8">
        <v>-0.2</v>
      </c>
      <c r="D94" s="13">
        <v>0.77986111111111101</v>
      </c>
      <c r="E94" s="41" t="str">
        <f>Effort!J92</f>
        <v>CLOSED</v>
      </c>
      <c r="F94" s="42" t="str">
        <f>Harvest!J92</f>
        <v>CLOSED</v>
      </c>
      <c r="G94" s="43" t="str">
        <f>CPUE!J92</f>
        <v>CLOSED</v>
      </c>
      <c r="H94" s="43"/>
      <c r="I94" s="41">
        <f>Effort!L92</f>
        <v>5569.9245869770502</v>
      </c>
      <c r="J94" s="42">
        <f>Harvest!L92</f>
        <v>73598.104654887793</v>
      </c>
      <c r="K94" s="43">
        <f>CPUE!L92</f>
        <v>13.213483146067421</v>
      </c>
      <c r="L94" s="43"/>
      <c r="M94" s="41" t="s">
        <v>10</v>
      </c>
      <c r="N94" s="42" t="s">
        <v>10</v>
      </c>
      <c r="O94" s="43" t="s">
        <v>10</v>
      </c>
      <c r="P94" s="44"/>
      <c r="Q94" s="41">
        <f t="shared" si="19"/>
        <v>5569.9245869770502</v>
      </c>
      <c r="R94" s="42">
        <f t="shared" si="20"/>
        <v>73598.104654887793</v>
      </c>
    </row>
    <row r="95" spans="1:21" x14ac:dyDescent="0.25">
      <c r="A95" s="39">
        <v>44963</v>
      </c>
      <c r="B95" s="8" t="s">
        <v>21</v>
      </c>
      <c r="C95" s="8">
        <v>-0.1</v>
      </c>
      <c r="D95" s="13">
        <v>0.80069444444444438</v>
      </c>
      <c r="E95" s="41">
        <f>Effort!J93</f>
        <v>1436.4223900284301</v>
      </c>
      <c r="F95" s="42">
        <f>Harvest!J93</f>
        <v>17933.515899748902</v>
      </c>
      <c r="G95" s="43">
        <f>CPUE!J93</f>
        <v>12.484848484848497</v>
      </c>
      <c r="H95" s="43"/>
      <c r="I95" s="41" t="str">
        <f>Effort!L93</f>
        <v>CLOSED</v>
      </c>
      <c r="J95" s="42" t="str">
        <f>Harvest!L93</f>
        <v>CLOSED</v>
      </c>
      <c r="K95" s="43" t="str">
        <f>CPUE!L93</f>
        <v>CLOSED</v>
      </c>
      <c r="L95" s="43"/>
      <c r="M95" s="41" t="s">
        <v>10</v>
      </c>
      <c r="N95" s="42" t="s">
        <v>10</v>
      </c>
      <c r="O95" s="43" t="s">
        <v>10</v>
      </c>
      <c r="P95" s="44"/>
      <c r="Q95" s="41">
        <f t="shared" si="19"/>
        <v>1436.4223900284301</v>
      </c>
      <c r="R95" s="42">
        <f t="shared" si="20"/>
        <v>17933.515899748902</v>
      </c>
    </row>
    <row r="96" spans="1:21" x14ac:dyDescent="0.25">
      <c r="A96" s="39">
        <v>44964</v>
      </c>
      <c r="B96" s="8" t="s">
        <v>22</v>
      </c>
      <c r="C96" s="8">
        <v>0.1</v>
      </c>
      <c r="D96" s="13">
        <v>0.8208333333333333</v>
      </c>
      <c r="E96" s="41" t="str">
        <f>Effort!J94</f>
        <v>CLOSED</v>
      </c>
      <c r="F96" s="42" t="str">
        <f>Harvest!J94</f>
        <v>CLOSED</v>
      </c>
      <c r="G96" s="43" t="str">
        <f>CPUE!J94</f>
        <v>CLOSED</v>
      </c>
      <c r="H96" s="43"/>
      <c r="I96" s="41">
        <f>Effort!L94</f>
        <v>342.97052182008099</v>
      </c>
      <c r="J96" s="42">
        <f>Harvest!L94</f>
        <v>548.75283491212997</v>
      </c>
      <c r="K96" s="43">
        <f>CPUE!L94</f>
        <v>1.6000000000000012</v>
      </c>
      <c r="L96" s="43"/>
      <c r="M96" s="41" t="s">
        <v>10</v>
      </c>
      <c r="N96" s="42" t="s">
        <v>10</v>
      </c>
      <c r="O96" s="43" t="s">
        <v>10</v>
      </c>
      <c r="P96" s="44"/>
      <c r="Q96" s="41">
        <f>SUM(E96,I96)</f>
        <v>342.97052182008099</v>
      </c>
      <c r="R96" s="42">
        <f t="shared" si="20"/>
        <v>548.75283491212997</v>
      </c>
    </row>
    <row r="97" spans="1:21" x14ac:dyDescent="0.25">
      <c r="A97" s="39">
        <v>44965</v>
      </c>
      <c r="B97" s="8" t="s">
        <v>23</v>
      </c>
      <c r="C97" s="8">
        <v>0.4</v>
      </c>
      <c r="D97" s="13">
        <v>0.84097222222222223</v>
      </c>
      <c r="E97" s="41">
        <f>Effort!J95</f>
        <v>236.269721173091</v>
      </c>
      <c r="F97" s="42">
        <f>Harvest!J95</f>
        <v>1782.76244157878</v>
      </c>
      <c r="G97" s="43">
        <f>CPUE!J95</f>
        <v>7.5454545454545556</v>
      </c>
      <c r="H97" s="43"/>
      <c r="I97" s="41" t="str">
        <f>Effort!L95</f>
        <v>CLOSED</v>
      </c>
      <c r="J97" s="42" t="str">
        <f>Harvest!L95</f>
        <v>CLOSED</v>
      </c>
      <c r="K97" s="43" t="str">
        <f>CPUE!L95</f>
        <v>CLOSED</v>
      </c>
      <c r="L97" s="43"/>
      <c r="M97" s="41" t="s">
        <v>10</v>
      </c>
      <c r="N97" s="42" t="s">
        <v>10</v>
      </c>
      <c r="O97" s="43" t="s">
        <v>10</v>
      </c>
      <c r="P97" s="78"/>
      <c r="Q97" s="41">
        <f>SUM(E97,I97)</f>
        <v>236.269721173091</v>
      </c>
      <c r="R97" s="42">
        <f>SUM(F97,J97)</f>
        <v>1782.76244157878</v>
      </c>
    </row>
    <row r="98" spans="1:21" x14ac:dyDescent="0.25">
      <c r="A98" s="117" t="s">
        <v>57</v>
      </c>
      <c r="B98" s="117"/>
      <c r="C98" s="117"/>
      <c r="D98" s="118"/>
      <c r="E98" s="47">
        <f>SUM(E92:E97)</f>
        <v>7324.9638453851903</v>
      </c>
      <c r="F98" s="48">
        <f>SUM(F92:F97)</f>
        <v>103819.35775960279</v>
      </c>
      <c r="G98" s="49">
        <f>+F98/E98</f>
        <v>14.173361118363765</v>
      </c>
      <c r="H98" s="49"/>
      <c r="I98" s="47">
        <f>SUM(I92:I97)</f>
        <v>7312.895112348051</v>
      </c>
      <c r="J98" s="48">
        <f>SUM(J92:J97)</f>
        <v>95146.857543063612</v>
      </c>
      <c r="K98" s="49">
        <f>+J98/I98</f>
        <v>13.010833066975783</v>
      </c>
      <c r="L98" s="49"/>
      <c r="M98" s="47"/>
      <c r="N98" s="48"/>
      <c r="O98" s="85"/>
      <c r="P98" s="49"/>
      <c r="Q98" s="47">
        <f>SUM(Q92:Q97)</f>
        <v>14637.858957733242</v>
      </c>
      <c r="R98" s="48">
        <f>SUM(R92:R97)</f>
        <v>198966.21530266639</v>
      </c>
      <c r="T98" s="20">
        <f>SUM(E98,I98)</f>
        <v>14637.858957733242</v>
      </c>
      <c r="U98" s="20">
        <f>SUM(F98,J98)</f>
        <v>198966.21530266642</v>
      </c>
    </row>
    <row r="99" spans="1:21" x14ac:dyDescent="0.25">
      <c r="A99" s="39">
        <v>44988</v>
      </c>
      <c r="B99" s="8" t="s">
        <v>18</v>
      </c>
      <c r="C99" s="8">
        <v>0.6</v>
      </c>
      <c r="D99" s="13">
        <v>0.68819444444444444</v>
      </c>
      <c r="E99" s="41" t="str">
        <f>Effort!J97</f>
        <v>CLOSED</v>
      </c>
      <c r="F99" s="42" t="str">
        <f>Harvest!J97</f>
        <v>CLOSED</v>
      </c>
      <c r="G99" s="43" t="str">
        <f>CPUE!J97</f>
        <v>CLOSED</v>
      </c>
      <c r="H99" s="43"/>
      <c r="I99" s="41">
        <f>Effort!L97</f>
        <v>1332.2764666570999</v>
      </c>
      <c r="J99" s="42">
        <f>Harvest!L97</f>
        <v>11690.7259949161</v>
      </c>
      <c r="K99" s="43">
        <f>CPUE!L97</f>
        <v>8.7750000000000359</v>
      </c>
      <c r="L99" s="43"/>
      <c r="M99" s="41" t="s">
        <v>10</v>
      </c>
      <c r="N99" s="42" t="s">
        <v>10</v>
      </c>
      <c r="O99" s="43" t="s">
        <v>10</v>
      </c>
      <c r="P99" s="43"/>
      <c r="Q99" s="41">
        <f t="shared" ref="Q99:Q102" si="21">SUM(E99,I99)</f>
        <v>1332.2764666570999</v>
      </c>
      <c r="R99" s="42">
        <f t="shared" ref="R99:R103" si="22">SUM(F99,J99)</f>
        <v>11690.7259949161</v>
      </c>
    </row>
    <row r="100" spans="1:21" x14ac:dyDescent="0.25">
      <c r="A100" s="39">
        <v>44989</v>
      </c>
      <c r="B100" s="8" t="s">
        <v>19</v>
      </c>
      <c r="C100" s="8">
        <v>0.4</v>
      </c>
      <c r="D100" s="13">
        <v>0.71458333333333324</v>
      </c>
      <c r="E100" s="41">
        <f>Effort!J98</f>
        <v>3456.0461677339999</v>
      </c>
      <c r="F100" s="42">
        <f>Harvest!J98</f>
        <v>14090.034376146299</v>
      </c>
      <c r="G100" s="43">
        <f>CPUE!J98</f>
        <v>4.0769230769230749</v>
      </c>
      <c r="H100" s="43"/>
      <c r="I100" s="41" t="str">
        <f>Effort!L98</f>
        <v>CLOSED</v>
      </c>
      <c r="J100" s="42" t="str">
        <f>Harvest!L98</f>
        <v>CLOSED</v>
      </c>
      <c r="K100" s="43" t="str">
        <f>CPUE!L98</f>
        <v>CLOSED</v>
      </c>
      <c r="L100" s="43"/>
      <c r="M100" s="41" t="s">
        <v>10</v>
      </c>
      <c r="N100" s="42" t="s">
        <v>10</v>
      </c>
      <c r="O100" s="43" t="s">
        <v>10</v>
      </c>
      <c r="P100" s="44"/>
      <c r="Q100" s="41">
        <f t="shared" si="21"/>
        <v>3456.0461677339999</v>
      </c>
      <c r="R100" s="42">
        <f t="shared" si="22"/>
        <v>14090.034376146299</v>
      </c>
    </row>
    <row r="101" spans="1:21" x14ac:dyDescent="0.25">
      <c r="A101" s="39">
        <v>44990</v>
      </c>
      <c r="B101" s="8" t="s">
        <v>20</v>
      </c>
      <c r="C101" s="8">
        <v>0.2</v>
      </c>
      <c r="D101" s="13">
        <v>0.73749999999999993</v>
      </c>
      <c r="E101" s="41" t="str">
        <f>Effort!J99</f>
        <v>CLOSED</v>
      </c>
      <c r="F101" s="42" t="str">
        <f>Harvest!J99</f>
        <v>CLOSED</v>
      </c>
      <c r="G101" s="43" t="str">
        <f>CPUE!J99</f>
        <v>CLOSED</v>
      </c>
      <c r="H101" s="43"/>
      <c r="I101" s="41">
        <f>Effort!L99</f>
        <v>2507.9748065100198</v>
      </c>
      <c r="J101" s="42">
        <f>Harvest!L99</f>
        <v>25884.192814358099</v>
      </c>
      <c r="K101" s="43">
        <f>CPUE!L99</f>
        <v>10.320754716981121</v>
      </c>
      <c r="L101" s="43"/>
      <c r="M101" s="41" t="s">
        <v>10</v>
      </c>
      <c r="N101" s="42" t="s">
        <v>10</v>
      </c>
      <c r="O101" s="43" t="s">
        <v>10</v>
      </c>
      <c r="P101" s="44"/>
      <c r="Q101" s="41">
        <f t="shared" si="21"/>
        <v>2507.9748065100198</v>
      </c>
      <c r="R101" s="42">
        <f t="shared" si="22"/>
        <v>25884.192814358099</v>
      </c>
    </row>
    <row r="102" spans="1:21" x14ac:dyDescent="0.25">
      <c r="A102" s="39">
        <v>44991</v>
      </c>
      <c r="B102" s="8" t="s">
        <v>21</v>
      </c>
      <c r="C102" s="8">
        <v>0.1</v>
      </c>
      <c r="D102" s="13">
        <v>0.75902777777777775</v>
      </c>
      <c r="E102" s="41">
        <f>Effort!J100</f>
        <v>1136.7492757314301</v>
      </c>
      <c r="F102" s="42">
        <f>Harvest!J100</f>
        <v>10711.675867469199</v>
      </c>
      <c r="G102" s="43">
        <f>CPUE!J100</f>
        <v>9.4230769230768825</v>
      </c>
      <c r="H102" s="43"/>
      <c r="I102" s="41" t="str">
        <f>Effort!L100</f>
        <v>CLOSED</v>
      </c>
      <c r="J102" s="42" t="str">
        <f>Harvest!L100</f>
        <v>CLOSED</v>
      </c>
      <c r="K102" s="43" t="str">
        <f>CPUE!L100</f>
        <v>CLOSED</v>
      </c>
      <c r="L102" s="43"/>
      <c r="M102" s="41" t="s">
        <v>10</v>
      </c>
      <c r="N102" s="42" t="s">
        <v>10</v>
      </c>
      <c r="O102" s="43" t="s">
        <v>10</v>
      </c>
      <c r="P102" s="44"/>
      <c r="Q102" s="41">
        <f t="shared" si="21"/>
        <v>1136.7492757314301</v>
      </c>
      <c r="R102" s="42">
        <f t="shared" si="22"/>
        <v>10711.675867469199</v>
      </c>
    </row>
    <row r="103" spans="1:21" x14ac:dyDescent="0.25">
      <c r="A103" s="39">
        <v>44992</v>
      </c>
      <c r="B103" s="8" t="s">
        <v>22</v>
      </c>
      <c r="C103" s="8">
        <v>0.3</v>
      </c>
      <c r="D103" s="13">
        <v>0.77847222222222223</v>
      </c>
      <c r="E103" s="41" t="str">
        <f>Effort!J101</f>
        <v>CLOSED</v>
      </c>
      <c r="F103" s="42" t="str">
        <f>Harvest!J101</f>
        <v>CLOSED</v>
      </c>
      <c r="G103" s="43" t="str">
        <f>CPUE!J101</f>
        <v>CLOSED</v>
      </c>
      <c r="H103" s="43"/>
      <c r="I103" s="41">
        <f>Effort!L101</f>
        <v>618.33330876297498</v>
      </c>
      <c r="J103" s="42">
        <f>Harvest!L101</f>
        <v>9274.9996314446307</v>
      </c>
      <c r="K103" s="43">
        <f>CPUE!L101</f>
        <v>15.000000000000009</v>
      </c>
      <c r="L103" s="43"/>
      <c r="M103" s="41" t="s">
        <v>10</v>
      </c>
      <c r="N103" s="42" t="s">
        <v>10</v>
      </c>
      <c r="O103" s="43" t="s">
        <v>10</v>
      </c>
      <c r="P103" s="44"/>
      <c r="Q103" s="41">
        <f>SUM(E103,I103)</f>
        <v>618.33330876297498</v>
      </c>
      <c r="R103" s="42">
        <f t="shared" si="22"/>
        <v>9274.9996314446307</v>
      </c>
    </row>
    <row r="104" spans="1:21" x14ac:dyDescent="0.25">
      <c r="A104" s="39">
        <v>44993</v>
      </c>
      <c r="B104" s="8" t="s">
        <v>23</v>
      </c>
      <c r="C104" s="8">
        <v>0.5</v>
      </c>
      <c r="D104" s="13">
        <v>0.79791666666666661</v>
      </c>
      <c r="E104" s="41">
        <f>Effort!J102</f>
        <v>642.96295160782904</v>
      </c>
      <c r="F104" s="42">
        <f>Harvest!J102</f>
        <v>9291.8516877518505</v>
      </c>
      <c r="G104" s="43">
        <f>CPUE!J102</f>
        <v>14.451612903225804</v>
      </c>
      <c r="H104" s="43"/>
      <c r="I104" s="41" t="str">
        <f>Effort!L102</f>
        <v>CLOSED</v>
      </c>
      <c r="J104" s="42" t="str">
        <f>Harvest!L102</f>
        <v>CLOSED</v>
      </c>
      <c r="K104" s="43" t="str">
        <f>CPUE!L102</f>
        <v>CLOSED</v>
      </c>
      <c r="L104" s="43"/>
      <c r="M104" s="41" t="s">
        <v>10</v>
      </c>
      <c r="N104" s="42" t="s">
        <v>10</v>
      </c>
      <c r="O104" s="43" t="s">
        <v>10</v>
      </c>
      <c r="P104" s="78"/>
      <c r="Q104" s="41">
        <f>SUM(E104,I104)</f>
        <v>642.96295160782904</v>
      </c>
      <c r="R104" s="42">
        <f>SUM(F104,J104)</f>
        <v>9291.8516877518505</v>
      </c>
    </row>
    <row r="105" spans="1:21" x14ac:dyDescent="0.25">
      <c r="A105" s="117" t="s">
        <v>57</v>
      </c>
      <c r="B105" s="117"/>
      <c r="C105" s="117"/>
      <c r="D105" s="118"/>
      <c r="E105" s="47">
        <f>SUM(E99:E104)</f>
        <v>5235.7583950732596</v>
      </c>
      <c r="F105" s="48">
        <f>SUM(F99:F104)</f>
        <v>34093.561931367345</v>
      </c>
      <c r="G105" s="49">
        <f>+F105/E105</f>
        <v>6.5116759328407285</v>
      </c>
      <c r="H105" s="49"/>
      <c r="I105" s="47">
        <f>SUM(I99:I104)</f>
        <v>4458.5845819300948</v>
      </c>
      <c r="J105" s="48">
        <f>SUM(J99:J104)</f>
        <v>46849.91844071883</v>
      </c>
      <c r="K105" s="49">
        <f>+J105/I105</f>
        <v>10.507800756005345</v>
      </c>
      <c r="L105" s="49"/>
      <c r="M105" s="47"/>
      <c r="N105" s="48"/>
      <c r="O105" s="85"/>
      <c r="P105" s="49"/>
      <c r="Q105" s="47">
        <f>SUM(Q99:Q104)</f>
        <v>9694.3429770033545</v>
      </c>
      <c r="R105" s="48">
        <f>SUM(R99:R104)</f>
        <v>80943.480372086182</v>
      </c>
      <c r="T105" s="20">
        <f>SUM(E105,I105)</f>
        <v>9694.3429770033545</v>
      </c>
      <c r="U105" s="20">
        <f>SUM(F105,J105)</f>
        <v>80943.480372086167</v>
      </c>
    </row>
    <row r="106" spans="1:21" x14ac:dyDescent="0.25">
      <c r="A106" s="39">
        <v>45002</v>
      </c>
      <c r="B106" s="40" t="s">
        <v>18</v>
      </c>
      <c r="C106" s="8">
        <v>0</v>
      </c>
      <c r="D106" s="13">
        <v>0.67361111111111116</v>
      </c>
      <c r="E106" s="41">
        <f>Effort!J104</f>
        <v>3587.2</v>
      </c>
      <c r="F106" s="42">
        <f>Harvest!J104</f>
        <v>53808</v>
      </c>
      <c r="G106" s="43">
        <f>CPUE!J104</f>
        <v>15</v>
      </c>
      <c r="H106" s="43"/>
      <c r="I106" s="41" t="str">
        <f>Effort!L104</f>
        <v>CLOSED</v>
      </c>
      <c r="J106" s="42" t="str">
        <f>Harvest!L104</f>
        <v>CLOSED</v>
      </c>
      <c r="K106" s="43" t="str">
        <f>CPUE!L104</f>
        <v>CLOSED</v>
      </c>
      <c r="L106" s="43"/>
      <c r="M106" s="41" t="s">
        <v>10</v>
      </c>
      <c r="N106" s="42" t="s">
        <v>10</v>
      </c>
      <c r="O106" s="113" t="s">
        <v>10</v>
      </c>
      <c r="P106" s="43"/>
      <c r="Q106" s="41">
        <f t="shared" ref="Q106:Q113" si="23">SUM(E106,I106)</f>
        <v>3587.2</v>
      </c>
      <c r="R106" s="42">
        <f t="shared" ref="R106:R114" si="24">SUM(F106,J106)</f>
        <v>53808</v>
      </c>
    </row>
    <row r="107" spans="1:21" x14ac:dyDescent="0.25">
      <c r="A107" s="39">
        <v>45003</v>
      </c>
      <c r="B107" s="40" t="s">
        <v>19</v>
      </c>
      <c r="C107" s="8">
        <v>-0.5</v>
      </c>
      <c r="D107" s="13">
        <v>0.71250000000000002</v>
      </c>
      <c r="E107" s="41" t="str">
        <f>Effort!J105</f>
        <v>CLOSED</v>
      </c>
      <c r="F107" s="42" t="str">
        <f>Harvest!J105</f>
        <v>CLOSED</v>
      </c>
      <c r="G107" s="43" t="str">
        <f>CPUE!J105</f>
        <v>CLOSED</v>
      </c>
      <c r="H107" s="43"/>
      <c r="I107" s="41">
        <f>Effort!L105</f>
        <v>7699.8371681415902</v>
      </c>
      <c r="J107" s="42">
        <f>Harvest!L105</f>
        <v>114437.94690265501</v>
      </c>
      <c r="K107" s="43">
        <f>CPUE!L105</f>
        <v>14.862385321100941</v>
      </c>
      <c r="L107" s="43"/>
      <c r="M107" s="41" t="s">
        <v>10</v>
      </c>
      <c r="N107" s="42" t="s">
        <v>10</v>
      </c>
      <c r="O107" s="43" t="s">
        <v>10</v>
      </c>
      <c r="P107" s="43"/>
      <c r="Q107" s="41">
        <f t="shared" si="23"/>
        <v>7699.8371681415902</v>
      </c>
      <c r="R107" s="42">
        <f t="shared" si="24"/>
        <v>114437.94690265501</v>
      </c>
    </row>
    <row r="108" spans="1:21" x14ac:dyDescent="0.25">
      <c r="A108" s="39">
        <v>45004</v>
      </c>
      <c r="B108" s="40" t="s">
        <v>20</v>
      </c>
      <c r="C108" s="8">
        <v>-0.7</v>
      </c>
      <c r="D108" s="13">
        <v>0.74583333333333324</v>
      </c>
      <c r="E108" s="41">
        <f>Effort!J106</f>
        <v>4714.4882256409001</v>
      </c>
      <c r="F108" s="42">
        <f>Harvest!J106</f>
        <v>68621.995284328703</v>
      </c>
      <c r="G108" s="43">
        <f>CPUE!J106</f>
        <v>14.555555555555566</v>
      </c>
      <c r="H108" s="43"/>
      <c r="I108" s="41" t="str">
        <f>Effort!L106</f>
        <v>CLOSED</v>
      </c>
      <c r="J108" s="42" t="str">
        <f>Harvest!L106</f>
        <v>CLOSED</v>
      </c>
      <c r="K108" s="43" t="str">
        <f>CPUE!L106</f>
        <v>CLOSED</v>
      </c>
      <c r="L108" s="43"/>
      <c r="M108" s="41" t="s">
        <v>10</v>
      </c>
      <c r="N108" s="42" t="s">
        <v>10</v>
      </c>
      <c r="O108" s="43" t="s">
        <v>10</v>
      </c>
      <c r="P108" s="44"/>
      <c r="Q108" s="41">
        <f t="shared" si="23"/>
        <v>4714.4882256409001</v>
      </c>
      <c r="R108" s="42">
        <f t="shared" si="24"/>
        <v>68621.995284328703</v>
      </c>
    </row>
    <row r="109" spans="1:21" x14ac:dyDescent="0.25">
      <c r="A109" s="39">
        <v>45005</v>
      </c>
      <c r="B109" s="40" t="s">
        <v>21</v>
      </c>
      <c r="C109" s="8">
        <v>-0.7</v>
      </c>
      <c r="D109" s="13">
        <v>0.77638888888888891</v>
      </c>
      <c r="E109" s="41" t="str">
        <f>Effort!J107</f>
        <v>CLOSED</v>
      </c>
      <c r="F109" s="42" t="str">
        <f>Harvest!J107</f>
        <v>CLOSED</v>
      </c>
      <c r="G109" s="43" t="str">
        <f>CPUE!J107</f>
        <v>CLOSED</v>
      </c>
      <c r="H109" s="43"/>
      <c r="I109" s="41">
        <f>Effort!L107</f>
        <v>1579.13046752122</v>
      </c>
      <c r="J109" s="42">
        <f>Harvest!L107</f>
        <v>23406.2227074812</v>
      </c>
      <c r="K109" s="43">
        <f>CPUE!L107</f>
        <v>14.822222222222226</v>
      </c>
      <c r="L109" s="43"/>
      <c r="M109" s="41" t="s">
        <v>10</v>
      </c>
      <c r="N109" s="42" t="s">
        <v>10</v>
      </c>
      <c r="O109" s="43" t="s">
        <v>10</v>
      </c>
      <c r="P109" s="43"/>
      <c r="Q109" s="41">
        <f t="shared" si="23"/>
        <v>1579.13046752122</v>
      </c>
      <c r="R109" s="42">
        <f t="shared" si="24"/>
        <v>23406.2227074812</v>
      </c>
    </row>
    <row r="110" spans="1:21" x14ac:dyDescent="0.25">
      <c r="A110" s="39">
        <v>45006</v>
      </c>
      <c r="B110" s="40" t="s">
        <v>22</v>
      </c>
      <c r="C110" s="8">
        <v>-0.5</v>
      </c>
      <c r="D110" s="13">
        <v>0.8041666666666667</v>
      </c>
      <c r="E110" s="41">
        <f>Effort!J108</f>
        <v>1502.8317957920599</v>
      </c>
      <c r="F110" s="42">
        <f>Harvest!J108</f>
        <v>22542.476936880899</v>
      </c>
      <c r="G110" s="43">
        <f>CPUE!J108</f>
        <v>15</v>
      </c>
      <c r="H110" s="43"/>
      <c r="I110" s="41" t="str">
        <f>Effort!L108</f>
        <v>CLOSED</v>
      </c>
      <c r="J110" s="42" t="str">
        <f>Harvest!L108</f>
        <v>CLOSED</v>
      </c>
      <c r="K110" s="43" t="str">
        <f>CPUE!L108</f>
        <v>CLOSED</v>
      </c>
      <c r="L110" s="43"/>
      <c r="M110" s="41" t="s">
        <v>10</v>
      </c>
      <c r="N110" s="42" t="s">
        <v>10</v>
      </c>
      <c r="O110" s="43" t="s">
        <v>10</v>
      </c>
      <c r="P110" s="44"/>
      <c r="Q110" s="41">
        <f t="shared" si="23"/>
        <v>1502.8317957920599</v>
      </c>
      <c r="R110" s="42">
        <f t="shared" si="24"/>
        <v>22542.476936880899</v>
      </c>
    </row>
    <row r="111" spans="1:21" x14ac:dyDescent="0.25">
      <c r="A111" s="39">
        <v>45007</v>
      </c>
      <c r="B111" s="40" t="s">
        <v>23</v>
      </c>
      <c r="C111" s="8">
        <v>0</v>
      </c>
      <c r="D111" s="13">
        <v>0.8305555555555556</v>
      </c>
      <c r="E111" s="41" t="str">
        <f>Effort!J109</f>
        <v>CLOSED</v>
      </c>
      <c r="F111" s="42" t="str">
        <f>Harvest!J109</f>
        <v>CLOSED</v>
      </c>
      <c r="G111" s="43" t="str">
        <f>CPUE!J109</f>
        <v>CLOSED</v>
      </c>
      <c r="H111" s="43"/>
      <c r="I111" s="41">
        <f>Effort!L109</f>
        <v>1275.6933621911901</v>
      </c>
      <c r="J111" s="42">
        <f>Harvest!L109</f>
        <v>18102.6962825226</v>
      </c>
      <c r="K111" s="43">
        <f>CPUE!L109</f>
        <v>14.190476190476188</v>
      </c>
      <c r="L111" s="43"/>
      <c r="M111" s="41" t="s">
        <v>10</v>
      </c>
      <c r="N111" s="42" t="s">
        <v>10</v>
      </c>
      <c r="O111" s="43" t="s">
        <v>10</v>
      </c>
      <c r="P111" s="44"/>
      <c r="Q111" s="41">
        <f t="shared" si="23"/>
        <v>1275.6933621911901</v>
      </c>
      <c r="R111" s="42">
        <f t="shared" si="24"/>
        <v>18102.6962825226</v>
      </c>
    </row>
    <row r="112" spans="1:21" x14ac:dyDescent="0.25">
      <c r="A112" s="39">
        <v>45008</v>
      </c>
      <c r="B112" s="40" t="s">
        <v>24</v>
      </c>
      <c r="C112" s="8">
        <v>-0.3</v>
      </c>
      <c r="D112" s="13">
        <v>0.35347222222222219</v>
      </c>
      <c r="E112" s="41">
        <f>Effort!J110</f>
        <v>928.33329644468199</v>
      </c>
      <c r="F112" s="42">
        <f>Harvest!J110</f>
        <v>12797.7375867017</v>
      </c>
      <c r="G112" s="43">
        <f>CPUE!J110</f>
        <v>13.785714285714299</v>
      </c>
      <c r="H112" s="43"/>
      <c r="I112" s="41" t="str">
        <f>Effort!L110</f>
        <v>CLOSED</v>
      </c>
      <c r="J112" s="42" t="str">
        <f>Harvest!L110</f>
        <v>CLOSED</v>
      </c>
      <c r="K112" s="43" t="str">
        <f>CPUE!L110</f>
        <v>CLOSED</v>
      </c>
      <c r="L112" s="43"/>
      <c r="M112" s="41" t="s">
        <v>10</v>
      </c>
      <c r="N112" s="42" t="s">
        <v>10</v>
      </c>
      <c r="O112" s="43" t="s">
        <v>10</v>
      </c>
      <c r="P112" s="44"/>
      <c r="Q112" s="41">
        <f t="shared" si="23"/>
        <v>928.33329644468199</v>
      </c>
      <c r="R112" s="42">
        <f t="shared" si="24"/>
        <v>12797.7375867017</v>
      </c>
    </row>
    <row r="113" spans="1:21" x14ac:dyDescent="0.25">
      <c r="A113" s="39">
        <v>45009</v>
      </c>
      <c r="B113" s="40" t="s">
        <v>18</v>
      </c>
      <c r="C113" s="8">
        <v>-0.4</v>
      </c>
      <c r="D113" s="13">
        <v>0.3840277777777778</v>
      </c>
      <c r="E113" s="41" t="str">
        <f>Effort!J111</f>
        <v>CLOSED</v>
      </c>
      <c r="F113" s="42" t="str">
        <f>Harvest!J111</f>
        <v>CLOSED</v>
      </c>
      <c r="G113" s="43" t="str">
        <f>CPUE!J111</f>
        <v>CLOSED</v>
      </c>
      <c r="H113" s="43"/>
      <c r="I113" s="41">
        <f>Effort!L111</f>
        <v>1297.1675675675699</v>
      </c>
      <c r="J113" s="42">
        <f>Harvest!L111</f>
        <v>14150.9189189189</v>
      </c>
      <c r="K113" s="43">
        <f>CPUE!L111</f>
        <v>10.909090909090875</v>
      </c>
      <c r="L113" s="43"/>
      <c r="M113" s="41" t="s">
        <v>10</v>
      </c>
      <c r="N113" s="42" t="s">
        <v>10</v>
      </c>
      <c r="O113" s="43" t="s">
        <v>10</v>
      </c>
      <c r="P113" s="44"/>
      <c r="Q113" s="41">
        <f t="shared" si="23"/>
        <v>1297.1675675675699</v>
      </c>
      <c r="R113" s="42">
        <f t="shared" si="24"/>
        <v>14150.9189189189</v>
      </c>
    </row>
    <row r="114" spans="1:21" x14ac:dyDescent="0.25">
      <c r="A114" s="39">
        <v>45010</v>
      </c>
      <c r="B114" s="40" t="s">
        <v>19</v>
      </c>
      <c r="C114" s="8">
        <v>-0.2</v>
      </c>
      <c r="D114" s="13">
        <v>0.4145833333333333</v>
      </c>
      <c r="E114" s="41">
        <f>Effort!J112</f>
        <v>5288.7440923578397</v>
      </c>
      <c r="F114" s="42">
        <f>Harvest!J112</f>
        <v>76745.553162437107</v>
      </c>
      <c r="G114" s="43">
        <f>CPUE!J112</f>
        <v>14.511111111111113</v>
      </c>
      <c r="H114" s="43"/>
      <c r="I114" s="41" t="str">
        <f>Effort!L112</f>
        <v>CLOSED</v>
      </c>
      <c r="J114" s="42" t="str">
        <f>Harvest!L112</f>
        <v>CLOSED</v>
      </c>
      <c r="K114" s="43" t="str">
        <f>CPUE!L112</f>
        <v>CLOSED</v>
      </c>
      <c r="L114" s="43"/>
      <c r="M114" s="41" t="s">
        <v>10</v>
      </c>
      <c r="N114" s="42" t="s">
        <v>10</v>
      </c>
      <c r="O114" s="43" t="s">
        <v>10</v>
      </c>
      <c r="P114" s="44"/>
      <c r="Q114" s="41">
        <f>SUM(E114,I114)</f>
        <v>5288.7440923578397</v>
      </c>
      <c r="R114" s="42">
        <f t="shared" si="24"/>
        <v>76745.553162437107</v>
      </c>
    </row>
    <row r="115" spans="1:21" x14ac:dyDescent="0.25">
      <c r="A115" s="39">
        <v>45011</v>
      </c>
      <c r="B115" s="40" t="s">
        <v>20</v>
      </c>
      <c r="C115" s="8">
        <v>0.2</v>
      </c>
      <c r="D115" s="13">
        <v>0.44722222222222219</v>
      </c>
      <c r="E115" s="41" t="str">
        <f>Effort!J113</f>
        <v>CLOSED</v>
      </c>
      <c r="F115" s="42" t="str">
        <f>Harvest!J113</f>
        <v>CLOSED</v>
      </c>
      <c r="G115" s="43" t="str">
        <f>CPUE!J113</f>
        <v>CLOSED</v>
      </c>
      <c r="H115" s="43"/>
      <c r="I115" s="41">
        <f>Effort!L113</f>
        <v>3839.5165021228099</v>
      </c>
      <c r="J115" s="42">
        <f>Harvest!L113</f>
        <v>47523.072177218099</v>
      </c>
      <c r="K115" s="43">
        <f>CPUE!L113</f>
        <v>12.377358490566017</v>
      </c>
      <c r="L115" s="43"/>
      <c r="M115" s="41" t="s">
        <v>10</v>
      </c>
      <c r="N115" s="42" t="s">
        <v>10</v>
      </c>
      <c r="O115" s="43" t="s">
        <v>10</v>
      </c>
      <c r="P115" s="78"/>
      <c r="Q115" s="41">
        <f>SUM(E115,I115)</f>
        <v>3839.5165021228099</v>
      </c>
      <c r="R115" s="42">
        <f>SUM(F115,J115)</f>
        <v>47523.072177218099</v>
      </c>
    </row>
    <row r="116" spans="1:21" x14ac:dyDescent="0.25">
      <c r="A116" s="117" t="s">
        <v>57</v>
      </c>
      <c r="B116" s="117"/>
      <c r="C116" s="117"/>
      <c r="D116" s="118"/>
      <c r="E116" s="47">
        <f>SUM(E106:E115)</f>
        <v>16021.597410235481</v>
      </c>
      <c r="F116" s="48">
        <f>SUM(F106:F115)</f>
        <v>234515.76297034841</v>
      </c>
      <c r="G116" s="49">
        <f>+F116/E116</f>
        <v>14.637476960975613</v>
      </c>
      <c r="H116" s="49"/>
      <c r="I116" s="47">
        <f>SUM(I106:I115)</f>
        <v>15691.34506754438</v>
      </c>
      <c r="J116" s="48">
        <f>SUM(J106:J115)</f>
        <v>217620.85698879583</v>
      </c>
      <c r="K116" s="49">
        <f>+J116/I116</f>
        <v>13.868846555348391</v>
      </c>
      <c r="L116" s="49"/>
      <c r="M116" s="47"/>
      <c r="N116" s="48"/>
      <c r="O116" s="85"/>
      <c r="P116" s="49"/>
      <c r="Q116" s="47">
        <f>SUM(Q106:Q115)</f>
        <v>31712.942477779856</v>
      </c>
      <c r="R116" s="48">
        <f>SUM(R106:R115)</f>
        <v>452136.61995914415</v>
      </c>
      <c r="T116" s="20">
        <f>SUM(E116,I116)</f>
        <v>31712.942477779863</v>
      </c>
      <c r="U116" s="20">
        <f>SUM(F116,J116)</f>
        <v>452136.61995914427</v>
      </c>
    </row>
    <row r="117" spans="1:21" x14ac:dyDescent="0.25">
      <c r="A117" s="39">
        <v>45022</v>
      </c>
      <c r="B117" s="40" t="s">
        <v>24</v>
      </c>
      <c r="C117" s="8">
        <v>0.3</v>
      </c>
      <c r="D117" s="13">
        <v>0.31527777777777777</v>
      </c>
      <c r="E117" s="41" t="str">
        <f>Effort!J115</f>
        <v>CLOSED</v>
      </c>
      <c r="F117" s="42" t="str">
        <f>Harvest!J115</f>
        <v>CLOSED</v>
      </c>
      <c r="G117" s="43" t="str">
        <f>CPUE!J115</f>
        <v>CLOSED</v>
      </c>
      <c r="H117" s="43"/>
      <c r="I117" s="41">
        <f>Effort!L115</f>
        <v>723.46156499795097</v>
      </c>
      <c r="J117" s="42">
        <f>Harvest!L115</f>
        <v>12603.4620007538</v>
      </c>
      <c r="K117" s="43">
        <f>CPUE!L115</f>
        <v>17.421052631578977</v>
      </c>
      <c r="L117" s="43"/>
      <c r="M117" s="41" t="s">
        <v>10</v>
      </c>
      <c r="N117" s="42" t="s">
        <v>10</v>
      </c>
      <c r="O117" s="43" t="s">
        <v>10</v>
      </c>
      <c r="P117" s="44"/>
      <c r="Q117" s="41">
        <f t="shared" ref="Q117:Q121" si="25">SUM(E117,I117)</f>
        <v>723.46156499795097</v>
      </c>
      <c r="R117" s="42">
        <f t="shared" ref="R117:R122" si="26">SUM(F117,J117)</f>
        <v>12603.4620007538</v>
      </c>
    </row>
    <row r="118" spans="1:21" x14ac:dyDescent="0.25">
      <c r="A118" s="39">
        <v>45023</v>
      </c>
      <c r="B118" s="40" t="s">
        <v>18</v>
      </c>
      <c r="C118" s="8">
        <v>-0.1</v>
      </c>
      <c r="D118" s="13">
        <v>0.34027777777777773</v>
      </c>
      <c r="E118" s="41">
        <f>Effort!J116</f>
        <v>2603.4286254029798</v>
      </c>
      <c r="F118" s="42">
        <f>Harvest!J116</f>
        <v>46057.715240585203</v>
      </c>
      <c r="G118" s="43">
        <f>CPUE!J116</f>
        <v>17.691176470588285</v>
      </c>
      <c r="H118" s="43"/>
      <c r="I118" s="41" t="str">
        <f>Effort!L116</f>
        <v>CLOSED</v>
      </c>
      <c r="J118" s="42" t="str">
        <f>Harvest!L116</f>
        <v>CLOSED</v>
      </c>
      <c r="K118" s="43" t="str">
        <f>CPUE!L116</f>
        <v>CLOSED</v>
      </c>
      <c r="L118" s="43"/>
      <c r="M118" s="41" t="s">
        <v>10</v>
      </c>
      <c r="N118" s="42" t="s">
        <v>10</v>
      </c>
      <c r="O118" s="43" t="s">
        <v>10</v>
      </c>
      <c r="P118" s="43"/>
      <c r="Q118" s="41">
        <f t="shared" si="25"/>
        <v>2603.4286254029798</v>
      </c>
      <c r="R118" s="42">
        <f t="shared" si="26"/>
        <v>46057.715240585203</v>
      </c>
    </row>
    <row r="119" spans="1:21" x14ac:dyDescent="0.25">
      <c r="A119" s="39">
        <v>45024</v>
      </c>
      <c r="B119" s="40" t="s">
        <v>19</v>
      </c>
      <c r="C119" s="8">
        <v>-0.3</v>
      </c>
      <c r="D119" s="13">
        <v>0.3666666666666667</v>
      </c>
      <c r="E119" s="41" t="str">
        <f>Effort!J117</f>
        <v>CLOSED</v>
      </c>
      <c r="F119" s="42" t="str">
        <f>Harvest!J117</f>
        <v>CLOSED</v>
      </c>
      <c r="G119" s="43" t="str">
        <f>CPUE!J117</f>
        <v>CLOSED</v>
      </c>
      <c r="H119" s="43"/>
      <c r="I119" s="41">
        <f>Effort!L117</f>
        <v>3281.24986961484</v>
      </c>
      <c r="J119" s="42">
        <f>Harvest!L117</f>
        <v>54395.831171837199</v>
      </c>
      <c r="K119" s="43">
        <f>CPUE!L117</f>
        <v>16.577777777777801</v>
      </c>
      <c r="L119" s="43"/>
      <c r="M119" s="41" t="s">
        <v>10</v>
      </c>
      <c r="N119" s="42" t="s">
        <v>10</v>
      </c>
      <c r="O119" s="43" t="s">
        <v>10</v>
      </c>
      <c r="P119" s="44"/>
      <c r="Q119" s="41">
        <f t="shared" si="25"/>
        <v>3281.24986961484</v>
      </c>
      <c r="R119" s="42">
        <f t="shared" si="26"/>
        <v>54395.831171837199</v>
      </c>
    </row>
    <row r="120" spans="1:21" x14ac:dyDescent="0.25">
      <c r="A120" s="39">
        <v>45025</v>
      </c>
      <c r="B120" s="40" t="s">
        <v>20</v>
      </c>
      <c r="C120" s="8">
        <v>-0.4</v>
      </c>
      <c r="D120" s="13">
        <v>0.39513888888888887</v>
      </c>
      <c r="E120" s="41">
        <f>Effort!J118</f>
        <v>2395.7406455425598</v>
      </c>
      <c r="F120" s="42">
        <f>Harvest!J118</f>
        <v>19729.628845644598</v>
      </c>
      <c r="G120" s="43">
        <f>CPUE!J118</f>
        <v>8.2352941176470544</v>
      </c>
      <c r="H120" s="43"/>
      <c r="I120" s="41" t="str">
        <f>Effort!L118</f>
        <v>CLOSED</v>
      </c>
      <c r="J120" s="42" t="str">
        <f>Harvest!L118</f>
        <v>CLOSED</v>
      </c>
      <c r="K120" s="43" t="str">
        <f>CPUE!L118</f>
        <v>CLOSED</v>
      </c>
      <c r="L120" s="43"/>
      <c r="M120" s="41" t="s">
        <v>10</v>
      </c>
      <c r="N120" s="42" t="s">
        <v>10</v>
      </c>
      <c r="O120" s="43" t="s">
        <v>10</v>
      </c>
      <c r="P120" s="44"/>
      <c r="Q120" s="41">
        <f t="shared" si="25"/>
        <v>2395.7406455425598</v>
      </c>
      <c r="R120" s="42">
        <f t="shared" si="26"/>
        <v>19729.628845644598</v>
      </c>
    </row>
    <row r="121" spans="1:21" x14ac:dyDescent="0.25">
      <c r="A121" s="39">
        <v>45026</v>
      </c>
      <c r="B121" s="40" t="s">
        <v>21</v>
      </c>
      <c r="C121" s="8">
        <v>-0.4</v>
      </c>
      <c r="D121" s="13">
        <v>0.42708333333333331</v>
      </c>
      <c r="E121" s="41" t="str">
        <f>Effort!J119</f>
        <v>CLOSED</v>
      </c>
      <c r="F121" s="42" t="str">
        <f>Harvest!J119</f>
        <v>CLOSED</v>
      </c>
      <c r="G121" s="43" t="str">
        <f>CPUE!J119</f>
        <v>CLOSED</v>
      </c>
      <c r="H121" s="43"/>
      <c r="I121" s="41">
        <f>Effort!L119</f>
        <v>1188.67923653301</v>
      </c>
      <c r="J121" s="42">
        <f>Harvest!L119</f>
        <v>18583.018731132699</v>
      </c>
      <c r="K121" s="43">
        <f>CPUE!L119</f>
        <v>15.633333333333313</v>
      </c>
      <c r="L121" s="43"/>
      <c r="M121" s="41" t="s">
        <v>10</v>
      </c>
      <c r="N121" s="42" t="s">
        <v>10</v>
      </c>
      <c r="O121" s="43" t="s">
        <v>10</v>
      </c>
      <c r="P121" s="44"/>
      <c r="Q121" s="41">
        <f t="shared" si="25"/>
        <v>1188.67923653301</v>
      </c>
      <c r="R121" s="42">
        <f t="shared" si="26"/>
        <v>18583.018731132699</v>
      </c>
    </row>
    <row r="122" spans="1:21" x14ac:dyDescent="0.25">
      <c r="A122" s="39">
        <v>45027</v>
      </c>
      <c r="B122" s="40" t="s">
        <v>22</v>
      </c>
      <c r="C122" s="8">
        <v>-0.2</v>
      </c>
      <c r="D122" s="13">
        <v>0.46458333333333335</v>
      </c>
      <c r="E122" s="41">
        <f>Effort!J120</f>
        <v>1566.7826411782701</v>
      </c>
      <c r="F122" s="42">
        <f>Harvest!J120</f>
        <v>26461.2179398997</v>
      </c>
      <c r="G122" s="43">
        <f>CPUE!J120</f>
        <v>16.888888888888907</v>
      </c>
      <c r="H122" s="43"/>
      <c r="I122" s="41" t="str">
        <f>Effort!L120</f>
        <v>CLOSED</v>
      </c>
      <c r="J122" s="42" t="str">
        <f>Harvest!L120</f>
        <v>CLOSED</v>
      </c>
      <c r="K122" s="43" t="str">
        <f>CPUE!L120</f>
        <v>CLOSED</v>
      </c>
      <c r="L122" s="43"/>
      <c r="M122" s="41" t="s">
        <v>10</v>
      </c>
      <c r="N122" s="42" t="s">
        <v>10</v>
      </c>
      <c r="O122" s="43" t="s">
        <v>10</v>
      </c>
      <c r="P122" s="44"/>
      <c r="Q122" s="41">
        <f>SUM(E122,I122)</f>
        <v>1566.7826411782701</v>
      </c>
      <c r="R122" s="42">
        <f t="shared" si="26"/>
        <v>26461.2179398997</v>
      </c>
    </row>
    <row r="123" spans="1:21" x14ac:dyDescent="0.25">
      <c r="A123" s="39">
        <v>45028</v>
      </c>
      <c r="B123" s="40" t="s">
        <v>23</v>
      </c>
      <c r="C123" s="8">
        <v>0.1</v>
      </c>
      <c r="D123" s="13">
        <v>0.5083333333333333</v>
      </c>
      <c r="E123" s="41" t="str">
        <f>Effort!J121</f>
        <v>CLOSED</v>
      </c>
      <c r="F123" s="42" t="str">
        <f>Harvest!J121</f>
        <v>CLOSED</v>
      </c>
      <c r="G123" s="43" t="str">
        <f>CPUE!J121</f>
        <v>CLOSED</v>
      </c>
      <c r="H123" s="43"/>
      <c r="I123" s="41">
        <f>Effort!L121</f>
        <v>1729.54404434056</v>
      </c>
      <c r="J123" s="42">
        <f>Harvest!L121</f>
        <v>28467.360081172999</v>
      </c>
      <c r="K123" s="43">
        <f>CPUE!L121</f>
        <v>16.45945945945946</v>
      </c>
      <c r="L123" s="43"/>
      <c r="M123" s="41" t="s">
        <v>10</v>
      </c>
      <c r="N123" s="42" t="s">
        <v>10</v>
      </c>
      <c r="O123" s="43" t="s">
        <v>10</v>
      </c>
      <c r="P123" s="78"/>
      <c r="Q123" s="41">
        <f>SUM(E123,I123)</f>
        <v>1729.54404434056</v>
      </c>
      <c r="R123" s="42">
        <f>SUM(F123,J123)</f>
        <v>28467.360081172999</v>
      </c>
    </row>
    <row r="124" spans="1:21" x14ac:dyDescent="0.25">
      <c r="A124" s="117" t="s">
        <v>57</v>
      </c>
      <c r="B124" s="117"/>
      <c r="C124" s="117"/>
      <c r="D124" s="118"/>
      <c r="E124" s="47">
        <f>SUM(E117:E123)</f>
        <v>6565.95191212381</v>
      </c>
      <c r="F124" s="48">
        <f>SUM(F117:F123)</f>
        <v>92248.562026129497</v>
      </c>
      <c r="G124" s="49">
        <f>+F124/E124</f>
        <v>14.049533603162036</v>
      </c>
      <c r="H124" s="49"/>
      <c r="I124" s="47">
        <f>SUM(I117:I123)</f>
        <v>6922.9347154863608</v>
      </c>
      <c r="J124" s="48">
        <f>SUM(J117:J123)</f>
        <v>114049.6719848967</v>
      </c>
      <c r="K124" s="49">
        <f>+J124/I124</f>
        <v>16.474179906647336</v>
      </c>
      <c r="L124" s="49"/>
      <c r="M124" s="47"/>
      <c r="N124" s="48"/>
      <c r="O124" s="85"/>
      <c r="P124" s="49"/>
      <c r="Q124" s="47">
        <f>SUM(Q117:Q123)</f>
        <v>13488.886627610171</v>
      </c>
      <c r="R124" s="48">
        <f>SUM(R117:R123)</f>
        <v>206298.23401102622</v>
      </c>
      <c r="T124" s="20">
        <f>SUM(E124,I124)</f>
        <v>13488.886627610171</v>
      </c>
      <c r="U124" s="20">
        <f>SUM(F124,J124)</f>
        <v>206298.23401102622</v>
      </c>
    </row>
    <row r="125" spans="1:21" x14ac:dyDescent="0.25">
      <c r="A125" s="39">
        <v>45035</v>
      </c>
      <c r="B125" s="40" t="s">
        <v>23</v>
      </c>
      <c r="C125" s="8">
        <v>-0.4</v>
      </c>
      <c r="D125" s="13">
        <v>0.28055555555555556</v>
      </c>
      <c r="E125" s="41" t="str">
        <f>Effort!J123</f>
        <v>CLOSED</v>
      </c>
      <c r="F125" s="42" t="str">
        <f>Harvest!J123</f>
        <v>CLOSED</v>
      </c>
      <c r="G125" s="43" t="str">
        <f>CPUE!J123</f>
        <v>CLOSED</v>
      </c>
      <c r="H125" s="43"/>
      <c r="I125" s="41">
        <f>Effort!L123</f>
        <v>254.335809067387</v>
      </c>
      <c r="J125" s="42">
        <f>Harvest!L123</f>
        <v>3433.5334224097301</v>
      </c>
      <c r="K125" s="43">
        <f>CPUE!L123</f>
        <v>13.500000000000021</v>
      </c>
      <c r="L125" s="43"/>
      <c r="M125" s="41" t="s">
        <v>10</v>
      </c>
      <c r="N125" s="42" t="s">
        <v>10</v>
      </c>
      <c r="O125" s="43" t="s">
        <v>10</v>
      </c>
      <c r="P125" s="44"/>
      <c r="Q125" s="41">
        <f t="shared" ref="Q125:Q129" si="27">SUM(E125,I125)</f>
        <v>254.335809067387</v>
      </c>
      <c r="R125" s="42">
        <f t="shared" ref="R125:R130" si="28">SUM(F125,J125)</f>
        <v>3433.5334224097301</v>
      </c>
    </row>
    <row r="126" spans="1:21" x14ac:dyDescent="0.25">
      <c r="A126" s="39">
        <v>45036</v>
      </c>
      <c r="B126" s="40" t="s">
        <v>24</v>
      </c>
      <c r="C126" s="8">
        <v>-0.9</v>
      </c>
      <c r="D126" s="13">
        <v>0.31111111111111112</v>
      </c>
      <c r="E126" s="41">
        <f>Effort!J124</f>
        <v>1204.78586482286</v>
      </c>
      <c r="F126" s="42">
        <f>Harvest!J124</f>
        <v>22825.2158390076</v>
      </c>
      <c r="G126" s="43">
        <f>CPUE!J124</f>
        <v>18.945454545454513</v>
      </c>
      <c r="H126" s="43"/>
      <c r="I126" s="41" t="str">
        <f>Effort!L124</f>
        <v>CLOSED</v>
      </c>
      <c r="J126" s="42" t="str">
        <f>Harvest!L124</f>
        <v>CLOSED</v>
      </c>
      <c r="K126" s="43" t="str">
        <f>CPUE!L124</f>
        <v>CLOSED</v>
      </c>
      <c r="L126" s="43"/>
      <c r="M126" s="41" t="s">
        <v>10</v>
      </c>
      <c r="N126" s="42" t="s">
        <v>10</v>
      </c>
      <c r="O126" s="43" t="s">
        <v>10</v>
      </c>
      <c r="P126" s="43"/>
      <c r="Q126" s="41">
        <f t="shared" si="27"/>
        <v>1204.78586482286</v>
      </c>
      <c r="R126" s="42">
        <f t="shared" si="28"/>
        <v>22825.2158390076</v>
      </c>
    </row>
    <row r="127" spans="1:21" x14ac:dyDescent="0.25">
      <c r="A127" s="39">
        <v>45037</v>
      </c>
      <c r="B127" s="40" t="s">
        <v>18</v>
      </c>
      <c r="C127" s="8">
        <v>-1.2</v>
      </c>
      <c r="D127" s="13">
        <v>0.33958333333333335</v>
      </c>
      <c r="E127" s="41" t="str">
        <f>Effort!J125</f>
        <v>CLOSED</v>
      </c>
      <c r="F127" s="42" t="str">
        <f>Harvest!J125</f>
        <v>CLOSED</v>
      </c>
      <c r="G127" s="43" t="str">
        <f>CPUE!J125</f>
        <v>CLOSED</v>
      </c>
      <c r="H127" s="43"/>
      <c r="I127" s="41">
        <f>Effort!L125</f>
        <v>2805.09408399634</v>
      </c>
      <c r="J127" s="42">
        <f>Harvest!L125</f>
        <v>52476.429892120199</v>
      </c>
      <c r="K127" s="43">
        <f>CPUE!L125</f>
        <v>18.707547169811317</v>
      </c>
      <c r="L127" s="43"/>
      <c r="M127" s="41" t="s">
        <v>10</v>
      </c>
      <c r="N127" s="42" t="s">
        <v>10</v>
      </c>
      <c r="O127" s="43" t="s">
        <v>10</v>
      </c>
      <c r="P127" s="44"/>
      <c r="Q127" s="41">
        <f t="shared" si="27"/>
        <v>2805.09408399634</v>
      </c>
      <c r="R127" s="42">
        <f t="shared" si="28"/>
        <v>52476.429892120199</v>
      </c>
    </row>
    <row r="128" spans="1:21" x14ac:dyDescent="0.25">
      <c r="A128" s="39">
        <v>45038</v>
      </c>
      <c r="B128" s="40" t="s">
        <v>19</v>
      </c>
      <c r="C128" s="8">
        <v>-1.1000000000000001</v>
      </c>
      <c r="D128" s="13">
        <v>0.36805555555555558</v>
      </c>
      <c r="E128" s="41">
        <f>Effort!J126</f>
        <v>6637.8898486366897</v>
      </c>
      <c r="F128" s="42">
        <f>Harvest!J126</f>
        <v>128900.644763391</v>
      </c>
      <c r="G128" s="43">
        <f>CPUE!J126</f>
        <v>19.418918918918941</v>
      </c>
      <c r="H128" s="43"/>
      <c r="I128" s="41" t="str">
        <f>Effort!L126</f>
        <v>CLOSED</v>
      </c>
      <c r="J128" s="42" t="str">
        <f>Harvest!L126</f>
        <v>CLOSED</v>
      </c>
      <c r="K128" s="43" t="str">
        <f>CPUE!L126</f>
        <v>CLOSED</v>
      </c>
      <c r="L128" s="43"/>
      <c r="M128" s="41" t="s">
        <v>10</v>
      </c>
      <c r="N128" s="42" t="s">
        <v>10</v>
      </c>
      <c r="O128" s="43" t="s">
        <v>10</v>
      </c>
      <c r="P128" s="44"/>
      <c r="Q128" s="41">
        <f t="shared" si="27"/>
        <v>6637.8898486366897</v>
      </c>
      <c r="R128" s="42">
        <f t="shared" si="28"/>
        <v>128900.644763391</v>
      </c>
    </row>
    <row r="129" spans="1:21" x14ac:dyDescent="0.25">
      <c r="A129" s="39">
        <v>45039</v>
      </c>
      <c r="B129" s="40" t="s">
        <v>20</v>
      </c>
      <c r="C129" s="8">
        <v>-0.8</v>
      </c>
      <c r="D129" s="13">
        <v>0.39652777777777781</v>
      </c>
      <c r="E129" s="41" t="str">
        <f>Effort!J127</f>
        <v>CLOSED</v>
      </c>
      <c r="F129" s="42" t="str">
        <f>Harvest!J127</f>
        <v>CLOSED</v>
      </c>
      <c r="G129" s="43" t="str">
        <f>CPUE!J127</f>
        <v>CLOSED</v>
      </c>
      <c r="H129" s="43"/>
      <c r="I129" s="41">
        <f>Effort!L127</f>
        <v>5216.1559137454597</v>
      </c>
      <c r="J129" s="42">
        <f>Harvest!L127</f>
        <v>95538.013578074693</v>
      </c>
      <c r="K129" s="43">
        <f>CPUE!L127</f>
        <v>18.315789473684202</v>
      </c>
      <c r="L129" s="43"/>
      <c r="M129" s="41" t="s">
        <v>10</v>
      </c>
      <c r="N129" s="42" t="s">
        <v>10</v>
      </c>
      <c r="O129" s="43" t="s">
        <v>10</v>
      </c>
      <c r="P129" s="44"/>
      <c r="Q129" s="41">
        <f t="shared" si="27"/>
        <v>5216.1559137454597</v>
      </c>
      <c r="R129" s="42">
        <f t="shared" si="28"/>
        <v>95538.013578074693</v>
      </c>
    </row>
    <row r="130" spans="1:21" x14ac:dyDescent="0.25">
      <c r="A130" s="39">
        <v>45040</v>
      </c>
      <c r="B130" s="40" t="s">
        <v>21</v>
      </c>
      <c r="C130" s="8">
        <v>-0.4</v>
      </c>
      <c r="D130" s="13">
        <v>0.42638888888888887</v>
      </c>
      <c r="E130" s="41">
        <f>Effort!J128</f>
        <v>1821.03790591654</v>
      </c>
      <c r="F130" s="42">
        <f>Harvest!J128</f>
        <v>35206.732847719803</v>
      </c>
      <c r="G130" s="43">
        <f>CPUE!J128</f>
        <v>19.33333333333335</v>
      </c>
      <c r="H130" s="43"/>
      <c r="I130" s="41" t="str">
        <f>Effort!L128</f>
        <v>CLOSED</v>
      </c>
      <c r="J130" s="42" t="str">
        <f>Harvest!L128</f>
        <v>CLOSED</v>
      </c>
      <c r="K130" s="43" t="str">
        <f>CPUE!L128</f>
        <v>CLOSED</v>
      </c>
      <c r="L130" s="43"/>
      <c r="M130" s="41" t="s">
        <v>10</v>
      </c>
      <c r="N130" s="42" t="s">
        <v>10</v>
      </c>
      <c r="O130" s="43" t="s">
        <v>10</v>
      </c>
      <c r="P130" s="44"/>
      <c r="Q130" s="41">
        <f>SUM(E130,I130)</f>
        <v>1821.03790591654</v>
      </c>
      <c r="R130" s="42">
        <f t="shared" si="28"/>
        <v>35206.732847719803</v>
      </c>
    </row>
    <row r="131" spans="1:21" x14ac:dyDescent="0.25">
      <c r="A131" s="39">
        <v>45041</v>
      </c>
      <c r="B131" s="40" t="s">
        <v>22</v>
      </c>
      <c r="C131" s="8">
        <v>0.1</v>
      </c>
      <c r="D131" s="13">
        <v>0.45902777777777781</v>
      </c>
      <c r="E131" s="41" t="str">
        <f>Effort!J129</f>
        <v>CLOSED</v>
      </c>
      <c r="F131" s="42" t="str">
        <f>Harvest!J129</f>
        <v>CLOSED</v>
      </c>
      <c r="G131" s="43" t="str">
        <f>CPUE!J129</f>
        <v>CLOSED</v>
      </c>
      <c r="H131" s="43"/>
      <c r="I131" s="41">
        <f>Effort!L129</f>
        <v>703.25899996902206</v>
      </c>
      <c r="J131" s="42">
        <f>Harvest!L129</f>
        <v>14065.1799993804</v>
      </c>
      <c r="K131" s="43">
        <f>CPUE!L129</f>
        <v>19.99999999999994</v>
      </c>
      <c r="L131" s="43"/>
      <c r="M131" s="41" t="s">
        <v>10</v>
      </c>
      <c r="N131" s="42" t="s">
        <v>10</v>
      </c>
      <c r="O131" s="43" t="s">
        <v>10</v>
      </c>
      <c r="P131" s="78"/>
      <c r="Q131" s="41">
        <f>SUM(E131,I131)</f>
        <v>703.25899996902206</v>
      </c>
      <c r="R131" s="42">
        <f>SUM(F131,J131)</f>
        <v>14065.1799993804</v>
      </c>
    </row>
    <row r="132" spans="1:21" x14ac:dyDescent="0.25">
      <c r="A132" s="117" t="s">
        <v>57</v>
      </c>
      <c r="B132" s="117"/>
      <c r="C132" s="117"/>
      <c r="D132" s="118"/>
      <c r="E132" s="47">
        <f>SUM(E125:E131)</f>
        <v>9663.7136193760907</v>
      </c>
      <c r="F132" s="48">
        <f>SUM(F125:F131)</f>
        <v>186932.59345011841</v>
      </c>
      <c r="G132" s="49">
        <f>+F132/E132</f>
        <v>19.34376377579235</v>
      </c>
      <c r="H132" s="49"/>
      <c r="I132" s="47">
        <f>SUM(I125:I131)</f>
        <v>8978.8448067782101</v>
      </c>
      <c r="J132" s="48">
        <f>SUM(J125:J131)</f>
        <v>165513.15689198501</v>
      </c>
      <c r="K132" s="49">
        <f>+J132/I132</f>
        <v>18.433680551760695</v>
      </c>
      <c r="L132" s="49"/>
      <c r="M132" s="47"/>
      <c r="N132" s="48"/>
      <c r="O132" s="85"/>
      <c r="P132" s="49"/>
      <c r="Q132" s="47">
        <f>SUM(Q125:Q131)</f>
        <v>18642.558426154297</v>
      </c>
      <c r="R132" s="48">
        <f>SUM(R125:R131)</f>
        <v>352445.75034210342</v>
      </c>
      <c r="T132" s="20">
        <f>SUM(E132,I132)</f>
        <v>18642.558426154301</v>
      </c>
      <c r="U132" s="20">
        <f>SUM(F132,J132)</f>
        <v>352445.75034210342</v>
      </c>
    </row>
    <row r="133" spans="1:21" ht="15.75" thickBot="1" x14ac:dyDescent="0.3">
      <c r="A133" s="87"/>
      <c r="B133" s="87"/>
      <c r="C133" s="87"/>
      <c r="D133" s="87"/>
      <c r="E133" s="64"/>
      <c r="F133" s="64"/>
      <c r="G133" s="65"/>
      <c r="H133" s="65"/>
      <c r="I133" s="64"/>
      <c r="J133" s="64"/>
      <c r="K133" s="65"/>
      <c r="L133" s="65"/>
      <c r="M133" s="64"/>
      <c r="N133" s="64"/>
      <c r="O133" s="65"/>
      <c r="P133" s="65"/>
      <c r="Q133" s="64"/>
      <c r="R133" s="64"/>
      <c r="T133" s="20"/>
      <c r="U133" s="20"/>
    </row>
    <row r="134" spans="1:21" ht="15.75" thickTop="1" x14ac:dyDescent="0.25">
      <c r="A134" s="58" t="s">
        <v>58</v>
      </c>
      <c r="B134" s="59"/>
      <c r="C134" s="59"/>
      <c r="D134" s="59"/>
      <c r="E134" s="60">
        <f>SUM(E13,E21,E29,E84,E91,E98,E105,E116,E124,E132)</f>
        <v>62523.005189364318</v>
      </c>
      <c r="F134" s="60">
        <f>SUM(F13,F21,F29,F84,F91,F98,F105,F116,F124,F132)</f>
        <v>871584.53574212152</v>
      </c>
      <c r="G134" s="61">
        <f>+F134/E134</f>
        <v>13.940221412939781</v>
      </c>
      <c r="H134" s="61"/>
      <c r="I134" s="60">
        <f>SUM(I13,I21,I29,I84,I91,I98,I105,I116,I124,I132)</f>
        <v>45806.652069348296</v>
      </c>
      <c r="J134" s="60">
        <f>SUM(J13,J21,J29,J84,J91,J98,J105,J116,J124,J132)</f>
        <v>670659.9617020234</v>
      </c>
      <c r="K134" s="61">
        <f>+J134/I134</f>
        <v>14.641104106160995</v>
      </c>
      <c r="L134" s="61"/>
      <c r="M134" s="60">
        <f>SUM(M13)</f>
        <v>0</v>
      </c>
      <c r="N134" s="60">
        <f>SUM(N13)</f>
        <v>0</v>
      </c>
      <c r="O134" s="61">
        <v>0</v>
      </c>
      <c r="P134" s="61"/>
      <c r="Q134" s="60">
        <f>SUM(Q13,Q21,Q29,Q84,Q91,Q98,Q105,Q116,Q124,Q132)</f>
        <v>108329.65725871261</v>
      </c>
      <c r="R134" s="60">
        <f>SUM(R13,R21,R29,R84,R91,R98,R105,R116,R124,R132)</f>
        <v>1542244.4974441447</v>
      </c>
      <c r="T134" s="20">
        <f>SUM(T4:T133)</f>
        <v>108329.65725871263</v>
      </c>
      <c r="U134" s="20">
        <f>SUM(U4:U133)</f>
        <v>1542244.4974441449</v>
      </c>
    </row>
    <row r="135" spans="1:21" x14ac:dyDescent="0.25">
      <c r="A135" s="62" t="s">
        <v>59</v>
      </c>
      <c r="B135" s="63"/>
      <c r="C135" s="63"/>
      <c r="D135" s="63"/>
      <c r="E135" s="64"/>
      <c r="F135" s="64">
        <f>Harvest!J133</f>
        <v>17431.690714842429</v>
      </c>
      <c r="G135" s="65"/>
      <c r="H135" s="65"/>
      <c r="I135" s="64"/>
      <c r="J135" s="64">
        <f>Harvest!L133</f>
        <v>13413.199234040463</v>
      </c>
      <c r="K135" s="65"/>
      <c r="L135" s="65"/>
      <c r="M135" s="64"/>
      <c r="N135" s="64">
        <f>Harvest!N133</f>
        <v>0</v>
      </c>
      <c r="O135" s="65"/>
      <c r="P135" s="65"/>
      <c r="Q135" s="64"/>
      <c r="R135" s="64">
        <f>SUM(F135+J135)</f>
        <v>30844.88994888289</v>
      </c>
      <c r="T135" s="20">
        <f>SUM(E134,I134)</f>
        <v>108329.65725871261</v>
      </c>
      <c r="U135" s="20">
        <f>SUM(F134,J134)</f>
        <v>1542244.4974441449</v>
      </c>
    </row>
    <row r="136" spans="1:21" x14ac:dyDescent="0.25">
      <c r="A136" s="66" t="s">
        <v>60</v>
      </c>
      <c r="B136" s="67"/>
      <c r="C136" s="67"/>
      <c r="D136" s="67"/>
      <c r="E136" s="68">
        <f>Effort!J131</f>
        <v>62523.005189364303</v>
      </c>
      <c r="F136" s="68">
        <f>F134+F135</f>
        <v>889016.22645696392</v>
      </c>
      <c r="G136" s="69"/>
      <c r="H136" s="69"/>
      <c r="I136" s="68">
        <f>Effort!L131</f>
        <v>45806.652069348296</v>
      </c>
      <c r="J136" s="68">
        <f>J134+J135</f>
        <v>684073.16093606385</v>
      </c>
      <c r="K136" s="69"/>
      <c r="L136" s="69"/>
      <c r="M136" s="68">
        <f>Effort!N131</f>
        <v>0</v>
      </c>
      <c r="N136" s="68">
        <f>N134+N135</f>
        <v>0</v>
      </c>
      <c r="O136" s="69"/>
      <c r="P136" s="69"/>
      <c r="Q136" s="68">
        <f>SUM(Q134:Q135)</f>
        <v>108329.65725871261</v>
      </c>
      <c r="R136" s="70">
        <f>SUM(R134:R135)</f>
        <v>1573089.3873930275</v>
      </c>
    </row>
    <row r="137" spans="1:21" x14ac:dyDescent="0.25">
      <c r="A137" s="71" t="s">
        <v>14</v>
      </c>
      <c r="B137" s="72"/>
      <c r="C137" s="72"/>
      <c r="D137" s="72"/>
      <c r="E137" s="72"/>
      <c r="F137" s="73">
        <f>Harvest!J136</f>
        <v>0.26908720242950146</v>
      </c>
      <c r="G137" s="72"/>
      <c r="H137" s="72"/>
      <c r="I137" s="72"/>
      <c r="J137" s="73">
        <f>Harvest!L136</f>
        <v>0.34743762293161912</v>
      </c>
      <c r="K137" s="72"/>
      <c r="L137" s="72"/>
      <c r="M137" s="72"/>
      <c r="N137" s="73">
        <f>Harvest!N136</f>
        <v>0</v>
      </c>
      <c r="O137" s="72"/>
      <c r="P137" s="72"/>
      <c r="Q137" s="72"/>
      <c r="R137" s="74"/>
    </row>
    <row r="139" spans="1:21" x14ac:dyDescent="0.25">
      <c r="R139" s="20"/>
    </row>
  </sheetData>
  <mergeCells count="19">
    <mergeCell ref="A21:D21"/>
    <mergeCell ref="A38:D38"/>
    <mergeCell ref="A46:D46"/>
    <mergeCell ref="A56:D56"/>
    <mergeCell ref="A132:D132"/>
    <mergeCell ref="A66:D66"/>
    <mergeCell ref="A124:D124"/>
    <mergeCell ref="A29:D29"/>
    <mergeCell ref="A116:D116"/>
    <mergeCell ref="A105:D105"/>
    <mergeCell ref="A98:D98"/>
    <mergeCell ref="A91:D91"/>
    <mergeCell ref="A75:D75"/>
    <mergeCell ref="A84:D84"/>
    <mergeCell ref="Q2:R2"/>
    <mergeCell ref="A13:D13"/>
    <mergeCell ref="E2:H2"/>
    <mergeCell ref="I2:L2"/>
    <mergeCell ref="M2:P2"/>
  </mergeCells>
  <pageMargins left="0.7" right="0.7" top="0.75" bottom="0.75" header="0.3" footer="0.3"/>
  <pageSetup scale="7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>
      <selection activeCell="C26" sqref="C26"/>
    </sheetView>
  </sheetViews>
  <sheetFormatPr defaultRowHeight="15" x14ac:dyDescent="0.25"/>
  <cols>
    <col min="1" max="1" width="25.140625" customWidth="1"/>
    <col min="2" max="2" width="15" customWidth="1"/>
    <col min="3" max="3" width="14.5703125" customWidth="1"/>
    <col min="4" max="4" width="13.140625" style="20" customWidth="1"/>
    <col min="5" max="6" width="11.140625" customWidth="1"/>
    <col min="7" max="7" width="11.5703125" customWidth="1"/>
    <col min="8" max="9" width="12.28515625" customWidth="1"/>
    <col min="10" max="10" width="11.7109375" customWidth="1"/>
    <col min="11" max="11" width="11.85546875" customWidth="1"/>
    <col min="12" max="12" width="10.85546875" customWidth="1"/>
    <col min="13" max="13" width="11.42578125" customWidth="1"/>
  </cols>
  <sheetData>
    <row r="1" spans="1:14" x14ac:dyDescent="0.25">
      <c r="A1" t="s">
        <v>35</v>
      </c>
    </row>
    <row r="3" spans="1:14" ht="15.75" thickBot="1" x14ac:dyDescent="0.3">
      <c r="B3" t="s">
        <v>68</v>
      </c>
      <c r="C3" t="s">
        <v>64</v>
      </c>
      <c r="D3" s="20" t="s">
        <v>63</v>
      </c>
      <c r="E3" s="20" t="s">
        <v>51</v>
      </c>
      <c r="F3" s="8" t="s">
        <v>36</v>
      </c>
      <c r="G3" s="8" t="s">
        <v>37</v>
      </c>
      <c r="H3" t="s">
        <v>38</v>
      </c>
      <c r="I3" s="8" t="s">
        <v>39</v>
      </c>
      <c r="J3" t="s">
        <v>40</v>
      </c>
      <c r="K3" s="8" t="s">
        <v>41</v>
      </c>
      <c r="L3" s="8" t="s">
        <v>42</v>
      </c>
      <c r="M3" s="8" t="s">
        <v>43</v>
      </c>
      <c r="N3" s="8" t="s">
        <v>44</v>
      </c>
    </row>
    <row r="4" spans="1:14" x14ac:dyDescent="0.25">
      <c r="A4" s="23" t="s">
        <v>45</v>
      </c>
      <c r="B4" s="51">
        <v>5865490</v>
      </c>
      <c r="C4" s="51">
        <v>8659225.1363386046</v>
      </c>
      <c r="D4" s="51">
        <v>9916787</v>
      </c>
      <c r="E4" s="51">
        <v>5205466.8000000007</v>
      </c>
      <c r="F4" s="24">
        <v>333557</v>
      </c>
      <c r="G4" s="24">
        <v>872679.52221495111</v>
      </c>
      <c r="H4" s="24">
        <v>4895623.5998578668</v>
      </c>
      <c r="I4" s="24">
        <v>4768605</v>
      </c>
      <c r="J4" s="24">
        <v>3885491.5446236241</v>
      </c>
      <c r="K4" s="24">
        <v>2881223.2800000003</v>
      </c>
      <c r="L4" s="24">
        <v>1847952.1349999998</v>
      </c>
      <c r="M4" s="24">
        <v>1094641.4136540764</v>
      </c>
      <c r="N4" s="24">
        <v>1276247.6927039789</v>
      </c>
    </row>
    <row r="5" spans="1:14" x14ac:dyDescent="0.25">
      <c r="A5" s="25" t="s">
        <v>46</v>
      </c>
      <c r="B5" s="52">
        <v>2258653</v>
      </c>
      <c r="C5" s="52">
        <v>3411777.8284151079</v>
      </c>
      <c r="D5" s="52">
        <v>2084291</v>
      </c>
      <c r="E5" s="52">
        <v>1843227.2000000002</v>
      </c>
      <c r="F5" s="26">
        <v>1377125</v>
      </c>
      <c r="G5" s="26">
        <v>506698.75607162755</v>
      </c>
      <c r="H5" s="26">
        <v>1896630.873404826</v>
      </c>
      <c r="I5" s="26">
        <v>1198600</v>
      </c>
      <c r="J5" s="26">
        <v>2662860.8000000003</v>
      </c>
      <c r="K5" s="26">
        <f>5744410.73323314*0.4</f>
        <v>2297764.2932932558</v>
      </c>
      <c r="L5" s="26">
        <v>1881783.2000000002</v>
      </c>
      <c r="M5" s="26">
        <v>616314.30636927264</v>
      </c>
      <c r="N5" s="26">
        <v>845427.66684737173</v>
      </c>
    </row>
    <row r="6" spans="1:14" x14ac:dyDescent="0.25">
      <c r="A6" s="25" t="s">
        <v>47</v>
      </c>
      <c r="B6" s="52">
        <v>2873943</v>
      </c>
      <c r="C6" s="52">
        <v>3303822.0265784604</v>
      </c>
      <c r="D6" s="52">
        <v>2369701</v>
      </c>
      <c r="E6" s="52">
        <v>2036078.6</v>
      </c>
      <c r="F6" s="26">
        <v>860768</v>
      </c>
      <c r="G6" s="26">
        <v>591366.11976499634</v>
      </c>
      <c r="H6" s="26">
        <v>880571.44910342421</v>
      </c>
      <c r="I6" s="26">
        <v>1094781</v>
      </c>
      <c r="J6" s="27">
        <v>889827.43342746096</v>
      </c>
      <c r="K6" s="28">
        <f>(2615522*0.5)-(161153)+250000</f>
        <v>1396608</v>
      </c>
      <c r="L6" s="26">
        <v>1072689.5999999999</v>
      </c>
      <c r="M6" s="26">
        <v>371373.03795949166</v>
      </c>
      <c r="N6" s="26">
        <v>683167.40704835602</v>
      </c>
    </row>
    <row r="7" spans="1:14" x14ac:dyDescent="0.25">
      <c r="A7" s="25" t="s">
        <v>48</v>
      </c>
      <c r="B7" s="52">
        <v>1964732</v>
      </c>
      <c r="C7" s="52">
        <v>1968909.2826619395</v>
      </c>
      <c r="D7" s="52">
        <v>2330621</v>
      </c>
      <c r="E7" s="52">
        <v>1649890.4000000001</v>
      </c>
      <c r="F7" s="26">
        <v>1508774</v>
      </c>
      <c r="G7" s="26">
        <v>778354.53277878079</v>
      </c>
      <c r="H7" s="26">
        <v>941919.24030067341</v>
      </c>
      <c r="I7" s="26">
        <v>1695074</v>
      </c>
      <c r="J7" s="26">
        <v>2240308.7479108246</v>
      </c>
      <c r="K7" s="26">
        <v>2088668.5</v>
      </c>
      <c r="L7" s="26">
        <v>909667.35</v>
      </c>
      <c r="M7" s="26">
        <v>605830.70008886908</v>
      </c>
      <c r="N7" s="26">
        <v>545586.68998891278</v>
      </c>
    </row>
    <row r="8" spans="1:14" ht="15.75" thickBot="1" x14ac:dyDescent="0.3">
      <c r="A8" s="29" t="s">
        <v>49</v>
      </c>
      <c r="B8" s="53">
        <v>152683</v>
      </c>
      <c r="C8" s="53">
        <v>101655.06316024926</v>
      </c>
      <c r="D8" s="53">
        <v>362503</v>
      </c>
      <c r="E8" s="53">
        <v>219560.64800000002</v>
      </c>
      <c r="F8" s="30">
        <v>777386</v>
      </c>
      <c r="G8" s="30">
        <v>24444.430036493428</v>
      </c>
      <c r="H8" s="30">
        <v>725888.21174021007</v>
      </c>
      <c r="I8" s="30">
        <v>63740</v>
      </c>
      <c r="J8" s="30">
        <v>125735.12787535199</v>
      </c>
      <c r="K8" s="30">
        <f>1033285.9456848*0.254*0.5</f>
        <v>131227.31510196961</v>
      </c>
      <c r="L8" s="30">
        <v>113543.20699999999</v>
      </c>
      <c r="M8" s="30">
        <v>144560.51050788548</v>
      </c>
      <c r="N8" s="30">
        <v>258924.12448845015</v>
      </c>
    </row>
    <row r="9" spans="1:14" ht="16.5" thickBot="1" x14ac:dyDescent="0.3">
      <c r="A9" s="31" t="s">
        <v>50</v>
      </c>
      <c r="B9" s="101">
        <v>13115501</v>
      </c>
      <c r="C9" s="54">
        <f t="shared" ref="C9:H9" si="0">SUM(C4:C8)</f>
        <v>17445389.337154362</v>
      </c>
      <c r="D9" s="54">
        <f t="shared" si="0"/>
        <v>17063903</v>
      </c>
      <c r="E9" s="54">
        <f t="shared" si="0"/>
        <v>10954223.648000002</v>
      </c>
      <c r="F9" s="32">
        <f t="shared" si="0"/>
        <v>4857610</v>
      </c>
      <c r="G9" s="32">
        <f t="shared" si="0"/>
        <v>2773543.3608668493</v>
      </c>
      <c r="H9" s="32">
        <f t="shared" si="0"/>
        <v>9340633.3744070008</v>
      </c>
      <c r="I9" s="32">
        <f t="shared" ref="I9:N9" si="1">SUM(I4:I8)</f>
        <v>8820800</v>
      </c>
      <c r="J9" s="32">
        <f t="shared" si="1"/>
        <v>9804223.6538372617</v>
      </c>
      <c r="K9" s="32">
        <f t="shared" si="1"/>
        <v>8795491.3883952256</v>
      </c>
      <c r="L9" s="32">
        <f t="shared" si="1"/>
        <v>5825635.4919999996</v>
      </c>
      <c r="M9" s="32">
        <f t="shared" si="1"/>
        <v>2832719.968579595</v>
      </c>
      <c r="N9" s="32">
        <f t="shared" si="1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workbookViewId="0">
      <selection sqref="A1:E2"/>
    </sheetView>
  </sheetViews>
  <sheetFormatPr defaultRowHeight="15" x14ac:dyDescent="0.25"/>
  <sheetData>
    <row r="1" spans="1:5" x14ac:dyDescent="0.25">
      <c r="A1" s="104" t="s">
        <v>30</v>
      </c>
      <c r="B1" s="104" t="s">
        <v>31</v>
      </c>
      <c r="C1" s="104" t="s">
        <v>32</v>
      </c>
      <c r="D1" s="104" t="s">
        <v>33</v>
      </c>
      <c r="E1" s="104" t="s">
        <v>34</v>
      </c>
    </row>
    <row r="2" spans="1:5" x14ac:dyDescent="0.25">
      <c r="A2" s="105">
        <v>2034</v>
      </c>
      <c r="B2" s="106" t="s">
        <v>70</v>
      </c>
      <c r="C2" s="105">
        <v>100</v>
      </c>
      <c r="D2" s="105">
        <v>1</v>
      </c>
      <c r="E2" s="105">
        <v>1</v>
      </c>
    </row>
    <row r="3" spans="1:5" x14ac:dyDescent="0.25">
      <c r="A3" s="91"/>
      <c r="B3" s="92"/>
      <c r="C3" s="91"/>
      <c r="D3" s="91"/>
      <c r="E3" s="91"/>
    </row>
    <row r="5" spans="1:5" x14ac:dyDescent="0.25">
      <c r="A5" s="100"/>
      <c r="B5" s="100"/>
      <c r="C5" s="100"/>
      <c r="D5" s="100"/>
      <c r="E5" s="100"/>
    </row>
    <row r="6" spans="1:5" x14ac:dyDescent="0.25">
      <c r="A6" s="100"/>
      <c r="B6" s="100"/>
      <c r="C6" s="100"/>
      <c r="D6" s="100"/>
      <c r="E6" s="100"/>
    </row>
    <row r="7" spans="1:5" x14ac:dyDescent="0.25">
      <c r="A7" s="100"/>
      <c r="B7" s="100"/>
      <c r="C7" s="100"/>
      <c r="D7" s="100"/>
      <c r="E7" s="100"/>
    </row>
    <row r="8" spans="1:5" x14ac:dyDescent="0.25">
      <c r="A8" s="100"/>
      <c r="C8" s="100"/>
      <c r="D8" s="100"/>
      <c r="E8" s="100"/>
    </row>
    <row r="100" spans="3:6" x14ac:dyDescent="0.25">
      <c r="C100">
        <f>SUM(C2:C99)</f>
        <v>100</v>
      </c>
      <c r="D100">
        <f>SUM(D2:D99)</f>
        <v>1</v>
      </c>
      <c r="E100">
        <f>SUM(E2:E99)</f>
        <v>1</v>
      </c>
      <c r="F100" s="22">
        <f>E100/C100</f>
        <v>0.01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"/>
  <sheetViews>
    <sheetView workbookViewId="0">
      <selection sqref="A1:E3"/>
    </sheetView>
  </sheetViews>
  <sheetFormatPr defaultRowHeight="15" x14ac:dyDescent="0.25"/>
  <sheetData>
    <row r="1" spans="1:5" x14ac:dyDescent="0.25">
      <c r="A1" s="107" t="s">
        <v>30</v>
      </c>
      <c r="B1" s="107" t="s">
        <v>31</v>
      </c>
      <c r="C1" s="107" t="s">
        <v>32</v>
      </c>
      <c r="D1" s="107" t="s">
        <v>33</v>
      </c>
      <c r="E1" s="107" t="s">
        <v>34</v>
      </c>
    </row>
    <row r="2" spans="1:5" x14ac:dyDescent="0.25">
      <c r="A2" s="108">
        <v>2033</v>
      </c>
      <c r="B2" s="109" t="s">
        <v>71</v>
      </c>
      <c r="C2" s="108">
        <v>50</v>
      </c>
      <c r="D2" s="108">
        <v>6</v>
      </c>
      <c r="E2" s="108">
        <v>6</v>
      </c>
    </row>
    <row r="3" spans="1:5" x14ac:dyDescent="0.25">
      <c r="A3" s="108">
        <v>2033</v>
      </c>
      <c r="B3" s="109" t="s">
        <v>72</v>
      </c>
      <c r="C3" s="108">
        <v>50</v>
      </c>
      <c r="D3" s="108">
        <v>1</v>
      </c>
      <c r="E3" s="108">
        <v>1</v>
      </c>
    </row>
    <row r="4" spans="1:5" x14ac:dyDescent="0.25">
      <c r="A4" s="93"/>
      <c r="B4" s="94"/>
      <c r="C4" s="93"/>
      <c r="D4" s="93"/>
      <c r="E4" s="93"/>
    </row>
    <row r="5" spans="1:5" x14ac:dyDescent="0.25">
      <c r="A5" s="99"/>
      <c r="C5" s="99"/>
      <c r="D5" s="99"/>
      <c r="E5" s="99"/>
    </row>
    <row r="6" spans="1:5" x14ac:dyDescent="0.25">
      <c r="A6" s="99"/>
      <c r="C6" s="99"/>
      <c r="D6" s="99"/>
      <c r="E6" s="99"/>
    </row>
    <row r="7" spans="1:5" x14ac:dyDescent="0.25">
      <c r="A7" s="99"/>
      <c r="C7" s="99"/>
      <c r="D7" s="99"/>
      <c r="E7" s="99"/>
    </row>
    <row r="8" spans="1:5" x14ac:dyDescent="0.25">
      <c r="A8" s="100"/>
      <c r="B8" s="100"/>
      <c r="C8" s="100"/>
      <c r="D8" s="100"/>
      <c r="E8" s="56"/>
    </row>
    <row r="9" spans="1:5" x14ac:dyDescent="0.25">
      <c r="A9" s="100"/>
      <c r="B9" s="100"/>
      <c r="C9" s="100"/>
      <c r="D9" s="100"/>
      <c r="E9" s="79"/>
    </row>
    <row r="10" spans="1:5" x14ac:dyDescent="0.25">
      <c r="A10" s="56"/>
      <c r="B10" s="80"/>
      <c r="C10" s="99"/>
      <c r="D10" s="99"/>
      <c r="E10" s="84"/>
    </row>
    <row r="11" spans="1:5" x14ac:dyDescent="0.25">
      <c r="A11" s="84"/>
      <c r="C11" s="99"/>
      <c r="D11" s="99"/>
      <c r="E11" s="84"/>
    </row>
    <row r="100" spans="3:6" x14ac:dyDescent="0.25">
      <c r="C100">
        <f>SUM(C2:C99)</f>
        <v>100</v>
      </c>
      <c r="D100">
        <f>SUM(D2:D99)</f>
        <v>7</v>
      </c>
      <c r="E100">
        <f>SUM(E2:E99)</f>
        <v>7</v>
      </c>
      <c r="F100" s="22">
        <f>E100/C100</f>
        <v>7.0000000000000007E-2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workbookViewId="0">
      <selection activeCell="D7" sqref="D7"/>
    </sheetView>
  </sheetViews>
  <sheetFormatPr defaultRowHeight="15" x14ac:dyDescent="0.25"/>
  <sheetData>
    <row r="1" spans="1:5" x14ac:dyDescent="0.25">
      <c r="A1" s="110" t="s">
        <v>30</v>
      </c>
      <c r="B1" s="110" t="s">
        <v>31</v>
      </c>
      <c r="C1" s="110" t="s">
        <v>32</v>
      </c>
      <c r="D1" s="110" t="s">
        <v>33</v>
      </c>
      <c r="E1" s="110" t="s">
        <v>34</v>
      </c>
    </row>
    <row r="2" spans="1:5" x14ac:dyDescent="0.25">
      <c r="A2" s="111">
        <v>2040</v>
      </c>
      <c r="B2" s="112" t="s">
        <v>73</v>
      </c>
      <c r="C2" s="111">
        <v>50</v>
      </c>
      <c r="D2" s="111">
        <v>1</v>
      </c>
      <c r="E2" s="111">
        <v>1</v>
      </c>
    </row>
    <row r="3" spans="1:5" x14ac:dyDescent="0.25">
      <c r="A3" s="88"/>
      <c r="B3" s="89"/>
      <c r="C3" s="88"/>
      <c r="D3" s="88"/>
      <c r="E3" s="88"/>
    </row>
    <row r="6" spans="1:5" x14ac:dyDescent="0.25">
      <c r="A6" s="100"/>
      <c r="B6" s="100"/>
      <c r="C6" s="100"/>
      <c r="D6" s="100"/>
      <c r="E6" s="100"/>
    </row>
    <row r="7" spans="1:5" x14ac:dyDescent="0.25">
      <c r="A7" s="100"/>
      <c r="B7" s="100"/>
      <c r="C7" s="100"/>
      <c r="D7" s="100"/>
      <c r="E7" s="100"/>
    </row>
    <row r="8" spans="1:5" x14ac:dyDescent="0.25">
      <c r="A8" s="100"/>
      <c r="B8" s="100"/>
      <c r="C8" s="100"/>
      <c r="D8" s="100"/>
      <c r="E8" s="100"/>
    </row>
    <row r="9" spans="1:5" x14ac:dyDescent="0.25">
      <c r="A9" s="100"/>
      <c r="C9" s="100"/>
      <c r="D9" s="100"/>
      <c r="E9" s="100"/>
    </row>
    <row r="10" spans="1:5" x14ac:dyDescent="0.25">
      <c r="A10" s="100"/>
      <c r="C10" s="100"/>
      <c r="D10" s="100"/>
      <c r="E10" s="100"/>
    </row>
    <row r="11" spans="1:5" x14ac:dyDescent="0.25">
      <c r="A11" s="100"/>
      <c r="C11" s="100"/>
      <c r="D11" s="100"/>
      <c r="E11" s="100"/>
    </row>
    <row r="100" spans="3:6" x14ac:dyDescent="0.25">
      <c r="C100">
        <f>SUM(C2:C99)</f>
        <v>50</v>
      </c>
      <c r="D100">
        <f>SUM(D2:D99)</f>
        <v>1</v>
      </c>
      <c r="E100">
        <f>SUM(E2:E99)</f>
        <v>1</v>
      </c>
      <c r="F100" s="22">
        <f>E100/C100</f>
        <v>0.02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"/>
  <sheetViews>
    <sheetView workbookViewId="0">
      <selection activeCell="G12" sqref="G12"/>
    </sheetView>
  </sheetViews>
  <sheetFormatPr defaultRowHeight="15" x14ac:dyDescent="0.25"/>
  <sheetData>
    <row r="1" spans="1:5" x14ac:dyDescent="0.25">
      <c r="A1" s="90" t="s">
        <v>30</v>
      </c>
      <c r="B1" s="90" t="s">
        <v>31</v>
      </c>
      <c r="C1" s="90" t="s">
        <v>32</v>
      </c>
      <c r="D1" s="90" t="s">
        <v>33</v>
      </c>
      <c r="E1" s="90" t="s">
        <v>34</v>
      </c>
    </row>
    <row r="2" spans="1:5" x14ac:dyDescent="0.25">
      <c r="A2" s="115">
        <v>2081</v>
      </c>
      <c r="B2" s="115" t="s">
        <v>75</v>
      </c>
      <c r="C2" s="115">
        <v>100</v>
      </c>
      <c r="D2" s="115">
        <v>2</v>
      </c>
      <c r="E2" s="115">
        <v>2</v>
      </c>
    </row>
    <row r="3" spans="1:5" x14ac:dyDescent="0.25">
      <c r="A3" s="56"/>
      <c r="B3" s="57"/>
      <c r="C3" s="56"/>
      <c r="D3" s="56"/>
      <c r="E3" s="56"/>
    </row>
    <row r="4" spans="1:5" x14ac:dyDescent="0.25">
      <c r="A4" s="56"/>
      <c r="B4" s="57"/>
      <c r="C4" s="56"/>
      <c r="D4" s="56"/>
      <c r="E4" s="56"/>
    </row>
    <row r="5" spans="1:5" x14ac:dyDescent="0.25">
      <c r="A5" s="56"/>
      <c r="B5" s="83"/>
      <c r="C5" s="84"/>
      <c r="D5" s="84"/>
      <c r="E5" s="84"/>
    </row>
    <row r="6" spans="1:5" x14ac:dyDescent="0.25">
      <c r="A6" s="84"/>
      <c r="B6" s="83"/>
      <c r="C6" s="84"/>
      <c r="D6" s="84"/>
      <c r="E6" s="84"/>
    </row>
    <row r="7" spans="1:5" x14ac:dyDescent="0.25">
      <c r="A7" s="84"/>
      <c r="B7" s="83"/>
      <c r="C7" s="84"/>
      <c r="D7" s="84"/>
      <c r="E7" s="84"/>
    </row>
    <row r="8" spans="1:5" x14ac:dyDescent="0.25">
      <c r="A8" s="84"/>
      <c r="B8" s="83"/>
      <c r="C8" s="84"/>
      <c r="D8" s="84"/>
      <c r="E8" s="84"/>
    </row>
    <row r="9" spans="1:5" x14ac:dyDescent="0.25">
      <c r="A9" s="84"/>
      <c r="B9" s="83"/>
      <c r="C9" s="84"/>
      <c r="D9" s="84"/>
      <c r="E9" s="84"/>
    </row>
    <row r="10" spans="1:5" x14ac:dyDescent="0.25">
      <c r="A10" s="84"/>
      <c r="B10" s="83"/>
      <c r="C10" s="84"/>
      <c r="D10" s="84"/>
      <c r="E10" s="84"/>
    </row>
    <row r="11" spans="1:5" x14ac:dyDescent="0.25">
      <c r="A11" s="84"/>
      <c r="B11" s="83"/>
      <c r="C11" s="84"/>
      <c r="D11" s="84"/>
      <c r="E11" s="84"/>
    </row>
    <row r="12" spans="1:5" x14ac:dyDescent="0.25">
      <c r="A12" s="84"/>
      <c r="B12" s="83"/>
      <c r="C12" s="84"/>
      <c r="D12" s="84"/>
      <c r="E12" s="84"/>
    </row>
    <row r="13" spans="1:5" x14ac:dyDescent="0.25">
      <c r="A13" s="84"/>
      <c r="B13" s="83"/>
      <c r="C13" s="84"/>
      <c r="D13" s="84"/>
      <c r="E13" s="84"/>
    </row>
    <row r="14" spans="1:5" x14ac:dyDescent="0.25">
      <c r="A14" s="84"/>
      <c r="B14" s="83"/>
      <c r="C14" s="84"/>
      <c r="D14" s="84"/>
      <c r="E14" s="84"/>
    </row>
    <row r="15" spans="1:5" x14ac:dyDescent="0.25">
      <c r="A15" s="84"/>
      <c r="B15" s="83"/>
      <c r="C15" s="84"/>
      <c r="D15" s="84"/>
      <c r="E15" s="84"/>
    </row>
    <row r="100" spans="3:6" x14ac:dyDescent="0.25">
      <c r="C100">
        <f>SUM(C2:C99)</f>
        <v>100</v>
      </c>
      <c r="D100">
        <f>SUM(D2:D99)</f>
        <v>2</v>
      </c>
      <c r="E100">
        <f>SUM(E2:E99)</f>
        <v>2</v>
      </c>
      <c r="F100" s="22">
        <f>E100/C100</f>
        <v>0.02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abSelected="1" workbookViewId="0">
      <selection activeCell="D22" sqref="D22"/>
    </sheetView>
  </sheetViews>
  <sheetFormatPr defaultRowHeight="15" x14ac:dyDescent="0.25"/>
  <cols>
    <col min="1" max="1" width="17.140625" customWidth="1"/>
    <col min="2" max="2" width="16.7109375" customWidth="1"/>
    <col min="4" max="4" width="16.42578125" customWidth="1"/>
  </cols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08C55-DFD6-45FA-958D-5AB8F8DAA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c15492-e82e-424f-ac49-b101091fc7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A546A3-8DD5-41D5-8229-057E558A381D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62120a19-a38a-4c78-8e86-03b65bdcf4fa"/>
    <ds:schemaRef ds:uri="http://schemas.microsoft.com/sharepoint/v3"/>
    <ds:schemaRef ds:uri="edc15492-e82e-424f-ac49-b101091fc76a"/>
  </ds:schemaRefs>
</ds:datastoreItem>
</file>

<file path=customXml/itemProps3.xml><?xml version="1.0" encoding="utf-8"?>
<ds:datastoreItem xmlns:ds="http://schemas.openxmlformats.org/officeDocument/2006/customXml" ds:itemID="{5CF184F1-4B64-4991-B17A-EE7EAB7168A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Harvest</vt:lpstr>
      <vt:lpstr>Effort</vt:lpstr>
      <vt:lpstr>CPUE</vt:lpstr>
      <vt:lpstr>Summary Table</vt:lpstr>
      <vt:lpstr>Summary Table Public</vt:lpstr>
      <vt:lpstr>Tribal Update</vt:lpstr>
      <vt:lpstr>TAC</vt:lpstr>
      <vt:lpstr>TH Wastage</vt:lpstr>
      <vt:lpstr>LB Wastage</vt:lpstr>
      <vt:lpstr>Cop Wastage</vt:lpstr>
      <vt:lpstr>Moc Wastage</vt:lpstr>
      <vt:lpstr>Kal Wastage</vt:lpstr>
      <vt:lpstr>Copy Sheet</vt:lpstr>
      <vt:lpstr>'Tribal Update'!Print_Area</vt:lpstr>
    </vt:vector>
  </TitlesOfParts>
  <Company>Washington Dept of Fish &amp;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Blumenthal, Bryce W (DFW)</dc:creator>
  <cp:lastModifiedBy>George, Matthew (DFW)</cp:lastModifiedBy>
  <cp:lastPrinted>2023-03-28T20:56:44Z</cp:lastPrinted>
  <dcterms:created xsi:type="dcterms:W3CDTF">2019-10-01T18:03:52Z</dcterms:created>
  <dcterms:modified xsi:type="dcterms:W3CDTF">2026-05-26T17:03:07Z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2021-12-10T18:07:33Z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1da2ddb8-8f57-43fd-ab04-fabd66231eb5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MediaServiceImageTags">
    <vt:lpwstr/>
  </property>
  <property fmtid="{D5CDD505-2E9C-101B-9397-08002B2CF9AE}" pid="11" name="Order">
    <vt:r8>2816300</vt:r8>
  </property>
  <property fmtid="{D5CDD505-2E9C-101B-9397-08002B2CF9AE}" pid="12" name="TriggerFlowInfo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</Properties>
</file>