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FW-Team R6 Coastal Shellfish/Razor Clam/data/historical_harvest_recreational/"/>
    </mc:Choice>
  </mc:AlternateContent>
  <xr:revisionPtr revIDLastSave="7" documentId="11_C0955E3151A17DE35051CC25A78EDE037C77744E" xr6:coauthVersionLast="47" xr6:coauthVersionMax="47" xr10:uidLastSave="{A6C763BD-FB5E-4427-9ECF-1873192357C8}"/>
  <bookViews>
    <workbookView xWindow="-120" yWindow="-120" windowWidth="29040" windowHeight="15840" activeTab="2" xr2:uid="{00000000-000D-0000-FFFF-FFFF00000000}"/>
  </bookViews>
  <sheets>
    <sheet name="Harvest" sheetId="1" r:id="rId1"/>
    <sheet name="Effort" sheetId="3" r:id="rId2"/>
    <sheet name="CPUE" sheetId="2" r:id="rId3"/>
    <sheet name="Summary Table" sheetId="4" r:id="rId4"/>
    <sheet name="Copy Sheet" sheetId="5" r:id="rId5"/>
    <sheet name="Tide Info" sheetId="13" r:id="rId6"/>
    <sheet name="Tribal update" sheetId="12" r:id="rId7"/>
    <sheet name="TAC" sheetId="6" r:id="rId8"/>
    <sheet name="TH Wastage" sheetId="8" r:id="rId9"/>
    <sheet name="LB Wastage" sheetId="9" r:id="rId10"/>
    <sheet name="Cop Wastage" sheetId="10" r:id="rId11"/>
    <sheet name="Moc Wastage" sheetId="11" r:id="rId12"/>
  </sheets>
  <definedNames>
    <definedName name="_xlnm.Print_Area" localSheetId="3">'Summary Table'!$A$1:$U$132</definedName>
    <definedName name="_xlnm.Print_Area" localSheetId="6">'Tribal update'!$A$1:$R$81</definedName>
    <definedName name="_xlnm.Print_Titles" localSheetId="3">'Summary Table'!$1:$1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Q2" i="3"/>
  <c r="Q2" i="1"/>
  <c r="H76" i="4"/>
  <c r="G76" i="4"/>
  <c r="F76" i="4"/>
  <c r="E76" i="4"/>
  <c r="H75" i="4"/>
  <c r="G75" i="4"/>
  <c r="F75" i="4"/>
  <c r="E75" i="4"/>
  <c r="H43" i="4"/>
  <c r="H42" i="4"/>
  <c r="E43" i="4"/>
  <c r="O120" i="3" l="1"/>
  <c r="O119" i="3"/>
  <c r="O118" i="3"/>
  <c r="O117" i="3"/>
  <c r="O115" i="3"/>
  <c r="O114" i="3"/>
  <c r="O113" i="3"/>
  <c r="O112" i="3"/>
  <c r="O111" i="3"/>
  <c r="O110" i="3"/>
  <c r="O109" i="3"/>
  <c r="O108" i="3"/>
  <c r="O106" i="3"/>
  <c r="O104" i="3"/>
  <c r="O102" i="3"/>
  <c r="O100" i="3"/>
  <c r="O95" i="3"/>
  <c r="O92" i="3"/>
  <c r="O85" i="3"/>
  <c r="O80" i="3"/>
  <c r="O74" i="3"/>
  <c r="O73" i="3"/>
  <c r="O72" i="3"/>
  <c r="O68" i="3"/>
  <c r="O67" i="3"/>
  <c r="O65" i="3"/>
  <c r="O64" i="3"/>
  <c r="O62" i="3"/>
  <c r="O58" i="3"/>
  <c r="O56" i="3"/>
  <c r="O54" i="3"/>
  <c r="O53" i="3"/>
  <c r="O52" i="3"/>
  <c r="O51" i="3"/>
  <c r="O50" i="3"/>
  <c r="O47" i="3"/>
  <c r="O46" i="3"/>
  <c r="O41" i="3"/>
  <c r="O40" i="3"/>
  <c r="O39" i="3"/>
  <c r="O38" i="3"/>
  <c r="O36" i="3"/>
  <c r="O35" i="3"/>
  <c r="O34" i="3"/>
  <c r="S122" i="4" l="1"/>
  <c r="R122" i="4"/>
  <c r="Q122" i="4"/>
  <c r="P122" i="4"/>
  <c r="O122" i="4"/>
  <c r="N122" i="4"/>
  <c r="M122" i="4"/>
  <c r="L122" i="4"/>
  <c r="K122" i="4"/>
  <c r="J122" i="4"/>
  <c r="I122" i="4"/>
  <c r="I123" i="4" s="1"/>
  <c r="H122" i="4"/>
  <c r="H123" i="4" s="1"/>
  <c r="G122" i="4"/>
  <c r="F122" i="4"/>
  <c r="F123" i="4" s="1"/>
  <c r="E122" i="4"/>
  <c r="E123" i="4" s="1"/>
  <c r="T122" i="4" l="1"/>
  <c r="T123" i="4" s="1"/>
  <c r="U122" i="4"/>
  <c r="U123" i="4" s="1"/>
  <c r="B120" i="2"/>
  <c r="B120" i="3"/>
  <c r="O120" i="1"/>
  <c r="H111" i="4" l="1"/>
  <c r="O118" i="1"/>
  <c r="O117" i="1"/>
  <c r="O115" i="1"/>
  <c r="O114" i="1"/>
  <c r="O113" i="1"/>
  <c r="O112" i="1"/>
  <c r="O111" i="1"/>
  <c r="O110" i="1"/>
  <c r="O109" i="1"/>
  <c r="O108" i="1"/>
  <c r="O106" i="1"/>
  <c r="O104" i="1"/>
  <c r="O102" i="1"/>
  <c r="O100" i="1"/>
  <c r="Q60" i="12"/>
  <c r="R60" i="12"/>
  <c r="I60" i="12"/>
  <c r="J60" i="12"/>
  <c r="K60" i="12" s="1"/>
  <c r="L118" i="2"/>
  <c r="L117" i="2"/>
  <c r="H118" i="2"/>
  <c r="H117" i="2"/>
  <c r="F118" i="2"/>
  <c r="F117" i="2"/>
  <c r="S120" i="4" l="1"/>
  <c r="R120" i="4"/>
  <c r="Q120" i="4"/>
  <c r="P120" i="4"/>
  <c r="O120" i="4"/>
  <c r="N120" i="4"/>
  <c r="M120" i="4"/>
  <c r="L120" i="4"/>
  <c r="K120" i="4"/>
  <c r="J120" i="4"/>
  <c r="I120" i="4"/>
  <c r="H120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20" i="4"/>
  <c r="G119" i="4"/>
  <c r="F120" i="4"/>
  <c r="E120" i="4"/>
  <c r="F119" i="4"/>
  <c r="E119" i="4"/>
  <c r="B118" i="2"/>
  <c r="B117" i="2"/>
  <c r="B118" i="3"/>
  <c r="B117" i="3"/>
  <c r="O121" i="4" l="1"/>
  <c r="U120" i="4"/>
  <c r="H121" i="4"/>
  <c r="U119" i="4"/>
  <c r="U121" i="4" s="1"/>
  <c r="E121" i="4"/>
  <c r="T119" i="4"/>
  <c r="T120" i="4"/>
  <c r="I121" i="4"/>
  <c r="F121" i="4"/>
  <c r="N121" i="4"/>
  <c r="P121" i="4" s="1"/>
  <c r="F115" i="2"/>
  <c r="F114" i="2"/>
  <c r="F113" i="2"/>
  <c r="F112" i="2"/>
  <c r="F111" i="2"/>
  <c r="F110" i="2"/>
  <c r="F109" i="2"/>
  <c r="F108" i="2"/>
  <c r="G121" i="4" l="1"/>
  <c r="T121" i="4"/>
  <c r="J121" i="4"/>
  <c r="H115" i="2"/>
  <c r="H114" i="2"/>
  <c r="H113" i="2"/>
  <c r="H112" i="2"/>
  <c r="H111" i="2"/>
  <c r="H110" i="2"/>
  <c r="H109" i="2"/>
  <c r="H108" i="2"/>
  <c r="N110" i="4" l="1"/>
  <c r="I54" i="12" s="1"/>
  <c r="Q54" i="12" s="1"/>
  <c r="O110" i="4"/>
  <c r="J54" i="12" s="1"/>
  <c r="R54" i="12" s="1"/>
  <c r="N111" i="4"/>
  <c r="I55" i="12" s="1"/>
  <c r="O111" i="4"/>
  <c r="J55" i="12" s="1"/>
  <c r="N112" i="4"/>
  <c r="I56" i="12" s="1"/>
  <c r="O112" i="4"/>
  <c r="J56" i="12" s="1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11" i="4"/>
  <c r="F11" i="4"/>
  <c r="H11" i="4"/>
  <c r="I11" i="4"/>
  <c r="E12" i="4"/>
  <c r="F12" i="4"/>
  <c r="H12" i="4"/>
  <c r="I12" i="4"/>
  <c r="E13" i="4"/>
  <c r="F13" i="4"/>
  <c r="H13" i="4"/>
  <c r="I13" i="4"/>
  <c r="E15" i="4"/>
  <c r="F15" i="4"/>
  <c r="H15" i="4"/>
  <c r="I15" i="4"/>
  <c r="H16" i="4"/>
  <c r="I16" i="4"/>
  <c r="E17" i="4"/>
  <c r="F17" i="4"/>
  <c r="E19" i="4"/>
  <c r="F19" i="4"/>
  <c r="H19" i="4"/>
  <c r="I19" i="4"/>
  <c r="E20" i="4"/>
  <c r="F20" i="4"/>
  <c r="H20" i="4"/>
  <c r="I20" i="4"/>
  <c r="E21" i="4"/>
  <c r="F21" i="4"/>
  <c r="H21" i="4"/>
  <c r="I21" i="4"/>
  <c r="E22" i="4"/>
  <c r="F22" i="4"/>
  <c r="H22" i="4"/>
  <c r="I22" i="4"/>
  <c r="H23" i="4"/>
  <c r="I23" i="4"/>
  <c r="G24" i="4"/>
  <c r="H24" i="4"/>
  <c r="I24" i="4"/>
  <c r="E25" i="4"/>
  <c r="H25" i="4"/>
  <c r="J25" i="4"/>
  <c r="H26" i="4"/>
  <c r="I26" i="4"/>
  <c r="E28" i="4"/>
  <c r="F28" i="4"/>
  <c r="H28" i="4"/>
  <c r="I28" i="4"/>
  <c r="E29" i="4"/>
  <c r="F29" i="4"/>
  <c r="H29" i="4"/>
  <c r="I29" i="4"/>
  <c r="H30" i="4"/>
  <c r="I30" i="4"/>
  <c r="E31" i="4"/>
  <c r="F31" i="4"/>
  <c r="H31" i="4"/>
  <c r="I31" i="4"/>
  <c r="E32" i="4"/>
  <c r="F32" i="4"/>
  <c r="H32" i="4"/>
  <c r="I32" i="4"/>
  <c r="E33" i="4"/>
  <c r="F33" i="4"/>
  <c r="H33" i="4"/>
  <c r="I33" i="4"/>
  <c r="H34" i="4"/>
  <c r="I34" i="4"/>
  <c r="E36" i="4"/>
  <c r="F36" i="4"/>
  <c r="H36" i="4"/>
  <c r="I36" i="4"/>
  <c r="E37" i="4"/>
  <c r="F37" i="4"/>
  <c r="H37" i="4"/>
  <c r="I37" i="4"/>
  <c r="E38" i="4"/>
  <c r="F38" i="4"/>
  <c r="H38" i="4"/>
  <c r="I38" i="4"/>
  <c r="E39" i="4"/>
  <c r="F39" i="4"/>
  <c r="E40" i="4"/>
  <c r="F40" i="4"/>
  <c r="H40" i="4"/>
  <c r="I40" i="4"/>
  <c r="E41" i="4"/>
  <c r="F41" i="4"/>
  <c r="H41" i="4"/>
  <c r="I41" i="4"/>
  <c r="E42" i="4"/>
  <c r="F42" i="4"/>
  <c r="G42" i="4"/>
  <c r="I42" i="4"/>
  <c r="J42" i="4"/>
  <c r="F43" i="4"/>
  <c r="G43" i="4"/>
  <c r="I43" i="4"/>
  <c r="J43" i="4"/>
  <c r="H45" i="4"/>
  <c r="I45" i="4"/>
  <c r="E46" i="4"/>
  <c r="F46" i="4"/>
  <c r="G47" i="4"/>
  <c r="H47" i="4"/>
  <c r="I47" i="4"/>
  <c r="E48" i="4"/>
  <c r="F48" i="4"/>
  <c r="H48" i="4"/>
  <c r="I48" i="4"/>
  <c r="E49" i="4"/>
  <c r="F49" i="4"/>
  <c r="H49" i="4"/>
  <c r="I49" i="4"/>
  <c r="H51" i="4"/>
  <c r="I51" i="4"/>
  <c r="E52" i="4"/>
  <c r="F52" i="4"/>
  <c r="H52" i="4"/>
  <c r="I52" i="4"/>
  <c r="E53" i="4"/>
  <c r="F53" i="4"/>
  <c r="H53" i="4"/>
  <c r="I53" i="4"/>
  <c r="E54" i="4"/>
  <c r="F54" i="4"/>
  <c r="H54" i="4"/>
  <c r="I54" i="4"/>
  <c r="E55" i="4"/>
  <c r="F55" i="4"/>
  <c r="H55" i="4"/>
  <c r="I55" i="4"/>
  <c r="E56" i="4"/>
  <c r="F56" i="4"/>
  <c r="H56" i="4"/>
  <c r="I56" i="4"/>
  <c r="H57" i="4"/>
  <c r="I57" i="4"/>
  <c r="E58" i="4"/>
  <c r="F58" i="4"/>
  <c r="H58" i="4"/>
  <c r="I58" i="4"/>
  <c r="E60" i="4"/>
  <c r="F60" i="4"/>
  <c r="H60" i="4"/>
  <c r="I60" i="4"/>
  <c r="H61" i="4"/>
  <c r="I61" i="4"/>
  <c r="H62" i="4"/>
  <c r="I62" i="4"/>
  <c r="E63" i="4"/>
  <c r="F63" i="4"/>
  <c r="E64" i="4"/>
  <c r="F64" i="4"/>
  <c r="H64" i="4"/>
  <c r="I64" i="4"/>
  <c r="G65" i="4"/>
  <c r="H65" i="4"/>
  <c r="I65" i="4"/>
  <c r="E66" i="4"/>
  <c r="F66" i="4"/>
  <c r="H66" i="4"/>
  <c r="I66" i="4"/>
  <c r="E67" i="4"/>
  <c r="F67" i="4"/>
  <c r="H67" i="4"/>
  <c r="I67" i="4"/>
  <c r="E69" i="4"/>
  <c r="F69" i="4"/>
  <c r="H69" i="4"/>
  <c r="I69" i="4"/>
  <c r="E70" i="4"/>
  <c r="F70" i="4"/>
  <c r="H70" i="4"/>
  <c r="I70" i="4"/>
  <c r="G71" i="4"/>
  <c r="H71" i="4"/>
  <c r="I71" i="4"/>
  <c r="G72" i="4"/>
  <c r="H72" i="4"/>
  <c r="I72" i="4"/>
  <c r="E73" i="4"/>
  <c r="F73" i="4"/>
  <c r="E74" i="4"/>
  <c r="F74" i="4"/>
  <c r="H74" i="4"/>
  <c r="I74" i="4"/>
  <c r="I75" i="4"/>
  <c r="J75" i="4"/>
  <c r="I76" i="4"/>
  <c r="J76" i="4"/>
  <c r="G78" i="4"/>
  <c r="H78" i="4"/>
  <c r="I78" i="4"/>
  <c r="G79" i="4"/>
  <c r="H79" i="4"/>
  <c r="I79" i="4"/>
  <c r="E80" i="4"/>
  <c r="F80" i="4"/>
  <c r="G81" i="4"/>
  <c r="H81" i="4"/>
  <c r="I81" i="4"/>
  <c r="E82" i="4"/>
  <c r="G82" i="4"/>
  <c r="H82" i="4"/>
  <c r="I82" i="4"/>
  <c r="H83" i="4"/>
  <c r="I83" i="4"/>
  <c r="E84" i="4"/>
  <c r="F84" i="4"/>
  <c r="G85" i="4"/>
  <c r="H85" i="4"/>
  <c r="I85" i="4"/>
  <c r="E87" i="4"/>
  <c r="F87" i="4"/>
  <c r="H87" i="4"/>
  <c r="I87" i="4"/>
  <c r="E88" i="4"/>
  <c r="F88" i="4"/>
  <c r="J88" i="4"/>
  <c r="G89" i="4"/>
  <c r="H89" i="4"/>
  <c r="I89" i="4"/>
  <c r="J89" i="4"/>
  <c r="E90" i="4"/>
  <c r="F90" i="4"/>
  <c r="J90" i="4"/>
  <c r="G92" i="4"/>
  <c r="H92" i="4"/>
  <c r="I92" i="4"/>
  <c r="E93" i="4"/>
  <c r="F93" i="4"/>
  <c r="E94" i="4"/>
  <c r="F94" i="4"/>
  <c r="H94" i="4"/>
  <c r="E95" i="4"/>
  <c r="F95" i="4"/>
  <c r="E97" i="4"/>
  <c r="F97" i="4"/>
  <c r="H97" i="4"/>
  <c r="I97" i="4"/>
  <c r="E98" i="4"/>
  <c r="F98" i="4"/>
  <c r="H99" i="4"/>
  <c r="I99" i="4"/>
  <c r="E100" i="4"/>
  <c r="F100" i="4"/>
  <c r="E102" i="4"/>
  <c r="F102" i="4"/>
  <c r="H102" i="4"/>
  <c r="I102" i="4"/>
  <c r="H103" i="4"/>
  <c r="I103" i="4"/>
  <c r="E104" i="4"/>
  <c r="F104" i="4"/>
  <c r="H104" i="4"/>
  <c r="I104" i="4"/>
  <c r="H105" i="4"/>
  <c r="I105" i="4"/>
  <c r="E106" i="4"/>
  <c r="F106" i="4"/>
  <c r="H106" i="4"/>
  <c r="I106" i="4"/>
  <c r="H107" i="4"/>
  <c r="I107" i="4"/>
  <c r="E108" i="4"/>
  <c r="F108" i="4"/>
  <c r="H108" i="4"/>
  <c r="I108" i="4"/>
  <c r="J108" i="4"/>
  <c r="E110" i="4"/>
  <c r="F110" i="4"/>
  <c r="G110" i="4"/>
  <c r="H110" i="4"/>
  <c r="I110" i="4"/>
  <c r="J110" i="4"/>
  <c r="E111" i="4"/>
  <c r="F111" i="4"/>
  <c r="G111" i="4"/>
  <c r="I111" i="4"/>
  <c r="J111" i="4"/>
  <c r="E112" i="4"/>
  <c r="F112" i="4"/>
  <c r="G112" i="4"/>
  <c r="H112" i="4"/>
  <c r="I112" i="4"/>
  <c r="J112" i="4"/>
  <c r="E113" i="4"/>
  <c r="F113" i="4"/>
  <c r="G113" i="4"/>
  <c r="H113" i="4"/>
  <c r="I113" i="4"/>
  <c r="J113" i="4"/>
  <c r="E114" i="4"/>
  <c r="F114" i="4"/>
  <c r="G114" i="4"/>
  <c r="H114" i="4"/>
  <c r="I114" i="4"/>
  <c r="J114" i="4"/>
  <c r="E115" i="4"/>
  <c r="F115" i="4"/>
  <c r="G115" i="4"/>
  <c r="H115" i="4"/>
  <c r="I115" i="4"/>
  <c r="J115" i="4"/>
  <c r="E116" i="4"/>
  <c r="F116" i="4"/>
  <c r="G116" i="4"/>
  <c r="H116" i="4"/>
  <c r="I116" i="4"/>
  <c r="J116" i="4"/>
  <c r="E117" i="4"/>
  <c r="F117" i="4"/>
  <c r="G117" i="4"/>
  <c r="H117" i="4"/>
  <c r="I117" i="4"/>
  <c r="J117" i="4"/>
  <c r="E53" i="12"/>
  <c r="F53" i="12"/>
  <c r="I53" i="12"/>
  <c r="J53" i="12"/>
  <c r="K53" i="12" s="1"/>
  <c r="E44" i="4" l="1"/>
  <c r="I109" i="4"/>
  <c r="G53" i="12"/>
  <c r="H27" i="4"/>
  <c r="H59" i="4"/>
  <c r="I35" i="4"/>
  <c r="I59" i="4"/>
  <c r="F44" i="4"/>
  <c r="H35" i="4"/>
  <c r="H109" i="4"/>
  <c r="H118" i="4"/>
  <c r="F118" i="4"/>
  <c r="E118" i="4"/>
  <c r="I118" i="4"/>
  <c r="L110" i="2"/>
  <c r="P112" i="4" s="1"/>
  <c r="K56" i="12" s="1"/>
  <c r="L109" i="2"/>
  <c r="P111" i="4" s="1"/>
  <c r="K55" i="12" s="1"/>
  <c r="L108" i="2"/>
  <c r="P110" i="4" s="1"/>
  <c r="K54" i="12" s="1"/>
  <c r="J110" i="2"/>
  <c r="J109" i="2"/>
  <c r="G44" i="4" l="1"/>
  <c r="J109" i="4"/>
  <c r="J59" i="4"/>
  <c r="J35" i="4"/>
  <c r="J118" i="4"/>
  <c r="G118" i="4"/>
  <c r="U117" i="4"/>
  <c r="U116" i="4"/>
  <c r="U115" i="4"/>
  <c r="U114" i="4"/>
  <c r="U113" i="4"/>
  <c r="T117" i="4"/>
  <c r="T116" i="4"/>
  <c r="T115" i="4"/>
  <c r="T114" i="4"/>
  <c r="T113" i="4"/>
  <c r="S117" i="4"/>
  <c r="R117" i="4"/>
  <c r="Q117" i="4"/>
  <c r="P117" i="4"/>
  <c r="O117" i="4"/>
  <c r="N117" i="4"/>
  <c r="M117" i="4"/>
  <c r="L117" i="4"/>
  <c r="K117" i="4"/>
  <c r="S116" i="4"/>
  <c r="R116" i="4"/>
  <c r="Q116" i="4"/>
  <c r="P116" i="4"/>
  <c r="O116" i="4"/>
  <c r="N116" i="4"/>
  <c r="M116" i="4"/>
  <c r="L116" i="4"/>
  <c r="K116" i="4"/>
  <c r="S115" i="4"/>
  <c r="R115" i="4"/>
  <c r="Q115" i="4"/>
  <c r="P115" i="4"/>
  <c r="O115" i="4"/>
  <c r="N115" i="4"/>
  <c r="M115" i="4"/>
  <c r="L115" i="4"/>
  <c r="K115" i="4"/>
  <c r="S114" i="4"/>
  <c r="R114" i="4"/>
  <c r="Q114" i="4"/>
  <c r="P114" i="4"/>
  <c r="O114" i="4"/>
  <c r="N114" i="4"/>
  <c r="M114" i="4"/>
  <c r="L114" i="4"/>
  <c r="K114" i="4"/>
  <c r="S113" i="4"/>
  <c r="R113" i="4"/>
  <c r="Q113" i="4"/>
  <c r="P113" i="4"/>
  <c r="O113" i="4"/>
  <c r="N113" i="4"/>
  <c r="M113" i="4"/>
  <c r="L113" i="4"/>
  <c r="K113" i="4"/>
  <c r="S112" i="4"/>
  <c r="R112" i="4"/>
  <c r="Q112" i="4"/>
  <c r="M112" i="4"/>
  <c r="L112" i="4"/>
  <c r="F56" i="12" s="1"/>
  <c r="R56" i="12" s="1"/>
  <c r="K112" i="4"/>
  <c r="E56" i="12" s="1"/>
  <c r="Q56" i="12" s="1"/>
  <c r="S111" i="4"/>
  <c r="R111" i="4"/>
  <c r="Q111" i="4"/>
  <c r="M111" i="4"/>
  <c r="L111" i="4"/>
  <c r="F55" i="12" s="1"/>
  <c r="R55" i="12" s="1"/>
  <c r="K111" i="4"/>
  <c r="E55" i="12" s="1"/>
  <c r="Q55" i="12" s="1"/>
  <c r="S110" i="4"/>
  <c r="R110" i="4"/>
  <c r="Q110" i="4"/>
  <c r="M110" i="4"/>
  <c r="L110" i="4"/>
  <c r="F54" i="12" s="1"/>
  <c r="K110" i="4"/>
  <c r="E54" i="12" s="1"/>
  <c r="B115" i="2"/>
  <c r="B114" i="2"/>
  <c r="B113" i="2"/>
  <c r="B112" i="2"/>
  <c r="B111" i="2"/>
  <c r="B110" i="2"/>
  <c r="B109" i="2"/>
  <c r="B108" i="2"/>
  <c r="B115" i="3"/>
  <c r="B114" i="3"/>
  <c r="B113" i="3"/>
  <c r="B112" i="3"/>
  <c r="B111" i="3"/>
  <c r="B110" i="3"/>
  <c r="B109" i="3"/>
  <c r="B108" i="3"/>
  <c r="B112" i="1"/>
  <c r="R57" i="12" l="1"/>
  <c r="Q57" i="12"/>
  <c r="T110" i="4"/>
  <c r="N118" i="4"/>
  <c r="I57" i="12" s="1"/>
  <c r="L118" i="4"/>
  <c r="F57" i="12" s="1"/>
  <c r="U110" i="4"/>
  <c r="O118" i="4"/>
  <c r="J57" i="12" s="1"/>
  <c r="T111" i="4"/>
  <c r="K118" i="4"/>
  <c r="E57" i="12" s="1"/>
  <c r="U112" i="4"/>
  <c r="U111" i="4"/>
  <c r="T112" i="4"/>
  <c r="R52" i="12"/>
  <c r="Q52" i="12"/>
  <c r="R51" i="12"/>
  <c r="Q51" i="12"/>
  <c r="U108" i="4"/>
  <c r="U106" i="4"/>
  <c r="U104" i="4"/>
  <c r="T108" i="4"/>
  <c r="T106" i="4"/>
  <c r="T104" i="4"/>
  <c r="F100" i="2"/>
  <c r="G102" i="4" s="1"/>
  <c r="F106" i="2"/>
  <c r="G108" i="4" s="1"/>
  <c r="F104" i="2"/>
  <c r="G106" i="4" s="1"/>
  <c r="F102" i="2"/>
  <c r="G104" i="4" s="1"/>
  <c r="F105" i="3"/>
  <c r="F103" i="3"/>
  <c r="F97" i="3"/>
  <c r="F101" i="3"/>
  <c r="O103" i="3" l="1"/>
  <c r="E105" i="4"/>
  <c r="T105" i="4" s="1"/>
  <c r="O97" i="3"/>
  <c r="E99" i="4"/>
  <c r="O105" i="3"/>
  <c r="E107" i="4"/>
  <c r="T107" i="4" s="1"/>
  <c r="O101" i="3"/>
  <c r="E103" i="4"/>
  <c r="Q53" i="12"/>
  <c r="U118" i="4"/>
  <c r="T118" i="4"/>
  <c r="R53" i="12"/>
  <c r="P118" i="4"/>
  <c r="K57" i="12" s="1"/>
  <c r="M118" i="4"/>
  <c r="G57" i="12" s="1"/>
  <c r="H105" i="2"/>
  <c r="H104" i="2"/>
  <c r="J106" i="4" s="1"/>
  <c r="H103" i="2"/>
  <c r="H102" i="2"/>
  <c r="J104" i="4" s="1"/>
  <c r="H101" i="2"/>
  <c r="H100" i="2"/>
  <c r="J102" i="4" s="1"/>
  <c r="E109" i="4" l="1"/>
  <c r="J103" i="4"/>
  <c r="F101" i="2"/>
  <c r="J107" i="4"/>
  <c r="F105" i="2"/>
  <c r="J105" i="4"/>
  <c r="F103" i="2"/>
  <c r="S108" i="4"/>
  <c r="R108" i="4"/>
  <c r="Q108" i="4"/>
  <c r="P108" i="4"/>
  <c r="O108" i="4"/>
  <c r="N108" i="4"/>
  <c r="M108" i="4"/>
  <c r="L108" i="4"/>
  <c r="K108" i="4"/>
  <c r="S107" i="4"/>
  <c r="R107" i="4"/>
  <c r="Q107" i="4"/>
  <c r="P107" i="4"/>
  <c r="O107" i="4"/>
  <c r="N107" i="4"/>
  <c r="M107" i="4"/>
  <c r="L107" i="4"/>
  <c r="K107" i="4"/>
  <c r="S106" i="4"/>
  <c r="R106" i="4"/>
  <c r="Q106" i="4"/>
  <c r="P106" i="4"/>
  <c r="O106" i="4"/>
  <c r="N106" i="4"/>
  <c r="M106" i="4"/>
  <c r="L106" i="4"/>
  <c r="K106" i="4"/>
  <c r="S105" i="4"/>
  <c r="R105" i="4"/>
  <c r="Q105" i="4"/>
  <c r="P105" i="4"/>
  <c r="O105" i="4"/>
  <c r="N105" i="4"/>
  <c r="M105" i="4"/>
  <c r="L105" i="4"/>
  <c r="K105" i="4"/>
  <c r="S104" i="4"/>
  <c r="R104" i="4"/>
  <c r="Q104" i="4"/>
  <c r="P104" i="4"/>
  <c r="O104" i="4"/>
  <c r="N104" i="4"/>
  <c r="M104" i="4"/>
  <c r="L104" i="4"/>
  <c r="K104" i="4"/>
  <c r="S103" i="4"/>
  <c r="R103" i="4"/>
  <c r="Q103" i="4"/>
  <c r="O103" i="4"/>
  <c r="N103" i="4"/>
  <c r="L103" i="4"/>
  <c r="K103" i="4"/>
  <c r="T103" i="4" s="1"/>
  <c r="S102" i="4"/>
  <c r="R102" i="4"/>
  <c r="Q102" i="4"/>
  <c r="O102" i="4"/>
  <c r="N102" i="4"/>
  <c r="L102" i="4"/>
  <c r="K102" i="4"/>
  <c r="L101" i="2"/>
  <c r="P103" i="4" s="1"/>
  <c r="J101" i="2"/>
  <c r="M103" i="4" s="1"/>
  <c r="L100" i="2"/>
  <c r="P102" i="4" s="1"/>
  <c r="J100" i="2"/>
  <c r="M102" i="4" s="1"/>
  <c r="B106" i="2"/>
  <c r="B105" i="2"/>
  <c r="B104" i="2"/>
  <c r="B103" i="2"/>
  <c r="B102" i="2"/>
  <c r="B101" i="2"/>
  <c r="B100" i="2"/>
  <c r="B106" i="3"/>
  <c r="B105" i="3"/>
  <c r="B104" i="3"/>
  <c r="B103" i="3"/>
  <c r="B102" i="3"/>
  <c r="B101" i="3"/>
  <c r="B100" i="3"/>
  <c r="B103" i="1"/>
  <c r="U102" i="4" l="1"/>
  <c r="G105" i="4"/>
  <c r="F103" i="1"/>
  <c r="G107" i="4"/>
  <c r="F105" i="1"/>
  <c r="G103" i="4"/>
  <c r="F101" i="1"/>
  <c r="N109" i="4"/>
  <c r="O109" i="4"/>
  <c r="L109" i="4"/>
  <c r="T102" i="4"/>
  <c r="T109" i="4" s="1"/>
  <c r="K109" i="4"/>
  <c r="O95" i="1"/>
  <c r="O85" i="1"/>
  <c r="O74" i="1"/>
  <c r="O73" i="1"/>
  <c r="O72" i="1"/>
  <c r="O68" i="1"/>
  <c r="O67" i="1"/>
  <c r="O65" i="1"/>
  <c r="O64" i="1"/>
  <c r="O62" i="1"/>
  <c r="O58" i="1"/>
  <c r="O56" i="1"/>
  <c r="O54" i="1"/>
  <c r="O53" i="1"/>
  <c r="O52" i="1"/>
  <c r="O51" i="1"/>
  <c r="O50" i="1"/>
  <c r="P109" i="4" l="1"/>
  <c r="O103" i="1"/>
  <c r="F105" i="4"/>
  <c r="U105" i="4" s="1"/>
  <c r="O101" i="1"/>
  <c r="F103" i="4"/>
  <c r="O105" i="1"/>
  <c r="F107" i="4"/>
  <c r="U107" i="4" s="1"/>
  <c r="M109" i="4"/>
  <c r="O47" i="1"/>
  <c r="O46" i="1"/>
  <c r="O41" i="1"/>
  <c r="O40" i="1"/>
  <c r="O39" i="1"/>
  <c r="O38" i="1"/>
  <c r="O36" i="1"/>
  <c r="O35" i="1"/>
  <c r="O34" i="1"/>
  <c r="O31" i="1"/>
  <c r="O30" i="1"/>
  <c r="O29" i="1"/>
  <c r="O27" i="1"/>
  <c r="O26" i="1"/>
  <c r="O20" i="1"/>
  <c r="O19" i="1"/>
  <c r="O18" i="1"/>
  <c r="O17" i="1"/>
  <c r="O6" i="1"/>
  <c r="O5" i="1"/>
  <c r="O2" i="1"/>
  <c r="H92" i="1"/>
  <c r="F92" i="2"/>
  <c r="G94" i="4" s="1"/>
  <c r="F94" i="1"/>
  <c r="H98" i="1"/>
  <c r="H96" i="1"/>
  <c r="H94" i="1"/>
  <c r="I96" i="4" s="1"/>
  <c r="H93" i="1"/>
  <c r="H91" i="1"/>
  <c r="H96" i="3"/>
  <c r="F94" i="3"/>
  <c r="H94" i="3"/>
  <c r="H96" i="4" s="1"/>
  <c r="H98" i="3"/>
  <c r="H93" i="3"/>
  <c r="H91" i="3"/>
  <c r="O94" i="3" l="1"/>
  <c r="E96" i="4"/>
  <c r="O96" i="3"/>
  <c r="H98" i="4"/>
  <c r="O91" i="3"/>
  <c r="H93" i="4"/>
  <c r="O93" i="3"/>
  <c r="H95" i="4"/>
  <c r="O98" i="3"/>
  <c r="H100" i="4"/>
  <c r="H92" i="2"/>
  <c r="J94" i="4" s="1"/>
  <c r="I94" i="4"/>
  <c r="O92" i="1"/>
  <c r="F96" i="4"/>
  <c r="O94" i="1"/>
  <c r="F94" i="2"/>
  <c r="G96" i="4" s="1"/>
  <c r="I95" i="4"/>
  <c r="O93" i="1"/>
  <c r="H94" i="2"/>
  <c r="J96" i="4" s="1"/>
  <c r="I98" i="4"/>
  <c r="O96" i="1"/>
  <c r="H96" i="2"/>
  <c r="J98" i="4" s="1"/>
  <c r="I93" i="4"/>
  <c r="O91" i="1"/>
  <c r="H91" i="2"/>
  <c r="J93" i="4" s="1"/>
  <c r="H93" i="2"/>
  <c r="J95" i="4" s="1"/>
  <c r="F109" i="4"/>
  <c r="G109" i="4" s="1"/>
  <c r="U103" i="4"/>
  <c r="U109" i="4" s="1"/>
  <c r="I100" i="4"/>
  <c r="O98" i="1"/>
  <c r="H98" i="2"/>
  <c r="J100" i="4" s="1"/>
  <c r="F97" i="1"/>
  <c r="H97" i="2"/>
  <c r="J99" i="4" s="1"/>
  <c r="H95" i="2"/>
  <c r="J97" i="4" s="1"/>
  <c r="F98" i="2"/>
  <c r="G100" i="4" s="1"/>
  <c r="F96" i="2"/>
  <c r="G98" i="4" s="1"/>
  <c r="F95" i="2"/>
  <c r="G97" i="4" s="1"/>
  <c r="H101" i="4" l="1"/>
  <c r="F97" i="2"/>
  <c r="G99" i="4" s="1"/>
  <c r="F99" i="4"/>
  <c r="O97" i="1"/>
  <c r="I101" i="4"/>
  <c r="J101" i="4" s="1"/>
  <c r="F93" i="2"/>
  <c r="G95" i="4" s="1"/>
  <c r="F91" i="2"/>
  <c r="G93" i="4" s="1"/>
  <c r="R49" i="12"/>
  <c r="R48" i="12"/>
  <c r="R47" i="12"/>
  <c r="Q49" i="12"/>
  <c r="Q48" i="12"/>
  <c r="Q47" i="12"/>
  <c r="I50" i="12"/>
  <c r="J50" i="12"/>
  <c r="E50" i="12"/>
  <c r="F50" i="12"/>
  <c r="L96" i="2"/>
  <c r="J96" i="2"/>
  <c r="L95" i="2"/>
  <c r="J95" i="2"/>
  <c r="L94" i="2"/>
  <c r="J94" i="2"/>
  <c r="K50" i="12" l="1"/>
  <c r="G50" i="12"/>
  <c r="Q50" i="12"/>
  <c r="R50" i="12"/>
  <c r="F90" i="1"/>
  <c r="H90" i="2"/>
  <c r="J92" i="4" s="1"/>
  <c r="F90" i="3"/>
  <c r="O29" i="3"/>
  <c r="O27" i="3"/>
  <c r="O31" i="3"/>
  <c r="O30" i="3"/>
  <c r="O26" i="3"/>
  <c r="O20" i="3"/>
  <c r="O23" i="3"/>
  <c r="O19" i="3"/>
  <c r="O18" i="3"/>
  <c r="O17" i="3"/>
  <c r="U100" i="4"/>
  <c r="S100" i="4"/>
  <c r="R100" i="4"/>
  <c r="Q100" i="4"/>
  <c r="P100" i="4"/>
  <c r="O100" i="4"/>
  <c r="N100" i="4"/>
  <c r="M100" i="4"/>
  <c r="L100" i="4"/>
  <c r="K100" i="4"/>
  <c r="S99" i="4"/>
  <c r="R99" i="4"/>
  <c r="Q99" i="4"/>
  <c r="P99" i="4"/>
  <c r="O99" i="4"/>
  <c r="N99" i="4"/>
  <c r="M99" i="4"/>
  <c r="L99" i="4"/>
  <c r="K99" i="4"/>
  <c r="S98" i="4"/>
  <c r="R98" i="4"/>
  <c r="Q98" i="4"/>
  <c r="P98" i="4"/>
  <c r="O98" i="4"/>
  <c r="N98" i="4"/>
  <c r="M98" i="4"/>
  <c r="L98" i="4"/>
  <c r="K98" i="4"/>
  <c r="S97" i="4"/>
  <c r="R97" i="4"/>
  <c r="Q97" i="4"/>
  <c r="P97" i="4"/>
  <c r="O97" i="4"/>
  <c r="N97" i="4"/>
  <c r="M97" i="4"/>
  <c r="L97" i="4"/>
  <c r="K97" i="4"/>
  <c r="S96" i="4"/>
  <c r="R96" i="4"/>
  <c r="Q96" i="4"/>
  <c r="P96" i="4"/>
  <c r="O96" i="4"/>
  <c r="N96" i="4"/>
  <c r="M96" i="4"/>
  <c r="L96" i="4"/>
  <c r="K96" i="4"/>
  <c r="S95" i="4"/>
  <c r="R95" i="4"/>
  <c r="Q95" i="4"/>
  <c r="P95" i="4"/>
  <c r="O95" i="4"/>
  <c r="N95" i="4"/>
  <c r="M95" i="4"/>
  <c r="L95" i="4"/>
  <c r="K95" i="4"/>
  <c r="T95" i="4"/>
  <c r="S94" i="4"/>
  <c r="R94" i="4"/>
  <c r="Q94" i="4"/>
  <c r="P94" i="4"/>
  <c r="O94" i="4"/>
  <c r="N94" i="4"/>
  <c r="M94" i="4"/>
  <c r="L94" i="4"/>
  <c r="K94" i="4"/>
  <c r="S93" i="4"/>
  <c r="R93" i="4"/>
  <c r="Q93" i="4"/>
  <c r="P93" i="4"/>
  <c r="O93" i="4"/>
  <c r="N93" i="4"/>
  <c r="M93" i="4"/>
  <c r="L93" i="4"/>
  <c r="K93" i="4"/>
  <c r="U93" i="4"/>
  <c r="S92" i="4"/>
  <c r="R92" i="4"/>
  <c r="Q92" i="4"/>
  <c r="P92" i="4"/>
  <c r="O92" i="4"/>
  <c r="N92" i="4"/>
  <c r="M92" i="4"/>
  <c r="L92" i="4"/>
  <c r="K92" i="4"/>
  <c r="B100" i="4"/>
  <c r="B99" i="4"/>
  <c r="B98" i="4"/>
  <c r="B97" i="4"/>
  <c r="B96" i="4"/>
  <c r="B95" i="4"/>
  <c r="B94" i="4"/>
  <c r="B93" i="4"/>
  <c r="B92" i="4"/>
  <c r="O90" i="3" l="1"/>
  <c r="E92" i="4"/>
  <c r="E101" i="4" s="1"/>
  <c r="F92" i="4"/>
  <c r="F101" i="4" s="1"/>
  <c r="G101" i="4" s="1"/>
  <c r="O90" i="1"/>
  <c r="N101" i="4"/>
  <c r="L101" i="4"/>
  <c r="U94" i="4"/>
  <c r="U95" i="4"/>
  <c r="T94" i="4"/>
  <c r="T96" i="4"/>
  <c r="U99" i="4"/>
  <c r="T99" i="4"/>
  <c r="T100" i="4"/>
  <c r="T93" i="4"/>
  <c r="T97" i="4"/>
  <c r="U97" i="4"/>
  <c r="U96" i="4"/>
  <c r="O101" i="4"/>
  <c r="U98" i="4"/>
  <c r="T98" i="4"/>
  <c r="K101" i="4"/>
  <c r="T92" i="4"/>
  <c r="H88" i="1"/>
  <c r="F88" i="2"/>
  <c r="G90" i="4" s="1"/>
  <c r="H88" i="3"/>
  <c r="F87" i="3"/>
  <c r="F87" i="1" s="1"/>
  <c r="O87" i="3" l="1"/>
  <c r="E89" i="4"/>
  <c r="E91" i="4" s="1"/>
  <c r="O88" i="3"/>
  <c r="H90" i="4"/>
  <c r="F89" i="4"/>
  <c r="F91" i="4" s="1"/>
  <c r="G91" i="4" s="1"/>
  <c r="O87" i="1"/>
  <c r="I90" i="4"/>
  <c r="O88" i="1"/>
  <c r="M101" i="4"/>
  <c r="P101" i="4"/>
  <c r="T101" i="4"/>
  <c r="U92" i="4"/>
  <c r="U101" i="4" s="1"/>
  <c r="H86" i="3"/>
  <c r="F86" i="2"/>
  <c r="G88" i="4" s="1"/>
  <c r="F79" i="3"/>
  <c r="H82" i="3"/>
  <c r="H78" i="3"/>
  <c r="O86" i="3" l="1"/>
  <c r="H88" i="4"/>
  <c r="H91" i="4" s="1"/>
  <c r="H86" i="1"/>
  <c r="O82" i="3"/>
  <c r="H84" i="4"/>
  <c r="H80" i="4"/>
  <c r="H86" i="4" s="1"/>
  <c r="O78" i="3"/>
  <c r="O79" i="3"/>
  <c r="E81" i="4"/>
  <c r="I88" i="4"/>
  <c r="I91" i="4" s="1"/>
  <c r="J91" i="4" s="1"/>
  <c r="O86" i="1"/>
  <c r="H85" i="2"/>
  <c r="J87" i="4" s="1"/>
  <c r="F85" i="2"/>
  <c r="G87" i="4" s="1"/>
  <c r="S90" i="4" l="1"/>
  <c r="R90" i="4"/>
  <c r="Q90" i="4"/>
  <c r="P90" i="4"/>
  <c r="O90" i="4"/>
  <c r="N90" i="4"/>
  <c r="M90" i="4"/>
  <c r="L90" i="4"/>
  <c r="K90" i="4"/>
  <c r="U90" i="4"/>
  <c r="S89" i="4"/>
  <c r="R89" i="4"/>
  <c r="Q89" i="4"/>
  <c r="P89" i="4"/>
  <c r="O89" i="4"/>
  <c r="N89" i="4"/>
  <c r="M89" i="4"/>
  <c r="L89" i="4"/>
  <c r="K89" i="4"/>
  <c r="S88" i="4"/>
  <c r="R88" i="4"/>
  <c r="Q88" i="4"/>
  <c r="P88" i="4"/>
  <c r="O88" i="4"/>
  <c r="N88" i="4"/>
  <c r="M88" i="4"/>
  <c r="L88" i="4"/>
  <c r="K88" i="4"/>
  <c r="T88" i="4"/>
  <c r="S87" i="4"/>
  <c r="R87" i="4"/>
  <c r="Q87" i="4"/>
  <c r="P87" i="4"/>
  <c r="O87" i="4"/>
  <c r="N87" i="4"/>
  <c r="M87" i="4"/>
  <c r="L87" i="4"/>
  <c r="K87" i="4"/>
  <c r="B88" i="2"/>
  <c r="B87" i="2"/>
  <c r="B86" i="2"/>
  <c r="B85" i="2"/>
  <c r="B88" i="1"/>
  <c r="B87" i="1"/>
  <c r="B86" i="1"/>
  <c r="B85" i="1"/>
  <c r="B88" i="3"/>
  <c r="B87" i="3"/>
  <c r="B86" i="3"/>
  <c r="B85" i="3"/>
  <c r="T89" i="4" l="1"/>
  <c r="T90" i="4"/>
  <c r="U89" i="4"/>
  <c r="U88" i="4"/>
  <c r="T87" i="4"/>
  <c r="U87" i="4"/>
  <c r="F80" i="1"/>
  <c r="F79" i="1"/>
  <c r="H83" i="2"/>
  <c r="J85" i="4" s="1"/>
  <c r="F82" i="2"/>
  <c r="G84" i="4" s="1"/>
  <c r="H81" i="2"/>
  <c r="J83" i="4" s="1"/>
  <c r="H80" i="2"/>
  <c r="J82" i="4" s="1"/>
  <c r="H79" i="2"/>
  <c r="J81" i="4" s="1"/>
  <c r="F78" i="2"/>
  <c r="G80" i="4" s="1"/>
  <c r="H82" i="1"/>
  <c r="H78" i="1"/>
  <c r="F82" i="4" l="1"/>
  <c r="O80" i="1"/>
  <c r="I80" i="4"/>
  <c r="O78" i="1"/>
  <c r="I84" i="4"/>
  <c r="O82" i="1"/>
  <c r="H82" i="2"/>
  <c r="J84" i="4" s="1"/>
  <c r="H78" i="2"/>
  <c r="J80" i="4" s="1"/>
  <c r="F81" i="4"/>
  <c r="O79" i="1"/>
  <c r="T91" i="4"/>
  <c r="U91" i="4"/>
  <c r="R45" i="12"/>
  <c r="Q45" i="12"/>
  <c r="R44" i="12"/>
  <c r="Q44" i="12"/>
  <c r="R43" i="12"/>
  <c r="Q43" i="12"/>
  <c r="I46" i="12"/>
  <c r="J46" i="12"/>
  <c r="E46" i="12"/>
  <c r="F46" i="12"/>
  <c r="J82" i="2"/>
  <c r="M84" i="4" s="1"/>
  <c r="L83" i="2"/>
  <c r="L82" i="2"/>
  <c r="P84" i="4" s="1"/>
  <c r="L81" i="2"/>
  <c r="P83" i="4" s="1"/>
  <c r="S85" i="4"/>
  <c r="R85" i="4"/>
  <c r="Q85" i="4"/>
  <c r="P85" i="4"/>
  <c r="O85" i="4"/>
  <c r="N85" i="4"/>
  <c r="M85" i="4"/>
  <c r="L85" i="4"/>
  <c r="K85" i="4"/>
  <c r="S84" i="4"/>
  <c r="R84" i="4"/>
  <c r="Q84" i="4"/>
  <c r="O84" i="4"/>
  <c r="N84" i="4"/>
  <c r="L84" i="4"/>
  <c r="K84" i="4"/>
  <c r="S83" i="4"/>
  <c r="R83" i="4"/>
  <c r="Q83" i="4"/>
  <c r="O83" i="4"/>
  <c r="N83" i="4"/>
  <c r="M83" i="4"/>
  <c r="L83" i="4"/>
  <c r="K83" i="4"/>
  <c r="S82" i="4"/>
  <c r="R82" i="4"/>
  <c r="Q82" i="4"/>
  <c r="P82" i="4"/>
  <c r="O82" i="4"/>
  <c r="N82" i="4"/>
  <c r="M82" i="4"/>
  <c r="L82" i="4"/>
  <c r="K82" i="4"/>
  <c r="T82" i="4"/>
  <c r="S81" i="4"/>
  <c r="R81" i="4"/>
  <c r="Q81" i="4"/>
  <c r="P81" i="4"/>
  <c r="O81" i="4"/>
  <c r="N81" i="4"/>
  <c r="M81" i="4"/>
  <c r="L81" i="4"/>
  <c r="K81" i="4"/>
  <c r="S80" i="4"/>
  <c r="R80" i="4"/>
  <c r="Q80" i="4"/>
  <c r="P80" i="4"/>
  <c r="O80" i="4"/>
  <c r="N80" i="4"/>
  <c r="M80" i="4"/>
  <c r="L80" i="4"/>
  <c r="K80" i="4"/>
  <c r="K86" i="4" l="1"/>
  <c r="I86" i="4"/>
  <c r="J86" i="4" s="1"/>
  <c r="U84" i="4"/>
  <c r="K46" i="12"/>
  <c r="N86" i="4"/>
  <c r="G46" i="12"/>
  <c r="Q46" i="12"/>
  <c r="L86" i="4"/>
  <c r="O86" i="4"/>
  <c r="R46" i="12"/>
  <c r="T81" i="4"/>
  <c r="U80" i="4"/>
  <c r="U81" i="4"/>
  <c r="U82" i="4"/>
  <c r="T80" i="4"/>
  <c r="T84" i="4"/>
  <c r="F76" i="3"/>
  <c r="F77" i="3"/>
  <c r="O77" i="3" l="1"/>
  <c r="E79" i="4"/>
  <c r="O76" i="3"/>
  <c r="E78" i="4"/>
  <c r="M86" i="4"/>
  <c r="P86" i="4"/>
  <c r="T79" i="4"/>
  <c r="S79" i="4"/>
  <c r="R79" i="4"/>
  <c r="Q79" i="4"/>
  <c r="P79" i="4"/>
  <c r="O79" i="4"/>
  <c r="N79" i="4"/>
  <c r="M79" i="4"/>
  <c r="L79" i="4"/>
  <c r="K79" i="4"/>
  <c r="S78" i="4"/>
  <c r="R78" i="4"/>
  <c r="Q78" i="4"/>
  <c r="P78" i="4"/>
  <c r="O78" i="4"/>
  <c r="N78" i="4"/>
  <c r="M78" i="4"/>
  <c r="L78" i="4"/>
  <c r="K78" i="4"/>
  <c r="T78" i="4"/>
  <c r="F77" i="1"/>
  <c r="F76" i="1"/>
  <c r="H77" i="2"/>
  <c r="J79" i="4" s="1"/>
  <c r="H76" i="2"/>
  <c r="J78" i="4" s="1"/>
  <c r="B83" i="2"/>
  <c r="B82" i="2"/>
  <c r="B81" i="2"/>
  <c r="B80" i="2"/>
  <c r="B79" i="2"/>
  <c r="B78" i="2"/>
  <c r="B77" i="2"/>
  <c r="B76" i="2"/>
  <c r="B83" i="3"/>
  <c r="B82" i="3"/>
  <c r="B81" i="3"/>
  <c r="B80" i="3"/>
  <c r="B79" i="3"/>
  <c r="B78" i="3"/>
  <c r="B77" i="3"/>
  <c r="B76" i="3"/>
  <c r="F78" i="4" l="1"/>
  <c r="U78" i="4" s="1"/>
  <c r="O76" i="1"/>
  <c r="F79" i="4"/>
  <c r="U79" i="4" s="1"/>
  <c r="O77" i="1"/>
  <c r="F70" i="3" l="1"/>
  <c r="F69" i="3"/>
  <c r="F69" i="1" s="1"/>
  <c r="O70" i="3" l="1"/>
  <c r="E72" i="4"/>
  <c r="O69" i="3"/>
  <c r="E71" i="4"/>
  <c r="E77" i="4" s="1"/>
  <c r="F70" i="1"/>
  <c r="F72" i="4" s="1"/>
  <c r="F71" i="4"/>
  <c r="R41" i="12"/>
  <c r="R40" i="12"/>
  <c r="R39" i="12"/>
  <c r="R42" i="12" s="1"/>
  <c r="Q41" i="12"/>
  <c r="Q40" i="12"/>
  <c r="Q39" i="12"/>
  <c r="I42" i="12"/>
  <c r="J42" i="12"/>
  <c r="E42" i="12"/>
  <c r="F42" i="12"/>
  <c r="H72" i="2"/>
  <c r="J74" i="4" s="1"/>
  <c r="F72" i="2"/>
  <c r="G74" i="4" s="1"/>
  <c r="F71" i="2"/>
  <c r="G73" i="4" s="1"/>
  <c r="F68" i="2"/>
  <c r="G70" i="4" s="1"/>
  <c r="H71" i="3"/>
  <c r="H71" i="2" s="1"/>
  <c r="J73" i="4" s="1"/>
  <c r="H71" i="1"/>
  <c r="O70" i="1" l="1"/>
  <c r="O71" i="3"/>
  <c r="H73" i="4"/>
  <c r="H77" i="4" s="1"/>
  <c r="F77" i="4"/>
  <c r="G77" i="4" s="1"/>
  <c r="I73" i="4"/>
  <c r="I77" i="4" s="1"/>
  <c r="J77" i="4" s="1"/>
  <c r="O71" i="1"/>
  <c r="Q42" i="12"/>
  <c r="G42" i="12"/>
  <c r="K42" i="12"/>
  <c r="H70" i="2"/>
  <c r="J72" i="4" s="1"/>
  <c r="H69" i="2"/>
  <c r="J71" i="4" s="1"/>
  <c r="H68" i="2"/>
  <c r="J70" i="4" s="1"/>
  <c r="H67" i="2"/>
  <c r="J69" i="4" s="1"/>
  <c r="F67" i="2"/>
  <c r="G69" i="4" s="1"/>
  <c r="L69" i="1"/>
  <c r="O69" i="1" s="1"/>
  <c r="L69" i="3"/>
  <c r="B78" i="1" l="1"/>
  <c r="J68" i="2"/>
  <c r="M70" i="4" s="1"/>
  <c r="L69" i="2"/>
  <c r="P71" i="4" s="1"/>
  <c r="L68" i="2"/>
  <c r="P70" i="4" s="1"/>
  <c r="L67" i="2"/>
  <c r="P69" i="4" s="1"/>
  <c r="Q69" i="4"/>
  <c r="R69" i="4"/>
  <c r="S69" i="4"/>
  <c r="Q70" i="4"/>
  <c r="R70" i="4"/>
  <c r="S70" i="4"/>
  <c r="Q71" i="4"/>
  <c r="R71" i="4"/>
  <c r="S71" i="4"/>
  <c r="Q72" i="4"/>
  <c r="R72" i="4"/>
  <c r="S72" i="4"/>
  <c r="Q73" i="4"/>
  <c r="R73" i="4"/>
  <c r="S73" i="4"/>
  <c r="Q74" i="4"/>
  <c r="R74" i="4"/>
  <c r="S74" i="4"/>
  <c r="Q75" i="4"/>
  <c r="R75" i="4"/>
  <c r="S75" i="4"/>
  <c r="Q76" i="4"/>
  <c r="R76" i="4"/>
  <c r="S76" i="4"/>
  <c r="N72" i="4"/>
  <c r="O72" i="4"/>
  <c r="P72" i="4"/>
  <c r="N73" i="4"/>
  <c r="O73" i="4"/>
  <c r="P73" i="4"/>
  <c r="N74" i="4"/>
  <c r="O74" i="4"/>
  <c r="P74" i="4"/>
  <c r="N75" i="4"/>
  <c r="O75" i="4"/>
  <c r="P75" i="4"/>
  <c r="N76" i="4"/>
  <c r="O76" i="4"/>
  <c r="P76" i="4"/>
  <c r="K69" i="4"/>
  <c r="L69" i="4"/>
  <c r="M69" i="4"/>
  <c r="K71" i="4"/>
  <c r="L71" i="4"/>
  <c r="M71" i="4"/>
  <c r="K72" i="4"/>
  <c r="L72" i="4"/>
  <c r="M72" i="4"/>
  <c r="K73" i="4"/>
  <c r="L73" i="4"/>
  <c r="M73" i="4"/>
  <c r="K74" i="4"/>
  <c r="L74" i="4"/>
  <c r="M74" i="4"/>
  <c r="K75" i="4"/>
  <c r="L75" i="4"/>
  <c r="M75" i="4"/>
  <c r="K76" i="4"/>
  <c r="L76" i="4"/>
  <c r="M76" i="4"/>
  <c r="T74" i="4"/>
  <c r="U73" i="4"/>
  <c r="O71" i="4"/>
  <c r="N71" i="4"/>
  <c r="O70" i="4"/>
  <c r="N70" i="4"/>
  <c r="L70" i="4"/>
  <c r="K70" i="4"/>
  <c r="O69" i="4"/>
  <c r="N69" i="4"/>
  <c r="T75" i="4" l="1"/>
  <c r="U74" i="4"/>
  <c r="L77" i="4"/>
  <c r="K77" i="4"/>
  <c r="U76" i="4"/>
  <c r="U69" i="4"/>
  <c r="T70" i="4"/>
  <c r="U75" i="4"/>
  <c r="U70" i="4"/>
  <c r="T69" i="4"/>
  <c r="T76" i="4"/>
  <c r="T73" i="4"/>
  <c r="T72" i="4"/>
  <c r="T71" i="4"/>
  <c r="R37" i="12"/>
  <c r="R36" i="12"/>
  <c r="R35" i="12"/>
  <c r="R34" i="12"/>
  <c r="Q37" i="12"/>
  <c r="Q36" i="12"/>
  <c r="Q35" i="12"/>
  <c r="Q34" i="12"/>
  <c r="E38" i="12"/>
  <c r="F38" i="12"/>
  <c r="G38" i="12" s="1"/>
  <c r="I38" i="12"/>
  <c r="J38" i="12"/>
  <c r="Q38" i="12" l="1"/>
  <c r="K38" i="12"/>
  <c r="R38" i="12"/>
  <c r="M77" i="4"/>
  <c r="L65" i="2"/>
  <c r="J65" i="2"/>
  <c r="H61" i="1" l="1"/>
  <c r="F63" i="3"/>
  <c r="H61" i="3"/>
  <c r="O61" i="3" l="1"/>
  <c r="H63" i="4"/>
  <c r="H68" i="4" s="1"/>
  <c r="O63" i="3"/>
  <c r="E65" i="4"/>
  <c r="F63" i="1"/>
  <c r="I63" i="4"/>
  <c r="I68" i="4" s="1"/>
  <c r="J68" i="4" s="1"/>
  <c r="O61" i="1"/>
  <c r="L64" i="2"/>
  <c r="H65" i="2"/>
  <c r="J67" i="4" s="1"/>
  <c r="H64" i="2"/>
  <c r="J66" i="4" s="1"/>
  <c r="H63" i="2"/>
  <c r="J65" i="4" s="1"/>
  <c r="H62" i="2"/>
  <c r="J64" i="4" s="1"/>
  <c r="H61" i="2"/>
  <c r="J63" i="4" s="1"/>
  <c r="F65" i="2"/>
  <c r="G67" i="4" s="1"/>
  <c r="F64" i="2"/>
  <c r="G66" i="4" s="1"/>
  <c r="F62" i="2"/>
  <c r="G64" i="4" s="1"/>
  <c r="F61" i="2"/>
  <c r="G63" i="4" s="1"/>
  <c r="F65" i="4" l="1"/>
  <c r="O63" i="1"/>
  <c r="F58" i="2"/>
  <c r="G60" i="4" s="1"/>
  <c r="F60" i="1"/>
  <c r="F60" i="2" s="1"/>
  <c r="G62" i="4" s="1"/>
  <c r="F59" i="1"/>
  <c r="F59" i="3"/>
  <c r="F60" i="3"/>
  <c r="O60" i="3" l="1"/>
  <c r="E62" i="4"/>
  <c r="O59" i="3"/>
  <c r="E61" i="4"/>
  <c r="E68" i="4" s="1"/>
  <c r="F61" i="4"/>
  <c r="O59" i="1"/>
  <c r="F62" i="4"/>
  <c r="O60" i="1"/>
  <c r="F59" i="2"/>
  <c r="G61" i="4" s="1"/>
  <c r="H60" i="2"/>
  <c r="J62" i="4" s="1"/>
  <c r="H59" i="2"/>
  <c r="J61" i="4" s="1"/>
  <c r="H58" i="2"/>
  <c r="J60" i="4" s="1"/>
  <c r="J58" i="2"/>
  <c r="L59" i="2"/>
  <c r="L58" i="2"/>
  <c r="B65" i="2"/>
  <c r="B64" i="2"/>
  <c r="B63" i="2"/>
  <c r="B62" i="2"/>
  <c r="B61" i="2"/>
  <c r="B60" i="2"/>
  <c r="B59" i="2"/>
  <c r="B58" i="2"/>
  <c r="B65" i="3"/>
  <c r="B64" i="3"/>
  <c r="B63" i="3"/>
  <c r="B62" i="3"/>
  <c r="B61" i="3"/>
  <c r="B60" i="3"/>
  <c r="B59" i="3"/>
  <c r="B58" i="3"/>
  <c r="F68" i="4" l="1"/>
  <c r="G68" i="4" s="1"/>
  <c r="I27" i="12"/>
  <c r="J27" i="12"/>
  <c r="E27" i="12"/>
  <c r="F27" i="12"/>
  <c r="I33" i="12"/>
  <c r="J33" i="12"/>
  <c r="K33" i="12" s="1"/>
  <c r="E33" i="12"/>
  <c r="F33" i="12"/>
  <c r="R32" i="12"/>
  <c r="R31" i="12"/>
  <c r="R30" i="12"/>
  <c r="R29" i="12"/>
  <c r="R28" i="12"/>
  <c r="Q32" i="12"/>
  <c r="Q31" i="12"/>
  <c r="Q30" i="12"/>
  <c r="Q29" i="12"/>
  <c r="Q28" i="12"/>
  <c r="R26" i="12"/>
  <c r="R25" i="12"/>
  <c r="R24" i="12"/>
  <c r="Q26" i="12"/>
  <c r="Q25" i="12"/>
  <c r="Q24" i="12"/>
  <c r="S67" i="4"/>
  <c r="R67" i="4"/>
  <c r="Q67" i="4"/>
  <c r="P67" i="4"/>
  <c r="O67" i="4"/>
  <c r="N67" i="4"/>
  <c r="M67" i="4"/>
  <c r="L67" i="4"/>
  <c r="K67" i="4"/>
  <c r="T67" i="4"/>
  <c r="S66" i="4"/>
  <c r="R66" i="4"/>
  <c r="Q66" i="4"/>
  <c r="P66" i="4"/>
  <c r="O66" i="4"/>
  <c r="N66" i="4"/>
  <c r="M66" i="4"/>
  <c r="L66" i="4"/>
  <c r="K66" i="4"/>
  <c r="S65" i="4"/>
  <c r="R65" i="4"/>
  <c r="Q65" i="4"/>
  <c r="P65" i="4"/>
  <c r="O65" i="4"/>
  <c r="N65" i="4"/>
  <c r="M65" i="4"/>
  <c r="L65" i="4"/>
  <c r="K65" i="4"/>
  <c r="U65" i="4"/>
  <c r="T65" i="4"/>
  <c r="S64" i="4"/>
  <c r="R64" i="4"/>
  <c r="Q64" i="4"/>
  <c r="P64" i="4"/>
  <c r="O64" i="4"/>
  <c r="N64" i="4"/>
  <c r="M64" i="4"/>
  <c r="L64" i="4"/>
  <c r="K64" i="4"/>
  <c r="U64" i="4"/>
  <c r="T64" i="4"/>
  <c r="S63" i="4"/>
  <c r="R63" i="4"/>
  <c r="Q63" i="4"/>
  <c r="P63" i="4"/>
  <c r="O63" i="4"/>
  <c r="N63" i="4"/>
  <c r="M63" i="4"/>
  <c r="L63" i="4"/>
  <c r="K63" i="4"/>
  <c r="U63" i="4"/>
  <c r="T63" i="4"/>
  <c r="S62" i="4"/>
  <c r="R62" i="4"/>
  <c r="Q62" i="4"/>
  <c r="P62" i="4"/>
  <c r="O62" i="4"/>
  <c r="N62" i="4"/>
  <c r="M62" i="4"/>
  <c r="L62" i="4"/>
  <c r="K62" i="4"/>
  <c r="U62" i="4"/>
  <c r="T62" i="4"/>
  <c r="S61" i="4"/>
  <c r="R61" i="4"/>
  <c r="Q61" i="4"/>
  <c r="P61" i="4"/>
  <c r="O61" i="4"/>
  <c r="N61" i="4"/>
  <c r="M61" i="4"/>
  <c r="L61" i="4"/>
  <c r="K61" i="4"/>
  <c r="S60" i="4"/>
  <c r="R60" i="4"/>
  <c r="Q60" i="4"/>
  <c r="P60" i="4"/>
  <c r="O60" i="4"/>
  <c r="N60" i="4"/>
  <c r="M60" i="4"/>
  <c r="L60" i="4"/>
  <c r="K60" i="4"/>
  <c r="H56" i="2"/>
  <c r="J58" i="4" s="1"/>
  <c r="F56" i="2"/>
  <c r="G58" i="4" s="1"/>
  <c r="G27" i="12" l="1"/>
  <c r="G33" i="12"/>
  <c r="R27" i="12"/>
  <c r="R33" i="12"/>
  <c r="Q27" i="12"/>
  <c r="Q33" i="12"/>
  <c r="K27" i="12"/>
  <c r="T66" i="4"/>
  <c r="T61" i="4"/>
  <c r="U67" i="4"/>
  <c r="U66" i="4"/>
  <c r="U61" i="4"/>
  <c r="F49" i="3"/>
  <c r="F49" i="1"/>
  <c r="F55" i="3"/>
  <c r="F55" i="1"/>
  <c r="F55" i="2" s="1"/>
  <c r="G57" i="4" s="1"/>
  <c r="F54" i="2"/>
  <c r="G56" i="4" s="1"/>
  <c r="F53" i="2"/>
  <c r="G55" i="4" s="1"/>
  <c r="F52" i="2"/>
  <c r="G54" i="4" s="1"/>
  <c r="F51" i="2"/>
  <c r="G53" i="4" s="1"/>
  <c r="F50" i="2"/>
  <c r="G52" i="4" s="1"/>
  <c r="H55" i="2"/>
  <c r="J57" i="4" s="1"/>
  <c r="H54" i="2"/>
  <c r="J56" i="4" s="1"/>
  <c r="H53" i="2"/>
  <c r="J55" i="4" s="1"/>
  <c r="H52" i="2"/>
  <c r="J54" i="4" s="1"/>
  <c r="H51" i="2"/>
  <c r="J53" i="4" s="1"/>
  <c r="H50" i="2"/>
  <c r="J52" i="4" s="1"/>
  <c r="H49" i="2"/>
  <c r="J51" i="4" s="1"/>
  <c r="O55" i="3" l="1"/>
  <c r="E57" i="4"/>
  <c r="O49" i="3"/>
  <c r="E51" i="4"/>
  <c r="E59" i="4" s="1"/>
  <c r="F57" i="4"/>
  <c r="O55" i="1"/>
  <c r="F49" i="2"/>
  <c r="G51" i="4" s="1"/>
  <c r="F51" i="4"/>
  <c r="F59" i="4" s="1"/>
  <c r="G59" i="4" s="1"/>
  <c r="O49" i="1"/>
  <c r="S58" i="4"/>
  <c r="R58" i="4"/>
  <c r="Q58" i="4"/>
  <c r="O58" i="4"/>
  <c r="N58" i="4"/>
  <c r="M58" i="4"/>
  <c r="L58" i="4"/>
  <c r="K58" i="4"/>
  <c r="S57" i="4"/>
  <c r="R57" i="4"/>
  <c r="Q57" i="4"/>
  <c r="O57" i="4"/>
  <c r="N57" i="4"/>
  <c r="M57" i="4"/>
  <c r="L57" i="4"/>
  <c r="K57" i="4"/>
  <c r="S56" i="4"/>
  <c r="R56" i="4"/>
  <c r="Q56" i="4"/>
  <c r="O56" i="4"/>
  <c r="N56" i="4"/>
  <c r="M56" i="4"/>
  <c r="L56" i="4"/>
  <c r="K56" i="4"/>
  <c r="S55" i="4"/>
  <c r="R55" i="4"/>
  <c r="Q55" i="4"/>
  <c r="O55" i="4"/>
  <c r="N55" i="4"/>
  <c r="M55" i="4"/>
  <c r="L55" i="4"/>
  <c r="K55" i="4"/>
  <c r="S54" i="4"/>
  <c r="R54" i="4"/>
  <c r="Q54" i="4"/>
  <c r="O54" i="4"/>
  <c r="N54" i="4"/>
  <c r="L54" i="4"/>
  <c r="K54" i="4"/>
  <c r="S53" i="4"/>
  <c r="R53" i="4"/>
  <c r="Q53" i="4"/>
  <c r="O53" i="4"/>
  <c r="N53" i="4"/>
  <c r="L53" i="4"/>
  <c r="K53" i="4"/>
  <c r="S52" i="4"/>
  <c r="R52" i="4"/>
  <c r="Q52" i="4"/>
  <c r="O52" i="4"/>
  <c r="N52" i="4"/>
  <c r="L52" i="4"/>
  <c r="K52" i="4"/>
  <c r="S51" i="4"/>
  <c r="R51" i="4"/>
  <c r="Q51" i="4"/>
  <c r="O51" i="4"/>
  <c r="N51" i="4"/>
  <c r="L51" i="4"/>
  <c r="K51" i="4"/>
  <c r="P58" i="4"/>
  <c r="P57" i="4"/>
  <c r="P56" i="4"/>
  <c r="L53" i="2"/>
  <c r="P55" i="4" s="1"/>
  <c r="L52" i="2"/>
  <c r="P54" i="4" s="1"/>
  <c r="L51" i="2"/>
  <c r="P53" i="4" s="1"/>
  <c r="L50" i="2"/>
  <c r="P52" i="4" s="1"/>
  <c r="L49" i="2"/>
  <c r="P51" i="4" s="1"/>
  <c r="J52" i="2"/>
  <c r="M54" i="4" s="1"/>
  <c r="J51" i="2"/>
  <c r="M53" i="4" s="1"/>
  <c r="J50" i="2"/>
  <c r="M52" i="4" s="1"/>
  <c r="J49" i="2"/>
  <c r="M51" i="4" s="1"/>
  <c r="B56" i="2"/>
  <c r="B55" i="2"/>
  <c r="B54" i="2"/>
  <c r="B53" i="2"/>
  <c r="B52" i="2"/>
  <c r="B51" i="2"/>
  <c r="B50" i="2"/>
  <c r="B49" i="2"/>
  <c r="B56" i="3"/>
  <c r="B55" i="3"/>
  <c r="B54" i="3"/>
  <c r="B53" i="3"/>
  <c r="B52" i="3"/>
  <c r="B51" i="3"/>
  <c r="B50" i="3"/>
  <c r="B49" i="3"/>
  <c r="B51" i="1"/>
  <c r="T57" i="4" l="1"/>
  <c r="U57" i="4"/>
  <c r="T56" i="4"/>
  <c r="U56" i="4"/>
  <c r="T55" i="4"/>
  <c r="U55" i="4"/>
  <c r="T58" i="4"/>
  <c r="T52" i="4"/>
  <c r="U58" i="4"/>
  <c r="U53" i="4"/>
  <c r="U52" i="4"/>
  <c r="U54" i="4"/>
  <c r="T53" i="4"/>
  <c r="T54" i="4"/>
  <c r="H47" i="2"/>
  <c r="J49" i="4" s="1"/>
  <c r="F47" i="2"/>
  <c r="G49" i="4" s="1"/>
  <c r="L45" i="3"/>
  <c r="L45" i="1" s="1"/>
  <c r="F45" i="3"/>
  <c r="F43" i="1"/>
  <c r="F43" i="3"/>
  <c r="S49" i="4"/>
  <c r="R49" i="4"/>
  <c r="Q49" i="4"/>
  <c r="P49" i="4"/>
  <c r="O49" i="4"/>
  <c r="N49" i="4"/>
  <c r="M49" i="4"/>
  <c r="L49" i="4"/>
  <c r="K49" i="4"/>
  <c r="B47" i="2"/>
  <c r="B47" i="3"/>
  <c r="H44" i="1"/>
  <c r="H44" i="3"/>
  <c r="L44" i="2"/>
  <c r="L43" i="2"/>
  <c r="H46" i="2"/>
  <c r="J48" i="4" s="1"/>
  <c r="H45" i="2"/>
  <c r="J47" i="4" s="1"/>
  <c r="H43" i="2"/>
  <c r="J45" i="4" s="1"/>
  <c r="F46" i="2"/>
  <c r="G48" i="4" s="1"/>
  <c r="F44" i="2"/>
  <c r="G46" i="4" s="1"/>
  <c r="B47" i="1"/>
  <c r="B46" i="1"/>
  <c r="B45" i="1"/>
  <c r="B44" i="1"/>
  <c r="F43" i="2" l="1"/>
  <c r="G45" i="4" s="1"/>
  <c r="O43" i="3"/>
  <c r="E45" i="4"/>
  <c r="O45" i="3"/>
  <c r="E47" i="4"/>
  <c r="H44" i="2"/>
  <c r="J46" i="4" s="1"/>
  <c r="O44" i="3"/>
  <c r="H46" i="4"/>
  <c r="H50" i="4" s="1"/>
  <c r="F45" i="1"/>
  <c r="F45" i="4"/>
  <c r="O43" i="1"/>
  <c r="I46" i="4"/>
  <c r="I50" i="4" s="1"/>
  <c r="O44" i="1"/>
  <c r="F47" i="4"/>
  <c r="O45" i="1"/>
  <c r="T49" i="4"/>
  <c r="U49" i="4"/>
  <c r="S48" i="4"/>
  <c r="R48" i="4"/>
  <c r="Q48" i="4"/>
  <c r="P48" i="4"/>
  <c r="O48" i="4"/>
  <c r="N48" i="4"/>
  <c r="M48" i="4"/>
  <c r="L48" i="4"/>
  <c r="K48" i="4"/>
  <c r="S47" i="4"/>
  <c r="R47" i="4"/>
  <c r="Q47" i="4"/>
  <c r="P47" i="4"/>
  <c r="O47" i="4"/>
  <c r="N47" i="4"/>
  <c r="M47" i="4"/>
  <c r="L47" i="4"/>
  <c r="K47" i="4"/>
  <c r="S46" i="4"/>
  <c r="R46" i="4"/>
  <c r="Q46" i="4"/>
  <c r="P46" i="4"/>
  <c r="O46" i="4"/>
  <c r="N46" i="4"/>
  <c r="L46" i="4"/>
  <c r="K46" i="4"/>
  <c r="S45" i="4"/>
  <c r="R45" i="4"/>
  <c r="Q45" i="4"/>
  <c r="P45" i="4"/>
  <c r="O45" i="4"/>
  <c r="N45" i="4"/>
  <c r="M45" i="4"/>
  <c r="L45" i="4"/>
  <c r="K45" i="4"/>
  <c r="J44" i="2"/>
  <c r="M46" i="4" s="1"/>
  <c r="B46" i="2"/>
  <c r="B45" i="2"/>
  <c r="B44" i="2"/>
  <c r="B43" i="2"/>
  <c r="B46" i="3"/>
  <c r="B45" i="3"/>
  <c r="B44" i="3"/>
  <c r="B43" i="3"/>
  <c r="J50" i="4" l="1"/>
  <c r="E50" i="4"/>
  <c r="F50" i="4"/>
  <c r="G50" i="4" s="1"/>
  <c r="K50" i="4"/>
  <c r="N50" i="4"/>
  <c r="L50" i="4"/>
  <c r="O50" i="4"/>
  <c r="T48" i="4"/>
  <c r="U45" i="4"/>
  <c r="T47" i="4"/>
  <c r="U46" i="4"/>
  <c r="T45" i="4"/>
  <c r="T46" i="4"/>
  <c r="U48" i="4"/>
  <c r="U47" i="4"/>
  <c r="H39" i="2"/>
  <c r="J41" i="4" s="1"/>
  <c r="F39" i="2"/>
  <c r="G41" i="4" s="1"/>
  <c r="H38" i="2"/>
  <c r="J40" i="4" s="1"/>
  <c r="F38" i="2"/>
  <c r="G40" i="4" s="1"/>
  <c r="F37" i="2"/>
  <c r="G39" i="4" s="1"/>
  <c r="H36" i="2"/>
  <c r="J38" i="4" s="1"/>
  <c r="F36" i="2"/>
  <c r="G38" i="4" s="1"/>
  <c r="H35" i="2"/>
  <c r="J37" i="4" s="1"/>
  <c r="F35" i="2"/>
  <c r="G37" i="4" s="1"/>
  <c r="H34" i="2"/>
  <c r="J36" i="4" s="1"/>
  <c r="F34" i="2"/>
  <c r="G36" i="4" s="1"/>
  <c r="H37" i="1"/>
  <c r="H37" i="3"/>
  <c r="O37" i="3" l="1"/>
  <c r="H39" i="4"/>
  <c r="H44" i="4" s="1"/>
  <c r="H37" i="2"/>
  <c r="J39" i="4" s="1"/>
  <c r="I39" i="4"/>
  <c r="I44" i="4" s="1"/>
  <c r="J44" i="4" s="1"/>
  <c r="O37" i="1"/>
  <c r="I23" i="12"/>
  <c r="J23" i="12"/>
  <c r="E23" i="12"/>
  <c r="F23" i="12"/>
  <c r="R22" i="12"/>
  <c r="R21" i="12"/>
  <c r="R20" i="12"/>
  <c r="Q22" i="12"/>
  <c r="Q21" i="12"/>
  <c r="Q20" i="12"/>
  <c r="J37" i="2"/>
  <c r="M39" i="4" s="1"/>
  <c r="L38" i="2"/>
  <c r="P40" i="4" s="1"/>
  <c r="L37" i="2"/>
  <c r="L36" i="2"/>
  <c r="P38" i="4" s="1"/>
  <c r="S43" i="4"/>
  <c r="R43" i="4"/>
  <c r="Q43" i="4"/>
  <c r="P43" i="4"/>
  <c r="O43" i="4"/>
  <c r="N43" i="4"/>
  <c r="M43" i="4"/>
  <c r="L43" i="4"/>
  <c r="K43" i="4"/>
  <c r="S42" i="4"/>
  <c r="R42" i="4"/>
  <c r="Q42" i="4"/>
  <c r="P42" i="4"/>
  <c r="O42" i="4"/>
  <c r="N42" i="4"/>
  <c r="M42" i="4"/>
  <c r="L42" i="4"/>
  <c r="K42" i="4"/>
  <c r="S41" i="4"/>
  <c r="R41" i="4"/>
  <c r="Q41" i="4"/>
  <c r="P41" i="4"/>
  <c r="O41" i="4"/>
  <c r="N41" i="4"/>
  <c r="M41" i="4"/>
  <c r="L41" i="4"/>
  <c r="K41" i="4"/>
  <c r="S40" i="4"/>
  <c r="R40" i="4"/>
  <c r="Q40" i="4"/>
  <c r="O40" i="4"/>
  <c r="N40" i="4"/>
  <c r="M40" i="4"/>
  <c r="L40" i="4"/>
  <c r="K40" i="4"/>
  <c r="S39" i="4"/>
  <c r="R39" i="4"/>
  <c r="Q39" i="4"/>
  <c r="P39" i="4"/>
  <c r="O39" i="4"/>
  <c r="N39" i="4"/>
  <c r="L39" i="4"/>
  <c r="K39" i="4"/>
  <c r="S38" i="4"/>
  <c r="R38" i="4"/>
  <c r="Q38" i="4"/>
  <c r="O38" i="4"/>
  <c r="N38" i="4"/>
  <c r="M38" i="4"/>
  <c r="L38" i="4"/>
  <c r="K38" i="4"/>
  <c r="S37" i="4"/>
  <c r="R37" i="4"/>
  <c r="Q37" i="4"/>
  <c r="P37" i="4"/>
  <c r="O37" i="4"/>
  <c r="N37" i="4"/>
  <c r="M37" i="4"/>
  <c r="L37" i="4"/>
  <c r="K37" i="4"/>
  <c r="S36" i="4"/>
  <c r="R36" i="4"/>
  <c r="Q36" i="4"/>
  <c r="P36" i="4"/>
  <c r="O36" i="4"/>
  <c r="N36" i="4"/>
  <c r="M36" i="4"/>
  <c r="L36" i="4"/>
  <c r="K36" i="4"/>
  <c r="B41" i="2"/>
  <c r="B40" i="2"/>
  <c r="B39" i="2"/>
  <c r="B38" i="2"/>
  <c r="B37" i="2"/>
  <c r="B36" i="2"/>
  <c r="B35" i="2"/>
  <c r="B34" i="2"/>
  <c r="B41" i="3"/>
  <c r="B40" i="3"/>
  <c r="B39" i="3"/>
  <c r="B38" i="3"/>
  <c r="B37" i="3"/>
  <c r="B36" i="3"/>
  <c r="B35" i="3"/>
  <c r="B34" i="3"/>
  <c r="B34" i="1"/>
  <c r="G23" i="12" l="1"/>
  <c r="Q23" i="12"/>
  <c r="K23" i="12"/>
  <c r="R23" i="12"/>
  <c r="U38" i="4"/>
  <c r="T43" i="4"/>
  <c r="T36" i="4"/>
  <c r="T39" i="4"/>
  <c r="U39" i="4"/>
  <c r="T38" i="4"/>
  <c r="T41" i="4"/>
  <c r="T37" i="4"/>
  <c r="U40" i="4"/>
  <c r="T42" i="4"/>
  <c r="T40" i="4"/>
  <c r="U43" i="4"/>
  <c r="U42" i="4"/>
  <c r="U41" i="4"/>
  <c r="U37" i="4"/>
  <c r="U36" i="4"/>
  <c r="J19" i="12"/>
  <c r="I19" i="12"/>
  <c r="F19" i="12"/>
  <c r="E19" i="12"/>
  <c r="R18" i="12"/>
  <c r="Q18" i="12"/>
  <c r="R17" i="12"/>
  <c r="Q17" i="12"/>
  <c r="R16" i="12"/>
  <c r="Q16" i="12"/>
  <c r="Q19" i="12" l="1"/>
  <c r="G19" i="12"/>
  <c r="R19" i="12"/>
  <c r="K19" i="12"/>
  <c r="H32" i="2"/>
  <c r="J34" i="4" s="1"/>
  <c r="H31" i="2"/>
  <c r="J33" i="4" s="1"/>
  <c r="H30" i="2"/>
  <c r="J32" i="4" s="1"/>
  <c r="H29" i="2"/>
  <c r="J31" i="4" s="1"/>
  <c r="H28" i="2"/>
  <c r="J30" i="4" s="1"/>
  <c r="H27" i="2"/>
  <c r="J29" i="4" s="1"/>
  <c r="H26" i="2"/>
  <c r="J28" i="4" s="1"/>
  <c r="F31" i="2"/>
  <c r="G33" i="4" s="1"/>
  <c r="F30" i="2"/>
  <c r="G32" i="4" s="1"/>
  <c r="F29" i="2"/>
  <c r="G31" i="4" s="1"/>
  <c r="F27" i="2"/>
  <c r="G29" i="4" s="1"/>
  <c r="F26" i="2"/>
  <c r="G28" i="4" s="1"/>
  <c r="F32" i="3"/>
  <c r="F28" i="3"/>
  <c r="F32" i="1"/>
  <c r="F28" i="1"/>
  <c r="F28" i="2" s="1"/>
  <c r="G30" i="4" s="1"/>
  <c r="E30" i="4" l="1"/>
  <c r="O28" i="3"/>
  <c r="E34" i="4"/>
  <c r="O32" i="3"/>
  <c r="F30" i="4"/>
  <c r="O28" i="1"/>
  <c r="F32" i="2"/>
  <c r="G34" i="4" s="1"/>
  <c r="F34" i="4"/>
  <c r="O32" i="1"/>
  <c r="J28" i="2"/>
  <c r="L29" i="2"/>
  <c r="L28" i="2"/>
  <c r="L27" i="2"/>
  <c r="E35" i="4" l="1"/>
  <c r="F35" i="4"/>
  <c r="G35" i="4" s="1"/>
  <c r="B32" i="2"/>
  <c r="B31" i="2"/>
  <c r="B30" i="2"/>
  <c r="B29" i="2"/>
  <c r="B28" i="2"/>
  <c r="B27" i="2"/>
  <c r="B26" i="2"/>
  <c r="B32" i="3"/>
  <c r="B31" i="3"/>
  <c r="B30" i="3"/>
  <c r="B29" i="3"/>
  <c r="B28" i="3"/>
  <c r="B27" i="3"/>
  <c r="B26" i="3"/>
  <c r="B32" i="1"/>
  <c r="B35" i="1"/>
  <c r="B36" i="1"/>
  <c r="B37" i="1"/>
  <c r="B38" i="1"/>
  <c r="B39" i="1"/>
  <c r="B27" i="1"/>
  <c r="B28" i="1"/>
  <c r="B29" i="1"/>
  <c r="B30" i="1"/>
  <c r="B31" i="1"/>
  <c r="R14" i="12" l="1"/>
  <c r="Q14" i="12"/>
  <c r="R13" i="12"/>
  <c r="Q13" i="12"/>
  <c r="R12" i="12"/>
  <c r="Q12" i="12"/>
  <c r="I15" i="12"/>
  <c r="J15" i="12"/>
  <c r="K15" i="12" s="1"/>
  <c r="E15" i="12"/>
  <c r="F15" i="12"/>
  <c r="G15" i="12" s="1"/>
  <c r="R10" i="12"/>
  <c r="R9" i="12"/>
  <c r="R8" i="12"/>
  <c r="Q10" i="12"/>
  <c r="Q9" i="12"/>
  <c r="Q8" i="12"/>
  <c r="I11" i="12"/>
  <c r="J11" i="12"/>
  <c r="E11" i="12"/>
  <c r="F11" i="12"/>
  <c r="K11" i="12" l="1"/>
  <c r="R11" i="12"/>
  <c r="G11" i="12"/>
  <c r="Q15" i="12"/>
  <c r="R15" i="12"/>
  <c r="Q11" i="12"/>
  <c r="S34" i="4"/>
  <c r="R34" i="4"/>
  <c r="Q34" i="4"/>
  <c r="P34" i="4"/>
  <c r="O34" i="4"/>
  <c r="N34" i="4"/>
  <c r="M34" i="4"/>
  <c r="L34" i="4"/>
  <c r="K34" i="4"/>
  <c r="S33" i="4"/>
  <c r="R33" i="4"/>
  <c r="Q33" i="4"/>
  <c r="P33" i="4"/>
  <c r="O33" i="4"/>
  <c r="N33" i="4"/>
  <c r="M33" i="4"/>
  <c r="L33" i="4"/>
  <c r="K33" i="4"/>
  <c r="S32" i="4"/>
  <c r="R32" i="4"/>
  <c r="Q32" i="4"/>
  <c r="P32" i="4"/>
  <c r="O32" i="4"/>
  <c r="N32" i="4"/>
  <c r="M32" i="4"/>
  <c r="L32" i="4"/>
  <c r="K32" i="4"/>
  <c r="S31" i="4"/>
  <c r="R31" i="4"/>
  <c r="Q31" i="4"/>
  <c r="P31" i="4"/>
  <c r="O31" i="4"/>
  <c r="N31" i="4"/>
  <c r="M31" i="4"/>
  <c r="L31" i="4"/>
  <c r="K31" i="4"/>
  <c r="S30" i="4"/>
  <c r="R30" i="4"/>
  <c r="Q30" i="4"/>
  <c r="P30" i="4"/>
  <c r="O30" i="4"/>
  <c r="N30" i="4"/>
  <c r="M30" i="4"/>
  <c r="L30" i="4"/>
  <c r="K30" i="4"/>
  <c r="S29" i="4"/>
  <c r="R29" i="4"/>
  <c r="Q29" i="4"/>
  <c r="P29" i="4"/>
  <c r="O29" i="4"/>
  <c r="N29" i="4"/>
  <c r="M29" i="4"/>
  <c r="L29" i="4"/>
  <c r="K29" i="4"/>
  <c r="S28" i="4"/>
  <c r="R28" i="4"/>
  <c r="Q28" i="4"/>
  <c r="P28" i="4"/>
  <c r="O28" i="4"/>
  <c r="N28" i="4"/>
  <c r="M28" i="4"/>
  <c r="L28" i="4"/>
  <c r="K28" i="4"/>
  <c r="H23" i="1"/>
  <c r="I25" i="4" s="1"/>
  <c r="I27" i="4" s="1"/>
  <c r="J27" i="4" s="1"/>
  <c r="F22" i="1"/>
  <c r="F23" i="1"/>
  <c r="F24" i="3"/>
  <c r="F22" i="3"/>
  <c r="F21" i="3"/>
  <c r="F24" i="1"/>
  <c r="F21" i="1"/>
  <c r="E24" i="4" l="1"/>
  <c r="O22" i="3"/>
  <c r="E23" i="4"/>
  <c r="O21" i="3"/>
  <c r="E26" i="4"/>
  <c r="O24" i="3"/>
  <c r="F24" i="4"/>
  <c r="O22" i="1"/>
  <c r="F23" i="4"/>
  <c r="O21" i="1"/>
  <c r="F25" i="4"/>
  <c r="O23" i="1"/>
  <c r="F26" i="4"/>
  <c r="O24" i="1"/>
  <c r="U34" i="4"/>
  <c r="T32" i="4"/>
  <c r="T31" i="4"/>
  <c r="U32" i="4"/>
  <c r="U28" i="4"/>
  <c r="T30" i="4"/>
  <c r="T33" i="4"/>
  <c r="U33" i="4"/>
  <c r="U30" i="4"/>
  <c r="T34" i="4"/>
  <c r="U31" i="4"/>
  <c r="U29" i="4"/>
  <c r="T28" i="4"/>
  <c r="T29" i="4"/>
  <c r="L22" i="2"/>
  <c r="L21" i="2"/>
  <c r="L20" i="2"/>
  <c r="J21" i="2"/>
  <c r="H24" i="2"/>
  <c r="J26" i="4" s="1"/>
  <c r="H22" i="2"/>
  <c r="J24" i="4" s="1"/>
  <c r="H21" i="2"/>
  <c r="J23" i="4" s="1"/>
  <c r="H20" i="2"/>
  <c r="J22" i="4" s="1"/>
  <c r="H19" i="2"/>
  <c r="J21" i="4" s="1"/>
  <c r="F24" i="2"/>
  <c r="G26" i="4" s="1"/>
  <c r="F23" i="2"/>
  <c r="G25" i="4" s="1"/>
  <c r="F21" i="2"/>
  <c r="G23" i="4" s="1"/>
  <c r="F20" i="2"/>
  <c r="G22" i="4" s="1"/>
  <c r="F19" i="2"/>
  <c r="G21" i="4" s="1"/>
  <c r="F18" i="2"/>
  <c r="G20" i="4" s="1"/>
  <c r="E27" i="4" l="1"/>
  <c r="F27" i="4"/>
  <c r="G27" i="4" s="1"/>
  <c r="H18" i="2"/>
  <c r="J20" i="4" s="1"/>
  <c r="H17" i="2" l="1"/>
  <c r="J19" i="4" s="1"/>
  <c r="F17" i="2"/>
  <c r="G19" i="4" s="1"/>
  <c r="S26" i="4" l="1"/>
  <c r="R26" i="4"/>
  <c r="Q26" i="4"/>
  <c r="P26" i="4"/>
  <c r="O26" i="4"/>
  <c r="N26" i="4"/>
  <c r="M26" i="4"/>
  <c r="L26" i="4"/>
  <c r="K26" i="4"/>
  <c r="S25" i="4"/>
  <c r="R25" i="4"/>
  <c r="Q25" i="4"/>
  <c r="P25" i="4"/>
  <c r="O25" i="4"/>
  <c r="N25" i="4"/>
  <c r="M25" i="4"/>
  <c r="L25" i="4"/>
  <c r="K25" i="4"/>
  <c r="S24" i="4"/>
  <c r="R24" i="4"/>
  <c r="Q24" i="4"/>
  <c r="P24" i="4"/>
  <c r="O24" i="4"/>
  <c r="N24" i="4"/>
  <c r="M24" i="4"/>
  <c r="L24" i="4"/>
  <c r="K24" i="4"/>
  <c r="S23" i="4"/>
  <c r="R23" i="4"/>
  <c r="Q23" i="4"/>
  <c r="P23" i="4"/>
  <c r="O23" i="4"/>
  <c r="N23" i="4"/>
  <c r="M23" i="4"/>
  <c r="L23" i="4"/>
  <c r="K23" i="4"/>
  <c r="S22" i="4"/>
  <c r="R22" i="4"/>
  <c r="Q22" i="4"/>
  <c r="P22" i="4"/>
  <c r="O22" i="4"/>
  <c r="N22" i="4"/>
  <c r="M22" i="4"/>
  <c r="L22" i="4"/>
  <c r="K22" i="4"/>
  <c r="B24" i="2"/>
  <c r="B23" i="2"/>
  <c r="B22" i="2"/>
  <c r="B21" i="2"/>
  <c r="B20" i="2"/>
  <c r="B19" i="2"/>
  <c r="B18" i="2"/>
  <c r="B17" i="2"/>
  <c r="B24" i="3"/>
  <c r="B23" i="3"/>
  <c r="B22" i="3"/>
  <c r="B21" i="3"/>
  <c r="B20" i="3"/>
  <c r="B19" i="3"/>
  <c r="B18" i="3"/>
  <c r="B17" i="3"/>
  <c r="B24" i="1"/>
  <c r="B17" i="1"/>
  <c r="T25" i="4" l="1"/>
  <c r="U26" i="4"/>
  <c r="U25" i="4"/>
  <c r="T26" i="4"/>
  <c r="T24" i="4"/>
  <c r="T23" i="4"/>
  <c r="U22" i="4"/>
  <c r="U23" i="4"/>
  <c r="B14" i="6"/>
  <c r="F14" i="3" l="1"/>
  <c r="E16" i="4" s="1"/>
  <c r="F14" i="1"/>
  <c r="F16" i="4" s="1"/>
  <c r="H15" i="1"/>
  <c r="I17" i="4" s="1"/>
  <c r="H15" i="3"/>
  <c r="H17" i="4" s="1"/>
  <c r="F12" i="1"/>
  <c r="F14" i="4" s="1"/>
  <c r="F18" i="4" s="1"/>
  <c r="F12" i="3"/>
  <c r="E14" i="4" s="1"/>
  <c r="E18" i="4" s="1"/>
  <c r="H12" i="3"/>
  <c r="H14" i="4" s="1"/>
  <c r="H18" i="4" s="1"/>
  <c r="H12" i="1"/>
  <c r="I14" i="4" s="1"/>
  <c r="I18" i="4" s="1"/>
  <c r="J18" i="4" s="1"/>
  <c r="L12" i="1"/>
  <c r="L12" i="3"/>
  <c r="G18" i="4" l="1"/>
  <c r="R6" i="12"/>
  <c r="R5" i="12"/>
  <c r="R4" i="12"/>
  <c r="Q6" i="12"/>
  <c r="Q5" i="12"/>
  <c r="Q4" i="12"/>
  <c r="C6" i="12"/>
  <c r="B6" i="12"/>
  <c r="B5" i="12"/>
  <c r="B4" i="12"/>
  <c r="O15" i="3"/>
  <c r="O14" i="3"/>
  <c r="O13" i="3"/>
  <c r="O12" i="3"/>
  <c r="O11" i="3"/>
  <c r="O10" i="3"/>
  <c r="O9" i="3"/>
  <c r="J12" i="2"/>
  <c r="M14" i="4" s="1"/>
  <c r="L13" i="2"/>
  <c r="P15" i="4" s="1"/>
  <c r="L12" i="2"/>
  <c r="P14" i="4" s="1"/>
  <c r="L11" i="2"/>
  <c r="P13" i="4" s="1"/>
  <c r="H15" i="2"/>
  <c r="J17" i="4" s="1"/>
  <c r="F15" i="2"/>
  <c r="G17" i="4" s="1"/>
  <c r="H14" i="2"/>
  <c r="J16" i="4" s="1"/>
  <c r="F14" i="2"/>
  <c r="G16" i="4" s="1"/>
  <c r="H13" i="2"/>
  <c r="J15" i="4" s="1"/>
  <c r="F13" i="2"/>
  <c r="G15" i="4" s="1"/>
  <c r="H12" i="2"/>
  <c r="J14" i="4" s="1"/>
  <c r="F12" i="2"/>
  <c r="G14" i="4" s="1"/>
  <c r="H11" i="2"/>
  <c r="J13" i="4" s="1"/>
  <c r="F11" i="2"/>
  <c r="G13" i="4" s="1"/>
  <c r="H10" i="2"/>
  <c r="J12" i="4" s="1"/>
  <c r="F10" i="2"/>
  <c r="G12" i="4" s="1"/>
  <c r="H9" i="2"/>
  <c r="J11" i="4" s="1"/>
  <c r="F9" i="2"/>
  <c r="G11" i="4" s="1"/>
  <c r="S17" i="4"/>
  <c r="R17" i="4"/>
  <c r="Q17" i="4"/>
  <c r="P17" i="4"/>
  <c r="O17" i="4"/>
  <c r="N17" i="4"/>
  <c r="M17" i="4"/>
  <c r="L17" i="4"/>
  <c r="K17" i="4"/>
  <c r="S16" i="4"/>
  <c r="R16" i="4"/>
  <c r="Q16" i="4"/>
  <c r="P16" i="4"/>
  <c r="O16" i="4"/>
  <c r="N16" i="4"/>
  <c r="M16" i="4"/>
  <c r="L16" i="4"/>
  <c r="K16" i="4"/>
  <c r="S15" i="4"/>
  <c r="R15" i="4"/>
  <c r="Q15" i="4"/>
  <c r="O15" i="4"/>
  <c r="N15" i="4"/>
  <c r="M15" i="4"/>
  <c r="L15" i="4"/>
  <c r="K15" i="4"/>
  <c r="S14" i="4"/>
  <c r="R14" i="4"/>
  <c r="Q14" i="4"/>
  <c r="O14" i="4"/>
  <c r="N14" i="4"/>
  <c r="L14" i="4"/>
  <c r="K14" i="4"/>
  <c r="S13" i="4"/>
  <c r="R13" i="4"/>
  <c r="Q13" i="4"/>
  <c r="O13" i="4"/>
  <c r="N13" i="4"/>
  <c r="M13" i="4"/>
  <c r="L13" i="4"/>
  <c r="K13" i="4"/>
  <c r="S12" i="4"/>
  <c r="R12" i="4"/>
  <c r="Q12" i="4"/>
  <c r="P12" i="4"/>
  <c r="O12" i="4"/>
  <c r="N12" i="4"/>
  <c r="M12" i="4"/>
  <c r="L12" i="4"/>
  <c r="K12" i="4"/>
  <c r="S11" i="4"/>
  <c r="R11" i="4"/>
  <c r="Q11" i="4"/>
  <c r="P11" i="4"/>
  <c r="O11" i="4"/>
  <c r="N11" i="4"/>
  <c r="M11" i="4"/>
  <c r="L11" i="4"/>
  <c r="K11" i="4"/>
  <c r="B15" i="2"/>
  <c r="B14" i="2"/>
  <c r="B13" i="2"/>
  <c r="B12" i="2"/>
  <c r="B11" i="2"/>
  <c r="B10" i="2"/>
  <c r="B9" i="2"/>
  <c r="B15" i="3"/>
  <c r="B14" i="3"/>
  <c r="B13" i="3"/>
  <c r="B12" i="3"/>
  <c r="B11" i="3"/>
  <c r="B10" i="3"/>
  <c r="B9" i="3"/>
  <c r="O15" i="1"/>
  <c r="O14" i="1"/>
  <c r="O13" i="1"/>
  <c r="O12" i="1"/>
  <c r="O11" i="1"/>
  <c r="O10" i="1"/>
  <c r="O9" i="1"/>
  <c r="B15" i="1"/>
  <c r="B10" i="1"/>
  <c r="B9" i="1"/>
  <c r="R7" i="12" l="1"/>
  <c r="R78" i="12" s="1"/>
  <c r="U13" i="4"/>
  <c r="Q7" i="12"/>
  <c r="Q78" i="12" s="1"/>
  <c r="T12" i="4"/>
  <c r="T17" i="4"/>
  <c r="U12" i="4"/>
  <c r="T11" i="4"/>
  <c r="O18" i="4"/>
  <c r="K18" i="4"/>
  <c r="U15" i="4"/>
  <c r="U14" i="4"/>
  <c r="L18" i="4"/>
  <c r="T15" i="4"/>
  <c r="U17" i="4"/>
  <c r="N18" i="4"/>
  <c r="T14" i="4"/>
  <c r="T16" i="4"/>
  <c r="U16" i="4"/>
  <c r="T13" i="4"/>
  <c r="U11" i="4"/>
  <c r="F7" i="3"/>
  <c r="F7" i="1"/>
  <c r="E9" i="4" l="1"/>
  <c r="E10" i="4" s="1"/>
  <c r="F83" i="3"/>
  <c r="F81" i="3"/>
  <c r="F9" i="4"/>
  <c r="F10" i="4" s="1"/>
  <c r="F81" i="1"/>
  <c r="T18" i="4"/>
  <c r="U18" i="4"/>
  <c r="L7" i="2"/>
  <c r="L6" i="2"/>
  <c r="L5" i="2"/>
  <c r="J6" i="2"/>
  <c r="H7" i="1"/>
  <c r="I9" i="4" s="1"/>
  <c r="I10" i="4" s="1"/>
  <c r="I129" i="4" s="1"/>
  <c r="H7" i="3"/>
  <c r="H9" i="4" s="1"/>
  <c r="H10" i="4" s="1"/>
  <c r="H129" i="4" s="1"/>
  <c r="H131" i="4" s="1"/>
  <c r="O81" i="3" l="1"/>
  <c r="E83" i="4"/>
  <c r="O83" i="3"/>
  <c r="E85" i="4"/>
  <c r="T85" i="4" s="1"/>
  <c r="F83" i="1"/>
  <c r="F83" i="4"/>
  <c r="O81" i="1"/>
  <c r="F81" i="2"/>
  <c r="G83" i="4" s="1"/>
  <c r="J10" i="4"/>
  <c r="J129" i="4"/>
  <c r="O7" i="1"/>
  <c r="G10" i="4"/>
  <c r="B20" i="1"/>
  <c r="B21" i="1"/>
  <c r="B22" i="1"/>
  <c r="B23" i="1"/>
  <c r="B18" i="1"/>
  <c r="B9" i="4"/>
  <c r="B8" i="4"/>
  <c r="B7" i="4"/>
  <c r="B6" i="4"/>
  <c r="B5" i="4"/>
  <c r="B4" i="4"/>
  <c r="O83" i="1" l="1"/>
  <c r="F85" i="4"/>
  <c r="U85" i="4" s="1"/>
  <c r="T83" i="4"/>
  <c r="T86" i="4" s="1"/>
  <c r="E86" i="4"/>
  <c r="E129" i="4" s="1"/>
  <c r="E131" i="4" s="1"/>
  <c r="U83" i="4"/>
  <c r="U86" i="4" s="1"/>
  <c r="F86" i="4"/>
  <c r="F129" i="4" s="1"/>
  <c r="S9" i="4"/>
  <c r="R9" i="4"/>
  <c r="Q9" i="4"/>
  <c r="P9" i="4"/>
  <c r="O9" i="4"/>
  <c r="N9" i="4"/>
  <c r="M9" i="4"/>
  <c r="L9" i="4"/>
  <c r="K9" i="4"/>
  <c r="S8" i="4"/>
  <c r="R8" i="4"/>
  <c r="Q8" i="4"/>
  <c r="P8" i="4"/>
  <c r="O8" i="4"/>
  <c r="N8" i="4"/>
  <c r="M8" i="4"/>
  <c r="L8" i="4"/>
  <c r="K8" i="4"/>
  <c r="S7" i="4"/>
  <c r="R7" i="4"/>
  <c r="Q7" i="4"/>
  <c r="P7" i="4"/>
  <c r="O7" i="4"/>
  <c r="N7" i="4"/>
  <c r="M7" i="4"/>
  <c r="L7" i="4"/>
  <c r="K7" i="4"/>
  <c r="H7" i="2"/>
  <c r="J9" i="4" s="1"/>
  <c r="F7" i="2"/>
  <c r="G9" i="4" s="1"/>
  <c r="O7" i="3"/>
  <c r="O6" i="3"/>
  <c r="O5" i="3"/>
  <c r="O4" i="3"/>
  <c r="O3" i="3"/>
  <c r="O2" i="3"/>
  <c r="O4" i="1"/>
  <c r="O3" i="1"/>
  <c r="P69" i="1" s="1"/>
  <c r="C7" i="2"/>
  <c r="B7" i="2"/>
  <c r="B6" i="2"/>
  <c r="B5" i="2"/>
  <c r="B4" i="2"/>
  <c r="B3" i="2"/>
  <c r="B2" i="2"/>
  <c r="C7" i="3"/>
  <c r="B7" i="3"/>
  <c r="B6" i="3"/>
  <c r="B5" i="3"/>
  <c r="B4" i="3"/>
  <c r="B3" i="3"/>
  <c r="B2" i="3"/>
  <c r="C7" i="1"/>
  <c r="B7" i="1"/>
  <c r="G86" i="4" l="1"/>
  <c r="G129" i="4"/>
  <c r="U9" i="4"/>
  <c r="T8" i="4"/>
  <c r="U7" i="4"/>
  <c r="U8" i="4"/>
  <c r="N10" i="4"/>
  <c r="O10" i="4"/>
  <c r="K10" i="4"/>
  <c r="T7" i="4"/>
  <c r="L10" i="4"/>
  <c r="T9" i="4"/>
  <c r="E100" i="9"/>
  <c r="E100" i="8"/>
  <c r="D100" i="8"/>
  <c r="D100" i="9"/>
  <c r="B9" i="6"/>
  <c r="F6" i="2"/>
  <c r="G8" i="4" s="1"/>
  <c r="F5" i="2"/>
  <c r="G7" i="4" s="1"/>
  <c r="F4" i="2"/>
  <c r="G6" i="4" s="1"/>
  <c r="F3" i="2"/>
  <c r="G5" i="4" s="1"/>
  <c r="F2" i="2"/>
  <c r="G4" i="4" s="1"/>
  <c r="M10" i="4" l="1"/>
  <c r="P10" i="4"/>
  <c r="L128" i="1"/>
  <c r="L132" i="1" s="1"/>
  <c r="B127" i="1" l="1"/>
  <c r="C6" i="6" l="1"/>
  <c r="B116" i="3" l="1"/>
  <c r="B107" i="3"/>
  <c r="B99" i="3" l="1"/>
  <c r="B126" i="1" l="1"/>
  <c r="B125" i="1"/>
  <c r="B124" i="1"/>
  <c r="B123" i="1"/>
  <c r="B122" i="1"/>
  <c r="B120" i="1"/>
  <c r="B118" i="1"/>
  <c r="B117" i="1"/>
  <c r="B116" i="1"/>
  <c r="B115" i="1"/>
  <c r="B114" i="1"/>
  <c r="B113" i="1"/>
  <c r="B111" i="1"/>
  <c r="B110" i="1"/>
  <c r="B109" i="1"/>
  <c r="B108" i="1"/>
  <c r="B107" i="1"/>
  <c r="B106" i="1"/>
  <c r="B105" i="1"/>
  <c r="B104" i="1"/>
  <c r="B102" i="1"/>
  <c r="B101" i="1"/>
  <c r="B100" i="1"/>
  <c r="B80" i="1" l="1"/>
  <c r="B81" i="1"/>
  <c r="B82" i="1"/>
  <c r="B83" i="1"/>
  <c r="N77" i="4" l="1"/>
  <c r="O77" i="4"/>
  <c r="T77" i="4" l="1"/>
  <c r="B66" i="3" l="1"/>
  <c r="B65" i="1"/>
  <c r="B76" i="1"/>
  <c r="B77" i="1"/>
  <c r="B79" i="1"/>
  <c r="R129" i="4" l="1"/>
  <c r="Q129" i="4"/>
  <c r="B57" i="3"/>
  <c r="B64" i="1"/>
  <c r="B63" i="1"/>
  <c r="B62" i="1"/>
  <c r="B61" i="1"/>
  <c r="B60" i="1"/>
  <c r="B59" i="1"/>
  <c r="B58" i="1"/>
  <c r="B56" i="1"/>
  <c r="B55" i="1"/>
  <c r="B54" i="1"/>
  <c r="B53" i="1"/>
  <c r="B52" i="1"/>
  <c r="L59" i="4" l="1"/>
  <c r="L68" i="4"/>
  <c r="K68" i="4"/>
  <c r="O68" i="4"/>
  <c r="N68" i="4"/>
  <c r="U60" i="4"/>
  <c r="T51" i="4"/>
  <c r="K59" i="4"/>
  <c r="U51" i="4"/>
  <c r="T60" i="4"/>
  <c r="P77" i="4"/>
  <c r="N59" i="4"/>
  <c r="O59" i="4"/>
  <c r="P68" i="4" l="1"/>
  <c r="M59" i="4"/>
  <c r="M68" i="4"/>
  <c r="T59" i="4"/>
  <c r="U59" i="4"/>
  <c r="T68" i="4"/>
  <c r="U68" i="4"/>
  <c r="P59" i="4"/>
  <c r="B50" i="1"/>
  <c r="B49" i="1"/>
  <c r="B43" i="1"/>
  <c r="B41" i="1" l="1"/>
  <c r="B40" i="1"/>
  <c r="M50" i="4" l="1"/>
  <c r="P50" i="4"/>
  <c r="L44" i="4"/>
  <c r="T50" i="4"/>
  <c r="U50" i="4"/>
  <c r="K44" i="4"/>
  <c r="N44" i="4"/>
  <c r="O44" i="4"/>
  <c r="T44" i="4" l="1"/>
  <c r="M44" i="4"/>
  <c r="P44" i="4"/>
  <c r="U44" i="4"/>
  <c r="N78" i="12"/>
  <c r="N80" i="12" s="1"/>
  <c r="M78" i="12"/>
  <c r="M80" i="12" s="1"/>
  <c r="I7" i="12" l="1"/>
  <c r="I78" i="12" s="1"/>
  <c r="J7" i="12"/>
  <c r="J78" i="12" s="1"/>
  <c r="E7" i="12"/>
  <c r="E78" i="12" s="1"/>
  <c r="F7" i="12"/>
  <c r="F78" i="12" s="1"/>
  <c r="K7" i="12" l="1"/>
  <c r="G7" i="12"/>
  <c r="B26" i="1" l="1"/>
  <c r="K35" i="4" l="1"/>
  <c r="O35" i="4"/>
  <c r="L35" i="4"/>
  <c r="N35" i="4"/>
  <c r="S21" i="4"/>
  <c r="R21" i="4"/>
  <c r="Q21" i="4"/>
  <c r="O21" i="4"/>
  <c r="N21" i="4"/>
  <c r="L21" i="4"/>
  <c r="K21" i="4"/>
  <c r="S20" i="4"/>
  <c r="R20" i="4"/>
  <c r="Q20" i="4"/>
  <c r="O20" i="4"/>
  <c r="N20" i="4"/>
  <c r="L20" i="4"/>
  <c r="K20" i="4"/>
  <c r="S19" i="4"/>
  <c r="R19" i="4"/>
  <c r="Q19" i="4"/>
  <c r="P19" i="4"/>
  <c r="O19" i="4"/>
  <c r="N19" i="4"/>
  <c r="M19" i="4"/>
  <c r="L19" i="4"/>
  <c r="K19" i="4"/>
  <c r="U19" i="4" l="1"/>
  <c r="T19" i="4"/>
  <c r="U21" i="4"/>
  <c r="U20" i="4"/>
  <c r="T20" i="4"/>
  <c r="T21" i="4"/>
  <c r="T22" i="4"/>
  <c r="I80" i="12" l="1"/>
  <c r="E80" i="12"/>
  <c r="P21" i="4"/>
  <c r="P20" i="4"/>
  <c r="M21" i="4"/>
  <c r="M20" i="4"/>
  <c r="B19" i="1"/>
  <c r="Q80" i="12" l="1"/>
  <c r="K78" i="12"/>
  <c r="K80" i="12" s="1"/>
  <c r="G78" i="12"/>
  <c r="G80" i="12" s="1"/>
  <c r="B14" i="1"/>
  <c r="B13" i="1"/>
  <c r="B12" i="1"/>
  <c r="B11" i="1"/>
  <c r="H132" i="1" l="1"/>
  <c r="H6" i="2"/>
  <c r="J8" i="4" s="1"/>
  <c r="H5" i="2"/>
  <c r="J7" i="4" s="1"/>
  <c r="H4" i="2"/>
  <c r="J6" i="4" s="1"/>
  <c r="H3" i="2"/>
  <c r="J5" i="4" s="1"/>
  <c r="H2" i="2" l="1"/>
  <c r="J4" i="4" s="1"/>
  <c r="C5" i="6" l="1"/>
  <c r="C8" i="6"/>
  <c r="D9" i="6"/>
  <c r="E9" i="6"/>
  <c r="F9" i="6"/>
  <c r="O126" i="3" l="1"/>
  <c r="L27" i="4" l="1"/>
  <c r="L129" i="4" s="1"/>
  <c r="K27" i="4"/>
  <c r="K129" i="4" s="1"/>
  <c r="O27" i="4"/>
  <c r="O129" i="4" s="1"/>
  <c r="N27" i="4"/>
  <c r="N129" i="4" s="1"/>
  <c r="T129" i="4" l="1"/>
  <c r="U129" i="4"/>
  <c r="P35" i="4"/>
  <c r="M27" i="4"/>
  <c r="M35" i="4"/>
  <c r="T27" i="4"/>
  <c r="T35" i="4"/>
  <c r="P27" i="4"/>
  <c r="P18" i="4" l="1"/>
  <c r="S6" i="4"/>
  <c r="R6" i="4"/>
  <c r="Q6" i="4"/>
  <c r="O6" i="4"/>
  <c r="N6" i="4"/>
  <c r="L6" i="4"/>
  <c r="K6" i="4"/>
  <c r="U6" i="4"/>
  <c r="T6" i="4"/>
  <c r="P6" i="4"/>
  <c r="M6" i="4"/>
  <c r="C9" i="6"/>
  <c r="B6" i="1"/>
  <c r="B5" i="1"/>
  <c r="B4" i="1"/>
  <c r="B3" i="1"/>
  <c r="B2" i="1"/>
  <c r="M18" i="4" l="1"/>
  <c r="E100" i="11" l="1"/>
  <c r="E100" i="10"/>
  <c r="D100" i="11" l="1"/>
  <c r="D100" i="10"/>
  <c r="F100" i="8"/>
  <c r="H129" i="1" s="1"/>
  <c r="F100" i="11" l="1"/>
  <c r="F100" i="10"/>
  <c r="J129" i="1" s="1"/>
  <c r="L129" i="1" l="1"/>
  <c r="L130" i="1" s="1"/>
  <c r="F100" i="9"/>
  <c r="F129" i="1" s="1"/>
  <c r="O130" i="4" l="1"/>
  <c r="J79" i="12"/>
  <c r="J80" i="12" s="1"/>
  <c r="H126" i="3"/>
  <c r="J126" i="3"/>
  <c r="L126" i="3"/>
  <c r="N126" i="3"/>
  <c r="R5" i="4" l="1"/>
  <c r="Q5" i="4"/>
  <c r="O5" i="4"/>
  <c r="N5" i="4"/>
  <c r="L5" i="4"/>
  <c r="K5" i="4"/>
  <c r="S4" i="4"/>
  <c r="R4" i="4"/>
  <c r="Q4" i="4"/>
  <c r="P4" i="4"/>
  <c r="O4" i="4"/>
  <c r="N4" i="4"/>
  <c r="L4" i="4"/>
  <c r="K4" i="4"/>
  <c r="N128" i="1"/>
  <c r="J128" i="1"/>
  <c r="J132" i="1" s="1"/>
  <c r="T4" i="4" l="1"/>
  <c r="U4" i="4"/>
  <c r="T5" i="4"/>
  <c r="U5" i="4"/>
  <c r="U10" i="4" s="1"/>
  <c r="J130" i="1"/>
  <c r="N131" i="1"/>
  <c r="L131" i="1"/>
  <c r="L126" i="2"/>
  <c r="J126" i="2"/>
  <c r="N133" i="1" l="1"/>
  <c r="N134" i="1"/>
  <c r="L133" i="1"/>
  <c r="J81" i="12" s="1"/>
  <c r="L134" i="1"/>
  <c r="F79" i="12"/>
  <c r="L130" i="4"/>
  <c r="T10" i="4"/>
  <c r="J131" i="1"/>
  <c r="J134" i="1" s="1"/>
  <c r="M129" i="4"/>
  <c r="P129" i="4"/>
  <c r="N81" i="12"/>
  <c r="K131" i="4"/>
  <c r="R131" i="4"/>
  <c r="Q131" i="4"/>
  <c r="J133" i="1" l="1"/>
  <c r="F81" i="12" s="1"/>
  <c r="R79" i="12"/>
  <c r="R80" i="12" s="1"/>
  <c r="F80" i="12"/>
  <c r="O132" i="4"/>
  <c r="R132" i="4"/>
  <c r="L131" i="4"/>
  <c r="M131" i="4" s="1"/>
  <c r="N131" i="4"/>
  <c r="O131" i="4"/>
  <c r="P131" i="4" s="1"/>
  <c r="L132" i="4" l="1"/>
  <c r="F126" i="3"/>
  <c r="S5" i="4" l="1"/>
  <c r="M5" i="4" l="1"/>
  <c r="P5" i="4"/>
  <c r="M4" i="4"/>
  <c r="T131" i="4" l="1"/>
  <c r="H128" i="1" l="1"/>
  <c r="U35" i="4"/>
  <c r="H130" i="1" l="1"/>
  <c r="H126" i="2"/>
  <c r="O128" i="1"/>
  <c r="O134" i="1" s="1"/>
  <c r="H131" i="1" l="1"/>
  <c r="H134" i="1" s="1"/>
  <c r="I130" i="4"/>
  <c r="I131" i="4" s="1"/>
  <c r="J131" i="4" s="1"/>
  <c r="H133" i="1" l="1"/>
  <c r="I132" i="4" s="1"/>
  <c r="U24" i="4" l="1"/>
  <c r="U27" i="4" s="1"/>
  <c r="U72" i="4"/>
  <c r="U71" i="4" l="1"/>
  <c r="U77" i="4"/>
  <c r="F128" i="1" l="1"/>
  <c r="F132" i="1" s="1"/>
  <c r="F126" i="2" l="1"/>
  <c r="O132" i="1"/>
  <c r="F130" i="1"/>
  <c r="F130" i="4" s="1"/>
  <c r="F131" i="4" s="1"/>
  <c r="G131" i="4" s="1"/>
  <c r="O130" i="1" l="1"/>
  <c r="O131" i="1" s="1"/>
  <c r="O133" i="1" s="1"/>
  <c r="F131" i="1"/>
  <c r="F134" i="1" s="1"/>
  <c r="F133" i="1" l="1"/>
  <c r="F132" i="4" s="1"/>
  <c r="U130" i="4"/>
  <c r="U13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</authors>
  <commentList>
    <comment ref="F9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Harbors only...</t>
        </r>
      </text>
    </comment>
    <comment ref="F10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Harbors only...</t>
        </r>
      </text>
    </comment>
    <comment ref="F10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Harbors only...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</authors>
  <commentList>
    <comment ref="H7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 only...</t>
        </r>
      </text>
    </comment>
    <comment ref="F7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Harbors only...</t>
        </r>
      </text>
    </comment>
    <comment ref="H8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All beaches open...</t>
        </r>
      </text>
    </comment>
    <comment ref="F8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WDFW:
</t>
        </r>
        <r>
          <rPr>
            <sz val="9"/>
            <color indexed="81"/>
            <rFont val="Tahoma"/>
            <family val="2"/>
          </rPr>
          <t>Twin Harbors and Mocrocks open. No Copalis beach...</t>
        </r>
      </text>
    </comment>
    <comment ref="H8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 only...</t>
        </r>
      </text>
    </comment>
    <comment ref="F8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Harbors only...</t>
        </r>
      </text>
    </comment>
    <comment ref="H8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 only...</t>
        </r>
      </text>
    </comment>
    <comment ref="F90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Harbors only...</t>
        </r>
      </text>
    </comment>
    <comment ref="H9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 only...</t>
        </r>
      </text>
    </comment>
    <comment ref="F92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No count. Called harvest the same as the previous day.</t>
        </r>
      </text>
    </comment>
    <comment ref="H93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 only...</t>
        </r>
      </text>
    </comment>
    <comment ref="F94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only on north beach counts.</t>
        </r>
      </text>
    </comment>
    <comment ref="H94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Only based on North beaches.</t>
        </r>
      </text>
    </comment>
    <comment ref="H9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All beaches open...</t>
        </r>
      </text>
    </comment>
    <comment ref="F9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Harbors only...</t>
        </r>
      </text>
    </comment>
    <comment ref="H98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 only...</t>
        </r>
      </text>
    </comment>
    <comment ref="F103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Harbors only...</t>
        </r>
      </text>
    </comment>
    <comment ref="F105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Longbeach and Twin Harbors only...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Ayres, Daniel L (DFW)</author>
  </authors>
  <commentList>
    <comment ref="E4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extremely poor weather and ocean conditions</t>
        </r>
      </text>
    </comment>
    <comment ref="H4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extremely poor weather and ocean conditions</t>
        </r>
      </text>
    </comment>
    <comment ref="E43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extremely poor weather and ocean conditions</t>
        </r>
      </text>
    </comment>
    <comment ref="H4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extremely poor weather and ocean conditions</t>
        </r>
      </text>
    </comment>
    <comment ref="E75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extremely poor weather and ocean conditions</t>
        </r>
      </text>
    </comment>
    <comment ref="H7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extremely poor weather and ocean conditions</t>
        </r>
      </text>
    </comment>
    <comment ref="E7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extremely poor weather and ocean conditions</t>
        </r>
      </text>
    </comment>
    <comment ref="H76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extremely poor weather and ocean conditions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Deibert, John R (DFW)</author>
    <author>Ayres, Daniel L (DFW)</author>
  </authors>
  <commentList>
    <comment ref="B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C4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B5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C5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B6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C6" authorId="2" shapeId="0" xr:uid="{00000000-0006-0000-07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B7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C7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B8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C8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sharedStrings.xml><?xml version="1.0" encoding="utf-8"?>
<sst xmlns="http://schemas.openxmlformats.org/spreadsheetml/2006/main" count="1645" uniqueCount="66">
  <si>
    <t>Longbeach</t>
  </si>
  <si>
    <t>Twin Harbors</t>
  </si>
  <si>
    <t>Copalis</t>
  </si>
  <si>
    <t>Mocrocks</t>
  </si>
  <si>
    <t>Kalaloch</t>
  </si>
  <si>
    <t>Day</t>
  </si>
  <si>
    <t>Tide</t>
  </si>
  <si>
    <t>Time</t>
  </si>
  <si>
    <t>Date</t>
  </si>
  <si>
    <t>BeachName</t>
  </si>
  <si>
    <t>CPUE</t>
  </si>
  <si>
    <t>CLOSED</t>
  </si>
  <si>
    <t>Daily Totals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</si>
  <si>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</si>
  <si>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</si>
  <si>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</si>
  <si>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</si>
  <si>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</si>
  <si>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</si>
  <si>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SEASON TOTALS :</t>
  </si>
  <si>
    <t>LONG BEACH</t>
  </si>
  <si>
    <t>TWIN HARBORS</t>
  </si>
  <si>
    <t>COPALIS</t>
  </si>
  <si>
    <t>MOCROCKS</t>
  </si>
  <si>
    <t>KALALOCH</t>
  </si>
  <si>
    <t>DAILY TOTALS</t>
  </si>
  <si>
    <t>DATE</t>
  </si>
  <si>
    <t>DAY</t>
  </si>
  <si>
    <t>TIDE</t>
  </si>
  <si>
    <t>TIME</t>
  </si>
  <si>
    <t>Effort</t>
  </si>
  <si>
    <t>Harvest</t>
  </si>
  <si>
    <t>Tide Series Totals</t>
  </si>
  <si>
    <t>SEASON TOTALS:</t>
  </si>
  <si>
    <t>COASTWIDE TAC</t>
  </si>
  <si>
    <t>Size (mm)</t>
  </si>
  <si>
    <t>WASTAGE</t>
  </si>
  <si>
    <t>SEASON SUBTOTALS:</t>
  </si>
  <si>
    <t>EventID</t>
  </si>
  <si>
    <t>SumOfWastage</t>
  </si>
  <si>
    <t>SumOfTotHarvest</t>
  </si>
  <si>
    <t>2010 - 2011</t>
  </si>
  <si>
    <t>2011 - 2012</t>
  </si>
  <si>
    <t>2012 - 2013</t>
  </si>
  <si>
    <t>2013 - 2014</t>
  </si>
  <si>
    <t>** - Seahawks play in Superbowl. Low attendance</t>
  </si>
  <si>
    <t>2014 - 2015</t>
  </si>
  <si>
    <t>TideDate</t>
  </si>
  <si>
    <t>TideTime</t>
  </si>
  <si>
    <t>TideHeight</t>
  </si>
  <si>
    <t>Sunrise</t>
  </si>
  <si>
    <t>Sunset</t>
  </si>
  <si>
    <t>CorrectionFactor</t>
  </si>
  <si>
    <t>LongBeach</t>
  </si>
  <si>
    <t>2014-2015 State (non-Indian) Recreational Razor Clam Effort, Harvest and CPUE totals.</t>
  </si>
  <si>
    <t>NON-TRIBAL TOTAL ALLOWABLE CATCH (TAC)</t>
  </si>
  <si>
    <t>*</t>
  </si>
  <si>
    <t>Thu</t>
  </si>
  <si>
    <t>Sat</t>
  </si>
  <si>
    <t>Fri</t>
  </si>
  <si>
    <t>Sun</t>
  </si>
  <si>
    <t>Wed</t>
  </si>
  <si>
    <t>+</t>
  </si>
  <si>
    <t>Fall 2014 / Spring 2015 Harvest Rate (clams/day):</t>
  </si>
  <si>
    <t xml:space="preserve">FALL 2014 - SPRING 2015 SEASON TOTALS: </t>
  </si>
  <si>
    <t>early closure due to elevated levels of domoic acid in razor clam 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</si>
</sst>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[$-409]mmmm\ d\,\ yyyy;@"/>
    <numFmt numFmtId="165" formatCode="ddd"/>
    <numFmt numFmtId="166" formatCode="_(* #,##0_);_(* \(#,##0\);_(* &quot;-&quot;??_);_(@_)"/>
    <numFmt numFmtId="167" formatCode="#,##0.0_);\(#,##0.0\)"/>
    <numFmt numFmtId="168" formatCode="0.0"/>
    <numFmt numFmtId="169" formatCode="0.0%"/>
    <numFmt numFmtId="170" formatCode="[$-409]d\-mmm\-yy;@"/>
    <numFmt numFmtId="171" formatCode="dd\-mmm\-yy"/>
    <numFmt numFmtId="172" formatCode="#,##0.0"/>
    <numFmt numFmtId="173" formatCode="[$-409]h:mm\ AM/PM;@"/>
    <numFmt numFmtId="174" formatCode="mm/dd/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i/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99FFCC"/>
        <bgColor indexed="64"/>
      </patternFill>
    </fill>
  </fills>
  <borders count="4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 style="thick">
        <color indexed="0"/>
      </right>
      <top/>
      <bottom style="thin">
        <color indexed="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/>
      <bottom style="thin">
        <color indexed="64"/>
      </bottom>
      <diagonal/>
    </border>
    <border>
      <left/>
      <right style="thick">
        <color indexed="0"/>
      </right>
      <top/>
      <bottom style="thin">
        <color indexed="64"/>
      </bottom>
      <diagonal/>
    </border>
    <border>
      <left/>
      <right/>
      <top/>
      <bottom style="thin">
        <color indexed="0"/>
      </bottom>
      <diagonal/>
    </border>
    <border>
      <left style="thick">
        <color indexed="0"/>
      </left>
      <right/>
      <top/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20" fillId="0" borderId="0"/>
    <xf numFmtId="0" fontId="22" fillId="0" borderId="0"/>
    <xf numFmtId="0" fontId="24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</cellStyleXfs>
  <cellXfs count="2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164" fontId="0" fillId="0" borderId="0" xfId="0" applyNumberFormat="1" applyBorder="1"/>
    <xf numFmtId="165" fontId="0" fillId="0" borderId="0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166" fontId="0" fillId="0" borderId="0" xfId="1" applyNumberFormat="1" applyFont="1" applyBorder="1" applyAlignment="1">
      <alignment horizontal="right"/>
    </xf>
    <xf numFmtId="37" fontId="0" fillId="0" borderId="0" xfId="1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3" fontId="0" fillId="0" borderId="0" xfId="0" applyNumberFormat="1"/>
    <xf numFmtId="0" fontId="2" fillId="0" borderId="0" xfId="0" applyFont="1" applyBorder="1" applyAlignment="1">
      <alignment horizontal="center"/>
    </xf>
    <xf numFmtId="1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0" applyFont="1"/>
    <xf numFmtId="37" fontId="0" fillId="0" borderId="0" xfId="0" applyNumberForma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165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8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8" fontId="6" fillId="0" borderId="0" xfId="0" applyNumberFormat="1" applyFont="1" applyAlignment="1">
      <alignment horizontal="center"/>
    </xf>
    <xf numFmtId="0" fontId="5" fillId="0" borderId="3" xfId="0" applyFont="1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3" fontId="5" fillId="0" borderId="5" xfId="0" applyNumberFormat="1" applyFont="1" applyFill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168" fontId="5" fillId="0" borderId="0" xfId="0" applyNumberFormat="1" applyFont="1" applyBorder="1" applyAlignment="1">
      <alignment horizontal="center"/>
    </xf>
    <xf numFmtId="18" fontId="5" fillId="0" borderId="0" xfId="0" applyNumberFormat="1" applyFont="1" applyBorder="1" applyAlignment="1">
      <alignment horizontal="center"/>
    </xf>
    <xf numFmtId="3" fontId="5" fillId="0" borderId="7" xfId="0" applyNumberFormat="1" applyFont="1" applyFill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168" fontId="5" fillId="0" borderId="8" xfId="0" applyNumberFormat="1" applyFont="1" applyFill="1" applyBorder="1" applyAlignment="1">
      <alignment horizontal="center"/>
    </xf>
    <xf numFmtId="168" fontId="9" fillId="0" borderId="9" xfId="0" applyNumberFormat="1" applyFont="1" applyFill="1" applyBorder="1" applyAlignment="1">
      <alignment horizontal="center"/>
    </xf>
    <xf numFmtId="3" fontId="9" fillId="0" borderId="10" xfId="0" applyNumberFormat="1" applyFont="1" applyFill="1" applyBorder="1" applyAlignment="1">
      <alignment horizontal="center"/>
    </xf>
    <xf numFmtId="3" fontId="9" fillId="0" borderId="9" xfId="0" applyNumberFormat="1" applyFont="1" applyFill="1" applyBorder="1" applyAlignment="1">
      <alignment horizontal="center"/>
    </xf>
    <xf numFmtId="168" fontId="5" fillId="0" borderId="0" xfId="0" applyNumberFormat="1" applyFont="1" applyFill="1" applyBorder="1" applyAlignment="1">
      <alignment horizontal="center"/>
    </xf>
    <xf numFmtId="16" fontId="5" fillId="0" borderId="0" xfId="0" applyNumberFormat="1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16" fontId="9" fillId="0" borderId="3" xfId="0" applyNumberFormat="1" applyFont="1" applyFill="1" applyBorder="1" applyAlignment="1">
      <alignment horizontal="left"/>
    </xf>
    <xf numFmtId="3" fontId="9" fillId="0" borderId="3" xfId="0" applyNumberFormat="1" applyFont="1" applyFill="1" applyBorder="1" applyAlignment="1">
      <alignment horizontal="center"/>
    </xf>
    <xf numFmtId="168" fontId="9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/>
    <xf numFmtId="167" fontId="0" fillId="0" borderId="0" xfId="0" applyNumberFormat="1" applyAlignment="1">
      <alignment horizontal="center"/>
    </xf>
    <xf numFmtId="0" fontId="0" fillId="0" borderId="12" xfId="0" applyBorder="1" applyAlignment="1"/>
    <xf numFmtId="3" fontId="0" fillId="0" borderId="13" xfId="0" applyNumberFormat="1" applyBorder="1" applyAlignment="1"/>
    <xf numFmtId="0" fontId="0" fillId="0" borderId="14" xfId="0" applyBorder="1" applyAlignment="1"/>
    <xf numFmtId="3" fontId="0" fillId="0" borderId="15" xfId="0" applyNumberFormat="1" applyBorder="1" applyAlignment="1"/>
    <xf numFmtId="0" fontId="0" fillId="0" borderId="16" xfId="0" applyBorder="1" applyAlignment="1"/>
    <xf numFmtId="3" fontId="0" fillId="0" borderId="17" xfId="0" applyNumberFormat="1" applyBorder="1" applyAlignment="1"/>
    <xf numFmtId="0" fontId="7" fillId="0" borderId="18" xfId="0" applyFont="1" applyBorder="1" applyAlignment="1"/>
    <xf numFmtId="3" fontId="0" fillId="0" borderId="19" xfId="0" applyNumberFormat="1" applyBorder="1" applyAlignment="1"/>
    <xf numFmtId="0" fontId="2" fillId="0" borderId="0" xfId="0" applyFont="1" applyBorder="1" applyAlignment="1">
      <alignment horizontal="center"/>
    </xf>
    <xf numFmtId="164" fontId="0" fillId="0" borderId="0" xfId="0" applyNumberFormat="1" applyFont="1" applyBorder="1"/>
    <xf numFmtId="18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Font="1" applyBorder="1"/>
    <xf numFmtId="37" fontId="0" fillId="0" borderId="0" xfId="0" applyNumberFormat="1" applyFont="1"/>
    <xf numFmtId="0" fontId="0" fillId="0" borderId="0" xfId="0" applyFont="1" applyAlignment="1">
      <alignment horizontal="center"/>
    </xf>
    <xf numFmtId="18" fontId="0" fillId="0" borderId="0" xfId="0" applyNumberFormat="1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right"/>
    </xf>
    <xf numFmtId="168" fontId="0" fillId="0" borderId="0" xfId="0" applyNumberFormat="1" applyFont="1" applyAlignment="1">
      <alignment horizontal="center"/>
    </xf>
    <xf numFmtId="0" fontId="0" fillId="0" borderId="0" xfId="0" applyFont="1"/>
    <xf numFmtId="0" fontId="10" fillId="0" borderId="0" xfId="0" applyFont="1" applyBorder="1" applyAlignment="1">
      <alignment horizontal="left"/>
    </xf>
    <xf numFmtId="37" fontId="0" fillId="0" borderId="0" xfId="0" applyNumberFormat="1" applyFont="1" applyAlignment="1">
      <alignment horizontal="center"/>
    </xf>
    <xf numFmtId="0" fontId="10" fillId="0" borderId="0" xfId="0" applyFont="1" applyBorder="1" applyAlignment="1"/>
    <xf numFmtId="0" fontId="11" fillId="0" borderId="0" xfId="0" applyFont="1" applyBorder="1" applyAlignment="1">
      <alignment horizontal="left"/>
    </xf>
    <xf numFmtId="3" fontId="0" fillId="0" borderId="0" xfId="0" applyNumberFormat="1" applyFont="1" applyAlignment="1">
      <alignment horizontal="center"/>
    </xf>
    <xf numFmtId="169" fontId="0" fillId="0" borderId="0" xfId="0" applyNumberFormat="1" applyFont="1" applyAlignment="1">
      <alignment horizontal="center"/>
    </xf>
    <xf numFmtId="169" fontId="0" fillId="0" borderId="0" xfId="2" applyNumberFormat="1" applyFont="1" applyAlignment="1">
      <alignment horizontal="center"/>
    </xf>
    <xf numFmtId="16" fontId="9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3" fontId="9" fillId="0" borderId="21" xfId="0" applyNumberFormat="1" applyFont="1" applyFill="1" applyBorder="1" applyAlignment="1">
      <alignment horizontal="center"/>
    </xf>
    <xf numFmtId="168" fontId="9" fillId="0" borderId="21" xfId="0" applyNumberFormat="1" applyFont="1" applyFill="1" applyBorder="1" applyAlignment="1">
      <alignment horizontal="center"/>
    </xf>
    <xf numFmtId="3" fontId="9" fillId="0" borderId="22" xfId="0" applyNumberFormat="1" applyFont="1" applyFill="1" applyBorder="1" applyAlignment="1">
      <alignment horizontal="center"/>
    </xf>
    <xf numFmtId="169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/>
    <xf numFmtId="0" fontId="9" fillId="0" borderId="25" xfId="0" applyFont="1" applyBorder="1" applyAlignment="1"/>
    <xf numFmtId="16" fontId="9" fillId="0" borderId="20" xfId="0" applyNumberFormat="1" applyFont="1" applyFill="1" applyBorder="1" applyAlignment="1">
      <alignment horizontal="left"/>
    </xf>
    <xf numFmtId="0" fontId="9" fillId="0" borderId="21" xfId="0" applyFont="1" applyFill="1" applyBorder="1" applyAlignment="1"/>
    <xf numFmtId="0" fontId="8" fillId="0" borderId="23" xfId="0" applyFont="1" applyBorder="1" applyAlignment="1">
      <alignment horizontal="left"/>
    </xf>
    <xf numFmtId="0" fontId="0" fillId="0" borderId="0" xfId="0" applyAlignment="1">
      <alignment horizontal="left" indent="1"/>
    </xf>
    <xf numFmtId="37" fontId="0" fillId="0" borderId="0" xfId="1" applyNumberFormat="1" applyFont="1" applyAlignment="1">
      <alignment horizontal="center"/>
    </xf>
    <xf numFmtId="168" fontId="0" fillId="0" borderId="0" xfId="0" applyNumberFormat="1" applyBorder="1" applyAlignment="1">
      <alignment horizontal="center"/>
    </xf>
    <xf numFmtId="37" fontId="0" fillId="0" borderId="0" xfId="1" applyNumberFormat="1" applyFont="1" applyAlignment="1">
      <alignment horizontal="right"/>
    </xf>
    <xf numFmtId="1" fontId="0" fillId="0" borderId="0" xfId="0" applyNumberFormat="1"/>
    <xf numFmtId="37" fontId="3" fillId="0" borderId="1" xfId="1" applyNumberFormat="1" applyFont="1" applyFill="1" applyBorder="1" applyAlignment="1">
      <alignment horizontal="right"/>
    </xf>
    <xf numFmtId="37" fontId="0" fillId="0" borderId="0" xfId="1" applyNumberFormat="1" applyFont="1" applyBorder="1" applyAlignment="1">
      <alignment horizontal="right"/>
    </xf>
    <xf numFmtId="170" fontId="0" fillId="0" borderId="0" xfId="0" applyNumberFormat="1" applyAlignment="1"/>
    <xf numFmtId="170" fontId="0" fillId="0" borderId="0" xfId="0" applyNumberFormat="1"/>
    <xf numFmtId="10" fontId="0" fillId="0" borderId="0" xfId="0" applyNumberFormat="1"/>
    <xf numFmtId="3" fontId="0" fillId="0" borderId="0" xfId="0" applyNumberFormat="1" applyAlignment="1"/>
    <xf numFmtId="166" fontId="0" fillId="0" borderId="0" xfId="1" applyNumberFormat="1" applyFont="1" applyAlignment="1"/>
    <xf numFmtId="3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8" fontId="0" fillId="0" borderId="0" xfId="0" applyNumberFormat="1"/>
    <xf numFmtId="172" fontId="9" fillId="0" borderId="3" xfId="0" applyNumberFormat="1" applyFont="1" applyFill="1" applyBorder="1" applyAlignment="1">
      <alignment horizontal="center"/>
    </xf>
    <xf numFmtId="168" fontId="5" fillId="0" borderId="27" xfId="0" applyNumberFormat="1" applyFont="1" applyBorder="1" applyAlignment="1"/>
    <xf numFmtId="173" fontId="5" fillId="0" borderId="8" xfId="0" applyNumberFormat="1" applyFont="1" applyBorder="1" applyAlignment="1"/>
    <xf numFmtId="173" fontId="5" fillId="0" borderId="28" xfId="0" applyNumberFormat="1" applyFont="1" applyBorder="1" applyAlignment="1"/>
    <xf numFmtId="172" fontId="5" fillId="0" borderId="0" xfId="0" applyNumberFormat="1" applyFont="1" applyFill="1" applyBorder="1" applyAlignment="1">
      <alignment horizontal="center"/>
    </xf>
    <xf numFmtId="172" fontId="9" fillId="0" borderId="9" xfId="0" applyNumberFormat="1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72" fontId="9" fillId="0" borderId="21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3" fontId="9" fillId="0" borderId="7" xfId="0" applyNumberFormat="1" applyFont="1" applyFill="1" applyBorder="1" applyAlignment="1">
      <alignment horizontal="center"/>
    </xf>
    <xf numFmtId="3" fontId="5" fillId="0" borderId="29" xfId="0" applyNumberFormat="1" applyFont="1" applyFill="1" applyBorder="1" applyAlignment="1">
      <alignment horizontal="center"/>
    </xf>
    <xf numFmtId="168" fontId="5" fillId="0" borderId="30" xfId="0" applyNumberFormat="1" applyFont="1" applyFill="1" applyBorder="1" applyAlignment="1">
      <alignment horizontal="center"/>
    </xf>
    <xf numFmtId="3" fontId="9" fillId="0" borderId="31" xfId="0" applyNumberFormat="1" applyFont="1" applyFill="1" applyBorder="1" applyAlignment="1">
      <alignment horizontal="center"/>
    </xf>
    <xf numFmtId="173" fontId="5" fillId="0" borderId="0" xfId="0" applyNumberFormat="1" applyFont="1" applyBorder="1" applyAlignment="1"/>
    <xf numFmtId="3" fontId="9" fillId="0" borderId="33" xfId="0" applyNumberFormat="1" applyFont="1" applyFill="1" applyBorder="1" applyAlignment="1">
      <alignment horizontal="center"/>
    </xf>
    <xf numFmtId="168" fontId="9" fillId="0" borderId="34" xfId="0" applyNumberFormat="1" applyFont="1" applyFill="1" applyBorder="1" applyAlignment="1">
      <alignment horizontal="center"/>
    </xf>
    <xf numFmtId="16" fontId="9" fillId="0" borderId="32" xfId="0" applyNumberFormat="1" applyFont="1" applyFill="1" applyBorder="1" applyAlignment="1">
      <alignment horizontal="center"/>
    </xf>
    <xf numFmtId="16" fontId="9" fillId="0" borderId="31" xfId="0" applyNumberFormat="1" applyFont="1" applyFill="1" applyBorder="1" applyAlignment="1">
      <alignment horizontal="center"/>
    </xf>
    <xf numFmtId="16" fontId="14" fillId="0" borderId="0" xfId="0" applyNumberFormat="1" applyFont="1" applyFill="1" applyBorder="1" applyAlignment="1">
      <alignment horizontal="center"/>
    </xf>
    <xf numFmtId="173" fontId="14" fillId="0" borderId="0" xfId="0" applyNumberFormat="1" applyFont="1" applyBorder="1" applyAlignment="1"/>
    <xf numFmtId="0" fontId="15" fillId="0" borderId="1" xfId="3" applyFont="1" applyFill="1" applyBorder="1" applyAlignment="1">
      <alignment horizontal="right" wrapText="1"/>
    </xf>
    <xf numFmtId="0" fontId="15" fillId="0" borderId="1" xfId="3" applyFont="1" applyFill="1" applyBorder="1" applyAlignment="1">
      <alignment wrapText="1"/>
    </xf>
    <xf numFmtId="171" fontId="15" fillId="0" borderId="1" xfId="3" applyNumberFormat="1" applyFont="1" applyFill="1" applyBorder="1" applyAlignment="1">
      <alignment horizontal="right" wrapText="1"/>
    </xf>
    <xf numFmtId="4" fontId="15" fillId="0" borderId="1" xfId="3" applyNumberFormat="1" applyFont="1" applyFill="1" applyBorder="1" applyAlignment="1">
      <alignment horizontal="right" wrapText="1"/>
    </xf>
    <xf numFmtId="0" fontId="15" fillId="0" borderId="0" xfId="3" applyFont="1" applyFill="1" applyBorder="1" applyAlignment="1">
      <alignment horizontal="right" wrapText="1"/>
    </xf>
    <xf numFmtId="0" fontId="15" fillId="0" borderId="0" xfId="3" applyFont="1" applyFill="1" applyBorder="1" applyAlignment="1">
      <alignment wrapText="1"/>
    </xf>
    <xf numFmtId="171" fontId="15" fillId="0" borderId="0" xfId="3" applyNumberFormat="1" applyFont="1" applyFill="1" applyBorder="1" applyAlignment="1">
      <alignment horizontal="right" wrapText="1"/>
    </xf>
    <xf numFmtId="4" fontId="15" fillId="0" borderId="0" xfId="3" applyNumberFormat="1" applyFont="1" applyFill="1" applyBorder="1" applyAlignment="1">
      <alignment horizontal="right" wrapText="1"/>
    </xf>
    <xf numFmtId="0" fontId="15" fillId="0" borderId="1" xfId="4" applyFont="1" applyFill="1" applyBorder="1" applyAlignment="1">
      <alignment horizontal="right" wrapText="1"/>
    </xf>
    <xf numFmtId="0" fontId="15" fillId="0" borderId="1" xfId="4" applyFont="1" applyFill="1" applyBorder="1" applyAlignment="1">
      <alignment wrapText="1"/>
    </xf>
    <xf numFmtId="171" fontId="15" fillId="0" borderId="1" xfId="4" applyNumberFormat="1" applyFont="1" applyFill="1" applyBorder="1" applyAlignment="1">
      <alignment horizontal="right" wrapText="1"/>
    </xf>
    <xf numFmtId="4" fontId="15" fillId="0" borderId="1" xfId="4" applyNumberFormat="1" applyFont="1" applyFill="1" applyBorder="1" applyAlignment="1">
      <alignment horizontal="right" wrapText="1"/>
    </xf>
    <xf numFmtId="3" fontId="17" fillId="3" borderId="0" xfId="0" applyNumberFormat="1" applyFont="1" applyFill="1" applyAlignment="1">
      <alignment horizontal="center"/>
    </xf>
    <xf numFmtId="3" fontId="0" fillId="3" borderId="15" xfId="0" applyNumberFormat="1" applyFill="1" applyBorder="1" applyAlignment="1"/>
    <xf numFmtId="0" fontId="3" fillId="2" borderId="2" xfId="5" applyFont="1" applyFill="1" applyBorder="1" applyAlignment="1">
      <alignment horizontal="center"/>
    </xf>
    <xf numFmtId="174" fontId="3" fillId="0" borderId="1" xfId="5" applyNumberFormat="1" applyFont="1" applyFill="1" applyBorder="1" applyAlignment="1">
      <alignment horizontal="right" wrapText="1"/>
    </xf>
    <xf numFmtId="173" fontId="3" fillId="0" borderId="1" xfId="5" applyNumberFormat="1" applyFont="1" applyFill="1" applyBorder="1" applyAlignment="1">
      <alignment horizontal="right" wrapText="1"/>
    </xf>
    <xf numFmtId="168" fontId="3" fillId="0" borderId="1" xfId="5" applyNumberFormat="1" applyFont="1" applyFill="1" applyBorder="1" applyAlignment="1">
      <alignment horizontal="right" wrapText="1"/>
    </xf>
    <xf numFmtId="168" fontId="3" fillId="0" borderId="1" xfId="5" applyNumberFormat="1" applyFont="1" applyFill="1" applyBorder="1" applyAlignment="1">
      <alignment horizontal="center" wrapText="1"/>
    </xf>
    <xf numFmtId="173" fontId="3" fillId="0" borderId="1" xfId="5" applyNumberFormat="1" applyFont="1" applyFill="1" applyBorder="1" applyAlignment="1">
      <alignment horizontal="center" wrapText="1"/>
    </xf>
    <xf numFmtId="0" fontId="15" fillId="2" borderId="2" xfId="6" applyFont="1" applyFill="1" applyBorder="1" applyAlignment="1">
      <alignment horizontal="center"/>
    </xf>
    <xf numFmtId="0" fontId="15" fillId="0" borderId="1" xfId="6" applyFont="1" applyFill="1" applyBorder="1" applyAlignment="1">
      <alignment wrapText="1"/>
    </xf>
    <xf numFmtId="171" fontId="15" fillId="0" borderId="1" xfId="6" applyNumberFormat="1" applyFont="1" applyFill="1" applyBorder="1" applyAlignment="1">
      <alignment horizontal="right" wrapText="1"/>
    </xf>
    <xf numFmtId="4" fontId="15" fillId="0" borderId="1" xfId="6" applyNumberFormat="1" applyFont="1" applyFill="1" applyBorder="1" applyAlignment="1">
      <alignment horizontal="right" wrapText="1"/>
    </xf>
    <xf numFmtId="0" fontId="15" fillId="0" borderId="1" xfId="6" applyFont="1" applyFill="1" applyBorder="1" applyAlignment="1">
      <alignment horizontal="right" wrapText="1"/>
    </xf>
    <xf numFmtId="0" fontId="5" fillId="0" borderId="5" xfId="0" applyFont="1" applyBorder="1" applyAlignment="1"/>
    <xf numFmtId="168" fontId="3" fillId="0" borderId="0" xfId="5" applyNumberFormat="1" applyFont="1" applyFill="1" applyBorder="1" applyAlignment="1">
      <alignment horizontal="center" wrapText="1"/>
    </xf>
    <xf numFmtId="173" fontId="3" fillId="0" borderId="0" xfId="5" applyNumberFormat="1" applyFont="1" applyFill="1" applyBorder="1" applyAlignment="1">
      <alignment horizontal="center" wrapText="1"/>
    </xf>
    <xf numFmtId="0" fontId="19" fillId="2" borderId="2" xfId="7" applyFont="1" applyFill="1" applyBorder="1" applyAlignment="1">
      <alignment horizontal="center"/>
    </xf>
    <xf numFmtId="0" fontId="19" fillId="0" borderId="1" xfId="7" applyFont="1" applyFill="1" applyBorder="1" applyAlignment="1">
      <alignment wrapText="1"/>
    </xf>
    <xf numFmtId="171" fontId="19" fillId="0" borderId="1" xfId="7" applyNumberFormat="1" applyFont="1" applyFill="1" applyBorder="1" applyAlignment="1">
      <alignment horizontal="right" wrapText="1"/>
    </xf>
    <xf numFmtId="4" fontId="19" fillId="0" borderId="1" xfId="7" applyNumberFormat="1" applyFont="1" applyFill="1" applyBorder="1" applyAlignment="1">
      <alignment horizontal="right" wrapText="1"/>
    </xf>
    <xf numFmtId="0" fontId="19" fillId="0" borderId="1" xfId="7" applyFont="1" applyFill="1" applyBorder="1" applyAlignment="1">
      <alignment horizontal="right" wrapText="1"/>
    </xf>
    <xf numFmtId="173" fontId="5" fillId="0" borderId="8" xfId="0" applyNumberFormat="1" applyFont="1" applyBorder="1" applyAlignment="1">
      <alignment horizontal="center"/>
    </xf>
    <xf numFmtId="164" fontId="0" fillId="0" borderId="0" xfId="0" applyNumberFormat="1" applyFont="1" applyAlignment="1">
      <alignment vertical="center"/>
    </xf>
    <xf numFmtId="18" fontId="5" fillId="0" borderId="8" xfId="0" applyNumberFormat="1" applyFont="1" applyFill="1" applyBorder="1" applyAlignment="1">
      <alignment horizontal="center"/>
    </xf>
    <xf numFmtId="172" fontId="0" fillId="0" borderId="0" xfId="1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3" fillId="2" borderId="2" xfId="6" applyFont="1" applyFill="1" applyBorder="1" applyAlignment="1">
      <alignment horizontal="center"/>
    </xf>
    <xf numFmtId="0" fontId="3" fillId="0" borderId="1" xfId="6" applyFont="1" applyFill="1" applyBorder="1" applyAlignment="1">
      <alignment wrapText="1"/>
    </xf>
    <xf numFmtId="171" fontId="3" fillId="0" borderId="1" xfId="6" applyNumberFormat="1" applyFont="1" applyFill="1" applyBorder="1" applyAlignment="1">
      <alignment horizontal="right" wrapText="1"/>
    </xf>
    <xf numFmtId="4" fontId="3" fillId="0" borderId="1" xfId="6" applyNumberFormat="1" applyFont="1" applyFill="1" applyBorder="1" applyAlignment="1">
      <alignment horizontal="right" wrapText="1"/>
    </xf>
    <xf numFmtId="0" fontId="3" fillId="0" borderId="1" xfId="6" applyFont="1" applyFill="1" applyBorder="1" applyAlignment="1">
      <alignment horizontal="right" wrapText="1"/>
    </xf>
    <xf numFmtId="0" fontId="21" fillId="2" borderId="2" xfId="8" applyFont="1" applyFill="1" applyBorder="1" applyAlignment="1">
      <alignment horizontal="center"/>
    </xf>
    <xf numFmtId="0" fontId="21" fillId="0" borderId="1" xfId="8" applyFont="1" applyFill="1" applyBorder="1" applyAlignment="1">
      <alignment wrapText="1"/>
    </xf>
    <xf numFmtId="171" fontId="21" fillId="0" borderId="1" xfId="8" applyNumberFormat="1" applyFont="1" applyFill="1" applyBorder="1" applyAlignment="1">
      <alignment horizontal="right" wrapText="1"/>
    </xf>
    <xf numFmtId="4" fontId="21" fillId="0" borderId="1" xfId="8" applyNumberFormat="1" applyFont="1" applyFill="1" applyBorder="1" applyAlignment="1">
      <alignment horizontal="right" wrapText="1"/>
    </xf>
    <xf numFmtId="0" fontId="21" fillId="0" borderId="1" xfId="8" applyFont="1" applyFill="1" applyBorder="1" applyAlignment="1">
      <alignment horizontal="right" wrapText="1"/>
    </xf>
    <xf numFmtId="169" fontId="0" fillId="0" borderId="0" xfId="2" applyNumberFormat="1" applyFont="1" applyFill="1" applyAlignment="1">
      <alignment horizontal="center"/>
    </xf>
    <xf numFmtId="0" fontId="0" fillId="0" borderId="0" xfId="0" applyFont="1" applyFill="1"/>
    <xf numFmtId="0" fontId="23" fillId="2" borderId="2" xfId="9" applyFont="1" applyFill="1" applyBorder="1" applyAlignment="1">
      <alignment horizontal="center"/>
    </xf>
    <xf numFmtId="0" fontId="23" fillId="0" borderId="1" xfId="9" applyFont="1" applyFill="1" applyBorder="1" applyAlignment="1">
      <alignment wrapText="1"/>
    </xf>
    <xf numFmtId="171" fontId="23" fillId="0" borderId="1" xfId="9" applyNumberFormat="1" applyFont="1" applyFill="1" applyBorder="1" applyAlignment="1">
      <alignment horizontal="right" wrapText="1"/>
    </xf>
    <xf numFmtId="4" fontId="23" fillId="0" borderId="1" xfId="9" applyNumberFormat="1" applyFont="1" applyFill="1" applyBorder="1" applyAlignment="1">
      <alignment horizontal="right" wrapText="1"/>
    </xf>
    <xf numFmtId="0" fontId="23" fillId="0" borderId="1" xfId="9" applyFont="1" applyFill="1" applyBorder="1" applyAlignment="1">
      <alignment horizontal="right" wrapText="1"/>
    </xf>
    <xf numFmtId="37" fontId="0" fillId="4" borderId="0" xfId="1" applyNumberFormat="1" applyFont="1" applyFill="1" applyBorder="1" applyAlignment="1">
      <alignment horizontal="center"/>
    </xf>
    <xf numFmtId="37" fontId="0" fillId="5" borderId="0" xfId="1" applyNumberFormat="1" applyFont="1" applyFill="1" applyBorder="1" applyAlignment="1">
      <alignment horizontal="center"/>
    </xf>
    <xf numFmtId="0" fontId="25" fillId="2" borderId="2" xfId="10" applyFont="1" applyFill="1" applyBorder="1" applyAlignment="1">
      <alignment horizontal="center"/>
    </xf>
    <xf numFmtId="0" fontId="25" fillId="0" borderId="1" xfId="10" applyFont="1" applyFill="1" applyBorder="1" applyAlignment="1">
      <alignment wrapText="1"/>
    </xf>
    <xf numFmtId="171" fontId="25" fillId="0" borderId="1" xfId="10" applyNumberFormat="1" applyFont="1" applyFill="1" applyBorder="1" applyAlignment="1">
      <alignment horizontal="right" wrapText="1"/>
    </xf>
    <xf numFmtId="4" fontId="25" fillId="0" borderId="1" xfId="10" applyNumberFormat="1" applyFont="1" applyFill="1" applyBorder="1" applyAlignment="1">
      <alignment horizontal="right" wrapText="1"/>
    </xf>
    <xf numFmtId="0" fontId="25" fillId="0" borderId="1" xfId="10" applyFont="1" applyFill="1" applyBorder="1" applyAlignment="1">
      <alignment horizontal="right" wrapText="1"/>
    </xf>
    <xf numFmtId="164" fontId="0" fillId="3" borderId="0" xfId="0" applyNumberFormat="1" applyFill="1" applyBorder="1"/>
    <xf numFmtId="164" fontId="0" fillId="3" borderId="0" xfId="0" applyNumberFormat="1" applyFill="1" applyBorder="1" applyAlignment="1">
      <alignment horizontal="center"/>
    </xf>
    <xf numFmtId="0" fontId="27" fillId="2" borderId="2" xfId="11" applyFont="1" applyFill="1" applyBorder="1" applyAlignment="1">
      <alignment horizontal="center"/>
    </xf>
    <xf numFmtId="0" fontId="27" fillId="0" borderId="1" xfId="11" applyFont="1" applyFill="1" applyBorder="1" applyAlignment="1">
      <alignment wrapText="1"/>
    </xf>
    <xf numFmtId="171" fontId="27" fillId="0" borderId="1" xfId="11" applyNumberFormat="1" applyFont="1" applyFill="1" applyBorder="1" applyAlignment="1">
      <alignment horizontal="right" wrapText="1"/>
    </xf>
    <xf numFmtId="4" fontId="27" fillId="0" borderId="1" xfId="11" applyNumberFormat="1" applyFont="1" applyFill="1" applyBorder="1" applyAlignment="1">
      <alignment horizontal="right" wrapText="1"/>
    </xf>
    <xf numFmtId="0" fontId="27" fillId="0" borderId="1" xfId="11" applyFont="1" applyFill="1" applyBorder="1" applyAlignment="1">
      <alignment horizontal="right" wrapText="1"/>
    </xf>
    <xf numFmtId="164" fontId="10" fillId="0" borderId="0" xfId="0" applyNumberFormat="1" applyFont="1" applyFill="1" applyBorder="1" applyAlignment="1">
      <alignment horizontal="right"/>
    </xf>
    <xf numFmtId="3" fontId="9" fillId="0" borderId="24" xfId="0" applyNumberFormat="1" applyFont="1" applyFill="1" applyBorder="1" applyAlignment="1">
      <alignment horizontal="center"/>
    </xf>
    <xf numFmtId="172" fontId="9" fillId="0" borderId="24" xfId="0" applyNumberFormat="1" applyFont="1" applyFill="1" applyBorder="1" applyAlignment="1">
      <alignment horizontal="center"/>
    </xf>
    <xf numFmtId="3" fontId="5" fillId="0" borderId="36" xfId="0" applyNumberFormat="1" applyFont="1" applyFill="1" applyBorder="1" applyAlignment="1">
      <alignment horizontal="center"/>
    </xf>
    <xf numFmtId="3" fontId="5" fillId="0" borderId="24" xfId="0" applyNumberFormat="1" applyFont="1" applyFill="1" applyBorder="1" applyAlignment="1">
      <alignment horizontal="center"/>
    </xf>
    <xf numFmtId="172" fontId="5" fillId="0" borderId="24" xfId="0" applyNumberFormat="1" applyFont="1" applyFill="1" applyBorder="1" applyAlignment="1">
      <alignment horizontal="center"/>
    </xf>
    <xf numFmtId="168" fontId="5" fillId="0" borderId="37" xfId="0" applyNumberFormat="1" applyFont="1" applyFill="1" applyBorder="1" applyAlignment="1">
      <alignment horizontal="center"/>
    </xf>
    <xf numFmtId="3" fontId="9" fillId="0" borderId="38" xfId="0" applyNumberFormat="1" applyFont="1" applyFill="1" applyBorder="1" applyAlignment="1">
      <alignment horizontal="center"/>
    </xf>
    <xf numFmtId="3" fontId="9" fillId="0" borderId="39" xfId="0" applyNumberFormat="1" applyFont="1" applyFill="1" applyBorder="1" applyAlignment="1">
      <alignment horizontal="center"/>
    </xf>
    <xf numFmtId="168" fontId="9" fillId="0" borderId="24" xfId="0" applyNumberFormat="1" applyFont="1" applyFill="1" applyBorder="1" applyAlignment="1">
      <alignment horizontal="center"/>
    </xf>
    <xf numFmtId="3" fontId="9" fillId="0" borderId="40" xfId="0" applyNumberFormat="1" applyFont="1" applyFill="1" applyBorder="1" applyAlignment="1">
      <alignment horizontal="center"/>
    </xf>
    <xf numFmtId="3" fontId="9" fillId="0" borderId="41" xfId="0" applyNumberFormat="1" applyFont="1" applyFill="1" applyBorder="1" applyAlignment="1">
      <alignment horizontal="center"/>
    </xf>
    <xf numFmtId="172" fontId="9" fillId="0" borderId="41" xfId="0" applyNumberFormat="1" applyFont="1" applyFill="1" applyBorder="1" applyAlignment="1">
      <alignment horizontal="center"/>
    </xf>
    <xf numFmtId="168" fontId="5" fillId="0" borderId="24" xfId="0" applyNumberFormat="1" applyFont="1" applyFill="1" applyBorder="1" applyAlignment="1">
      <alignment horizontal="center"/>
    </xf>
    <xf numFmtId="172" fontId="9" fillId="0" borderId="31" xfId="0" applyNumberFormat="1" applyFont="1" applyFill="1" applyBorder="1" applyAlignment="1">
      <alignment horizontal="center"/>
    </xf>
    <xf numFmtId="0" fontId="27" fillId="2" borderId="2" xfId="12" applyFont="1" applyFill="1" applyBorder="1" applyAlignment="1">
      <alignment horizontal="center"/>
    </xf>
    <xf numFmtId="0" fontId="27" fillId="0" borderId="1" xfId="12" applyFont="1" applyFill="1" applyBorder="1" applyAlignment="1">
      <alignment horizontal="right" wrapText="1"/>
    </xf>
    <xf numFmtId="0" fontId="27" fillId="0" borderId="1" xfId="12" applyFont="1" applyFill="1" applyBorder="1" applyAlignment="1">
      <alignment wrapText="1"/>
    </xf>
    <xf numFmtId="171" fontId="27" fillId="0" borderId="1" xfId="12" applyNumberFormat="1" applyFont="1" applyFill="1" applyBorder="1" applyAlignment="1">
      <alignment horizontal="right" wrapText="1"/>
    </xf>
    <xf numFmtId="4" fontId="27" fillId="0" borderId="1" xfId="12" applyNumberFormat="1" applyFont="1" applyFill="1" applyBorder="1" applyAlignment="1">
      <alignment horizontal="right" wrapText="1"/>
    </xf>
    <xf numFmtId="0" fontId="27" fillId="2" borderId="2" xfId="13" applyFont="1" applyFill="1" applyBorder="1" applyAlignment="1">
      <alignment horizontal="center"/>
    </xf>
    <xf numFmtId="0" fontId="27" fillId="0" borderId="1" xfId="13" applyFont="1" applyFill="1" applyBorder="1" applyAlignment="1">
      <alignment horizontal="right" wrapText="1"/>
    </xf>
    <xf numFmtId="0" fontId="27" fillId="0" borderId="1" xfId="13" applyFont="1" applyFill="1" applyBorder="1" applyAlignment="1">
      <alignment wrapText="1"/>
    </xf>
    <xf numFmtId="171" fontId="27" fillId="0" borderId="1" xfId="13" applyNumberFormat="1" applyFont="1" applyFill="1" applyBorder="1" applyAlignment="1">
      <alignment horizontal="right" wrapText="1"/>
    </xf>
    <xf numFmtId="4" fontId="27" fillId="0" borderId="1" xfId="13" applyNumberFormat="1" applyFont="1" applyFill="1" applyBorder="1" applyAlignment="1">
      <alignment horizontal="right" wrapText="1"/>
    </xf>
    <xf numFmtId="0" fontId="27" fillId="2" borderId="2" xfId="14" applyFont="1" applyFill="1" applyBorder="1" applyAlignment="1">
      <alignment horizontal="center"/>
    </xf>
    <xf numFmtId="0" fontId="27" fillId="0" borderId="1" xfId="14" applyFont="1" applyFill="1" applyBorder="1" applyAlignment="1">
      <alignment horizontal="right" wrapText="1"/>
    </xf>
    <xf numFmtId="0" fontId="27" fillId="0" borderId="1" xfId="14" applyFont="1" applyFill="1" applyBorder="1" applyAlignment="1">
      <alignment wrapText="1"/>
    </xf>
    <xf numFmtId="171" fontId="27" fillId="0" borderId="1" xfId="14" applyNumberFormat="1" applyFont="1" applyFill="1" applyBorder="1" applyAlignment="1">
      <alignment horizontal="right" wrapText="1"/>
    </xf>
    <xf numFmtId="4" fontId="27" fillId="0" borderId="1" xfId="14" applyNumberFormat="1" applyFont="1" applyFill="1" applyBorder="1" applyAlignment="1">
      <alignment horizontal="right" wrapText="1"/>
    </xf>
    <xf numFmtId="0" fontId="27" fillId="2" borderId="2" xfId="15" applyFont="1" applyFill="1" applyBorder="1" applyAlignment="1">
      <alignment horizontal="center"/>
    </xf>
    <xf numFmtId="0" fontId="27" fillId="0" borderId="1" xfId="15" applyFont="1" applyFill="1" applyBorder="1" applyAlignment="1">
      <alignment horizontal="right" wrapText="1"/>
    </xf>
    <xf numFmtId="0" fontId="27" fillId="0" borderId="1" xfId="15" applyFont="1" applyFill="1" applyBorder="1" applyAlignment="1">
      <alignment wrapText="1"/>
    </xf>
    <xf numFmtId="171" fontId="27" fillId="0" borderId="1" xfId="15" applyNumberFormat="1" applyFont="1" applyFill="1" applyBorder="1" applyAlignment="1">
      <alignment horizontal="right" wrapText="1"/>
    </xf>
    <xf numFmtId="4" fontId="27" fillId="0" borderId="1" xfId="15" applyNumberFormat="1" applyFont="1" applyFill="1" applyBorder="1" applyAlignment="1">
      <alignment horizontal="right" wrapText="1"/>
    </xf>
    <xf numFmtId="0" fontId="2" fillId="0" borderId="0" xfId="0" applyFont="1" applyBorder="1" applyAlignment="1">
      <alignment horizontal="center"/>
    </xf>
    <xf numFmtId="16" fontId="29" fillId="0" borderId="0" xfId="0" applyNumberFormat="1" applyFont="1" applyFill="1" applyBorder="1" applyAlignment="1">
      <alignment horizontal="center"/>
    </xf>
    <xf numFmtId="16" fontId="9" fillId="0" borderId="9" xfId="0" applyNumberFormat="1" applyFont="1" applyFill="1" applyBorder="1" applyAlignment="1">
      <alignment horizontal="center"/>
    </xf>
    <xf numFmtId="16" fontId="9" fillId="0" borderId="26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16" fontId="5" fillId="0" borderId="4" xfId="0" applyNumberFormat="1" applyFont="1" applyFill="1" applyBorder="1" applyAlignment="1">
      <alignment horizontal="center"/>
    </xf>
    <xf numFmtId="16" fontId="5" fillId="0" borderId="3" xfId="0" applyNumberFormat="1" applyFont="1" applyFill="1" applyBorder="1" applyAlignment="1">
      <alignment horizontal="center"/>
    </xf>
    <xf numFmtId="16" fontId="5" fillId="0" borderId="11" xfId="0" applyNumberFormat="1" applyFont="1" applyFill="1" applyBorder="1" applyAlignment="1">
      <alignment horizontal="center"/>
    </xf>
    <xf numFmtId="16" fontId="9" fillId="0" borderId="35" xfId="0" applyNumberFormat="1" applyFont="1" applyFill="1" applyBorder="1" applyAlignment="1">
      <alignment horizontal="center"/>
    </xf>
  </cellXfs>
  <cellStyles count="16">
    <cellStyle name="Comma" xfId="1" builtinId="3"/>
    <cellStyle name="Normal" xfId="0" builtinId="0"/>
    <cellStyle name="Normal_Cop Wastage_1" xfId="12" xr:uid="{00000000-0005-0000-0000-000002000000}"/>
    <cellStyle name="Normal_Copy Sheet" xfId="6" xr:uid="{00000000-0005-0000-0000-000003000000}"/>
    <cellStyle name="Normal_Copy Sheet_1" xfId="7" xr:uid="{00000000-0005-0000-0000-000004000000}"/>
    <cellStyle name="Normal_Copy Sheet_2" xfId="8" xr:uid="{00000000-0005-0000-0000-000005000000}"/>
    <cellStyle name="Normal_Copy Sheet_3" xfId="9" xr:uid="{00000000-0005-0000-0000-000006000000}"/>
    <cellStyle name="Normal_Copy Sheet_4" xfId="10" xr:uid="{00000000-0005-0000-0000-000007000000}"/>
    <cellStyle name="Normal_Copy Sheet_5" xfId="11" xr:uid="{00000000-0005-0000-0000-000008000000}"/>
    <cellStyle name="Normal_LB Wastage" xfId="14" xr:uid="{00000000-0005-0000-0000-000009000000}"/>
    <cellStyle name="Normal_Moc Wastage" xfId="4" xr:uid="{00000000-0005-0000-0000-00000A000000}"/>
    <cellStyle name="Normal_Moc Wastage_1" xfId="13" xr:uid="{00000000-0005-0000-0000-00000B000000}"/>
    <cellStyle name="Normal_Sheet3" xfId="5" xr:uid="{00000000-0005-0000-0000-00000C000000}"/>
    <cellStyle name="Normal_TH Wastage" xfId="3" xr:uid="{00000000-0005-0000-0000-00000D000000}"/>
    <cellStyle name="Normal_TH Wastage_2" xfId="15" xr:uid="{00000000-0005-0000-0000-00000E000000}"/>
    <cellStyle name="Percent" xfId="2" builtinId="5"/>
  </cellStyles>
  <dxfs count="0"/>
  <tableStyles count="0" defaultTableStyle="TableStyleMedium9" defaultPivotStyle="PivotStyleLight16"/>
  <colors>
    <mruColors>
      <color rgb="FF99FFCC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136"/>
  <sheetViews>
    <sheetView zoomScaleNormal="100" workbookViewId="0">
      <selection activeCell="Q2" sqref="Q2"/>
    </sheetView>
  </sheetViews>
  <sheetFormatPr defaultRowHeight="15" x14ac:dyDescent="0.25"/>
  <cols>
    <col min="1" max="1" width="18.7109375" customWidth="1"/>
    <col min="2" max="2" width="5.42578125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8.28515625" bestFit="1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7.42578125" bestFit="1" customWidth="1"/>
    <col min="16" max="16" width="9.85546875" bestFit="1" customWidth="1"/>
  </cols>
  <sheetData>
    <row r="1" spans="1:17" x14ac:dyDescent="0.25">
      <c r="A1" s="52" t="s">
        <v>8</v>
      </c>
      <c r="B1" s="52" t="s">
        <v>5</v>
      </c>
      <c r="C1" s="52" t="s">
        <v>6</v>
      </c>
      <c r="D1" s="52" t="s">
        <v>7</v>
      </c>
      <c r="E1" s="223" t="s">
        <v>0</v>
      </c>
      <c r="F1" s="223"/>
      <c r="G1" s="223" t="s">
        <v>1</v>
      </c>
      <c r="H1" s="223"/>
      <c r="I1" s="223" t="s">
        <v>2</v>
      </c>
      <c r="J1" s="223"/>
      <c r="K1" s="223" t="s">
        <v>3</v>
      </c>
      <c r="L1" s="223"/>
      <c r="M1" s="223" t="s">
        <v>4</v>
      </c>
      <c r="N1" s="223"/>
      <c r="O1" s="14" t="s">
        <v>12</v>
      </c>
    </row>
    <row r="2" spans="1:17" x14ac:dyDescent="0.25">
      <c r="A2" s="4">
        <v>41919</v>
      </c>
      <c r="B2" s="5">
        <f>+A2</f>
        <v>41919</v>
      </c>
      <c r="C2" s="86">
        <v>-0.5</v>
      </c>
      <c r="D2" s="6">
        <v>0.7680555555555556</v>
      </c>
      <c r="E2" s="54"/>
      <c r="F2" s="8">
        <v>24500.023410970534</v>
      </c>
      <c r="G2" s="55"/>
      <c r="H2" s="8">
        <v>22288.858872919118</v>
      </c>
      <c r="I2" s="55"/>
      <c r="J2" s="8" t="s">
        <v>11</v>
      </c>
      <c r="K2" s="7"/>
      <c r="L2" s="8" t="s">
        <v>11</v>
      </c>
      <c r="M2" s="56"/>
      <c r="N2" s="8" t="s">
        <v>11</v>
      </c>
      <c r="O2" s="57">
        <f>+F2+H2</f>
        <v>46788.882283889652</v>
      </c>
      <c r="Q2" s="15">
        <f>SUM(O2:O15)</f>
        <v>367485.58005514665</v>
      </c>
    </row>
    <row r="3" spans="1:17" x14ac:dyDescent="0.25">
      <c r="A3" s="4">
        <v>41920</v>
      </c>
      <c r="B3" s="5">
        <f t="shared" ref="B3:B43" si="0">+A3</f>
        <v>41920</v>
      </c>
      <c r="C3" s="13">
        <v>-0.9</v>
      </c>
      <c r="D3" s="12">
        <v>0.80069444444444438</v>
      </c>
      <c r="E3" s="60"/>
      <c r="F3" s="8">
        <v>24526.935110783659</v>
      </c>
      <c r="G3" s="8"/>
      <c r="H3" s="8">
        <v>26450.193987554463</v>
      </c>
      <c r="I3" s="8"/>
      <c r="J3" s="8" t="s">
        <v>11</v>
      </c>
      <c r="K3" s="7"/>
      <c r="L3" s="8" t="s">
        <v>11</v>
      </c>
      <c r="M3" s="56"/>
      <c r="N3" s="8" t="s">
        <v>11</v>
      </c>
      <c r="O3" s="57">
        <f t="shared" ref="O3:O4" si="1">+F3+H3</f>
        <v>50977.129098338119</v>
      </c>
    </row>
    <row r="4" spans="1:17" x14ac:dyDescent="0.25">
      <c r="A4" s="4">
        <v>41921</v>
      </c>
      <c r="B4" s="5">
        <f t="shared" si="0"/>
        <v>41921</v>
      </c>
      <c r="C4" s="13">
        <v>-1.1000000000000001</v>
      </c>
      <c r="D4" s="12">
        <v>0.83194444444444438</v>
      </c>
      <c r="E4" s="2"/>
      <c r="F4" s="8">
        <v>25889.968737183372</v>
      </c>
      <c r="G4" s="8"/>
      <c r="H4" s="85">
        <v>17842.447807154727</v>
      </c>
      <c r="I4" s="8"/>
      <c r="J4" s="8" t="s">
        <v>11</v>
      </c>
      <c r="K4" s="7"/>
      <c r="L4" s="8" t="s">
        <v>11</v>
      </c>
      <c r="M4" s="56"/>
      <c r="N4" s="8" t="s">
        <v>11</v>
      </c>
      <c r="O4" s="57">
        <f t="shared" si="1"/>
        <v>43732.416544338099</v>
      </c>
    </row>
    <row r="5" spans="1:17" x14ac:dyDescent="0.25">
      <c r="A5" s="4">
        <v>41922</v>
      </c>
      <c r="B5" s="5">
        <f t="shared" si="0"/>
        <v>41922</v>
      </c>
      <c r="C5" s="13">
        <v>-1.1000000000000001</v>
      </c>
      <c r="D5" s="12">
        <v>0.86319444444444438</v>
      </c>
      <c r="E5" s="60"/>
      <c r="F5" s="8">
        <v>37783.571475691926</v>
      </c>
      <c r="G5" s="8"/>
      <c r="H5" s="8">
        <v>29946.515551721437</v>
      </c>
      <c r="I5" s="8"/>
      <c r="J5" s="8" t="s">
        <v>11</v>
      </c>
      <c r="K5" s="7"/>
      <c r="L5" s="8">
        <v>16040.535048459285</v>
      </c>
      <c r="M5" s="56"/>
      <c r="N5" s="8" t="s">
        <v>11</v>
      </c>
      <c r="O5" s="57">
        <f>+F5+H5+L5</f>
        <v>83770.622075872641</v>
      </c>
    </row>
    <row r="6" spans="1:17" x14ac:dyDescent="0.25">
      <c r="A6" s="4">
        <v>41923</v>
      </c>
      <c r="B6" s="5">
        <f t="shared" si="0"/>
        <v>41923</v>
      </c>
      <c r="C6" s="13">
        <v>-0.8</v>
      </c>
      <c r="D6" s="12">
        <v>0.89444444444444438</v>
      </c>
      <c r="E6" s="60"/>
      <c r="F6" s="8">
        <v>9249.1406229172298</v>
      </c>
      <c r="G6" s="8"/>
      <c r="H6" s="8">
        <v>4169.3615896969441</v>
      </c>
      <c r="I6" s="8"/>
      <c r="J6" s="8">
        <v>8634.5272992217288</v>
      </c>
      <c r="K6" s="7"/>
      <c r="L6" s="8">
        <v>24229.881660734882</v>
      </c>
      <c r="M6" s="56"/>
      <c r="N6" s="8" t="s">
        <v>11</v>
      </c>
      <c r="O6" s="57">
        <f>+F6+H6+J6+L6</f>
        <v>46282.911172570784</v>
      </c>
    </row>
    <row r="7" spans="1:17" x14ac:dyDescent="0.25">
      <c r="A7" s="4">
        <v>41924</v>
      </c>
      <c r="B7" s="5">
        <f t="shared" si="0"/>
        <v>41924</v>
      </c>
      <c r="C7" s="13">
        <f>-0.3</f>
        <v>-0.3</v>
      </c>
      <c r="D7" s="12">
        <v>0.92708333333333337</v>
      </c>
      <c r="E7" s="60"/>
      <c r="F7" s="8">
        <f>+L7*F5/L5</f>
        <v>8871.8219402153481</v>
      </c>
      <c r="G7" s="8"/>
      <c r="H7" s="8">
        <f>+L7*H5/L5</f>
        <v>7031.6315617672026</v>
      </c>
      <c r="I7" s="8"/>
      <c r="J7" s="8" t="s">
        <v>11</v>
      </c>
      <c r="K7" s="7"/>
      <c r="L7" s="8">
        <v>3766.4192456573023</v>
      </c>
      <c r="M7" s="56"/>
      <c r="N7" s="8" t="s">
        <v>11</v>
      </c>
      <c r="O7" s="57">
        <f>+F7+H7+L7</f>
        <v>19669.872747639853</v>
      </c>
    </row>
    <row r="8" spans="1:17" x14ac:dyDescent="0.25">
      <c r="A8" s="4"/>
      <c r="B8" s="5"/>
      <c r="C8" s="13"/>
      <c r="D8" s="12"/>
      <c r="E8" s="60"/>
      <c r="F8" s="8"/>
      <c r="G8" s="2"/>
      <c r="H8" s="8"/>
      <c r="I8" s="8"/>
      <c r="J8" s="96"/>
      <c r="K8" s="8"/>
      <c r="L8" s="96"/>
      <c r="M8" s="8"/>
      <c r="N8" s="1"/>
      <c r="O8" s="57"/>
    </row>
    <row r="9" spans="1:17" x14ac:dyDescent="0.25">
      <c r="A9" s="4">
        <v>41934</v>
      </c>
      <c r="B9" s="5">
        <f t="shared" si="0"/>
        <v>41934</v>
      </c>
      <c r="C9" s="13">
        <v>0.3</v>
      </c>
      <c r="D9" s="12">
        <v>0.7715277777777777</v>
      </c>
      <c r="E9" s="60"/>
      <c r="F9" s="8">
        <v>0</v>
      </c>
      <c r="G9" s="2"/>
      <c r="H9" s="8">
        <v>265.3429723346818</v>
      </c>
      <c r="I9" s="8"/>
      <c r="J9" s="8" t="s">
        <v>11</v>
      </c>
      <c r="K9" s="8"/>
      <c r="L9" s="8" t="s">
        <v>11</v>
      </c>
      <c r="M9" s="8"/>
      <c r="N9" s="8" t="s">
        <v>11</v>
      </c>
      <c r="O9" s="57">
        <f>+F9+H9</f>
        <v>265.3429723346818</v>
      </c>
    </row>
    <row r="10" spans="1:17" x14ac:dyDescent="0.25">
      <c r="A10" s="4">
        <v>41935</v>
      </c>
      <c r="B10" s="5">
        <f t="shared" si="0"/>
        <v>41935</v>
      </c>
      <c r="C10" s="13">
        <v>-0.1</v>
      </c>
      <c r="D10" s="12">
        <v>0.79652777777777783</v>
      </c>
      <c r="E10" s="60"/>
      <c r="F10" s="8">
        <v>7861.4356538168286</v>
      </c>
      <c r="G10" s="2"/>
      <c r="H10" s="8">
        <v>10873.983589637241</v>
      </c>
      <c r="I10" s="8"/>
      <c r="J10" s="8" t="s">
        <v>11</v>
      </c>
      <c r="K10" s="8"/>
      <c r="L10" s="8" t="s">
        <v>11</v>
      </c>
      <c r="M10" s="8"/>
      <c r="N10" s="8" t="s">
        <v>11</v>
      </c>
      <c r="O10" s="57">
        <f>+F10+H10</f>
        <v>18735.419243454067</v>
      </c>
    </row>
    <row r="11" spans="1:17" x14ac:dyDescent="0.25">
      <c r="A11" s="4">
        <v>41936</v>
      </c>
      <c r="B11" s="5">
        <f t="shared" si="0"/>
        <v>41936</v>
      </c>
      <c r="C11" s="137">
        <v>-0.4</v>
      </c>
      <c r="D11" s="138">
        <v>0.82222222222222219</v>
      </c>
      <c r="E11"/>
      <c r="F11" s="8">
        <v>12716.285619088016</v>
      </c>
      <c r="G11" s="2"/>
      <c r="H11" s="97">
        <v>11569.648669015723</v>
      </c>
      <c r="J11" s="8" t="s">
        <v>11</v>
      </c>
      <c r="L11" s="96">
        <v>20419.756558312132</v>
      </c>
      <c r="N11" s="8" t="s">
        <v>11</v>
      </c>
      <c r="O11" s="57">
        <f>+F11+H11+L11</f>
        <v>44705.69084641587</v>
      </c>
    </row>
    <row r="12" spans="1:17" x14ac:dyDescent="0.25">
      <c r="A12" s="4">
        <v>41937</v>
      </c>
      <c r="B12" s="5">
        <f t="shared" si="0"/>
        <v>41937</v>
      </c>
      <c r="C12" s="137">
        <v>-0.6</v>
      </c>
      <c r="D12" s="138">
        <v>0.84861111111111109</v>
      </c>
      <c r="E12" s="2" t="s">
        <v>56</v>
      </c>
      <c r="F12" s="8">
        <f>+J12*F6/J6</f>
        <v>0</v>
      </c>
      <c r="G12" t="s">
        <v>56</v>
      </c>
      <c r="H12" s="97">
        <f>+J12*H6/J6</f>
        <v>0</v>
      </c>
      <c r="J12" s="8">
        <v>0</v>
      </c>
      <c r="K12" t="s">
        <v>56</v>
      </c>
      <c r="L12" s="96">
        <f>+J12*J6/L6</f>
        <v>0</v>
      </c>
      <c r="N12" s="8" t="s">
        <v>11</v>
      </c>
      <c r="O12" s="57">
        <f>+F12+H12+J12+L12</f>
        <v>0</v>
      </c>
    </row>
    <row r="13" spans="1:17" x14ac:dyDescent="0.25">
      <c r="A13" s="4">
        <v>41938</v>
      </c>
      <c r="B13" s="5">
        <f t="shared" si="0"/>
        <v>41938</v>
      </c>
      <c r="C13" s="137">
        <v>-0.6</v>
      </c>
      <c r="D13" s="138">
        <v>0.87708333333333333</v>
      </c>
      <c r="E13" s="2"/>
      <c r="F13" s="8">
        <v>1509.7407291280606</v>
      </c>
      <c r="G13" s="2"/>
      <c r="H13" s="97">
        <v>3180.3124784204656</v>
      </c>
      <c r="J13" s="8" t="s">
        <v>11</v>
      </c>
      <c r="L13" s="96">
        <v>5700.2072628206733</v>
      </c>
      <c r="N13" s="8" t="s">
        <v>11</v>
      </c>
      <c r="O13" s="57">
        <f>+F13+H13+L13</f>
        <v>10390.2604703692</v>
      </c>
    </row>
    <row r="14" spans="1:17" x14ac:dyDescent="0.25">
      <c r="A14" s="4">
        <v>41939</v>
      </c>
      <c r="B14" s="5">
        <f t="shared" si="0"/>
        <v>41939</v>
      </c>
      <c r="C14" s="137">
        <v>-0.4</v>
      </c>
      <c r="D14" s="138">
        <v>0.90763888888888888</v>
      </c>
      <c r="E14" s="2" t="s">
        <v>56</v>
      </c>
      <c r="F14" s="8">
        <f>+H14*(F10+F9)/(H10+H9)</f>
        <v>896.59494448424721</v>
      </c>
      <c r="H14" s="97">
        <v>1270.4376554394455</v>
      </c>
      <c r="J14" s="8" t="s">
        <v>11</v>
      </c>
      <c r="L14" s="8" t="s">
        <v>11</v>
      </c>
      <c r="N14" s="8" t="s">
        <v>11</v>
      </c>
      <c r="O14" s="57">
        <f>+F14+H14</f>
        <v>2167.0325999236929</v>
      </c>
    </row>
    <row r="15" spans="1:17" x14ac:dyDescent="0.25">
      <c r="A15" s="4">
        <v>41940</v>
      </c>
      <c r="B15" s="5">
        <f t="shared" si="0"/>
        <v>41940</v>
      </c>
      <c r="C15" s="137">
        <v>-0.2</v>
      </c>
      <c r="D15" s="138">
        <v>0.94166666666666676</v>
      </c>
      <c r="E15" s="2"/>
      <c r="F15" s="1">
        <v>0</v>
      </c>
      <c r="G15" t="s">
        <v>56</v>
      </c>
      <c r="H15" s="97">
        <f>+F15*(H10+H9)/(F10+F9)</f>
        <v>0</v>
      </c>
      <c r="J15" s="8" t="s">
        <v>11</v>
      </c>
      <c r="L15" s="8" t="s">
        <v>11</v>
      </c>
      <c r="N15" s="8" t="s">
        <v>11</v>
      </c>
      <c r="O15" s="57">
        <f>+F15+H15</f>
        <v>0</v>
      </c>
    </row>
    <row r="16" spans="1:17" x14ac:dyDescent="0.25">
      <c r="A16" s="4"/>
      <c r="B16" s="5"/>
      <c r="C16" s="137"/>
      <c r="D16" s="138"/>
      <c r="E16" s="2"/>
    </row>
    <row r="17" spans="1:15" x14ac:dyDescent="0.25">
      <c r="A17" s="4">
        <v>41947</v>
      </c>
      <c r="B17" s="5">
        <f t="shared" si="0"/>
        <v>41947</v>
      </c>
      <c r="C17" s="137">
        <v>1.2</v>
      </c>
      <c r="D17" s="138">
        <v>0.15</v>
      </c>
      <c r="E17" s="2"/>
      <c r="F17" s="8">
        <v>11971.103964112714</v>
      </c>
      <c r="H17" s="97">
        <v>16438.645774937624</v>
      </c>
      <c r="J17" s="8" t="s">
        <v>11</v>
      </c>
      <c r="L17" s="8" t="s">
        <v>11</v>
      </c>
      <c r="N17" s="8" t="s">
        <v>11</v>
      </c>
      <c r="O17" s="15">
        <f>+F17+H17</f>
        <v>28409.749739050338</v>
      </c>
    </row>
    <row r="18" spans="1:15" x14ac:dyDescent="0.25">
      <c r="A18" s="4">
        <v>41948</v>
      </c>
      <c r="B18" s="5">
        <f t="shared" si="0"/>
        <v>41948</v>
      </c>
      <c r="C18" s="137">
        <v>-0.7</v>
      </c>
      <c r="D18" s="138">
        <v>0.71805555555555556</v>
      </c>
      <c r="E18" s="2"/>
      <c r="F18" s="8">
        <v>7161.6230458979589</v>
      </c>
      <c r="H18" s="97">
        <v>13416.527161229038</v>
      </c>
      <c r="J18" s="8" t="s">
        <v>11</v>
      </c>
      <c r="L18" s="8" t="s">
        <v>11</v>
      </c>
      <c r="N18" s="8" t="s">
        <v>11</v>
      </c>
      <c r="O18" s="15">
        <f>+F18+H18</f>
        <v>20578.150207126997</v>
      </c>
    </row>
    <row r="19" spans="1:15" x14ac:dyDescent="0.25">
      <c r="A19" s="4">
        <v>41949</v>
      </c>
      <c r="B19" s="5">
        <f t="shared" si="0"/>
        <v>41949</v>
      </c>
      <c r="C19" s="137">
        <v>-1.1000000000000001</v>
      </c>
      <c r="D19" s="138">
        <v>0.74930555555555556</v>
      </c>
      <c r="E19" s="2"/>
      <c r="F19" s="8">
        <v>10435.898112833329</v>
      </c>
      <c r="H19" s="97">
        <v>13304.392992164243</v>
      </c>
      <c r="J19" s="8" t="s">
        <v>11</v>
      </c>
      <c r="L19" s="8" t="s">
        <v>11</v>
      </c>
      <c r="N19" s="8" t="s">
        <v>11</v>
      </c>
      <c r="O19" s="15">
        <f>+F19+H19</f>
        <v>23740.291104997574</v>
      </c>
    </row>
    <row r="20" spans="1:15" x14ac:dyDescent="0.25">
      <c r="A20" s="4">
        <v>41950</v>
      </c>
      <c r="B20" s="5">
        <f t="shared" ref="B20:B24" si="2">+A20</f>
        <v>41950</v>
      </c>
      <c r="C20" s="137">
        <v>-1.2</v>
      </c>
      <c r="D20" s="138">
        <v>0.77916666666666667</v>
      </c>
      <c r="E20" s="2"/>
      <c r="F20" s="8">
        <v>39767.512981421911</v>
      </c>
      <c r="H20" s="97">
        <v>22312.183308925469</v>
      </c>
      <c r="J20" s="8" t="s">
        <v>11</v>
      </c>
      <c r="L20" s="96">
        <v>15959.749473116606</v>
      </c>
      <c r="N20" s="8" t="s">
        <v>11</v>
      </c>
      <c r="O20" s="15">
        <f>+F20+H20+L20</f>
        <v>78039.445763463984</v>
      </c>
    </row>
    <row r="21" spans="1:15" x14ac:dyDescent="0.25">
      <c r="A21" s="4">
        <v>41951</v>
      </c>
      <c r="B21" s="5">
        <f t="shared" si="2"/>
        <v>41951</v>
      </c>
      <c r="C21" s="137">
        <v>-1.1000000000000001</v>
      </c>
      <c r="D21" s="138">
        <v>0.80833333333333335</v>
      </c>
      <c r="E21" s="2" t="s">
        <v>56</v>
      </c>
      <c r="F21" s="8">
        <f>+H21*(F20+F19+F18+F17)/(H20+H19+H18+H17)</f>
        <v>35242.115500555468</v>
      </c>
      <c r="H21" s="97">
        <v>33277.92709154122</v>
      </c>
      <c r="J21" s="97">
        <v>42243.129135228759</v>
      </c>
      <c r="L21" s="96">
        <v>27588.032491847942</v>
      </c>
      <c r="N21" s="8" t="s">
        <v>11</v>
      </c>
      <c r="O21" s="15">
        <f>+F21+H21+J21+L21</f>
        <v>138351.20421917338</v>
      </c>
    </row>
    <row r="22" spans="1:15" x14ac:dyDescent="0.25">
      <c r="A22" s="4">
        <v>41952</v>
      </c>
      <c r="B22" s="5">
        <f t="shared" si="2"/>
        <v>41952</v>
      </c>
      <c r="C22" s="137">
        <v>-0.7</v>
      </c>
      <c r="D22" s="138">
        <v>0.83680555555555558</v>
      </c>
      <c r="E22" s="2" t="s">
        <v>56</v>
      </c>
      <c r="F22" s="8">
        <f>+Effort!F22*CPUE!F22</f>
        <v>2571.2572172283299</v>
      </c>
      <c r="H22" s="97">
        <v>2522.6343902771428</v>
      </c>
      <c r="J22" s="8" t="s">
        <v>11</v>
      </c>
      <c r="L22" s="96">
        <v>7838.0270203155669</v>
      </c>
      <c r="N22" s="8" t="s">
        <v>11</v>
      </c>
      <c r="O22" s="15">
        <f>+F22+H22+L22</f>
        <v>12931.91862782104</v>
      </c>
    </row>
    <row r="23" spans="1:15" x14ac:dyDescent="0.25">
      <c r="A23" s="4">
        <v>41953</v>
      </c>
      <c r="B23" s="5">
        <f t="shared" si="2"/>
        <v>41953</v>
      </c>
      <c r="C23" s="137">
        <v>-0.3</v>
      </c>
      <c r="D23" s="138">
        <v>0.86597222222222225</v>
      </c>
      <c r="E23" s="2" t="s">
        <v>56</v>
      </c>
      <c r="F23" s="8">
        <f>+Effort!F23*CPUE!H23</f>
        <v>2571.2572172283299</v>
      </c>
      <c r="G23" s="2" t="s">
        <v>56</v>
      </c>
      <c r="H23" s="97">
        <f>+Effort!H23*CPUE!H23</f>
        <v>2383.5915498681666</v>
      </c>
      <c r="J23" s="8" t="s">
        <v>11</v>
      </c>
      <c r="L23" s="8" t="s">
        <v>11</v>
      </c>
      <c r="N23" s="8" t="s">
        <v>11</v>
      </c>
      <c r="O23" s="15">
        <f>+F23+H23</f>
        <v>4954.8487670964969</v>
      </c>
    </row>
    <row r="24" spans="1:15" x14ac:dyDescent="0.25">
      <c r="A24" s="4">
        <v>41954</v>
      </c>
      <c r="B24" s="5">
        <f t="shared" si="2"/>
        <v>41954</v>
      </c>
      <c r="C24" s="145">
        <v>0.2</v>
      </c>
      <c r="D24" s="146">
        <v>0.89652777777777781</v>
      </c>
      <c r="E24" s="2" t="s">
        <v>56</v>
      </c>
      <c r="F24" s="8">
        <f>+H24*(F20+F19+F18+F17)/(H17+H18+H19+H20)</f>
        <v>897.30882075092848</v>
      </c>
      <c r="H24" s="97">
        <v>847.29810033894182</v>
      </c>
      <c r="J24" s="8" t="s">
        <v>11</v>
      </c>
      <c r="L24" s="8" t="s">
        <v>11</v>
      </c>
      <c r="N24" s="8" t="s">
        <v>11</v>
      </c>
      <c r="O24" s="15">
        <f>+F24+H24</f>
        <v>1744.6069210898704</v>
      </c>
    </row>
    <row r="25" spans="1:15" x14ac:dyDescent="0.25">
      <c r="A25" s="4"/>
      <c r="C25"/>
      <c r="D25"/>
      <c r="E25"/>
      <c r="F25" s="1"/>
      <c r="H25" s="97"/>
      <c r="J25" s="1"/>
      <c r="L25" s="96"/>
      <c r="N25" s="1"/>
      <c r="O25" s="15"/>
    </row>
    <row r="26" spans="1:15" x14ac:dyDescent="0.25">
      <c r="A26" s="4">
        <v>41963</v>
      </c>
      <c r="B26" s="5">
        <f t="shared" si="0"/>
        <v>41963</v>
      </c>
      <c r="C26" s="137">
        <v>0</v>
      </c>
      <c r="D26" s="138">
        <v>0.71250000000000002</v>
      </c>
      <c r="E26"/>
      <c r="F26" s="8">
        <v>6375.1288567505426</v>
      </c>
      <c r="H26" s="97">
        <v>15197.643501015633</v>
      </c>
      <c r="J26" s="8" t="s">
        <v>11</v>
      </c>
      <c r="L26" s="8" t="s">
        <v>11</v>
      </c>
      <c r="N26" s="8" t="s">
        <v>11</v>
      </c>
      <c r="O26" s="15">
        <f>+F26+H26</f>
        <v>21572.772357766175</v>
      </c>
    </row>
    <row r="27" spans="1:15" x14ac:dyDescent="0.25">
      <c r="A27" s="4">
        <v>41964</v>
      </c>
      <c r="B27" s="5">
        <f t="shared" ref="B27:B32" si="3">+A27</f>
        <v>41964</v>
      </c>
      <c r="C27" s="137">
        <v>-0.5</v>
      </c>
      <c r="D27" s="138">
        <v>0.73958333333333337</v>
      </c>
      <c r="E27"/>
      <c r="F27" s="8">
        <v>1755.8387834649297</v>
      </c>
      <c r="H27" s="97">
        <v>908.66070812013311</v>
      </c>
      <c r="J27" s="8" t="s">
        <v>11</v>
      </c>
      <c r="L27" s="96">
        <v>4579.2160413434676</v>
      </c>
      <c r="N27" s="8" t="s">
        <v>11</v>
      </c>
      <c r="O27" s="15">
        <f>+F27+H27+L27</f>
        <v>7243.7155329285306</v>
      </c>
    </row>
    <row r="28" spans="1:15" x14ac:dyDescent="0.25">
      <c r="A28" s="4">
        <v>41965</v>
      </c>
      <c r="B28" s="5">
        <f t="shared" si="3"/>
        <v>41965</v>
      </c>
      <c r="C28" s="137">
        <v>-0.8</v>
      </c>
      <c r="D28" s="138">
        <v>0.76666666666666672</v>
      </c>
      <c r="E28" s="2" t="s">
        <v>56</v>
      </c>
      <c r="F28" s="8">
        <f>+H28*(F27+F26)/(H26+H27)</f>
        <v>6404.8875987230003</v>
      </c>
      <c r="H28" s="97">
        <v>12687.182221723857</v>
      </c>
      <c r="J28" s="97">
        <v>20605.139288722479</v>
      </c>
      <c r="L28" s="96">
        <v>19249.965510364265</v>
      </c>
      <c r="N28" s="8" t="s">
        <v>11</v>
      </c>
      <c r="O28" s="15">
        <f>+F28+H28+J28+L28</f>
        <v>58947.174619533602</v>
      </c>
    </row>
    <row r="29" spans="1:15" x14ac:dyDescent="0.25">
      <c r="A29" s="4">
        <v>41966</v>
      </c>
      <c r="B29" s="5">
        <f t="shared" si="3"/>
        <v>41966</v>
      </c>
      <c r="C29" s="137">
        <v>-1</v>
      </c>
      <c r="D29" s="138">
        <v>0.79513888888888884</v>
      </c>
      <c r="E29"/>
      <c r="F29" s="8">
        <v>5551.2334077199012</v>
      </c>
      <c r="H29" s="97">
        <v>3603.9795122450091</v>
      </c>
      <c r="J29" s="8" t="s">
        <v>11</v>
      </c>
      <c r="L29" s="96">
        <v>6389.984279703528</v>
      </c>
      <c r="N29" s="8" t="s">
        <v>11</v>
      </c>
      <c r="O29" s="15">
        <f>+F29+H29+L29</f>
        <v>15545.197199668437</v>
      </c>
    </row>
    <row r="30" spans="1:15" x14ac:dyDescent="0.25">
      <c r="A30" s="4">
        <v>41967</v>
      </c>
      <c r="B30" s="5">
        <f t="shared" si="3"/>
        <v>41967</v>
      </c>
      <c r="C30" s="137">
        <v>-1.1000000000000001</v>
      </c>
      <c r="D30" s="138">
        <v>0.82430555555555551</v>
      </c>
      <c r="E30"/>
      <c r="F30" s="8">
        <v>196.76642147909402</v>
      </c>
      <c r="H30" s="97">
        <v>0</v>
      </c>
      <c r="J30" s="8" t="s">
        <v>11</v>
      </c>
      <c r="L30" s="8" t="s">
        <v>11</v>
      </c>
      <c r="N30" s="8" t="s">
        <v>11</v>
      </c>
      <c r="O30" s="15">
        <f>+F30+H30</f>
        <v>196.76642147909402</v>
      </c>
    </row>
    <row r="31" spans="1:15" x14ac:dyDescent="0.25">
      <c r="A31" s="4">
        <v>41968</v>
      </c>
      <c r="B31" s="5">
        <f t="shared" si="3"/>
        <v>41968</v>
      </c>
      <c r="C31" s="137">
        <v>-0.9</v>
      </c>
      <c r="D31" s="138">
        <v>0.85555555555555551</v>
      </c>
      <c r="E31" s="2" t="s">
        <v>56</v>
      </c>
      <c r="F31" s="8">
        <v>1834.6185658830766</v>
      </c>
      <c r="G31" s="2" t="s">
        <v>56</v>
      </c>
      <c r="H31" s="97">
        <v>3634.1215507602442</v>
      </c>
      <c r="J31" s="8" t="s">
        <v>11</v>
      </c>
      <c r="L31" s="8" t="s">
        <v>11</v>
      </c>
      <c r="N31" s="8" t="s">
        <v>11</v>
      </c>
      <c r="O31" s="15">
        <f>+F31+H31</f>
        <v>5468.740116643321</v>
      </c>
    </row>
    <row r="32" spans="1:15" x14ac:dyDescent="0.25">
      <c r="A32" s="4">
        <v>41969</v>
      </c>
      <c r="B32" s="5">
        <f t="shared" si="3"/>
        <v>41969</v>
      </c>
      <c r="C32" s="137">
        <v>-0.5</v>
      </c>
      <c r="D32" s="138">
        <v>0.8881944444444444</v>
      </c>
      <c r="E32" s="2" t="s">
        <v>56</v>
      </c>
      <c r="F32" s="8">
        <f>+H32*(F27+F26)/(H26+H27)</f>
        <v>1834.6185658830766</v>
      </c>
      <c r="H32" s="97">
        <v>3634.1215507602442</v>
      </c>
      <c r="J32" s="8" t="s">
        <v>11</v>
      </c>
      <c r="L32" s="8" t="s">
        <v>11</v>
      </c>
      <c r="N32" s="8" t="s">
        <v>11</v>
      </c>
      <c r="O32" s="15">
        <f>+F32+H32</f>
        <v>5468.740116643321</v>
      </c>
    </row>
    <row r="33" spans="1:15" x14ac:dyDescent="0.25">
      <c r="A33" s="4"/>
      <c r="B33" s="5"/>
      <c r="C33" s="137"/>
      <c r="D33" s="138"/>
      <c r="E33"/>
      <c r="O33" s="15"/>
    </row>
    <row r="34" spans="1:15" x14ac:dyDescent="0.25">
      <c r="A34" s="4">
        <v>41976</v>
      </c>
      <c r="B34" s="5">
        <f t="shared" ref="B34:B39" si="4">+A34</f>
        <v>41976</v>
      </c>
      <c r="C34" s="137">
        <v>-0.1</v>
      </c>
      <c r="D34" s="138">
        <v>0.67638888888888893</v>
      </c>
      <c r="E34"/>
      <c r="F34" s="8">
        <v>12364.244246829141</v>
      </c>
      <c r="H34" s="97">
        <v>10111.090664044705</v>
      </c>
      <c r="J34" s="8" t="s">
        <v>11</v>
      </c>
      <c r="L34" s="8" t="s">
        <v>11</v>
      </c>
      <c r="N34" s="8" t="s">
        <v>11</v>
      </c>
      <c r="O34" s="15">
        <f>+F34+H34</f>
        <v>22475.334910873848</v>
      </c>
    </row>
    <row r="35" spans="1:15" x14ac:dyDescent="0.25">
      <c r="A35" s="4">
        <v>41977</v>
      </c>
      <c r="B35" s="5">
        <f t="shared" si="4"/>
        <v>41977</v>
      </c>
      <c r="C35" s="137">
        <v>-0.6</v>
      </c>
      <c r="D35" s="138">
        <v>0.70972222222222225</v>
      </c>
      <c r="E35"/>
      <c r="F35" s="8">
        <v>12452.766833533831</v>
      </c>
      <c r="H35" s="97">
        <v>9075.6694986035909</v>
      </c>
      <c r="J35" s="8" t="s">
        <v>11</v>
      </c>
      <c r="L35" s="8" t="s">
        <v>11</v>
      </c>
      <c r="N35" s="8" t="s">
        <v>11</v>
      </c>
      <c r="O35" s="15">
        <f>+F35+H35</f>
        <v>21528.436332137422</v>
      </c>
    </row>
    <row r="36" spans="1:15" x14ac:dyDescent="0.25">
      <c r="A36" s="4">
        <v>41978</v>
      </c>
      <c r="B36" s="5">
        <f t="shared" si="4"/>
        <v>41978</v>
      </c>
      <c r="C36" s="137">
        <v>-0.9</v>
      </c>
      <c r="D36" s="138">
        <v>0.73958333333333337</v>
      </c>
      <c r="E36"/>
      <c r="F36" s="8">
        <v>12690.70788992292</v>
      </c>
      <c r="H36" s="97">
        <v>11410.790798689859</v>
      </c>
      <c r="J36" s="8" t="s">
        <v>11</v>
      </c>
      <c r="L36" s="96">
        <v>14418.0356446609</v>
      </c>
      <c r="N36" s="8" t="s">
        <v>11</v>
      </c>
      <c r="O36" s="15">
        <f>+F36+H36+L36</f>
        <v>38519.534333273681</v>
      </c>
    </row>
    <row r="37" spans="1:15" x14ac:dyDescent="0.25">
      <c r="A37" s="4">
        <v>41979</v>
      </c>
      <c r="B37" s="105">
        <f t="shared" si="4"/>
        <v>41979</v>
      </c>
      <c r="C37" s="137">
        <v>-1</v>
      </c>
      <c r="D37" s="138">
        <v>0.7680555555555556</v>
      </c>
      <c r="E37"/>
      <c r="F37" s="8">
        <v>15925.352241913741</v>
      </c>
      <c r="G37" s="2" t="s">
        <v>56</v>
      </c>
      <c r="H37" s="8">
        <f>+(H34+H35+H36)*F37/(F34+F35+F36)</f>
        <v>12991.373247337264</v>
      </c>
      <c r="J37" s="96">
        <v>15362.333857867772</v>
      </c>
      <c r="L37" s="96">
        <v>20966.365637924631</v>
      </c>
      <c r="N37" s="8" t="s">
        <v>11</v>
      </c>
      <c r="O37" s="15">
        <f>+F37+H37+J37+L37</f>
        <v>65245.424985043406</v>
      </c>
    </row>
    <row r="38" spans="1:15" x14ac:dyDescent="0.25">
      <c r="A38" s="4">
        <v>41980</v>
      </c>
      <c r="B38" s="5">
        <f t="shared" si="4"/>
        <v>41980</v>
      </c>
      <c r="C38" s="137">
        <v>-0.9</v>
      </c>
      <c r="D38" s="138">
        <v>0.79583333333333328</v>
      </c>
      <c r="E38"/>
      <c r="F38" s="8">
        <v>1052.6315554650837</v>
      </c>
      <c r="H38" s="97">
        <v>3113.8632567300024</v>
      </c>
      <c r="J38" s="8" t="s">
        <v>11</v>
      </c>
      <c r="L38" s="96">
        <v>5210.1071349501954</v>
      </c>
      <c r="M38">
        <v>15</v>
      </c>
      <c r="N38" s="8" t="s">
        <v>11</v>
      </c>
      <c r="O38" s="15">
        <f>+F38+H38+L38</f>
        <v>9376.6019471452819</v>
      </c>
    </row>
    <row r="39" spans="1:15" x14ac:dyDescent="0.25">
      <c r="A39" s="4">
        <v>41981</v>
      </c>
      <c r="B39" s="5">
        <f t="shared" si="4"/>
        <v>41981</v>
      </c>
      <c r="C39" s="137">
        <v>-0.6</v>
      </c>
      <c r="D39" s="138">
        <v>0.82222222222222219</v>
      </c>
      <c r="E39"/>
      <c r="F39" s="8">
        <v>1052.6315554650837</v>
      </c>
      <c r="H39" s="97">
        <v>3113.8632567300024</v>
      </c>
      <c r="J39" s="8" t="s">
        <v>11</v>
      </c>
      <c r="L39" s="8" t="s">
        <v>11</v>
      </c>
      <c r="N39" s="8" t="s">
        <v>11</v>
      </c>
      <c r="O39" s="15">
        <f>+F39+H39</f>
        <v>4166.4948121950856</v>
      </c>
    </row>
    <row r="40" spans="1:15" x14ac:dyDescent="0.25">
      <c r="A40" s="4">
        <v>41982</v>
      </c>
      <c r="B40" s="5">
        <f t="shared" si="0"/>
        <v>41982</v>
      </c>
      <c r="C40" s="137">
        <v>-0.2</v>
      </c>
      <c r="D40" s="138">
        <v>0.84791666666666665</v>
      </c>
      <c r="E40" s="2" t="s">
        <v>62</v>
      </c>
      <c r="F40" s="8">
        <v>0</v>
      </c>
      <c r="G40" s="2" t="s">
        <v>62</v>
      </c>
      <c r="H40" s="97">
        <v>0</v>
      </c>
      <c r="J40" s="8" t="s">
        <v>11</v>
      </c>
      <c r="L40" s="8" t="s">
        <v>11</v>
      </c>
      <c r="N40" s="8" t="s">
        <v>11</v>
      </c>
      <c r="O40" s="15">
        <f>+F40+H40</f>
        <v>0</v>
      </c>
    </row>
    <row r="41" spans="1:15" x14ac:dyDescent="0.25">
      <c r="A41" s="4">
        <v>41983</v>
      </c>
      <c r="B41" s="5">
        <f t="shared" si="0"/>
        <v>41983</v>
      </c>
      <c r="C41" s="137">
        <v>0.2</v>
      </c>
      <c r="D41" s="138">
        <v>0.87361111111111112</v>
      </c>
      <c r="E41" s="2" t="s">
        <v>62</v>
      </c>
      <c r="F41" s="8">
        <v>0</v>
      </c>
      <c r="G41" s="2" t="s">
        <v>62</v>
      </c>
      <c r="H41" s="97">
        <v>0</v>
      </c>
      <c r="J41" s="8" t="s">
        <v>11</v>
      </c>
      <c r="L41" s="8" t="s">
        <v>11</v>
      </c>
      <c r="N41" s="8" t="s">
        <v>11</v>
      </c>
      <c r="O41" s="15">
        <f>+F41+H41</f>
        <v>0</v>
      </c>
    </row>
    <row r="42" spans="1:15" x14ac:dyDescent="0.25">
      <c r="C42"/>
      <c r="D42"/>
      <c r="E42"/>
      <c r="F42" s="8"/>
      <c r="G42" s="2"/>
      <c r="H42" s="97"/>
      <c r="J42" s="97"/>
      <c r="L42" s="96"/>
      <c r="N42" s="1"/>
      <c r="O42" s="15"/>
    </row>
    <row r="43" spans="1:15" x14ac:dyDescent="0.25">
      <c r="A43" s="4">
        <v>41992</v>
      </c>
      <c r="B43" s="5">
        <f t="shared" si="0"/>
        <v>41992</v>
      </c>
      <c r="C43" s="137">
        <v>0</v>
      </c>
      <c r="D43" s="138">
        <v>0.69513888888888886</v>
      </c>
      <c r="E43" s="2" t="s">
        <v>56</v>
      </c>
      <c r="F43" s="8">
        <f>+H43*F46/H46</f>
        <v>13707.333145788125</v>
      </c>
      <c r="H43" s="97">
        <v>3878.2692542228874</v>
      </c>
      <c r="J43" s="8" t="s">
        <v>11</v>
      </c>
      <c r="L43" s="96">
        <v>5939.9198323192541</v>
      </c>
      <c r="N43" s="8" t="s">
        <v>11</v>
      </c>
      <c r="O43" s="15">
        <f>+F43+H43+L43</f>
        <v>23525.522232330266</v>
      </c>
    </row>
    <row r="44" spans="1:15" x14ac:dyDescent="0.25">
      <c r="A44" s="4">
        <v>41993</v>
      </c>
      <c r="B44" s="5">
        <f t="shared" ref="B44:B65" si="5">+A44</f>
        <v>41993</v>
      </c>
      <c r="C44" s="137">
        <v>-0.6</v>
      </c>
      <c r="D44" s="138">
        <v>0.72430555555555554</v>
      </c>
      <c r="E44" s="2" t="s">
        <v>56</v>
      </c>
      <c r="F44" s="8">
        <v>0</v>
      </c>
      <c r="G44" s="2" t="s">
        <v>56</v>
      </c>
      <c r="H44" s="97">
        <f>+L44*H43/L43</f>
        <v>0</v>
      </c>
      <c r="J44" s="96">
        <v>68.986478772441941</v>
      </c>
      <c r="L44" s="96">
        <v>0</v>
      </c>
      <c r="N44" s="8" t="s">
        <v>11</v>
      </c>
      <c r="O44" s="15">
        <f>+F44+H44+J44+L44</f>
        <v>68.986478772441941</v>
      </c>
    </row>
    <row r="45" spans="1:15" x14ac:dyDescent="0.25">
      <c r="A45" s="4">
        <v>41994</v>
      </c>
      <c r="B45" s="5">
        <f t="shared" si="5"/>
        <v>41994</v>
      </c>
      <c r="C45" s="137">
        <v>-1.1000000000000001</v>
      </c>
      <c r="D45" s="138">
        <v>0.75416666666666665</v>
      </c>
      <c r="E45" s="2" t="s">
        <v>56</v>
      </c>
      <c r="F45" s="8">
        <f>+Effort!F45*CPUE!F45</f>
        <v>11149.078438960198</v>
      </c>
      <c r="H45" s="97">
        <v>9386.4796169215078</v>
      </c>
      <c r="J45" s="8" t="s">
        <v>11</v>
      </c>
      <c r="K45" s="2" t="s">
        <v>56</v>
      </c>
      <c r="L45" s="96">
        <f>+Effort!L45*CPUE!L45</f>
        <v>13086.902075833983</v>
      </c>
      <c r="N45" s="8" t="s">
        <v>11</v>
      </c>
      <c r="O45" s="15">
        <f>+F45+H45+L45</f>
        <v>33622.460131715692</v>
      </c>
    </row>
    <row r="46" spans="1:15" x14ac:dyDescent="0.25">
      <c r="A46" s="4">
        <v>41995</v>
      </c>
      <c r="B46" s="5">
        <f t="shared" si="5"/>
        <v>41995</v>
      </c>
      <c r="C46" s="137">
        <v>-1.3</v>
      </c>
      <c r="D46" s="138">
        <v>0.78333333333333333</v>
      </c>
      <c r="E46" s="2"/>
      <c r="F46" s="8">
        <v>8907.2701788647682</v>
      </c>
      <c r="H46" s="97">
        <v>2520.168708700442</v>
      </c>
      <c r="J46" s="8" t="s">
        <v>11</v>
      </c>
      <c r="L46" s="8" t="s">
        <v>11</v>
      </c>
      <c r="N46" s="8" t="s">
        <v>11</v>
      </c>
      <c r="O46" s="15">
        <f>+F46+H46</f>
        <v>11427.438887565211</v>
      </c>
    </row>
    <row r="47" spans="1:15" x14ac:dyDescent="0.25">
      <c r="A47" s="4">
        <v>41996</v>
      </c>
      <c r="B47" s="5">
        <f t="shared" si="5"/>
        <v>41996</v>
      </c>
      <c r="C47" s="137">
        <v>-1.3</v>
      </c>
      <c r="D47" s="138">
        <v>0.81319444444444444</v>
      </c>
      <c r="E47" s="2" t="s">
        <v>56</v>
      </c>
      <c r="F47" s="8">
        <v>8907.2701788647682</v>
      </c>
      <c r="G47" s="2" t="s">
        <v>56</v>
      </c>
      <c r="H47" s="97">
        <v>2520.168708700442</v>
      </c>
      <c r="J47" s="8" t="s">
        <v>11</v>
      </c>
      <c r="L47" s="8" t="s">
        <v>11</v>
      </c>
      <c r="N47" s="8" t="s">
        <v>11</v>
      </c>
      <c r="O47" s="15">
        <f>+F47+H47</f>
        <v>11427.438887565211</v>
      </c>
    </row>
    <row r="48" spans="1:15" x14ac:dyDescent="0.25">
      <c r="A48" s="4"/>
      <c r="B48" s="5"/>
      <c r="C48" s="13"/>
      <c r="D48" s="98"/>
      <c r="E48"/>
      <c r="F48" s="1"/>
      <c r="G48" s="2"/>
      <c r="H48" s="97"/>
      <c r="J48" s="1"/>
      <c r="L48" s="1"/>
      <c r="N48" s="1"/>
      <c r="O48" s="15"/>
    </row>
    <row r="49" spans="1:15" x14ac:dyDescent="0.25">
      <c r="A49" s="156">
        <v>42004</v>
      </c>
      <c r="B49" s="5">
        <f t="shared" si="5"/>
        <v>42004</v>
      </c>
      <c r="C49" s="13">
        <v>0.6</v>
      </c>
      <c r="D49" s="12">
        <v>0.62847222222222221</v>
      </c>
      <c r="E49" s="2" t="s">
        <v>56</v>
      </c>
      <c r="F49" s="8">
        <f>+(J49+L49)*(F51+F52)/(J51+L51+J52+L52)</f>
        <v>59297.034891128853</v>
      </c>
      <c r="G49" s="2"/>
      <c r="H49" s="97">
        <v>30310.543209876541</v>
      </c>
      <c r="J49" s="96">
        <v>44344.421324569907</v>
      </c>
      <c r="L49" s="96">
        <v>29884.655699842595</v>
      </c>
      <c r="N49" s="8" t="s">
        <v>11</v>
      </c>
      <c r="O49" s="15">
        <f>+F49+H49+J49+L49</f>
        <v>163836.65512541792</v>
      </c>
    </row>
    <row r="50" spans="1:15" x14ac:dyDescent="0.25">
      <c r="A50" s="156">
        <v>42005</v>
      </c>
      <c r="B50" s="5">
        <f t="shared" si="5"/>
        <v>42005</v>
      </c>
      <c r="C50" s="13">
        <v>0.2</v>
      </c>
      <c r="D50" s="12">
        <v>0.66736111111111107</v>
      </c>
      <c r="E50"/>
      <c r="F50" s="8">
        <v>57295.218346881637</v>
      </c>
      <c r="G50" s="2"/>
      <c r="H50" s="97">
        <v>32968.356310084448</v>
      </c>
      <c r="J50" s="96">
        <v>51837.711026503501</v>
      </c>
      <c r="L50" s="96">
        <v>44211.617242533437</v>
      </c>
      <c r="N50" s="8" t="s">
        <v>11</v>
      </c>
      <c r="O50" s="15">
        <f>+F50+H50+J50+L50</f>
        <v>186312.90292600304</v>
      </c>
    </row>
    <row r="51" spans="1:15" x14ac:dyDescent="0.25">
      <c r="A51" s="156">
        <v>42006</v>
      </c>
      <c r="B51" s="5">
        <f t="shared" si="5"/>
        <v>42006</v>
      </c>
      <c r="C51" s="13">
        <v>-0.2</v>
      </c>
      <c r="D51" s="12">
        <v>0.7006944444444444</v>
      </c>
      <c r="E51"/>
      <c r="F51" s="8">
        <v>44105.41102727309</v>
      </c>
      <c r="H51" s="97">
        <v>30647.888154347838</v>
      </c>
      <c r="J51" s="96">
        <v>33253.16066975602</v>
      </c>
      <c r="L51" s="96">
        <v>17958.533955469629</v>
      </c>
      <c r="N51" s="8" t="s">
        <v>11</v>
      </c>
      <c r="O51" s="15">
        <f>+F51+H51+J51+L51</f>
        <v>125964.99380684657</v>
      </c>
    </row>
    <row r="52" spans="1:15" x14ac:dyDescent="0.25">
      <c r="A52" s="156">
        <v>42007</v>
      </c>
      <c r="B52" s="5">
        <f t="shared" si="5"/>
        <v>42007</v>
      </c>
      <c r="C52" s="13">
        <v>-0.5</v>
      </c>
      <c r="D52" s="12">
        <v>0.73055555555555551</v>
      </c>
      <c r="E52"/>
      <c r="F52" s="8">
        <v>53497.129278363587</v>
      </c>
      <c r="H52" s="97">
        <v>25908.800433439043</v>
      </c>
      <c r="J52" s="96">
        <v>47280.007870234927</v>
      </c>
      <c r="L52" s="96">
        <v>23688.88369114001</v>
      </c>
      <c r="N52" s="8" t="s">
        <v>11</v>
      </c>
      <c r="O52" s="15">
        <f>+F52+H52+J52+L52</f>
        <v>150374.82127317757</v>
      </c>
    </row>
    <row r="53" spans="1:15" x14ac:dyDescent="0.25">
      <c r="A53" s="156">
        <v>42008</v>
      </c>
      <c r="B53" s="5">
        <f t="shared" si="5"/>
        <v>42008</v>
      </c>
      <c r="C53" s="13">
        <v>-0.5</v>
      </c>
      <c r="D53" s="12">
        <v>0.7583333333333333</v>
      </c>
      <c r="E53"/>
      <c r="F53" s="8">
        <v>616.40382719589059</v>
      </c>
      <c r="G53" s="2"/>
      <c r="H53" s="97">
        <v>547.90232949537983</v>
      </c>
      <c r="J53" s="8" t="s">
        <v>11</v>
      </c>
      <c r="L53" s="96">
        <v>391.55468171006976</v>
      </c>
      <c r="N53" s="8" t="s">
        <v>11</v>
      </c>
      <c r="O53" s="15">
        <f>+F53+H53+L53</f>
        <v>1555.8608384013401</v>
      </c>
    </row>
    <row r="54" spans="1:15" x14ac:dyDescent="0.25">
      <c r="A54" s="156">
        <v>42009</v>
      </c>
      <c r="B54" s="5">
        <f t="shared" si="5"/>
        <v>42009</v>
      </c>
      <c r="C54" s="13">
        <v>-0.5</v>
      </c>
      <c r="D54" s="12">
        <v>0.78333333333333333</v>
      </c>
      <c r="E54"/>
      <c r="F54" s="8">
        <v>0</v>
      </c>
      <c r="G54" s="2" t="s">
        <v>56</v>
      </c>
      <c r="H54" s="97">
        <v>0</v>
      </c>
      <c r="J54" s="8" t="s">
        <v>11</v>
      </c>
      <c r="L54" s="8" t="s">
        <v>11</v>
      </c>
      <c r="N54" s="8" t="s">
        <v>11</v>
      </c>
      <c r="O54" s="15">
        <f>+F54+H54</f>
        <v>0</v>
      </c>
    </row>
    <row r="55" spans="1:15" x14ac:dyDescent="0.25">
      <c r="A55" s="156">
        <v>42010</v>
      </c>
      <c r="B55" s="5">
        <f t="shared" si="5"/>
        <v>42010</v>
      </c>
      <c r="C55" s="13">
        <v>-0.3</v>
      </c>
      <c r="D55" s="12">
        <v>0.80763888888888891</v>
      </c>
      <c r="E55" s="2" t="s">
        <v>56</v>
      </c>
      <c r="F55" s="8">
        <f>+H55*F53/H53</f>
        <v>2502.8201587919525</v>
      </c>
      <c r="H55" s="97">
        <v>2224.6795603920114</v>
      </c>
      <c r="J55" s="8" t="s">
        <v>11</v>
      </c>
      <c r="L55" s="8" t="s">
        <v>11</v>
      </c>
      <c r="N55" s="8" t="s">
        <v>11</v>
      </c>
      <c r="O55" s="15">
        <f>+F55+H55</f>
        <v>4727.4997191839639</v>
      </c>
    </row>
    <row r="56" spans="1:15" x14ac:dyDescent="0.25">
      <c r="A56" s="156">
        <v>42011</v>
      </c>
      <c r="B56" s="5">
        <f t="shared" si="5"/>
        <v>42011</v>
      </c>
      <c r="C56" s="13">
        <v>-0.1</v>
      </c>
      <c r="D56" s="12">
        <v>0.83125000000000004</v>
      </c>
      <c r="E56"/>
      <c r="F56" s="8">
        <v>1547.9875815662995</v>
      </c>
      <c r="H56" s="97">
        <v>1503.9032552084479</v>
      </c>
      <c r="J56" s="8" t="s">
        <v>11</v>
      </c>
      <c r="L56" s="8" t="s">
        <v>11</v>
      </c>
      <c r="N56" s="8" t="s">
        <v>11</v>
      </c>
      <c r="O56" s="15">
        <f>+F56+H56</f>
        <v>3051.8908367747472</v>
      </c>
    </row>
    <row r="57" spans="1:15" x14ac:dyDescent="0.25">
      <c r="A57" s="4"/>
      <c r="C57"/>
      <c r="D57" s="98"/>
      <c r="E57"/>
      <c r="F57" s="8"/>
      <c r="G57" s="2"/>
      <c r="H57" s="97"/>
      <c r="J57" s="97"/>
      <c r="L57" s="96"/>
      <c r="N57" s="1"/>
      <c r="O57" s="15"/>
    </row>
    <row r="58" spans="1:15" x14ac:dyDescent="0.25">
      <c r="A58" s="4">
        <v>42021</v>
      </c>
      <c r="B58" s="5">
        <f t="shared" si="5"/>
        <v>42021</v>
      </c>
      <c r="C58" s="13">
        <v>0.1</v>
      </c>
      <c r="D58" s="98">
        <v>0.67708333333333337</v>
      </c>
      <c r="E58"/>
      <c r="F58" s="8">
        <v>16325.302800525664</v>
      </c>
      <c r="H58" s="97">
        <v>11633.473986974917</v>
      </c>
      <c r="J58" s="97">
        <v>23136.129741245037</v>
      </c>
      <c r="L58" s="96">
        <v>17233.195959975012</v>
      </c>
      <c r="N58" s="8" t="s">
        <v>11</v>
      </c>
      <c r="O58" s="15">
        <f>+F58+H58+J58+L58</f>
        <v>68328.102488720629</v>
      </c>
    </row>
    <row r="59" spans="1:15" x14ac:dyDescent="0.25">
      <c r="A59" s="4">
        <v>42022</v>
      </c>
      <c r="B59" s="5">
        <f t="shared" si="5"/>
        <v>42022</v>
      </c>
      <c r="C59" s="13">
        <v>-0.6</v>
      </c>
      <c r="D59" s="98">
        <v>0.70972222222222225</v>
      </c>
      <c r="E59" s="2" t="s">
        <v>56</v>
      </c>
      <c r="F59" s="8">
        <f>+F36*H59/H36</f>
        <v>17697.238570500936</v>
      </c>
      <c r="G59" s="2"/>
      <c r="H59" s="97">
        <v>15912.389505304254</v>
      </c>
      <c r="J59" s="8" t="s">
        <v>11</v>
      </c>
      <c r="L59" s="96">
        <v>29732.415393867508</v>
      </c>
      <c r="N59" s="8" t="s">
        <v>11</v>
      </c>
      <c r="O59" s="15">
        <f>+F59+H59+L59</f>
        <v>63342.043469672695</v>
      </c>
    </row>
    <row r="60" spans="1:15" x14ac:dyDescent="0.25">
      <c r="A60" s="4">
        <v>42023</v>
      </c>
      <c r="B60" s="5">
        <f t="shared" si="5"/>
        <v>42023</v>
      </c>
      <c r="C60" s="13">
        <v>-1.1000000000000001</v>
      </c>
      <c r="D60" s="98">
        <v>0.74097222222222225</v>
      </c>
      <c r="E60" s="2" t="s">
        <v>56</v>
      </c>
      <c r="F60" s="8">
        <f>+(F35+F34)*H60/(H35+H34)</f>
        <v>45897.079377297749</v>
      </c>
      <c r="G60" s="2"/>
      <c r="H60" s="97">
        <v>35484.380102285999</v>
      </c>
      <c r="J60" s="8" t="s">
        <v>11</v>
      </c>
      <c r="L60" s="8" t="s">
        <v>11</v>
      </c>
      <c r="N60" s="8" t="s">
        <v>11</v>
      </c>
      <c r="O60" s="15">
        <f>+F60+H60</f>
        <v>81381.459479583747</v>
      </c>
    </row>
    <row r="61" spans="1:15" x14ac:dyDescent="0.25">
      <c r="A61" s="4">
        <v>42024</v>
      </c>
      <c r="B61" s="5">
        <f t="shared" si="5"/>
        <v>42024</v>
      </c>
      <c r="C61" s="13">
        <v>-1.4</v>
      </c>
      <c r="D61" s="98">
        <v>0.77083333333333337</v>
      </c>
      <c r="E61"/>
      <c r="F61" s="8">
        <v>3075.8464346442406</v>
      </c>
      <c r="G61" s="2" t="s">
        <v>56</v>
      </c>
      <c r="H61" s="97">
        <f>+F61*F62/H62</f>
        <v>2455.6620050358315</v>
      </c>
      <c r="J61" s="8" t="s">
        <v>11</v>
      </c>
      <c r="L61" s="8" t="s">
        <v>11</v>
      </c>
      <c r="N61" s="8" t="s">
        <v>11</v>
      </c>
      <c r="O61" s="15">
        <f>+F61+H61</f>
        <v>5531.5084396800721</v>
      </c>
    </row>
    <row r="62" spans="1:15" x14ac:dyDescent="0.25">
      <c r="A62" s="4">
        <v>42025</v>
      </c>
      <c r="B62" s="5">
        <f t="shared" si="5"/>
        <v>42025</v>
      </c>
      <c r="C62" s="13">
        <v>-1.4</v>
      </c>
      <c r="D62" s="98">
        <v>0.80069444444444449</v>
      </c>
      <c r="E62"/>
      <c r="F62" s="8">
        <v>6804.1820208143681</v>
      </c>
      <c r="H62" s="97">
        <v>8522.5975588146703</v>
      </c>
      <c r="J62" s="8" t="s">
        <v>11</v>
      </c>
      <c r="L62" s="8" t="s">
        <v>11</v>
      </c>
      <c r="N62" s="8" t="s">
        <v>11</v>
      </c>
      <c r="O62" s="15">
        <f>+F62+H62</f>
        <v>15326.779579629037</v>
      </c>
    </row>
    <row r="63" spans="1:15" x14ac:dyDescent="0.25">
      <c r="A63" s="4">
        <v>42026</v>
      </c>
      <c r="B63" s="5">
        <f t="shared" si="5"/>
        <v>42026</v>
      </c>
      <c r="C63" s="13">
        <v>-1.1000000000000001</v>
      </c>
      <c r="D63" s="98">
        <v>0.8305555555555556</v>
      </c>
      <c r="E63" s="2" t="s">
        <v>56</v>
      </c>
      <c r="F63" s="8">
        <f>+Effort!F63*CPUE!F63</f>
        <v>1414.2450914593055</v>
      </c>
      <c r="H63" s="97">
        <v>1793.6638004122647</v>
      </c>
      <c r="J63" s="8" t="s">
        <v>11</v>
      </c>
      <c r="L63" s="8" t="s">
        <v>11</v>
      </c>
      <c r="N63" s="8" t="s">
        <v>11</v>
      </c>
      <c r="O63" s="15">
        <f>+F63+H63</f>
        <v>3207.9088918715702</v>
      </c>
    </row>
    <row r="64" spans="1:15" x14ac:dyDescent="0.25">
      <c r="A64" s="4">
        <v>42027</v>
      </c>
      <c r="B64" s="5">
        <f t="shared" si="5"/>
        <v>42027</v>
      </c>
      <c r="C64" s="13">
        <v>-0.6</v>
      </c>
      <c r="D64" s="98">
        <v>0.86111111111111116</v>
      </c>
      <c r="E64"/>
      <c r="F64" s="8">
        <v>4883.3848239811532</v>
      </c>
      <c r="G64" s="2"/>
      <c r="H64" s="97">
        <v>761.22222222222229</v>
      </c>
      <c r="J64" s="8" t="s">
        <v>11</v>
      </c>
      <c r="L64" s="8">
        <v>578.04963082911661</v>
      </c>
      <c r="N64" s="8" t="s">
        <v>11</v>
      </c>
      <c r="O64" s="15">
        <f>+F64+H64+L64</f>
        <v>6222.6566770324926</v>
      </c>
    </row>
    <row r="65" spans="1:16" x14ac:dyDescent="0.25">
      <c r="A65" s="4">
        <v>42028</v>
      </c>
      <c r="B65" s="105">
        <f t="shared" si="5"/>
        <v>42028</v>
      </c>
      <c r="C65" s="13">
        <v>0.1</v>
      </c>
      <c r="D65" s="98">
        <v>0.89236111111111116</v>
      </c>
      <c r="E65"/>
      <c r="F65" s="8">
        <v>8078.4596523456903</v>
      </c>
      <c r="H65" s="97">
        <v>1738.3948055476933</v>
      </c>
      <c r="J65" s="97">
        <v>6207.9004839066311</v>
      </c>
      <c r="L65" s="8">
        <v>5976.9311399685184</v>
      </c>
      <c r="N65" s="8" t="s">
        <v>11</v>
      </c>
      <c r="O65" s="15">
        <f>+F65+H65+J65+L65</f>
        <v>22001.686081768534</v>
      </c>
    </row>
    <row r="66" spans="1:16" x14ac:dyDescent="0.25">
      <c r="A66" s="4"/>
      <c r="B66" s="5"/>
      <c r="C66" s="13"/>
      <c r="D66" s="98"/>
      <c r="E66"/>
      <c r="F66" s="1"/>
      <c r="H66" s="97"/>
      <c r="J66" s="8"/>
      <c r="L66" s="1"/>
      <c r="N66" s="1"/>
      <c r="O66" s="15"/>
    </row>
    <row r="67" spans="1:16" x14ac:dyDescent="0.25">
      <c r="A67" s="4">
        <v>42034</v>
      </c>
      <c r="B67" s="105">
        <v>42034</v>
      </c>
      <c r="C67" s="13">
        <v>0.5</v>
      </c>
      <c r="D67" s="98">
        <v>0.65486111111111112</v>
      </c>
      <c r="E67"/>
      <c r="F67" s="8">
        <v>27880.080975795863</v>
      </c>
      <c r="H67" s="97">
        <v>16725.036158836199</v>
      </c>
      <c r="J67" s="8" t="s">
        <v>11</v>
      </c>
      <c r="L67" s="8">
        <v>36714.642872889228</v>
      </c>
      <c r="N67" s="8" t="s">
        <v>11</v>
      </c>
      <c r="O67" s="15">
        <f>+F67+H67+L67</f>
        <v>81319.760007521283</v>
      </c>
    </row>
    <row r="68" spans="1:16" x14ac:dyDescent="0.25">
      <c r="A68" s="4">
        <v>42035</v>
      </c>
      <c r="B68" s="105">
        <v>42035</v>
      </c>
      <c r="C68" s="13">
        <v>0.2</v>
      </c>
      <c r="D68" s="98">
        <v>0.68888888888888888</v>
      </c>
      <c r="E68"/>
      <c r="F68" s="8">
        <v>65533.983365995409</v>
      </c>
      <c r="H68" s="97">
        <v>15664.493787977863</v>
      </c>
      <c r="J68" s="8">
        <v>50699.918206086426</v>
      </c>
      <c r="L68" s="8">
        <v>41175.028213694175</v>
      </c>
      <c r="N68" s="8" t="s">
        <v>11</v>
      </c>
      <c r="O68" s="15">
        <f>+F68+H68+J68+L68</f>
        <v>173073.42357375385</v>
      </c>
    </row>
    <row r="69" spans="1:16" x14ac:dyDescent="0.25">
      <c r="A69" s="4">
        <v>42036</v>
      </c>
      <c r="B69" s="105">
        <v>42036</v>
      </c>
      <c r="C69" s="13">
        <v>0</v>
      </c>
      <c r="D69" s="98">
        <v>0.71875</v>
      </c>
      <c r="E69" s="2" t="s">
        <v>56</v>
      </c>
      <c r="F69" s="8">
        <f>+Effort!F69*CPUE!F69</f>
        <v>2672.1889064483721</v>
      </c>
      <c r="H69" s="97">
        <v>1590.156239210233</v>
      </c>
      <c r="J69" s="8" t="s">
        <v>11</v>
      </c>
      <c r="K69" s="2" t="s">
        <v>56</v>
      </c>
      <c r="L69" s="97">
        <f>+H69*L59/H59</f>
        <v>2971.2184854190941</v>
      </c>
      <c r="N69" s="8" t="s">
        <v>11</v>
      </c>
      <c r="O69" s="15">
        <f>+F69+H69+L69</f>
        <v>7233.563631077699</v>
      </c>
      <c r="P69" s="15">
        <f>SUM(O2:O68)</f>
        <v>2187622.5289232857</v>
      </c>
    </row>
    <row r="70" spans="1:16" x14ac:dyDescent="0.25">
      <c r="A70" s="4">
        <v>42037</v>
      </c>
      <c r="B70" s="105">
        <v>42037</v>
      </c>
      <c r="C70" s="13">
        <v>-0.1</v>
      </c>
      <c r="D70" s="98">
        <v>0.74513888888888891</v>
      </c>
      <c r="E70" s="2" t="s">
        <v>56</v>
      </c>
      <c r="F70" s="8">
        <f>+Effort!F70*CPUE!F70</f>
        <v>6253.6082838847624</v>
      </c>
      <c r="H70" s="97">
        <v>8813.3856364206331</v>
      </c>
      <c r="J70" s="8" t="s">
        <v>11</v>
      </c>
      <c r="L70" s="8" t="s">
        <v>11</v>
      </c>
      <c r="N70" s="8" t="s">
        <v>11</v>
      </c>
      <c r="O70" s="15">
        <f>+F70+H70</f>
        <v>15066.993920305395</v>
      </c>
    </row>
    <row r="71" spans="1:16" x14ac:dyDescent="0.25">
      <c r="A71" s="4">
        <v>42038</v>
      </c>
      <c r="B71" s="105">
        <v>42038</v>
      </c>
      <c r="C71" s="13">
        <v>-0.1</v>
      </c>
      <c r="D71" s="98">
        <v>0.76875000000000004</v>
      </c>
      <c r="E71"/>
      <c r="F71" s="8">
        <v>4835.0050520985997</v>
      </c>
      <c r="G71" s="2" t="s">
        <v>56</v>
      </c>
      <c r="H71" s="97">
        <f>+H72*F72/F71</f>
        <v>1700.3209159117303</v>
      </c>
      <c r="J71" s="8" t="s">
        <v>11</v>
      </c>
      <c r="L71" s="8" t="s">
        <v>11</v>
      </c>
      <c r="N71" s="8" t="s">
        <v>11</v>
      </c>
      <c r="O71" s="15">
        <f>+F71+H71</f>
        <v>6535.3259680103301</v>
      </c>
    </row>
    <row r="72" spans="1:16" x14ac:dyDescent="0.25">
      <c r="A72" s="4">
        <v>42039</v>
      </c>
      <c r="B72" s="105">
        <v>42039</v>
      </c>
      <c r="C72" s="13">
        <v>0</v>
      </c>
      <c r="D72" s="98">
        <v>0.79097222222222219</v>
      </c>
      <c r="E72"/>
      <c r="F72" s="8">
        <v>2095.4849732944413</v>
      </c>
      <c r="H72" s="97">
        <v>3923.2255651527284</v>
      </c>
      <c r="J72" s="8" t="s">
        <v>11</v>
      </c>
      <c r="L72" s="8" t="s">
        <v>11</v>
      </c>
      <c r="N72" s="8" t="s">
        <v>11</v>
      </c>
      <c r="O72" s="15">
        <f>+F72+H72</f>
        <v>6018.7105384471697</v>
      </c>
    </row>
    <row r="73" spans="1:16" x14ac:dyDescent="0.25">
      <c r="A73" s="4">
        <v>42040</v>
      </c>
      <c r="B73" s="105">
        <v>42040</v>
      </c>
      <c r="C73" s="13">
        <v>0.2</v>
      </c>
      <c r="D73" s="98">
        <v>0.8125</v>
      </c>
      <c r="E73" s="2" t="s">
        <v>62</v>
      </c>
      <c r="F73" s="8">
        <v>0</v>
      </c>
      <c r="G73" s="2" t="s">
        <v>62</v>
      </c>
      <c r="H73" s="97">
        <v>0</v>
      </c>
      <c r="J73" s="8" t="s">
        <v>11</v>
      </c>
      <c r="L73" s="8" t="s">
        <v>11</v>
      </c>
      <c r="N73" s="8" t="s">
        <v>11</v>
      </c>
      <c r="O73" s="15">
        <f>+F73+H73</f>
        <v>0</v>
      </c>
    </row>
    <row r="74" spans="1:16" x14ac:dyDescent="0.25">
      <c r="A74" s="4">
        <v>42041</v>
      </c>
      <c r="B74" s="105">
        <v>42041</v>
      </c>
      <c r="C74" s="13">
        <v>0.5</v>
      </c>
      <c r="D74" s="98">
        <v>0.83333333333333337</v>
      </c>
      <c r="E74" s="2" t="s">
        <v>62</v>
      </c>
      <c r="F74" s="8">
        <v>0</v>
      </c>
      <c r="G74" s="2" t="s">
        <v>62</v>
      </c>
      <c r="H74" s="97">
        <v>0</v>
      </c>
      <c r="J74" s="8" t="s">
        <v>11</v>
      </c>
      <c r="L74" s="8" t="s">
        <v>11</v>
      </c>
      <c r="N74" s="8" t="s">
        <v>11</v>
      </c>
      <c r="O74" s="15">
        <f>+F74+H74</f>
        <v>0</v>
      </c>
    </row>
    <row r="75" spans="1:16" x14ac:dyDescent="0.25">
      <c r="A75" s="4"/>
      <c r="B75" s="5"/>
      <c r="C75" s="13"/>
      <c r="D75" s="98"/>
      <c r="E75"/>
      <c r="F75" s="8"/>
      <c r="G75" s="2"/>
      <c r="H75" s="8"/>
      <c r="J75" s="97"/>
      <c r="L75" s="97"/>
      <c r="N75" s="1"/>
      <c r="O75" s="15"/>
    </row>
    <row r="76" spans="1:16" x14ac:dyDescent="0.25">
      <c r="A76" s="4">
        <v>42050</v>
      </c>
      <c r="B76" s="5">
        <f t="shared" ref="B76:B78" si="6">+A76</f>
        <v>42050</v>
      </c>
      <c r="C76" s="13">
        <v>0.2</v>
      </c>
      <c r="D76" s="98">
        <v>0.65763888888888888</v>
      </c>
      <c r="E76" s="2" t="s">
        <v>56</v>
      </c>
      <c r="F76" s="8">
        <f>+Effort!F76*CPUE!F76</f>
        <v>94498.796953946745</v>
      </c>
      <c r="G76" s="2"/>
      <c r="H76" s="8">
        <v>103186.01391091263</v>
      </c>
      <c r="J76" s="8" t="s">
        <v>11</v>
      </c>
      <c r="L76" s="8" t="s">
        <v>11</v>
      </c>
      <c r="N76" s="8" t="s">
        <v>11</v>
      </c>
      <c r="O76" s="15">
        <f>+F76+H76</f>
        <v>197684.81086485938</v>
      </c>
    </row>
    <row r="77" spans="1:16" x14ac:dyDescent="0.25">
      <c r="A77" s="4">
        <v>42051</v>
      </c>
      <c r="B77" s="5">
        <f t="shared" si="6"/>
        <v>42051</v>
      </c>
      <c r="C77" s="13">
        <v>-0.5</v>
      </c>
      <c r="D77" s="98">
        <v>0.69236111111111109</v>
      </c>
      <c r="E77" s="2" t="s">
        <v>56</v>
      </c>
      <c r="F77" s="8">
        <f>+Effort!F77*CPUE!F77</f>
        <v>74576.938195511349</v>
      </c>
      <c r="H77" s="8">
        <v>81204.007105575933</v>
      </c>
      <c r="J77" s="8" t="s">
        <v>11</v>
      </c>
      <c r="L77" s="8" t="s">
        <v>11</v>
      </c>
      <c r="N77" s="8" t="s">
        <v>11</v>
      </c>
      <c r="O77" s="15">
        <f>+F77+H77</f>
        <v>155780.94530108728</v>
      </c>
    </row>
    <row r="78" spans="1:16" x14ac:dyDescent="0.25">
      <c r="A78" s="4">
        <v>42052</v>
      </c>
      <c r="B78" s="5">
        <f t="shared" si="6"/>
        <v>42052</v>
      </c>
      <c r="C78" s="13">
        <v>-0.9</v>
      </c>
      <c r="D78" s="98">
        <v>0.72499999999999998</v>
      </c>
      <c r="E78"/>
      <c r="F78" s="8">
        <v>34812.761534105492</v>
      </c>
      <c r="G78" s="2" t="s">
        <v>56</v>
      </c>
      <c r="H78" s="8">
        <f>+(H72+H62+H56+H46+H39+H35+H34+H30+H26+H19+H18+H17+H10+H9+H4+H3+H2)*F78/(F72+F62+F56+F46+F39+F35+F34+F30+F26+F19+F18+F17+F10+F9+F4+F3+F2)</f>
        <v>37083.179557088828</v>
      </c>
      <c r="J78" s="8" t="s">
        <v>11</v>
      </c>
      <c r="L78" s="8" t="s">
        <v>11</v>
      </c>
      <c r="N78" s="8" t="s">
        <v>11</v>
      </c>
      <c r="O78" s="15">
        <f>+F78+H78</f>
        <v>71895.941091194312</v>
      </c>
    </row>
    <row r="79" spans="1:16" x14ac:dyDescent="0.25">
      <c r="A79" s="4">
        <v>42053</v>
      </c>
      <c r="B79" s="5">
        <f t="shared" ref="B79" si="7">+A79</f>
        <v>42053</v>
      </c>
      <c r="C79" s="13">
        <v>-1.1000000000000001</v>
      </c>
      <c r="D79" s="98">
        <v>0.75555555555555554</v>
      </c>
      <c r="E79" s="2" t="s">
        <v>56</v>
      </c>
      <c r="F79" s="8">
        <f>+Effort!F79*CPUE!F79</f>
        <v>30476.332469858851</v>
      </c>
      <c r="G79" s="2"/>
      <c r="H79" s="8">
        <v>33446.596204900408</v>
      </c>
      <c r="J79" s="8" t="s">
        <v>11</v>
      </c>
      <c r="L79" s="8" t="s">
        <v>11</v>
      </c>
      <c r="N79" s="8" t="s">
        <v>11</v>
      </c>
      <c r="O79" s="15">
        <f>+F79+H79</f>
        <v>63922.928674759256</v>
      </c>
    </row>
    <row r="80" spans="1:16" x14ac:dyDescent="0.25">
      <c r="A80" s="4">
        <v>42054</v>
      </c>
      <c r="B80" s="5">
        <f t="shared" ref="B80:B88" si="8">+A80</f>
        <v>42054</v>
      </c>
      <c r="C80" s="13">
        <v>-1.1000000000000001</v>
      </c>
      <c r="D80" s="98">
        <v>0.78541666666666665</v>
      </c>
      <c r="E80" s="2" t="s">
        <v>56</v>
      </c>
      <c r="F80" s="8">
        <f>+Effort!F80*CPUE!F80</f>
        <v>30476.332469858851</v>
      </c>
      <c r="G80" s="2" t="s">
        <v>56</v>
      </c>
      <c r="H80" s="8">
        <v>33446.596204900408</v>
      </c>
      <c r="J80" s="8" t="s">
        <v>11</v>
      </c>
      <c r="L80" s="8" t="s">
        <v>11</v>
      </c>
      <c r="N80" s="8" t="s">
        <v>11</v>
      </c>
      <c r="O80" s="15">
        <f>+F80+H80</f>
        <v>63922.928674759256</v>
      </c>
    </row>
    <row r="81" spans="1:15" x14ac:dyDescent="0.25">
      <c r="A81" s="4">
        <v>42055</v>
      </c>
      <c r="B81" s="5">
        <f t="shared" si="8"/>
        <v>42055</v>
      </c>
      <c r="C81" s="13">
        <v>-0.7</v>
      </c>
      <c r="D81" s="98">
        <v>0.81458333333333333</v>
      </c>
      <c r="E81" s="2" t="s">
        <v>56</v>
      </c>
      <c r="F81" s="8">
        <f>(F67+F64+F53+F36+F29+F20+F13+F11+F7+F5)*(H81+L81)/(L67+L64+L53+L36+L29+L20+L13+L11+L7+L5)</f>
        <v>54801.133274988933</v>
      </c>
      <c r="G81" s="2"/>
      <c r="H81" s="8">
        <v>15041.012284662638</v>
      </c>
      <c r="J81" s="8" t="s">
        <v>11</v>
      </c>
      <c r="L81" s="97">
        <v>28282.490870905938</v>
      </c>
      <c r="N81" s="8" t="s">
        <v>11</v>
      </c>
      <c r="O81" s="15">
        <f>+F81+H81+L81</f>
        <v>98124.636430557512</v>
      </c>
    </row>
    <row r="82" spans="1:15" x14ac:dyDescent="0.25">
      <c r="A82" s="4">
        <v>42056</v>
      </c>
      <c r="B82" s="5">
        <f t="shared" si="8"/>
        <v>42056</v>
      </c>
      <c r="C82" s="13">
        <v>-0.1</v>
      </c>
      <c r="D82" s="98">
        <v>0.84444444444444444</v>
      </c>
      <c r="E82"/>
      <c r="F82" s="8">
        <v>47411.624402410773</v>
      </c>
      <c r="G82" s="2" t="s">
        <v>56</v>
      </c>
      <c r="H82" s="8">
        <f>(H68+H58+H52+H51+H50+H6)*(F82+J82+L82)/(J68+L68+F68+F58+J58+L58+F52+J52+L52+F51+J51+L51+F50+J50+L50+J6+L6+F6)</f>
        <v>21322.057753988815</v>
      </c>
      <c r="J82" s="8">
        <v>43528.980003206023</v>
      </c>
      <c r="L82" s="97">
        <v>19966.598209323554</v>
      </c>
      <c r="N82" s="8" t="s">
        <v>11</v>
      </c>
      <c r="O82" s="15">
        <f>+F82+H82+J82+L82</f>
        <v>132229.26036892919</v>
      </c>
    </row>
    <row r="83" spans="1:15" x14ac:dyDescent="0.25">
      <c r="A83" s="4">
        <v>42057</v>
      </c>
      <c r="B83" s="5">
        <f t="shared" si="8"/>
        <v>42057</v>
      </c>
      <c r="C83" s="13">
        <v>0.6</v>
      </c>
      <c r="D83" s="98">
        <v>0.875</v>
      </c>
      <c r="E83" s="2" t="s">
        <v>56</v>
      </c>
      <c r="F83" s="8">
        <f>+Effort!F83*CPUE!F83</f>
        <v>11410.892710442529</v>
      </c>
      <c r="G83" s="2"/>
      <c r="H83" s="8">
        <v>3960</v>
      </c>
      <c r="J83" s="8" t="s">
        <v>11</v>
      </c>
      <c r="L83" s="97">
        <v>5242.9220526039644</v>
      </c>
      <c r="N83" s="8" t="s">
        <v>11</v>
      </c>
      <c r="O83" s="15">
        <f>+F83+H83+L83</f>
        <v>20613.814763046496</v>
      </c>
    </row>
    <row r="84" spans="1:15" x14ac:dyDescent="0.25">
      <c r="A84" s="4"/>
      <c r="B84" s="105"/>
      <c r="C84" s="13"/>
      <c r="D84" s="98"/>
      <c r="E84"/>
      <c r="O84" s="15"/>
    </row>
    <row r="85" spans="1:15" x14ac:dyDescent="0.25">
      <c r="A85" s="4">
        <v>42065</v>
      </c>
      <c r="B85" s="5">
        <f t="shared" si="8"/>
        <v>42065</v>
      </c>
      <c r="C85" s="136">
        <v>0.5</v>
      </c>
      <c r="D85" s="135">
        <v>0.7006944444444444</v>
      </c>
      <c r="E85"/>
      <c r="F85" s="8">
        <v>14251.378633832961</v>
      </c>
      <c r="H85" s="97">
        <v>19103.838439081566</v>
      </c>
      <c r="J85" s="8" t="s">
        <v>11</v>
      </c>
      <c r="L85" s="8" t="s">
        <v>11</v>
      </c>
      <c r="N85" s="8" t="s">
        <v>11</v>
      </c>
      <c r="O85" s="15">
        <f>+F85+H85</f>
        <v>33355.217072914529</v>
      </c>
    </row>
    <row r="86" spans="1:15" x14ac:dyDescent="0.25">
      <c r="A86" s="4">
        <v>42066</v>
      </c>
      <c r="B86" s="5">
        <f t="shared" si="8"/>
        <v>42066</v>
      </c>
      <c r="C86" s="136">
        <v>0.4</v>
      </c>
      <c r="D86" s="135">
        <v>0.72638888888888886</v>
      </c>
      <c r="E86"/>
      <c r="F86" s="8">
        <v>12000</v>
      </c>
      <c r="G86" s="2" t="s">
        <v>56</v>
      </c>
      <c r="H86" s="8">
        <f>+Effort!H86*CPUE!H86</f>
        <v>13511.671697318459</v>
      </c>
      <c r="J86" s="8" t="s">
        <v>11</v>
      </c>
      <c r="L86" s="8" t="s">
        <v>11</v>
      </c>
      <c r="N86" s="8" t="s">
        <v>11</v>
      </c>
      <c r="O86" s="15">
        <f>+F86+H86</f>
        <v>25511.671697318459</v>
      </c>
    </row>
    <row r="87" spans="1:15" x14ac:dyDescent="0.25">
      <c r="A87" s="4">
        <v>42067</v>
      </c>
      <c r="B87" s="5">
        <f t="shared" si="8"/>
        <v>42067</v>
      </c>
      <c r="C87" s="136">
        <v>0.4</v>
      </c>
      <c r="D87" s="135">
        <v>0.74930555555555556</v>
      </c>
      <c r="E87" s="2" t="s">
        <v>56</v>
      </c>
      <c r="F87" s="97">
        <f>+Effort!F87*CPUE!F87</f>
        <v>16715.486798356447</v>
      </c>
      <c r="H87" s="97">
        <v>18394.997538551412</v>
      </c>
      <c r="J87" s="8" t="s">
        <v>11</v>
      </c>
      <c r="L87" s="8" t="s">
        <v>11</v>
      </c>
      <c r="N87" s="8" t="s">
        <v>11</v>
      </c>
      <c r="O87" s="15">
        <f>+F87+H87</f>
        <v>35110.484336907859</v>
      </c>
    </row>
    <row r="88" spans="1:15" x14ac:dyDescent="0.25">
      <c r="A88" s="4">
        <v>42068</v>
      </c>
      <c r="B88" s="5">
        <f t="shared" si="8"/>
        <v>42068</v>
      </c>
      <c r="C88" s="136">
        <v>0.5</v>
      </c>
      <c r="D88" s="135">
        <v>0.77083333333333337</v>
      </c>
      <c r="E88"/>
      <c r="F88" s="97">
        <v>7143.872457926358</v>
      </c>
      <c r="G88" s="2" t="s">
        <v>56</v>
      </c>
      <c r="H88" s="97">
        <f>+(H$72+H$62+H$56+H$46+H$39+H$35+H$34+H$30+H$26+H$19+H$18+H$17+H$10+H$9+H$4+H$3+H$2+H$85)*F88/(F$72+F$62+F$56+F$46+F$39+F$35+F$34+F$30+F$26+F$19+F$18+F$17+F$10+F$9+F$4+F$3+F$2+F$85)</f>
        <v>7766.8796117416778</v>
      </c>
      <c r="J88" s="8" t="s">
        <v>11</v>
      </c>
      <c r="L88" s="8" t="s">
        <v>11</v>
      </c>
      <c r="N88" s="8" t="s">
        <v>11</v>
      </c>
      <c r="O88" s="15">
        <f>+F88+H88</f>
        <v>14910.752069668037</v>
      </c>
    </row>
    <row r="89" spans="1:15" x14ac:dyDescent="0.25">
      <c r="A89" s="4"/>
      <c r="B89" s="5">
        <v>41727</v>
      </c>
      <c r="C89" s="13"/>
      <c r="D89" s="98"/>
      <c r="E89"/>
      <c r="F89" s="97"/>
      <c r="H89" s="97"/>
      <c r="J89" s="1"/>
      <c r="L89" s="97"/>
      <c r="N89" s="1"/>
      <c r="O89" s="15"/>
    </row>
    <row r="90" spans="1:15" x14ac:dyDescent="0.25">
      <c r="A90" s="4">
        <v>42079</v>
      </c>
      <c r="B90" s="5">
        <v>42079</v>
      </c>
      <c r="C90" s="13">
        <v>0.3</v>
      </c>
      <c r="D90" s="98">
        <v>0.67708333333333337</v>
      </c>
      <c r="E90" s="2" t="s">
        <v>56</v>
      </c>
      <c r="F90" s="8">
        <f>+Effort!F90*CPUE!F90</f>
        <v>9958.1266735874797</v>
      </c>
      <c r="H90" s="97">
        <v>11212.57819448533</v>
      </c>
      <c r="J90" s="8" t="s">
        <v>11</v>
      </c>
      <c r="L90" s="8" t="s">
        <v>11</v>
      </c>
      <c r="N90" s="8" t="s">
        <v>11</v>
      </c>
      <c r="O90" s="15">
        <f>+F90+H90</f>
        <v>21170.704868072811</v>
      </c>
    </row>
    <row r="91" spans="1:15" x14ac:dyDescent="0.25">
      <c r="A91" s="4">
        <v>42080</v>
      </c>
      <c r="B91" s="5">
        <v>42080</v>
      </c>
      <c r="C91" s="13">
        <v>-0.2</v>
      </c>
      <c r="D91" s="98">
        <v>0.71388888888888891</v>
      </c>
      <c r="E91"/>
      <c r="F91" s="8">
        <v>13033.441125925014</v>
      </c>
      <c r="G91" s="2" t="s">
        <v>56</v>
      </c>
      <c r="H91" s="97">
        <f>+(H$72+H$62+H$56+H$46+H$39+H$35+H$34+H$30+H$26+H$19+H$18+H$17+H$10+H$9+H$4+H$3+H$2+H$85)*F91/(F$72+F$62+F$56+F$46+F$39+F$35+F$34+F$30+F$26+F$19+F$18+F$17+F$10+F$9+F$4+F$3+F$2+F$85)</f>
        <v>14170.069349357636</v>
      </c>
      <c r="J91" s="8" t="s">
        <v>11</v>
      </c>
      <c r="L91" s="8" t="s">
        <v>11</v>
      </c>
      <c r="N91" s="8" t="s">
        <v>11</v>
      </c>
      <c r="O91" s="15">
        <f>+F91+H91</f>
        <v>27203.510475282652</v>
      </c>
    </row>
    <row r="92" spans="1:15" x14ac:dyDescent="0.25">
      <c r="A92" s="4">
        <v>42081</v>
      </c>
      <c r="B92" s="5">
        <v>42081</v>
      </c>
      <c r="C92" s="13">
        <v>-0.5</v>
      </c>
      <c r="D92" s="98">
        <v>0.74791666666666667</v>
      </c>
      <c r="E92" s="2" t="s">
        <v>56</v>
      </c>
      <c r="F92" s="8">
        <v>18794.67171290228</v>
      </c>
      <c r="G92" s="2" t="s">
        <v>56</v>
      </c>
      <c r="H92" s="97">
        <f>+(H$72+H$62+H$56+H$46+H$39+H$35+H$34+H$30+H$26+H$19+H$18+H$17+H$10+H$9+H$4+H$3+H$2+H$85)*F92/(F$72+F$62+F$56+F$46+F$39+F$35+F$34+F$30+F$26+F$19+F$18+F$17+F$10+F$9+F$4+F$3+F$2+F$85)</f>
        <v>20433.728820893732</v>
      </c>
      <c r="J92" s="8" t="s">
        <v>11</v>
      </c>
      <c r="L92" s="8" t="s">
        <v>11</v>
      </c>
      <c r="N92" s="8" t="s">
        <v>11</v>
      </c>
      <c r="O92" s="15">
        <f>+F92+H92</f>
        <v>39228.400533796012</v>
      </c>
    </row>
    <row r="93" spans="1:15" x14ac:dyDescent="0.25">
      <c r="A93" s="4">
        <v>42082</v>
      </c>
      <c r="B93" s="5">
        <v>42082</v>
      </c>
      <c r="C93" s="13">
        <v>-0.5</v>
      </c>
      <c r="D93" s="98">
        <v>0.77916666666666667</v>
      </c>
      <c r="E93"/>
      <c r="F93" s="8">
        <v>18794.67171290228</v>
      </c>
      <c r="G93" s="2" t="s">
        <v>56</v>
      </c>
      <c r="H93" s="97">
        <f>+(H$72+H$62+H$56+H$46+H$39+H$35+H$34+H$30+H$26+H$19+H$18+H$17+H$10+H$9+H$4+H$3+H$2+H$85)*F93/(F$72+F$62+F$56+F$46+F$39+F$35+F$34+F$30+F$26+F$19+F$18+F$17+F$10+F$9+F$4+F$3+F$2+F$85)</f>
        <v>20433.728820893732</v>
      </c>
      <c r="J93" s="8" t="s">
        <v>11</v>
      </c>
      <c r="L93" s="8" t="s">
        <v>11</v>
      </c>
      <c r="N93" s="8" t="s">
        <v>11</v>
      </c>
      <c r="O93" s="15">
        <f>+F93+H93</f>
        <v>39228.400533796012</v>
      </c>
    </row>
    <row r="94" spans="1:15" x14ac:dyDescent="0.25">
      <c r="A94" s="4">
        <v>42083</v>
      </c>
      <c r="B94" s="5">
        <v>42083</v>
      </c>
      <c r="C94" s="13">
        <v>-0.4</v>
      </c>
      <c r="D94" s="98">
        <v>0.80972222222222223</v>
      </c>
      <c r="E94" s="2" t="s">
        <v>56</v>
      </c>
      <c r="F94" s="8">
        <f>+(J94+L94)*(F82+F68+F65+F58+F52+F51+F50+F37+F6)/(J6+L6+J37+L37+J50+L50+J51+L51+J52+L52+J58+L58+J65+L65+J68+L68+J82+L82)</f>
        <v>65250.260057509695</v>
      </c>
      <c r="G94" s="2" t="s">
        <v>56</v>
      </c>
      <c r="H94" s="97">
        <f>(H$68+H$58+H$52+H$51+H$50+H$6)*(J94+L94)/(J$68+L$68+J$58+L$58+J$52+L$52+J$51+L$51+J$50+L$50+J$6+L$6)</f>
        <v>32138.925102431389</v>
      </c>
      <c r="J94" s="8">
        <v>62814.245453882497</v>
      </c>
      <c r="L94" s="97">
        <v>39011.100861667634</v>
      </c>
      <c r="N94" s="8" t="s">
        <v>11</v>
      </c>
      <c r="O94" s="15">
        <f>+F94+H94+J94+L94</f>
        <v>199214.53147549121</v>
      </c>
    </row>
    <row r="95" spans="1:15" x14ac:dyDescent="0.25">
      <c r="A95" s="4">
        <v>42084</v>
      </c>
      <c r="B95" s="5">
        <v>42084</v>
      </c>
      <c r="C95" s="13">
        <v>-0.5</v>
      </c>
      <c r="D95" s="98">
        <v>0.3298611111111111</v>
      </c>
      <c r="E95"/>
      <c r="F95" s="8">
        <v>132354.73729724414</v>
      </c>
      <c r="H95" s="97">
        <v>62080.92414271384</v>
      </c>
      <c r="J95" s="8">
        <v>104686.82072416926</v>
      </c>
      <c r="L95" s="97">
        <v>47099.965749497365</v>
      </c>
      <c r="N95" s="8" t="s">
        <v>11</v>
      </c>
      <c r="O95" s="15">
        <f>+F95+H95+J95+L95</f>
        <v>346222.44791362458</v>
      </c>
    </row>
    <row r="96" spans="1:15" x14ac:dyDescent="0.25">
      <c r="A96" s="4">
        <v>42085</v>
      </c>
      <c r="B96" s="5">
        <v>42085</v>
      </c>
      <c r="C96" s="13">
        <v>-0.7</v>
      </c>
      <c r="D96" s="98">
        <v>0.36249999999999999</v>
      </c>
      <c r="E96"/>
      <c r="F96" s="8">
        <v>101427.8447130284</v>
      </c>
      <c r="G96" s="2" t="s">
        <v>56</v>
      </c>
      <c r="H96" s="97">
        <f>(H$68+H$58+H$52+H$51+H$50+H$6)*(F96+J96+L96)/(J$68+L$68+F$68+F$58+J$58+L$58+F$52+J$52+L$52+F$51+J$51+L$51+F$50+J$50+L$50+J$6+L$6+F$6)</f>
        <v>40685.465662250695</v>
      </c>
      <c r="J96" s="8">
        <v>64495.351307540623</v>
      </c>
      <c r="L96" s="97">
        <v>45703.244342219004</v>
      </c>
      <c r="N96" s="8" t="s">
        <v>11</v>
      </c>
      <c r="O96" s="15">
        <f>+F96+H96+J96+L96</f>
        <v>252311.90602503871</v>
      </c>
    </row>
    <row r="97" spans="1:15" x14ac:dyDescent="0.25">
      <c r="A97" s="4">
        <v>42086</v>
      </c>
      <c r="B97" s="5">
        <v>42086</v>
      </c>
      <c r="C97" s="13">
        <v>-0.6</v>
      </c>
      <c r="D97" s="98">
        <v>0.39652777777777776</v>
      </c>
      <c r="E97" s="2" t="s">
        <v>56</v>
      </c>
      <c r="F97" s="8">
        <f>(F$72+F$62+F$56+F$46+F$39+F$35+F$34+F$30+F$26+F$19+F$18+F$17+F$10+F$9+F$4+F$3+F$2+F92)*H97/(H$72+H$62+H$56+H$46+H$39+H$35+H$34+H$30+H$26+H$19+H$18+H$17+H$10+H$9+H$4+H$3+H$2+H92)</f>
        <v>12770.86429838627</v>
      </c>
      <c r="H97" s="97">
        <v>13632.607111775123</v>
      </c>
      <c r="J97" s="8" t="s">
        <v>11</v>
      </c>
      <c r="L97" s="8" t="s">
        <v>11</v>
      </c>
      <c r="N97" s="8" t="s">
        <v>11</v>
      </c>
      <c r="O97" s="15">
        <f>+F97+H97</f>
        <v>26403.471410161394</v>
      </c>
    </row>
    <row r="98" spans="1:15" x14ac:dyDescent="0.25">
      <c r="A98" s="4">
        <v>42087</v>
      </c>
      <c r="B98" s="5">
        <v>42087</v>
      </c>
      <c r="C98" s="13">
        <v>-0.3</v>
      </c>
      <c r="D98" s="98">
        <v>0.43125000000000002</v>
      </c>
      <c r="E98"/>
      <c r="F98" s="8">
        <v>30828.807685535518</v>
      </c>
      <c r="G98" s="2" t="s">
        <v>56</v>
      </c>
      <c r="H98" s="97">
        <f>+(H$72+H$62+H$56+H$46+H$39+H$35+H$34+H$30+H$26+H$19+H$18+H$17+H$10+H$9+H$4+H$3+H$2+H$85)*F98/(F$72+F$62+F$56+F$46+F$39+F$35+F$34+F$30+F$26+F$19+F$18+F$17+F$10+F$9+F$4+F$3+F$2+F$85)</f>
        <v>33517.345008227363</v>
      </c>
      <c r="J98" s="8" t="s">
        <v>11</v>
      </c>
      <c r="L98" s="8" t="s">
        <v>11</v>
      </c>
      <c r="N98" s="8" t="s">
        <v>11</v>
      </c>
      <c r="O98" s="15">
        <f>+F98+H98</f>
        <v>64346.152693762881</v>
      </c>
    </row>
    <row r="99" spans="1:15" x14ac:dyDescent="0.25">
      <c r="A99" s="4"/>
      <c r="B99" s="105"/>
      <c r="C99" s="13"/>
      <c r="D99" s="98"/>
      <c r="E99"/>
      <c r="F99" s="97"/>
      <c r="H99" s="97"/>
      <c r="J99" s="1"/>
      <c r="L99" s="97"/>
      <c r="N99" s="1"/>
      <c r="O99" s="15"/>
    </row>
    <row r="100" spans="1:15" x14ac:dyDescent="0.25">
      <c r="A100" s="4">
        <v>42098</v>
      </c>
      <c r="B100" s="105">
        <f t="shared" ref="B100:B103" si="9">+A100</f>
        <v>42098</v>
      </c>
      <c r="C100" s="13">
        <v>0.6</v>
      </c>
      <c r="D100" s="98">
        <v>0.30763888888888891</v>
      </c>
      <c r="E100"/>
      <c r="F100" s="8">
        <v>31295.986560882717</v>
      </c>
      <c r="G100" s="2"/>
      <c r="H100" s="97">
        <v>19334.108798999645</v>
      </c>
      <c r="J100" s="97">
        <v>15847.905045210624</v>
      </c>
      <c r="L100" s="97">
        <v>19426.890950631052</v>
      </c>
      <c r="N100" s="8" t="s">
        <v>11</v>
      </c>
      <c r="O100" s="15">
        <f t="shared" ref="O100:O101" si="10">+F100+H100+J100+L100</f>
        <v>85904.891355724045</v>
      </c>
    </row>
    <row r="101" spans="1:15" x14ac:dyDescent="0.25">
      <c r="A101" s="4">
        <v>42099</v>
      </c>
      <c r="B101" s="105">
        <f t="shared" si="9"/>
        <v>42099</v>
      </c>
      <c r="C101" s="13">
        <v>0.3</v>
      </c>
      <c r="D101" s="98">
        <v>0.33124999999999999</v>
      </c>
      <c r="E101" s="2" t="s">
        <v>56</v>
      </c>
      <c r="F101" s="8">
        <f>+Effort!F101*CPUE!F101</f>
        <v>22966.999798529556</v>
      </c>
      <c r="H101" s="97">
        <v>12420.260958178927</v>
      </c>
      <c r="J101" s="97">
        <v>21534.191255421589</v>
      </c>
      <c r="L101" s="97">
        <v>18124.655771364294</v>
      </c>
      <c r="N101" s="8" t="s">
        <v>11</v>
      </c>
      <c r="O101" s="15">
        <f t="shared" si="10"/>
        <v>75046.107783494372</v>
      </c>
    </row>
    <row r="102" spans="1:15" x14ac:dyDescent="0.25">
      <c r="A102" s="4">
        <v>42100</v>
      </c>
      <c r="B102" s="105">
        <f t="shared" si="9"/>
        <v>42100</v>
      </c>
      <c r="C102" s="13">
        <v>0.1</v>
      </c>
      <c r="D102" s="98">
        <v>0.35555555555555557</v>
      </c>
      <c r="E102"/>
      <c r="F102" s="8">
        <v>2907.5749545071781</v>
      </c>
      <c r="H102" s="97">
        <v>9662.9524129578404</v>
      </c>
      <c r="J102" s="8" t="s">
        <v>11</v>
      </c>
      <c r="L102" s="8" t="s">
        <v>11</v>
      </c>
      <c r="N102" s="8" t="s">
        <v>11</v>
      </c>
      <c r="O102" s="15">
        <f>+F102+H102</f>
        <v>12570.527367465018</v>
      </c>
    </row>
    <row r="103" spans="1:15" x14ac:dyDescent="0.25">
      <c r="A103" s="4">
        <v>42101</v>
      </c>
      <c r="B103" s="105">
        <f t="shared" si="9"/>
        <v>42101</v>
      </c>
      <c r="C103" s="13">
        <v>0.1</v>
      </c>
      <c r="D103" s="98">
        <v>0.38124999999999998</v>
      </c>
      <c r="E103" s="2" t="s">
        <v>56</v>
      </c>
      <c r="F103" s="8">
        <f>+Effort!F103*CPUE!F103</f>
        <v>17106.233185502264</v>
      </c>
      <c r="H103" s="97">
        <v>19684.639252127228</v>
      </c>
      <c r="J103" s="8" t="s">
        <v>11</v>
      </c>
      <c r="L103" s="8" t="s">
        <v>11</v>
      </c>
      <c r="N103" s="8" t="s">
        <v>11</v>
      </c>
      <c r="O103" s="15">
        <f t="shared" ref="O103:O106" si="11">+F103+H103</f>
        <v>36790.872437629492</v>
      </c>
    </row>
    <row r="104" spans="1:15" x14ac:dyDescent="0.25">
      <c r="A104" s="4">
        <v>42102</v>
      </c>
      <c r="B104" s="105">
        <f t="shared" ref="B104:B112" si="12">+A104</f>
        <v>42102</v>
      </c>
      <c r="C104" s="13">
        <v>0.1</v>
      </c>
      <c r="D104" s="98">
        <v>0.40833333333333333</v>
      </c>
      <c r="E104"/>
      <c r="F104" s="8">
        <v>25080.968779966839</v>
      </c>
      <c r="H104" s="97">
        <v>23108.850917380987</v>
      </c>
      <c r="J104" s="8" t="s">
        <v>11</v>
      </c>
      <c r="L104" s="8" t="s">
        <v>11</v>
      </c>
      <c r="N104" s="8" t="s">
        <v>11</v>
      </c>
      <c r="O104" s="15">
        <f t="shared" si="11"/>
        <v>48189.819697347826</v>
      </c>
    </row>
    <row r="105" spans="1:15" x14ac:dyDescent="0.25">
      <c r="A105" s="4">
        <v>42103</v>
      </c>
      <c r="B105" s="105">
        <f t="shared" si="12"/>
        <v>42103</v>
      </c>
      <c r="C105" s="13">
        <v>0.2</v>
      </c>
      <c r="D105" s="98">
        <v>0.43888888888888888</v>
      </c>
      <c r="E105" s="2" t="s">
        <v>56</v>
      </c>
      <c r="F105" s="8">
        <f>+Effort!F105*CPUE!F105</f>
        <v>22318.990978943391</v>
      </c>
      <c r="H105" s="97">
        <v>25683.111011507168</v>
      </c>
      <c r="J105" s="8" t="s">
        <v>11</v>
      </c>
      <c r="L105" s="8" t="s">
        <v>11</v>
      </c>
      <c r="N105" s="8" t="s">
        <v>11</v>
      </c>
      <c r="O105" s="15">
        <f t="shared" si="11"/>
        <v>48002.101990450559</v>
      </c>
    </row>
    <row r="106" spans="1:15" x14ac:dyDescent="0.25">
      <c r="A106" s="4">
        <v>42104</v>
      </c>
      <c r="B106" s="105">
        <f t="shared" si="12"/>
        <v>42104</v>
      </c>
      <c r="C106" s="13">
        <v>0.4</v>
      </c>
      <c r="D106" s="98">
        <v>0.47430555555555554</v>
      </c>
      <c r="E106"/>
      <c r="F106" s="8">
        <v>30198.425232141733</v>
      </c>
      <c r="H106" s="97">
        <v>23071.977441231691</v>
      </c>
      <c r="J106" s="8" t="s">
        <v>11</v>
      </c>
      <c r="L106" s="8" t="s">
        <v>11</v>
      </c>
      <c r="N106" s="8" t="s">
        <v>11</v>
      </c>
      <c r="O106" s="15">
        <f t="shared" si="11"/>
        <v>53270.402673373421</v>
      </c>
    </row>
    <row r="107" spans="1:15" x14ac:dyDescent="0.25">
      <c r="A107" s="4"/>
      <c r="B107" s="105">
        <f t="shared" si="12"/>
        <v>0</v>
      </c>
      <c r="C107" s="13"/>
      <c r="D107" s="98"/>
      <c r="E107"/>
      <c r="F107" s="97"/>
      <c r="H107" s="97"/>
      <c r="J107" s="1"/>
      <c r="L107" s="1"/>
      <c r="N107" s="1"/>
      <c r="O107" s="15"/>
    </row>
    <row r="108" spans="1:15" x14ac:dyDescent="0.25">
      <c r="A108" s="4">
        <v>42111</v>
      </c>
      <c r="B108" s="105">
        <f t="shared" si="12"/>
        <v>42111</v>
      </c>
      <c r="C108" s="13">
        <v>-0.2</v>
      </c>
      <c r="D108" s="98">
        <v>0.25208333333333333</v>
      </c>
      <c r="E108"/>
      <c r="F108" s="97">
        <v>10138.475086104827</v>
      </c>
      <c r="H108" s="97">
        <v>7631.3070134122154</v>
      </c>
      <c r="J108" s="8" t="s">
        <v>11</v>
      </c>
      <c r="L108" s="97">
        <v>12235.304474848288</v>
      </c>
      <c r="N108" s="8" t="s">
        <v>11</v>
      </c>
      <c r="O108" s="15">
        <f>+F108+H108+L108</f>
        <v>30005.086574365327</v>
      </c>
    </row>
    <row r="109" spans="1:15" x14ac:dyDescent="0.25">
      <c r="A109" s="4">
        <v>42112</v>
      </c>
      <c r="B109" s="105">
        <f t="shared" si="12"/>
        <v>42112</v>
      </c>
      <c r="C109" s="13">
        <v>-0.9</v>
      </c>
      <c r="D109" s="98">
        <v>0.28611111111111109</v>
      </c>
      <c r="E109"/>
      <c r="F109" s="8">
        <v>116675.16777446405</v>
      </c>
      <c r="H109" s="97">
        <v>47302.935135822147</v>
      </c>
      <c r="J109" s="97">
        <v>60659.882199237822</v>
      </c>
      <c r="L109" s="97">
        <v>49015.117049668981</v>
      </c>
      <c r="N109" s="8" t="s">
        <v>11</v>
      </c>
      <c r="O109" s="15">
        <f>+F109+H109+J109+L109</f>
        <v>273653.10215919302</v>
      </c>
    </row>
    <row r="110" spans="1:15" x14ac:dyDescent="0.25">
      <c r="A110" s="4">
        <v>42113</v>
      </c>
      <c r="B110" s="105">
        <f t="shared" si="12"/>
        <v>42113</v>
      </c>
      <c r="C110" s="13">
        <v>-1.3</v>
      </c>
      <c r="D110" s="98">
        <v>0.31874999999999998</v>
      </c>
      <c r="E110"/>
      <c r="F110" s="8">
        <v>161499.23791159422</v>
      </c>
      <c r="H110" s="97">
        <v>44615.06067733853</v>
      </c>
      <c r="J110" s="97">
        <v>63384.731634722804</v>
      </c>
      <c r="L110" s="97">
        <v>39768.027477022879</v>
      </c>
      <c r="N110" s="8" t="s">
        <v>11</v>
      </c>
      <c r="O110" s="15">
        <f>+F110+H110+J110+L110</f>
        <v>309267.05770067847</v>
      </c>
    </row>
    <row r="111" spans="1:15" x14ac:dyDescent="0.25">
      <c r="A111" s="4">
        <v>42114</v>
      </c>
      <c r="B111" s="105">
        <f t="shared" si="12"/>
        <v>42114</v>
      </c>
      <c r="C111" s="13">
        <v>-1.5</v>
      </c>
      <c r="D111" s="98">
        <v>0.35069444444444442</v>
      </c>
      <c r="E111"/>
      <c r="F111" s="8">
        <v>64803.111524990731</v>
      </c>
      <c r="H111" s="97">
        <v>37982.78945040617</v>
      </c>
      <c r="J111" s="8" t="s">
        <v>11</v>
      </c>
      <c r="L111" s="8" t="s">
        <v>11</v>
      </c>
      <c r="N111" s="8" t="s">
        <v>11</v>
      </c>
      <c r="O111" s="15">
        <f>+F111+H111</f>
        <v>102785.9009753969</v>
      </c>
    </row>
    <row r="112" spans="1:15" x14ac:dyDescent="0.25">
      <c r="A112" s="4">
        <v>42115</v>
      </c>
      <c r="B112" s="105">
        <f t="shared" si="12"/>
        <v>42115</v>
      </c>
      <c r="C112" s="13">
        <v>-1.3</v>
      </c>
      <c r="D112" s="98">
        <v>0.38263888888888886</v>
      </c>
      <c r="E112"/>
      <c r="F112" s="97">
        <v>42605.814106453108</v>
      </c>
      <c r="H112" s="97">
        <v>39476.094376165223</v>
      </c>
      <c r="J112" s="8" t="s">
        <v>11</v>
      </c>
      <c r="L112" s="8" t="s">
        <v>11</v>
      </c>
      <c r="N112" s="8" t="s">
        <v>11</v>
      </c>
      <c r="O112" s="15">
        <f>+F112+H112</f>
        <v>82081.908482618339</v>
      </c>
    </row>
    <row r="113" spans="1:15" x14ac:dyDescent="0.25">
      <c r="A113" s="4">
        <v>42116</v>
      </c>
      <c r="B113" s="105">
        <f t="shared" ref="B113:B120" si="13">+A113</f>
        <v>42116</v>
      </c>
      <c r="C113" s="13">
        <v>-0.9</v>
      </c>
      <c r="D113" s="98">
        <v>0.41458333333333336</v>
      </c>
      <c r="E113"/>
      <c r="F113" s="97">
        <v>23590.691664263049</v>
      </c>
      <c r="H113" s="97">
        <v>14680.092471256819</v>
      </c>
      <c r="J113" s="8" t="s">
        <v>11</v>
      </c>
      <c r="L113" s="8" t="s">
        <v>11</v>
      </c>
      <c r="N113" s="8" t="s">
        <v>11</v>
      </c>
      <c r="O113" s="15">
        <f>+F113+H113</f>
        <v>38270.784135519869</v>
      </c>
    </row>
    <row r="114" spans="1:15" x14ac:dyDescent="0.25">
      <c r="A114" s="4">
        <v>42117</v>
      </c>
      <c r="B114" s="105">
        <f t="shared" si="13"/>
        <v>42117</v>
      </c>
      <c r="C114" s="13">
        <v>-0.4</v>
      </c>
      <c r="D114" s="98">
        <v>0.44861111111111113</v>
      </c>
      <c r="E114"/>
      <c r="F114" s="97">
        <v>15190.309860080844</v>
      </c>
      <c r="H114" s="97">
        <v>7641.6220092680242</v>
      </c>
      <c r="J114" s="8" t="s">
        <v>11</v>
      </c>
      <c r="L114" s="8" t="s">
        <v>11</v>
      </c>
      <c r="N114" s="8" t="s">
        <v>11</v>
      </c>
      <c r="O114" s="15">
        <f>+F114+H114</f>
        <v>22831.931869348868</v>
      </c>
    </row>
    <row r="115" spans="1:15" x14ac:dyDescent="0.25">
      <c r="A115" s="4">
        <v>42118</v>
      </c>
      <c r="B115" s="105">
        <f t="shared" si="13"/>
        <v>42118</v>
      </c>
      <c r="C115" s="13">
        <v>0.2</v>
      </c>
      <c r="D115" s="98">
        <v>0.48472222222222222</v>
      </c>
      <c r="E115"/>
      <c r="F115" s="97">
        <v>11300.807770562602</v>
      </c>
      <c r="H115" s="97">
        <v>14923.703246961573</v>
      </c>
      <c r="J115" s="8" t="s">
        <v>11</v>
      </c>
      <c r="L115" s="8" t="s">
        <v>11</v>
      </c>
      <c r="N115" s="8" t="s">
        <v>11</v>
      </c>
      <c r="O115" s="10">
        <f>+F115+H115</f>
        <v>26224.511017524175</v>
      </c>
    </row>
    <row r="116" spans="1:15" x14ac:dyDescent="0.25">
      <c r="A116" s="4"/>
      <c r="B116" s="105">
        <f t="shared" si="13"/>
        <v>0</v>
      </c>
      <c r="C116" s="13"/>
      <c r="D116" s="98"/>
      <c r="E116"/>
      <c r="F116" s="97"/>
      <c r="H116" s="97"/>
      <c r="J116" s="97"/>
      <c r="L116" s="97"/>
      <c r="N116" s="1"/>
      <c r="O116" s="10"/>
    </row>
    <row r="117" spans="1:15" x14ac:dyDescent="0.25">
      <c r="A117" s="4">
        <v>42126</v>
      </c>
      <c r="B117" s="105">
        <f t="shared" si="13"/>
        <v>42126</v>
      </c>
      <c r="C117" s="13">
        <v>0.2</v>
      </c>
      <c r="D117" s="98">
        <v>0.26597222222222222</v>
      </c>
      <c r="E117"/>
      <c r="F117" s="97">
        <v>22692.504221869101</v>
      </c>
      <c r="H117" s="97">
        <v>12566.9136396299</v>
      </c>
      <c r="J117" s="8" t="s">
        <v>11</v>
      </c>
      <c r="L117" s="97">
        <v>16519.155481225138</v>
      </c>
      <c r="N117" s="8" t="s">
        <v>11</v>
      </c>
      <c r="O117" s="10">
        <f>+F117+H117+L117</f>
        <v>51778.573342724136</v>
      </c>
    </row>
    <row r="118" spans="1:15" x14ac:dyDescent="0.25">
      <c r="A118" s="4">
        <v>42127</v>
      </c>
      <c r="B118" s="105">
        <f t="shared" si="13"/>
        <v>42127</v>
      </c>
      <c r="C118" s="13">
        <v>-0.3</v>
      </c>
      <c r="D118" s="98">
        <v>0.29097222222222224</v>
      </c>
      <c r="E118"/>
      <c r="F118" s="97">
        <v>20667.058936640708</v>
      </c>
      <c r="H118" s="97">
        <v>13580.875142940491</v>
      </c>
      <c r="J118" s="8" t="s">
        <v>11</v>
      </c>
      <c r="L118" s="97">
        <v>16349.383403452683</v>
      </c>
      <c r="N118" s="8" t="s">
        <v>11</v>
      </c>
      <c r="O118" s="10">
        <f>+F118+H118+L118</f>
        <v>50597.317483033883</v>
      </c>
    </row>
    <row r="119" spans="1:15" x14ac:dyDescent="0.25">
      <c r="A119" s="4"/>
      <c r="B119" s="105"/>
      <c r="C119" s="13"/>
      <c r="D119" s="98"/>
      <c r="E119"/>
      <c r="F119" s="97"/>
      <c r="H119" s="97"/>
      <c r="J119" s="97"/>
      <c r="L119" s="97"/>
      <c r="N119" s="1"/>
      <c r="O119" s="10"/>
    </row>
    <row r="120" spans="1:15" x14ac:dyDescent="0.25">
      <c r="A120" s="4">
        <v>42131</v>
      </c>
      <c r="B120" s="105">
        <f t="shared" si="13"/>
        <v>42131</v>
      </c>
      <c r="C120" s="136">
        <v>-0.8</v>
      </c>
      <c r="D120" s="135">
        <v>0.39583333333333331</v>
      </c>
      <c r="E120"/>
      <c r="F120">
        <v>20126.075295423248</v>
      </c>
      <c r="H120">
        <v>14844.997211806558</v>
      </c>
      <c r="J120" s="8" t="s">
        <v>11</v>
      </c>
      <c r="L120" s="8" t="s">
        <v>11</v>
      </c>
      <c r="N120" s="8" t="s">
        <v>11</v>
      </c>
      <c r="O120">
        <f>+F120+H120</f>
        <v>34971.072507229808</v>
      </c>
    </row>
    <row r="121" spans="1:15" x14ac:dyDescent="0.25">
      <c r="A121" s="4"/>
      <c r="C121"/>
      <c r="D121" s="98"/>
      <c r="E121"/>
      <c r="F121" s="97"/>
      <c r="H121" s="97"/>
      <c r="J121" s="97"/>
      <c r="L121" s="97"/>
      <c r="N121" s="97"/>
      <c r="O121" s="10"/>
    </row>
    <row r="122" spans="1:15" x14ac:dyDescent="0.25">
      <c r="A122" s="4"/>
      <c r="B122" s="105">
        <f t="shared" ref="B122:B127" si="14">+A122</f>
        <v>0</v>
      </c>
      <c r="C122" s="13"/>
      <c r="D122" s="98"/>
      <c r="E122"/>
      <c r="F122" s="97"/>
      <c r="H122" s="97"/>
      <c r="J122" s="97"/>
      <c r="L122" s="97"/>
      <c r="N122" s="97"/>
      <c r="O122" s="10"/>
    </row>
    <row r="123" spans="1:15" x14ac:dyDescent="0.25">
      <c r="A123" s="4"/>
      <c r="B123" s="105">
        <f t="shared" si="14"/>
        <v>0</v>
      </c>
      <c r="C123" s="13"/>
      <c r="D123" s="98"/>
      <c r="E123"/>
      <c r="F123" s="97"/>
      <c r="H123" s="97"/>
      <c r="J123" s="97"/>
      <c r="L123" s="97"/>
      <c r="N123" s="97"/>
      <c r="O123" s="10"/>
    </row>
    <row r="124" spans="1:15" x14ac:dyDescent="0.25">
      <c r="A124" s="4"/>
      <c r="B124" s="105">
        <f t="shared" si="14"/>
        <v>0</v>
      </c>
      <c r="C124" s="13"/>
      <c r="D124" s="98"/>
      <c r="E124"/>
      <c r="F124" s="97"/>
      <c r="H124" s="97"/>
      <c r="J124" s="97"/>
      <c r="L124" s="97"/>
      <c r="N124" s="97"/>
      <c r="O124" s="10"/>
    </row>
    <row r="125" spans="1:15" x14ac:dyDescent="0.25">
      <c r="A125" s="4"/>
      <c r="B125" s="105">
        <f t="shared" si="14"/>
        <v>0</v>
      </c>
      <c r="C125" s="13"/>
      <c r="D125" s="98"/>
      <c r="E125"/>
      <c r="F125" s="97"/>
      <c r="H125" s="97"/>
      <c r="J125" s="97"/>
      <c r="L125" s="97"/>
      <c r="N125" s="97"/>
      <c r="O125" s="10"/>
    </row>
    <row r="126" spans="1:15" x14ac:dyDescent="0.25">
      <c r="A126" s="4"/>
      <c r="B126" s="105">
        <f t="shared" si="14"/>
        <v>0</v>
      </c>
      <c r="C126" s="13"/>
      <c r="D126" s="98"/>
      <c r="E126"/>
      <c r="F126" s="97"/>
      <c r="H126" s="97"/>
      <c r="J126" s="97"/>
      <c r="K126" s="2"/>
      <c r="L126" s="97"/>
      <c r="N126" s="97"/>
      <c r="O126" s="10"/>
    </row>
    <row r="127" spans="1:15" x14ac:dyDescent="0.25">
      <c r="A127" s="4"/>
      <c r="B127" s="105">
        <f t="shared" si="14"/>
        <v>0</v>
      </c>
      <c r="C127" s="13"/>
      <c r="D127" s="98"/>
      <c r="E127"/>
    </row>
    <row r="128" spans="1:15" x14ac:dyDescent="0.25">
      <c r="A128" s="64" t="s">
        <v>64</v>
      </c>
      <c r="C128"/>
      <c r="D128" s="98"/>
      <c r="E128" s="58"/>
      <c r="F128" s="65">
        <f>SUM(F2:F127)</f>
        <v>2311847.4778312887</v>
      </c>
      <c r="G128" s="58"/>
      <c r="H128" s="65">
        <f>SUM(H2:H127)</f>
        <v>1621994.3703923426</v>
      </c>
      <c r="I128" s="58"/>
      <c r="J128" s="65">
        <f>SUM(J2:J127)</f>
        <v>780625.47300550691</v>
      </c>
      <c r="K128" s="58"/>
      <c r="L128" s="65">
        <f>SUM(L2:L127)</f>
        <v>818644.68858013384</v>
      </c>
      <c r="M128" s="58"/>
      <c r="N128" s="65">
        <f>SUM(N3:N127)</f>
        <v>0</v>
      </c>
      <c r="O128" s="65">
        <f>SUM(O2:O127)</f>
        <v>5533112.0098092696</v>
      </c>
    </row>
    <row r="129" spans="1:15" x14ac:dyDescent="0.25">
      <c r="A129" s="66" t="s">
        <v>13</v>
      </c>
      <c r="B129" s="63"/>
      <c r="C129" s="58"/>
      <c r="D129" s="58"/>
      <c r="E129" s="58"/>
      <c r="F129" s="70">
        <f>+'LB Wastage'!F100</f>
        <v>4.7384473209313147E-2</v>
      </c>
      <c r="G129" s="63"/>
      <c r="H129" s="70">
        <f>+'TH Wastage'!F100</f>
        <v>4.8771468576497994E-2</v>
      </c>
      <c r="I129" s="63"/>
      <c r="J129" s="167">
        <f>+'Cop Wastage'!F100</f>
        <v>2.8303919795613513E-2</v>
      </c>
      <c r="K129" s="168"/>
      <c r="L129" s="167">
        <f>+'Moc Wastage'!F100</f>
        <v>1.5435554209628619E-2</v>
      </c>
      <c r="M129" s="63"/>
      <c r="N129" s="63"/>
      <c r="O129" s="63"/>
    </row>
    <row r="130" spans="1:15" x14ac:dyDescent="0.25">
      <c r="A130" s="64" t="s">
        <v>14</v>
      </c>
      <c r="B130" s="63"/>
      <c r="C130" s="58"/>
      <c r="D130" s="58"/>
      <c r="E130" s="58"/>
      <c r="F130" s="68">
        <f>+F128*F129</f>
        <v>109545.67487731487</v>
      </c>
      <c r="G130" s="63"/>
      <c r="H130" s="68">
        <f>+H128*H129</f>
        <v>79107.04746684678</v>
      </c>
      <c r="I130" s="63"/>
      <c r="J130" s="68">
        <f>+J128*J129</f>
        <v>22094.760778360727</v>
      </c>
      <c r="K130" s="63"/>
      <c r="L130" s="68">
        <f>+L128*L129</f>
        <v>12636.234469003195</v>
      </c>
      <c r="M130" s="63"/>
      <c r="N130" s="63"/>
      <c r="O130" s="65">
        <f>F130+H130+J130+L130+N130</f>
        <v>223383.71759152558</v>
      </c>
    </row>
    <row r="131" spans="1:15" x14ac:dyDescent="0.25">
      <c r="A131" s="66" t="s">
        <v>15</v>
      </c>
      <c r="B131" s="63"/>
      <c r="C131" s="58"/>
      <c r="D131" s="58"/>
      <c r="E131" s="58"/>
      <c r="F131" s="65">
        <f>F128+F130</f>
        <v>2421393.1527086035</v>
      </c>
      <c r="G131" s="63"/>
      <c r="H131" s="65">
        <f>H128+H130</f>
        <v>1701101.4178591894</v>
      </c>
      <c r="I131" s="63"/>
      <c r="J131" s="65">
        <f>J128+J130</f>
        <v>802720.23378386768</v>
      </c>
      <c r="K131" s="63"/>
      <c r="L131" s="65">
        <f>L128+L130</f>
        <v>831280.923049137</v>
      </c>
      <c r="M131" s="63"/>
      <c r="N131" s="65">
        <f>N128+N130</f>
        <v>0</v>
      </c>
      <c r="O131" s="65">
        <f>O128+O130</f>
        <v>5756495.7274007956</v>
      </c>
    </row>
    <row r="132" spans="1:15" x14ac:dyDescent="0.25">
      <c r="A132" s="67" t="s">
        <v>63</v>
      </c>
      <c r="B132" s="63"/>
      <c r="C132" s="58"/>
      <c r="D132" s="58"/>
      <c r="E132" s="58"/>
      <c r="F132" s="68">
        <f>+F128/103</f>
        <v>22445.121143993096</v>
      </c>
      <c r="G132" s="63"/>
      <c r="H132" s="68">
        <f>AVERAGE(H2:H127)</f>
        <v>15596.099715310986</v>
      </c>
      <c r="I132" s="63"/>
      <c r="J132" s="68">
        <f>+J128/21</f>
        <v>37172.641571690809</v>
      </c>
      <c r="K132" s="63"/>
      <c r="L132" s="68">
        <f>+L128/36</f>
        <v>22740.130238337049</v>
      </c>
      <c r="M132" s="63"/>
      <c r="N132" s="68">
        <v>0</v>
      </c>
      <c r="O132" s="68">
        <f>F132+H132+J132+L132+N132</f>
        <v>97953.992669331943</v>
      </c>
    </row>
    <row r="133" spans="1:15" x14ac:dyDescent="0.25">
      <c r="A133" s="67" t="s">
        <v>16</v>
      </c>
      <c r="B133" s="63"/>
      <c r="C133" s="58"/>
      <c r="D133" s="58"/>
      <c r="E133" s="58"/>
      <c r="F133" s="69">
        <f>F131/TAC!B4</f>
        <v>0.62318837266782845</v>
      </c>
      <c r="G133" s="63"/>
      <c r="H133" s="69">
        <f>H131/TAC!B5</f>
        <v>0.6388247623980905</v>
      </c>
      <c r="I133" s="63"/>
      <c r="J133" s="69">
        <f>J131/TAC!B6</f>
        <v>0.90210776115536084</v>
      </c>
      <c r="K133" s="63"/>
      <c r="L133" s="69">
        <f>L131/TAC!B7</f>
        <v>0.37105641078460233</v>
      </c>
      <c r="M133" s="63"/>
      <c r="N133" s="69">
        <f>N131/TAC!B8</f>
        <v>0</v>
      </c>
      <c r="O133" s="69">
        <f>O131/TAC!B9</f>
        <v>0.58714447269343639</v>
      </c>
    </row>
    <row r="134" spans="1:15" x14ac:dyDescent="0.25">
      <c r="A134" s="67" t="s">
        <v>17</v>
      </c>
      <c r="B134" s="63"/>
      <c r="C134" s="58"/>
      <c r="D134" s="58"/>
      <c r="E134" s="58"/>
      <c r="F134" s="68">
        <f>TAC!B4-F131</f>
        <v>1464098.3919150205</v>
      </c>
      <c r="G134" s="63"/>
      <c r="H134" s="68">
        <f>TAC!B5-Harvest!H131</f>
        <v>961759.38214081083</v>
      </c>
      <c r="I134" s="63"/>
      <c r="J134" s="68">
        <f>TAC!B6-J131</f>
        <v>87107.199643593282</v>
      </c>
      <c r="K134" s="63"/>
      <c r="L134" s="68">
        <f>TAC!B7-L131</f>
        <v>1409027.8248616876</v>
      </c>
      <c r="M134" s="63"/>
      <c r="N134" s="68">
        <f>TAC!B8-N131</f>
        <v>125735.12787535199</v>
      </c>
      <c r="O134" s="68">
        <f>TAC!B9-Harvest!O128</f>
        <v>4271111.6440279922</v>
      </c>
    </row>
    <row r="135" spans="1:15" x14ac:dyDescent="0.25">
      <c r="A135" s="67"/>
      <c r="B135" s="63"/>
      <c r="C135" s="58"/>
      <c r="D135" s="58"/>
      <c r="E135" s="58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1:15" x14ac:dyDescent="0.25">
      <c r="A136" s="64" t="s">
        <v>18</v>
      </c>
      <c r="B136" s="63"/>
      <c r="C136" s="58"/>
      <c r="D136" s="58"/>
      <c r="J136" s="10"/>
    </row>
  </sheetData>
  <mergeCells count="5">
    <mergeCell ref="E1:F1"/>
    <mergeCell ref="G1:H1"/>
    <mergeCell ref="I1:J1"/>
    <mergeCell ref="K1:L1"/>
    <mergeCell ref="M1:N1"/>
  </mergeCells>
  <pageMargins left="0.28999999999999998" right="0.36" top="0.66" bottom="0.5" header="0.2" footer="0.25"/>
  <pageSetup scale="25" orientation="landscape" r:id="rId1"/>
  <headerFooter>
    <oddHeader>&amp;L&amp;12 2010 Fall / 2011 Spring Razor clam Harvest Totals
(Number of Clams) &amp;C&amp;12Non-Indian Fishery&amp;R&amp;12&amp;KFF0000PRELIMINARY ESTIMATE</oddHeader>
    <oddFooter>&amp;LPage 1 of 3</oddFooter>
  </headerFooter>
  <ignoredErrors>
    <ignoredError sqref="O131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128"/>
  <sheetViews>
    <sheetView zoomScaleNormal="100" workbookViewId="0">
      <selection activeCell="Q2" sqref="Q2"/>
    </sheetView>
  </sheetViews>
  <sheetFormatPr defaultRowHeight="15" x14ac:dyDescent="0.25"/>
  <cols>
    <col min="1" max="1" width="18.7109375" customWidth="1"/>
    <col min="2" max="2" width="6" bestFit="1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3.42578125" customWidth="1"/>
  </cols>
  <sheetData>
    <row r="1" spans="1:17" x14ac:dyDescent="0.25">
      <c r="A1" s="11" t="s">
        <v>8</v>
      </c>
      <c r="B1" s="11" t="s">
        <v>5</v>
      </c>
      <c r="C1" s="11" t="s">
        <v>6</v>
      </c>
      <c r="D1" s="11" t="s">
        <v>7</v>
      </c>
      <c r="E1" s="223" t="s">
        <v>0</v>
      </c>
      <c r="F1" s="223"/>
      <c r="G1" s="223" t="s">
        <v>1</v>
      </c>
      <c r="H1" s="223"/>
      <c r="I1" s="223" t="s">
        <v>2</v>
      </c>
      <c r="J1" s="223"/>
      <c r="K1" s="223" t="s">
        <v>3</v>
      </c>
      <c r="L1" s="223"/>
      <c r="M1" s="223" t="s">
        <v>4</v>
      </c>
      <c r="N1" s="223"/>
      <c r="O1" s="14" t="s">
        <v>12</v>
      </c>
    </row>
    <row r="2" spans="1:17" x14ac:dyDescent="0.25">
      <c r="A2" s="4">
        <v>41919</v>
      </c>
      <c r="B2" s="5">
        <f>+A2</f>
        <v>41919</v>
      </c>
      <c r="C2" s="86">
        <v>-0.5</v>
      </c>
      <c r="D2" s="6">
        <v>0.7680555555555556</v>
      </c>
      <c r="E2" s="54"/>
      <c r="F2" s="8">
        <v>1633.334894064702</v>
      </c>
      <c r="G2" s="55"/>
      <c r="H2" s="8">
        <v>1485.9239248612748</v>
      </c>
      <c r="I2" s="55"/>
      <c r="J2" s="8" t="s">
        <v>11</v>
      </c>
      <c r="K2" s="7"/>
      <c r="L2" s="8" t="s">
        <v>11</v>
      </c>
      <c r="M2" s="56"/>
      <c r="N2" s="8" t="s">
        <v>11</v>
      </c>
      <c r="O2" s="57">
        <f>+F2+H2</f>
        <v>3119.2588189259768</v>
      </c>
      <c r="Q2" s="15">
        <f>SUM(O2:O15)</f>
        <v>24068.842320884862</v>
      </c>
    </row>
    <row r="3" spans="1:17" x14ac:dyDescent="0.25">
      <c r="A3" s="4">
        <v>41920</v>
      </c>
      <c r="B3" s="5">
        <f t="shared" ref="B3:B7" si="0">+A3</f>
        <v>41920</v>
      </c>
      <c r="C3" s="13">
        <v>-0.9</v>
      </c>
      <c r="D3" s="12">
        <v>0.80069444444444438</v>
      </c>
      <c r="E3" s="60"/>
      <c r="F3" s="8">
        <v>1665.0138717503266</v>
      </c>
      <c r="G3" s="8"/>
      <c r="H3" s="8">
        <v>1763.3462658369642</v>
      </c>
      <c r="I3" s="8"/>
      <c r="J3" s="8" t="s">
        <v>11</v>
      </c>
      <c r="K3" s="7"/>
      <c r="L3" s="8" t="s">
        <v>11</v>
      </c>
      <c r="M3" s="56"/>
      <c r="N3" s="8" t="s">
        <v>11</v>
      </c>
      <c r="O3" s="57">
        <f t="shared" ref="O3:O7" si="1">+F3+H3</f>
        <v>3428.3601375872909</v>
      </c>
    </row>
    <row r="4" spans="1:17" x14ac:dyDescent="0.25">
      <c r="A4" s="4">
        <v>41921</v>
      </c>
      <c r="B4" s="5">
        <f t="shared" si="0"/>
        <v>41921</v>
      </c>
      <c r="C4" s="13">
        <v>-1.1000000000000001</v>
      </c>
      <c r="D4" s="12">
        <v>0.83194444444444438</v>
      </c>
      <c r="E4" s="2"/>
      <c r="F4" s="8">
        <v>1725.9979158122248</v>
      </c>
      <c r="G4" s="8"/>
      <c r="H4" s="85">
        <v>1310.4622683220987</v>
      </c>
      <c r="I4" s="8"/>
      <c r="J4" s="8" t="s">
        <v>11</v>
      </c>
      <c r="K4" s="7"/>
      <c r="L4" s="8" t="s">
        <v>11</v>
      </c>
      <c r="M4" s="56"/>
      <c r="N4" s="8" t="s">
        <v>11</v>
      </c>
      <c r="O4" s="57">
        <f t="shared" si="1"/>
        <v>3036.4601841343238</v>
      </c>
    </row>
    <row r="5" spans="1:17" x14ac:dyDescent="0.25">
      <c r="A5" s="4">
        <v>41922</v>
      </c>
      <c r="B5" s="5">
        <f t="shared" si="0"/>
        <v>41922</v>
      </c>
      <c r="C5" s="13">
        <v>-1.1000000000000001</v>
      </c>
      <c r="D5" s="12">
        <v>0.86319444444444438</v>
      </c>
      <c r="E5" s="60"/>
      <c r="F5" s="8">
        <v>2633.4004361845891</v>
      </c>
      <c r="G5" s="8"/>
      <c r="H5" s="8">
        <v>2090.2265888449865</v>
      </c>
      <c r="I5" s="8"/>
      <c r="J5" s="8" t="s">
        <v>11</v>
      </c>
      <c r="K5" s="7"/>
      <c r="L5" s="8">
        <v>1222.3150974793125</v>
      </c>
      <c r="M5" s="56"/>
      <c r="N5" s="8" t="s">
        <v>11</v>
      </c>
      <c r="O5" s="57">
        <f t="shared" si="1"/>
        <v>4723.6270250295756</v>
      </c>
      <c r="Q5" s="15"/>
    </row>
    <row r="6" spans="1:17" x14ac:dyDescent="0.25">
      <c r="A6" s="181">
        <v>41923</v>
      </c>
      <c r="B6" s="5">
        <f t="shared" si="0"/>
        <v>41923</v>
      </c>
      <c r="C6" s="13">
        <v>-0.8</v>
      </c>
      <c r="D6" s="12">
        <v>0.89444444444444438</v>
      </c>
      <c r="E6" s="60"/>
      <c r="F6" s="8">
        <v>1397.0056149197903</v>
      </c>
      <c r="G6" s="8"/>
      <c r="H6" s="8">
        <v>484.01957354933973</v>
      </c>
      <c r="I6" s="8"/>
      <c r="J6" s="8">
        <v>2205.5586036055502</v>
      </c>
      <c r="K6" s="7"/>
      <c r="L6" s="8">
        <v>2126.2957375746932</v>
      </c>
      <c r="M6" s="56"/>
      <c r="N6" s="8" t="s">
        <v>11</v>
      </c>
      <c r="O6" s="57">
        <f t="shared" si="1"/>
        <v>1881.0251884691302</v>
      </c>
    </row>
    <row r="7" spans="1:17" x14ac:dyDescent="0.25">
      <c r="A7" s="4">
        <v>41924</v>
      </c>
      <c r="B7" s="5">
        <f t="shared" si="0"/>
        <v>41924</v>
      </c>
      <c r="C7" s="13">
        <f>-0.3</f>
        <v>-0.3</v>
      </c>
      <c r="D7" s="12">
        <v>0.92708333333333337</v>
      </c>
      <c r="E7" s="60"/>
      <c r="F7" s="8">
        <f>+L7*F5/L5</f>
        <v>635.04873692338663</v>
      </c>
      <c r="G7" s="8"/>
      <c r="H7" s="8">
        <f>+L7*H5/L5</f>
        <v>504.06149284796561</v>
      </c>
      <c r="I7" s="8"/>
      <c r="J7" s="8" t="s">
        <v>11</v>
      </c>
      <c r="K7" s="7"/>
      <c r="L7" s="8">
        <v>294.76324531231057</v>
      </c>
      <c r="M7" s="56"/>
      <c r="N7" s="8" t="s">
        <v>11</v>
      </c>
      <c r="O7" s="57">
        <f t="shared" si="1"/>
        <v>1139.1102297713524</v>
      </c>
    </row>
    <row r="8" spans="1:17" x14ac:dyDescent="0.25">
      <c r="A8" s="4"/>
      <c r="B8" s="5"/>
      <c r="C8" s="13"/>
      <c r="D8" s="12"/>
      <c r="E8"/>
      <c r="F8" s="8"/>
      <c r="G8" s="2"/>
      <c r="H8" s="8"/>
      <c r="J8" s="8"/>
      <c r="L8" s="8"/>
      <c r="N8" s="8"/>
      <c r="O8" s="15"/>
    </row>
    <row r="9" spans="1:17" x14ac:dyDescent="0.25">
      <c r="A9" s="4">
        <v>41934</v>
      </c>
      <c r="B9" s="5">
        <f t="shared" ref="B9:B15" si="2">+A9</f>
        <v>41934</v>
      </c>
      <c r="C9" s="13">
        <v>0.3</v>
      </c>
      <c r="D9" s="12">
        <v>0.7715277777777777</v>
      </c>
      <c r="E9"/>
      <c r="F9" s="8">
        <v>218.83187861190706</v>
      </c>
      <c r="G9" s="2"/>
      <c r="H9" s="8">
        <v>380.7094820454131</v>
      </c>
      <c r="I9" s="8"/>
      <c r="J9" s="8" t="s">
        <v>11</v>
      </c>
      <c r="K9" s="8"/>
      <c r="L9" s="8" t="s">
        <v>11</v>
      </c>
      <c r="M9" s="8"/>
      <c r="N9" s="8" t="s">
        <v>11</v>
      </c>
      <c r="O9" s="57">
        <f>+F9+H9</f>
        <v>599.54136065732018</v>
      </c>
    </row>
    <row r="10" spans="1:17" x14ac:dyDescent="0.25">
      <c r="A10" s="4">
        <v>41935</v>
      </c>
      <c r="B10" s="5">
        <f t="shared" si="2"/>
        <v>41935</v>
      </c>
      <c r="C10" s="13">
        <v>-0.1</v>
      </c>
      <c r="D10" s="12">
        <v>0.79652777777777783</v>
      </c>
      <c r="E10"/>
      <c r="F10" s="8">
        <v>524.09571025445518</v>
      </c>
      <c r="G10" s="2"/>
      <c r="H10" s="8">
        <v>770.81402660719675</v>
      </c>
      <c r="I10" s="8"/>
      <c r="J10" s="8" t="s">
        <v>11</v>
      </c>
      <c r="K10" s="8"/>
      <c r="L10" s="8" t="s">
        <v>11</v>
      </c>
      <c r="M10" s="8"/>
      <c r="N10" s="8" t="s">
        <v>11</v>
      </c>
      <c r="O10" s="57">
        <f>+F10+H10</f>
        <v>1294.9097368616519</v>
      </c>
    </row>
    <row r="11" spans="1:17" x14ac:dyDescent="0.25">
      <c r="A11" s="4">
        <v>41936</v>
      </c>
      <c r="B11" s="5">
        <f t="shared" si="2"/>
        <v>41936</v>
      </c>
      <c r="C11" s="137">
        <v>-0.4</v>
      </c>
      <c r="D11" s="138">
        <v>0.82222222222222219</v>
      </c>
      <c r="E11"/>
      <c r="F11" s="8">
        <v>892.37092063775526</v>
      </c>
      <c r="G11" s="2"/>
      <c r="H11" s="97">
        <v>1019.0882247319548</v>
      </c>
      <c r="J11" s="8" t="s">
        <v>11</v>
      </c>
      <c r="L11" s="96">
        <v>1499.4480783807305</v>
      </c>
      <c r="N11" s="8" t="s">
        <v>11</v>
      </c>
      <c r="O11" s="57">
        <f>+F11+H11+L11</f>
        <v>3410.9072237504406</v>
      </c>
    </row>
    <row r="12" spans="1:17" x14ac:dyDescent="0.25">
      <c r="A12" s="4">
        <v>41937</v>
      </c>
      <c r="B12" s="5">
        <f t="shared" si="2"/>
        <v>41937</v>
      </c>
      <c r="C12" s="137">
        <v>-0.6</v>
      </c>
      <c r="D12" s="138">
        <v>0.84861111111111109</v>
      </c>
      <c r="E12" s="2" t="s">
        <v>56</v>
      </c>
      <c r="F12" s="8">
        <f>+J12*F6/J6</f>
        <v>124.1803809193335</v>
      </c>
      <c r="G12" t="s">
        <v>56</v>
      </c>
      <c r="H12" s="97">
        <f>+J12*H6/J6</f>
        <v>43.024691077724384</v>
      </c>
      <c r="J12" s="8">
        <v>196.0529754573505</v>
      </c>
      <c r="K12" t="s">
        <v>56</v>
      </c>
      <c r="L12" s="96">
        <f>+J12*J6/L6</f>
        <v>203.36132887875735</v>
      </c>
      <c r="N12" s="8" t="s">
        <v>11</v>
      </c>
      <c r="O12" s="57">
        <f>+F12+H12+J12+L12</f>
        <v>566.61937633316575</v>
      </c>
    </row>
    <row r="13" spans="1:17" x14ac:dyDescent="0.25">
      <c r="A13" s="4">
        <v>41938</v>
      </c>
      <c r="B13" s="5">
        <f t="shared" si="2"/>
        <v>41938</v>
      </c>
      <c r="C13" s="137">
        <v>-0.6</v>
      </c>
      <c r="D13" s="138">
        <v>0.87708333333333333</v>
      </c>
      <c r="E13" s="2"/>
      <c r="F13" s="8">
        <v>100.64938194187069</v>
      </c>
      <c r="G13" s="2"/>
      <c r="H13" s="97">
        <v>212.02083189469772</v>
      </c>
      <c r="J13" s="8" t="s">
        <v>11</v>
      </c>
      <c r="L13" s="96">
        <v>380.01381752137826</v>
      </c>
      <c r="N13" s="8" t="s">
        <v>11</v>
      </c>
      <c r="O13" s="57">
        <f>+F13+H13+L13</f>
        <v>692.68403135794665</v>
      </c>
    </row>
    <row r="14" spans="1:17" x14ac:dyDescent="0.25">
      <c r="A14" s="4">
        <v>41939</v>
      </c>
      <c r="B14" s="5">
        <f t="shared" si="2"/>
        <v>41939</v>
      </c>
      <c r="C14" s="137">
        <v>-0.4</v>
      </c>
      <c r="D14" s="138">
        <v>0.90763888888888888</v>
      </c>
      <c r="E14" s="2" t="s">
        <v>56</v>
      </c>
      <c r="F14" s="8">
        <f>+H14*(F10+F9)/(H10+H9)</f>
        <v>59.251615149815976</v>
      </c>
      <c r="H14" s="97">
        <v>91.838866658273162</v>
      </c>
      <c r="J14" s="8" t="s">
        <v>11</v>
      </c>
      <c r="L14" s="8" t="s">
        <v>11</v>
      </c>
      <c r="N14" s="8" t="s">
        <v>11</v>
      </c>
      <c r="O14" s="57">
        <f>+F14+H14</f>
        <v>151.09048180808912</v>
      </c>
    </row>
    <row r="15" spans="1:17" x14ac:dyDescent="0.25">
      <c r="A15" s="4">
        <v>41940</v>
      </c>
      <c r="B15" s="5">
        <f t="shared" si="2"/>
        <v>41940</v>
      </c>
      <c r="C15" s="137">
        <v>-0.2</v>
      </c>
      <c r="D15" s="138">
        <v>0.94166666666666676</v>
      </c>
      <c r="E15" s="2"/>
      <c r="F15" s="8">
        <v>9.9014573222407805</v>
      </c>
      <c r="G15" t="s">
        <v>56</v>
      </c>
      <c r="H15" s="97">
        <f>+F15*(H10+H9)/(F10+F9)</f>
        <v>15.347068876360879</v>
      </c>
      <c r="J15" s="8" t="s">
        <v>11</v>
      </c>
      <c r="L15" s="8" t="s">
        <v>11</v>
      </c>
      <c r="N15" s="8" t="s">
        <v>11</v>
      </c>
      <c r="O15" s="57">
        <f>+F15+H15</f>
        <v>25.24852619860166</v>
      </c>
    </row>
    <row r="16" spans="1:17" x14ac:dyDescent="0.25">
      <c r="C16"/>
      <c r="D16"/>
      <c r="E16" s="2"/>
    </row>
    <row r="17" spans="1:15" x14ac:dyDescent="0.25">
      <c r="A17" s="4">
        <v>41947</v>
      </c>
      <c r="B17" s="5">
        <f t="shared" ref="B17:B24" si="3">+A17</f>
        <v>41947</v>
      </c>
      <c r="C17" s="137">
        <v>1.2</v>
      </c>
      <c r="D17" s="138">
        <v>0.15</v>
      </c>
      <c r="E17" s="2"/>
      <c r="F17" s="8">
        <v>798.07359760751433</v>
      </c>
      <c r="H17" s="97">
        <v>1095.9097183291749</v>
      </c>
      <c r="J17" s="8" t="s">
        <v>11</v>
      </c>
      <c r="L17" s="8" t="s">
        <v>11</v>
      </c>
      <c r="N17" s="8" t="s">
        <v>11</v>
      </c>
      <c r="O17" s="57">
        <f t="shared" ref="O17:O80" si="4">+F17+H17</f>
        <v>1893.9833159366892</v>
      </c>
    </row>
    <row r="18" spans="1:15" x14ac:dyDescent="0.25">
      <c r="A18" s="4">
        <v>41948</v>
      </c>
      <c r="B18" s="5">
        <f t="shared" si="3"/>
        <v>41948</v>
      </c>
      <c r="C18" s="137">
        <v>-0.7</v>
      </c>
      <c r="D18" s="138">
        <v>0.71805555555555556</v>
      </c>
      <c r="E18" s="2"/>
      <c r="F18" s="8">
        <v>476.76527359377343</v>
      </c>
      <c r="H18" s="97">
        <v>894.43514408193585</v>
      </c>
      <c r="J18" s="8" t="s">
        <v>11</v>
      </c>
      <c r="L18" s="8" t="s">
        <v>11</v>
      </c>
      <c r="N18" s="8" t="s">
        <v>11</v>
      </c>
      <c r="O18" s="57">
        <f t="shared" si="4"/>
        <v>1371.2004176757093</v>
      </c>
    </row>
    <row r="19" spans="1:15" x14ac:dyDescent="0.25">
      <c r="A19" s="4">
        <v>41949</v>
      </c>
      <c r="B19" s="5">
        <f t="shared" si="3"/>
        <v>41949</v>
      </c>
      <c r="C19" s="137">
        <v>-1.1000000000000001</v>
      </c>
      <c r="D19" s="138">
        <v>0.74930555555555556</v>
      </c>
      <c r="E19" s="2"/>
      <c r="F19" s="8">
        <v>695.7265408555553</v>
      </c>
      <c r="H19" s="97">
        <v>904.89437630528857</v>
      </c>
      <c r="J19" s="8" t="s">
        <v>11</v>
      </c>
      <c r="L19" s="8" t="s">
        <v>11</v>
      </c>
      <c r="N19" s="8" t="s">
        <v>11</v>
      </c>
      <c r="O19" s="57">
        <f t="shared" si="4"/>
        <v>1600.6209171608439</v>
      </c>
    </row>
    <row r="20" spans="1:15" x14ac:dyDescent="0.25">
      <c r="A20" s="4">
        <v>41950</v>
      </c>
      <c r="B20" s="5">
        <f t="shared" si="3"/>
        <v>41950</v>
      </c>
      <c r="C20" s="137">
        <v>-1.2</v>
      </c>
      <c r="D20" s="138">
        <v>0.77916666666666667</v>
      </c>
      <c r="E20" s="2"/>
      <c r="F20" s="8">
        <v>2757.2142333785855</v>
      </c>
      <c r="H20" s="97">
        <v>1487.4788872616978</v>
      </c>
      <c r="J20" s="8" t="s">
        <v>11</v>
      </c>
      <c r="L20" s="96">
        <v>1063.9832982077737</v>
      </c>
      <c r="N20" s="8" t="s">
        <v>11</v>
      </c>
      <c r="O20" s="57">
        <f>+F20+H20+L20</f>
        <v>5308.6764188480574</v>
      </c>
    </row>
    <row r="21" spans="1:15" x14ac:dyDescent="0.25">
      <c r="A21" s="4">
        <v>41951</v>
      </c>
      <c r="B21" s="5">
        <f t="shared" si="3"/>
        <v>41951</v>
      </c>
      <c r="C21" s="137">
        <v>-1.1000000000000001</v>
      </c>
      <c r="D21" s="138">
        <v>0.80833333333333335</v>
      </c>
      <c r="E21" s="2" t="s">
        <v>56</v>
      </c>
      <c r="F21" s="8">
        <f>+H21*(F20+F19+F18+F17)/(H20+H19+H18+H17)</f>
        <v>2524.6927573184839</v>
      </c>
      <c r="H21" s="97">
        <v>2340.4256416028993</v>
      </c>
      <c r="J21" s="8">
        <v>3127.5339014925967</v>
      </c>
      <c r="L21" s="96">
        <v>1948.1298570553215</v>
      </c>
      <c r="N21" s="8" t="s">
        <v>11</v>
      </c>
      <c r="O21" s="57">
        <f>+F21+H21+J21+L21</f>
        <v>9940.7821574693007</v>
      </c>
    </row>
    <row r="22" spans="1:15" x14ac:dyDescent="0.25">
      <c r="A22" s="4">
        <v>41952</v>
      </c>
      <c r="B22" s="5">
        <f t="shared" si="3"/>
        <v>41952</v>
      </c>
      <c r="C22" s="137">
        <v>-0.7</v>
      </c>
      <c r="D22" s="138">
        <v>0.83680555555555558</v>
      </c>
      <c r="E22" s="2" t="s">
        <v>56</v>
      </c>
      <c r="F22" s="8">
        <f>+H22*(F20+F19+F18+F17)/(H17+H18+H19+H20)</f>
        <v>171.41714781522199</v>
      </c>
      <c r="H22" s="97">
        <v>158.90610332454443</v>
      </c>
      <c r="J22" s="8" t="s">
        <v>11</v>
      </c>
      <c r="L22" s="96">
        <v>728.74218164091008</v>
      </c>
      <c r="N22" s="8" t="s">
        <v>11</v>
      </c>
      <c r="O22" s="57">
        <f>+F22+H22+L22</f>
        <v>1059.0654327806765</v>
      </c>
    </row>
    <row r="23" spans="1:15" x14ac:dyDescent="0.25">
      <c r="A23" s="4">
        <v>41953</v>
      </c>
      <c r="B23" s="5">
        <f t="shared" si="3"/>
        <v>41953</v>
      </c>
      <c r="C23" s="137">
        <v>-0.3</v>
      </c>
      <c r="D23" s="138">
        <v>0.86597222222222225</v>
      </c>
      <c r="E23" s="2" t="s">
        <v>56</v>
      </c>
      <c r="F23" s="8">
        <v>171.41714781522199</v>
      </c>
      <c r="G23" s="2" t="s">
        <v>56</v>
      </c>
      <c r="H23" s="97">
        <v>158.90610332454443</v>
      </c>
      <c r="J23" s="8" t="s">
        <v>11</v>
      </c>
      <c r="L23" s="8" t="s">
        <v>11</v>
      </c>
      <c r="N23" s="8" t="s">
        <v>11</v>
      </c>
      <c r="O23" s="57">
        <f t="shared" si="4"/>
        <v>330.3232511397664</v>
      </c>
    </row>
    <row r="24" spans="1:15" x14ac:dyDescent="0.25">
      <c r="A24" s="4">
        <v>41954</v>
      </c>
      <c r="B24" s="5">
        <f t="shared" si="3"/>
        <v>41954</v>
      </c>
      <c r="C24" s="145">
        <v>0.2</v>
      </c>
      <c r="D24" s="146">
        <v>0.89652777777777781</v>
      </c>
      <c r="E24" s="2" t="s">
        <v>56</v>
      </c>
      <c r="F24" s="8">
        <f>+H24*(F20+F19+F18+F17)/(H17+H18+H19+H20)</f>
        <v>60.933855767944088</v>
      </c>
      <c r="H24" s="97">
        <v>56.486540022596117</v>
      </c>
      <c r="J24" s="8" t="s">
        <v>11</v>
      </c>
      <c r="L24" s="8" t="s">
        <v>11</v>
      </c>
      <c r="N24" s="8" t="s">
        <v>11</v>
      </c>
      <c r="O24" s="57">
        <f t="shared" si="4"/>
        <v>117.4203957905402</v>
      </c>
    </row>
    <row r="25" spans="1:15" x14ac:dyDescent="0.25">
      <c r="A25" s="4"/>
      <c r="B25" s="5"/>
      <c r="C25" s="13"/>
      <c r="D25" s="98"/>
      <c r="E25"/>
      <c r="F25" s="8"/>
      <c r="H25" s="8"/>
      <c r="J25" s="8"/>
      <c r="L25" s="8"/>
      <c r="N25" s="8"/>
      <c r="O25" s="15"/>
    </row>
    <row r="26" spans="1:15" x14ac:dyDescent="0.25">
      <c r="A26" s="4">
        <v>41963</v>
      </c>
      <c r="B26" s="5">
        <f t="shared" ref="B26:B32" si="5">+A26</f>
        <v>41963</v>
      </c>
      <c r="C26" s="137">
        <v>0</v>
      </c>
      <c r="D26" s="138">
        <v>0.71250000000000002</v>
      </c>
      <c r="E26"/>
      <c r="F26" s="8">
        <v>433.43652283856386</v>
      </c>
      <c r="H26" s="8">
        <v>1033.7036824135089</v>
      </c>
      <c r="J26" s="8" t="s">
        <v>11</v>
      </c>
      <c r="L26" s="8" t="s">
        <v>11</v>
      </c>
      <c r="N26" s="8" t="s">
        <v>11</v>
      </c>
      <c r="O26" s="57">
        <f t="shared" si="4"/>
        <v>1467.1402052520727</v>
      </c>
    </row>
    <row r="27" spans="1:15" x14ac:dyDescent="0.25">
      <c r="A27" s="4">
        <v>41964</v>
      </c>
      <c r="B27" s="5">
        <f t="shared" si="5"/>
        <v>41964</v>
      </c>
      <c r="C27" s="137">
        <v>-0.5</v>
      </c>
      <c r="D27" s="138">
        <v>0.73958333333333337</v>
      </c>
      <c r="E27"/>
      <c r="F27" s="8">
        <v>250.83411192356141</v>
      </c>
      <c r="H27" s="8">
        <v>302.88690270671106</v>
      </c>
      <c r="J27" s="8" t="s">
        <v>11</v>
      </c>
      <c r="L27" s="8">
        <v>640.25513040060639</v>
      </c>
      <c r="N27" s="8" t="s">
        <v>11</v>
      </c>
      <c r="O27" s="57">
        <f>+F27+H27+L27</f>
        <v>1193.9761450308788</v>
      </c>
    </row>
    <row r="28" spans="1:15" x14ac:dyDescent="0.25">
      <c r="A28" s="4">
        <v>41965</v>
      </c>
      <c r="B28" s="5">
        <f t="shared" si="5"/>
        <v>41965</v>
      </c>
      <c r="C28" s="137">
        <v>-0.8</v>
      </c>
      <c r="D28" s="138">
        <v>0.76666666666666672</v>
      </c>
      <c r="E28" s="2" t="s">
        <v>56</v>
      </c>
      <c r="F28" s="8">
        <f>+H28*(F27+F26)/(H26+H27)</f>
        <v>682.78721440541426</v>
      </c>
      <c r="H28" s="8">
        <v>1333.6930098308098</v>
      </c>
      <c r="J28" s="8">
        <v>2124.6544402768313</v>
      </c>
      <c r="L28" s="8">
        <v>1283.3310340242842</v>
      </c>
      <c r="N28" s="8" t="s">
        <v>11</v>
      </c>
      <c r="O28" s="57">
        <f>+F28+H28+J28+L28</f>
        <v>5424.4656985373394</v>
      </c>
    </row>
    <row r="29" spans="1:15" x14ac:dyDescent="0.25">
      <c r="A29" s="4">
        <v>41966</v>
      </c>
      <c r="B29" s="5">
        <f t="shared" si="5"/>
        <v>41966</v>
      </c>
      <c r="C29" s="137">
        <v>-1</v>
      </c>
      <c r="D29" s="138">
        <v>0.79513888888888884</v>
      </c>
      <c r="E29"/>
      <c r="F29" s="8">
        <v>370.08222718132674</v>
      </c>
      <c r="H29" s="8">
        <v>367.39596969487957</v>
      </c>
      <c r="J29" s="8" t="s">
        <v>11</v>
      </c>
      <c r="L29" s="8">
        <v>428.76517894114585</v>
      </c>
      <c r="N29" s="8" t="s">
        <v>11</v>
      </c>
      <c r="O29" s="57">
        <f>+F29+H29+L29</f>
        <v>1166.2433758173522</v>
      </c>
    </row>
    <row r="30" spans="1:15" x14ac:dyDescent="0.25">
      <c r="A30" s="4">
        <v>41967</v>
      </c>
      <c r="B30" s="5">
        <f t="shared" si="5"/>
        <v>41967</v>
      </c>
      <c r="C30" s="137">
        <v>-1.1000000000000001</v>
      </c>
      <c r="D30" s="138">
        <v>0.82430555555555551</v>
      </c>
      <c r="E30"/>
      <c r="F30" s="8">
        <v>121.08702860251941</v>
      </c>
      <c r="G30" s="2"/>
      <c r="H30" s="8">
        <v>94.700895734088064</v>
      </c>
      <c r="J30" s="8" t="s">
        <v>11</v>
      </c>
      <c r="L30" s="8" t="s">
        <v>11</v>
      </c>
      <c r="N30" s="8" t="s">
        <v>11</v>
      </c>
      <c r="O30" s="57">
        <f t="shared" si="4"/>
        <v>215.78792433660749</v>
      </c>
    </row>
    <row r="31" spans="1:15" x14ac:dyDescent="0.25">
      <c r="A31" s="4">
        <v>41968</v>
      </c>
      <c r="B31" s="5">
        <f t="shared" si="5"/>
        <v>41968</v>
      </c>
      <c r="C31" s="137">
        <v>-0.9</v>
      </c>
      <c r="D31" s="138">
        <v>0.85555555555555551</v>
      </c>
      <c r="E31" s="2" t="s">
        <v>56</v>
      </c>
      <c r="F31" s="8">
        <v>173.06948047257833</v>
      </c>
      <c r="G31" s="2" t="s">
        <v>56</v>
      </c>
      <c r="H31" s="8">
        <v>338.05781867537155</v>
      </c>
      <c r="J31" s="8" t="s">
        <v>11</v>
      </c>
      <c r="L31" s="8" t="s">
        <v>11</v>
      </c>
      <c r="N31" s="8" t="s">
        <v>11</v>
      </c>
      <c r="O31" s="57">
        <f t="shared" si="4"/>
        <v>511.12729914794988</v>
      </c>
    </row>
    <row r="32" spans="1:15" x14ac:dyDescent="0.25">
      <c r="A32" s="4">
        <v>41969</v>
      </c>
      <c r="B32" s="5">
        <f t="shared" si="5"/>
        <v>41969</v>
      </c>
      <c r="C32" s="137">
        <v>-0.5</v>
      </c>
      <c r="D32" s="138">
        <v>0.8881944444444444</v>
      </c>
      <c r="E32" s="2" t="s">
        <v>56</v>
      </c>
      <c r="F32" s="8">
        <f>+H32*(F27+F26)/(H26+H27)</f>
        <v>173.06948047257833</v>
      </c>
      <c r="H32" s="8">
        <v>338.05781867537155</v>
      </c>
      <c r="J32" s="8" t="s">
        <v>11</v>
      </c>
      <c r="L32" s="8" t="s">
        <v>11</v>
      </c>
      <c r="N32" s="8" t="s">
        <v>11</v>
      </c>
      <c r="O32" s="57">
        <f t="shared" si="4"/>
        <v>511.12729914794988</v>
      </c>
    </row>
    <row r="33" spans="1:15" x14ac:dyDescent="0.25">
      <c r="A33" s="4"/>
      <c r="B33" s="5"/>
      <c r="C33" s="13"/>
      <c r="D33" s="98"/>
      <c r="E33"/>
      <c r="F33" s="8"/>
      <c r="H33" s="8"/>
      <c r="J33" s="8"/>
      <c r="L33" s="8"/>
      <c r="N33" s="8"/>
      <c r="O33" s="15"/>
    </row>
    <row r="34" spans="1:15" x14ac:dyDescent="0.25">
      <c r="A34" s="4">
        <v>41976</v>
      </c>
      <c r="B34" s="5">
        <f t="shared" ref="B34:B41" si="6">+A34</f>
        <v>41976</v>
      </c>
      <c r="C34" s="137">
        <v>-0.1</v>
      </c>
      <c r="D34" s="138">
        <v>0.67638888888888893</v>
      </c>
      <c r="E34"/>
      <c r="F34" s="8">
        <v>824.28294978860936</v>
      </c>
      <c r="H34" s="8">
        <v>674.07271093631368</v>
      </c>
      <c r="J34" s="8" t="s">
        <v>11</v>
      </c>
      <c r="L34" s="8" t="s">
        <v>11</v>
      </c>
      <c r="N34" s="8" t="s">
        <v>11</v>
      </c>
      <c r="O34" s="57">
        <f t="shared" si="4"/>
        <v>1498.3556607249229</v>
      </c>
    </row>
    <row r="35" spans="1:15" x14ac:dyDescent="0.25">
      <c r="A35" s="4">
        <v>41977</v>
      </c>
      <c r="B35" s="5">
        <f t="shared" si="6"/>
        <v>41977</v>
      </c>
      <c r="C35" s="137">
        <v>-0.6</v>
      </c>
      <c r="D35" s="138">
        <v>0.70972222222222225</v>
      </c>
      <c r="E35"/>
      <c r="F35" s="8">
        <v>830.18445556892209</v>
      </c>
      <c r="G35" s="2"/>
      <c r="H35" s="97">
        <v>609.55989169725603</v>
      </c>
      <c r="J35" s="8" t="s">
        <v>11</v>
      </c>
      <c r="L35" s="8" t="s">
        <v>11</v>
      </c>
      <c r="N35" s="8" t="s">
        <v>11</v>
      </c>
      <c r="O35" s="57">
        <f t="shared" si="4"/>
        <v>1439.744347266178</v>
      </c>
    </row>
    <row r="36" spans="1:15" x14ac:dyDescent="0.25">
      <c r="A36" s="4">
        <v>41978</v>
      </c>
      <c r="B36" s="5">
        <f t="shared" si="6"/>
        <v>41978</v>
      </c>
      <c r="C36" s="137">
        <v>-0.9</v>
      </c>
      <c r="D36" s="138">
        <v>0.73958333333333337</v>
      </c>
      <c r="E36"/>
      <c r="F36" s="8">
        <v>846.04719266152802</v>
      </c>
      <c r="H36" s="8">
        <v>760.7193865793239</v>
      </c>
      <c r="J36" s="8" t="s">
        <v>11</v>
      </c>
      <c r="L36" s="96">
        <v>961.20237631072666</v>
      </c>
      <c r="N36" s="8" t="s">
        <v>11</v>
      </c>
      <c r="O36" s="57">
        <f t="shared" si="4"/>
        <v>1606.766579240852</v>
      </c>
    </row>
    <row r="37" spans="1:15" x14ac:dyDescent="0.25">
      <c r="A37" s="4">
        <v>41979</v>
      </c>
      <c r="B37" s="105">
        <f t="shared" si="6"/>
        <v>41979</v>
      </c>
      <c r="C37" s="137">
        <v>-1</v>
      </c>
      <c r="D37" s="138">
        <v>0.7680555555555556</v>
      </c>
      <c r="E37"/>
      <c r="F37" s="8">
        <v>1083.2473098560615</v>
      </c>
      <c r="G37" s="2" t="s">
        <v>56</v>
      </c>
      <c r="H37" s="8">
        <f>+(H34+H35+H36)*F37/(F34+F35+F36)</f>
        <v>885.63321904544841</v>
      </c>
      <c r="J37" s="96">
        <v>1191.6818844214458</v>
      </c>
      <c r="L37" s="96">
        <v>1410.4645974603841</v>
      </c>
      <c r="N37" s="8" t="s">
        <v>11</v>
      </c>
      <c r="O37" s="57">
        <f t="shared" si="4"/>
        <v>1968.8805289015099</v>
      </c>
    </row>
    <row r="38" spans="1:15" x14ac:dyDescent="0.25">
      <c r="A38" s="4">
        <v>41980</v>
      </c>
      <c r="B38" s="5">
        <f t="shared" si="6"/>
        <v>41980</v>
      </c>
      <c r="C38" s="137">
        <v>-0.9</v>
      </c>
      <c r="D38" s="138">
        <v>0.79583333333333328</v>
      </c>
      <c r="E38"/>
      <c r="F38" s="8">
        <v>70.175437031005572</v>
      </c>
      <c r="H38" s="8">
        <v>293.76068459717004</v>
      </c>
      <c r="J38" s="8" t="s">
        <v>11</v>
      </c>
      <c r="L38" s="96">
        <v>347.3404756633463</v>
      </c>
      <c r="N38" s="8" t="s">
        <v>11</v>
      </c>
      <c r="O38" s="57">
        <f t="shared" si="4"/>
        <v>363.93612162817561</v>
      </c>
    </row>
    <row r="39" spans="1:15" x14ac:dyDescent="0.25">
      <c r="A39" s="4">
        <v>41981</v>
      </c>
      <c r="B39" s="5">
        <f t="shared" si="6"/>
        <v>41981</v>
      </c>
      <c r="C39" s="137">
        <v>-0.6</v>
      </c>
      <c r="D39" s="138">
        <v>0.82222222222222219</v>
      </c>
      <c r="E39" s="2"/>
      <c r="F39" s="8">
        <v>70.175437031005572</v>
      </c>
      <c r="H39" s="8">
        <v>293.76068459717004</v>
      </c>
      <c r="J39" s="8" t="s">
        <v>11</v>
      </c>
      <c r="L39" s="8" t="s">
        <v>11</v>
      </c>
      <c r="N39" s="8" t="s">
        <v>11</v>
      </c>
      <c r="O39" s="57">
        <f t="shared" si="4"/>
        <v>363.93612162817561</v>
      </c>
    </row>
    <row r="40" spans="1:15" x14ac:dyDescent="0.25">
      <c r="A40" s="4">
        <v>41982</v>
      </c>
      <c r="B40" s="5">
        <f t="shared" si="6"/>
        <v>41982</v>
      </c>
      <c r="C40" s="137">
        <v>-0.2</v>
      </c>
      <c r="D40" s="138">
        <v>0.84791666666666665</v>
      </c>
      <c r="E40" s="2" t="s">
        <v>62</v>
      </c>
      <c r="F40" s="8">
        <v>0</v>
      </c>
      <c r="G40" s="2" t="s">
        <v>62</v>
      </c>
      <c r="H40" s="8">
        <v>0</v>
      </c>
      <c r="J40" s="8" t="s">
        <v>11</v>
      </c>
      <c r="L40" s="8" t="s">
        <v>11</v>
      </c>
      <c r="N40" s="8" t="s">
        <v>11</v>
      </c>
      <c r="O40" s="57">
        <f t="shared" si="4"/>
        <v>0</v>
      </c>
    </row>
    <row r="41" spans="1:15" x14ac:dyDescent="0.25">
      <c r="A41" s="4">
        <v>41983</v>
      </c>
      <c r="B41" s="5">
        <f t="shared" si="6"/>
        <v>41983</v>
      </c>
      <c r="C41" s="137">
        <v>0.2</v>
      </c>
      <c r="D41" s="138">
        <v>0.87361111111111112</v>
      </c>
      <c r="E41" s="2" t="s">
        <v>62</v>
      </c>
      <c r="F41" s="8">
        <v>0</v>
      </c>
      <c r="G41" s="2" t="s">
        <v>62</v>
      </c>
      <c r="H41" s="8">
        <v>0</v>
      </c>
      <c r="J41" s="8" t="s">
        <v>11</v>
      </c>
      <c r="L41" s="8" t="s">
        <v>11</v>
      </c>
      <c r="N41" s="8" t="s">
        <v>11</v>
      </c>
      <c r="O41" s="57">
        <f t="shared" si="4"/>
        <v>0</v>
      </c>
    </row>
    <row r="42" spans="1:15" x14ac:dyDescent="0.25">
      <c r="A42" s="4"/>
      <c r="B42" s="5"/>
      <c r="C42" s="13"/>
      <c r="D42" s="98"/>
      <c r="E42"/>
      <c r="F42" s="8"/>
      <c r="H42" s="8"/>
      <c r="J42" s="1"/>
      <c r="L42" s="8"/>
      <c r="N42" s="1"/>
      <c r="O42" s="15"/>
    </row>
    <row r="43" spans="1:15" x14ac:dyDescent="0.25">
      <c r="A43" s="4">
        <v>41992</v>
      </c>
      <c r="B43" s="5">
        <f t="shared" ref="B43:B47" si="7">+A43</f>
        <v>41992</v>
      </c>
      <c r="C43" s="137">
        <v>0</v>
      </c>
      <c r="D43" s="138">
        <v>0.69513888888888886</v>
      </c>
      <c r="E43" s="2" t="s">
        <v>56</v>
      </c>
      <c r="F43" s="8">
        <f>+H43*F46/H46</f>
        <v>1267.1719690800735</v>
      </c>
      <c r="H43" s="8">
        <v>550.46402318002265</v>
      </c>
      <c r="J43" s="8" t="s">
        <v>11</v>
      </c>
      <c r="L43" s="96">
        <v>909.71745179664254</v>
      </c>
      <c r="N43" s="8" t="s">
        <v>11</v>
      </c>
      <c r="O43" s="57">
        <f t="shared" si="4"/>
        <v>1817.6359922600961</v>
      </c>
    </row>
    <row r="44" spans="1:15" x14ac:dyDescent="0.25">
      <c r="A44" s="4">
        <v>41993</v>
      </c>
      <c r="B44" s="5">
        <f t="shared" si="7"/>
        <v>41993</v>
      </c>
      <c r="C44" s="137">
        <v>-0.6</v>
      </c>
      <c r="D44" s="138">
        <v>0.72430555555555554</v>
      </c>
      <c r="E44" s="2" t="s">
        <v>56</v>
      </c>
      <c r="F44" s="8">
        <v>1267.1719690800735</v>
      </c>
      <c r="G44" s="2" t="s">
        <v>56</v>
      </c>
      <c r="H44" s="8">
        <f>+L44*H43/L43</f>
        <v>274.9749870351244</v>
      </c>
      <c r="J44" s="96">
        <v>781.84675942100864</v>
      </c>
      <c r="L44" s="96">
        <v>454.43395749698209</v>
      </c>
      <c r="N44" s="8" t="s">
        <v>11</v>
      </c>
      <c r="O44" s="57">
        <f t="shared" si="4"/>
        <v>1542.146956115198</v>
      </c>
    </row>
    <row r="45" spans="1:15" x14ac:dyDescent="0.25">
      <c r="A45" s="4">
        <v>41994</v>
      </c>
      <c r="B45" s="5">
        <f t="shared" si="7"/>
        <v>41994</v>
      </c>
      <c r="C45" s="137">
        <v>-1.1000000000000001</v>
      </c>
      <c r="D45" s="138">
        <v>0.75416666666666665</v>
      </c>
      <c r="E45" s="2" t="s">
        <v>56</v>
      </c>
      <c r="F45" s="8">
        <f>+H45*F29/H29</f>
        <v>743.27189593067988</v>
      </c>
      <c r="G45" s="2"/>
      <c r="H45" s="8">
        <v>737.87682546183703</v>
      </c>
      <c r="J45" s="8" t="s">
        <v>11</v>
      </c>
      <c r="K45" s="2" t="s">
        <v>56</v>
      </c>
      <c r="L45" s="96">
        <f>+H45*L38/H38</f>
        <v>872.46013838893214</v>
      </c>
      <c r="N45" s="8" t="s">
        <v>11</v>
      </c>
      <c r="O45" s="57">
        <f t="shared" si="4"/>
        <v>1481.148721392517</v>
      </c>
    </row>
    <row r="46" spans="1:15" x14ac:dyDescent="0.25">
      <c r="A46" s="4">
        <v>41995</v>
      </c>
      <c r="B46" s="5">
        <f t="shared" si="7"/>
        <v>41995</v>
      </c>
      <c r="C46" s="137">
        <v>-1.3</v>
      </c>
      <c r="D46" s="138">
        <v>0.78333333333333333</v>
      </c>
      <c r="E46"/>
      <c r="F46" s="8">
        <v>633.49119806581325</v>
      </c>
      <c r="H46" s="8">
        <v>275.19083600751952</v>
      </c>
      <c r="J46" s="8" t="s">
        <v>11</v>
      </c>
      <c r="L46" s="8" t="s">
        <v>11</v>
      </c>
      <c r="N46" s="8" t="s">
        <v>11</v>
      </c>
      <c r="O46" s="57">
        <f t="shared" si="4"/>
        <v>908.68203407333272</v>
      </c>
    </row>
    <row r="47" spans="1:15" x14ac:dyDescent="0.25">
      <c r="A47" s="4">
        <v>41996</v>
      </c>
      <c r="B47" s="5">
        <f t="shared" si="7"/>
        <v>41996</v>
      </c>
      <c r="C47" s="137">
        <v>-1.3</v>
      </c>
      <c r="D47" s="138">
        <v>0.81319444444444444</v>
      </c>
      <c r="E47" s="2" t="s">
        <v>56</v>
      </c>
      <c r="F47" s="8">
        <v>633.49119806581325</v>
      </c>
      <c r="G47" s="2" t="s">
        <v>56</v>
      </c>
      <c r="H47" s="8">
        <v>275.19083600751952</v>
      </c>
      <c r="J47" s="8" t="s">
        <v>11</v>
      </c>
      <c r="L47" s="8" t="s">
        <v>11</v>
      </c>
      <c r="N47" s="8" t="s">
        <v>11</v>
      </c>
      <c r="O47" s="57">
        <f t="shared" si="4"/>
        <v>908.68203407333272</v>
      </c>
    </row>
    <row r="48" spans="1:15" x14ac:dyDescent="0.25">
      <c r="C48"/>
      <c r="D48"/>
      <c r="E48"/>
    </row>
    <row r="49" spans="1:15" x14ac:dyDescent="0.25">
      <c r="A49" s="156">
        <v>42004</v>
      </c>
      <c r="B49" s="5">
        <f t="shared" ref="B49:B56" si="8">+A49</f>
        <v>42004</v>
      </c>
      <c r="C49" s="13">
        <v>0.6</v>
      </c>
      <c r="D49" s="12">
        <v>0.62847222222222221</v>
      </c>
      <c r="E49" s="2" t="s">
        <v>56</v>
      </c>
      <c r="F49" s="8">
        <f>+(J49+L49)*(F51+F52)/(J51+L51+J52+L52)</f>
        <v>5185.6616650336464</v>
      </c>
      <c r="G49" s="2"/>
      <c r="H49" s="97">
        <v>2069.6049382716051</v>
      </c>
      <c r="J49" s="96">
        <v>2956.2947549713276</v>
      </c>
      <c r="L49" s="8">
        <v>1992.3103799895064</v>
      </c>
      <c r="N49" s="8" t="s">
        <v>11</v>
      </c>
      <c r="O49" s="57">
        <f t="shared" si="4"/>
        <v>7255.2666033052519</v>
      </c>
    </row>
    <row r="50" spans="1:15" x14ac:dyDescent="0.25">
      <c r="A50" s="182">
        <v>42005</v>
      </c>
      <c r="B50" s="5">
        <f t="shared" si="8"/>
        <v>42005</v>
      </c>
      <c r="C50" s="13">
        <v>0.2</v>
      </c>
      <c r="D50" s="12">
        <v>0.66736111111111107</v>
      </c>
      <c r="E50"/>
      <c r="F50" s="8">
        <v>3826.3357200298424</v>
      </c>
      <c r="G50" s="2"/>
      <c r="H50" s="97">
        <v>2197.8904206722964</v>
      </c>
      <c r="J50" s="96">
        <v>3455.8474017668996</v>
      </c>
      <c r="L50" s="8">
        <v>2947.4411495022296</v>
      </c>
      <c r="N50" s="8" t="s">
        <v>11</v>
      </c>
      <c r="O50" s="57">
        <f t="shared" si="4"/>
        <v>6024.2261407021388</v>
      </c>
    </row>
    <row r="51" spans="1:15" x14ac:dyDescent="0.25">
      <c r="A51" s="182">
        <v>42006</v>
      </c>
      <c r="B51" s="5">
        <f t="shared" si="8"/>
        <v>42006</v>
      </c>
      <c r="C51" s="13">
        <v>-0.2</v>
      </c>
      <c r="D51" s="12">
        <v>0.7006944444444444</v>
      </c>
      <c r="E51"/>
      <c r="F51" s="8">
        <v>2940.3607351515398</v>
      </c>
      <c r="G51" s="2"/>
      <c r="H51" s="8">
        <v>2043.1925436231891</v>
      </c>
      <c r="J51" s="96">
        <v>2410.8541485573114</v>
      </c>
      <c r="L51" s="8">
        <v>1198.2597506643551</v>
      </c>
      <c r="N51" s="8" t="s">
        <v>11</v>
      </c>
      <c r="O51" s="57">
        <f t="shared" si="4"/>
        <v>4983.5532787747288</v>
      </c>
    </row>
    <row r="52" spans="1:15" x14ac:dyDescent="0.25">
      <c r="A52" s="182">
        <v>42007</v>
      </c>
      <c r="B52" s="5">
        <f t="shared" si="8"/>
        <v>42007</v>
      </c>
      <c r="C52" s="13">
        <v>-0.5</v>
      </c>
      <c r="D52" s="12">
        <v>0.73055555555555551</v>
      </c>
      <c r="E52"/>
      <c r="F52" s="8">
        <v>5795.5223384893889</v>
      </c>
      <c r="H52" s="8">
        <v>1791.1228595464288</v>
      </c>
      <c r="J52" s="96">
        <v>3146.092369996888</v>
      </c>
      <c r="L52" s="8">
        <v>1581.3260055603935</v>
      </c>
      <c r="N52" s="8" t="s">
        <v>11</v>
      </c>
      <c r="O52" s="57">
        <f t="shared" si="4"/>
        <v>7586.6451980358179</v>
      </c>
    </row>
    <row r="53" spans="1:15" x14ac:dyDescent="0.25">
      <c r="A53" s="156">
        <v>42008</v>
      </c>
      <c r="B53" s="5">
        <f t="shared" si="8"/>
        <v>42008</v>
      </c>
      <c r="C53" s="13">
        <v>-0.5</v>
      </c>
      <c r="D53" s="12">
        <v>0.7583333333333333</v>
      </c>
      <c r="E53"/>
      <c r="F53" s="8">
        <v>154.10095679897265</v>
      </c>
      <c r="H53" s="8">
        <v>65.748279539445562</v>
      </c>
      <c r="J53" s="8" t="s">
        <v>11</v>
      </c>
      <c r="L53" s="8">
        <v>97.88867042751744</v>
      </c>
      <c r="N53" s="8" t="s">
        <v>11</v>
      </c>
      <c r="O53" s="57">
        <f t="shared" si="4"/>
        <v>219.84923633841822</v>
      </c>
    </row>
    <row r="54" spans="1:15" x14ac:dyDescent="0.25">
      <c r="A54" s="156">
        <v>42009</v>
      </c>
      <c r="B54" s="5">
        <f t="shared" si="8"/>
        <v>42009</v>
      </c>
      <c r="C54" s="13">
        <v>-0.5</v>
      </c>
      <c r="D54" s="12">
        <v>0.78333333333333333</v>
      </c>
      <c r="E54"/>
      <c r="F54" s="8">
        <v>18.722546153146208</v>
      </c>
      <c r="G54" s="2" t="s">
        <v>56</v>
      </c>
      <c r="H54" s="8">
        <v>65.748279539445562</v>
      </c>
      <c r="J54" s="8" t="s">
        <v>11</v>
      </c>
      <c r="L54" s="8" t="s">
        <v>11</v>
      </c>
      <c r="N54" s="8" t="s">
        <v>11</v>
      </c>
      <c r="O54" s="57">
        <f t="shared" si="4"/>
        <v>84.470825692591774</v>
      </c>
    </row>
    <row r="55" spans="1:15" x14ac:dyDescent="0.25">
      <c r="A55" s="156">
        <v>42010</v>
      </c>
      <c r="B55" s="5">
        <f t="shared" si="8"/>
        <v>42010</v>
      </c>
      <c r="C55" s="13">
        <v>-0.3</v>
      </c>
      <c r="D55" s="12">
        <v>0.80763888888888891</v>
      </c>
      <c r="E55" s="2" t="s">
        <v>56</v>
      </c>
      <c r="F55" s="8">
        <f>+H55*F53/H53</f>
        <v>412.7915192452005</v>
      </c>
      <c r="G55" s="2"/>
      <c r="H55" s="8">
        <v>176.12046519770087</v>
      </c>
      <c r="J55" s="8" t="s">
        <v>11</v>
      </c>
      <c r="L55" s="8" t="s">
        <v>11</v>
      </c>
      <c r="N55" s="8" t="s">
        <v>11</v>
      </c>
      <c r="O55" s="57">
        <f t="shared" si="4"/>
        <v>588.91198444290137</v>
      </c>
    </row>
    <row r="56" spans="1:15" x14ac:dyDescent="0.25">
      <c r="A56" s="156">
        <v>42011</v>
      </c>
      <c r="B56" s="5">
        <f t="shared" si="8"/>
        <v>42011</v>
      </c>
      <c r="C56" s="13">
        <v>-0.1</v>
      </c>
      <c r="D56" s="12">
        <v>0.83125000000000004</v>
      </c>
      <c r="E56"/>
      <c r="F56" s="8">
        <v>103.19917210441996</v>
      </c>
      <c r="H56" s="8">
        <v>121.52753577442003</v>
      </c>
      <c r="J56" s="8" t="s">
        <v>11</v>
      </c>
      <c r="L56" s="8" t="s">
        <v>11</v>
      </c>
      <c r="N56" s="8" t="s">
        <v>11</v>
      </c>
      <c r="O56" s="57">
        <f t="shared" si="4"/>
        <v>224.72670787883999</v>
      </c>
    </row>
    <row r="57" spans="1:15" x14ac:dyDescent="0.25">
      <c r="A57" s="4"/>
      <c r="B57" s="5">
        <f t="shared" ref="B57:B65" si="9">+A57</f>
        <v>0</v>
      </c>
      <c r="C57" s="13"/>
      <c r="D57" s="98"/>
      <c r="E57"/>
      <c r="F57" s="8"/>
      <c r="G57" s="2"/>
      <c r="H57" s="97"/>
      <c r="J57" s="8"/>
      <c r="L57" s="8"/>
      <c r="N57" s="1"/>
      <c r="O57" s="15"/>
    </row>
    <row r="58" spans="1:15" x14ac:dyDescent="0.25">
      <c r="A58" s="181">
        <v>42021</v>
      </c>
      <c r="B58" s="5">
        <f t="shared" si="9"/>
        <v>42021</v>
      </c>
      <c r="C58" s="13">
        <v>0.1</v>
      </c>
      <c r="D58" s="98">
        <v>0.67708333333333337</v>
      </c>
      <c r="E58"/>
      <c r="F58" s="8">
        <v>1104.7197383814357</v>
      </c>
      <c r="H58" s="97">
        <v>1317.3794584553477</v>
      </c>
      <c r="J58" s="97">
        <v>1990.4826704758302</v>
      </c>
      <c r="L58" s="96">
        <v>1277.5845439849681</v>
      </c>
      <c r="N58" s="8" t="s">
        <v>11</v>
      </c>
      <c r="O58" s="57">
        <f t="shared" si="4"/>
        <v>2422.0991968367834</v>
      </c>
    </row>
    <row r="59" spans="1:15" x14ac:dyDescent="0.25">
      <c r="A59" s="4">
        <v>42022</v>
      </c>
      <c r="B59" s="5">
        <f t="shared" si="9"/>
        <v>42022</v>
      </c>
      <c r="C59" s="13">
        <v>-0.6</v>
      </c>
      <c r="D59" s="98">
        <v>0.70972222222222225</v>
      </c>
      <c r="E59" s="2" t="s">
        <v>56</v>
      </c>
      <c r="F59" s="8">
        <f>+F36*H59/H36</f>
        <v>1179.8159047000627</v>
      </c>
      <c r="G59" s="2"/>
      <c r="H59" s="97">
        <v>1060.8259670202838</v>
      </c>
      <c r="J59" s="8" t="s">
        <v>11</v>
      </c>
      <c r="L59" s="96">
        <v>2382.1223015858241</v>
      </c>
      <c r="N59" s="8" t="s">
        <v>11</v>
      </c>
      <c r="O59" s="57">
        <f t="shared" si="4"/>
        <v>2240.6418717203464</v>
      </c>
    </row>
    <row r="60" spans="1:15" x14ac:dyDescent="0.25">
      <c r="A60" s="4">
        <v>42023</v>
      </c>
      <c r="B60" s="5">
        <f t="shared" si="9"/>
        <v>42023</v>
      </c>
      <c r="C60" s="13">
        <v>-1.1000000000000001</v>
      </c>
      <c r="D60" s="98">
        <v>0.74097222222222225</v>
      </c>
      <c r="E60" s="2" t="s">
        <v>56</v>
      </c>
      <c r="F60" s="8">
        <f>+(F35+F34)*H60/(H35+H34)</f>
        <v>3049.0422341564895</v>
      </c>
      <c r="G60" s="2"/>
      <c r="H60" s="97">
        <v>2365.6253401524</v>
      </c>
      <c r="J60" s="8" t="s">
        <v>11</v>
      </c>
      <c r="L60" s="8" t="s">
        <v>11</v>
      </c>
      <c r="N60" s="8" t="s">
        <v>11</v>
      </c>
      <c r="O60" s="57">
        <f t="shared" si="4"/>
        <v>5414.667574308889</v>
      </c>
    </row>
    <row r="61" spans="1:15" x14ac:dyDescent="0.25">
      <c r="A61" s="4">
        <v>42024</v>
      </c>
      <c r="B61" s="5">
        <f t="shared" si="9"/>
        <v>42024</v>
      </c>
      <c r="C61" s="13">
        <v>-1.4</v>
      </c>
      <c r="D61" s="98">
        <v>0.77083333333333337</v>
      </c>
      <c r="E61"/>
      <c r="F61" s="8">
        <v>214.59393730076096</v>
      </c>
      <c r="G61" s="2" t="s">
        <v>56</v>
      </c>
      <c r="H61" s="97">
        <f>+F61*F62/H62</f>
        <v>172.02028763046414</v>
      </c>
      <c r="J61" s="8" t="s">
        <v>11</v>
      </c>
      <c r="L61" s="8" t="s">
        <v>11</v>
      </c>
      <c r="N61" s="8" t="s">
        <v>11</v>
      </c>
      <c r="O61" s="57">
        <f t="shared" si="4"/>
        <v>386.61422493122507</v>
      </c>
    </row>
    <row r="62" spans="1:15" x14ac:dyDescent="0.25">
      <c r="A62" s="4">
        <v>42025</v>
      </c>
      <c r="B62" s="5">
        <f t="shared" si="9"/>
        <v>42025</v>
      </c>
      <c r="C62" s="13">
        <v>-1.4</v>
      </c>
      <c r="D62" s="98">
        <v>0.80069444444444449</v>
      </c>
      <c r="E62"/>
      <c r="F62" s="8">
        <v>455.45234622084007</v>
      </c>
      <c r="H62" s="97">
        <v>568.17317058764479</v>
      </c>
      <c r="J62" s="8" t="s">
        <v>11</v>
      </c>
      <c r="L62" s="8" t="s">
        <v>11</v>
      </c>
      <c r="N62" s="8" t="s">
        <v>11</v>
      </c>
      <c r="O62" s="57">
        <f t="shared" si="4"/>
        <v>1023.6255168084849</v>
      </c>
    </row>
    <row r="63" spans="1:15" x14ac:dyDescent="0.25">
      <c r="A63" s="4">
        <v>42026</v>
      </c>
      <c r="B63" s="5">
        <f t="shared" si="9"/>
        <v>42026</v>
      </c>
      <c r="C63" s="13">
        <v>-1.1000000000000001</v>
      </c>
      <c r="D63" s="98">
        <v>0.8305555555555556</v>
      </c>
      <c r="E63" s="2" t="s">
        <v>56</v>
      </c>
      <c r="F63" s="8">
        <f>+F62*H63/H62</f>
        <v>94.283006097287029</v>
      </c>
      <c r="H63" s="97">
        <v>117.6172983876895</v>
      </c>
      <c r="J63" s="8" t="s">
        <v>11</v>
      </c>
      <c r="L63" s="8" t="s">
        <v>11</v>
      </c>
      <c r="N63" s="8" t="s">
        <v>11</v>
      </c>
      <c r="O63" s="57">
        <f t="shared" si="4"/>
        <v>211.90030448497652</v>
      </c>
    </row>
    <row r="64" spans="1:15" x14ac:dyDescent="0.25">
      <c r="A64" s="4">
        <v>42027</v>
      </c>
      <c r="B64" s="5">
        <f t="shared" si="9"/>
        <v>42027</v>
      </c>
      <c r="C64" s="13">
        <v>-0.6</v>
      </c>
      <c r="D64" s="98">
        <v>0.86111111111111116</v>
      </c>
      <c r="E64"/>
      <c r="F64" s="8">
        <v>325.55898826541016</v>
      </c>
      <c r="G64" s="2"/>
      <c r="H64" s="97">
        <v>221</v>
      </c>
      <c r="J64" s="8" t="s">
        <v>11</v>
      </c>
      <c r="L64" s="8">
        <v>188.7508998625687</v>
      </c>
      <c r="N64" s="8" t="s">
        <v>11</v>
      </c>
      <c r="O64" s="57">
        <f t="shared" si="4"/>
        <v>546.55898826541011</v>
      </c>
    </row>
    <row r="65" spans="1:16" x14ac:dyDescent="0.25">
      <c r="A65" s="4">
        <v>42028</v>
      </c>
      <c r="B65" s="105">
        <f t="shared" si="9"/>
        <v>42028</v>
      </c>
      <c r="C65" s="13">
        <v>0.1</v>
      </c>
      <c r="D65" s="98">
        <v>0.89236111111111116</v>
      </c>
      <c r="E65"/>
      <c r="F65" s="8">
        <v>661.59798876969001</v>
      </c>
      <c r="H65" s="97">
        <v>319.70479182486315</v>
      </c>
      <c r="J65" s="8">
        <v>413.86003226044198</v>
      </c>
      <c r="L65" s="8">
        <v>398.46207599790125</v>
      </c>
      <c r="N65" s="8" t="s">
        <v>11</v>
      </c>
      <c r="O65" s="57">
        <f t="shared" si="4"/>
        <v>981.30278059455316</v>
      </c>
    </row>
    <row r="66" spans="1:16" x14ac:dyDescent="0.25">
      <c r="A66" s="4"/>
      <c r="B66" s="5">
        <f t="shared" ref="B66" si="10">+A66</f>
        <v>0</v>
      </c>
      <c r="C66" s="13"/>
      <c r="D66" s="98"/>
      <c r="E66"/>
      <c r="F66" s="8"/>
      <c r="H66" s="8"/>
      <c r="J66" s="1"/>
      <c r="L66" s="8"/>
      <c r="N66" s="1"/>
      <c r="O66" s="15"/>
    </row>
    <row r="67" spans="1:16" x14ac:dyDescent="0.25">
      <c r="A67" s="4">
        <v>42034</v>
      </c>
      <c r="B67" s="5">
        <v>42034</v>
      </c>
      <c r="C67" s="13">
        <v>0.5</v>
      </c>
      <c r="D67" s="98">
        <v>0.65486111111111112</v>
      </c>
      <c r="E67"/>
      <c r="F67" s="8">
        <v>1919.5353820447194</v>
      </c>
      <c r="H67" s="97">
        <v>1115.00241058908</v>
      </c>
      <c r="J67" s="8" t="s">
        <v>11</v>
      </c>
      <c r="L67" s="8">
        <v>2439.2317143500291</v>
      </c>
      <c r="N67" s="8" t="s">
        <v>11</v>
      </c>
      <c r="O67" s="57">
        <f t="shared" si="4"/>
        <v>3034.5377926337997</v>
      </c>
    </row>
    <row r="68" spans="1:16" x14ac:dyDescent="0.25">
      <c r="A68" s="181">
        <v>42035</v>
      </c>
      <c r="B68" s="5">
        <v>42035</v>
      </c>
      <c r="C68" s="13">
        <v>0.2</v>
      </c>
      <c r="D68" s="98">
        <v>0.68888888888888888</v>
      </c>
      <c r="E68"/>
      <c r="F68" s="8">
        <v>4368.932224399694</v>
      </c>
      <c r="H68" s="97">
        <v>1927.9376969818907</v>
      </c>
      <c r="J68" s="8">
        <v>3379.9945470724274</v>
      </c>
      <c r="L68" s="8">
        <v>2745.0018809129447</v>
      </c>
      <c r="N68" s="8" t="s">
        <v>11</v>
      </c>
      <c r="O68" s="57">
        <f t="shared" si="4"/>
        <v>6296.8699213815844</v>
      </c>
    </row>
    <row r="69" spans="1:16" x14ac:dyDescent="0.25">
      <c r="A69" s="4">
        <v>42036</v>
      </c>
      <c r="B69" s="5">
        <v>42036</v>
      </c>
      <c r="C69" s="13">
        <v>0</v>
      </c>
      <c r="D69" s="98">
        <v>0.71875</v>
      </c>
      <c r="E69" s="2" t="s">
        <v>56</v>
      </c>
      <c r="F69" s="8">
        <f>+H69*(F67+F64)/(H67+H64)</f>
        <v>178.14592709655813</v>
      </c>
      <c r="H69" s="97">
        <v>106.01041594734887</v>
      </c>
      <c r="J69" s="8" t="s">
        <v>11</v>
      </c>
      <c r="K69" s="2" t="s">
        <v>56</v>
      </c>
      <c r="L69" s="97">
        <f>+H69*L59/H59</f>
        <v>238.05014571606984</v>
      </c>
      <c r="N69" s="8" t="s">
        <v>11</v>
      </c>
      <c r="O69" s="57">
        <f t="shared" si="4"/>
        <v>284.15634304390699</v>
      </c>
      <c r="P69" s="15"/>
    </row>
    <row r="70" spans="1:16" x14ac:dyDescent="0.25">
      <c r="A70" s="4">
        <v>42037</v>
      </c>
      <c r="B70" s="5">
        <v>42037</v>
      </c>
      <c r="C70" s="13">
        <v>-0.1</v>
      </c>
      <c r="D70" s="98">
        <v>0.74513888888888891</v>
      </c>
      <c r="E70" s="2" t="s">
        <v>56</v>
      </c>
      <c r="F70" s="8">
        <f>+H70*(F72+F62+F56)/(H72+H62+H56)</f>
        <v>416.90721892565085</v>
      </c>
      <c r="H70" s="97">
        <v>589.34493617402404</v>
      </c>
      <c r="J70" s="8" t="s">
        <v>11</v>
      </c>
      <c r="L70" s="8" t="s">
        <v>11</v>
      </c>
      <c r="N70" s="8" t="s">
        <v>11</v>
      </c>
      <c r="O70" s="57">
        <f t="shared" si="4"/>
        <v>1006.2521550996748</v>
      </c>
    </row>
    <row r="71" spans="1:16" x14ac:dyDescent="0.25">
      <c r="A71" s="4">
        <v>42038</v>
      </c>
      <c r="B71" s="5">
        <v>42038</v>
      </c>
      <c r="C71" s="13">
        <v>-0.1</v>
      </c>
      <c r="D71" s="98">
        <v>0.76875000000000004</v>
      </c>
      <c r="E71"/>
      <c r="F71" s="8">
        <v>332.98932865692836</v>
      </c>
      <c r="G71" s="2" t="s">
        <v>56</v>
      </c>
      <c r="H71" s="97">
        <f>+H72*F72/F71</f>
        <v>124.80839026370082</v>
      </c>
      <c r="J71" s="8" t="s">
        <v>11</v>
      </c>
      <c r="L71" s="8" t="s">
        <v>11</v>
      </c>
      <c r="N71" s="8" t="s">
        <v>11</v>
      </c>
      <c r="O71" s="57">
        <f t="shared" si="4"/>
        <v>457.79771892062917</v>
      </c>
    </row>
    <row r="72" spans="1:16" x14ac:dyDescent="0.25">
      <c r="A72" s="4">
        <v>42039</v>
      </c>
      <c r="B72" s="5">
        <v>42039</v>
      </c>
      <c r="C72" s="13">
        <v>0</v>
      </c>
      <c r="D72" s="98">
        <v>0.79097222222222219</v>
      </c>
      <c r="E72"/>
      <c r="F72" s="8">
        <v>139.6989982196294</v>
      </c>
      <c r="H72" s="8">
        <v>297.49577745233955</v>
      </c>
      <c r="J72" s="8" t="s">
        <v>11</v>
      </c>
      <c r="L72" s="8" t="s">
        <v>11</v>
      </c>
      <c r="N72" s="8" t="s">
        <v>11</v>
      </c>
      <c r="O72" s="57">
        <f t="shared" si="4"/>
        <v>437.19477567196896</v>
      </c>
    </row>
    <row r="73" spans="1:16" x14ac:dyDescent="0.25">
      <c r="A73" s="4">
        <v>42040</v>
      </c>
      <c r="B73" s="5">
        <v>42040</v>
      </c>
      <c r="C73" s="13">
        <v>0.2</v>
      </c>
      <c r="D73" s="98">
        <v>0.8125</v>
      </c>
      <c r="E73" s="2" t="s">
        <v>62</v>
      </c>
      <c r="F73" s="8">
        <v>0</v>
      </c>
      <c r="G73" s="2" t="s">
        <v>62</v>
      </c>
      <c r="H73" s="8">
        <v>0</v>
      </c>
      <c r="J73" s="8" t="s">
        <v>11</v>
      </c>
      <c r="L73" s="8" t="s">
        <v>11</v>
      </c>
      <c r="N73" s="8" t="s">
        <v>11</v>
      </c>
      <c r="O73" s="57">
        <f t="shared" si="4"/>
        <v>0</v>
      </c>
    </row>
    <row r="74" spans="1:16" x14ac:dyDescent="0.25">
      <c r="A74" s="4">
        <v>42041</v>
      </c>
      <c r="B74" s="5">
        <v>42041</v>
      </c>
      <c r="C74" s="13">
        <v>0.5</v>
      </c>
      <c r="D74" s="98">
        <v>0.83333333333333337</v>
      </c>
      <c r="E74" s="2" t="s">
        <v>62</v>
      </c>
      <c r="F74" s="8">
        <v>0</v>
      </c>
      <c r="G74" s="2" t="s">
        <v>62</v>
      </c>
      <c r="H74" s="8">
        <v>0</v>
      </c>
      <c r="J74" s="8" t="s">
        <v>11</v>
      </c>
      <c r="L74" s="8" t="s">
        <v>11</v>
      </c>
      <c r="N74" s="8" t="s">
        <v>11</v>
      </c>
      <c r="O74" s="57">
        <f t="shared" si="4"/>
        <v>0</v>
      </c>
    </row>
    <row r="75" spans="1:16" x14ac:dyDescent="0.25">
      <c r="A75" s="4"/>
      <c r="C75"/>
      <c r="D75" s="98"/>
      <c r="E75"/>
      <c r="O75" s="15"/>
    </row>
    <row r="76" spans="1:16" x14ac:dyDescent="0.25">
      <c r="A76" s="4">
        <v>42050</v>
      </c>
      <c r="B76" s="5">
        <f t="shared" ref="B76:B88" si="11">+A76</f>
        <v>42050</v>
      </c>
      <c r="C76" s="13">
        <v>0.2</v>
      </c>
      <c r="D76" s="98">
        <v>0.65763888888888888</v>
      </c>
      <c r="E76" s="2" t="s">
        <v>56</v>
      </c>
      <c r="F76" s="8">
        <f>+H76*(F72+F62+F56+F46+F35+F34+F30+F26+F19+F18+F17+F4+F3+F2+F10+F9)/(H72+H62+H56+H46+H35+H34+H30+H26+H19+H18+H17+H4+H3+H2+H10+H9)</f>
        <v>6299.9197969297829</v>
      </c>
      <c r="G76" s="2"/>
      <c r="H76" s="8">
        <v>6859.7443704820198</v>
      </c>
      <c r="J76" s="8" t="s">
        <v>11</v>
      </c>
      <c r="L76" s="8" t="s">
        <v>11</v>
      </c>
      <c r="N76" s="8" t="s">
        <v>11</v>
      </c>
      <c r="O76" s="57">
        <f t="shared" si="4"/>
        <v>13159.664167411804</v>
      </c>
    </row>
    <row r="77" spans="1:16" x14ac:dyDescent="0.25">
      <c r="A77" s="4">
        <v>42051</v>
      </c>
      <c r="B77" s="5">
        <f t="shared" si="11"/>
        <v>42051</v>
      </c>
      <c r="C77" s="13">
        <v>-0.5</v>
      </c>
      <c r="D77" s="98">
        <v>0.69236111111111109</v>
      </c>
      <c r="E77" s="2" t="s">
        <v>56</v>
      </c>
      <c r="F77" s="8">
        <f>+H77*(F72+F62+F56+F46+F35+F34+F30+F26+F19+F18+F17+F10+F9+F4+F3+F2)/(H72+H62+H56+H46+H35+H34+H30+H26+H19+H18+H17+H10+H9+H4+H3+H2)</f>
        <v>4971.7958797007568</v>
      </c>
      <c r="G77" s="2"/>
      <c r="H77" s="8">
        <v>5413.6004737050616</v>
      </c>
      <c r="J77" s="8" t="s">
        <v>11</v>
      </c>
      <c r="L77" s="8" t="s">
        <v>11</v>
      </c>
      <c r="N77" s="8" t="s">
        <v>11</v>
      </c>
      <c r="O77" s="57">
        <f t="shared" si="4"/>
        <v>10385.396353405818</v>
      </c>
    </row>
    <row r="78" spans="1:16" x14ac:dyDescent="0.25">
      <c r="A78" s="4">
        <v>42052</v>
      </c>
      <c r="B78" s="5">
        <f t="shared" si="11"/>
        <v>42052</v>
      </c>
      <c r="C78" s="13">
        <v>-0.9</v>
      </c>
      <c r="D78" s="98">
        <v>0.72499999999999998</v>
      </c>
      <c r="E78"/>
      <c r="F78" s="8">
        <v>2320.8507689403664</v>
      </c>
      <c r="G78" s="2" t="s">
        <v>56</v>
      </c>
      <c r="H78" s="175">
        <f>+(H$72+H$62+H$56+H$46+H$39+H$35+H$34+H$30+H$26+H$19+H$18+H$17+H$10+H$9+H$4+H$3+H$2)*F78/(F$72+F$62+F$56+F$46+F$39+F$35+F$34+F$30+F$26+F$19+F$18+F$17+F$10+F$9+F$4+F$3+F$2)</f>
        <v>2571.5347666542511</v>
      </c>
      <c r="J78" s="8" t="s">
        <v>11</v>
      </c>
      <c r="L78" s="8" t="s">
        <v>11</v>
      </c>
      <c r="N78" s="8" t="s">
        <v>11</v>
      </c>
      <c r="O78" s="57">
        <f t="shared" si="4"/>
        <v>4892.385535594618</v>
      </c>
    </row>
    <row r="79" spans="1:16" x14ac:dyDescent="0.25">
      <c r="A79" s="4">
        <v>42053</v>
      </c>
      <c r="B79" s="5">
        <f t="shared" si="11"/>
        <v>42053</v>
      </c>
      <c r="C79" s="13">
        <v>-1.1000000000000001</v>
      </c>
      <c r="D79" s="98">
        <v>0.75555555555555554</v>
      </c>
      <c r="E79" s="2" t="s">
        <v>56</v>
      </c>
      <c r="F79" s="174">
        <f>(F$72+F$62+F$56+F$46+F$39+F$35+F$34+F$30+F$26+F$19+F$18+F$17+F$10+F$9+F$4+F$3+F$2)*H79/(H$72+H$62+H$56+H$46+H$39+H$35+H$34+H$30+H$26+H$19+H$18+H$17+H$10+H$9+H$4+H$3+H$2)</f>
        <v>2031.7554979905901</v>
      </c>
      <c r="G79" s="2"/>
      <c r="H79" s="8">
        <v>2251.2132060990657</v>
      </c>
      <c r="J79" s="8" t="s">
        <v>11</v>
      </c>
      <c r="L79" s="8" t="s">
        <v>11</v>
      </c>
      <c r="N79" s="8" t="s">
        <v>11</v>
      </c>
      <c r="O79" s="57">
        <f t="shared" si="4"/>
        <v>4282.9687040896561</v>
      </c>
    </row>
    <row r="80" spans="1:16" x14ac:dyDescent="0.25">
      <c r="A80" s="4">
        <v>42054</v>
      </c>
      <c r="B80" s="5">
        <f t="shared" si="11"/>
        <v>42054</v>
      </c>
      <c r="C80" s="13">
        <v>-1.1000000000000001</v>
      </c>
      <c r="D80" s="98">
        <v>0.78541666666666665</v>
      </c>
      <c r="E80" s="2" t="s">
        <v>56</v>
      </c>
      <c r="F80" s="8">
        <v>2031.7554979905901</v>
      </c>
      <c r="G80" s="2" t="s">
        <v>56</v>
      </c>
      <c r="H80" s="8">
        <v>2251.2132060990657</v>
      </c>
      <c r="J80" s="8" t="s">
        <v>11</v>
      </c>
      <c r="L80" s="8" t="s">
        <v>11</v>
      </c>
      <c r="N80" s="8" t="s">
        <v>11</v>
      </c>
      <c r="O80" s="57">
        <f t="shared" si="4"/>
        <v>4282.9687040896561</v>
      </c>
    </row>
    <row r="81" spans="1:15" x14ac:dyDescent="0.25">
      <c r="A81" s="4">
        <v>42055</v>
      </c>
      <c r="B81" s="5">
        <f t="shared" si="11"/>
        <v>42055</v>
      </c>
      <c r="C81" s="13">
        <v>-0.7</v>
      </c>
      <c r="D81" s="98">
        <v>0.81458333333333333</v>
      </c>
      <c r="E81" s="2" t="s">
        <v>56</v>
      </c>
      <c r="F81" s="8">
        <f>(F67+F64+F53+F36+F29+F20+F13+F11+F7+F5)*(H81+L81)/(L67+L64+L53+L36+L29+L20+L13+L11+L7+L5)</f>
        <v>3705.8153546612043</v>
      </c>
      <c r="G81" s="2"/>
      <c r="H81" s="8">
        <v>1103.2527348163305</v>
      </c>
      <c r="J81" s="8" t="s">
        <v>11</v>
      </c>
      <c r="L81" s="8">
        <v>1885.4993913937292</v>
      </c>
      <c r="N81" s="8" t="s">
        <v>11</v>
      </c>
      <c r="O81" s="57">
        <f t="shared" ref="O81:O83" si="12">+F81+H81</f>
        <v>4809.0680894775351</v>
      </c>
    </row>
    <row r="82" spans="1:15" x14ac:dyDescent="0.25">
      <c r="A82" s="4">
        <v>42056</v>
      </c>
      <c r="B82" s="5">
        <f t="shared" si="11"/>
        <v>42056</v>
      </c>
      <c r="C82" s="13">
        <v>-0.1</v>
      </c>
      <c r="D82" s="98">
        <v>0.84444444444444444</v>
      </c>
      <c r="E82"/>
      <c r="F82" s="8">
        <v>3160.7749601607184</v>
      </c>
      <c r="G82" s="2" t="s">
        <v>56</v>
      </c>
      <c r="H82" s="175">
        <f>(H$68+H$58+H$52+H$51+H$50+H$6)*(F82+J82+L82)/(J$68+L$68+F$68+F$58+J$58+L$58+F$52+J$52+L$52+F$51+J$51+L$51+F$50+J$50+L$50+J$6+L$6+F$6)</f>
        <v>1518.7781849021419</v>
      </c>
      <c r="J82" s="8">
        <v>2960.4092193616189</v>
      </c>
      <c r="L82" s="8">
        <v>1331.1065472882369</v>
      </c>
      <c r="N82" s="8" t="s">
        <v>11</v>
      </c>
      <c r="O82" s="57">
        <f t="shared" si="12"/>
        <v>4679.5531450628605</v>
      </c>
    </row>
    <row r="83" spans="1:15" x14ac:dyDescent="0.25">
      <c r="A83" s="4">
        <v>42057</v>
      </c>
      <c r="B83" s="5">
        <f t="shared" si="11"/>
        <v>42057</v>
      </c>
      <c r="C83" s="13">
        <v>0.6</v>
      </c>
      <c r="D83" s="98">
        <v>0.875</v>
      </c>
      <c r="E83" s="2" t="s">
        <v>56</v>
      </c>
      <c r="F83" s="174">
        <f>(F$67+F$64+F$53+F$36+F$29+F$20+F$13+F$11+F$7+F$5)*(H83+L83)/(L$67+L$64+L$53+L$36+L$29+L$20+L$13+L$11+L$7+L$5)</f>
        <v>760.72618069616863</v>
      </c>
      <c r="H83" s="97">
        <v>264</v>
      </c>
      <c r="J83" s="8" t="s">
        <v>11</v>
      </c>
      <c r="L83" s="8">
        <v>349.52813684026427</v>
      </c>
      <c r="N83" s="8" t="s">
        <v>11</v>
      </c>
      <c r="O83" s="57">
        <f t="shared" si="12"/>
        <v>1024.7261806961687</v>
      </c>
    </row>
    <row r="84" spans="1:15" x14ac:dyDescent="0.25">
      <c r="A84" s="4"/>
      <c r="B84" s="5"/>
      <c r="C84" s="13"/>
      <c r="D84" s="98"/>
      <c r="E84"/>
      <c r="F84" s="1"/>
      <c r="H84" s="97"/>
      <c r="J84" s="1"/>
      <c r="L84" s="1"/>
      <c r="N84" s="1"/>
      <c r="O84" s="10"/>
    </row>
    <row r="85" spans="1:15" x14ac:dyDescent="0.25">
      <c r="A85" s="4">
        <v>42065</v>
      </c>
      <c r="B85" s="5">
        <f t="shared" si="11"/>
        <v>42065</v>
      </c>
      <c r="C85" s="136">
        <v>0.5</v>
      </c>
      <c r="D85" s="135">
        <v>0.7006944444444444</v>
      </c>
      <c r="E85"/>
      <c r="F85" s="97">
        <v>950.09190892219726</v>
      </c>
      <c r="H85" s="97">
        <v>1273.5892292721044</v>
      </c>
      <c r="J85" s="8" t="s">
        <v>11</v>
      </c>
      <c r="L85" s="8" t="s">
        <v>11</v>
      </c>
      <c r="N85" s="8" t="s">
        <v>11</v>
      </c>
      <c r="O85" s="57">
        <f t="shared" ref="O85:O88" si="13">+F85+H85</f>
        <v>2223.6811381943016</v>
      </c>
    </row>
    <row r="86" spans="1:15" x14ac:dyDescent="0.25">
      <c r="A86" s="4">
        <v>42066</v>
      </c>
      <c r="B86" s="5">
        <f t="shared" si="11"/>
        <v>42066</v>
      </c>
      <c r="C86" s="136">
        <v>0.4</v>
      </c>
      <c r="D86" s="135">
        <v>0.72638888888888886</v>
      </c>
      <c r="E86"/>
      <c r="F86" s="97">
        <v>800</v>
      </c>
      <c r="G86" s="2" t="s">
        <v>56</v>
      </c>
      <c r="H86" s="175">
        <f>+(H$72+H$62+H$56+H$46+H$39+H$35+H$34+H$30+H$26+H$19+H$18+H$17+H$10+H$9+H$4+H$3+H$2+H$85)*F86/(F$72+F$62+F$56+F$46+F$39+F$35+F$34+F$30+F$26+F$19+F$18+F$17+F$10+F$9+F$4+F$3+F$2+F$85)</f>
        <v>900.77811315456393</v>
      </c>
      <c r="J86" s="8" t="s">
        <v>11</v>
      </c>
      <c r="L86" s="8" t="s">
        <v>11</v>
      </c>
      <c r="N86" s="8" t="s">
        <v>11</v>
      </c>
      <c r="O86" s="57">
        <f t="shared" si="13"/>
        <v>1700.7781131545639</v>
      </c>
    </row>
    <row r="87" spans="1:15" x14ac:dyDescent="0.25">
      <c r="A87" s="4">
        <v>42067</v>
      </c>
      <c r="B87" s="5">
        <f t="shared" si="11"/>
        <v>42067</v>
      </c>
      <c r="C87" s="136">
        <v>0.4</v>
      </c>
      <c r="D87" s="135">
        <v>0.74930555555555556</v>
      </c>
      <c r="E87" s="2" t="s">
        <v>56</v>
      </c>
      <c r="F87" s="174">
        <f>(F$72+F$62+F$56+F$46+F$39+F$35+F$34+F$30+F$26+F$19+F$18+F$17+F$10+F$9+F$4+F$3+F$2)*H87/(H$72+H$62+H$56+H$46+H$39+H$35+H$34+H$30+H$26+H$19+H$18+H$17+H$10+H$9+H$4+H$3+H$2)</f>
        <v>1114.3657865570965</v>
      </c>
      <c r="H87" s="97">
        <v>1234.7327114918071</v>
      </c>
      <c r="J87" s="8" t="s">
        <v>11</v>
      </c>
      <c r="L87" s="8" t="s">
        <v>11</v>
      </c>
      <c r="N87" s="8" t="s">
        <v>11</v>
      </c>
      <c r="O87" s="57">
        <f t="shared" si="13"/>
        <v>2349.0984980489038</v>
      </c>
    </row>
    <row r="88" spans="1:15" x14ac:dyDescent="0.25">
      <c r="A88" s="4">
        <v>42068</v>
      </c>
      <c r="B88" s="5">
        <f t="shared" si="11"/>
        <v>42068</v>
      </c>
      <c r="C88" s="136">
        <v>0.5</v>
      </c>
      <c r="D88" s="135">
        <v>0.77083333333333337</v>
      </c>
      <c r="E88"/>
      <c r="F88" s="97">
        <v>476.25816386175723</v>
      </c>
      <c r="G88" s="2" t="s">
        <v>56</v>
      </c>
      <c r="H88" s="175">
        <f>+(H$72+H$62+H$56+H$46+H$39+H$35+H$34+H$30+H$26+H$19+H$18+H$17+H$10+H$9+H$4+H$3+H$2+H$85)*F88/(F$72+F$62+F$56+F$46+F$39+F$35+F$34+F$30+F$26+F$19+F$18+F$17+F$10+F$9+F$4+F$3+F$2+F$85)</f>
        <v>536.25366277231342</v>
      </c>
      <c r="J88" s="8" t="s">
        <v>11</v>
      </c>
      <c r="L88" s="8" t="s">
        <v>11</v>
      </c>
      <c r="N88" s="8" t="s">
        <v>11</v>
      </c>
      <c r="O88" s="57">
        <f t="shared" si="13"/>
        <v>1012.5118266340706</v>
      </c>
    </row>
    <row r="89" spans="1:15" x14ac:dyDescent="0.25">
      <c r="A89" s="4"/>
      <c r="B89" s="5"/>
      <c r="C89" s="13"/>
      <c r="D89" s="98"/>
      <c r="E89"/>
      <c r="F89" s="97"/>
      <c r="H89" s="97"/>
      <c r="J89" s="1"/>
      <c r="L89" s="1"/>
      <c r="N89" s="1"/>
      <c r="O89" s="10"/>
    </row>
    <row r="90" spans="1:15" x14ac:dyDescent="0.25">
      <c r="A90" s="4">
        <v>42079</v>
      </c>
      <c r="B90" s="5">
        <v>42079</v>
      </c>
      <c r="C90" s="13">
        <v>0.3</v>
      </c>
      <c r="D90" s="98">
        <v>0.67708333333333337</v>
      </c>
      <c r="E90" s="2" t="s">
        <v>56</v>
      </c>
      <c r="F90" s="174">
        <f>(F$72+F$62+F$56+F$46+F$39+F$35+F$34+F$30+F$26+F$19+F$18+F$17+F$10+F$9+F$4+F$3+F$2+F85)*H90/(H$72+H$62+H$56+H$46+H$39+H$35+H$34+H$30+H$26+H$19+H$18+H$17+H$10+H$9+H$4+H$3+H$2+H85)</f>
        <v>663.87511157249867</v>
      </c>
      <c r="H90" s="97">
        <v>747.50521296568866</v>
      </c>
      <c r="J90" s="8" t="s">
        <v>11</v>
      </c>
      <c r="L90" s="8" t="s">
        <v>11</v>
      </c>
      <c r="N90" s="8" t="s">
        <v>11</v>
      </c>
      <c r="O90" s="57">
        <f t="shared" ref="O90:O98" si="14">+F90+H90</f>
        <v>1411.3803245381873</v>
      </c>
    </row>
    <row r="91" spans="1:15" x14ac:dyDescent="0.25">
      <c r="A91" s="4">
        <v>42080</v>
      </c>
      <c r="B91" s="105">
        <v>42080</v>
      </c>
      <c r="C91" s="13">
        <v>-0.2</v>
      </c>
      <c r="D91" s="98">
        <v>0.71388888888888891</v>
      </c>
      <c r="E91"/>
      <c r="F91" s="97">
        <v>867.76174598195257</v>
      </c>
      <c r="G91" s="2" t="s">
        <v>56</v>
      </c>
      <c r="H91" s="175">
        <f>+(H$72+H$62+H$56+H$46+H$39+H$35+H$34+H$30+H$26+H$19+H$18+H$17+H$10+H$9+H$4+H$3+H$2+H$85)*F91/(F$72+F$62+F$56+F$46+F$39+F$35+F$34+F$30+F$26+F$19+F$18+F$17+F$10+F$9+F$4+F$3+F$2+F$85)</f>
        <v>977.07598526666641</v>
      </c>
      <c r="J91" s="8" t="s">
        <v>11</v>
      </c>
      <c r="L91" s="8" t="s">
        <v>11</v>
      </c>
      <c r="N91" s="8" t="s">
        <v>11</v>
      </c>
      <c r="O91" s="57">
        <f t="shared" si="14"/>
        <v>1844.8377312486191</v>
      </c>
    </row>
    <row r="92" spans="1:15" x14ac:dyDescent="0.25">
      <c r="A92" s="4">
        <v>42081</v>
      </c>
      <c r="B92" s="105">
        <v>42081</v>
      </c>
      <c r="C92" s="13">
        <v>-0.5</v>
      </c>
      <c r="D92" s="98">
        <v>0.74791666666666667</v>
      </c>
      <c r="E92" s="2" t="s">
        <v>56</v>
      </c>
      <c r="F92" s="174">
        <v>1252.9781141934852</v>
      </c>
      <c r="G92" s="2" t="s">
        <v>56</v>
      </c>
      <c r="H92" s="175">
        <v>1410.819076908964</v>
      </c>
      <c r="J92" s="8" t="s">
        <v>11</v>
      </c>
      <c r="L92" s="8" t="s">
        <v>11</v>
      </c>
      <c r="N92" s="8" t="s">
        <v>11</v>
      </c>
      <c r="O92" s="57">
        <f t="shared" si="14"/>
        <v>2663.7971911024492</v>
      </c>
    </row>
    <row r="93" spans="1:15" x14ac:dyDescent="0.25">
      <c r="A93" s="4">
        <v>42082</v>
      </c>
      <c r="B93" s="105">
        <v>42082</v>
      </c>
      <c r="C93" s="13">
        <v>-0.5</v>
      </c>
      <c r="D93" s="98">
        <v>0.77916666666666667</v>
      </c>
      <c r="E93" s="2"/>
      <c r="F93" s="97">
        <v>1252.9781141934852</v>
      </c>
      <c r="G93" s="2" t="s">
        <v>56</v>
      </c>
      <c r="H93" s="175">
        <f>+(H$72+H$62+H$56+H$46+H$39+H$35+H$34+H$30+H$26+H$19+H$18+H$17+H$10+H$9+H$4+H$3+H$2+H$85)*F93/(F$72+F$62+F$56+F$46+F$39+F$35+F$34+F$30+F$26+F$19+F$18+F$17+F$10+F$9+F$4+F$3+F$2+F$85)</f>
        <v>1410.819076908964</v>
      </c>
      <c r="J93" s="8" t="s">
        <v>11</v>
      </c>
      <c r="L93" s="8" t="s">
        <v>11</v>
      </c>
      <c r="N93" s="8" t="s">
        <v>11</v>
      </c>
      <c r="O93" s="57">
        <f t="shared" si="14"/>
        <v>2663.7971911024492</v>
      </c>
    </row>
    <row r="94" spans="1:15" x14ac:dyDescent="0.25">
      <c r="A94" s="4">
        <v>42083</v>
      </c>
      <c r="B94" s="105">
        <v>42083</v>
      </c>
      <c r="C94" s="13">
        <v>-0.4</v>
      </c>
      <c r="D94" s="98">
        <v>0.80972222222222223</v>
      </c>
      <c r="E94" s="2" t="s">
        <v>56</v>
      </c>
      <c r="F94" s="174">
        <f>+(J94+L94)*(F82+F68+F65+F58+F52+F51+F50+F37+F6)/(J6+L6+J37+L37+J50+L50+J51+L51+J52+L52+J58+L58+J65+L65+J68+L68+J82+L82)</f>
        <v>5074.0604701328966</v>
      </c>
      <c r="G94" s="2" t="s">
        <v>56</v>
      </c>
      <c r="H94" s="175">
        <f>(H$68+H$58+H$52+H$51+H$50+H$6)*(J94+L94)/(J$68+L$68+J$58+L$58+J$52+L$52+J$51+L$51+J$50+L$50+J$6+L$6)</f>
        <v>2586.0107767131299</v>
      </c>
      <c r="J94" s="8">
        <v>4545.0958092646688</v>
      </c>
      <c r="L94" s="8">
        <v>2995.7330013225996</v>
      </c>
      <c r="N94" s="8" t="s">
        <v>11</v>
      </c>
      <c r="O94" s="57">
        <f t="shared" si="14"/>
        <v>7660.071246846026</v>
      </c>
    </row>
    <row r="95" spans="1:15" x14ac:dyDescent="0.25">
      <c r="A95" s="181">
        <v>42084</v>
      </c>
      <c r="B95" s="105">
        <v>42084</v>
      </c>
      <c r="C95" s="13">
        <v>-0.5</v>
      </c>
      <c r="D95" s="98">
        <v>0.3298611111111111</v>
      </c>
      <c r="E95"/>
      <c r="F95" s="97">
        <v>8823.6491531496104</v>
      </c>
      <c r="H95" s="97">
        <v>5519.2265447733553</v>
      </c>
      <c r="J95" s="8">
        <v>7523.6934812031277</v>
      </c>
      <c r="L95" s="8">
        <v>3139.9977166331578</v>
      </c>
      <c r="N95" s="8" t="s">
        <v>11</v>
      </c>
      <c r="O95" s="57">
        <f t="shared" si="14"/>
        <v>14342.875697922966</v>
      </c>
    </row>
    <row r="96" spans="1:15" x14ac:dyDescent="0.25">
      <c r="A96" s="4">
        <v>42085</v>
      </c>
      <c r="B96" s="105">
        <v>42085</v>
      </c>
      <c r="C96" s="13">
        <v>-0.7</v>
      </c>
      <c r="D96" s="98">
        <v>0.36249999999999999</v>
      </c>
      <c r="E96"/>
      <c r="F96" s="97">
        <v>6761.8563142018938</v>
      </c>
      <c r="G96" s="2" t="s">
        <v>56</v>
      </c>
      <c r="H96" s="175">
        <f>(H$68+H$58+H$52+H$51+H$50+H$6)*(F96+J96+L96)/(J$68+L$68+F$68+F$58+J$58+L$58+F$52+J$52+L$52+F$51+J$51+L$51+F$50+J$50+L$50+J$6+L$6+F$6)</f>
        <v>2909.4876307241898</v>
      </c>
      <c r="J96" s="8">
        <v>4417.4898155849742</v>
      </c>
      <c r="L96" s="8">
        <v>3096.8318570683919</v>
      </c>
      <c r="N96" s="8" t="s">
        <v>11</v>
      </c>
      <c r="O96" s="57">
        <f t="shared" si="14"/>
        <v>9671.3439449260841</v>
      </c>
    </row>
    <row r="97" spans="1:15" x14ac:dyDescent="0.25">
      <c r="A97" s="4">
        <v>42086</v>
      </c>
      <c r="B97" s="105">
        <v>42086</v>
      </c>
      <c r="C97" s="13">
        <v>-0.6</v>
      </c>
      <c r="D97" s="98">
        <v>0.39652777777777776</v>
      </c>
      <c r="E97" s="2" t="s">
        <v>56</v>
      </c>
      <c r="F97" s="174">
        <f>(F$72+F$62+F$56+F$46+F$39+F$35+F$34+F$30+F$26+F$19+F$18+F$17+F$10+F$9+F$4+F$3+F$2+F$92)*H97/(H$72+H$62+H$56+H$46+H$39+H$35+H$34+H$30+H$26+H$19+H$18+H$17+H$10+H$9+H$4+H$3+H$2+H$92)</f>
        <v>1037.0642647970726</v>
      </c>
      <c r="H97" s="97">
        <v>1150.9333515035767</v>
      </c>
      <c r="J97" s="8" t="s">
        <v>11</v>
      </c>
      <c r="L97" s="8" t="s">
        <v>11</v>
      </c>
      <c r="N97" s="8" t="s">
        <v>11</v>
      </c>
      <c r="O97" s="57">
        <f t="shared" si="14"/>
        <v>2187.9976163006495</v>
      </c>
    </row>
    <row r="98" spans="1:15" x14ac:dyDescent="0.25">
      <c r="A98" s="4">
        <v>42087</v>
      </c>
      <c r="B98" s="105">
        <v>42087</v>
      </c>
      <c r="C98" s="13">
        <v>-0.3</v>
      </c>
      <c r="D98" s="98">
        <v>0.43125000000000002</v>
      </c>
      <c r="E98"/>
      <c r="F98" s="97">
        <v>2063.3453962759991</v>
      </c>
      <c r="G98" s="2" t="s">
        <v>56</v>
      </c>
      <c r="H98" s="175">
        <f>+(H$72+H$62+H$56+H$46+H$39+H$35+H$34+H$30+H$26+H$19+H$18+H$17+H$10+H$9+H$4+H$3+H$2+H$85)*F98/(F$72+F$62+F$56+F$46+F$39+F$35+F$34+F$30+F$26+F$19+F$18+F$17+F$10+F$9+F$4+F$3+F$2+F$85)</f>
        <v>2323.2704660545628</v>
      </c>
      <c r="J98" s="8" t="s">
        <v>11</v>
      </c>
      <c r="L98" s="8" t="s">
        <v>11</v>
      </c>
      <c r="N98" s="8" t="s">
        <v>11</v>
      </c>
      <c r="O98" s="57">
        <f t="shared" si="14"/>
        <v>4386.6158623305619</v>
      </c>
    </row>
    <row r="99" spans="1:15" x14ac:dyDescent="0.25">
      <c r="A99" s="4"/>
      <c r="B99" s="105">
        <f t="shared" ref="B99:B106" si="15">+A99</f>
        <v>0</v>
      </c>
      <c r="C99" s="13"/>
      <c r="D99" s="98"/>
      <c r="E99"/>
      <c r="F99" s="97"/>
      <c r="H99" s="97"/>
      <c r="J99" s="97"/>
      <c r="L99" s="97"/>
      <c r="N99" s="1"/>
      <c r="O99" s="10"/>
    </row>
    <row r="100" spans="1:15" x14ac:dyDescent="0.25">
      <c r="A100" s="4">
        <v>42098</v>
      </c>
      <c r="B100" s="105">
        <f t="shared" si="15"/>
        <v>42098</v>
      </c>
      <c r="C100" s="13">
        <v>0.6</v>
      </c>
      <c r="D100" s="98">
        <v>0.30763888888888891</v>
      </c>
      <c r="E100"/>
      <c r="F100" s="97">
        <v>2086.3991040588476</v>
      </c>
      <c r="H100" s="97">
        <v>1469.8445285789205</v>
      </c>
      <c r="J100" s="8">
        <v>2097.0112966547676</v>
      </c>
      <c r="L100" s="8">
        <v>1463.0127752944372</v>
      </c>
      <c r="N100" s="8" t="s">
        <v>11</v>
      </c>
      <c r="O100" s="57">
        <f t="shared" ref="O100:O106" si="16">+F100+H100</f>
        <v>3556.2436326377683</v>
      </c>
    </row>
    <row r="101" spans="1:15" x14ac:dyDescent="0.25">
      <c r="A101" s="4">
        <v>42099</v>
      </c>
      <c r="B101" s="105">
        <f t="shared" si="15"/>
        <v>42099</v>
      </c>
      <c r="C101" s="13">
        <v>0.3</v>
      </c>
      <c r="D101" s="98">
        <v>0.33124999999999999</v>
      </c>
      <c r="E101" s="2" t="s">
        <v>56</v>
      </c>
      <c r="F101" s="97">
        <f>+H101*(F95+F68+F58+F52+F51+F50+F6)/(H6+H50+H51+H52+H58+H68+H95)</f>
        <v>1528.7068011699546</v>
      </c>
      <c r="H101" s="97">
        <v>826.70516678845479</v>
      </c>
      <c r="J101" s="8">
        <v>1432.2624288903507</v>
      </c>
      <c r="L101" s="8">
        <v>1222.9439015280407</v>
      </c>
      <c r="N101" s="8" t="s">
        <v>11</v>
      </c>
      <c r="O101" s="57">
        <f t="shared" si="16"/>
        <v>2355.4119679584092</v>
      </c>
    </row>
    <row r="102" spans="1:15" x14ac:dyDescent="0.25">
      <c r="A102" s="4">
        <v>42100</v>
      </c>
      <c r="B102" s="105">
        <f t="shared" si="15"/>
        <v>42100</v>
      </c>
      <c r="C102" s="13">
        <v>0.1</v>
      </c>
      <c r="D102" s="98">
        <v>0.35555555555555557</v>
      </c>
      <c r="E102"/>
      <c r="F102" s="97">
        <v>197.7150969064881</v>
      </c>
      <c r="H102" s="97">
        <v>743.30403176598782</v>
      </c>
      <c r="J102" s="8" t="s">
        <v>11</v>
      </c>
      <c r="L102" s="8" t="s">
        <v>11</v>
      </c>
      <c r="N102" s="8" t="s">
        <v>11</v>
      </c>
      <c r="O102" s="57">
        <f t="shared" si="16"/>
        <v>941.01912867247597</v>
      </c>
    </row>
    <row r="103" spans="1:15" x14ac:dyDescent="0.25">
      <c r="A103" s="4">
        <v>42101</v>
      </c>
      <c r="B103" s="105">
        <f t="shared" si="15"/>
        <v>42101</v>
      </c>
      <c r="C103" s="13">
        <v>0.1</v>
      </c>
      <c r="D103" s="98">
        <v>0.38124999999999998</v>
      </c>
      <c r="E103" s="2" t="s">
        <v>56</v>
      </c>
      <c r="F103" s="174">
        <f>(F$72+F$62+F$56+F$46+F$39+F$35+F$34+F$30+F$26+F$19+F$18+F$17+F$10+F$9+F$4+F$3+F$2+F$92+F$102)*H103/(H$72+H$62+H$56+H$46+H$39+H$35+H$34+H$30+H$26+H$19+H$18+H$17+H$10+H$9+H$4+H$3+H$2+H$92+H$102)</f>
        <v>1140.4155457001509</v>
      </c>
      <c r="H103" s="97">
        <v>1312.3092834751485</v>
      </c>
      <c r="J103" s="8" t="s">
        <v>11</v>
      </c>
      <c r="L103" s="8" t="s">
        <v>11</v>
      </c>
      <c r="N103" s="8" t="s">
        <v>11</v>
      </c>
      <c r="O103" s="57">
        <f t="shared" si="16"/>
        <v>2452.7248291752994</v>
      </c>
    </row>
    <row r="104" spans="1:15" x14ac:dyDescent="0.25">
      <c r="A104" s="4">
        <v>42102</v>
      </c>
      <c r="B104" s="105">
        <f t="shared" si="15"/>
        <v>42102</v>
      </c>
      <c r="C104" s="13">
        <v>0.1</v>
      </c>
      <c r="D104" s="98">
        <v>0.40833333333333333</v>
      </c>
      <c r="E104"/>
      <c r="F104" s="97">
        <v>1691.7359333938414</v>
      </c>
      <c r="H104" s="97">
        <v>1556.459847842618</v>
      </c>
      <c r="J104" s="8" t="s">
        <v>11</v>
      </c>
      <c r="L104" s="8" t="s">
        <v>11</v>
      </c>
      <c r="N104" s="8" t="s">
        <v>11</v>
      </c>
      <c r="O104" s="57">
        <f t="shared" si="16"/>
        <v>3248.1957812364594</v>
      </c>
    </row>
    <row r="105" spans="1:15" x14ac:dyDescent="0.25">
      <c r="A105" s="4">
        <v>42103</v>
      </c>
      <c r="B105" s="105">
        <f t="shared" si="15"/>
        <v>42103</v>
      </c>
      <c r="C105" s="13">
        <v>0.2</v>
      </c>
      <c r="D105" s="98">
        <v>0.43888888888888888</v>
      </c>
      <c r="E105" s="2" t="s">
        <v>56</v>
      </c>
      <c r="F105" s="174">
        <f>(F$72+F$62+F$56+F$46+F$39+F$35+F$34+F$30+F$26+F$19+F$18+F$17+F$10+F$9+F$4+F$3+F$2+F$92+F$102)*H105/(H$72+H$62+H$56+H$46+H$39+H$35+H$34+H$30+H$26+H$19+H$18+H$17+H$10+H$9+H$4+H$3+H$2+H$92+H$102)</f>
        <v>1487.9327319295594</v>
      </c>
      <c r="H105" s="97">
        <v>1712.2074007671445</v>
      </c>
      <c r="J105" s="8" t="s">
        <v>11</v>
      </c>
      <c r="L105" s="8" t="s">
        <v>11</v>
      </c>
      <c r="N105" s="8" t="s">
        <v>11</v>
      </c>
      <c r="O105" s="57">
        <f t="shared" si="16"/>
        <v>3200.1401326967039</v>
      </c>
    </row>
    <row r="106" spans="1:15" x14ac:dyDescent="0.25">
      <c r="A106" s="4">
        <v>42104</v>
      </c>
      <c r="B106" s="105">
        <f t="shared" si="15"/>
        <v>42104</v>
      </c>
      <c r="C106" s="13">
        <v>0.4</v>
      </c>
      <c r="D106" s="98">
        <v>0.47430555555555554</v>
      </c>
      <c r="E106"/>
      <c r="F106" s="97">
        <v>2145.6775822837549</v>
      </c>
      <c r="H106" s="97">
        <v>1878.6342954692473</v>
      </c>
      <c r="J106" s="8" t="s">
        <v>11</v>
      </c>
      <c r="L106" s="8" t="s">
        <v>11</v>
      </c>
      <c r="N106" s="8" t="s">
        <v>11</v>
      </c>
      <c r="O106" s="57">
        <f t="shared" si="16"/>
        <v>4024.3118777530021</v>
      </c>
    </row>
    <row r="107" spans="1:15" x14ac:dyDescent="0.25">
      <c r="A107" s="4"/>
      <c r="B107" s="105">
        <f t="shared" ref="B107:B115" si="17">+A107</f>
        <v>0</v>
      </c>
      <c r="C107" s="13"/>
      <c r="D107" s="98"/>
      <c r="E107"/>
      <c r="F107" s="97"/>
      <c r="H107" s="97"/>
      <c r="J107" s="1"/>
      <c r="L107" s="97"/>
      <c r="N107" s="1"/>
      <c r="O107" s="10"/>
    </row>
    <row r="108" spans="1:15" x14ac:dyDescent="0.25">
      <c r="A108" s="4">
        <v>42111</v>
      </c>
      <c r="B108" s="105">
        <f t="shared" si="17"/>
        <v>42111</v>
      </c>
      <c r="C108" s="13">
        <v>-0.2</v>
      </c>
      <c r="D108" s="98">
        <v>0.25208333333333333</v>
      </c>
      <c r="E108"/>
      <c r="F108" s="97">
        <v>1121.1583823496651</v>
      </c>
      <c r="H108" s="97">
        <v>756.82383604088102</v>
      </c>
      <c r="J108" s="8" t="s">
        <v>11</v>
      </c>
      <c r="L108" s="8">
        <v>883.12565107172679</v>
      </c>
      <c r="N108" s="8" t="s">
        <v>11</v>
      </c>
      <c r="O108" s="57">
        <f t="shared" ref="O108:O115" si="18">+F108+H108</f>
        <v>1877.9822183905462</v>
      </c>
    </row>
    <row r="109" spans="1:15" x14ac:dyDescent="0.25">
      <c r="A109" s="4">
        <v>42112</v>
      </c>
      <c r="B109" s="105">
        <f t="shared" si="17"/>
        <v>42112</v>
      </c>
      <c r="C109" s="13">
        <v>-0.9</v>
      </c>
      <c r="D109" s="98">
        <v>0.28611111111111109</v>
      </c>
      <c r="E109"/>
      <c r="F109" s="97">
        <v>7778.3445182976029</v>
      </c>
      <c r="H109" s="97">
        <v>3217.6610856765419</v>
      </c>
      <c r="J109" s="8">
        <v>4043.9921466158548</v>
      </c>
      <c r="L109" s="8">
        <v>3267.6744699779319</v>
      </c>
      <c r="N109" s="8" t="s">
        <v>11</v>
      </c>
      <c r="O109" s="57">
        <f t="shared" si="18"/>
        <v>10996.005603974145</v>
      </c>
    </row>
    <row r="110" spans="1:15" x14ac:dyDescent="0.25">
      <c r="A110" s="4">
        <v>42113</v>
      </c>
      <c r="B110" s="105">
        <f t="shared" si="17"/>
        <v>42113</v>
      </c>
      <c r="C110" s="13">
        <v>-1.3</v>
      </c>
      <c r="D110" s="98">
        <v>0.31874999999999998</v>
      </c>
      <c r="E110"/>
      <c r="F110" s="97">
        <v>10766.61586077295</v>
      </c>
      <c r="H110" s="97">
        <v>2974.3373784892356</v>
      </c>
      <c r="J110" s="8">
        <v>4225.6487756481865</v>
      </c>
      <c r="L110" s="8">
        <v>2651.2018318015253</v>
      </c>
      <c r="N110" s="8" t="s">
        <v>11</v>
      </c>
      <c r="O110" s="57">
        <f t="shared" si="18"/>
        <v>13740.953239262186</v>
      </c>
    </row>
    <row r="111" spans="1:15" x14ac:dyDescent="0.25">
      <c r="A111" s="4">
        <v>42114</v>
      </c>
      <c r="B111" s="105">
        <f t="shared" si="17"/>
        <v>42114</v>
      </c>
      <c r="C111" s="13">
        <v>-1.5</v>
      </c>
      <c r="D111" s="98">
        <v>0.35069444444444442</v>
      </c>
      <c r="E111"/>
      <c r="F111" s="97">
        <v>4491.3047591577724</v>
      </c>
      <c r="H111" s="97">
        <v>3009.7297504283815</v>
      </c>
      <c r="J111" s="8" t="s">
        <v>11</v>
      </c>
      <c r="L111" s="8" t="s">
        <v>11</v>
      </c>
      <c r="N111" s="8" t="s">
        <v>11</v>
      </c>
      <c r="O111" s="57">
        <f t="shared" si="18"/>
        <v>7501.0345095861539</v>
      </c>
    </row>
    <row r="112" spans="1:15" x14ac:dyDescent="0.25">
      <c r="A112" s="4">
        <v>42115</v>
      </c>
      <c r="B112" s="105">
        <f t="shared" si="17"/>
        <v>42115</v>
      </c>
      <c r="C112" s="13">
        <v>-1.3</v>
      </c>
      <c r="D112" s="98">
        <v>0.38263888888888886</v>
      </c>
      <c r="E112"/>
      <c r="F112" s="97">
        <v>2840.3876070968736</v>
      </c>
      <c r="H112" s="97">
        <v>2777.2126696799651</v>
      </c>
      <c r="J112" s="8" t="s">
        <v>11</v>
      </c>
      <c r="L112" s="8" t="s">
        <v>11</v>
      </c>
      <c r="N112" s="8" t="s">
        <v>11</v>
      </c>
      <c r="O112" s="57">
        <f t="shared" si="18"/>
        <v>5617.6002767768387</v>
      </c>
    </row>
    <row r="113" spans="1:15" x14ac:dyDescent="0.25">
      <c r="A113" s="4">
        <v>42116</v>
      </c>
      <c r="B113" s="105">
        <f t="shared" si="17"/>
        <v>42116</v>
      </c>
      <c r="C113" s="13">
        <v>-0.9</v>
      </c>
      <c r="D113" s="98">
        <v>0.41458333333333336</v>
      </c>
      <c r="E113"/>
      <c r="F113" s="97">
        <v>1572.7127776175366</v>
      </c>
      <c r="H113" s="97">
        <v>1064.0895430348878</v>
      </c>
      <c r="J113" s="8" t="s">
        <v>11</v>
      </c>
      <c r="L113" s="8" t="s">
        <v>11</v>
      </c>
      <c r="N113" s="8" t="s">
        <v>11</v>
      </c>
      <c r="O113" s="57">
        <f t="shared" si="18"/>
        <v>2636.8023206524244</v>
      </c>
    </row>
    <row r="114" spans="1:15" x14ac:dyDescent="0.25">
      <c r="A114" s="4">
        <v>42117</v>
      </c>
      <c r="B114" s="105">
        <f t="shared" si="17"/>
        <v>42117</v>
      </c>
      <c r="C114" s="13">
        <v>-0.4</v>
      </c>
      <c r="D114" s="98">
        <v>0.44861111111111113</v>
      </c>
      <c r="E114"/>
      <c r="F114" s="97">
        <v>1024.9517033618563</v>
      </c>
      <c r="H114" s="97">
        <v>620.54935110065162</v>
      </c>
      <c r="J114" s="8" t="s">
        <v>11</v>
      </c>
      <c r="L114" s="8" t="s">
        <v>11</v>
      </c>
      <c r="N114" s="8" t="s">
        <v>11</v>
      </c>
      <c r="O114" s="57">
        <f t="shared" si="18"/>
        <v>1645.5010544625079</v>
      </c>
    </row>
    <row r="115" spans="1:15" x14ac:dyDescent="0.25">
      <c r="A115" s="4">
        <v>42118</v>
      </c>
      <c r="B115" s="105">
        <f t="shared" si="17"/>
        <v>42118</v>
      </c>
      <c r="C115" s="13">
        <v>0.2</v>
      </c>
      <c r="D115" s="98">
        <v>0.48472222222222222</v>
      </c>
      <c r="E115"/>
      <c r="F115" s="97">
        <v>774.91253283857839</v>
      </c>
      <c r="H115" s="97">
        <v>994.91354979743824</v>
      </c>
      <c r="J115" s="8" t="s">
        <v>11</v>
      </c>
      <c r="L115" s="8" t="s">
        <v>11</v>
      </c>
      <c r="N115" s="8" t="s">
        <v>11</v>
      </c>
      <c r="O115" s="57">
        <f t="shared" si="18"/>
        <v>1769.8260826360165</v>
      </c>
    </row>
    <row r="116" spans="1:15" x14ac:dyDescent="0.25">
      <c r="A116" s="4"/>
      <c r="B116" s="105">
        <f t="shared" ref="B116:B118" si="19">+A116</f>
        <v>0</v>
      </c>
      <c r="C116" s="13"/>
      <c r="D116" s="98"/>
      <c r="E116"/>
      <c r="F116" s="97"/>
      <c r="H116" s="97"/>
      <c r="J116" s="97"/>
      <c r="L116" s="97"/>
      <c r="N116" s="1"/>
      <c r="O116" s="10"/>
    </row>
    <row r="117" spans="1:15" x14ac:dyDescent="0.25">
      <c r="A117" s="4">
        <v>42126</v>
      </c>
      <c r="B117" s="105">
        <f t="shared" si="19"/>
        <v>42126</v>
      </c>
      <c r="C117" s="13">
        <v>0.2</v>
      </c>
      <c r="D117" s="98">
        <v>0.26597222222222222</v>
      </c>
      <c r="E117"/>
      <c r="F117" s="97">
        <v>1512.8336147912732</v>
      </c>
      <c r="H117" s="97">
        <v>837.79424264199338</v>
      </c>
      <c r="J117" s="8" t="s">
        <v>11</v>
      </c>
      <c r="L117" s="8">
        <v>1101.2770320816758</v>
      </c>
      <c r="N117" s="8" t="s">
        <v>11</v>
      </c>
      <c r="O117" s="57">
        <f t="shared" ref="O117:O120" si="20">+F117+H117</f>
        <v>2350.6278574332664</v>
      </c>
    </row>
    <row r="118" spans="1:15" x14ac:dyDescent="0.25">
      <c r="A118" s="4">
        <v>42127</v>
      </c>
      <c r="B118" s="105">
        <f t="shared" si="19"/>
        <v>42127</v>
      </c>
      <c r="C118" s="13">
        <v>-0.3</v>
      </c>
      <c r="D118" s="98">
        <v>0.29097222222222224</v>
      </c>
      <c r="E118"/>
      <c r="F118" s="97">
        <v>1377.8039291093805</v>
      </c>
      <c r="H118" s="97">
        <v>905.39167619603268</v>
      </c>
      <c r="J118" s="8" t="s">
        <v>11</v>
      </c>
      <c r="L118" s="8">
        <v>1089.9588935635122</v>
      </c>
      <c r="N118" s="8" t="s">
        <v>11</v>
      </c>
      <c r="O118" s="57">
        <f t="shared" si="20"/>
        <v>2283.1956053054132</v>
      </c>
    </row>
    <row r="119" spans="1:15" x14ac:dyDescent="0.25">
      <c r="A119" s="4"/>
      <c r="B119" s="105">
        <v>41786</v>
      </c>
      <c r="C119" s="13"/>
      <c r="D119" s="98"/>
      <c r="E119"/>
      <c r="F119" s="97"/>
      <c r="H119" s="97"/>
      <c r="J119" s="1"/>
      <c r="L119" s="1"/>
      <c r="N119" s="1"/>
      <c r="O119" s="57">
        <f t="shared" si="20"/>
        <v>0</v>
      </c>
    </row>
    <row r="120" spans="1:15" x14ac:dyDescent="0.25">
      <c r="A120" s="4">
        <v>42131</v>
      </c>
      <c r="B120" s="105">
        <f t="shared" ref="B120" si="21">+A120</f>
        <v>42131</v>
      </c>
      <c r="C120" s="136">
        <v>-0.8</v>
      </c>
      <c r="D120" s="135">
        <v>0.39583333333333331</v>
      </c>
      <c r="E120"/>
      <c r="F120" s="97">
        <v>1341.7383530282166</v>
      </c>
      <c r="H120" s="97">
        <v>989.66648078710386</v>
      </c>
      <c r="J120" s="8" t="s">
        <v>11</v>
      </c>
      <c r="L120" s="8" t="s">
        <v>11</v>
      </c>
      <c r="N120" s="8" t="s">
        <v>11</v>
      </c>
      <c r="O120" s="57">
        <f t="shared" si="20"/>
        <v>2331.4048338153207</v>
      </c>
    </row>
    <row r="121" spans="1:15" x14ac:dyDescent="0.25">
      <c r="A121" s="4"/>
      <c r="B121" s="105">
        <v>41788</v>
      </c>
      <c r="C121" s="13"/>
      <c r="D121" s="98"/>
      <c r="E121"/>
      <c r="F121" s="97"/>
      <c r="H121" s="97"/>
      <c r="J121" s="97"/>
      <c r="L121" s="97"/>
      <c r="N121" s="1"/>
      <c r="O121" s="10"/>
    </row>
    <row r="122" spans="1:15" x14ac:dyDescent="0.25">
      <c r="A122" s="4"/>
      <c r="B122" s="105">
        <v>41789</v>
      </c>
      <c r="C122" s="13"/>
      <c r="D122" s="98"/>
      <c r="E122"/>
      <c r="F122" s="97"/>
      <c r="H122" s="97"/>
      <c r="J122" s="97"/>
      <c r="L122" s="97"/>
      <c r="N122" s="1"/>
      <c r="O122" s="10"/>
    </row>
    <row r="123" spans="1:15" x14ac:dyDescent="0.25">
      <c r="A123" s="4"/>
      <c r="B123" s="105">
        <v>41790</v>
      </c>
      <c r="C123" s="13"/>
      <c r="D123" s="98"/>
      <c r="E123"/>
      <c r="F123" s="97"/>
      <c r="H123" s="97"/>
      <c r="J123" s="97"/>
      <c r="L123" s="97"/>
      <c r="N123" s="1"/>
      <c r="O123" s="10"/>
    </row>
    <row r="124" spans="1:15" x14ac:dyDescent="0.25">
      <c r="A124" s="4"/>
      <c r="B124" s="105">
        <v>41791</v>
      </c>
      <c r="C124" s="13"/>
      <c r="D124" s="98"/>
      <c r="E124"/>
      <c r="F124" s="97"/>
      <c r="H124" s="97"/>
      <c r="J124" s="97"/>
      <c r="K124" s="2"/>
      <c r="L124" s="97"/>
      <c r="N124" s="1"/>
      <c r="O124" s="10"/>
    </row>
    <row r="125" spans="1:15" x14ac:dyDescent="0.25">
      <c r="A125" s="4"/>
      <c r="B125" s="105"/>
      <c r="C125" s="13"/>
      <c r="D125" s="98"/>
      <c r="E125"/>
    </row>
    <row r="126" spans="1:15" x14ac:dyDescent="0.25">
      <c r="A126" s="17" t="s">
        <v>19</v>
      </c>
      <c r="F126" s="15">
        <f>SUM(F2:F125)</f>
        <v>163929.39363771654</v>
      </c>
      <c r="H126" s="15">
        <f>SUM(H2:H125)</f>
        <v>118403.40016674245</v>
      </c>
      <c r="J126" s="15">
        <f>SUM(J2:J125)</f>
        <v>58626.357462999462</v>
      </c>
      <c r="L126" s="15">
        <f>SUM(L3:L125)</f>
        <v>58739.34370695379</v>
      </c>
      <c r="N126" s="15">
        <f>SUM(N3:N125)</f>
        <v>0</v>
      </c>
      <c r="O126" s="15">
        <f>SUM(O2:O125)</f>
        <v>295957.06502673676</v>
      </c>
    </row>
    <row r="127" spans="1:15" x14ac:dyDescent="0.25">
      <c r="A127" s="16" t="s">
        <v>18</v>
      </c>
    </row>
    <row r="128" spans="1:15" x14ac:dyDescent="0.25">
      <c r="A128" s="107" t="s">
        <v>45</v>
      </c>
    </row>
  </sheetData>
  <mergeCells count="5">
    <mergeCell ref="E1:F1"/>
    <mergeCell ref="G1:H1"/>
    <mergeCell ref="I1:J1"/>
    <mergeCell ref="K1:L1"/>
    <mergeCell ref="M1:N1"/>
  </mergeCells>
  <pageMargins left="0.25" right="0.25" top="0.75" bottom="0.75" header="0.3" footer="0.3"/>
  <pageSetup paperSize="5" scale="74" fitToHeight="0" orientation="portrait" r:id="rId1"/>
  <headerFooter>
    <oddHeader>&amp;L&amp;12 2010 Fall / 2011 Spring Razor Clam Harvst Totals
&amp;"-,Italic"(Number of Diggers)&amp;C&amp;12Non-Indian Fishery&amp;R&amp;12&amp;KFF0000PRELIMINARY ESTIMATE</oddHeader>
    <oddFooter>&amp;LPage 3 of 3</oddFooter>
  </headerFooter>
  <ignoredErrors>
    <ignoredError sqref="O12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127"/>
  <sheetViews>
    <sheetView tabSelected="1" workbookViewId="0">
      <pane ySplit="1" topLeftCell="A2" activePane="bottomLeft" state="frozen"/>
      <selection pane="bottomLeft" activeCell="P3" sqref="P3"/>
    </sheetView>
  </sheetViews>
  <sheetFormatPr defaultRowHeight="15" x14ac:dyDescent="0.25"/>
  <cols>
    <col min="1" max="1" width="18.42578125" customWidth="1"/>
    <col min="2" max="2" width="5.42578125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</cols>
  <sheetData>
    <row r="1" spans="1:16" x14ac:dyDescent="0.25">
      <c r="A1" s="11" t="s">
        <v>8</v>
      </c>
      <c r="B1" s="11" t="s">
        <v>5</v>
      </c>
      <c r="C1" s="11" t="s">
        <v>6</v>
      </c>
      <c r="D1" s="11" t="s">
        <v>7</v>
      </c>
      <c r="E1" s="223" t="s">
        <v>0</v>
      </c>
      <c r="F1" s="223"/>
      <c r="G1" s="223" t="s">
        <v>1</v>
      </c>
      <c r="H1" s="223"/>
      <c r="I1" s="223" t="s">
        <v>2</v>
      </c>
      <c r="J1" s="223"/>
      <c r="K1" s="223" t="s">
        <v>3</v>
      </c>
      <c r="L1" s="223"/>
      <c r="M1" s="223" t="s">
        <v>4</v>
      </c>
      <c r="N1" s="223"/>
    </row>
    <row r="2" spans="1:16" x14ac:dyDescent="0.25">
      <c r="A2" s="4">
        <v>41919</v>
      </c>
      <c r="B2" s="5">
        <f>+A2</f>
        <v>41919</v>
      </c>
      <c r="C2" s="86">
        <v>-0.5</v>
      </c>
      <c r="D2" s="6">
        <v>0.7680555555555556</v>
      </c>
      <c r="E2" s="54"/>
      <c r="F2" s="9">
        <f>+Harvest!F2/Effort!F2</f>
        <v>15.000000000000004</v>
      </c>
      <c r="G2" s="55"/>
      <c r="H2" s="9">
        <f>+Harvest!H2/Effort!H2</f>
        <v>14.999999999999996</v>
      </c>
      <c r="I2" s="55"/>
      <c r="J2" s="8" t="s">
        <v>11</v>
      </c>
      <c r="K2" s="7"/>
      <c r="L2" s="8" t="s">
        <v>11</v>
      </c>
      <c r="M2" s="56"/>
      <c r="N2" s="8" t="s">
        <v>11</v>
      </c>
      <c r="P2" s="15">
        <f>AVERAGE(F2:N15)</f>
        <v>10.128751006316456</v>
      </c>
    </row>
    <row r="3" spans="1:16" x14ac:dyDescent="0.25">
      <c r="A3" s="4">
        <v>41920</v>
      </c>
      <c r="B3" s="5">
        <f t="shared" ref="B3:B7" si="0">+A3</f>
        <v>41920</v>
      </c>
      <c r="C3" s="13">
        <v>-0.9</v>
      </c>
      <c r="D3" s="12">
        <v>0.80069444444444438</v>
      </c>
      <c r="E3" s="60"/>
      <c r="F3" s="9">
        <f>+Harvest!F3/Effort!F3</f>
        <v>14.730769230769232</v>
      </c>
      <c r="G3" s="8"/>
      <c r="H3" s="9">
        <f>+Harvest!H3/Effort!H3</f>
        <v>15</v>
      </c>
      <c r="I3" s="8"/>
      <c r="J3" s="8" t="s">
        <v>11</v>
      </c>
      <c r="K3" s="8"/>
      <c r="L3" s="8" t="s">
        <v>11</v>
      </c>
      <c r="M3" s="8"/>
      <c r="N3" s="8" t="s">
        <v>11</v>
      </c>
    </row>
    <row r="4" spans="1:16" x14ac:dyDescent="0.25">
      <c r="A4" s="4">
        <v>41921</v>
      </c>
      <c r="B4" s="5">
        <f t="shared" si="0"/>
        <v>41921</v>
      </c>
      <c r="C4" s="13">
        <v>-1.1000000000000001</v>
      </c>
      <c r="D4" s="12">
        <v>0.83194444444444438</v>
      </c>
      <c r="E4" s="2"/>
      <c r="F4" s="9">
        <f>+Harvest!F4/Effort!F4</f>
        <v>15</v>
      </c>
      <c r="G4" s="8"/>
      <c r="H4" s="9">
        <f>+Harvest!H4/Effort!H4</f>
        <v>13.615384615384615</v>
      </c>
      <c r="I4" s="8"/>
      <c r="J4" s="8" t="s">
        <v>11</v>
      </c>
      <c r="K4" s="8"/>
      <c r="L4" s="8" t="s">
        <v>11</v>
      </c>
      <c r="M4" s="8"/>
      <c r="N4" s="8" t="s">
        <v>11</v>
      </c>
    </row>
    <row r="5" spans="1:16" x14ac:dyDescent="0.25">
      <c r="A5" s="4">
        <v>41922</v>
      </c>
      <c r="B5" s="5">
        <f t="shared" si="0"/>
        <v>41922</v>
      </c>
      <c r="C5" s="13">
        <v>-1.1000000000000001</v>
      </c>
      <c r="D5" s="12">
        <v>0.86319444444444438</v>
      </c>
      <c r="E5" s="60"/>
      <c r="F5" s="9">
        <f>+Harvest!F5/Effort!F5</f>
        <v>14.34782608695652</v>
      </c>
      <c r="G5" s="8"/>
      <c r="H5" s="9">
        <f>+Harvest!H5/Effort!H5</f>
        <v>14.326923076923075</v>
      </c>
      <c r="I5" s="8"/>
      <c r="J5" s="8" t="s">
        <v>11</v>
      </c>
      <c r="K5" s="8"/>
      <c r="L5" s="9">
        <f>+Harvest!L5/Effort!L5</f>
        <v>13.123076923076923</v>
      </c>
      <c r="M5" s="8"/>
      <c r="N5" s="8" t="s">
        <v>11</v>
      </c>
    </row>
    <row r="6" spans="1:16" x14ac:dyDescent="0.25">
      <c r="A6" s="4">
        <v>41923</v>
      </c>
      <c r="B6" s="5">
        <f t="shared" si="0"/>
        <v>41923</v>
      </c>
      <c r="C6" s="13">
        <v>-0.8</v>
      </c>
      <c r="D6" s="12">
        <v>0.89444444444444438</v>
      </c>
      <c r="E6" s="60"/>
      <c r="F6" s="9">
        <f>+Harvest!F6/Effort!F6</f>
        <v>6.6206896551724119</v>
      </c>
      <c r="G6" s="8"/>
      <c r="H6" s="9">
        <f>+Harvest!H6/Effort!H6</f>
        <v>8.6140350877192979</v>
      </c>
      <c r="I6" s="8"/>
      <c r="J6" s="9">
        <f>+Harvest!J6/Effort!J6</f>
        <v>3.9148936170212769</v>
      </c>
      <c r="K6" s="8"/>
      <c r="L6" s="9">
        <f>+Harvest!L6/Effort!L6</f>
        <v>11.395348837209305</v>
      </c>
      <c r="M6" s="8"/>
      <c r="N6" s="8" t="s">
        <v>11</v>
      </c>
    </row>
    <row r="7" spans="1:16" x14ac:dyDescent="0.25">
      <c r="A7" s="4">
        <v>41924</v>
      </c>
      <c r="B7" s="5">
        <f t="shared" si="0"/>
        <v>41924</v>
      </c>
      <c r="C7" s="13">
        <f>-0.3</f>
        <v>-0.3</v>
      </c>
      <c r="D7" s="12">
        <v>0.92708333333333337</v>
      </c>
      <c r="E7" s="3"/>
      <c r="F7" s="9">
        <f>+Harvest!F7/Effort!F7</f>
        <v>13.970300898788592</v>
      </c>
      <c r="G7" s="8"/>
      <c r="H7" s="9">
        <f>+Harvest!H7/Effort!H7</f>
        <v>13.949947896313663</v>
      </c>
      <c r="I7" s="8"/>
      <c r="J7" s="8" t="s">
        <v>11</v>
      </c>
      <c r="K7" s="8"/>
      <c r="L7" s="9">
        <f>+Harvest!L7/Effort!L7</f>
        <v>12.77777777777778</v>
      </c>
      <c r="M7" s="8"/>
      <c r="N7" s="8" t="s">
        <v>11</v>
      </c>
    </row>
    <row r="8" spans="1:16" x14ac:dyDescent="0.25">
      <c r="A8" s="4"/>
      <c r="B8" s="5"/>
      <c r="C8" s="13"/>
      <c r="D8" s="12"/>
      <c r="F8" s="9"/>
      <c r="G8" s="90"/>
      <c r="H8" s="9"/>
      <c r="I8" s="8"/>
      <c r="J8" s="9"/>
      <c r="K8" s="8"/>
      <c r="L8" s="9"/>
      <c r="N8" s="8"/>
    </row>
    <row r="9" spans="1:16" x14ac:dyDescent="0.25">
      <c r="A9" s="4">
        <v>41934</v>
      </c>
      <c r="B9" s="5">
        <f t="shared" ref="B9:B15" si="1">+A9</f>
        <v>41934</v>
      </c>
      <c r="C9" s="13">
        <v>0.3</v>
      </c>
      <c r="D9" s="12">
        <v>0.7715277777777777</v>
      </c>
      <c r="F9" s="9">
        <f>+Harvest!F9/Effort!F9</f>
        <v>0</v>
      </c>
      <c r="G9" s="8"/>
      <c r="H9" s="9">
        <f>+Harvest!H9/Effort!H9</f>
        <v>0.69696969696969679</v>
      </c>
      <c r="I9" s="8"/>
      <c r="J9" s="8" t="s">
        <v>11</v>
      </c>
      <c r="K9" s="8"/>
      <c r="L9" s="8" t="s">
        <v>11</v>
      </c>
      <c r="M9" s="8"/>
      <c r="N9" s="8" t="s">
        <v>11</v>
      </c>
    </row>
    <row r="10" spans="1:16" x14ac:dyDescent="0.25">
      <c r="A10" s="4">
        <v>41935</v>
      </c>
      <c r="B10" s="5">
        <f t="shared" si="1"/>
        <v>41935</v>
      </c>
      <c r="C10" s="13">
        <v>-0.1</v>
      </c>
      <c r="D10" s="12">
        <v>0.79652777777777783</v>
      </c>
      <c r="F10" s="9">
        <f>+Harvest!F10/Effort!F10</f>
        <v>15.000000000000002</v>
      </c>
      <c r="G10" s="8"/>
      <c r="H10" s="9">
        <f>+Harvest!H10/Effort!H10</f>
        <v>14.107142857142858</v>
      </c>
      <c r="I10" s="8"/>
      <c r="J10" s="8" t="s">
        <v>11</v>
      </c>
      <c r="K10" s="8"/>
      <c r="L10" s="8" t="s">
        <v>11</v>
      </c>
      <c r="M10" s="8"/>
      <c r="N10" s="8" t="s">
        <v>11</v>
      </c>
    </row>
    <row r="11" spans="1:16" x14ac:dyDescent="0.25">
      <c r="A11" s="4">
        <v>41936</v>
      </c>
      <c r="B11" s="5">
        <f t="shared" si="1"/>
        <v>41936</v>
      </c>
      <c r="C11" s="137">
        <v>-0.4</v>
      </c>
      <c r="D11" s="138">
        <v>0.82222222222222219</v>
      </c>
      <c r="F11" s="9">
        <f>+Harvest!F11/Effort!F11</f>
        <v>14.250000000000004</v>
      </c>
      <c r="G11" s="8"/>
      <c r="H11" s="9">
        <f>+Harvest!H11/Effort!H11</f>
        <v>11.352941176470589</v>
      </c>
      <c r="J11" s="8" t="s">
        <v>11</v>
      </c>
      <c r="L11" s="9">
        <f>+Harvest!L11/Effort!L11</f>
        <v>13.618181818181819</v>
      </c>
      <c r="N11" s="8" t="s">
        <v>11</v>
      </c>
    </row>
    <row r="12" spans="1:16" x14ac:dyDescent="0.25">
      <c r="A12" s="4">
        <v>41937</v>
      </c>
      <c r="B12" s="5">
        <f t="shared" si="1"/>
        <v>41937</v>
      </c>
      <c r="C12" s="137">
        <v>-0.6</v>
      </c>
      <c r="D12" s="138">
        <v>0.84861111111111109</v>
      </c>
      <c r="E12" s="2" t="s">
        <v>56</v>
      </c>
      <c r="F12" s="9">
        <f>+Harvest!F12/Effort!F12</f>
        <v>0</v>
      </c>
      <c r="G12" s="2" t="s">
        <v>56</v>
      </c>
      <c r="H12" s="9">
        <f>+Harvest!H12/Effort!H12</f>
        <v>0</v>
      </c>
      <c r="J12" s="9">
        <f>+Harvest!J12/Effort!J12</f>
        <v>0</v>
      </c>
      <c r="L12" s="9">
        <f>+Harvest!L12/Effort!L12</f>
        <v>0</v>
      </c>
      <c r="N12" s="8" t="s">
        <v>11</v>
      </c>
    </row>
    <row r="13" spans="1:16" x14ac:dyDescent="0.25">
      <c r="A13" s="4">
        <v>41938</v>
      </c>
      <c r="B13" s="5">
        <f t="shared" si="1"/>
        <v>41938</v>
      </c>
      <c r="C13" s="137">
        <v>-0.6</v>
      </c>
      <c r="D13" s="138">
        <v>0.87708333333333333</v>
      </c>
      <c r="F13" s="9">
        <f>+Harvest!F13/Effort!F13</f>
        <v>15.000000000000004</v>
      </c>
      <c r="G13" s="8"/>
      <c r="H13" s="9">
        <f>+Harvest!H13/Effort!H13</f>
        <v>14.999999999999998</v>
      </c>
      <c r="J13" s="8" t="s">
        <v>11</v>
      </c>
      <c r="L13" s="9">
        <f>+Harvest!L13/Effort!L13</f>
        <v>14.999999999999998</v>
      </c>
      <c r="N13" s="8" t="s">
        <v>11</v>
      </c>
    </row>
    <row r="14" spans="1:16" x14ac:dyDescent="0.25">
      <c r="A14" s="4">
        <v>41939</v>
      </c>
      <c r="B14" s="5">
        <f t="shared" si="1"/>
        <v>41939</v>
      </c>
      <c r="C14" s="137">
        <v>-0.4</v>
      </c>
      <c r="D14" s="138">
        <v>0.90763888888888888</v>
      </c>
      <c r="E14" s="2" t="s">
        <v>56</v>
      </c>
      <c r="F14" s="9">
        <f>+Harvest!F14/Effort!F14</f>
        <v>15.131991629548546</v>
      </c>
      <c r="G14" s="8"/>
      <c r="H14" s="9">
        <f>+Harvest!H14/Effort!H14</f>
        <v>13.833333333333334</v>
      </c>
      <c r="J14" s="8" t="s">
        <v>11</v>
      </c>
      <c r="L14" s="8" t="s">
        <v>11</v>
      </c>
      <c r="N14" s="8" t="s">
        <v>11</v>
      </c>
    </row>
    <row r="15" spans="1:16" x14ac:dyDescent="0.25">
      <c r="A15" s="4">
        <v>41940</v>
      </c>
      <c r="B15" s="5">
        <f t="shared" si="1"/>
        <v>41940</v>
      </c>
      <c r="C15" s="137">
        <v>-0.2</v>
      </c>
      <c r="D15" s="138">
        <v>0.94166666666666676</v>
      </c>
      <c r="E15" s="84"/>
      <c r="F15" s="9">
        <f>+Harvest!F15/Effort!F15</f>
        <v>0</v>
      </c>
      <c r="G15" s="2" t="s">
        <v>56</v>
      </c>
      <c r="H15" s="9">
        <f>+Harvest!H15/Effort!H15</f>
        <v>0</v>
      </c>
      <c r="J15" s="8" t="s">
        <v>11</v>
      </c>
      <c r="L15" s="8" t="s">
        <v>11</v>
      </c>
      <c r="N15" s="8" t="s">
        <v>11</v>
      </c>
    </row>
    <row r="16" spans="1:16" x14ac:dyDescent="0.25">
      <c r="A16" s="53"/>
      <c r="B16" s="5"/>
      <c r="C16" s="58"/>
      <c r="D16" s="12"/>
      <c r="F16" s="9"/>
      <c r="H16" s="9"/>
      <c r="J16" s="9"/>
      <c r="L16" s="9"/>
      <c r="N16" s="8"/>
    </row>
    <row r="17" spans="1:14" x14ac:dyDescent="0.25">
      <c r="A17" s="4">
        <v>41947</v>
      </c>
      <c r="B17" s="5">
        <f t="shared" ref="B17:B24" si="2">+A17</f>
        <v>41947</v>
      </c>
      <c r="C17" s="137">
        <v>1.2</v>
      </c>
      <c r="D17" s="138">
        <v>0.15</v>
      </c>
      <c r="E17"/>
      <c r="F17" s="9">
        <f>+Harvest!F17/Effort!F17</f>
        <v>14.999999999999998</v>
      </c>
      <c r="G17" s="8"/>
      <c r="H17" s="9">
        <f>+Harvest!H17/Effort!H17</f>
        <v>15</v>
      </c>
      <c r="J17" s="8" t="s">
        <v>11</v>
      </c>
      <c r="L17" s="8" t="s">
        <v>11</v>
      </c>
      <c r="N17" s="8" t="s">
        <v>11</v>
      </c>
    </row>
    <row r="18" spans="1:14" x14ac:dyDescent="0.25">
      <c r="A18" s="4">
        <v>41948</v>
      </c>
      <c r="B18" s="5">
        <f t="shared" si="2"/>
        <v>41948</v>
      </c>
      <c r="C18" s="137">
        <v>-0.7</v>
      </c>
      <c r="D18" s="138">
        <v>0.71805555555555556</v>
      </c>
      <c r="E18"/>
      <c r="F18" s="9">
        <f>+Harvest!F18/Effort!F18</f>
        <v>15.021276595744682</v>
      </c>
      <c r="H18" s="9">
        <f>+Harvest!H18/Effort!H18</f>
        <v>15</v>
      </c>
      <c r="J18" s="8" t="s">
        <v>11</v>
      </c>
      <c r="L18" s="8" t="s">
        <v>11</v>
      </c>
      <c r="N18" s="8" t="s">
        <v>11</v>
      </c>
    </row>
    <row r="19" spans="1:14" x14ac:dyDescent="0.25">
      <c r="A19" s="4">
        <v>41949</v>
      </c>
      <c r="B19" s="5">
        <f t="shared" si="2"/>
        <v>41949</v>
      </c>
      <c r="C19" s="137">
        <v>-1.1000000000000001</v>
      </c>
      <c r="D19" s="138">
        <v>0.74930555555555556</v>
      </c>
      <c r="E19"/>
      <c r="F19" s="9">
        <f>+Harvest!F19/Effort!F19</f>
        <v>15</v>
      </c>
      <c r="H19" s="9">
        <f>+Harvest!H19/Effort!H19</f>
        <v>14.702702702702704</v>
      </c>
      <c r="J19" s="8" t="s">
        <v>11</v>
      </c>
      <c r="L19" s="8" t="s">
        <v>11</v>
      </c>
      <c r="N19" s="8" t="s">
        <v>11</v>
      </c>
    </row>
    <row r="20" spans="1:14" x14ac:dyDescent="0.25">
      <c r="A20" s="4">
        <v>41950</v>
      </c>
      <c r="B20" s="5">
        <f t="shared" si="2"/>
        <v>41950</v>
      </c>
      <c r="C20" s="137">
        <v>-1.2</v>
      </c>
      <c r="D20" s="138">
        <v>0.77916666666666667</v>
      </c>
      <c r="E20"/>
      <c r="F20" s="9">
        <f>+Harvest!F20/Effort!F20</f>
        <v>14.423076923076925</v>
      </c>
      <c r="H20" s="9">
        <f>+Harvest!H20/Effort!H20</f>
        <v>15.000000000000002</v>
      </c>
      <c r="J20" s="8" t="s">
        <v>11</v>
      </c>
      <c r="L20" s="9">
        <f>+Harvest!L20/Effort!L20</f>
        <v>15</v>
      </c>
      <c r="N20" s="8" t="s">
        <v>11</v>
      </c>
    </row>
    <row r="21" spans="1:14" x14ac:dyDescent="0.25">
      <c r="A21" s="4">
        <v>41951</v>
      </c>
      <c r="B21" s="5">
        <f t="shared" si="2"/>
        <v>41951</v>
      </c>
      <c r="C21" s="137">
        <v>-1.1000000000000001</v>
      </c>
      <c r="D21" s="138">
        <v>0.80833333333333335</v>
      </c>
      <c r="E21" s="2" t="s">
        <v>56</v>
      </c>
      <c r="F21" s="9">
        <f>+Harvest!F21/Effort!F21</f>
        <v>13.958971997046753</v>
      </c>
      <c r="H21" s="9">
        <f>+Harvest!H21/Effort!H21</f>
        <v>14.218749999999998</v>
      </c>
      <c r="J21" s="9">
        <f>+Harvest!J21/Effort!J21</f>
        <v>13.506849315068489</v>
      </c>
      <c r="L21" s="9">
        <f>+Harvest!L21/Effort!L21</f>
        <v>14.161290322580646</v>
      </c>
      <c r="N21" s="8" t="s">
        <v>11</v>
      </c>
    </row>
    <row r="22" spans="1:14" x14ac:dyDescent="0.25">
      <c r="A22" s="4">
        <v>41952</v>
      </c>
      <c r="B22" s="5">
        <f t="shared" si="2"/>
        <v>41952</v>
      </c>
      <c r="C22" s="137">
        <v>-0.7</v>
      </c>
      <c r="D22" s="138">
        <v>0.83680555555555558</v>
      </c>
      <c r="E22" s="2" t="s">
        <v>56</v>
      </c>
      <c r="F22" s="9">
        <v>15</v>
      </c>
      <c r="H22" s="9">
        <f>+Harvest!H22/Effort!H22</f>
        <v>15.875</v>
      </c>
      <c r="J22" s="8" t="s">
        <v>11</v>
      </c>
      <c r="L22" s="9">
        <f>+Harvest!L22/Effort!L22</f>
        <v>10.755555555555556</v>
      </c>
      <c r="N22" s="8" t="s">
        <v>11</v>
      </c>
    </row>
    <row r="23" spans="1:14" x14ac:dyDescent="0.25">
      <c r="A23" s="4">
        <v>41953</v>
      </c>
      <c r="B23" s="5">
        <f t="shared" si="2"/>
        <v>41953</v>
      </c>
      <c r="C23" s="137">
        <v>-0.3</v>
      </c>
      <c r="D23" s="138">
        <v>0.86597222222222225</v>
      </c>
      <c r="E23" s="2" t="s">
        <v>56</v>
      </c>
      <c r="F23" s="9">
        <f>+Harvest!F23/Effort!F23</f>
        <v>15</v>
      </c>
      <c r="G23" s="2" t="s">
        <v>56</v>
      </c>
      <c r="H23" s="9">
        <v>15</v>
      </c>
      <c r="J23" s="8" t="s">
        <v>11</v>
      </c>
      <c r="L23" s="8" t="s">
        <v>11</v>
      </c>
      <c r="N23" s="8" t="s">
        <v>11</v>
      </c>
    </row>
    <row r="24" spans="1:14" x14ac:dyDescent="0.25">
      <c r="A24" s="4">
        <v>41954</v>
      </c>
      <c r="B24" s="5">
        <f t="shared" si="2"/>
        <v>41954</v>
      </c>
      <c r="C24" s="145">
        <v>0.2</v>
      </c>
      <c r="D24" s="146">
        <v>0.89652777777777781</v>
      </c>
      <c r="E24" s="2" t="s">
        <v>56</v>
      </c>
      <c r="F24" s="9">
        <f>+Harvest!F24/Effort!F24</f>
        <v>14.725948480400977</v>
      </c>
      <c r="H24" s="9">
        <f>+Harvest!H24/Effort!H24</f>
        <v>15.000000000000002</v>
      </c>
      <c r="J24" s="8" t="s">
        <v>11</v>
      </c>
      <c r="L24" s="8" t="s">
        <v>11</v>
      </c>
      <c r="N24" s="8" t="s">
        <v>11</v>
      </c>
    </row>
    <row r="25" spans="1:14" x14ac:dyDescent="0.25">
      <c r="A25" s="4"/>
      <c r="B25" s="5"/>
      <c r="C25" s="13"/>
      <c r="D25" s="98"/>
      <c r="F25" s="9"/>
      <c r="G25" s="61"/>
      <c r="H25" s="9"/>
      <c r="I25" s="61"/>
      <c r="J25" s="9"/>
      <c r="K25" s="61"/>
      <c r="L25" s="9"/>
      <c r="M25" s="61"/>
      <c r="N25" s="8"/>
    </row>
    <row r="26" spans="1:14" x14ac:dyDescent="0.25">
      <c r="A26" s="4">
        <v>41963</v>
      </c>
      <c r="B26" s="5">
        <f t="shared" ref="B26:B32" si="3">+A26</f>
        <v>41963</v>
      </c>
      <c r="C26" s="137">
        <v>0</v>
      </c>
      <c r="D26" s="138">
        <v>0.71250000000000002</v>
      </c>
      <c r="F26" s="9">
        <f>+Harvest!F26/Effort!F26</f>
        <v>14.708333333333332</v>
      </c>
      <c r="G26" s="61"/>
      <c r="H26" s="9">
        <f>+Harvest!H26/Effort!H26</f>
        <v>14.702127659574471</v>
      </c>
      <c r="I26" s="61"/>
      <c r="J26" s="8" t="s">
        <v>11</v>
      </c>
      <c r="L26" s="8" t="s">
        <v>11</v>
      </c>
      <c r="N26" s="8" t="s">
        <v>11</v>
      </c>
    </row>
    <row r="27" spans="1:14" x14ac:dyDescent="0.25">
      <c r="A27" s="4">
        <v>41964</v>
      </c>
      <c r="B27" s="5">
        <f t="shared" si="3"/>
        <v>41964</v>
      </c>
      <c r="C27" s="137">
        <v>-0.5</v>
      </c>
      <c r="D27" s="138">
        <v>0.73958333333333337</v>
      </c>
      <c r="E27" s="58"/>
      <c r="F27" s="9">
        <f>+Harvest!F27/Effort!F27</f>
        <v>6.9999999999999991</v>
      </c>
      <c r="G27" s="61"/>
      <c r="H27" s="9">
        <f>+Harvest!H27/Effort!H27</f>
        <v>3</v>
      </c>
      <c r="I27" s="61"/>
      <c r="J27" s="8" t="s">
        <v>11</v>
      </c>
      <c r="L27" s="9">
        <f>+Harvest!L27/Effort!L27</f>
        <v>7.1521739130434785</v>
      </c>
      <c r="N27" s="8" t="s">
        <v>11</v>
      </c>
    </row>
    <row r="28" spans="1:14" x14ac:dyDescent="0.25">
      <c r="A28" s="4">
        <v>41965</v>
      </c>
      <c r="B28" s="5">
        <f t="shared" si="3"/>
        <v>41965</v>
      </c>
      <c r="C28" s="137">
        <v>-0.8</v>
      </c>
      <c r="D28" s="138">
        <v>0.76666666666666672</v>
      </c>
      <c r="E28" s="2" t="s">
        <v>56</v>
      </c>
      <c r="F28" s="9">
        <f>+Harvest!F28/Effort!F28</f>
        <v>9.3805031254144282</v>
      </c>
      <c r="G28" s="90"/>
      <c r="H28" s="9">
        <f>+Harvest!H28/Effort!H28</f>
        <v>9.5128205128205128</v>
      </c>
      <c r="I28" s="61"/>
      <c r="J28" s="9">
        <f>+Harvest!J28/Effort!J28</f>
        <v>9.6981132075471699</v>
      </c>
      <c r="L28" s="9">
        <f>+Harvest!L28/Effort!L28</f>
        <v>15.000000000000002</v>
      </c>
      <c r="N28" s="8" t="s">
        <v>11</v>
      </c>
    </row>
    <row r="29" spans="1:14" x14ac:dyDescent="0.25">
      <c r="A29" s="4">
        <v>41966</v>
      </c>
      <c r="B29" s="5">
        <f t="shared" si="3"/>
        <v>41966</v>
      </c>
      <c r="C29" s="137">
        <v>-1</v>
      </c>
      <c r="D29" s="138">
        <v>0.79513888888888884</v>
      </c>
      <c r="E29" s="58"/>
      <c r="F29" s="9">
        <f>+Harvest!F29/Effort!F29</f>
        <v>15</v>
      </c>
      <c r="H29" s="9">
        <f>+Harvest!H29/Effort!H29</f>
        <v>9.8095238095238102</v>
      </c>
      <c r="I29" s="63"/>
      <c r="J29" s="8" t="s">
        <v>11</v>
      </c>
      <c r="L29" s="9">
        <f>+Harvest!L29/Effort!L29</f>
        <v>14.903225806451612</v>
      </c>
      <c r="N29" s="8" t="s">
        <v>11</v>
      </c>
    </row>
    <row r="30" spans="1:14" x14ac:dyDescent="0.25">
      <c r="A30" s="4">
        <v>41967</v>
      </c>
      <c r="B30" s="5">
        <f t="shared" si="3"/>
        <v>41967</v>
      </c>
      <c r="C30" s="137">
        <v>-1.1000000000000001</v>
      </c>
      <c r="D30" s="138">
        <v>0.82430555555555551</v>
      </c>
      <c r="F30" s="9">
        <f>+Harvest!F30/Effort!F30</f>
        <v>1.6249999999999998</v>
      </c>
      <c r="H30" s="9">
        <f>+Harvest!H30/Effort!H30</f>
        <v>0</v>
      </c>
      <c r="J30" s="8" t="s">
        <v>11</v>
      </c>
      <c r="L30" s="8" t="s">
        <v>11</v>
      </c>
      <c r="N30" s="8" t="s">
        <v>11</v>
      </c>
    </row>
    <row r="31" spans="1:14" x14ac:dyDescent="0.25">
      <c r="A31" s="4">
        <v>41968</v>
      </c>
      <c r="B31" s="5">
        <f t="shared" si="3"/>
        <v>41968</v>
      </c>
      <c r="C31" s="137">
        <v>-0.9</v>
      </c>
      <c r="D31" s="138">
        <v>0.85555555555555551</v>
      </c>
      <c r="E31" s="2" t="s">
        <v>56</v>
      </c>
      <c r="F31" s="9">
        <f>+Harvest!F31/Effort!F31</f>
        <v>10.600474219218329</v>
      </c>
      <c r="G31" s="2" t="s">
        <v>56</v>
      </c>
      <c r="H31" s="9">
        <f>+Harvest!H31/Effort!H31</f>
        <v>10.75</v>
      </c>
      <c r="J31" s="8" t="s">
        <v>11</v>
      </c>
      <c r="L31" s="8" t="s">
        <v>11</v>
      </c>
      <c r="N31" s="8" t="s">
        <v>11</v>
      </c>
    </row>
    <row r="32" spans="1:14" x14ac:dyDescent="0.25">
      <c r="A32" s="4">
        <v>41969</v>
      </c>
      <c r="B32" s="5">
        <f t="shared" si="3"/>
        <v>41969</v>
      </c>
      <c r="C32" s="137">
        <v>-0.5</v>
      </c>
      <c r="D32" s="138">
        <v>0.8881944444444444</v>
      </c>
      <c r="E32" s="2" t="s">
        <v>56</v>
      </c>
      <c r="F32" s="9">
        <f>+Harvest!F32/Effort!F32</f>
        <v>10.600474219218329</v>
      </c>
      <c r="G32" s="87"/>
      <c r="H32" s="9">
        <f>+Harvest!H32/Effort!H32</f>
        <v>10.75</v>
      </c>
      <c r="J32" s="8" t="s">
        <v>11</v>
      </c>
      <c r="L32" s="8" t="s">
        <v>11</v>
      </c>
      <c r="N32" s="8" t="s">
        <v>11</v>
      </c>
    </row>
    <row r="33" spans="1:14" x14ac:dyDescent="0.25">
      <c r="A33" s="53"/>
      <c r="B33" s="5"/>
      <c r="C33" s="58"/>
      <c r="D33" s="59"/>
      <c r="F33" s="9"/>
      <c r="G33" s="87"/>
      <c r="H33" s="9"/>
      <c r="J33" s="9"/>
      <c r="K33" s="61"/>
      <c r="L33" s="9"/>
      <c r="M33" s="61"/>
      <c r="N33" s="9"/>
    </row>
    <row r="34" spans="1:14" x14ac:dyDescent="0.25">
      <c r="A34" s="4">
        <v>41976</v>
      </c>
      <c r="B34" s="5">
        <f t="shared" ref="B34:B41" si="4">+A34</f>
        <v>41976</v>
      </c>
      <c r="C34" s="137">
        <v>-0.1</v>
      </c>
      <c r="D34" s="138">
        <v>0.67638888888888893</v>
      </c>
      <c r="F34" s="9">
        <f>+Harvest!F34/Effort!F34</f>
        <v>15</v>
      </c>
      <c r="G34" s="87"/>
      <c r="H34" s="9">
        <f>+Harvest!H34/Effort!H34</f>
        <v>15</v>
      </c>
      <c r="J34" s="8" t="s">
        <v>11</v>
      </c>
      <c r="L34" s="8" t="s">
        <v>11</v>
      </c>
      <c r="N34" s="8" t="s">
        <v>11</v>
      </c>
    </row>
    <row r="35" spans="1:14" x14ac:dyDescent="0.25">
      <c r="A35" s="4">
        <v>41977</v>
      </c>
      <c r="B35" s="5">
        <f t="shared" si="4"/>
        <v>41977</v>
      </c>
      <c r="C35" s="137">
        <v>-0.6</v>
      </c>
      <c r="D35" s="138">
        <v>0.70972222222222225</v>
      </c>
      <c r="E35" s="2"/>
      <c r="F35" s="9">
        <f>+Harvest!F35/Effort!F35</f>
        <v>15</v>
      </c>
      <c r="G35" s="87"/>
      <c r="H35" s="9">
        <f>+Harvest!H35/Effort!H35</f>
        <v>14.888888888888891</v>
      </c>
      <c r="I35" s="2"/>
      <c r="J35" s="8" t="s">
        <v>11</v>
      </c>
      <c r="L35" s="8" t="s">
        <v>11</v>
      </c>
      <c r="N35" s="8" t="s">
        <v>11</v>
      </c>
    </row>
    <row r="36" spans="1:14" x14ac:dyDescent="0.25">
      <c r="A36" s="4">
        <v>41978</v>
      </c>
      <c r="B36" s="5">
        <f t="shared" si="4"/>
        <v>41978</v>
      </c>
      <c r="C36" s="137">
        <v>-0.9</v>
      </c>
      <c r="D36" s="138">
        <v>0.73958333333333337</v>
      </c>
      <c r="E36" s="58"/>
      <c r="F36" s="9">
        <f>+Harvest!F36/Effort!F36</f>
        <v>15</v>
      </c>
      <c r="G36" s="87"/>
      <c r="H36" s="9">
        <f>+Harvest!H36/Effort!H36</f>
        <v>15</v>
      </c>
      <c r="I36" s="63"/>
      <c r="J36" s="8" t="s">
        <v>11</v>
      </c>
      <c r="L36" s="155">
        <f>+Harvest!L36/Effort!L36</f>
        <v>15</v>
      </c>
      <c r="N36" s="8" t="s">
        <v>11</v>
      </c>
    </row>
    <row r="37" spans="1:14" x14ac:dyDescent="0.25">
      <c r="A37" s="4">
        <v>41979</v>
      </c>
      <c r="B37" s="105">
        <f t="shared" si="4"/>
        <v>41979</v>
      </c>
      <c r="C37" s="137">
        <v>-1</v>
      </c>
      <c r="D37" s="138">
        <v>0.7680555555555556</v>
      </c>
      <c r="E37" s="58"/>
      <c r="F37" s="9">
        <f>+Harvest!F37/Effort!F37</f>
        <v>14.701492537313433</v>
      </c>
      <c r="G37" s="2" t="s">
        <v>56</v>
      </c>
      <c r="H37" s="9">
        <f>+Harvest!H37/Effort!H37</f>
        <v>14.669022082685203</v>
      </c>
      <c r="I37" s="63"/>
      <c r="J37" s="155">
        <f>+Harvest!J37/Effort!J37</f>
        <v>12.89130434782609</v>
      </c>
      <c r="L37" s="155">
        <f>+Harvest!L37/Effort!L37</f>
        <v>14.864864864864867</v>
      </c>
      <c r="N37" s="8" t="s">
        <v>11</v>
      </c>
    </row>
    <row r="38" spans="1:14" x14ac:dyDescent="0.25">
      <c r="A38" s="4">
        <v>41980</v>
      </c>
      <c r="B38" s="5">
        <f t="shared" si="4"/>
        <v>41980</v>
      </c>
      <c r="C38" s="137">
        <v>-0.9</v>
      </c>
      <c r="D38" s="138">
        <v>0.79583333333333328</v>
      </c>
      <c r="F38" s="9">
        <f>+Harvest!F38/Effort!F38</f>
        <v>15.000000000000002</v>
      </c>
      <c r="G38" s="87"/>
      <c r="H38" s="9">
        <f>+Harvest!H38/Effort!H38</f>
        <v>10.6</v>
      </c>
      <c r="J38" s="8" t="s">
        <v>11</v>
      </c>
      <c r="L38" s="155">
        <f>+Harvest!L38/Effort!L38</f>
        <v>15.000000000000002</v>
      </c>
      <c r="N38" s="8" t="s">
        <v>11</v>
      </c>
    </row>
    <row r="39" spans="1:14" x14ac:dyDescent="0.25">
      <c r="A39" s="4">
        <v>41981</v>
      </c>
      <c r="B39" s="5">
        <f t="shared" si="4"/>
        <v>41981</v>
      </c>
      <c r="C39" s="137">
        <v>-0.6</v>
      </c>
      <c r="D39" s="138">
        <v>0.82222222222222219</v>
      </c>
      <c r="F39" s="9">
        <f>+Harvest!F39/Effort!F39</f>
        <v>15.000000000000002</v>
      </c>
      <c r="G39" s="87"/>
      <c r="H39" s="9">
        <f>+Harvest!H39/Effort!H39</f>
        <v>10.6</v>
      </c>
      <c r="J39" s="8" t="s">
        <v>11</v>
      </c>
      <c r="L39" s="8" t="s">
        <v>11</v>
      </c>
      <c r="N39" s="8" t="s">
        <v>11</v>
      </c>
    </row>
    <row r="40" spans="1:14" x14ac:dyDescent="0.25">
      <c r="A40" s="4">
        <v>41982</v>
      </c>
      <c r="B40" s="5">
        <f t="shared" si="4"/>
        <v>41982</v>
      </c>
      <c r="C40" s="137">
        <v>-0.2</v>
      </c>
      <c r="D40" s="138">
        <v>0.84791666666666665</v>
      </c>
      <c r="E40" s="90" t="s">
        <v>62</v>
      </c>
      <c r="F40" s="9">
        <v>0</v>
      </c>
      <c r="G40" s="90" t="s">
        <v>62</v>
      </c>
      <c r="H40" s="9">
        <v>0</v>
      </c>
      <c r="J40" s="8" t="s">
        <v>11</v>
      </c>
      <c r="L40" s="8" t="s">
        <v>11</v>
      </c>
      <c r="N40" s="8" t="s">
        <v>11</v>
      </c>
    </row>
    <row r="41" spans="1:14" x14ac:dyDescent="0.25">
      <c r="A41" s="4">
        <v>41983</v>
      </c>
      <c r="B41" s="5">
        <f t="shared" si="4"/>
        <v>41983</v>
      </c>
      <c r="C41" s="137">
        <v>0.2</v>
      </c>
      <c r="D41" s="138">
        <v>0.87361111111111112</v>
      </c>
      <c r="E41" s="2" t="s">
        <v>62</v>
      </c>
      <c r="F41" s="9">
        <v>0</v>
      </c>
      <c r="G41" s="2" t="s">
        <v>62</v>
      </c>
      <c r="H41" s="9">
        <v>0</v>
      </c>
      <c r="J41" s="8" t="s">
        <v>11</v>
      </c>
      <c r="L41" s="8" t="s">
        <v>11</v>
      </c>
      <c r="N41" s="8" t="s">
        <v>11</v>
      </c>
    </row>
    <row r="42" spans="1:14" x14ac:dyDescent="0.25">
      <c r="A42" s="4"/>
      <c r="B42" s="5"/>
      <c r="C42" s="13"/>
      <c r="D42" s="98"/>
      <c r="F42" s="9"/>
      <c r="G42" s="63"/>
      <c r="H42" s="9"/>
      <c r="I42" s="63"/>
      <c r="J42" s="8"/>
      <c r="K42" s="63"/>
      <c r="L42" s="9"/>
      <c r="M42" s="63"/>
      <c r="N42" s="8"/>
    </row>
    <row r="43" spans="1:14" x14ac:dyDescent="0.25">
      <c r="A43" s="4">
        <v>41992</v>
      </c>
      <c r="B43" s="5">
        <f t="shared" ref="B43:B47" si="5">+A43</f>
        <v>41992</v>
      </c>
      <c r="C43" s="137">
        <v>0</v>
      </c>
      <c r="D43" s="138">
        <v>0.69513888888888886</v>
      </c>
      <c r="E43" s="2" t="s">
        <v>56</v>
      </c>
      <c r="F43" s="9">
        <f>+Harvest!F43/Effort!F43</f>
        <v>10.817263544536274</v>
      </c>
      <c r="G43" s="63"/>
      <c r="H43" s="9">
        <f>+Harvest!H43/Effort!H43</f>
        <v>7.0454545454545467</v>
      </c>
      <c r="I43" s="63"/>
      <c r="J43" s="8" t="s">
        <v>11</v>
      </c>
      <c r="K43" s="63"/>
      <c r="L43" s="155">
        <f>+Harvest!L43/Effort!L43</f>
        <v>6.5294117647058822</v>
      </c>
      <c r="M43" s="63"/>
      <c r="N43" s="8" t="s">
        <v>11</v>
      </c>
    </row>
    <row r="44" spans="1:14" x14ac:dyDescent="0.25">
      <c r="A44" s="4">
        <v>41993</v>
      </c>
      <c r="B44" s="5">
        <f t="shared" si="5"/>
        <v>41993</v>
      </c>
      <c r="C44" s="137">
        <v>-0.6</v>
      </c>
      <c r="D44" s="138">
        <v>0.72430555555555554</v>
      </c>
      <c r="E44" s="2" t="s">
        <v>56</v>
      </c>
      <c r="F44" s="9">
        <f>+Harvest!F44/Effort!F44</f>
        <v>0</v>
      </c>
      <c r="G44" s="2" t="s">
        <v>56</v>
      </c>
      <c r="H44" s="9">
        <f>+Harvest!H44/Effort!H44</f>
        <v>0</v>
      </c>
      <c r="I44" s="63"/>
      <c r="J44" s="155">
        <f>+Harvest!J44/Effort!J44</f>
        <v>8.8235294117647065E-2</v>
      </c>
      <c r="K44" s="63"/>
      <c r="L44" s="155">
        <f>+Harvest!L44/Effort!L44</f>
        <v>0</v>
      </c>
      <c r="M44" s="63"/>
      <c r="N44" s="8" t="s">
        <v>11</v>
      </c>
    </row>
    <row r="45" spans="1:14" x14ac:dyDescent="0.25">
      <c r="A45" s="4">
        <v>41994</v>
      </c>
      <c r="B45" s="5">
        <f t="shared" si="5"/>
        <v>41994</v>
      </c>
      <c r="C45" s="137">
        <v>-1.1000000000000001</v>
      </c>
      <c r="D45" s="138">
        <v>0.75416666666666665</v>
      </c>
      <c r="E45" s="2" t="s">
        <v>56</v>
      </c>
      <c r="F45" s="9">
        <v>15</v>
      </c>
      <c r="G45" s="2"/>
      <c r="H45" s="9">
        <f>+Harvest!H45/Effort!H45</f>
        <v>12.720930232558139</v>
      </c>
      <c r="I45" s="63"/>
      <c r="J45" s="8" t="s">
        <v>11</v>
      </c>
      <c r="K45" s="63"/>
      <c r="L45" s="155">
        <v>15</v>
      </c>
      <c r="M45" s="63"/>
      <c r="N45" s="8" t="s">
        <v>11</v>
      </c>
    </row>
    <row r="46" spans="1:14" x14ac:dyDescent="0.25">
      <c r="A46" s="4">
        <v>41995</v>
      </c>
      <c r="B46" s="5">
        <f t="shared" si="5"/>
        <v>41995</v>
      </c>
      <c r="C46" s="137">
        <v>-1.3</v>
      </c>
      <c r="D46" s="138">
        <v>0.78333333333333333</v>
      </c>
      <c r="F46" s="9">
        <f>+Harvest!F46/Effort!F46</f>
        <v>14.060606060606061</v>
      </c>
      <c r="G46" s="90"/>
      <c r="H46" s="9">
        <f>+Harvest!H46/Effort!H46</f>
        <v>9.1578947368421062</v>
      </c>
      <c r="I46" s="63"/>
      <c r="J46" s="8" t="s">
        <v>11</v>
      </c>
      <c r="K46" s="63"/>
      <c r="L46" s="8" t="s">
        <v>11</v>
      </c>
      <c r="M46" s="63"/>
      <c r="N46" s="8" t="s">
        <v>11</v>
      </c>
    </row>
    <row r="47" spans="1:14" x14ac:dyDescent="0.25">
      <c r="A47" s="4">
        <v>41996</v>
      </c>
      <c r="B47" s="5">
        <f t="shared" si="5"/>
        <v>41996</v>
      </c>
      <c r="C47" s="137">
        <v>-1.3</v>
      </c>
      <c r="D47" s="138">
        <v>0.81319444444444444</v>
      </c>
      <c r="E47" s="2" t="s">
        <v>56</v>
      </c>
      <c r="F47" s="9">
        <f>+Harvest!F47/Effort!F47</f>
        <v>14.060606060606061</v>
      </c>
      <c r="G47" s="2" t="s">
        <v>56</v>
      </c>
      <c r="H47" s="9">
        <f>+Harvest!H47/Effort!H47</f>
        <v>9.1578947368421062</v>
      </c>
      <c r="I47" s="63"/>
      <c r="J47" s="8" t="s">
        <v>11</v>
      </c>
      <c r="L47" s="8" t="s">
        <v>11</v>
      </c>
      <c r="N47" s="8" t="s">
        <v>11</v>
      </c>
    </row>
    <row r="48" spans="1:14" x14ac:dyDescent="0.25">
      <c r="A48" s="53"/>
      <c r="B48" s="5"/>
      <c r="C48" s="58"/>
      <c r="D48" s="59"/>
      <c r="F48" s="8"/>
      <c r="G48" s="63"/>
      <c r="H48" s="9"/>
      <c r="I48" s="63"/>
      <c r="J48" s="8"/>
      <c r="K48" s="63"/>
      <c r="L48" s="8"/>
      <c r="M48" s="63"/>
      <c r="N48" s="8"/>
    </row>
    <row r="49" spans="1:14" x14ac:dyDescent="0.25">
      <c r="A49" s="156">
        <v>42004</v>
      </c>
      <c r="B49" s="5">
        <f t="shared" ref="B49:B56" si="6">+A49</f>
        <v>42004</v>
      </c>
      <c r="C49" s="13">
        <v>0.6</v>
      </c>
      <c r="D49" s="12">
        <v>0.62847222222222221</v>
      </c>
      <c r="E49" s="2" t="s">
        <v>56</v>
      </c>
      <c r="F49" s="9">
        <f>+Harvest!F49/Effort!F49</f>
        <v>11.434805955614559</v>
      </c>
      <c r="H49" s="9">
        <f>+Harvest!H49/Effort!H49</f>
        <v>14.645569620253163</v>
      </c>
      <c r="J49" s="155">
        <f>+Harvest!J49/Effort!J49</f>
        <v>14.999999999999998</v>
      </c>
      <c r="L49" s="155">
        <f>+Harvest!L49/Effort!L49</f>
        <v>15</v>
      </c>
      <c r="M49" s="63"/>
      <c r="N49" s="8" t="s">
        <v>11</v>
      </c>
    </row>
    <row r="50" spans="1:14" x14ac:dyDescent="0.25">
      <c r="A50" s="156">
        <v>42005</v>
      </c>
      <c r="B50" s="5">
        <f t="shared" si="6"/>
        <v>42005</v>
      </c>
      <c r="C50" s="13">
        <v>0.2</v>
      </c>
      <c r="D50" s="12">
        <v>0.66736111111111107</v>
      </c>
      <c r="E50" s="2"/>
      <c r="F50" s="9">
        <f>+Harvest!F50/Effort!F50</f>
        <v>14.973913043478261</v>
      </c>
      <c r="H50" s="9">
        <f>+Harvest!H50/Effort!H50</f>
        <v>15</v>
      </c>
      <c r="J50" s="155">
        <f>+Harvest!J50/Effort!J50</f>
        <v>15.000000000000002</v>
      </c>
      <c r="L50" s="155">
        <f>+Harvest!L50/Effort!L50</f>
        <v>14.999999999999998</v>
      </c>
      <c r="M50" s="63"/>
      <c r="N50" s="8" t="s">
        <v>11</v>
      </c>
    </row>
    <row r="51" spans="1:14" x14ac:dyDescent="0.25">
      <c r="A51" s="156">
        <v>42006</v>
      </c>
      <c r="B51" s="5">
        <f t="shared" si="6"/>
        <v>42006</v>
      </c>
      <c r="C51" s="13">
        <v>-0.2</v>
      </c>
      <c r="D51" s="12">
        <v>0.7006944444444444</v>
      </c>
      <c r="E51" s="2"/>
      <c r="F51" s="9">
        <f>+Harvest!F51/Effort!F51</f>
        <v>14.999999999999998</v>
      </c>
      <c r="H51" s="9">
        <f>+Harvest!H51/Effort!H51</f>
        <v>15.000000000000002</v>
      </c>
      <c r="J51" s="155">
        <f>+Harvest!J51/Effort!J51</f>
        <v>13.793103448275863</v>
      </c>
      <c r="L51" s="155">
        <f>+Harvest!L51/Effort!L51</f>
        <v>14.987179487179487</v>
      </c>
      <c r="M51" s="63"/>
      <c r="N51" s="8" t="s">
        <v>11</v>
      </c>
    </row>
    <row r="52" spans="1:14" x14ac:dyDescent="0.25">
      <c r="A52" s="156">
        <v>42007</v>
      </c>
      <c r="B52" s="5">
        <f t="shared" si="6"/>
        <v>42007</v>
      </c>
      <c r="C52" s="13">
        <v>-0.5</v>
      </c>
      <c r="D52" s="12">
        <v>0.73055555555555551</v>
      </c>
      <c r="E52" s="2"/>
      <c r="F52" s="9">
        <f>+Harvest!F52/Effort!F52</f>
        <v>9.2307692307692299</v>
      </c>
      <c r="H52" s="9">
        <f>+Harvest!H52/Effort!H52</f>
        <v>14.465116279069768</v>
      </c>
      <c r="J52" s="155">
        <f>+Harvest!J52/Effort!J52</f>
        <v>15.028169014084508</v>
      </c>
      <c r="L52" s="155">
        <f>+Harvest!L52/Effort!L52</f>
        <v>14.980392156862743</v>
      </c>
      <c r="M52" s="63"/>
      <c r="N52" s="8" t="s">
        <v>11</v>
      </c>
    </row>
    <row r="53" spans="1:14" x14ac:dyDescent="0.25">
      <c r="A53" s="156">
        <v>42008</v>
      </c>
      <c r="B53" s="5">
        <f t="shared" si="6"/>
        <v>42008</v>
      </c>
      <c r="C53" s="13">
        <v>-0.5</v>
      </c>
      <c r="D53" s="12">
        <v>0.7583333333333333</v>
      </c>
      <c r="E53" s="2"/>
      <c r="F53" s="9">
        <f>+Harvest!F53/Effort!F53</f>
        <v>4</v>
      </c>
      <c r="H53" s="9">
        <f>+Harvest!H53/Effort!H53</f>
        <v>8.3333333333333357</v>
      </c>
      <c r="J53" s="8" t="s">
        <v>11</v>
      </c>
      <c r="L53" s="155">
        <f>+Harvest!L53/Effort!L53</f>
        <v>4</v>
      </c>
      <c r="M53" s="63"/>
      <c r="N53" s="8" t="s">
        <v>11</v>
      </c>
    </row>
    <row r="54" spans="1:14" x14ac:dyDescent="0.25">
      <c r="A54" s="156">
        <v>42009</v>
      </c>
      <c r="B54" s="5">
        <f t="shared" si="6"/>
        <v>42009</v>
      </c>
      <c r="C54" s="13">
        <v>-0.5</v>
      </c>
      <c r="D54" s="12">
        <v>0.78333333333333333</v>
      </c>
      <c r="E54" s="2"/>
      <c r="F54" s="9">
        <f>+Harvest!F54/Effort!F54</f>
        <v>0</v>
      </c>
      <c r="G54" s="2" t="s">
        <v>56</v>
      </c>
      <c r="H54" s="9">
        <f>+Harvest!H54/Effort!H54</f>
        <v>0</v>
      </c>
      <c r="I54" s="63"/>
      <c r="J54" s="8" t="s">
        <v>11</v>
      </c>
      <c r="K54" s="63"/>
      <c r="L54" s="8" t="s">
        <v>11</v>
      </c>
      <c r="M54" s="63"/>
      <c r="N54" s="8" t="s">
        <v>11</v>
      </c>
    </row>
    <row r="55" spans="1:14" x14ac:dyDescent="0.25">
      <c r="A55" s="156">
        <v>42010</v>
      </c>
      <c r="B55" s="5">
        <f t="shared" si="6"/>
        <v>42010</v>
      </c>
      <c r="C55" s="13">
        <v>-0.3</v>
      </c>
      <c r="D55" s="12">
        <v>0.80763888888888891</v>
      </c>
      <c r="E55" s="2" t="s">
        <v>56</v>
      </c>
      <c r="F55" s="9">
        <f>+Harvest!F55/Effort!F55</f>
        <v>6.0631578947368423</v>
      </c>
      <c r="G55" s="63"/>
      <c r="H55" s="9">
        <f>+Harvest!H55/Effort!H55</f>
        <v>12.631578947368423</v>
      </c>
      <c r="I55" s="63"/>
      <c r="J55" s="8" t="s">
        <v>11</v>
      </c>
      <c r="K55" s="63"/>
      <c r="L55" s="8" t="s">
        <v>11</v>
      </c>
      <c r="M55" s="63"/>
      <c r="N55" s="8" t="s">
        <v>11</v>
      </c>
    </row>
    <row r="56" spans="1:14" x14ac:dyDescent="0.25">
      <c r="A56" s="156">
        <v>42011</v>
      </c>
      <c r="B56" s="5">
        <f t="shared" si="6"/>
        <v>42011</v>
      </c>
      <c r="C56" s="13">
        <v>-0.1</v>
      </c>
      <c r="D56" s="12">
        <v>0.83125000000000004</v>
      </c>
      <c r="E56" s="2"/>
      <c r="F56" s="9">
        <f>+Harvest!F56/Effort!F56</f>
        <v>15.000000000000002</v>
      </c>
      <c r="G56" s="63"/>
      <c r="H56" s="9">
        <f>+Harvest!H56/Effort!H56</f>
        <v>12.375</v>
      </c>
      <c r="I56" s="63"/>
      <c r="J56" s="8" t="s">
        <v>11</v>
      </c>
      <c r="K56" s="63"/>
      <c r="L56" s="8" t="s">
        <v>11</v>
      </c>
      <c r="M56" s="63"/>
      <c r="N56" s="8" t="s">
        <v>11</v>
      </c>
    </row>
    <row r="57" spans="1:14" x14ac:dyDescent="0.25">
      <c r="A57" s="4"/>
      <c r="B57" s="5"/>
      <c r="C57" s="13"/>
      <c r="D57" s="98"/>
      <c r="F57" s="9"/>
      <c r="G57" s="63"/>
      <c r="H57" s="9"/>
      <c r="I57" s="63"/>
      <c r="J57" s="9"/>
      <c r="K57" s="63"/>
      <c r="L57" s="9"/>
      <c r="M57" s="63"/>
      <c r="N57" s="1"/>
    </row>
    <row r="58" spans="1:14" x14ac:dyDescent="0.25">
      <c r="A58" s="156">
        <v>42021</v>
      </c>
      <c r="B58" s="5">
        <f t="shared" ref="B58:B65" si="7">+A58</f>
        <v>42021</v>
      </c>
      <c r="C58" s="13">
        <v>0.1</v>
      </c>
      <c r="D58" s="12">
        <v>0.67708333333333337</v>
      </c>
      <c r="E58" s="2"/>
      <c r="F58" s="9">
        <f>+Harvest!F58/Effort!F58</f>
        <v>14.77777777777778</v>
      </c>
      <c r="H58" s="9">
        <f>+Harvest!H58/Effort!H58</f>
        <v>8.8307692307692314</v>
      </c>
      <c r="J58" s="155">
        <f>+Harvest!J58/Effort!J58</f>
        <v>11.623376623376622</v>
      </c>
      <c r="L58" s="155">
        <f>+Harvest!L58/Effort!L58</f>
        <v>13.488888888888887</v>
      </c>
      <c r="N58" s="8" t="s">
        <v>11</v>
      </c>
    </row>
    <row r="59" spans="1:14" x14ac:dyDescent="0.25">
      <c r="A59" s="156">
        <v>42022</v>
      </c>
      <c r="B59" s="5">
        <f t="shared" si="7"/>
        <v>42022</v>
      </c>
      <c r="C59" s="13">
        <v>-0.6</v>
      </c>
      <c r="D59" s="12">
        <v>0.70972222222222225</v>
      </c>
      <c r="E59" s="2" t="s">
        <v>56</v>
      </c>
      <c r="F59" s="9">
        <f>+Harvest!F59/Effort!F59</f>
        <v>14.999999999999996</v>
      </c>
      <c r="G59" s="2"/>
      <c r="H59" s="9">
        <f>+Harvest!H59/Effort!H59</f>
        <v>14.999999999999998</v>
      </c>
      <c r="J59" s="8" t="s">
        <v>11</v>
      </c>
      <c r="L59" s="155">
        <f>+Harvest!L59/Effort!L59</f>
        <v>12.481481481481481</v>
      </c>
      <c r="N59" s="8" t="s">
        <v>11</v>
      </c>
    </row>
    <row r="60" spans="1:14" x14ac:dyDescent="0.25">
      <c r="A60" s="156">
        <v>42023</v>
      </c>
      <c r="B60" s="5">
        <f t="shared" si="7"/>
        <v>42023</v>
      </c>
      <c r="C60" s="13">
        <v>-1.1000000000000001</v>
      </c>
      <c r="D60" s="12">
        <v>0.74097222222222225</v>
      </c>
      <c r="E60" s="2" t="s">
        <v>56</v>
      </c>
      <c r="F60" s="9">
        <f>+Harvest!F60/Effort!F60</f>
        <v>15.05294969782374</v>
      </c>
      <c r="G60" s="2"/>
      <c r="H60" s="9">
        <f>+Harvest!H60/Effort!H60</f>
        <v>15</v>
      </c>
      <c r="J60" s="8" t="s">
        <v>11</v>
      </c>
      <c r="L60" s="8" t="s">
        <v>11</v>
      </c>
      <c r="N60" s="8" t="s">
        <v>11</v>
      </c>
    </row>
    <row r="61" spans="1:14" x14ac:dyDescent="0.25">
      <c r="A61" s="156">
        <v>42024</v>
      </c>
      <c r="B61" s="5">
        <f t="shared" si="7"/>
        <v>42024</v>
      </c>
      <c r="C61" s="13">
        <v>-1.4</v>
      </c>
      <c r="D61" s="12">
        <v>0.77083333333333337</v>
      </c>
      <c r="E61" s="2"/>
      <c r="F61" s="9">
        <f>+Harvest!F61/Effort!F61</f>
        <v>14.333333333333334</v>
      </c>
      <c r="G61" s="2" t="s">
        <v>56</v>
      </c>
      <c r="H61" s="9">
        <f>+Harvest!H61/Effort!H61</f>
        <v>14.275420875420878</v>
      </c>
      <c r="J61" s="8" t="s">
        <v>11</v>
      </c>
      <c r="L61" s="8" t="s">
        <v>11</v>
      </c>
      <c r="N61" s="8" t="s">
        <v>11</v>
      </c>
    </row>
    <row r="62" spans="1:14" x14ac:dyDescent="0.25">
      <c r="A62" s="156">
        <v>42025</v>
      </c>
      <c r="B62" s="5">
        <f t="shared" si="7"/>
        <v>42025</v>
      </c>
      <c r="C62" s="13">
        <v>-1.4</v>
      </c>
      <c r="D62" s="12">
        <v>0.80069444444444449</v>
      </c>
      <c r="E62" s="2"/>
      <c r="F62" s="9">
        <f>+Harvest!F62/Effort!F62</f>
        <v>14.939393939393939</v>
      </c>
      <c r="H62" s="9">
        <f>+Harvest!H62/Effort!H62</f>
        <v>14.999999999999996</v>
      </c>
      <c r="J62" s="8" t="s">
        <v>11</v>
      </c>
      <c r="L62" s="8" t="s">
        <v>11</v>
      </c>
      <c r="N62" s="8" t="s">
        <v>11</v>
      </c>
    </row>
    <row r="63" spans="1:14" x14ac:dyDescent="0.25">
      <c r="A63" s="156">
        <v>42026</v>
      </c>
      <c r="B63" s="5">
        <f t="shared" si="7"/>
        <v>42026</v>
      </c>
      <c r="C63" s="13">
        <v>-1.1000000000000001</v>
      </c>
      <c r="D63" s="12">
        <v>0.8305555555555556</v>
      </c>
      <c r="E63" s="2" t="s">
        <v>56</v>
      </c>
      <c r="F63" s="9">
        <v>15</v>
      </c>
      <c r="H63" s="9">
        <f>+Harvest!H63/Effort!H63</f>
        <v>15.249999999999998</v>
      </c>
      <c r="J63" s="8" t="s">
        <v>11</v>
      </c>
      <c r="L63" s="8" t="s">
        <v>11</v>
      </c>
      <c r="N63" s="8" t="s">
        <v>11</v>
      </c>
    </row>
    <row r="64" spans="1:14" x14ac:dyDescent="0.25">
      <c r="A64" s="156">
        <v>42027</v>
      </c>
      <c r="B64" s="5">
        <f t="shared" si="7"/>
        <v>42027</v>
      </c>
      <c r="C64" s="13">
        <v>-0.6</v>
      </c>
      <c r="D64" s="12">
        <v>0.86111111111111116</v>
      </c>
      <c r="E64" s="2"/>
      <c r="F64" s="9">
        <f>+Harvest!F64/Effort!F64</f>
        <v>15.000000000000002</v>
      </c>
      <c r="G64" s="2"/>
      <c r="H64" s="9">
        <f>+Harvest!H64/Effort!H64</f>
        <v>3.4444444444444446</v>
      </c>
      <c r="J64" s="8" t="s">
        <v>11</v>
      </c>
      <c r="L64" s="155">
        <f>+Harvest!L64/Effort!L64</f>
        <v>3.0625</v>
      </c>
      <c r="N64" s="8" t="s">
        <v>11</v>
      </c>
    </row>
    <row r="65" spans="1:14" x14ac:dyDescent="0.25">
      <c r="A65" s="156">
        <v>42028</v>
      </c>
      <c r="B65" s="5">
        <f t="shared" si="7"/>
        <v>42028</v>
      </c>
      <c r="C65" s="13">
        <v>0.1</v>
      </c>
      <c r="D65" s="12">
        <v>0.89236111111111116</v>
      </c>
      <c r="E65" s="2"/>
      <c r="F65" s="9">
        <f>+Harvest!F65/Effort!F65</f>
        <v>12.210526315789476</v>
      </c>
      <c r="H65" s="9">
        <f>+Harvest!H65/Effort!H65</f>
        <v>5.4375</v>
      </c>
      <c r="J65" s="155">
        <f>+Harvest!J65/Effort!J65</f>
        <v>15.000000000000004</v>
      </c>
      <c r="L65" s="155">
        <f>+Harvest!L65/Effort!L65</f>
        <v>15</v>
      </c>
      <c r="N65" s="8" t="s">
        <v>11</v>
      </c>
    </row>
    <row r="66" spans="1:14" x14ac:dyDescent="0.25">
      <c r="A66" s="4"/>
      <c r="B66" s="5"/>
      <c r="C66" s="13"/>
      <c r="D66" s="98"/>
      <c r="E66" s="2"/>
      <c r="F66" s="9"/>
      <c r="G66" s="63"/>
      <c r="H66" s="9"/>
      <c r="I66" s="63"/>
      <c r="J66" s="1"/>
      <c r="K66" s="63"/>
      <c r="L66" s="9"/>
      <c r="M66" s="63"/>
      <c r="N66" s="1"/>
    </row>
    <row r="67" spans="1:14" x14ac:dyDescent="0.25">
      <c r="A67" s="156">
        <v>42034</v>
      </c>
      <c r="B67" s="5">
        <v>42034</v>
      </c>
      <c r="C67" s="13">
        <v>0.5</v>
      </c>
      <c r="D67" s="12">
        <v>0.65486111111111112</v>
      </c>
      <c r="E67" s="2"/>
      <c r="F67" s="9">
        <f>+Harvest!F67/Effort!F67</f>
        <v>14.524390243902438</v>
      </c>
      <c r="H67" s="9">
        <f>+Harvest!H67/Effort!H67</f>
        <v>15</v>
      </c>
      <c r="I67" s="63"/>
      <c r="J67" s="8" t="s">
        <v>11</v>
      </c>
      <c r="L67" s="155">
        <f>+Harvest!L67/Effort!L67</f>
        <v>15.051724137931034</v>
      </c>
      <c r="N67" s="8" t="s">
        <v>11</v>
      </c>
    </row>
    <row r="68" spans="1:14" x14ac:dyDescent="0.25">
      <c r="A68" s="156">
        <v>42035</v>
      </c>
      <c r="B68" s="5">
        <v>42035</v>
      </c>
      <c r="C68" s="13">
        <v>0.2</v>
      </c>
      <c r="D68" s="12">
        <v>0.68888888888888888</v>
      </c>
      <c r="E68" s="2"/>
      <c r="F68" s="9">
        <f>+Harvest!F68/Effort!F68</f>
        <v>15</v>
      </c>
      <c r="H68" s="9">
        <f>+Harvest!H68/Effort!H68</f>
        <v>8.125</v>
      </c>
      <c r="I68" s="63"/>
      <c r="J68" s="155">
        <f>+Harvest!J68/Effort!J68</f>
        <v>15.000000000000004</v>
      </c>
      <c r="L68" s="155">
        <f>+Harvest!L68/Effort!L68</f>
        <v>15.000000000000002</v>
      </c>
      <c r="N68" s="8" t="s">
        <v>11</v>
      </c>
    </row>
    <row r="69" spans="1:14" x14ac:dyDescent="0.25">
      <c r="A69" s="156">
        <v>42036</v>
      </c>
      <c r="B69" s="5">
        <v>42036</v>
      </c>
      <c r="C69" s="13">
        <v>0</v>
      </c>
      <c r="D69" s="12">
        <v>0.71875</v>
      </c>
      <c r="E69" s="2" t="s">
        <v>56</v>
      </c>
      <c r="F69" s="9">
        <v>15</v>
      </c>
      <c r="H69" s="9">
        <f>+Harvest!H69/Effort!H69</f>
        <v>14.999999999999998</v>
      </c>
      <c r="I69" s="63"/>
      <c r="J69" s="8" t="s">
        <v>11</v>
      </c>
      <c r="L69" s="155">
        <f>+Harvest!L69/Effort!L69</f>
        <v>12.481481481481483</v>
      </c>
      <c r="N69" s="8" t="s">
        <v>11</v>
      </c>
    </row>
    <row r="70" spans="1:14" x14ac:dyDescent="0.25">
      <c r="A70" s="156">
        <v>42037</v>
      </c>
      <c r="B70" s="5">
        <v>42037</v>
      </c>
      <c r="C70" s="13">
        <v>-0.1</v>
      </c>
      <c r="D70" s="12">
        <v>0.74513888888888891</v>
      </c>
      <c r="E70" s="2" t="s">
        <v>56</v>
      </c>
      <c r="F70" s="9">
        <v>15</v>
      </c>
      <c r="H70" s="9">
        <f>+Harvest!H70/Effort!H70</f>
        <v>14.954545454545457</v>
      </c>
      <c r="I70" s="63"/>
      <c r="J70" s="8" t="s">
        <v>11</v>
      </c>
      <c r="L70" s="8" t="s">
        <v>11</v>
      </c>
      <c r="N70" s="8" t="s">
        <v>11</v>
      </c>
    </row>
    <row r="71" spans="1:14" x14ac:dyDescent="0.25">
      <c r="A71" s="156">
        <v>42038</v>
      </c>
      <c r="B71" s="5">
        <v>42038</v>
      </c>
      <c r="C71" s="13">
        <v>-0.1</v>
      </c>
      <c r="D71" s="12">
        <v>0.76875000000000004</v>
      </c>
      <c r="E71" s="2"/>
      <c r="F71" s="9">
        <f>+Harvest!F71/Effort!F71</f>
        <v>14.52</v>
      </c>
      <c r="G71" s="2" t="s">
        <v>56</v>
      </c>
      <c r="H71" s="9">
        <f>+Harvest!H71/Effort!H71</f>
        <v>13.623450413223143</v>
      </c>
      <c r="I71" s="63"/>
      <c r="J71" s="8" t="s">
        <v>11</v>
      </c>
      <c r="L71" s="8" t="s">
        <v>11</v>
      </c>
      <c r="N71" s="8" t="s">
        <v>11</v>
      </c>
    </row>
    <row r="72" spans="1:14" x14ac:dyDescent="0.25">
      <c r="A72" s="156">
        <v>42039</v>
      </c>
      <c r="B72" s="5">
        <v>42039</v>
      </c>
      <c r="C72" s="13">
        <v>0</v>
      </c>
      <c r="D72" s="12">
        <v>0.79097222222222219</v>
      </c>
      <c r="E72" s="2"/>
      <c r="F72" s="9">
        <f>+Harvest!F72/Effort!F72</f>
        <v>15.000000000000002</v>
      </c>
      <c r="G72" s="63"/>
      <c r="H72" s="9">
        <f>+Harvest!H72/Effort!H72</f>
        <v>13.187500000000002</v>
      </c>
      <c r="I72" s="63"/>
      <c r="J72" s="8" t="s">
        <v>11</v>
      </c>
      <c r="L72" s="8" t="s">
        <v>11</v>
      </c>
      <c r="N72" s="8" t="s">
        <v>11</v>
      </c>
    </row>
    <row r="73" spans="1:14" x14ac:dyDescent="0.25">
      <c r="A73" s="156">
        <v>42040</v>
      </c>
      <c r="B73" s="5">
        <v>42040</v>
      </c>
      <c r="C73" s="13">
        <v>0.2</v>
      </c>
      <c r="D73" s="12">
        <v>0.8125</v>
      </c>
      <c r="E73" s="2" t="s">
        <v>62</v>
      </c>
      <c r="F73" s="9">
        <v>0</v>
      </c>
      <c r="G73" s="2" t="s">
        <v>62</v>
      </c>
      <c r="H73" s="9">
        <v>0</v>
      </c>
      <c r="I73" s="63"/>
      <c r="J73" s="8" t="s">
        <v>11</v>
      </c>
      <c r="L73" s="8" t="s">
        <v>11</v>
      </c>
      <c r="N73" s="8" t="s">
        <v>11</v>
      </c>
    </row>
    <row r="74" spans="1:14" x14ac:dyDescent="0.25">
      <c r="A74" s="156">
        <v>42041</v>
      </c>
      <c r="B74" s="5">
        <v>42041</v>
      </c>
      <c r="C74" s="13">
        <v>0.5</v>
      </c>
      <c r="D74" s="12">
        <v>0.83333333333333337</v>
      </c>
      <c r="E74" s="2" t="s">
        <v>62</v>
      </c>
      <c r="F74" s="9">
        <v>0</v>
      </c>
      <c r="G74" s="2" t="s">
        <v>62</v>
      </c>
      <c r="H74" s="9">
        <v>0</v>
      </c>
      <c r="I74" s="63"/>
      <c r="J74" s="8" t="s">
        <v>11</v>
      </c>
      <c r="L74" s="8" t="s">
        <v>11</v>
      </c>
      <c r="N74" s="8" t="s">
        <v>11</v>
      </c>
    </row>
    <row r="75" spans="1:14" x14ac:dyDescent="0.25">
      <c r="A75" s="4"/>
      <c r="C75"/>
      <c r="D75" s="98"/>
      <c r="E75" s="2"/>
      <c r="F75" s="8"/>
      <c r="G75" s="63"/>
      <c r="H75" s="9"/>
      <c r="I75" s="63"/>
      <c r="J75" s="8"/>
      <c r="K75" s="63"/>
      <c r="L75" s="8"/>
      <c r="M75" s="63"/>
    </row>
    <row r="76" spans="1:14" x14ac:dyDescent="0.25">
      <c r="A76" s="4">
        <v>42050</v>
      </c>
      <c r="B76" s="5">
        <f t="shared" ref="B76:B83" si="8">+A76</f>
        <v>42050</v>
      </c>
      <c r="C76" s="13">
        <v>0.2</v>
      </c>
      <c r="D76" s="98">
        <v>0.65763888888888888</v>
      </c>
      <c r="E76"/>
      <c r="F76" s="9">
        <v>15</v>
      </c>
      <c r="G76" s="63"/>
      <c r="H76" s="9">
        <f>+Harvest!H76/Effort!H76</f>
        <v>15.04225352112676</v>
      </c>
      <c r="J76" s="8" t="s">
        <v>11</v>
      </c>
      <c r="L76" s="8" t="s">
        <v>11</v>
      </c>
      <c r="N76" s="8" t="s">
        <v>11</v>
      </c>
    </row>
    <row r="77" spans="1:14" x14ac:dyDescent="0.25">
      <c r="A77" s="4">
        <v>42051</v>
      </c>
      <c r="B77" s="5">
        <f t="shared" si="8"/>
        <v>42051</v>
      </c>
      <c r="C77" s="13">
        <v>-0.5</v>
      </c>
      <c r="D77" s="98">
        <v>0.69236111111111109</v>
      </c>
      <c r="E77"/>
      <c r="F77" s="9">
        <v>15</v>
      </c>
      <c r="G77" s="63"/>
      <c r="H77" s="9">
        <f>+Harvest!H77/Effort!H77</f>
        <v>15.000000000000002</v>
      </c>
      <c r="J77" s="8" t="s">
        <v>11</v>
      </c>
      <c r="L77" s="8" t="s">
        <v>11</v>
      </c>
      <c r="N77" s="8" t="s">
        <v>11</v>
      </c>
    </row>
    <row r="78" spans="1:14" x14ac:dyDescent="0.25">
      <c r="A78" s="4">
        <v>42052</v>
      </c>
      <c r="B78" s="5">
        <f t="shared" si="8"/>
        <v>42052</v>
      </c>
      <c r="C78" s="13">
        <v>-0.9</v>
      </c>
      <c r="D78" s="98">
        <v>0.72499999999999998</v>
      </c>
      <c r="E78"/>
      <c r="F78" s="9">
        <f>+Harvest!F78/Effort!F78</f>
        <v>14.999999999999998</v>
      </c>
      <c r="G78" s="63"/>
      <c r="H78" s="9">
        <f>+Harvest!H78/Effort!H78</f>
        <v>14.420640948726767</v>
      </c>
      <c r="J78" s="8" t="s">
        <v>11</v>
      </c>
      <c r="L78" s="8" t="s">
        <v>11</v>
      </c>
      <c r="N78" s="8" t="s">
        <v>11</v>
      </c>
    </row>
    <row r="79" spans="1:14" x14ac:dyDescent="0.25">
      <c r="A79" s="4">
        <v>42053</v>
      </c>
      <c r="B79" s="5">
        <f t="shared" si="8"/>
        <v>42053</v>
      </c>
      <c r="C79" s="13">
        <v>-1.1000000000000001</v>
      </c>
      <c r="D79" s="98">
        <v>0.75555555555555554</v>
      </c>
      <c r="E79" s="2" t="s">
        <v>56</v>
      </c>
      <c r="F79" s="9">
        <v>15</v>
      </c>
      <c r="G79" s="63"/>
      <c r="H79" s="9">
        <f>+Harvest!H79/Effort!H79</f>
        <v>14.857142857142859</v>
      </c>
      <c r="J79" s="8" t="s">
        <v>11</v>
      </c>
      <c r="L79" s="8" t="s">
        <v>11</v>
      </c>
      <c r="N79" s="8" t="s">
        <v>11</v>
      </c>
    </row>
    <row r="80" spans="1:14" x14ac:dyDescent="0.25">
      <c r="A80" s="4">
        <v>42054</v>
      </c>
      <c r="B80" s="5">
        <f t="shared" si="8"/>
        <v>42054</v>
      </c>
      <c r="C80" s="13">
        <v>-1.1000000000000001</v>
      </c>
      <c r="D80" s="98">
        <v>0.78541666666666665</v>
      </c>
      <c r="E80" s="2" t="s">
        <v>56</v>
      </c>
      <c r="F80" s="9">
        <v>15</v>
      </c>
      <c r="G80" s="63"/>
      <c r="H80" s="9">
        <f>+Harvest!H80/Effort!H80</f>
        <v>14.857142857142859</v>
      </c>
      <c r="J80" s="8" t="s">
        <v>11</v>
      </c>
      <c r="L80" s="8" t="s">
        <v>11</v>
      </c>
      <c r="N80" s="8" t="s">
        <v>11</v>
      </c>
    </row>
    <row r="81" spans="1:14" x14ac:dyDescent="0.25">
      <c r="A81" s="4">
        <v>42055</v>
      </c>
      <c r="B81" s="5">
        <f t="shared" si="8"/>
        <v>42055</v>
      </c>
      <c r="C81" s="13">
        <v>-0.7</v>
      </c>
      <c r="D81" s="98">
        <v>0.81458333333333333</v>
      </c>
      <c r="E81" s="2" t="s">
        <v>56</v>
      </c>
      <c r="F81" s="9">
        <f>+Harvest!F81/Effort!F81</f>
        <v>14.787874740186293</v>
      </c>
      <c r="G81" s="63"/>
      <c r="H81" s="9">
        <f>+Harvest!H81/Effort!H81</f>
        <v>13.633333333333333</v>
      </c>
      <c r="J81" s="8" t="s">
        <v>11</v>
      </c>
      <c r="L81" s="155">
        <f>+Harvest!L81/Effort!L81</f>
        <v>15</v>
      </c>
      <c r="N81" s="8" t="s">
        <v>11</v>
      </c>
    </row>
    <row r="82" spans="1:14" x14ac:dyDescent="0.25">
      <c r="A82" s="4">
        <v>42056</v>
      </c>
      <c r="B82" s="5">
        <f t="shared" si="8"/>
        <v>42056</v>
      </c>
      <c r="C82" s="13">
        <v>-0.1</v>
      </c>
      <c r="D82" s="98">
        <v>0.84444444444444444</v>
      </c>
      <c r="F82" s="9">
        <f>+Harvest!F82/Effort!F82</f>
        <v>15</v>
      </c>
      <c r="G82" s="63"/>
      <c r="H82" s="9">
        <f>+Harvest!H82/Effort!H82</f>
        <v>14.038954447691543</v>
      </c>
      <c r="I82" s="63"/>
      <c r="J82" s="155">
        <f>+Harvest!J82/Effort!J82</f>
        <v>14.703703703703702</v>
      </c>
      <c r="L82" s="155">
        <f>+Harvest!L82/Effort!L82</f>
        <v>15</v>
      </c>
      <c r="N82" s="8" t="s">
        <v>11</v>
      </c>
    </row>
    <row r="83" spans="1:14" x14ac:dyDescent="0.25">
      <c r="A83" s="4">
        <v>42057</v>
      </c>
      <c r="B83" s="5">
        <f t="shared" si="8"/>
        <v>42057</v>
      </c>
      <c r="C83" s="13">
        <v>0.6</v>
      </c>
      <c r="D83" s="98">
        <v>0.875</v>
      </c>
      <c r="E83" s="2" t="s">
        <v>56</v>
      </c>
      <c r="F83" s="9">
        <v>15</v>
      </c>
      <c r="G83" s="63"/>
      <c r="H83" s="9">
        <f>+Harvest!H83/Effort!H83</f>
        <v>15</v>
      </c>
      <c r="I83" s="63"/>
      <c r="J83" s="8" t="s">
        <v>11</v>
      </c>
      <c r="L83" s="155">
        <f>+Harvest!L83/Effort!L83</f>
        <v>15.000000000000002</v>
      </c>
      <c r="N83" s="8" t="s">
        <v>11</v>
      </c>
    </row>
    <row r="84" spans="1:14" x14ac:dyDescent="0.25">
      <c r="A84" s="4"/>
      <c r="B84" s="5"/>
      <c r="C84" s="13"/>
      <c r="D84" s="98"/>
      <c r="F84" s="9"/>
      <c r="G84" s="63"/>
      <c r="H84" s="9"/>
      <c r="I84" s="63"/>
      <c r="J84" s="9"/>
      <c r="K84" s="63"/>
      <c r="L84" s="9"/>
      <c r="M84" s="63"/>
      <c r="N84" s="8"/>
    </row>
    <row r="85" spans="1:14" x14ac:dyDescent="0.25">
      <c r="A85" s="4">
        <v>42065</v>
      </c>
      <c r="B85" s="5">
        <f t="shared" ref="B85:B88" si="9">+A85</f>
        <v>42065</v>
      </c>
      <c r="C85" s="136">
        <v>0.5</v>
      </c>
      <c r="D85" s="135">
        <v>0.7006944444444444</v>
      </c>
      <c r="E85" s="2"/>
      <c r="F85" s="9">
        <f>+Harvest!F85/Effort!F85</f>
        <v>15.000000000000002</v>
      </c>
      <c r="G85" s="63"/>
      <c r="H85" s="9">
        <f>+Harvest!H85/Effort!H85</f>
        <v>15</v>
      </c>
      <c r="I85" s="63"/>
      <c r="J85" s="8" t="s">
        <v>11</v>
      </c>
      <c r="L85" s="8" t="s">
        <v>11</v>
      </c>
      <c r="N85" s="8" t="s">
        <v>11</v>
      </c>
    </row>
    <row r="86" spans="1:14" x14ac:dyDescent="0.25">
      <c r="A86" s="4">
        <v>42066</v>
      </c>
      <c r="B86" s="5">
        <f t="shared" si="9"/>
        <v>42066</v>
      </c>
      <c r="C86" s="136">
        <v>0.4</v>
      </c>
      <c r="D86" s="135">
        <v>0.72638888888888886</v>
      </c>
      <c r="F86" s="9">
        <f>+Harvest!F86/Effort!F86</f>
        <v>15</v>
      </c>
      <c r="G86" s="2" t="s">
        <v>56</v>
      </c>
      <c r="H86" s="9">
        <v>15</v>
      </c>
      <c r="I86" s="63"/>
      <c r="J86" s="8" t="s">
        <v>11</v>
      </c>
      <c r="L86" s="8" t="s">
        <v>11</v>
      </c>
      <c r="N86" s="8" t="s">
        <v>11</v>
      </c>
    </row>
    <row r="87" spans="1:14" x14ac:dyDescent="0.25">
      <c r="A87" s="4">
        <v>42067</v>
      </c>
      <c r="B87" s="5">
        <f t="shared" si="9"/>
        <v>42067</v>
      </c>
      <c r="C87" s="136">
        <v>0.4</v>
      </c>
      <c r="D87" s="135">
        <v>0.74930555555555556</v>
      </c>
      <c r="E87" s="2" t="s">
        <v>56</v>
      </c>
      <c r="F87" s="9">
        <v>15</v>
      </c>
      <c r="G87" s="63"/>
      <c r="H87" s="9">
        <v>15</v>
      </c>
      <c r="I87" s="63"/>
      <c r="J87" s="8" t="s">
        <v>11</v>
      </c>
      <c r="L87" s="8" t="s">
        <v>11</v>
      </c>
      <c r="N87" s="8" t="s">
        <v>11</v>
      </c>
    </row>
    <row r="88" spans="1:14" x14ac:dyDescent="0.25">
      <c r="A88" s="4">
        <v>42068</v>
      </c>
      <c r="B88" s="5">
        <f t="shared" si="9"/>
        <v>42068</v>
      </c>
      <c r="C88" s="136">
        <v>0.5</v>
      </c>
      <c r="D88" s="135">
        <v>0.77083333333333337</v>
      </c>
      <c r="F88" s="9">
        <f>+Harvest!F88/Effort!F88</f>
        <v>15</v>
      </c>
      <c r="G88" s="2" t="s">
        <v>56</v>
      </c>
      <c r="H88" s="9">
        <v>15</v>
      </c>
      <c r="I88" s="63"/>
      <c r="J88" s="8" t="s">
        <v>11</v>
      </c>
      <c r="L88" s="8" t="s">
        <v>11</v>
      </c>
      <c r="N88" s="8" t="s">
        <v>11</v>
      </c>
    </row>
    <row r="89" spans="1:14" x14ac:dyDescent="0.25">
      <c r="A89" s="4"/>
      <c r="B89" s="5"/>
      <c r="C89" s="13"/>
      <c r="D89" s="98"/>
      <c r="F89" s="9"/>
      <c r="G89" s="63"/>
      <c r="H89" s="9"/>
      <c r="I89" s="63"/>
      <c r="J89" s="9"/>
      <c r="K89" s="63"/>
      <c r="L89" s="9"/>
      <c r="M89" s="63"/>
      <c r="N89" s="8"/>
    </row>
    <row r="90" spans="1:14" x14ac:dyDescent="0.25">
      <c r="A90" s="4">
        <v>42079</v>
      </c>
      <c r="B90" s="5">
        <v>42079</v>
      </c>
      <c r="C90" s="13">
        <v>0.3</v>
      </c>
      <c r="D90" s="98">
        <v>0.67708333333333337</v>
      </c>
      <c r="F90" s="9">
        <v>15</v>
      </c>
      <c r="G90" s="63"/>
      <c r="H90" s="9">
        <f>+Harvest!H90/Effort!H90</f>
        <v>15</v>
      </c>
      <c r="I90" s="63"/>
      <c r="J90" s="8" t="s">
        <v>11</v>
      </c>
      <c r="L90" s="8" t="s">
        <v>11</v>
      </c>
      <c r="N90" s="8" t="s">
        <v>11</v>
      </c>
    </row>
    <row r="91" spans="1:14" x14ac:dyDescent="0.25">
      <c r="A91" s="4">
        <v>42080</v>
      </c>
      <c r="B91" s="5">
        <v>42080</v>
      </c>
      <c r="C91" s="13">
        <v>-0.2</v>
      </c>
      <c r="D91" s="98">
        <v>0.71388888888888891</v>
      </c>
      <c r="F91" s="9">
        <f>+Harvest!F91/Effort!F91</f>
        <v>15.019607843137255</v>
      </c>
      <c r="G91" s="63"/>
      <c r="H91" s="9">
        <f>+Harvest!H91/Effort!H91</f>
        <v>14.502525456595169</v>
      </c>
      <c r="I91" s="63"/>
      <c r="J91" s="8" t="s">
        <v>11</v>
      </c>
      <c r="L91" s="8" t="s">
        <v>11</v>
      </c>
      <c r="N91" s="8" t="s">
        <v>11</v>
      </c>
    </row>
    <row r="92" spans="1:14" x14ac:dyDescent="0.25">
      <c r="A92" s="4">
        <v>42081</v>
      </c>
      <c r="B92" s="5">
        <v>42081</v>
      </c>
      <c r="C92" s="13">
        <v>-0.5</v>
      </c>
      <c r="D92" s="98">
        <v>0.74791666666666667</v>
      </c>
      <c r="F92" s="9">
        <f>+Harvest!F92/Effort!F92</f>
        <v>15.000000000000002</v>
      </c>
      <c r="G92" s="63"/>
      <c r="H92" s="9">
        <f>+Harvest!H92/Effort!H92</f>
        <v>14.483592655737997</v>
      </c>
      <c r="I92" s="63"/>
      <c r="J92" s="8" t="s">
        <v>11</v>
      </c>
      <c r="L92" s="8" t="s">
        <v>11</v>
      </c>
      <c r="N92" s="8" t="s">
        <v>11</v>
      </c>
    </row>
    <row r="93" spans="1:14" x14ac:dyDescent="0.25">
      <c r="A93" s="4">
        <v>42082</v>
      </c>
      <c r="B93" s="5">
        <v>42082</v>
      </c>
      <c r="C93" s="13">
        <v>-0.5</v>
      </c>
      <c r="D93" s="98">
        <v>0.77916666666666667</v>
      </c>
      <c r="F93" s="9">
        <f>+Harvest!F93/Effort!F93</f>
        <v>15.000000000000002</v>
      </c>
      <c r="G93" s="63"/>
      <c r="H93" s="9">
        <f>+Harvest!H93/Effort!H93</f>
        <v>14.483592655737997</v>
      </c>
      <c r="I93" s="63"/>
      <c r="J93" s="8" t="s">
        <v>11</v>
      </c>
      <c r="L93" s="8" t="s">
        <v>11</v>
      </c>
      <c r="N93" s="8" t="s">
        <v>11</v>
      </c>
    </row>
    <row r="94" spans="1:14" x14ac:dyDescent="0.25">
      <c r="A94" s="4">
        <v>42083</v>
      </c>
      <c r="B94" s="5">
        <v>42083</v>
      </c>
      <c r="C94" s="13">
        <v>-0.4</v>
      </c>
      <c r="D94" s="98">
        <v>0.80972222222222223</v>
      </c>
      <c r="E94" s="2"/>
      <c r="F94" s="9">
        <f>+Harvest!F94/Effort!F94</f>
        <v>12.859574780708259</v>
      </c>
      <c r="G94" s="63"/>
      <c r="H94" s="9">
        <f>+Harvest!H94/Effort!H94</f>
        <v>12.427993491690158</v>
      </c>
      <c r="I94" s="63"/>
      <c r="J94" s="155">
        <f>+Harvest!J94/Effort!J94</f>
        <v>13.820224719101123</v>
      </c>
      <c r="L94" s="155">
        <f>+Harvest!L94/Effort!L94</f>
        <v>13.022222222222224</v>
      </c>
      <c r="N94" s="8" t="s">
        <v>11</v>
      </c>
    </row>
    <row r="95" spans="1:14" x14ac:dyDescent="0.25">
      <c r="A95" s="4">
        <v>42084</v>
      </c>
      <c r="B95" s="5">
        <v>42084</v>
      </c>
      <c r="C95" s="13">
        <v>-0.5</v>
      </c>
      <c r="D95" s="98">
        <v>0.3298611111111111</v>
      </c>
      <c r="E95" s="2"/>
      <c r="F95" s="9">
        <f>+Harvest!F95/Effort!F95</f>
        <v>14.999999999999998</v>
      </c>
      <c r="G95" s="63"/>
      <c r="H95" s="9">
        <f>+Harvest!H95/Effort!H95</f>
        <v>11.248120300751882</v>
      </c>
      <c r="I95" s="63"/>
      <c r="J95" s="155">
        <f>+Harvest!J95/Effort!J95</f>
        <v>13.914285714285718</v>
      </c>
      <c r="L95" s="155">
        <f>+Harvest!L95/Effort!L95</f>
        <v>15</v>
      </c>
      <c r="N95" s="8" t="s">
        <v>11</v>
      </c>
    </row>
    <row r="96" spans="1:14" x14ac:dyDescent="0.25">
      <c r="A96" s="4">
        <v>42085</v>
      </c>
      <c r="B96" s="5">
        <v>42085</v>
      </c>
      <c r="C96" s="13">
        <v>-0.7</v>
      </c>
      <c r="D96" s="98">
        <v>0.36249999999999999</v>
      </c>
      <c r="E96" s="2"/>
      <c r="F96" s="9">
        <f>+Harvest!F96/Effort!F96</f>
        <v>15</v>
      </c>
      <c r="G96" s="63"/>
      <c r="H96" s="9">
        <f>+Harvest!H96/Effort!H96</f>
        <v>13.983721818443966</v>
      </c>
      <c r="I96" s="63"/>
      <c r="J96" s="155">
        <f>+Harvest!J96/Effort!J96</f>
        <v>14.6</v>
      </c>
      <c r="L96" s="155">
        <f>+Harvest!L96/Effort!L96</f>
        <v>14.75806451612903</v>
      </c>
      <c r="N96" s="8" t="s">
        <v>11</v>
      </c>
    </row>
    <row r="97" spans="1:14" x14ac:dyDescent="0.25">
      <c r="A97" s="4">
        <v>42086</v>
      </c>
      <c r="B97" s="5">
        <v>42086</v>
      </c>
      <c r="C97" s="13">
        <v>-0.6</v>
      </c>
      <c r="D97" s="98">
        <v>0.39652777777777776</v>
      </c>
      <c r="E97" s="2"/>
      <c r="F97" s="9">
        <f>+Harvest!F97/Effort!F97</f>
        <v>12.314438682240398</v>
      </c>
      <c r="G97" s="63"/>
      <c r="H97" s="9">
        <f>+Harvest!H97/Effort!H97</f>
        <v>11.844827586206897</v>
      </c>
      <c r="I97" s="63"/>
      <c r="J97" s="8" t="s">
        <v>11</v>
      </c>
      <c r="L97" s="8" t="s">
        <v>11</v>
      </c>
      <c r="N97" s="8" t="s">
        <v>11</v>
      </c>
    </row>
    <row r="98" spans="1:14" x14ac:dyDescent="0.25">
      <c r="A98" s="4">
        <v>42087</v>
      </c>
      <c r="B98" s="5">
        <v>42087</v>
      </c>
      <c r="C98" s="13">
        <v>-0.3</v>
      </c>
      <c r="D98" s="98">
        <v>0.43125000000000002</v>
      </c>
      <c r="E98" s="2"/>
      <c r="F98" s="9">
        <f>+Harvest!F98/Effort!F98</f>
        <v>14.941176470588236</v>
      </c>
      <c r="G98" s="63"/>
      <c r="H98" s="9">
        <f>+Harvest!H98/Effort!H98</f>
        <v>14.426794253166474</v>
      </c>
      <c r="I98" s="63"/>
      <c r="J98" s="8" t="s">
        <v>11</v>
      </c>
      <c r="L98" s="8" t="s">
        <v>11</v>
      </c>
      <c r="N98" s="8" t="s">
        <v>11</v>
      </c>
    </row>
    <row r="99" spans="1:14" x14ac:dyDescent="0.25">
      <c r="A99" s="4"/>
      <c r="B99" s="105"/>
      <c r="C99" s="13"/>
      <c r="D99" s="98"/>
      <c r="E99" s="2"/>
      <c r="F99" s="9"/>
      <c r="G99" s="63"/>
      <c r="H99" s="9"/>
      <c r="I99" s="63"/>
      <c r="J99" s="9"/>
      <c r="L99" s="9"/>
      <c r="N99" s="1"/>
    </row>
    <row r="100" spans="1:14" x14ac:dyDescent="0.25">
      <c r="A100" s="4">
        <v>42098</v>
      </c>
      <c r="B100" s="105">
        <f t="shared" ref="B100:B106" si="10">+A100</f>
        <v>42098</v>
      </c>
      <c r="C100" s="13">
        <v>0.6</v>
      </c>
      <c r="D100" s="98">
        <v>0.30763888888888891</v>
      </c>
      <c r="E100" s="2"/>
      <c r="F100" s="9">
        <f>+Harvest!F100/Effort!F100</f>
        <v>15.000000000000002</v>
      </c>
      <c r="G100" s="63"/>
      <c r="H100" s="9">
        <f>+Harvest!H100/Effort!H100</f>
        <v>13.153846153846153</v>
      </c>
      <c r="I100" s="63"/>
      <c r="J100" s="155">
        <f>+Harvest!J100/Effort!J100</f>
        <v>7.5573770491803289</v>
      </c>
      <c r="L100" s="155">
        <f>+Harvest!L100/Effort!L100</f>
        <v>13.278688524590164</v>
      </c>
      <c r="M100" s="63"/>
      <c r="N100" s="8" t="s">
        <v>11</v>
      </c>
    </row>
    <row r="101" spans="1:14" x14ac:dyDescent="0.25">
      <c r="A101" s="4">
        <v>42099</v>
      </c>
      <c r="B101" s="105">
        <f t="shared" si="10"/>
        <v>42099</v>
      </c>
      <c r="C101" s="13">
        <v>0.3</v>
      </c>
      <c r="D101" s="98">
        <v>0.33124999999999999</v>
      </c>
      <c r="E101"/>
      <c r="F101" s="9">
        <f>+H101</f>
        <v>15.023809523809524</v>
      </c>
      <c r="G101" s="63"/>
      <c r="H101" s="9">
        <f>+Harvest!H101/Effort!H101</f>
        <v>15.023809523809524</v>
      </c>
      <c r="J101" s="155">
        <f>+Harvest!J101/Effort!J101</f>
        <v>15.035087719298245</v>
      </c>
      <c r="L101" s="155">
        <f>+Harvest!L101/Effort!L101</f>
        <v>14.820512820512819</v>
      </c>
      <c r="N101" s="8" t="s">
        <v>11</v>
      </c>
    </row>
    <row r="102" spans="1:14" x14ac:dyDescent="0.25">
      <c r="A102" s="4">
        <v>42100</v>
      </c>
      <c r="B102" s="105">
        <f t="shared" si="10"/>
        <v>42100</v>
      </c>
      <c r="C102" s="13">
        <v>0.1</v>
      </c>
      <c r="D102" s="98">
        <v>0.35555555555555557</v>
      </c>
      <c r="E102"/>
      <c r="F102" s="9">
        <f>+Harvest!F102/Effort!F102</f>
        <v>14.705882352941178</v>
      </c>
      <c r="G102" s="63"/>
      <c r="H102" s="9">
        <f>+Harvest!H102/Effort!H102</f>
        <v>12.999999999999998</v>
      </c>
      <c r="J102" s="8" t="s">
        <v>11</v>
      </c>
      <c r="L102" s="8" t="s">
        <v>11</v>
      </c>
      <c r="N102" s="8" t="s">
        <v>11</v>
      </c>
    </row>
    <row r="103" spans="1:14" x14ac:dyDescent="0.25">
      <c r="A103" s="4">
        <v>42101</v>
      </c>
      <c r="B103" s="105">
        <f t="shared" si="10"/>
        <v>42101</v>
      </c>
      <c r="C103" s="13">
        <v>0.1</v>
      </c>
      <c r="D103" s="98">
        <v>0.38124999999999998</v>
      </c>
      <c r="E103"/>
      <c r="F103" s="9">
        <f>+H103</f>
        <v>15</v>
      </c>
      <c r="G103" s="63"/>
      <c r="H103" s="9">
        <f>+Harvest!H103/Effort!H103</f>
        <v>15</v>
      </c>
      <c r="J103" s="8" t="s">
        <v>11</v>
      </c>
      <c r="L103" s="8" t="s">
        <v>11</v>
      </c>
      <c r="N103" s="8" t="s">
        <v>11</v>
      </c>
    </row>
    <row r="104" spans="1:14" x14ac:dyDescent="0.25">
      <c r="A104" s="4">
        <v>42102</v>
      </c>
      <c r="B104" s="105">
        <f t="shared" si="10"/>
        <v>42102</v>
      </c>
      <c r="C104" s="13">
        <v>0.1</v>
      </c>
      <c r="D104" s="98">
        <v>0.40833333333333333</v>
      </c>
      <c r="E104"/>
      <c r="F104" s="9">
        <f>+Harvest!F104/Effort!F104</f>
        <v>14.82558139534884</v>
      </c>
      <c r="G104" s="63"/>
      <c r="H104" s="9">
        <f>+Harvest!H104/Effort!H104</f>
        <v>14.847058823529411</v>
      </c>
      <c r="J104" s="8" t="s">
        <v>11</v>
      </c>
      <c r="L104" s="8" t="s">
        <v>11</v>
      </c>
      <c r="N104" s="8" t="s">
        <v>11</v>
      </c>
    </row>
    <row r="105" spans="1:14" x14ac:dyDescent="0.25">
      <c r="A105" s="4">
        <v>42103</v>
      </c>
      <c r="B105" s="105">
        <f t="shared" si="10"/>
        <v>42103</v>
      </c>
      <c r="C105" s="13">
        <v>0.2</v>
      </c>
      <c r="D105" s="98">
        <v>0.43888888888888888</v>
      </c>
      <c r="E105"/>
      <c r="F105" s="9">
        <f>+H105</f>
        <v>15</v>
      </c>
      <c r="G105" s="63"/>
      <c r="H105" s="9">
        <f>+Harvest!H105/Effort!H105</f>
        <v>15</v>
      </c>
      <c r="J105" s="8" t="s">
        <v>11</v>
      </c>
      <c r="L105" s="8" t="s">
        <v>11</v>
      </c>
      <c r="N105" s="8" t="s">
        <v>11</v>
      </c>
    </row>
    <row r="106" spans="1:14" x14ac:dyDescent="0.25">
      <c r="A106" s="4">
        <v>42104</v>
      </c>
      <c r="B106" s="105">
        <f t="shared" si="10"/>
        <v>42104</v>
      </c>
      <c r="C106" s="13">
        <v>0.4</v>
      </c>
      <c r="D106" s="98">
        <v>0.47430555555555554</v>
      </c>
      <c r="E106"/>
      <c r="F106" s="9">
        <f>+Harvest!F106/Effort!F106</f>
        <v>14.074074074074073</v>
      </c>
      <c r="G106" s="63"/>
      <c r="H106" s="9"/>
      <c r="J106" s="8" t="s">
        <v>11</v>
      </c>
      <c r="L106" s="8" t="s">
        <v>11</v>
      </c>
      <c r="N106" s="8" t="s">
        <v>11</v>
      </c>
    </row>
    <row r="107" spans="1:14" x14ac:dyDescent="0.25">
      <c r="A107" s="4"/>
      <c r="B107" s="105"/>
      <c r="C107" s="13"/>
      <c r="D107" s="98"/>
      <c r="E107"/>
      <c r="F107" s="9"/>
      <c r="G107" s="63"/>
      <c r="H107" s="9"/>
      <c r="J107" s="1"/>
      <c r="L107" s="9"/>
      <c r="N107" s="1"/>
    </row>
    <row r="108" spans="1:14" x14ac:dyDescent="0.25">
      <c r="A108" s="4">
        <v>42111</v>
      </c>
      <c r="B108" s="105">
        <f t="shared" ref="B108:B115" si="11">+A108</f>
        <v>42111</v>
      </c>
      <c r="C108" s="13">
        <v>-0.2</v>
      </c>
      <c r="D108" s="98">
        <v>0.25208333333333333</v>
      </c>
      <c r="E108"/>
      <c r="F108" s="9">
        <f>+Harvest!F108/Effort!F108</f>
        <v>9.0428571428571409</v>
      </c>
      <c r="G108" s="63"/>
      <c r="H108" s="9">
        <f>+Harvest!H108/Effort!H108</f>
        <v>10.083333333333332</v>
      </c>
      <c r="J108" s="8" t="s">
        <v>11</v>
      </c>
      <c r="L108" s="155">
        <f>+Harvest!L108/Effort!L108</f>
        <v>13.854545454545455</v>
      </c>
      <c r="N108" s="8" t="s">
        <v>11</v>
      </c>
    </row>
    <row r="109" spans="1:14" x14ac:dyDescent="0.25">
      <c r="A109" s="4">
        <v>42112</v>
      </c>
      <c r="B109" s="105">
        <f t="shared" si="11"/>
        <v>42112</v>
      </c>
      <c r="C109" s="13">
        <v>-0.9</v>
      </c>
      <c r="D109" s="98">
        <v>0.28611111111111109</v>
      </c>
      <c r="E109"/>
      <c r="F109" s="9">
        <f>+Harvest!F109/Effort!F109</f>
        <v>15</v>
      </c>
      <c r="H109" s="9">
        <f>+Harvest!H109/Effort!H109</f>
        <v>14.701030927835049</v>
      </c>
      <c r="J109" s="155">
        <f>+Harvest!J109/Effort!J109</f>
        <v>15</v>
      </c>
      <c r="L109" s="155">
        <f>+Harvest!L109/Effort!L109</f>
        <v>15</v>
      </c>
      <c r="N109" s="8" t="s">
        <v>11</v>
      </c>
    </row>
    <row r="110" spans="1:14" x14ac:dyDescent="0.25">
      <c r="A110" s="4">
        <v>42113</v>
      </c>
      <c r="B110" s="105">
        <f t="shared" si="11"/>
        <v>42113</v>
      </c>
      <c r="C110" s="13">
        <v>-1.3</v>
      </c>
      <c r="D110" s="98">
        <v>0.31874999999999998</v>
      </c>
      <c r="E110"/>
      <c r="F110" s="9">
        <f>+Harvest!F110/Effort!F110</f>
        <v>14.999999999999996</v>
      </c>
      <c r="G110" s="63"/>
      <c r="H110" s="9">
        <f>+Harvest!H110/Effort!H110</f>
        <v>14.999999999999998</v>
      </c>
      <c r="J110" s="155">
        <f>+Harvest!J110/Effort!J110</f>
        <v>15.000000000000002</v>
      </c>
      <c r="L110" s="155">
        <f>+Harvest!L110/Effort!L110</f>
        <v>15</v>
      </c>
      <c r="N110" s="8" t="s">
        <v>11</v>
      </c>
    </row>
    <row r="111" spans="1:14" x14ac:dyDescent="0.25">
      <c r="A111" s="4">
        <v>42114</v>
      </c>
      <c r="B111" s="105">
        <f t="shared" si="11"/>
        <v>42114</v>
      </c>
      <c r="C111" s="13">
        <v>-1.5</v>
      </c>
      <c r="D111" s="98">
        <v>0.35069444444444442</v>
      </c>
      <c r="E111"/>
      <c r="F111" s="9">
        <f>+Harvest!F111/Effort!F111</f>
        <v>14.428571428571432</v>
      </c>
      <c r="G111" s="63"/>
      <c r="H111" s="9">
        <f>+Harvest!H111/Effort!H111</f>
        <v>12.619999999999997</v>
      </c>
      <c r="J111" s="8" t="s">
        <v>11</v>
      </c>
      <c r="L111" s="8" t="s">
        <v>11</v>
      </c>
      <c r="N111" s="8" t="s">
        <v>11</v>
      </c>
    </row>
    <row r="112" spans="1:14" x14ac:dyDescent="0.25">
      <c r="A112" s="4">
        <v>42115</v>
      </c>
      <c r="B112" s="105">
        <f t="shared" si="11"/>
        <v>42115</v>
      </c>
      <c r="C112" s="13">
        <v>-1.3</v>
      </c>
      <c r="D112" s="98">
        <v>0.38263888888888886</v>
      </c>
      <c r="E112"/>
      <c r="F112" s="9">
        <f>+Harvest!F112/Effort!F112</f>
        <v>15.000000000000002</v>
      </c>
      <c r="G112" s="63"/>
      <c r="H112" s="9">
        <f>+Harvest!H112/Effort!H112</f>
        <v>14.214285714285717</v>
      </c>
      <c r="J112" s="8" t="s">
        <v>11</v>
      </c>
      <c r="L112" s="8" t="s">
        <v>11</v>
      </c>
      <c r="N112" s="8" t="s">
        <v>11</v>
      </c>
    </row>
    <row r="113" spans="1:14" x14ac:dyDescent="0.25">
      <c r="A113" s="4">
        <v>42116</v>
      </c>
      <c r="B113" s="105">
        <f t="shared" si="11"/>
        <v>42116</v>
      </c>
      <c r="C113" s="13">
        <v>-0.9</v>
      </c>
      <c r="D113" s="98">
        <v>0.41458333333333336</v>
      </c>
      <c r="E113"/>
      <c r="F113" s="9">
        <f>+Harvest!F113/Effort!F113</f>
        <v>15</v>
      </c>
      <c r="G113" s="63"/>
      <c r="H113" s="9">
        <f>+Harvest!H113/Effort!H113</f>
        <v>13.795918367346939</v>
      </c>
      <c r="J113" s="8" t="s">
        <v>11</v>
      </c>
      <c r="L113" s="8" t="s">
        <v>11</v>
      </c>
      <c r="N113" s="8" t="s">
        <v>11</v>
      </c>
    </row>
    <row r="114" spans="1:14" x14ac:dyDescent="0.25">
      <c r="A114" s="4">
        <v>42117</v>
      </c>
      <c r="B114" s="105">
        <f t="shared" si="11"/>
        <v>42117</v>
      </c>
      <c r="C114" s="13">
        <v>-0.4</v>
      </c>
      <c r="D114" s="98">
        <v>0.44861111111111113</v>
      </c>
      <c r="E114"/>
      <c r="F114" s="9">
        <f>+Harvest!F114/Effort!F114</f>
        <v>14.820512820512821</v>
      </c>
      <c r="G114" s="63"/>
      <c r="H114" s="9">
        <f>+Harvest!H114/Effort!H114</f>
        <v>12.314285714285715</v>
      </c>
      <c r="J114" s="8" t="s">
        <v>11</v>
      </c>
      <c r="L114" s="8" t="s">
        <v>11</v>
      </c>
      <c r="N114" s="8" t="s">
        <v>11</v>
      </c>
    </row>
    <row r="115" spans="1:14" x14ac:dyDescent="0.25">
      <c r="A115" s="4">
        <v>42118</v>
      </c>
      <c r="B115" s="105">
        <f t="shared" si="11"/>
        <v>42118</v>
      </c>
      <c r="C115" s="13">
        <v>0.2</v>
      </c>
      <c r="D115" s="98">
        <v>0.48472222222222222</v>
      </c>
      <c r="E115"/>
      <c r="F115" s="9">
        <f>+Harvest!F115/Effort!F115</f>
        <v>14.583333333333334</v>
      </c>
      <c r="G115" s="63"/>
      <c r="H115" s="9">
        <f>+Harvest!H115/Effort!H115</f>
        <v>15</v>
      </c>
      <c r="J115" s="8" t="s">
        <v>11</v>
      </c>
      <c r="L115" s="8" t="s">
        <v>11</v>
      </c>
      <c r="N115" s="8" t="s">
        <v>11</v>
      </c>
    </row>
    <row r="116" spans="1:14" x14ac:dyDescent="0.25">
      <c r="A116" s="4"/>
      <c r="B116" s="105"/>
      <c r="C116" s="13"/>
      <c r="D116" s="98"/>
      <c r="E116"/>
      <c r="F116" s="9"/>
      <c r="G116" s="63"/>
      <c r="H116" s="9"/>
      <c r="J116" s="1"/>
      <c r="L116" s="9"/>
      <c r="N116" s="1"/>
    </row>
    <row r="117" spans="1:14" x14ac:dyDescent="0.25">
      <c r="A117" s="4">
        <v>42126</v>
      </c>
      <c r="B117" s="105">
        <f t="shared" ref="B117:B118" si="12">+A117</f>
        <v>42126</v>
      </c>
      <c r="C117" s="13">
        <v>0.2</v>
      </c>
      <c r="D117" s="98">
        <v>0.26597222222222222</v>
      </c>
      <c r="E117"/>
      <c r="F117" s="9">
        <f>+Harvest!F117/Effort!F117</f>
        <v>15.000000000000002</v>
      </c>
      <c r="H117" s="9">
        <f>+Harvest!H117/Effort!H117</f>
        <v>15</v>
      </c>
      <c r="J117" s="8" t="s">
        <v>11</v>
      </c>
      <c r="L117" s="155">
        <f>+Harvest!L117/Effort!L117</f>
        <v>15.000000000000002</v>
      </c>
      <c r="N117" s="8" t="s">
        <v>11</v>
      </c>
    </row>
    <row r="118" spans="1:14" x14ac:dyDescent="0.25">
      <c r="A118" s="4">
        <v>42127</v>
      </c>
      <c r="B118" s="105">
        <f t="shared" si="12"/>
        <v>42127</v>
      </c>
      <c r="C118" s="13">
        <v>-0.3</v>
      </c>
      <c r="D118" s="98">
        <v>0.29097222222222224</v>
      </c>
      <c r="E118" s="2"/>
      <c r="F118" s="9">
        <f>+Harvest!F118/Effort!F118</f>
        <v>15</v>
      </c>
      <c r="G118" s="63"/>
      <c r="H118" s="9">
        <f>+Harvest!H118/Effort!H118</f>
        <v>15.000000000000002</v>
      </c>
      <c r="I118" s="63"/>
      <c r="J118" s="8" t="s">
        <v>11</v>
      </c>
      <c r="K118" s="63"/>
      <c r="L118" s="155">
        <f>+Harvest!L118/Effort!L118</f>
        <v>15</v>
      </c>
      <c r="M118" s="63"/>
      <c r="N118" s="8" t="s">
        <v>11</v>
      </c>
    </row>
    <row r="119" spans="1:14" x14ac:dyDescent="0.25">
      <c r="A119" s="4"/>
      <c r="B119" s="105"/>
      <c r="C119" s="13"/>
      <c r="D119" s="98"/>
      <c r="E119" s="2"/>
      <c r="F119" s="9"/>
      <c r="G119" s="63"/>
      <c r="H119" s="9"/>
      <c r="I119" s="63"/>
      <c r="J119" s="1"/>
      <c r="K119" s="63"/>
      <c r="L119" s="1"/>
      <c r="M119" s="63"/>
      <c r="N119" s="1"/>
    </row>
    <row r="120" spans="1:14" x14ac:dyDescent="0.25">
      <c r="A120" s="4">
        <v>42131</v>
      </c>
      <c r="B120" s="105">
        <f t="shared" ref="B120" si="13">+A120</f>
        <v>42131</v>
      </c>
      <c r="C120" s="136">
        <v>-0.8</v>
      </c>
      <c r="D120" s="135">
        <v>0.39583333333333331</v>
      </c>
      <c r="E120" s="2"/>
      <c r="F120" s="9"/>
      <c r="G120" s="63"/>
      <c r="H120" s="9"/>
      <c r="I120" s="63"/>
      <c r="J120" s="8" t="s">
        <v>11</v>
      </c>
      <c r="L120" s="8" t="s">
        <v>11</v>
      </c>
      <c r="N120" s="8" t="s">
        <v>11</v>
      </c>
    </row>
    <row r="121" spans="1:14" x14ac:dyDescent="0.25">
      <c r="A121" s="4"/>
      <c r="B121" s="105"/>
      <c r="C121" s="13"/>
      <c r="D121" s="98"/>
      <c r="E121" s="2"/>
      <c r="F121" s="9"/>
      <c r="G121" s="63"/>
      <c r="H121" s="9"/>
      <c r="J121" s="9"/>
      <c r="L121" s="9"/>
      <c r="M121" s="63"/>
      <c r="N121" s="1"/>
    </row>
    <row r="122" spans="1:14" x14ac:dyDescent="0.25">
      <c r="A122" s="4"/>
      <c r="B122" s="105"/>
      <c r="C122" s="13"/>
      <c r="D122" s="98"/>
      <c r="E122" s="2"/>
      <c r="F122" s="9"/>
      <c r="G122" s="63"/>
      <c r="H122" s="9"/>
      <c r="J122" s="9"/>
      <c r="L122" s="9"/>
      <c r="M122" s="63"/>
      <c r="N122" s="1"/>
    </row>
    <row r="123" spans="1:14" x14ac:dyDescent="0.25">
      <c r="A123" s="4"/>
      <c r="B123" s="105"/>
      <c r="C123" s="13"/>
      <c r="D123" s="98"/>
      <c r="E123" s="2"/>
      <c r="F123" s="9"/>
      <c r="G123" s="63"/>
      <c r="H123" s="9"/>
      <c r="J123" s="9"/>
      <c r="L123" s="9"/>
      <c r="M123" s="63"/>
      <c r="N123" s="1"/>
    </row>
    <row r="124" spans="1:14" x14ac:dyDescent="0.25">
      <c r="A124" s="4"/>
      <c r="B124" s="105"/>
      <c r="C124" s="13"/>
      <c r="D124" s="98"/>
      <c r="E124" s="2"/>
      <c r="F124" s="9"/>
      <c r="G124" s="63"/>
      <c r="H124" s="9"/>
      <c r="J124" s="9"/>
      <c r="K124" s="2"/>
      <c r="L124" s="9"/>
      <c r="M124" s="63"/>
      <c r="N124" s="1"/>
    </row>
    <row r="125" spans="1:14" x14ac:dyDescent="0.25">
      <c r="A125" s="53"/>
      <c r="B125" s="5"/>
      <c r="C125" s="58"/>
      <c r="D125" s="59"/>
      <c r="E125" s="2"/>
      <c r="F125" s="8"/>
      <c r="G125" s="63"/>
      <c r="H125" s="9"/>
      <c r="I125" s="63"/>
      <c r="J125" s="8"/>
      <c r="K125" s="63"/>
      <c r="L125" s="8"/>
      <c r="M125" s="63"/>
      <c r="N125" s="8"/>
    </row>
    <row r="126" spans="1:14" x14ac:dyDescent="0.25">
      <c r="A126" s="17" t="s">
        <v>19</v>
      </c>
      <c r="F126" s="43">
        <f>Harvest!F128/Effort!F126</f>
        <v>14.102702550955961</v>
      </c>
      <c r="H126" s="43">
        <f>Harvest!H128/Effort!H126</f>
        <v>13.698883377573257</v>
      </c>
      <c r="J126" s="43">
        <f>Harvest!J128/Effort!J126</f>
        <v>13.31526478509566</v>
      </c>
      <c r="L126" s="43">
        <f>Harvest!L128/Effort!L126</f>
        <v>13.936905605624251</v>
      </c>
      <c r="N126" s="43"/>
    </row>
    <row r="127" spans="1:14" x14ac:dyDescent="0.25">
      <c r="A127" s="16" t="s">
        <v>18</v>
      </c>
    </row>
  </sheetData>
  <mergeCells count="5">
    <mergeCell ref="E1:F1"/>
    <mergeCell ref="G1:H1"/>
    <mergeCell ref="I1:J1"/>
    <mergeCell ref="K1:L1"/>
    <mergeCell ref="M1:N1"/>
  </mergeCells>
  <pageMargins left="0.2" right="0.37" top="0.75" bottom="0.5" header="0.2" footer="0.25"/>
  <pageSetup scale="28" orientation="landscape" r:id="rId1"/>
  <headerFooter>
    <oddHeader>&amp;L&amp;12 2010 Fall / 2011 Spring Razor Clam Harvest Totals
&amp;"-,Italic"(Clams per Digger Trip)&amp;C&amp;12Non-Indian fishery&amp;R&amp;12&amp;KFF0000PRELIMINARY ESTIMATE</oddHeader>
    <oddFooter>&amp;LPage 2 of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W132"/>
  <sheetViews>
    <sheetView showRuler="0" zoomScaleNormal="100" workbookViewId="0">
      <selection activeCell="X5" sqref="X5"/>
    </sheetView>
  </sheetViews>
  <sheetFormatPr defaultRowHeight="15" x14ac:dyDescent="0.25"/>
  <cols>
    <col min="1" max="1" width="8" customWidth="1"/>
    <col min="2" max="2" width="4.5703125" bestFit="1" customWidth="1"/>
    <col min="3" max="3" width="4.5703125" customWidth="1"/>
    <col min="4" max="4" width="8.42578125" bestFit="1" customWidth="1"/>
    <col min="5" max="5" width="7.5703125" bestFit="1" customWidth="1"/>
    <col min="6" max="6" width="8.85546875" bestFit="1" customWidth="1"/>
    <col min="7" max="7" width="9.5703125" customWidth="1"/>
    <col min="8" max="8" width="7.42578125" bestFit="1" customWidth="1"/>
    <col min="9" max="9" width="8.85546875" bestFit="1" customWidth="1"/>
    <col min="10" max="10" width="7" customWidth="1"/>
    <col min="11" max="11" width="7.5703125" bestFit="1" customWidth="1"/>
    <col min="12" max="12" width="8.85546875" bestFit="1" customWidth="1"/>
    <col min="13" max="14" width="7.5703125" bestFit="1" customWidth="1"/>
    <col min="15" max="15" width="8.85546875" bestFit="1" customWidth="1"/>
    <col min="16" max="19" width="7.5703125" bestFit="1" customWidth="1"/>
  </cols>
  <sheetData>
    <row r="1" spans="1:21" ht="15.75" thickBot="1" x14ac:dyDescent="0.3">
      <c r="A1" s="144" t="s">
        <v>54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</row>
    <row r="2" spans="1:21" ht="15.75" thickTop="1" x14ac:dyDescent="0.25">
      <c r="A2" s="23"/>
      <c r="B2" s="23"/>
      <c r="C2" s="23"/>
      <c r="D2" s="23"/>
      <c r="E2" s="229" t="s">
        <v>20</v>
      </c>
      <c r="F2" s="230"/>
      <c r="G2" s="231"/>
      <c r="H2" s="229" t="s">
        <v>21</v>
      </c>
      <c r="I2" s="230"/>
      <c r="J2" s="231"/>
      <c r="K2" s="229" t="s">
        <v>22</v>
      </c>
      <c r="L2" s="230"/>
      <c r="M2" s="231"/>
      <c r="N2" s="229" t="s">
        <v>23</v>
      </c>
      <c r="O2" s="230"/>
      <c r="P2" s="231"/>
      <c r="Q2" s="232" t="s">
        <v>24</v>
      </c>
      <c r="R2" s="233"/>
      <c r="S2" s="234"/>
      <c r="T2" s="227" t="s">
        <v>25</v>
      </c>
      <c r="U2" s="228"/>
    </row>
    <row r="3" spans="1:21" ht="15.75" thickBot="1" x14ac:dyDescent="0.3">
      <c r="A3" s="24" t="s">
        <v>26</v>
      </c>
      <c r="B3" s="24" t="s">
        <v>27</v>
      </c>
      <c r="C3" s="24" t="s">
        <v>28</v>
      </c>
      <c r="D3" s="24" t="s">
        <v>29</v>
      </c>
      <c r="E3" s="25" t="s">
        <v>30</v>
      </c>
      <c r="F3" s="24" t="s">
        <v>31</v>
      </c>
      <c r="G3" s="24" t="s">
        <v>10</v>
      </c>
      <c r="H3" s="25" t="s">
        <v>30</v>
      </c>
      <c r="I3" s="24" t="s">
        <v>31</v>
      </c>
      <c r="J3" s="24" t="s">
        <v>10</v>
      </c>
      <c r="K3" s="25" t="s">
        <v>30</v>
      </c>
      <c r="L3" s="24" t="s">
        <v>31</v>
      </c>
      <c r="M3" s="24" t="s">
        <v>10</v>
      </c>
      <c r="N3" s="25" t="s">
        <v>30</v>
      </c>
      <c r="O3" s="24" t="s">
        <v>31</v>
      </c>
      <c r="P3" s="24" t="s">
        <v>10</v>
      </c>
      <c r="Q3" s="25" t="s">
        <v>30</v>
      </c>
      <c r="R3" s="24" t="s">
        <v>31</v>
      </c>
      <c r="S3" s="24" t="s">
        <v>10</v>
      </c>
      <c r="T3" s="25" t="s">
        <v>30</v>
      </c>
      <c r="U3" s="26" t="s">
        <v>31</v>
      </c>
    </row>
    <row r="4" spans="1:21" ht="15.75" thickTop="1" x14ac:dyDescent="0.25">
      <c r="A4" s="27">
        <v>41919</v>
      </c>
      <c r="B4" s="18">
        <f>+A4</f>
        <v>41919</v>
      </c>
      <c r="C4" s="19">
        <v>-0.5</v>
      </c>
      <c r="D4" s="20">
        <v>0.7680555555555556</v>
      </c>
      <c r="E4" s="30">
        <f>Effort!F2</f>
        <v>1633.334894064702</v>
      </c>
      <c r="F4" s="31">
        <f>Harvest!F2</f>
        <v>24500.023410970534</v>
      </c>
      <c r="G4" s="28">
        <f>CPUE!F2</f>
        <v>15.000000000000004</v>
      </c>
      <c r="H4" s="30">
        <f>Effort!H2</f>
        <v>1485.9239248612748</v>
      </c>
      <c r="I4" s="31">
        <f>Harvest!H2</f>
        <v>22288.858872919118</v>
      </c>
      <c r="J4" s="28">
        <f>CPUE!H2</f>
        <v>14.999999999999996</v>
      </c>
      <c r="K4" s="30" t="str">
        <f>Effort!J2</f>
        <v>CLOSED</v>
      </c>
      <c r="L4" s="31" t="str">
        <f>Harvest!J2</f>
        <v>CLOSED</v>
      </c>
      <c r="M4" s="28" t="str">
        <f>CPUE!J2</f>
        <v>CLOSED</v>
      </c>
      <c r="N4" s="30" t="str">
        <f>Effort!L2</f>
        <v>CLOSED</v>
      </c>
      <c r="O4" s="31" t="str">
        <f>Harvest!L2</f>
        <v>CLOSED</v>
      </c>
      <c r="P4" s="28" t="str">
        <f>CPUE!L2</f>
        <v>CLOSED</v>
      </c>
      <c r="Q4" s="30" t="str">
        <f>Effort!N2</f>
        <v>CLOSED</v>
      </c>
      <c r="R4" s="31" t="str">
        <f>Harvest!N2</f>
        <v>CLOSED</v>
      </c>
      <c r="S4" s="32" t="str">
        <f>CPUE!N2</f>
        <v>CLOSED</v>
      </c>
      <c r="T4" s="30">
        <f t="shared" ref="T4:U6" si="0">+E4+H4</f>
        <v>3119.2588189259768</v>
      </c>
      <c r="U4" s="31">
        <f t="shared" si="0"/>
        <v>46788.882283889652</v>
      </c>
    </row>
    <row r="5" spans="1:21" x14ac:dyDescent="0.25">
      <c r="A5" s="27">
        <v>41920</v>
      </c>
      <c r="B5" s="18">
        <f t="shared" ref="B5:B9" si="1">+A5</f>
        <v>41920</v>
      </c>
      <c r="C5" s="21">
        <v>-0.9</v>
      </c>
      <c r="D5" s="22">
        <v>0.80069444444444438</v>
      </c>
      <c r="E5" s="30">
        <f>Effort!F3</f>
        <v>1665.0138717503266</v>
      </c>
      <c r="F5" s="31">
        <f>Harvest!F3</f>
        <v>24526.935110783659</v>
      </c>
      <c r="G5" s="28">
        <f>CPUE!F3</f>
        <v>14.730769230769232</v>
      </c>
      <c r="H5" s="30">
        <f>Effort!H3</f>
        <v>1763.3462658369642</v>
      </c>
      <c r="I5" s="31">
        <f>Harvest!H3</f>
        <v>26450.193987554463</v>
      </c>
      <c r="J5" s="28">
        <f>CPUE!H3</f>
        <v>15</v>
      </c>
      <c r="K5" s="30" t="str">
        <f>Effort!J3</f>
        <v>CLOSED</v>
      </c>
      <c r="L5" s="31" t="str">
        <f>Harvest!J3</f>
        <v>CLOSED</v>
      </c>
      <c r="M5" s="28" t="str">
        <f>CPUE!J3</f>
        <v>CLOSED</v>
      </c>
      <c r="N5" s="30" t="str">
        <f>Effort!L3</f>
        <v>CLOSED</v>
      </c>
      <c r="O5" s="31" t="str">
        <f>Harvest!L3</f>
        <v>CLOSED</v>
      </c>
      <c r="P5" s="28" t="str">
        <f>CPUE!L3</f>
        <v>CLOSED</v>
      </c>
      <c r="Q5" s="30" t="str">
        <f>Effort!N3</f>
        <v>CLOSED</v>
      </c>
      <c r="R5" s="31" t="str">
        <f>Harvest!N3</f>
        <v>CLOSED</v>
      </c>
      <c r="S5" s="32" t="str">
        <f>CPUE!N3</f>
        <v>CLOSED</v>
      </c>
      <c r="T5" s="30">
        <f t="shared" si="0"/>
        <v>3428.3601375872909</v>
      </c>
      <c r="U5" s="31">
        <f t="shared" si="0"/>
        <v>50977.129098338119</v>
      </c>
    </row>
    <row r="6" spans="1:21" x14ac:dyDescent="0.25">
      <c r="A6" s="37">
        <v>41921</v>
      </c>
      <c r="B6" s="18">
        <f t="shared" si="1"/>
        <v>41921</v>
      </c>
      <c r="C6" s="28">
        <v>-1.1000000000000001</v>
      </c>
      <c r="D6" s="29">
        <v>0.83194444444444438</v>
      </c>
      <c r="E6" s="30">
        <f>Effort!F4</f>
        <v>1725.9979158122248</v>
      </c>
      <c r="F6" s="38">
        <f>Harvest!F4</f>
        <v>25889.968737183372</v>
      </c>
      <c r="G6" s="36">
        <f>CPUE!F4</f>
        <v>15</v>
      </c>
      <c r="H6" s="30">
        <f>Effort!H4</f>
        <v>1310.4622683220987</v>
      </c>
      <c r="I6" s="38">
        <f>Harvest!H4</f>
        <v>17842.447807154727</v>
      </c>
      <c r="J6" s="36">
        <f>CPUE!H4</f>
        <v>13.615384615384615</v>
      </c>
      <c r="K6" s="30" t="str">
        <f>Effort!J4</f>
        <v>CLOSED</v>
      </c>
      <c r="L6" s="38" t="str">
        <f>Harvest!J4</f>
        <v>CLOSED</v>
      </c>
      <c r="M6" s="36" t="str">
        <f>CPUE!J4</f>
        <v>CLOSED</v>
      </c>
      <c r="N6" s="30" t="str">
        <f>Effort!L4</f>
        <v>CLOSED</v>
      </c>
      <c r="O6" s="38" t="str">
        <f>Harvest!L4</f>
        <v>CLOSED</v>
      </c>
      <c r="P6" s="36" t="str">
        <f>CPUE!L4</f>
        <v>CLOSED</v>
      </c>
      <c r="Q6" s="30" t="str">
        <f>Effort!N4</f>
        <v>CLOSED</v>
      </c>
      <c r="R6" s="38" t="str">
        <f>Harvest!N4</f>
        <v>CLOSED</v>
      </c>
      <c r="S6" s="36" t="str">
        <f>CPUE!N4</f>
        <v>CLOSED</v>
      </c>
      <c r="T6" s="30">
        <f t="shared" si="0"/>
        <v>3036.4601841343238</v>
      </c>
      <c r="U6" s="38">
        <f t="shared" si="0"/>
        <v>43732.416544338099</v>
      </c>
    </row>
    <row r="7" spans="1:21" x14ac:dyDescent="0.25">
      <c r="A7" s="37">
        <v>41922</v>
      </c>
      <c r="B7" s="18">
        <f t="shared" si="1"/>
        <v>41922</v>
      </c>
      <c r="C7" s="28">
        <v>-1.1000000000000001</v>
      </c>
      <c r="D7" s="29">
        <v>0.86319444444444438</v>
      </c>
      <c r="E7" s="30">
        <f>Effort!F5</f>
        <v>2633.4004361845891</v>
      </c>
      <c r="F7" s="38">
        <f>Harvest!F5</f>
        <v>37783.571475691926</v>
      </c>
      <c r="G7" s="36">
        <f>CPUE!F5</f>
        <v>14.34782608695652</v>
      </c>
      <c r="H7" s="30">
        <f>Effort!H5</f>
        <v>2090.2265888449865</v>
      </c>
      <c r="I7" s="38">
        <f>Harvest!H5</f>
        <v>29946.515551721437</v>
      </c>
      <c r="J7" s="36">
        <f>CPUE!H5</f>
        <v>14.326923076923075</v>
      </c>
      <c r="K7" s="30" t="str">
        <f>Effort!J5</f>
        <v>CLOSED</v>
      </c>
      <c r="L7" s="38" t="str">
        <f>Harvest!J5</f>
        <v>CLOSED</v>
      </c>
      <c r="M7" s="36" t="str">
        <f>CPUE!J5</f>
        <v>CLOSED</v>
      </c>
      <c r="N7" s="30">
        <f>Effort!L5</f>
        <v>1222.3150974793125</v>
      </c>
      <c r="O7" s="38">
        <f>Harvest!L5</f>
        <v>16040.535048459285</v>
      </c>
      <c r="P7" s="36">
        <f>CPUE!L5</f>
        <v>13.123076923076923</v>
      </c>
      <c r="Q7" s="30" t="str">
        <f>Effort!N5</f>
        <v>CLOSED</v>
      </c>
      <c r="R7" s="38" t="str">
        <f>Harvest!N5</f>
        <v>CLOSED</v>
      </c>
      <c r="S7" s="36" t="str">
        <f>CPUE!N5</f>
        <v>CLOSED</v>
      </c>
      <c r="T7" s="30">
        <f>+E7+H7+N7</f>
        <v>5945.9421225088881</v>
      </c>
      <c r="U7" s="38">
        <f>+F7+I7+O7</f>
        <v>83770.622075872641</v>
      </c>
    </row>
    <row r="8" spans="1:21" x14ac:dyDescent="0.25">
      <c r="A8" s="37">
        <v>41923</v>
      </c>
      <c r="B8" s="18">
        <f t="shared" si="1"/>
        <v>41923</v>
      </c>
      <c r="C8" s="28">
        <v>-0.8</v>
      </c>
      <c r="D8" s="29">
        <v>0.89444444444444438</v>
      </c>
      <c r="E8" s="30">
        <f>Effort!F6</f>
        <v>1397.0056149197903</v>
      </c>
      <c r="F8" s="38">
        <f>Harvest!F6</f>
        <v>9249.1406229172298</v>
      </c>
      <c r="G8" s="36">
        <f>CPUE!F6</f>
        <v>6.6206896551724119</v>
      </c>
      <c r="H8" s="30">
        <f>Effort!H6</f>
        <v>484.01957354933973</v>
      </c>
      <c r="I8" s="38">
        <f>Harvest!H6</f>
        <v>4169.3615896969441</v>
      </c>
      <c r="J8" s="36">
        <f>CPUE!H6</f>
        <v>8.6140350877192979</v>
      </c>
      <c r="K8" s="30">
        <f>Effort!J6</f>
        <v>2205.5586036055502</v>
      </c>
      <c r="L8" s="38">
        <f>Harvest!J6</f>
        <v>8634.5272992217288</v>
      </c>
      <c r="M8" s="36">
        <f>CPUE!J6</f>
        <v>3.9148936170212769</v>
      </c>
      <c r="N8" s="30">
        <f>Effort!L6</f>
        <v>2126.2957375746932</v>
      </c>
      <c r="O8" s="38">
        <f>Harvest!L6</f>
        <v>24229.881660734882</v>
      </c>
      <c r="P8" s="36">
        <f>CPUE!L6</f>
        <v>11.395348837209305</v>
      </c>
      <c r="Q8" s="30" t="str">
        <f>Effort!N6</f>
        <v>CLOSED</v>
      </c>
      <c r="R8" s="38" t="str">
        <f>Harvest!N6</f>
        <v>CLOSED</v>
      </c>
      <c r="S8" s="36" t="str">
        <f>CPUE!N6</f>
        <v>CLOSED</v>
      </c>
      <c r="T8" s="30">
        <f>+E8+H8+K8+N8</f>
        <v>6212.8795296493736</v>
      </c>
      <c r="U8" s="38">
        <f>+F8+I8+L8+O8</f>
        <v>46282.911172570784</v>
      </c>
    </row>
    <row r="9" spans="1:21" x14ac:dyDescent="0.25">
      <c r="A9" s="37">
        <v>41924</v>
      </c>
      <c r="B9" s="18">
        <f t="shared" si="1"/>
        <v>41924</v>
      </c>
      <c r="C9" s="28">
        <v>-0.3</v>
      </c>
      <c r="D9" s="29">
        <v>0.92708333333333337</v>
      </c>
      <c r="E9" s="30">
        <f>Effort!F7</f>
        <v>635.04873692338663</v>
      </c>
      <c r="F9" s="38">
        <f>Harvest!F7</f>
        <v>8871.8219402153481</v>
      </c>
      <c r="G9" s="36">
        <f>CPUE!F7</f>
        <v>13.970300898788592</v>
      </c>
      <c r="H9" s="30">
        <f>Effort!H7</f>
        <v>504.06149284796561</v>
      </c>
      <c r="I9" s="38">
        <f>Harvest!H7</f>
        <v>7031.6315617672026</v>
      </c>
      <c r="J9" s="36">
        <f>CPUE!H7</f>
        <v>13.949947896313663</v>
      </c>
      <c r="K9" s="30" t="str">
        <f>Effort!J7</f>
        <v>CLOSED</v>
      </c>
      <c r="L9" s="38" t="str">
        <f>Harvest!J7</f>
        <v>CLOSED</v>
      </c>
      <c r="M9" s="36" t="str">
        <f>CPUE!J7</f>
        <v>CLOSED</v>
      </c>
      <c r="N9" s="30">
        <f>Effort!L7</f>
        <v>294.76324531231057</v>
      </c>
      <c r="O9" s="38">
        <f>Harvest!L7</f>
        <v>3766.4192456573023</v>
      </c>
      <c r="P9" s="36">
        <f>CPUE!L7</f>
        <v>12.77777777777778</v>
      </c>
      <c r="Q9" s="30" t="str">
        <f>Effort!N7</f>
        <v>CLOSED</v>
      </c>
      <c r="R9" s="38" t="str">
        <f>Harvest!N7</f>
        <v>CLOSED</v>
      </c>
      <c r="S9" s="36" t="str">
        <f>CPUE!N7</f>
        <v>CLOSED</v>
      </c>
      <c r="T9" s="30">
        <f>+E9+H9+N9</f>
        <v>1433.8734750836629</v>
      </c>
      <c r="U9" s="38">
        <f>+F9+I9+O9</f>
        <v>19669.872747639853</v>
      </c>
    </row>
    <row r="10" spans="1:21" x14ac:dyDescent="0.25">
      <c r="A10" s="225" t="s">
        <v>32</v>
      </c>
      <c r="B10" s="225"/>
      <c r="C10" s="225"/>
      <c r="D10" s="226"/>
      <c r="E10" s="34">
        <f>SUM(E4:E9)</f>
        <v>9689.8014696550199</v>
      </c>
      <c r="F10" s="35">
        <f>SUM(F4:F9)</f>
        <v>130821.46129776206</v>
      </c>
      <c r="G10" s="33">
        <f>+F10/E10</f>
        <v>13.50094341018729</v>
      </c>
      <c r="H10" s="34">
        <f>SUM(H4:H9)</f>
        <v>7638.0401142626297</v>
      </c>
      <c r="I10" s="35">
        <f>SUM(I4:I9)</f>
        <v>107729.0093708139</v>
      </c>
      <c r="J10" s="33">
        <f>+I10/H10</f>
        <v>14.104273839783829</v>
      </c>
      <c r="K10" s="34">
        <f>SUM(K8:K9)</f>
        <v>2205.5586036055502</v>
      </c>
      <c r="L10" s="35">
        <f>SUM(L8:L9)</f>
        <v>8634.5272992217288</v>
      </c>
      <c r="M10" s="33">
        <f>+L10/K10</f>
        <v>3.9148936170212769</v>
      </c>
      <c r="N10" s="34">
        <f>SUM(N7:N9)</f>
        <v>3643.3740803663163</v>
      </c>
      <c r="O10" s="35">
        <f>SUM(O7:O9)</f>
        <v>44036.835954851464</v>
      </c>
      <c r="P10" s="33">
        <f>+O10/N10</f>
        <v>12.086828029040559</v>
      </c>
      <c r="Q10" s="34"/>
      <c r="R10" s="35"/>
      <c r="S10" s="33"/>
      <c r="T10" s="34">
        <f>SUM(T4:T9)</f>
        <v>23176.774267889516</v>
      </c>
      <c r="U10" s="35">
        <f>SUM(U4:U9)</f>
        <v>291221.83392264915</v>
      </c>
    </row>
    <row r="11" spans="1:21" x14ac:dyDescent="0.25">
      <c r="A11" s="37">
        <v>41934</v>
      </c>
      <c r="B11" s="18">
        <v>41934</v>
      </c>
      <c r="C11" s="28">
        <v>0.3</v>
      </c>
      <c r="D11" s="20">
        <v>0.7715277777777777</v>
      </c>
      <c r="E11" s="30">
        <f>Effort!F9</f>
        <v>218.83187861190706</v>
      </c>
      <c r="F11" s="31">
        <f>Harvest!F9</f>
        <v>0</v>
      </c>
      <c r="G11" s="28">
        <f>CPUE!F9</f>
        <v>0</v>
      </c>
      <c r="H11" s="30">
        <f>Effort!H9</f>
        <v>380.7094820454131</v>
      </c>
      <c r="I11" s="31">
        <f>Harvest!H9</f>
        <v>265.3429723346818</v>
      </c>
      <c r="J11" s="28">
        <f>CPUE!H9</f>
        <v>0.69696969696969679</v>
      </c>
      <c r="K11" s="30" t="str">
        <f>Effort!J9</f>
        <v>CLOSED</v>
      </c>
      <c r="L11" s="31" t="str">
        <f>Harvest!J9</f>
        <v>CLOSED</v>
      </c>
      <c r="M11" s="28" t="str">
        <f>CPUE!J9</f>
        <v>CLOSED</v>
      </c>
      <c r="N11" s="30" t="str">
        <f>Effort!L9</f>
        <v>CLOSED</v>
      </c>
      <c r="O11" s="31" t="str">
        <f>Harvest!L9</f>
        <v>CLOSED</v>
      </c>
      <c r="P11" s="28" t="str">
        <f>CPUE!L9</f>
        <v>CLOSED</v>
      </c>
      <c r="Q11" s="30" t="str">
        <f>Effort!N9</f>
        <v>CLOSED</v>
      </c>
      <c r="R11" s="31" t="str">
        <f>Harvest!N9</f>
        <v>CLOSED</v>
      </c>
      <c r="S11" s="36" t="str">
        <f>CPUE!N9</f>
        <v>CLOSED</v>
      </c>
      <c r="T11" s="30">
        <f>+E11+H11</f>
        <v>599.54136065732018</v>
      </c>
      <c r="U11" s="31">
        <f>+F11+I11</f>
        <v>265.3429723346818</v>
      </c>
    </row>
    <row r="12" spans="1:21" x14ac:dyDescent="0.25">
      <c r="A12" s="37">
        <v>41935</v>
      </c>
      <c r="B12" s="18">
        <v>41935</v>
      </c>
      <c r="C12" s="28">
        <v>-0.1</v>
      </c>
      <c r="D12" s="20">
        <v>0.79652777777777783</v>
      </c>
      <c r="E12" s="30">
        <f>Effort!F10</f>
        <v>524.09571025445518</v>
      </c>
      <c r="F12" s="31">
        <f>Harvest!F10</f>
        <v>7861.4356538168286</v>
      </c>
      <c r="G12" s="28">
        <f>CPUE!F10</f>
        <v>15.000000000000002</v>
      </c>
      <c r="H12" s="30">
        <f>Effort!H10</f>
        <v>770.81402660719675</v>
      </c>
      <c r="I12" s="31">
        <f>Harvest!H10</f>
        <v>10873.983589637241</v>
      </c>
      <c r="J12" s="28">
        <f>CPUE!H10</f>
        <v>14.107142857142858</v>
      </c>
      <c r="K12" s="30" t="str">
        <f>Effort!J10</f>
        <v>CLOSED</v>
      </c>
      <c r="L12" s="31" t="str">
        <f>Harvest!J10</f>
        <v>CLOSED</v>
      </c>
      <c r="M12" s="28" t="str">
        <f>CPUE!J10</f>
        <v>CLOSED</v>
      </c>
      <c r="N12" s="30" t="str">
        <f>Effort!L10</f>
        <v>CLOSED</v>
      </c>
      <c r="O12" s="31" t="str">
        <f>Harvest!L10</f>
        <v>CLOSED</v>
      </c>
      <c r="P12" s="28" t="str">
        <f>CPUE!L10</f>
        <v>CLOSED</v>
      </c>
      <c r="Q12" s="30" t="str">
        <f>Effort!N10</f>
        <v>CLOSED</v>
      </c>
      <c r="R12" s="31" t="str">
        <f>Harvest!N10</f>
        <v>CLOSED</v>
      </c>
      <c r="S12" s="36" t="str">
        <f>CPUE!N10</f>
        <v>CLOSED</v>
      </c>
      <c r="T12" s="30">
        <f>+E12+H12</f>
        <v>1294.9097368616519</v>
      </c>
      <c r="U12" s="31">
        <f>+F12+I12</f>
        <v>18735.419243454067</v>
      </c>
    </row>
    <row r="13" spans="1:21" x14ac:dyDescent="0.25">
      <c r="A13" s="37">
        <v>41936</v>
      </c>
      <c r="B13" s="18">
        <v>41936</v>
      </c>
      <c r="C13" s="28">
        <v>-0.4</v>
      </c>
      <c r="D13" s="20">
        <v>0.82222222222222219</v>
      </c>
      <c r="E13" s="30">
        <f>Effort!F11</f>
        <v>892.37092063775526</v>
      </c>
      <c r="F13" s="31">
        <f>Harvest!F11</f>
        <v>12716.285619088016</v>
      </c>
      <c r="G13" s="28">
        <f>CPUE!F11</f>
        <v>14.250000000000004</v>
      </c>
      <c r="H13" s="30">
        <f>Effort!H11</f>
        <v>1019.0882247319548</v>
      </c>
      <c r="I13" s="31">
        <f>Harvest!H11</f>
        <v>11569.648669015723</v>
      </c>
      <c r="J13" s="28">
        <f>CPUE!H11</f>
        <v>11.352941176470589</v>
      </c>
      <c r="K13" s="30" t="str">
        <f>Effort!J11</f>
        <v>CLOSED</v>
      </c>
      <c r="L13" s="31" t="str">
        <f>Harvest!J11</f>
        <v>CLOSED</v>
      </c>
      <c r="M13" s="28" t="str">
        <f>CPUE!J11</f>
        <v>CLOSED</v>
      </c>
      <c r="N13" s="30">
        <f>Effort!L11</f>
        <v>1499.4480783807305</v>
      </c>
      <c r="O13" s="31">
        <f>Harvest!L11</f>
        <v>20419.756558312132</v>
      </c>
      <c r="P13" s="28">
        <f>CPUE!L11</f>
        <v>13.618181818181819</v>
      </c>
      <c r="Q13" s="30" t="str">
        <f>Effort!N11</f>
        <v>CLOSED</v>
      </c>
      <c r="R13" s="31" t="str">
        <f>Harvest!N11</f>
        <v>CLOSED</v>
      </c>
      <c r="S13" s="32" t="str">
        <f>CPUE!N11</f>
        <v>CLOSED</v>
      </c>
      <c r="T13" s="30">
        <f>+E13+H13+N13</f>
        <v>3410.9072237504406</v>
      </c>
      <c r="U13" s="31">
        <f>+F13+I13+O13</f>
        <v>44705.69084641587</v>
      </c>
    </row>
    <row r="14" spans="1:21" x14ac:dyDescent="0.25">
      <c r="A14" s="37">
        <v>41937</v>
      </c>
      <c r="B14" s="18">
        <v>41937</v>
      </c>
      <c r="C14" s="28">
        <v>-0.6</v>
      </c>
      <c r="D14" s="29">
        <v>0.84861111111111109</v>
      </c>
      <c r="E14" s="30">
        <f>Effort!F12</f>
        <v>124.1803809193335</v>
      </c>
      <c r="F14" s="31">
        <f>Harvest!F12</f>
        <v>0</v>
      </c>
      <c r="G14" s="28">
        <f>CPUE!F12</f>
        <v>0</v>
      </c>
      <c r="H14" s="30">
        <f>Effort!H12</f>
        <v>43.024691077724384</v>
      </c>
      <c r="I14" s="31">
        <f>Harvest!H12</f>
        <v>0</v>
      </c>
      <c r="J14" s="28">
        <f>CPUE!H12</f>
        <v>0</v>
      </c>
      <c r="K14" s="30">
        <f>Effort!J12</f>
        <v>196.0529754573505</v>
      </c>
      <c r="L14" s="31">
        <f>Harvest!J12</f>
        <v>0</v>
      </c>
      <c r="M14" s="28">
        <f>CPUE!J12</f>
        <v>0</v>
      </c>
      <c r="N14" s="30">
        <f>Effort!L12</f>
        <v>203.36132887875735</v>
      </c>
      <c r="O14" s="31">
        <f>Harvest!L12</f>
        <v>0</v>
      </c>
      <c r="P14" s="28">
        <f>CPUE!L12</f>
        <v>0</v>
      </c>
      <c r="Q14" s="30" t="str">
        <f>Effort!N12</f>
        <v>CLOSED</v>
      </c>
      <c r="R14" s="31" t="str">
        <f>Harvest!N12</f>
        <v>CLOSED</v>
      </c>
      <c r="S14" s="32" t="str">
        <f>CPUE!N12</f>
        <v>CLOSED</v>
      </c>
      <c r="T14" s="30">
        <f>+E14+H14+K14+N14</f>
        <v>566.61937633316575</v>
      </c>
      <c r="U14" s="38">
        <f>+F14+I14+L14+O14</f>
        <v>0</v>
      </c>
    </row>
    <row r="15" spans="1:21" x14ac:dyDescent="0.25">
      <c r="A15" s="37">
        <v>41938</v>
      </c>
      <c r="B15" s="18">
        <v>41938</v>
      </c>
      <c r="C15" s="28">
        <v>-0.6</v>
      </c>
      <c r="D15" s="29">
        <v>0.87708333333333333</v>
      </c>
      <c r="E15" s="30">
        <f>Effort!F13</f>
        <v>100.64938194187069</v>
      </c>
      <c r="F15" s="31">
        <f>Harvest!F13</f>
        <v>1509.7407291280606</v>
      </c>
      <c r="G15" s="28">
        <f>CPUE!F13</f>
        <v>15.000000000000004</v>
      </c>
      <c r="H15" s="30">
        <f>Effort!H13</f>
        <v>212.02083189469772</v>
      </c>
      <c r="I15" s="31">
        <f>Harvest!H13</f>
        <v>3180.3124784204656</v>
      </c>
      <c r="J15" s="28">
        <f>CPUE!H13</f>
        <v>14.999999999999998</v>
      </c>
      <c r="K15" s="30" t="str">
        <f>Effort!J13</f>
        <v>CLOSED</v>
      </c>
      <c r="L15" s="31" t="str">
        <f>Harvest!J13</f>
        <v>CLOSED</v>
      </c>
      <c r="M15" s="28" t="str">
        <f>CPUE!J13</f>
        <v>CLOSED</v>
      </c>
      <c r="N15" s="30">
        <f>Effort!L13</f>
        <v>380.01381752137826</v>
      </c>
      <c r="O15" s="31">
        <f>Harvest!L13</f>
        <v>5700.2072628206733</v>
      </c>
      <c r="P15" s="28">
        <f>CPUE!L13</f>
        <v>14.999999999999998</v>
      </c>
      <c r="Q15" s="30" t="str">
        <f>Effort!N13</f>
        <v>CLOSED</v>
      </c>
      <c r="R15" s="31" t="str">
        <f>Harvest!N13</f>
        <v>CLOSED</v>
      </c>
      <c r="S15" s="32" t="str">
        <f>CPUE!N13</f>
        <v>CLOSED</v>
      </c>
      <c r="T15" s="30">
        <f>+E15+H15+N15</f>
        <v>692.68403135794665</v>
      </c>
      <c r="U15" s="38">
        <f>+F15+I15+O15</f>
        <v>10390.2604703692</v>
      </c>
    </row>
    <row r="16" spans="1:21" x14ac:dyDescent="0.25">
      <c r="A16" s="37">
        <v>41939</v>
      </c>
      <c r="B16" s="18">
        <v>41939</v>
      </c>
      <c r="C16" s="28">
        <v>-0.4</v>
      </c>
      <c r="D16" s="29">
        <v>0.90763888888888888</v>
      </c>
      <c r="E16" s="30">
        <f>Effort!F14</f>
        <v>59.251615149815976</v>
      </c>
      <c r="F16" s="31">
        <f>Harvest!F14</f>
        <v>896.59494448424721</v>
      </c>
      <c r="G16" s="28">
        <f>CPUE!F14</f>
        <v>15.131991629548546</v>
      </c>
      <c r="H16" s="30">
        <f>Effort!H14</f>
        <v>91.838866658273162</v>
      </c>
      <c r="I16" s="31">
        <f>Harvest!H14</f>
        <v>1270.4376554394455</v>
      </c>
      <c r="J16" s="28">
        <f>CPUE!H14</f>
        <v>13.833333333333334</v>
      </c>
      <c r="K16" s="30" t="str">
        <f>Effort!J14</f>
        <v>CLOSED</v>
      </c>
      <c r="L16" s="31" t="str">
        <f>Harvest!J14</f>
        <v>CLOSED</v>
      </c>
      <c r="M16" s="28" t="str">
        <f>CPUE!J14</f>
        <v>CLOSED</v>
      </c>
      <c r="N16" s="30" t="str">
        <f>Effort!L14</f>
        <v>CLOSED</v>
      </c>
      <c r="O16" s="31" t="str">
        <f>Harvest!L14</f>
        <v>CLOSED</v>
      </c>
      <c r="P16" s="28" t="str">
        <f>CPUE!L14</f>
        <v>CLOSED</v>
      </c>
      <c r="Q16" s="30" t="str">
        <f>Effort!N14</f>
        <v>CLOSED</v>
      </c>
      <c r="R16" s="31" t="str">
        <f>Harvest!N14</f>
        <v>CLOSED</v>
      </c>
      <c r="S16" s="32" t="str">
        <f>CPUE!N14</f>
        <v>CLOSED</v>
      </c>
      <c r="T16" s="30">
        <f>+E16+H16</f>
        <v>151.09048180808912</v>
      </c>
      <c r="U16" s="38">
        <f>+F16+I16</f>
        <v>2167.0325999236929</v>
      </c>
    </row>
    <row r="17" spans="1:21" x14ac:dyDescent="0.25">
      <c r="A17" s="37">
        <v>41940</v>
      </c>
      <c r="B17" s="18">
        <v>41940</v>
      </c>
      <c r="C17" s="28">
        <v>-0.2</v>
      </c>
      <c r="D17" s="29">
        <v>0.94166666666666676</v>
      </c>
      <c r="E17" s="30">
        <f>Effort!F15</f>
        <v>9.9014573222407805</v>
      </c>
      <c r="F17" s="31">
        <f>Harvest!F15</f>
        <v>0</v>
      </c>
      <c r="G17" s="28">
        <f>CPUE!F15</f>
        <v>0</v>
      </c>
      <c r="H17" s="30">
        <f>Effort!H15</f>
        <v>15.347068876360879</v>
      </c>
      <c r="I17" s="31">
        <f>Harvest!H15</f>
        <v>0</v>
      </c>
      <c r="J17" s="28">
        <f>CPUE!H15</f>
        <v>0</v>
      </c>
      <c r="K17" s="30" t="str">
        <f>Effort!J15</f>
        <v>CLOSED</v>
      </c>
      <c r="L17" s="31" t="str">
        <f>Harvest!J15</f>
        <v>CLOSED</v>
      </c>
      <c r="M17" s="28" t="str">
        <f>CPUE!J15</f>
        <v>CLOSED</v>
      </c>
      <c r="N17" s="30" t="str">
        <f>Effort!L15</f>
        <v>CLOSED</v>
      </c>
      <c r="O17" s="31" t="str">
        <f>Harvest!L15</f>
        <v>CLOSED</v>
      </c>
      <c r="P17" s="28" t="str">
        <f>CPUE!L15</f>
        <v>CLOSED</v>
      </c>
      <c r="Q17" s="30" t="str">
        <f>Effort!N15</f>
        <v>CLOSED</v>
      </c>
      <c r="R17" s="31" t="str">
        <f>Harvest!N15</f>
        <v>CLOSED</v>
      </c>
      <c r="S17" s="32" t="str">
        <f>CPUE!N15</f>
        <v>CLOSED</v>
      </c>
      <c r="T17" s="30">
        <f>+E17+H17</f>
        <v>25.24852619860166</v>
      </c>
      <c r="U17" s="38">
        <f>+F17+I17</f>
        <v>0</v>
      </c>
    </row>
    <row r="18" spans="1:21" x14ac:dyDescent="0.25">
      <c r="A18" s="225" t="s">
        <v>32</v>
      </c>
      <c r="B18" s="225"/>
      <c r="C18" s="225"/>
      <c r="D18" s="226"/>
      <c r="E18" s="34">
        <f>SUM(E11:E17)</f>
        <v>1929.2813448373784</v>
      </c>
      <c r="F18" s="35">
        <f>SUM(F11:F17)</f>
        <v>22984.056946517154</v>
      </c>
      <c r="G18" s="33">
        <f>+F18/E18</f>
        <v>11.913273825002703</v>
      </c>
      <c r="H18" s="34">
        <f>SUM(H11:H17)</f>
        <v>2532.8431918916212</v>
      </c>
      <c r="I18" s="35">
        <f>SUM(I11:I17)</f>
        <v>27159.725364847556</v>
      </c>
      <c r="J18" s="33">
        <f>+I18/H18</f>
        <v>10.723018879255477</v>
      </c>
      <c r="K18" s="34">
        <f>SUM(K14:K17)</f>
        <v>196.0529754573505</v>
      </c>
      <c r="L18" s="35">
        <f>SUM(L14:L17)</f>
        <v>0</v>
      </c>
      <c r="M18" s="33">
        <f>+L18/K18</f>
        <v>0</v>
      </c>
      <c r="N18" s="34">
        <f>SUM(N13:N17)</f>
        <v>2082.823224780866</v>
      </c>
      <c r="O18" s="35">
        <f>SUM(O13:O17)</f>
        <v>26119.963821132806</v>
      </c>
      <c r="P18" s="33">
        <f>+O18/N18</f>
        <v>12.540653239489822</v>
      </c>
      <c r="Q18" s="34"/>
      <c r="R18" s="35"/>
      <c r="S18" s="33"/>
      <c r="T18" s="34">
        <f>SUM(T11:T17)</f>
        <v>6741.0007369672157</v>
      </c>
      <c r="U18" s="35">
        <f>SUM(U11:U17)</f>
        <v>76263.746132497516</v>
      </c>
    </row>
    <row r="19" spans="1:21" x14ac:dyDescent="0.25">
      <c r="A19" s="37">
        <v>41947</v>
      </c>
      <c r="B19" s="18">
        <v>41947</v>
      </c>
      <c r="C19" s="28">
        <v>1.2</v>
      </c>
      <c r="D19" s="29">
        <v>0.15</v>
      </c>
      <c r="E19" s="30">
        <f>Effort!F17</f>
        <v>798.07359760751433</v>
      </c>
      <c r="F19" s="38">
        <f>Harvest!F17</f>
        <v>11971.103964112714</v>
      </c>
      <c r="G19" s="36">
        <f>CPUE!F17</f>
        <v>14.999999999999998</v>
      </c>
      <c r="H19" s="30">
        <f>Effort!H17</f>
        <v>1095.9097183291749</v>
      </c>
      <c r="I19" s="38">
        <f>Harvest!H17</f>
        <v>16438.645774937624</v>
      </c>
      <c r="J19" s="36">
        <f>CPUE!H17</f>
        <v>15</v>
      </c>
      <c r="K19" s="30" t="str">
        <f>Effort!J17</f>
        <v>CLOSED</v>
      </c>
      <c r="L19" s="38" t="str">
        <f>Harvest!J17</f>
        <v>CLOSED</v>
      </c>
      <c r="M19" s="36" t="str">
        <f>CPUE!J17</f>
        <v>CLOSED</v>
      </c>
      <c r="N19" s="30" t="str">
        <f>Effort!L17</f>
        <v>CLOSED</v>
      </c>
      <c r="O19" s="38" t="str">
        <f>Harvest!L17</f>
        <v>CLOSED</v>
      </c>
      <c r="P19" s="36" t="str">
        <f>CPUE!L17</f>
        <v>CLOSED</v>
      </c>
      <c r="Q19" s="30" t="str">
        <f>Effort!N17</f>
        <v>CLOSED</v>
      </c>
      <c r="R19" s="38" t="str">
        <f>Harvest!N17</f>
        <v>CLOSED</v>
      </c>
      <c r="S19" s="36" t="str">
        <f>CPUE!N17</f>
        <v>CLOSED</v>
      </c>
      <c r="T19" s="30">
        <f t="shared" ref="T19:U21" si="2">+E19+H19</f>
        <v>1893.9833159366892</v>
      </c>
      <c r="U19" s="38">
        <f t="shared" si="2"/>
        <v>28409.749739050338</v>
      </c>
    </row>
    <row r="20" spans="1:21" x14ac:dyDescent="0.25">
      <c r="A20" s="37">
        <v>41948</v>
      </c>
      <c r="B20" s="18">
        <v>41948</v>
      </c>
      <c r="C20" s="28">
        <v>-0.7</v>
      </c>
      <c r="D20" s="29">
        <v>0.71805555555555556</v>
      </c>
      <c r="E20" s="30">
        <f>Effort!F18</f>
        <v>476.76527359377343</v>
      </c>
      <c r="F20" s="38">
        <f>Harvest!F18</f>
        <v>7161.6230458979589</v>
      </c>
      <c r="G20" s="36">
        <f>CPUE!F18</f>
        <v>15.021276595744682</v>
      </c>
      <c r="H20" s="30">
        <f>Effort!H18</f>
        <v>894.43514408193585</v>
      </c>
      <c r="I20" s="38">
        <f>Harvest!H18</f>
        <v>13416.527161229038</v>
      </c>
      <c r="J20" s="36">
        <f>CPUE!H18</f>
        <v>15</v>
      </c>
      <c r="K20" s="30" t="str">
        <f>Effort!J18</f>
        <v>CLOSED</v>
      </c>
      <c r="L20" s="38" t="str">
        <f>Harvest!J18</f>
        <v>CLOSED</v>
      </c>
      <c r="M20" s="36" t="str">
        <f>CPUE!J18</f>
        <v>CLOSED</v>
      </c>
      <c r="N20" s="30" t="str">
        <f>Effort!L18</f>
        <v>CLOSED</v>
      </c>
      <c r="O20" s="38" t="str">
        <f>Harvest!L18</f>
        <v>CLOSED</v>
      </c>
      <c r="P20" s="36" t="str">
        <f>CPUE!L18</f>
        <v>CLOSED</v>
      </c>
      <c r="Q20" s="30" t="str">
        <f>Effort!N18</f>
        <v>CLOSED</v>
      </c>
      <c r="R20" s="38" t="str">
        <f>Harvest!N18</f>
        <v>CLOSED</v>
      </c>
      <c r="S20" s="36" t="str">
        <f>CPUE!N18</f>
        <v>CLOSED</v>
      </c>
      <c r="T20" s="30">
        <f t="shared" si="2"/>
        <v>1371.2004176757093</v>
      </c>
      <c r="U20" s="38">
        <f t="shared" si="2"/>
        <v>20578.150207126997</v>
      </c>
    </row>
    <row r="21" spans="1:21" x14ac:dyDescent="0.25">
      <c r="A21" s="37">
        <v>41949</v>
      </c>
      <c r="B21" s="18">
        <v>41949</v>
      </c>
      <c r="C21" s="28">
        <v>-1.1000000000000001</v>
      </c>
      <c r="D21" s="29">
        <v>0.74930555555555556</v>
      </c>
      <c r="E21" s="30">
        <f>Effort!F19</f>
        <v>695.7265408555553</v>
      </c>
      <c r="F21" s="38">
        <f>Harvest!F19</f>
        <v>10435.898112833329</v>
      </c>
      <c r="G21" s="36">
        <f>CPUE!F19</f>
        <v>15</v>
      </c>
      <c r="H21" s="30">
        <f>Effort!H19</f>
        <v>904.89437630528857</v>
      </c>
      <c r="I21" s="38">
        <f>Harvest!H19</f>
        <v>13304.392992164243</v>
      </c>
      <c r="J21" s="36">
        <f>CPUE!H19</f>
        <v>14.702702702702704</v>
      </c>
      <c r="K21" s="30" t="str">
        <f>Effort!J19</f>
        <v>CLOSED</v>
      </c>
      <c r="L21" s="38" t="str">
        <f>Harvest!J19</f>
        <v>CLOSED</v>
      </c>
      <c r="M21" s="36" t="str">
        <f>CPUE!J19</f>
        <v>CLOSED</v>
      </c>
      <c r="N21" s="30" t="str">
        <f>Effort!L19</f>
        <v>CLOSED</v>
      </c>
      <c r="O21" s="38" t="str">
        <f>Harvest!L19</f>
        <v>CLOSED</v>
      </c>
      <c r="P21" s="36" t="str">
        <f>CPUE!L19</f>
        <v>CLOSED</v>
      </c>
      <c r="Q21" s="30" t="str">
        <f>Effort!N19</f>
        <v>CLOSED</v>
      </c>
      <c r="R21" s="38" t="str">
        <f>Harvest!N19</f>
        <v>CLOSED</v>
      </c>
      <c r="S21" s="36" t="str">
        <f>CPUE!N19</f>
        <v>CLOSED</v>
      </c>
      <c r="T21" s="30">
        <f t="shared" si="2"/>
        <v>1600.6209171608439</v>
      </c>
      <c r="U21" s="38">
        <f t="shared" si="2"/>
        <v>23740.291104997574</v>
      </c>
    </row>
    <row r="22" spans="1:21" x14ac:dyDescent="0.25">
      <c r="A22" s="37">
        <v>41950</v>
      </c>
      <c r="B22" s="18">
        <v>41950</v>
      </c>
      <c r="C22" s="28">
        <v>-1.2</v>
      </c>
      <c r="D22" s="29">
        <v>0.77916666666666667</v>
      </c>
      <c r="E22" s="30">
        <f>Effort!F20</f>
        <v>2757.2142333785855</v>
      </c>
      <c r="F22" s="38">
        <f>Harvest!F20</f>
        <v>39767.512981421911</v>
      </c>
      <c r="G22" s="36">
        <f>CPUE!F20</f>
        <v>14.423076923076925</v>
      </c>
      <c r="H22" s="30">
        <f>Effort!H20</f>
        <v>1487.4788872616978</v>
      </c>
      <c r="I22" s="38">
        <f>Harvest!H20</f>
        <v>22312.183308925469</v>
      </c>
      <c r="J22" s="36">
        <f>CPUE!H20</f>
        <v>15.000000000000002</v>
      </c>
      <c r="K22" s="30" t="str">
        <f>Effort!J20</f>
        <v>CLOSED</v>
      </c>
      <c r="L22" s="38" t="str">
        <f>Harvest!J20</f>
        <v>CLOSED</v>
      </c>
      <c r="M22" s="36" t="str">
        <f>CPUE!J20</f>
        <v>CLOSED</v>
      </c>
      <c r="N22" s="30">
        <f>Effort!L20</f>
        <v>1063.9832982077737</v>
      </c>
      <c r="O22" s="38">
        <f>Harvest!L20</f>
        <v>15959.749473116606</v>
      </c>
      <c r="P22" s="36">
        <f>CPUE!L20</f>
        <v>15</v>
      </c>
      <c r="Q22" s="30" t="str">
        <f>Effort!N20</f>
        <v>CLOSED</v>
      </c>
      <c r="R22" s="38" t="str">
        <f>Harvest!N20</f>
        <v>CLOSED</v>
      </c>
      <c r="S22" s="36" t="str">
        <f>CPUE!N20</f>
        <v>CLOSED</v>
      </c>
      <c r="T22" s="30">
        <f>+E22+H22+N22</f>
        <v>5308.6764188480574</v>
      </c>
      <c r="U22" s="38">
        <f>+F22+I22+O22</f>
        <v>78039.445763463984</v>
      </c>
    </row>
    <row r="23" spans="1:21" x14ac:dyDescent="0.25">
      <c r="A23" s="37">
        <v>41951</v>
      </c>
      <c r="B23" s="18">
        <v>41951</v>
      </c>
      <c r="C23" s="28">
        <v>-1.1000000000000001</v>
      </c>
      <c r="D23" s="29">
        <v>0.80833333333333335</v>
      </c>
      <c r="E23" s="30">
        <f>Effort!F21</f>
        <v>2524.6927573184839</v>
      </c>
      <c r="F23" s="38">
        <f>Harvest!F21</f>
        <v>35242.115500555468</v>
      </c>
      <c r="G23" s="36">
        <f>CPUE!F21</f>
        <v>13.958971997046753</v>
      </c>
      <c r="H23" s="30">
        <f>Effort!H21</f>
        <v>2340.4256416028993</v>
      </c>
      <c r="I23" s="38">
        <f>Harvest!H21</f>
        <v>33277.92709154122</v>
      </c>
      <c r="J23" s="36">
        <f>CPUE!H21</f>
        <v>14.218749999999998</v>
      </c>
      <c r="K23" s="30">
        <f>Effort!J21</f>
        <v>3127.5339014925967</v>
      </c>
      <c r="L23" s="38">
        <f>Harvest!J21</f>
        <v>42243.129135228759</v>
      </c>
      <c r="M23" s="36">
        <f>CPUE!J21</f>
        <v>13.506849315068489</v>
      </c>
      <c r="N23" s="30">
        <f>Effort!L21</f>
        <v>1948.1298570553215</v>
      </c>
      <c r="O23" s="38">
        <f>Harvest!L21</f>
        <v>27588.032491847942</v>
      </c>
      <c r="P23" s="36">
        <f>CPUE!L21</f>
        <v>14.161290322580646</v>
      </c>
      <c r="Q23" s="30" t="str">
        <f>Effort!N21</f>
        <v>CLOSED</v>
      </c>
      <c r="R23" s="38" t="str">
        <f>Harvest!N21</f>
        <v>CLOSED</v>
      </c>
      <c r="S23" s="36" t="str">
        <f>CPUE!N21</f>
        <v>CLOSED</v>
      </c>
      <c r="T23" s="30">
        <f>+E23+H23+K23+N23</f>
        <v>9940.7821574693007</v>
      </c>
      <c r="U23" s="38">
        <f>+F23+I23+L23+O23</f>
        <v>138351.20421917338</v>
      </c>
    </row>
    <row r="24" spans="1:21" x14ac:dyDescent="0.25">
      <c r="A24" s="37">
        <v>41952</v>
      </c>
      <c r="B24" s="18">
        <v>41952</v>
      </c>
      <c r="C24" s="28">
        <v>-0.7</v>
      </c>
      <c r="D24" s="29">
        <v>0.83680555555555558</v>
      </c>
      <c r="E24" s="30">
        <f>Effort!F22</f>
        <v>171.41714781522199</v>
      </c>
      <c r="F24" s="38">
        <f>Harvest!F22</f>
        <v>2571.2572172283299</v>
      </c>
      <c r="G24" s="36">
        <f>CPUE!F22</f>
        <v>15</v>
      </c>
      <c r="H24" s="30">
        <f>Effort!H22</f>
        <v>158.90610332454443</v>
      </c>
      <c r="I24" s="38">
        <f>Harvest!H22</f>
        <v>2522.6343902771428</v>
      </c>
      <c r="J24" s="36">
        <f>CPUE!H22</f>
        <v>15.875</v>
      </c>
      <c r="K24" s="30" t="str">
        <f>Effort!J22</f>
        <v>CLOSED</v>
      </c>
      <c r="L24" s="38" t="str">
        <f>Harvest!J22</f>
        <v>CLOSED</v>
      </c>
      <c r="M24" s="36" t="str">
        <f>CPUE!J22</f>
        <v>CLOSED</v>
      </c>
      <c r="N24" s="30">
        <f>Effort!L22</f>
        <v>728.74218164091008</v>
      </c>
      <c r="O24" s="38">
        <f>Harvest!L22</f>
        <v>7838.0270203155669</v>
      </c>
      <c r="P24" s="36">
        <f>CPUE!L22</f>
        <v>10.755555555555556</v>
      </c>
      <c r="Q24" s="30" t="str">
        <f>Effort!N22</f>
        <v>CLOSED</v>
      </c>
      <c r="R24" s="38" t="str">
        <f>Harvest!N22</f>
        <v>CLOSED</v>
      </c>
      <c r="S24" s="36" t="str">
        <f>CPUE!N22</f>
        <v>CLOSED</v>
      </c>
      <c r="T24" s="30">
        <f>+E24+H24+N24</f>
        <v>1059.0654327806765</v>
      </c>
      <c r="U24" s="38">
        <f>+F24+I24+O24</f>
        <v>12931.91862782104</v>
      </c>
    </row>
    <row r="25" spans="1:21" x14ac:dyDescent="0.25">
      <c r="A25" s="37">
        <v>41953</v>
      </c>
      <c r="B25" s="18">
        <v>41953</v>
      </c>
      <c r="C25" s="28">
        <v>-0.3</v>
      </c>
      <c r="D25" s="29">
        <v>0.86597222222222225</v>
      </c>
      <c r="E25" s="30">
        <f>Effort!F23</f>
        <v>171.41714781522199</v>
      </c>
      <c r="F25" s="38">
        <f>Harvest!F23</f>
        <v>2571.2572172283299</v>
      </c>
      <c r="G25" s="36">
        <f>CPUE!F23</f>
        <v>15</v>
      </c>
      <c r="H25" s="30">
        <f>Effort!H23</f>
        <v>158.90610332454443</v>
      </c>
      <c r="I25" s="38">
        <f>Harvest!H23</f>
        <v>2383.5915498681666</v>
      </c>
      <c r="J25" s="36">
        <f>CPUE!H23</f>
        <v>15</v>
      </c>
      <c r="K25" s="30" t="str">
        <f>Effort!J23</f>
        <v>CLOSED</v>
      </c>
      <c r="L25" s="38" t="str">
        <f>Harvest!J23</f>
        <v>CLOSED</v>
      </c>
      <c r="M25" s="36" t="str">
        <f>CPUE!J23</f>
        <v>CLOSED</v>
      </c>
      <c r="N25" s="30" t="str">
        <f>Effort!L23</f>
        <v>CLOSED</v>
      </c>
      <c r="O25" s="38" t="str">
        <f>Harvest!L23</f>
        <v>CLOSED</v>
      </c>
      <c r="P25" s="36" t="str">
        <f>CPUE!L23</f>
        <v>CLOSED</v>
      </c>
      <c r="Q25" s="30" t="str">
        <f>Effort!N23</f>
        <v>CLOSED</v>
      </c>
      <c r="R25" s="38" t="str">
        <f>Harvest!N23</f>
        <v>CLOSED</v>
      </c>
      <c r="S25" s="36" t="str">
        <f>CPUE!N23</f>
        <v>CLOSED</v>
      </c>
      <c r="T25" s="30">
        <f>+E25+H25</f>
        <v>330.3232511397664</v>
      </c>
      <c r="U25" s="38">
        <f>+F25+I25</f>
        <v>4954.8487670964969</v>
      </c>
    </row>
    <row r="26" spans="1:21" x14ac:dyDescent="0.25">
      <c r="A26" s="37">
        <v>41954</v>
      </c>
      <c r="B26" s="18">
        <v>41954</v>
      </c>
      <c r="C26" s="28">
        <v>0.2</v>
      </c>
      <c r="D26" s="29">
        <v>0.89652777777777781</v>
      </c>
      <c r="E26" s="30">
        <f>Effort!F24</f>
        <v>60.933855767944088</v>
      </c>
      <c r="F26" s="38">
        <f>Harvest!F24</f>
        <v>897.30882075092848</v>
      </c>
      <c r="G26" s="36">
        <f>CPUE!F24</f>
        <v>14.725948480400977</v>
      </c>
      <c r="H26" s="30">
        <f>Effort!H24</f>
        <v>56.486540022596117</v>
      </c>
      <c r="I26" s="38">
        <f>Harvest!H24</f>
        <v>847.29810033894182</v>
      </c>
      <c r="J26" s="36">
        <f>CPUE!H24</f>
        <v>15.000000000000002</v>
      </c>
      <c r="K26" s="30" t="str">
        <f>Effort!J24</f>
        <v>CLOSED</v>
      </c>
      <c r="L26" s="38" t="str">
        <f>Harvest!J24</f>
        <v>CLOSED</v>
      </c>
      <c r="M26" s="36" t="str">
        <f>CPUE!J24</f>
        <v>CLOSED</v>
      </c>
      <c r="N26" s="30" t="str">
        <f>Effort!L24</f>
        <v>CLOSED</v>
      </c>
      <c r="O26" s="38" t="str">
        <f>Harvest!L24</f>
        <v>CLOSED</v>
      </c>
      <c r="P26" s="36" t="str">
        <f>CPUE!L24</f>
        <v>CLOSED</v>
      </c>
      <c r="Q26" s="30" t="str">
        <f>Effort!N24</f>
        <v>CLOSED</v>
      </c>
      <c r="R26" s="38" t="str">
        <f>Harvest!N24</f>
        <v>CLOSED</v>
      </c>
      <c r="S26" s="36" t="str">
        <f>CPUE!N24</f>
        <v>CLOSED</v>
      </c>
      <c r="T26" s="30">
        <f>+E26+H26</f>
        <v>117.4203957905402</v>
      </c>
      <c r="U26" s="38">
        <f>+F26+I26</f>
        <v>1744.6069210898704</v>
      </c>
    </row>
    <row r="27" spans="1:21" x14ac:dyDescent="0.25">
      <c r="A27" s="225" t="s">
        <v>32</v>
      </c>
      <c r="B27" s="225"/>
      <c r="C27" s="225"/>
      <c r="D27" s="226"/>
      <c r="E27" s="34">
        <f>SUM(E19:E26)</f>
        <v>7656.2405541523003</v>
      </c>
      <c r="F27" s="35">
        <f>SUM(F19:F26)</f>
        <v>110618.07686002894</v>
      </c>
      <c r="G27" s="33">
        <f>+F27/E27</f>
        <v>14.448093170222574</v>
      </c>
      <c r="H27" s="34">
        <f>SUM(H19:H26)</f>
        <v>7097.4425142526816</v>
      </c>
      <c r="I27" s="35">
        <f>SUM(I19:I26)</f>
        <v>104503.20036928185</v>
      </c>
      <c r="J27" s="33">
        <f>+I27/H27</f>
        <v>14.724064359721753</v>
      </c>
      <c r="K27" s="34">
        <f>SUM(K19:K26)</f>
        <v>3127.5339014925967</v>
      </c>
      <c r="L27" s="35">
        <f>SUM(L19:L26)</f>
        <v>42243.129135228759</v>
      </c>
      <c r="M27" s="33">
        <f>+L27/K27</f>
        <v>13.506849315068489</v>
      </c>
      <c r="N27" s="34">
        <f>SUM(N19:N26)</f>
        <v>3740.8553369040051</v>
      </c>
      <c r="O27" s="35">
        <f>SUM(O19:O26)</f>
        <v>51385.808985280113</v>
      </c>
      <c r="P27" s="33">
        <f>+O27/N27</f>
        <v>13.736379613066747</v>
      </c>
      <c r="Q27" s="34"/>
      <c r="R27" s="35"/>
      <c r="S27" s="33"/>
      <c r="T27" s="34">
        <f>SUM(T19:T26)</f>
        <v>21622.072306801583</v>
      </c>
      <c r="U27" s="35">
        <f>SUM(U19:U26)</f>
        <v>308750.21534981969</v>
      </c>
    </row>
    <row r="28" spans="1:21" x14ac:dyDescent="0.25">
      <c r="A28" s="37">
        <v>41963</v>
      </c>
      <c r="B28" s="18">
        <v>41963</v>
      </c>
      <c r="C28" s="100">
        <v>0</v>
      </c>
      <c r="D28" s="29">
        <v>0.71250000000000002</v>
      </c>
      <c r="E28" s="30">
        <f>Effort!F26</f>
        <v>433.43652283856386</v>
      </c>
      <c r="F28" s="38">
        <f>Harvest!F26</f>
        <v>6375.1288567505426</v>
      </c>
      <c r="G28" s="36">
        <f>CPUE!F26</f>
        <v>14.708333333333332</v>
      </c>
      <c r="H28" s="30">
        <f>Effort!H26</f>
        <v>1033.7036824135089</v>
      </c>
      <c r="I28" s="38">
        <f>Harvest!H26</f>
        <v>15197.643501015633</v>
      </c>
      <c r="J28" s="36">
        <f>CPUE!H26</f>
        <v>14.702127659574471</v>
      </c>
      <c r="K28" s="30" t="str">
        <f>Effort!J26</f>
        <v>CLOSED</v>
      </c>
      <c r="L28" s="38" t="str">
        <f>Harvest!J26</f>
        <v>CLOSED</v>
      </c>
      <c r="M28" s="36" t="str">
        <f>CPUE!J26</f>
        <v>CLOSED</v>
      </c>
      <c r="N28" s="30" t="str">
        <f>Effort!L26</f>
        <v>CLOSED</v>
      </c>
      <c r="O28" s="38" t="str">
        <f>Harvest!L26</f>
        <v>CLOSED</v>
      </c>
      <c r="P28" s="36" t="str">
        <f>CPUE!L26</f>
        <v>CLOSED</v>
      </c>
      <c r="Q28" s="30" t="str">
        <f>Effort!N26</f>
        <v>CLOSED</v>
      </c>
      <c r="R28" s="38" t="str">
        <f>Harvest!N26</f>
        <v>CLOSED</v>
      </c>
      <c r="S28" s="36" t="str">
        <f>CPUE!N26</f>
        <v>CLOSED</v>
      </c>
      <c r="T28" s="30">
        <f>+E28+H28</f>
        <v>1467.1402052520727</v>
      </c>
      <c r="U28" s="38">
        <f>+F28+I28</f>
        <v>21572.772357766175</v>
      </c>
    </row>
    <row r="29" spans="1:21" x14ac:dyDescent="0.25">
      <c r="A29" s="37">
        <v>41964</v>
      </c>
      <c r="B29" s="18">
        <v>41964</v>
      </c>
      <c r="C29" s="13">
        <v>-0.5</v>
      </c>
      <c r="D29" s="101">
        <v>0.73958333333333337</v>
      </c>
      <c r="E29" s="30">
        <f>Effort!F27</f>
        <v>250.83411192356141</v>
      </c>
      <c r="F29" s="38">
        <f>Harvest!F27</f>
        <v>1755.8387834649297</v>
      </c>
      <c r="G29" s="36">
        <f>CPUE!F27</f>
        <v>6.9999999999999991</v>
      </c>
      <c r="H29" s="30">
        <f>Effort!H27</f>
        <v>302.88690270671106</v>
      </c>
      <c r="I29" s="38">
        <f>Harvest!H27</f>
        <v>908.66070812013311</v>
      </c>
      <c r="J29" s="36">
        <f>CPUE!H27</f>
        <v>3</v>
      </c>
      <c r="K29" s="30" t="str">
        <f>Effort!J27</f>
        <v>CLOSED</v>
      </c>
      <c r="L29" s="38" t="str">
        <f>Harvest!J27</f>
        <v>CLOSED</v>
      </c>
      <c r="M29" s="36" t="str">
        <f>CPUE!J27</f>
        <v>CLOSED</v>
      </c>
      <c r="N29" s="30">
        <f>Effort!L27</f>
        <v>640.25513040060639</v>
      </c>
      <c r="O29" s="38">
        <f>Harvest!L27</f>
        <v>4579.2160413434676</v>
      </c>
      <c r="P29" s="36">
        <f>CPUE!L27</f>
        <v>7.1521739130434785</v>
      </c>
      <c r="Q29" s="30" t="str">
        <f>Effort!N27</f>
        <v>CLOSED</v>
      </c>
      <c r="R29" s="38" t="str">
        <f>Harvest!N27</f>
        <v>CLOSED</v>
      </c>
      <c r="S29" s="36" t="str">
        <f>CPUE!N27</f>
        <v>CLOSED</v>
      </c>
      <c r="T29" s="30">
        <f>+E29+H29+N29</f>
        <v>1193.9761450308788</v>
      </c>
      <c r="U29" s="38">
        <f>+F29+I29+O29</f>
        <v>7243.7155329285306</v>
      </c>
    </row>
    <row r="30" spans="1:21" x14ac:dyDescent="0.25">
      <c r="A30" s="37">
        <v>41965</v>
      </c>
      <c r="B30" s="18">
        <v>41965</v>
      </c>
      <c r="C30" s="13">
        <v>-0.8</v>
      </c>
      <c r="D30" s="101">
        <v>0.76666666666666672</v>
      </c>
      <c r="E30" s="30">
        <f>Effort!F28</f>
        <v>682.78721440541426</v>
      </c>
      <c r="F30" s="38">
        <f>Harvest!F28</f>
        <v>6404.8875987230003</v>
      </c>
      <c r="G30" s="36">
        <f>CPUE!F28</f>
        <v>9.3805031254144282</v>
      </c>
      <c r="H30" s="30">
        <f>Effort!H28</f>
        <v>1333.6930098308098</v>
      </c>
      <c r="I30" s="38">
        <f>Harvest!H28</f>
        <v>12687.182221723857</v>
      </c>
      <c r="J30" s="36">
        <f>CPUE!H28</f>
        <v>9.5128205128205128</v>
      </c>
      <c r="K30" s="30">
        <f>Effort!J28</f>
        <v>2124.6544402768313</v>
      </c>
      <c r="L30" s="38">
        <f>Harvest!J28</f>
        <v>20605.139288722479</v>
      </c>
      <c r="M30" s="36">
        <f>CPUE!J28</f>
        <v>9.6981132075471699</v>
      </c>
      <c r="N30" s="30">
        <f>Effort!L28</f>
        <v>1283.3310340242842</v>
      </c>
      <c r="O30" s="38">
        <f>Harvest!L28</f>
        <v>19249.965510364265</v>
      </c>
      <c r="P30" s="36">
        <f>CPUE!L28</f>
        <v>15.000000000000002</v>
      </c>
      <c r="Q30" s="30" t="str">
        <f>Effort!N28</f>
        <v>CLOSED</v>
      </c>
      <c r="R30" s="38" t="str">
        <f>Harvest!N28</f>
        <v>CLOSED</v>
      </c>
      <c r="S30" s="36" t="str">
        <f>CPUE!N28</f>
        <v>CLOSED</v>
      </c>
      <c r="T30" s="30">
        <f>+E30+H30+K30+N30</f>
        <v>5424.4656985373394</v>
      </c>
      <c r="U30" s="38">
        <f>+F30+I30+L30+O30</f>
        <v>58947.174619533602</v>
      </c>
    </row>
    <row r="31" spans="1:21" x14ac:dyDescent="0.25">
      <c r="A31" s="37">
        <v>41966</v>
      </c>
      <c r="B31" s="18">
        <v>41966</v>
      </c>
      <c r="C31" s="13">
        <v>-1</v>
      </c>
      <c r="D31" s="101">
        <v>0.79513888888888884</v>
      </c>
      <c r="E31" s="30">
        <f>Effort!F29</f>
        <v>370.08222718132674</v>
      </c>
      <c r="F31" s="38">
        <f>Harvest!F29</f>
        <v>5551.2334077199012</v>
      </c>
      <c r="G31" s="36">
        <f>CPUE!F29</f>
        <v>15</v>
      </c>
      <c r="H31" s="30">
        <f>Effort!H29</f>
        <v>367.39596969487957</v>
      </c>
      <c r="I31" s="38">
        <f>Harvest!H29</f>
        <v>3603.9795122450091</v>
      </c>
      <c r="J31" s="36">
        <f>CPUE!H29</f>
        <v>9.8095238095238102</v>
      </c>
      <c r="K31" s="30" t="str">
        <f>Effort!J29</f>
        <v>CLOSED</v>
      </c>
      <c r="L31" s="38" t="str">
        <f>Harvest!J29</f>
        <v>CLOSED</v>
      </c>
      <c r="M31" s="36" t="str">
        <f>CPUE!J29</f>
        <v>CLOSED</v>
      </c>
      <c r="N31" s="30">
        <f>Effort!L29</f>
        <v>428.76517894114585</v>
      </c>
      <c r="O31" s="38">
        <f>Harvest!L29</f>
        <v>6389.984279703528</v>
      </c>
      <c r="P31" s="36">
        <f>CPUE!L29</f>
        <v>14.903225806451612</v>
      </c>
      <c r="Q31" s="30" t="str">
        <f>Effort!N29</f>
        <v>CLOSED</v>
      </c>
      <c r="R31" s="38" t="str">
        <f>Harvest!N29</f>
        <v>CLOSED</v>
      </c>
      <c r="S31" s="36" t="str">
        <f>CPUE!N29</f>
        <v>CLOSED</v>
      </c>
      <c r="T31" s="30">
        <f>+E31+H31+N31</f>
        <v>1166.2433758173522</v>
      </c>
      <c r="U31" s="38">
        <f>+F31+I31+O31</f>
        <v>15545.197199668437</v>
      </c>
    </row>
    <row r="32" spans="1:21" x14ac:dyDescent="0.25">
      <c r="A32" s="37">
        <v>41967</v>
      </c>
      <c r="B32" s="18">
        <v>41967</v>
      </c>
      <c r="C32" s="13">
        <v>-1.1000000000000001</v>
      </c>
      <c r="D32" s="101">
        <v>0.82430555555555551</v>
      </c>
      <c r="E32" s="30">
        <f>Effort!F30</f>
        <v>121.08702860251941</v>
      </c>
      <c r="F32" s="38">
        <f>Harvest!F30</f>
        <v>196.76642147909402</v>
      </c>
      <c r="G32" s="36">
        <f>CPUE!F30</f>
        <v>1.6249999999999998</v>
      </c>
      <c r="H32" s="30">
        <f>Effort!H30</f>
        <v>94.700895734088064</v>
      </c>
      <c r="I32" s="38">
        <f>Harvest!H30</f>
        <v>0</v>
      </c>
      <c r="J32" s="36">
        <f>CPUE!H30</f>
        <v>0</v>
      </c>
      <c r="K32" s="30" t="str">
        <f>Effort!J30</f>
        <v>CLOSED</v>
      </c>
      <c r="L32" s="38" t="str">
        <f>Harvest!J30</f>
        <v>CLOSED</v>
      </c>
      <c r="M32" s="36" t="str">
        <f>CPUE!J30</f>
        <v>CLOSED</v>
      </c>
      <c r="N32" s="30" t="str">
        <f>Effort!L30</f>
        <v>CLOSED</v>
      </c>
      <c r="O32" s="38" t="str">
        <f>Harvest!L30</f>
        <v>CLOSED</v>
      </c>
      <c r="P32" s="36" t="str">
        <f>CPUE!L30</f>
        <v>CLOSED</v>
      </c>
      <c r="Q32" s="30" t="str">
        <f>Effort!N30</f>
        <v>CLOSED</v>
      </c>
      <c r="R32" s="38" t="str">
        <f>Harvest!N30</f>
        <v>CLOSED</v>
      </c>
      <c r="S32" s="36" t="str">
        <f>CPUE!N30</f>
        <v>CLOSED</v>
      </c>
      <c r="T32" s="30">
        <f t="shared" ref="T32:U34" si="3">+E32+H32</f>
        <v>215.78792433660749</v>
      </c>
      <c r="U32" s="38">
        <f t="shared" si="3"/>
        <v>196.76642147909402</v>
      </c>
    </row>
    <row r="33" spans="1:21" x14ac:dyDescent="0.25">
      <c r="A33" s="37">
        <v>41968</v>
      </c>
      <c r="B33" s="18">
        <v>41968</v>
      </c>
      <c r="C33" s="13">
        <v>-0.9</v>
      </c>
      <c r="D33" s="101">
        <v>0.85555555555555551</v>
      </c>
      <c r="E33" s="30">
        <f>Effort!F31</f>
        <v>173.06948047257833</v>
      </c>
      <c r="F33" s="38">
        <f>Harvest!F31</f>
        <v>1834.6185658830766</v>
      </c>
      <c r="G33" s="36">
        <f>CPUE!F31</f>
        <v>10.600474219218329</v>
      </c>
      <c r="H33" s="30">
        <f>Effort!H31</f>
        <v>338.05781867537155</v>
      </c>
      <c r="I33" s="38">
        <f>Harvest!H31</f>
        <v>3634.1215507602442</v>
      </c>
      <c r="J33" s="36">
        <f>CPUE!H31</f>
        <v>10.75</v>
      </c>
      <c r="K33" s="30" t="str">
        <f>Effort!J31</f>
        <v>CLOSED</v>
      </c>
      <c r="L33" s="38" t="str">
        <f>Harvest!J31</f>
        <v>CLOSED</v>
      </c>
      <c r="M33" s="36" t="str">
        <f>CPUE!J31</f>
        <v>CLOSED</v>
      </c>
      <c r="N33" s="30" t="str">
        <f>Effort!L31</f>
        <v>CLOSED</v>
      </c>
      <c r="O33" s="38" t="str">
        <f>Harvest!L31</f>
        <v>CLOSED</v>
      </c>
      <c r="P33" s="36" t="str">
        <f>CPUE!L31</f>
        <v>CLOSED</v>
      </c>
      <c r="Q33" s="30" t="str">
        <f>Effort!N31</f>
        <v>CLOSED</v>
      </c>
      <c r="R33" s="38" t="str">
        <f>Harvest!N31</f>
        <v>CLOSED</v>
      </c>
      <c r="S33" s="36" t="str">
        <f>CPUE!N31</f>
        <v>CLOSED</v>
      </c>
      <c r="T33" s="30">
        <f t="shared" si="3"/>
        <v>511.12729914794988</v>
      </c>
      <c r="U33" s="38">
        <f t="shared" si="3"/>
        <v>5468.740116643321</v>
      </c>
    </row>
    <row r="34" spans="1:21" x14ac:dyDescent="0.25">
      <c r="A34" s="37">
        <v>41969</v>
      </c>
      <c r="B34" s="18">
        <v>41969</v>
      </c>
      <c r="C34" s="13">
        <v>-0.5</v>
      </c>
      <c r="D34" s="101">
        <v>0.8881944444444444</v>
      </c>
      <c r="E34" s="30">
        <f>Effort!F32</f>
        <v>173.06948047257833</v>
      </c>
      <c r="F34" s="38">
        <f>Harvest!F32</f>
        <v>1834.6185658830766</v>
      </c>
      <c r="G34" s="36">
        <f>CPUE!F32</f>
        <v>10.600474219218329</v>
      </c>
      <c r="H34" s="30">
        <f>Effort!H32</f>
        <v>338.05781867537155</v>
      </c>
      <c r="I34" s="38">
        <f>Harvest!H32</f>
        <v>3634.1215507602442</v>
      </c>
      <c r="J34" s="36">
        <f>CPUE!H32</f>
        <v>10.75</v>
      </c>
      <c r="K34" s="30" t="str">
        <f>Effort!J32</f>
        <v>CLOSED</v>
      </c>
      <c r="L34" s="38" t="str">
        <f>Harvest!J32</f>
        <v>CLOSED</v>
      </c>
      <c r="M34" s="36" t="str">
        <f>CPUE!J32</f>
        <v>CLOSED</v>
      </c>
      <c r="N34" s="30" t="str">
        <f>Effort!L32</f>
        <v>CLOSED</v>
      </c>
      <c r="O34" s="38" t="str">
        <f>Harvest!L32</f>
        <v>CLOSED</v>
      </c>
      <c r="P34" s="36" t="str">
        <f>CPUE!L32</f>
        <v>CLOSED</v>
      </c>
      <c r="Q34" s="30" t="str">
        <f>Effort!N32</f>
        <v>CLOSED</v>
      </c>
      <c r="R34" s="38" t="str">
        <f>Harvest!N32</f>
        <v>CLOSED</v>
      </c>
      <c r="S34" s="36" t="str">
        <f>CPUE!N32</f>
        <v>CLOSED</v>
      </c>
      <c r="T34" s="30">
        <f t="shared" si="3"/>
        <v>511.12729914794988</v>
      </c>
      <c r="U34" s="38">
        <f t="shared" si="3"/>
        <v>5468.740116643321</v>
      </c>
    </row>
    <row r="35" spans="1:21" x14ac:dyDescent="0.25">
      <c r="A35" s="225" t="s">
        <v>32</v>
      </c>
      <c r="B35" s="225"/>
      <c r="C35" s="225"/>
      <c r="D35" s="226"/>
      <c r="E35" s="34">
        <f>SUM(E28:E34)</f>
        <v>2204.3660658965428</v>
      </c>
      <c r="F35" s="35">
        <f>SUM(F28:F34)</f>
        <v>23953.092199903622</v>
      </c>
      <c r="G35" s="33">
        <f>+F35/E35</f>
        <v>10.866204379789163</v>
      </c>
      <c r="H35" s="34">
        <f>SUM(H28:H34)</f>
        <v>3808.4960977307405</v>
      </c>
      <c r="I35" s="35">
        <f>SUM(I28:I34)</f>
        <v>39665.709044625124</v>
      </c>
      <c r="J35" s="33">
        <f>+I35/H35</f>
        <v>10.415058339762931</v>
      </c>
      <c r="K35" s="34">
        <f>SUM(K29:K34)</f>
        <v>2124.6544402768313</v>
      </c>
      <c r="L35" s="35">
        <f>SUM(L29:L34)</f>
        <v>20605.139288722479</v>
      </c>
      <c r="M35" s="33">
        <f>+L35/K35</f>
        <v>9.6981132075471699</v>
      </c>
      <c r="N35" s="34">
        <f>SUM(N28:N34)</f>
        <v>2352.3513433660364</v>
      </c>
      <c r="O35" s="35">
        <f>SUM(O28:O34)</f>
        <v>30219.165831411261</v>
      </c>
      <c r="P35" s="33">
        <f>+O35/N35</f>
        <v>12.846365793372485</v>
      </c>
      <c r="Q35" s="34"/>
      <c r="R35" s="35"/>
      <c r="S35" s="33"/>
      <c r="T35" s="34">
        <f>SUM(T28:T34)</f>
        <v>10489.86794727015</v>
      </c>
      <c r="U35" s="35">
        <f>SUM(U28:U34)</f>
        <v>114443.10636466251</v>
      </c>
    </row>
    <row r="36" spans="1:21" x14ac:dyDescent="0.25">
      <c r="A36" s="37">
        <v>41976</v>
      </c>
      <c r="B36" s="18">
        <v>41976</v>
      </c>
      <c r="C36" s="13">
        <v>-0.1</v>
      </c>
      <c r="D36" s="101">
        <v>0.67638888888888893</v>
      </c>
      <c r="E36" s="30">
        <f>Effort!F34</f>
        <v>824.28294978860936</v>
      </c>
      <c r="F36" s="38">
        <f>Harvest!F34</f>
        <v>12364.244246829141</v>
      </c>
      <c r="G36" s="36">
        <f>CPUE!F34</f>
        <v>15</v>
      </c>
      <c r="H36" s="30">
        <f>Effort!H34</f>
        <v>674.07271093631368</v>
      </c>
      <c r="I36" s="38">
        <f>Harvest!H34</f>
        <v>10111.090664044705</v>
      </c>
      <c r="J36" s="36">
        <f>CPUE!H34</f>
        <v>15</v>
      </c>
      <c r="K36" s="30" t="str">
        <f>Effort!J34</f>
        <v>CLOSED</v>
      </c>
      <c r="L36" s="38" t="str">
        <f>Harvest!J34</f>
        <v>CLOSED</v>
      </c>
      <c r="M36" s="36" t="str">
        <f>CPUE!J34</f>
        <v>CLOSED</v>
      </c>
      <c r="N36" s="30" t="str">
        <f>Effort!L34</f>
        <v>CLOSED</v>
      </c>
      <c r="O36" s="38" t="str">
        <f>Harvest!L34</f>
        <v>CLOSED</v>
      </c>
      <c r="P36" s="36" t="str">
        <f>CPUE!L34</f>
        <v>CLOSED</v>
      </c>
      <c r="Q36" s="30" t="str">
        <f>Effort!N34</f>
        <v>CLOSED</v>
      </c>
      <c r="R36" s="38" t="str">
        <f>Harvest!N34</f>
        <v>CLOSED</v>
      </c>
      <c r="S36" s="36" t="str">
        <f>CPUE!N34</f>
        <v>CLOSED</v>
      </c>
      <c r="T36" s="30">
        <f>+E36+H36</f>
        <v>1498.3556607249229</v>
      </c>
      <c r="U36" s="38">
        <f>+F36+I36</f>
        <v>22475.334910873848</v>
      </c>
    </row>
    <row r="37" spans="1:21" x14ac:dyDescent="0.25">
      <c r="A37" s="37">
        <v>41977</v>
      </c>
      <c r="B37" s="18">
        <v>41977</v>
      </c>
      <c r="C37" s="13">
        <v>-0.6</v>
      </c>
      <c r="D37" s="101">
        <v>0.70972222222222225</v>
      </c>
      <c r="E37" s="30">
        <f>Effort!F35</f>
        <v>830.18445556892209</v>
      </c>
      <c r="F37" s="38">
        <f>Harvest!F35</f>
        <v>12452.766833533831</v>
      </c>
      <c r="G37" s="36">
        <f>CPUE!F35</f>
        <v>15</v>
      </c>
      <c r="H37" s="30">
        <f>Effort!H35</f>
        <v>609.55989169725603</v>
      </c>
      <c r="I37" s="38">
        <f>Harvest!H35</f>
        <v>9075.6694986035909</v>
      </c>
      <c r="J37" s="36">
        <f>CPUE!H35</f>
        <v>14.888888888888891</v>
      </c>
      <c r="K37" s="30" t="str">
        <f>Effort!J35</f>
        <v>CLOSED</v>
      </c>
      <c r="L37" s="38" t="str">
        <f>Harvest!J35</f>
        <v>CLOSED</v>
      </c>
      <c r="M37" s="36" t="str">
        <f>CPUE!J35</f>
        <v>CLOSED</v>
      </c>
      <c r="N37" s="30" t="str">
        <f>Effort!L35</f>
        <v>CLOSED</v>
      </c>
      <c r="O37" s="38" t="str">
        <f>Harvest!L35</f>
        <v>CLOSED</v>
      </c>
      <c r="P37" s="36" t="str">
        <f>CPUE!L35</f>
        <v>CLOSED</v>
      </c>
      <c r="Q37" s="30" t="str">
        <f>Effort!N35</f>
        <v>CLOSED</v>
      </c>
      <c r="R37" s="38" t="str">
        <f>Harvest!N35</f>
        <v>CLOSED</v>
      </c>
      <c r="S37" s="36" t="str">
        <f>CPUE!N35</f>
        <v>CLOSED</v>
      </c>
      <c r="T37" s="30">
        <f>+E37+H37</f>
        <v>1439.744347266178</v>
      </c>
      <c r="U37" s="38">
        <f>+F37+I37</f>
        <v>21528.436332137422</v>
      </c>
    </row>
    <row r="38" spans="1:21" x14ac:dyDescent="0.25">
      <c r="A38" s="37">
        <v>41978</v>
      </c>
      <c r="B38" s="18">
        <v>41978</v>
      </c>
      <c r="C38" s="13">
        <v>-0.9</v>
      </c>
      <c r="D38" s="101">
        <v>0.73958333333333337</v>
      </c>
      <c r="E38" s="30">
        <f>Effort!F36</f>
        <v>846.04719266152802</v>
      </c>
      <c r="F38" s="38">
        <f>Harvest!F36</f>
        <v>12690.70788992292</v>
      </c>
      <c r="G38" s="36">
        <f>CPUE!F36</f>
        <v>15</v>
      </c>
      <c r="H38" s="30">
        <f>Effort!H36</f>
        <v>760.7193865793239</v>
      </c>
      <c r="I38" s="38">
        <f>Harvest!H36</f>
        <v>11410.790798689859</v>
      </c>
      <c r="J38" s="36">
        <f>CPUE!H36</f>
        <v>15</v>
      </c>
      <c r="K38" s="30" t="str">
        <f>Effort!J36</f>
        <v>CLOSED</v>
      </c>
      <c r="L38" s="38" t="str">
        <f>Harvest!J36</f>
        <v>CLOSED</v>
      </c>
      <c r="M38" s="36" t="str">
        <f>CPUE!J36</f>
        <v>CLOSED</v>
      </c>
      <c r="N38" s="30">
        <f>Effort!L36</f>
        <v>961.20237631072666</v>
      </c>
      <c r="O38" s="38">
        <f>Harvest!L36</f>
        <v>14418.0356446609</v>
      </c>
      <c r="P38" s="36">
        <f>CPUE!L36</f>
        <v>15</v>
      </c>
      <c r="Q38" s="30" t="str">
        <f>Effort!N36</f>
        <v>CLOSED</v>
      </c>
      <c r="R38" s="38" t="str">
        <f>Harvest!N36</f>
        <v>CLOSED</v>
      </c>
      <c r="S38" s="36" t="str">
        <f>CPUE!N36</f>
        <v>CLOSED</v>
      </c>
      <c r="T38" s="30">
        <f>+E38+H38+N38</f>
        <v>2567.9689555515788</v>
      </c>
      <c r="U38" s="38">
        <f>+F38+I38+O38</f>
        <v>38519.534333273681</v>
      </c>
    </row>
    <row r="39" spans="1:21" x14ac:dyDescent="0.25">
      <c r="A39" s="37">
        <v>41979</v>
      </c>
      <c r="B39" s="18">
        <v>41979</v>
      </c>
      <c r="C39" s="13">
        <v>-1</v>
      </c>
      <c r="D39" s="101">
        <v>0.7680555555555556</v>
      </c>
      <c r="E39" s="30">
        <f>Effort!F37</f>
        <v>1083.2473098560615</v>
      </c>
      <c r="F39" s="38">
        <f>Harvest!F37</f>
        <v>15925.352241913741</v>
      </c>
      <c r="G39" s="36">
        <f>CPUE!F37</f>
        <v>14.701492537313433</v>
      </c>
      <c r="H39" s="30">
        <f>Effort!H37</f>
        <v>885.63321904544841</v>
      </c>
      <c r="I39" s="38">
        <f>Harvest!H37</f>
        <v>12991.373247337264</v>
      </c>
      <c r="J39" s="36">
        <f>CPUE!H37</f>
        <v>14.669022082685203</v>
      </c>
      <c r="K39" s="30">
        <f>Effort!J37</f>
        <v>1191.6818844214458</v>
      </c>
      <c r="L39" s="38">
        <f>Harvest!J37</f>
        <v>15362.333857867772</v>
      </c>
      <c r="M39" s="36">
        <f>CPUE!J37</f>
        <v>12.89130434782609</v>
      </c>
      <c r="N39" s="30">
        <f>Effort!L37</f>
        <v>1410.4645974603841</v>
      </c>
      <c r="O39" s="38">
        <f>Harvest!L37</f>
        <v>20966.365637924631</v>
      </c>
      <c r="P39" s="36">
        <f>CPUE!L37</f>
        <v>14.864864864864867</v>
      </c>
      <c r="Q39" s="30" t="str">
        <f>Effort!N37</f>
        <v>CLOSED</v>
      </c>
      <c r="R39" s="38" t="str">
        <f>Harvest!N37</f>
        <v>CLOSED</v>
      </c>
      <c r="S39" s="36" t="str">
        <f>CPUE!N37</f>
        <v>CLOSED</v>
      </c>
      <c r="T39" s="30">
        <f>+E39+H39+K39+N39</f>
        <v>4571.0270107833403</v>
      </c>
      <c r="U39" s="38">
        <f>+F39+I39+L39+O39</f>
        <v>65245.424985043406</v>
      </c>
    </row>
    <row r="40" spans="1:21" x14ac:dyDescent="0.25">
      <c r="A40" s="37">
        <v>41980</v>
      </c>
      <c r="B40" s="18">
        <v>41980</v>
      </c>
      <c r="C40" s="13">
        <v>-0.9</v>
      </c>
      <c r="D40" s="101">
        <v>0.79583333333333328</v>
      </c>
      <c r="E40" s="30">
        <f>Effort!F38</f>
        <v>70.175437031005572</v>
      </c>
      <c r="F40" s="38">
        <f>Harvest!F38</f>
        <v>1052.6315554650837</v>
      </c>
      <c r="G40" s="36">
        <f>CPUE!F38</f>
        <v>15.000000000000002</v>
      </c>
      <c r="H40" s="30">
        <f>Effort!H38</f>
        <v>293.76068459717004</v>
      </c>
      <c r="I40" s="38">
        <f>Harvest!H38</f>
        <v>3113.8632567300024</v>
      </c>
      <c r="J40" s="36">
        <f>CPUE!H38</f>
        <v>10.6</v>
      </c>
      <c r="K40" s="30" t="str">
        <f>Effort!J38</f>
        <v>CLOSED</v>
      </c>
      <c r="L40" s="38" t="str">
        <f>Harvest!J38</f>
        <v>CLOSED</v>
      </c>
      <c r="M40" s="36" t="str">
        <f>CPUE!J38</f>
        <v>CLOSED</v>
      </c>
      <c r="N40" s="30">
        <f>Effort!L38</f>
        <v>347.3404756633463</v>
      </c>
      <c r="O40" s="38">
        <f>Harvest!L38</f>
        <v>5210.1071349501954</v>
      </c>
      <c r="P40" s="36">
        <f>CPUE!L38</f>
        <v>15.000000000000002</v>
      </c>
      <c r="Q40" s="30" t="str">
        <f>Effort!N38</f>
        <v>CLOSED</v>
      </c>
      <c r="R40" s="38" t="str">
        <f>Harvest!N38</f>
        <v>CLOSED</v>
      </c>
      <c r="S40" s="36" t="str">
        <f>CPUE!N38</f>
        <v>CLOSED</v>
      </c>
      <c r="T40" s="30">
        <f>+E40+H40+N40</f>
        <v>711.27659729152197</v>
      </c>
      <c r="U40" s="38">
        <f>+F40+I40+O40</f>
        <v>9376.6019471452819</v>
      </c>
    </row>
    <row r="41" spans="1:21" x14ac:dyDescent="0.25">
      <c r="A41" s="37">
        <v>41981</v>
      </c>
      <c r="B41" s="18">
        <v>41981</v>
      </c>
      <c r="C41" s="13">
        <v>-0.6</v>
      </c>
      <c r="D41" s="101">
        <v>0.82222222222222219</v>
      </c>
      <c r="E41" s="30">
        <f>Effort!F39</f>
        <v>70.175437031005572</v>
      </c>
      <c r="F41" s="38">
        <f>Harvest!F39</f>
        <v>1052.6315554650837</v>
      </c>
      <c r="G41" s="36">
        <f>CPUE!F39</f>
        <v>15.000000000000002</v>
      </c>
      <c r="H41" s="30">
        <f>Effort!H39</f>
        <v>293.76068459717004</v>
      </c>
      <c r="I41" s="38">
        <f>Harvest!H39</f>
        <v>3113.8632567300024</v>
      </c>
      <c r="J41" s="36">
        <f>CPUE!H39</f>
        <v>10.6</v>
      </c>
      <c r="K41" s="30" t="str">
        <f>Effort!J39</f>
        <v>CLOSED</v>
      </c>
      <c r="L41" s="38" t="str">
        <f>Harvest!J39</f>
        <v>CLOSED</v>
      </c>
      <c r="M41" s="36" t="str">
        <f>CPUE!J39</f>
        <v>CLOSED</v>
      </c>
      <c r="N41" s="30" t="str">
        <f>Effort!L39</f>
        <v>CLOSED</v>
      </c>
      <c r="O41" s="38" t="str">
        <f>Harvest!L39</f>
        <v>CLOSED</v>
      </c>
      <c r="P41" s="36" t="str">
        <f>CPUE!L39</f>
        <v>CLOSED</v>
      </c>
      <c r="Q41" s="30" t="str">
        <f>Effort!N39</f>
        <v>CLOSED</v>
      </c>
      <c r="R41" s="38" t="str">
        <f>Harvest!N39</f>
        <v>CLOSED</v>
      </c>
      <c r="S41" s="36" t="str">
        <f>CPUE!N39</f>
        <v>CLOSED</v>
      </c>
      <c r="T41" s="30">
        <f t="shared" ref="T41:U43" si="4">+E41+H41</f>
        <v>363.93612162817561</v>
      </c>
      <c r="U41" s="38">
        <f t="shared" si="4"/>
        <v>4166.4948121950856</v>
      </c>
    </row>
    <row r="42" spans="1:21" x14ac:dyDescent="0.25">
      <c r="A42" s="37">
        <v>41982</v>
      </c>
      <c r="B42" s="18">
        <v>41982</v>
      </c>
      <c r="C42" s="13">
        <v>-0.2</v>
      </c>
      <c r="D42" s="101">
        <v>0.84791666666666665</v>
      </c>
      <c r="E42" s="30">
        <f>Effort!F40</f>
        <v>0</v>
      </c>
      <c r="F42" s="38">
        <f>Harvest!F40</f>
        <v>0</v>
      </c>
      <c r="G42" s="36">
        <f>CPUE!F40</f>
        <v>0</v>
      </c>
      <c r="H42" s="30">
        <f>Effort!I40</f>
        <v>0</v>
      </c>
      <c r="I42" s="38">
        <f>Harvest!H40</f>
        <v>0</v>
      </c>
      <c r="J42" s="36">
        <f>CPUE!H40</f>
        <v>0</v>
      </c>
      <c r="K42" s="30" t="str">
        <f>Effort!J40</f>
        <v>CLOSED</v>
      </c>
      <c r="L42" s="38" t="str">
        <f>Harvest!J40</f>
        <v>CLOSED</v>
      </c>
      <c r="M42" s="36" t="str">
        <f>CPUE!J40</f>
        <v>CLOSED</v>
      </c>
      <c r="N42" s="30" t="str">
        <f>Effort!L40</f>
        <v>CLOSED</v>
      </c>
      <c r="O42" s="38" t="str">
        <f>Harvest!L40</f>
        <v>CLOSED</v>
      </c>
      <c r="P42" s="36" t="str">
        <f>CPUE!L40</f>
        <v>CLOSED</v>
      </c>
      <c r="Q42" s="30" t="str">
        <f>Effort!N40</f>
        <v>CLOSED</v>
      </c>
      <c r="R42" s="38" t="str">
        <f>Harvest!N40</f>
        <v>CLOSED</v>
      </c>
      <c r="S42" s="36" t="str">
        <f>CPUE!N40</f>
        <v>CLOSED</v>
      </c>
      <c r="T42" s="30">
        <f t="shared" si="4"/>
        <v>0</v>
      </c>
      <c r="U42" s="38">
        <f t="shared" si="4"/>
        <v>0</v>
      </c>
    </row>
    <row r="43" spans="1:21" x14ac:dyDescent="0.25">
      <c r="A43" s="37">
        <v>41983</v>
      </c>
      <c r="B43" s="18">
        <v>41983</v>
      </c>
      <c r="C43" s="13">
        <v>0.2</v>
      </c>
      <c r="D43" s="102">
        <v>0.87361111111111112</v>
      </c>
      <c r="E43" s="30">
        <f>Effort!F41</f>
        <v>0</v>
      </c>
      <c r="F43" s="38">
        <f>Harvest!F41</f>
        <v>0</v>
      </c>
      <c r="G43" s="36">
        <f>CPUE!F41</f>
        <v>0</v>
      </c>
      <c r="H43" s="30">
        <f>Effort!I41</f>
        <v>0</v>
      </c>
      <c r="I43" s="38">
        <f>Harvest!H41</f>
        <v>0</v>
      </c>
      <c r="J43" s="36">
        <f>CPUE!H41</f>
        <v>0</v>
      </c>
      <c r="K43" s="30" t="str">
        <f>Effort!J41</f>
        <v>CLOSED</v>
      </c>
      <c r="L43" s="38" t="str">
        <f>Harvest!J41</f>
        <v>CLOSED</v>
      </c>
      <c r="M43" s="36" t="str">
        <f>CPUE!J41</f>
        <v>CLOSED</v>
      </c>
      <c r="N43" s="30" t="str">
        <f>Effort!L41</f>
        <v>CLOSED</v>
      </c>
      <c r="O43" s="38" t="str">
        <f>Harvest!L41</f>
        <v>CLOSED</v>
      </c>
      <c r="P43" s="36" t="str">
        <f>CPUE!L41</f>
        <v>CLOSED</v>
      </c>
      <c r="Q43" s="30" t="str">
        <f>Effort!N41</f>
        <v>CLOSED</v>
      </c>
      <c r="R43" s="38" t="str">
        <f>Harvest!N41</f>
        <v>CLOSED</v>
      </c>
      <c r="S43" s="36" t="str">
        <f>CPUE!N41</f>
        <v>CLOSED</v>
      </c>
      <c r="T43" s="30">
        <f t="shared" si="4"/>
        <v>0</v>
      </c>
      <c r="U43" s="38">
        <f t="shared" si="4"/>
        <v>0</v>
      </c>
    </row>
    <row r="44" spans="1:21" x14ac:dyDescent="0.25">
      <c r="A44" s="225" t="s">
        <v>32</v>
      </c>
      <c r="B44" s="225"/>
      <c r="C44" s="225"/>
      <c r="D44" s="226"/>
      <c r="E44" s="34">
        <f>SUM(E36:E43)</f>
        <v>3724.1127819371313</v>
      </c>
      <c r="F44" s="35">
        <f>SUM(F36:F43)</f>
        <v>55538.334323129806</v>
      </c>
      <c r="G44" s="33">
        <f>+F44/E44</f>
        <v>14.913171962058849</v>
      </c>
      <c r="H44" s="34">
        <f>SUM(H36:H43)</f>
        <v>3517.506577452682</v>
      </c>
      <c r="I44" s="35">
        <f>SUM(I36:I43)</f>
        <v>49816.650722135419</v>
      </c>
      <c r="J44" s="33">
        <f>+I44/H44</f>
        <v>14.162489714009798</v>
      </c>
      <c r="K44" s="34">
        <f>SUM(K36:K43)</f>
        <v>1191.6818844214458</v>
      </c>
      <c r="L44" s="35">
        <f>SUM(L36:L43)</f>
        <v>15362.333857867772</v>
      </c>
      <c r="M44" s="33">
        <f>+L44/K44</f>
        <v>12.89130434782609</v>
      </c>
      <c r="N44" s="34">
        <f>SUM(N36:N43)</f>
        <v>2719.0074494344572</v>
      </c>
      <c r="O44" s="35">
        <f>SUM(O36:O43)</f>
        <v>40594.508417535726</v>
      </c>
      <c r="P44" s="33">
        <f>+O44/N44</f>
        <v>14.929899668343765</v>
      </c>
      <c r="Q44" s="34"/>
      <c r="R44" s="35"/>
      <c r="S44" s="33"/>
      <c r="T44" s="34">
        <f>SUM(T36:T43)</f>
        <v>11152.308693245719</v>
      </c>
      <c r="U44" s="35">
        <f>SUM(U36:U43)</f>
        <v>161311.8273206687</v>
      </c>
    </row>
    <row r="45" spans="1:21" x14ac:dyDescent="0.25">
      <c r="A45" s="37">
        <v>41992</v>
      </c>
      <c r="B45" s="18">
        <v>41992</v>
      </c>
      <c r="C45" s="13">
        <v>0</v>
      </c>
      <c r="D45" s="101">
        <v>0.69513888888888886</v>
      </c>
      <c r="E45" s="30">
        <f>Effort!F43</f>
        <v>1267.1719690800735</v>
      </c>
      <c r="F45" s="38">
        <f>Harvest!F43</f>
        <v>13707.333145788125</v>
      </c>
      <c r="G45" s="36">
        <f>CPUE!F43</f>
        <v>10.817263544536274</v>
      </c>
      <c r="H45" s="30">
        <f>Effort!H43</f>
        <v>550.46402318002265</v>
      </c>
      <c r="I45" s="38">
        <f>Harvest!H43</f>
        <v>3878.2692542228874</v>
      </c>
      <c r="J45" s="36">
        <f>CPUE!H43</f>
        <v>7.0454545454545467</v>
      </c>
      <c r="K45" s="30" t="str">
        <f>Effort!J43</f>
        <v>CLOSED</v>
      </c>
      <c r="L45" s="38" t="str">
        <f>Harvest!J43</f>
        <v>CLOSED</v>
      </c>
      <c r="M45" s="36" t="str">
        <f>CPUE!J43</f>
        <v>CLOSED</v>
      </c>
      <c r="N45" s="30">
        <f>Effort!L43</f>
        <v>909.71745179664254</v>
      </c>
      <c r="O45" s="38">
        <f>Harvest!L43</f>
        <v>5939.9198323192541</v>
      </c>
      <c r="P45" s="36">
        <f>CPUE!L43</f>
        <v>6.5294117647058822</v>
      </c>
      <c r="Q45" s="30" t="str">
        <f>Effort!N43</f>
        <v>CLOSED</v>
      </c>
      <c r="R45" s="38" t="str">
        <f>Harvest!N43</f>
        <v>CLOSED</v>
      </c>
      <c r="S45" s="36" t="str">
        <f>CPUE!N43</f>
        <v>CLOSED</v>
      </c>
      <c r="T45" s="30">
        <f>+E45+H45+N45</f>
        <v>2727.3534440567387</v>
      </c>
      <c r="U45" s="38">
        <f>+F45+I45+O45</f>
        <v>23525.522232330266</v>
      </c>
    </row>
    <row r="46" spans="1:21" x14ac:dyDescent="0.25">
      <c r="A46" s="37">
        <v>41993</v>
      </c>
      <c r="B46" s="18">
        <v>41993</v>
      </c>
      <c r="C46" s="13">
        <v>-0.6</v>
      </c>
      <c r="D46" s="101">
        <v>0.72430555555555554</v>
      </c>
      <c r="E46" s="30">
        <f>Effort!F44</f>
        <v>1267.1719690800735</v>
      </c>
      <c r="F46" s="38">
        <f>Harvest!F44</f>
        <v>0</v>
      </c>
      <c r="G46" s="36">
        <f>CPUE!F44</f>
        <v>0</v>
      </c>
      <c r="H46" s="30">
        <f>Effort!H44</f>
        <v>274.9749870351244</v>
      </c>
      <c r="I46" s="38">
        <f>Harvest!H44</f>
        <v>0</v>
      </c>
      <c r="J46" s="36">
        <f>CPUE!H44</f>
        <v>0</v>
      </c>
      <c r="K46" s="30">
        <f>Effort!J44</f>
        <v>781.84675942100864</v>
      </c>
      <c r="L46" s="38">
        <f>Harvest!J44</f>
        <v>68.986478772441941</v>
      </c>
      <c r="M46" s="36">
        <f>CPUE!J44</f>
        <v>8.8235294117647065E-2</v>
      </c>
      <c r="N46" s="30">
        <f>Effort!L44</f>
        <v>454.43395749698209</v>
      </c>
      <c r="O46" s="38">
        <f>Harvest!L44</f>
        <v>0</v>
      </c>
      <c r="P46" s="36">
        <f>CPUE!L44</f>
        <v>0</v>
      </c>
      <c r="Q46" s="30" t="str">
        <f>Effort!N44</f>
        <v>CLOSED</v>
      </c>
      <c r="R46" s="38" t="str">
        <f>Harvest!N44</f>
        <v>CLOSED</v>
      </c>
      <c r="S46" s="36" t="str">
        <f>CPUE!N44</f>
        <v>CLOSED</v>
      </c>
      <c r="T46" s="30">
        <f>+E46+H46+K46+N46</f>
        <v>2778.427673033189</v>
      </c>
      <c r="U46" s="38">
        <f>+F46+I46+L46+O46</f>
        <v>68.986478772441941</v>
      </c>
    </row>
    <row r="47" spans="1:21" x14ac:dyDescent="0.25">
      <c r="A47" s="37">
        <v>41994</v>
      </c>
      <c r="B47" s="18">
        <v>41994</v>
      </c>
      <c r="C47" s="13">
        <v>-1.1000000000000001</v>
      </c>
      <c r="D47" s="101">
        <v>0.75416666666666665</v>
      </c>
      <c r="E47" s="30">
        <f>Effort!F45</f>
        <v>743.27189593067988</v>
      </c>
      <c r="F47" s="38">
        <f>Harvest!F45</f>
        <v>11149.078438960198</v>
      </c>
      <c r="G47" s="36">
        <f>CPUE!F45</f>
        <v>15</v>
      </c>
      <c r="H47" s="30">
        <f>Effort!H45</f>
        <v>737.87682546183703</v>
      </c>
      <c r="I47" s="38">
        <f>Harvest!H45</f>
        <v>9386.4796169215078</v>
      </c>
      <c r="J47" s="36">
        <f>CPUE!H45</f>
        <v>12.720930232558139</v>
      </c>
      <c r="K47" s="30" t="str">
        <f>Effort!J45</f>
        <v>CLOSED</v>
      </c>
      <c r="L47" s="38" t="str">
        <f>Harvest!J45</f>
        <v>CLOSED</v>
      </c>
      <c r="M47" s="36" t="str">
        <f>CPUE!J45</f>
        <v>CLOSED</v>
      </c>
      <c r="N47" s="30">
        <f>Effort!L45</f>
        <v>872.46013838893214</v>
      </c>
      <c r="O47" s="38">
        <f>Harvest!L45</f>
        <v>13086.902075833983</v>
      </c>
      <c r="P47" s="36">
        <f>CPUE!L45</f>
        <v>15</v>
      </c>
      <c r="Q47" s="30" t="str">
        <f>Effort!N45</f>
        <v>CLOSED</v>
      </c>
      <c r="R47" s="38" t="str">
        <f>Harvest!N45</f>
        <v>CLOSED</v>
      </c>
      <c r="S47" s="36" t="str">
        <f>CPUE!N45</f>
        <v>CLOSED</v>
      </c>
      <c r="T47" s="30">
        <f>+E47+H47+N47</f>
        <v>2353.6088597814492</v>
      </c>
      <c r="U47" s="38">
        <f>+F47+I47+O47</f>
        <v>33622.460131715692</v>
      </c>
    </row>
    <row r="48" spans="1:21" x14ac:dyDescent="0.25">
      <c r="A48" s="37">
        <v>41995</v>
      </c>
      <c r="B48" s="18">
        <v>41995</v>
      </c>
      <c r="C48" s="13">
        <v>-1.3</v>
      </c>
      <c r="D48" s="101">
        <v>0.78333333333333333</v>
      </c>
      <c r="E48" s="30">
        <f>Effort!F46</f>
        <v>633.49119806581325</v>
      </c>
      <c r="F48" s="38">
        <f>Harvest!F46</f>
        <v>8907.2701788647682</v>
      </c>
      <c r="G48" s="36">
        <f>CPUE!F46</f>
        <v>14.060606060606061</v>
      </c>
      <c r="H48" s="30">
        <f>Effort!H46</f>
        <v>275.19083600751952</v>
      </c>
      <c r="I48" s="38">
        <f>Harvest!H46</f>
        <v>2520.168708700442</v>
      </c>
      <c r="J48" s="36">
        <f>CPUE!H46</f>
        <v>9.1578947368421062</v>
      </c>
      <c r="K48" s="30" t="str">
        <f>Effort!J46</f>
        <v>CLOSED</v>
      </c>
      <c r="L48" s="38" t="str">
        <f>Harvest!J46</f>
        <v>CLOSED</v>
      </c>
      <c r="M48" s="36" t="str">
        <f>CPUE!J46</f>
        <v>CLOSED</v>
      </c>
      <c r="N48" s="30" t="str">
        <f>Effort!L46</f>
        <v>CLOSED</v>
      </c>
      <c r="O48" s="38" t="str">
        <f>Harvest!L46</f>
        <v>CLOSED</v>
      </c>
      <c r="P48" s="36" t="str">
        <f>CPUE!L46</f>
        <v>CLOSED</v>
      </c>
      <c r="Q48" s="30" t="str">
        <f>Effort!N46</f>
        <v>CLOSED</v>
      </c>
      <c r="R48" s="38" t="str">
        <f>Harvest!N46</f>
        <v>CLOSED</v>
      </c>
      <c r="S48" s="36" t="str">
        <f>CPUE!N46</f>
        <v>CLOSED</v>
      </c>
      <c r="T48" s="30">
        <f>+E48+H48</f>
        <v>908.68203407333272</v>
      </c>
      <c r="U48" s="38">
        <f>+F48+I48</f>
        <v>11427.438887565211</v>
      </c>
    </row>
    <row r="49" spans="1:21" x14ac:dyDescent="0.25">
      <c r="A49" s="37">
        <v>41996</v>
      </c>
      <c r="B49" s="18">
        <v>41996</v>
      </c>
      <c r="C49" s="13">
        <v>-1.3</v>
      </c>
      <c r="D49" s="101">
        <v>0.81319444444444444</v>
      </c>
      <c r="E49" s="30">
        <f>Effort!F47</f>
        <v>633.49119806581325</v>
      </c>
      <c r="F49" s="38">
        <f>Harvest!F47</f>
        <v>8907.2701788647682</v>
      </c>
      <c r="G49" s="36">
        <f>CPUE!F47</f>
        <v>14.060606060606061</v>
      </c>
      <c r="H49" s="30">
        <f>Effort!H47</f>
        <v>275.19083600751952</v>
      </c>
      <c r="I49" s="38">
        <f>Harvest!H47</f>
        <v>2520.168708700442</v>
      </c>
      <c r="J49" s="36">
        <f>CPUE!H47</f>
        <v>9.1578947368421062</v>
      </c>
      <c r="K49" s="30" t="str">
        <f>Effort!J47</f>
        <v>CLOSED</v>
      </c>
      <c r="L49" s="38" t="str">
        <f>Harvest!J47</f>
        <v>CLOSED</v>
      </c>
      <c r="M49" s="36" t="str">
        <f>CPUE!J47</f>
        <v>CLOSED</v>
      </c>
      <c r="N49" s="30" t="str">
        <f>Effort!L47</f>
        <v>CLOSED</v>
      </c>
      <c r="O49" s="38" t="str">
        <f>Harvest!L47</f>
        <v>CLOSED</v>
      </c>
      <c r="P49" s="36" t="str">
        <f>CPUE!L47</f>
        <v>CLOSED</v>
      </c>
      <c r="Q49" s="30" t="str">
        <f>Effort!N47</f>
        <v>CLOSED</v>
      </c>
      <c r="R49" s="38" t="str">
        <f>Harvest!N47</f>
        <v>CLOSED</v>
      </c>
      <c r="S49" s="36" t="str">
        <f>CPUE!N47</f>
        <v>CLOSED</v>
      </c>
      <c r="T49" s="30">
        <f>+E49+H49</f>
        <v>908.68203407333272</v>
      </c>
      <c r="U49" s="38">
        <f>+F49+I49</f>
        <v>11427.438887565211</v>
      </c>
    </row>
    <row r="50" spans="1:21" x14ac:dyDescent="0.25">
      <c r="A50" s="225" t="s">
        <v>32</v>
      </c>
      <c r="B50" s="225"/>
      <c r="C50" s="225"/>
      <c r="D50" s="226"/>
      <c r="E50" s="34">
        <f>SUM(E45:E49)</f>
        <v>4544.5982302224538</v>
      </c>
      <c r="F50" s="35">
        <f>SUM(F45:F49)</f>
        <v>42670.951942477855</v>
      </c>
      <c r="G50" s="33">
        <f>+F50/E50</f>
        <v>9.3893782862273287</v>
      </c>
      <c r="H50" s="34">
        <f>SUM(H45:H49)</f>
        <v>2113.697507692023</v>
      </c>
      <c r="I50" s="35">
        <f>SUM(I45:I49)</f>
        <v>18305.086288545281</v>
      </c>
      <c r="J50" s="33">
        <f>+I50/H50</f>
        <v>8.6602204061511472</v>
      </c>
      <c r="K50" s="34">
        <f>SUM(K45:K49)</f>
        <v>781.84675942100864</v>
      </c>
      <c r="L50" s="35">
        <f>SUM(L45:L49)</f>
        <v>68.986478772441941</v>
      </c>
      <c r="M50" s="33">
        <f>+L50/K50</f>
        <v>8.8235294117647065E-2</v>
      </c>
      <c r="N50" s="34">
        <f>SUM(N45:N49)</f>
        <v>2236.6115476825566</v>
      </c>
      <c r="O50" s="35">
        <f>SUM(O45:O49)</f>
        <v>19026.821908153237</v>
      </c>
      <c r="P50" s="33">
        <f>+O50/N50</f>
        <v>8.506985456579482</v>
      </c>
      <c r="Q50" s="34"/>
      <c r="R50" s="35"/>
      <c r="S50" s="33"/>
      <c r="T50" s="34">
        <f>SUM(T45:T48)</f>
        <v>8768.0720109447084</v>
      </c>
      <c r="U50" s="35">
        <f>SUM(U45:U48)</f>
        <v>68644.407730383609</v>
      </c>
    </row>
    <row r="51" spans="1:21" x14ac:dyDescent="0.25">
      <c r="A51" s="37">
        <v>42004</v>
      </c>
      <c r="B51" s="18">
        <v>42004</v>
      </c>
      <c r="C51" s="13">
        <v>0.6</v>
      </c>
      <c r="D51" s="101">
        <v>0.62847222222222221</v>
      </c>
      <c r="E51" s="30">
        <f>Effort!F49</f>
        <v>5185.6616650336464</v>
      </c>
      <c r="F51" s="38">
        <f>Harvest!F49</f>
        <v>59297.034891128853</v>
      </c>
      <c r="G51" s="36">
        <f>CPUE!F49</f>
        <v>11.434805955614559</v>
      </c>
      <c r="H51" s="30">
        <f>Effort!H49</f>
        <v>2069.6049382716051</v>
      </c>
      <c r="I51" s="38">
        <f>Harvest!H49</f>
        <v>30310.543209876541</v>
      </c>
      <c r="J51" s="36">
        <f>CPUE!H49</f>
        <v>14.645569620253163</v>
      </c>
      <c r="K51" s="30">
        <f>Effort!J49</f>
        <v>2956.2947549713276</v>
      </c>
      <c r="L51" s="38">
        <f>Harvest!J49</f>
        <v>44344.421324569907</v>
      </c>
      <c r="M51" s="36">
        <f>CPUE!J49</f>
        <v>14.999999999999998</v>
      </c>
      <c r="N51" s="30">
        <f>Effort!L49</f>
        <v>1992.3103799895064</v>
      </c>
      <c r="O51" s="38">
        <f>Harvest!L49</f>
        <v>29884.655699842595</v>
      </c>
      <c r="P51" s="36">
        <f>CPUE!L49</f>
        <v>15</v>
      </c>
      <c r="Q51" s="30" t="str">
        <f>Effort!N49</f>
        <v>CLOSED</v>
      </c>
      <c r="R51" s="38" t="str">
        <f>Harvest!N49</f>
        <v>CLOSED</v>
      </c>
      <c r="S51" s="36" t="str">
        <f>CPUE!N49</f>
        <v>CLOSED</v>
      </c>
      <c r="T51" s="30">
        <f t="shared" ref="T51:U54" si="5">+E51+H51+K51+N51</f>
        <v>12203.871738266087</v>
      </c>
      <c r="U51" s="38">
        <f t="shared" si="5"/>
        <v>163836.65512541792</v>
      </c>
    </row>
    <row r="52" spans="1:21" x14ac:dyDescent="0.25">
      <c r="A52" s="37">
        <v>42005</v>
      </c>
      <c r="B52" s="18">
        <v>42005</v>
      </c>
      <c r="C52" s="13">
        <v>0.2</v>
      </c>
      <c r="D52" s="101">
        <v>0.66736111111111107</v>
      </c>
      <c r="E52" s="30">
        <f>Effort!F50</f>
        <v>3826.3357200298424</v>
      </c>
      <c r="F52" s="38">
        <f>Harvest!F50</f>
        <v>57295.218346881637</v>
      </c>
      <c r="G52" s="36">
        <f>CPUE!F50</f>
        <v>14.973913043478261</v>
      </c>
      <c r="H52" s="30">
        <f>Effort!H50</f>
        <v>2197.8904206722964</v>
      </c>
      <c r="I52" s="38">
        <f>Harvest!H50</f>
        <v>32968.356310084448</v>
      </c>
      <c r="J52" s="36">
        <f>CPUE!H50</f>
        <v>15</v>
      </c>
      <c r="K52" s="30">
        <f>Effort!J50</f>
        <v>3455.8474017668996</v>
      </c>
      <c r="L52" s="38">
        <f>Harvest!J50</f>
        <v>51837.711026503501</v>
      </c>
      <c r="M52" s="36">
        <f>CPUE!J50</f>
        <v>15.000000000000002</v>
      </c>
      <c r="N52" s="30">
        <f>Effort!L50</f>
        <v>2947.4411495022296</v>
      </c>
      <c r="O52" s="38">
        <f>Harvest!L50</f>
        <v>44211.617242533437</v>
      </c>
      <c r="P52" s="36">
        <f>CPUE!L50</f>
        <v>14.999999999999998</v>
      </c>
      <c r="Q52" s="30" t="str">
        <f>Effort!N50</f>
        <v>CLOSED</v>
      </c>
      <c r="R52" s="38" t="str">
        <f>Harvest!N50</f>
        <v>CLOSED</v>
      </c>
      <c r="S52" s="36" t="str">
        <f>CPUE!N50</f>
        <v>CLOSED</v>
      </c>
      <c r="T52" s="30">
        <f t="shared" si="5"/>
        <v>12427.514691971268</v>
      </c>
      <c r="U52" s="38">
        <f t="shared" si="5"/>
        <v>186312.90292600304</v>
      </c>
    </row>
    <row r="53" spans="1:21" x14ac:dyDescent="0.25">
      <c r="A53" s="37">
        <v>42006</v>
      </c>
      <c r="B53" s="18">
        <v>42006</v>
      </c>
      <c r="C53" s="13">
        <v>-0.2</v>
      </c>
      <c r="D53" s="101">
        <v>0.7006944444444444</v>
      </c>
      <c r="E53" s="30">
        <f>Effort!F51</f>
        <v>2940.3607351515398</v>
      </c>
      <c r="F53" s="38">
        <f>Harvest!F51</f>
        <v>44105.41102727309</v>
      </c>
      <c r="G53" s="36">
        <f>CPUE!F51</f>
        <v>14.999999999999998</v>
      </c>
      <c r="H53" s="30">
        <f>Effort!H51</f>
        <v>2043.1925436231891</v>
      </c>
      <c r="I53" s="38">
        <f>Harvest!H51</f>
        <v>30647.888154347838</v>
      </c>
      <c r="J53" s="36">
        <f>CPUE!H51</f>
        <v>15.000000000000002</v>
      </c>
      <c r="K53" s="30">
        <f>Effort!J51</f>
        <v>2410.8541485573114</v>
      </c>
      <c r="L53" s="38">
        <f>Harvest!J51</f>
        <v>33253.16066975602</v>
      </c>
      <c r="M53" s="36">
        <f>CPUE!J51</f>
        <v>13.793103448275863</v>
      </c>
      <c r="N53" s="30">
        <f>Effort!L51</f>
        <v>1198.2597506643551</v>
      </c>
      <c r="O53" s="38">
        <f>Harvest!L51</f>
        <v>17958.533955469629</v>
      </c>
      <c r="P53" s="36">
        <f>CPUE!L51</f>
        <v>14.987179487179487</v>
      </c>
      <c r="Q53" s="30" t="str">
        <f>Effort!N51</f>
        <v>CLOSED</v>
      </c>
      <c r="R53" s="38" t="str">
        <f>Harvest!N51</f>
        <v>CLOSED</v>
      </c>
      <c r="S53" s="36" t="str">
        <f>CPUE!N51</f>
        <v>CLOSED</v>
      </c>
      <c r="T53" s="30">
        <f t="shared" si="5"/>
        <v>8592.6671779963945</v>
      </c>
      <c r="U53" s="38">
        <f t="shared" si="5"/>
        <v>125964.99380684657</v>
      </c>
    </row>
    <row r="54" spans="1:21" x14ac:dyDescent="0.25">
      <c r="A54" s="37">
        <v>42007</v>
      </c>
      <c r="B54" s="18">
        <v>42007</v>
      </c>
      <c r="C54" s="13">
        <v>-0.5</v>
      </c>
      <c r="D54" s="101">
        <v>0.73055555555555551</v>
      </c>
      <c r="E54" s="30">
        <f>Effort!F52</f>
        <v>5795.5223384893889</v>
      </c>
      <c r="F54" s="38">
        <f>Harvest!F52</f>
        <v>53497.129278363587</v>
      </c>
      <c r="G54" s="36">
        <f>CPUE!F52</f>
        <v>9.2307692307692299</v>
      </c>
      <c r="H54" s="30">
        <f>Effort!H52</f>
        <v>1791.1228595464288</v>
      </c>
      <c r="I54" s="38">
        <f>Harvest!H52</f>
        <v>25908.800433439043</v>
      </c>
      <c r="J54" s="36">
        <f>CPUE!H52</f>
        <v>14.465116279069768</v>
      </c>
      <c r="K54" s="30">
        <f>Effort!J52</f>
        <v>3146.092369996888</v>
      </c>
      <c r="L54" s="38">
        <f>Harvest!J52</f>
        <v>47280.007870234927</v>
      </c>
      <c r="M54" s="36">
        <f>CPUE!J52</f>
        <v>15.028169014084508</v>
      </c>
      <c r="N54" s="30">
        <f>Effort!L52</f>
        <v>1581.3260055603935</v>
      </c>
      <c r="O54" s="38">
        <f>Harvest!L52</f>
        <v>23688.88369114001</v>
      </c>
      <c r="P54" s="36">
        <f>CPUE!L52</f>
        <v>14.980392156862743</v>
      </c>
      <c r="Q54" s="30" t="str">
        <f>Effort!N52</f>
        <v>CLOSED</v>
      </c>
      <c r="R54" s="38" t="str">
        <f>Harvest!N52</f>
        <v>CLOSED</v>
      </c>
      <c r="S54" s="36" t="str">
        <f>CPUE!N52</f>
        <v>CLOSED</v>
      </c>
      <c r="T54" s="30">
        <f t="shared" si="5"/>
        <v>12314.063573593099</v>
      </c>
      <c r="U54" s="38">
        <f t="shared" si="5"/>
        <v>150374.82127317757</v>
      </c>
    </row>
    <row r="55" spans="1:21" x14ac:dyDescent="0.25">
      <c r="A55" s="37">
        <v>42008</v>
      </c>
      <c r="B55" s="18">
        <v>42008</v>
      </c>
      <c r="C55" s="13">
        <v>-0.5</v>
      </c>
      <c r="D55" s="101">
        <v>0.7583333333333333</v>
      </c>
      <c r="E55" s="30">
        <f>Effort!F53</f>
        <v>154.10095679897265</v>
      </c>
      <c r="F55" s="38">
        <f>Harvest!F53</f>
        <v>616.40382719589059</v>
      </c>
      <c r="G55" s="36">
        <f>CPUE!F53</f>
        <v>4</v>
      </c>
      <c r="H55" s="30">
        <f>Effort!H53</f>
        <v>65.748279539445562</v>
      </c>
      <c r="I55" s="38">
        <f>Harvest!H53</f>
        <v>547.90232949537983</v>
      </c>
      <c r="J55" s="36">
        <f>CPUE!H53</f>
        <v>8.3333333333333357</v>
      </c>
      <c r="K55" s="30" t="str">
        <f>Effort!J53</f>
        <v>CLOSED</v>
      </c>
      <c r="L55" s="38" t="str">
        <f>Harvest!J53</f>
        <v>CLOSED</v>
      </c>
      <c r="M55" s="36" t="str">
        <f>CPUE!J53</f>
        <v>CLOSED</v>
      </c>
      <c r="N55" s="30">
        <f>Effort!L53</f>
        <v>97.88867042751744</v>
      </c>
      <c r="O55" s="38">
        <f>Harvest!L53</f>
        <v>391.55468171006976</v>
      </c>
      <c r="P55" s="36">
        <f>CPUE!L53</f>
        <v>4</v>
      </c>
      <c r="Q55" s="30" t="str">
        <f>Effort!N53</f>
        <v>CLOSED</v>
      </c>
      <c r="R55" s="38" t="str">
        <f>Harvest!N53</f>
        <v>CLOSED</v>
      </c>
      <c r="S55" s="36" t="str">
        <f>CPUE!N53</f>
        <v>CLOSED</v>
      </c>
      <c r="T55" s="30">
        <f>+E55+H55+N55</f>
        <v>317.73790676593569</v>
      </c>
      <c r="U55" s="38">
        <f>+F55+I55+O55</f>
        <v>1555.8608384013401</v>
      </c>
    </row>
    <row r="56" spans="1:21" x14ac:dyDescent="0.25">
      <c r="A56" s="37">
        <v>42009</v>
      </c>
      <c r="B56" s="18">
        <v>42009</v>
      </c>
      <c r="C56" s="13">
        <v>-0.5</v>
      </c>
      <c r="D56" s="101">
        <v>0.78333333333333333</v>
      </c>
      <c r="E56" s="30">
        <f>Effort!F54</f>
        <v>18.722546153146208</v>
      </c>
      <c r="F56" s="38">
        <f>Harvest!F54</f>
        <v>0</v>
      </c>
      <c r="G56" s="36">
        <f>CPUE!F54</f>
        <v>0</v>
      </c>
      <c r="H56" s="30">
        <f>Effort!H54</f>
        <v>65.748279539445562</v>
      </c>
      <c r="I56" s="38">
        <f>Harvest!H54</f>
        <v>0</v>
      </c>
      <c r="J56" s="36">
        <f>CPUE!H54</f>
        <v>0</v>
      </c>
      <c r="K56" s="30" t="str">
        <f>Effort!J54</f>
        <v>CLOSED</v>
      </c>
      <c r="L56" s="38" t="str">
        <f>Harvest!J54</f>
        <v>CLOSED</v>
      </c>
      <c r="M56" s="36" t="str">
        <f>CPUE!J54</f>
        <v>CLOSED</v>
      </c>
      <c r="N56" s="30" t="str">
        <f>Effort!L54</f>
        <v>CLOSED</v>
      </c>
      <c r="O56" s="38" t="str">
        <f>Harvest!L54</f>
        <v>CLOSED</v>
      </c>
      <c r="P56" s="36" t="str">
        <f>CPUE!L54</f>
        <v>CLOSED</v>
      </c>
      <c r="Q56" s="30" t="str">
        <f>Effort!N54</f>
        <v>CLOSED</v>
      </c>
      <c r="R56" s="38" t="str">
        <f>Harvest!N54</f>
        <v>CLOSED</v>
      </c>
      <c r="S56" s="36" t="str">
        <f>CPUE!N54</f>
        <v>CLOSED</v>
      </c>
      <c r="T56" s="30">
        <f t="shared" ref="T56:U58" si="6">+E56+H56</f>
        <v>84.470825692591774</v>
      </c>
      <c r="U56" s="38">
        <f t="shared" si="6"/>
        <v>0</v>
      </c>
    </row>
    <row r="57" spans="1:21" x14ac:dyDescent="0.25">
      <c r="A57" s="37">
        <v>42010</v>
      </c>
      <c r="B57" s="18">
        <v>42010</v>
      </c>
      <c r="C57" s="13">
        <v>-0.3</v>
      </c>
      <c r="D57" s="101">
        <v>0.80763888888888891</v>
      </c>
      <c r="E57" s="30">
        <f>Effort!F55</f>
        <v>412.7915192452005</v>
      </c>
      <c r="F57" s="38">
        <f>Harvest!F55</f>
        <v>2502.8201587919525</v>
      </c>
      <c r="G57" s="36">
        <f>CPUE!F55</f>
        <v>6.0631578947368423</v>
      </c>
      <c r="H57" s="30">
        <f>Effort!H55</f>
        <v>176.12046519770087</v>
      </c>
      <c r="I57" s="38">
        <f>Harvest!H55</f>
        <v>2224.6795603920114</v>
      </c>
      <c r="J57" s="36">
        <f>CPUE!H55</f>
        <v>12.631578947368423</v>
      </c>
      <c r="K57" s="30" t="str">
        <f>Effort!J55</f>
        <v>CLOSED</v>
      </c>
      <c r="L57" s="38" t="str">
        <f>Harvest!J55</f>
        <v>CLOSED</v>
      </c>
      <c r="M57" s="36" t="str">
        <f>CPUE!J55</f>
        <v>CLOSED</v>
      </c>
      <c r="N57" s="30" t="str">
        <f>Effort!L55</f>
        <v>CLOSED</v>
      </c>
      <c r="O57" s="38" t="str">
        <f>Harvest!L55</f>
        <v>CLOSED</v>
      </c>
      <c r="P57" s="36" t="str">
        <f>CPUE!L55</f>
        <v>CLOSED</v>
      </c>
      <c r="Q57" s="30" t="str">
        <f>Effort!N55</f>
        <v>CLOSED</v>
      </c>
      <c r="R57" s="38" t="str">
        <f>Harvest!N55</f>
        <v>CLOSED</v>
      </c>
      <c r="S57" s="36" t="str">
        <f>CPUE!N55</f>
        <v>CLOSED</v>
      </c>
      <c r="T57" s="30">
        <f t="shared" si="6"/>
        <v>588.91198444290137</v>
      </c>
      <c r="U57" s="38">
        <f t="shared" si="6"/>
        <v>4727.4997191839639</v>
      </c>
    </row>
    <row r="58" spans="1:21" x14ac:dyDescent="0.25">
      <c r="A58" s="37">
        <v>42011</v>
      </c>
      <c r="B58" s="18">
        <v>42011</v>
      </c>
      <c r="C58" s="13">
        <v>-0.1</v>
      </c>
      <c r="D58" s="102">
        <v>0.83125000000000004</v>
      </c>
      <c r="E58" s="30">
        <f>Effort!F56</f>
        <v>103.19917210441996</v>
      </c>
      <c r="F58" s="38">
        <f>Harvest!F56</f>
        <v>1547.9875815662995</v>
      </c>
      <c r="G58" s="36">
        <f>CPUE!F56</f>
        <v>15.000000000000002</v>
      </c>
      <c r="H58" s="30">
        <f>Effort!H56</f>
        <v>121.52753577442003</v>
      </c>
      <c r="I58" s="38">
        <f>Harvest!H56</f>
        <v>1503.9032552084479</v>
      </c>
      <c r="J58" s="36">
        <f>CPUE!H56</f>
        <v>12.375</v>
      </c>
      <c r="K58" s="30" t="str">
        <f>Effort!J56</f>
        <v>CLOSED</v>
      </c>
      <c r="L58" s="38" t="str">
        <f>Harvest!J56</f>
        <v>CLOSED</v>
      </c>
      <c r="M58" s="36" t="str">
        <f>CPUE!J56</f>
        <v>CLOSED</v>
      </c>
      <c r="N58" s="30" t="str">
        <f>Effort!L56</f>
        <v>CLOSED</v>
      </c>
      <c r="O58" s="38" t="str">
        <f>Harvest!L56</f>
        <v>CLOSED</v>
      </c>
      <c r="P58" s="36" t="str">
        <f>CPUE!L56</f>
        <v>CLOSED</v>
      </c>
      <c r="Q58" s="30" t="str">
        <f>Effort!N56</f>
        <v>CLOSED</v>
      </c>
      <c r="R58" s="38" t="str">
        <f>Harvest!N56</f>
        <v>CLOSED</v>
      </c>
      <c r="S58" s="36" t="str">
        <f>CPUE!N56</f>
        <v>CLOSED</v>
      </c>
      <c r="T58" s="30">
        <f t="shared" si="6"/>
        <v>224.72670787883999</v>
      </c>
      <c r="U58" s="38">
        <f t="shared" si="6"/>
        <v>3051.8908367747472</v>
      </c>
    </row>
    <row r="59" spans="1:21" x14ac:dyDescent="0.25">
      <c r="A59" s="225" t="s">
        <v>32</v>
      </c>
      <c r="B59" s="225"/>
      <c r="C59" s="225"/>
      <c r="D59" s="226"/>
      <c r="E59" s="34">
        <f>SUM(E51:E58)</f>
        <v>18436.694653006158</v>
      </c>
      <c r="F59" s="35">
        <f>SUM(F51:F58)</f>
        <v>218862.00511120132</v>
      </c>
      <c r="G59" s="33">
        <f>+F59/E59</f>
        <v>11.871000156501221</v>
      </c>
      <c r="H59" s="34">
        <f>SUM(H51:H58)</f>
        <v>8530.9553221645292</v>
      </c>
      <c r="I59" s="35">
        <f>SUM(I51:I58)</f>
        <v>124112.07325284372</v>
      </c>
      <c r="J59" s="33">
        <f>+I59/H59</f>
        <v>14.548437843811518</v>
      </c>
      <c r="K59" s="34">
        <f>SUM(K51:K58)</f>
        <v>11969.088675292427</v>
      </c>
      <c r="L59" s="35">
        <f>SUM(L51:L58)</f>
        <v>176715.30089106434</v>
      </c>
      <c r="M59" s="33">
        <f>+L59/K59</f>
        <v>14.764307098489004</v>
      </c>
      <c r="N59" s="34">
        <f>SUM(N51:N58)</f>
        <v>7817.2259561440014</v>
      </c>
      <c r="O59" s="35">
        <f>SUM(O51:O58)</f>
        <v>116135.24527069574</v>
      </c>
      <c r="P59" s="33">
        <f>+O59/N59</f>
        <v>14.856324471396206</v>
      </c>
      <c r="Q59" s="34"/>
      <c r="R59" s="35"/>
      <c r="S59" s="33"/>
      <c r="T59" s="34">
        <f>SUM(T51:T58)</f>
        <v>46753.964606607122</v>
      </c>
      <c r="U59" s="35">
        <f>SUM(U51:U58)</f>
        <v>635824.62452580524</v>
      </c>
    </row>
    <row r="60" spans="1:21" x14ac:dyDescent="0.25">
      <c r="A60" s="37">
        <v>42021</v>
      </c>
      <c r="B60" s="18">
        <v>42021</v>
      </c>
      <c r="C60" s="13">
        <v>0.1</v>
      </c>
      <c r="D60" s="101">
        <v>0.67708333333333337</v>
      </c>
      <c r="E60" s="30">
        <f>Effort!F58</f>
        <v>1104.7197383814357</v>
      </c>
      <c r="F60" s="38">
        <f>Harvest!F58</f>
        <v>16325.302800525664</v>
      </c>
      <c r="G60" s="36">
        <f>CPUE!F58</f>
        <v>14.77777777777778</v>
      </c>
      <c r="H60" s="30">
        <f>Effort!H58</f>
        <v>1317.3794584553477</v>
      </c>
      <c r="I60" s="38">
        <f>Harvest!H58</f>
        <v>11633.473986974917</v>
      </c>
      <c r="J60" s="36">
        <f>CPUE!H58</f>
        <v>8.8307692307692314</v>
      </c>
      <c r="K60" s="30">
        <f>Effort!J58</f>
        <v>1990.4826704758302</v>
      </c>
      <c r="L60" s="38">
        <f>Harvest!J58</f>
        <v>23136.129741245037</v>
      </c>
      <c r="M60" s="36">
        <f>CPUE!J58</f>
        <v>11.623376623376622</v>
      </c>
      <c r="N60" s="30">
        <f>Effort!L58</f>
        <v>1277.5845439849681</v>
      </c>
      <c r="O60" s="38">
        <f>Harvest!L58</f>
        <v>17233.195959975012</v>
      </c>
      <c r="P60" s="36">
        <f>CPUE!L58</f>
        <v>13.488888888888887</v>
      </c>
      <c r="Q60" s="30" t="str">
        <f>Effort!N58</f>
        <v>CLOSED</v>
      </c>
      <c r="R60" s="38" t="str">
        <f>Harvest!N58</f>
        <v>CLOSED</v>
      </c>
      <c r="S60" s="36" t="str">
        <f>CPUE!N58</f>
        <v>CLOSED</v>
      </c>
      <c r="T60" s="30">
        <f>+E60+H60+K60+N60</f>
        <v>5690.1664112975823</v>
      </c>
      <c r="U60" s="38">
        <f>+F60+I60+L60+O60</f>
        <v>68328.102488720629</v>
      </c>
    </row>
    <row r="61" spans="1:21" x14ac:dyDescent="0.25">
      <c r="A61" s="37">
        <v>42022</v>
      </c>
      <c r="B61" s="18">
        <v>42022</v>
      </c>
      <c r="C61" s="13">
        <v>-0.6</v>
      </c>
      <c r="D61" s="101">
        <v>0.70972222222222225</v>
      </c>
      <c r="E61" s="30">
        <f>Effort!F59</f>
        <v>1179.8159047000627</v>
      </c>
      <c r="F61" s="38">
        <f>Harvest!F59</f>
        <v>17697.238570500936</v>
      </c>
      <c r="G61" s="36">
        <f>CPUE!F59</f>
        <v>14.999999999999996</v>
      </c>
      <c r="H61" s="30">
        <f>Effort!H59</f>
        <v>1060.8259670202838</v>
      </c>
      <c r="I61" s="38">
        <f>Harvest!H59</f>
        <v>15912.389505304254</v>
      </c>
      <c r="J61" s="36">
        <f>CPUE!H59</f>
        <v>14.999999999999998</v>
      </c>
      <c r="K61" s="30" t="str">
        <f>Effort!J59</f>
        <v>CLOSED</v>
      </c>
      <c r="L61" s="38" t="str">
        <f>Harvest!J59</f>
        <v>CLOSED</v>
      </c>
      <c r="M61" s="36" t="str">
        <f>CPUE!J59</f>
        <v>CLOSED</v>
      </c>
      <c r="N61" s="30">
        <f>Effort!L59</f>
        <v>2382.1223015858241</v>
      </c>
      <c r="O61" s="38">
        <f>Harvest!L59</f>
        <v>29732.415393867508</v>
      </c>
      <c r="P61" s="36">
        <f>CPUE!L59</f>
        <v>12.481481481481481</v>
      </c>
      <c r="Q61" s="30" t="str">
        <f>Effort!N59</f>
        <v>CLOSED</v>
      </c>
      <c r="R61" s="38" t="str">
        <f>Harvest!N59</f>
        <v>CLOSED</v>
      </c>
      <c r="S61" s="36" t="str">
        <f>CPUE!N59</f>
        <v>CLOSED</v>
      </c>
      <c r="T61" s="30">
        <f>+E61+H61+N61</f>
        <v>4622.7641733061701</v>
      </c>
      <c r="U61" s="38">
        <f>+F61+I61+O61</f>
        <v>63342.043469672695</v>
      </c>
    </row>
    <row r="62" spans="1:21" x14ac:dyDescent="0.25">
      <c r="A62" s="37">
        <v>42023</v>
      </c>
      <c r="B62" s="18">
        <v>42023</v>
      </c>
      <c r="C62" s="13">
        <v>-1.1000000000000001</v>
      </c>
      <c r="D62" s="101">
        <v>0.74097222222222225</v>
      </c>
      <c r="E62" s="30">
        <f>Effort!F60</f>
        <v>3049.0422341564895</v>
      </c>
      <c r="F62" s="38">
        <f>Harvest!F60</f>
        <v>45897.079377297749</v>
      </c>
      <c r="G62" s="36">
        <f>CPUE!F60</f>
        <v>15.05294969782374</v>
      </c>
      <c r="H62" s="30">
        <f>Effort!H60</f>
        <v>2365.6253401524</v>
      </c>
      <c r="I62" s="38">
        <f>Harvest!H60</f>
        <v>35484.380102285999</v>
      </c>
      <c r="J62" s="36">
        <f>CPUE!H60</f>
        <v>15</v>
      </c>
      <c r="K62" s="30" t="str">
        <f>Effort!J60</f>
        <v>CLOSED</v>
      </c>
      <c r="L62" s="38" t="str">
        <f>Harvest!J60</f>
        <v>CLOSED</v>
      </c>
      <c r="M62" s="36" t="str">
        <f>CPUE!J60</f>
        <v>CLOSED</v>
      </c>
      <c r="N62" s="30" t="str">
        <f>Effort!L60</f>
        <v>CLOSED</v>
      </c>
      <c r="O62" s="38" t="str">
        <f>Harvest!L60</f>
        <v>CLOSED</v>
      </c>
      <c r="P62" s="36" t="str">
        <f>CPUE!L60</f>
        <v>CLOSED</v>
      </c>
      <c r="Q62" s="30" t="str">
        <f>Effort!N60</f>
        <v>CLOSED</v>
      </c>
      <c r="R62" s="38" t="str">
        <f>Harvest!N60</f>
        <v>CLOSED</v>
      </c>
      <c r="S62" s="36" t="str">
        <f>CPUE!N60</f>
        <v>CLOSED</v>
      </c>
      <c r="T62" s="30">
        <f t="shared" ref="T62:U65" si="7">+E62+H62</f>
        <v>5414.667574308889</v>
      </c>
      <c r="U62" s="38">
        <f t="shared" si="7"/>
        <v>81381.459479583747</v>
      </c>
    </row>
    <row r="63" spans="1:21" x14ac:dyDescent="0.25">
      <c r="A63" s="37">
        <v>42024</v>
      </c>
      <c r="B63" s="18">
        <v>42024</v>
      </c>
      <c r="C63" s="13">
        <v>-1.4</v>
      </c>
      <c r="D63" s="101">
        <v>0.77083333333333337</v>
      </c>
      <c r="E63" s="30">
        <f>Effort!F61</f>
        <v>214.59393730076096</v>
      </c>
      <c r="F63" s="38">
        <f>Harvest!F61</f>
        <v>3075.8464346442406</v>
      </c>
      <c r="G63" s="36">
        <f>CPUE!F61</f>
        <v>14.333333333333334</v>
      </c>
      <c r="H63" s="30">
        <f>Effort!H61</f>
        <v>172.02028763046414</v>
      </c>
      <c r="I63" s="38">
        <f>Harvest!H61</f>
        <v>2455.6620050358315</v>
      </c>
      <c r="J63" s="36">
        <f>CPUE!H61</f>
        <v>14.275420875420878</v>
      </c>
      <c r="K63" s="30" t="str">
        <f>Effort!J61</f>
        <v>CLOSED</v>
      </c>
      <c r="L63" s="38" t="str">
        <f>Harvest!J61</f>
        <v>CLOSED</v>
      </c>
      <c r="M63" s="36" t="str">
        <f>CPUE!J61</f>
        <v>CLOSED</v>
      </c>
      <c r="N63" s="30" t="str">
        <f>Effort!L61</f>
        <v>CLOSED</v>
      </c>
      <c r="O63" s="38" t="str">
        <f>Harvest!L61</f>
        <v>CLOSED</v>
      </c>
      <c r="P63" s="36" t="str">
        <f>CPUE!L61</f>
        <v>CLOSED</v>
      </c>
      <c r="Q63" s="30" t="str">
        <f>Effort!N61</f>
        <v>CLOSED</v>
      </c>
      <c r="R63" s="38" t="str">
        <f>Harvest!N61</f>
        <v>CLOSED</v>
      </c>
      <c r="S63" s="36" t="str">
        <f>CPUE!N61</f>
        <v>CLOSED</v>
      </c>
      <c r="T63" s="30">
        <f t="shared" si="7"/>
        <v>386.61422493122507</v>
      </c>
      <c r="U63" s="38">
        <f t="shared" si="7"/>
        <v>5531.5084396800721</v>
      </c>
    </row>
    <row r="64" spans="1:21" x14ac:dyDescent="0.25">
      <c r="A64" s="37">
        <v>42025</v>
      </c>
      <c r="B64" s="18">
        <v>42025</v>
      </c>
      <c r="C64" s="13">
        <v>-1.4</v>
      </c>
      <c r="D64" s="101">
        <v>0.80069444444444449</v>
      </c>
      <c r="E64" s="30">
        <f>Effort!F62</f>
        <v>455.45234622084007</v>
      </c>
      <c r="F64" s="38">
        <f>Harvest!F62</f>
        <v>6804.1820208143681</v>
      </c>
      <c r="G64" s="36">
        <f>CPUE!F62</f>
        <v>14.939393939393939</v>
      </c>
      <c r="H64" s="30">
        <f>Effort!H62</f>
        <v>568.17317058764479</v>
      </c>
      <c r="I64" s="38">
        <f>Harvest!H62</f>
        <v>8522.5975588146703</v>
      </c>
      <c r="J64" s="36">
        <f>CPUE!H62</f>
        <v>14.999999999999996</v>
      </c>
      <c r="K64" s="30" t="str">
        <f>Effort!J62</f>
        <v>CLOSED</v>
      </c>
      <c r="L64" s="38" t="str">
        <f>Harvest!J62</f>
        <v>CLOSED</v>
      </c>
      <c r="M64" s="36" t="str">
        <f>CPUE!J62</f>
        <v>CLOSED</v>
      </c>
      <c r="N64" s="30" t="str">
        <f>Effort!L62</f>
        <v>CLOSED</v>
      </c>
      <c r="O64" s="38" t="str">
        <f>Harvest!L62</f>
        <v>CLOSED</v>
      </c>
      <c r="P64" s="36" t="str">
        <f>CPUE!L62</f>
        <v>CLOSED</v>
      </c>
      <c r="Q64" s="30" t="str">
        <f>Effort!N62</f>
        <v>CLOSED</v>
      </c>
      <c r="R64" s="38" t="str">
        <f>Harvest!N62</f>
        <v>CLOSED</v>
      </c>
      <c r="S64" s="36" t="str">
        <f>CPUE!N62</f>
        <v>CLOSED</v>
      </c>
      <c r="T64" s="30">
        <f t="shared" si="7"/>
        <v>1023.6255168084849</v>
      </c>
      <c r="U64" s="38">
        <f t="shared" si="7"/>
        <v>15326.779579629037</v>
      </c>
    </row>
    <row r="65" spans="1:22" x14ac:dyDescent="0.25">
      <c r="A65" s="37">
        <v>42026</v>
      </c>
      <c r="B65" s="18">
        <v>42026</v>
      </c>
      <c r="C65" s="13">
        <v>-1.1000000000000001</v>
      </c>
      <c r="D65" s="101">
        <v>0.8305555555555556</v>
      </c>
      <c r="E65" s="30">
        <f>Effort!F63</f>
        <v>94.283006097287029</v>
      </c>
      <c r="F65" s="38">
        <f>Harvest!F63</f>
        <v>1414.2450914593055</v>
      </c>
      <c r="G65" s="36">
        <f>CPUE!F63</f>
        <v>15</v>
      </c>
      <c r="H65" s="30">
        <f>Effort!H63</f>
        <v>117.6172983876895</v>
      </c>
      <c r="I65" s="38">
        <f>Harvest!H63</f>
        <v>1793.6638004122647</v>
      </c>
      <c r="J65" s="36">
        <f>CPUE!H63</f>
        <v>15.249999999999998</v>
      </c>
      <c r="K65" s="30" t="str">
        <f>Effort!J63</f>
        <v>CLOSED</v>
      </c>
      <c r="L65" s="38" t="str">
        <f>Harvest!J63</f>
        <v>CLOSED</v>
      </c>
      <c r="M65" s="36" t="str">
        <f>CPUE!J63</f>
        <v>CLOSED</v>
      </c>
      <c r="N65" s="30" t="str">
        <f>Effort!L63</f>
        <v>CLOSED</v>
      </c>
      <c r="O65" s="38" t="str">
        <f>Harvest!L63</f>
        <v>CLOSED</v>
      </c>
      <c r="P65" s="36" t="str">
        <f>CPUE!L63</f>
        <v>CLOSED</v>
      </c>
      <c r="Q65" s="30" t="str">
        <f>Effort!N63</f>
        <v>CLOSED</v>
      </c>
      <c r="R65" s="38" t="str">
        <f>Harvest!N63</f>
        <v>CLOSED</v>
      </c>
      <c r="S65" s="36" t="str">
        <f>CPUE!N63</f>
        <v>CLOSED</v>
      </c>
      <c r="T65" s="30">
        <f t="shared" si="7"/>
        <v>211.90030448497652</v>
      </c>
      <c r="U65" s="38">
        <f t="shared" si="7"/>
        <v>3207.9088918715702</v>
      </c>
    </row>
    <row r="66" spans="1:22" x14ac:dyDescent="0.25">
      <c r="A66" s="37">
        <v>42027</v>
      </c>
      <c r="B66" s="18">
        <v>42027</v>
      </c>
      <c r="C66" s="13">
        <v>-0.6</v>
      </c>
      <c r="D66" s="101">
        <v>0.86111111111111116</v>
      </c>
      <c r="E66" s="30">
        <f>Effort!F64</f>
        <v>325.55898826541016</v>
      </c>
      <c r="F66" s="38">
        <f>Harvest!F64</f>
        <v>4883.3848239811532</v>
      </c>
      <c r="G66" s="36">
        <f>CPUE!F64</f>
        <v>15.000000000000002</v>
      </c>
      <c r="H66" s="30">
        <f>Effort!H64</f>
        <v>221</v>
      </c>
      <c r="I66" s="38">
        <f>Harvest!H64</f>
        <v>761.22222222222229</v>
      </c>
      <c r="J66" s="36">
        <f>CPUE!H64</f>
        <v>3.4444444444444446</v>
      </c>
      <c r="K66" s="30" t="str">
        <f>Effort!J64</f>
        <v>CLOSED</v>
      </c>
      <c r="L66" s="38" t="str">
        <f>Harvest!J64</f>
        <v>CLOSED</v>
      </c>
      <c r="M66" s="36" t="str">
        <f>CPUE!J64</f>
        <v>CLOSED</v>
      </c>
      <c r="N66" s="30">
        <f>Effort!L64</f>
        <v>188.7508998625687</v>
      </c>
      <c r="O66" s="38">
        <f>Harvest!L64</f>
        <v>578.04963082911661</v>
      </c>
      <c r="P66" s="36">
        <f>CPUE!L64</f>
        <v>3.0625</v>
      </c>
      <c r="Q66" s="30" t="str">
        <f>Effort!N64</f>
        <v>CLOSED</v>
      </c>
      <c r="R66" s="38" t="str">
        <f>Harvest!N64</f>
        <v>CLOSED</v>
      </c>
      <c r="S66" s="36" t="str">
        <f>CPUE!N64</f>
        <v>CLOSED</v>
      </c>
      <c r="T66" s="30">
        <f>+E66+H66+N66</f>
        <v>735.30988812797887</v>
      </c>
      <c r="U66" s="38">
        <f>+F66+I66+O66</f>
        <v>6222.6566770324926</v>
      </c>
    </row>
    <row r="67" spans="1:22" x14ac:dyDescent="0.25">
      <c r="A67" s="37">
        <v>42028</v>
      </c>
      <c r="B67" s="18">
        <v>42028</v>
      </c>
      <c r="C67" s="13">
        <v>0.1</v>
      </c>
      <c r="D67" s="102">
        <v>0.89236111111111116</v>
      </c>
      <c r="E67" s="30">
        <f>Effort!F65</f>
        <v>661.59798876969001</v>
      </c>
      <c r="F67" s="38">
        <f>Harvest!F65</f>
        <v>8078.4596523456903</v>
      </c>
      <c r="G67" s="36">
        <f>CPUE!F65</f>
        <v>12.210526315789476</v>
      </c>
      <c r="H67" s="30">
        <f>Effort!H65</f>
        <v>319.70479182486315</v>
      </c>
      <c r="I67" s="38">
        <f>Harvest!H65</f>
        <v>1738.3948055476933</v>
      </c>
      <c r="J67" s="36">
        <f>CPUE!H65</f>
        <v>5.4375</v>
      </c>
      <c r="K67" s="30">
        <f>Effort!J65</f>
        <v>413.86003226044198</v>
      </c>
      <c r="L67" s="38">
        <f>Harvest!J65</f>
        <v>6207.9004839066311</v>
      </c>
      <c r="M67" s="36">
        <f>CPUE!J65</f>
        <v>15.000000000000004</v>
      </c>
      <c r="N67" s="30">
        <f>Effort!L65</f>
        <v>398.46207599790125</v>
      </c>
      <c r="O67" s="38">
        <f>Harvest!L65</f>
        <v>5976.9311399685184</v>
      </c>
      <c r="P67" s="36">
        <f>CPUE!L65</f>
        <v>15</v>
      </c>
      <c r="Q67" s="30" t="str">
        <f>Effort!N65</f>
        <v>CLOSED</v>
      </c>
      <c r="R67" s="38" t="str">
        <f>Harvest!N65</f>
        <v>CLOSED</v>
      </c>
      <c r="S67" s="36" t="str">
        <f>CPUE!N65</f>
        <v>CLOSED</v>
      </c>
      <c r="T67" s="30">
        <f>+E67+H67</f>
        <v>981.30278059455316</v>
      </c>
      <c r="U67" s="38">
        <f>+F67+I67+L67+O67</f>
        <v>22001.686081768534</v>
      </c>
    </row>
    <row r="68" spans="1:22" x14ac:dyDescent="0.25">
      <c r="A68" s="225" t="s">
        <v>32</v>
      </c>
      <c r="B68" s="225"/>
      <c r="C68" s="225"/>
      <c r="D68" s="226"/>
      <c r="E68" s="34">
        <f>SUM(E60:E67)</f>
        <v>7085.0641438919765</v>
      </c>
      <c r="F68" s="35">
        <f>SUM(F60:F67)</f>
        <v>104175.73877156909</v>
      </c>
      <c r="G68" s="33">
        <f>+F68/E68</f>
        <v>14.703570307317378</v>
      </c>
      <c r="H68" s="34">
        <f>SUM(H60:H67)</f>
        <v>6142.3463140586919</v>
      </c>
      <c r="I68" s="35">
        <f>SUM(I60:I67)</f>
        <v>78301.783986597846</v>
      </c>
      <c r="J68" s="33">
        <f>+I68/H68</f>
        <v>12.747862133299058</v>
      </c>
      <c r="K68" s="34">
        <f>SUM(K60:K67)</f>
        <v>2404.3427027362723</v>
      </c>
      <c r="L68" s="35">
        <f>SUM(L60:L67)</f>
        <v>29344.03022515167</v>
      </c>
      <c r="M68" s="33">
        <f>+L68/K68</f>
        <v>12.204595539461398</v>
      </c>
      <c r="N68" s="34">
        <f>SUM(N60:N67)</f>
        <v>4246.9198214312619</v>
      </c>
      <c r="O68" s="35">
        <f>SUM(O60:O67)</f>
        <v>53520.592124640156</v>
      </c>
      <c r="P68" s="33">
        <f>+O68/N68</f>
        <v>12.602213927976415</v>
      </c>
      <c r="Q68" s="34"/>
      <c r="R68" s="35"/>
      <c r="S68" s="33"/>
      <c r="T68" s="34">
        <f>SUM(T60:T67)</f>
        <v>19066.350873859865</v>
      </c>
      <c r="U68" s="35">
        <f>SUM(U60:U67)</f>
        <v>265342.14510795876</v>
      </c>
    </row>
    <row r="69" spans="1:22" x14ac:dyDescent="0.25">
      <c r="A69" s="37">
        <v>42034</v>
      </c>
      <c r="B69" s="18">
        <v>42034</v>
      </c>
      <c r="C69" s="13">
        <v>0.5</v>
      </c>
      <c r="D69" s="101">
        <v>0.65486111111111112</v>
      </c>
      <c r="E69" s="30">
        <f>Effort!F67</f>
        <v>1919.5353820447194</v>
      </c>
      <c r="F69" s="38">
        <f>Harvest!F67</f>
        <v>27880.080975795863</v>
      </c>
      <c r="G69" s="36">
        <f>CPUE!F67</f>
        <v>14.524390243902438</v>
      </c>
      <c r="H69" s="30">
        <f>Effort!H67</f>
        <v>1115.00241058908</v>
      </c>
      <c r="I69" s="38">
        <f>Harvest!H67</f>
        <v>16725.036158836199</v>
      </c>
      <c r="J69" s="36">
        <f>CPUE!H67</f>
        <v>15</v>
      </c>
      <c r="K69" s="30" t="str">
        <f>Effort!J67</f>
        <v>CLOSED</v>
      </c>
      <c r="L69" s="38" t="str">
        <f>Harvest!J67</f>
        <v>CLOSED</v>
      </c>
      <c r="M69" s="36" t="str">
        <f>CPUE!J67</f>
        <v>CLOSED</v>
      </c>
      <c r="N69" s="30">
        <f>Effort!L67</f>
        <v>2439.2317143500291</v>
      </c>
      <c r="O69" s="38">
        <f>Harvest!L67</f>
        <v>36714.642872889228</v>
      </c>
      <c r="P69" s="36">
        <f>CPUE!L67</f>
        <v>15.051724137931034</v>
      </c>
      <c r="Q69" s="30" t="str">
        <f>Effort!N67</f>
        <v>CLOSED</v>
      </c>
      <c r="R69" s="38" t="str">
        <f>Harvest!N67</f>
        <v>CLOSED</v>
      </c>
      <c r="S69" s="36" t="str">
        <f>CPUE!N67</f>
        <v>CLOSED</v>
      </c>
      <c r="T69" s="30">
        <f>+E69+H69+N69</f>
        <v>5473.7695069838283</v>
      </c>
      <c r="U69" s="38">
        <f>+F69+I69+O69</f>
        <v>81319.760007521283</v>
      </c>
      <c r="V69" s="10"/>
    </row>
    <row r="70" spans="1:22" x14ac:dyDescent="0.25">
      <c r="A70" s="37">
        <v>42035</v>
      </c>
      <c r="B70" s="18">
        <v>42035</v>
      </c>
      <c r="C70" s="13">
        <v>0.2</v>
      </c>
      <c r="D70" s="101">
        <v>0.68888888888888888</v>
      </c>
      <c r="E70" s="30">
        <f>Effort!F68</f>
        <v>4368.932224399694</v>
      </c>
      <c r="F70" s="38">
        <f>Harvest!F68</f>
        <v>65533.983365995409</v>
      </c>
      <c r="G70" s="36">
        <f>CPUE!F68</f>
        <v>15</v>
      </c>
      <c r="H70" s="30">
        <f>Effort!H68</f>
        <v>1927.9376969818907</v>
      </c>
      <c r="I70" s="38">
        <f>Harvest!H68</f>
        <v>15664.493787977863</v>
      </c>
      <c r="J70" s="36">
        <f>CPUE!H68</f>
        <v>8.125</v>
      </c>
      <c r="K70" s="30">
        <f>Effort!J68</f>
        <v>3379.9945470724274</v>
      </c>
      <c r="L70" s="38">
        <f>Harvest!J68</f>
        <v>50699.918206086426</v>
      </c>
      <c r="M70" s="36">
        <f>CPUE!J68</f>
        <v>15.000000000000004</v>
      </c>
      <c r="N70" s="30">
        <f>Effort!L68</f>
        <v>2745.0018809129447</v>
      </c>
      <c r="O70" s="38">
        <f>Harvest!L68</f>
        <v>41175.028213694175</v>
      </c>
      <c r="P70" s="36">
        <f>CPUE!L68</f>
        <v>15.000000000000002</v>
      </c>
      <c r="Q70" s="30" t="str">
        <f>Effort!N68</f>
        <v>CLOSED</v>
      </c>
      <c r="R70" s="38" t="str">
        <f>Harvest!N68</f>
        <v>CLOSED</v>
      </c>
      <c r="S70" s="36" t="str">
        <f>CPUE!N68</f>
        <v>CLOSED</v>
      </c>
      <c r="T70" s="30">
        <f>+E70+H70+K70+N70</f>
        <v>12421.866349366957</v>
      </c>
      <c r="U70" s="38">
        <f>+F70+I70+L70+O70</f>
        <v>173073.42357375385</v>
      </c>
      <c r="V70" s="10"/>
    </row>
    <row r="71" spans="1:22" x14ac:dyDescent="0.25">
      <c r="A71" s="37">
        <v>42036</v>
      </c>
      <c r="B71" s="18">
        <v>42036</v>
      </c>
      <c r="C71" s="13">
        <v>0</v>
      </c>
      <c r="D71" s="101">
        <v>0.71875</v>
      </c>
      <c r="E71" s="30">
        <f>Effort!F69</f>
        <v>178.14592709655813</v>
      </c>
      <c r="F71" s="38">
        <f>Harvest!F69</f>
        <v>2672.1889064483721</v>
      </c>
      <c r="G71" s="36">
        <f>CPUE!F69</f>
        <v>15</v>
      </c>
      <c r="H71" s="30">
        <f>Effort!H69</f>
        <v>106.01041594734887</v>
      </c>
      <c r="I71" s="38">
        <f>Harvest!H69</f>
        <v>1590.156239210233</v>
      </c>
      <c r="J71" s="36">
        <f>CPUE!H69</f>
        <v>14.999999999999998</v>
      </c>
      <c r="K71" s="30" t="str">
        <f>Effort!J69</f>
        <v>CLOSED</v>
      </c>
      <c r="L71" s="38" t="str">
        <f>Harvest!J69</f>
        <v>CLOSED</v>
      </c>
      <c r="M71" s="36" t="str">
        <f>CPUE!J69</f>
        <v>CLOSED</v>
      </c>
      <c r="N71" s="30">
        <f>Effort!L69</f>
        <v>238.05014571606984</v>
      </c>
      <c r="O71" s="38">
        <f>Harvest!L69</f>
        <v>2971.2184854190941</v>
      </c>
      <c r="P71" s="36">
        <f>CPUE!L69</f>
        <v>12.481481481481483</v>
      </c>
      <c r="Q71" s="30" t="str">
        <f>Effort!N69</f>
        <v>CLOSED</v>
      </c>
      <c r="R71" s="38" t="str">
        <f>Harvest!N69</f>
        <v>CLOSED</v>
      </c>
      <c r="S71" s="36" t="str">
        <f>CPUE!N69</f>
        <v>CLOSED</v>
      </c>
      <c r="T71" s="30">
        <f>+E71+H71+N71</f>
        <v>522.20648875997676</v>
      </c>
      <c r="U71" s="38">
        <f>+F71+I71+O71</f>
        <v>7233.563631077699</v>
      </c>
      <c r="V71" s="10"/>
    </row>
    <row r="72" spans="1:22" x14ac:dyDescent="0.25">
      <c r="A72" s="37">
        <v>42037</v>
      </c>
      <c r="B72" s="18">
        <v>42037</v>
      </c>
      <c r="C72" s="13">
        <v>-0.1</v>
      </c>
      <c r="D72" s="101">
        <v>0.74513888888888891</v>
      </c>
      <c r="E72" s="30">
        <f>Effort!F70</f>
        <v>416.90721892565085</v>
      </c>
      <c r="F72" s="38">
        <f>Harvest!F70</f>
        <v>6253.6082838847624</v>
      </c>
      <c r="G72" s="36">
        <f>CPUE!F70</f>
        <v>15</v>
      </c>
      <c r="H72" s="30">
        <f>Effort!H70</f>
        <v>589.34493617402404</v>
      </c>
      <c r="I72" s="38">
        <f>Harvest!H70</f>
        <v>8813.3856364206331</v>
      </c>
      <c r="J72" s="36">
        <f>CPUE!H70</f>
        <v>14.954545454545457</v>
      </c>
      <c r="K72" s="30" t="str">
        <f>Effort!J70</f>
        <v>CLOSED</v>
      </c>
      <c r="L72" s="38" t="str">
        <f>Harvest!J70</f>
        <v>CLOSED</v>
      </c>
      <c r="M72" s="36" t="str">
        <f>CPUE!J70</f>
        <v>CLOSED</v>
      </c>
      <c r="N72" s="30" t="str">
        <f>Effort!L70</f>
        <v>CLOSED</v>
      </c>
      <c r="O72" s="38" t="str">
        <f>Harvest!L70</f>
        <v>CLOSED</v>
      </c>
      <c r="P72" s="36" t="str">
        <f>CPUE!L70</f>
        <v>CLOSED</v>
      </c>
      <c r="Q72" s="30" t="str">
        <f>Effort!N70</f>
        <v>CLOSED</v>
      </c>
      <c r="R72" s="38" t="str">
        <f>Harvest!N70</f>
        <v>CLOSED</v>
      </c>
      <c r="S72" s="36" t="str">
        <f>CPUE!N70</f>
        <v>CLOSED</v>
      </c>
      <c r="T72" s="30">
        <f t="shared" ref="T72:U76" si="8">+E72+H72</f>
        <v>1006.2521550996748</v>
      </c>
      <c r="U72" s="38">
        <f t="shared" si="8"/>
        <v>15066.993920305395</v>
      </c>
      <c r="V72" s="10"/>
    </row>
    <row r="73" spans="1:22" x14ac:dyDescent="0.25">
      <c r="A73" s="37">
        <v>42038</v>
      </c>
      <c r="B73" s="18">
        <v>42038</v>
      </c>
      <c r="C73" s="13">
        <v>-0.1</v>
      </c>
      <c r="D73" s="101">
        <v>0.76875000000000004</v>
      </c>
      <c r="E73" s="30">
        <f>Effort!F71</f>
        <v>332.98932865692836</v>
      </c>
      <c r="F73" s="38">
        <f>Harvest!F71</f>
        <v>4835.0050520985997</v>
      </c>
      <c r="G73" s="36">
        <f>CPUE!F71</f>
        <v>14.52</v>
      </c>
      <c r="H73" s="30">
        <f>Effort!H71</f>
        <v>124.80839026370082</v>
      </c>
      <c r="I73" s="38">
        <f>Harvest!H71</f>
        <v>1700.3209159117303</v>
      </c>
      <c r="J73" s="36">
        <f>CPUE!H71</f>
        <v>13.623450413223143</v>
      </c>
      <c r="K73" s="30" t="str">
        <f>Effort!J71</f>
        <v>CLOSED</v>
      </c>
      <c r="L73" s="38" t="str">
        <f>Harvest!J71</f>
        <v>CLOSED</v>
      </c>
      <c r="M73" s="36" t="str">
        <f>CPUE!J71</f>
        <v>CLOSED</v>
      </c>
      <c r="N73" s="30" t="str">
        <f>Effort!L71</f>
        <v>CLOSED</v>
      </c>
      <c r="O73" s="38" t="str">
        <f>Harvest!L71</f>
        <v>CLOSED</v>
      </c>
      <c r="P73" s="36" t="str">
        <f>CPUE!L71</f>
        <v>CLOSED</v>
      </c>
      <c r="Q73" s="30" t="str">
        <f>Effort!N71</f>
        <v>CLOSED</v>
      </c>
      <c r="R73" s="38" t="str">
        <f>Harvest!N71</f>
        <v>CLOSED</v>
      </c>
      <c r="S73" s="36" t="str">
        <f>CPUE!N71</f>
        <v>CLOSED</v>
      </c>
      <c r="T73" s="30">
        <f t="shared" si="8"/>
        <v>457.79771892062917</v>
      </c>
      <c r="U73" s="38">
        <f t="shared" si="8"/>
        <v>6535.3259680103301</v>
      </c>
      <c r="V73" s="10"/>
    </row>
    <row r="74" spans="1:22" x14ac:dyDescent="0.25">
      <c r="A74" s="37">
        <v>42039</v>
      </c>
      <c r="B74" s="18">
        <v>42039</v>
      </c>
      <c r="C74" s="13">
        <v>0</v>
      </c>
      <c r="D74" s="101">
        <v>0.79097222222222219</v>
      </c>
      <c r="E74" s="30">
        <f>Effort!F72</f>
        <v>139.6989982196294</v>
      </c>
      <c r="F74" s="38">
        <f>Harvest!F72</f>
        <v>2095.4849732944413</v>
      </c>
      <c r="G74" s="36">
        <f>CPUE!F72</f>
        <v>15.000000000000002</v>
      </c>
      <c r="H74" s="30">
        <f>Effort!H72</f>
        <v>297.49577745233955</v>
      </c>
      <c r="I74" s="38">
        <f>Harvest!H72</f>
        <v>3923.2255651527284</v>
      </c>
      <c r="J74" s="36">
        <f>CPUE!H72</f>
        <v>13.187500000000002</v>
      </c>
      <c r="K74" s="30" t="str">
        <f>Effort!J72</f>
        <v>CLOSED</v>
      </c>
      <c r="L74" s="38" t="str">
        <f>Harvest!J72</f>
        <v>CLOSED</v>
      </c>
      <c r="M74" s="36" t="str">
        <f>CPUE!J72</f>
        <v>CLOSED</v>
      </c>
      <c r="N74" s="30" t="str">
        <f>Effort!L72</f>
        <v>CLOSED</v>
      </c>
      <c r="O74" s="38" t="str">
        <f>Harvest!L72</f>
        <v>CLOSED</v>
      </c>
      <c r="P74" s="36" t="str">
        <f>CPUE!L72</f>
        <v>CLOSED</v>
      </c>
      <c r="Q74" s="30" t="str">
        <f>Effort!N72</f>
        <v>CLOSED</v>
      </c>
      <c r="R74" s="38" t="str">
        <f>Harvest!N72</f>
        <v>CLOSED</v>
      </c>
      <c r="S74" s="36" t="str">
        <f>CPUE!N72</f>
        <v>CLOSED</v>
      </c>
      <c r="T74" s="30">
        <f t="shared" si="8"/>
        <v>437.19477567196896</v>
      </c>
      <c r="U74" s="38">
        <f t="shared" si="8"/>
        <v>6018.7105384471697</v>
      </c>
      <c r="V74" s="10"/>
    </row>
    <row r="75" spans="1:22" x14ac:dyDescent="0.25">
      <c r="A75" s="37">
        <v>42040</v>
      </c>
      <c r="B75" s="18">
        <v>42040</v>
      </c>
      <c r="C75" s="13">
        <v>0.2</v>
      </c>
      <c r="D75" s="101">
        <v>0.8125</v>
      </c>
      <c r="E75" s="30">
        <f>Effort!F73</f>
        <v>0</v>
      </c>
      <c r="F75" s="38">
        <f>Harvest!F73</f>
        <v>0</v>
      </c>
      <c r="G75" s="36">
        <f>CPUE!F73</f>
        <v>0</v>
      </c>
      <c r="H75" s="30">
        <f>Effort!I73</f>
        <v>0</v>
      </c>
      <c r="I75" s="38">
        <f>Harvest!H73</f>
        <v>0</v>
      </c>
      <c r="J75" s="36">
        <f>CPUE!H73</f>
        <v>0</v>
      </c>
      <c r="K75" s="30" t="str">
        <f>Effort!J73</f>
        <v>CLOSED</v>
      </c>
      <c r="L75" s="38" t="str">
        <f>Harvest!J73</f>
        <v>CLOSED</v>
      </c>
      <c r="M75" s="36" t="str">
        <f>CPUE!J73</f>
        <v>CLOSED</v>
      </c>
      <c r="N75" s="30" t="str">
        <f>Effort!L73</f>
        <v>CLOSED</v>
      </c>
      <c r="O75" s="38" t="str">
        <f>Harvest!L73</f>
        <v>CLOSED</v>
      </c>
      <c r="P75" s="36" t="str">
        <f>CPUE!L73</f>
        <v>CLOSED</v>
      </c>
      <c r="Q75" s="30" t="str">
        <f>Effort!N73</f>
        <v>CLOSED</v>
      </c>
      <c r="R75" s="38" t="str">
        <f>Harvest!N73</f>
        <v>CLOSED</v>
      </c>
      <c r="S75" s="36" t="str">
        <f>CPUE!N73</f>
        <v>CLOSED</v>
      </c>
      <c r="T75" s="30">
        <f t="shared" si="8"/>
        <v>0</v>
      </c>
      <c r="U75" s="38">
        <f t="shared" si="8"/>
        <v>0</v>
      </c>
      <c r="V75" s="10"/>
    </row>
    <row r="76" spans="1:22" x14ac:dyDescent="0.25">
      <c r="A76" s="37">
        <v>42041</v>
      </c>
      <c r="B76" s="18">
        <v>42041</v>
      </c>
      <c r="C76" s="13">
        <v>0.5</v>
      </c>
      <c r="D76" s="102">
        <v>0.83333333333333337</v>
      </c>
      <c r="E76" s="30">
        <f>Effort!F74</f>
        <v>0</v>
      </c>
      <c r="F76" s="38">
        <f>Harvest!F74</f>
        <v>0</v>
      </c>
      <c r="G76" s="36">
        <f>CPUE!F74</f>
        <v>0</v>
      </c>
      <c r="H76" s="30">
        <f>Effort!I74</f>
        <v>0</v>
      </c>
      <c r="I76" s="38">
        <f>Harvest!H74</f>
        <v>0</v>
      </c>
      <c r="J76" s="36">
        <f>CPUE!H74</f>
        <v>0</v>
      </c>
      <c r="K76" s="30" t="str">
        <f>Effort!J74</f>
        <v>CLOSED</v>
      </c>
      <c r="L76" s="38" t="str">
        <f>Harvest!J74</f>
        <v>CLOSED</v>
      </c>
      <c r="M76" s="36" t="str">
        <f>CPUE!J74</f>
        <v>CLOSED</v>
      </c>
      <c r="N76" s="30" t="str">
        <f>Effort!L74</f>
        <v>CLOSED</v>
      </c>
      <c r="O76" s="38" t="str">
        <f>Harvest!L74</f>
        <v>CLOSED</v>
      </c>
      <c r="P76" s="36" t="str">
        <f>CPUE!L74</f>
        <v>CLOSED</v>
      </c>
      <c r="Q76" s="30" t="str">
        <f>Effort!N74</f>
        <v>CLOSED</v>
      </c>
      <c r="R76" s="38" t="str">
        <f>Harvest!N74</f>
        <v>CLOSED</v>
      </c>
      <c r="S76" s="36" t="str">
        <f>CPUE!N74</f>
        <v>CLOSED</v>
      </c>
      <c r="T76" s="30">
        <f t="shared" si="8"/>
        <v>0</v>
      </c>
      <c r="U76" s="38">
        <f t="shared" si="8"/>
        <v>0</v>
      </c>
      <c r="V76" s="10"/>
    </row>
    <row r="77" spans="1:22" x14ac:dyDescent="0.25">
      <c r="A77" s="225" t="s">
        <v>32</v>
      </c>
      <c r="B77" s="225"/>
      <c r="C77" s="225"/>
      <c r="D77" s="226"/>
      <c r="E77" s="34">
        <f>SUM(E69:E76)</f>
        <v>7356.2090793431807</v>
      </c>
      <c r="F77" s="35">
        <f>SUM(F69:F76)</f>
        <v>109270.35155751744</v>
      </c>
      <c r="G77" s="33">
        <f>+F77/E77</f>
        <v>14.854166103619495</v>
      </c>
      <c r="H77" s="34">
        <f>SUM(H69:H76)</f>
        <v>4160.5996274083845</v>
      </c>
      <c r="I77" s="35">
        <f>SUM(I69:I76)</f>
        <v>48416.618303509385</v>
      </c>
      <c r="J77" s="33">
        <f>+I77/H77</f>
        <v>11.636932807607792</v>
      </c>
      <c r="K77" s="34">
        <f>SUM(K70:K76)</f>
        <v>3379.9945470724274</v>
      </c>
      <c r="L77" s="35">
        <f>SUM(L70:L76)</f>
        <v>50699.918206086426</v>
      </c>
      <c r="M77" s="33">
        <f>+L77/K77</f>
        <v>15.000000000000004</v>
      </c>
      <c r="N77" s="34">
        <f>SUM(N69:N76)</f>
        <v>5422.2837409790436</v>
      </c>
      <c r="O77" s="35">
        <f>SUM(O69:O76)</f>
        <v>80860.889572002503</v>
      </c>
      <c r="P77" s="33">
        <f>+O77/N77</f>
        <v>14.912699783837265</v>
      </c>
      <c r="Q77" s="34"/>
      <c r="R77" s="35"/>
      <c r="S77" s="33"/>
      <c r="T77" s="34">
        <f>SUM(T69:T76)</f>
        <v>20319.086994803034</v>
      </c>
      <c r="U77" s="35">
        <f>SUM(U69:U76)</f>
        <v>289247.77763911575</v>
      </c>
      <c r="V77" s="10"/>
    </row>
    <row r="78" spans="1:22" x14ac:dyDescent="0.25">
      <c r="A78" s="37">
        <v>42050</v>
      </c>
      <c r="B78" s="18">
        <v>42050</v>
      </c>
      <c r="C78" s="13">
        <v>0.2</v>
      </c>
      <c r="D78" s="101">
        <v>0.65763888888888888</v>
      </c>
      <c r="E78" s="30">
        <f>Effort!F76</f>
        <v>6299.9197969297829</v>
      </c>
      <c r="F78" s="38">
        <f>Harvest!F76</f>
        <v>94498.796953946745</v>
      </c>
      <c r="G78" s="36">
        <f>CPUE!F76</f>
        <v>15</v>
      </c>
      <c r="H78" s="30">
        <f>Effort!H76</f>
        <v>6859.7443704820198</v>
      </c>
      <c r="I78" s="38">
        <f>Harvest!H76</f>
        <v>103186.01391091263</v>
      </c>
      <c r="J78" s="36">
        <f>CPUE!H76</f>
        <v>15.04225352112676</v>
      </c>
      <c r="K78" s="30" t="str">
        <f>Effort!J76</f>
        <v>CLOSED</v>
      </c>
      <c r="L78" s="38" t="str">
        <f>Harvest!J76</f>
        <v>CLOSED</v>
      </c>
      <c r="M78" s="36" t="str">
        <f>CPUE!J76</f>
        <v>CLOSED</v>
      </c>
      <c r="N78" s="30" t="str">
        <f>Effort!L76</f>
        <v>CLOSED</v>
      </c>
      <c r="O78" s="38" t="str">
        <f>Harvest!L76</f>
        <v>CLOSED</v>
      </c>
      <c r="P78" s="36" t="str">
        <f>CPUE!L76</f>
        <v>CLOSED</v>
      </c>
      <c r="Q78" s="30" t="str">
        <f>Effort!N76</f>
        <v>CLOSED</v>
      </c>
      <c r="R78" s="38" t="str">
        <f>Harvest!N76</f>
        <v>CLOSED</v>
      </c>
      <c r="S78" s="36" t="str">
        <f>CPUE!N76</f>
        <v>CLOSED</v>
      </c>
      <c r="T78" s="30">
        <f t="shared" ref="T78:U82" si="9">+E78+H78</f>
        <v>13159.664167411804</v>
      </c>
      <c r="U78" s="38">
        <f t="shared" si="9"/>
        <v>197684.81086485938</v>
      </c>
      <c r="V78" s="10"/>
    </row>
    <row r="79" spans="1:22" x14ac:dyDescent="0.25">
      <c r="A79" s="37">
        <v>42051</v>
      </c>
      <c r="B79" s="18">
        <v>42051</v>
      </c>
      <c r="C79" s="13">
        <v>-0.5</v>
      </c>
      <c r="D79" s="101">
        <v>0.69236111111111109</v>
      </c>
      <c r="E79" s="30">
        <f>Effort!F77</f>
        <v>4971.7958797007568</v>
      </c>
      <c r="F79" s="38">
        <f>Harvest!F77</f>
        <v>74576.938195511349</v>
      </c>
      <c r="G79" s="36">
        <f>CPUE!F77</f>
        <v>15</v>
      </c>
      <c r="H79" s="30">
        <f>Effort!H77</f>
        <v>5413.6004737050616</v>
      </c>
      <c r="I79" s="38">
        <f>Harvest!H77</f>
        <v>81204.007105575933</v>
      </c>
      <c r="J79" s="36">
        <f>CPUE!H77</f>
        <v>15.000000000000002</v>
      </c>
      <c r="K79" s="30" t="str">
        <f>Effort!J77</f>
        <v>CLOSED</v>
      </c>
      <c r="L79" s="38" t="str">
        <f>Harvest!J77</f>
        <v>CLOSED</v>
      </c>
      <c r="M79" s="36" t="str">
        <f>CPUE!J77</f>
        <v>CLOSED</v>
      </c>
      <c r="N79" s="30" t="str">
        <f>Effort!L77</f>
        <v>CLOSED</v>
      </c>
      <c r="O79" s="38" t="str">
        <f>Harvest!L77</f>
        <v>CLOSED</v>
      </c>
      <c r="P79" s="36" t="str">
        <f>CPUE!L77</f>
        <v>CLOSED</v>
      </c>
      <c r="Q79" s="30" t="str">
        <f>Effort!N77</f>
        <v>CLOSED</v>
      </c>
      <c r="R79" s="38" t="str">
        <f>Harvest!N77</f>
        <v>CLOSED</v>
      </c>
      <c r="S79" s="36" t="str">
        <f>CPUE!N77</f>
        <v>CLOSED</v>
      </c>
      <c r="T79" s="30">
        <f t="shared" si="9"/>
        <v>10385.396353405818</v>
      </c>
      <c r="U79" s="38">
        <f t="shared" si="9"/>
        <v>155780.94530108728</v>
      </c>
      <c r="V79" s="10"/>
    </row>
    <row r="80" spans="1:22" x14ac:dyDescent="0.25">
      <c r="A80" s="37">
        <v>42052</v>
      </c>
      <c r="B80" s="18">
        <v>42052</v>
      </c>
      <c r="C80" s="13">
        <v>-0.9</v>
      </c>
      <c r="D80" s="101">
        <v>0.72499999999999998</v>
      </c>
      <c r="E80" s="30">
        <f>Effort!F78</f>
        <v>2320.8507689403664</v>
      </c>
      <c r="F80" s="38">
        <f>Harvest!F78</f>
        <v>34812.761534105492</v>
      </c>
      <c r="G80" s="36">
        <f>CPUE!F78</f>
        <v>14.999999999999998</v>
      </c>
      <c r="H80" s="30">
        <f>Effort!H78</f>
        <v>2571.5347666542511</v>
      </c>
      <c r="I80" s="38">
        <f>Harvest!H78</f>
        <v>37083.179557088828</v>
      </c>
      <c r="J80" s="36">
        <f>CPUE!H78</f>
        <v>14.420640948726767</v>
      </c>
      <c r="K80" s="30" t="str">
        <f>Effort!J78</f>
        <v>CLOSED</v>
      </c>
      <c r="L80" s="38" t="str">
        <f>Harvest!J78</f>
        <v>CLOSED</v>
      </c>
      <c r="M80" s="36" t="str">
        <f>CPUE!J78</f>
        <v>CLOSED</v>
      </c>
      <c r="N80" s="30" t="str">
        <f>Effort!L78</f>
        <v>CLOSED</v>
      </c>
      <c r="O80" s="38" t="str">
        <f>Harvest!L78</f>
        <v>CLOSED</v>
      </c>
      <c r="P80" s="36" t="str">
        <f>CPUE!L78</f>
        <v>CLOSED</v>
      </c>
      <c r="Q80" s="30" t="str">
        <f>Effort!N78</f>
        <v>CLOSED</v>
      </c>
      <c r="R80" s="38" t="str">
        <f>Harvest!N78</f>
        <v>CLOSED</v>
      </c>
      <c r="S80" s="36" t="str">
        <f>CPUE!N78</f>
        <v>CLOSED</v>
      </c>
      <c r="T80" s="30">
        <f t="shared" si="9"/>
        <v>4892.385535594618</v>
      </c>
      <c r="U80" s="38">
        <f t="shared" si="9"/>
        <v>71895.941091194312</v>
      </c>
      <c r="V80" s="10"/>
    </row>
    <row r="81" spans="1:22" x14ac:dyDescent="0.25">
      <c r="A81" s="37">
        <v>42053</v>
      </c>
      <c r="B81" s="18">
        <v>42053</v>
      </c>
      <c r="C81" s="13">
        <v>-1.1000000000000001</v>
      </c>
      <c r="D81" s="101">
        <v>0.75555555555555554</v>
      </c>
      <c r="E81" s="30">
        <f>Effort!F79</f>
        <v>2031.7554979905901</v>
      </c>
      <c r="F81" s="38">
        <f>Harvest!F79</f>
        <v>30476.332469858851</v>
      </c>
      <c r="G81" s="36">
        <f>CPUE!F79</f>
        <v>15</v>
      </c>
      <c r="H81" s="30">
        <f>Effort!H79</f>
        <v>2251.2132060990657</v>
      </c>
      <c r="I81" s="38">
        <f>Harvest!H79</f>
        <v>33446.596204900408</v>
      </c>
      <c r="J81" s="36">
        <f>CPUE!H79</f>
        <v>14.857142857142859</v>
      </c>
      <c r="K81" s="30" t="str">
        <f>Effort!J79</f>
        <v>CLOSED</v>
      </c>
      <c r="L81" s="38" t="str">
        <f>Harvest!J79</f>
        <v>CLOSED</v>
      </c>
      <c r="M81" s="36" t="str">
        <f>CPUE!J79</f>
        <v>CLOSED</v>
      </c>
      <c r="N81" s="30" t="str">
        <f>Effort!L79</f>
        <v>CLOSED</v>
      </c>
      <c r="O81" s="38" t="str">
        <f>Harvest!L79</f>
        <v>CLOSED</v>
      </c>
      <c r="P81" s="36" t="str">
        <f>CPUE!L79</f>
        <v>CLOSED</v>
      </c>
      <c r="Q81" s="30" t="str">
        <f>Effort!N79</f>
        <v>CLOSED</v>
      </c>
      <c r="R81" s="38" t="str">
        <f>Harvest!N79</f>
        <v>CLOSED</v>
      </c>
      <c r="S81" s="36" t="str">
        <f>CPUE!N79</f>
        <v>CLOSED</v>
      </c>
      <c r="T81" s="30">
        <f t="shared" si="9"/>
        <v>4282.9687040896561</v>
      </c>
      <c r="U81" s="38">
        <f t="shared" si="9"/>
        <v>63922.928674759256</v>
      </c>
      <c r="V81" s="10"/>
    </row>
    <row r="82" spans="1:22" x14ac:dyDescent="0.25">
      <c r="A82" s="37">
        <v>42054</v>
      </c>
      <c r="B82" s="18">
        <v>42054</v>
      </c>
      <c r="C82" s="13">
        <v>-1.1000000000000001</v>
      </c>
      <c r="D82" s="101">
        <v>0.78541666666666665</v>
      </c>
      <c r="E82" s="30">
        <f>Effort!F80</f>
        <v>2031.7554979905901</v>
      </c>
      <c r="F82" s="38">
        <f>Harvest!F80</f>
        <v>30476.332469858851</v>
      </c>
      <c r="G82" s="36">
        <f>CPUE!F80</f>
        <v>15</v>
      </c>
      <c r="H82" s="30">
        <f>Effort!H80</f>
        <v>2251.2132060990657</v>
      </c>
      <c r="I82" s="38">
        <f>Harvest!H80</f>
        <v>33446.596204900408</v>
      </c>
      <c r="J82" s="36">
        <f>CPUE!H80</f>
        <v>14.857142857142859</v>
      </c>
      <c r="K82" s="30" t="str">
        <f>Effort!J80</f>
        <v>CLOSED</v>
      </c>
      <c r="L82" s="38" t="str">
        <f>Harvest!J80</f>
        <v>CLOSED</v>
      </c>
      <c r="M82" s="36" t="str">
        <f>CPUE!J80</f>
        <v>CLOSED</v>
      </c>
      <c r="N82" s="30" t="str">
        <f>Effort!L80</f>
        <v>CLOSED</v>
      </c>
      <c r="O82" s="38" t="str">
        <f>Harvest!L80</f>
        <v>CLOSED</v>
      </c>
      <c r="P82" s="36" t="str">
        <f>CPUE!L80</f>
        <v>CLOSED</v>
      </c>
      <c r="Q82" s="30" t="str">
        <f>Effort!N80</f>
        <v>CLOSED</v>
      </c>
      <c r="R82" s="38" t="str">
        <f>Harvest!N80</f>
        <v>CLOSED</v>
      </c>
      <c r="S82" s="36" t="str">
        <f>CPUE!N80</f>
        <v>CLOSED</v>
      </c>
      <c r="T82" s="30">
        <f t="shared" si="9"/>
        <v>4282.9687040896561</v>
      </c>
      <c r="U82" s="38">
        <f t="shared" si="9"/>
        <v>63922.928674759256</v>
      </c>
    </row>
    <row r="83" spans="1:22" x14ac:dyDescent="0.25">
      <c r="A83" s="37">
        <v>42055</v>
      </c>
      <c r="B83" s="18">
        <v>42055</v>
      </c>
      <c r="C83" s="13">
        <v>-0.7</v>
      </c>
      <c r="D83" s="101">
        <v>0.81458333333333333</v>
      </c>
      <c r="E83" s="30">
        <f>Effort!F81</f>
        <v>3705.8153546612043</v>
      </c>
      <c r="F83" s="38">
        <f>Harvest!F81</f>
        <v>54801.133274988933</v>
      </c>
      <c r="G83" s="36">
        <f>CPUE!F81</f>
        <v>14.787874740186293</v>
      </c>
      <c r="H83" s="30">
        <f>Effort!H81</f>
        <v>1103.2527348163305</v>
      </c>
      <c r="I83" s="38">
        <f>Harvest!H81</f>
        <v>15041.012284662638</v>
      </c>
      <c r="J83" s="36">
        <f>CPUE!H81</f>
        <v>13.633333333333333</v>
      </c>
      <c r="K83" s="30" t="str">
        <f>Effort!J81</f>
        <v>CLOSED</v>
      </c>
      <c r="L83" s="38" t="str">
        <f>Harvest!J81</f>
        <v>CLOSED</v>
      </c>
      <c r="M83" s="36" t="str">
        <f>CPUE!J81</f>
        <v>CLOSED</v>
      </c>
      <c r="N83" s="30">
        <f>Effort!L81</f>
        <v>1885.4993913937292</v>
      </c>
      <c r="O83" s="38">
        <f>Harvest!L81</f>
        <v>28282.490870905938</v>
      </c>
      <c r="P83" s="36">
        <f>CPUE!L81</f>
        <v>15</v>
      </c>
      <c r="Q83" s="30" t="str">
        <f>Effort!N81</f>
        <v>CLOSED</v>
      </c>
      <c r="R83" s="38" t="str">
        <f>Harvest!N81</f>
        <v>CLOSED</v>
      </c>
      <c r="S83" s="36" t="str">
        <f>CPUE!N81</f>
        <v>CLOSED</v>
      </c>
      <c r="T83" s="30">
        <f>+E83+H83+N83</f>
        <v>6694.5674808712647</v>
      </c>
      <c r="U83" s="38">
        <f>+F83+I83+O83</f>
        <v>98124.636430557512</v>
      </c>
    </row>
    <row r="84" spans="1:22" x14ac:dyDescent="0.25">
      <c r="A84" s="37">
        <v>42056</v>
      </c>
      <c r="B84" s="18">
        <v>42056</v>
      </c>
      <c r="C84" s="13">
        <v>-0.1</v>
      </c>
      <c r="D84" s="101">
        <v>0.84444444444444444</v>
      </c>
      <c r="E84" s="30">
        <f>Effort!F82</f>
        <v>3160.7749601607184</v>
      </c>
      <c r="F84" s="38">
        <f>Harvest!F82</f>
        <v>47411.624402410773</v>
      </c>
      <c r="G84" s="36">
        <f>CPUE!F82</f>
        <v>15</v>
      </c>
      <c r="H84" s="30">
        <f>Effort!H82</f>
        <v>1518.7781849021419</v>
      </c>
      <c r="I84" s="38">
        <f>Harvest!H82</f>
        <v>21322.057753988815</v>
      </c>
      <c r="J84" s="36">
        <f>CPUE!H82</f>
        <v>14.038954447691543</v>
      </c>
      <c r="K84" s="30">
        <f>Effort!J82</f>
        <v>2960.4092193616189</v>
      </c>
      <c r="L84" s="38">
        <f>Harvest!J82</f>
        <v>43528.980003206023</v>
      </c>
      <c r="M84" s="36">
        <f>CPUE!J82</f>
        <v>14.703703703703702</v>
      </c>
      <c r="N84" s="30">
        <f>Effort!L82</f>
        <v>1331.1065472882369</v>
      </c>
      <c r="O84" s="38">
        <f>Harvest!L82</f>
        <v>19966.598209323554</v>
      </c>
      <c r="P84" s="36">
        <f>CPUE!L82</f>
        <v>15</v>
      </c>
      <c r="Q84" s="30" t="str">
        <f>Effort!N82</f>
        <v>CLOSED</v>
      </c>
      <c r="R84" s="38" t="str">
        <f>Harvest!N82</f>
        <v>CLOSED</v>
      </c>
      <c r="S84" s="36" t="str">
        <f>CPUE!N82</f>
        <v>CLOSED</v>
      </c>
      <c r="T84" s="30">
        <f>+E84+H84+K84+N84</f>
        <v>8971.0689117127167</v>
      </c>
      <c r="U84" s="38">
        <f>+F84+I84+L84+O84</f>
        <v>132229.26036892919</v>
      </c>
    </row>
    <row r="85" spans="1:22" x14ac:dyDescent="0.25">
      <c r="A85" s="37">
        <v>42057</v>
      </c>
      <c r="B85" s="18">
        <v>42057</v>
      </c>
      <c r="C85" s="13">
        <v>0.6</v>
      </c>
      <c r="D85" s="102">
        <v>0.875</v>
      </c>
      <c r="E85" s="30">
        <f>Effort!F83</f>
        <v>760.72618069616863</v>
      </c>
      <c r="F85" s="38">
        <f>Harvest!F83</f>
        <v>11410.892710442529</v>
      </c>
      <c r="G85" s="36">
        <f>CPUE!F83</f>
        <v>15</v>
      </c>
      <c r="H85" s="30">
        <f>Effort!H83</f>
        <v>264</v>
      </c>
      <c r="I85" s="38">
        <f>Harvest!H83</f>
        <v>3960</v>
      </c>
      <c r="J85" s="36">
        <f>CPUE!H83</f>
        <v>15</v>
      </c>
      <c r="K85" s="30" t="str">
        <f>Effort!J83</f>
        <v>CLOSED</v>
      </c>
      <c r="L85" s="38" t="str">
        <f>Harvest!J83</f>
        <v>CLOSED</v>
      </c>
      <c r="M85" s="36" t="str">
        <f>CPUE!J83</f>
        <v>CLOSED</v>
      </c>
      <c r="N85" s="30">
        <f>Effort!L83</f>
        <v>349.52813684026427</v>
      </c>
      <c r="O85" s="38">
        <f>Harvest!L83</f>
        <v>5242.9220526039644</v>
      </c>
      <c r="P85" s="36">
        <f>CPUE!L83</f>
        <v>15.000000000000002</v>
      </c>
      <c r="Q85" s="30" t="str">
        <f>Effort!N83</f>
        <v>CLOSED</v>
      </c>
      <c r="R85" s="38" t="str">
        <f>Harvest!N83</f>
        <v>CLOSED</v>
      </c>
      <c r="S85" s="36" t="str">
        <f>CPUE!N83</f>
        <v>CLOSED</v>
      </c>
      <c r="T85" s="30">
        <f>+E85+H85+N85</f>
        <v>1374.2543175364331</v>
      </c>
      <c r="U85" s="38">
        <f>+F85+I85+O85</f>
        <v>20613.814763046496</v>
      </c>
    </row>
    <row r="86" spans="1:22" x14ac:dyDescent="0.25">
      <c r="A86" s="225" t="s">
        <v>32</v>
      </c>
      <c r="B86" s="225"/>
      <c r="C86" s="225"/>
      <c r="D86" s="226"/>
      <c r="E86" s="34">
        <f>SUM(E78:E85)</f>
        <v>25283.393937070177</v>
      </c>
      <c r="F86" s="35">
        <f>SUM(F78:F85)</f>
        <v>378464.81201112352</v>
      </c>
      <c r="G86" s="33">
        <f>+F86/E86</f>
        <v>14.9689085631903</v>
      </c>
      <c r="H86" s="34">
        <f>SUM(H78:H85)</f>
        <v>22233.336942757938</v>
      </c>
      <c r="I86" s="35">
        <f>SUM(I78:I85)</f>
        <v>328689.46302202967</v>
      </c>
      <c r="J86" s="33">
        <f>+I86/H86</f>
        <v>14.783631618963685</v>
      </c>
      <c r="K86" s="34">
        <f>SUM(K84:K85)</f>
        <v>2960.4092193616189</v>
      </c>
      <c r="L86" s="35">
        <f>SUM(L84:L85)</f>
        <v>43528.980003206023</v>
      </c>
      <c r="M86" s="33">
        <f>+L86/K86</f>
        <v>14.703703703703702</v>
      </c>
      <c r="N86" s="34">
        <f>SUM(N83:N85)</f>
        <v>3566.1340755222304</v>
      </c>
      <c r="O86" s="35">
        <f>SUM(O83:O85)</f>
        <v>53492.011132833453</v>
      </c>
      <c r="P86" s="33">
        <f>+O86/N86</f>
        <v>14.999999999999998</v>
      </c>
      <c r="Q86" s="34"/>
      <c r="R86" s="35"/>
      <c r="S86" s="33"/>
      <c r="T86" s="34">
        <f>SUM(T78:T85)</f>
        <v>54043.274174711965</v>
      </c>
      <c r="U86" s="35">
        <f>SUM(U78:U85)</f>
        <v>804175.26616919262</v>
      </c>
    </row>
    <row r="87" spans="1:22" x14ac:dyDescent="0.25">
      <c r="A87" s="37">
        <v>42065</v>
      </c>
      <c r="B87" s="18">
        <v>42065</v>
      </c>
      <c r="C87" s="13">
        <v>0.5</v>
      </c>
      <c r="D87" s="101">
        <v>0.7006944444444444</v>
      </c>
      <c r="E87" s="30">
        <f>Effort!F85</f>
        <v>950.09190892219726</v>
      </c>
      <c r="F87" s="38">
        <f>Harvest!F85</f>
        <v>14251.378633832961</v>
      </c>
      <c r="G87" s="36">
        <f>CPUE!F85</f>
        <v>15.000000000000002</v>
      </c>
      <c r="H87" s="30">
        <f>Effort!H85</f>
        <v>1273.5892292721044</v>
      </c>
      <c r="I87" s="38">
        <f>Harvest!H85</f>
        <v>19103.838439081566</v>
      </c>
      <c r="J87" s="36">
        <f>CPUE!H85</f>
        <v>15</v>
      </c>
      <c r="K87" s="30" t="str">
        <f>Effort!J85</f>
        <v>CLOSED</v>
      </c>
      <c r="L87" s="38" t="str">
        <f>Harvest!J85</f>
        <v>CLOSED</v>
      </c>
      <c r="M87" s="36" t="str">
        <f>CPUE!J85</f>
        <v>CLOSED</v>
      </c>
      <c r="N87" s="30" t="str">
        <f>Effort!L85</f>
        <v>CLOSED</v>
      </c>
      <c r="O87" s="38" t="str">
        <f>Harvest!L85</f>
        <v>CLOSED</v>
      </c>
      <c r="P87" s="36" t="str">
        <f>CPUE!L85</f>
        <v>CLOSED</v>
      </c>
      <c r="Q87" s="30" t="str">
        <f>Effort!N85</f>
        <v>CLOSED</v>
      </c>
      <c r="R87" s="38" t="str">
        <f>Harvest!N85</f>
        <v>CLOSED</v>
      </c>
      <c r="S87" s="36" t="str">
        <f>CPUE!N85</f>
        <v>CLOSED</v>
      </c>
      <c r="T87" s="108">
        <f t="shared" ref="T87:U90" si="10">+E87+H87</f>
        <v>2223.6811381943016</v>
      </c>
      <c r="U87" s="73">
        <f t="shared" si="10"/>
        <v>33355.217072914529</v>
      </c>
    </row>
    <row r="88" spans="1:22" x14ac:dyDescent="0.25">
      <c r="A88" s="37">
        <v>42066</v>
      </c>
      <c r="B88" s="18">
        <v>42066</v>
      </c>
      <c r="C88" s="13">
        <v>0.4</v>
      </c>
      <c r="D88" s="101">
        <v>0.72638888888888886</v>
      </c>
      <c r="E88" s="30">
        <f>Effort!F86</f>
        <v>800</v>
      </c>
      <c r="F88" s="38">
        <f>Harvest!F86</f>
        <v>12000</v>
      </c>
      <c r="G88" s="36">
        <f>CPUE!F86</f>
        <v>15</v>
      </c>
      <c r="H88" s="30">
        <f>Effort!H86</f>
        <v>900.77811315456393</v>
      </c>
      <c r="I88" s="38">
        <f>Harvest!H86</f>
        <v>13511.671697318459</v>
      </c>
      <c r="J88" s="36">
        <f>CPUE!H86</f>
        <v>15</v>
      </c>
      <c r="K88" s="30" t="str">
        <f>Effort!J86</f>
        <v>CLOSED</v>
      </c>
      <c r="L88" s="38" t="str">
        <f>Harvest!J86</f>
        <v>CLOSED</v>
      </c>
      <c r="M88" s="36" t="str">
        <f>CPUE!J86</f>
        <v>CLOSED</v>
      </c>
      <c r="N88" s="30" t="str">
        <f>Effort!L86</f>
        <v>CLOSED</v>
      </c>
      <c r="O88" s="38" t="str">
        <f>Harvest!L86</f>
        <v>CLOSED</v>
      </c>
      <c r="P88" s="36" t="str">
        <f>CPUE!L86</f>
        <v>CLOSED</v>
      </c>
      <c r="Q88" s="30" t="str">
        <f>Effort!N86</f>
        <v>CLOSED</v>
      </c>
      <c r="R88" s="38" t="str">
        <f>Harvest!N86</f>
        <v>CLOSED</v>
      </c>
      <c r="S88" s="36" t="str">
        <f>CPUE!N86</f>
        <v>CLOSED</v>
      </c>
      <c r="T88" s="30">
        <f t="shared" si="10"/>
        <v>1700.7781131545639</v>
      </c>
      <c r="U88" s="38">
        <f t="shared" si="10"/>
        <v>25511.671697318459</v>
      </c>
    </row>
    <row r="89" spans="1:22" x14ac:dyDescent="0.25">
      <c r="A89" s="37">
        <v>42067</v>
      </c>
      <c r="B89" s="18">
        <v>42067</v>
      </c>
      <c r="C89" s="13">
        <v>0.4</v>
      </c>
      <c r="D89" s="101">
        <v>0.74930555555555556</v>
      </c>
      <c r="E89" s="30">
        <f>Effort!F87</f>
        <v>1114.3657865570965</v>
      </c>
      <c r="F89" s="38">
        <f>Harvest!F87</f>
        <v>16715.486798356447</v>
      </c>
      <c r="G89" s="36">
        <f>CPUE!F87</f>
        <v>15</v>
      </c>
      <c r="H89" s="30">
        <f>Effort!H87</f>
        <v>1234.7327114918071</v>
      </c>
      <c r="I89" s="38">
        <f>Harvest!H87</f>
        <v>18394.997538551412</v>
      </c>
      <c r="J89" s="36">
        <f>CPUE!H87</f>
        <v>15</v>
      </c>
      <c r="K89" s="30" t="str">
        <f>Effort!J87</f>
        <v>CLOSED</v>
      </c>
      <c r="L89" s="38" t="str">
        <f>Harvest!J87</f>
        <v>CLOSED</v>
      </c>
      <c r="M89" s="36" t="str">
        <f>CPUE!J87</f>
        <v>CLOSED</v>
      </c>
      <c r="N89" s="30" t="str">
        <f>Effort!L87</f>
        <v>CLOSED</v>
      </c>
      <c r="O89" s="38" t="str">
        <f>Harvest!L87</f>
        <v>CLOSED</v>
      </c>
      <c r="P89" s="36" t="str">
        <f>CPUE!L87</f>
        <v>CLOSED</v>
      </c>
      <c r="Q89" s="30" t="str">
        <f>Effort!N87</f>
        <v>CLOSED</v>
      </c>
      <c r="R89" s="38" t="str">
        <f>Harvest!N87</f>
        <v>CLOSED</v>
      </c>
      <c r="S89" s="36" t="str">
        <f>CPUE!N87</f>
        <v>CLOSED</v>
      </c>
      <c r="T89" s="30">
        <f t="shared" si="10"/>
        <v>2349.0984980489038</v>
      </c>
      <c r="U89" s="38">
        <f t="shared" si="10"/>
        <v>35110.484336907859</v>
      </c>
    </row>
    <row r="90" spans="1:22" x14ac:dyDescent="0.25">
      <c r="A90" s="37">
        <v>42068</v>
      </c>
      <c r="B90" s="18">
        <v>42068</v>
      </c>
      <c r="C90" s="13">
        <v>0.5</v>
      </c>
      <c r="D90" s="101">
        <v>0.77083333333333337</v>
      </c>
      <c r="E90" s="30">
        <f>Effort!F88</f>
        <v>476.25816386175723</v>
      </c>
      <c r="F90" s="38">
        <f>Harvest!F88</f>
        <v>7143.872457926358</v>
      </c>
      <c r="G90" s="36">
        <f>CPUE!F88</f>
        <v>15</v>
      </c>
      <c r="H90" s="30">
        <f>Effort!H88</f>
        <v>536.25366277231342</v>
      </c>
      <c r="I90" s="38">
        <f>Harvest!H88</f>
        <v>7766.8796117416778</v>
      </c>
      <c r="J90" s="36">
        <f>CPUE!H88</f>
        <v>15</v>
      </c>
      <c r="K90" s="30" t="str">
        <f>Effort!J88</f>
        <v>CLOSED</v>
      </c>
      <c r="L90" s="38" t="str">
        <f>Harvest!J88</f>
        <v>CLOSED</v>
      </c>
      <c r="M90" s="36" t="str">
        <f>CPUE!J88</f>
        <v>CLOSED</v>
      </c>
      <c r="N90" s="30" t="str">
        <f>Effort!L88</f>
        <v>CLOSED</v>
      </c>
      <c r="O90" s="38" t="str">
        <f>Harvest!L88</f>
        <v>CLOSED</v>
      </c>
      <c r="P90" s="36" t="str">
        <f>CPUE!L88</f>
        <v>CLOSED</v>
      </c>
      <c r="Q90" s="30" t="str">
        <f>Effort!N88</f>
        <v>CLOSED</v>
      </c>
      <c r="R90" s="38" t="str">
        <f>Harvest!N88</f>
        <v>CLOSED</v>
      </c>
      <c r="S90" s="36" t="str">
        <f>CPUE!N88</f>
        <v>CLOSED</v>
      </c>
      <c r="T90" s="30">
        <f t="shared" si="10"/>
        <v>1012.5118266340706</v>
      </c>
      <c r="U90" s="38">
        <f t="shared" si="10"/>
        <v>14910.752069668037</v>
      </c>
    </row>
    <row r="91" spans="1:22" x14ac:dyDescent="0.25">
      <c r="A91" s="225" t="s">
        <v>32</v>
      </c>
      <c r="B91" s="225"/>
      <c r="C91" s="225"/>
      <c r="D91" s="226"/>
      <c r="E91" s="34">
        <f>SUM(E87:E90)</f>
        <v>3340.7158593410509</v>
      </c>
      <c r="F91" s="35">
        <f>SUM(F87:F90)</f>
        <v>50110.737890115764</v>
      </c>
      <c r="G91" s="33">
        <f>+F91/E91</f>
        <v>15</v>
      </c>
      <c r="H91" s="34">
        <f>SUM(H87:H90)</f>
        <v>3945.3537166907886</v>
      </c>
      <c r="I91" s="35">
        <f>SUM(I87:I90)</f>
        <v>58777.38728669312</v>
      </c>
      <c r="J91" s="33">
        <f>+I91/H91</f>
        <v>14.897875198879085</v>
      </c>
      <c r="K91" s="34"/>
      <c r="L91" s="35"/>
      <c r="M91" s="33"/>
      <c r="N91" s="34"/>
      <c r="O91" s="35"/>
      <c r="P91" s="33"/>
      <c r="Q91" s="34"/>
      <c r="R91" s="35"/>
      <c r="S91" s="33"/>
      <c r="T91" s="34">
        <f>SUM(T87:T90)</f>
        <v>7286.0695760318395</v>
      </c>
      <c r="U91" s="35">
        <f>SUM(U87:U90)</f>
        <v>108888.12517680888</v>
      </c>
    </row>
    <row r="92" spans="1:22" x14ac:dyDescent="0.25">
      <c r="A92" s="37">
        <v>42079</v>
      </c>
      <c r="B92" s="18">
        <f>+A92</f>
        <v>42079</v>
      </c>
      <c r="C92" s="13">
        <v>0.3</v>
      </c>
      <c r="D92" s="112">
        <v>0.67708333333333337</v>
      </c>
      <c r="E92" s="30">
        <f>Effort!F90</f>
        <v>663.87511157249867</v>
      </c>
      <c r="F92" s="38">
        <f>Harvest!F90</f>
        <v>9958.1266735874797</v>
      </c>
      <c r="G92" s="36">
        <f>CPUE!F90</f>
        <v>15</v>
      </c>
      <c r="H92" s="30">
        <f>Effort!H90</f>
        <v>747.50521296568866</v>
      </c>
      <c r="I92" s="38">
        <f>Harvest!H90</f>
        <v>11212.57819448533</v>
      </c>
      <c r="J92" s="36">
        <f>CPUE!H90</f>
        <v>15</v>
      </c>
      <c r="K92" s="30" t="str">
        <f>Effort!J90</f>
        <v>CLOSED</v>
      </c>
      <c r="L92" s="38" t="str">
        <f>Harvest!J90</f>
        <v>CLOSED</v>
      </c>
      <c r="M92" s="36" t="str">
        <f>CPUE!J90</f>
        <v>CLOSED</v>
      </c>
      <c r="N92" s="30" t="str">
        <f>Effort!L90</f>
        <v>CLOSED</v>
      </c>
      <c r="O92" s="38" t="str">
        <f>Harvest!L90</f>
        <v>CLOSED</v>
      </c>
      <c r="P92" s="36" t="str">
        <f>CPUE!L90</f>
        <v>CLOSED</v>
      </c>
      <c r="Q92" s="30" t="str">
        <f>Effort!N90</f>
        <v>CLOSED</v>
      </c>
      <c r="R92" s="38" t="str">
        <f>Harvest!N90</f>
        <v>CLOSED</v>
      </c>
      <c r="S92" s="36" t="str">
        <f>CPUE!N90</f>
        <v>CLOSED</v>
      </c>
      <c r="T92" s="108">
        <f t="shared" ref="T92:U95" si="11">+E92+H92</f>
        <v>1411.3803245381873</v>
      </c>
      <c r="U92" s="73">
        <f t="shared" si="11"/>
        <v>21170.704868072811</v>
      </c>
    </row>
    <row r="93" spans="1:22" x14ac:dyDescent="0.25">
      <c r="A93" s="37">
        <v>42080</v>
      </c>
      <c r="B93" s="18">
        <f t="shared" ref="B93:B100" si="12">+A93</f>
        <v>42080</v>
      </c>
      <c r="C93" s="13">
        <v>-0.2</v>
      </c>
      <c r="D93" s="112">
        <v>0.71388888888888891</v>
      </c>
      <c r="E93" s="109">
        <f>Effort!F91</f>
        <v>867.76174598195257</v>
      </c>
      <c r="F93" s="38">
        <f>Harvest!F91</f>
        <v>13033.441125925014</v>
      </c>
      <c r="G93" s="110">
        <f>CPUE!F91</f>
        <v>15.019607843137255</v>
      </c>
      <c r="H93" s="109">
        <f>Effort!H91</f>
        <v>977.07598526666641</v>
      </c>
      <c r="I93" s="38">
        <f>Harvest!H91</f>
        <v>14170.069349357636</v>
      </c>
      <c r="J93" s="110">
        <f>CPUE!H91</f>
        <v>14.502525456595169</v>
      </c>
      <c r="K93" s="109" t="str">
        <f>Effort!J91</f>
        <v>CLOSED</v>
      </c>
      <c r="L93" s="38" t="str">
        <f>Harvest!J91</f>
        <v>CLOSED</v>
      </c>
      <c r="M93" s="110" t="str">
        <f>CPUE!J91</f>
        <v>CLOSED</v>
      </c>
      <c r="N93" s="109" t="str">
        <f>Effort!L91</f>
        <v>CLOSED</v>
      </c>
      <c r="O93" s="38" t="str">
        <f>Harvest!L91</f>
        <v>CLOSED</v>
      </c>
      <c r="P93" s="110" t="str">
        <f>CPUE!L91</f>
        <v>CLOSED</v>
      </c>
      <c r="Q93" s="109" t="str">
        <f>Effort!N91</f>
        <v>CLOSED</v>
      </c>
      <c r="R93" s="38" t="str">
        <f>Harvest!N91</f>
        <v>CLOSED</v>
      </c>
      <c r="S93" s="110" t="str">
        <f>CPUE!N91</f>
        <v>CLOSED</v>
      </c>
      <c r="T93" s="108">
        <f t="shared" si="11"/>
        <v>1844.8377312486191</v>
      </c>
      <c r="U93" s="38">
        <f t="shared" si="11"/>
        <v>27203.510475282652</v>
      </c>
    </row>
    <row r="94" spans="1:22" x14ac:dyDescent="0.25">
      <c r="A94" s="37">
        <v>42081</v>
      </c>
      <c r="B94" s="18">
        <f t="shared" si="12"/>
        <v>42081</v>
      </c>
      <c r="C94" s="13">
        <v>-0.5</v>
      </c>
      <c r="D94" s="112">
        <v>0.74791666666666667</v>
      </c>
      <c r="E94" s="109">
        <f>Effort!F92</f>
        <v>1252.9781141934852</v>
      </c>
      <c r="F94" s="38">
        <f>Harvest!F92</f>
        <v>18794.67171290228</v>
      </c>
      <c r="G94" s="110">
        <f>CPUE!F92</f>
        <v>15.000000000000002</v>
      </c>
      <c r="H94" s="109">
        <f>Effort!H92</f>
        <v>1410.819076908964</v>
      </c>
      <c r="I94" s="38">
        <f>Harvest!H92</f>
        <v>20433.728820893732</v>
      </c>
      <c r="J94" s="110">
        <f>CPUE!H92</f>
        <v>14.483592655737997</v>
      </c>
      <c r="K94" s="109" t="str">
        <f>Effort!J92</f>
        <v>CLOSED</v>
      </c>
      <c r="L94" s="38" t="str">
        <f>Harvest!J92</f>
        <v>CLOSED</v>
      </c>
      <c r="M94" s="110" t="str">
        <f>CPUE!J92</f>
        <v>CLOSED</v>
      </c>
      <c r="N94" s="109" t="str">
        <f>Effort!L92</f>
        <v>CLOSED</v>
      </c>
      <c r="O94" s="38" t="str">
        <f>Harvest!L92</f>
        <v>CLOSED</v>
      </c>
      <c r="P94" s="110" t="str">
        <f>CPUE!L92</f>
        <v>CLOSED</v>
      </c>
      <c r="Q94" s="109" t="str">
        <f>Effort!N92</f>
        <v>CLOSED</v>
      </c>
      <c r="R94" s="38" t="str">
        <f>Harvest!N92</f>
        <v>CLOSED</v>
      </c>
      <c r="S94" s="110" t="str">
        <f>CPUE!N92</f>
        <v>CLOSED</v>
      </c>
      <c r="T94" s="108">
        <f t="shared" si="11"/>
        <v>2663.7971911024492</v>
      </c>
      <c r="U94" s="38">
        <f t="shared" si="11"/>
        <v>39228.400533796012</v>
      </c>
    </row>
    <row r="95" spans="1:22" x14ac:dyDescent="0.25">
      <c r="A95" s="37">
        <v>42082</v>
      </c>
      <c r="B95" s="18">
        <f t="shared" si="12"/>
        <v>42082</v>
      </c>
      <c r="C95" s="13">
        <v>-0.5</v>
      </c>
      <c r="D95" s="112">
        <v>0.77916666666666667</v>
      </c>
      <c r="E95" s="109">
        <f>Effort!F93</f>
        <v>1252.9781141934852</v>
      </c>
      <c r="F95" s="38">
        <f>Harvest!F93</f>
        <v>18794.67171290228</v>
      </c>
      <c r="G95" s="110">
        <f>CPUE!F93</f>
        <v>15.000000000000002</v>
      </c>
      <c r="H95" s="109">
        <f>Effort!H93</f>
        <v>1410.819076908964</v>
      </c>
      <c r="I95" s="38">
        <f>Harvest!H93</f>
        <v>20433.728820893732</v>
      </c>
      <c r="J95" s="110">
        <f>CPUE!H93</f>
        <v>14.483592655737997</v>
      </c>
      <c r="K95" s="109" t="str">
        <f>Effort!J93</f>
        <v>CLOSED</v>
      </c>
      <c r="L95" s="38" t="str">
        <f>Harvest!J93</f>
        <v>CLOSED</v>
      </c>
      <c r="M95" s="110" t="str">
        <f>CPUE!J93</f>
        <v>CLOSED</v>
      </c>
      <c r="N95" s="109" t="str">
        <f>Effort!L93</f>
        <v>CLOSED</v>
      </c>
      <c r="O95" s="38" t="str">
        <f>Harvest!L93</f>
        <v>CLOSED</v>
      </c>
      <c r="P95" s="110" t="str">
        <f>CPUE!L93</f>
        <v>CLOSED</v>
      </c>
      <c r="Q95" s="109" t="str">
        <f>Effort!N93</f>
        <v>CLOSED</v>
      </c>
      <c r="R95" s="38" t="str">
        <f>Harvest!N93</f>
        <v>CLOSED</v>
      </c>
      <c r="S95" s="110" t="str">
        <f>CPUE!N93</f>
        <v>CLOSED</v>
      </c>
      <c r="T95" s="108">
        <f t="shared" si="11"/>
        <v>2663.7971911024492</v>
      </c>
      <c r="U95" s="38">
        <f t="shared" si="11"/>
        <v>39228.400533796012</v>
      </c>
    </row>
    <row r="96" spans="1:22" x14ac:dyDescent="0.25">
      <c r="A96" s="117">
        <v>42083</v>
      </c>
      <c r="B96" s="18">
        <f t="shared" si="12"/>
        <v>42083</v>
      </c>
      <c r="C96" s="62">
        <v>-0.4</v>
      </c>
      <c r="D96" s="118">
        <v>0.80972222222222223</v>
      </c>
      <c r="E96" s="109">
        <f>Effort!F94</f>
        <v>5074.0604701328966</v>
      </c>
      <c r="F96" s="38">
        <f>Harvest!F94</f>
        <v>65250.260057509695</v>
      </c>
      <c r="G96" s="110">
        <f>CPUE!F94</f>
        <v>12.859574780708259</v>
      </c>
      <c r="H96" s="109">
        <f>Effort!H94</f>
        <v>2586.0107767131299</v>
      </c>
      <c r="I96" s="38">
        <f>Harvest!H94</f>
        <v>32138.925102431389</v>
      </c>
      <c r="J96" s="110">
        <f>CPUE!H94</f>
        <v>12.427993491690158</v>
      </c>
      <c r="K96" s="109">
        <f>Effort!J94</f>
        <v>4545.0958092646688</v>
      </c>
      <c r="L96" s="38">
        <f>Harvest!J94</f>
        <v>62814.245453882497</v>
      </c>
      <c r="M96" s="110">
        <f>CPUE!J94</f>
        <v>13.820224719101123</v>
      </c>
      <c r="N96" s="109">
        <f>Effort!L94</f>
        <v>2995.7330013225996</v>
      </c>
      <c r="O96" s="38">
        <f>Harvest!L94</f>
        <v>39011.100861667634</v>
      </c>
      <c r="P96" s="110">
        <f>CPUE!L94</f>
        <v>13.022222222222224</v>
      </c>
      <c r="Q96" s="109" t="str">
        <f>Effort!N94</f>
        <v>CLOSED</v>
      </c>
      <c r="R96" s="38" t="str">
        <f>Harvest!N94</f>
        <v>CLOSED</v>
      </c>
      <c r="S96" s="110" t="str">
        <f>CPUE!N94</f>
        <v>CLOSED</v>
      </c>
      <c r="T96" s="38">
        <f t="shared" ref="T96:U98" si="13">+E96+H96+K96+N96</f>
        <v>15200.900057433295</v>
      </c>
      <c r="U96" s="38">
        <f t="shared" si="13"/>
        <v>199214.53147549121</v>
      </c>
    </row>
    <row r="97" spans="1:21" x14ac:dyDescent="0.25">
      <c r="A97" s="117">
        <v>42084</v>
      </c>
      <c r="B97" s="18">
        <f t="shared" si="12"/>
        <v>42084</v>
      </c>
      <c r="C97" s="62">
        <v>-0.5</v>
      </c>
      <c r="D97" s="118">
        <v>0.3298611111111111</v>
      </c>
      <c r="E97" s="109">
        <f>Effort!F95</f>
        <v>8823.6491531496104</v>
      </c>
      <c r="F97" s="38">
        <f>Harvest!F95</f>
        <v>132354.73729724414</v>
      </c>
      <c r="G97" s="110">
        <f>CPUE!F95</f>
        <v>14.999999999999998</v>
      </c>
      <c r="H97" s="109">
        <f>Effort!H95</f>
        <v>5519.2265447733553</v>
      </c>
      <c r="I97" s="38">
        <f>Harvest!H95</f>
        <v>62080.92414271384</v>
      </c>
      <c r="J97" s="110">
        <f>CPUE!H95</f>
        <v>11.248120300751882</v>
      </c>
      <c r="K97" s="109">
        <f>Effort!J95</f>
        <v>7523.6934812031277</v>
      </c>
      <c r="L97" s="38">
        <f>Harvest!J95</f>
        <v>104686.82072416926</v>
      </c>
      <c r="M97" s="110">
        <f>CPUE!J95</f>
        <v>13.914285714285718</v>
      </c>
      <c r="N97" s="109">
        <f>Effort!L95</f>
        <v>3139.9977166331578</v>
      </c>
      <c r="O97" s="38">
        <f>Harvest!L95</f>
        <v>47099.965749497365</v>
      </c>
      <c r="P97" s="110">
        <f>CPUE!L95</f>
        <v>15</v>
      </c>
      <c r="Q97" s="109" t="str">
        <f>Effort!N95</f>
        <v>CLOSED</v>
      </c>
      <c r="R97" s="38" t="str">
        <f>Harvest!N95</f>
        <v>CLOSED</v>
      </c>
      <c r="S97" s="110" t="str">
        <f>CPUE!N95</f>
        <v>CLOSED</v>
      </c>
      <c r="T97" s="38">
        <f t="shared" si="13"/>
        <v>25006.566895759253</v>
      </c>
      <c r="U97" s="38">
        <f t="shared" si="13"/>
        <v>346222.44791362458</v>
      </c>
    </row>
    <row r="98" spans="1:21" x14ac:dyDescent="0.25">
      <c r="A98" s="117">
        <v>42085</v>
      </c>
      <c r="B98" s="18">
        <f t="shared" si="12"/>
        <v>42085</v>
      </c>
      <c r="C98" s="62">
        <v>-0.7</v>
      </c>
      <c r="D98" s="118">
        <v>0.36249999999999999</v>
      </c>
      <c r="E98" s="109">
        <f>Effort!F96</f>
        <v>6761.8563142018938</v>
      </c>
      <c r="F98" s="38">
        <f>Harvest!F96</f>
        <v>101427.8447130284</v>
      </c>
      <c r="G98" s="110">
        <f>CPUE!F96</f>
        <v>15</v>
      </c>
      <c r="H98" s="109">
        <f>Effort!H96</f>
        <v>2909.4876307241898</v>
      </c>
      <c r="I98" s="38">
        <f>Harvest!H96</f>
        <v>40685.465662250695</v>
      </c>
      <c r="J98" s="110">
        <f>CPUE!H96</f>
        <v>13.983721818443966</v>
      </c>
      <c r="K98" s="109">
        <f>Effort!J96</f>
        <v>4417.4898155849742</v>
      </c>
      <c r="L98" s="38">
        <f>Harvest!J96</f>
        <v>64495.351307540623</v>
      </c>
      <c r="M98" s="110">
        <f>CPUE!J96</f>
        <v>14.6</v>
      </c>
      <c r="N98" s="109">
        <f>Effort!L96</f>
        <v>3096.8318570683919</v>
      </c>
      <c r="O98" s="38">
        <f>Harvest!L96</f>
        <v>45703.244342219004</v>
      </c>
      <c r="P98" s="110">
        <f>CPUE!L96</f>
        <v>14.75806451612903</v>
      </c>
      <c r="Q98" s="109" t="str">
        <f>Effort!N96</f>
        <v>CLOSED</v>
      </c>
      <c r="R98" s="38" t="str">
        <f>Harvest!N96</f>
        <v>CLOSED</v>
      </c>
      <c r="S98" s="110" t="str">
        <f>CPUE!N96</f>
        <v>CLOSED</v>
      </c>
      <c r="T98" s="38">
        <f t="shared" si="13"/>
        <v>17185.665617579449</v>
      </c>
      <c r="U98" s="38">
        <f t="shared" si="13"/>
        <v>252311.90602503871</v>
      </c>
    </row>
    <row r="99" spans="1:21" x14ac:dyDescent="0.25">
      <c r="A99" s="117">
        <v>42086</v>
      </c>
      <c r="B99" s="18">
        <f t="shared" si="12"/>
        <v>42086</v>
      </c>
      <c r="C99" s="62">
        <v>-0.6</v>
      </c>
      <c r="D99" s="118">
        <v>0.39652777777777776</v>
      </c>
      <c r="E99" s="109">
        <f>Effort!F97</f>
        <v>1037.0642647970726</v>
      </c>
      <c r="F99" s="38">
        <f>Harvest!F97</f>
        <v>12770.86429838627</v>
      </c>
      <c r="G99" s="110">
        <f>CPUE!F97</f>
        <v>12.314438682240398</v>
      </c>
      <c r="H99" s="109">
        <f>Effort!H97</f>
        <v>1150.9333515035767</v>
      </c>
      <c r="I99" s="38">
        <f>Harvest!H97</f>
        <v>13632.607111775123</v>
      </c>
      <c r="J99" s="110">
        <f>CPUE!H97</f>
        <v>11.844827586206897</v>
      </c>
      <c r="K99" s="109" t="str">
        <f>Effort!J97</f>
        <v>CLOSED</v>
      </c>
      <c r="L99" s="38" t="str">
        <f>Harvest!J97</f>
        <v>CLOSED</v>
      </c>
      <c r="M99" s="110" t="str">
        <f>CPUE!J97</f>
        <v>CLOSED</v>
      </c>
      <c r="N99" s="109" t="str">
        <f>Effort!L97</f>
        <v>CLOSED</v>
      </c>
      <c r="O99" s="38" t="str">
        <f>Harvest!L97</f>
        <v>CLOSED</v>
      </c>
      <c r="P99" s="110" t="str">
        <f>CPUE!L97</f>
        <v>CLOSED</v>
      </c>
      <c r="Q99" s="109" t="str">
        <f>Effort!N97</f>
        <v>CLOSED</v>
      </c>
      <c r="R99" s="38" t="str">
        <f>Harvest!N97</f>
        <v>CLOSED</v>
      </c>
      <c r="S99" s="110" t="str">
        <f>CPUE!N97</f>
        <v>CLOSED</v>
      </c>
      <c r="T99" s="38">
        <f>+E99+H99</f>
        <v>2187.9976163006495</v>
      </c>
      <c r="U99" s="38">
        <f>+F99+I99</f>
        <v>26403.471410161394</v>
      </c>
    </row>
    <row r="100" spans="1:21" x14ac:dyDescent="0.25">
      <c r="A100" s="117">
        <v>42087</v>
      </c>
      <c r="B100" s="18">
        <f t="shared" si="12"/>
        <v>42087</v>
      </c>
      <c r="C100" s="62">
        <v>-0.3</v>
      </c>
      <c r="D100" s="118">
        <v>0.43125000000000002</v>
      </c>
      <c r="E100" s="109">
        <f>Effort!F98</f>
        <v>2063.3453962759991</v>
      </c>
      <c r="F100" s="38">
        <f>Harvest!F98</f>
        <v>30828.807685535518</v>
      </c>
      <c r="G100" s="110">
        <f>CPUE!F98</f>
        <v>14.941176470588236</v>
      </c>
      <c r="H100" s="109">
        <f>Effort!H98</f>
        <v>2323.2704660545628</v>
      </c>
      <c r="I100" s="38">
        <f>Harvest!H98</f>
        <v>33517.345008227363</v>
      </c>
      <c r="J100" s="110">
        <f>CPUE!H98</f>
        <v>14.426794253166474</v>
      </c>
      <c r="K100" s="109" t="str">
        <f>Effort!J98</f>
        <v>CLOSED</v>
      </c>
      <c r="L100" s="38" t="str">
        <f>Harvest!J98</f>
        <v>CLOSED</v>
      </c>
      <c r="M100" s="110" t="str">
        <f>CPUE!J98</f>
        <v>CLOSED</v>
      </c>
      <c r="N100" s="109" t="str">
        <f>Effort!L98</f>
        <v>CLOSED</v>
      </c>
      <c r="O100" s="38" t="str">
        <f>Harvest!L98</f>
        <v>CLOSED</v>
      </c>
      <c r="P100" s="110" t="str">
        <f>CPUE!L98</f>
        <v>CLOSED</v>
      </c>
      <c r="Q100" s="109" t="str">
        <f>Effort!N98</f>
        <v>CLOSED</v>
      </c>
      <c r="R100" s="38" t="str">
        <f>Harvest!N98</f>
        <v>CLOSED</v>
      </c>
      <c r="S100" s="110" t="str">
        <f>CPUE!N98</f>
        <v>CLOSED</v>
      </c>
      <c r="T100" s="38">
        <f>+E100+H100</f>
        <v>4386.6158623305619</v>
      </c>
      <c r="U100" s="38">
        <f>+F100+I100</f>
        <v>64346.152693762881</v>
      </c>
    </row>
    <row r="101" spans="1:21" x14ac:dyDescent="0.25">
      <c r="A101" s="225" t="s">
        <v>32</v>
      </c>
      <c r="B101" s="225"/>
      <c r="C101" s="225"/>
      <c r="D101" s="226"/>
      <c r="E101" s="113">
        <f>SUM(E92:E100)</f>
        <v>27797.568684498892</v>
      </c>
      <c r="F101" s="111">
        <f>SUM(F92:F100)</f>
        <v>403213.42527702107</v>
      </c>
      <c r="G101" s="33">
        <f>+F101/E101</f>
        <v>14.505348645900462</v>
      </c>
      <c r="H101" s="113">
        <f>SUM(H92:H100)</f>
        <v>19035.1481218191</v>
      </c>
      <c r="I101" s="111">
        <f>SUM(I92:I100)</f>
        <v>248305.37221302884</v>
      </c>
      <c r="J101" s="33">
        <f>+I101/H101</f>
        <v>13.044572630795974</v>
      </c>
      <c r="K101" s="113">
        <f>SUM(K96:K100)</f>
        <v>16486.279106052771</v>
      </c>
      <c r="L101" s="111">
        <f>SUM(L96:L100)</f>
        <v>231996.41748559236</v>
      </c>
      <c r="M101" s="33">
        <f>+L101/K101</f>
        <v>14.072090857688877</v>
      </c>
      <c r="N101" s="113">
        <f>SUM(N96:N100)</f>
        <v>9232.5625750241488</v>
      </c>
      <c r="O101" s="111">
        <f>SUM(O96:O100)</f>
        <v>131814.310953384</v>
      </c>
      <c r="P101" s="33">
        <f>+O101/N101</f>
        <v>14.277109944531215</v>
      </c>
      <c r="Q101" s="113"/>
      <c r="R101" s="111"/>
      <c r="S101" s="114"/>
      <c r="T101" s="111">
        <f>SUM(T92:T100)</f>
        <v>72551.558487394912</v>
      </c>
      <c r="U101" s="111">
        <f>SUM(U92:U100)</f>
        <v>1015329.5259290262</v>
      </c>
    </row>
    <row r="102" spans="1:21" x14ac:dyDescent="0.25">
      <c r="A102" s="37">
        <v>42098</v>
      </c>
      <c r="B102" s="18">
        <v>42098</v>
      </c>
      <c r="C102" s="13">
        <v>0.6</v>
      </c>
      <c r="D102" s="112">
        <v>0.30763888888888891</v>
      </c>
      <c r="E102" s="30">
        <f>Effort!F100</f>
        <v>2086.3991040588476</v>
      </c>
      <c r="F102" s="38">
        <f>Harvest!F100</f>
        <v>31295.986560882717</v>
      </c>
      <c r="G102" s="36">
        <f>CPUE!F100</f>
        <v>15.000000000000002</v>
      </c>
      <c r="H102" s="30">
        <f>Effort!H100</f>
        <v>1469.8445285789205</v>
      </c>
      <c r="I102" s="38">
        <f>Harvest!H100</f>
        <v>19334.108798999645</v>
      </c>
      <c r="J102" s="36">
        <f>CPUE!H100</f>
        <v>13.153846153846153</v>
      </c>
      <c r="K102" s="30">
        <f>Effort!J100</f>
        <v>2097.0112966547676</v>
      </c>
      <c r="L102" s="38">
        <f>Harvest!J100</f>
        <v>15847.905045210624</v>
      </c>
      <c r="M102" s="36">
        <f>CPUE!J100</f>
        <v>7.5573770491803289</v>
      </c>
      <c r="N102" s="30">
        <f>Effort!L100</f>
        <v>1463.0127752944372</v>
      </c>
      <c r="O102" s="38">
        <f>Harvest!L100</f>
        <v>19426.890950631052</v>
      </c>
      <c r="P102" s="36">
        <f>CPUE!L100</f>
        <v>13.278688524590164</v>
      </c>
      <c r="Q102" s="30" t="str">
        <f>Effort!N100</f>
        <v>CLOSED</v>
      </c>
      <c r="R102" s="38" t="str">
        <f>Harvest!N100</f>
        <v>CLOSED</v>
      </c>
      <c r="S102" s="36" t="str">
        <f>CPUE!N100</f>
        <v>CLOSED</v>
      </c>
      <c r="T102" s="30">
        <f>+E102+H102+K102+N102</f>
        <v>7116.2677045869732</v>
      </c>
      <c r="U102" s="38">
        <f>+F102+I102+L102+O102</f>
        <v>85904.891355724045</v>
      </c>
    </row>
    <row r="103" spans="1:21" x14ac:dyDescent="0.25">
      <c r="A103" s="37">
        <v>42099</v>
      </c>
      <c r="B103" s="18">
        <v>42099</v>
      </c>
      <c r="C103" s="13">
        <v>0.3</v>
      </c>
      <c r="D103" s="112">
        <v>0.33124999999999999</v>
      </c>
      <c r="E103" s="109">
        <f>Effort!F101</f>
        <v>1528.7068011699546</v>
      </c>
      <c r="F103" s="38">
        <f>Harvest!F101</f>
        <v>22966.999798529556</v>
      </c>
      <c r="G103" s="110">
        <f>CPUE!F101</f>
        <v>15.023809523809524</v>
      </c>
      <c r="H103" s="109">
        <f>Effort!H101</f>
        <v>826.70516678845479</v>
      </c>
      <c r="I103" s="38">
        <f>Harvest!H101</f>
        <v>12420.260958178927</v>
      </c>
      <c r="J103" s="110">
        <f>CPUE!H101</f>
        <v>15.023809523809524</v>
      </c>
      <c r="K103" s="109">
        <f>Effort!J101</f>
        <v>1432.2624288903507</v>
      </c>
      <c r="L103" s="38">
        <f>Harvest!J101</f>
        <v>21534.191255421589</v>
      </c>
      <c r="M103" s="110">
        <f>CPUE!J101</f>
        <v>15.035087719298245</v>
      </c>
      <c r="N103" s="109">
        <f>Effort!L101</f>
        <v>1222.9439015280407</v>
      </c>
      <c r="O103" s="38">
        <f>Harvest!L101</f>
        <v>18124.655771364294</v>
      </c>
      <c r="P103" s="110">
        <f>CPUE!L101</f>
        <v>14.820512820512819</v>
      </c>
      <c r="Q103" s="109" t="str">
        <f>Effort!N101</f>
        <v>CLOSED</v>
      </c>
      <c r="R103" s="38" t="str">
        <f>Harvest!N101</f>
        <v>CLOSED</v>
      </c>
      <c r="S103" s="110" t="str">
        <f>CPUE!N101</f>
        <v>CLOSED</v>
      </c>
      <c r="T103" s="38">
        <f>+E103+H103+K103+N103</f>
        <v>5010.6182983768003</v>
      </c>
      <c r="U103" s="38">
        <f>+F103+I103+L103+O103</f>
        <v>75046.107783494372</v>
      </c>
    </row>
    <row r="104" spans="1:21" x14ac:dyDescent="0.25">
      <c r="A104" s="37">
        <v>42100</v>
      </c>
      <c r="B104" s="18">
        <v>42100</v>
      </c>
      <c r="C104" s="13">
        <v>0.1</v>
      </c>
      <c r="D104" s="112">
        <v>0.35555555555555557</v>
      </c>
      <c r="E104" s="109">
        <f>Effort!F102</f>
        <v>197.7150969064881</v>
      </c>
      <c r="F104" s="38">
        <f>Harvest!F102</f>
        <v>2907.5749545071781</v>
      </c>
      <c r="G104" s="110">
        <f>CPUE!F102</f>
        <v>14.705882352941178</v>
      </c>
      <c r="H104" s="109">
        <f>Effort!H102</f>
        <v>743.30403176598782</v>
      </c>
      <c r="I104" s="38">
        <f>Harvest!H102</f>
        <v>9662.9524129578404</v>
      </c>
      <c r="J104" s="110">
        <f>CPUE!H102</f>
        <v>12.999999999999998</v>
      </c>
      <c r="K104" s="109" t="str">
        <f>Effort!J102</f>
        <v>CLOSED</v>
      </c>
      <c r="L104" s="38" t="str">
        <f>Harvest!J102</f>
        <v>CLOSED</v>
      </c>
      <c r="M104" s="110" t="str">
        <f>CPUE!J102</f>
        <v>CLOSED</v>
      </c>
      <c r="N104" s="109" t="str">
        <f>Effort!L102</f>
        <v>CLOSED</v>
      </c>
      <c r="O104" s="38" t="str">
        <f>Harvest!L102</f>
        <v>CLOSED</v>
      </c>
      <c r="P104" s="110" t="str">
        <f>CPUE!L102</f>
        <v>CLOSED</v>
      </c>
      <c r="Q104" s="109" t="str">
        <f>Effort!N102</f>
        <v>CLOSED</v>
      </c>
      <c r="R104" s="38" t="str">
        <f>Harvest!N102</f>
        <v>CLOSED</v>
      </c>
      <c r="S104" s="110" t="str">
        <f>CPUE!N102</f>
        <v>CLOSED</v>
      </c>
      <c r="T104" s="38">
        <f t="shared" ref="T104:U108" si="14">+E104+H104</f>
        <v>941.01912867247597</v>
      </c>
      <c r="U104" s="38">
        <f t="shared" si="14"/>
        <v>12570.527367465018</v>
      </c>
    </row>
    <row r="105" spans="1:21" x14ac:dyDescent="0.25">
      <c r="A105" s="37">
        <v>42101</v>
      </c>
      <c r="B105" s="18">
        <v>42101</v>
      </c>
      <c r="C105" s="13">
        <v>0.1</v>
      </c>
      <c r="D105" s="112">
        <v>0.38124999999999998</v>
      </c>
      <c r="E105" s="109">
        <f>Effort!F103</f>
        <v>1140.4155457001509</v>
      </c>
      <c r="F105" s="38">
        <f>Harvest!F103</f>
        <v>17106.233185502264</v>
      </c>
      <c r="G105" s="110">
        <f>CPUE!F103</f>
        <v>15</v>
      </c>
      <c r="H105" s="109">
        <f>Effort!H103</f>
        <v>1312.3092834751485</v>
      </c>
      <c r="I105" s="38">
        <f>Harvest!H103</f>
        <v>19684.639252127228</v>
      </c>
      <c r="J105" s="110">
        <f>CPUE!H103</f>
        <v>15</v>
      </c>
      <c r="K105" s="109" t="str">
        <f>Effort!J103</f>
        <v>CLOSED</v>
      </c>
      <c r="L105" s="38" t="str">
        <f>Harvest!J103</f>
        <v>CLOSED</v>
      </c>
      <c r="M105" s="110" t="str">
        <f>CPUE!J103</f>
        <v>CLOSED</v>
      </c>
      <c r="N105" s="109" t="str">
        <f>Effort!L103</f>
        <v>CLOSED</v>
      </c>
      <c r="O105" s="38" t="str">
        <f>Harvest!L103</f>
        <v>CLOSED</v>
      </c>
      <c r="P105" s="110" t="str">
        <f>CPUE!L103</f>
        <v>CLOSED</v>
      </c>
      <c r="Q105" s="109" t="str">
        <f>Effort!N103</f>
        <v>CLOSED</v>
      </c>
      <c r="R105" s="38" t="str">
        <f>Harvest!N103</f>
        <v>CLOSED</v>
      </c>
      <c r="S105" s="110" t="str">
        <f>CPUE!N103</f>
        <v>CLOSED</v>
      </c>
      <c r="T105" s="38">
        <f t="shared" si="14"/>
        <v>2452.7248291752994</v>
      </c>
      <c r="U105" s="38">
        <f t="shared" si="14"/>
        <v>36790.872437629492</v>
      </c>
    </row>
    <row r="106" spans="1:21" x14ac:dyDescent="0.25">
      <c r="A106" s="117">
        <v>42102</v>
      </c>
      <c r="B106" s="18">
        <v>42102</v>
      </c>
      <c r="C106" s="62">
        <v>0.1</v>
      </c>
      <c r="D106" s="118">
        <v>0.40833333333333333</v>
      </c>
      <c r="E106" s="109">
        <f>Effort!F104</f>
        <v>1691.7359333938414</v>
      </c>
      <c r="F106" s="38">
        <f>Harvest!F104</f>
        <v>25080.968779966839</v>
      </c>
      <c r="G106" s="110">
        <f>CPUE!F104</f>
        <v>14.82558139534884</v>
      </c>
      <c r="H106" s="109">
        <f>Effort!H104</f>
        <v>1556.459847842618</v>
      </c>
      <c r="I106" s="38">
        <f>Harvest!H104</f>
        <v>23108.850917380987</v>
      </c>
      <c r="J106" s="110">
        <f>CPUE!H104</f>
        <v>14.847058823529411</v>
      </c>
      <c r="K106" s="109" t="str">
        <f>Effort!J104</f>
        <v>CLOSED</v>
      </c>
      <c r="L106" s="38" t="str">
        <f>Harvest!J104</f>
        <v>CLOSED</v>
      </c>
      <c r="M106" s="110" t="str">
        <f>CPUE!J104</f>
        <v>CLOSED</v>
      </c>
      <c r="N106" s="109" t="str">
        <f>Effort!L104</f>
        <v>CLOSED</v>
      </c>
      <c r="O106" s="38" t="str">
        <f>Harvest!L104</f>
        <v>CLOSED</v>
      </c>
      <c r="P106" s="110" t="str">
        <f>CPUE!L104</f>
        <v>CLOSED</v>
      </c>
      <c r="Q106" s="109" t="str">
        <f>Effort!N104</f>
        <v>CLOSED</v>
      </c>
      <c r="R106" s="38" t="str">
        <f>Harvest!N104</f>
        <v>CLOSED</v>
      </c>
      <c r="S106" s="110" t="str">
        <f>CPUE!N104</f>
        <v>CLOSED</v>
      </c>
      <c r="T106" s="38">
        <f t="shared" si="14"/>
        <v>3248.1957812364594</v>
      </c>
      <c r="U106" s="38">
        <f t="shared" si="14"/>
        <v>48189.819697347826</v>
      </c>
    </row>
    <row r="107" spans="1:21" x14ac:dyDescent="0.25">
      <c r="A107" s="117">
        <v>42103</v>
      </c>
      <c r="B107" s="18">
        <v>42103</v>
      </c>
      <c r="C107" s="62">
        <v>0.2</v>
      </c>
      <c r="D107" s="118">
        <v>0.43888888888888888</v>
      </c>
      <c r="E107" s="109">
        <f>Effort!F105</f>
        <v>1487.9327319295594</v>
      </c>
      <c r="F107" s="38">
        <f>Harvest!F105</f>
        <v>22318.990978943391</v>
      </c>
      <c r="G107" s="110">
        <f>CPUE!F105</f>
        <v>15</v>
      </c>
      <c r="H107" s="109">
        <f>Effort!H105</f>
        <v>1712.2074007671445</v>
      </c>
      <c r="I107" s="38">
        <f>Harvest!H105</f>
        <v>25683.111011507168</v>
      </c>
      <c r="J107" s="110">
        <f>CPUE!H105</f>
        <v>15</v>
      </c>
      <c r="K107" s="109" t="str">
        <f>Effort!J105</f>
        <v>CLOSED</v>
      </c>
      <c r="L107" s="38" t="str">
        <f>Harvest!J105</f>
        <v>CLOSED</v>
      </c>
      <c r="M107" s="110" t="str">
        <f>CPUE!J105</f>
        <v>CLOSED</v>
      </c>
      <c r="N107" s="109" t="str">
        <f>Effort!L105</f>
        <v>CLOSED</v>
      </c>
      <c r="O107" s="38" t="str">
        <f>Harvest!L105</f>
        <v>CLOSED</v>
      </c>
      <c r="P107" s="110" t="str">
        <f>CPUE!L105</f>
        <v>CLOSED</v>
      </c>
      <c r="Q107" s="109" t="str">
        <f>Effort!N105</f>
        <v>CLOSED</v>
      </c>
      <c r="R107" s="38" t="str">
        <f>Harvest!N105</f>
        <v>CLOSED</v>
      </c>
      <c r="S107" s="110" t="str">
        <f>CPUE!N105</f>
        <v>CLOSED</v>
      </c>
      <c r="T107" s="38">
        <f t="shared" si="14"/>
        <v>3200.1401326967039</v>
      </c>
      <c r="U107" s="38">
        <f t="shared" si="14"/>
        <v>48002.101990450559</v>
      </c>
    </row>
    <row r="108" spans="1:21" x14ac:dyDescent="0.25">
      <c r="A108" s="117">
        <v>42104</v>
      </c>
      <c r="B108" s="18">
        <v>42104</v>
      </c>
      <c r="C108" s="62">
        <v>0.4</v>
      </c>
      <c r="D108" s="118">
        <v>0.47430555555555554</v>
      </c>
      <c r="E108" s="109">
        <f>Effort!F106</f>
        <v>2145.6775822837549</v>
      </c>
      <c r="F108" s="38">
        <f>Harvest!F106</f>
        <v>30198.425232141733</v>
      </c>
      <c r="G108" s="110">
        <f>CPUE!F106</f>
        <v>14.074074074074073</v>
      </c>
      <c r="H108" s="109">
        <f>Effort!H106</f>
        <v>1878.6342954692473</v>
      </c>
      <c r="I108" s="38">
        <f>Harvest!H106</f>
        <v>23071.977441231691</v>
      </c>
      <c r="J108" s="110">
        <f>CPUE!H106</f>
        <v>0</v>
      </c>
      <c r="K108" s="109" t="str">
        <f>Effort!J106</f>
        <v>CLOSED</v>
      </c>
      <c r="L108" s="38" t="str">
        <f>Harvest!J106</f>
        <v>CLOSED</v>
      </c>
      <c r="M108" s="110" t="str">
        <f>CPUE!J106</f>
        <v>CLOSED</v>
      </c>
      <c r="N108" s="109" t="str">
        <f>Effort!L106</f>
        <v>CLOSED</v>
      </c>
      <c r="O108" s="38" t="str">
        <f>Harvest!L106</f>
        <v>CLOSED</v>
      </c>
      <c r="P108" s="110" t="str">
        <f>CPUE!L106</f>
        <v>CLOSED</v>
      </c>
      <c r="Q108" s="109" t="str">
        <f>Effort!N106</f>
        <v>CLOSED</v>
      </c>
      <c r="R108" s="38" t="str">
        <f>Harvest!N106</f>
        <v>CLOSED</v>
      </c>
      <c r="S108" s="110" t="str">
        <f>CPUE!N106</f>
        <v>CLOSED</v>
      </c>
      <c r="T108" s="38">
        <f t="shared" si="14"/>
        <v>4024.3118777530021</v>
      </c>
      <c r="U108" s="38">
        <f t="shared" si="14"/>
        <v>53270.402673373421</v>
      </c>
    </row>
    <row r="109" spans="1:21" x14ac:dyDescent="0.25">
      <c r="A109" s="225" t="s">
        <v>32</v>
      </c>
      <c r="B109" s="225"/>
      <c r="C109" s="225"/>
      <c r="D109" s="226"/>
      <c r="E109" s="113">
        <f>SUM(E102:E108)</f>
        <v>10278.582795442597</v>
      </c>
      <c r="F109" s="111">
        <f>SUM(F102:F108)</f>
        <v>151875.1794904737</v>
      </c>
      <c r="G109" s="33">
        <f>+F109/E109</f>
        <v>14.775887154191469</v>
      </c>
      <c r="H109" s="113">
        <f>SUM(H102:H108)</f>
        <v>9499.4645546875217</v>
      </c>
      <c r="I109" s="111">
        <f>SUM(I102:I108)</f>
        <v>132965.90079238347</v>
      </c>
      <c r="J109" s="33">
        <f>+I109/H109</f>
        <v>13.997199529185179</v>
      </c>
      <c r="K109" s="113">
        <f>SUM(K102:K108)</f>
        <v>3529.2737255451184</v>
      </c>
      <c r="L109" s="111">
        <f>SUM(L102:L108)</f>
        <v>37382.096300632213</v>
      </c>
      <c r="M109" s="33">
        <f>+L109/K109</f>
        <v>10.592008216891228</v>
      </c>
      <c r="N109" s="113">
        <f>SUM(N102:N108)</f>
        <v>2685.9566768224777</v>
      </c>
      <c r="O109" s="111">
        <f>SUM(O102:O108)</f>
        <v>37551.546721995343</v>
      </c>
      <c r="P109" s="33">
        <f>+O109/N109</f>
        <v>13.980697099857665</v>
      </c>
      <c r="Q109" s="113"/>
      <c r="R109" s="111"/>
      <c r="S109" s="114"/>
      <c r="T109" s="111">
        <f>SUM(T102:T108)</f>
        <v>25993.277752497714</v>
      </c>
      <c r="U109" s="111">
        <f>SUM(U102:U108)</f>
        <v>359774.72330548475</v>
      </c>
    </row>
    <row r="110" spans="1:21" x14ac:dyDescent="0.25">
      <c r="A110" s="37">
        <v>42111</v>
      </c>
      <c r="B110" s="18">
        <v>42111</v>
      </c>
      <c r="C110" s="13">
        <v>-0.2</v>
      </c>
      <c r="D110" s="112">
        <v>0.25208333333333333</v>
      </c>
      <c r="E110" s="30">
        <f>Effort!F108</f>
        <v>1121.1583823496651</v>
      </c>
      <c r="F110" s="38">
        <f>Harvest!F108</f>
        <v>10138.475086104827</v>
      </c>
      <c r="G110" s="36">
        <f>CPUE!F108</f>
        <v>9.0428571428571409</v>
      </c>
      <c r="H110" s="30">
        <f>Effort!H108</f>
        <v>756.82383604088102</v>
      </c>
      <c r="I110" s="38">
        <f>Harvest!H108</f>
        <v>7631.3070134122154</v>
      </c>
      <c r="J110" s="36">
        <f>CPUE!H108</f>
        <v>10.083333333333332</v>
      </c>
      <c r="K110" s="30" t="str">
        <f>Effort!J108</f>
        <v>CLOSED</v>
      </c>
      <c r="L110" s="38" t="str">
        <f>Harvest!J108</f>
        <v>CLOSED</v>
      </c>
      <c r="M110" s="36" t="str">
        <f>CPUE!J108</f>
        <v>CLOSED</v>
      </c>
      <c r="N110" s="30">
        <f>Effort!L108</f>
        <v>883.12565107172679</v>
      </c>
      <c r="O110" s="38">
        <f>Harvest!L108</f>
        <v>12235.304474848288</v>
      </c>
      <c r="P110" s="36">
        <f>CPUE!L108</f>
        <v>13.854545454545455</v>
      </c>
      <c r="Q110" s="30" t="str">
        <f>Effort!N108</f>
        <v>CLOSED</v>
      </c>
      <c r="R110" s="38" t="str">
        <f>Harvest!N108</f>
        <v>CLOSED</v>
      </c>
      <c r="S110" s="36" t="str">
        <f>CPUE!N108</f>
        <v>CLOSED</v>
      </c>
      <c r="T110" s="30">
        <f>+E110+H110+N110</f>
        <v>2761.1078694622729</v>
      </c>
      <c r="U110" s="38">
        <f>+F110+I110+O110</f>
        <v>30005.086574365327</v>
      </c>
    </row>
    <row r="111" spans="1:21" x14ac:dyDescent="0.25">
      <c r="A111" s="37">
        <v>42112</v>
      </c>
      <c r="B111" s="18">
        <v>42112</v>
      </c>
      <c r="C111" s="13">
        <v>-0.9</v>
      </c>
      <c r="D111" s="112">
        <v>0.28611111111111109</v>
      </c>
      <c r="E111" s="30">
        <f>Effort!F109</f>
        <v>7778.3445182976029</v>
      </c>
      <c r="F111" s="38">
        <f>Harvest!F109</f>
        <v>116675.16777446405</v>
      </c>
      <c r="G111" s="36">
        <f>CPUE!F109</f>
        <v>15</v>
      </c>
      <c r="H111" s="30">
        <f>Effort!H109</f>
        <v>3217.6610856765419</v>
      </c>
      <c r="I111" s="38">
        <f>Harvest!H109</f>
        <v>47302.935135822147</v>
      </c>
      <c r="J111" s="36">
        <f>CPUE!H109</f>
        <v>14.701030927835049</v>
      </c>
      <c r="K111" s="30">
        <f>Effort!J109</f>
        <v>4043.9921466158548</v>
      </c>
      <c r="L111" s="38">
        <f>Harvest!J109</f>
        <v>60659.882199237822</v>
      </c>
      <c r="M111" s="36">
        <f>CPUE!J109</f>
        <v>15</v>
      </c>
      <c r="N111" s="30">
        <f>Effort!L109</f>
        <v>3267.6744699779319</v>
      </c>
      <c r="O111" s="38">
        <f>Harvest!L109</f>
        <v>49015.117049668981</v>
      </c>
      <c r="P111" s="36">
        <f>CPUE!L109</f>
        <v>15</v>
      </c>
      <c r="Q111" s="30" t="str">
        <f>Effort!N109</f>
        <v>CLOSED</v>
      </c>
      <c r="R111" s="38" t="str">
        <f>Harvest!N109</f>
        <v>CLOSED</v>
      </c>
      <c r="S111" s="110" t="str">
        <f>CPUE!N109</f>
        <v>CLOSED</v>
      </c>
      <c r="T111" s="38">
        <f>+E111+H111+K111+N111</f>
        <v>18307.672220567933</v>
      </c>
      <c r="U111" s="38">
        <f>+F111+I111+L111+O111</f>
        <v>273653.10215919302</v>
      </c>
    </row>
    <row r="112" spans="1:21" x14ac:dyDescent="0.25">
      <c r="A112" s="37">
        <v>42113</v>
      </c>
      <c r="B112" s="18">
        <v>42113</v>
      </c>
      <c r="C112" s="13">
        <v>-1.3</v>
      </c>
      <c r="D112" s="112">
        <v>0.31874999999999998</v>
      </c>
      <c r="E112" s="30">
        <f>Effort!F110</f>
        <v>10766.61586077295</v>
      </c>
      <c r="F112" s="38">
        <f>Harvest!F110</f>
        <v>161499.23791159422</v>
      </c>
      <c r="G112" s="36">
        <f>CPUE!F110</f>
        <v>14.999999999999996</v>
      </c>
      <c r="H112" s="30">
        <f>Effort!H110</f>
        <v>2974.3373784892356</v>
      </c>
      <c r="I112" s="38">
        <f>Harvest!H110</f>
        <v>44615.06067733853</v>
      </c>
      <c r="J112" s="36">
        <f>CPUE!H110</f>
        <v>14.999999999999998</v>
      </c>
      <c r="K112" s="30">
        <f>Effort!J110</f>
        <v>4225.6487756481865</v>
      </c>
      <c r="L112" s="38">
        <f>Harvest!J110</f>
        <v>63384.731634722804</v>
      </c>
      <c r="M112" s="36">
        <f>CPUE!J110</f>
        <v>15.000000000000002</v>
      </c>
      <c r="N112" s="30">
        <f>Effort!L110</f>
        <v>2651.2018318015253</v>
      </c>
      <c r="O112" s="38">
        <f>Harvest!L110</f>
        <v>39768.027477022879</v>
      </c>
      <c r="P112" s="36">
        <f>CPUE!L110</f>
        <v>15</v>
      </c>
      <c r="Q112" s="30" t="str">
        <f>Effort!N110</f>
        <v>CLOSED</v>
      </c>
      <c r="R112" s="38" t="str">
        <f>Harvest!N110</f>
        <v>CLOSED</v>
      </c>
      <c r="S112" s="110" t="str">
        <f>CPUE!N110</f>
        <v>CLOSED</v>
      </c>
      <c r="T112" s="38">
        <f>+E112+H112+K112+N112</f>
        <v>20617.803846711897</v>
      </c>
      <c r="U112" s="38">
        <f>+F112+I112+L112+O112</f>
        <v>309267.05770067847</v>
      </c>
    </row>
    <row r="113" spans="1:21" x14ac:dyDescent="0.25">
      <c r="A113" s="37">
        <v>42114</v>
      </c>
      <c r="B113" s="18">
        <v>42114</v>
      </c>
      <c r="C113" s="13">
        <v>-1.5</v>
      </c>
      <c r="D113" s="112">
        <v>0.35069444444444442</v>
      </c>
      <c r="E113" s="30">
        <f>Effort!F111</f>
        <v>4491.3047591577724</v>
      </c>
      <c r="F113" s="38">
        <f>Harvest!F111</f>
        <v>64803.111524990731</v>
      </c>
      <c r="G113" s="36">
        <f>CPUE!F111</f>
        <v>14.428571428571432</v>
      </c>
      <c r="H113" s="30">
        <f>Effort!H111</f>
        <v>3009.7297504283815</v>
      </c>
      <c r="I113" s="38">
        <f>Harvest!H111</f>
        <v>37982.78945040617</v>
      </c>
      <c r="J113" s="36">
        <f>CPUE!H111</f>
        <v>12.619999999999997</v>
      </c>
      <c r="K113" s="30" t="str">
        <f>Effort!J111</f>
        <v>CLOSED</v>
      </c>
      <c r="L113" s="38" t="str">
        <f>Harvest!J111</f>
        <v>CLOSED</v>
      </c>
      <c r="M113" s="36" t="str">
        <f>CPUE!J111</f>
        <v>CLOSED</v>
      </c>
      <c r="N113" s="30" t="str">
        <f>Effort!L111</f>
        <v>CLOSED</v>
      </c>
      <c r="O113" s="38" t="str">
        <f>Harvest!L111</f>
        <v>CLOSED</v>
      </c>
      <c r="P113" s="36" t="str">
        <f>CPUE!L111</f>
        <v>CLOSED</v>
      </c>
      <c r="Q113" s="30" t="str">
        <f>Effort!N111</f>
        <v>CLOSED</v>
      </c>
      <c r="R113" s="38" t="str">
        <f>Harvest!N111</f>
        <v>CLOSED</v>
      </c>
      <c r="S113" s="110" t="str">
        <f>CPUE!N111</f>
        <v>CLOSED</v>
      </c>
      <c r="T113" s="38">
        <f t="shared" ref="T113:U117" si="15">+E113+H113</f>
        <v>7501.0345095861539</v>
      </c>
      <c r="U113" s="38">
        <f t="shared" si="15"/>
        <v>102785.9009753969</v>
      </c>
    </row>
    <row r="114" spans="1:21" x14ac:dyDescent="0.25">
      <c r="A114" s="37">
        <v>42115</v>
      </c>
      <c r="B114" s="18">
        <v>42115</v>
      </c>
      <c r="C114" s="13">
        <v>-1.3</v>
      </c>
      <c r="D114" s="112">
        <v>0.38263888888888886</v>
      </c>
      <c r="E114" s="30">
        <f>Effort!F112</f>
        <v>2840.3876070968736</v>
      </c>
      <c r="F114" s="38">
        <f>Harvest!F112</f>
        <v>42605.814106453108</v>
      </c>
      <c r="G114" s="36">
        <f>CPUE!F112</f>
        <v>15.000000000000002</v>
      </c>
      <c r="H114" s="30">
        <f>Effort!H112</f>
        <v>2777.2126696799651</v>
      </c>
      <c r="I114" s="38">
        <f>Harvest!H112</f>
        <v>39476.094376165223</v>
      </c>
      <c r="J114" s="36">
        <f>CPUE!H112</f>
        <v>14.214285714285717</v>
      </c>
      <c r="K114" s="30" t="str">
        <f>Effort!J112</f>
        <v>CLOSED</v>
      </c>
      <c r="L114" s="38" t="str">
        <f>Harvest!J112</f>
        <v>CLOSED</v>
      </c>
      <c r="M114" s="36" t="str">
        <f>CPUE!J112</f>
        <v>CLOSED</v>
      </c>
      <c r="N114" s="30" t="str">
        <f>Effort!L112</f>
        <v>CLOSED</v>
      </c>
      <c r="O114" s="38" t="str">
        <f>Harvest!L112</f>
        <v>CLOSED</v>
      </c>
      <c r="P114" s="36" t="str">
        <f>CPUE!L112</f>
        <v>CLOSED</v>
      </c>
      <c r="Q114" s="30" t="str">
        <f>Effort!N112</f>
        <v>CLOSED</v>
      </c>
      <c r="R114" s="38" t="str">
        <f>Harvest!N112</f>
        <v>CLOSED</v>
      </c>
      <c r="S114" s="110" t="str">
        <f>CPUE!N112</f>
        <v>CLOSED</v>
      </c>
      <c r="T114" s="38">
        <f t="shared" si="15"/>
        <v>5617.6002767768387</v>
      </c>
      <c r="U114" s="38">
        <f t="shared" si="15"/>
        <v>82081.908482618339</v>
      </c>
    </row>
    <row r="115" spans="1:21" x14ac:dyDescent="0.25">
      <c r="A115" s="117">
        <v>42116</v>
      </c>
      <c r="B115" s="18">
        <v>42116</v>
      </c>
      <c r="C115" s="62">
        <v>-0.9</v>
      </c>
      <c r="D115" s="118">
        <v>0.41458333333333336</v>
      </c>
      <c r="E115" s="30">
        <f>Effort!F113</f>
        <v>1572.7127776175366</v>
      </c>
      <c r="F115" s="38">
        <f>Harvest!F113</f>
        <v>23590.691664263049</v>
      </c>
      <c r="G115" s="36">
        <f>CPUE!F113</f>
        <v>15</v>
      </c>
      <c r="H115" s="30">
        <f>Effort!H113</f>
        <v>1064.0895430348878</v>
      </c>
      <c r="I115" s="38">
        <f>Harvest!H113</f>
        <v>14680.092471256819</v>
      </c>
      <c r="J115" s="36">
        <f>CPUE!H113</f>
        <v>13.795918367346939</v>
      </c>
      <c r="K115" s="30" t="str">
        <f>Effort!J113</f>
        <v>CLOSED</v>
      </c>
      <c r="L115" s="38" t="str">
        <f>Harvest!J113</f>
        <v>CLOSED</v>
      </c>
      <c r="M115" s="36" t="str">
        <f>CPUE!J113</f>
        <v>CLOSED</v>
      </c>
      <c r="N115" s="30" t="str">
        <f>Effort!L113</f>
        <v>CLOSED</v>
      </c>
      <c r="O115" s="38" t="str">
        <f>Harvest!L113</f>
        <v>CLOSED</v>
      </c>
      <c r="P115" s="36" t="str">
        <f>CPUE!L113</f>
        <v>CLOSED</v>
      </c>
      <c r="Q115" s="30" t="str">
        <f>Effort!N113</f>
        <v>CLOSED</v>
      </c>
      <c r="R115" s="38" t="str">
        <f>Harvest!N113</f>
        <v>CLOSED</v>
      </c>
      <c r="S115" s="110" t="str">
        <f>CPUE!N113</f>
        <v>CLOSED</v>
      </c>
      <c r="T115" s="38">
        <f t="shared" si="15"/>
        <v>2636.8023206524244</v>
      </c>
      <c r="U115" s="38">
        <f t="shared" si="15"/>
        <v>38270.784135519869</v>
      </c>
    </row>
    <row r="116" spans="1:21" x14ac:dyDescent="0.25">
      <c r="A116" s="117">
        <v>42117</v>
      </c>
      <c r="B116" s="18">
        <v>42117</v>
      </c>
      <c r="C116" s="62">
        <v>-0.4</v>
      </c>
      <c r="D116" s="118">
        <v>0.44861111111111113</v>
      </c>
      <c r="E116" s="30">
        <f>Effort!F114</f>
        <v>1024.9517033618563</v>
      </c>
      <c r="F116" s="38">
        <f>Harvest!F114</f>
        <v>15190.309860080844</v>
      </c>
      <c r="G116" s="36">
        <f>CPUE!F114</f>
        <v>14.820512820512821</v>
      </c>
      <c r="H116" s="30">
        <f>Effort!H114</f>
        <v>620.54935110065162</v>
      </c>
      <c r="I116" s="38">
        <f>Harvest!H114</f>
        <v>7641.6220092680242</v>
      </c>
      <c r="J116" s="36">
        <f>CPUE!H114</f>
        <v>12.314285714285715</v>
      </c>
      <c r="K116" s="30" t="str">
        <f>Effort!J114</f>
        <v>CLOSED</v>
      </c>
      <c r="L116" s="38" t="str">
        <f>Harvest!J114</f>
        <v>CLOSED</v>
      </c>
      <c r="M116" s="36" t="str">
        <f>CPUE!J114</f>
        <v>CLOSED</v>
      </c>
      <c r="N116" s="30" t="str">
        <f>Effort!L114</f>
        <v>CLOSED</v>
      </c>
      <c r="O116" s="38" t="str">
        <f>Harvest!L114</f>
        <v>CLOSED</v>
      </c>
      <c r="P116" s="36" t="str">
        <f>CPUE!L114</f>
        <v>CLOSED</v>
      </c>
      <c r="Q116" s="30" t="str">
        <f>Effort!N114</f>
        <v>CLOSED</v>
      </c>
      <c r="R116" s="38" t="str">
        <f>Harvest!N114</f>
        <v>CLOSED</v>
      </c>
      <c r="S116" s="110" t="str">
        <f>CPUE!N114</f>
        <v>CLOSED</v>
      </c>
      <c r="T116" s="38">
        <f t="shared" si="15"/>
        <v>1645.5010544625079</v>
      </c>
      <c r="U116" s="38">
        <f t="shared" si="15"/>
        <v>22831.931869348868</v>
      </c>
    </row>
    <row r="117" spans="1:21" x14ac:dyDescent="0.25">
      <c r="A117" s="117">
        <v>42118</v>
      </c>
      <c r="B117" s="18">
        <v>42118</v>
      </c>
      <c r="C117" s="62">
        <v>0.2</v>
      </c>
      <c r="D117" s="118">
        <v>0.48472222222222222</v>
      </c>
      <c r="E117" s="30">
        <f>Effort!F115</f>
        <v>774.91253283857839</v>
      </c>
      <c r="F117" s="38">
        <f>Harvest!F115</f>
        <v>11300.807770562602</v>
      </c>
      <c r="G117" s="36">
        <f>CPUE!F115</f>
        <v>14.583333333333334</v>
      </c>
      <c r="H117" s="30">
        <f>Effort!H115</f>
        <v>994.91354979743824</v>
      </c>
      <c r="I117" s="38">
        <f>Harvest!H115</f>
        <v>14923.703246961573</v>
      </c>
      <c r="J117" s="36">
        <f>CPUE!H115</f>
        <v>15</v>
      </c>
      <c r="K117" s="30" t="str">
        <f>Effort!J115</f>
        <v>CLOSED</v>
      </c>
      <c r="L117" s="38" t="str">
        <f>Harvest!J115</f>
        <v>CLOSED</v>
      </c>
      <c r="M117" s="36" t="str">
        <f>CPUE!J115</f>
        <v>CLOSED</v>
      </c>
      <c r="N117" s="30" t="str">
        <f>Effort!L115</f>
        <v>CLOSED</v>
      </c>
      <c r="O117" s="38" t="str">
        <f>Harvest!L115</f>
        <v>CLOSED</v>
      </c>
      <c r="P117" s="36" t="str">
        <f>CPUE!L115</f>
        <v>CLOSED</v>
      </c>
      <c r="Q117" s="30" t="str">
        <f>Effort!N115</f>
        <v>CLOSED</v>
      </c>
      <c r="R117" s="38" t="str">
        <f>Harvest!N115</f>
        <v>CLOSED</v>
      </c>
      <c r="S117" s="110" t="str">
        <f>CPUE!N115</f>
        <v>CLOSED</v>
      </c>
      <c r="T117" s="38">
        <f t="shared" si="15"/>
        <v>1769.8260826360165</v>
      </c>
      <c r="U117" s="38">
        <f t="shared" si="15"/>
        <v>26224.511017524175</v>
      </c>
    </row>
    <row r="118" spans="1:21" x14ac:dyDescent="0.25">
      <c r="A118" s="225" t="s">
        <v>32</v>
      </c>
      <c r="B118" s="225"/>
      <c r="C118" s="225"/>
      <c r="D118" s="226"/>
      <c r="E118" s="113">
        <f>SUM(E110:E117)</f>
        <v>30370.388141492836</v>
      </c>
      <c r="F118" s="111">
        <f>SUM(F110:F117)</f>
        <v>445803.61569851334</v>
      </c>
      <c r="G118" s="33">
        <f>+F118/E118</f>
        <v>14.678890951987688</v>
      </c>
      <c r="H118" s="113">
        <f>SUM(H110:H117)</f>
        <v>15415.317164247983</v>
      </c>
      <c r="I118" s="111">
        <f>SUM(I110:I117)</f>
        <v>214253.60438063071</v>
      </c>
      <c r="J118" s="33">
        <f>+I118/H118</f>
        <v>13.898747725900767</v>
      </c>
      <c r="K118" s="113">
        <f>SUM(K111:K117)</f>
        <v>8269.6409222640414</v>
      </c>
      <c r="L118" s="111">
        <f>SUM(L111:L117)</f>
        <v>124044.61383396063</v>
      </c>
      <c r="M118" s="33">
        <f>+L118/K118</f>
        <v>15</v>
      </c>
      <c r="N118" s="113">
        <f>SUM(N110:N117)</f>
        <v>6802.0019528511839</v>
      </c>
      <c r="O118" s="111">
        <f>SUM(O110:O117)</f>
        <v>101018.44900154014</v>
      </c>
      <c r="P118" s="33">
        <f>+O118/N118</f>
        <v>14.851281975771325</v>
      </c>
      <c r="Q118" s="113"/>
      <c r="R118" s="111"/>
      <c r="S118" s="114"/>
      <c r="T118" s="111">
        <f>SUM(T110:T117)</f>
        <v>60857.348180856046</v>
      </c>
      <c r="U118" s="111">
        <f>SUM(U110:U117)</f>
        <v>885120.28291464504</v>
      </c>
    </row>
    <row r="119" spans="1:21" x14ac:dyDescent="0.25">
      <c r="A119" s="37">
        <v>42126</v>
      </c>
      <c r="B119" s="18">
        <v>42126</v>
      </c>
      <c r="C119" s="13">
        <v>0.2</v>
      </c>
      <c r="D119" s="112">
        <v>0.26597222222222222</v>
      </c>
      <c r="E119" s="30">
        <f>Effort!F117</f>
        <v>1512.8336147912732</v>
      </c>
      <c r="F119" s="38">
        <f>Harvest!F117</f>
        <v>22692.504221869101</v>
      </c>
      <c r="G119" s="36">
        <f>CPUE!F117</f>
        <v>15.000000000000002</v>
      </c>
      <c r="H119" s="30">
        <f>Effort!H117</f>
        <v>837.79424264199338</v>
      </c>
      <c r="I119" s="38">
        <f>Harvest!H117</f>
        <v>12566.9136396299</v>
      </c>
      <c r="J119" s="36">
        <f>CPUE!H117</f>
        <v>15</v>
      </c>
      <c r="K119" s="30" t="str">
        <f>Effort!J117</f>
        <v>CLOSED</v>
      </c>
      <c r="L119" s="38" t="str">
        <f>Harvest!J117</f>
        <v>CLOSED</v>
      </c>
      <c r="M119" s="36" t="str">
        <f>CPUE!J117</f>
        <v>CLOSED</v>
      </c>
      <c r="N119" s="30">
        <f>Effort!L117</f>
        <v>1101.2770320816758</v>
      </c>
      <c r="O119" s="38">
        <f>Harvest!L117</f>
        <v>16519.155481225138</v>
      </c>
      <c r="P119" s="36">
        <f>CPUE!L117</f>
        <v>15.000000000000002</v>
      </c>
      <c r="Q119" s="30" t="str">
        <f>Effort!N117</f>
        <v>CLOSED</v>
      </c>
      <c r="R119" s="38" t="str">
        <f>Harvest!N117</f>
        <v>CLOSED</v>
      </c>
      <c r="S119" s="36" t="str">
        <f>CPUE!N117</f>
        <v>CLOSED</v>
      </c>
      <c r="T119" s="30">
        <f>+E119+H119+N119</f>
        <v>3451.9048895149422</v>
      </c>
      <c r="U119" s="38">
        <f>+F119+I119+O119</f>
        <v>51778.573342724136</v>
      </c>
    </row>
    <row r="120" spans="1:21" x14ac:dyDescent="0.25">
      <c r="A120" s="37">
        <v>42127</v>
      </c>
      <c r="B120" s="18">
        <v>42127</v>
      </c>
      <c r="C120" s="13">
        <v>-0.3</v>
      </c>
      <c r="D120" s="112">
        <v>0.29097222222222224</v>
      </c>
      <c r="E120" s="109">
        <f>Effort!F118</f>
        <v>1377.8039291093805</v>
      </c>
      <c r="F120" s="38">
        <f>Harvest!F118</f>
        <v>20667.058936640708</v>
      </c>
      <c r="G120" s="110">
        <f>CPUE!F118</f>
        <v>15</v>
      </c>
      <c r="H120" s="109">
        <f>Effort!H118</f>
        <v>905.39167619603268</v>
      </c>
      <c r="I120" s="38">
        <f>Harvest!H118</f>
        <v>13580.875142940491</v>
      </c>
      <c r="J120" s="110">
        <f>CPUE!H118</f>
        <v>15.000000000000002</v>
      </c>
      <c r="K120" s="109" t="str">
        <f>Effort!J118</f>
        <v>CLOSED</v>
      </c>
      <c r="L120" s="38" t="str">
        <f>Harvest!J118</f>
        <v>CLOSED</v>
      </c>
      <c r="M120" s="110" t="str">
        <f>CPUE!J118</f>
        <v>CLOSED</v>
      </c>
      <c r="N120" s="109">
        <f>Effort!L118</f>
        <v>1089.9588935635122</v>
      </c>
      <c r="O120" s="38">
        <f>Harvest!L118</f>
        <v>16349.383403452683</v>
      </c>
      <c r="P120" s="110">
        <f>CPUE!L118</f>
        <v>15</v>
      </c>
      <c r="Q120" s="109" t="str">
        <f>Effort!N118</f>
        <v>CLOSED</v>
      </c>
      <c r="R120" s="38" t="str">
        <f>Harvest!N118</f>
        <v>CLOSED</v>
      </c>
      <c r="S120" s="110" t="str">
        <f>CPUE!N118</f>
        <v>CLOSED</v>
      </c>
      <c r="T120" s="38">
        <f>+E120+H120+N120</f>
        <v>3373.1544988689257</v>
      </c>
      <c r="U120" s="38">
        <f>+F120+I120+O120</f>
        <v>50597.317483033883</v>
      </c>
    </row>
    <row r="121" spans="1:21" x14ac:dyDescent="0.25">
      <c r="A121" s="225" t="s">
        <v>32</v>
      </c>
      <c r="B121" s="225"/>
      <c r="C121" s="225"/>
      <c r="D121" s="226"/>
      <c r="E121" s="113">
        <f>SUM(E119:E120)</f>
        <v>2890.6375439006538</v>
      </c>
      <c r="F121" s="111">
        <f>SUM(F119:F120)</f>
        <v>43359.563158509809</v>
      </c>
      <c r="G121" s="33">
        <f>+F121/E121</f>
        <v>15</v>
      </c>
      <c r="H121" s="113">
        <f>SUM(H119:H120)</f>
        <v>1743.1859188380261</v>
      </c>
      <c r="I121" s="111">
        <f>SUM(I119:I120)</f>
        <v>26147.788782570391</v>
      </c>
      <c r="J121" s="114">
        <f>+I121/H121</f>
        <v>15</v>
      </c>
      <c r="K121" s="113"/>
      <c r="L121" s="111"/>
      <c r="M121" s="114"/>
      <c r="N121" s="113">
        <f>SUM(N119:N120)</f>
        <v>2191.2359256451882</v>
      </c>
      <c r="O121" s="111">
        <f>SUM(O119:O120)</f>
        <v>32868.538884677822</v>
      </c>
      <c r="P121" s="114">
        <f>+O121/N121</f>
        <v>15</v>
      </c>
      <c r="Q121" s="113"/>
      <c r="R121" s="111"/>
      <c r="S121" s="114"/>
      <c r="T121" s="111">
        <f>SUM(T119:T120)</f>
        <v>6825.0593883838683</v>
      </c>
      <c r="U121" s="111">
        <f>SUM(U119:U120)</f>
        <v>102375.89082575802</v>
      </c>
    </row>
    <row r="122" spans="1:21" x14ac:dyDescent="0.25">
      <c r="A122" s="37">
        <v>42131</v>
      </c>
      <c r="B122" s="18">
        <v>42131</v>
      </c>
      <c r="C122" s="13">
        <v>-0.8</v>
      </c>
      <c r="D122" s="112">
        <v>0.39583333333333331</v>
      </c>
      <c r="E122" s="30">
        <f>Effort!F120</f>
        <v>1341.7383530282166</v>
      </c>
      <c r="F122" s="38">
        <f>Harvest!F120</f>
        <v>20126.075295423248</v>
      </c>
      <c r="G122" s="36">
        <f>CPUE!F120</f>
        <v>0</v>
      </c>
      <c r="H122" s="30">
        <f>Effort!H120</f>
        <v>989.66648078710386</v>
      </c>
      <c r="I122" s="38">
        <f>Harvest!H120</f>
        <v>14844.997211806558</v>
      </c>
      <c r="J122" s="36">
        <f>CPUE!H120</f>
        <v>0</v>
      </c>
      <c r="K122" s="30" t="str">
        <f>Effort!J120</f>
        <v>CLOSED</v>
      </c>
      <c r="L122" s="38" t="str">
        <f>Harvest!J120</f>
        <v>CLOSED</v>
      </c>
      <c r="M122" s="36" t="str">
        <f>CPUE!J120</f>
        <v>CLOSED</v>
      </c>
      <c r="N122" s="30" t="str">
        <f>Effort!L120</f>
        <v>CLOSED</v>
      </c>
      <c r="O122" s="38" t="str">
        <f>Harvest!L120</f>
        <v>CLOSED</v>
      </c>
      <c r="P122" s="36" t="str">
        <f>CPUE!L120</f>
        <v>CLOSED</v>
      </c>
      <c r="Q122" s="30" t="str">
        <f>Effort!N120</f>
        <v>CLOSED</v>
      </c>
      <c r="R122" s="38" t="str">
        <f>Harvest!N120</f>
        <v>CLOSED</v>
      </c>
      <c r="S122" s="36" t="str">
        <f>CPUE!N120</f>
        <v>CLOSED</v>
      </c>
      <c r="T122" s="30">
        <f>+E122+H122</f>
        <v>2331.4048338153207</v>
      </c>
      <c r="U122" s="38">
        <f>+F122+I122</f>
        <v>34971.072507229808</v>
      </c>
    </row>
    <row r="123" spans="1:21" x14ac:dyDescent="0.25">
      <c r="A123" s="225" t="s">
        <v>32</v>
      </c>
      <c r="B123" s="225"/>
      <c r="C123" s="225"/>
      <c r="D123" s="226"/>
      <c r="E123" s="113">
        <f>SUM(E122)</f>
        <v>1341.7383530282166</v>
      </c>
      <c r="F123" s="111">
        <f>SUM(F122)</f>
        <v>20126.075295423248</v>
      </c>
      <c r="G123" s="114"/>
      <c r="H123" s="113">
        <f>SUM(H122)</f>
        <v>989.66648078710386</v>
      </c>
      <c r="I123" s="111">
        <f>SUM(I122)</f>
        <v>14844.997211806558</v>
      </c>
      <c r="J123" s="114"/>
      <c r="K123" s="113"/>
      <c r="L123" s="111"/>
      <c r="M123" s="114"/>
      <c r="N123" s="113"/>
      <c r="O123" s="111"/>
      <c r="P123" s="114"/>
      <c r="Q123" s="113"/>
      <c r="R123" s="111"/>
      <c r="S123" s="114"/>
      <c r="T123" s="111">
        <f>SUM(T122)</f>
        <v>2331.4048338153207</v>
      </c>
      <c r="U123" s="111">
        <f>SUM(U122)</f>
        <v>34971.072507229808</v>
      </c>
    </row>
    <row r="124" spans="1:21" ht="15.75" thickBot="1" x14ac:dyDescent="0.3">
      <c r="A124" s="224" t="s">
        <v>65</v>
      </c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</row>
    <row r="125" spans="1:21" x14ac:dyDescent="0.25">
      <c r="A125" s="37"/>
      <c r="B125" s="18"/>
      <c r="C125" s="13"/>
      <c r="D125" s="112"/>
      <c r="E125" s="109"/>
      <c r="F125" s="38"/>
      <c r="G125" s="110"/>
      <c r="H125" s="109"/>
      <c r="I125" s="38"/>
      <c r="J125" s="110"/>
      <c r="K125" s="109"/>
      <c r="L125" s="38"/>
      <c r="M125" s="110"/>
      <c r="N125" s="109"/>
      <c r="O125" s="38"/>
      <c r="P125" s="110"/>
      <c r="Q125" s="109"/>
      <c r="R125" s="38"/>
      <c r="S125" s="110"/>
      <c r="T125" s="38"/>
      <c r="U125" s="38"/>
    </row>
    <row r="126" spans="1:21" x14ac:dyDescent="0.25">
      <c r="A126" s="37"/>
      <c r="B126" s="18"/>
      <c r="C126" s="13"/>
      <c r="D126" s="112"/>
      <c r="E126" s="109"/>
      <c r="F126" s="38"/>
      <c r="G126" s="110"/>
      <c r="H126" s="109"/>
      <c r="I126" s="38"/>
      <c r="J126" s="110"/>
      <c r="K126" s="109"/>
      <c r="L126" s="38"/>
      <c r="M126" s="110"/>
      <c r="N126" s="109"/>
      <c r="O126" s="38"/>
      <c r="P126" s="110"/>
      <c r="Q126" s="109"/>
      <c r="R126" s="38"/>
      <c r="S126" s="110"/>
      <c r="T126" s="38"/>
      <c r="U126" s="38"/>
    </row>
    <row r="127" spans="1:21" x14ac:dyDescent="0.25">
      <c r="A127" s="117"/>
      <c r="B127" s="18"/>
      <c r="C127" s="62"/>
      <c r="D127" s="118"/>
      <c r="E127" s="109"/>
      <c r="F127" s="38"/>
      <c r="G127" s="110"/>
      <c r="H127" s="109"/>
      <c r="I127" s="38"/>
      <c r="J127" s="110"/>
      <c r="K127" s="109"/>
      <c r="L127" s="38"/>
      <c r="M127" s="110"/>
      <c r="N127" s="109"/>
      <c r="O127" s="38"/>
      <c r="P127" s="110"/>
      <c r="Q127" s="109"/>
      <c r="R127" s="38"/>
      <c r="S127" s="110"/>
      <c r="T127" s="38"/>
      <c r="U127" s="38"/>
    </row>
    <row r="128" spans="1:21" ht="15.75" thickBot="1" x14ac:dyDescent="0.3">
      <c r="A128" s="115"/>
      <c r="B128" s="116"/>
      <c r="C128" s="116"/>
      <c r="D128" s="116"/>
      <c r="E128" s="113"/>
      <c r="F128" s="111"/>
      <c r="G128" s="114"/>
      <c r="H128" s="113"/>
      <c r="I128" s="111"/>
      <c r="J128" s="114"/>
      <c r="K128" s="113"/>
      <c r="L128" s="111"/>
      <c r="M128" s="114"/>
      <c r="N128" s="113"/>
      <c r="O128" s="111"/>
      <c r="P128" s="114"/>
      <c r="Q128" s="113"/>
      <c r="R128" s="111"/>
      <c r="S128" s="114"/>
      <c r="T128" s="111"/>
      <c r="U128" s="111"/>
    </row>
    <row r="129" spans="1:23" ht="15.75" thickTop="1" x14ac:dyDescent="0.25">
      <c r="A129" s="39" t="s">
        <v>37</v>
      </c>
      <c r="B129" s="42"/>
      <c r="C129" s="42"/>
      <c r="D129" s="42"/>
      <c r="E129" s="40">
        <f>+E10+E18+E27+E35+E44+E50+E59+E68+E77+E86+E91+E101+E109+E118+E121+E128+E123</f>
        <v>163929.3936377166</v>
      </c>
      <c r="F129" s="40">
        <f>+F10+F18+F27+F35+F44+F50+F59+F68+F77+F86+F91+F101+F109+F118+F121+F128+F123</f>
        <v>2311847.4778312878</v>
      </c>
      <c r="G129" s="41">
        <f>F129/E129</f>
        <v>14.10270255095595</v>
      </c>
      <c r="H129" s="40">
        <f>+H10+H18+H27+H35+H44+H50+H59+H68+H77+H86+H91+H101+H109+H118+H121+H128+H123</f>
        <v>118403.40016674245</v>
      </c>
      <c r="I129" s="40">
        <f>+I10+I18+I27+I35+I44+I50+I59+I68+I77+I86+I91+I101+I109+I118+I121+I128+I123</f>
        <v>1621994.3703923426</v>
      </c>
      <c r="J129" s="41">
        <f>I129/H129</f>
        <v>13.698883377573257</v>
      </c>
      <c r="K129" s="40">
        <f>+K10+K18+K27+K35+K44+K50+K59+K68+K77+K86+K91+K101+K109+K118+K121+K128+K123</f>
        <v>58626.357462999462</v>
      </c>
      <c r="L129" s="40">
        <f>+L10+L18+L27+L35+L44+L50+L59+L68+L77+L86+L91+L101+L109+L118+L121+L128+L123</f>
        <v>780625.47300550691</v>
      </c>
      <c r="M129" s="41">
        <f>L129/K129</f>
        <v>13.31526478509566</v>
      </c>
      <c r="N129" s="40">
        <f>+N10+N18+N27+N35+N44+N50+N59+N68+N77+N86+N91+N101+N109+N118+N121+N128+N123</f>
        <v>58739.343706953769</v>
      </c>
      <c r="O129" s="40">
        <f>+O10+O18+O27+O35+O44+O50+O59+O68+O77+O86+O91+O101+O109+O118+O121+O128+O123</f>
        <v>818644.6885801336</v>
      </c>
      <c r="P129" s="41">
        <f>O129/N129</f>
        <v>13.936905605624252</v>
      </c>
      <c r="Q129" s="40">
        <f>+Q10+Q18+Q27+Q35+Q44+Q50+Q59+Q68+Q77+Q86+Q91</f>
        <v>0</v>
      </c>
      <c r="R129" s="40">
        <f>+R10+R18+R27+R35+R44+R50+R59+R68+R77+R86+R91</f>
        <v>0</v>
      </c>
      <c r="S129" s="41"/>
      <c r="T129" s="40">
        <f>E129+H129+K129+N129</f>
        <v>399698.49497441226</v>
      </c>
      <c r="U129" s="40">
        <f>F129+I129+L129+O129</f>
        <v>5533112.0098092714</v>
      </c>
      <c r="W129" s="10"/>
    </row>
    <row r="130" spans="1:23" x14ac:dyDescent="0.25">
      <c r="A130" s="71" t="s">
        <v>36</v>
      </c>
      <c r="B130" s="72"/>
      <c r="C130" s="72"/>
      <c r="D130" s="72"/>
      <c r="E130" s="73"/>
      <c r="F130" s="73">
        <f>+Harvest!F130</f>
        <v>109545.67487731487</v>
      </c>
      <c r="G130" s="74"/>
      <c r="H130" s="73"/>
      <c r="I130" s="73">
        <f>Harvest!H130</f>
        <v>79107.04746684678</v>
      </c>
      <c r="J130" s="74"/>
      <c r="K130" s="73"/>
      <c r="L130" s="73">
        <f>+Harvest!J130</f>
        <v>22094.760778360727</v>
      </c>
      <c r="M130" s="74"/>
      <c r="N130" s="73"/>
      <c r="O130" s="73">
        <f>+Harvest!L130</f>
        <v>12636.234469003195</v>
      </c>
      <c r="P130" s="74"/>
      <c r="Q130" s="73"/>
      <c r="R130" s="73"/>
      <c r="S130" s="74"/>
      <c r="T130" s="73"/>
      <c r="U130" s="73">
        <f>F130+I130+L130+O130+R130</f>
        <v>223383.71759152558</v>
      </c>
    </row>
    <row r="131" spans="1:23" x14ac:dyDescent="0.25">
      <c r="A131" s="81" t="s">
        <v>33</v>
      </c>
      <c r="B131" s="82"/>
      <c r="C131" s="82"/>
      <c r="D131" s="82"/>
      <c r="E131" s="75">
        <f>E129</f>
        <v>163929.3936377166</v>
      </c>
      <c r="F131" s="75">
        <f>F129+F130</f>
        <v>2421393.1527086026</v>
      </c>
      <c r="G131" s="76">
        <f>+F131/E131</f>
        <v>14.770951682160634</v>
      </c>
      <c r="H131" s="75">
        <f>H129</f>
        <v>118403.40016674245</v>
      </c>
      <c r="I131" s="75">
        <f>I129+I130</f>
        <v>1701101.4178591894</v>
      </c>
      <c r="J131" s="76">
        <f>+I131/H131</f>
        <v>14.366998037755682</v>
      </c>
      <c r="K131" s="75">
        <f>K129</f>
        <v>58626.357462999462</v>
      </c>
      <c r="L131" s="75">
        <f>L129+L130</f>
        <v>802720.23378386768</v>
      </c>
      <c r="M131" s="76">
        <f>+L131/K131</f>
        <v>13.692138971630365</v>
      </c>
      <c r="N131" s="75">
        <f>N129</f>
        <v>58739.343706953769</v>
      </c>
      <c r="O131" s="75">
        <f>O129+O130</f>
        <v>831280.92304913676</v>
      </c>
      <c r="P131" s="76">
        <f>+O131/N131</f>
        <v>14.152029467614341</v>
      </c>
      <c r="Q131" s="75">
        <f>Q129</f>
        <v>0</v>
      </c>
      <c r="R131" s="75">
        <f>R129+R130</f>
        <v>0</v>
      </c>
      <c r="S131" s="76"/>
      <c r="T131" s="75">
        <f>SUM(T129:T130)</f>
        <v>399698.49497441226</v>
      </c>
      <c r="U131" s="77">
        <f>SUM(U129:U130)</f>
        <v>5756495.7274007974</v>
      </c>
    </row>
    <row r="132" spans="1:23" x14ac:dyDescent="0.25">
      <c r="A132" s="83" t="s">
        <v>16</v>
      </c>
      <c r="B132" s="79"/>
      <c r="C132" s="79"/>
      <c r="D132" s="79"/>
      <c r="E132" s="79"/>
      <c r="F132" s="78">
        <f>Harvest!F133</f>
        <v>0.62318837266782845</v>
      </c>
      <c r="G132" s="79"/>
      <c r="H132" s="79"/>
      <c r="I132" s="78">
        <f>Harvest!H133</f>
        <v>0.6388247623980905</v>
      </c>
      <c r="J132" s="79"/>
      <c r="K132" s="79"/>
      <c r="L132" s="78">
        <f>Harvest!J133</f>
        <v>0.90210776115536084</v>
      </c>
      <c r="M132" s="79"/>
      <c r="N132" s="79"/>
      <c r="O132" s="78">
        <f>Harvest!L133</f>
        <v>0.37105641078460233</v>
      </c>
      <c r="P132" s="79"/>
      <c r="Q132" s="79"/>
      <c r="R132" s="78">
        <f>Harvest!N133</f>
        <v>0</v>
      </c>
      <c r="S132" s="79"/>
      <c r="T132" s="79"/>
      <c r="U132" s="80"/>
    </row>
  </sheetData>
  <mergeCells count="23">
    <mergeCell ref="A109:D109"/>
    <mergeCell ref="T2:U2"/>
    <mergeCell ref="N2:P2"/>
    <mergeCell ref="K2:M2"/>
    <mergeCell ref="H2:J2"/>
    <mergeCell ref="E2:G2"/>
    <mergeCell ref="Q2:S2"/>
    <mergeCell ref="A124:U124"/>
    <mergeCell ref="A10:D10"/>
    <mergeCell ref="A50:D50"/>
    <mergeCell ref="A44:D44"/>
    <mergeCell ref="A35:D35"/>
    <mergeCell ref="A18:D18"/>
    <mergeCell ref="A27:D27"/>
    <mergeCell ref="A123:D123"/>
    <mergeCell ref="A121:D121"/>
    <mergeCell ref="A101:D101"/>
    <mergeCell ref="A59:D59"/>
    <mergeCell ref="A68:D68"/>
    <mergeCell ref="A118:D118"/>
    <mergeCell ref="A77:D77"/>
    <mergeCell ref="A86:D86"/>
    <mergeCell ref="A91:D91"/>
  </mergeCells>
  <pageMargins left="0.196850393700787" right="0" top="0.39370078740157499" bottom="0" header="0.196850393700787" footer="0"/>
  <pageSetup paperSize="5" scale="63" fitToHeight="0" orientation="portrait" r:id="rId1"/>
  <headerFooter>
    <oddHeader>&amp;L&amp;KFF0000FINAL ESTIMATE&amp;C&amp;KFF0000Page &amp;P</oddHeader>
  </headerFooter>
  <ignoredErrors>
    <ignoredError sqref="G129 J129 M129 P129 G50 T59:U59 T8:U8 T23:U23 T66:U66" formula="1"/>
    <ignoredError sqref="G59" evalError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G236"/>
  <sheetViews>
    <sheetView topLeftCell="A211" workbookViewId="0">
      <selection activeCell="C236" sqref="C236"/>
    </sheetView>
  </sheetViews>
  <sheetFormatPr defaultRowHeight="15" x14ac:dyDescent="0.25"/>
  <cols>
    <col min="1" max="1" width="12.5703125" bestFit="1" customWidth="1"/>
    <col min="2" max="2" width="10" bestFit="1" customWidth="1"/>
    <col min="3" max="3" width="9.140625" bestFit="1" customWidth="1"/>
    <col min="4" max="4" width="10.140625" bestFit="1" customWidth="1"/>
    <col min="5" max="5" width="5.5703125" bestFit="1" customWidth="1"/>
    <col min="6" max="6" width="7.85546875" bestFit="1" customWidth="1"/>
    <col min="7" max="7" width="15.85546875" bestFit="1" customWidth="1"/>
  </cols>
  <sheetData>
    <row r="1" spans="1:7" x14ac:dyDescent="0.25">
      <c r="A1" s="139" t="s">
        <v>9</v>
      </c>
      <c r="B1" s="139" t="s">
        <v>8</v>
      </c>
      <c r="C1" s="139" t="s">
        <v>30</v>
      </c>
      <c r="D1" s="139" t="s">
        <v>31</v>
      </c>
      <c r="E1" s="139" t="s">
        <v>10</v>
      </c>
      <c r="F1" s="139" t="s">
        <v>38</v>
      </c>
      <c r="G1" s="139" t="s">
        <v>52</v>
      </c>
    </row>
    <row r="2" spans="1:7" x14ac:dyDescent="0.25">
      <c r="A2" s="140" t="s">
        <v>2</v>
      </c>
      <c r="B2" s="141">
        <v>41923</v>
      </c>
      <c r="C2" s="142">
        <v>2205.5586036055502</v>
      </c>
      <c r="D2" s="142">
        <v>8634.5272992217288</v>
      </c>
      <c r="E2" s="142">
        <v>3.9148936170212765</v>
      </c>
      <c r="F2" s="143">
        <v>1028</v>
      </c>
      <c r="G2" s="142">
        <v>0.50836664438247681</v>
      </c>
    </row>
    <row r="3" spans="1:7" x14ac:dyDescent="0.25">
      <c r="A3" s="140" t="s">
        <v>53</v>
      </c>
      <c r="B3" s="141">
        <v>41919</v>
      </c>
      <c r="C3" s="142">
        <v>1633.334894064702</v>
      </c>
      <c r="D3" s="142">
        <v>24500.023410970534</v>
      </c>
      <c r="E3" s="142">
        <v>15</v>
      </c>
      <c r="F3" s="143">
        <v>1022</v>
      </c>
      <c r="G3" s="142">
        <v>0.64889997243881226</v>
      </c>
    </row>
    <row r="4" spans="1:7" x14ac:dyDescent="0.25">
      <c r="A4" s="140" t="s">
        <v>53</v>
      </c>
      <c r="B4" s="141">
        <v>41920</v>
      </c>
      <c r="C4" s="142">
        <v>1665.0138717503266</v>
      </c>
      <c r="D4" s="142">
        <v>24526.935110783659</v>
      </c>
      <c r="E4" s="142">
        <v>14.73076923076923</v>
      </c>
      <c r="F4" s="143">
        <v>1023</v>
      </c>
      <c r="G4" s="142">
        <v>0.71276664733886719</v>
      </c>
    </row>
    <row r="5" spans="1:7" x14ac:dyDescent="0.25">
      <c r="A5" s="140" t="s">
        <v>53</v>
      </c>
      <c r="B5" s="141">
        <v>41921</v>
      </c>
      <c r="C5" s="142">
        <v>1725.9979158122248</v>
      </c>
      <c r="D5" s="142">
        <v>25889.968737183372</v>
      </c>
      <c r="E5" s="142">
        <v>15</v>
      </c>
      <c r="F5" s="143">
        <v>1034</v>
      </c>
      <c r="G5" s="142">
        <v>0.64889997243881226</v>
      </c>
    </row>
    <row r="6" spans="1:7" x14ac:dyDescent="0.25">
      <c r="A6" s="140" t="s">
        <v>53</v>
      </c>
      <c r="B6" s="141">
        <v>41922</v>
      </c>
      <c r="C6" s="142">
        <v>2633.4004361845891</v>
      </c>
      <c r="D6" s="142">
        <v>37783.571475691926</v>
      </c>
      <c r="E6" s="142">
        <v>14.347826086956522</v>
      </c>
      <c r="F6" s="143">
        <v>1033</v>
      </c>
      <c r="G6" s="142">
        <v>0.71276664733886719</v>
      </c>
    </row>
    <row r="7" spans="1:7" x14ac:dyDescent="0.25">
      <c r="A7" s="140" t="s">
        <v>53</v>
      </c>
      <c r="B7" s="141">
        <v>41923</v>
      </c>
      <c r="C7" s="142">
        <v>1397.0056149197903</v>
      </c>
      <c r="D7" s="142">
        <v>9249.1406229172298</v>
      </c>
      <c r="E7" s="142">
        <v>6.6206896551724137</v>
      </c>
      <c r="F7" s="143">
        <v>1032</v>
      </c>
      <c r="G7" s="142">
        <v>0.70696663856506348</v>
      </c>
    </row>
    <row r="8" spans="1:7" x14ac:dyDescent="0.25">
      <c r="A8" s="140" t="s">
        <v>3</v>
      </c>
      <c r="B8" s="141">
        <v>41922</v>
      </c>
      <c r="C8" s="142">
        <v>1222.3150974793125</v>
      </c>
      <c r="D8" s="142">
        <v>16040.535048459285</v>
      </c>
      <c r="E8" s="142">
        <v>13.123076923076923</v>
      </c>
      <c r="F8" s="143">
        <v>1027</v>
      </c>
      <c r="G8" s="142">
        <v>0.47859999537467957</v>
      </c>
    </row>
    <row r="9" spans="1:7" x14ac:dyDescent="0.25">
      <c r="A9" s="140" t="s">
        <v>3</v>
      </c>
      <c r="B9" s="141">
        <v>41923</v>
      </c>
      <c r="C9" s="142">
        <v>2126.2957375746932</v>
      </c>
      <c r="D9" s="142">
        <v>24229.881660734882</v>
      </c>
      <c r="E9" s="142">
        <v>11.395348837209303</v>
      </c>
      <c r="F9" s="143">
        <v>1030</v>
      </c>
      <c r="G9" s="142">
        <v>0.5435333251953125</v>
      </c>
    </row>
    <row r="10" spans="1:7" x14ac:dyDescent="0.25">
      <c r="A10" s="140" t="s">
        <v>3</v>
      </c>
      <c r="B10" s="141">
        <v>41924</v>
      </c>
      <c r="C10" s="142">
        <v>294.76324531231057</v>
      </c>
      <c r="D10" s="142">
        <v>3766.4192456573023</v>
      </c>
      <c r="E10" s="142">
        <v>12.777777777777779</v>
      </c>
      <c r="F10" s="143">
        <v>1031</v>
      </c>
      <c r="G10" s="142">
        <v>0.56029999256134033</v>
      </c>
    </row>
    <row r="11" spans="1:7" x14ac:dyDescent="0.25">
      <c r="A11" s="140" t="s">
        <v>1</v>
      </c>
      <c r="B11" s="141">
        <v>41919</v>
      </c>
      <c r="C11" s="142">
        <v>1485.9239248612748</v>
      </c>
      <c r="D11" s="142">
        <v>22288.858872919118</v>
      </c>
      <c r="E11" s="142">
        <v>15</v>
      </c>
      <c r="F11" s="143">
        <v>1021</v>
      </c>
      <c r="G11" s="142">
        <v>0.51243335008621216</v>
      </c>
    </row>
    <row r="12" spans="1:7" x14ac:dyDescent="0.25">
      <c r="A12" s="140" t="s">
        <v>1</v>
      </c>
      <c r="B12" s="141">
        <v>41920</v>
      </c>
      <c r="C12" s="142">
        <v>1763.3462658369642</v>
      </c>
      <c r="D12" s="142">
        <v>26450.193987554463</v>
      </c>
      <c r="E12" s="142">
        <v>15</v>
      </c>
      <c r="F12" s="143">
        <v>1024</v>
      </c>
      <c r="G12" s="142">
        <v>0.53109997510910034</v>
      </c>
    </row>
    <row r="13" spans="1:7" x14ac:dyDescent="0.25">
      <c r="A13" s="140" t="s">
        <v>1</v>
      </c>
      <c r="B13" s="141">
        <v>41921</v>
      </c>
      <c r="C13" s="142">
        <v>1310.4622683220987</v>
      </c>
      <c r="D13" s="142">
        <v>17842.447807154727</v>
      </c>
      <c r="E13" s="142">
        <v>13.615384615384615</v>
      </c>
      <c r="F13" s="143">
        <v>1025</v>
      </c>
      <c r="G13" s="142">
        <v>0.52713334560394287</v>
      </c>
    </row>
    <row r="14" spans="1:7" x14ac:dyDescent="0.25">
      <c r="A14" s="140" t="s">
        <v>1</v>
      </c>
      <c r="B14" s="141">
        <v>41922</v>
      </c>
      <c r="C14" s="142">
        <v>2090.2265888449865</v>
      </c>
      <c r="D14" s="142">
        <v>29946.515551721437</v>
      </c>
      <c r="E14" s="142">
        <v>14.326923076923077</v>
      </c>
      <c r="F14" s="143">
        <v>1026</v>
      </c>
      <c r="G14" s="142">
        <v>0.43513333797454834</v>
      </c>
    </row>
    <row r="15" spans="1:7" x14ac:dyDescent="0.25">
      <c r="A15" s="140" t="s">
        <v>1</v>
      </c>
      <c r="B15" s="141">
        <v>41923</v>
      </c>
      <c r="C15" s="142">
        <v>484.01957354933973</v>
      </c>
      <c r="D15" s="142">
        <v>4169.3615896969441</v>
      </c>
      <c r="E15" s="142">
        <v>8.6140350877192979</v>
      </c>
      <c r="F15" s="143">
        <v>1029</v>
      </c>
      <c r="G15" s="142">
        <v>0.52713334560394287</v>
      </c>
    </row>
    <row r="17" spans="1:7" x14ac:dyDescent="0.25">
      <c r="A17" s="139" t="s">
        <v>9</v>
      </c>
      <c r="B17" s="139" t="s">
        <v>8</v>
      </c>
      <c r="C17" s="139" t="s">
        <v>30</v>
      </c>
      <c r="D17" s="139" t="s">
        <v>31</v>
      </c>
      <c r="E17" s="139" t="s">
        <v>10</v>
      </c>
      <c r="F17" s="139" t="s">
        <v>38</v>
      </c>
      <c r="G17" s="139" t="s">
        <v>52</v>
      </c>
    </row>
    <row r="18" spans="1:7" x14ac:dyDescent="0.25">
      <c r="A18" s="140" t="s">
        <v>2</v>
      </c>
      <c r="B18" s="141">
        <v>41937</v>
      </c>
      <c r="C18" s="142">
        <v>196.0529754573505</v>
      </c>
      <c r="D18" s="142">
        <v>0</v>
      </c>
      <c r="E18" s="142">
        <v>0</v>
      </c>
      <c r="F18" s="143">
        <v>1044</v>
      </c>
      <c r="G18" s="142">
        <v>0.49390000104904175</v>
      </c>
    </row>
    <row r="19" spans="1:7" x14ac:dyDescent="0.25">
      <c r="A19" s="140" t="s">
        <v>53</v>
      </c>
      <c r="B19" s="141">
        <v>41934</v>
      </c>
      <c r="C19" s="142">
        <v>218.83187861190706</v>
      </c>
      <c r="D19" s="142">
        <v>0</v>
      </c>
      <c r="E19" s="142">
        <v>0</v>
      </c>
      <c r="F19" s="143">
        <v>1036</v>
      </c>
      <c r="G19" s="142">
        <v>0.64889997243881226</v>
      </c>
    </row>
    <row r="20" spans="1:7" x14ac:dyDescent="0.25">
      <c r="A20" s="140" t="s">
        <v>53</v>
      </c>
      <c r="B20" s="141">
        <v>41935</v>
      </c>
      <c r="C20" s="142">
        <v>524.09571025445518</v>
      </c>
      <c r="D20" s="142">
        <v>7861.4356538168286</v>
      </c>
      <c r="E20" s="142">
        <v>15</v>
      </c>
      <c r="F20" s="143">
        <v>1037</v>
      </c>
      <c r="G20" s="142">
        <v>0.66972500085830688</v>
      </c>
    </row>
    <row r="21" spans="1:7" x14ac:dyDescent="0.25">
      <c r="A21" s="140" t="s">
        <v>53</v>
      </c>
      <c r="B21" s="141">
        <v>41936</v>
      </c>
      <c r="C21" s="142">
        <v>892.37092063775526</v>
      </c>
      <c r="D21" s="142">
        <v>12716.285619088016</v>
      </c>
      <c r="E21" s="142">
        <v>14.25</v>
      </c>
      <c r="F21" s="143">
        <v>1039</v>
      </c>
      <c r="G21" s="142">
        <v>0.64883333444595337</v>
      </c>
    </row>
    <row r="22" spans="1:7" x14ac:dyDescent="0.25">
      <c r="A22" s="140" t="s">
        <v>53</v>
      </c>
      <c r="B22" s="141">
        <v>41938</v>
      </c>
      <c r="C22" s="142">
        <v>100.64938194187069</v>
      </c>
      <c r="D22" s="142">
        <v>1509.7407291280606</v>
      </c>
      <c r="E22" s="142">
        <v>15</v>
      </c>
      <c r="F22" s="143">
        <v>1038</v>
      </c>
      <c r="G22" s="142">
        <v>0.66972500085830688</v>
      </c>
    </row>
    <row r="23" spans="1:7" x14ac:dyDescent="0.25">
      <c r="A23" s="140" t="s">
        <v>53</v>
      </c>
      <c r="B23" s="141">
        <v>41940</v>
      </c>
      <c r="C23" s="142">
        <v>9.9014573222407805</v>
      </c>
      <c r="D23" s="142">
        <v>0</v>
      </c>
      <c r="E23" s="142">
        <v>0</v>
      </c>
      <c r="F23" s="143">
        <v>1040</v>
      </c>
      <c r="G23" s="142">
        <v>0.70696663856506348</v>
      </c>
    </row>
    <row r="24" spans="1:7" x14ac:dyDescent="0.25">
      <c r="A24" s="140" t="s">
        <v>3</v>
      </c>
      <c r="B24" s="141">
        <v>41936</v>
      </c>
      <c r="C24" s="142">
        <v>1499.4480783807305</v>
      </c>
      <c r="D24" s="142">
        <v>20419.756558312132</v>
      </c>
      <c r="E24" s="142">
        <v>13.618181818181819</v>
      </c>
      <c r="F24" s="143">
        <v>1043</v>
      </c>
      <c r="G24" s="142">
        <v>0.5435333251953125</v>
      </c>
    </row>
    <row r="25" spans="1:7" x14ac:dyDescent="0.25">
      <c r="A25" s="140" t="s">
        <v>3</v>
      </c>
      <c r="B25" s="141">
        <v>41938</v>
      </c>
      <c r="C25" s="142">
        <v>380.01381752137826</v>
      </c>
      <c r="D25" s="142">
        <v>5700.2072628206733</v>
      </c>
      <c r="E25" s="142">
        <v>15</v>
      </c>
      <c r="F25" s="143">
        <v>1045</v>
      </c>
      <c r="G25" s="142">
        <v>0.56029999256134033</v>
      </c>
    </row>
    <row r="26" spans="1:7" x14ac:dyDescent="0.25">
      <c r="A26" s="140" t="s">
        <v>1</v>
      </c>
      <c r="B26" s="141">
        <v>41934</v>
      </c>
      <c r="C26" s="142">
        <v>380.7094820454131</v>
      </c>
      <c r="D26" s="142">
        <v>265.3429723346818</v>
      </c>
      <c r="E26" s="142">
        <v>0.69696969696969702</v>
      </c>
      <c r="F26" s="143">
        <v>1035</v>
      </c>
      <c r="G26" s="142">
        <v>0.51243335008621216</v>
      </c>
    </row>
    <row r="27" spans="1:7" x14ac:dyDescent="0.25">
      <c r="A27" s="140" t="s">
        <v>1</v>
      </c>
      <c r="B27" s="141">
        <v>41935</v>
      </c>
      <c r="C27" s="142">
        <v>770.81402660719675</v>
      </c>
      <c r="D27" s="142">
        <v>10873.983589637241</v>
      </c>
      <c r="E27" s="142">
        <v>14.107142857142858</v>
      </c>
      <c r="F27" s="143">
        <v>1041</v>
      </c>
      <c r="G27" s="142">
        <v>0.53109997510910034</v>
      </c>
    </row>
    <row r="28" spans="1:7" x14ac:dyDescent="0.25">
      <c r="A28" s="140" t="s">
        <v>1</v>
      </c>
      <c r="B28" s="141">
        <v>41936</v>
      </c>
      <c r="C28" s="142">
        <v>1019.0882247319548</v>
      </c>
      <c r="D28" s="142">
        <v>11569.648669015723</v>
      </c>
      <c r="E28" s="142">
        <v>11.352941176470589</v>
      </c>
      <c r="F28" s="143">
        <v>1042</v>
      </c>
      <c r="G28" s="142">
        <v>0.52824997901916504</v>
      </c>
    </row>
    <row r="29" spans="1:7" x14ac:dyDescent="0.25">
      <c r="A29" s="140" t="s">
        <v>1</v>
      </c>
      <c r="B29" s="141">
        <v>41938</v>
      </c>
      <c r="C29" s="142">
        <v>212.02083189469772</v>
      </c>
      <c r="D29" s="142">
        <v>3180.3124784204656</v>
      </c>
      <c r="E29" s="142">
        <v>15</v>
      </c>
      <c r="F29" s="143">
        <v>1046</v>
      </c>
      <c r="G29" s="142">
        <v>0.52824997901916504</v>
      </c>
    </row>
    <row r="30" spans="1:7" x14ac:dyDescent="0.25">
      <c r="A30" s="140" t="s">
        <v>1</v>
      </c>
      <c r="B30" s="141">
        <v>41939</v>
      </c>
      <c r="C30" s="142">
        <v>91.838866658273162</v>
      </c>
      <c r="D30" s="142">
        <v>1270.4376554394455</v>
      </c>
      <c r="E30" s="142">
        <v>13.833333333333334</v>
      </c>
      <c r="F30" s="143">
        <v>1047</v>
      </c>
      <c r="G30" s="142">
        <v>0.47909998893737793</v>
      </c>
    </row>
    <row r="32" spans="1:7" x14ac:dyDescent="0.25">
      <c r="A32" s="147" t="s">
        <v>9</v>
      </c>
      <c r="B32" s="147" t="s">
        <v>8</v>
      </c>
      <c r="C32" s="147" t="s">
        <v>30</v>
      </c>
      <c r="D32" s="147" t="s">
        <v>31</v>
      </c>
      <c r="E32" s="147" t="s">
        <v>10</v>
      </c>
      <c r="F32" s="147" t="s">
        <v>38</v>
      </c>
      <c r="G32" s="147" t="s">
        <v>52</v>
      </c>
    </row>
    <row r="33" spans="1:7" x14ac:dyDescent="0.25">
      <c r="A33" s="148" t="s">
        <v>2</v>
      </c>
      <c r="B33" s="149">
        <v>41951</v>
      </c>
      <c r="C33" s="150">
        <v>3127.5339014925967</v>
      </c>
      <c r="D33" s="150">
        <v>42243.129135228759</v>
      </c>
      <c r="E33" s="150">
        <v>13.506849315068493</v>
      </c>
      <c r="F33" s="151">
        <v>1056</v>
      </c>
      <c r="G33" s="150">
        <v>0.45344999432563782</v>
      </c>
    </row>
    <row r="34" spans="1:7" x14ac:dyDescent="0.25">
      <c r="A34" s="148" t="s">
        <v>53</v>
      </c>
      <c r="B34" s="149">
        <v>41947</v>
      </c>
      <c r="C34" s="150">
        <v>798.07359760751433</v>
      </c>
      <c r="D34" s="150">
        <v>11971.103964112714</v>
      </c>
      <c r="E34" s="150">
        <v>15</v>
      </c>
      <c r="F34" s="151">
        <v>1048</v>
      </c>
      <c r="G34" s="150">
        <v>0.72675001621246338</v>
      </c>
    </row>
    <row r="35" spans="1:7" x14ac:dyDescent="0.25">
      <c r="A35" s="148" t="s">
        <v>53</v>
      </c>
      <c r="B35" s="149">
        <v>41948</v>
      </c>
      <c r="C35" s="150">
        <v>476.76527359377343</v>
      </c>
      <c r="D35" s="150">
        <v>7161.6230458979589</v>
      </c>
      <c r="E35" s="150">
        <v>15.021276595744681</v>
      </c>
      <c r="F35" s="151">
        <v>1062</v>
      </c>
      <c r="G35" s="150">
        <v>0.70696663856506348</v>
      </c>
    </row>
    <row r="36" spans="1:7" x14ac:dyDescent="0.25">
      <c r="A36" s="148" t="s">
        <v>53</v>
      </c>
      <c r="B36" s="149">
        <v>41949</v>
      </c>
      <c r="C36" s="150">
        <v>695.7265408555553</v>
      </c>
      <c r="D36" s="150">
        <v>10435.898112833329</v>
      </c>
      <c r="E36" s="150">
        <v>15</v>
      </c>
      <c r="F36" s="151">
        <v>1061</v>
      </c>
      <c r="G36" s="150">
        <v>0.70142501592636108</v>
      </c>
    </row>
    <row r="37" spans="1:7" x14ac:dyDescent="0.25">
      <c r="A37" s="148" t="s">
        <v>53</v>
      </c>
      <c r="B37" s="149">
        <v>41950</v>
      </c>
      <c r="C37" s="150">
        <v>2757.2142333785855</v>
      </c>
      <c r="D37" s="150">
        <v>39767.512981421911</v>
      </c>
      <c r="E37" s="150">
        <v>14.423076923076923</v>
      </c>
      <c r="F37" s="151">
        <v>1060</v>
      </c>
      <c r="G37" s="150">
        <v>0.45583334565162659</v>
      </c>
    </row>
    <row r="38" spans="1:7" x14ac:dyDescent="0.25">
      <c r="A38" s="148" t="s">
        <v>3</v>
      </c>
      <c r="B38" s="149">
        <v>41950</v>
      </c>
      <c r="C38" s="150">
        <v>1063.9832982077737</v>
      </c>
      <c r="D38" s="150">
        <v>15959.749473116606</v>
      </c>
      <c r="E38" s="150">
        <v>15</v>
      </c>
      <c r="F38" s="151">
        <v>1053</v>
      </c>
      <c r="G38" s="150">
        <v>0.5812000036239624</v>
      </c>
    </row>
    <row r="39" spans="1:7" x14ac:dyDescent="0.25">
      <c r="A39" s="148" t="s">
        <v>3</v>
      </c>
      <c r="B39" s="149">
        <v>41951</v>
      </c>
      <c r="C39" s="150">
        <v>1948.1298570553215</v>
      </c>
      <c r="D39" s="150">
        <v>27588.032491847942</v>
      </c>
      <c r="E39" s="150">
        <v>14.161290322580646</v>
      </c>
      <c r="F39" s="151">
        <v>1054</v>
      </c>
      <c r="G39" s="150">
        <v>0.57266664505004883</v>
      </c>
    </row>
    <row r="40" spans="1:7" x14ac:dyDescent="0.25">
      <c r="A40" s="148" t="s">
        <v>3</v>
      </c>
      <c r="B40" s="149">
        <v>41952</v>
      </c>
      <c r="C40" s="150">
        <v>728.74218164091008</v>
      </c>
      <c r="D40" s="150">
        <v>7838.0270203155669</v>
      </c>
      <c r="E40" s="150">
        <v>10.755555555555556</v>
      </c>
      <c r="F40" s="151">
        <v>1059</v>
      </c>
      <c r="G40" s="150">
        <v>0.56029999256134033</v>
      </c>
    </row>
    <row r="41" spans="1:7" x14ac:dyDescent="0.25">
      <c r="A41" s="148" t="s">
        <v>1</v>
      </c>
      <c r="B41" s="149">
        <v>41947</v>
      </c>
      <c r="C41" s="150">
        <v>1095.9097183291749</v>
      </c>
      <c r="D41" s="150">
        <v>16438.645774937624</v>
      </c>
      <c r="E41" s="150">
        <v>15</v>
      </c>
      <c r="F41" s="151">
        <v>1049</v>
      </c>
      <c r="G41" s="150">
        <v>0.52824997901916504</v>
      </c>
    </row>
    <row r="42" spans="1:7" x14ac:dyDescent="0.25">
      <c r="A42" s="148" t="s">
        <v>1</v>
      </c>
      <c r="B42" s="149">
        <v>41948</v>
      </c>
      <c r="C42" s="150">
        <v>894.43514408193585</v>
      </c>
      <c r="D42" s="150">
        <v>13416.527161229038</v>
      </c>
      <c r="E42" s="150">
        <v>15</v>
      </c>
      <c r="F42" s="151">
        <v>1050</v>
      </c>
      <c r="G42" s="150">
        <v>0.53109997510910034</v>
      </c>
    </row>
    <row r="43" spans="1:7" x14ac:dyDescent="0.25">
      <c r="A43" s="148" t="s">
        <v>1</v>
      </c>
      <c r="B43" s="149">
        <v>41949</v>
      </c>
      <c r="C43" s="150">
        <v>904.89437630528857</v>
      </c>
      <c r="D43" s="150">
        <v>13304.392992164243</v>
      </c>
      <c r="E43" s="150">
        <v>14.702702702702704</v>
      </c>
      <c r="F43" s="151">
        <v>1051</v>
      </c>
      <c r="G43" s="150">
        <v>0.52713334560394287</v>
      </c>
    </row>
    <row r="44" spans="1:7" x14ac:dyDescent="0.25">
      <c r="A44" s="148" t="s">
        <v>1</v>
      </c>
      <c r="B44" s="149">
        <v>41950</v>
      </c>
      <c r="C44" s="150">
        <v>1487.4788872616978</v>
      </c>
      <c r="D44" s="150">
        <v>22312.183308925469</v>
      </c>
      <c r="E44" s="150">
        <v>15</v>
      </c>
      <c r="F44" s="151">
        <v>1052</v>
      </c>
      <c r="G44" s="150">
        <v>0.53109997510910034</v>
      </c>
    </row>
    <row r="45" spans="1:7" x14ac:dyDescent="0.25">
      <c r="A45" s="148" t="s">
        <v>1</v>
      </c>
      <c r="B45" s="149">
        <v>41951</v>
      </c>
      <c r="C45" s="150">
        <v>2340.4256416028993</v>
      </c>
      <c r="D45" s="150">
        <v>33277.92709154122</v>
      </c>
      <c r="E45" s="150">
        <v>14.21875</v>
      </c>
      <c r="F45" s="151">
        <v>1055</v>
      </c>
      <c r="G45" s="150">
        <v>0.53109997510910034</v>
      </c>
    </row>
    <row r="46" spans="1:7" x14ac:dyDescent="0.25">
      <c r="A46" s="148" t="s">
        <v>1</v>
      </c>
      <c r="B46" s="149">
        <v>41952</v>
      </c>
      <c r="C46" s="150">
        <v>158.90610332454443</v>
      </c>
      <c r="D46" s="150">
        <v>2522.6343902771428</v>
      </c>
      <c r="E46" s="150">
        <v>15.875</v>
      </c>
      <c r="F46" s="151">
        <v>1058</v>
      </c>
      <c r="G46" s="150">
        <v>0.52713334560394287</v>
      </c>
    </row>
    <row r="47" spans="1:7" x14ac:dyDescent="0.25">
      <c r="A47" s="148" t="s">
        <v>1</v>
      </c>
      <c r="B47" s="149">
        <v>41954</v>
      </c>
      <c r="C47" s="150">
        <v>56.486540022596117</v>
      </c>
      <c r="D47" s="150">
        <v>847.29810033894182</v>
      </c>
      <c r="E47" s="150">
        <v>15</v>
      </c>
      <c r="F47" s="151">
        <v>1057</v>
      </c>
      <c r="G47" s="150">
        <v>0.53109997510910034</v>
      </c>
    </row>
    <row r="49" spans="1:7" x14ac:dyDescent="0.25">
      <c r="A49" s="147" t="s">
        <v>9</v>
      </c>
      <c r="B49" s="147" t="s">
        <v>8</v>
      </c>
      <c r="C49" s="147" t="s">
        <v>30</v>
      </c>
      <c r="D49" s="147" t="s">
        <v>31</v>
      </c>
      <c r="E49" s="147" t="s">
        <v>10</v>
      </c>
      <c r="F49" s="147" t="s">
        <v>38</v>
      </c>
      <c r="G49" s="147" t="s">
        <v>52</v>
      </c>
    </row>
    <row r="50" spans="1:7" x14ac:dyDescent="0.25">
      <c r="A50" s="148" t="s">
        <v>2</v>
      </c>
      <c r="B50" s="149">
        <v>41965</v>
      </c>
      <c r="C50" s="150">
        <v>2124.6544402768313</v>
      </c>
      <c r="D50" s="150">
        <v>20605.139288722479</v>
      </c>
      <c r="E50" s="150">
        <v>9.6981132075471699</v>
      </c>
      <c r="F50" s="151">
        <v>1067</v>
      </c>
      <c r="G50" s="150">
        <v>0.50836664438247681</v>
      </c>
    </row>
    <row r="51" spans="1:7" x14ac:dyDescent="0.25">
      <c r="A51" s="148" t="s">
        <v>53</v>
      </c>
      <c r="B51" s="149">
        <v>41963</v>
      </c>
      <c r="C51" s="150">
        <v>433.43652283856386</v>
      </c>
      <c r="D51" s="150">
        <v>6375.1288567505426</v>
      </c>
      <c r="E51" s="150">
        <v>14.708333333333334</v>
      </c>
      <c r="F51" s="151">
        <v>1073</v>
      </c>
      <c r="G51" s="150">
        <v>0.72675001621246338</v>
      </c>
    </row>
    <row r="52" spans="1:7" x14ac:dyDescent="0.25">
      <c r="A52" s="148" t="s">
        <v>53</v>
      </c>
      <c r="B52" s="149">
        <v>41964</v>
      </c>
      <c r="C52" s="150">
        <v>250.83411192356141</v>
      </c>
      <c r="D52" s="150">
        <v>1755.8387834649297</v>
      </c>
      <c r="E52" s="150">
        <v>7</v>
      </c>
      <c r="F52" s="151">
        <v>1075</v>
      </c>
      <c r="G52" s="150">
        <v>0.69435000419616699</v>
      </c>
    </row>
    <row r="53" spans="1:7" x14ac:dyDescent="0.25">
      <c r="A53" s="148" t="s">
        <v>53</v>
      </c>
      <c r="B53" s="149">
        <v>41966</v>
      </c>
      <c r="C53" s="150">
        <v>370.08222718132674</v>
      </c>
      <c r="D53" s="150">
        <v>5551.2334077199012</v>
      </c>
      <c r="E53" s="150">
        <v>15</v>
      </c>
      <c r="F53" s="151">
        <v>1076</v>
      </c>
      <c r="G53" s="150">
        <v>0.59986668825149536</v>
      </c>
    </row>
    <row r="54" spans="1:7" x14ac:dyDescent="0.25">
      <c r="A54" s="148" t="s">
        <v>53</v>
      </c>
      <c r="B54" s="149">
        <v>41967</v>
      </c>
      <c r="C54" s="150">
        <v>121.08702860251941</v>
      </c>
      <c r="D54" s="150">
        <v>196.76642147909402</v>
      </c>
      <c r="E54" s="150">
        <v>1.625</v>
      </c>
      <c r="F54" s="151">
        <v>1077</v>
      </c>
      <c r="G54" s="150">
        <v>0.72675001621246338</v>
      </c>
    </row>
    <row r="55" spans="1:7" x14ac:dyDescent="0.25">
      <c r="A55" s="148" t="s">
        <v>3</v>
      </c>
      <c r="B55" s="149">
        <v>41964</v>
      </c>
      <c r="C55" s="150">
        <v>640.25513040060639</v>
      </c>
      <c r="D55" s="150">
        <v>4579.2160413434676</v>
      </c>
      <c r="E55" s="150">
        <v>7.1521739130434785</v>
      </c>
      <c r="F55" s="151">
        <v>1064</v>
      </c>
      <c r="G55" s="150">
        <v>0.5435333251953125</v>
      </c>
    </row>
    <row r="56" spans="1:7" x14ac:dyDescent="0.25">
      <c r="A56" s="148" t="s">
        <v>3</v>
      </c>
      <c r="B56" s="149">
        <v>41965</v>
      </c>
      <c r="C56" s="150">
        <v>1283.3310340242842</v>
      </c>
      <c r="D56" s="150">
        <v>19249.965510364265</v>
      </c>
      <c r="E56" s="150">
        <v>15</v>
      </c>
      <c r="F56" s="151">
        <v>1065</v>
      </c>
      <c r="G56" s="150">
        <v>0.53347498178482056</v>
      </c>
    </row>
    <row r="57" spans="1:7" x14ac:dyDescent="0.25">
      <c r="A57" s="148" t="s">
        <v>3</v>
      </c>
      <c r="B57" s="149">
        <v>41966</v>
      </c>
      <c r="C57" s="150">
        <v>428.76517894114585</v>
      </c>
      <c r="D57" s="150">
        <v>6389.984279703528</v>
      </c>
      <c r="E57" s="150">
        <v>14.903225806451612</v>
      </c>
      <c r="F57" s="151">
        <v>1066</v>
      </c>
      <c r="G57" s="150">
        <v>0.55912500619888306</v>
      </c>
    </row>
    <row r="58" spans="1:7" x14ac:dyDescent="0.25">
      <c r="A58" s="148" t="s">
        <v>1</v>
      </c>
      <c r="B58" s="149">
        <v>41963</v>
      </c>
      <c r="C58" s="150">
        <v>1033.7036824135089</v>
      </c>
      <c r="D58" s="150">
        <v>15197.643501015633</v>
      </c>
      <c r="E58" s="150">
        <v>14.702127659574469</v>
      </c>
      <c r="F58" s="151">
        <v>1068</v>
      </c>
      <c r="G58" s="150">
        <v>0.53109997510910034</v>
      </c>
    </row>
    <row r="59" spans="1:7" x14ac:dyDescent="0.25">
      <c r="A59" s="148" t="s">
        <v>1</v>
      </c>
      <c r="B59" s="149">
        <v>41964</v>
      </c>
      <c r="C59" s="150">
        <v>302.88690270671106</v>
      </c>
      <c r="D59" s="150">
        <v>908.66070812013311</v>
      </c>
      <c r="E59" s="150">
        <v>3</v>
      </c>
      <c r="F59" s="151">
        <v>1069</v>
      </c>
      <c r="G59" s="150">
        <v>0.52824997901916504</v>
      </c>
    </row>
    <row r="60" spans="1:7" x14ac:dyDescent="0.25">
      <c r="A60" s="148" t="s">
        <v>1</v>
      </c>
      <c r="B60" s="149">
        <v>41965</v>
      </c>
      <c r="C60" s="150">
        <v>1333.6930098308098</v>
      </c>
      <c r="D60" s="150">
        <v>12687.182221723857</v>
      </c>
      <c r="E60" s="150">
        <v>9.5128205128205128</v>
      </c>
      <c r="F60" s="151">
        <v>1070</v>
      </c>
      <c r="G60" s="150">
        <v>0.53109997510910034</v>
      </c>
    </row>
    <row r="61" spans="1:7" x14ac:dyDescent="0.25">
      <c r="A61" s="148" t="s">
        <v>1</v>
      </c>
      <c r="B61" s="149">
        <v>41966</v>
      </c>
      <c r="C61" s="150">
        <v>367.39596969487957</v>
      </c>
      <c r="D61" s="150">
        <v>3603.9795122450091</v>
      </c>
      <c r="E61" s="150">
        <v>9.8095238095238102</v>
      </c>
      <c r="F61" s="151">
        <v>1071</v>
      </c>
      <c r="G61" s="150">
        <v>0.52713334560394287</v>
      </c>
    </row>
    <row r="62" spans="1:7" x14ac:dyDescent="0.25">
      <c r="A62" s="148" t="s">
        <v>1</v>
      </c>
      <c r="B62" s="149">
        <v>41967</v>
      </c>
      <c r="C62" s="150">
        <v>94.700895734088064</v>
      </c>
      <c r="D62" s="150">
        <v>0</v>
      </c>
      <c r="E62" s="150">
        <v>0</v>
      </c>
      <c r="F62" s="151">
        <v>1072</v>
      </c>
      <c r="G62" s="150">
        <v>0.52713334560394287</v>
      </c>
    </row>
    <row r="63" spans="1:7" x14ac:dyDescent="0.25">
      <c r="A63" s="148" t="s">
        <v>1</v>
      </c>
      <c r="B63" s="149">
        <v>41969</v>
      </c>
      <c r="C63" s="150">
        <v>338.05781867537155</v>
      </c>
      <c r="D63" s="150">
        <v>3634.1215507602442</v>
      </c>
      <c r="E63" s="150">
        <v>10.75</v>
      </c>
      <c r="F63" s="151">
        <v>1074</v>
      </c>
      <c r="G63" s="150">
        <v>0.51555001735687256</v>
      </c>
    </row>
    <row r="65" spans="1:7" x14ac:dyDescent="0.25">
      <c r="A65" s="147" t="s">
        <v>9</v>
      </c>
      <c r="B65" s="147" t="s">
        <v>8</v>
      </c>
      <c r="C65" s="147" t="s">
        <v>30</v>
      </c>
      <c r="D65" s="147" t="s">
        <v>31</v>
      </c>
      <c r="E65" s="147" t="s">
        <v>10</v>
      </c>
      <c r="F65" s="147" t="s">
        <v>38</v>
      </c>
      <c r="G65" s="147" t="s">
        <v>52</v>
      </c>
    </row>
    <row r="66" spans="1:7" x14ac:dyDescent="0.25">
      <c r="A66" s="148" t="s">
        <v>2</v>
      </c>
      <c r="B66" s="149">
        <v>41979</v>
      </c>
      <c r="C66" s="150">
        <v>1191.6818844214458</v>
      </c>
      <c r="D66" s="150">
        <v>15362.333857867772</v>
      </c>
      <c r="E66" s="150">
        <v>12.891304347826088</v>
      </c>
      <c r="F66" s="151">
        <v>1078</v>
      </c>
      <c r="G66" s="150">
        <v>0.50836664438247681</v>
      </c>
    </row>
    <row r="67" spans="1:7" x14ac:dyDescent="0.25">
      <c r="A67" s="148" t="s">
        <v>53</v>
      </c>
      <c r="B67" s="149">
        <v>41976</v>
      </c>
      <c r="C67" s="150">
        <v>824.28294978860936</v>
      </c>
      <c r="D67" s="150">
        <v>12364.244246829141</v>
      </c>
      <c r="E67" s="150">
        <v>15</v>
      </c>
      <c r="F67" s="151">
        <v>1088</v>
      </c>
      <c r="G67" s="150">
        <v>0.50872498750686646</v>
      </c>
    </row>
    <row r="68" spans="1:7" x14ac:dyDescent="0.25">
      <c r="A68" s="148" t="s">
        <v>53</v>
      </c>
      <c r="B68" s="149">
        <v>41977</v>
      </c>
      <c r="C68" s="150">
        <v>830.18445556892209</v>
      </c>
      <c r="D68" s="150">
        <v>12452.766833533831</v>
      </c>
      <c r="E68" s="150">
        <v>15</v>
      </c>
      <c r="F68" s="151">
        <v>1082</v>
      </c>
      <c r="G68" s="150">
        <v>0.59986668825149536</v>
      </c>
    </row>
    <row r="69" spans="1:7" x14ac:dyDescent="0.25">
      <c r="A69" s="148" t="s">
        <v>53</v>
      </c>
      <c r="B69" s="149">
        <v>41978</v>
      </c>
      <c r="C69" s="150">
        <v>846.04719266152802</v>
      </c>
      <c r="D69" s="150">
        <v>12690.70788992292</v>
      </c>
      <c r="E69" s="150">
        <v>15</v>
      </c>
      <c r="F69" s="151">
        <v>1083</v>
      </c>
      <c r="G69" s="150">
        <v>0.64889997243881226</v>
      </c>
    </row>
    <row r="70" spans="1:7" x14ac:dyDescent="0.25">
      <c r="A70" s="148" t="s">
        <v>53</v>
      </c>
      <c r="B70" s="149">
        <v>41979</v>
      </c>
      <c r="C70" s="150">
        <v>1083.2473098560615</v>
      </c>
      <c r="D70" s="150">
        <v>15925.352241913741</v>
      </c>
      <c r="E70" s="150">
        <v>14.701492537313433</v>
      </c>
      <c r="F70" s="151">
        <v>1084</v>
      </c>
      <c r="G70" s="150">
        <v>0.72675001621246338</v>
      </c>
    </row>
    <row r="71" spans="1:7" x14ac:dyDescent="0.25">
      <c r="A71" s="148" t="s">
        <v>53</v>
      </c>
      <c r="B71" s="149">
        <v>41980</v>
      </c>
      <c r="C71" s="150">
        <v>70.175437031005572</v>
      </c>
      <c r="D71" s="150">
        <v>1052.6315554650837</v>
      </c>
      <c r="E71" s="150">
        <v>15</v>
      </c>
      <c r="F71" s="151">
        <v>1085</v>
      </c>
      <c r="G71" s="150">
        <v>0.72675001621246338</v>
      </c>
    </row>
    <row r="72" spans="1:7" x14ac:dyDescent="0.25">
      <c r="A72" s="148" t="s">
        <v>3</v>
      </c>
      <c r="B72" s="149">
        <v>41978</v>
      </c>
      <c r="C72" s="150">
        <v>961.20237631072666</v>
      </c>
      <c r="D72" s="150">
        <v>14418.0356446609</v>
      </c>
      <c r="E72" s="150">
        <v>15</v>
      </c>
      <c r="F72" s="151">
        <v>1079</v>
      </c>
      <c r="G72" s="150">
        <v>0.57220000028610229</v>
      </c>
    </row>
    <row r="73" spans="1:7" x14ac:dyDescent="0.25">
      <c r="A73" s="148" t="s">
        <v>3</v>
      </c>
      <c r="B73" s="149">
        <v>41979</v>
      </c>
      <c r="C73" s="150">
        <v>1410.4645974603841</v>
      </c>
      <c r="D73" s="150">
        <v>20966.365637924631</v>
      </c>
      <c r="E73" s="150">
        <v>14.864864864864865</v>
      </c>
      <c r="F73" s="151">
        <v>1080</v>
      </c>
      <c r="G73" s="150">
        <v>0.54605001211166382</v>
      </c>
    </row>
    <row r="74" spans="1:7" x14ac:dyDescent="0.25">
      <c r="A74" s="148" t="s">
        <v>3</v>
      </c>
      <c r="B74" s="149">
        <v>41980</v>
      </c>
      <c r="C74" s="150">
        <v>347.3404756633463</v>
      </c>
      <c r="D74" s="150">
        <v>5210.1071349501954</v>
      </c>
      <c r="E74" s="150">
        <v>15</v>
      </c>
      <c r="F74" s="151">
        <v>1081</v>
      </c>
      <c r="G74" s="150">
        <v>0.5812000036239624</v>
      </c>
    </row>
    <row r="75" spans="1:7" x14ac:dyDescent="0.25">
      <c r="A75" s="148" t="s">
        <v>1</v>
      </c>
      <c r="B75" s="149">
        <v>41976</v>
      </c>
      <c r="C75" s="150">
        <v>674.07271093631368</v>
      </c>
      <c r="D75" s="150">
        <v>10111.090664044705</v>
      </c>
      <c r="E75" s="150">
        <v>15</v>
      </c>
      <c r="F75" s="151">
        <v>1086</v>
      </c>
      <c r="G75" s="150">
        <v>0.53109997510910034</v>
      </c>
    </row>
    <row r="76" spans="1:7" x14ac:dyDescent="0.25">
      <c r="A76" s="148" t="s">
        <v>1</v>
      </c>
      <c r="B76" s="149">
        <v>41977</v>
      </c>
      <c r="C76" s="150">
        <v>609.55989169725603</v>
      </c>
      <c r="D76" s="150">
        <v>9075.6694986035909</v>
      </c>
      <c r="E76" s="150">
        <v>14.888888888888889</v>
      </c>
      <c r="F76" s="151">
        <v>1087</v>
      </c>
      <c r="G76" s="150">
        <v>0.52824997901916504</v>
      </c>
    </row>
    <row r="77" spans="1:7" x14ac:dyDescent="0.25">
      <c r="A77" s="148" t="s">
        <v>1</v>
      </c>
      <c r="B77" s="149">
        <v>41978</v>
      </c>
      <c r="C77" s="150">
        <v>760.7193865793239</v>
      </c>
      <c r="D77" s="150">
        <v>11410.790798689859</v>
      </c>
      <c r="E77" s="150">
        <v>15</v>
      </c>
      <c r="F77" s="151">
        <v>1089</v>
      </c>
      <c r="G77" s="150">
        <v>0.52824997901916504</v>
      </c>
    </row>
    <row r="78" spans="1:7" x14ac:dyDescent="0.25">
      <c r="A78" s="148" t="s">
        <v>1</v>
      </c>
      <c r="B78" s="149">
        <v>41980</v>
      </c>
      <c r="C78" s="150">
        <v>293.76068459717004</v>
      </c>
      <c r="D78" s="150">
        <v>3113.8632567300024</v>
      </c>
      <c r="E78" s="150">
        <v>10.6</v>
      </c>
      <c r="F78" s="151">
        <v>1090</v>
      </c>
      <c r="G78" s="150">
        <v>0.47909998893737793</v>
      </c>
    </row>
    <row r="80" spans="1:7" x14ac:dyDescent="0.25">
      <c r="A80" s="147" t="s">
        <v>9</v>
      </c>
      <c r="B80" s="147" t="s">
        <v>8</v>
      </c>
      <c r="C80" s="147" t="s">
        <v>30</v>
      </c>
      <c r="D80" s="147" t="s">
        <v>31</v>
      </c>
      <c r="E80" s="147" t="s">
        <v>10</v>
      </c>
      <c r="F80" s="147" t="s">
        <v>38</v>
      </c>
      <c r="G80" s="147" t="s">
        <v>52</v>
      </c>
    </row>
    <row r="81" spans="1:7" x14ac:dyDescent="0.25">
      <c r="A81" s="148" t="s">
        <v>2</v>
      </c>
      <c r="B81" s="149">
        <v>41993</v>
      </c>
      <c r="C81" s="150">
        <v>781.84675942100864</v>
      </c>
      <c r="D81" s="150">
        <v>68.986478772441941</v>
      </c>
      <c r="E81" s="150">
        <v>8.8235294117647065E-2</v>
      </c>
      <c r="F81" s="151">
        <v>1091</v>
      </c>
      <c r="G81" s="150">
        <v>0.44510000944137573</v>
      </c>
    </row>
    <row r="82" spans="1:7" x14ac:dyDescent="0.25">
      <c r="A82" s="148" t="s">
        <v>53</v>
      </c>
      <c r="B82" s="149">
        <v>41995</v>
      </c>
      <c r="C82" s="150">
        <v>633.49119806581325</v>
      </c>
      <c r="D82" s="150">
        <v>8907.2701788647682</v>
      </c>
      <c r="E82" s="150">
        <v>14.060606060606061</v>
      </c>
      <c r="F82" s="151">
        <v>1096</v>
      </c>
      <c r="G82" s="150">
        <v>0.70696663856506348</v>
      </c>
    </row>
    <row r="83" spans="1:7" x14ac:dyDescent="0.25">
      <c r="A83" s="148" t="s">
        <v>3</v>
      </c>
      <c r="B83" s="149">
        <v>41992</v>
      </c>
      <c r="C83" s="150">
        <v>909.71745179664254</v>
      </c>
      <c r="D83" s="150">
        <v>5939.9198323192541</v>
      </c>
      <c r="E83" s="150">
        <v>6.5294117647058822</v>
      </c>
      <c r="F83" s="151">
        <v>1092</v>
      </c>
      <c r="G83" s="150">
        <v>0.50784999132156372</v>
      </c>
    </row>
    <row r="84" spans="1:7" x14ac:dyDescent="0.25">
      <c r="A84" s="148" t="s">
        <v>3</v>
      </c>
      <c r="B84" s="149">
        <v>41993</v>
      </c>
      <c r="C84" s="150">
        <v>454.43395749698209</v>
      </c>
      <c r="D84" s="150">
        <v>0</v>
      </c>
      <c r="E84" s="150">
        <v>0</v>
      </c>
      <c r="F84" s="151">
        <v>1093</v>
      </c>
      <c r="G84" s="150">
        <v>0.5435333251953125</v>
      </c>
    </row>
    <row r="85" spans="1:7" x14ac:dyDescent="0.25">
      <c r="A85" s="148" t="s">
        <v>1</v>
      </c>
      <c r="B85" s="149">
        <v>41992</v>
      </c>
      <c r="C85" s="150">
        <v>550.46402318002265</v>
      </c>
      <c r="D85" s="150">
        <v>3878.2692542228874</v>
      </c>
      <c r="E85" s="150">
        <v>7.0454545454545459</v>
      </c>
      <c r="F85" s="151">
        <v>1094</v>
      </c>
      <c r="G85" s="150">
        <v>0.52824997901916504</v>
      </c>
    </row>
    <row r="86" spans="1:7" x14ac:dyDescent="0.25">
      <c r="A86" s="148" t="s">
        <v>1</v>
      </c>
      <c r="B86" s="149">
        <v>41995</v>
      </c>
      <c r="C86" s="150">
        <v>737.87682546183703</v>
      </c>
      <c r="D86" s="150">
        <v>9386.4796169215078</v>
      </c>
      <c r="E86" s="150">
        <v>12.720930232558139</v>
      </c>
      <c r="F86" s="151">
        <v>1095</v>
      </c>
      <c r="G86" s="150">
        <v>0.53109997510910034</v>
      </c>
    </row>
    <row r="87" spans="1:7" x14ac:dyDescent="0.25">
      <c r="A87" s="148" t="s">
        <v>1</v>
      </c>
      <c r="B87" s="149">
        <v>41996</v>
      </c>
      <c r="C87" s="150">
        <v>275.19083600751952</v>
      </c>
      <c r="D87" s="150">
        <v>2520.168708700442</v>
      </c>
      <c r="E87" s="150">
        <v>9.1578947368421044</v>
      </c>
      <c r="F87" s="151">
        <v>1097</v>
      </c>
      <c r="G87" s="150">
        <v>0.53109997510910034</v>
      </c>
    </row>
    <row r="89" spans="1:7" x14ac:dyDescent="0.25">
      <c r="A89" s="147" t="s">
        <v>9</v>
      </c>
      <c r="B89" s="147" t="s">
        <v>8</v>
      </c>
      <c r="C89" s="147" t="s">
        <v>30</v>
      </c>
      <c r="D89" s="147" t="s">
        <v>31</v>
      </c>
      <c r="E89" s="147" t="s">
        <v>10</v>
      </c>
      <c r="F89" s="147" t="s">
        <v>38</v>
      </c>
      <c r="G89" s="147" t="s">
        <v>52</v>
      </c>
    </row>
    <row r="90" spans="1:7" x14ac:dyDescent="0.25">
      <c r="A90" s="148" t="s">
        <v>2</v>
      </c>
      <c r="B90" s="149">
        <v>42004</v>
      </c>
      <c r="C90" s="150">
        <v>2956.2947549713276</v>
      </c>
      <c r="D90" s="150">
        <v>44344.421324569907</v>
      </c>
      <c r="E90" s="150">
        <v>15</v>
      </c>
      <c r="F90" s="151">
        <v>1101</v>
      </c>
      <c r="G90" s="150">
        <v>0.48506665229797363</v>
      </c>
    </row>
    <row r="91" spans="1:7" x14ac:dyDescent="0.25">
      <c r="A91" s="148" t="s">
        <v>2</v>
      </c>
      <c r="B91" s="149">
        <v>42005</v>
      </c>
      <c r="C91" s="150">
        <v>3455.8474017668996</v>
      </c>
      <c r="D91" s="150">
        <v>51837.711026503501</v>
      </c>
      <c r="E91" s="150">
        <v>15</v>
      </c>
      <c r="F91" s="151">
        <v>1102</v>
      </c>
      <c r="G91" s="150">
        <v>0.49166667461395264</v>
      </c>
    </row>
    <row r="92" spans="1:7" x14ac:dyDescent="0.25">
      <c r="A92" s="148" t="s">
        <v>2</v>
      </c>
      <c r="B92" s="149">
        <v>42006</v>
      </c>
      <c r="C92" s="150">
        <v>2410.8541485573114</v>
      </c>
      <c r="D92" s="150">
        <v>33253.16066975602</v>
      </c>
      <c r="E92" s="150">
        <v>13.793103448275861</v>
      </c>
      <c r="F92" s="151">
        <v>1103</v>
      </c>
      <c r="G92" s="150">
        <v>0.46129998564720154</v>
      </c>
    </row>
    <row r="93" spans="1:7" x14ac:dyDescent="0.25">
      <c r="A93" s="148" t="s">
        <v>2</v>
      </c>
      <c r="B93" s="149">
        <v>42007</v>
      </c>
      <c r="C93" s="150">
        <v>3146.092369996888</v>
      </c>
      <c r="D93" s="150">
        <v>47280.007870234927</v>
      </c>
      <c r="E93" s="150">
        <v>15.028169014084508</v>
      </c>
      <c r="F93" s="151">
        <v>1104</v>
      </c>
      <c r="G93" s="150">
        <v>0.50836664438247681</v>
      </c>
    </row>
    <row r="94" spans="1:7" x14ac:dyDescent="0.25">
      <c r="A94" s="148" t="s">
        <v>53</v>
      </c>
      <c r="B94" s="149">
        <v>42005</v>
      </c>
      <c r="C94" s="150">
        <v>3826.3357200298424</v>
      </c>
      <c r="D94" s="150">
        <v>57295.218346881637</v>
      </c>
      <c r="E94" s="150">
        <v>14.973913043478261</v>
      </c>
      <c r="F94" s="151">
        <v>1111</v>
      </c>
      <c r="G94" s="150">
        <v>0.71276664733886719</v>
      </c>
    </row>
    <row r="95" spans="1:7" x14ac:dyDescent="0.25">
      <c r="A95" s="148" t="s">
        <v>53</v>
      </c>
      <c r="B95" s="149">
        <v>42006</v>
      </c>
      <c r="C95" s="150">
        <v>2940.3607351515398</v>
      </c>
      <c r="D95" s="150">
        <v>44105.41102727309</v>
      </c>
      <c r="E95" s="150">
        <v>15</v>
      </c>
      <c r="F95" s="151">
        <v>1112</v>
      </c>
      <c r="G95" s="150">
        <v>0.64889997243881226</v>
      </c>
    </row>
    <row r="96" spans="1:7" x14ac:dyDescent="0.25">
      <c r="A96" s="148" t="s">
        <v>53</v>
      </c>
      <c r="B96" s="149">
        <v>42007</v>
      </c>
      <c r="C96" s="150">
        <v>5795.5223384893889</v>
      </c>
      <c r="D96" s="150">
        <v>53497.129278363587</v>
      </c>
      <c r="E96" s="150">
        <v>9.2307692307692299</v>
      </c>
      <c r="F96" s="151">
        <v>1113</v>
      </c>
      <c r="G96" s="150">
        <v>0.64889997243881226</v>
      </c>
    </row>
    <row r="97" spans="1:7" x14ac:dyDescent="0.25">
      <c r="A97" s="148" t="s">
        <v>53</v>
      </c>
      <c r="B97" s="149">
        <v>42008</v>
      </c>
      <c r="C97" s="150">
        <v>154.10095679897265</v>
      </c>
      <c r="D97" s="150">
        <v>616.40382719589059</v>
      </c>
      <c r="E97" s="150">
        <v>4</v>
      </c>
      <c r="F97" s="151">
        <v>1114</v>
      </c>
      <c r="G97" s="150">
        <v>0.69435000419616699</v>
      </c>
    </row>
    <row r="98" spans="1:7" x14ac:dyDescent="0.25">
      <c r="A98" s="148" t="s">
        <v>53</v>
      </c>
      <c r="B98" s="149">
        <v>42009</v>
      </c>
      <c r="C98" s="150">
        <v>18.722546153146208</v>
      </c>
      <c r="D98" s="150">
        <v>0</v>
      </c>
      <c r="E98" s="150">
        <v>0</v>
      </c>
      <c r="F98" s="151">
        <v>1115</v>
      </c>
      <c r="G98" s="150">
        <v>0.69435000419616699</v>
      </c>
    </row>
    <row r="99" spans="1:7" x14ac:dyDescent="0.25">
      <c r="A99" s="148" t="s">
        <v>53</v>
      </c>
      <c r="B99" s="149">
        <v>42011</v>
      </c>
      <c r="C99" s="150">
        <v>103.19917210441996</v>
      </c>
      <c r="D99" s="150">
        <v>1547.9875815662995</v>
      </c>
      <c r="E99" s="150">
        <v>15</v>
      </c>
      <c r="F99" s="151">
        <v>1116</v>
      </c>
      <c r="G99" s="150">
        <v>0.72675001621246338</v>
      </c>
    </row>
    <row r="100" spans="1:7" x14ac:dyDescent="0.25">
      <c r="A100" s="148" t="s">
        <v>3</v>
      </c>
      <c r="B100" s="149">
        <v>42004</v>
      </c>
      <c r="C100" s="150">
        <v>1992.3103799895064</v>
      </c>
      <c r="D100" s="150">
        <v>29884.655699842595</v>
      </c>
      <c r="E100" s="150">
        <v>15</v>
      </c>
      <c r="F100" s="151">
        <v>1098</v>
      </c>
      <c r="G100" s="150">
        <v>0.57220000028610229</v>
      </c>
    </row>
    <row r="101" spans="1:7" x14ac:dyDescent="0.25">
      <c r="A101" s="148" t="s">
        <v>3</v>
      </c>
      <c r="B101" s="149">
        <v>42005</v>
      </c>
      <c r="C101" s="150">
        <v>2947.4411495022296</v>
      </c>
      <c r="D101" s="150">
        <v>44211.617242533437</v>
      </c>
      <c r="E101" s="150">
        <v>15</v>
      </c>
      <c r="F101" s="151">
        <v>1099</v>
      </c>
      <c r="G101" s="150">
        <v>0.57266664505004883</v>
      </c>
    </row>
    <row r="102" spans="1:7" x14ac:dyDescent="0.25">
      <c r="A102" s="148" t="s">
        <v>3</v>
      </c>
      <c r="B102" s="149">
        <v>42006</v>
      </c>
      <c r="C102" s="150">
        <v>1198.2597506643551</v>
      </c>
      <c r="D102" s="150">
        <v>17958.533955469629</v>
      </c>
      <c r="E102" s="150">
        <v>14.987179487179487</v>
      </c>
      <c r="F102" s="151">
        <v>1100</v>
      </c>
      <c r="G102" s="150">
        <v>0.5812000036239624</v>
      </c>
    </row>
    <row r="103" spans="1:7" x14ac:dyDescent="0.25">
      <c r="A103" s="148" t="s">
        <v>3</v>
      </c>
      <c r="B103" s="149">
        <v>42007</v>
      </c>
      <c r="C103" s="150">
        <v>1581.3260055603935</v>
      </c>
      <c r="D103" s="150">
        <v>23688.88369114001</v>
      </c>
      <c r="E103" s="150">
        <v>14.980392156862745</v>
      </c>
      <c r="F103" s="151">
        <v>1105</v>
      </c>
      <c r="G103" s="150">
        <v>0.56029999256134033</v>
      </c>
    </row>
    <row r="104" spans="1:7" x14ac:dyDescent="0.25">
      <c r="A104" s="148" t="s">
        <v>3</v>
      </c>
      <c r="B104" s="149">
        <v>42008</v>
      </c>
      <c r="C104" s="150">
        <v>97.88867042751744</v>
      </c>
      <c r="D104" s="150">
        <v>391.55468171006976</v>
      </c>
      <c r="E104" s="150">
        <v>4</v>
      </c>
      <c r="F104" s="151">
        <v>1106</v>
      </c>
      <c r="G104" s="150">
        <v>0.52100002765655518</v>
      </c>
    </row>
    <row r="105" spans="1:7" x14ac:dyDescent="0.25">
      <c r="A105" s="148" t="s">
        <v>1</v>
      </c>
      <c r="B105" s="149">
        <v>42004</v>
      </c>
      <c r="C105" s="150">
        <v>2069.6049382716051</v>
      </c>
      <c r="D105" s="150">
        <v>30310.543209876541</v>
      </c>
      <c r="E105" s="150">
        <v>14.645569620253164</v>
      </c>
      <c r="F105" s="151">
        <v>1118</v>
      </c>
      <c r="G105" s="150">
        <v>0.5</v>
      </c>
    </row>
    <row r="106" spans="1:7" x14ac:dyDescent="0.25">
      <c r="A106" s="148" t="s">
        <v>1</v>
      </c>
      <c r="B106" s="149">
        <v>42005</v>
      </c>
      <c r="C106" s="150">
        <v>2197.8904206722964</v>
      </c>
      <c r="D106" s="150">
        <v>32968.356310084448</v>
      </c>
      <c r="E106" s="150">
        <v>15</v>
      </c>
      <c r="F106" s="151">
        <v>1119</v>
      </c>
      <c r="G106" s="150">
        <v>0.49849998950958252</v>
      </c>
    </row>
    <row r="107" spans="1:7" x14ac:dyDescent="0.25">
      <c r="A107" s="148" t="s">
        <v>1</v>
      </c>
      <c r="B107" s="149">
        <v>42006</v>
      </c>
      <c r="C107" s="150">
        <v>2043.1925436231891</v>
      </c>
      <c r="D107" s="150">
        <v>30647.888154347838</v>
      </c>
      <c r="E107" s="150">
        <v>15</v>
      </c>
      <c r="F107" s="151">
        <v>1107</v>
      </c>
      <c r="G107" s="150">
        <v>0.51243335008621216</v>
      </c>
    </row>
    <row r="108" spans="1:7" x14ac:dyDescent="0.25">
      <c r="A108" s="148" t="s">
        <v>1</v>
      </c>
      <c r="B108" s="149">
        <v>42007</v>
      </c>
      <c r="C108" s="150">
        <v>1791.1228595464288</v>
      </c>
      <c r="D108" s="150">
        <v>25908.800433439043</v>
      </c>
      <c r="E108" s="150">
        <v>14.465116279069768</v>
      </c>
      <c r="F108" s="151">
        <v>1108</v>
      </c>
      <c r="G108" s="150">
        <v>0.53109997510910034</v>
      </c>
    </row>
    <row r="109" spans="1:7" x14ac:dyDescent="0.25">
      <c r="A109" s="148" t="s">
        <v>1</v>
      </c>
      <c r="B109" s="149">
        <v>42008</v>
      </c>
      <c r="C109" s="150">
        <v>65.748279539445562</v>
      </c>
      <c r="D109" s="150">
        <v>547.90232949537983</v>
      </c>
      <c r="E109" s="150">
        <v>8.3333333333333339</v>
      </c>
      <c r="F109" s="151">
        <v>1109</v>
      </c>
      <c r="G109" s="150">
        <v>0.47909998893737793</v>
      </c>
    </row>
    <row r="110" spans="1:7" x14ac:dyDescent="0.25">
      <c r="A110" s="148" t="s">
        <v>1</v>
      </c>
      <c r="B110" s="149">
        <v>42010</v>
      </c>
      <c r="C110" s="150">
        <v>176.12046519770087</v>
      </c>
      <c r="D110" s="150">
        <v>2224.6795603920114</v>
      </c>
      <c r="E110" s="150">
        <v>12.631578947368421</v>
      </c>
      <c r="F110" s="151">
        <v>1110</v>
      </c>
      <c r="G110" s="150">
        <v>0.51243335008621216</v>
      </c>
    </row>
    <row r="111" spans="1:7" x14ac:dyDescent="0.25">
      <c r="A111" s="148" t="s">
        <v>1</v>
      </c>
      <c r="B111" s="149">
        <v>42011</v>
      </c>
      <c r="C111" s="150">
        <v>121.52753577442003</v>
      </c>
      <c r="D111" s="150">
        <v>1503.9032552084479</v>
      </c>
      <c r="E111" s="150">
        <v>12.375</v>
      </c>
      <c r="F111" s="151">
        <v>1117</v>
      </c>
      <c r="G111" s="150">
        <v>0.47396665811538696</v>
      </c>
    </row>
    <row r="113" spans="1:7" x14ac:dyDescent="0.25">
      <c r="A113" s="157" t="s">
        <v>9</v>
      </c>
      <c r="B113" s="157" t="s">
        <v>8</v>
      </c>
      <c r="C113" s="157" t="s">
        <v>30</v>
      </c>
      <c r="D113" s="157" t="s">
        <v>31</v>
      </c>
      <c r="E113" s="157" t="s">
        <v>10</v>
      </c>
      <c r="F113" s="157" t="s">
        <v>38</v>
      </c>
      <c r="G113" s="157" t="s">
        <v>52</v>
      </c>
    </row>
    <row r="114" spans="1:7" x14ac:dyDescent="0.25">
      <c r="A114" s="158" t="s">
        <v>2</v>
      </c>
      <c r="B114" s="159">
        <v>42021</v>
      </c>
      <c r="C114" s="160">
        <v>1990.4826704758302</v>
      </c>
      <c r="D114" s="160">
        <v>23136.129741245037</v>
      </c>
      <c r="E114" s="160">
        <v>11.623376623376624</v>
      </c>
      <c r="F114" s="161">
        <v>1125</v>
      </c>
      <c r="G114" s="160">
        <v>0.44510000944137573</v>
      </c>
    </row>
    <row r="115" spans="1:7" x14ac:dyDescent="0.25">
      <c r="A115" s="158" t="s">
        <v>2</v>
      </c>
      <c r="B115" s="159">
        <v>42028</v>
      </c>
      <c r="C115" s="160">
        <v>413.86003226044198</v>
      </c>
      <c r="D115" s="160">
        <v>6207.9004839066311</v>
      </c>
      <c r="E115" s="160">
        <v>15</v>
      </c>
      <c r="F115" s="161">
        <v>1135</v>
      </c>
      <c r="G115" s="160">
        <v>0.51515001058578491</v>
      </c>
    </row>
    <row r="116" spans="1:7" x14ac:dyDescent="0.25">
      <c r="A116" s="158" t="s">
        <v>53</v>
      </c>
      <c r="B116" s="159">
        <v>42021</v>
      </c>
      <c r="C116" s="160">
        <v>1104.7197383814357</v>
      </c>
      <c r="D116" s="160">
        <v>16325.302800525664</v>
      </c>
      <c r="E116" s="160">
        <v>14.777777777777779</v>
      </c>
      <c r="F116" s="161">
        <v>1126</v>
      </c>
      <c r="G116" s="160">
        <v>0.70696663856506348</v>
      </c>
    </row>
    <row r="117" spans="1:7" x14ac:dyDescent="0.25">
      <c r="A117" s="158" t="s">
        <v>53</v>
      </c>
      <c r="B117" s="159">
        <v>42024</v>
      </c>
      <c r="C117" s="160">
        <v>214.59393730076096</v>
      </c>
      <c r="D117" s="160">
        <v>3075.8464346442406</v>
      </c>
      <c r="E117" s="160">
        <v>14.333333333333334</v>
      </c>
      <c r="F117" s="161">
        <v>1128</v>
      </c>
      <c r="G117" s="160">
        <v>0.64889997243881226</v>
      </c>
    </row>
    <row r="118" spans="1:7" x14ac:dyDescent="0.25">
      <c r="A118" s="158" t="s">
        <v>53</v>
      </c>
      <c r="B118" s="159">
        <v>42025</v>
      </c>
      <c r="C118" s="160">
        <v>455.45234622084007</v>
      </c>
      <c r="D118" s="160">
        <v>6804.1820208143681</v>
      </c>
      <c r="E118" s="160">
        <v>14.939393939393939</v>
      </c>
      <c r="F118" s="161">
        <v>1129</v>
      </c>
      <c r="G118" s="160">
        <v>0.72675001621246338</v>
      </c>
    </row>
    <row r="119" spans="1:7" x14ac:dyDescent="0.25">
      <c r="A119" s="158" t="s">
        <v>53</v>
      </c>
      <c r="B119" s="159">
        <v>42027</v>
      </c>
      <c r="C119" s="160">
        <v>325.55898826541016</v>
      </c>
      <c r="D119" s="160">
        <v>4883.3848239811532</v>
      </c>
      <c r="E119" s="160">
        <v>15</v>
      </c>
      <c r="F119" s="161">
        <v>1136</v>
      </c>
      <c r="G119" s="160">
        <v>0.72675001621246338</v>
      </c>
    </row>
    <row r="120" spans="1:7" x14ac:dyDescent="0.25">
      <c r="A120" s="158" t="s">
        <v>53</v>
      </c>
      <c r="B120" s="159">
        <v>42028</v>
      </c>
      <c r="C120" s="160">
        <v>661.59798876969001</v>
      </c>
      <c r="D120" s="160">
        <v>8078.4596523456903</v>
      </c>
      <c r="E120" s="160">
        <v>12.210526315789474</v>
      </c>
      <c r="F120" s="161">
        <v>1137</v>
      </c>
      <c r="G120" s="160">
        <v>0.50872498750686646</v>
      </c>
    </row>
    <row r="121" spans="1:7" x14ac:dyDescent="0.25">
      <c r="A121" s="158" t="s">
        <v>3</v>
      </c>
      <c r="B121" s="159">
        <v>42021</v>
      </c>
      <c r="C121" s="160">
        <v>1277.5845439849681</v>
      </c>
      <c r="D121" s="160">
        <v>17233.195959975012</v>
      </c>
      <c r="E121" s="160">
        <v>13.488888888888889</v>
      </c>
      <c r="F121" s="161">
        <v>1120</v>
      </c>
      <c r="G121" s="160">
        <v>0.48086667060852051</v>
      </c>
    </row>
    <row r="122" spans="1:7" x14ac:dyDescent="0.25">
      <c r="A122" s="158" t="s">
        <v>3</v>
      </c>
      <c r="B122" s="159">
        <v>42022</v>
      </c>
      <c r="C122" s="160">
        <v>2382.1223015858241</v>
      </c>
      <c r="D122" s="160">
        <v>29732.415393867508</v>
      </c>
      <c r="E122" s="160">
        <v>12.481481481481481</v>
      </c>
      <c r="F122" s="161">
        <v>1121</v>
      </c>
      <c r="G122" s="160">
        <v>0.21367500722408295</v>
      </c>
    </row>
    <row r="123" spans="1:7" x14ac:dyDescent="0.25">
      <c r="A123" s="158" t="s">
        <v>3</v>
      </c>
      <c r="B123" s="159">
        <v>42027</v>
      </c>
      <c r="C123" s="160">
        <v>188.7508998625687</v>
      </c>
      <c r="D123" s="160">
        <v>578.04963082911661</v>
      </c>
      <c r="E123" s="160">
        <v>3.0625</v>
      </c>
      <c r="F123" s="161">
        <v>1131</v>
      </c>
      <c r="G123" s="160">
        <v>0.50784999132156372</v>
      </c>
    </row>
    <row r="124" spans="1:7" x14ac:dyDescent="0.25">
      <c r="A124" s="158" t="s">
        <v>3</v>
      </c>
      <c r="B124" s="159">
        <v>42028</v>
      </c>
      <c r="C124" s="160">
        <v>398.46207599790125</v>
      </c>
      <c r="D124" s="160">
        <v>5976.9311399685184</v>
      </c>
      <c r="E124" s="160">
        <v>15</v>
      </c>
      <c r="F124" s="161">
        <v>1134</v>
      </c>
      <c r="G124" s="160">
        <v>0.57220000028610229</v>
      </c>
    </row>
    <row r="125" spans="1:7" x14ac:dyDescent="0.25">
      <c r="A125" s="158" t="s">
        <v>1</v>
      </c>
      <c r="B125" s="159">
        <v>42021</v>
      </c>
      <c r="C125" s="160">
        <v>1317.3794584553477</v>
      </c>
      <c r="D125" s="160">
        <v>11633.473986974917</v>
      </c>
      <c r="E125" s="160">
        <v>8.8307692307692314</v>
      </c>
      <c r="F125" s="161">
        <v>1122</v>
      </c>
      <c r="G125" s="160">
        <v>0.47396665811538696</v>
      </c>
    </row>
    <row r="126" spans="1:7" x14ac:dyDescent="0.25">
      <c r="A126" s="158" t="s">
        <v>1</v>
      </c>
      <c r="B126" s="159">
        <v>42022</v>
      </c>
      <c r="C126" s="160">
        <v>1060.8259670202838</v>
      </c>
      <c r="D126" s="160">
        <v>15912.389505304254</v>
      </c>
      <c r="E126" s="160">
        <v>15</v>
      </c>
      <c r="F126" s="161">
        <v>1123</v>
      </c>
      <c r="G126" s="160">
        <v>0.37894999980926514</v>
      </c>
    </row>
    <row r="127" spans="1:7" x14ac:dyDescent="0.25">
      <c r="A127" s="158" t="s">
        <v>1</v>
      </c>
      <c r="B127" s="159">
        <v>42023</v>
      </c>
      <c r="C127" s="160">
        <v>2365.6253401524</v>
      </c>
      <c r="D127" s="160">
        <v>35484.380102285999</v>
      </c>
      <c r="E127" s="160">
        <v>15</v>
      </c>
      <c r="F127" s="161">
        <v>1124</v>
      </c>
      <c r="G127" s="160">
        <v>0.52713334560394287</v>
      </c>
    </row>
    <row r="128" spans="1:7" x14ac:dyDescent="0.25">
      <c r="A128" s="158" t="s">
        <v>1</v>
      </c>
      <c r="B128" s="159">
        <v>42025</v>
      </c>
      <c r="C128" s="160">
        <v>568.17317058764479</v>
      </c>
      <c r="D128" s="160">
        <v>8522.5975588146703</v>
      </c>
      <c r="E128" s="160">
        <v>15</v>
      </c>
      <c r="F128" s="161">
        <v>1127</v>
      </c>
      <c r="G128" s="160">
        <v>0.53109997510910034</v>
      </c>
    </row>
    <row r="129" spans="1:7" x14ac:dyDescent="0.25">
      <c r="A129" s="158" t="s">
        <v>1</v>
      </c>
      <c r="B129" s="159">
        <v>42026</v>
      </c>
      <c r="C129" s="160">
        <v>117.6172983876895</v>
      </c>
      <c r="D129" s="160">
        <v>1793.6638004122647</v>
      </c>
      <c r="E129" s="160">
        <v>15.25</v>
      </c>
      <c r="F129" s="161">
        <v>1130</v>
      </c>
      <c r="G129" s="160">
        <v>0.52713334560394287</v>
      </c>
    </row>
    <row r="130" spans="1:7" x14ac:dyDescent="0.25">
      <c r="A130" s="158" t="s">
        <v>1</v>
      </c>
      <c r="B130" s="159">
        <v>42027</v>
      </c>
      <c r="C130" s="160">
        <v>221</v>
      </c>
      <c r="D130" s="160">
        <v>761.22222222222229</v>
      </c>
      <c r="E130" s="160">
        <v>3.4444444444444446</v>
      </c>
      <c r="F130" s="161">
        <v>1132</v>
      </c>
      <c r="G130" s="160">
        <v>0.5</v>
      </c>
    </row>
    <row r="131" spans="1:7" x14ac:dyDescent="0.25">
      <c r="A131" s="158" t="s">
        <v>1</v>
      </c>
      <c r="B131" s="159">
        <v>42028</v>
      </c>
      <c r="C131" s="160">
        <v>319.70479182486315</v>
      </c>
      <c r="D131" s="160">
        <v>1738.3948055476933</v>
      </c>
      <c r="E131" s="160">
        <v>5.4375</v>
      </c>
      <c r="F131" s="161">
        <v>1133</v>
      </c>
      <c r="G131" s="160">
        <v>0.47396665811538696</v>
      </c>
    </row>
    <row r="133" spans="1:7" x14ac:dyDescent="0.25">
      <c r="A133" s="162" t="s">
        <v>9</v>
      </c>
      <c r="B133" s="162" t="s">
        <v>8</v>
      </c>
      <c r="C133" s="162" t="s">
        <v>30</v>
      </c>
      <c r="D133" s="162" t="s">
        <v>31</v>
      </c>
      <c r="E133" s="162" t="s">
        <v>10</v>
      </c>
      <c r="F133" s="162" t="s">
        <v>38</v>
      </c>
      <c r="G133" s="162" t="s">
        <v>52</v>
      </c>
    </row>
    <row r="134" spans="1:7" x14ac:dyDescent="0.25">
      <c r="A134" s="163" t="s">
        <v>2</v>
      </c>
      <c r="B134" s="164">
        <v>42035</v>
      </c>
      <c r="C134" s="165">
        <v>3379.9945470724274</v>
      </c>
      <c r="D134" s="165">
        <v>50699.918206086426</v>
      </c>
      <c r="E134" s="165">
        <v>15</v>
      </c>
      <c r="F134" s="166">
        <v>1140</v>
      </c>
      <c r="G134" s="165">
        <v>0.49390000104904175</v>
      </c>
    </row>
    <row r="135" spans="1:7" x14ac:dyDescent="0.25">
      <c r="A135" s="163" t="s">
        <v>53</v>
      </c>
      <c r="B135" s="164">
        <v>42034</v>
      </c>
      <c r="C135" s="165">
        <v>1919.5353820447194</v>
      </c>
      <c r="D135" s="165">
        <v>27880.080975795863</v>
      </c>
      <c r="E135" s="165">
        <v>14.524390243902438</v>
      </c>
      <c r="F135" s="166">
        <v>1144</v>
      </c>
      <c r="G135" s="165">
        <v>0.45583334565162659</v>
      </c>
    </row>
    <row r="136" spans="1:7" x14ac:dyDescent="0.25">
      <c r="A136" s="163" t="s">
        <v>53</v>
      </c>
      <c r="B136" s="164">
        <v>42035</v>
      </c>
      <c r="C136" s="165">
        <v>4368.932224399694</v>
      </c>
      <c r="D136" s="165">
        <v>65533.983365995409</v>
      </c>
      <c r="E136" s="165">
        <v>15</v>
      </c>
      <c r="F136" s="166">
        <v>1145</v>
      </c>
      <c r="G136" s="165">
        <v>0.64889997243881226</v>
      </c>
    </row>
    <row r="137" spans="1:7" x14ac:dyDescent="0.25">
      <c r="A137" s="163" t="s">
        <v>53</v>
      </c>
      <c r="B137" s="164">
        <v>42038</v>
      </c>
      <c r="C137" s="165">
        <v>332.98932865692836</v>
      </c>
      <c r="D137" s="165">
        <v>4835.0050520985997</v>
      </c>
      <c r="E137" s="165">
        <v>14.52</v>
      </c>
      <c r="F137" s="166">
        <v>1149</v>
      </c>
      <c r="G137" s="165">
        <v>0.72675001621246338</v>
      </c>
    </row>
    <row r="138" spans="1:7" x14ac:dyDescent="0.25">
      <c r="A138" s="163" t="s">
        <v>53</v>
      </c>
      <c r="B138" s="164">
        <v>42039</v>
      </c>
      <c r="C138" s="165">
        <v>139.6989982196294</v>
      </c>
      <c r="D138" s="165">
        <v>2095.4849732944413</v>
      </c>
      <c r="E138" s="165">
        <v>15</v>
      </c>
      <c r="F138" s="166">
        <v>1147</v>
      </c>
      <c r="G138" s="165">
        <v>0.69435000419616699</v>
      </c>
    </row>
    <row r="139" spans="1:7" x14ac:dyDescent="0.25">
      <c r="A139" s="163" t="s">
        <v>3</v>
      </c>
      <c r="B139" s="164">
        <v>42034</v>
      </c>
      <c r="C139" s="165">
        <v>2439.2317143500291</v>
      </c>
      <c r="D139" s="165">
        <v>36714.642872889228</v>
      </c>
      <c r="E139" s="165">
        <v>15.051724137931034</v>
      </c>
      <c r="F139" s="166">
        <v>1138</v>
      </c>
      <c r="G139" s="165">
        <v>0.445333331823349</v>
      </c>
    </row>
    <row r="140" spans="1:7" x14ac:dyDescent="0.25">
      <c r="A140" s="163" t="s">
        <v>3</v>
      </c>
      <c r="B140" s="164">
        <v>42035</v>
      </c>
      <c r="C140" s="165">
        <v>2745.0018809129447</v>
      </c>
      <c r="D140" s="165">
        <v>41175.028213694175</v>
      </c>
      <c r="E140" s="165">
        <v>15</v>
      </c>
      <c r="F140" s="166">
        <v>1139</v>
      </c>
      <c r="G140" s="165">
        <v>0.5435333251953125</v>
      </c>
    </row>
    <row r="141" spans="1:7" x14ac:dyDescent="0.25">
      <c r="A141" s="163" t="s">
        <v>1</v>
      </c>
      <c r="B141" s="164">
        <v>42034</v>
      </c>
      <c r="C141" s="165">
        <v>1115.00241058908</v>
      </c>
      <c r="D141" s="165">
        <v>16725.036158836199</v>
      </c>
      <c r="E141" s="165">
        <v>15</v>
      </c>
      <c r="F141" s="166">
        <v>1146</v>
      </c>
      <c r="G141" s="165">
        <v>0.52824997901916504</v>
      </c>
    </row>
    <row r="142" spans="1:7" x14ac:dyDescent="0.25">
      <c r="A142" s="163" t="s">
        <v>1</v>
      </c>
      <c r="B142" s="164">
        <v>42035</v>
      </c>
      <c r="C142" s="165">
        <v>1927.9376969818907</v>
      </c>
      <c r="D142" s="165">
        <v>15664.493787977863</v>
      </c>
      <c r="E142" s="165">
        <v>8.125</v>
      </c>
      <c r="F142" s="166">
        <v>1141</v>
      </c>
      <c r="G142" s="165">
        <v>0.53324997425079346</v>
      </c>
    </row>
    <row r="143" spans="1:7" x14ac:dyDescent="0.25">
      <c r="A143" s="163" t="s">
        <v>1</v>
      </c>
      <c r="B143" s="164">
        <v>42036</v>
      </c>
      <c r="C143" s="165">
        <v>106.01041594734887</v>
      </c>
      <c r="D143" s="165">
        <v>1590.156239210233</v>
      </c>
      <c r="E143" s="165">
        <v>15</v>
      </c>
      <c r="F143" s="166">
        <v>1142</v>
      </c>
      <c r="G143" s="165">
        <v>0.52824997901916504</v>
      </c>
    </row>
    <row r="144" spans="1:7" x14ac:dyDescent="0.25">
      <c r="A144" s="163" t="s">
        <v>1</v>
      </c>
      <c r="B144" s="164">
        <v>42037</v>
      </c>
      <c r="C144" s="165">
        <v>589.34493617402404</v>
      </c>
      <c r="D144" s="165">
        <v>8813.3856364206331</v>
      </c>
      <c r="E144" s="165">
        <v>14.954545454545455</v>
      </c>
      <c r="F144" s="166">
        <v>1143</v>
      </c>
      <c r="G144" s="165">
        <v>0.51243335008621216</v>
      </c>
    </row>
    <row r="145" spans="1:7" x14ac:dyDescent="0.25">
      <c r="A145" s="163" t="s">
        <v>1</v>
      </c>
      <c r="B145" s="164">
        <v>42039</v>
      </c>
      <c r="C145" s="165">
        <v>297.49577745233955</v>
      </c>
      <c r="D145" s="165">
        <v>3923.2255651527284</v>
      </c>
      <c r="E145" s="165">
        <v>13.1875</v>
      </c>
      <c r="F145" s="166">
        <v>1148</v>
      </c>
      <c r="G145" s="165">
        <v>0.53109997510910034</v>
      </c>
    </row>
    <row r="147" spans="1:7" x14ac:dyDescent="0.25">
      <c r="A147" s="169" t="s">
        <v>9</v>
      </c>
      <c r="B147" s="169" t="s">
        <v>8</v>
      </c>
      <c r="C147" s="169" t="s">
        <v>30</v>
      </c>
      <c r="D147" s="169" t="s">
        <v>31</v>
      </c>
      <c r="E147" s="169" t="s">
        <v>10</v>
      </c>
      <c r="F147" s="169" t="s">
        <v>38</v>
      </c>
      <c r="G147" s="169" t="s">
        <v>52</v>
      </c>
    </row>
    <row r="148" spans="1:7" x14ac:dyDescent="0.25">
      <c r="A148" s="170" t="s">
        <v>2</v>
      </c>
      <c r="B148" s="171">
        <v>42056</v>
      </c>
      <c r="C148" s="172">
        <v>2960.4092193616189</v>
      </c>
      <c r="D148" s="172">
        <v>43528.980003206023</v>
      </c>
      <c r="E148" s="172">
        <v>14.703703703703704</v>
      </c>
      <c r="F148" s="173">
        <v>1152</v>
      </c>
      <c r="G148" s="172">
        <v>0.4825499951839447</v>
      </c>
    </row>
    <row r="149" spans="1:7" x14ac:dyDescent="0.25">
      <c r="A149" s="170" t="s">
        <v>53</v>
      </c>
      <c r="B149" s="171">
        <v>42052</v>
      </c>
      <c r="C149" s="172">
        <v>949.29885369672365</v>
      </c>
      <c r="D149" s="172">
        <v>14239.482805450853</v>
      </c>
      <c r="E149" s="172">
        <v>15</v>
      </c>
      <c r="F149" s="173">
        <v>1156</v>
      </c>
      <c r="G149" s="172">
        <v>0.64889997243881226</v>
      </c>
    </row>
    <row r="150" spans="1:7" x14ac:dyDescent="0.25">
      <c r="A150" s="170" t="s">
        <v>53</v>
      </c>
      <c r="B150" s="171">
        <v>42056</v>
      </c>
      <c r="C150" s="172">
        <v>3160.7749601607184</v>
      </c>
      <c r="D150" s="172">
        <v>47411.624402410773</v>
      </c>
      <c r="E150" s="172">
        <v>15</v>
      </c>
      <c r="F150" s="173">
        <v>1157</v>
      </c>
      <c r="G150" s="172">
        <v>0.67610001564025879</v>
      </c>
    </row>
    <row r="151" spans="1:7" x14ac:dyDescent="0.25">
      <c r="A151" s="170" t="s">
        <v>3</v>
      </c>
      <c r="B151" s="171">
        <v>42055</v>
      </c>
      <c r="C151" s="172">
        <v>1885.4993913937292</v>
      </c>
      <c r="D151" s="172">
        <v>28282.490870905938</v>
      </c>
      <c r="E151" s="172">
        <v>15</v>
      </c>
      <c r="F151" s="173">
        <v>1153</v>
      </c>
      <c r="G151" s="172">
        <v>0.47859999537467957</v>
      </c>
    </row>
    <row r="152" spans="1:7" x14ac:dyDescent="0.25">
      <c r="A152" s="170" t="s">
        <v>3</v>
      </c>
      <c r="B152" s="171">
        <v>42056</v>
      </c>
      <c r="C152" s="172">
        <v>1331.1065472882369</v>
      </c>
      <c r="D152" s="172">
        <v>19966.598209323554</v>
      </c>
      <c r="E152" s="172">
        <v>15</v>
      </c>
      <c r="F152" s="173">
        <v>1154</v>
      </c>
      <c r="G152" s="172">
        <v>0.54605001211166382</v>
      </c>
    </row>
    <row r="153" spans="1:7" x14ac:dyDescent="0.25">
      <c r="A153" s="170" t="s">
        <v>3</v>
      </c>
      <c r="B153" s="171">
        <v>42057</v>
      </c>
      <c r="C153" s="172">
        <v>349.52813684026427</v>
      </c>
      <c r="D153" s="172">
        <v>5242.9220526039644</v>
      </c>
      <c r="E153" s="172">
        <v>15</v>
      </c>
      <c r="F153" s="173">
        <v>1155</v>
      </c>
      <c r="G153" s="172">
        <v>0.57220000028610229</v>
      </c>
    </row>
    <row r="154" spans="1:7" x14ac:dyDescent="0.25">
      <c r="A154" s="170" t="s">
        <v>1</v>
      </c>
      <c r="B154" s="171">
        <v>42050</v>
      </c>
      <c r="C154" s="172">
        <v>6859.7443704820198</v>
      </c>
      <c r="D154" s="172">
        <v>103186.01391091263</v>
      </c>
      <c r="E154" s="172">
        <v>15.04225352112676</v>
      </c>
      <c r="F154" s="173">
        <v>1150</v>
      </c>
      <c r="G154" s="172">
        <v>0.52713334560394287</v>
      </c>
    </row>
    <row r="155" spans="1:7" x14ac:dyDescent="0.25">
      <c r="A155" s="170" t="s">
        <v>1</v>
      </c>
      <c r="B155" s="171">
        <v>42051</v>
      </c>
      <c r="C155" s="172">
        <v>5413.6004737050616</v>
      </c>
      <c r="D155" s="172">
        <v>81204.007105575933</v>
      </c>
      <c r="E155" s="172">
        <v>15</v>
      </c>
      <c r="F155" s="173">
        <v>1151</v>
      </c>
      <c r="G155" s="172">
        <v>0.51555001735687256</v>
      </c>
    </row>
    <row r="156" spans="1:7" x14ac:dyDescent="0.25">
      <c r="A156" s="170" t="s">
        <v>1</v>
      </c>
      <c r="B156" s="171">
        <v>42053</v>
      </c>
      <c r="C156" s="172">
        <v>2251.2132060990657</v>
      </c>
      <c r="D156" s="172">
        <v>33446.596204900408</v>
      </c>
      <c r="E156" s="172">
        <v>14.857142857142858</v>
      </c>
      <c r="F156" s="173">
        <v>1158</v>
      </c>
      <c r="G156" s="172">
        <v>0.47396665811538696</v>
      </c>
    </row>
    <row r="157" spans="1:7" x14ac:dyDescent="0.25">
      <c r="A157" s="170" t="s">
        <v>1</v>
      </c>
      <c r="B157" s="171">
        <v>42055</v>
      </c>
      <c r="C157" s="172">
        <v>1103.2527348163305</v>
      </c>
      <c r="D157" s="172">
        <v>15041.012284662638</v>
      </c>
      <c r="E157" s="172">
        <v>13.633333333333333</v>
      </c>
      <c r="F157" s="173">
        <v>1159</v>
      </c>
      <c r="G157" s="172">
        <v>0.53109997510910034</v>
      </c>
    </row>
    <row r="158" spans="1:7" x14ac:dyDescent="0.25">
      <c r="A158" s="170" t="s">
        <v>1</v>
      </c>
      <c r="B158" s="171">
        <v>42057</v>
      </c>
      <c r="C158" s="172">
        <v>264</v>
      </c>
      <c r="D158" s="172">
        <v>3960</v>
      </c>
      <c r="E158" s="172">
        <v>15</v>
      </c>
      <c r="F158" s="173">
        <v>1160</v>
      </c>
      <c r="G158" s="172">
        <v>0.5</v>
      </c>
    </row>
    <row r="160" spans="1:7" x14ac:dyDescent="0.25">
      <c r="A160" s="176" t="s">
        <v>9</v>
      </c>
      <c r="B160" s="176" t="s">
        <v>8</v>
      </c>
      <c r="C160" s="176" t="s">
        <v>30</v>
      </c>
      <c r="D160" s="176" t="s">
        <v>31</v>
      </c>
      <c r="E160" s="176" t="s">
        <v>10</v>
      </c>
      <c r="F160" s="176" t="s">
        <v>38</v>
      </c>
      <c r="G160" s="176" t="s">
        <v>52</v>
      </c>
    </row>
    <row r="161" spans="1:7" x14ac:dyDescent="0.25">
      <c r="A161" s="177" t="s">
        <v>53</v>
      </c>
      <c r="B161" s="178">
        <v>42065</v>
      </c>
      <c r="C161" s="179">
        <v>950.09190892219726</v>
      </c>
      <c r="D161" s="179">
        <v>14251.378633832961</v>
      </c>
      <c r="E161" s="179">
        <v>15</v>
      </c>
      <c r="F161" s="180">
        <v>1161</v>
      </c>
      <c r="G161" s="179">
        <v>0.47153332829475403</v>
      </c>
    </row>
    <row r="162" spans="1:7" x14ac:dyDescent="0.25">
      <c r="A162" s="177" t="s">
        <v>53</v>
      </c>
      <c r="B162" s="178">
        <v>42066</v>
      </c>
      <c r="C162" s="179">
        <v>800</v>
      </c>
      <c r="D162" s="179">
        <v>12000</v>
      </c>
      <c r="E162" s="179">
        <v>15</v>
      </c>
      <c r="F162" s="180">
        <v>1163</v>
      </c>
      <c r="G162" s="179">
        <v>0.5</v>
      </c>
    </row>
    <row r="163" spans="1:7" x14ac:dyDescent="0.25">
      <c r="A163" s="177" t="s">
        <v>53</v>
      </c>
      <c r="B163" s="178">
        <v>42068</v>
      </c>
      <c r="C163" s="179">
        <v>476.25816386175723</v>
      </c>
      <c r="D163" s="179">
        <v>7143.872457926358</v>
      </c>
      <c r="E163" s="179">
        <v>15</v>
      </c>
      <c r="F163" s="180">
        <v>1165</v>
      </c>
      <c r="G163" s="179">
        <v>0.70340001583099365</v>
      </c>
    </row>
    <row r="164" spans="1:7" x14ac:dyDescent="0.25">
      <c r="A164" s="177" t="s">
        <v>1</v>
      </c>
      <c r="B164" s="178">
        <v>42065</v>
      </c>
      <c r="C164" s="179">
        <v>1273.5892292721044</v>
      </c>
      <c r="D164" s="179">
        <v>19103.838439081566</v>
      </c>
      <c r="E164" s="179">
        <v>15</v>
      </c>
      <c r="F164" s="180">
        <v>1162</v>
      </c>
      <c r="G164" s="179">
        <v>0.52713334560394287</v>
      </c>
    </row>
    <row r="165" spans="1:7" x14ac:dyDescent="0.25">
      <c r="A165" s="177" t="s">
        <v>1</v>
      </c>
      <c r="B165" s="178">
        <v>42067</v>
      </c>
      <c r="C165" s="179">
        <v>1234.7327114918071</v>
      </c>
      <c r="D165" s="179">
        <v>18394.997538551412</v>
      </c>
      <c r="E165" s="179">
        <v>14.897959183673469</v>
      </c>
      <c r="F165" s="180">
        <v>1164</v>
      </c>
      <c r="G165" s="179">
        <v>0.37894999980926514</v>
      </c>
    </row>
    <row r="167" spans="1:7" x14ac:dyDescent="0.25">
      <c r="A167" s="176" t="s">
        <v>9</v>
      </c>
      <c r="B167" s="176" t="s">
        <v>8</v>
      </c>
      <c r="C167" s="176" t="s">
        <v>30</v>
      </c>
      <c r="D167" s="176" t="s">
        <v>31</v>
      </c>
      <c r="E167" s="176" t="s">
        <v>10</v>
      </c>
      <c r="F167" s="176" t="s">
        <v>38</v>
      </c>
      <c r="G167" s="176" t="s">
        <v>52</v>
      </c>
    </row>
    <row r="168" spans="1:7" x14ac:dyDescent="0.25">
      <c r="A168" s="177" t="s">
        <v>2</v>
      </c>
      <c r="B168" s="178">
        <v>42083</v>
      </c>
      <c r="C168" s="179">
        <v>4545.0958092646688</v>
      </c>
      <c r="D168" s="179">
        <v>62814.245453882497</v>
      </c>
      <c r="E168" s="179">
        <v>13.820224719101123</v>
      </c>
      <c r="F168" s="180">
        <v>1169</v>
      </c>
      <c r="G168" s="179">
        <v>0.46129998564720154</v>
      </c>
    </row>
    <row r="169" spans="1:7" x14ac:dyDescent="0.25">
      <c r="A169" s="177" t="s">
        <v>2</v>
      </c>
      <c r="B169" s="178">
        <v>42084</v>
      </c>
      <c r="C169" s="179">
        <v>7523.6934812031277</v>
      </c>
      <c r="D169" s="179">
        <v>104686.82072416926</v>
      </c>
      <c r="E169" s="179">
        <v>13.914285714285715</v>
      </c>
      <c r="F169" s="180">
        <v>1173</v>
      </c>
      <c r="G169" s="179">
        <v>0.47055000066757202</v>
      </c>
    </row>
    <row r="170" spans="1:7" x14ac:dyDescent="0.25">
      <c r="A170" s="177" t="s">
        <v>2</v>
      </c>
      <c r="B170" s="178">
        <v>42085</v>
      </c>
      <c r="C170" s="179">
        <v>4417.4898155849742</v>
      </c>
      <c r="D170" s="179">
        <v>64495.351307540623</v>
      </c>
      <c r="E170" s="179">
        <v>14.6</v>
      </c>
      <c r="F170" s="180">
        <v>1174</v>
      </c>
      <c r="G170" s="179">
        <v>0.59824997186660767</v>
      </c>
    </row>
    <row r="171" spans="1:7" x14ac:dyDescent="0.25">
      <c r="A171" s="177" t="s">
        <v>53</v>
      </c>
      <c r="B171" s="178">
        <v>42080</v>
      </c>
      <c r="C171" s="179">
        <v>867.76174598195257</v>
      </c>
      <c r="D171" s="179">
        <v>13033.441125925014</v>
      </c>
      <c r="E171" s="179">
        <v>15.019607843137255</v>
      </c>
      <c r="F171" s="180">
        <v>1167</v>
      </c>
      <c r="G171" s="179">
        <v>0.60269999504089355</v>
      </c>
    </row>
    <row r="172" spans="1:7" x14ac:dyDescent="0.25">
      <c r="A172" s="177" t="s">
        <v>53</v>
      </c>
      <c r="B172" s="178">
        <v>42082</v>
      </c>
      <c r="C172" s="179">
        <v>1252.9781141934852</v>
      </c>
      <c r="D172" s="179">
        <v>18794.67171290228</v>
      </c>
      <c r="E172" s="179">
        <v>15</v>
      </c>
      <c r="F172" s="180">
        <v>1168</v>
      </c>
      <c r="G172" s="179">
        <v>0.68650001287460327</v>
      </c>
    </row>
    <row r="173" spans="1:7" x14ac:dyDescent="0.25">
      <c r="A173" s="177" t="s">
        <v>53</v>
      </c>
      <c r="B173" s="178">
        <v>42084</v>
      </c>
      <c r="C173" s="179">
        <v>8823.6491531496104</v>
      </c>
      <c r="D173" s="179">
        <v>132354.73729724414</v>
      </c>
      <c r="E173" s="179">
        <v>15</v>
      </c>
      <c r="F173" s="180">
        <v>1178</v>
      </c>
      <c r="G173" s="179">
        <v>0.49219998717308044</v>
      </c>
    </row>
    <row r="174" spans="1:7" x14ac:dyDescent="0.25">
      <c r="A174" s="177" t="s">
        <v>53</v>
      </c>
      <c r="B174" s="178">
        <v>42085</v>
      </c>
      <c r="C174" s="179">
        <v>6761.8563142018938</v>
      </c>
      <c r="D174" s="179">
        <v>101427.8447130284</v>
      </c>
      <c r="E174" s="179">
        <v>15</v>
      </c>
      <c r="F174" s="180">
        <v>1179</v>
      </c>
      <c r="G174" s="179">
        <v>0.58829998970031738</v>
      </c>
    </row>
    <row r="175" spans="1:7" x14ac:dyDescent="0.25">
      <c r="A175" s="177" t="s">
        <v>53</v>
      </c>
      <c r="B175" s="178">
        <v>42087</v>
      </c>
      <c r="C175" s="179">
        <v>2063.3453962759991</v>
      </c>
      <c r="D175" s="179">
        <v>30828.807685535518</v>
      </c>
      <c r="E175" s="179">
        <v>14.941176470588236</v>
      </c>
      <c r="F175" s="180">
        <v>1175</v>
      </c>
      <c r="G175" s="179">
        <v>0.59514999389648438</v>
      </c>
    </row>
    <row r="176" spans="1:7" x14ac:dyDescent="0.25">
      <c r="A176" s="177" t="s">
        <v>3</v>
      </c>
      <c r="B176" s="178">
        <v>42083</v>
      </c>
      <c r="C176" s="179">
        <v>2995.7330013225996</v>
      </c>
      <c r="D176" s="179">
        <v>39011.100861667634</v>
      </c>
      <c r="E176" s="179">
        <v>13.022222222222222</v>
      </c>
      <c r="F176" s="180">
        <v>1170</v>
      </c>
      <c r="G176" s="179">
        <v>0.50784999132156372</v>
      </c>
    </row>
    <row r="177" spans="1:7" x14ac:dyDescent="0.25">
      <c r="A177" s="177" t="s">
        <v>3</v>
      </c>
      <c r="B177" s="178">
        <v>42084</v>
      </c>
      <c r="C177" s="179">
        <v>3139.9977166331578</v>
      </c>
      <c r="D177" s="179">
        <v>47099.965749497365</v>
      </c>
      <c r="E177" s="179">
        <v>15</v>
      </c>
      <c r="F177" s="180">
        <v>1171</v>
      </c>
      <c r="G177" s="179">
        <v>0.53579998016357422</v>
      </c>
    </row>
    <row r="178" spans="1:7" x14ac:dyDescent="0.25">
      <c r="A178" s="177" t="s">
        <v>3</v>
      </c>
      <c r="B178" s="178">
        <v>42085</v>
      </c>
      <c r="C178" s="179">
        <v>3096.8318570683919</v>
      </c>
      <c r="D178" s="179">
        <v>45703.244342219004</v>
      </c>
      <c r="E178" s="179">
        <v>14.758064516129032</v>
      </c>
      <c r="F178" s="180">
        <v>1172</v>
      </c>
      <c r="G178" s="179">
        <v>0.57242500782012939</v>
      </c>
    </row>
    <row r="179" spans="1:7" x14ac:dyDescent="0.25">
      <c r="A179" s="177" t="s">
        <v>1</v>
      </c>
      <c r="B179" s="178">
        <v>42079</v>
      </c>
      <c r="C179" s="179">
        <v>747.50521296568866</v>
      </c>
      <c r="D179" s="179">
        <v>11212.57819448533</v>
      </c>
      <c r="E179" s="179">
        <v>15</v>
      </c>
      <c r="F179" s="180">
        <v>1166</v>
      </c>
      <c r="G179" s="179">
        <v>0.53109997510910034</v>
      </c>
    </row>
    <row r="180" spans="1:7" x14ac:dyDescent="0.25">
      <c r="A180" s="177" t="s">
        <v>1</v>
      </c>
      <c r="B180" s="178">
        <v>42084</v>
      </c>
      <c r="C180" s="179">
        <v>5519.2265447733553</v>
      </c>
      <c r="D180" s="179">
        <v>62080.92414271384</v>
      </c>
      <c r="E180" s="179">
        <v>11.24812030075188</v>
      </c>
      <c r="F180" s="180">
        <v>1176</v>
      </c>
      <c r="G180" s="179">
        <v>0.45509999990463257</v>
      </c>
    </row>
    <row r="181" spans="1:7" x14ac:dyDescent="0.25">
      <c r="A181" s="177" t="s">
        <v>1</v>
      </c>
      <c r="B181" s="178">
        <v>42086</v>
      </c>
      <c r="C181" s="179">
        <v>1150.9333515035767</v>
      </c>
      <c r="D181" s="179">
        <v>13632.607111775123</v>
      </c>
      <c r="E181" s="179">
        <v>11.844827586206897</v>
      </c>
      <c r="F181" s="180">
        <v>1177</v>
      </c>
      <c r="G181" s="179">
        <v>0.48163333535194397</v>
      </c>
    </row>
    <row r="183" spans="1:7" x14ac:dyDescent="0.25">
      <c r="A183" s="176" t="s">
        <v>9</v>
      </c>
      <c r="B183" s="176" t="s">
        <v>8</v>
      </c>
      <c r="C183" s="176" t="s">
        <v>30</v>
      </c>
      <c r="D183" s="176" t="s">
        <v>31</v>
      </c>
      <c r="E183" s="176" t="s">
        <v>10</v>
      </c>
      <c r="F183" s="176" t="s">
        <v>38</v>
      </c>
      <c r="G183" s="176" t="s">
        <v>52</v>
      </c>
    </row>
    <row r="184" spans="1:7" x14ac:dyDescent="0.25">
      <c r="A184" s="177" t="s">
        <v>2</v>
      </c>
      <c r="B184" s="178">
        <v>42098</v>
      </c>
      <c r="C184" s="179">
        <v>2097.0112966547676</v>
      </c>
      <c r="D184" s="179">
        <v>15847.905045210624</v>
      </c>
      <c r="E184" s="179">
        <v>7.557377049180328</v>
      </c>
      <c r="F184" s="180">
        <v>1180</v>
      </c>
      <c r="G184" s="179">
        <v>0.56676667928695679</v>
      </c>
    </row>
    <row r="185" spans="1:7" x14ac:dyDescent="0.25">
      <c r="A185" s="177" t="s">
        <v>2</v>
      </c>
      <c r="B185" s="178">
        <v>42099</v>
      </c>
      <c r="C185" s="179">
        <v>1432.2624288903507</v>
      </c>
      <c r="D185" s="179">
        <v>21534.191255421589</v>
      </c>
      <c r="E185" s="179">
        <v>15.035087719298245</v>
      </c>
      <c r="F185" s="180">
        <v>1181</v>
      </c>
      <c r="G185" s="179">
        <v>0.56676667928695679</v>
      </c>
    </row>
    <row r="186" spans="1:7" x14ac:dyDescent="0.25">
      <c r="A186" s="177" t="s">
        <v>53</v>
      </c>
      <c r="B186" s="178">
        <v>42098</v>
      </c>
      <c r="C186" s="179">
        <v>2086.3991040588476</v>
      </c>
      <c r="D186" s="179">
        <v>31295.986560882717</v>
      </c>
      <c r="E186" s="179">
        <v>15</v>
      </c>
      <c r="F186" s="180">
        <v>1191</v>
      </c>
      <c r="G186" s="179">
        <v>0.58829998970031738</v>
      </c>
    </row>
    <row r="187" spans="1:7" x14ac:dyDescent="0.25">
      <c r="A187" s="177" t="s">
        <v>53</v>
      </c>
      <c r="B187" s="178">
        <v>42100</v>
      </c>
      <c r="C187" s="179">
        <v>197.7150969064881</v>
      </c>
      <c r="D187" s="179">
        <v>2907.5749545071781</v>
      </c>
      <c r="E187" s="179">
        <v>14.705882352941176</v>
      </c>
      <c r="F187" s="180">
        <v>1192</v>
      </c>
      <c r="G187" s="179">
        <v>0.58829998970031738</v>
      </c>
    </row>
    <row r="188" spans="1:7" x14ac:dyDescent="0.25">
      <c r="A188" s="177" t="s">
        <v>53</v>
      </c>
      <c r="B188" s="178">
        <v>42102</v>
      </c>
      <c r="C188" s="179">
        <v>1691.7359333938414</v>
      </c>
      <c r="D188" s="179">
        <v>25080.968779966839</v>
      </c>
      <c r="E188" s="179">
        <v>14.825581395348838</v>
      </c>
      <c r="F188" s="180">
        <v>1193</v>
      </c>
      <c r="G188" s="179">
        <v>0.56510001420974731</v>
      </c>
    </row>
    <row r="189" spans="1:7" x14ac:dyDescent="0.25">
      <c r="A189" s="177" t="s">
        <v>53</v>
      </c>
      <c r="B189" s="178">
        <v>42104</v>
      </c>
      <c r="C189" s="179">
        <v>2145.6775822837549</v>
      </c>
      <c r="D189" s="179">
        <v>30198.425232141733</v>
      </c>
      <c r="E189" s="179">
        <v>14.074074074074074</v>
      </c>
      <c r="F189" s="180">
        <v>1194</v>
      </c>
      <c r="G189" s="179">
        <v>0.59514999389648438</v>
      </c>
    </row>
    <row r="190" spans="1:7" x14ac:dyDescent="0.25">
      <c r="A190" s="177" t="s">
        <v>3</v>
      </c>
      <c r="B190" s="178">
        <v>42098</v>
      </c>
      <c r="C190" s="179">
        <v>1463.0127752944372</v>
      </c>
      <c r="D190" s="179">
        <v>19426.890950631052</v>
      </c>
      <c r="E190" s="179">
        <v>13.278688524590164</v>
      </c>
      <c r="F190" s="180">
        <v>1182</v>
      </c>
      <c r="G190" s="179">
        <v>0.5812000036239624</v>
      </c>
    </row>
    <row r="191" spans="1:7" x14ac:dyDescent="0.25">
      <c r="A191" s="177" t="s">
        <v>3</v>
      </c>
      <c r="B191" s="178">
        <v>42099</v>
      </c>
      <c r="C191" s="179">
        <v>1222.9439015280407</v>
      </c>
      <c r="D191" s="179">
        <v>18124.655771364294</v>
      </c>
      <c r="E191" s="179">
        <v>14.820512820512821</v>
      </c>
      <c r="F191" s="180">
        <v>1183</v>
      </c>
      <c r="G191" s="179">
        <v>0.5812000036239624</v>
      </c>
    </row>
    <row r="192" spans="1:7" x14ac:dyDescent="0.25">
      <c r="A192" s="177" t="s">
        <v>1</v>
      </c>
      <c r="B192" s="178">
        <v>42098</v>
      </c>
      <c r="C192" s="179">
        <v>1469.8445285789205</v>
      </c>
      <c r="D192" s="179">
        <v>19334.108798999645</v>
      </c>
      <c r="E192" s="179">
        <v>13.153846153846153</v>
      </c>
      <c r="F192" s="180">
        <v>1184</v>
      </c>
      <c r="G192" s="179">
        <v>0.49149999022483826</v>
      </c>
    </row>
    <row r="193" spans="1:7" x14ac:dyDescent="0.25">
      <c r="A193" s="177" t="s">
        <v>1</v>
      </c>
      <c r="B193" s="178">
        <v>42099</v>
      </c>
      <c r="C193" s="179">
        <v>826.70516678845479</v>
      </c>
      <c r="D193" s="179">
        <v>12420.260958178927</v>
      </c>
      <c r="E193" s="179">
        <v>15.023809523809524</v>
      </c>
      <c r="F193" s="180">
        <v>1185</v>
      </c>
      <c r="G193" s="179">
        <v>0.49149999022483826</v>
      </c>
    </row>
    <row r="194" spans="1:7" x14ac:dyDescent="0.25">
      <c r="A194" s="177" t="s">
        <v>1</v>
      </c>
      <c r="B194" s="178">
        <v>42100</v>
      </c>
      <c r="C194" s="179">
        <v>743.30403176598782</v>
      </c>
      <c r="D194" s="179">
        <v>9662.9524129578404</v>
      </c>
      <c r="E194" s="179">
        <v>13</v>
      </c>
      <c r="F194" s="180">
        <v>1186</v>
      </c>
      <c r="G194" s="179">
        <v>0.48163333535194397</v>
      </c>
    </row>
    <row r="195" spans="1:7" x14ac:dyDescent="0.25">
      <c r="A195" s="177" t="s">
        <v>1</v>
      </c>
      <c r="B195" s="178">
        <v>42101</v>
      </c>
      <c r="C195" s="179">
        <v>1312.3092834751485</v>
      </c>
      <c r="D195" s="179">
        <v>19684.639252127228</v>
      </c>
      <c r="E195" s="179">
        <v>15</v>
      </c>
      <c r="F195" s="180">
        <v>1187</v>
      </c>
      <c r="G195" s="179">
        <v>0.49149999022483826</v>
      </c>
    </row>
    <row r="196" spans="1:7" x14ac:dyDescent="0.25">
      <c r="A196" s="177" t="s">
        <v>1</v>
      </c>
      <c r="B196" s="178">
        <v>42102</v>
      </c>
      <c r="C196" s="179">
        <v>1556.459847842618</v>
      </c>
      <c r="D196" s="179">
        <v>23108.850917380987</v>
      </c>
      <c r="E196" s="179">
        <v>14.847058823529412</v>
      </c>
      <c r="F196" s="180">
        <v>1188</v>
      </c>
      <c r="G196" s="179">
        <v>0.49149999022483826</v>
      </c>
    </row>
    <row r="197" spans="1:7" x14ac:dyDescent="0.25">
      <c r="A197" s="177" t="s">
        <v>1</v>
      </c>
      <c r="B197" s="178">
        <v>42103</v>
      </c>
      <c r="C197" s="179">
        <v>1712.2074007671445</v>
      </c>
      <c r="D197" s="179">
        <v>25683.111011507168</v>
      </c>
      <c r="E197" s="179">
        <v>15</v>
      </c>
      <c r="F197" s="180">
        <v>1189</v>
      </c>
      <c r="G197" s="179">
        <v>0.47920000553131104</v>
      </c>
    </row>
    <row r="198" spans="1:7" x14ac:dyDescent="0.25">
      <c r="A198" s="177" t="s">
        <v>1</v>
      </c>
      <c r="B198" s="178">
        <v>42104</v>
      </c>
      <c r="C198" s="179">
        <v>1878.6342954692473</v>
      </c>
      <c r="D198" s="179">
        <v>23071.977441231691</v>
      </c>
      <c r="E198" s="179">
        <v>12.28125</v>
      </c>
      <c r="F198" s="180">
        <v>1190</v>
      </c>
      <c r="G198" s="179">
        <v>0.43410000205039978</v>
      </c>
    </row>
    <row r="200" spans="1:7" x14ac:dyDescent="0.25">
      <c r="A200" s="183" t="s">
        <v>9</v>
      </c>
      <c r="B200" s="183" t="s">
        <v>8</v>
      </c>
      <c r="C200" s="183" t="s">
        <v>30</v>
      </c>
      <c r="D200" s="183" t="s">
        <v>31</v>
      </c>
      <c r="E200" s="183" t="s">
        <v>10</v>
      </c>
      <c r="F200" s="183" t="s">
        <v>38</v>
      </c>
      <c r="G200" s="183" t="s">
        <v>52</v>
      </c>
    </row>
    <row r="201" spans="1:7" x14ac:dyDescent="0.25">
      <c r="A201" s="184" t="s">
        <v>2</v>
      </c>
      <c r="B201" s="185">
        <v>42112</v>
      </c>
      <c r="C201" s="186">
        <v>4043.9921466158548</v>
      </c>
      <c r="D201" s="186">
        <v>60659.882199237822</v>
      </c>
      <c r="E201" s="186">
        <v>15</v>
      </c>
      <c r="F201" s="187">
        <v>1195</v>
      </c>
      <c r="G201" s="186">
        <v>0.56676667928695679</v>
      </c>
    </row>
    <row r="202" spans="1:7" x14ac:dyDescent="0.25">
      <c r="A202" s="184" t="s">
        <v>2</v>
      </c>
      <c r="B202" s="185">
        <v>42113</v>
      </c>
      <c r="C202" s="186">
        <v>4225.6487756481865</v>
      </c>
      <c r="D202" s="186">
        <v>63384.731634722804</v>
      </c>
      <c r="E202" s="186">
        <v>15</v>
      </c>
      <c r="F202" s="187">
        <v>1196</v>
      </c>
      <c r="G202" s="186">
        <v>0.55872499942779541</v>
      </c>
    </row>
    <row r="203" spans="1:7" x14ac:dyDescent="0.25">
      <c r="A203" s="184" t="s">
        <v>53</v>
      </c>
      <c r="B203" s="185">
        <v>42111</v>
      </c>
      <c r="C203" s="186">
        <v>1121.1583823496651</v>
      </c>
      <c r="D203" s="186">
        <v>10138.475086104827</v>
      </c>
      <c r="E203" s="186">
        <v>9.0428571428571427</v>
      </c>
      <c r="F203" s="187">
        <v>1209</v>
      </c>
      <c r="G203" s="186">
        <v>0.58829998970031738</v>
      </c>
    </row>
    <row r="204" spans="1:7" x14ac:dyDescent="0.25">
      <c r="A204" s="184" t="s">
        <v>53</v>
      </c>
      <c r="B204" s="185">
        <v>42112</v>
      </c>
      <c r="C204" s="186">
        <v>7778.3445182976029</v>
      </c>
      <c r="D204" s="186">
        <v>116675.16777446405</v>
      </c>
      <c r="E204" s="186">
        <v>15</v>
      </c>
      <c r="F204" s="187">
        <v>1206</v>
      </c>
      <c r="G204" s="186">
        <v>0.58829998970031738</v>
      </c>
    </row>
    <row r="205" spans="1:7" x14ac:dyDescent="0.25">
      <c r="A205" s="184" t="s">
        <v>53</v>
      </c>
      <c r="B205" s="185">
        <v>42113</v>
      </c>
      <c r="C205" s="186">
        <v>10766.61586077295</v>
      </c>
      <c r="D205" s="186">
        <v>161499.23791159422</v>
      </c>
      <c r="E205" s="186">
        <v>15</v>
      </c>
      <c r="F205" s="187">
        <v>1207</v>
      </c>
      <c r="G205" s="186">
        <v>0.58829998970031738</v>
      </c>
    </row>
    <row r="206" spans="1:7" x14ac:dyDescent="0.25">
      <c r="A206" s="184" t="s">
        <v>53</v>
      </c>
      <c r="B206" s="185">
        <v>42114</v>
      </c>
      <c r="C206" s="186">
        <v>4491.3047591577724</v>
      </c>
      <c r="D206" s="186">
        <v>64803.111524990731</v>
      </c>
      <c r="E206" s="186">
        <v>14.428571428571429</v>
      </c>
      <c r="F206" s="187">
        <v>1208</v>
      </c>
      <c r="G206" s="186">
        <v>0.59514999389648438</v>
      </c>
    </row>
    <row r="207" spans="1:7" x14ac:dyDescent="0.25">
      <c r="A207" s="184" t="s">
        <v>53</v>
      </c>
      <c r="B207" s="185">
        <v>42115</v>
      </c>
      <c r="C207" s="186">
        <v>2840.3876070968736</v>
      </c>
      <c r="D207" s="186">
        <v>42605.814106453108</v>
      </c>
      <c r="E207" s="186">
        <v>15</v>
      </c>
      <c r="F207" s="187">
        <v>1210</v>
      </c>
      <c r="G207" s="186">
        <v>0.58829998970031738</v>
      </c>
    </row>
    <row r="208" spans="1:7" x14ac:dyDescent="0.25">
      <c r="A208" s="184" t="s">
        <v>53</v>
      </c>
      <c r="B208" s="185">
        <v>42116</v>
      </c>
      <c r="C208" s="186">
        <v>1572.7127776175366</v>
      </c>
      <c r="D208" s="186">
        <v>23590.691664263049</v>
      </c>
      <c r="E208" s="186">
        <v>15</v>
      </c>
      <c r="F208" s="187">
        <v>1211</v>
      </c>
      <c r="G208" s="186">
        <v>0.59514999389648438</v>
      </c>
    </row>
    <row r="209" spans="1:7" x14ac:dyDescent="0.25">
      <c r="A209" s="184" t="s">
        <v>53</v>
      </c>
      <c r="B209" s="185">
        <v>42117</v>
      </c>
      <c r="C209" s="186">
        <v>1024.9517033618563</v>
      </c>
      <c r="D209" s="186">
        <v>15190.309860080844</v>
      </c>
      <c r="E209" s="186">
        <v>14.820512820512821</v>
      </c>
      <c r="F209" s="187">
        <v>1214</v>
      </c>
      <c r="G209" s="186">
        <v>0.59514999389648438</v>
      </c>
    </row>
    <row r="210" spans="1:7" x14ac:dyDescent="0.25">
      <c r="A210" s="184" t="s">
        <v>53</v>
      </c>
      <c r="B210" s="185">
        <v>42118</v>
      </c>
      <c r="C210" s="186">
        <v>774.91253283857839</v>
      </c>
      <c r="D210" s="186">
        <v>11300.807770562602</v>
      </c>
      <c r="E210" s="186">
        <v>14.583333333333334</v>
      </c>
      <c r="F210" s="187">
        <v>1215</v>
      </c>
      <c r="G210" s="186">
        <v>0.59514999389648438</v>
      </c>
    </row>
    <row r="211" spans="1:7" x14ac:dyDescent="0.25">
      <c r="A211" s="184" t="s">
        <v>3</v>
      </c>
      <c r="B211" s="185">
        <v>42111</v>
      </c>
      <c r="C211" s="186">
        <v>883.12565107172679</v>
      </c>
      <c r="D211" s="186">
        <v>12235.304474848288</v>
      </c>
      <c r="E211" s="186">
        <v>13.854545454545455</v>
      </c>
      <c r="F211" s="187">
        <v>1197</v>
      </c>
      <c r="G211" s="186">
        <v>0.58995002508163452</v>
      </c>
    </row>
    <row r="212" spans="1:7" x14ac:dyDescent="0.25">
      <c r="A212" s="184" t="s">
        <v>3</v>
      </c>
      <c r="B212" s="185">
        <v>42112</v>
      </c>
      <c r="C212" s="186">
        <v>3267.6744699779319</v>
      </c>
      <c r="D212" s="186">
        <v>49015.117049668981</v>
      </c>
      <c r="E212" s="186">
        <v>15</v>
      </c>
      <c r="F212" s="187">
        <v>1198</v>
      </c>
      <c r="G212" s="186">
        <v>0.5812000036239624</v>
      </c>
    </row>
    <row r="213" spans="1:7" x14ac:dyDescent="0.25">
      <c r="A213" s="184" t="s">
        <v>3</v>
      </c>
      <c r="B213" s="185">
        <v>42113</v>
      </c>
      <c r="C213" s="186">
        <v>2651.2018318015253</v>
      </c>
      <c r="D213" s="186">
        <v>39768.027477022879</v>
      </c>
      <c r="E213" s="186">
        <v>15</v>
      </c>
      <c r="F213" s="187">
        <v>1199</v>
      </c>
      <c r="G213" s="186">
        <v>0.53579998016357422</v>
      </c>
    </row>
    <row r="214" spans="1:7" x14ac:dyDescent="0.25">
      <c r="A214" s="184" t="s">
        <v>1</v>
      </c>
      <c r="B214" s="185">
        <v>42111</v>
      </c>
      <c r="C214" s="186">
        <v>756.82383604088102</v>
      </c>
      <c r="D214" s="186">
        <v>7631.3070134122154</v>
      </c>
      <c r="E214" s="186">
        <v>10.083333333333334</v>
      </c>
      <c r="F214" s="187">
        <v>1200</v>
      </c>
      <c r="G214" s="186">
        <v>0.48359999060630798</v>
      </c>
    </row>
    <row r="215" spans="1:7" x14ac:dyDescent="0.25">
      <c r="A215" s="184" t="s">
        <v>1</v>
      </c>
      <c r="B215" s="185">
        <v>42112</v>
      </c>
      <c r="C215" s="186">
        <v>3217.6610856765419</v>
      </c>
      <c r="D215" s="186">
        <v>47302.935135822147</v>
      </c>
      <c r="E215" s="186">
        <v>14.701030927835051</v>
      </c>
      <c r="F215" s="187">
        <v>1201</v>
      </c>
      <c r="G215" s="186">
        <v>0.49149999022483826</v>
      </c>
    </row>
    <row r="216" spans="1:7" x14ac:dyDescent="0.25">
      <c r="A216" s="184" t="s">
        <v>1</v>
      </c>
      <c r="B216" s="185">
        <v>42113</v>
      </c>
      <c r="C216" s="186">
        <v>2974.3373784892356</v>
      </c>
      <c r="D216" s="186">
        <v>44615.06067733853</v>
      </c>
      <c r="E216" s="186">
        <v>15</v>
      </c>
      <c r="F216" s="187">
        <v>1202</v>
      </c>
      <c r="G216" s="186">
        <v>0.49149999022483826</v>
      </c>
    </row>
    <row r="217" spans="1:7" x14ac:dyDescent="0.25">
      <c r="A217" s="184" t="s">
        <v>1</v>
      </c>
      <c r="B217" s="185">
        <v>42114</v>
      </c>
      <c r="C217" s="186">
        <v>3009.7297504283815</v>
      </c>
      <c r="D217" s="186">
        <v>37982.78945040617</v>
      </c>
      <c r="E217" s="186">
        <v>12.62</v>
      </c>
      <c r="F217" s="187">
        <v>1203</v>
      </c>
      <c r="G217" s="186">
        <v>0.48359999060630798</v>
      </c>
    </row>
    <row r="218" spans="1:7" x14ac:dyDescent="0.25">
      <c r="A218" s="184" t="s">
        <v>1</v>
      </c>
      <c r="B218" s="185">
        <v>42115</v>
      </c>
      <c r="C218" s="186">
        <v>2777.2126696799651</v>
      </c>
      <c r="D218" s="186">
        <v>39476.094376165223</v>
      </c>
      <c r="E218" s="186">
        <v>14.214285714285714</v>
      </c>
      <c r="F218" s="187">
        <v>1204</v>
      </c>
      <c r="G218" s="186">
        <v>0.49149999022483826</v>
      </c>
    </row>
    <row r="219" spans="1:7" x14ac:dyDescent="0.25">
      <c r="A219" s="184" t="s">
        <v>1</v>
      </c>
      <c r="B219" s="185">
        <v>42116</v>
      </c>
      <c r="C219" s="186">
        <v>1064.0895430348878</v>
      </c>
      <c r="D219" s="186">
        <v>14680.092471256819</v>
      </c>
      <c r="E219" s="186">
        <v>13.795918367346939</v>
      </c>
      <c r="F219" s="187">
        <v>1205</v>
      </c>
      <c r="G219" s="186">
        <v>0.49149999022483826</v>
      </c>
    </row>
    <row r="220" spans="1:7" x14ac:dyDescent="0.25">
      <c r="A220" s="184" t="s">
        <v>1</v>
      </c>
      <c r="B220" s="185">
        <v>42117</v>
      </c>
      <c r="C220" s="186">
        <v>620.54935110065162</v>
      </c>
      <c r="D220" s="186">
        <v>7641.6220092680242</v>
      </c>
      <c r="E220" s="186">
        <v>12.314285714285715</v>
      </c>
      <c r="F220" s="187">
        <v>1212</v>
      </c>
      <c r="G220" s="186">
        <v>0.49149999022483826</v>
      </c>
    </row>
    <row r="221" spans="1:7" x14ac:dyDescent="0.25">
      <c r="A221" s="184" t="s">
        <v>1</v>
      </c>
      <c r="B221" s="185">
        <v>42118</v>
      </c>
      <c r="C221" s="186">
        <v>994.91354979743824</v>
      </c>
      <c r="D221" s="186">
        <v>14923.703246961573</v>
      </c>
      <c r="E221" s="186">
        <v>15</v>
      </c>
      <c r="F221" s="187">
        <v>1213</v>
      </c>
      <c r="G221" s="186">
        <v>0.49149999022483826</v>
      </c>
    </row>
    <row r="223" spans="1:7" x14ac:dyDescent="0.25">
      <c r="A223" s="183" t="s">
        <v>9</v>
      </c>
      <c r="B223" s="183" t="s">
        <v>8</v>
      </c>
      <c r="C223" s="183" t="s">
        <v>30</v>
      </c>
      <c r="D223" s="183" t="s">
        <v>31</v>
      </c>
      <c r="E223" s="183" t="s">
        <v>10</v>
      </c>
      <c r="F223" s="183" t="s">
        <v>38</v>
      </c>
      <c r="G223" s="183" t="s">
        <v>52</v>
      </c>
    </row>
    <row r="224" spans="1:7" x14ac:dyDescent="0.25">
      <c r="A224" s="184" t="s">
        <v>53</v>
      </c>
      <c r="B224" s="185">
        <v>42126</v>
      </c>
      <c r="C224" s="186">
        <v>1512.8336147912732</v>
      </c>
      <c r="D224" s="186">
        <v>22692.504221869101</v>
      </c>
      <c r="E224" s="186">
        <v>15</v>
      </c>
      <c r="F224" s="187">
        <v>1220</v>
      </c>
      <c r="G224" s="186">
        <v>0.58829998970031738</v>
      </c>
    </row>
    <row r="225" spans="1:7" x14ac:dyDescent="0.25">
      <c r="A225" s="184" t="s">
        <v>53</v>
      </c>
      <c r="B225" s="185">
        <v>42127</v>
      </c>
      <c r="C225" s="186">
        <v>1377.8039291093805</v>
      </c>
      <c r="D225" s="186">
        <v>20667.058936640708</v>
      </c>
      <c r="E225" s="186">
        <v>15</v>
      </c>
      <c r="F225" s="187">
        <v>1221</v>
      </c>
      <c r="G225" s="186">
        <v>0.59514999389648438</v>
      </c>
    </row>
    <row r="226" spans="1:7" x14ac:dyDescent="0.25">
      <c r="A226" s="184" t="s">
        <v>3</v>
      </c>
      <c r="B226" s="185">
        <v>42126</v>
      </c>
      <c r="C226" s="186">
        <v>1101.2770320816758</v>
      </c>
      <c r="D226" s="186">
        <v>16519.155481225138</v>
      </c>
      <c r="E226" s="186">
        <v>15</v>
      </c>
      <c r="F226" s="187">
        <v>1216</v>
      </c>
      <c r="G226" s="186">
        <v>0.58995002508163452</v>
      </c>
    </row>
    <row r="227" spans="1:7" x14ac:dyDescent="0.25">
      <c r="A227" s="184" t="s">
        <v>3</v>
      </c>
      <c r="B227" s="185">
        <v>42127</v>
      </c>
      <c r="C227" s="186">
        <v>1089.9588935635122</v>
      </c>
      <c r="D227" s="186">
        <v>16349.383403452683</v>
      </c>
      <c r="E227" s="186">
        <v>15</v>
      </c>
      <c r="F227" s="187">
        <v>1217</v>
      </c>
      <c r="G227" s="186">
        <v>0.58995002508163452</v>
      </c>
    </row>
    <row r="228" spans="1:7" x14ac:dyDescent="0.25">
      <c r="A228" s="184" t="s">
        <v>1</v>
      </c>
      <c r="B228" s="185">
        <v>42126</v>
      </c>
      <c r="C228" s="186">
        <v>837.79424264199338</v>
      </c>
      <c r="D228" s="186">
        <v>12566.9136396299</v>
      </c>
      <c r="E228" s="186">
        <v>15</v>
      </c>
      <c r="F228" s="187">
        <v>1218</v>
      </c>
      <c r="G228" s="186">
        <v>0.49149999022483826</v>
      </c>
    </row>
    <row r="229" spans="1:7" x14ac:dyDescent="0.25">
      <c r="A229" s="184" t="s">
        <v>1</v>
      </c>
      <c r="B229" s="185">
        <v>42127</v>
      </c>
      <c r="C229" s="186">
        <v>905.39167619603268</v>
      </c>
      <c r="D229" s="186">
        <v>13580.875142940491</v>
      </c>
      <c r="E229" s="186">
        <v>15</v>
      </c>
      <c r="F229" s="187">
        <v>1219</v>
      </c>
      <c r="G229" s="186">
        <v>0.49149999022483826</v>
      </c>
    </row>
    <row r="231" spans="1:7" x14ac:dyDescent="0.25">
      <c r="A231" s="183" t="s">
        <v>9</v>
      </c>
      <c r="B231" s="183" t="s">
        <v>8</v>
      </c>
      <c r="C231" s="183" t="s">
        <v>30</v>
      </c>
      <c r="D231" s="183" t="s">
        <v>31</v>
      </c>
      <c r="E231" s="183" t="s">
        <v>10</v>
      </c>
      <c r="F231" s="183" t="s">
        <v>38</v>
      </c>
      <c r="G231" s="183" t="s">
        <v>52</v>
      </c>
    </row>
    <row r="232" spans="1:7" x14ac:dyDescent="0.25">
      <c r="A232" s="184" t="s">
        <v>53</v>
      </c>
      <c r="B232" s="185">
        <v>42131</v>
      </c>
      <c r="C232" s="186">
        <v>1341.7383530282166</v>
      </c>
      <c r="D232" s="186">
        <v>20126.075295423248</v>
      </c>
      <c r="E232" s="186">
        <v>15</v>
      </c>
      <c r="F232" s="187">
        <v>1223</v>
      </c>
      <c r="G232" s="186">
        <v>0.54332500696182251</v>
      </c>
    </row>
    <row r="233" spans="1:7" x14ac:dyDescent="0.25">
      <c r="A233" s="184" t="s">
        <v>1</v>
      </c>
      <c r="B233" s="185">
        <v>42131</v>
      </c>
      <c r="C233" s="186">
        <v>989.66648078710386</v>
      </c>
      <c r="D233" s="186">
        <v>14844.997211806558</v>
      </c>
      <c r="E233" s="186">
        <v>15</v>
      </c>
      <c r="F233" s="187">
        <v>1222</v>
      </c>
      <c r="G233" s="186">
        <v>0.59514999389648438</v>
      </c>
    </row>
    <row r="235" spans="1:7" x14ac:dyDescent="0.25">
      <c r="A235" s="157" t="s">
        <v>9</v>
      </c>
      <c r="B235" s="157" t="s">
        <v>8</v>
      </c>
      <c r="C235" s="157" t="s">
        <v>30</v>
      </c>
      <c r="D235" s="157" t="s">
        <v>31</v>
      </c>
      <c r="E235" s="157" t="s">
        <v>10</v>
      </c>
      <c r="F235" s="157" t="s">
        <v>38</v>
      </c>
      <c r="G235" s="157" t="s">
        <v>52</v>
      </c>
    </row>
    <row r="236" spans="1:7" x14ac:dyDescent="0.25">
      <c r="A236" s="158" t="s">
        <v>53</v>
      </c>
      <c r="B236" s="159">
        <v>42052</v>
      </c>
      <c r="C236" s="160">
        <v>2320.8507689403664</v>
      </c>
      <c r="D236" s="160">
        <v>34812.761534105492</v>
      </c>
      <c r="E236" s="160">
        <v>15</v>
      </c>
      <c r="F236" s="161">
        <v>1156</v>
      </c>
      <c r="G236" s="160">
        <v>0.64889997243881226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E1677"/>
  <sheetViews>
    <sheetView topLeftCell="A415" workbookViewId="0">
      <selection activeCell="B449" sqref="B449:C449"/>
    </sheetView>
  </sheetViews>
  <sheetFormatPr defaultRowHeight="15" x14ac:dyDescent="0.25"/>
  <cols>
    <col min="1" max="1" width="18.5703125" bestFit="1" customWidth="1"/>
    <col min="2" max="2" width="10.7109375" bestFit="1" customWidth="1"/>
    <col min="3" max="3" width="11.5703125" bestFit="1" customWidth="1"/>
    <col min="4" max="4" width="10.5703125" bestFit="1" customWidth="1"/>
    <col min="5" max="5" width="10.42578125" bestFit="1" customWidth="1"/>
  </cols>
  <sheetData>
    <row r="1" spans="1:5" x14ac:dyDescent="0.25">
      <c r="A1" s="133" t="s">
        <v>47</v>
      </c>
      <c r="B1" s="133" t="s">
        <v>49</v>
      </c>
      <c r="C1" s="133" t="s">
        <v>48</v>
      </c>
      <c r="D1" s="133" t="s">
        <v>50</v>
      </c>
      <c r="E1" s="133" t="s">
        <v>51</v>
      </c>
    </row>
    <row r="2" spans="1:5" x14ac:dyDescent="0.25">
      <c r="A2" s="134">
        <v>41893</v>
      </c>
      <c r="B2" s="136">
        <v>-0.1</v>
      </c>
      <c r="C2" s="135">
        <v>0.35347222222222224</v>
      </c>
      <c r="D2" s="135">
        <v>0.28402777777777777</v>
      </c>
      <c r="E2" s="135">
        <v>0.81736111111111109</v>
      </c>
    </row>
    <row r="3" spans="1:5" x14ac:dyDescent="0.25">
      <c r="A3" s="134">
        <v>41893</v>
      </c>
      <c r="B3" s="136">
        <v>-0.7</v>
      </c>
      <c r="C3" s="135">
        <v>0.87847222222222221</v>
      </c>
      <c r="D3" s="135">
        <v>0.28402777777777777</v>
      </c>
      <c r="E3" s="135">
        <v>0.81736111111111109</v>
      </c>
    </row>
    <row r="4" spans="1:5" x14ac:dyDescent="0.25">
      <c r="A4" s="134">
        <v>41894</v>
      </c>
      <c r="B4" s="136">
        <v>0.5</v>
      </c>
      <c r="C4" s="135">
        <v>0.38333333333333336</v>
      </c>
      <c r="D4" s="135">
        <v>0.28541666666666665</v>
      </c>
      <c r="E4" s="135">
        <v>0.81597222222222221</v>
      </c>
    </row>
    <row r="5" spans="1:5" x14ac:dyDescent="0.25">
      <c r="A5" s="134">
        <v>41894</v>
      </c>
      <c r="B5" s="136">
        <v>-0.5</v>
      </c>
      <c r="C5" s="135">
        <v>0.91249999999999998</v>
      </c>
      <c r="D5" s="135">
        <v>0.28541666666666665</v>
      </c>
      <c r="E5" s="135">
        <v>0.81597222222222221</v>
      </c>
    </row>
    <row r="6" spans="1:5" x14ac:dyDescent="0.25">
      <c r="A6" s="134">
        <v>41895</v>
      </c>
      <c r="B6" s="136">
        <v>1.3</v>
      </c>
      <c r="C6" s="135">
        <v>0.41388888888888886</v>
      </c>
      <c r="D6" s="135">
        <v>0.28611111111111109</v>
      </c>
      <c r="E6" s="135">
        <v>0.81458333333333333</v>
      </c>
    </row>
    <row r="7" spans="1:5" x14ac:dyDescent="0.25">
      <c r="A7" s="134">
        <v>41895</v>
      </c>
      <c r="B7" s="136">
        <v>-0.2</v>
      </c>
      <c r="C7" s="135">
        <v>0.94861111111111107</v>
      </c>
      <c r="D7" s="135">
        <v>0.28611111111111109</v>
      </c>
      <c r="E7" s="135">
        <v>0.81458333333333333</v>
      </c>
    </row>
    <row r="8" spans="1:5" x14ac:dyDescent="0.25">
      <c r="A8" s="134">
        <v>41896</v>
      </c>
      <c r="B8" s="136">
        <v>2</v>
      </c>
      <c r="C8" s="135">
        <v>0.4465277777777778</v>
      </c>
      <c r="D8" s="135">
        <v>0.28680555555555554</v>
      </c>
      <c r="E8" s="135">
        <v>0.81319444444444444</v>
      </c>
    </row>
    <row r="9" spans="1:5" x14ac:dyDescent="0.25">
      <c r="A9" s="134">
        <v>41896</v>
      </c>
      <c r="B9" s="136">
        <v>0.3</v>
      </c>
      <c r="C9" s="135">
        <v>0.98750000000000004</v>
      </c>
      <c r="D9" s="135">
        <v>0.28680555555555554</v>
      </c>
      <c r="E9" s="135">
        <v>0.81319444444444444</v>
      </c>
    </row>
    <row r="10" spans="1:5" x14ac:dyDescent="0.25">
      <c r="A10" s="134">
        <v>41897</v>
      </c>
      <c r="B10" s="136">
        <v>2.6</v>
      </c>
      <c r="C10" s="135">
        <v>0.48472222222222222</v>
      </c>
      <c r="D10" s="135">
        <v>0.28819444444444442</v>
      </c>
      <c r="E10" s="135">
        <v>0.81180555555555556</v>
      </c>
    </row>
    <row r="11" spans="1:5" x14ac:dyDescent="0.25">
      <c r="A11" s="134">
        <v>41898</v>
      </c>
      <c r="B11" s="136">
        <v>0.7</v>
      </c>
      <c r="C11" s="135">
        <v>3.0555555555555555E-2</v>
      </c>
      <c r="D11" s="135">
        <v>0.28888888888888886</v>
      </c>
      <c r="E11" s="135">
        <v>0.81041666666666667</v>
      </c>
    </row>
    <row r="12" spans="1:5" x14ac:dyDescent="0.25">
      <c r="A12" s="134">
        <v>41898</v>
      </c>
      <c r="B12" s="136">
        <v>3.1</v>
      </c>
      <c r="C12" s="135">
        <v>0.52916666666666667</v>
      </c>
      <c r="D12" s="135">
        <v>0.28888888888888886</v>
      </c>
      <c r="E12" s="135">
        <v>0.81041666666666667</v>
      </c>
    </row>
    <row r="13" spans="1:5" x14ac:dyDescent="0.25">
      <c r="A13" s="134">
        <v>41899</v>
      </c>
      <c r="B13" s="136">
        <v>0.9</v>
      </c>
      <c r="C13" s="135">
        <v>7.7083333333333337E-2</v>
      </c>
      <c r="D13" s="135">
        <v>0.28958333333333336</v>
      </c>
      <c r="E13" s="135">
        <v>0.80902777777777779</v>
      </c>
    </row>
    <row r="14" spans="1:5" x14ac:dyDescent="0.25">
      <c r="A14" s="134">
        <v>41899</v>
      </c>
      <c r="B14" s="136">
        <v>3.2</v>
      </c>
      <c r="C14" s="135">
        <v>0.58125000000000004</v>
      </c>
      <c r="D14" s="135">
        <v>0.28958333333333336</v>
      </c>
      <c r="E14" s="135">
        <v>0.80902777777777779</v>
      </c>
    </row>
    <row r="15" spans="1:5" x14ac:dyDescent="0.25">
      <c r="A15" s="134">
        <v>41900</v>
      </c>
      <c r="B15" s="136">
        <v>0.9</v>
      </c>
      <c r="C15" s="135">
        <v>0.12361111111111112</v>
      </c>
      <c r="D15" s="135">
        <v>0.29097222222222224</v>
      </c>
      <c r="E15" s="135">
        <v>0.80763888888888891</v>
      </c>
    </row>
    <row r="16" spans="1:5" x14ac:dyDescent="0.25">
      <c r="A16" s="134">
        <v>41900</v>
      </c>
      <c r="B16" s="136">
        <v>3</v>
      </c>
      <c r="C16" s="135">
        <v>0.63124999999999998</v>
      </c>
      <c r="D16" s="135">
        <v>0.29097222222222224</v>
      </c>
      <c r="E16" s="135">
        <v>0.80763888888888891</v>
      </c>
    </row>
    <row r="17" spans="1:5" x14ac:dyDescent="0.25">
      <c r="A17" s="134">
        <v>41901</v>
      </c>
      <c r="B17" s="136">
        <v>0.8</v>
      </c>
      <c r="C17" s="135">
        <v>0.16388888888888889</v>
      </c>
      <c r="D17" s="135">
        <v>0.29166666666666669</v>
      </c>
      <c r="E17" s="135">
        <v>0.80625000000000002</v>
      </c>
    </row>
    <row r="18" spans="1:5" x14ac:dyDescent="0.25">
      <c r="A18" s="134">
        <v>41901</v>
      </c>
      <c r="B18" s="136">
        <v>2.6</v>
      </c>
      <c r="C18" s="135">
        <v>0.67361111111111116</v>
      </c>
      <c r="D18" s="135">
        <v>0.29166666666666669</v>
      </c>
      <c r="E18" s="135">
        <v>0.80625000000000002</v>
      </c>
    </row>
    <row r="19" spans="1:5" x14ac:dyDescent="0.25">
      <c r="A19" s="134">
        <v>41902</v>
      </c>
      <c r="B19" s="136">
        <v>0.7</v>
      </c>
      <c r="C19" s="135">
        <v>0.19722222222222222</v>
      </c>
      <c r="D19" s="135">
        <v>0.29236111111111113</v>
      </c>
      <c r="E19" s="135">
        <v>0.80486111111111114</v>
      </c>
    </row>
    <row r="20" spans="1:5" x14ac:dyDescent="0.25">
      <c r="A20" s="134">
        <v>41902</v>
      </c>
      <c r="B20" s="136">
        <v>2.1</v>
      </c>
      <c r="C20" s="135">
        <v>0.70763888888888893</v>
      </c>
      <c r="D20" s="135">
        <v>0.29236111111111113</v>
      </c>
      <c r="E20" s="135">
        <v>0.80486111111111114</v>
      </c>
    </row>
    <row r="21" spans="1:5" x14ac:dyDescent="0.25">
      <c r="A21" s="134">
        <v>41903</v>
      </c>
      <c r="B21" s="136">
        <v>0.6</v>
      </c>
      <c r="C21" s="135">
        <v>0.22500000000000001</v>
      </c>
      <c r="D21" s="135">
        <v>0.29375000000000001</v>
      </c>
      <c r="E21" s="135">
        <v>0.80347222222222225</v>
      </c>
    </row>
    <row r="22" spans="1:5" x14ac:dyDescent="0.25">
      <c r="A22" s="134">
        <v>41903</v>
      </c>
      <c r="B22" s="136">
        <v>1.6</v>
      </c>
      <c r="C22" s="135">
        <v>0.7368055555555556</v>
      </c>
      <c r="D22" s="135">
        <v>0.29375000000000001</v>
      </c>
      <c r="E22" s="135">
        <v>0.80347222222222225</v>
      </c>
    </row>
    <row r="23" spans="1:5" x14ac:dyDescent="0.25">
      <c r="A23" s="134">
        <v>41904</v>
      </c>
      <c r="B23" s="136">
        <v>0.6</v>
      </c>
      <c r="C23" s="135">
        <v>0.25</v>
      </c>
      <c r="D23" s="135">
        <v>0.29444444444444445</v>
      </c>
      <c r="E23" s="135">
        <v>0.80208333333333337</v>
      </c>
    </row>
    <row r="24" spans="1:5" x14ac:dyDescent="0.25">
      <c r="A24" s="134">
        <v>41904</v>
      </c>
      <c r="B24" s="136">
        <v>1.1000000000000001</v>
      </c>
      <c r="C24" s="135">
        <v>0.7631944444444444</v>
      </c>
      <c r="D24" s="135">
        <v>0.29444444444444445</v>
      </c>
      <c r="E24" s="135">
        <v>0.80208333333333337</v>
      </c>
    </row>
    <row r="25" spans="1:5" x14ac:dyDescent="0.25">
      <c r="A25" s="134">
        <v>41905</v>
      </c>
      <c r="B25" s="136">
        <v>0.6</v>
      </c>
      <c r="C25" s="135">
        <v>0.27291666666666664</v>
      </c>
      <c r="D25" s="135">
        <v>0.2951388888888889</v>
      </c>
      <c r="E25" s="135">
        <v>0.80069444444444449</v>
      </c>
    </row>
    <row r="26" spans="1:5" x14ac:dyDescent="0.25">
      <c r="A26" s="134">
        <v>41905</v>
      </c>
      <c r="B26" s="136">
        <v>0.7</v>
      </c>
      <c r="C26" s="135">
        <v>0.78819444444444442</v>
      </c>
      <c r="D26" s="135">
        <v>0.2951388888888889</v>
      </c>
      <c r="E26" s="135">
        <v>0.80069444444444449</v>
      </c>
    </row>
    <row r="27" spans="1:5" x14ac:dyDescent="0.25">
      <c r="A27" s="134">
        <v>41906</v>
      </c>
      <c r="B27" s="136">
        <v>0.8</v>
      </c>
      <c r="C27" s="135">
        <v>0.2951388888888889</v>
      </c>
      <c r="D27" s="135">
        <v>0.29652777777777778</v>
      </c>
      <c r="E27" s="135">
        <v>0.79861111111111116</v>
      </c>
    </row>
    <row r="28" spans="1:5" x14ac:dyDescent="0.25">
      <c r="A28" s="134">
        <v>41906</v>
      </c>
      <c r="B28" s="136">
        <v>0.4</v>
      </c>
      <c r="C28" s="135">
        <v>0.8125</v>
      </c>
      <c r="D28" s="135">
        <v>0.29652777777777778</v>
      </c>
      <c r="E28" s="135">
        <v>0.79861111111111116</v>
      </c>
    </row>
    <row r="29" spans="1:5" x14ac:dyDescent="0.25">
      <c r="A29" s="134">
        <v>41907</v>
      </c>
      <c r="B29" s="136">
        <v>1</v>
      </c>
      <c r="C29" s="135">
        <v>0.31666666666666665</v>
      </c>
      <c r="D29" s="135">
        <v>0.29722222222222222</v>
      </c>
      <c r="E29" s="135">
        <v>0.79722222222222228</v>
      </c>
    </row>
    <row r="30" spans="1:5" x14ac:dyDescent="0.25">
      <c r="A30" s="134">
        <v>41907</v>
      </c>
      <c r="B30" s="136">
        <v>0.2</v>
      </c>
      <c r="C30" s="135">
        <v>0.83750000000000002</v>
      </c>
      <c r="D30" s="135">
        <v>0.29722222222222222</v>
      </c>
      <c r="E30" s="135">
        <v>0.79722222222222228</v>
      </c>
    </row>
    <row r="31" spans="1:5" x14ac:dyDescent="0.25">
      <c r="A31" s="134">
        <v>41908</v>
      </c>
      <c r="B31" s="136">
        <v>1.3</v>
      </c>
      <c r="C31" s="135">
        <v>0.33888888888888891</v>
      </c>
      <c r="D31" s="135">
        <v>0.29791666666666666</v>
      </c>
      <c r="E31" s="135">
        <v>0.79583333333333328</v>
      </c>
    </row>
    <row r="32" spans="1:5" x14ac:dyDescent="0.25">
      <c r="A32" s="134">
        <v>41908</v>
      </c>
      <c r="B32" s="136">
        <v>0.1</v>
      </c>
      <c r="C32" s="135">
        <v>0.86319444444444449</v>
      </c>
      <c r="D32" s="135">
        <v>0.29791666666666666</v>
      </c>
      <c r="E32" s="135">
        <v>0.79583333333333328</v>
      </c>
    </row>
    <row r="33" spans="1:5" x14ac:dyDescent="0.25">
      <c r="A33" s="134">
        <v>41909</v>
      </c>
      <c r="B33" s="136">
        <v>1.7</v>
      </c>
      <c r="C33" s="135">
        <v>0.36249999999999999</v>
      </c>
      <c r="D33" s="135">
        <v>0.29930555555555555</v>
      </c>
      <c r="E33" s="135">
        <v>0.7944444444444444</v>
      </c>
    </row>
    <row r="34" spans="1:5" x14ac:dyDescent="0.25">
      <c r="A34" s="134">
        <v>41909</v>
      </c>
      <c r="B34" s="136">
        <v>0.1</v>
      </c>
      <c r="C34" s="135">
        <v>0.89027777777777772</v>
      </c>
      <c r="D34" s="135">
        <v>0.29930555555555555</v>
      </c>
      <c r="E34" s="135">
        <v>0.7944444444444444</v>
      </c>
    </row>
    <row r="35" spans="1:5" x14ac:dyDescent="0.25">
      <c r="A35" s="134">
        <v>41910</v>
      </c>
      <c r="B35" s="136">
        <v>2.1</v>
      </c>
      <c r="C35" s="135">
        <v>0.38680555555555557</v>
      </c>
      <c r="D35" s="135">
        <v>0.3</v>
      </c>
      <c r="E35" s="135">
        <v>0.79305555555555551</v>
      </c>
    </row>
    <row r="36" spans="1:5" x14ac:dyDescent="0.25">
      <c r="A36" s="134">
        <v>41910</v>
      </c>
      <c r="B36" s="136">
        <v>0.1</v>
      </c>
      <c r="C36" s="135">
        <v>0.92083333333333328</v>
      </c>
      <c r="D36" s="135">
        <v>0.3</v>
      </c>
      <c r="E36" s="135">
        <v>0.79305555555555551</v>
      </c>
    </row>
    <row r="37" spans="1:5" x14ac:dyDescent="0.25">
      <c r="A37" s="134">
        <v>41911</v>
      </c>
      <c r="B37" s="136">
        <v>2.5</v>
      </c>
      <c r="C37" s="135">
        <v>0.4152777777777778</v>
      </c>
      <c r="D37" s="135">
        <v>0.30069444444444443</v>
      </c>
      <c r="E37" s="135">
        <v>0.79166666666666663</v>
      </c>
    </row>
    <row r="38" spans="1:5" x14ac:dyDescent="0.25">
      <c r="A38" s="134">
        <v>41911</v>
      </c>
      <c r="B38" s="136">
        <v>0.3</v>
      </c>
      <c r="C38" s="135">
        <v>0.9555555555555556</v>
      </c>
      <c r="D38" s="135">
        <v>0.30069444444444443</v>
      </c>
      <c r="E38" s="135">
        <v>0.79166666666666663</v>
      </c>
    </row>
    <row r="39" spans="1:5" x14ac:dyDescent="0.25">
      <c r="A39" s="134">
        <v>41912</v>
      </c>
      <c r="B39" s="136">
        <v>2.9</v>
      </c>
      <c r="C39" s="135">
        <v>0.45069444444444445</v>
      </c>
      <c r="D39" s="135">
        <v>0.30208333333333331</v>
      </c>
      <c r="E39" s="135">
        <v>0.79027777777777775</v>
      </c>
    </row>
    <row r="40" spans="1:5" x14ac:dyDescent="0.25">
      <c r="A40" s="134">
        <v>41912</v>
      </c>
      <c r="B40" s="136">
        <v>0.4</v>
      </c>
      <c r="C40" s="135">
        <v>0.99583333333333335</v>
      </c>
      <c r="D40" s="135">
        <v>0.30208333333333331</v>
      </c>
      <c r="E40" s="135">
        <v>0.79027777777777775</v>
      </c>
    </row>
    <row r="41" spans="1:5" x14ac:dyDescent="0.25">
      <c r="A41" s="134">
        <v>41913</v>
      </c>
      <c r="B41" s="136">
        <v>3.2</v>
      </c>
      <c r="C41" s="135">
        <v>0.49513888888888891</v>
      </c>
      <c r="D41" s="135">
        <v>0.30277777777777776</v>
      </c>
      <c r="E41" s="135">
        <v>0.78888888888888886</v>
      </c>
    </row>
    <row r="42" spans="1:5" x14ac:dyDescent="0.25">
      <c r="A42" s="134">
        <v>41914</v>
      </c>
      <c r="B42" s="136">
        <v>0.5</v>
      </c>
      <c r="C42" s="135">
        <v>4.2361111111111113E-2</v>
      </c>
      <c r="D42" s="135">
        <v>0.30416666666666664</v>
      </c>
      <c r="E42" s="135">
        <v>0.78749999999999998</v>
      </c>
    </row>
    <row r="43" spans="1:5" x14ac:dyDescent="0.25">
      <c r="A43" s="134">
        <v>41914</v>
      </c>
      <c r="B43" s="136">
        <v>3.2</v>
      </c>
      <c r="C43" s="135">
        <v>0.55000000000000004</v>
      </c>
      <c r="D43" s="135">
        <v>0.30416666666666664</v>
      </c>
      <c r="E43" s="135">
        <v>0.78749999999999998</v>
      </c>
    </row>
    <row r="44" spans="1:5" x14ac:dyDescent="0.25">
      <c r="A44" s="134">
        <v>41915</v>
      </c>
      <c r="B44" s="136">
        <v>0.5</v>
      </c>
      <c r="C44" s="135">
        <v>9.0277777777777776E-2</v>
      </c>
      <c r="D44" s="135">
        <v>0.30486111111111114</v>
      </c>
      <c r="E44" s="135">
        <v>0.78611111111111109</v>
      </c>
    </row>
    <row r="45" spans="1:5" x14ac:dyDescent="0.25">
      <c r="A45" s="134">
        <v>41915</v>
      </c>
      <c r="B45" s="136">
        <v>2.8</v>
      </c>
      <c r="C45" s="135">
        <v>0.60555555555555551</v>
      </c>
      <c r="D45" s="135">
        <v>0.30486111111111114</v>
      </c>
      <c r="E45" s="135">
        <v>0.78611111111111109</v>
      </c>
    </row>
    <row r="46" spans="1:5" x14ac:dyDescent="0.25">
      <c r="A46" s="134">
        <v>41916</v>
      </c>
      <c r="B46" s="136">
        <v>0.3</v>
      </c>
      <c r="C46" s="135">
        <v>0.13541666666666666</v>
      </c>
      <c r="D46" s="135">
        <v>0.30555555555555558</v>
      </c>
      <c r="E46" s="135">
        <v>0.78472222222222221</v>
      </c>
    </row>
    <row r="47" spans="1:5" x14ac:dyDescent="0.25">
      <c r="A47" s="134">
        <v>41916</v>
      </c>
      <c r="B47" s="136">
        <v>2</v>
      </c>
      <c r="C47" s="135">
        <v>0.65486111111111112</v>
      </c>
      <c r="D47" s="135">
        <v>0.30555555555555558</v>
      </c>
      <c r="E47" s="135">
        <v>0.78472222222222221</v>
      </c>
    </row>
    <row r="48" spans="1:5" x14ac:dyDescent="0.25">
      <c r="A48" s="134">
        <v>41917</v>
      </c>
      <c r="B48" s="136">
        <v>0.1</v>
      </c>
      <c r="C48" s="135">
        <v>0.17569444444444443</v>
      </c>
      <c r="D48" s="135">
        <v>0.30694444444444446</v>
      </c>
      <c r="E48" s="135">
        <v>0.78333333333333333</v>
      </c>
    </row>
    <row r="49" spans="1:5" x14ac:dyDescent="0.25">
      <c r="A49" s="134">
        <v>41917</v>
      </c>
      <c r="B49" s="136">
        <v>1.1000000000000001</v>
      </c>
      <c r="C49" s="135">
        <v>0.69722222222222219</v>
      </c>
      <c r="D49" s="135">
        <v>0.30694444444444446</v>
      </c>
      <c r="E49" s="135">
        <v>0.78333333333333333</v>
      </c>
    </row>
    <row r="50" spans="1:5" x14ac:dyDescent="0.25">
      <c r="A50" s="134">
        <v>41918</v>
      </c>
      <c r="B50" s="136">
        <v>0</v>
      </c>
      <c r="C50" s="135">
        <v>0.21180555555555555</v>
      </c>
      <c r="D50" s="135">
        <v>0.30763888888888891</v>
      </c>
      <c r="E50" s="135">
        <v>0.78194444444444444</v>
      </c>
    </row>
    <row r="51" spans="1:5" x14ac:dyDescent="0.25">
      <c r="A51" s="134">
        <v>41918</v>
      </c>
      <c r="B51" s="136">
        <v>0.3</v>
      </c>
      <c r="C51" s="135">
        <v>0.73402777777777772</v>
      </c>
      <c r="D51" s="135">
        <v>0.30763888888888891</v>
      </c>
      <c r="E51" s="135">
        <v>0.78194444444444444</v>
      </c>
    </row>
    <row r="52" spans="1:5" x14ac:dyDescent="0.25">
      <c r="A52" s="134">
        <v>41919</v>
      </c>
      <c r="B52" s="136">
        <v>0.1</v>
      </c>
      <c r="C52" s="135">
        <v>0.24513888888888888</v>
      </c>
      <c r="D52" s="135">
        <v>0.30833333333333335</v>
      </c>
      <c r="E52" s="135">
        <v>0.78055555555555556</v>
      </c>
    </row>
    <row r="53" spans="1:5" x14ac:dyDescent="0.25">
      <c r="A53" s="134">
        <v>41919</v>
      </c>
      <c r="B53" s="136">
        <v>-0.5</v>
      </c>
      <c r="C53" s="135">
        <v>0.7680555555555556</v>
      </c>
      <c r="D53" s="135">
        <v>0.30833333333333335</v>
      </c>
      <c r="E53" s="135">
        <v>0.78055555555555556</v>
      </c>
    </row>
    <row r="54" spans="1:5" x14ac:dyDescent="0.25">
      <c r="A54" s="134">
        <v>41920</v>
      </c>
      <c r="B54" s="136">
        <v>0.3</v>
      </c>
      <c r="C54" s="135">
        <v>0.27569444444444446</v>
      </c>
      <c r="D54" s="135">
        <v>0.30972222222222223</v>
      </c>
      <c r="E54" s="135">
        <v>0.77986111111111112</v>
      </c>
    </row>
    <row r="55" spans="1:5" x14ac:dyDescent="0.25">
      <c r="A55" s="134">
        <v>41920</v>
      </c>
      <c r="B55" s="136">
        <v>-0.9</v>
      </c>
      <c r="C55" s="135">
        <v>0.80069444444444449</v>
      </c>
      <c r="D55" s="135">
        <v>0.30972222222222223</v>
      </c>
      <c r="E55" s="135">
        <v>0.77986111111111112</v>
      </c>
    </row>
    <row r="56" spans="1:5" x14ac:dyDescent="0.25">
      <c r="A56" s="134">
        <v>41921</v>
      </c>
      <c r="B56" s="136">
        <v>0.6</v>
      </c>
      <c r="C56" s="135">
        <v>0.30555555555555558</v>
      </c>
      <c r="D56" s="135">
        <v>0.31041666666666667</v>
      </c>
      <c r="E56" s="135">
        <v>0.77847222222222223</v>
      </c>
    </row>
    <row r="57" spans="1:5" x14ac:dyDescent="0.25">
      <c r="A57" s="134">
        <v>41921</v>
      </c>
      <c r="B57" s="136">
        <v>-1.1000000000000001</v>
      </c>
      <c r="C57" s="135">
        <v>0.83194444444444449</v>
      </c>
      <c r="D57" s="135">
        <v>0.31041666666666667</v>
      </c>
      <c r="E57" s="135">
        <v>0.77847222222222223</v>
      </c>
    </row>
    <row r="58" spans="1:5" x14ac:dyDescent="0.25">
      <c r="A58" s="134">
        <v>41922</v>
      </c>
      <c r="B58" s="136">
        <v>1.1000000000000001</v>
      </c>
      <c r="C58" s="135">
        <v>0.33541666666666664</v>
      </c>
      <c r="D58" s="135">
        <v>0.31180555555555556</v>
      </c>
      <c r="E58" s="135">
        <v>0.77708333333333335</v>
      </c>
    </row>
    <row r="59" spans="1:5" x14ac:dyDescent="0.25">
      <c r="A59" s="134">
        <v>41922</v>
      </c>
      <c r="B59" s="136">
        <v>-1.1000000000000001</v>
      </c>
      <c r="C59" s="135">
        <v>0.86319444444444449</v>
      </c>
      <c r="D59" s="135">
        <v>0.31180555555555556</v>
      </c>
      <c r="E59" s="135">
        <v>0.77708333333333335</v>
      </c>
    </row>
    <row r="60" spans="1:5" x14ac:dyDescent="0.25">
      <c r="A60" s="134">
        <v>41923</v>
      </c>
      <c r="B60" s="136">
        <v>1.7</v>
      </c>
      <c r="C60" s="135">
        <v>0.36458333333333331</v>
      </c>
      <c r="D60" s="135">
        <v>0.3125</v>
      </c>
      <c r="E60" s="135">
        <v>0.77569444444444446</v>
      </c>
    </row>
    <row r="61" spans="1:5" x14ac:dyDescent="0.25">
      <c r="A61" s="134">
        <v>41923</v>
      </c>
      <c r="B61" s="136">
        <v>-0.8</v>
      </c>
      <c r="C61" s="135">
        <v>0.89444444444444449</v>
      </c>
      <c r="D61" s="135">
        <v>0.3125</v>
      </c>
      <c r="E61" s="135">
        <v>0.77569444444444446</v>
      </c>
    </row>
    <row r="62" spans="1:5" x14ac:dyDescent="0.25">
      <c r="A62" s="134">
        <v>41924</v>
      </c>
      <c r="B62" s="136">
        <v>2.2000000000000002</v>
      </c>
      <c r="C62" s="135">
        <v>0.39513888888888887</v>
      </c>
      <c r="D62" s="135">
        <v>0.31319444444444444</v>
      </c>
      <c r="E62" s="135">
        <v>0.77430555555555558</v>
      </c>
    </row>
    <row r="63" spans="1:5" x14ac:dyDescent="0.25">
      <c r="A63" s="134">
        <v>41924</v>
      </c>
      <c r="B63" s="136">
        <v>-0.3</v>
      </c>
      <c r="C63" s="135">
        <v>0.92708333333333337</v>
      </c>
      <c r="D63" s="135">
        <v>0.31319444444444444</v>
      </c>
      <c r="E63" s="135">
        <v>0.77430555555555558</v>
      </c>
    </row>
    <row r="64" spans="1:5" x14ac:dyDescent="0.25">
      <c r="A64" s="134">
        <v>41925</v>
      </c>
      <c r="B64" s="136">
        <v>2.8</v>
      </c>
      <c r="C64" s="135">
        <v>0.4284722222222222</v>
      </c>
      <c r="D64" s="135">
        <v>0.31458333333333333</v>
      </c>
      <c r="E64" s="135">
        <v>0.7729166666666667</v>
      </c>
    </row>
    <row r="65" spans="1:5" x14ac:dyDescent="0.25">
      <c r="A65" s="134">
        <v>41925</v>
      </c>
      <c r="B65" s="136">
        <v>0.3</v>
      </c>
      <c r="C65" s="135">
        <v>0.96180555555555558</v>
      </c>
      <c r="D65" s="135">
        <v>0.31458333333333333</v>
      </c>
      <c r="E65" s="135">
        <v>0.7729166666666667</v>
      </c>
    </row>
    <row r="66" spans="1:5" x14ac:dyDescent="0.25">
      <c r="A66" s="134">
        <v>41926</v>
      </c>
      <c r="B66" s="136">
        <v>3.2</v>
      </c>
      <c r="C66" s="135">
        <v>0.46527777777777779</v>
      </c>
      <c r="D66" s="135">
        <v>0.31527777777777777</v>
      </c>
      <c r="E66" s="135">
        <v>0.77152777777777781</v>
      </c>
    </row>
    <row r="67" spans="1:5" x14ac:dyDescent="0.25">
      <c r="A67" s="134">
        <v>41927</v>
      </c>
      <c r="B67" s="136">
        <v>0.8</v>
      </c>
      <c r="C67" s="135">
        <v>0</v>
      </c>
      <c r="D67" s="135">
        <v>0.31666666666666665</v>
      </c>
      <c r="E67" s="135">
        <v>0.77013888888888893</v>
      </c>
    </row>
    <row r="68" spans="1:5" x14ac:dyDescent="0.25">
      <c r="A68" s="134">
        <v>41927</v>
      </c>
      <c r="B68" s="136">
        <v>3.5</v>
      </c>
      <c r="C68" s="135">
        <v>0.50972222222222219</v>
      </c>
      <c r="D68" s="135">
        <v>0.31666666666666665</v>
      </c>
      <c r="E68" s="135">
        <v>0.77013888888888893</v>
      </c>
    </row>
    <row r="69" spans="1:5" x14ac:dyDescent="0.25">
      <c r="A69" s="134">
        <v>41928</v>
      </c>
      <c r="B69" s="136">
        <v>1.2</v>
      </c>
      <c r="C69" s="135">
        <v>4.1666666666666664E-2</v>
      </c>
      <c r="D69" s="135">
        <v>0.31736111111111109</v>
      </c>
      <c r="E69" s="135">
        <v>0.76875000000000004</v>
      </c>
    </row>
    <row r="70" spans="1:5" x14ac:dyDescent="0.25">
      <c r="A70" s="134">
        <v>41928</v>
      </c>
      <c r="B70" s="136">
        <v>3.5</v>
      </c>
      <c r="C70" s="135">
        <v>0.56041666666666667</v>
      </c>
      <c r="D70" s="135">
        <v>0.31736111111111109</v>
      </c>
      <c r="E70" s="135">
        <v>0.76875000000000004</v>
      </c>
    </row>
    <row r="71" spans="1:5" x14ac:dyDescent="0.25">
      <c r="A71" s="134">
        <v>41929</v>
      </c>
      <c r="B71" s="136">
        <v>1.4</v>
      </c>
      <c r="C71" s="135">
        <v>8.5416666666666669E-2</v>
      </c>
      <c r="D71" s="135">
        <v>0.31874999999999998</v>
      </c>
      <c r="E71" s="135">
        <v>0.76736111111111116</v>
      </c>
    </row>
    <row r="72" spans="1:5" x14ac:dyDescent="0.25">
      <c r="A72" s="134">
        <v>41929</v>
      </c>
      <c r="B72" s="136">
        <v>3.2</v>
      </c>
      <c r="C72" s="135">
        <v>0.61111111111111116</v>
      </c>
      <c r="D72" s="135">
        <v>0.31874999999999998</v>
      </c>
      <c r="E72" s="135">
        <v>0.76736111111111116</v>
      </c>
    </row>
    <row r="73" spans="1:5" x14ac:dyDescent="0.25">
      <c r="A73" s="134">
        <v>41930</v>
      </c>
      <c r="B73" s="136">
        <v>1.5</v>
      </c>
      <c r="C73" s="135">
        <v>0.12638888888888888</v>
      </c>
      <c r="D73" s="135">
        <v>0.31944444444444442</v>
      </c>
      <c r="E73" s="135">
        <v>0.76666666666666672</v>
      </c>
    </row>
    <row r="74" spans="1:5" x14ac:dyDescent="0.25">
      <c r="A74" s="134">
        <v>41930</v>
      </c>
      <c r="B74" s="136">
        <v>2.6</v>
      </c>
      <c r="C74" s="135">
        <v>0.65416666666666667</v>
      </c>
      <c r="D74" s="135">
        <v>0.31944444444444442</v>
      </c>
      <c r="E74" s="135">
        <v>0.76666666666666672</v>
      </c>
    </row>
    <row r="75" spans="1:5" x14ac:dyDescent="0.25">
      <c r="A75" s="134">
        <v>41931</v>
      </c>
      <c r="B75" s="136">
        <v>1.5</v>
      </c>
      <c r="C75" s="135">
        <v>0.16180555555555556</v>
      </c>
      <c r="D75" s="135">
        <v>0.32013888888888886</v>
      </c>
      <c r="E75" s="135">
        <v>0.76527777777777772</v>
      </c>
    </row>
    <row r="76" spans="1:5" x14ac:dyDescent="0.25">
      <c r="A76" s="134">
        <v>41931</v>
      </c>
      <c r="B76" s="136">
        <v>2</v>
      </c>
      <c r="C76" s="135">
        <v>0.68888888888888888</v>
      </c>
      <c r="D76" s="135">
        <v>0.32013888888888886</v>
      </c>
      <c r="E76" s="135">
        <v>0.76527777777777772</v>
      </c>
    </row>
    <row r="77" spans="1:5" x14ac:dyDescent="0.25">
      <c r="A77" s="134">
        <v>41932</v>
      </c>
      <c r="B77" s="136">
        <v>1.5</v>
      </c>
      <c r="C77" s="135">
        <v>0.19236111111111112</v>
      </c>
      <c r="D77" s="135">
        <v>0.3215277777777778</v>
      </c>
      <c r="E77" s="135">
        <v>0.76388888888888884</v>
      </c>
    </row>
    <row r="78" spans="1:5" x14ac:dyDescent="0.25">
      <c r="A78" s="134">
        <v>41932</v>
      </c>
      <c r="B78" s="136">
        <v>1.4</v>
      </c>
      <c r="C78" s="135">
        <v>0.71875</v>
      </c>
      <c r="D78" s="135">
        <v>0.3215277777777778</v>
      </c>
      <c r="E78" s="135">
        <v>0.76388888888888884</v>
      </c>
    </row>
    <row r="79" spans="1:5" x14ac:dyDescent="0.25">
      <c r="A79" s="134">
        <v>41933</v>
      </c>
      <c r="B79" s="136">
        <v>1.5</v>
      </c>
      <c r="C79" s="135">
        <v>0.22013888888888888</v>
      </c>
      <c r="D79" s="135">
        <v>0.32222222222222224</v>
      </c>
      <c r="E79" s="135">
        <v>0.76249999999999996</v>
      </c>
    </row>
    <row r="80" spans="1:5" x14ac:dyDescent="0.25">
      <c r="A80" s="134">
        <v>41933</v>
      </c>
      <c r="B80" s="136">
        <v>0.8</v>
      </c>
      <c r="C80" s="135">
        <v>0.74583333333333335</v>
      </c>
      <c r="D80" s="135">
        <v>0.32222222222222224</v>
      </c>
      <c r="E80" s="135">
        <v>0.76249999999999996</v>
      </c>
    </row>
    <row r="81" spans="1:5" x14ac:dyDescent="0.25">
      <c r="A81" s="134">
        <v>41934</v>
      </c>
      <c r="B81" s="136">
        <v>1.6</v>
      </c>
      <c r="C81" s="135">
        <v>0.24583333333333332</v>
      </c>
      <c r="D81" s="135">
        <v>0.32361111111111113</v>
      </c>
      <c r="E81" s="135">
        <v>0.76180555555555551</v>
      </c>
    </row>
    <row r="82" spans="1:5" x14ac:dyDescent="0.25">
      <c r="A82" s="134">
        <v>41934</v>
      </c>
      <c r="B82" s="136">
        <v>0.3</v>
      </c>
      <c r="C82" s="135">
        <v>0.77152777777777781</v>
      </c>
      <c r="D82" s="135">
        <v>0.32361111111111113</v>
      </c>
      <c r="E82" s="135">
        <v>0.76180555555555551</v>
      </c>
    </row>
    <row r="83" spans="1:5" x14ac:dyDescent="0.25">
      <c r="A83" s="134">
        <v>41935</v>
      </c>
      <c r="B83" s="136">
        <v>1.8</v>
      </c>
      <c r="C83" s="135">
        <v>0.27013888888888887</v>
      </c>
      <c r="D83" s="135">
        <v>0.32430555555555557</v>
      </c>
      <c r="E83" s="135">
        <v>0.76041666666666663</v>
      </c>
    </row>
    <row r="84" spans="1:5" x14ac:dyDescent="0.25">
      <c r="A84" s="134">
        <v>41935</v>
      </c>
      <c r="B84" s="136">
        <v>-0.1</v>
      </c>
      <c r="C84" s="135">
        <v>0.79652777777777772</v>
      </c>
      <c r="D84" s="135">
        <v>0.32430555555555557</v>
      </c>
      <c r="E84" s="135">
        <v>0.76041666666666663</v>
      </c>
    </row>
    <row r="85" spans="1:5" x14ac:dyDescent="0.25">
      <c r="A85" s="134">
        <v>41936</v>
      </c>
      <c r="B85" s="136">
        <v>2</v>
      </c>
      <c r="C85" s="135">
        <v>0.29444444444444445</v>
      </c>
      <c r="D85" s="135">
        <v>0.32569444444444445</v>
      </c>
      <c r="E85" s="135">
        <v>0.75902777777777775</v>
      </c>
    </row>
    <row r="86" spans="1:5" x14ac:dyDescent="0.25">
      <c r="A86" s="134">
        <v>41936</v>
      </c>
      <c r="B86" s="136">
        <v>-0.4</v>
      </c>
      <c r="C86" s="135">
        <v>0.82222222222222219</v>
      </c>
      <c r="D86" s="135">
        <v>0.32569444444444445</v>
      </c>
      <c r="E86" s="135">
        <v>0.75902777777777775</v>
      </c>
    </row>
    <row r="87" spans="1:5" x14ac:dyDescent="0.25">
      <c r="A87" s="134">
        <v>41937</v>
      </c>
      <c r="B87" s="136">
        <v>2.2000000000000002</v>
      </c>
      <c r="C87" s="135">
        <v>0.31944444444444442</v>
      </c>
      <c r="D87" s="135">
        <v>0.3263888888888889</v>
      </c>
      <c r="E87" s="135">
        <v>0.75763888888888886</v>
      </c>
    </row>
    <row r="88" spans="1:5" x14ac:dyDescent="0.25">
      <c r="A88" s="134">
        <v>41937</v>
      </c>
      <c r="B88" s="136">
        <v>-0.6</v>
      </c>
      <c r="C88" s="135">
        <v>0.84861111111111109</v>
      </c>
      <c r="D88" s="135">
        <v>0.3263888888888889</v>
      </c>
      <c r="E88" s="135">
        <v>0.75763888888888886</v>
      </c>
    </row>
    <row r="89" spans="1:5" x14ac:dyDescent="0.25">
      <c r="A89" s="134">
        <v>41938</v>
      </c>
      <c r="B89" s="136">
        <v>2.5</v>
      </c>
      <c r="C89" s="135">
        <v>0.34583333333333333</v>
      </c>
      <c r="D89" s="135">
        <v>0.32777777777777778</v>
      </c>
      <c r="E89" s="135">
        <v>0.75694444444444442</v>
      </c>
    </row>
    <row r="90" spans="1:5" x14ac:dyDescent="0.25">
      <c r="A90" s="134">
        <v>41938</v>
      </c>
      <c r="B90" s="136">
        <v>-0.6</v>
      </c>
      <c r="C90" s="135">
        <v>0.87708333333333333</v>
      </c>
      <c r="D90" s="135">
        <v>0.32777777777777778</v>
      </c>
      <c r="E90" s="135">
        <v>0.75694444444444442</v>
      </c>
    </row>
    <row r="91" spans="1:5" x14ac:dyDescent="0.25">
      <c r="A91" s="134">
        <v>41939</v>
      </c>
      <c r="B91" s="136">
        <v>2.7</v>
      </c>
      <c r="C91" s="135">
        <v>0.37430555555555556</v>
      </c>
      <c r="D91" s="135">
        <v>0.32847222222222222</v>
      </c>
      <c r="E91" s="135">
        <v>0.75555555555555554</v>
      </c>
    </row>
    <row r="92" spans="1:5" x14ac:dyDescent="0.25">
      <c r="A92" s="134">
        <v>41939</v>
      </c>
      <c r="B92" s="136">
        <v>-0.4</v>
      </c>
      <c r="C92" s="135">
        <v>0.90763888888888888</v>
      </c>
      <c r="D92" s="135">
        <v>0.32847222222222222</v>
      </c>
      <c r="E92" s="135">
        <v>0.75555555555555554</v>
      </c>
    </row>
    <row r="93" spans="1:5" x14ac:dyDescent="0.25">
      <c r="A93" s="134">
        <v>41940</v>
      </c>
      <c r="B93" s="136">
        <v>3</v>
      </c>
      <c r="C93" s="135">
        <v>0.40694444444444444</v>
      </c>
      <c r="D93" s="135">
        <v>0.3298611111111111</v>
      </c>
      <c r="E93" s="135">
        <v>0.75416666666666665</v>
      </c>
    </row>
    <row r="94" spans="1:5" x14ac:dyDescent="0.25">
      <c r="A94" s="134">
        <v>41940</v>
      </c>
      <c r="B94" s="136">
        <v>-0.2</v>
      </c>
      <c r="C94" s="135">
        <v>0.94166666666666665</v>
      </c>
      <c r="D94" s="135">
        <v>0.3298611111111111</v>
      </c>
      <c r="E94" s="135">
        <v>0.75416666666666665</v>
      </c>
    </row>
    <row r="95" spans="1:5" x14ac:dyDescent="0.25">
      <c r="A95" s="134">
        <v>41941</v>
      </c>
      <c r="B95" s="136">
        <v>3.2</v>
      </c>
      <c r="C95" s="135">
        <v>0.44583333333333336</v>
      </c>
      <c r="D95" s="135">
        <v>0.33055555555555555</v>
      </c>
      <c r="E95" s="135">
        <v>0.75347222222222221</v>
      </c>
    </row>
    <row r="96" spans="1:5" x14ac:dyDescent="0.25">
      <c r="A96" s="134">
        <v>41941</v>
      </c>
      <c r="B96" s="136">
        <v>0.1</v>
      </c>
      <c r="C96" s="135">
        <v>0.98055555555555551</v>
      </c>
      <c r="D96" s="135">
        <v>0.33055555555555555</v>
      </c>
      <c r="E96" s="135">
        <v>0.75347222222222221</v>
      </c>
    </row>
    <row r="97" spans="1:5" x14ac:dyDescent="0.25">
      <c r="A97" s="134">
        <v>41942</v>
      </c>
      <c r="B97" s="136">
        <v>3.3</v>
      </c>
      <c r="C97" s="135">
        <v>0.49305555555555558</v>
      </c>
      <c r="D97" s="135">
        <v>0.33194444444444443</v>
      </c>
      <c r="E97" s="135">
        <v>0.75208333333333333</v>
      </c>
    </row>
    <row r="98" spans="1:5" x14ac:dyDescent="0.25">
      <c r="A98" s="134">
        <v>41943</v>
      </c>
      <c r="B98" s="136">
        <v>0.5</v>
      </c>
      <c r="C98" s="135">
        <v>2.2916666666666665E-2</v>
      </c>
      <c r="D98" s="135">
        <v>0.33263888888888887</v>
      </c>
      <c r="E98" s="135">
        <v>0.75138888888888888</v>
      </c>
    </row>
    <row r="99" spans="1:5" x14ac:dyDescent="0.25">
      <c r="A99" s="134">
        <v>41943</v>
      </c>
      <c r="B99" s="136">
        <v>3.1</v>
      </c>
      <c r="C99" s="135">
        <v>0.54652777777777772</v>
      </c>
      <c r="D99" s="135">
        <v>0.33263888888888887</v>
      </c>
      <c r="E99" s="135">
        <v>0.75138888888888888</v>
      </c>
    </row>
    <row r="100" spans="1:5" x14ac:dyDescent="0.25">
      <c r="A100" s="134">
        <v>41944</v>
      </c>
      <c r="B100" s="136">
        <v>0.7</v>
      </c>
      <c r="C100" s="135">
        <v>6.805555555555555E-2</v>
      </c>
      <c r="D100" s="135">
        <v>0.33402777777777776</v>
      </c>
      <c r="E100" s="135">
        <v>0.75</v>
      </c>
    </row>
    <row r="101" spans="1:5" x14ac:dyDescent="0.25">
      <c r="A101" s="134">
        <v>41944</v>
      </c>
      <c r="B101" s="136">
        <v>2.5</v>
      </c>
      <c r="C101" s="135">
        <v>0.60069444444444442</v>
      </c>
      <c r="D101" s="135">
        <v>0.33402777777777776</v>
      </c>
      <c r="E101" s="135">
        <v>0.75</v>
      </c>
    </row>
    <row r="102" spans="1:5" x14ac:dyDescent="0.25">
      <c r="A102" s="134">
        <v>41945</v>
      </c>
      <c r="B102" s="136">
        <v>0.9</v>
      </c>
      <c r="C102" s="135">
        <v>7.0833333333333331E-2</v>
      </c>
      <c r="D102" s="135">
        <v>0.29305555555555557</v>
      </c>
      <c r="E102" s="135">
        <v>0.70763888888888893</v>
      </c>
    </row>
    <row r="103" spans="1:5" x14ac:dyDescent="0.25">
      <c r="A103" s="134">
        <v>41945</v>
      </c>
      <c r="B103" s="136">
        <v>1.7</v>
      </c>
      <c r="C103" s="135">
        <v>0.6069444444444444</v>
      </c>
      <c r="D103" s="135">
        <v>0.29305555555555557</v>
      </c>
      <c r="E103" s="135">
        <v>0.70763888888888893</v>
      </c>
    </row>
    <row r="104" spans="1:5" x14ac:dyDescent="0.25">
      <c r="A104" s="134">
        <v>41946</v>
      </c>
      <c r="B104" s="136">
        <v>1</v>
      </c>
      <c r="C104" s="135">
        <v>0.1125</v>
      </c>
      <c r="D104" s="135">
        <v>0.29444444444444445</v>
      </c>
      <c r="E104" s="135">
        <v>0.70625000000000004</v>
      </c>
    </row>
    <row r="105" spans="1:5" x14ac:dyDescent="0.25">
      <c r="A105" s="134">
        <v>41946</v>
      </c>
      <c r="B105" s="136">
        <v>0.7</v>
      </c>
      <c r="C105" s="135">
        <v>0.64861111111111114</v>
      </c>
      <c r="D105" s="135">
        <v>0.29444444444444445</v>
      </c>
      <c r="E105" s="135">
        <v>0.70625000000000004</v>
      </c>
    </row>
    <row r="106" spans="1:5" x14ac:dyDescent="0.25">
      <c r="A106" s="134">
        <v>41947</v>
      </c>
      <c r="B106" s="136">
        <v>1.2</v>
      </c>
      <c r="C106" s="135">
        <v>0.15</v>
      </c>
      <c r="D106" s="135">
        <v>0.2951388888888889</v>
      </c>
      <c r="E106" s="135">
        <v>0.7055555555555556</v>
      </c>
    </row>
    <row r="107" spans="1:5" x14ac:dyDescent="0.25">
      <c r="A107" s="134">
        <v>41947</v>
      </c>
      <c r="B107" s="136">
        <v>-0.1</v>
      </c>
      <c r="C107" s="135">
        <v>0.68472222222222223</v>
      </c>
      <c r="D107" s="135">
        <v>0.2951388888888889</v>
      </c>
      <c r="E107" s="135">
        <v>0.7055555555555556</v>
      </c>
    </row>
    <row r="108" spans="1:5" x14ac:dyDescent="0.25">
      <c r="A108" s="134">
        <v>41948</v>
      </c>
      <c r="B108" s="136">
        <v>1.4</v>
      </c>
      <c r="C108" s="135">
        <v>0.18402777777777779</v>
      </c>
      <c r="D108" s="135">
        <v>0.29652777777777778</v>
      </c>
      <c r="E108" s="135">
        <v>0.70416666666666672</v>
      </c>
    </row>
    <row r="109" spans="1:5" x14ac:dyDescent="0.25">
      <c r="A109" s="134">
        <v>41948</v>
      </c>
      <c r="B109" s="136">
        <v>-0.7</v>
      </c>
      <c r="C109" s="135">
        <v>0.71805555555555556</v>
      </c>
      <c r="D109" s="135">
        <v>0.29652777777777778</v>
      </c>
      <c r="E109" s="135">
        <v>0.70416666666666672</v>
      </c>
    </row>
    <row r="110" spans="1:5" x14ac:dyDescent="0.25">
      <c r="A110" s="134">
        <v>41949</v>
      </c>
      <c r="B110" s="136">
        <v>1.6</v>
      </c>
      <c r="C110" s="135">
        <v>0.21666666666666667</v>
      </c>
      <c r="D110" s="135">
        <v>0.29722222222222222</v>
      </c>
      <c r="E110" s="135">
        <v>0.70347222222222228</v>
      </c>
    </row>
    <row r="111" spans="1:5" x14ac:dyDescent="0.25">
      <c r="A111" s="134">
        <v>41949</v>
      </c>
      <c r="B111" s="136">
        <v>-1.1000000000000001</v>
      </c>
      <c r="C111" s="135">
        <v>0.74930555555555556</v>
      </c>
      <c r="D111" s="135">
        <v>0.29722222222222222</v>
      </c>
      <c r="E111" s="135">
        <v>0.70347222222222228</v>
      </c>
    </row>
    <row r="112" spans="1:5" x14ac:dyDescent="0.25">
      <c r="A112" s="134">
        <v>41950</v>
      </c>
      <c r="B112" s="136">
        <v>1.9</v>
      </c>
      <c r="C112" s="135">
        <v>0.24722222222222223</v>
      </c>
      <c r="D112" s="135">
        <v>0.2986111111111111</v>
      </c>
      <c r="E112" s="135">
        <v>0.70208333333333328</v>
      </c>
    </row>
    <row r="113" spans="1:5" x14ac:dyDescent="0.25">
      <c r="A113" s="134">
        <v>41950</v>
      </c>
      <c r="B113" s="136">
        <v>-1.2</v>
      </c>
      <c r="C113" s="135">
        <v>0.77916666666666667</v>
      </c>
      <c r="D113" s="135">
        <v>0.2986111111111111</v>
      </c>
      <c r="E113" s="135">
        <v>0.70208333333333328</v>
      </c>
    </row>
    <row r="114" spans="1:5" x14ac:dyDescent="0.25">
      <c r="A114" s="134">
        <v>41951</v>
      </c>
      <c r="B114" s="136">
        <v>2.2000000000000002</v>
      </c>
      <c r="C114" s="135">
        <v>0.27708333333333335</v>
      </c>
      <c r="D114" s="135">
        <v>0.29930555555555555</v>
      </c>
      <c r="E114" s="135">
        <v>0.70138888888888884</v>
      </c>
    </row>
    <row r="115" spans="1:5" x14ac:dyDescent="0.25">
      <c r="A115" s="134">
        <v>41951</v>
      </c>
      <c r="B115" s="136">
        <v>-1.1000000000000001</v>
      </c>
      <c r="C115" s="135">
        <v>0.80833333333333335</v>
      </c>
      <c r="D115" s="135">
        <v>0.29930555555555555</v>
      </c>
      <c r="E115" s="135">
        <v>0.70138888888888884</v>
      </c>
    </row>
    <row r="116" spans="1:5" x14ac:dyDescent="0.25">
      <c r="A116" s="134">
        <v>41952</v>
      </c>
      <c r="B116" s="136">
        <v>2.6</v>
      </c>
      <c r="C116" s="135">
        <v>0.30694444444444446</v>
      </c>
      <c r="D116" s="135">
        <v>0.30069444444444443</v>
      </c>
      <c r="E116" s="135">
        <v>0.7006944444444444</v>
      </c>
    </row>
    <row r="117" spans="1:5" x14ac:dyDescent="0.25">
      <c r="A117" s="134">
        <v>41952</v>
      </c>
      <c r="B117" s="136">
        <v>-0.7</v>
      </c>
      <c r="C117" s="135">
        <v>0.83680555555555558</v>
      </c>
      <c r="D117" s="135">
        <v>0.30069444444444443</v>
      </c>
      <c r="E117" s="135">
        <v>0.7006944444444444</v>
      </c>
    </row>
    <row r="118" spans="1:5" x14ac:dyDescent="0.25">
      <c r="A118" s="134">
        <v>41953</v>
      </c>
      <c r="B118" s="136">
        <v>2.9</v>
      </c>
      <c r="C118" s="135">
        <v>0.33750000000000002</v>
      </c>
      <c r="D118" s="135">
        <v>0.30138888888888887</v>
      </c>
      <c r="E118" s="135">
        <v>0.69930555555555551</v>
      </c>
    </row>
    <row r="119" spans="1:5" x14ac:dyDescent="0.25">
      <c r="A119" s="134">
        <v>41953</v>
      </c>
      <c r="B119" s="136">
        <v>-0.3</v>
      </c>
      <c r="C119" s="135">
        <v>0.86597222222222225</v>
      </c>
      <c r="D119" s="135">
        <v>0.30138888888888887</v>
      </c>
      <c r="E119" s="135">
        <v>0.69930555555555551</v>
      </c>
    </row>
    <row r="120" spans="1:5" x14ac:dyDescent="0.25">
      <c r="A120" s="134">
        <v>41954</v>
      </c>
      <c r="B120" s="136">
        <v>3.3</v>
      </c>
      <c r="C120" s="135">
        <v>0.36944444444444446</v>
      </c>
      <c r="D120" s="135">
        <v>0.30277777777777776</v>
      </c>
      <c r="E120" s="135">
        <v>0.69861111111111107</v>
      </c>
    </row>
    <row r="121" spans="1:5" x14ac:dyDescent="0.25">
      <c r="A121" s="134">
        <v>41954</v>
      </c>
      <c r="B121" s="136">
        <v>0.2</v>
      </c>
      <c r="C121" s="135">
        <v>0.89652777777777781</v>
      </c>
      <c r="D121" s="135">
        <v>0.30277777777777776</v>
      </c>
      <c r="E121" s="135">
        <v>0.69861111111111107</v>
      </c>
    </row>
    <row r="122" spans="1:5" x14ac:dyDescent="0.25">
      <c r="A122" s="134">
        <v>41955</v>
      </c>
      <c r="B122" s="136">
        <v>3.5</v>
      </c>
      <c r="C122" s="135">
        <v>0.40486111111111112</v>
      </c>
      <c r="D122" s="135">
        <v>0.3034722222222222</v>
      </c>
      <c r="E122" s="135">
        <v>0.69791666666666663</v>
      </c>
    </row>
    <row r="123" spans="1:5" x14ac:dyDescent="0.25">
      <c r="A123" s="134">
        <v>41955</v>
      </c>
      <c r="B123" s="136">
        <v>0.8</v>
      </c>
      <c r="C123" s="135">
        <v>0.92847222222222225</v>
      </c>
      <c r="D123" s="135">
        <v>0.3034722222222222</v>
      </c>
      <c r="E123" s="135">
        <v>0.69791666666666663</v>
      </c>
    </row>
    <row r="124" spans="1:5" x14ac:dyDescent="0.25">
      <c r="A124" s="134">
        <v>41956</v>
      </c>
      <c r="B124" s="136">
        <v>3.6</v>
      </c>
      <c r="C124" s="135">
        <v>0.44513888888888886</v>
      </c>
      <c r="D124" s="135">
        <v>0.30486111111111114</v>
      </c>
      <c r="E124" s="135">
        <v>0.69722222222222219</v>
      </c>
    </row>
    <row r="125" spans="1:5" x14ac:dyDescent="0.25">
      <c r="A125" s="134">
        <v>41956</v>
      </c>
      <c r="B125" s="136">
        <v>1.3</v>
      </c>
      <c r="C125" s="135">
        <v>0.96319444444444446</v>
      </c>
      <c r="D125" s="135">
        <v>0.30486111111111114</v>
      </c>
      <c r="E125" s="135">
        <v>0.69722222222222219</v>
      </c>
    </row>
    <row r="126" spans="1:5" x14ac:dyDescent="0.25">
      <c r="A126" s="134">
        <v>41957</v>
      </c>
      <c r="B126" s="136">
        <v>3.6</v>
      </c>
      <c r="C126" s="135">
        <v>0.49166666666666664</v>
      </c>
      <c r="D126" s="135">
        <v>0.30555555555555558</v>
      </c>
      <c r="E126" s="135">
        <v>0.69652777777777775</v>
      </c>
    </row>
    <row r="127" spans="1:5" x14ac:dyDescent="0.25">
      <c r="A127" s="134">
        <v>41958</v>
      </c>
      <c r="B127" s="136">
        <v>1.7</v>
      </c>
      <c r="C127" s="135">
        <v>6.9444444444444447E-4</v>
      </c>
      <c r="D127" s="135">
        <v>0.30694444444444446</v>
      </c>
      <c r="E127" s="135">
        <v>0.69513888888888886</v>
      </c>
    </row>
    <row r="128" spans="1:5" x14ac:dyDescent="0.25">
      <c r="A128" s="134">
        <v>41958</v>
      </c>
      <c r="B128" s="136">
        <v>3.3</v>
      </c>
      <c r="C128" s="135">
        <v>0.54097222222222219</v>
      </c>
      <c r="D128" s="135">
        <v>0.30694444444444446</v>
      </c>
      <c r="E128" s="135">
        <v>0.69513888888888886</v>
      </c>
    </row>
    <row r="129" spans="1:5" x14ac:dyDescent="0.25">
      <c r="A129" s="134">
        <v>41959</v>
      </c>
      <c r="B129" s="136">
        <v>2</v>
      </c>
      <c r="C129" s="135">
        <v>3.9583333333333331E-2</v>
      </c>
      <c r="D129" s="135">
        <v>0.30763888888888891</v>
      </c>
      <c r="E129" s="135">
        <v>0.69444444444444442</v>
      </c>
    </row>
    <row r="130" spans="1:5" x14ac:dyDescent="0.25">
      <c r="A130" s="134">
        <v>41959</v>
      </c>
      <c r="B130" s="136">
        <v>2.7</v>
      </c>
      <c r="C130" s="135">
        <v>0.5854166666666667</v>
      </c>
      <c r="D130" s="135">
        <v>0.30763888888888891</v>
      </c>
      <c r="E130" s="135">
        <v>0.69444444444444442</v>
      </c>
    </row>
    <row r="131" spans="1:5" x14ac:dyDescent="0.25">
      <c r="A131" s="134">
        <v>41960</v>
      </c>
      <c r="B131" s="136">
        <v>2.2000000000000002</v>
      </c>
      <c r="C131" s="135">
        <v>7.7777777777777779E-2</v>
      </c>
      <c r="D131" s="135">
        <v>0.30833333333333335</v>
      </c>
      <c r="E131" s="135">
        <v>0.69374999999999998</v>
      </c>
    </row>
    <row r="132" spans="1:5" x14ac:dyDescent="0.25">
      <c r="A132" s="134">
        <v>41960</v>
      </c>
      <c r="B132" s="136">
        <v>2</v>
      </c>
      <c r="C132" s="135">
        <v>0.62361111111111112</v>
      </c>
      <c r="D132" s="135">
        <v>0.30833333333333335</v>
      </c>
      <c r="E132" s="135">
        <v>0.69374999999999998</v>
      </c>
    </row>
    <row r="133" spans="1:5" x14ac:dyDescent="0.25">
      <c r="A133" s="134">
        <v>41961</v>
      </c>
      <c r="B133" s="136">
        <v>2.4</v>
      </c>
      <c r="C133" s="135">
        <v>0.11319444444444444</v>
      </c>
      <c r="D133" s="135">
        <v>0.30972222222222223</v>
      </c>
      <c r="E133" s="135">
        <v>0.69305555555555554</v>
      </c>
    </row>
    <row r="134" spans="1:5" x14ac:dyDescent="0.25">
      <c r="A134" s="134">
        <v>41961</v>
      </c>
      <c r="B134" s="136">
        <v>1.3</v>
      </c>
      <c r="C134" s="135">
        <v>0.65555555555555556</v>
      </c>
      <c r="D134" s="135">
        <v>0.30972222222222223</v>
      </c>
      <c r="E134" s="135">
        <v>0.69305555555555554</v>
      </c>
    </row>
    <row r="135" spans="1:5" x14ac:dyDescent="0.25">
      <c r="A135" s="134">
        <v>41962</v>
      </c>
      <c r="B135" s="136">
        <v>2.5</v>
      </c>
      <c r="C135" s="135">
        <v>0.1451388888888889</v>
      </c>
      <c r="D135" s="135">
        <v>0.31041666666666667</v>
      </c>
      <c r="E135" s="135">
        <v>0.69236111111111109</v>
      </c>
    </row>
    <row r="136" spans="1:5" x14ac:dyDescent="0.25">
      <c r="A136" s="134">
        <v>41962</v>
      </c>
      <c r="B136" s="136">
        <v>0.6</v>
      </c>
      <c r="C136" s="135">
        <v>0.68472222222222223</v>
      </c>
      <c r="D136" s="135">
        <v>0.31041666666666667</v>
      </c>
      <c r="E136" s="135">
        <v>0.69236111111111109</v>
      </c>
    </row>
    <row r="137" spans="1:5" x14ac:dyDescent="0.25">
      <c r="A137" s="134">
        <v>41963</v>
      </c>
      <c r="B137" s="136">
        <v>2.6</v>
      </c>
      <c r="C137" s="135">
        <v>0.17569444444444443</v>
      </c>
      <c r="D137" s="135">
        <v>0.31180555555555556</v>
      </c>
      <c r="E137" s="135">
        <v>0.69166666666666665</v>
      </c>
    </row>
    <row r="138" spans="1:5" x14ac:dyDescent="0.25">
      <c r="A138" s="134">
        <v>41963</v>
      </c>
      <c r="B138" s="136">
        <v>0</v>
      </c>
      <c r="C138" s="135">
        <v>0.71250000000000002</v>
      </c>
      <c r="D138" s="135">
        <v>0.31180555555555556</v>
      </c>
      <c r="E138" s="135">
        <v>0.69166666666666665</v>
      </c>
    </row>
    <row r="139" spans="1:5" x14ac:dyDescent="0.25">
      <c r="A139" s="134">
        <v>41964</v>
      </c>
      <c r="B139" s="136">
        <v>2.6</v>
      </c>
      <c r="C139" s="135">
        <v>0.20416666666666666</v>
      </c>
      <c r="D139" s="135">
        <v>0.3125</v>
      </c>
      <c r="E139" s="135">
        <v>0.69097222222222221</v>
      </c>
    </row>
    <row r="140" spans="1:5" x14ac:dyDescent="0.25">
      <c r="A140" s="134">
        <v>41964</v>
      </c>
      <c r="B140" s="136">
        <v>-0.5</v>
      </c>
      <c r="C140" s="135">
        <v>0.73958333333333337</v>
      </c>
      <c r="D140" s="135">
        <v>0.3125</v>
      </c>
      <c r="E140" s="135">
        <v>0.69097222222222221</v>
      </c>
    </row>
    <row r="141" spans="1:5" x14ac:dyDescent="0.25">
      <c r="A141" s="134">
        <v>41965</v>
      </c>
      <c r="B141" s="136">
        <v>2.7</v>
      </c>
      <c r="C141" s="135">
        <v>0.2326388888888889</v>
      </c>
      <c r="D141" s="135">
        <v>0.31388888888888888</v>
      </c>
      <c r="E141" s="135">
        <v>0.69097222222222221</v>
      </c>
    </row>
    <row r="142" spans="1:5" x14ac:dyDescent="0.25">
      <c r="A142" s="134">
        <v>41965</v>
      </c>
      <c r="B142" s="136">
        <v>-0.8</v>
      </c>
      <c r="C142" s="135">
        <v>0.76666666666666672</v>
      </c>
      <c r="D142" s="135">
        <v>0.31388888888888888</v>
      </c>
      <c r="E142" s="135">
        <v>0.69097222222222221</v>
      </c>
    </row>
    <row r="143" spans="1:5" x14ac:dyDescent="0.25">
      <c r="A143" s="134">
        <v>41966</v>
      </c>
      <c r="B143" s="136">
        <v>2.8</v>
      </c>
      <c r="C143" s="135">
        <v>0.26180555555555557</v>
      </c>
      <c r="D143" s="135">
        <v>0.31458333333333333</v>
      </c>
      <c r="E143" s="135">
        <v>0.69027777777777777</v>
      </c>
    </row>
    <row r="144" spans="1:5" x14ac:dyDescent="0.25">
      <c r="A144" s="134">
        <v>41966</v>
      </c>
      <c r="B144" s="136">
        <v>-1</v>
      </c>
      <c r="C144" s="135">
        <v>0.79513888888888884</v>
      </c>
      <c r="D144" s="135">
        <v>0.31458333333333333</v>
      </c>
      <c r="E144" s="135">
        <v>0.69027777777777777</v>
      </c>
    </row>
    <row r="145" spans="1:5" x14ac:dyDescent="0.25">
      <c r="A145" s="134">
        <v>41967</v>
      </c>
      <c r="B145" s="136">
        <v>2.9</v>
      </c>
      <c r="C145" s="135">
        <v>0.29166666666666669</v>
      </c>
      <c r="D145" s="135">
        <v>0.31527777777777777</v>
      </c>
      <c r="E145" s="135">
        <v>0.68958333333333333</v>
      </c>
    </row>
    <row r="146" spans="1:5" x14ac:dyDescent="0.25">
      <c r="A146" s="134">
        <v>41967</v>
      </c>
      <c r="B146" s="136">
        <v>-1.1000000000000001</v>
      </c>
      <c r="C146" s="135">
        <v>0.82430555555555551</v>
      </c>
      <c r="D146" s="135">
        <v>0.31527777777777777</v>
      </c>
      <c r="E146" s="135">
        <v>0.68958333333333333</v>
      </c>
    </row>
    <row r="147" spans="1:5" x14ac:dyDescent="0.25">
      <c r="A147" s="134">
        <v>41968</v>
      </c>
      <c r="B147" s="136">
        <v>3</v>
      </c>
      <c r="C147" s="135">
        <v>0.32361111111111113</v>
      </c>
      <c r="D147" s="135">
        <v>0.31666666666666665</v>
      </c>
      <c r="E147" s="135">
        <v>0.68888888888888888</v>
      </c>
    </row>
    <row r="148" spans="1:5" x14ac:dyDescent="0.25">
      <c r="A148" s="134">
        <v>41968</v>
      </c>
      <c r="B148" s="136">
        <v>-0.9</v>
      </c>
      <c r="C148" s="135">
        <v>0.85555555555555551</v>
      </c>
      <c r="D148" s="135">
        <v>0.31666666666666665</v>
      </c>
      <c r="E148" s="135">
        <v>0.68888888888888888</v>
      </c>
    </row>
    <row r="149" spans="1:5" x14ac:dyDescent="0.25">
      <c r="A149" s="134">
        <v>41969</v>
      </c>
      <c r="B149" s="136">
        <v>3</v>
      </c>
      <c r="C149" s="135">
        <v>0.35902777777777778</v>
      </c>
      <c r="D149" s="135">
        <v>0.31736111111111109</v>
      </c>
      <c r="E149" s="135">
        <v>0.68888888888888888</v>
      </c>
    </row>
    <row r="150" spans="1:5" x14ac:dyDescent="0.25">
      <c r="A150" s="134">
        <v>41969</v>
      </c>
      <c r="B150" s="136">
        <v>-0.5</v>
      </c>
      <c r="C150" s="135">
        <v>0.8881944444444444</v>
      </c>
      <c r="D150" s="135">
        <v>0.31736111111111109</v>
      </c>
      <c r="E150" s="135">
        <v>0.68888888888888888</v>
      </c>
    </row>
    <row r="151" spans="1:5" x14ac:dyDescent="0.25">
      <c r="A151" s="134">
        <v>41970</v>
      </c>
      <c r="B151" s="136">
        <v>3.1</v>
      </c>
      <c r="C151" s="135">
        <v>0.4</v>
      </c>
      <c r="D151" s="135">
        <v>0.31805555555555554</v>
      </c>
      <c r="E151" s="135">
        <v>0.68819444444444444</v>
      </c>
    </row>
    <row r="152" spans="1:5" x14ac:dyDescent="0.25">
      <c r="A152" s="134">
        <v>41970</v>
      </c>
      <c r="B152" s="136">
        <v>-0.1</v>
      </c>
      <c r="C152" s="135">
        <v>0.92361111111111116</v>
      </c>
      <c r="D152" s="135">
        <v>0.31805555555555554</v>
      </c>
      <c r="E152" s="135">
        <v>0.68819444444444444</v>
      </c>
    </row>
    <row r="153" spans="1:5" x14ac:dyDescent="0.25">
      <c r="A153" s="134">
        <v>41971</v>
      </c>
      <c r="B153" s="136">
        <v>3</v>
      </c>
      <c r="C153" s="135">
        <v>0.4465277777777778</v>
      </c>
      <c r="D153" s="135">
        <v>0.31944444444444442</v>
      </c>
      <c r="E153" s="135">
        <v>0.6875</v>
      </c>
    </row>
    <row r="154" spans="1:5" x14ac:dyDescent="0.25">
      <c r="A154" s="134">
        <v>41971</v>
      </c>
      <c r="B154" s="136">
        <v>0.5</v>
      </c>
      <c r="C154" s="135">
        <v>0.96250000000000002</v>
      </c>
      <c r="D154" s="135">
        <v>0.31944444444444442</v>
      </c>
      <c r="E154" s="135">
        <v>0.6875</v>
      </c>
    </row>
    <row r="155" spans="1:5" x14ac:dyDescent="0.25">
      <c r="A155" s="134">
        <v>41972</v>
      </c>
      <c r="B155" s="136">
        <v>2.7</v>
      </c>
      <c r="C155" s="135">
        <v>0.49722222222222223</v>
      </c>
      <c r="D155" s="135">
        <v>0.32013888888888886</v>
      </c>
      <c r="E155" s="135">
        <v>0.6875</v>
      </c>
    </row>
    <row r="156" spans="1:5" x14ac:dyDescent="0.25">
      <c r="A156" s="134">
        <v>41973</v>
      </c>
      <c r="B156" s="136">
        <v>1.1000000000000001</v>
      </c>
      <c r="C156" s="135">
        <v>3.472222222222222E-3</v>
      </c>
      <c r="D156" s="135">
        <v>0.32083333333333336</v>
      </c>
      <c r="E156" s="135">
        <v>0.68680555555555556</v>
      </c>
    </row>
    <row r="157" spans="1:5" x14ac:dyDescent="0.25">
      <c r="A157" s="134">
        <v>41973</v>
      </c>
      <c r="B157" s="136">
        <v>2.1</v>
      </c>
      <c r="C157" s="135">
        <v>0.55000000000000004</v>
      </c>
      <c r="D157" s="135">
        <v>0.32083333333333336</v>
      </c>
      <c r="E157" s="135">
        <v>0.68680555555555556</v>
      </c>
    </row>
    <row r="158" spans="1:5" x14ac:dyDescent="0.25">
      <c r="A158" s="134">
        <v>41974</v>
      </c>
      <c r="B158" s="136">
        <v>1.6</v>
      </c>
      <c r="C158" s="135">
        <v>4.6527777777777779E-2</v>
      </c>
      <c r="D158" s="135">
        <v>0.3215277777777778</v>
      </c>
      <c r="E158" s="135">
        <v>0.68680555555555556</v>
      </c>
    </row>
    <row r="159" spans="1:5" x14ac:dyDescent="0.25">
      <c r="A159" s="134">
        <v>41974</v>
      </c>
      <c r="B159" s="136">
        <v>1.3</v>
      </c>
      <c r="C159" s="135">
        <v>0.59791666666666665</v>
      </c>
      <c r="D159" s="135">
        <v>0.3215277777777778</v>
      </c>
      <c r="E159" s="135">
        <v>0.68680555555555556</v>
      </c>
    </row>
    <row r="160" spans="1:5" x14ac:dyDescent="0.25">
      <c r="A160" s="134">
        <v>41975</v>
      </c>
      <c r="B160" s="136">
        <v>2</v>
      </c>
      <c r="C160" s="135">
        <v>8.9583333333333334E-2</v>
      </c>
      <c r="D160" s="135">
        <v>0.32291666666666669</v>
      </c>
      <c r="E160" s="135">
        <v>0.68611111111111112</v>
      </c>
    </row>
    <row r="161" spans="1:5" x14ac:dyDescent="0.25">
      <c r="A161" s="134">
        <v>41975</v>
      </c>
      <c r="B161" s="136">
        <v>0.6</v>
      </c>
      <c r="C161" s="135">
        <v>0.63958333333333328</v>
      </c>
      <c r="D161" s="135">
        <v>0.32291666666666669</v>
      </c>
      <c r="E161" s="135">
        <v>0.68611111111111112</v>
      </c>
    </row>
    <row r="162" spans="1:5" x14ac:dyDescent="0.25">
      <c r="A162" s="134">
        <v>41976</v>
      </c>
      <c r="B162" s="136">
        <v>2.2999999999999998</v>
      </c>
      <c r="C162" s="135">
        <v>0.12986111111111112</v>
      </c>
      <c r="D162" s="135">
        <v>0.32361111111111113</v>
      </c>
      <c r="E162" s="135">
        <v>0.68611111111111112</v>
      </c>
    </row>
    <row r="163" spans="1:5" x14ac:dyDescent="0.25">
      <c r="A163" s="134">
        <v>41976</v>
      </c>
      <c r="B163" s="136">
        <v>-0.1</v>
      </c>
      <c r="C163" s="135">
        <v>0.67638888888888893</v>
      </c>
      <c r="D163" s="135">
        <v>0.32361111111111113</v>
      </c>
      <c r="E163" s="135">
        <v>0.68611111111111112</v>
      </c>
    </row>
    <row r="164" spans="1:5" x14ac:dyDescent="0.25">
      <c r="A164" s="134">
        <v>41977</v>
      </c>
      <c r="B164" s="136">
        <v>2.5</v>
      </c>
      <c r="C164" s="135">
        <v>0.1673611111111111</v>
      </c>
      <c r="D164" s="135">
        <v>0.32430555555555557</v>
      </c>
      <c r="E164" s="135">
        <v>0.68611111111111112</v>
      </c>
    </row>
    <row r="165" spans="1:5" x14ac:dyDescent="0.25">
      <c r="A165" s="134">
        <v>41977</v>
      </c>
      <c r="B165" s="136">
        <v>-0.6</v>
      </c>
      <c r="C165" s="135">
        <v>0.70972222222222225</v>
      </c>
      <c r="D165" s="135">
        <v>0.32430555555555557</v>
      </c>
      <c r="E165" s="135">
        <v>0.68611111111111112</v>
      </c>
    </row>
    <row r="166" spans="1:5" x14ac:dyDescent="0.25">
      <c r="A166" s="134">
        <v>41978</v>
      </c>
      <c r="B166" s="136">
        <v>2.6</v>
      </c>
      <c r="C166" s="135">
        <v>0.2013888888888889</v>
      </c>
      <c r="D166" s="135">
        <v>0.32500000000000001</v>
      </c>
      <c r="E166" s="135">
        <v>0.68541666666666667</v>
      </c>
    </row>
    <row r="167" spans="1:5" x14ac:dyDescent="0.25">
      <c r="A167" s="134">
        <v>41978</v>
      </c>
      <c r="B167" s="136">
        <v>-0.9</v>
      </c>
      <c r="C167" s="135">
        <v>0.73958333333333337</v>
      </c>
      <c r="D167" s="135">
        <v>0.32500000000000001</v>
      </c>
      <c r="E167" s="135">
        <v>0.68541666666666667</v>
      </c>
    </row>
    <row r="168" spans="1:5" x14ac:dyDescent="0.25">
      <c r="A168" s="134">
        <v>41979</v>
      </c>
      <c r="B168" s="136">
        <v>2.8</v>
      </c>
      <c r="C168" s="135">
        <v>0.23402777777777778</v>
      </c>
      <c r="D168" s="135">
        <v>0.32569444444444445</v>
      </c>
      <c r="E168" s="135">
        <v>0.68541666666666667</v>
      </c>
    </row>
    <row r="169" spans="1:5" x14ac:dyDescent="0.25">
      <c r="A169" s="134">
        <v>41979</v>
      </c>
      <c r="B169" s="136">
        <v>-1</v>
      </c>
      <c r="C169" s="135">
        <v>0.7680555555555556</v>
      </c>
      <c r="D169" s="135">
        <v>0.32569444444444445</v>
      </c>
      <c r="E169" s="135">
        <v>0.68541666666666667</v>
      </c>
    </row>
    <row r="170" spans="1:5" x14ac:dyDescent="0.25">
      <c r="A170" s="134">
        <v>41980</v>
      </c>
      <c r="B170" s="136">
        <v>2.9</v>
      </c>
      <c r="C170" s="135">
        <v>0.26458333333333334</v>
      </c>
      <c r="D170" s="135">
        <v>0.3263888888888889</v>
      </c>
      <c r="E170" s="135">
        <v>0.68541666666666667</v>
      </c>
    </row>
    <row r="171" spans="1:5" x14ac:dyDescent="0.25">
      <c r="A171" s="134">
        <v>41980</v>
      </c>
      <c r="B171" s="136">
        <v>-0.9</v>
      </c>
      <c r="C171" s="135">
        <v>0.79583333333333328</v>
      </c>
      <c r="D171" s="135">
        <v>0.3263888888888889</v>
      </c>
      <c r="E171" s="135">
        <v>0.68541666666666667</v>
      </c>
    </row>
    <row r="172" spans="1:5" x14ac:dyDescent="0.25">
      <c r="A172" s="134">
        <v>41981</v>
      </c>
      <c r="B172" s="136">
        <v>3.1</v>
      </c>
      <c r="C172" s="135">
        <v>0.29375000000000001</v>
      </c>
      <c r="D172" s="135">
        <v>0.32708333333333334</v>
      </c>
      <c r="E172" s="135">
        <v>0.68541666666666667</v>
      </c>
    </row>
    <row r="173" spans="1:5" x14ac:dyDescent="0.25">
      <c r="A173" s="134">
        <v>41981</v>
      </c>
      <c r="B173" s="136">
        <v>-0.6</v>
      </c>
      <c r="C173" s="135">
        <v>0.82222222222222219</v>
      </c>
      <c r="D173" s="135">
        <v>0.32708333333333334</v>
      </c>
      <c r="E173" s="135">
        <v>0.68541666666666667</v>
      </c>
    </row>
    <row r="174" spans="1:5" x14ac:dyDescent="0.25">
      <c r="A174" s="134">
        <v>41982</v>
      </c>
      <c r="B174" s="136">
        <v>3.2</v>
      </c>
      <c r="C174" s="135">
        <v>0.32291666666666669</v>
      </c>
      <c r="D174" s="135">
        <v>0.32777777777777778</v>
      </c>
      <c r="E174" s="135">
        <v>0.68541666666666667</v>
      </c>
    </row>
    <row r="175" spans="1:5" x14ac:dyDescent="0.25">
      <c r="A175" s="134">
        <v>41982</v>
      </c>
      <c r="B175" s="136">
        <v>-0.2</v>
      </c>
      <c r="C175" s="135">
        <v>0.84791666666666665</v>
      </c>
      <c r="D175" s="135">
        <v>0.32777777777777778</v>
      </c>
      <c r="E175" s="135">
        <v>0.68541666666666667</v>
      </c>
    </row>
    <row r="176" spans="1:5" x14ac:dyDescent="0.25">
      <c r="A176" s="134">
        <v>41983</v>
      </c>
      <c r="B176" s="136">
        <v>3.3</v>
      </c>
      <c r="C176" s="135">
        <v>0.3527777777777778</v>
      </c>
      <c r="D176" s="135">
        <v>0.32847222222222222</v>
      </c>
      <c r="E176" s="135">
        <v>0.68541666666666667</v>
      </c>
    </row>
    <row r="177" spans="1:5" x14ac:dyDescent="0.25">
      <c r="A177" s="134">
        <v>41983</v>
      </c>
      <c r="B177" s="136">
        <v>0.2</v>
      </c>
      <c r="C177" s="135">
        <v>0.87361111111111112</v>
      </c>
      <c r="D177" s="135">
        <v>0.32847222222222222</v>
      </c>
      <c r="E177" s="135">
        <v>0.68541666666666667</v>
      </c>
    </row>
    <row r="178" spans="1:5" x14ac:dyDescent="0.25">
      <c r="A178" s="134">
        <v>41984</v>
      </c>
      <c r="B178" s="136">
        <v>3.4</v>
      </c>
      <c r="C178" s="135">
        <v>0.38472222222222224</v>
      </c>
      <c r="D178" s="135">
        <v>0.32916666666666666</v>
      </c>
      <c r="E178" s="135">
        <v>0.68541666666666667</v>
      </c>
    </row>
    <row r="179" spans="1:5" x14ac:dyDescent="0.25">
      <c r="A179" s="134">
        <v>41984</v>
      </c>
      <c r="B179" s="136">
        <v>0.7</v>
      </c>
      <c r="C179" s="135">
        <v>0.90069444444444446</v>
      </c>
      <c r="D179" s="135">
        <v>0.32916666666666666</v>
      </c>
      <c r="E179" s="135">
        <v>0.68541666666666667</v>
      </c>
    </row>
    <row r="180" spans="1:5" x14ac:dyDescent="0.25">
      <c r="A180" s="134">
        <v>41985</v>
      </c>
      <c r="B180" s="136">
        <v>3.5</v>
      </c>
      <c r="C180" s="135">
        <v>0.4201388888888889</v>
      </c>
      <c r="D180" s="135">
        <v>0.3298611111111111</v>
      </c>
      <c r="E180" s="135">
        <v>0.68541666666666667</v>
      </c>
    </row>
    <row r="181" spans="1:5" x14ac:dyDescent="0.25">
      <c r="A181" s="134">
        <v>41985</v>
      </c>
      <c r="B181" s="136">
        <v>1.2</v>
      </c>
      <c r="C181" s="135">
        <v>0.92847222222222225</v>
      </c>
      <c r="D181" s="135">
        <v>0.3298611111111111</v>
      </c>
      <c r="E181" s="135">
        <v>0.68541666666666667</v>
      </c>
    </row>
    <row r="182" spans="1:5" x14ac:dyDescent="0.25">
      <c r="A182" s="134">
        <v>41986</v>
      </c>
      <c r="B182" s="136">
        <v>3.4</v>
      </c>
      <c r="C182" s="135">
        <v>0.46041666666666664</v>
      </c>
      <c r="D182" s="135">
        <v>0.33055555555555555</v>
      </c>
      <c r="E182" s="135">
        <v>0.68541666666666667</v>
      </c>
    </row>
    <row r="183" spans="1:5" x14ac:dyDescent="0.25">
      <c r="A183" s="134">
        <v>41986</v>
      </c>
      <c r="B183" s="136">
        <v>1.8</v>
      </c>
      <c r="C183" s="135">
        <v>0.95902777777777781</v>
      </c>
      <c r="D183" s="135">
        <v>0.33055555555555555</v>
      </c>
      <c r="E183" s="135">
        <v>0.68541666666666667</v>
      </c>
    </row>
    <row r="184" spans="1:5" x14ac:dyDescent="0.25">
      <c r="A184" s="134">
        <v>41987</v>
      </c>
      <c r="B184" s="136">
        <v>3.2</v>
      </c>
      <c r="C184" s="135">
        <v>0.50486111111111109</v>
      </c>
      <c r="D184" s="135">
        <v>0.33124999999999999</v>
      </c>
      <c r="E184" s="135">
        <v>0.68541666666666667</v>
      </c>
    </row>
    <row r="185" spans="1:5" x14ac:dyDescent="0.25">
      <c r="A185" s="134">
        <v>41987</v>
      </c>
      <c r="B185" s="136">
        <v>2.2999999999999998</v>
      </c>
      <c r="C185" s="135">
        <v>0.99375000000000002</v>
      </c>
      <c r="D185" s="135">
        <v>0.33124999999999999</v>
      </c>
      <c r="E185" s="135">
        <v>0.68541666666666667</v>
      </c>
    </row>
    <row r="186" spans="1:5" x14ac:dyDescent="0.25">
      <c r="A186" s="134">
        <v>41988</v>
      </c>
      <c r="B186" s="136">
        <v>2.7</v>
      </c>
      <c r="C186" s="135">
        <v>0.55069444444444449</v>
      </c>
      <c r="D186" s="135">
        <v>0.33124999999999999</v>
      </c>
      <c r="E186" s="135">
        <v>0.68541666666666667</v>
      </c>
    </row>
    <row r="187" spans="1:5" x14ac:dyDescent="0.25">
      <c r="A187" s="134">
        <v>41989</v>
      </c>
      <c r="B187" s="136">
        <v>2.7</v>
      </c>
      <c r="C187" s="135">
        <v>3.125E-2</v>
      </c>
      <c r="D187" s="135">
        <v>0.33194444444444443</v>
      </c>
      <c r="E187" s="135">
        <v>0.68541666666666667</v>
      </c>
    </row>
    <row r="188" spans="1:5" x14ac:dyDescent="0.25">
      <c r="A188" s="134">
        <v>41989</v>
      </c>
      <c r="B188" s="136">
        <v>2.1</v>
      </c>
      <c r="C188" s="135">
        <v>0.59305555555555556</v>
      </c>
      <c r="D188" s="135">
        <v>0.33194444444444443</v>
      </c>
      <c r="E188" s="135">
        <v>0.68541666666666667</v>
      </c>
    </row>
    <row r="189" spans="1:5" x14ac:dyDescent="0.25">
      <c r="A189" s="134">
        <v>41990</v>
      </c>
      <c r="B189" s="136">
        <v>3</v>
      </c>
      <c r="C189" s="135">
        <v>7.1527777777777773E-2</v>
      </c>
      <c r="D189" s="135">
        <v>0.33263888888888887</v>
      </c>
      <c r="E189" s="135">
        <v>0.68611111111111112</v>
      </c>
    </row>
    <row r="190" spans="1:5" x14ac:dyDescent="0.25">
      <c r="A190" s="134">
        <v>41990</v>
      </c>
      <c r="B190" s="136">
        <v>1.4</v>
      </c>
      <c r="C190" s="135">
        <v>0.63055555555555554</v>
      </c>
      <c r="D190" s="135">
        <v>0.33263888888888887</v>
      </c>
      <c r="E190" s="135">
        <v>0.68611111111111112</v>
      </c>
    </row>
    <row r="191" spans="1:5" x14ac:dyDescent="0.25">
      <c r="A191" s="134">
        <v>41991</v>
      </c>
      <c r="B191" s="136">
        <v>3.2</v>
      </c>
      <c r="C191" s="135">
        <v>0.1111111111111111</v>
      </c>
      <c r="D191" s="135">
        <v>0.33333333333333331</v>
      </c>
      <c r="E191" s="135">
        <v>0.68611111111111112</v>
      </c>
    </row>
    <row r="192" spans="1:5" x14ac:dyDescent="0.25">
      <c r="A192" s="134">
        <v>41991</v>
      </c>
      <c r="B192" s="136">
        <v>0.7</v>
      </c>
      <c r="C192" s="135">
        <v>0.66388888888888886</v>
      </c>
      <c r="D192" s="135">
        <v>0.33333333333333331</v>
      </c>
      <c r="E192" s="135">
        <v>0.68611111111111112</v>
      </c>
    </row>
    <row r="193" spans="1:5" x14ac:dyDescent="0.25">
      <c r="A193" s="134">
        <v>41992</v>
      </c>
      <c r="B193" s="136">
        <v>3.3</v>
      </c>
      <c r="C193" s="135">
        <v>0.14791666666666667</v>
      </c>
      <c r="D193" s="135">
        <v>0.33333333333333331</v>
      </c>
      <c r="E193" s="135">
        <v>0.68611111111111112</v>
      </c>
    </row>
    <row r="194" spans="1:5" x14ac:dyDescent="0.25">
      <c r="A194" s="134">
        <v>41992</v>
      </c>
      <c r="B194" s="136">
        <v>0</v>
      </c>
      <c r="C194" s="135">
        <v>0.69513888888888886</v>
      </c>
      <c r="D194" s="135">
        <v>0.33333333333333331</v>
      </c>
      <c r="E194" s="135">
        <v>0.68611111111111112</v>
      </c>
    </row>
    <row r="195" spans="1:5" x14ac:dyDescent="0.25">
      <c r="A195" s="134">
        <v>41993</v>
      </c>
      <c r="B195" s="136">
        <v>3.2</v>
      </c>
      <c r="C195" s="135">
        <v>0.18263888888888888</v>
      </c>
      <c r="D195" s="135">
        <v>0.33402777777777776</v>
      </c>
      <c r="E195" s="135">
        <v>0.68680555555555556</v>
      </c>
    </row>
    <row r="196" spans="1:5" x14ac:dyDescent="0.25">
      <c r="A196" s="134">
        <v>41993</v>
      </c>
      <c r="B196" s="136">
        <v>-0.6</v>
      </c>
      <c r="C196" s="135">
        <v>0.72430555555555554</v>
      </c>
      <c r="D196" s="135">
        <v>0.33402777777777776</v>
      </c>
      <c r="E196" s="135">
        <v>0.68680555555555556</v>
      </c>
    </row>
    <row r="197" spans="1:5" x14ac:dyDescent="0.25">
      <c r="A197" s="134">
        <v>41994</v>
      </c>
      <c r="B197" s="136">
        <v>3.1</v>
      </c>
      <c r="C197" s="135">
        <v>0.21597222222222223</v>
      </c>
      <c r="D197" s="135">
        <v>0.33402777777777776</v>
      </c>
      <c r="E197" s="135">
        <v>0.68680555555555556</v>
      </c>
    </row>
    <row r="198" spans="1:5" x14ac:dyDescent="0.25">
      <c r="A198" s="134">
        <v>41994</v>
      </c>
      <c r="B198" s="136">
        <v>-1.1000000000000001</v>
      </c>
      <c r="C198" s="135">
        <v>0.75416666666666665</v>
      </c>
      <c r="D198" s="135">
        <v>0.33402777777777776</v>
      </c>
      <c r="E198" s="135">
        <v>0.68680555555555556</v>
      </c>
    </row>
    <row r="199" spans="1:5" x14ac:dyDescent="0.25">
      <c r="A199" s="134">
        <v>41995</v>
      </c>
      <c r="B199" s="136">
        <v>2.9</v>
      </c>
      <c r="C199" s="135">
        <v>0.24930555555555556</v>
      </c>
      <c r="D199" s="135">
        <v>0.3347222222222222</v>
      </c>
      <c r="E199" s="135">
        <v>0.6875</v>
      </c>
    </row>
    <row r="200" spans="1:5" x14ac:dyDescent="0.25">
      <c r="A200" s="134">
        <v>41995</v>
      </c>
      <c r="B200" s="136">
        <v>-1.3</v>
      </c>
      <c r="C200" s="135">
        <v>0.78333333333333333</v>
      </c>
      <c r="D200" s="135">
        <v>0.3347222222222222</v>
      </c>
      <c r="E200" s="135">
        <v>0.6875</v>
      </c>
    </row>
    <row r="201" spans="1:5" x14ac:dyDescent="0.25">
      <c r="A201" s="134">
        <v>41996</v>
      </c>
      <c r="B201" s="136">
        <v>2.8</v>
      </c>
      <c r="C201" s="135">
        <v>0.28194444444444444</v>
      </c>
      <c r="D201" s="135">
        <v>0.3347222222222222</v>
      </c>
      <c r="E201" s="135">
        <v>0.6875</v>
      </c>
    </row>
    <row r="202" spans="1:5" x14ac:dyDescent="0.25">
      <c r="A202" s="134">
        <v>41996</v>
      </c>
      <c r="B202" s="136">
        <v>-1.3</v>
      </c>
      <c r="C202" s="135">
        <v>0.81319444444444444</v>
      </c>
      <c r="D202" s="135">
        <v>0.3347222222222222</v>
      </c>
      <c r="E202" s="135">
        <v>0.6875</v>
      </c>
    </row>
    <row r="203" spans="1:5" x14ac:dyDescent="0.25">
      <c r="A203" s="134">
        <v>41997</v>
      </c>
      <c r="B203" s="136">
        <v>2.6</v>
      </c>
      <c r="C203" s="135">
        <v>0.31666666666666665</v>
      </c>
      <c r="D203" s="135">
        <v>0.33541666666666664</v>
      </c>
      <c r="E203" s="135">
        <v>0.68819444444444444</v>
      </c>
    </row>
    <row r="204" spans="1:5" x14ac:dyDescent="0.25">
      <c r="A204" s="134">
        <v>41997</v>
      </c>
      <c r="B204" s="136">
        <v>-1.1000000000000001</v>
      </c>
      <c r="C204" s="135">
        <v>0.84375</v>
      </c>
      <c r="D204" s="135">
        <v>0.33541666666666664</v>
      </c>
      <c r="E204" s="135">
        <v>0.68819444444444444</v>
      </c>
    </row>
    <row r="205" spans="1:5" x14ac:dyDescent="0.25">
      <c r="A205" s="134">
        <v>41998</v>
      </c>
      <c r="B205" s="136">
        <v>2.5</v>
      </c>
      <c r="C205" s="135">
        <v>0.3527777777777778</v>
      </c>
      <c r="D205" s="135">
        <v>0.33541666666666664</v>
      </c>
      <c r="E205" s="135">
        <v>0.68888888888888888</v>
      </c>
    </row>
    <row r="206" spans="1:5" x14ac:dyDescent="0.25">
      <c r="A206" s="134">
        <v>41998</v>
      </c>
      <c r="B206" s="136">
        <v>-0.7</v>
      </c>
      <c r="C206" s="135">
        <v>0.875</v>
      </c>
      <c r="D206" s="135">
        <v>0.33541666666666664</v>
      </c>
      <c r="E206" s="135">
        <v>0.68888888888888888</v>
      </c>
    </row>
    <row r="207" spans="1:5" x14ac:dyDescent="0.25">
      <c r="A207" s="134">
        <v>41999</v>
      </c>
      <c r="B207" s="136">
        <v>2.4</v>
      </c>
      <c r="C207" s="135">
        <v>0.3923611111111111</v>
      </c>
      <c r="D207" s="135">
        <v>0.33541666666666664</v>
      </c>
      <c r="E207" s="135">
        <v>0.68888888888888888</v>
      </c>
    </row>
    <row r="208" spans="1:5" x14ac:dyDescent="0.25">
      <c r="A208" s="134">
        <v>41999</v>
      </c>
      <c r="B208" s="136">
        <v>0</v>
      </c>
      <c r="C208" s="135">
        <v>0.90763888888888888</v>
      </c>
      <c r="D208" s="135">
        <v>0.33541666666666664</v>
      </c>
      <c r="E208" s="135">
        <v>0.68888888888888888</v>
      </c>
    </row>
    <row r="209" spans="1:5" x14ac:dyDescent="0.25">
      <c r="A209" s="134">
        <v>42000</v>
      </c>
      <c r="B209" s="136">
        <v>2.2999999999999998</v>
      </c>
      <c r="C209" s="135">
        <v>0.43611111111111112</v>
      </c>
      <c r="D209" s="135">
        <v>0.33611111111111114</v>
      </c>
      <c r="E209" s="135">
        <v>0.68958333333333333</v>
      </c>
    </row>
    <row r="210" spans="1:5" x14ac:dyDescent="0.25">
      <c r="A210" s="134">
        <v>42000</v>
      </c>
      <c r="B210" s="136">
        <v>0.7</v>
      </c>
      <c r="C210" s="135">
        <v>0.94236111111111109</v>
      </c>
      <c r="D210" s="135">
        <v>0.33611111111111114</v>
      </c>
      <c r="E210" s="135">
        <v>0.68958333333333333</v>
      </c>
    </row>
    <row r="211" spans="1:5" x14ac:dyDescent="0.25">
      <c r="A211" s="134">
        <v>42001</v>
      </c>
      <c r="B211" s="136">
        <v>2.1</v>
      </c>
      <c r="C211" s="135">
        <v>0.48402777777777778</v>
      </c>
      <c r="D211" s="135">
        <v>0.33611111111111114</v>
      </c>
      <c r="E211" s="135">
        <v>0.69027777777777777</v>
      </c>
    </row>
    <row r="212" spans="1:5" x14ac:dyDescent="0.25">
      <c r="A212" s="134">
        <v>42001</v>
      </c>
      <c r="B212" s="136">
        <v>1.5</v>
      </c>
      <c r="C212" s="135">
        <v>0.98055555555555551</v>
      </c>
      <c r="D212" s="135">
        <v>0.33611111111111114</v>
      </c>
      <c r="E212" s="135">
        <v>0.69027777777777777</v>
      </c>
    </row>
    <row r="213" spans="1:5" x14ac:dyDescent="0.25">
      <c r="A213" s="134">
        <v>42002</v>
      </c>
      <c r="B213" s="136">
        <v>1.7</v>
      </c>
      <c r="C213" s="135">
        <v>0.53472222222222221</v>
      </c>
      <c r="D213" s="135">
        <v>0.33611111111111114</v>
      </c>
      <c r="E213" s="135">
        <v>0.69097222222222221</v>
      </c>
    </row>
    <row r="214" spans="1:5" x14ac:dyDescent="0.25">
      <c r="A214" s="134">
        <v>42003</v>
      </c>
      <c r="B214" s="136">
        <v>2.2999999999999998</v>
      </c>
      <c r="C214" s="135">
        <v>2.2916666666666665E-2</v>
      </c>
      <c r="D214" s="135">
        <v>0.33611111111111114</v>
      </c>
      <c r="E214" s="135">
        <v>0.69166666666666665</v>
      </c>
    </row>
    <row r="215" spans="1:5" x14ac:dyDescent="0.25">
      <c r="A215" s="134">
        <v>42003</v>
      </c>
      <c r="B215" s="136">
        <v>1.2</v>
      </c>
      <c r="C215" s="135">
        <v>0.58402777777777781</v>
      </c>
      <c r="D215" s="135">
        <v>0.33611111111111114</v>
      </c>
      <c r="E215" s="135">
        <v>0.69166666666666665</v>
      </c>
    </row>
    <row r="216" spans="1:5" x14ac:dyDescent="0.25">
      <c r="A216" s="134">
        <v>42004</v>
      </c>
      <c r="B216" s="136">
        <v>2.8</v>
      </c>
      <c r="C216" s="135">
        <v>6.7361111111111108E-2</v>
      </c>
      <c r="D216" s="135">
        <v>0.33611111111111114</v>
      </c>
      <c r="E216" s="135">
        <v>0.69236111111111109</v>
      </c>
    </row>
    <row r="217" spans="1:5" x14ac:dyDescent="0.25">
      <c r="A217" s="134">
        <v>42004</v>
      </c>
      <c r="B217" s="136">
        <v>0.6</v>
      </c>
      <c r="C217" s="135">
        <v>0.62847222222222221</v>
      </c>
      <c r="D217" s="135">
        <v>0.33611111111111114</v>
      </c>
      <c r="E217" s="135">
        <v>0.69236111111111109</v>
      </c>
    </row>
    <row r="218" spans="1:5" x14ac:dyDescent="0.25">
      <c r="A218" s="134">
        <v>42005</v>
      </c>
      <c r="B218" s="136">
        <v>3</v>
      </c>
      <c r="C218" s="135">
        <v>0.11388888888888889</v>
      </c>
      <c r="D218" s="135">
        <v>0.33611111111111114</v>
      </c>
      <c r="E218" s="135">
        <v>0.69236111111111109</v>
      </c>
    </row>
    <row r="219" spans="1:5" x14ac:dyDescent="0.25">
      <c r="A219" s="134">
        <v>42005</v>
      </c>
      <c r="B219" s="136">
        <v>0.2</v>
      </c>
      <c r="C219" s="135">
        <v>0.66736111111111107</v>
      </c>
      <c r="D219" s="135">
        <v>0.33611111111111114</v>
      </c>
      <c r="E219" s="135">
        <v>0.69236111111111109</v>
      </c>
    </row>
    <row r="220" spans="1:5" x14ac:dyDescent="0.25">
      <c r="A220" s="134">
        <v>42006</v>
      </c>
      <c r="B220" s="136">
        <v>3.1</v>
      </c>
      <c r="C220" s="135">
        <v>0.15486111111111112</v>
      </c>
      <c r="D220" s="135">
        <v>0.33611111111111114</v>
      </c>
      <c r="E220" s="135">
        <v>0.69305555555555554</v>
      </c>
    </row>
    <row r="221" spans="1:5" x14ac:dyDescent="0.25">
      <c r="A221" s="134">
        <v>42006</v>
      </c>
      <c r="B221" s="136">
        <v>-0.2</v>
      </c>
      <c r="C221" s="135">
        <v>0.7006944444444444</v>
      </c>
      <c r="D221" s="135">
        <v>0.33611111111111114</v>
      </c>
      <c r="E221" s="135">
        <v>0.69305555555555554</v>
      </c>
    </row>
    <row r="222" spans="1:5" x14ac:dyDescent="0.25">
      <c r="A222" s="134">
        <v>42007</v>
      </c>
      <c r="B222" s="136">
        <v>3.1</v>
      </c>
      <c r="C222" s="135">
        <v>0.19097222222222221</v>
      </c>
      <c r="D222" s="135">
        <v>0.33611111111111114</v>
      </c>
      <c r="E222" s="135">
        <v>0.69374999999999998</v>
      </c>
    </row>
    <row r="223" spans="1:5" x14ac:dyDescent="0.25">
      <c r="A223" s="134">
        <v>42007</v>
      </c>
      <c r="B223" s="136">
        <v>-0.5</v>
      </c>
      <c r="C223" s="135">
        <v>0.73055555555555551</v>
      </c>
      <c r="D223" s="135">
        <v>0.33611111111111114</v>
      </c>
      <c r="E223" s="135">
        <v>0.69374999999999998</v>
      </c>
    </row>
    <row r="224" spans="1:5" x14ac:dyDescent="0.25">
      <c r="A224" s="134">
        <v>42008</v>
      </c>
      <c r="B224" s="136">
        <v>3.1</v>
      </c>
      <c r="C224" s="135">
        <v>0.22430555555555556</v>
      </c>
      <c r="D224" s="135">
        <v>0.33611111111111114</v>
      </c>
      <c r="E224" s="135">
        <v>0.69444444444444442</v>
      </c>
    </row>
    <row r="225" spans="1:5" x14ac:dyDescent="0.25">
      <c r="A225" s="134">
        <v>42008</v>
      </c>
      <c r="B225" s="136">
        <v>-0.5</v>
      </c>
      <c r="C225" s="135">
        <v>0.7583333333333333</v>
      </c>
      <c r="D225" s="135">
        <v>0.33611111111111114</v>
      </c>
      <c r="E225" s="135">
        <v>0.69444444444444442</v>
      </c>
    </row>
    <row r="226" spans="1:5" x14ac:dyDescent="0.25">
      <c r="A226" s="134">
        <v>42009</v>
      </c>
      <c r="B226" s="136">
        <v>3.1</v>
      </c>
      <c r="C226" s="135">
        <v>0.25416666666666665</v>
      </c>
      <c r="D226" s="135">
        <v>0.33611111111111114</v>
      </c>
      <c r="E226" s="135">
        <v>0.6958333333333333</v>
      </c>
    </row>
    <row r="227" spans="1:5" x14ac:dyDescent="0.25">
      <c r="A227" s="134">
        <v>42009</v>
      </c>
      <c r="B227" s="136">
        <v>-0.5</v>
      </c>
      <c r="C227" s="135">
        <v>0.78333333333333333</v>
      </c>
      <c r="D227" s="135">
        <v>0.33611111111111114</v>
      </c>
      <c r="E227" s="135">
        <v>0.6958333333333333</v>
      </c>
    </row>
    <row r="228" spans="1:5" x14ac:dyDescent="0.25">
      <c r="A228" s="134">
        <v>42010</v>
      </c>
      <c r="B228" s="136">
        <v>3</v>
      </c>
      <c r="C228" s="135">
        <v>0.28263888888888888</v>
      </c>
      <c r="D228" s="135">
        <v>0.33611111111111114</v>
      </c>
      <c r="E228" s="135">
        <v>0.69652777777777775</v>
      </c>
    </row>
    <row r="229" spans="1:5" x14ac:dyDescent="0.25">
      <c r="A229" s="134">
        <v>42010</v>
      </c>
      <c r="B229" s="136">
        <v>-0.3</v>
      </c>
      <c r="C229" s="135">
        <v>0.80763888888888891</v>
      </c>
      <c r="D229" s="135">
        <v>0.33611111111111114</v>
      </c>
      <c r="E229" s="135">
        <v>0.69652777777777775</v>
      </c>
    </row>
    <row r="230" spans="1:5" x14ac:dyDescent="0.25">
      <c r="A230" s="134">
        <v>42011</v>
      </c>
      <c r="B230" s="136">
        <v>3</v>
      </c>
      <c r="C230" s="135">
        <v>0.31041666666666667</v>
      </c>
      <c r="D230" s="135">
        <v>0.33541666666666664</v>
      </c>
      <c r="E230" s="135">
        <v>0.69722222222222219</v>
      </c>
    </row>
    <row r="231" spans="1:5" x14ac:dyDescent="0.25">
      <c r="A231" s="134">
        <v>42011</v>
      </c>
      <c r="B231" s="136">
        <v>-0.1</v>
      </c>
      <c r="C231" s="135">
        <v>0.83125000000000004</v>
      </c>
      <c r="D231" s="135">
        <v>0.33541666666666664</v>
      </c>
      <c r="E231" s="135">
        <v>0.69722222222222219</v>
      </c>
    </row>
    <row r="232" spans="1:5" x14ac:dyDescent="0.25">
      <c r="A232" s="134">
        <v>42012</v>
      </c>
      <c r="B232" s="136">
        <v>3</v>
      </c>
      <c r="C232" s="135">
        <v>0.33750000000000002</v>
      </c>
      <c r="D232" s="135">
        <v>0.33541666666666664</v>
      </c>
      <c r="E232" s="135">
        <v>0.69791666666666663</v>
      </c>
    </row>
    <row r="233" spans="1:5" x14ac:dyDescent="0.25">
      <c r="A233" s="134">
        <v>42012</v>
      </c>
      <c r="B233" s="136">
        <v>0.3</v>
      </c>
      <c r="C233" s="135">
        <v>0.85416666666666663</v>
      </c>
      <c r="D233" s="135">
        <v>0.33541666666666664</v>
      </c>
      <c r="E233" s="135">
        <v>0.69791666666666663</v>
      </c>
    </row>
    <row r="234" spans="1:5" x14ac:dyDescent="0.25">
      <c r="A234" s="134">
        <v>42013</v>
      </c>
      <c r="B234" s="136">
        <v>3</v>
      </c>
      <c r="C234" s="135">
        <v>0.3659722222222222</v>
      </c>
      <c r="D234" s="135">
        <v>0.33541666666666664</v>
      </c>
      <c r="E234" s="135">
        <v>0.69861111111111107</v>
      </c>
    </row>
    <row r="235" spans="1:5" x14ac:dyDescent="0.25">
      <c r="A235" s="134">
        <v>42013</v>
      </c>
      <c r="B235" s="136">
        <v>0.7</v>
      </c>
      <c r="C235" s="135">
        <v>0.87708333333333333</v>
      </c>
      <c r="D235" s="135">
        <v>0.33541666666666664</v>
      </c>
      <c r="E235" s="135">
        <v>0.69861111111111107</v>
      </c>
    </row>
    <row r="236" spans="1:5" x14ac:dyDescent="0.25">
      <c r="A236" s="134">
        <v>42014</v>
      </c>
      <c r="B236" s="136">
        <v>3</v>
      </c>
      <c r="C236" s="135">
        <v>0.39652777777777776</v>
      </c>
      <c r="D236" s="135">
        <v>0.3347222222222222</v>
      </c>
      <c r="E236" s="135">
        <v>0.69930555555555551</v>
      </c>
    </row>
    <row r="237" spans="1:5" x14ac:dyDescent="0.25">
      <c r="A237" s="134">
        <v>42014</v>
      </c>
      <c r="B237" s="136">
        <v>1.2</v>
      </c>
      <c r="C237" s="135">
        <v>0.90138888888888891</v>
      </c>
      <c r="D237" s="135">
        <v>0.3347222222222222</v>
      </c>
      <c r="E237" s="135">
        <v>0.69930555555555551</v>
      </c>
    </row>
    <row r="238" spans="1:5" x14ac:dyDescent="0.25">
      <c r="A238" s="134">
        <v>42015</v>
      </c>
      <c r="B238" s="136">
        <v>3</v>
      </c>
      <c r="C238" s="135">
        <v>0.43125000000000002</v>
      </c>
      <c r="D238" s="135">
        <v>0.3347222222222222</v>
      </c>
      <c r="E238" s="135">
        <v>0.7006944444444444</v>
      </c>
    </row>
    <row r="239" spans="1:5" x14ac:dyDescent="0.25">
      <c r="A239" s="134">
        <v>42015</v>
      </c>
      <c r="B239" s="136">
        <v>1.8</v>
      </c>
      <c r="C239" s="135">
        <v>0.92708333333333337</v>
      </c>
      <c r="D239" s="135">
        <v>0.3347222222222222</v>
      </c>
      <c r="E239" s="135">
        <v>0.7006944444444444</v>
      </c>
    </row>
    <row r="240" spans="1:5" x14ac:dyDescent="0.25">
      <c r="A240" s="134">
        <v>42016</v>
      </c>
      <c r="B240" s="136">
        <v>2.9</v>
      </c>
      <c r="C240" s="135">
        <v>0.47013888888888888</v>
      </c>
      <c r="D240" s="135">
        <v>0.33402777777777776</v>
      </c>
      <c r="E240" s="135">
        <v>0.70138888888888884</v>
      </c>
    </row>
    <row r="241" spans="1:5" x14ac:dyDescent="0.25">
      <c r="A241" s="134">
        <v>42016</v>
      </c>
      <c r="B241" s="136">
        <v>2.4</v>
      </c>
      <c r="C241" s="135">
        <v>0.95694444444444449</v>
      </c>
      <c r="D241" s="135">
        <v>0.33402777777777776</v>
      </c>
      <c r="E241" s="135">
        <v>0.70138888888888884</v>
      </c>
    </row>
    <row r="242" spans="1:5" x14ac:dyDescent="0.25">
      <c r="A242" s="134">
        <v>42017</v>
      </c>
      <c r="B242" s="136">
        <v>2.6</v>
      </c>
      <c r="C242" s="135">
        <v>0.51458333333333328</v>
      </c>
      <c r="D242" s="135">
        <v>0.33402777777777776</v>
      </c>
      <c r="E242" s="135">
        <v>0.70208333333333328</v>
      </c>
    </row>
    <row r="243" spans="1:5" x14ac:dyDescent="0.25">
      <c r="A243" s="134">
        <v>42017</v>
      </c>
      <c r="B243" s="136">
        <v>2.9</v>
      </c>
      <c r="C243" s="135">
        <v>0.99236111111111114</v>
      </c>
      <c r="D243" s="135">
        <v>0.33402777777777776</v>
      </c>
      <c r="E243" s="135">
        <v>0.70208333333333328</v>
      </c>
    </row>
    <row r="244" spans="1:5" x14ac:dyDescent="0.25">
      <c r="A244" s="134">
        <v>42018</v>
      </c>
      <c r="B244" s="136">
        <v>2.2000000000000002</v>
      </c>
      <c r="C244" s="135">
        <v>0.56041666666666667</v>
      </c>
      <c r="D244" s="135">
        <v>0.33333333333333331</v>
      </c>
      <c r="E244" s="135">
        <v>0.70347222222222228</v>
      </c>
    </row>
    <row r="245" spans="1:5" x14ac:dyDescent="0.25">
      <c r="A245" s="134">
        <v>42019</v>
      </c>
      <c r="B245" s="136">
        <v>3.3</v>
      </c>
      <c r="C245" s="135">
        <v>3.5416666666666666E-2</v>
      </c>
      <c r="D245" s="135">
        <v>0.33333333333333331</v>
      </c>
      <c r="E245" s="135">
        <v>0.70416666666666672</v>
      </c>
    </row>
    <row r="246" spans="1:5" x14ac:dyDescent="0.25">
      <c r="A246" s="134">
        <v>42019</v>
      </c>
      <c r="B246" s="136">
        <v>1.5</v>
      </c>
      <c r="C246" s="135">
        <v>0.60347222222222219</v>
      </c>
      <c r="D246" s="135">
        <v>0.33333333333333331</v>
      </c>
      <c r="E246" s="135">
        <v>0.70416666666666672</v>
      </c>
    </row>
    <row r="247" spans="1:5" x14ac:dyDescent="0.25">
      <c r="A247" s="134">
        <v>42020</v>
      </c>
      <c r="B247" s="136">
        <v>3.5</v>
      </c>
      <c r="C247" s="135">
        <v>8.1944444444444445E-2</v>
      </c>
      <c r="D247" s="135">
        <v>0.33263888888888887</v>
      </c>
      <c r="E247" s="135">
        <v>0.70486111111111116</v>
      </c>
    </row>
    <row r="248" spans="1:5" x14ac:dyDescent="0.25">
      <c r="A248" s="134">
        <v>42020</v>
      </c>
      <c r="B248" s="136">
        <v>0.8</v>
      </c>
      <c r="C248" s="135">
        <v>0.64236111111111116</v>
      </c>
      <c r="D248" s="135">
        <v>0.33263888888888887</v>
      </c>
      <c r="E248" s="135">
        <v>0.70486111111111116</v>
      </c>
    </row>
    <row r="249" spans="1:5" x14ac:dyDescent="0.25">
      <c r="A249" s="134">
        <v>42021</v>
      </c>
      <c r="B249" s="136">
        <v>3.5</v>
      </c>
      <c r="C249" s="135">
        <v>0.12638888888888888</v>
      </c>
      <c r="D249" s="135">
        <v>0.33194444444444443</v>
      </c>
      <c r="E249" s="135">
        <v>0.70625000000000004</v>
      </c>
    </row>
    <row r="250" spans="1:5" x14ac:dyDescent="0.25">
      <c r="A250" s="134">
        <v>42021</v>
      </c>
      <c r="B250" s="136">
        <v>0.1</v>
      </c>
      <c r="C250" s="135">
        <v>0.67708333333333337</v>
      </c>
      <c r="D250" s="135">
        <v>0.33194444444444443</v>
      </c>
      <c r="E250" s="135">
        <v>0.70625000000000004</v>
      </c>
    </row>
    <row r="251" spans="1:5" x14ac:dyDescent="0.25">
      <c r="A251" s="134">
        <v>42022</v>
      </c>
      <c r="B251" s="136">
        <v>3.3</v>
      </c>
      <c r="C251" s="135">
        <v>0.16666666666666666</v>
      </c>
      <c r="D251" s="135">
        <v>0.33124999999999999</v>
      </c>
      <c r="E251" s="135">
        <v>0.70694444444444449</v>
      </c>
    </row>
    <row r="252" spans="1:5" x14ac:dyDescent="0.25">
      <c r="A252" s="134">
        <v>42022</v>
      </c>
      <c r="B252" s="136">
        <v>-0.6</v>
      </c>
      <c r="C252" s="135">
        <v>0.70972222222222225</v>
      </c>
      <c r="D252" s="135">
        <v>0.33124999999999999</v>
      </c>
      <c r="E252" s="135">
        <v>0.70694444444444449</v>
      </c>
    </row>
    <row r="253" spans="1:5" x14ac:dyDescent="0.25">
      <c r="A253" s="134">
        <v>42023</v>
      </c>
      <c r="B253" s="136">
        <v>3</v>
      </c>
      <c r="C253" s="135">
        <v>0.20416666666666666</v>
      </c>
      <c r="D253" s="135">
        <v>0.33124999999999999</v>
      </c>
      <c r="E253" s="135">
        <v>0.70763888888888893</v>
      </c>
    </row>
    <row r="254" spans="1:5" x14ac:dyDescent="0.25">
      <c r="A254" s="134">
        <v>42023</v>
      </c>
      <c r="B254" s="136">
        <v>-1.1000000000000001</v>
      </c>
      <c r="C254" s="135">
        <v>0.74097222222222225</v>
      </c>
      <c r="D254" s="135">
        <v>0.33124999999999999</v>
      </c>
      <c r="E254" s="135">
        <v>0.70763888888888893</v>
      </c>
    </row>
    <row r="255" spans="1:5" x14ac:dyDescent="0.25">
      <c r="A255" s="134">
        <v>42024</v>
      </c>
      <c r="B255" s="136">
        <v>2.6</v>
      </c>
      <c r="C255" s="135">
        <v>0.2388888888888889</v>
      </c>
      <c r="D255" s="135">
        <v>0.33055555555555555</v>
      </c>
      <c r="E255" s="135">
        <v>0.70902777777777781</v>
      </c>
    </row>
    <row r="256" spans="1:5" x14ac:dyDescent="0.25">
      <c r="A256" s="134">
        <v>42024</v>
      </c>
      <c r="B256" s="136">
        <v>-1.4</v>
      </c>
      <c r="C256" s="135">
        <v>0.77083333333333337</v>
      </c>
      <c r="D256" s="135">
        <v>0.33055555555555555</v>
      </c>
      <c r="E256" s="135">
        <v>0.70902777777777781</v>
      </c>
    </row>
    <row r="257" spans="1:5" x14ac:dyDescent="0.25">
      <c r="A257" s="134">
        <v>42025</v>
      </c>
      <c r="B257" s="136">
        <v>2.2000000000000002</v>
      </c>
      <c r="C257" s="135">
        <v>0.27361111111111114</v>
      </c>
      <c r="D257" s="135">
        <v>0.3298611111111111</v>
      </c>
      <c r="E257" s="135">
        <v>0.70972222222222225</v>
      </c>
    </row>
    <row r="258" spans="1:5" x14ac:dyDescent="0.25">
      <c r="A258" s="134">
        <v>42025</v>
      </c>
      <c r="B258" s="136">
        <v>-1.4</v>
      </c>
      <c r="C258" s="135">
        <v>0.80069444444444449</v>
      </c>
      <c r="D258" s="135">
        <v>0.3298611111111111</v>
      </c>
      <c r="E258" s="135">
        <v>0.70972222222222225</v>
      </c>
    </row>
    <row r="259" spans="1:5" x14ac:dyDescent="0.25">
      <c r="A259" s="134">
        <v>42026</v>
      </c>
      <c r="B259" s="136">
        <v>1.8</v>
      </c>
      <c r="C259" s="135">
        <v>0.30833333333333335</v>
      </c>
      <c r="D259" s="135">
        <v>0.32916666666666666</v>
      </c>
      <c r="E259" s="135">
        <v>0.71111111111111114</v>
      </c>
    </row>
    <row r="260" spans="1:5" x14ac:dyDescent="0.25">
      <c r="A260" s="134">
        <v>42026</v>
      </c>
      <c r="B260" s="136">
        <v>-1.1000000000000001</v>
      </c>
      <c r="C260" s="135">
        <v>0.8305555555555556</v>
      </c>
      <c r="D260" s="135">
        <v>0.32916666666666666</v>
      </c>
      <c r="E260" s="135">
        <v>0.71111111111111114</v>
      </c>
    </row>
    <row r="261" spans="1:5" x14ac:dyDescent="0.25">
      <c r="A261" s="134">
        <v>42027</v>
      </c>
      <c r="B261" s="136">
        <v>1.6</v>
      </c>
      <c r="C261" s="135">
        <v>0.34444444444444444</v>
      </c>
      <c r="D261" s="135">
        <v>0.32847222222222222</v>
      </c>
      <c r="E261" s="135">
        <v>0.71180555555555558</v>
      </c>
    </row>
    <row r="262" spans="1:5" x14ac:dyDescent="0.25">
      <c r="A262" s="134">
        <v>42027</v>
      </c>
      <c r="B262" s="136">
        <v>-0.6</v>
      </c>
      <c r="C262" s="135">
        <v>0.86111111111111116</v>
      </c>
      <c r="D262" s="135">
        <v>0.32847222222222222</v>
      </c>
      <c r="E262" s="135">
        <v>0.71180555555555558</v>
      </c>
    </row>
    <row r="263" spans="1:5" x14ac:dyDescent="0.25">
      <c r="A263" s="134">
        <v>42028</v>
      </c>
      <c r="B263" s="136">
        <v>1.5</v>
      </c>
      <c r="C263" s="135">
        <v>0.38194444444444442</v>
      </c>
      <c r="D263" s="135">
        <v>0.32777777777777778</v>
      </c>
      <c r="E263" s="135">
        <v>0.71319444444444446</v>
      </c>
    </row>
    <row r="264" spans="1:5" x14ac:dyDescent="0.25">
      <c r="A264" s="134">
        <v>42028</v>
      </c>
      <c r="B264" s="136">
        <v>0.1</v>
      </c>
      <c r="C264" s="135">
        <v>0.89236111111111116</v>
      </c>
      <c r="D264" s="135">
        <v>0.32777777777777778</v>
      </c>
      <c r="E264" s="135">
        <v>0.71319444444444446</v>
      </c>
    </row>
    <row r="265" spans="1:5" x14ac:dyDescent="0.25">
      <c r="A265" s="134">
        <v>42029</v>
      </c>
      <c r="B265" s="136">
        <v>1.5</v>
      </c>
      <c r="C265" s="135">
        <v>0.42222222222222222</v>
      </c>
      <c r="D265" s="135">
        <v>0.32708333333333334</v>
      </c>
      <c r="E265" s="135">
        <v>0.71388888888888891</v>
      </c>
    </row>
    <row r="266" spans="1:5" x14ac:dyDescent="0.25">
      <c r="A266" s="134">
        <v>42029</v>
      </c>
      <c r="B266" s="136">
        <v>1</v>
      </c>
      <c r="C266" s="135">
        <v>0.92569444444444449</v>
      </c>
      <c r="D266" s="135">
        <v>0.32708333333333334</v>
      </c>
      <c r="E266" s="135">
        <v>0.71388888888888891</v>
      </c>
    </row>
    <row r="267" spans="1:5" x14ac:dyDescent="0.25">
      <c r="A267" s="134">
        <v>42030</v>
      </c>
      <c r="B267" s="136">
        <v>1.5</v>
      </c>
      <c r="C267" s="135">
        <v>0.46736111111111112</v>
      </c>
      <c r="D267" s="135">
        <v>0.3263888888888889</v>
      </c>
      <c r="E267" s="135">
        <v>0.71527777777777779</v>
      </c>
    </row>
    <row r="268" spans="1:5" x14ac:dyDescent="0.25">
      <c r="A268" s="134">
        <v>42030</v>
      </c>
      <c r="B268" s="136">
        <v>1.9</v>
      </c>
      <c r="C268" s="135">
        <v>0.96180555555555558</v>
      </c>
      <c r="D268" s="135">
        <v>0.3263888888888889</v>
      </c>
      <c r="E268" s="135">
        <v>0.71527777777777779</v>
      </c>
    </row>
    <row r="269" spans="1:5" x14ac:dyDescent="0.25">
      <c r="A269" s="134">
        <v>42031</v>
      </c>
      <c r="B269" s="136">
        <v>1.4</v>
      </c>
      <c r="C269" s="135">
        <v>0.51597222222222228</v>
      </c>
      <c r="D269" s="135">
        <v>0.32569444444444445</v>
      </c>
      <c r="E269" s="135">
        <v>0.71597222222222223</v>
      </c>
    </row>
    <row r="270" spans="1:5" x14ac:dyDescent="0.25">
      <c r="A270" s="134">
        <v>42032</v>
      </c>
      <c r="B270" s="136">
        <v>2.6</v>
      </c>
      <c r="C270" s="135">
        <v>3.472222222222222E-3</v>
      </c>
      <c r="D270" s="135">
        <v>0.32500000000000001</v>
      </c>
      <c r="E270" s="135">
        <v>0.71736111111111112</v>
      </c>
    </row>
    <row r="271" spans="1:5" x14ac:dyDescent="0.25">
      <c r="A271" s="134">
        <v>42032</v>
      </c>
      <c r="B271" s="136">
        <v>1.2</v>
      </c>
      <c r="C271" s="135">
        <v>0.56597222222222221</v>
      </c>
      <c r="D271" s="135">
        <v>0.32500000000000001</v>
      </c>
      <c r="E271" s="135">
        <v>0.71736111111111112</v>
      </c>
    </row>
    <row r="272" spans="1:5" x14ac:dyDescent="0.25">
      <c r="A272" s="134">
        <v>42033</v>
      </c>
      <c r="B272" s="136">
        <v>3.2</v>
      </c>
      <c r="C272" s="135">
        <v>5.0694444444444445E-2</v>
      </c>
      <c r="D272" s="135">
        <v>0.32430555555555557</v>
      </c>
      <c r="E272" s="135">
        <v>0.71805555555555556</v>
      </c>
    </row>
    <row r="273" spans="1:5" x14ac:dyDescent="0.25">
      <c r="A273" s="134">
        <v>42033</v>
      </c>
      <c r="B273" s="136">
        <v>0.9</v>
      </c>
      <c r="C273" s="135">
        <v>0.61388888888888893</v>
      </c>
      <c r="D273" s="135">
        <v>0.32430555555555557</v>
      </c>
      <c r="E273" s="135">
        <v>0.71805555555555556</v>
      </c>
    </row>
    <row r="274" spans="1:5" x14ac:dyDescent="0.25">
      <c r="A274" s="134">
        <v>42034</v>
      </c>
      <c r="B274" s="136">
        <v>3.5</v>
      </c>
      <c r="C274" s="135">
        <v>9.930555555555555E-2</v>
      </c>
      <c r="D274" s="135">
        <v>0.32291666666666669</v>
      </c>
      <c r="E274" s="135">
        <v>0.71944444444444444</v>
      </c>
    </row>
    <row r="275" spans="1:5" x14ac:dyDescent="0.25">
      <c r="A275" s="134">
        <v>42034</v>
      </c>
      <c r="B275" s="136">
        <v>0.5</v>
      </c>
      <c r="C275" s="135">
        <v>0.65486111111111112</v>
      </c>
      <c r="D275" s="135">
        <v>0.32291666666666669</v>
      </c>
      <c r="E275" s="135">
        <v>0.71944444444444444</v>
      </c>
    </row>
    <row r="276" spans="1:5" x14ac:dyDescent="0.25">
      <c r="A276" s="134">
        <v>42035</v>
      </c>
      <c r="B276" s="136">
        <v>3.4</v>
      </c>
      <c r="C276" s="135">
        <v>0.14444444444444443</v>
      </c>
      <c r="D276" s="135">
        <v>0.32222222222222224</v>
      </c>
      <c r="E276" s="135">
        <v>0.72013888888888888</v>
      </c>
    </row>
    <row r="277" spans="1:5" x14ac:dyDescent="0.25">
      <c r="A277" s="134">
        <v>42035</v>
      </c>
      <c r="B277" s="136">
        <v>0.2</v>
      </c>
      <c r="C277" s="135">
        <v>0.68888888888888888</v>
      </c>
      <c r="D277" s="135">
        <v>0.32222222222222224</v>
      </c>
      <c r="E277" s="135">
        <v>0.72013888888888888</v>
      </c>
    </row>
    <row r="278" spans="1:5" x14ac:dyDescent="0.25">
      <c r="A278" s="134">
        <v>42036</v>
      </c>
      <c r="B278" s="136">
        <v>3.2</v>
      </c>
      <c r="C278" s="135">
        <v>0.18263888888888888</v>
      </c>
      <c r="D278" s="135">
        <v>0.3215277777777778</v>
      </c>
      <c r="E278" s="135">
        <v>0.72152777777777777</v>
      </c>
    </row>
    <row r="279" spans="1:5" x14ac:dyDescent="0.25">
      <c r="A279" s="134">
        <v>42036</v>
      </c>
      <c r="B279" s="136">
        <v>0</v>
      </c>
      <c r="C279" s="135">
        <v>0.71875</v>
      </c>
      <c r="D279" s="135">
        <v>0.3215277777777778</v>
      </c>
      <c r="E279" s="135">
        <v>0.72152777777777777</v>
      </c>
    </row>
    <row r="280" spans="1:5" x14ac:dyDescent="0.25">
      <c r="A280" s="134">
        <v>42037</v>
      </c>
      <c r="B280" s="136">
        <v>3</v>
      </c>
      <c r="C280" s="135">
        <v>0.21527777777777779</v>
      </c>
      <c r="D280" s="135">
        <v>0.32083333333333336</v>
      </c>
      <c r="E280" s="135">
        <v>0.72291666666666665</v>
      </c>
    </row>
    <row r="281" spans="1:5" x14ac:dyDescent="0.25">
      <c r="A281" s="134">
        <v>42037</v>
      </c>
      <c r="B281" s="136">
        <v>-0.1</v>
      </c>
      <c r="C281" s="135">
        <v>0.74513888888888891</v>
      </c>
      <c r="D281" s="135">
        <v>0.32083333333333336</v>
      </c>
      <c r="E281" s="135">
        <v>0.72291666666666665</v>
      </c>
    </row>
    <row r="282" spans="1:5" x14ac:dyDescent="0.25">
      <c r="A282" s="134">
        <v>42038</v>
      </c>
      <c r="B282" s="136">
        <v>2.8</v>
      </c>
      <c r="C282" s="135">
        <v>0.24444444444444444</v>
      </c>
      <c r="D282" s="135">
        <v>0.31944444444444442</v>
      </c>
      <c r="E282" s="135">
        <v>0.72361111111111109</v>
      </c>
    </row>
    <row r="283" spans="1:5" x14ac:dyDescent="0.25">
      <c r="A283" s="134">
        <v>42038</v>
      </c>
      <c r="B283" s="136">
        <v>-0.1</v>
      </c>
      <c r="C283" s="135">
        <v>0.76875000000000004</v>
      </c>
      <c r="D283" s="135">
        <v>0.31944444444444442</v>
      </c>
      <c r="E283" s="135">
        <v>0.72361111111111109</v>
      </c>
    </row>
    <row r="284" spans="1:5" x14ac:dyDescent="0.25">
      <c r="A284" s="134">
        <v>42039</v>
      </c>
      <c r="B284" s="136">
        <v>2.5</v>
      </c>
      <c r="C284" s="135">
        <v>0.27083333333333331</v>
      </c>
      <c r="D284" s="135">
        <v>0.31874999999999998</v>
      </c>
      <c r="E284" s="135">
        <v>0.72499999999999998</v>
      </c>
    </row>
    <row r="285" spans="1:5" x14ac:dyDescent="0.25">
      <c r="A285" s="134">
        <v>42039</v>
      </c>
      <c r="B285" s="136">
        <v>0</v>
      </c>
      <c r="C285" s="135">
        <v>0.79097222222222219</v>
      </c>
      <c r="D285" s="135">
        <v>0.31874999999999998</v>
      </c>
      <c r="E285" s="135">
        <v>0.72499999999999998</v>
      </c>
    </row>
    <row r="286" spans="1:5" x14ac:dyDescent="0.25">
      <c r="A286" s="134">
        <v>42040</v>
      </c>
      <c r="B286" s="136">
        <v>2.4</v>
      </c>
      <c r="C286" s="135">
        <v>0.29652777777777778</v>
      </c>
      <c r="D286" s="135">
        <v>0.31805555555555554</v>
      </c>
      <c r="E286" s="135">
        <v>0.72569444444444442</v>
      </c>
    </row>
    <row r="287" spans="1:5" x14ac:dyDescent="0.25">
      <c r="A287" s="134">
        <v>42040</v>
      </c>
      <c r="B287" s="136">
        <v>0.2</v>
      </c>
      <c r="C287" s="135">
        <v>0.8125</v>
      </c>
      <c r="D287" s="135">
        <v>0.31805555555555554</v>
      </c>
      <c r="E287" s="135">
        <v>0.72569444444444442</v>
      </c>
    </row>
    <row r="288" spans="1:5" x14ac:dyDescent="0.25">
      <c r="A288" s="134">
        <v>42041</v>
      </c>
      <c r="B288" s="136">
        <v>2.2999999999999998</v>
      </c>
      <c r="C288" s="135">
        <v>0.3215277777777778</v>
      </c>
      <c r="D288" s="135">
        <v>0.31666666666666665</v>
      </c>
      <c r="E288" s="135">
        <v>0.7270833333333333</v>
      </c>
    </row>
    <row r="289" spans="1:5" x14ac:dyDescent="0.25">
      <c r="A289" s="134">
        <v>42041</v>
      </c>
      <c r="B289" s="136">
        <v>0.5</v>
      </c>
      <c r="C289" s="135">
        <v>0.83333333333333337</v>
      </c>
      <c r="D289" s="135">
        <v>0.31666666666666665</v>
      </c>
      <c r="E289" s="135">
        <v>0.7270833333333333</v>
      </c>
    </row>
    <row r="290" spans="1:5" x14ac:dyDescent="0.25">
      <c r="A290" s="134">
        <v>42042</v>
      </c>
      <c r="B290" s="136">
        <v>2.2000000000000002</v>
      </c>
      <c r="C290" s="135">
        <v>0.34722222222222221</v>
      </c>
      <c r="D290" s="135">
        <v>0.31597222222222221</v>
      </c>
      <c r="E290" s="135">
        <v>0.72777777777777775</v>
      </c>
    </row>
    <row r="291" spans="1:5" x14ac:dyDescent="0.25">
      <c r="A291" s="134">
        <v>42042</v>
      </c>
      <c r="B291" s="136">
        <v>0.9</v>
      </c>
      <c r="C291" s="135">
        <v>0.85416666666666663</v>
      </c>
      <c r="D291" s="135">
        <v>0.31597222222222221</v>
      </c>
      <c r="E291" s="135">
        <v>0.72777777777777775</v>
      </c>
    </row>
    <row r="292" spans="1:5" x14ac:dyDescent="0.25">
      <c r="A292" s="134">
        <v>42043</v>
      </c>
      <c r="B292" s="136">
        <v>2.2000000000000002</v>
      </c>
      <c r="C292" s="135">
        <v>0.37430555555555556</v>
      </c>
      <c r="D292" s="135">
        <v>0.31458333333333333</v>
      </c>
      <c r="E292" s="135">
        <v>0.72916666666666663</v>
      </c>
    </row>
    <row r="293" spans="1:5" x14ac:dyDescent="0.25">
      <c r="A293" s="134">
        <v>42043</v>
      </c>
      <c r="B293" s="136">
        <v>1.4</v>
      </c>
      <c r="C293" s="135">
        <v>0.87569444444444444</v>
      </c>
      <c r="D293" s="135">
        <v>0.31458333333333333</v>
      </c>
      <c r="E293" s="135">
        <v>0.72916666666666663</v>
      </c>
    </row>
    <row r="294" spans="1:5" x14ac:dyDescent="0.25">
      <c r="A294" s="134">
        <v>42044</v>
      </c>
      <c r="B294" s="136">
        <v>2.2000000000000002</v>
      </c>
      <c r="C294" s="135">
        <v>0.40416666666666667</v>
      </c>
      <c r="D294" s="135">
        <v>0.31388888888888888</v>
      </c>
      <c r="E294" s="135">
        <v>0.72986111111111107</v>
      </c>
    </row>
    <row r="295" spans="1:5" x14ac:dyDescent="0.25">
      <c r="A295" s="134">
        <v>42044</v>
      </c>
      <c r="B295" s="136">
        <v>2</v>
      </c>
      <c r="C295" s="135">
        <v>0.89930555555555558</v>
      </c>
      <c r="D295" s="135">
        <v>0.31388888888888888</v>
      </c>
      <c r="E295" s="135">
        <v>0.72986111111111107</v>
      </c>
    </row>
    <row r="296" spans="1:5" x14ac:dyDescent="0.25">
      <c r="A296" s="134">
        <v>42045</v>
      </c>
      <c r="B296" s="136">
        <v>2.2000000000000002</v>
      </c>
      <c r="C296" s="135">
        <v>0.43888888888888888</v>
      </c>
      <c r="D296" s="135">
        <v>0.3125</v>
      </c>
      <c r="E296" s="135">
        <v>0.73124999999999996</v>
      </c>
    </row>
    <row r="297" spans="1:5" x14ac:dyDescent="0.25">
      <c r="A297" s="134">
        <v>42045</v>
      </c>
      <c r="B297" s="136">
        <v>2.5</v>
      </c>
      <c r="C297" s="135">
        <v>0.92569444444444449</v>
      </c>
      <c r="D297" s="135">
        <v>0.3125</v>
      </c>
      <c r="E297" s="135">
        <v>0.73124999999999996</v>
      </c>
    </row>
    <row r="298" spans="1:5" x14ac:dyDescent="0.25">
      <c r="A298" s="134">
        <v>42046</v>
      </c>
      <c r="B298" s="136">
        <v>2.1</v>
      </c>
      <c r="C298" s="135">
        <v>0.47916666666666669</v>
      </c>
      <c r="D298" s="135">
        <v>0.31180555555555556</v>
      </c>
      <c r="E298" s="135">
        <v>0.73263888888888884</v>
      </c>
    </row>
    <row r="299" spans="1:5" x14ac:dyDescent="0.25">
      <c r="A299" s="134">
        <v>42046</v>
      </c>
      <c r="B299" s="136">
        <v>3.1</v>
      </c>
      <c r="C299" s="135">
        <v>0.95972222222222225</v>
      </c>
      <c r="D299" s="135">
        <v>0.31180555555555556</v>
      </c>
      <c r="E299" s="135">
        <v>0.73263888888888884</v>
      </c>
    </row>
    <row r="300" spans="1:5" x14ac:dyDescent="0.25">
      <c r="A300" s="134">
        <v>42047</v>
      </c>
      <c r="B300" s="136">
        <v>1.9</v>
      </c>
      <c r="C300" s="135">
        <v>0.52500000000000002</v>
      </c>
      <c r="D300" s="135">
        <v>0.31041666666666667</v>
      </c>
      <c r="E300" s="135">
        <v>0.73333333333333328</v>
      </c>
    </row>
    <row r="301" spans="1:5" x14ac:dyDescent="0.25">
      <c r="A301" s="134">
        <v>42048</v>
      </c>
      <c r="B301" s="136">
        <v>3.5</v>
      </c>
      <c r="C301" s="135">
        <v>4.1666666666666666E-3</v>
      </c>
      <c r="D301" s="135">
        <v>0.30972222222222223</v>
      </c>
      <c r="E301" s="135">
        <v>0.73472222222222228</v>
      </c>
    </row>
    <row r="302" spans="1:5" x14ac:dyDescent="0.25">
      <c r="A302" s="134">
        <v>42048</v>
      </c>
      <c r="B302" s="136">
        <v>1.4</v>
      </c>
      <c r="C302" s="135">
        <v>0.57361111111111107</v>
      </c>
      <c r="D302" s="135">
        <v>0.30972222222222223</v>
      </c>
      <c r="E302" s="135">
        <v>0.73472222222222228</v>
      </c>
    </row>
    <row r="303" spans="1:5" x14ac:dyDescent="0.25">
      <c r="A303" s="134">
        <v>42049</v>
      </c>
      <c r="B303" s="136">
        <v>3.7</v>
      </c>
      <c r="C303" s="135">
        <v>5.6944444444444443E-2</v>
      </c>
      <c r="D303" s="135">
        <v>0.30833333333333335</v>
      </c>
      <c r="E303" s="135">
        <v>0.73541666666666672</v>
      </c>
    </row>
    <row r="304" spans="1:5" x14ac:dyDescent="0.25">
      <c r="A304" s="134">
        <v>42049</v>
      </c>
      <c r="B304" s="136">
        <v>0.8</v>
      </c>
      <c r="C304" s="135">
        <v>0.61805555555555558</v>
      </c>
      <c r="D304" s="135">
        <v>0.30833333333333335</v>
      </c>
      <c r="E304" s="135">
        <v>0.73541666666666672</v>
      </c>
    </row>
    <row r="305" spans="1:5" x14ac:dyDescent="0.25">
      <c r="A305" s="134">
        <v>42050</v>
      </c>
      <c r="B305" s="136">
        <v>3.5</v>
      </c>
      <c r="C305" s="135">
        <v>0.10902777777777778</v>
      </c>
      <c r="D305" s="135">
        <v>0.30694444444444446</v>
      </c>
      <c r="E305" s="135">
        <v>0.7368055555555556</v>
      </c>
    </row>
    <row r="306" spans="1:5" x14ac:dyDescent="0.25">
      <c r="A306" s="134">
        <v>42050</v>
      </c>
      <c r="B306" s="136">
        <v>0.2</v>
      </c>
      <c r="C306" s="135">
        <v>0.65763888888888888</v>
      </c>
      <c r="D306" s="135">
        <v>0.30694444444444446</v>
      </c>
      <c r="E306" s="135">
        <v>0.7368055555555556</v>
      </c>
    </row>
    <row r="307" spans="1:5" x14ac:dyDescent="0.25">
      <c r="A307" s="134">
        <v>42051</v>
      </c>
      <c r="B307" s="136">
        <v>3</v>
      </c>
      <c r="C307" s="135">
        <v>0.15347222222222223</v>
      </c>
      <c r="D307" s="135">
        <v>0.30625000000000002</v>
      </c>
      <c r="E307" s="135">
        <v>0.73750000000000004</v>
      </c>
    </row>
    <row r="308" spans="1:5" x14ac:dyDescent="0.25">
      <c r="A308" s="134">
        <v>42051</v>
      </c>
      <c r="B308" s="136">
        <v>-0.5</v>
      </c>
      <c r="C308" s="135">
        <v>0.69236111111111109</v>
      </c>
      <c r="D308" s="135">
        <v>0.30625000000000002</v>
      </c>
      <c r="E308" s="135">
        <v>0.73750000000000004</v>
      </c>
    </row>
    <row r="309" spans="1:5" x14ac:dyDescent="0.25">
      <c r="A309" s="134">
        <v>42052</v>
      </c>
      <c r="B309" s="136">
        <v>2.4</v>
      </c>
      <c r="C309" s="135">
        <v>0.19305555555555556</v>
      </c>
      <c r="D309" s="135">
        <v>0.30486111111111114</v>
      </c>
      <c r="E309" s="135">
        <v>0.73888888888888893</v>
      </c>
    </row>
    <row r="310" spans="1:5" x14ac:dyDescent="0.25">
      <c r="A310" s="134">
        <v>42052</v>
      </c>
      <c r="B310" s="136">
        <v>-0.9</v>
      </c>
      <c r="C310" s="135">
        <v>0.72499999999999998</v>
      </c>
      <c r="D310" s="135">
        <v>0.30486111111111114</v>
      </c>
      <c r="E310" s="135">
        <v>0.73888888888888893</v>
      </c>
    </row>
    <row r="311" spans="1:5" x14ac:dyDescent="0.25">
      <c r="A311" s="134">
        <v>42053</v>
      </c>
      <c r="B311" s="136">
        <v>1.8</v>
      </c>
      <c r="C311" s="135">
        <v>0.2298611111111111</v>
      </c>
      <c r="D311" s="135">
        <v>0.3034722222222222</v>
      </c>
      <c r="E311" s="135">
        <v>0.73958333333333337</v>
      </c>
    </row>
    <row r="312" spans="1:5" x14ac:dyDescent="0.25">
      <c r="A312" s="134">
        <v>42053</v>
      </c>
      <c r="B312" s="136">
        <v>-1.1000000000000001</v>
      </c>
      <c r="C312" s="135">
        <v>0.75555555555555554</v>
      </c>
      <c r="D312" s="135">
        <v>0.3034722222222222</v>
      </c>
      <c r="E312" s="135">
        <v>0.73958333333333337</v>
      </c>
    </row>
    <row r="313" spans="1:5" x14ac:dyDescent="0.25">
      <c r="A313" s="134">
        <v>42054</v>
      </c>
      <c r="B313" s="136">
        <v>1.2</v>
      </c>
      <c r="C313" s="135">
        <v>0.26458333333333334</v>
      </c>
      <c r="D313" s="135">
        <v>0.30277777777777776</v>
      </c>
      <c r="E313" s="135">
        <v>0.74097222222222225</v>
      </c>
    </row>
    <row r="314" spans="1:5" x14ac:dyDescent="0.25">
      <c r="A314" s="134">
        <v>42054</v>
      </c>
      <c r="B314" s="136">
        <v>-1.1000000000000001</v>
      </c>
      <c r="C314" s="135">
        <v>0.78541666666666665</v>
      </c>
      <c r="D314" s="135">
        <v>0.30277777777777776</v>
      </c>
      <c r="E314" s="135">
        <v>0.74097222222222225</v>
      </c>
    </row>
    <row r="315" spans="1:5" x14ac:dyDescent="0.25">
      <c r="A315" s="134">
        <v>42055</v>
      </c>
      <c r="B315" s="136">
        <v>0.7</v>
      </c>
      <c r="C315" s="135">
        <v>0.2986111111111111</v>
      </c>
      <c r="D315" s="135">
        <v>0.30138888888888887</v>
      </c>
      <c r="E315" s="135">
        <v>0.74236111111111114</v>
      </c>
    </row>
    <row r="316" spans="1:5" x14ac:dyDescent="0.25">
      <c r="A316" s="134">
        <v>42055</v>
      </c>
      <c r="B316" s="136">
        <v>-0.7</v>
      </c>
      <c r="C316" s="135">
        <v>0.81458333333333333</v>
      </c>
      <c r="D316" s="135">
        <v>0.30138888888888887</v>
      </c>
      <c r="E316" s="135">
        <v>0.74236111111111114</v>
      </c>
    </row>
    <row r="317" spans="1:5" x14ac:dyDescent="0.25">
      <c r="A317" s="134">
        <v>42056</v>
      </c>
      <c r="B317" s="136">
        <v>0.4</v>
      </c>
      <c r="C317" s="135">
        <v>0.33333333333333331</v>
      </c>
      <c r="D317" s="135">
        <v>0.3</v>
      </c>
      <c r="E317" s="135">
        <v>0.74305555555555558</v>
      </c>
    </row>
    <row r="318" spans="1:5" x14ac:dyDescent="0.25">
      <c r="A318" s="134">
        <v>42056</v>
      </c>
      <c r="B318" s="136">
        <v>-0.1</v>
      </c>
      <c r="C318" s="135">
        <v>0.84444444444444444</v>
      </c>
      <c r="D318" s="135">
        <v>0.3</v>
      </c>
      <c r="E318" s="135">
        <v>0.74305555555555558</v>
      </c>
    </row>
    <row r="319" spans="1:5" x14ac:dyDescent="0.25">
      <c r="A319" s="134">
        <v>42057</v>
      </c>
      <c r="B319" s="136">
        <v>0.4</v>
      </c>
      <c r="C319" s="135">
        <v>0.36875000000000002</v>
      </c>
      <c r="D319" s="135">
        <v>0.2986111111111111</v>
      </c>
      <c r="E319" s="135">
        <v>0.74444444444444446</v>
      </c>
    </row>
    <row r="320" spans="1:5" x14ac:dyDescent="0.25">
      <c r="A320" s="134">
        <v>42057</v>
      </c>
      <c r="B320" s="136">
        <v>0.6</v>
      </c>
      <c r="C320" s="135">
        <v>0.875</v>
      </c>
      <c r="D320" s="135">
        <v>0.2986111111111111</v>
      </c>
      <c r="E320" s="135">
        <v>0.74444444444444446</v>
      </c>
    </row>
    <row r="321" spans="1:5" x14ac:dyDescent="0.25">
      <c r="A321" s="134">
        <v>42058</v>
      </c>
      <c r="B321" s="136">
        <v>0.5</v>
      </c>
      <c r="C321" s="135">
        <v>0.40625</v>
      </c>
      <c r="D321" s="135">
        <v>0.29791666666666666</v>
      </c>
      <c r="E321" s="135">
        <v>0.74513888888888891</v>
      </c>
    </row>
    <row r="322" spans="1:5" x14ac:dyDescent="0.25">
      <c r="A322" s="134">
        <v>42058</v>
      </c>
      <c r="B322" s="136">
        <v>1.5</v>
      </c>
      <c r="C322" s="135">
        <v>0.90694444444444444</v>
      </c>
      <c r="D322" s="135">
        <v>0.29791666666666666</v>
      </c>
      <c r="E322" s="135">
        <v>0.74513888888888891</v>
      </c>
    </row>
    <row r="323" spans="1:5" x14ac:dyDescent="0.25">
      <c r="A323" s="134">
        <v>42059</v>
      </c>
      <c r="B323" s="136">
        <v>0.8</v>
      </c>
      <c r="C323" s="135">
        <v>0.44722222222222224</v>
      </c>
      <c r="D323" s="135">
        <v>0.29652777777777778</v>
      </c>
      <c r="E323" s="135">
        <v>0.74652777777777779</v>
      </c>
    </row>
    <row r="324" spans="1:5" x14ac:dyDescent="0.25">
      <c r="A324" s="134">
        <v>42059</v>
      </c>
      <c r="B324" s="136">
        <v>2.2999999999999998</v>
      </c>
      <c r="C324" s="135">
        <v>0.94305555555555554</v>
      </c>
      <c r="D324" s="135">
        <v>0.29652777777777778</v>
      </c>
      <c r="E324" s="135">
        <v>0.74652777777777779</v>
      </c>
    </row>
    <row r="325" spans="1:5" x14ac:dyDescent="0.25">
      <c r="A325" s="134">
        <v>42060</v>
      </c>
      <c r="B325" s="136">
        <v>1</v>
      </c>
      <c r="C325" s="135">
        <v>0.49236111111111114</v>
      </c>
      <c r="D325" s="135">
        <v>0.2951388888888889</v>
      </c>
      <c r="E325" s="135">
        <v>0.74722222222222223</v>
      </c>
    </row>
    <row r="326" spans="1:5" x14ac:dyDescent="0.25">
      <c r="A326" s="134">
        <v>42060</v>
      </c>
      <c r="B326" s="136">
        <v>3</v>
      </c>
      <c r="C326" s="135">
        <v>0.98472222222222228</v>
      </c>
      <c r="D326" s="135">
        <v>0.2951388888888889</v>
      </c>
      <c r="E326" s="135">
        <v>0.74722222222222223</v>
      </c>
    </row>
    <row r="327" spans="1:5" x14ac:dyDescent="0.25">
      <c r="A327" s="134">
        <v>42061</v>
      </c>
      <c r="B327" s="136">
        <v>1.2</v>
      </c>
      <c r="C327" s="135">
        <v>0.54236111111111107</v>
      </c>
      <c r="D327" s="135">
        <v>0.29375000000000001</v>
      </c>
      <c r="E327" s="135">
        <v>0.74861111111111112</v>
      </c>
    </row>
    <row r="328" spans="1:5" x14ac:dyDescent="0.25">
      <c r="A328" s="134">
        <v>42062</v>
      </c>
      <c r="B328" s="136">
        <v>3.5</v>
      </c>
      <c r="C328" s="135">
        <v>3.4722222222222224E-2</v>
      </c>
      <c r="D328" s="135">
        <v>0.29236111111111113</v>
      </c>
      <c r="E328" s="135">
        <v>0.74930555555555556</v>
      </c>
    </row>
    <row r="329" spans="1:5" x14ac:dyDescent="0.25">
      <c r="A329" s="134">
        <v>42062</v>
      </c>
      <c r="B329" s="136">
        <v>1.1000000000000001</v>
      </c>
      <c r="C329" s="135">
        <v>0.59166666666666667</v>
      </c>
      <c r="D329" s="135">
        <v>0.29236111111111113</v>
      </c>
      <c r="E329" s="135">
        <v>0.74930555555555556</v>
      </c>
    </row>
    <row r="330" spans="1:5" x14ac:dyDescent="0.25">
      <c r="A330" s="134">
        <v>42063</v>
      </c>
      <c r="B330" s="136">
        <v>3.5</v>
      </c>
      <c r="C330" s="135">
        <v>8.7499999999999994E-2</v>
      </c>
      <c r="D330" s="135">
        <v>0.29097222222222224</v>
      </c>
      <c r="E330" s="135">
        <v>0.75069444444444444</v>
      </c>
    </row>
    <row r="331" spans="1:5" x14ac:dyDescent="0.25">
      <c r="A331" s="134">
        <v>42063</v>
      </c>
      <c r="B331" s="136">
        <v>0.9</v>
      </c>
      <c r="C331" s="135">
        <v>0.63541666666666663</v>
      </c>
      <c r="D331" s="135">
        <v>0.29097222222222224</v>
      </c>
      <c r="E331" s="135">
        <v>0.75069444444444444</v>
      </c>
    </row>
    <row r="332" spans="1:5" x14ac:dyDescent="0.25">
      <c r="A332" s="134">
        <v>42064</v>
      </c>
      <c r="B332" s="136">
        <v>3.3</v>
      </c>
      <c r="C332" s="135">
        <v>0.13472222222222222</v>
      </c>
      <c r="D332" s="135">
        <v>0.2902777777777778</v>
      </c>
      <c r="E332" s="135">
        <v>0.75138888888888888</v>
      </c>
    </row>
    <row r="333" spans="1:5" x14ac:dyDescent="0.25">
      <c r="A333" s="134">
        <v>42064</v>
      </c>
      <c r="B333" s="136">
        <v>0.7</v>
      </c>
      <c r="C333" s="135">
        <v>0.67083333333333328</v>
      </c>
      <c r="D333" s="135">
        <v>0.2902777777777778</v>
      </c>
      <c r="E333" s="135">
        <v>0.75138888888888888</v>
      </c>
    </row>
    <row r="334" spans="1:5" x14ac:dyDescent="0.25">
      <c r="A334" s="134">
        <v>42065</v>
      </c>
      <c r="B334" s="136">
        <v>2.9</v>
      </c>
      <c r="C334" s="135">
        <v>0.17291666666666666</v>
      </c>
      <c r="D334" s="135">
        <v>0.28888888888888886</v>
      </c>
      <c r="E334" s="135">
        <v>0.75277777777777777</v>
      </c>
    </row>
    <row r="335" spans="1:5" x14ac:dyDescent="0.25">
      <c r="A335" s="134">
        <v>42065</v>
      </c>
      <c r="B335" s="136">
        <v>0.5</v>
      </c>
      <c r="C335" s="135">
        <v>0.7006944444444444</v>
      </c>
      <c r="D335" s="135">
        <v>0.28888888888888886</v>
      </c>
      <c r="E335" s="135">
        <v>0.75277777777777777</v>
      </c>
    </row>
    <row r="336" spans="1:5" x14ac:dyDescent="0.25">
      <c r="A336" s="134">
        <v>42066</v>
      </c>
      <c r="B336" s="136">
        <v>2.5</v>
      </c>
      <c r="C336" s="135">
        <v>0.2048611111111111</v>
      </c>
      <c r="D336" s="135">
        <v>0.28749999999999998</v>
      </c>
      <c r="E336" s="135">
        <v>0.75347222222222221</v>
      </c>
    </row>
    <row r="337" spans="1:5" x14ac:dyDescent="0.25">
      <c r="A337" s="134">
        <v>42066</v>
      </c>
      <c r="B337" s="136">
        <v>0.4</v>
      </c>
      <c r="C337" s="135">
        <v>0.72638888888888886</v>
      </c>
      <c r="D337" s="135">
        <v>0.28749999999999998</v>
      </c>
      <c r="E337" s="135">
        <v>0.75347222222222221</v>
      </c>
    </row>
    <row r="338" spans="1:5" x14ac:dyDescent="0.25">
      <c r="A338" s="134">
        <v>42067</v>
      </c>
      <c r="B338" s="136">
        <v>2.1</v>
      </c>
      <c r="C338" s="135">
        <v>0.23194444444444445</v>
      </c>
      <c r="D338" s="135">
        <v>0.28611111111111109</v>
      </c>
      <c r="E338" s="135">
        <v>0.75486111111111109</v>
      </c>
    </row>
    <row r="339" spans="1:5" x14ac:dyDescent="0.25">
      <c r="A339" s="134">
        <v>42067</v>
      </c>
      <c r="B339" s="136">
        <v>0.4</v>
      </c>
      <c r="C339" s="135">
        <v>0.74930555555555556</v>
      </c>
      <c r="D339" s="135">
        <v>0.28611111111111109</v>
      </c>
      <c r="E339" s="135">
        <v>0.75486111111111109</v>
      </c>
    </row>
    <row r="340" spans="1:5" x14ac:dyDescent="0.25">
      <c r="A340" s="134">
        <v>42068</v>
      </c>
      <c r="B340" s="136">
        <v>1.8</v>
      </c>
      <c r="C340" s="135">
        <v>0.25763888888888886</v>
      </c>
      <c r="D340" s="135">
        <v>0.28472222222222221</v>
      </c>
      <c r="E340" s="135">
        <v>0.75555555555555554</v>
      </c>
    </row>
    <row r="341" spans="1:5" x14ac:dyDescent="0.25">
      <c r="A341" s="134">
        <v>42068</v>
      </c>
      <c r="B341" s="136">
        <v>0.5</v>
      </c>
      <c r="C341" s="135">
        <v>0.77083333333333337</v>
      </c>
      <c r="D341" s="135">
        <v>0.28472222222222221</v>
      </c>
      <c r="E341" s="135">
        <v>0.75555555555555554</v>
      </c>
    </row>
    <row r="342" spans="1:5" x14ac:dyDescent="0.25">
      <c r="A342" s="134">
        <v>42069</v>
      </c>
      <c r="B342" s="136">
        <v>1.5</v>
      </c>
      <c r="C342" s="135">
        <v>0.28194444444444444</v>
      </c>
      <c r="D342" s="135">
        <v>0.28333333333333333</v>
      </c>
      <c r="E342" s="135">
        <v>0.75694444444444442</v>
      </c>
    </row>
    <row r="343" spans="1:5" x14ac:dyDescent="0.25">
      <c r="A343" s="134">
        <v>42069</v>
      </c>
      <c r="B343" s="136">
        <v>0.7</v>
      </c>
      <c r="C343" s="135">
        <v>0.79166666666666663</v>
      </c>
      <c r="D343" s="135">
        <v>0.28333333333333333</v>
      </c>
      <c r="E343" s="135">
        <v>0.75694444444444442</v>
      </c>
    </row>
    <row r="344" spans="1:5" x14ac:dyDescent="0.25">
      <c r="A344" s="134">
        <v>42070</v>
      </c>
      <c r="B344" s="136">
        <v>1.3</v>
      </c>
      <c r="C344" s="135">
        <v>0.30555555555555558</v>
      </c>
      <c r="D344" s="135">
        <v>0.28194444444444444</v>
      </c>
      <c r="E344" s="135">
        <v>0.75763888888888886</v>
      </c>
    </row>
    <row r="345" spans="1:5" x14ac:dyDescent="0.25">
      <c r="A345" s="134">
        <v>42070</v>
      </c>
      <c r="B345" s="136">
        <v>1</v>
      </c>
      <c r="C345" s="135">
        <v>0.81180555555555556</v>
      </c>
      <c r="D345" s="135">
        <v>0.28194444444444444</v>
      </c>
      <c r="E345" s="135">
        <v>0.75763888888888886</v>
      </c>
    </row>
    <row r="346" spans="1:5" x14ac:dyDescent="0.25">
      <c r="A346" s="134">
        <v>42071</v>
      </c>
      <c r="B346" s="136">
        <v>1.2</v>
      </c>
      <c r="C346" s="135">
        <v>0.37152777777777779</v>
      </c>
      <c r="D346" s="135">
        <v>0.32222222222222224</v>
      </c>
      <c r="E346" s="135">
        <v>0.8</v>
      </c>
    </row>
    <row r="347" spans="1:5" x14ac:dyDescent="0.25">
      <c r="A347" s="134">
        <v>42071</v>
      </c>
      <c r="B347" s="136">
        <v>1.4</v>
      </c>
      <c r="C347" s="135">
        <v>0.87430555555555556</v>
      </c>
      <c r="D347" s="135">
        <v>0.32222222222222224</v>
      </c>
      <c r="E347" s="135">
        <v>0.8</v>
      </c>
    </row>
    <row r="348" spans="1:5" x14ac:dyDescent="0.25">
      <c r="A348" s="134">
        <v>42072</v>
      </c>
      <c r="B348" s="136">
        <v>1.1000000000000001</v>
      </c>
      <c r="C348" s="135">
        <v>0.3972222222222222</v>
      </c>
      <c r="D348" s="135">
        <v>0.32083333333333336</v>
      </c>
      <c r="E348" s="135">
        <v>0.80138888888888893</v>
      </c>
    </row>
    <row r="349" spans="1:5" x14ac:dyDescent="0.25">
      <c r="A349" s="134">
        <v>42072</v>
      </c>
      <c r="B349" s="136">
        <v>1.8</v>
      </c>
      <c r="C349" s="135">
        <v>0.89583333333333337</v>
      </c>
      <c r="D349" s="135">
        <v>0.32083333333333336</v>
      </c>
      <c r="E349" s="135">
        <v>0.80138888888888893</v>
      </c>
    </row>
    <row r="350" spans="1:5" x14ac:dyDescent="0.25">
      <c r="A350" s="134">
        <v>42073</v>
      </c>
      <c r="B350" s="136">
        <v>1.2</v>
      </c>
      <c r="C350" s="135">
        <v>0.42430555555555555</v>
      </c>
      <c r="D350" s="135">
        <v>0.31944444444444442</v>
      </c>
      <c r="E350" s="135">
        <v>0.80208333333333337</v>
      </c>
    </row>
    <row r="351" spans="1:5" x14ac:dyDescent="0.25">
      <c r="A351" s="134">
        <v>42073</v>
      </c>
      <c r="B351" s="136">
        <v>2.2999999999999998</v>
      </c>
      <c r="C351" s="135">
        <v>0.9194444444444444</v>
      </c>
      <c r="D351" s="135">
        <v>0.31944444444444442</v>
      </c>
      <c r="E351" s="135">
        <v>0.80208333333333337</v>
      </c>
    </row>
    <row r="352" spans="1:5" x14ac:dyDescent="0.25">
      <c r="A352" s="134">
        <v>42074</v>
      </c>
      <c r="B352" s="136">
        <v>1.2</v>
      </c>
      <c r="C352" s="135">
        <v>0.45624999999999999</v>
      </c>
      <c r="D352" s="135">
        <v>0.31805555555555554</v>
      </c>
      <c r="E352" s="135">
        <v>0.80347222222222225</v>
      </c>
    </row>
    <row r="353" spans="1:5" x14ac:dyDescent="0.25">
      <c r="A353" s="134">
        <v>42074</v>
      </c>
      <c r="B353" s="136">
        <v>2.7</v>
      </c>
      <c r="C353" s="135">
        <v>0.94652777777777775</v>
      </c>
      <c r="D353" s="135">
        <v>0.31805555555555554</v>
      </c>
      <c r="E353" s="135">
        <v>0.80347222222222225</v>
      </c>
    </row>
    <row r="354" spans="1:5" x14ac:dyDescent="0.25">
      <c r="A354" s="134">
        <v>42075</v>
      </c>
      <c r="B354" s="136">
        <v>1.3</v>
      </c>
      <c r="C354" s="135">
        <v>0.49305555555555558</v>
      </c>
      <c r="D354" s="135">
        <v>0.31666666666666665</v>
      </c>
      <c r="E354" s="135">
        <v>0.8041666666666667</v>
      </c>
    </row>
    <row r="355" spans="1:5" x14ac:dyDescent="0.25">
      <c r="A355" s="134">
        <v>42075</v>
      </c>
      <c r="B355" s="136">
        <v>3.2</v>
      </c>
      <c r="C355" s="135">
        <v>0.98124999999999996</v>
      </c>
      <c r="D355" s="135">
        <v>0.31666666666666665</v>
      </c>
      <c r="E355" s="135">
        <v>0.8041666666666667</v>
      </c>
    </row>
    <row r="356" spans="1:5" x14ac:dyDescent="0.25">
      <c r="A356" s="134">
        <v>42076</v>
      </c>
      <c r="B356" s="136">
        <v>1.3</v>
      </c>
      <c r="C356" s="135">
        <v>0.53749999999999998</v>
      </c>
      <c r="D356" s="135">
        <v>0.31527777777777777</v>
      </c>
      <c r="E356" s="135">
        <v>0.80555555555555558</v>
      </c>
    </row>
    <row r="357" spans="1:5" x14ac:dyDescent="0.25">
      <c r="A357" s="134">
        <v>42077</v>
      </c>
      <c r="B357" s="136">
        <v>3.5</v>
      </c>
      <c r="C357" s="135">
        <v>2.8472222222222222E-2</v>
      </c>
      <c r="D357" s="135">
        <v>0.31388888888888888</v>
      </c>
      <c r="E357" s="135">
        <v>0.80625000000000002</v>
      </c>
    </row>
    <row r="358" spans="1:5" x14ac:dyDescent="0.25">
      <c r="A358" s="134">
        <v>42077</v>
      </c>
      <c r="B358" s="136">
        <v>1.1000000000000001</v>
      </c>
      <c r="C358" s="135">
        <v>0.58680555555555558</v>
      </c>
      <c r="D358" s="135">
        <v>0.31388888888888888</v>
      </c>
      <c r="E358" s="135">
        <v>0.80625000000000002</v>
      </c>
    </row>
    <row r="359" spans="1:5" x14ac:dyDescent="0.25">
      <c r="A359" s="134">
        <v>42078</v>
      </c>
      <c r="B359" s="136">
        <v>3.5</v>
      </c>
      <c r="C359" s="135">
        <v>8.4722222222222227E-2</v>
      </c>
      <c r="D359" s="135">
        <v>0.3125</v>
      </c>
      <c r="E359" s="135">
        <v>0.80763888888888891</v>
      </c>
    </row>
    <row r="360" spans="1:5" x14ac:dyDescent="0.25">
      <c r="A360" s="134">
        <v>42078</v>
      </c>
      <c r="B360" s="136">
        <v>0.7</v>
      </c>
      <c r="C360" s="135">
        <v>0.63472222222222219</v>
      </c>
      <c r="D360" s="135">
        <v>0.3125</v>
      </c>
      <c r="E360" s="135">
        <v>0.80763888888888891</v>
      </c>
    </row>
    <row r="361" spans="1:5" x14ac:dyDescent="0.25">
      <c r="A361" s="134">
        <v>42079</v>
      </c>
      <c r="B361" s="136">
        <v>3.1</v>
      </c>
      <c r="C361" s="135">
        <v>0.1388888888888889</v>
      </c>
      <c r="D361" s="135">
        <v>0.31111111111111112</v>
      </c>
      <c r="E361" s="135">
        <v>0.80833333333333335</v>
      </c>
    </row>
    <row r="362" spans="1:5" x14ac:dyDescent="0.25">
      <c r="A362" s="134">
        <v>42079</v>
      </c>
      <c r="B362" s="136">
        <v>0.3</v>
      </c>
      <c r="C362" s="135">
        <v>0.67708333333333337</v>
      </c>
      <c r="D362" s="135">
        <v>0.31111111111111112</v>
      </c>
      <c r="E362" s="135">
        <v>0.80833333333333335</v>
      </c>
    </row>
    <row r="363" spans="1:5" x14ac:dyDescent="0.25">
      <c r="A363" s="134">
        <v>42080</v>
      </c>
      <c r="B363" s="136">
        <v>2.4</v>
      </c>
      <c r="C363" s="135">
        <v>0.18541666666666667</v>
      </c>
      <c r="D363" s="135">
        <v>0.30972222222222223</v>
      </c>
      <c r="E363" s="135">
        <v>0.80902777777777779</v>
      </c>
    </row>
    <row r="364" spans="1:5" x14ac:dyDescent="0.25">
      <c r="A364" s="134">
        <v>42080</v>
      </c>
      <c r="B364" s="136">
        <v>-0.2</v>
      </c>
      <c r="C364" s="135">
        <v>0.71388888888888891</v>
      </c>
      <c r="D364" s="135">
        <v>0.30972222222222223</v>
      </c>
      <c r="E364" s="135">
        <v>0.80902777777777779</v>
      </c>
    </row>
    <row r="365" spans="1:5" x14ac:dyDescent="0.25">
      <c r="A365" s="134">
        <v>42081</v>
      </c>
      <c r="B365" s="136">
        <v>1.6</v>
      </c>
      <c r="C365" s="135">
        <v>0.22569444444444445</v>
      </c>
      <c r="D365" s="135">
        <v>0.30833333333333335</v>
      </c>
      <c r="E365" s="135">
        <v>0.81041666666666667</v>
      </c>
    </row>
    <row r="366" spans="1:5" x14ac:dyDescent="0.25">
      <c r="A366" s="134">
        <v>42081</v>
      </c>
      <c r="B366" s="136">
        <v>-0.5</v>
      </c>
      <c r="C366" s="135">
        <v>0.74791666666666667</v>
      </c>
      <c r="D366" s="135">
        <v>0.30833333333333335</v>
      </c>
      <c r="E366" s="135">
        <v>0.81041666666666667</v>
      </c>
    </row>
    <row r="367" spans="1:5" x14ac:dyDescent="0.25">
      <c r="A367" s="134">
        <v>42082</v>
      </c>
      <c r="B367" s="136">
        <v>0.7</v>
      </c>
      <c r="C367" s="135">
        <v>0.26180555555555557</v>
      </c>
      <c r="D367" s="135">
        <v>0.30694444444444446</v>
      </c>
      <c r="E367" s="135">
        <v>0.81111111111111112</v>
      </c>
    </row>
    <row r="368" spans="1:5" x14ac:dyDescent="0.25">
      <c r="A368" s="134">
        <v>42082</v>
      </c>
      <c r="B368" s="136">
        <v>-0.5</v>
      </c>
      <c r="C368" s="135">
        <v>0.77916666666666667</v>
      </c>
      <c r="D368" s="135">
        <v>0.30694444444444446</v>
      </c>
      <c r="E368" s="135">
        <v>0.81111111111111112</v>
      </c>
    </row>
    <row r="369" spans="1:5" x14ac:dyDescent="0.25">
      <c r="A369" s="134">
        <v>42083</v>
      </c>
      <c r="B369" s="136">
        <v>0</v>
      </c>
      <c r="C369" s="135">
        <v>0.29652777777777778</v>
      </c>
      <c r="D369" s="135">
        <v>0.30555555555555558</v>
      </c>
      <c r="E369" s="135">
        <v>0.8125</v>
      </c>
    </row>
    <row r="370" spans="1:5" x14ac:dyDescent="0.25">
      <c r="A370" s="134">
        <v>42083</v>
      </c>
      <c r="B370" s="136">
        <v>-0.4</v>
      </c>
      <c r="C370" s="135">
        <v>0.80972222222222223</v>
      </c>
      <c r="D370" s="135">
        <v>0.30555555555555558</v>
      </c>
      <c r="E370" s="135">
        <v>0.8125</v>
      </c>
    </row>
    <row r="371" spans="1:5" x14ac:dyDescent="0.25">
      <c r="A371" s="134">
        <v>42084</v>
      </c>
      <c r="B371" s="136">
        <v>-0.5</v>
      </c>
      <c r="C371" s="135">
        <v>0.3298611111111111</v>
      </c>
      <c r="D371" s="135">
        <v>0.30416666666666664</v>
      </c>
      <c r="E371" s="135">
        <v>0.81319444444444444</v>
      </c>
    </row>
    <row r="372" spans="1:5" x14ac:dyDescent="0.25">
      <c r="A372" s="134">
        <v>42084</v>
      </c>
      <c r="B372" s="136">
        <v>0</v>
      </c>
      <c r="C372" s="135">
        <v>0.83958333333333335</v>
      </c>
      <c r="D372" s="135">
        <v>0.30416666666666664</v>
      </c>
      <c r="E372" s="135">
        <v>0.81319444444444444</v>
      </c>
    </row>
    <row r="373" spans="1:5" x14ac:dyDescent="0.25">
      <c r="A373" s="134">
        <v>42085</v>
      </c>
      <c r="B373" s="136">
        <v>-0.7</v>
      </c>
      <c r="C373" s="135">
        <v>0.36249999999999999</v>
      </c>
      <c r="D373" s="135">
        <v>0.30277777777777776</v>
      </c>
      <c r="E373" s="135">
        <v>0.81458333333333333</v>
      </c>
    </row>
    <row r="374" spans="1:5" x14ac:dyDescent="0.25">
      <c r="A374" s="134">
        <v>42085</v>
      </c>
      <c r="B374" s="136">
        <v>0.6</v>
      </c>
      <c r="C374" s="135">
        <v>0.86944444444444446</v>
      </c>
      <c r="D374" s="135">
        <v>0.30277777777777776</v>
      </c>
      <c r="E374" s="135">
        <v>0.81458333333333333</v>
      </c>
    </row>
    <row r="375" spans="1:5" x14ac:dyDescent="0.25">
      <c r="A375" s="134">
        <v>42086</v>
      </c>
      <c r="B375" s="136">
        <v>-0.6</v>
      </c>
      <c r="C375" s="135">
        <v>0.39652777777777776</v>
      </c>
      <c r="D375" s="135">
        <v>0.30138888888888887</v>
      </c>
      <c r="E375" s="135">
        <v>0.81527777777777777</v>
      </c>
    </row>
    <row r="376" spans="1:5" x14ac:dyDescent="0.25">
      <c r="A376" s="134">
        <v>42086</v>
      </c>
      <c r="B376" s="136">
        <v>1.3</v>
      </c>
      <c r="C376" s="135">
        <v>0.9</v>
      </c>
      <c r="D376" s="135">
        <v>0.30138888888888887</v>
      </c>
      <c r="E376" s="135">
        <v>0.81527777777777777</v>
      </c>
    </row>
    <row r="377" spans="1:5" x14ac:dyDescent="0.25">
      <c r="A377" s="134">
        <v>42087</v>
      </c>
      <c r="B377" s="136">
        <v>-0.3</v>
      </c>
      <c r="C377" s="135">
        <v>0.43125000000000002</v>
      </c>
      <c r="D377" s="135">
        <v>0.3</v>
      </c>
      <c r="E377" s="135">
        <v>0.81597222222222221</v>
      </c>
    </row>
    <row r="378" spans="1:5" x14ac:dyDescent="0.25">
      <c r="A378" s="134">
        <v>42087</v>
      </c>
      <c r="B378" s="136">
        <v>2</v>
      </c>
      <c r="C378" s="135">
        <v>0.93194444444444446</v>
      </c>
      <c r="D378" s="135">
        <v>0.3</v>
      </c>
      <c r="E378" s="135">
        <v>0.81597222222222221</v>
      </c>
    </row>
    <row r="379" spans="1:5" x14ac:dyDescent="0.25">
      <c r="A379" s="134">
        <v>42088</v>
      </c>
      <c r="B379" s="136">
        <v>0.1</v>
      </c>
      <c r="C379" s="135">
        <v>0.46875</v>
      </c>
      <c r="D379" s="135">
        <v>0.2986111111111111</v>
      </c>
      <c r="E379" s="135">
        <v>0.81736111111111109</v>
      </c>
    </row>
    <row r="380" spans="1:5" x14ac:dyDescent="0.25">
      <c r="A380" s="134">
        <v>42088</v>
      </c>
      <c r="B380" s="136">
        <v>2.7</v>
      </c>
      <c r="C380" s="135">
        <v>0.96805555555555556</v>
      </c>
      <c r="D380" s="135">
        <v>0.2986111111111111</v>
      </c>
      <c r="E380" s="135">
        <v>0.81736111111111109</v>
      </c>
    </row>
    <row r="381" spans="1:5" x14ac:dyDescent="0.25">
      <c r="A381" s="134">
        <v>42089</v>
      </c>
      <c r="B381" s="136">
        <v>0.6</v>
      </c>
      <c r="C381" s="135">
        <v>0.50972222222222219</v>
      </c>
      <c r="D381" s="135">
        <v>0.29722222222222222</v>
      </c>
      <c r="E381" s="135">
        <v>0.81805555555555554</v>
      </c>
    </row>
    <row r="382" spans="1:5" x14ac:dyDescent="0.25">
      <c r="A382" s="134">
        <v>42090</v>
      </c>
      <c r="B382" s="136">
        <v>3.2</v>
      </c>
      <c r="C382" s="135">
        <v>1.0416666666666666E-2</v>
      </c>
      <c r="D382" s="135">
        <v>0.29583333333333334</v>
      </c>
      <c r="E382" s="135">
        <v>0.81944444444444442</v>
      </c>
    </row>
    <row r="383" spans="1:5" x14ac:dyDescent="0.25">
      <c r="A383" s="134">
        <v>42090</v>
      </c>
      <c r="B383" s="136">
        <v>1</v>
      </c>
      <c r="C383" s="135">
        <v>0.55555555555555558</v>
      </c>
      <c r="D383" s="135">
        <v>0.29583333333333334</v>
      </c>
      <c r="E383" s="135">
        <v>0.81944444444444442</v>
      </c>
    </row>
    <row r="384" spans="1:5" x14ac:dyDescent="0.25">
      <c r="A384" s="134">
        <v>42091</v>
      </c>
      <c r="B384" s="136">
        <v>3.4</v>
      </c>
      <c r="C384" s="135">
        <v>6.1111111111111109E-2</v>
      </c>
      <c r="D384" s="135">
        <v>0.29444444444444445</v>
      </c>
      <c r="E384" s="135">
        <v>0.82013888888888886</v>
      </c>
    </row>
    <row r="385" spans="1:5" x14ac:dyDescent="0.25">
      <c r="A385" s="134">
        <v>42091</v>
      </c>
      <c r="B385" s="136">
        <v>1.2</v>
      </c>
      <c r="C385" s="135">
        <v>0.60347222222222219</v>
      </c>
      <c r="D385" s="135">
        <v>0.29444444444444445</v>
      </c>
      <c r="E385" s="135">
        <v>0.82013888888888886</v>
      </c>
    </row>
    <row r="386" spans="1:5" x14ac:dyDescent="0.25">
      <c r="A386" s="134">
        <v>42092</v>
      </c>
      <c r="B386" s="136">
        <v>3.3</v>
      </c>
      <c r="C386" s="135">
        <v>0.11527777777777778</v>
      </c>
      <c r="D386" s="135">
        <v>0.29305555555555557</v>
      </c>
      <c r="E386" s="135">
        <v>0.8208333333333333</v>
      </c>
    </row>
    <row r="387" spans="1:5" x14ac:dyDescent="0.25">
      <c r="A387" s="134">
        <v>42092</v>
      </c>
      <c r="B387" s="136">
        <v>1.2</v>
      </c>
      <c r="C387" s="135">
        <v>0.6479166666666667</v>
      </c>
      <c r="D387" s="135">
        <v>0.29305555555555557</v>
      </c>
      <c r="E387" s="135">
        <v>0.8208333333333333</v>
      </c>
    </row>
    <row r="388" spans="1:5" x14ac:dyDescent="0.25">
      <c r="A388" s="134">
        <v>42093</v>
      </c>
      <c r="B388" s="136">
        <v>3</v>
      </c>
      <c r="C388" s="135">
        <v>0.16250000000000001</v>
      </c>
      <c r="D388" s="135">
        <v>0.29166666666666669</v>
      </c>
      <c r="E388" s="135">
        <v>0.82222222222222219</v>
      </c>
    </row>
    <row r="389" spans="1:5" x14ac:dyDescent="0.25">
      <c r="A389" s="134">
        <v>42093</v>
      </c>
      <c r="B389" s="136">
        <v>1.1000000000000001</v>
      </c>
      <c r="C389" s="135">
        <v>0.68541666666666667</v>
      </c>
      <c r="D389" s="135">
        <v>0.29166666666666669</v>
      </c>
      <c r="E389" s="135">
        <v>0.82222222222222219</v>
      </c>
    </row>
    <row r="390" spans="1:5" x14ac:dyDescent="0.25">
      <c r="A390" s="134">
        <v>42094</v>
      </c>
      <c r="B390" s="136">
        <v>2.4</v>
      </c>
      <c r="C390" s="135">
        <v>0.20069444444444445</v>
      </c>
      <c r="D390" s="135">
        <v>0.2902777777777778</v>
      </c>
      <c r="E390" s="135">
        <v>0.82291666666666663</v>
      </c>
    </row>
    <row r="391" spans="1:5" x14ac:dyDescent="0.25">
      <c r="A391" s="134">
        <v>42094</v>
      </c>
      <c r="B391" s="136">
        <v>1</v>
      </c>
      <c r="C391" s="135">
        <v>0.71597222222222223</v>
      </c>
      <c r="D391" s="135">
        <v>0.2902777777777778</v>
      </c>
      <c r="E391" s="135">
        <v>0.82291666666666663</v>
      </c>
    </row>
    <row r="392" spans="1:5" x14ac:dyDescent="0.25">
      <c r="A392" s="134">
        <v>42095</v>
      </c>
      <c r="B392" s="136">
        <v>1.9</v>
      </c>
      <c r="C392" s="135">
        <v>0.23125000000000001</v>
      </c>
      <c r="D392" s="135">
        <v>0.28888888888888886</v>
      </c>
      <c r="E392" s="135">
        <v>0.82430555555555551</v>
      </c>
    </row>
    <row r="393" spans="1:5" x14ac:dyDescent="0.25">
      <c r="A393" s="134">
        <v>42095</v>
      </c>
      <c r="B393" s="136">
        <v>1</v>
      </c>
      <c r="C393" s="135">
        <v>0.74236111111111114</v>
      </c>
      <c r="D393" s="135">
        <v>0.28888888888888886</v>
      </c>
      <c r="E393" s="135">
        <v>0.82430555555555551</v>
      </c>
    </row>
    <row r="394" spans="1:5" x14ac:dyDescent="0.25">
      <c r="A394" s="134">
        <v>42096</v>
      </c>
      <c r="B394" s="136">
        <v>1.4</v>
      </c>
      <c r="C394" s="135">
        <v>0.25833333333333336</v>
      </c>
      <c r="D394" s="135">
        <v>0.28749999999999998</v>
      </c>
      <c r="E394" s="135">
        <v>0.82499999999999996</v>
      </c>
    </row>
    <row r="395" spans="1:5" x14ac:dyDescent="0.25">
      <c r="A395" s="134">
        <v>42096</v>
      </c>
      <c r="B395" s="136">
        <v>1</v>
      </c>
      <c r="C395" s="135">
        <v>0.76666666666666672</v>
      </c>
      <c r="D395" s="135">
        <v>0.28749999999999998</v>
      </c>
      <c r="E395" s="135">
        <v>0.82499999999999996</v>
      </c>
    </row>
    <row r="396" spans="1:5" x14ac:dyDescent="0.25">
      <c r="A396" s="134">
        <v>42097</v>
      </c>
      <c r="B396" s="136">
        <v>0.9</v>
      </c>
      <c r="C396" s="135">
        <v>0.28333333333333333</v>
      </c>
      <c r="D396" s="135">
        <v>0.28611111111111109</v>
      </c>
      <c r="E396" s="135">
        <v>0.8256944444444444</v>
      </c>
    </row>
    <row r="397" spans="1:5" x14ac:dyDescent="0.25">
      <c r="A397" s="134">
        <v>42097</v>
      </c>
      <c r="B397" s="136">
        <v>1.1000000000000001</v>
      </c>
      <c r="C397" s="135">
        <v>0.78888888888888886</v>
      </c>
      <c r="D397" s="135">
        <v>0.28611111111111109</v>
      </c>
      <c r="E397" s="135">
        <v>0.8256944444444444</v>
      </c>
    </row>
    <row r="398" spans="1:5" x14ac:dyDescent="0.25">
      <c r="A398" s="134">
        <v>42098</v>
      </c>
      <c r="B398" s="136">
        <v>0.6</v>
      </c>
      <c r="C398" s="135">
        <v>0.30763888888888891</v>
      </c>
      <c r="D398" s="135">
        <v>0.28472222222222221</v>
      </c>
      <c r="E398" s="135">
        <v>0.82708333333333328</v>
      </c>
    </row>
    <row r="399" spans="1:5" x14ac:dyDescent="0.25">
      <c r="A399" s="134">
        <v>42099</v>
      </c>
      <c r="B399" s="136">
        <v>0.3</v>
      </c>
      <c r="C399" s="135">
        <v>0.33124999999999999</v>
      </c>
      <c r="D399" s="135">
        <v>0.28333333333333333</v>
      </c>
      <c r="E399" s="135">
        <v>0.82777777777777772</v>
      </c>
    </row>
    <row r="400" spans="1:5" x14ac:dyDescent="0.25">
      <c r="A400" s="134">
        <v>42100</v>
      </c>
      <c r="B400" s="136">
        <v>0.1</v>
      </c>
      <c r="C400" s="135">
        <v>0.35555555555555557</v>
      </c>
      <c r="D400" s="135">
        <v>0.28194444444444444</v>
      </c>
      <c r="E400" s="135">
        <v>0.82916666666666672</v>
      </c>
    </row>
    <row r="401" spans="1:5" x14ac:dyDescent="0.25">
      <c r="A401" s="134">
        <v>42101</v>
      </c>
      <c r="B401" s="136">
        <v>0.1</v>
      </c>
      <c r="C401" s="135">
        <v>0.38124999999999998</v>
      </c>
      <c r="D401" s="135">
        <v>0.28055555555555556</v>
      </c>
      <c r="E401" s="135">
        <v>0.82986111111111116</v>
      </c>
    </row>
    <row r="402" spans="1:5" x14ac:dyDescent="0.25">
      <c r="A402" s="134">
        <v>42102</v>
      </c>
      <c r="B402" s="136">
        <v>0.1</v>
      </c>
      <c r="C402" s="135">
        <v>0.40833333333333333</v>
      </c>
      <c r="D402" s="135">
        <v>0.27916666666666667</v>
      </c>
      <c r="E402" s="135">
        <v>0.8305555555555556</v>
      </c>
    </row>
    <row r="403" spans="1:5" x14ac:dyDescent="0.25">
      <c r="A403" s="134">
        <v>42103</v>
      </c>
      <c r="B403" s="136">
        <v>0.2</v>
      </c>
      <c r="C403" s="135">
        <v>0.43888888888888888</v>
      </c>
      <c r="D403" s="135">
        <v>0.27847222222222223</v>
      </c>
      <c r="E403" s="135">
        <v>0.83194444444444449</v>
      </c>
    </row>
    <row r="404" spans="1:5" x14ac:dyDescent="0.25">
      <c r="A404" s="134">
        <v>42104</v>
      </c>
      <c r="B404" s="136">
        <v>0.4</v>
      </c>
      <c r="C404" s="135">
        <v>0.47430555555555554</v>
      </c>
      <c r="D404" s="135">
        <v>0.27708333333333335</v>
      </c>
      <c r="E404" s="135">
        <v>0.83263888888888893</v>
      </c>
    </row>
    <row r="405" spans="1:5" x14ac:dyDescent="0.25">
      <c r="A405" s="134">
        <v>42104</v>
      </c>
      <c r="B405" s="136">
        <v>3.2</v>
      </c>
      <c r="C405" s="135">
        <v>0.97291666666666665</v>
      </c>
      <c r="D405" s="135">
        <v>0.27708333333333335</v>
      </c>
      <c r="E405" s="135">
        <v>0.83263888888888893</v>
      </c>
    </row>
    <row r="406" spans="1:5" x14ac:dyDescent="0.25">
      <c r="A406" s="134">
        <v>42105</v>
      </c>
      <c r="B406" s="136">
        <v>0.6</v>
      </c>
      <c r="C406" s="135">
        <v>0.51597222222222228</v>
      </c>
      <c r="D406" s="135">
        <v>0.27569444444444446</v>
      </c>
      <c r="E406" s="135">
        <v>0.83402777777777781</v>
      </c>
    </row>
    <row r="407" spans="1:5" x14ac:dyDescent="0.25">
      <c r="A407" s="134">
        <v>42106</v>
      </c>
      <c r="B407" s="136">
        <v>3.3</v>
      </c>
      <c r="C407" s="135">
        <v>2.2222222222222223E-2</v>
      </c>
      <c r="D407" s="135">
        <v>0.27430555555555558</v>
      </c>
      <c r="E407" s="135">
        <v>0.83472222222222225</v>
      </c>
    </row>
    <row r="408" spans="1:5" x14ac:dyDescent="0.25">
      <c r="A408" s="134">
        <v>42106</v>
      </c>
      <c r="B408" s="136">
        <v>0.6</v>
      </c>
      <c r="C408" s="135">
        <v>0.56180555555555556</v>
      </c>
      <c r="D408" s="135">
        <v>0.27430555555555558</v>
      </c>
      <c r="E408" s="135">
        <v>0.83472222222222225</v>
      </c>
    </row>
    <row r="409" spans="1:5" x14ac:dyDescent="0.25">
      <c r="A409" s="134">
        <v>42107</v>
      </c>
      <c r="B409" s="136">
        <v>3.1</v>
      </c>
      <c r="C409" s="135">
        <v>7.7777777777777779E-2</v>
      </c>
      <c r="D409" s="135">
        <v>0.27291666666666664</v>
      </c>
      <c r="E409" s="135">
        <v>0.8354166666666667</v>
      </c>
    </row>
    <row r="410" spans="1:5" x14ac:dyDescent="0.25">
      <c r="A410" s="134">
        <v>42107</v>
      </c>
      <c r="B410" s="136">
        <v>0.6</v>
      </c>
      <c r="C410" s="135">
        <v>0.60902777777777772</v>
      </c>
      <c r="D410" s="135">
        <v>0.27291666666666664</v>
      </c>
      <c r="E410" s="135">
        <v>0.8354166666666667</v>
      </c>
    </row>
    <row r="411" spans="1:5" x14ac:dyDescent="0.25">
      <c r="A411" s="134">
        <v>42108</v>
      </c>
      <c r="B411" s="136">
        <v>2.5</v>
      </c>
      <c r="C411" s="135">
        <v>0.13055555555555556</v>
      </c>
      <c r="D411" s="135">
        <v>0.27152777777777776</v>
      </c>
      <c r="E411" s="135">
        <v>0.83680555555555558</v>
      </c>
    </row>
    <row r="412" spans="1:5" x14ac:dyDescent="0.25">
      <c r="A412" s="134">
        <v>42108</v>
      </c>
      <c r="B412" s="136">
        <v>0.4</v>
      </c>
      <c r="C412" s="135">
        <v>0.65277777777777779</v>
      </c>
      <c r="D412" s="135">
        <v>0.27152777777777776</v>
      </c>
      <c r="E412" s="135">
        <v>0.83680555555555558</v>
      </c>
    </row>
    <row r="413" spans="1:5" x14ac:dyDescent="0.25">
      <c r="A413" s="134">
        <v>42109</v>
      </c>
      <c r="B413" s="136">
        <v>1.6</v>
      </c>
      <c r="C413" s="135">
        <v>0.1763888888888889</v>
      </c>
      <c r="D413" s="135">
        <v>0.27013888888888887</v>
      </c>
      <c r="E413" s="135">
        <v>0.83750000000000002</v>
      </c>
    </row>
    <row r="414" spans="1:5" x14ac:dyDescent="0.25">
      <c r="A414" s="134">
        <v>42109</v>
      </c>
      <c r="B414" s="136">
        <v>0.3</v>
      </c>
      <c r="C414" s="135">
        <v>0.69166666666666665</v>
      </c>
      <c r="D414" s="135">
        <v>0.27013888888888887</v>
      </c>
      <c r="E414" s="135">
        <v>0.83750000000000002</v>
      </c>
    </row>
    <row r="415" spans="1:5" x14ac:dyDescent="0.25">
      <c r="A415" s="134">
        <v>42110</v>
      </c>
      <c r="B415" s="136">
        <v>0.6</v>
      </c>
      <c r="C415" s="135">
        <v>0.21666666666666667</v>
      </c>
      <c r="D415" s="135">
        <v>0.26874999999999999</v>
      </c>
      <c r="E415" s="135">
        <v>0.83888888888888891</v>
      </c>
    </row>
    <row r="416" spans="1:5" x14ac:dyDescent="0.25">
      <c r="A416" s="134">
        <v>42110</v>
      </c>
      <c r="B416" s="136">
        <v>0.2</v>
      </c>
      <c r="C416" s="135">
        <v>0.7270833333333333</v>
      </c>
      <c r="D416" s="135">
        <v>0.26874999999999999</v>
      </c>
      <c r="E416" s="135">
        <v>0.83888888888888891</v>
      </c>
    </row>
    <row r="417" spans="1:5" x14ac:dyDescent="0.25">
      <c r="A417" s="134">
        <v>42111</v>
      </c>
      <c r="B417" s="136">
        <v>-0.2</v>
      </c>
      <c r="C417" s="135">
        <v>0.25208333333333333</v>
      </c>
      <c r="D417" s="135">
        <v>0.2673611111111111</v>
      </c>
      <c r="E417" s="135">
        <v>0.83958333333333335</v>
      </c>
    </row>
    <row r="418" spans="1:5" x14ac:dyDescent="0.25">
      <c r="A418" s="134">
        <v>42112</v>
      </c>
      <c r="B418" s="136">
        <v>-0.9</v>
      </c>
      <c r="C418" s="135">
        <v>0.28611111111111109</v>
      </c>
      <c r="D418" s="135">
        <v>0.26597222222222222</v>
      </c>
      <c r="E418" s="135">
        <v>0.84027777777777779</v>
      </c>
    </row>
    <row r="419" spans="1:5" x14ac:dyDescent="0.25">
      <c r="A419" s="134">
        <v>42113</v>
      </c>
      <c r="B419" s="136">
        <v>-1.3</v>
      </c>
      <c r="C419" s="135">
        <v>0.31874999999999998</v>
      </c>
      <c r="D419" s="135">
        <v>0.26527777777777778</v>
      </c>
      <c r="E419" s="135">
        <v>0.84166666666666667</v>
      </c>
    </row>
    <row r="420" spans="1:5" x14ac:dyDescent="0.25">
      <c r="A420" s="134">
        <v>42114</v>
      </c>
      <c r="B420" s="136">
        <v>-1.5</v>
      </c>
      <c r="C420" s="135">
        <v>0.35069444444444442</v>
      </c>
      <c r="D420" s="135">
        <v>0.2638888888888889</v>
      </c>
      <c r="E420" s="135">
        <v>0.84236111111111112</v>
      </c>
    </row>
    <row r="421" spans="1:5" x14ac:dyDescent="0.25">
      <c r="A421" s="134">
        <v>42115</v>
      </c>
      <c r="B421" s="136">
        <v>-1.3</v>
      </c>
      <c r="C421" s="135">
        <v>0.38263888888888886</v>
      </c>
      <c r="D421" s="135">
        <v>0.26250000000000001</v>
      </c>
      <c r="E421" s="135">
        <v>0.84375</v>
      </c>
    </row>
    <row r="422" spans="1:5" x14ac:dyDescent="0.25">
      <c r="A422" s="134">
        <v>42116</v>
      </c>
      <c r="B422" s="136">
        <v>-0.9</v>
      </c>
      <c r="C422" s="135">
        <v>0.41458333333333336</v>
      </c>
      <c r="D422" s="135">
        <v>0.26111111111111113</v>
      </c>
      <c r="E422" s="135">
        <v>0.84444444444444444</v>
      </c>
    </row>
    <row r="423" spans="1:5" x14ac:dyDescent="0.25">
      <c r="A423" s="134">
        <v>42117</v>
      </c>
      <c r="B423" s="136">
        <v>-0.4</v>
      </c>
      <c r="C423" s="135">
        <v>0.44861111111111113</v>
      </c>
      <c r="D423" s="135">
        <v>0.25972222222222224</v>
      </c>
      <c r="E423" s="135">
        <v>0.84513888888888888</v>
      </c>
    </row>
    <row r="424" spans="1:5" x14ac:dyDescent="0.25">
      <c r="A424" s="134">
        <v>42118</v>
      </c>
      <c r="B424" s="136">
        <v>0.2</v>
      </c>
      <c r="C424" s="135">
        <v>0.48472222222222222</v>
      </c>
      <c r="D424" s="135">
        <v>0.2590277777777778</v>
      </c>
      <c r="E424" s="135">
        <v>0.84652777777777777</v>
      </c>
    </row>
    <row r="425" spans="1:5" x14ac:dyDescent="0.25">
      <c r="A425" s="134">
        <v>42118</v>
      </c>
      <c r="B425" s="136">
        <v>3.1</v>
      </c>
      <c r="C425" s="135">
        <v>0.99444444444444446</v>
      </c>
      <c r="D425" s="135">
        <v>0.2590277777777778</v>
      </c>
      <c r="E425" s="135">
        <v>0.84652777777777777</v>
      </c>
    </row>
    <row r="426" spans="1:5" x14ac:dyDescent="0.25">
      <c r="A426" s="134">
        <v>42119</v>
      </c>
      <c r="B426" s="136">
        <v>0.7</v>
      </c>
      <c r="C426" s="135">
        <v>0.52430555555555558</v>
      </c>
      <c r="D426" s="135">
        <v>0.25763888888888886</v>
      </c>
      <c r="E426" s="135">
        <v>0.84722222222222221</v>
      </c>
    </row>
    <row r="427" spans="1:5" x14ac:dyDescent="0.25">
      <c r="A427" s="134">
        <v>42120</v>
      </c>
      <c r="B427" s="136">
        <v>3.2</v>
      </c>
      <c r="C427" s="135">
        <v>4.3055555555555555E-2</v>
      </c>
      <c r="D427" s="135">
        <v>0.25624999999999998</v>
      </c>
      <c r="E427" s="135">
        <v>0.84791666666666665</v>
      </c>
    </row>
    <row r="428" spans="1:5" x14ac:dyDescent="0.25">
      <c r="A428" s="134">
        <v>42120</v>
      </c>
      <c r="B428" s="136">
        <v>1.1000000000000001</v>
      </c>
      <c r="C428" s="135">
        <v>0.56666666666666665</v>
      </c>
      <c r="D428" s="135">
        <v>0.25624999999999998</v>
      </c>
      <c r="E428" s="135">
        <v>0.84791666666666665</v>
      </c>
    </row>
    <row r="429" spans="1:5" x14ac:dyDescent="0.25">
      <c r="A429" s="134">
        <v>42121</v>
      </c>
      <c r="B429" s="136">
        <v>3</v>
      </c>
      <c r="C429" s="135">
        <v>9.4444444444444442E-2</v>
      </c>
      <c r="D429" s="135">
        <v>0.25555555555555554</v>
      </c>
      <c r="E429" s="135">
        <v>0.84930555555555554</v>
      </c>
    </row>
    <row r="430" spans="1:5" x14ac:dyDescent="0.25">
      <c r="A430" s="134">
        <v>42121</v>
      </c>
      <c r="B430" s="136">
        <v>1.3</v>
      </c>
      <c r="C430" s="135">
        <v>0.60902777777777772</v>
      </c>
      <c r="D430" s="135">
        <v>0.25555555555555554</v>
      </c>
      <c r="E430" s="135">
        <v>0.84930555555555554</v>
      </c>
    </row>
    <row r="431" spans="1:5" x14ac:dyDescent="0.25">
      <c r="A431" s="134">
        <v>42122</v>
      </c>
      <c r="B431" s="136">
        <v>2.5</v>
      </c>
      <c r="C431" s="135">
        <v>0.14097222222222222</v>
      </c>
      <c r="D431" s="135">
        <v>0.25416666666666665</v>
      </c>
      <c r="E431" s="135">
        <v>0.85</v>
      </c>
    </row>
    <row r="432" spans="1:5" x14ac:dyDescent="0.25">
      <c r="A432" s="134">
        <v>42122</v>
      </c>
      <c r="B432" s="136">
        <v>1.4</v>
      </c>
      <c r="C432" s="135">
        <v>0.64722222222222225</v>
      </c>
      <c r="D432" s="135">
        <v>0.25416666666666665</v>
      </c>
      <c r="E432" s="135">
        <v>0.85</v>
      </c>
    </row>
    <row r="433" spans="1:5" x14ac:dyDescent="0.25">
      <c r="A433" s="134">
        <v>42123</v>
      </c>
      <c r="B433" s="136">
        <v>1.9</v>
      </c>
      <c r="C433" s="135">
        <v>0.17986111111111111</v>
      </c>
      <c r="D433" s="135">
        <v>0.25277777777777777</v>
      </c>
      <c r="E433" s="135">
        <v>0.85138888888888886</v>
      </c>
    </row>
    <row r="434" spans="1:5" x14ac:dyDescent="0.25">
      <c r="A434" s="134">
        <v>42123</v>
      </c>
      <c r="B434" s="136">
        <v>1.5</v>
      </c>
      <c r="C434" s="135">
        <v>0.68125000000000002</v>
      </c>
      <c r="D434" s="135">
        <v>0.25277777777777777</v>
      </c>
      <c r="E434" s="135">
        <v>0.85138888888888886</v>
      </c>
    </row>
    <row r="435" spans="1:5" x14ac:dyDescent="0.25">
      <c r="A435" s="134">
        <v>42124</v>
      </c>
      <c r="B435" s="136">
        <v>1.3</v>
      </c>
      <c r="C435" s="135">
        <v>0.21180555555555555</v>
      </c>
      <c r="D435" s="135">
        <v>0.25208333333333333</v>
      </c>
      <c r="E435" s="135">
        <v>0.8520833333333333</v>
      </c>
    </row>
    <row r="436" spans="1:5" x14ac:dyDescent="0.25">
      <c r="A436" s="134">
        <v>42124</v>
      </c>
      <c r="B436" s="136">
        <v>1.5</v>
      </c>
      <c r="C436" s="135">
        <v>0.7104166666666667</v>
      </c>
      <c r="D436" s="135">
        <v>0.25208333333333333</v>
      </c>
      <c r="E436" s="135">
        <v>0.8520833333333333</v>
      </c>
    </row>
    <row r="437" spans="1:5" x14ac:dyDescent="0.25">
      <c r="A437" s="134">
        <v>42125</v>
      </c>
      <c r="B437" s="136">
        <v>0.7</v>
      </c>
      <c r="C437" s="135">
        <v>0.23958333333333334</v>
      </c>
      <c r="D437" s="135">
        <v>0.25069444444444444</v>
      </c>
      <c r="E437" s="135">
        <v>0.85277777777777775</v>
      </c>
    </row>
    <row r="438" spans="1:5" x14ac:dyDescent="0.25">
      <c r="A438" s="134">
        <v>42125</v>
      </c>
      <c r="B438" s="136">
        <v>1.6</v>
      </c>
      <c r="C438" s="135">
        <v>0.73750000000000004</v>
      </c>
      <c r="D438" s="135">
        <v>0.25069444444444444</v>
      </c>
      <c r="E438" s="135">
        <v>0.85277777777777775</v>
      </c>
    </row>
    <row r="439" spans="1:5" x14ac:dyDescent="0.25">
      <c r="A439" s="134">
        <v>42126</v>
      </c>
      <c r="B439" s="136">
        <v>0.2</v>
      </c>
      <c r="C439" s="135">
        <v>0.26597222222222222</v>
      </c>
      <c r="D439" s="135">
        <v>0.24930555555555556</v>
      </c>
      <c r="E439" s="135">
        <v>0.85416666666666663</v>
      </c>
    </row>
    <row r="440" spans="1:5" x14ac:dyDescent="0.25">
      <c r="A440" s="134">
        <v>42126</v>
      </c>
      <c r="B440" s="136">
        <v>1.7</v>
      </c>
      <c r="C440" s="135">
        <v>0.7631944444444444</v>
      </c>
      <c r="D440" s="135">
        <v>0.24930555555555556</v>
      </c>
      <c r="E440" s="135">
        <v>0.85416666666666663</v>
      </c>
    </row>
    <row r="441" spans="1:5" x14ac:dyDescent="0.25">
      <c r="A441" s="134">
        <v>42127</v>
      </c>
      <c r="B441" s="136">
        <v>-0.3</v>
      </c>
      <c r="C441" s="135">
        <v>0.29097222222222224</v>
      </c>
      <c r="D441" s="135">
        <v>0.24861111111111112</v>
      </c>
      <c r="E441" s="135">
        <v>0.85486111111111107</v>
      </c>
    </row>
    <row r="442" spans="1:5" x14ac:dyDescent="0.25">
      <c r="A442" s="134">
        <v>42127</v>
      </c>
      <c r="B442" s="136">
        <v>1.9</v>
      </c>
      <c r="C442" s="135">
        <v>0.78819444444444442</v>
      </c>
      <c r="D442" s="135">
        <v>0.24861111111111112</v>
      </c>
      <c r="E442" s="135">
        <v>0.85486111111111107</v>
      </c>
    </row>
    <row r="443" spans="1:5" x14ac:dyDescent="0.25">
      <c r="A443" s="134">
        <v>42128</v>
      </c>
      <c r="B443" s="136">
        <v>-0.6</v>
      </c>
      <c r="C443" s="135">
        <v>0.31597222222222221</v>
      </c>
      <c r="D443" s="135">
        <v>0.24722222222222223</v>
      </c>
      <c r="E443" s="135">
        <v>0.85555555555555551</v>
      </c>
    </row>
    <row r="444" spans="1:5" x14ac:dyDescent="0.25">
      <c r="A444" s="134">
        <v>42128</v>
      </c>
      <c r="B444" s="136">
        <v>2</v>
      </c>
      <c r="C444" s="135">
        <v>0.8125</v>
      </c>
      <c r="D444" s="135">
        <v>0.24722222222222223</v>
      </c>
      <c r="E444" s="135">
        <v>0.85555555555555551</v>
      </c>
    </row>
    <row r="445" spans="1:5" x14ac:dyDescent="0.25">
      <c r="A445" s="134">
        <v>42129</v>
      </c>
      <c r="B445" s="136">
        <v>-0.8</v>
      </c>
      <c r="C445" s="135">
        <v>0.34097222222222223</v>
      </c>
      <c r="D445" s="135">
        <v>0.24652777777777779</v>
      </c>
      <c r="E445" s="135">
        <v>0.8569444444444444</v>
      </c>
    </row>
    <row r="446" spans="1:5" x14ac:dyDescent="0.25">
      <c r="A446" s="134">
        <v>42129</v>
      </c>
      <c r="B446" s="136">
        <v>2.2000000000000002</v>
      </c>
      <c r="C446" s="135">
        <v>0.83819444444444446</v>
      </c>
      <c r="D446" s="135">
        <v>0.24652777777777779</v>
      </c>
      <c r="E446" s="135">
        <v>0.8569444444444444</v>
      </c>
    </row>
    <row r="447" spans="1:5" x14ac:dyDescent="0.25">
      <c r="A447" s="134">
        <v>42130</v>
      </c>
      <c r="B447" s="136">
        <v>-0.9</v>
      </c>
      <c r="C447" s="135">
        <v>0.36736111111111114</v>
      </c>
      <c r="D447" s="135">
        <v>0.24513888888888888</v>
      </c>
      <c r="E447" s="135">
        <v>0.85763888888888884</v>
      </c>
    </row>
    <row r="448" spans="1:5" x14ac:dyDescent="0.25">
      <c r="A448" s="134">
        <v>42130</v>
      </c>
      <c r="B448" s="136">
        <v>2.4</v>
      </c>
      <c r="C448" s="135">
        <v>0.86458333333333337</v>
      </c>
      <c r="D448" s="135">
        <v>0.24513888888888888</v>
      </c>
      <c r="E448" s="135">
        <v>0.85763888888888884</v>
      </c>
    </row>
    <row r="449" spans="1:5" x14ac:dyDescent="0.25">
      <c r="A449" s="134">
        <v>42131</v>
      </c>
      <c r="B449" s="136">
        <v>-0.8</v>
      </c>
      <c r="C449" s="135">
        <v>0.39583333333333331</v>
      </c>
      <c r="D449" s="135">
        <v>0.24444444444444444</v>
      </c>
      <c r="E449" s="135">
        <v>0.85833333333333328</v>
      </c>
    </row>
    <row r="450" spans="1:5" x14ac:dyDescent="0.25">
      <c r="A450" s="134">
        <v>42131</v>
      </c>
      <c r="B450" s="136">
        <v>2.6</v>
      </c>
      <c r="C450" s="135">
        <v>0.89444444444444449</v>
      </c>
      <c r="D450" s="135">
        <v>0.24444444444444444</v>
      </c>
      <c r="E450" s="135">
        <v>0.85833333333333328</v>
      </c>
    </row>
    <row r="451" spans="1:5" x14ac:dyDescent="0.25">
      <c r="A451" s="134">
        <v>42132</v>
      </c>
      <c r="B451" s="136">
        <v>-0.7</v>
      </c>
      <c r="C451" s="135">
        <v>0.42638888888888887</v>
      </c>
      <c r="D451" s="135">
        <v>0.24305555555555555</v>
      </c>
      <c r="E451" s="135">
        <v>0.85972222222222228</v>
      </c>
    </row>
    <row r="452" spans="1:5" x14ac:dyDescent="0.25">
      <c r="A452" s="134">
        <v>42132</v>
      </c>
      <c r="B452" s="136">
        <v>2.8</v>
      </c>
      <c r="C452" s="135">
        <v>0.9291666666666667</v>
      </c>
      <c r="D452" s="135">
        <v>0.24305555555555555</v>
      </c>
      <c r="E452" s="135">
        <v>0.85972222222222228</v>
      </c>
    </row>
    <row r="453" spans="1:5" x14ac:dyDescent="0.25">
      <c r="A453" s="134">
        <v>42133</v>
      </c>
      <c r="B453" s="136">
        <v>-0.4</v>
      </c>
      <c r="C453" s="135">
        <v>0.46041666666666664</v>
      </c>
      <c r="D453" s="135">
        <v>0.24236111111111111</v>
      </c>
      <c r="E453" s="135">
        <v>0.86041666666666672</v>
      </c>
    </row>
    <row r="454" spans="1:5" x14ac:dyDescent="0.25">
      <c r="A454" s="134">
        <v>42133</v>
      </c>
      <c r="B454" s="136">
        <v>2.8</v>
      </c>
      <c r="C454" s="135">
        <v>0.97013888888888888</v>
      </c>
      <c r="D454" s="135">
        <v>0.24236111111111111</v>
      </c>
      <c r="E454" s="135">
        <v>0.86041666666666672</v>
      </c>
    </row>
    <row r="455" spans="1:5" x14ac:dyDescent="0.25">
      <c r="A455" s="134">
        <v>42134</v>
      </c>
      <c r="B455" s="136">
        <v>-0.1</v>
      </c>
      <c r="C455" s="135">
        <v>0.49861111111111112</v>
      </c>
      <c r="D455" s="135">
        <v>0.24097222222222223</v>
      </c>
      <c r="E455" s="135">
        <v>0.86111111111111116</v>
      </c>
    </row>
    <row r="456" spans="1:5" x14ac:dyDescent="0.25">
      <c r="A456" s="134">
        <v>42135</v>
      </c>
      <c r="B456" s="136">
        <v>2.7</v>
      </c>
      <c r="C456" s="135">
        <v>1.8055555555555554E-2</v>
      </c>
      <c r="D456" s="135">
        <v>0.24027777777777778</v>
      </c>
      <c r="E456" s="135">
        <v>0.86250000000000004</v>
      </c>
    </row>
    <row r="457" spans="1:5" x14ac:dyDescent="0.25">
      <c r="A457" s="134">
        <v>42135</v>
      </c>
      <c r="B457" s="136">
        <v>0.2</v>
      </c>
      <c r="C457" s="135">
        <v>0.54027777777777775</v>
      </c>
      <c r="D457" s="135">
        <v>0.24027777777777778</v>
      </c>
      <c r="E457" s="135">
        <v>0.86250000000000004</v>
      </c>
    </row>
    <row r="458" spans="1:5" x14ac:dyDescent="0.25">
      <c r="A458" s="134">
        <v>42136</v>
      </c>
      <c r="B458" s="136">
        <v>2.2999999999999998</v>
      </c>
      <c r="C458" s="135">
        <v>7.0833333333333331E-2</v>
      </c>
      <c r="D458" s="135">
        <v>0.23958333333333334</v>
      </c>
      <c r="E458" s="135">
        <v>0.86319444444444449</v>
      </c>
    </row>
    <row r="459" spans="1:5" x14ac:dyDescent="0.25">
      <c r="A459" s="134">
        <v>42136</v>
      </c>
      <c r="B459" s="136">
        <v>0.4</v>
      </c>
      <c r="C459" s="135">
        <v>0.58402777777777781</v>
      </c>
      <c r="D459" s="135">
        <v>0.23958333333333334</v>
      </c>
      <c r="E459" s="135">
        <v>0.86319444444444449</v>
      </c>
    </row>
    <row r="460" spans="1:5" x14ac:dyDescent="0.25">
      <c r="A460" s="134">
        <v>42137</v>
      </c>
      <c r="B460" s="136">
        <v>1.6</v>
      </c>
      <c r="C460" s="135">
        <v>0.12152777777777778</v>
      </c>
      <c r="D460" s="135">
        <v>0.23819444444444443</v>
      </c>
      <c r="E460" s="135">
        <v>0.86388888888888893</v>
      </c>
    </row>
    <row r="461" spans="1:5" x14ac:dyDescent="0.25">
      <c r="A461" s="134">
        <v>42137</v>
      </c>
      <c r="B461" s="136">
        <v>0.7</v>
      </c>
      <c r="C461" s="135">
        <v>0.62777777777777777</v>
      </c>
      <c r="D461" s="135">
        <v>0.23819444444444443</v>
      </c>
      <c r="E461" s="135">
        <v>0.86388888888888893</v>
      </c>
    </row>
    <row r="462" spans="1:5" x14ac:dyDescent="0.25">
      <c r="A462" s="134">
        <v>42138</v>
      </c>
      <c r="B462" s="136">
        <v>0.8</v>
      </c>
      <c r="C462" s="135">
        <v>0.1673611111111111</v>
      </c>
      <c r="D462" s="135">
        <v>0.23749999999999999</v>
      </c>
      <c r="E462" s="135">
        <v>0.86527777777777781</v>
      </c>
    </row>
    <row r="463" spans="1:5" x14ac:dyDescent="0.25">
      <c r="A463" s="134">
        <v>42138</v>
      </c>
      <c r="B463" s="136">
        <v>0.8</v>
      </c>
      <c r="C463" s="135">
        <v>0.66805555555555551</v>
      </c>
      <c r="D463" s="135">
        <v>0.23749999999999999</v>
      </c>
      <c r="E463" s="135">
        <v>0.86527777777777781</v>
      </c>
    </row>
    <row r="464" spans="1:5" x14ac:dyDescent="0.25">
      <c r="A464" s="134">
        <v>42139</v>
      </c>
      <c r="B464" s="136">
        <v>-0.1</v>
      </c>
      <c r="C464" s="135">
        <v>0.20694444444444443</v>
      </c>
      <c r="D464" s="135">
        <v>0.23680555555555555</v>
      </c>
      <c r="E464" s="135">
        <v>0.86597222222222225</v>
      </c>
    </row>
    <row r="465" spans="1:5" x14ac:dyDescent="0.25">
      <c r="A465" s="134">
        <v>42139</v>
      </c>
      <c r="B465" s="136">
        <v>1</v>
      </c>
      <c r="C465" s="135">
        <v>0.7055555555555556</v>
      </c>
      <c r="D465" s="135">
        <v>0.23680555555555555</v>
      </c>
      <c r="E465" s="135">
        <v>0.86597222222222225</v>
      </c>
    </row>
    <row r="466" spans="1:5" x14ac:dyDescent="0.25">
      <c r="A466" s="134">
        <v>42140</v>
      </c>
      <c r="B466" s="136">
        <v>-0.9</v>
      </c>
      <c r="C466" s="135">
        <v>0.24305555555555555</v>
      </c>
      <c r="D466" s="135">
        <v>0.2361111111111111</v>
      </c>
      <c r="E466" s="135">
        <v>0.8666666666666667</v>
      </c>
    </row>
    <row r="467" spans="1:5" x14ac:dyDescent="0.25">
      <c r="A467" s="134">
        <v>42140</v>
      </c>
      <c r="B467" s="136">
        <v>1.1000000000000001</v>
      </c>
      <c r="C467" s="135">
        <v>0.74097222222222225</v>
      </c>
      <c r="D467" s="135">
        <v>0.2361111111111111</v>
      </c>
      <c r="E467" s="135">
        <v>0.8666666666666667</v>
      </c>
    </row>
    <row r="468" spans="1:5" x14ac:dyDescent="0.25">
      <c r="A468" s="134">
        <v>42141</v>
      </c>
      <c r="B468" s="136">
        <v>-1.5</v>
      </c>
      <c r="C468" s="135">
        <v>0.27638888888888891</v>
      </c>
      <c r="D468" s="135">
        <v>0.23472222222222222</v>
      </c>
      <c r="E468" s="135">
        <v>0.86736111111111114</v>
      </c>
    </row>
    <row r="469" spans="1:5" x14ac:dyDescent="0.25">
      <c r="A469" s="134">
        <v>42141</v>
      </c>
      <c r="B469" s="136">
        <v>1.4</v>
      </c>
      <c r="C469" s="135">
        <v>0.77430555555555558</v>
      </c>
      <c r="D469" s="135">
        <v>0.23472222222222222</v>
      </c>
      <c r="E469" s="135">
        <v>0.86736111111111114</v>
      </c>
    </row>
    <row r="470" spans="1:5" x14ac:dyDescent="0.25">
      <c r="A470" s="134">
        <v>42142</v>
      </c>
      <c r="B470" s="136">
        <v>-1.8</v>
      </c>
      <c r="C470" s="135">
        <v>0.30833333333333335</v>
      </c>
      <c r="D470" s="135">
        <v>0.23402777777777778</v>
      </c>
      <c r="E470" s="135">
        <v>0.86875000000000002</v>
      </c>
    </row>
    <row r="471" spans="1:5" x14ac:dyDescent="0.25">
      <c r="A471" s="134">
        <v>42142</v>
      </c>
      <c r="B471" s="136">
        <v>1.6</v>
      </c>
      <c r="C471" s="135">
        <v>0.80694444444444446</v>
      </c>
      <c r="D471" s="135">
        <v>0.23402777777777778</v>
      </c>
      <c r="E471" s="135">
        <v>0.86875000000000002</v>
      </c>
    </row>
    <row r="472" spans="1:5" x14ac:dyDescent="0.25">
      <c r="A472" s="134">
        <v>42143</v>
      </c>
      <c r="B472" s="136">
        <v>-1.8</v>
      </c>
      <c r="C472" s="135">
        <v>0.33888888888888891</v>
      </c>
      <c r="D472" s="135">
        <v>0.23333333333333334</v>
      </c>
      <c r="E472" s="135">
        <v>0.86944444444444446</v>
      </c>
    </row>
    <row r="473" spans="1:5" x14ac:dyDescent="0.25">
      <c r="A473" s="134">
        <v>42143</v>
      </c>
      <c r="B473" s="136">
        <v>1.9</v>
      </c>
      <c r="C473" s="135">
        <v>0.83819444444444446</v>
      </c>
      <c r="D473" s="135">
        <v>0.23333333333333334</v>
      </c>
      <c r="E473" s="135">
        <v>0.86944444444444446</v>
      </c>
    </row>
    <row r="474" spans="1:5" x14ac:dyDescent="0.25">
      <c r="A474" s="134">
        <v>42144</v>
      </c>
      <c r="B474" s="136">
        <v>-1.6</v>
      </c>
      <c r="C474" s="135">
        <v>0.36875000000000002</v>
      </c>
      <c r="D474" s="135">
        <v>0.2326388888888889</v>
      </c>
      <c r="E474" s="135">
        <v>0.87013888888888891</v>
      </c>
    </row>
    <row r="475" spans="1:5" x14ac:dyDescent="0.25">
      <c r="A475" s="134">
        <v>42144</v>
      </c>
      <c r="B475" s="136">
        <v>2.2000000000000002</v>
      </c>
      <c r="C475" s="135">
        <v>0.87013888888888891</v>
      </c>
      <c r="D475" s="135">
        <v>0.2326388888888889</v>
      </c>
      <c r="E475" s="135">
        <v>0.87013888888888891</v>
      </c>
    </row>
    <row r="476" spans="1:5" x14ac:dyDescent="0.25">
      <c r="A476" s="134">
        <v>42145</v>
      </c>
      <c r="B476" s="136">
        <v>-1.2</v>
      </c>
      <c r="C476" s="135">
        <v>0.39861111111111114</v>
      </c>
      <c r="D476" s="135">
        <v>0.23194444444444445</v>
      </c>
      <c r="E476" s="135">
        <v>0.87083333333333335</v>
      </c>
    </row>
    <row r="477" spans="1:5" x14ac:dyDescent="0.25">
      <c r="A477" s="134">
        <v>42145</v>
      </c>
      <c r="B477" s="136">
        <v>2.4</v>
      </c>
      <c r="C477" s="135">
        <v>0.90277777777777779</v>
      </c>
      <c r="D477" s="135">
        <v>0.23194444444444445</v>
      </c>
      <c r="E477" s="135">
        <v>0.87083333333333335</v>
      </c>
    </row>
    <row r="478" spans="1:5" x14ac:dyDescent="0.25">
      <c r="A478" s="134">
        <v>42146</v>
      </c>
      <c r="B478" s="136">
        <v>-0.8</v>
      </c>
      <c r="C478" s="135">
        <v>0.42916666666666664</v>
      </c>
      <c r="D478" s="135">
        <v>0.23125000000000001</v>
      </c>
      <c r="E478" s="135">
        <v>0.87152777777777779</v>
      </c>
    </row>
    <row r="479" spans="1:5" x14ac:dyDescent="0.25">
      <c r="A479" s="134">
        <v>42146</v>
      </c>
      <c r="B479" s="136">
        <v>2.7</v>
      </c>
      <c r="C479" s="135">
        <v>0.9375</v>
      </c>
      <c r="D479" s="135">
        <v>0.23125000000000001</v>
      </c>
      <c r="E479" s="135">
        <v>0.87152777777777779</v>
      </c>
    </row>
    <row r="480" spans="1:5" x14ac:dyDescent="0.25">
      <c r="A480" s="134">
        <v>42147</v>
      </c>
      <c r="B480" s="136">
        <v>-0.2</v>
      </c>
      <c r="C480" s="135">
        <v>0.46041666666666664</v>
      </c>
      <c r="D480" s="135">
        <v>0.23055555555555557</v>
      </c>
      <c r="E480" s="135">
        <v>0.87222222222222223</v>
      </c>
    </row>
    <row r="481" spans="1:5" x14ac:dyDescent="0.25">
      <c r="A481" s="134">
        <v>42147</v>
      </c>
      <c r="B481" s="136">
        <v>2.8</v>
      </c>
      <c r="C481" s="135">
        <v>0.97569444444444442</v>
      </c>
      <c r="D481" s="135">
        <v>0.23055555555555557</v>
      </c>
      <c r="E481" s="135">
        <v>0.87222222222222223</v>
      </c>
    </row>
    <row r="482" spans="1:5" x14ac:dyDescent="0.25">
      <c r="A482" s="134">
        <v>42148</v>
      </c>
      <c r="B482" s="136">
        <v>0.3</v>
      </c>
      <c r="C482" s="135">
        <v>0.49375000000000002</v>
      </c>
      <c r="D482" s="135">
        <v>0.2298611111111111</v>
      </c>
      <c r="E482" s="135">
        <v>0.87291666666666667</v>
      </c>
    </row>
    <row r="483" spans="1:5" x14ac:dyDescent="0.25">
      <c r="A483" s="134">
        <v>42149</v>
      </c>
      <c r="B483" s="136">
        <v>2.8</v>
      </c>
      <c r="C483" s="135">
        <v>1.9444444444444445E-2</v>
      </c>
      <c r="D483" s="135">
        <v>0.22916666666666666</v>
      </c>
      <c r="E483" s="135">
        <v>0.87430555555555556</v>
      </c>
    </row>
    <row r="484" spans="1:5" x14ac:dyDescent="0.25">
      <c r="A484" s="134">
        <v>42149</v>
      </c>
      <c r="B484" s="136">
        <v>0.8</v>
      </c>
      <c r="C484" s="135">
        <v>0.52847222222222223</v>
      </c>
      <c r="D484" s="135">
        <v>0.22916666666666666</v>
      </c>
      <c r="E484" s="135">
        <v>0.87430555555555556</v>
      </c>
    </row>
    <row r="485" spans="1:5" x14ac:dyDescent="0.25">
      <c r="A485" s="134">
        <v>42150</v>
      </c>
      <c r="B485" s="136">
        <v>2.6</v>
      </c>
      <c r="C485" s="135">
        <v>6.5972222222222224E-2</v>
      </c>
      <c r="D485" s="135">
        <v>0.22847222222222222</v>
      </c>
      <c r="E485" s="135">
        <v>0.875</v>
      </c>
    </row>
    <row r="486" spans="1:5" x14ac:dyDescent="0.25">
      <c r="A486" s="134">
        <v>42150</v>
      </c>
      <c r="B486" s="136">
        <v>1.3</v>
      </c>
      <c r="C486" s="135">
        <v>0.56597222222222221</v>
      </c>
      <c r="D486" s="135">
        <v>0.22847222222222222</v>
      </c>
      <c r="E486" s="135">
        <v>0.875</v>
      </c>
    </row>
    <row r="487" spans="1:5" x14ac:dyDescent="0.25">
      <c r="A487" s="134">
        <v>42151</v>
      </c>
      <c r="B487" s="136">
        <v>2.2000000000000002</v>
      </c>
      <c r="C487" s="135">
        <v>0.11180555555555556</v>
      </c>
      <c r="D487" s="135">
        <v>0.22777777777777777</v>
      </c>
      <c r="E487" s="135">
        <v>0.87569444444444444</v>
      </c>
    </row>
    <row r="488" spans="1:5" x14ac:dyDescent="0.25">
      <c r="A488" s="134">
        <v>42151</v>
      </c>
      <c r="B488" s="136">
        <v>1.6</v>
      </c>
      <c r="C488" s="135">
        <v>0.60347222222222219</v>
      </c>
      <c r="D488" s="135">
        <v>0.22777777777777777</v>
      </c>
      <c r="E488" s="135">
        <v>0.87569444444444444</v>
      </c>
    </row>
    <row r="489" spans="1:5" x14ac:dyDescent="0.25">
      <c r="A489" s="134">
        <v>42152</v>
      </c>
      <c r="B489" s="136">
        <v>1.6</v>
      </c>
      <c r="C489" s="135">
        <v>0.15277777777777779</v>
      </c>
      <c r="D489" s="135">
        <v>0.22777777777777777</v>
      </c>
      <c r="E489" s="135">
        <v>0.87638888888888888</v>
      </c>
    </row>
    <row r="490" spans="1:5" x14ac:dyDescent="0.25">
      <c r="A490" s="134">
        <v>42152</v>
      </c>
      <c r="B490" s="136">
        <v>1.8</v>
      </c>
      <c r="C490" s="135">
        <v>0.64027777777777772</v>
      </c>
      <c r="D490" s="135">
        <v>0.22777777777777777</v>
      </c>
      <c r="E490" s="135">
        <v>0.87638888888888888</v>
      </c>
    </row>
    <row r="491" spans="1:5" x14ac:dyDescent="0.25">
      <c r="A491" s="134">
        <v>42153</v>
      </c>
      <c r="B491" s="136">
        <v>0.9</v>
      </c>
      <c r="C491" s="135">
        <v>0.1875</v>
      </c>
      <c r="D491" s="135">
        <v>0.22708333333333333</v>
      </c>
      <c r="E491" s="135">
        <v>0.87708333333333333</v>
      </c>
    </row>
    <row r="492" spans="1:5" x14ac:dyDescent="0.25">
      <c r="A492" s="134">
        <v>42153</v>
      </c>
      <c r="B492" s="136">
        <v>2</v>
      </c>
      <c r="C492" s="135">
        <v>0.6743055555555556</v>
      </c>
      <c r="D492" s="135">
        <v>0.22708333333333333</v>
      </c>
      <c r="E492" s="135">
        <v>0.87708333333333333</v>
      </c>
    </row>
    <row r="493" spans="1:5" x14ac:dyDescent="0.25">
      <c r="A493" s="134">
        <v>42154</v>
      </c>
      <c r="B493" s="136">
        <v>0.3</v>
      </c>
      <c r="C493" s="135">
        <v>0.21805555555555556</v>
      </c>
      <c r="D493" s="135">
        <v>0.22638888888888889</v>
      </c>
      <c r="E493" s="135">
        <v>0.87777777777777777</v>
      </c>
    </row>
    <row r="494" spans="1:5" x14ac:dyDescent="0.25">
      <c r="A494" s="134">
        <v>42154</v>
      </c>
      <c r="B494" s="136">
        <v>2.1</v>
      </c>
      <c r="C494" s="135">
        <v>0.70625000000000004</v>
      </c>
      <c r="D494" s="135">
        <v>0.22638888888888889</v>
      </c>
      <c r="E494" s="135">
        <v>0.87777777777777777</v>
      </c>
    </row>
    <row r="495" spans="1:5" x14ac:dyDescent="0.25">
      <c r="A495" s="134">
        <v>42155</v>
      </c>
      <c r="B495" s="136">
        <v>-0.3</v>
      </c>
      <c r="C495" s="135">
        <v>0.24652777777777779</v>
      </c>
      <c r="D495" s="135">
        <v>0.22569444444444445</v>
      </c>
      <c r="E495" s="135">
        <v>0.87847222222222221</v>
      </c>
    </row>
    <row r="496" spans="1:5" x14ac:dyDescent="0.25">
      <c r="A496" s="134">
        <v>42155</v>
      </c>
      <c r="B496" s="136">
        <v>2.2000000000000002</v>
      </c>
      <c r="C496" s="135">
        <v>0.7368055555555556</v>
      </c>
      <c r="D496" s="135">
        <v>0.22569444444444445</v>
      </c>
      <c r="E496" s="135">
        <v>0.87847222222222221</v>
      </c>
    </row>
    <row r="497" spans="1:5" x14ac:dyDescent="0.25">
      <c r="A497" s="134">
        <v>42156</v>
      </c>
      <c r="B497" s="136">
        <v>-0.8</v>
      </c>
      <c r="C497" s="135">
        <v>0.27361111111111114</v>
      </c>
      <c r="D497" s="135">
        <v>0.22569444444444445</v>
      </c>
      <c r="E497" s="135">
        <v>0.87916666666666665</v>
      </c>
    </row>
    <row r="498" spans="1:5" x14ac:dyDescent="0.25">
      <c r="A498" s="134">
        <v>42156</v>
      </c>
      <c r="B498" s="136">
        <v>2.2000000000000002</v>
      </c>
      <c r="C498" s="135">
        <v>0.76597222222222228</v>
      </c>
      <c r="D498" s="135">
        <v>0.22569444444444445</v>
      </c>
      <c r="E498" s="135">
        <v>0.87916666666666665</v>
      </c>
    </row>
    <row r="499" spans="1:5" x14ac:dyDescent="0.25">
      <c r="A499" s="134">
        <v>42157</v>
      </c>
      <c r="B499" s="136">
        <v>-1.2</v>
      </c>
      <c r="C499" s="135">
        <v>0.30069444444444443</v>
      </c>
      <c r="D499" s="135">
        <v>0.22500000000000001</v>
      </c>
      <c r="E499" s="135">
        <v>0.87986111111111109</v>
      </c>
    </row>
    <row r="500" spans="1:5" x14ac:dyDescent="0.25">
      <c r="A500" s="134">
        <v>42157</v>
      </c>
      <c r="B500" s="136">
        <v>2.2999999999999998</v>
      </c>
      <c r="C500" s="135">
        <v>0.7944444444444444</v>
      </c>
      <c r="D500" s="135">
        <v>0.22500000000000001</v>
      </c>
      <c r="E500" s="135">
        <v>0.87986111111111109</v>
      </c>
    </row>
    <row r="501" spans="1:5" x14ac:dyDescent="0.25">
      <c r="A501" s="134">
        <v>42158</v>
      </c>
      <c r="B501" s="136">
        <v>-1.5</v>
      </c>
      <c r="C501" s="135">
        <v>0.32777777777777778</v>
      </c>
      <c r="D501" s="135">
        <v>0.22500000000000001</v>
      </c>
      <c r="E501" s="135">
        <v>0.87986111111111109</v>
      </c>
    </row>
    <row r="502" spans="1:5" x14ac:dyDescent="0.25">
      <c r="A502" s="134">
        <v>42158</v>
      </c>
      <c r="B502" s="136">
        <v>2.2999999999999998</v>
      </c>
      <c r="C502" s="135">
        <v>0.82361111111111107</v>
      </c>
      <c r="D502" s="135">
        <v>0.22500000000000001</v>
      </c>
      <c r="E502" s="135">
        <v>0.87986111111111109</v>
      </c>
    </row>
    <row r="503" spans="1:5" x14ac:dyDescent="0.25">
      <c r="A503" s="134">
        <v>42159</v>
      </c>
      <c r="B503" s="136">
        <v>-1.6</v>
      </c>
      <c r="C503" s="135">
        <v>0.35555555555555557</v>
      </c>
      <c r="D503" s="135">
        <v>0.22430555555555556</v>
      </c>
      <c r="E503" s="135">
        <v>0.88055555555555554</v>
      </c>
    </row>
    <row r="504" spans="1:5" x14ac:dyDescent="0.25">
      <c r="A504" s="134">
        <v>42159</v>
      </c>
      <c r="B504" s="136">
        <v>2.2999999999999998</v>
      </c>
      <c r="C504" s="135">
        <v>0.85416666666666663</v>
      </c>
      <c r="D504" s="135">
        <v>0.22430555555555556</v>
      </c>
      <c r="E504" s="135">
        <v>0.88055555555555554</v>
      </c>
    </row>
    <row r="505" spans="1:5" x14ac:dyDescent="0.25">
      <c r="A505" s="134">
        <v>42160</v>
      </c>
      <c r="B505" s="136">
        <v>-1.6</v>
      </c>
      <c r="C505" s="135">
        <v>0.38472222222222224</v>
      </c>
      <c r="D505" s="135">
        <v>0.22430555555555556</v>
      </c>
      <c r="E505" s="135">
        <v>0.88124999999999998</v>
      </c>
    </row>
    <row r="506" spans="1:5" x14ac:dyDescent="0.25">
      <c r="A506" s="134">
        <v>42160</v>
      </c>
      <c r="B506" s="136">
        <v>2.2999999999999998</v>
      </c>
      <c r="C506" s="135">
        <v>0.88680555555555551</v>
      </c>
      <c r="D506" s="135">
        <v>0.22430555555555556</v>
      </c>
      <c r="E506" s="135">
        <v>0.88124999999999998</v>
      </c>
    </row>
    <row r="507" spans="1:5" x14ac:dyDescent="0.25">
      <c r="A507" s="134">
        <v>42161</v>
      </c>
      <c r="B507" s="136">
        <v>-1.4</v>
      </c>
      <c r="C507" s="135">
        <v>0.4152777777777778</v>
      </c>
      <c r="D507" s="135">
        <v>0.22361111111111112</v>
      </c>
      <c r="E507" s="135">
        <v>0.88194444444444442</v>
      </c>
    </row>
    <row r="508" spans="1:5" x14ac:dyDescent="0.25">
      <c r="A508" s="134">
        <v>42161</v>
      </c>
      <c r="B508" s="136">
        <v>2.2999999999999998</v>
      </c>
      <c r="C508" s="135">
        <v>0.92361111111111116</v>
      </c>
      <c r="D508" s="135">
        <v>0.22361111111111112</v>
      </c>
      <c r="E508" s="135">
        <v>0.88194444444444442</v>
      </c>
    </row>
    <row r="509" spans="1:5" x14ac:dyDescent="0.25">
      <c r="A509" s="134">
        <v>42162</v>
      </c>
      <c r="B509" s="136">
        <v>-1</v>
      </c>
      <c r="C509" s="135">
        <v>0.44722222222222224</v>
      </c>
      <c r="D509" s="135">
        <v>0.22361111111111112</v>
      </c>
      <c r="E509" s="135">
        <v>0.88263888888888886</v>
      </c>
    </row>
    <row r="510" spans="1:5" x14ac:dyDescent="0.25">
      <c r="A510" s="134">
        <v>42162</v>
      </c>
      <c r="B510" s="136">
        <v>2.2000000000000002</v>
      </c>
      <c r="C510" s="135">
        <v>0.96527777777777779</v>
      </c>
      <c r="D510" s="135">
        <v>0.22361111111111112</v>
      </c>
      <c r="E510" s="135">
        <v>0.88263888888888886</v>
      </c>
    </row>
    <row r="511" spans="1:5" x14ac:dyDescent="0.25">
      <c r="A511" s="134">
        <v>42163</v>
      </c>
      <c r="B511" s="136">
        <v>-0.5</v>
      </c>
      <c r="C511" s="135">
        <v>0.4826388888888889</v>
      </c>
      <c r="D511" s="135">
        <v>0.22291666666666668</v>
      </c>
      <c r="E511" s="135">
        <v>0.88263888888888886</v>
      </c>
    </row>
    <row r="512" spans="1:5" x14ac:dyDescent="0.25">
      <c r="A512" s="134">
        <v>42164</v>
      </c>
      <c r="B512" s="136">
        <v>2</v>
      </c>
      <c r="C512" s="135">
        <v>1.1805555555555555E-2</v>
      </c>
      <c r="D512" s="135">
        <v>0.22291666666666668</v>
      </c>
      <c r="E512" s="135">
        <v>0.8833333333333333</v>
      </c>
    </row>
    <row r="513" spans="1:5" x14ac:dyDescent="0.25">
      <c r="A513" s="134">
        <v>42164</v>
      </c>
      <c r="B513" s="136">
        <v>0</v>
      </c>
      <c r="C513" s="135">
        <v>0.52013888888888893</v>
      </c>
      <c r="D513" s="135">
        <v>0.22291666666666668</v>
      </c>
      <c r="E513" s="135">
        <v>0.8833333333333333</v>
      </c>
    </row>
    <row r="514" spans="1:5" x14ac:dyDescent="0.25">
      <c r="A514" s="134">
        <v>42165</v>
      </c>
      <c r="B514" s="136">
        <v>1.5</v>
      </c>
      <c r="C514" s="135">
        <v>6.1111111111111109E-2</v>
      </c>
      <c r="D514" s="135">
        <v>0.22291666666666668</v>
      </c>
      <c r="E514" s="135">
        <v>0.88402777777777775</v>
      </c>
    </row>
    <row r="515" spans="1:5" x14ac:dyDescent="0.25">
      <c r="A515" s="134">
        <v>42165</v>
      </c>
      <c r="B515" s="136">
        <v>0.6</v>
      </c>
      <c r="C515" s="135">
        <v>0.56111111111111112</v>
      </c>
      <c r="D515" s="135">
        <v>0.22291666666666668</v>
      </c>
      <c r="E515" s="135">
        <v>0.88402777777777775</v>
      </c>
    </row>
    <row r="516" spans="1:5" x14ac:dyDescent="0.25">
      <c r="A516" s="134">
        <v>42166</v>
      </c>
      <c r="B516" s="136">
        <v>0.9</v>
      </c>
      <c r="C516" s="135">
        <v>0.1111111111111111</v>
      </c>
      <c r="D516" s="135">
        <v>0.22291666666666668</v>
      </c>
      <c r="E516" s="135">
        <v>0.88402777777777775</v>
      </c>
    </row>
    <row r="517" spans="1:5" x14ac:dyDescent="0.25">
      <c r="A517" s="134">
        <v>42166</v>
      </c>
      <c r="B517" s="136">
        <v>1</v>
      </c>
      <c r="C517" s="135">
        <v>0.60416666666666663</v>
      </c>
      <c r="D517" s="135">
        <v>0.22291666666666668</v>
      </c>
      <c r="E517" s="135">
        <v>0.88402777777777775</v>
      </c>
    </row>
    <row r="518" spans="1:5" x14ac:dyDescent="0.25">
      <c r="A518" s="134">
        <v>42167</v>
      </c>
      <c r="B518" s="136">
        <v>0.2</v>
      </c>
      <c r="C518" s="135">
        <v>0.15625</v>
      </c>
      <c r="D518" s="135">
        <v>0.22222222222222221</v>
      </c>
      <c r="E518" s="135">
        <v>0.88472222222222219</v>
      </c>
    </row>
    <row r="519" spans="1:5" x14ac:dyDescent="0.25">
      <c r="A519" s="134">
        <v>42167</v>
      </c>
      <c r="B519" s="136">
        <v>1.4</v>
      </c>
      <c r="C519" s="135">
        <v>0.64652777777777781</v>
      </c>
      <c r="D519" s="135">
        <v>0.22222222222222221</v>
      </c>
      <c r="E519" s="135">
        <v>0.88472222222222219</v>
      </c>
    </row>
    <row r="520" spans="1:5" x14ac:dyDescent="0.25">
      <c r="A520" s="134">
        <v>42168</v>
      </c>
      <c r="B520" s="136">
        <v>-0.6</v>
      </c>
      <c r="C520" s="135">
        <v>0.19722222222222222</v>
      </c>
      <c r="D520" s="135">
        <v>0.22222222222222221</v>
      </c>
      <c r="E520" s="135">
        <v>0.88472222222222219</v>
      </c>
    </row>
    <row r="521" spans="1:5" x14ac:dyDescent="0.25">
      <c r="A521" s="134">
        <v>42168</v>
      </c>
      <c r="B521" s="136">
        <v>1.7</v>
      </c>
      <c r="C521" s="135">
        <v>0.68680555555555556</v>
      </c>
      <c r="D521" s="135">
        <v>0.22222222222222221</v>
      </c>
      <c r="E521" s="135">
        <v>0.88472222222222219</v>
      </c>
    </row>
    <row r="522" spans="1:5" x14ac:dyDescent="0.25">
      <c r="A522" s="134">
        <v>42169</v>
      </c>
      <c r="B522" s="136">
        <v>-1.2</v>
      </c>
      <c r="C522" s="135">
        <v>0.23333333333333334</v>
      </c>
      <c r="D522" s="135">
        <v>0.22222222222222221</v>
      </c>
      <c r="E522" s="135">
        <v>0.88541666666666663</v>
      </c>
    </row>
    <row r="523" spans="1:5" x14ac:dyDescent="0.25">
      <c r="A523" s="134">
        <v>42169</v>
      </c>
      <c r="B523" s="136">
        <v>1.8</v>
      </c>
      <c r="C523" s="135">
        <v>0.72499999999999998</v>
      </c>
      <c r="D523" s="135">
        <v>0.22222222222222221</v>
      </c>
      <c r="E523" s="135">
        <v>0.88541666666666663</v>
      </c>
    </row>
    <row r="524" spans="1:5" x14ac:dyDescent="0.25">
      <c r="A524" s="134">
        <v>42170</v>
      </c>
      <c r="B524" s="136">
        <v>-1.6</v>
      </c>
      <c r="C524" s="135">
        <v>0.26666666666666666</v>
      </c>
      <c r="D524" s="135">
        <v>0.22222222222222221</v>
      </c>
      <c r="E524" s="135">
        <v>0.88541666666666663</v>
      </c>
    </row>
    <row r="525" spans="1:5" x14ac:dyDescent="0.25">
      <c r="A525" s="134">
        <v>42170</v>
      </c>
      <c r="B525" s="136">
        <v>1.9</v>
      </c>
      <c r="C525" s="135">
        <v>0.76041666666666663</v>
      </c>
      <c r="D525" s="135">
        <v>0.22222222222222221</v>
      </c>
      <c r="E525" s="135">
        <v>0.88541666666666663</v>
      </c>
    </row>
    <row r="526" spans="1:5" x14ac:dyDescent="0.25">
      <c r="A526" s="134">
        <v>42171</v>
      </c>
      <c r="B526" s="136">
        <v>-1.8</v>
      </c>
      <c r="C526" s="135">
        <v>0.29791666666666666</v>
      </c>
      <c r="D526" s="135">
        <v>0.22222222222222221</v>
      </c>
      <c r="E526" s="135">
        <v>0.88611111111111107</v>
      </c>
    </row>
    <row r="527" spans="1:5" x14ac:dyDescent="0.25">
      <c r="A527" s="134">
        <v>42171</v>
      </c>
      <c r="B527" s="136">
        <v>2</v>
      </c>
      <c r="C527" s="135">
        <v>0.79374999999999996</v>
      </c>
      <c r="D527" s="135">
        <v>0.22222222222222221</v>
      </c>
      <c r="E527" s="135">
        <v>0.88611111111111107</v>
      </c>
    </row>
    <row r="528" spans="1:5" x14ac:dyDescent="0.25">
      <c r="A528" s="134">
        <v>42172</v>
      </c>
      <c r="B528" s="136">
        <v>-1.8</v>
      </c>
      <c r="C528" s="135">
        <v>0.32708333333333334</v>
      </c>
      <c r="D528" s="135">
        <v>0.22222222222222221</v>
      </c>
      <c r="E528" s="135">
        <v>0.88611111111111107</v>
      </c>
    </row>
    <row r="529" spans="1:5" x14ac:dyDescent="0.25">
      <c r="A529" s="134">
        <v>42172</v>
      </c>
      <c r="B529" s="136">
        <v>2.1</v>
      </c>
      <c r="C529" s="135">
        <v>0.8256944444444444</v>
      </c>
      <c r="D529" s="135">
        <v>0.22222222222222221</v>
      </c>
      <c r="E529" s="135">
        <v>0.88611111111111107</v>
      </c>
    </row>
    <row r="530" spans="1:5" x14ac:dyDescent="0.25">
      <c r="A530" s="134">
        <v>42173</v>
      </c>
      <c r="B530" s="136">
        <v>-1.6</v>
      </c>
      <c r="C530" s="135">
        <v>0.35555555555555557</v>
      </c>
      <c r="D530" s="135">
        <v>0.22222222222222221</v>
      </c>
      <c r="E530" s="135">
        <v>0.88611111111111107</v>
      </c>
    </row>
    <row r="531" spans="1:5" x14ac:dyDescent="0.25">
      <c r="A531" s="134">
        <v>42173</v>
      </c>
      <c r="B531" s="136">
        <v>2.2000000000000002</v>
      </c>
      <c r="C531" s="135">
        <v>0.8569444444444444</v>
      </c>
      <c r="D531" s="135">
        <v>0.22222222222222221</v>
      </c>
      <c r="E531" s="135">
        <v>0.88611111111111107</v>
      </c>
    </row>
    <row r="532" spans="1:5" x14ac:dyDescent="0.25">
      <c r="A532" s="134">
        <v>42174</v>
      </c>
      <c r="B532" s="136">
        <v>-1.3</v>
      </c>
      <c r="C532" s="135">
        <v>0.38263888888888886</v>
      </c>
      <c r="D532" s="135">
        <v>0.22222222222222221</v>
      </c>
      <c r="E532" s="135">
        <v>0.88680555555555551</v>
      </c>
    </row>
    <row r="533" spans="1:5" x14ac:dyDescent="0.25">
      <c r="A533" s="134">
        <v>42174</v>
      </c>
      <c r="B533" s="136">
        <v>2.2000000000000002</v>
      </c>
      <c r="C533" s="135">
        <v>0.8881944444444444</v>
      </c>
      <c r="D533" s="135">
        <v>0.22222222222222221</v>
      </c>
      <c r="E533" s="135">
        <v>0.88680555555555551</v>
      </c>
    </row>
    <row r="534" spans="1:5" x14ac:dyDescent="0.25">
      <c r="A534" s="134">
        <v>42175</v>
      </c>
      <c r="B534" s="136">
        <v>-0.9</v>
      </c>
      <c r="C534" s="135">
        <v>0.40902777777777777</v>
      </c>
      <c r="D534" s="135">
        <v>0.22222222222222221</v>
      </c>
      <c r="E534" s="135">
        <v>0.88680555555555551</v>
      </c>
    </row>
    <row r="535" spans="1:5" x14ac:dyDescent="0.25">
      <c r="A535" s="134">
        <v>42175</v>
      </c>
      <c r="B535" s="136">
        <v>2.2999999999999998</v>
      </c>
      <c r="C535" s="135">
        <v>0.92013888888888884</v>
      </c>
      <c r="D535" s="135">
        <v>0.22222222222222221</v>
      </c>
      <c r="E535" s="135">
        <v>0.88680555555555551</v>
      </c>
    </row>
    <row r="536" spans="1:5" x14ac:dyDescent="0.25">
      <c r="A536" s="134">
        <v>42176</v>
      </c>
      <c r="B536" s="136">
        <v>-0.4</v>
      </c>
      <c r="C536" s="135">
        <v>0.43611111111111112</v>
      </c>
      <c r="D536" s="135">
        <v>0.22291666666666668</v>
      </c>
      <c r="E536" s="135">
        <v>0.88680555555555551</v>
      </c>
    </row>
    <row r="537" spans="1:5" x14ac:dyDescent="0.25">
      <c r="A537" s="134">
        <v>42176</v>
      </c>
      <c r="B537" s="136">
        <v>2.4</v>
      </c>
      <c r="C537" s="135">
        <v>0.95416666666666672</v>
      </c>
      <c r="D537" s="135">
        <v>0.22291666666666668</v>
      </c>
      <c r="E537" s="135">
        <v>0.88680555555555551</v>
      </c>
    </row>
    <row r="538" spans="1:5" x14ac:dyDescent="0.25">
      <c r="A538" s="134">
        <v>42177</v>
      </c>
      <c r="B538" s="136">
        <v>0.2</v>
      </c>
      <c r="C538" s="135">
        <v>0.46388888888888891</v>
      </c>
      <c r="D538" s="135">
        <v>0.22291666666666668</v>
      </c>
      <c r="E538" s="135">
        <v>0.88680555555555551</v>
      </c>
    </row>
    <row r="539" spans="1:5" x14ac:dyDescent="0.25">
      <c r="A539" s="134">
        <v>42177</v>
      </c>
      <c r="B539" s="136">
        <v>2.2999999999999998</v>
      </c>
      <c r="C539" s="135">
        <v>0.9916666666666667</v>
      </c>
      <c r="D539" s="135">
        <v>0.22291666666666668</v>
      </c>
      <c r="E539" s="135">
        <v>0.88680555555555551</v>
      </c>
    </row>
    <row r="540" spans="1:5" x14ac:dyDescent="0.25">
      <c r="A540" s="134">
        <v>42178</v>
      </c>
      <c r="B540" s="136">
        <v>0.7</v>
      </c>
      <c r="C540" s="135">
        <v>0.49305555555555558</v>
      </c>
      <c r="D540" s="135">
        <v>0.22291666666666668</v>
      </c>
      <c r="E540" s="135">
        <v>0.88680555555555551</v>
      </c>
    </row>
    <row r="541" spans="1:5" x14ac:dyDescent="0.25">
      <c r="A541" s="134">
        <v>42179</v>
      </c>
      <c r="B541" s="136">
        <v>2.2000000000000002</v>
      </c>
      <c r="C541" s="135">
        <v>3.2638888888888891E-2</v>
      </c>
      <c r="D541" s="135">
        <v>0.22291666666666668</v>
      </c>
      <c r="E541" s="135">
        <v>0.88749999999999996</v>
      </c>
    </row>
    <row r="542" spans="1:5" x14ac:dyDescent="0.25">
      <c r="A542" s="134">
        <v>42179</v>
      </c>
      <c r="B542" s="136">
        <v>1.2</v>
      </c>
      <c r="C542" s="135">
        <v>0.52430555555555558</v>
      </c>
      <c r="D542" s="135">
        <v>0.22291666666666668</v>
      </c>
      <c r="E542" s="135">
        <v>0.88749999999999996</v>
      </c>
    </row>
    <row r="543" spans="1:5" x14ac:dyDescent="0.25">
      <c r="A543" s="134">
        <v>42180</v>
      </c>
      <c r="B543" s="136">
        <v>1.9</v>
      </c>
      <c r="C543" s="135">
        <v>7.7083333333333337E-2</v>
      </c>
      <c r="D543" s="135">
        <v>0.22361111111111112</v>
      </c>
      <c r="E543" s="135">
        <v>0.88749999999999996</v>
      </c>
    </row>
    <row r="544" spans="1:5" x14ac:dyDescent="0.25">
      <c r="A544" s="134">
        <v>42180</v>
      </c>
      <c r="B544" s="136">
        <v>1.7</v>
      </c>
      <c r="C544" s="135">
        <v>0.55972222222222223</v>
      </c>
      <c r="D544" s="135">
        <v>0.22361111111111112</v>
      </c>
      <c r="E544" s="135">
        <v>0.88749999999999996</v>
      </c>
    </row>
    <row r="545" spans="1:5" x14ac:dyDescent="0.25">
      <c r="A545" s="134">
        <v>42181</v>
      </c>
      <c r="B545" s="136">
        <v>1.4</v>
      </c>
      <c r="C545" s="135">
        <v>0.12013888888888889</v>
      </c>
      <c r="D545" s="135">
        <v>0.22361111111111112</v>
      </c>
      <c r="E545" s="135">
        <v>0.88749999999999996</v>
      </c>
    </row>
    <row r="546" spans="1:5" x14ac:dyDescent="0.25">
      <c r="A546" s="134">
        <v>42181</v>
      </c>
      <c r="B546" s="136">
        <v>2.1</v>
      </c>
      <c r="C546" s="135">
        <v>0.59861111111111109</v>
      </c>
      <c r="D546" s="135">
        <v>0.22361111111111112</v>
      </c>
      <c r="E546" s="135">
        <v>0.88749999999999996</v>
      </c>
    </row>
    <row r="547" spans="1:5" x14ac:dyDescent="0.25">
      <c r="A547" s="134">
        <v>42182</v>
      </c>
      <c r="B547" s="136">
        <v>0.8</v>
      </c>
      <c r="C547" s="135">
        <v>0.15902777777777777</v>
      </c>
      <c r="D547" s="135">
        <v>0.22430555555555556</v>
      </c>
      <c r="E547" s="135">
        <v>0.88749999999999996</v>
      </c>
    </row>
    <row r="548" spans="1:5" x14ac:dyDescent="0.25">
      <c r="A548" s="134">
        <v>42182</v>
      </c>
      <c r="B548" s="136">
        <v>2.4</v>
      </c>
      <c r="C548" s="135">
        <v>0.6381944444444444</v>
      </c>
      <c r="D548" s="135">
        <v>0.22430555555555556</v>
      </c>
      <c r="E548" s="135">
        <v>0.88749999999999996</v>
      </c>
    </row>
    <row r="549" spans="1:5" x14ac:dyDescent="0.25">
      <c r="A549" s="134">
        <v>42183</v>
      </c>
      <c r="B549" s="136">
        <v>0.2</v>
      </c>
      <c r="C549" s="135">
        <v>0.19375000000000001</v>
      </c>
      <c r="D549" s="135">
        <v>0.22430555555555556</v>
      </c>
      <c r="E549" s="135">
        <v>0.88749999999999996</v>
      </c>
    </row>
    <row r="550" spans="1:5" x14ac:dyDescent="0.25">
      <c r="A550" s="134">
        <v>42183</v>
      </c>
      <c r="B550" s="136">
        <v>2.5</v>
      </c>
      <c r="C550" s="135">
        <v>0.67638888888888893</v>
      </c>
      <c r="D550" s="135">
        <v>0.22430555555555556</v>
      </c>
      <c r="E550" s="135">
        <v>0.88749999999999996</v>
      </c>
    </row>
    <row r="551" spans="1:5" x14ac:dyDescent="0.25">
      <c r="A551" s="134">
        <v>42184</v>
      </c>
      <c r="B551" s="136">
        <v>-0.5</v>
      </c>
      <c r="C551" s="135">
        <v>0.22569444444444445</v>
      </c>
      <c r="D551" s="135">
        <v>0.22500000000000001</v>
      </c>
      <c r="E551" s="135">
        <v>0.88680555555555551</v>
      </c>
    </row>
    <row r="552" spans="1:5" x14ac:dyDescent="0.25">
      <c r="A552" s="134">
        <v>42184</v>
      </c>
      <c r="B552" s="136">
        <v>2.5</v>
      </c>
      <c r="C552" s="135">
        <v>0.71250000000000002</v>
      </c>
      <c r="D552" s="135">
        <v>0.22500000000000001</v>
      </c>
      <c r="E552" s="135">
        <v>0.88680555555555551</v>
      </c>
    </row>
    <row r="553" spans="1:5" x14ac:dyDescent="0.25">
      <c r="A553" s="134">
        <v>42185</v>
      </c>
      <c r="B553" s="136">
        <v>-1</v>
      </c>
      <c r="C553" s="135">
        <v>0.25555555555555554</v>
      </c>
      <c r="D553" s="135">
        <v>0.22500000000000001</v>
      </c>
      <c r="E553" s="135">
        <v>0.88680555555555551</v>
      </c>
    </row>
    <row r="554" spans="1:5" x14ac:dyDescent="0.25">
      <c r="A554" s="134">
        <v>42185</v>
      </c>
      <c r="B554" s="136">
        <v>2.4</v>
      </c>
      <c r="C554" s="135">
        <v>0.74583333333333335</v>
      </c>
      <c r="D554" s="135">
        <v>0.22500000000000001</v>
      </c>
      <c r="E554" s="135">
        <v>0.88680555555555551</v>
      </c>
    </row>
    <row r="555" spans="1:5" x14ac:dyDescent="0.25">
      <c r="A555" s="134">
        <v>42186</v>
      </c>
      <c r="B555" s="136">
        <v>-1.5</v>
      </c>
      <c r="C555" s="135">
        <v>0.28472222222222221</v>
      </c>
      <c r="D555" s="135">
        <v>0.22569444444444445</v>
      </c>
      <c r="E555" s="135">
        <v>0.88680555555555551</v>
      </c>
    </row>
    <row r="556" spans="1:5" x14ac:dyDescent="0.25">
      <c r="A556" s="134">
        <v>42186</v>
      </c>
      <c r="B556" s="136">
        <v>2.2000000000000002</v>
      </c>
      <c r="C556" s="135">
        <v>0.77847222222222223</v>
      </c>
      <c r="D556" s="135">
        <v>0.22569444444444445</v>
      </c>
      <c r="E556" s="135">
        <v>0.88680555555555551</v>
      </c>
    </row>
    <row r="557" spans="1:5" x14ac:dyDescent="0.25">
      <c r="A557" s="134">
        <v>42187</v>
      </c>
      <c r="B557" s="136">
        <v>-1.9</v>
      </c>
      <c r="C557" s="135">
        <v>0.31388888888888888</v>
      </c>
      <c r="D557" s="135">
        <v>0.22569444444444445</v>
      </c>
      <c r="E557" s="135">
        <v>0.88680555555555551</v>
      </c>
    </row>
    <row r="558" spans="1:5" x14ac:dyDescent="0.25">
      <c r="A558" s="134">
        <v>42187</v>
      </c>
      <c r="B558" s="136">
        <v>2</v>
      </c>
      <c r="C558" s="135">
        <v>0.81111111111111112</v>
      </c>
      <c r="D558" s="135">
        <v>0.22569444444444445</v>
      </c>
      <c r="E558" s="135">
        <v>0.88680555555555551</v>
      </c>
    </row>
    <row r="559" spans="1:5" x14ac:dyDescent="0.25">
      <c r="A559" s="134">
        <v>42188</v>
      </c>
      <c r="B559" s="136">
        <v>-2</v>
      </c>
      <c r="C559" s="135">
        <v>0.34236111111111112</v>
      </c>
      <c r="D559" s="135">
        <v>0.22638888888888889</v>
      </c>
      <c r="E559" s="135">
        <v>0.88611111111111107</v>
      </c>
    </row>
    <row r="560" spans="1:5" x14ac:dyDescent="0.25">
      <c r="A560" s="134">
        <v>42188</v>
      </c>
      <c r="B560" s="136">
        <v>1.8</v>
      </c>
      <c r="C560" s="135">
        <v>0.84444444444444444</v>
      </c>
      <c r="D560" s="135">
        <v>0.22638888888888889</v>
      </c>
      <c r="E560" s="135">
        <v>0.88611111111111107</v>
      </c>
    </row>
    <row r="561" spans="1:5" x14ac:dyDescent="0.25">
      <c r="A561" s="134">
        <v>42189</v>
      </c>
      <c r="B561" s="136">
        <v>-1.9</v>
      </c>
      <c r="C561" s="135">
        <v>0.37152777777777779</v>
      </c>
      <c r="D561" s="135">
        <v>0.22708333333333333</v>
      </c>
      <c r="E561" s="135">
        <v>0.88611111111111107</v>
      </c>
    </row>
    <row r="562" spans="1:5" x14ac:dyDescent="0.25">
      <c r="A562" s="134">
        <v>42189</v>
      </c>
      <c r="B562" s="136">
        <v>1.6</v>
      </c>
      <c r="C562" s="135">
        <v>0.87916666666666665</v>
      </c>
      <c r="D562" s="135">
        <v>0.22708333333333333</v>
      </c>
      <c r="E562" s="135">
        <v>0.88611111111111107</v>
      </c>
    </row>
    <row r="563" spans="1:5" x14ac:dyDescent="0.25">
      <c r="A563" s="134">
        <v>42190</v>
      </c>
      <c r="B563" s="136">
        <v>-1.7</v>
      </c>
      <c r="C563" s="135">
        <v>0.40138888888888891</v>
      </c>
      <c r="D563" s="135">
        <v>0.22708333333333333</v>
      </c>
      <c r="E563" s="135">
        <v>0.88611111111111107</v>
      </c>
    </row>
    <row r="564" spans="1:5" x14ac:dyDescent="0.25">
      <c r="A564" s="134">
        <v>42190</v>
      </c>
      <c r="B564" s="136">
        <v>1.5</v>
      </c>
      <c r="C564" s="135">
        <v>0.91597222222222219</v>
      </c>
      <c r="D564" s="135">
        <v>0.22708333333333333</v>
      </c>
      <c r="E564" s="135">
        <v>0.88611111111111107</v>
      </c>
    </row>
    <row r="565" spans="1:5" x14ac:dyDescent="0.25">
      <c r="A565" s="134">
        <v>42191</v>
      </c>
      <c r="B565" s="136">
        <v>-1.2</v>
      </c>
      <c r="C565" s="135">
        <v>0.43263888888888891</v>
      </c>
      <c r="D565" s="135">
        <v>0.22777777777777777</v>
      </c>
      <c r="E565" s="135">
        <v>0.88541666666666663</v>
      </c>
    </row>
    <row r="566" spans="1:5" x14ac:dyDescent="0.25">
      <c r="A566" s="134">
        <v>42191</v>
      </c>
      <c r="B566" s="136">
        <v>1.3</v>
      </c>
      <c r="C566" s="135">
        <v>0.95625000000000004</v>
      </c>
      <c r="D566" s="135">
        <v>0.22777777777777777</v>
      </c>
      <c r="E566" s="135">
        <v>0.88541666666666663</v>
      </c>
    </row>
    <row r="567" spans="1:5" x14ac:dyDescent="0.25">
      <c r="A567" s="134">
        <v>42192</v>
      </c>
      <c r="B567" s="136">
        <v>-0.5</v>
      </c>
      <c r="C567" s="135">
        <v>0.46597222222222223</v>
      </c>
      <c r="D567" s="135">
        <v>0.22847222222222222</v>
      </c>
      <c r="E567" s="135">
        <v>0.88541666666666663</v>
      </c>
    </row>
    <row r="568" spans="1:5" x14ac:dyDescent="0.25">
      <c r="A568" s="134">
        <v>42193</v>
      </c>
      <c r="B568" s="136">
        <v>1.1000000000000001</v>
      </c>
      <c r="C568" s="135">
        <v>6.9444444444444447E-4</v>
      </c>
      <c r="D568" s="135">
        <v>0.22916666666666666</v>
      </c>
      <c r="E568" s="135">
        <v>0.88472222222222219</v>
      </c>
    </row>
    <row r="569" spans="1:5" x14ac:dyDescent="0.25">
      <c r="A569" s="134">
        <v>42193</v>
      </c>
      <c r="B569" s="136">
        <v>0.2</v>
      </c>
      <c r="C569" s="135">
        <v>0.50138888888888888</v>
      </c>
      <c r="D569" s="135">
        <v>0.22916666666666666</v>
      </c>
      <c r="E569" s="135">
        <v>0.88472222222222219</v>
      </c>
    </row>
    <row r="570" spans="1:5" x14ac:dyDescent="0.25">
      <c r="A570" s="134">
        <v>42194</v>
      </c>
      <c r="B570" s="136">
        <v>0.8</v>
      </c>
      <c r="C570" s="135">
        <v>4.791666666666667E-2</v>
      </c>
      <c r="D570" s="135">
        <v>0.22916666666666666</v>
      </c>
      <c r="E570" s="135">
        <v>0.88472222222222219</v>
      </c>
    </row>
    <row r="571" spans="1:5" x14ac:dyDescent="0.25">
      <c r="A571" s="134">
        <v>42194</v>
      </c>
      <c r="B571" s="136">
        <v>1</v>
      </c>
      <c r="C571" s="135">
        <v>0.54097222222222219</v>
      </c>
      <c r="D571" s="135">
        <v>0.22916666666666666</v>
      </c>
      <c r="E571" s="135">
        <v>0.88472222222222219</v>
      </c>
    </row>
    <row r="572" spans="1:5" x14ac:dyDescent="0.25">
      <c r="A572" s="134">
        <v>42195</v>
      </c>
      <c r="B572" s="136">
        <v>0.4</v>
      </c>
      <c r="C572" s="135">
        <v>9.7222222222222224E-2</v>
      </c>
      <c r="D572" s="135">
        <v>0.2298611111111111</v>
      </c>
      <c r="E572" s="135">
        <v>0.88402777777777775</v>
      </c>
    </row>
    <row r="573" spans="1:5" x14ac:dyDescent="0.25">
      <c r="A573" s="134">
        <v>42195</v>
      </c>
      <c r="B573" s="136">
        <v>1.6</v>
      </c>
      <c r="C573" s="135">
        <v>0.58402777777777781</v>
      </c>
      <c r="D573" s="135">
        <v>0.2298611111111111</v>
      </c>
      <c r="E573" s="135">
        <v>0.88402777777777775</v>
      </c>
    </row>
    <row r="574" spans="1:5" x14ac:dyDescent="0.25">
      <c r="A574" s="134">
        <v>42196</v>
      </c>
      <c r="B574" s="136">
        <v>-0.1</v>
      </c>
      <c r="C574" s="135">
        <v>0.14444444444444443</v>
      </c>
      <c r="D574" s="135">
        <v>0.23055555555555557</v>
      </c>
      <c r="E574" s="135">
        <v>0.88402777777777775</v>
      </c>
    </row>
    <row r="575" spans="1:5" x14ac:dyDescent="0.25">
      <c r="A575" s="134">
        <v>42196</v>
      </c>
      <c r="B575" s="136">
        <v>2</v>
      </c>
      <c r="C575" s="135">
        <v>0.62986111111111109</v>
      </c>
      <c r="D575" s="135">
        <v>0.23055555555555557</v>
      </c>
      <c r="E575" s="135">
        <v>0.88402777777777775</v>
      </c>
    </row>
    <row r="576" spans="1:5" x14ac:dyDescent="0.25">
      <c r="A576" s="134">
        <v>42197</v>
      </c>
      <c r="B576" s="136">
        <v>-0.6</v>
      </c>
      <c r="C576" s="135">
        <v>0.18680555555555556</v>
      </c>
      <c r="D576" s="135">
        <v>0.23125000000000001</v>
      </c>
      <c r="E576" s="135">
        <v>0.8833333333333333</v>
      </c>
    </row>
    <row r="577" spans="1:5" x14ac:dyDescent="0.25">
      <c r="A577" s="134">
        <v>42197</v>
      </c>
      <c r="B577" s="136">
        <v>2.2000000000000002</v>
      </c>
      <c r="C577" s="135">
        <v>0.67361111111111116</v>
      </c>
      <c r="D577" s="135">
        <v>0.23125000000000001</v>
      </c>
      <c r="E577" s="135">
        <v>0.8833333333333333</v>
      </c>
    </row>
    <row r="578" spans="1:5" x14ac:dyDescent="0.25">
      <c r="A578" s="134">
        <v>42198</v>
      </c>
      <c r="B578" s="136">
        <v>-1</v>
      </c>
      <c r="C578" s="135">
        <v>0.22361111111111112</v>
      </c>
      <c r="D578" s="135">
        <v>0.23194444444444445</v>
      </c>
      <c r="E578" s="135">
        <v>0.88263888888888886</v>
      </c>
    </row>
    <row r="579" spans="1:5" x14ac:dyDescent="0.25">
      <c r="A579" s="134">
        <v>42198</v>
      </c>
      <c r="B579" s="136">
        <v>2.2000000000000002</v>
      </c>
      <c r="C579" s="135">
        <v>0.71388888888888891</v>
      </c>
      <c r="D579" s="135">
        <v>0.23194444444444445</v>
      </c>
      <c r="E579" s="135">
        <v>0.88263888888888886</v>
      </c>
    </row>
    <row r="580" spans="1:5" x14ac:dyDescent="0.25">
      <c r="A580" s="134">
        <v>42199</v>
      </c>
      <c r="B580" s="136">
        <v>-1.3</v>
      </c>
      <c r="C580" s="135">
        <v>0.25694444444444442</v>
      </c>
      <c r="D580" s="135">
        <v>0.2326388888888889</v>
      </c>
      <c r="E580" s="135">
        <v>0.88194444444444442</v>
      </c>
    </row>
    <row r="581" spans="1:5" x14ac:dyDescent="0.25">
      <c r="A581" s="134">
        <v>42199</v>
      </c>
      <c r="B581" s="136">
        <v>2.1</v>
      </c>
      <c r="C581" s="135">
        <v>0.75069444444444444</v>
      </c>
      <c r="D581" s="135">
        <v>0.2326388888888889</v>
      </c>
      <c r="E581" s="135">
        <v>0.88194444444444442</v>
      </c>
    </row>
    <row r="582" spans="1:5" x14ac:dyDescent="0.25">
      <c r="A582" s="134">
        <v>42200</v>
      </c>
      <c r="B582" s="136">
        <v>-1.5</v>
      </c>
      <c r="C582" s="135">
        <v>0.28680555555555554</v>
      </c>
      <c r="D582" s="135">
        <v>0.23333333333333334</v>
      </c>
      <c r="E582" s="135">
        <v>0.88194444444444442</v>
      </c>
    </row>
    <row r="583" spans="1:5" x14ac:dyDescent="0.25">
      <c r="A583" s="134">
        <v>42200</v>
      </c>
      <c r="B583" s="136">
        <v>2</v>
      </c>
      <c r="C583" s="135">
        <v>0.78333333333333333</v>
      </c>
      <c r="D583" s="135">
        <v>0.23333333333333334</v>
      </c>
      <c r="E583" s="135">
        <v>0.88194444444444442</v>
      </c>
    </row>
    <row r="584" spans="1:5" x14ac:dyDescent="0.25">
      <c r="A584" s="134">
        <v>42201</v>
      </c>
      <c r="B584" s="136">
        <v>-1.4</v>
      </c>
      <c r="C584" s="135">
        <v>0.31458333333333333</v>
      </c>
      <c r="D584" s="135">
        <v>0.23402777777777778</v>
      </c>
      <c r="E584" s="135">
        <v>0.88124999999999998</v>
      </c>
    </row>
    <row r="585" spans="1:5" x14ac:dyDescent="0.25">
      <c r="A585" s="134">
        <v>42201</v>
      </c>
      <c r="B585" s="136">
        <v>1.9</v>
      </c>
      <c r="C585" s="135">
        <v>0.81388888888888888</v>
      </c>
      <c r="D585" s="135">
        <v>0.23402777777777778</v>
      </c>
      <c r="E585" s="135">
        <v>0.88124999999999998</v>
      </c>
    </row>
    <row r="586" spans="1:5" x14ac:dyDescent="0.25">
      <c r="A586" s="134">
        <v>42202</v>
      </c>
      <c r="B586" s="136">
        <v>-1.3</v>
      </c>
      <c r="C586" s="135">
        <v>0.34027777777777779</v>
      </c>
      <c r="D586" s="135">
        <v>0.23472222222222222</v>
      </c>
      <c r="E586" s="135">
        <v>0.88055555555555554</v>
      </c>
    </row>
    <row r="587" spans="1:5" x14ac:dyDescent="0.25">
      <c r="A587" s="134">
        <v>42202</v>
      </c>
      <c r="B587" s="136">
        <v>1.9</v>
      </c>
      <c r="C587" s="135">
        <v>0.84305555555555556</v>
      </c>
      <c r="D587" s="135">
        <v>0.23472222222222222</v>
      </c>
      <c r="E587" s="135">
        <v>0.88055555555555554</v>
      </c>
    </row>
    <row r="588" spans="1:5" x14ac:dyDescent="0.25">
      <c r="A588" s="134">
        <v>42203</v>
      </c>
      <c r="B588" s="136">
        <v>-1</v>
      </c>
      <c r="C588" s="135">
        <v>0.36458333333333331</v>
      </c>
      <c r="D588" s="135">
        <v>0.23541666666666666</v>
      </c>
      <c r="E588" s="135">
        <v>0.87986111111111109</v>
      </c>
    </row>
    <row r="589" spans="1:5" x14ac:dyDescent="0.25">
      <c r="A589" s="134">
        <v>42203</v>
      </c>
      <c r="B589" s="136">
        <v>1.8</v>
      </c>
      <c r="C589" s="135">
        <v>0.87152777777777779</v>
      </c>
      <c r="D589" s="135">
        <v>0.23541666666666666</v>
      </c>
      <c r="E589" s="135">
        <v>0.87986111111111109</v>
      </c>
    </row>
    <row r="590" spans="1:5" x14ac:dyDescent="0.25">
      <c r="A590" s="134">
        <v>42204</v>
      </c>
      <c r="B590" s="136">
        <v>-0.7</v>
      </c>
      <c r="C590" s="135">
        <v>0.38819444444444445</v>
      </c>
      <c r="D590" s="135">
        <v>0.2361111111111111</v>
      </c>
      <c r="E590" s="135">
        <v>0.87916666666666665</v>
      </c>
    </row>
    <row r="591" spans="1:5" x14ac:dyDescent="0.25">
      <c r="A591" s="134">
        <v>42204</v>
      </c>
      <c r="B591" s="136">
        <v>1.8</v>
      </c>
      <c r="C591" s="135">
        <v>0.9</v>
      </c>
      <c r="D591" s="135">
        <v>0.2361111111111111</v>
      </c>
      <c r="E591" s="135">
        <v>0.87916666666666665</v>
      </c>
    </row>
    <row r="592" spans="1:5" x14ac:dyDescent="0.25">
      <c r="A592" s="134">
        <v>42205</v>
      </c>
      <c r="B592" s="136">
        <v>-0.2</v>
      </c>
      <c r="C592" s="135">
        <v>0.41180555555555554</v>
      </c>
      <c r="D592" s="135">
        <v>0.23680555555555555</v>
      </c>
      <c r="E592" s="135">
        <v>0.87847222222222221</v>
      </c>
    </row>
    <row r="593" spans="1:5" x14ac:dyDescent="0.25">
      <c r="A593" s="134">
        <v>42205</v>
      </c>
      <c r="B593" s="136">
        <v>1.8</v>
      </c>
      <c r="C593" s="135">
        <v>0.93055555555555558</v>
      </c>
      <c r="D593" s="135">
        <v>0.23680555555555555</v>
      </c>
      <c r="E593" s="135">
        <v>0.87847222222222221</v>
      </c>
    </row>
    <row r="594" spans="1:5" x14ac:dyDescent="0.25">
      <c r="A594" s="134">
        <v>42206</v>
      </c>
      <c r="B594" s="136">
        <v>0.3</v>
      </c>
      <c r="C594" s="135">
        <v>0.43541666666666667</v>
      </c>
      <c r="D594" s="135">
        <v>0.23749999999999999</v>
      </c>
      <c r="E594" s="135">
        <v>0.87777777777777777</v>
      </c>
    </row>
    <row r="595" spans="1:5" x14ac:dyDescent="0.25">
      <c r="A595" s="134">
        <v>42206</v>
      </c>
      <c r="B595" s="136">
        <v>1.8</v>
      </c>
      <c r="C595" s="135">
        <v>0.96250000000000002</v>
      </c>
      <c r="D595" s="135">
        <v>0.23749999999999999</v>
      </c>
      <c r="E595" s="135">
        <v>0.87777777777777777</v>
      </c>
    </row>
    <row r="596" spans="1:5" x14ac:dyDescent="0.25">
      <c r="A596" s="134">
        <v>42207</v>
      </c>
      <c r="B596" s="136">
        <v>0.9</v>
      </c>
      <c r="C596" s="135">
        <v>0.46041666666666664</v>
      </c>
      <c r="D596" s="135">
        <v>0.23819444444444443</v>
      </c>
      <c r="E596" s="135">
        <v>0.87708333333333333</v>
      </c>
    </row>
    <row r="597" spans="1:5" x14ac:dyDescent="0.25">
      <c r="A597" s="134">
        <v>42207</v>
      </c>
      <c r="B597" s="136">
        <v>1.8</v>
      </c>
      <c r="C597" s="135">
        <v>0.99930555555555556</v>
      </c>
      <c r="D597" s="135">
        <v>0.23819444444444443</v>
      </c>
      <c r="E597" s="135">
        <v>0.87708333333333333</v>
      </c>
    </row>
    <row r="598" spans="1:5" x14ac:dyDescent="0.25">
      <c r="A598" s="134">
        <v>42208</v>
      </c>
      <c r="B598" s="136">
        <v>1.4</v>
      </c>
      <c r="C598" s="135">
        <v>0.48888888888888887</v>
      </c>
      <c r="D598" s="135">
        <v>0.23958333333333334</v>
      </c>
      <c r="E598" s="135">
        <v>0.87638888888888888</v>
      </c>
    </row>
    <row r="599" spans="1:5" x14ac:dyDescent="0.25">
      <c r="A599" s="134">
        <v>42209</v>
      </c>
      <c r="B599" s="136">
        <v>1.6</v>
      </c>
      <c r="C599" s="135">
        <v>4.027777777777778E-2</v>
      </c>
      <c r="D599" s="135">
        <v>0.24027777777777778</v>
      </c>
      <c r="E599" s="135">
        <v>0.87569444444444444</v>
      </c>
    </row>
    <row r="600" spans="1:5" x14ac:dyDescent="0.25">
      <c r="A600" s="134">
        <v>42209</v>
      </c>
      <c r="B600" s="136">
        <v>2</v>
      </c>
      <c r="C600" s="135">
        <v>0.52152777777777781</v>
      </c>
      <c r="D600" s="135">
        <v>0.24027777777777778</v>
      </c>
      <c r="E600" s="135">
        <v>0.87569444444444444</v>
      </c>
    </row>
    <row r="601" spans="1:5" x14ac:dyDescent="0.25">
      <c r="A601" s="134">
        <v>42210</v>
      </c>
      <c r="B601" s="136">
        <v>1.3</v>
      </c>
      <c r="C601" s="135">
        <v>8.4027777777777785E-2</v>
      </c>
      <c r="D601" s="135">
        <v>0.24097222222222223</v>
      </c>
      <c r="E601" s="135">
        <v>0.875</v>
      </c>
    </row>
    <row r="602" spans="1:5" x14ac:dyDescent="0.25">
      <c r="A602" s="134">
        <v>42210</v>
      </c>
      <c r="B602" s="136">
        <v>2.4</v>
      </c>
      <c r="C602" s="135">
        <v>0.56111111111111112</v>
      </c>
      <c r="D602" s="135">
        <v>0.24097222222222223</v>
      </c>
      <c r="E602" s="135">
        <v>0.875</v>
      </c>
    </row>
    <row r="603" spans="1:5" x14ac:dyDescent="0.25">
      <c r="A603" s="134">
        <v>42211</v>
      </c>
      <c r="B603" s="136">
        <v>0.9</v>
      </c>
      <c r="C603" s="135">
        <v>0.12777777777777777</v>
      </c>
      <c r="D603" s="135">
        <v>0.24166666666666667</v>
      </c>
      <c r="E603" s="135">
        <v>0.87361111111111112</v>
      </c>
    </row>
    <row r="604" spans="1:5" x14ac:dyDescent="0.25">
      <c r="A604" s="134">
        <v>42211</v>
      </c>
      <c r="B604" s="136">
        <v>2.7</v>
      </c>
      <c r="C604" s="135">
        <v>0.60624999999999996</v>
      </c>
      <c r="D604" s="135">
        <v>0.24166666666666667</v>
      </c>
      <c r="E604" s="135">
        <v>0.87361111111111112</v>
      </c>
    </row>
    <row r="605" spans="1:5" x14ac:dyDescent="0.25">
      <c r="A605" s="134">
        <v>42212</v>
      </c>
      <c r="B605" s="136">
        <v>0.3</v>
      </c>
      <c r="C605" s="135">
        <v>0.16805555555555557</v>
      </c>
      <c r="D605" s="135">
        <v>0.24236111111111111</v>
      </c>
      <c r="E605" s="135">
        <v>0.87291666666666667</v>
      </c>
    </row>
    <row r="606" spans="1:5" x14ac:dyDescent="0.25">
      <c r="A606" s="134">
        <v>42212</v>
      </c>
      <c r="B606" s="136">
        <v>2.7</v>
      </c>
      <c r="C606" s="135">
        <v>0.65138888888888891</v>
      </c>
      <c r="D606" s="135">
        <v>0.24236111111111111</v>
      </c>
      <c r="E606" s="135">
        <v>0.87291666666666667</v>
      </c>
    </row>
    <row r="607" spans="1:5" x14ac:dyDescent="0.25">
      <c r="A607" s="134">
        <v>42213</v>
      </c>
      <c r="B607" s="136">
        <v>-0.4</v>
      </c>
      <c r="C607" s="135">
        <v>0.20416666666666666</v>
      </c>
      <c r="D607" s="135">
        <v>0.24305555555555555</v>
      </c>
      <c r="E607" s="135">
        <v>0.87222222222222223</v>
      </c>
    </row>
    <row r="608" spans="1:5" x14ac:dyDescent="0.25">
      <c r="A608" s="134">
        <v>42213</v>
      </c>
      <c r="B608" s="136">
        <v>2.5</v>
      </c>
      <c r="C608" s="135">
        <v>0.69236111111111109</v>
      </c>
      <c r="D608" s="135">
        <v>0.24305555555555555</v>
      </c>
      <c r="E608" s="135">
        <v>0.87222222222222223</v>
      </c>
    </row>
    <row r="609" spans="1:5" x14ac:dyDescent="0.25">
      <c r="A609" s="134">
        <v>42214</v>
      </c>
      <c r="B609" s="136">
        <v>-1</v>
      </c>
      <c r="C609" s="135">
        <v>0.23680555555555555</v>
      </c>
      <c r="D609" s="135">
        <v>0.24444444444444444</v>
      </c>
      <c r="E609" s="135">
        <v>0.87152777777777779</v>
      </c>
    </row>
    <row r="610" spans="1:5" x14ac:dyDescent="0.25">
      <c r="A610" s="134">
        <v>42214</v>
      </c>
      <c r="B610" s="136">
        <v>2.2000000000000002</v>
      </c>
      <c r="C610" s="135">
        <v>0.73055555555555551</v>
      </c>
      <c r="D610" s="135">
        <v>0.24444444444444444</v>
      </c>
      <c r="E610" s="135">
        <v>0.87152777777777779</v>
      </c>
    </row>
    <row r="611" spans="1:5" x14ac:dyDescent="0.25">
      <c r="A611" s="134">
        <v>42215</v>
      </c>
      <c r="B611" s="136">
        <v>-1.5</v>
      </c>
      <c r="C611" s="135">
        <v>0.2673611111111111</v>
      </c>
      <c r="D611" s="135">
        <v>0.24513888888888888</v>
      </c>
      <c r="E611" s="135">
        <v>0.87013888888888891</v>
      </c>
    </row>
    <row r="612" spans="1:5" x14ac:dyDescent="0.25">
      <c r="A612" s="134">
        <v>42215</v>
      </c>
      <c r="B612" s="136">
        <v>1.8</v>
      </c>
      <c r="C612" s="135">
        <v>0.76527777777777772</v>
      </c>
      <c r="D612" s="135">
        <v>0.24513888888888888</v>
      </c>
      <c r="E612" s="135">
        <v>0.87013888888888891</v>
      </c>
    </row>
    <row r="613" spans="1:5" x14ac:dyDescent="0.25">
      <c r="A613" s="134">
        <v>42216</v>
      </c>
      <c r="B613" s="136">
        <v>-1.8</v>
      </c>
      <c r="C613" s="135">
        <v>0.29722222222222222</v>
      </c>
      <c r="D613" s="135">
        <v>0.24583333333333332</v>
      </c>
      <c r="E613" s="135">
        <v>0.86944444444444446</v>
      </c>
    </row>
    <row r="614" spans="1:5" x14ac:dyDescent="0.25">
      <c r="A614" s="134">
        <v>42216</v>
      </c>
      <c r="B614" s="136">
        <v>1.4</v>
      </c>
      <c r="C614" s="135">
        <v>0.7993055555555556</v>
      </c>
      <c r="D614" s="135">
        <v>0.24583333333333332</v>
      </c>
      <c r="E614" s="135">
        <v>0.86944444444444446</v>
      </c>
    </row>
    <row r="615" spans="1:5" x14ac:dyDescent="0.25">
      <c r="A615" s="134">
        <v>42217</v>
      </c>
      <c r="B615" s="136">
        <v>-1.9</v>
      </c>
      <c r="C615" s="135">
        <v>0.32708333333333334</v>
      </c>
      <c r="D615" s="135">
        <v>0.24652777777777779</v>
      </c>
      <c r="E615" s="135">
        <v>0.86875000000000002</v>
      </c>
    </row>
    <row r="616" spans="1:5" x14ac:dyDescent="0.25">
      <c r="A616" s="134">
        <v>42217</v>
      </c>
      <c r="B616" s="136">
        <v>1</v>
      </c>
      <c r="C616" s="135">
        <v>0.83333333333333337</v>
      </c>
      <c r="D616" s="135">
        <v>0.24652777777777779</v>
      </c>
      <c r="E616" s="135">
        <v>0.86875000000000002</v>
      </c>
    </row>
    <row r="617" spans="1:5" x14ac:dyDescent="0.25">
      <c r="A617" s="134">
        <v>42218</v>
      </c>
      <c r="B617" s="136">
        <v>-1.8</v>
      </c>
      <c r="C617" s="135">
        <v>0.35625000000000001</v>
      </c>
      <c r="D617" s="135">
        <v>0.24791666666666667</v>
      </c>
      <c r="E617" s="135">
        <v>0.86736111111111114</v>
      </c>
    </row>
    <row r="618" spans="1:5" x14ac:dyDescent="0.25">
      <c r="A618" s="134">
        <v>42218</v>
      </c>
      <c r="B618" s="136">
        <v>0.6</v>
      </c>
      <c r="C618" s="135">
        <v>0.86875000000000002</v>
      </c>
      <c r="D618" s="135">
        <v>0.24791666666666667</v>
      </c>
      <c r="E618" s="135">
        <v>0.86736111111111114</v>
      </c>
    </row>
    <row r="619" spans="1:5" x14ac:dyDescent="0.25">
      <c r="A619" s="134">
        <v>42219</v>
      </c>
      <c r="B619" s="136">
        <v>-1.4</v>
      </c>
      <c r="C619" s="135">
        <v>0.38611111111111113</v>
      </c>
      <c r="D619" s="135">
        <v>0.24861111111111112</v>
      </c>
      <c r="E619" s="135">
        <v>0.8666666666666667</v>
      </c>
    </row>
    <row r="620" spans="1:5" x14ac:dyDescent="0.25">
      <c r="A620" s="134">
        <v>42219</v>
      </c>
      <c r="B620" s="136">
        <v>0.4</v>
      </c>
      <c r="C620" s="135">
        <v>0.90486111111111112</v>
      </c>
      <c r="D620" s="135">
        <v>0.24861111111111112</v>
      </c>
      <c r="E620" s="135">
        <v>0.8666666666666667</v>
      </c>
    </row>
    <row r="621" spans="1:5" x14ac:dyDescent="0.25">
      <c r="A621" s="134">
        <v>42220</v>
      </c>
      <c r="B621" s="136">
        <v>-0.8</v>
      </c>
      <c r="C621" s="135">
        <v>0.41666666666666669</v>
      </c>
      <c r="D621" s="135">
        <v>0.24930555555555556</v>
      </c>
      <c r="E621" s="135">
        <v>0.86527777777777781</v>
      </c>
    </row>
    <row r="622" spans="1:5" x14ac:dyDescent="0.25">
      <c r="A622" s="134">
        <v>42220</v>
      </c>
      <c r="B622" s="136">
        <v>0.4</v>
      </c>
      <c r="C622" s="135">
        <v>0.94374999999999998</v>
      </c>
      <c r="D622" s="135">
        <v>0.24930555555555556</v>
      </c>
      <c r="E622" s="135">
        <v>0.86527777777777781</v>
      </c>
    </row>
    <row r="623" spans="1:5" x14ac:dyDescent="0.25">
      <c r="A623" s="134">
        <v>42221</v>
      </c>
      <c r="B623" s="136">
        <v>0</v>
      </c>
      <c r="C623" s="135">
        <v>0.44861111111111113</v>
      </c>
      <c r="D623" s="135">
        <v>0.25</v>
      </c>
      <c r="E623" s="135">
        <v>0.86458333333333337</v>
      </c>
    </row>
    <row r="624" spans="1:5" x14ac:dyDescent="0.25">
      <c r="A624" s="134">
        <v>42221</v>
      </c>
      <c r="B624" s="136">
        <v>0.3</v>
      </c>
      <c r="C624" s="135">
        <v>0.98541666666666672</v>
      </c>
      <c r="D624" s="135">
        <v>0.25</v>
      </c>
      <c r="E624" s="135">
        <v>0.86458333333333337</v>
      </c>
    </row>
    <row r="625" spans="1:5" x14ac:dyDescent="0.25">
      <c r="A625" s="134">
        <v>42222</v>
      </c>
      <c r="B625" s="136">
        <v>0.8</v>
      </c>
      <c r="C625" s="135">
        <v>0.48402777777777778</v>
      </c>
      <c r="D625" s="135">
        <v>0.25138888888888888</v>
      </c>
      <c r="E625" s="135">
        <v>0.86319444444444449</v>
      </c>
    </row>
    <row r="626" spans="1:5" x14ac:dyDescent="0.25">
      <c r="A626" s="134">
        <v>42223</v>
      </c>
      <c r="B626" s="136">
        <v>0.3</v>
      </c>
      <c r="C626" s="135">
        <v>3.1944444444444442E-2</v>
      </c>
      <c r="D626" s="135">
        <v>0.25208333333333333</v>
      </c>
      <c r="E626" s="135">
        <v>0.86250000000000004</v>
      </c>
    </row>
    <row r="627" spans="1:5" x14ac:dyDescent="0.25">
      <c r="A627" s="134">
        <v>42223</v>
      </c>
      <c r="B627" s="136">
        <v>1.6</v>
      </c>
      <c r="C627" s="135">
        <v>0.52361111111111114</v>
      </c>
      <c r="D627" s="135">
        <v>0.25208333333333333</v>
      </c>
      <c r="E627" s="135">
        <v>0.86250000000000004</v>
      </c>
    </row>
    <row r="628" spans="1:5" x14ac:dyDescent="0.25">
      <c r="A628" s="134">
        <v>42224</v>
      </c>
      <c r="B628" s="136">
        <v>0.2</v>
      </c>
      <c r="C628" s="135">
        <v>8.0555555555555561E-2</v>
      </c>
      <c r="D628" s="135">
        <v>0.25277777777777777</v>
      </c>
      <c r="E628" s="135">
        <v>0.86111111111111116</v>
      </c>
    </row>
    <row r="629" spans="1:5" x14ac:dyDescent="0.25">
      <c r="A629" s="134">
        <v>42224</v>
      </c>
      <c r="B629" s="136">
        <v>2.2000000000000002</v>
      </c>
      <c r="C629" s="135">
        <v>0.56944444444444442</v>
      </c>
      <c r="D629" s="135">
        <v>0.25277777777777777</v>
      </c>
      <c r="E629" s="135">
        <v>0.86111111111111116</v>
      </c>
    </row>
    <row r="630" spans="1:5" x14ac:dyDescent="0.25">
      <c r="A630" s="134">
        <v>42225</v>
      </c>
      <c r="B630" s="136">
        <v>0</v>
      </c>
      <c r="C630" s="135">
        <v>0.12986111111111112</v>
      </c>
      <c r="D630" s="135">
        <v>0.25416666666666665</v>
      </c>
      <c r="E630" s="135">
        <v>0.86041666666666672</v>
      </c>
    </row>
    <row r="631" spans="1:5" x14ac:dyDescent="0.25">
      <c r="A631" s="134">
        <v>42225</v>
      </c>
      <c r="B631" s="136">
        <v>2.5</v>
      </c>
      <c r="C631" s="135">
        <v>0.61875000000000002</v>
      </c>
      <c r="D631" s="135">
        <v>0.25416666666666665</v>
      </c>
      <c r="E631" s="135">
        <v>0.86041666666666672</v>
      </c>
    </row>
    <row r="632" spans="1:5" x14ac:dyDescent="0.25">
      <c r="A632" s="134">
        <v>42226</v>
      </c>
      <c r="B632" s="136">
        <v>-0.3</v>
      </c>
      <c r="C632" s="135">
        <v>0.1736111111111111</v>
      </c>
      <c r="D632" s="135">
        <v>0.25486111111111109</v>
      </c>
      <c r="E632" s="135">
        <v>0.85902777777777772</v>
      </c>
    </row>
    <row r="633" spans="1:5" x14ac:dyDescent="0.25">
      <c r="A633" s="134">
        <v>42226</v>
      </c>
      <c r="B633" s="136">
        <v>2.5</v>
      </c>
      <c r="C633" s="135">
        <v>0.66597222222222219</v>
      </c>
      <c r="D633" s="135">
        <v>0.25486111111111109</v>
      </c>
      <c r="E633" s="135">
        <v>0.85902777777777772</v>
      </c>
    </row>
    <row r="634" spans="1:5" x14ac:dyDescent="0.25">
      <c r="A634" s="134">
        <v>42227</v>
      </c>
      <c r="B634" s="136">
        <v>-0.5</v>
      </c>
      <c r="C634" s="135">
        <v>0.21180555555555555</v>
      </c>
      <c r="D634" s="135">
        <v>0.25555555555555554</v>
      </c>
      <c r="E634" s="135">
        <v>0.85833333333333328</v>
      </c>
    </row>
    <row r="635" spans="1:5" x14ac:dyDescent="0.25">
      <c r="A635" s="134">
        <v>42227</v>
      </c>
      <c r="B635" s="136">
        <v>2.2999999999999998</v>
      </c>
      <c r="C635" s="135">
        <v>0.70694444444444449</v>
      </c>
      <c r="D635" s="135">
        <v>0.25555555555555554</v>
      </c>
      <c r="E635" s="135">
        <v>0.85833333333333328</v>
      </c>
    </row>
    <row r="636" spans="1:5" x14ac:dyDescent="0.25">
      <c r="A636" s="134">
        <v>42228</v>
      </c>
      <c r="B636" s="136">
        <v>-0.7</v>
      </c>
      <c r="C636" s="135">
        <v>0.24444444444444444</v>
      </c>
      <c r="D636" s="135">
        <v>0.25694444444444442</v>
      </c>
      <c r="E636" s="135">
        <v>0.8569444444444444</v>
      </c>
    </row>
    <row r="637" spans="1:5" x14ac:dyDescent="0.25">
      <c r="A637" s="134">
        <v>42228</v>
      </c>
      <c r="B637" s="136">
        <v>2</v>
      </c>
      <c r="C637" s="135">
        <v>0.74236111111111114</v>
      </c>
      <c r="D637" s="135">
        <v>0.25694444444444442</v>
      </c>
      <c r="E637" s="135">
        <v>0.8569444444444444</v>
      </c>
    </row>
    <row r="638" spans="1:5" x14ac:dyDescent="0.25">
      <c r="A638" s="134">
        <v>42229</v>
      </c>
      <c r="B638" s="136">
        <v>-0.8</v>
      </c>
      <c r="C638" s="135">
        <v>0.27291666666666664</v>
      </c>
      <c r="D638" s="135">
        <v>0.25763888888888886</v>
      </c>
      <c r="E638" s="135">
        <v>0.85555555555555551</v>
      </c>
    </row>
    <row r="639" spans="1:5" x14ac:dyDescent="0.25">
      <c r="A639" s="134">
        <v>42229</v>
      </c>
      <c r="B639" s="136">
        <v>1.8</v>
      </c>
      <c r="C639" s="135">
        <v>0.77361111111111114</v>
      </c>
      <c r="D639" s="135">
        <v>0.25763888888888886</v>
      </c>
      <c r="E639" s="135">
        <v>0.85555555555555551</v>
      </c>
    </row>
    <row r="640" spans="1:5" x14ac:dyDescent="0.25">
      <c r="A640" s="134">
        <v>42230</v>
      </c>
      <c r="B640" s="136">
        <v>-0.8</v>
      </c>
      <c r="C640" s="135">
        <v>0.29791666666666666</v>
      </c>
      <c r="D640" s="135">
        <v>0.25833333333333336</v>
      </c>
      <c r="E640" s="135">
        <v>0.85486111111111107</v>
      </c>
    </row>
    <row r="641" spans="1:5" x14ac:dyDescent="0.25">
      <c r="A641" s="134">
        <v>42230</v>
      </c>
      <c r="B641" s="136">
        <v>1.5</v>
      </c>
      <c r="C641" s="135">
        <v>0.80208333333333337</v>
      </c>
      <c r="D641" s="135">
        <v>0.25833333333333336</v>
      </c>
      <c r="E641" s="135">
        <v>0.85486111111111107</v>
      </c>
    </row>
    <row r="642" spans="1:5" x14ac:dyDescent="0.25">
      <c r="A642" s="134">
        <v>42231</v>
      </c>
      <c r="B642" s="136">
        <v>-0.7</v>
      </c>
      <c r="C642" s="135">
        <v>0.3215277777777778</v>
      </c>
      <c r="D642" s="135">
        <v>0.2590277777777778</v>
      </c>
      <c r="E642" s="135">
        <v>0.85347222222222219</v>
      </c>
    </row>
    <row r="643" spans="1:5" x14ac:dyDescent="0.25">
      <c r="A643" s="134">
        <v>42231</v>
      </c>
      <c r="B643" s="136">
        <v>1.4</v>
      </c>
      <c r="C643" s="135">
        <v>0.82847222222222228</v>
      </c>
      <c r="D643" s="135">
        <v>0.2590277777777778</v>
      </c>
      <c r="E643" s="135">
        <v>0.85347222222222219</v>
      </c>
    </row>
    <row r="644" spans="1:5" x14ac:dyDescent="0.25">
      <c r="A644" s="134">
        <v>42232</v>
      </c>
      <c r="B644" s="136">
        <v>-0.4</v>
      </c>
      <c r="C644" s="135">
        <v>0.34375</v>
      </c>
      <c r="D644" s="135">
        <v>0.26041666666666669</v>
      </c>
      <c r="E644" s="135">
        <v>0.8520833333333333</v>
      </c>
    </row>
    <row r="645" spans="1:5" x14ac:dyDescent="0.25">
      <c r="A645" s="134">
        <v>42232</v>
      </c>
      <c r="B645" s="136">
        <v>1.3</v>
      </c>
      <c r="C645" s="135">
        <v>0.85416666666666663</v>
      </c>
      <c r="D645" s="135">
        <v>0.26041666666666669</v>
      </c>
      <c r="E645" s="135">
        <v>0.8520833333333333</v>
      </c>
    </row>
    <row r="646" spans="1:5" x14ac:dyDescent="0.25">
      <c r="A646" s="134">
        <v>42233</v>
      </c>
      <c r="B646" s="136">
        <v>-0.1</v>
      </c>
      <c r="C646" s="135">
        <v>0.3659722222222222</v>
      </c>
      <c r="D646" s="135">
        <v>0.26111111111111113</v>
      </c>
      <c r="E646" s="135">
        <v>0.85069444444444442</v>
      </c>
    </row>
    <row r="647" spans="1:5" x14ac:dyDescent="0.25">
      <c r="A647" s="134">
        <v>42233</v>
      </c>
      <c r="B647" s="136">
        <v>1.2</v>
      </c>
      <c r="C647" s="135">
        <v>0.87986111111111109</v>
      </c>
      <c r="D647" s="135">
        <v>0.26111111111111113</v>
      </c>
      <c r="E647" s="135">
        <v>0.85069444444444442</v>
      </c>
    </row>
    <row r="648" spans="1:5" x14ac:dyDescent="0.25">
      <c r="A648" s="134">
        <v>42234</v>
      </c>
      <c r="B648" s="136">
        <v>0.3</v>
      </c>
      <c r="C648" s="135">
        <v>0.38750000000000001</v>
      </c>
      <c r="D648" s="135">
        <v>0.26180555555555557</v>
      </c>
      <c r="E648" s="135">
        <v>0.85</v>
      </c>
    </row>
    <row r="649" spans="1:5" x14ac:dyDescent="0.25">
      <c r="A649" s="134">
        <v>42234</v>
      </c>
      <c r="B649" s="136">
        <v>1.2</v>
      </c>
      <c r="C649" s="135">
        <v>0.90694444444444444</v>
      </c>
      <c r="D649" s="135">
        <v>0.26180555555555557</v>
      </c>
      <c r="E649" s="135">
        <v>0.85</v>
      </c>
    </row>
    <row r="650" spans="1:5" x14ac:dyDescent="0.25">
      <c r="A650" s="134">
        <v>42235</v>
      </c>
      <c r="B650" s="136">
        <v>0.8</v>
      </c>
      <c r="C650" s="135">
        <v>0.40902777777777777</v>
      </c>
      <c r="D650" s="135">
        <v>0.26319444444444445</v>
      </c>
      <c r="E650" s="135">
        <v>0.84861111111111109</v>
      </c>
    </row>
    <row r="651" spans="1:5" x14ac:dyDescent="0.25">
      <c r="A651" s="134">
        <v>42235</v>
      </c>
      <c r="B651" s="136">
        <v>1.2</v>
      </c>
      <c r="C651" s="135">
        <v>0.93541666666666667</v>
      </c>
      <c r="D651" s="135">
        <v>0.26319444444444445</v>
      </c>
      <c r="E651" s="135">
        <v>0.84861111111111109</v>
      </c>
    </row>
    <row r="652" spans="1:5" x14ac:dyDescent="0.25">
      <c r="A652" s="134">
        <v>42236</v>
      </c>
      <c r="B652" s="136">
        <v>1.4</v>
      </c>
      <c r="C652" s="135">
        <v>0.43263888888888891</v>
      </c>
      <c r="D652" s="135">
        <v>0.2638888888888889</v>
      </c>
      <c r="E652" s="135">
        <v>0.84722222222222221</v>
      </c>
    </row>
    <row r="653" spans="1:5" x14ac:dyDescent="0.25">
      <c r="A653" s="134">
        <v>42236</v>
      </c>
      <c r="B653" s="136">
        <v>1.3</v>
      </c>
      <c r="C653" s="135">
        <v>0.96805555555555556</v>
      </c>
      <c r="D653" s="135">
        <v>0.2638888888888889</v>
      </c>
      <c r="E653" s="135">
        <v>0.84722222222222221</v>
      </c>
    </row>
    <row r="654" spans="1:5" x14ac:dyDescent="0.25">
      <c r="A654" s="134">
        <v>42237</v>
      </c>
      <c r="B654" s="136">
        <v>1.9</v>
      </c>
      <c r="C654" s="135">
        <v>0.45902777777777776</v>
      </c>
      <c r="D654" s="135">
        <v>0.26458333333333334</v>
      </c>
      <c r="E654" s="135">
        <v>0.84583333333333333</v>
      </c>
    </row>
    <row r="655" spans="1:5" x14ac:dyDescent="0.25">
      <c r="A655" s="134">
        <v>42238</v>
      </c>
      <c r="B655" s="136">
        <v>1.3</v>
      </c>
      <c r="C655" s="135">
        <v>5.5555555555555558E-3</v>
      </c>
      <c r="D655" s="135">
        <v>0.26597222222222222</v>
      </c>
      <c r="E655" s="135">
        <v>0.84444444444444444</v>
      </c>
    </row>
    <row r="656" spans="1:5" x14ac:dyDescent="0.25">
      <c r="A656" s="134">
        <v>42238</v>
      </c>
      <c r="B656" s="136">
        <v>2.4</v>
      </c>
      <c r="C656" s="135">
        <v>0.4909722222222222</v>
      </c>
      <c r="D656" s="135">
        <v>0.26597222222222222</v>
      </c>
      <c r="E656" s="135">
        <v>0.84444444444444444</v>
      </c>
    </row>
    <row r="657" spans="1:5" x14ac:dyDescent="0.25">
      <c r="A657" s="134">
        <v>42239</v>
      </c>
      <c r="B657" s="136">
        <v>1.2</v>
      </c>
      <c r="C657" s="135">
        <v>4.9305555555555554E-2</v>
      </c>
      <c r="D657" s="135">
        <v>0.26666666666666666</v>
      </c>
      <c r="E657" s="135">
        <v>0.84375</v>
      </c>
    </row>
    <row r="658" spans="1:5" x14ac:dyDescent="0.25">
      <c r="A658" s="134">
        <v>42239</v>
      </c>
      <c r="B658" s="136">
        <v>2.8</v>
      </c>
      <c r="C658" s="135">
        <v>0.53263888888888888</v>
      </c>
      <c r="D658" s="135">
        <v>0.26666666666666666</v>
      </c>
      <c r="E658" s="135">
        <v>0.84375</v>
      </c>
    </row>
    <row r="659" spans="1:5" x14ac:dyDescent="0.25">
      <c r="A659" s="134">
        <v>42240</v>
      </c>
      <c r="B659" s="136">
        <v>0.9</v>
      </c>
      <c r="C659" s="135">
        <v>9.583333333333334E-2</v>
      </c>
      <c r="D659" s="135">
        <v>0.2673611111111111</v>
      </c>
      <c r="E659" s="135">
        <v>0.84236111111111112</v>
      </c>
    </row>
    <row r="660" spans="1:5" x14ac:dyDescent="0.25">
      <c r="A660" s="134">
        <v>42240</v>
      </c>
      <c r="B660" s="136">
        <v>3</v>
      </c>
      <c r="C660" s="135">
        <v>0.58333333333333337</v>
      </c>
      <c r="D660" s="135">
        <v>0.2673611111111111</v>
      </c>
      <c r="E660" s="135">
        <v>0.84236111111111112</v>
      </c>
    </row>
    <row r="661" spans="1:5" x14ac:dyDescent="0.25">
      <c r="A661" s="134">
        <v>42241</v>
      </c>
      <c r="B661" s="136">
        <v>0.4</v>
      </c>
      <c r="C661" s="135">
        <v>0.14097222222222222</v>
      </c>
      <c r="D661" s="135">
        <v>0.26874999999999999</v>
      </c>
      <c r="E661" s="135">
        <v>0.84097222222222223</v>
      </c>
    </row>
    <row r="662" spans="1:5" x14ac:dyDescent="0.25">
      <c r="A662" s="134">
        <v>42241</v>
      </c>
      <c r="B662" s="136">
        <v>2.8</v>
      </c>
      <c r="C662" s="135">
        <v>0.6333333333333333</v>
      </c>
      <c r="D662" s="135">
        <v>0.26874999999999999</v>
      </c>
      <c r="E662" s="135">
        <v>0.84097222222222223</v>
      </c>
    </row>
    <row r="663" spans="1:5" x14ac:dyDescent="0.25">
      <c r="A663" s="134">
        <v>42242</v>
      </c>
      <c r="B663" s="136">
        <v>-0.1</v>
      </c>
      <c r="C663" s="135">
        <v>0.18055555555555555</v>
      </c>
      <c r="D663" s="135">
        <v>0.26944444444444443</v>
      </c>
      <c r="E663" s="135">
        <v>0.83958333333333335</v>
      </c>
    </row>
    <row r="664" spans="1:5" x14ac:dyDescent="0.25">
      <c r="A664" s="134">
        <v>42242</v>
      </c>
      <c r="B664" s="136">
        <v>2.4</v>
      </c>
      <c r="C664" s="135">
        <v>0.67847222222222225</v>
      </c>
      <c r="D664" s="135">
        <v>0.26944444444444443</v>
      </c>
      <c r="E664" s="135">
        <v>0.83958333333333335</v>
      </c>
    </row>
    <row r="665" spans="1:5" x14ac:dyDescent="0.25">
      <c r="A665" s="134">
        <v>42243</v>
      </c>
      <c r="B665" s="136">
        <v>-0.7</v>
      </c>
      <c r="C665" s="135">
        <v>0.21597222222222223</v>
      </c>
      <c r="D665" s="135">
        <v>0.27013888888888887</v>
      </c>
      <c r="E665" s="135">
        <v>0.83819444444444446</v>
      </c>
    </row>
    <row r="666" spans="1:5" x14ac:dyDescent="0.25">
      <c r="A666" s="134">
        <v>42243</v>
      </c>
      <c r="B666" s="136">
        <v>1.8</v>
      </c>
      <c r="C666" s="135">
        <v>0.71805555555555556</v>
      </c>
      <c r="D666" s="135">
        <v>0.27013888888888887</v>
      </c>
      <c r="E666" s="135">
        <v>0.83819444444444446</v>
      </c>
    </row>
    <row r="667" spans="1:5" x14ac:dyDescent="0.25">
      <c r="A667" s="134">
        <v>42244</v>
      </c>
      <c r="B667" s="136">
        <v>-1.1000000000000001</v>
      </c>
      <c r="C667" s="135">
        <v>0.24861111111111112</v>
      </c>
      <c r="D667" s="135">
        <v>0.27152777777777776</v>
      </c>
      <c r="E667" s="135">
        <v>0.83680555555555558</v>
      </c>
    </row>
    <row r="668" spans="1:5" x14ac:dyDescent="0.25">
      <c r="A668" s="134">
        <v>42244</v>
      </c>
      <c r="B668" s="136">
        <v>1.2</v>
      </c>
      <c r="C668" s="135">
        <v>0.75416666666666665</v>
      </c>
      <c r="D668" s="135">
        <v>0.27152777777777776</v>
      </c>
      <c r="E668" s="135">
        <v>0.83680555555555558</v>
      </c>
    </row>
    <row r="669" spans="1:5" x14ac:dyDescent="0.25">
      <c r="A669" s="134">
        <v>42245</v>
      </c>
      <c r="B669" s="136">
        <v>-1.4</v>
      </c>
      <c r="C669" s="135">
        <v>0.27916666666666667</v>
      </c>
      <c r="D669" s="135">
        <v>0.2722222222222222</v>
      </c>
      <c r="E669" s="135">
        <v>0.8354166666666667</v>
      </c>
    </row>
    <row r="670" spans="1:5" x14ac:dyDescent="0.25">
      <c r="A670" s="134">
        <v>42245</v>
      </c>
      <c r="B670" s="136">
        <v>0.5</v>
      </c>
      <c r="C670" s="135">
        <v>0.78819444444444442</v>
      </c>
      <c r="D670" s="135">
        <v>0.2722222222222222</v>
      </c>
      <c r="E670" s="135">
        <v>0.8354166666666667</v>
      </c>
    </row>
    <row r="671" spans="1:5" x14ac:dyDescent="0.25">
      <c r="A671" s="134">
        <v>42246</v>
      </c>
      <c r="B671" s="136">
        <v>-1.4</v>
      </c>
      <c r="C671" s="135">
        <v>0.30902777777777779</v>
      </c>
      <c r="D671" s="135">
        <v>0.27291666666666664</v>
      </c>
      <c r="E671" s="135">
        <v>0.83402777777777781</v>
      </c>
    </row>
    <row r="672" spans="1:5" x14ac:dyDescent="0.25">
      <c r="A672" s="134">
        <v>42246</v>
      </c>
      <c r="B672" s="136">
        <v>0</v>
      </c>
      <c r="C672" s="135">
        <v>0.82222222222222219</v>
      </c>
      <c r="D672" s="135">
        <v>0.27291666666666664</v>
      </c>
      <c r="E672" s="135">
        <v>0.83402777777777781</v>
      </c>
    </row>
    <row r="673" spans="1:5" x14ac:dyDescent="0.25">
      <c r="A673" s="134">
        <v>42247</v>
      </c>
      <c r="B673" s="136">
        <v>-1.1000000000000001</v>
      </c>
      <c r="C673" s="135">
        <v>0.33819444444444446</v>
      </c>
      <c r="D673" s="135">
        <v>0.27430555555555558</v>
      </c>
      <c r="E673" s="135">
        <v>0.83263888888888893</v>
      </c>
    </row>
    <row r="674" spans="1:5" x14ac:dyDescent="0.25">
      <c r="A674" s="134">
        <v>42247</v>
      </c>
      <c r="B674" s="136">
        <v>-0.4</v>
      </c>
      <c r="C674" s="135">
        <v>0.8569444444444444</v>
      </c>
      <c r="D674" s="135">
        <v>0.27430555555555558</v>
      </c>
      <c r="E674" s="135">
        <v>0.83263888888888893</v>
      </c>
    </row>
    <row r="675" spans="1:5" x14ac:dyDescent="0.25">
      <c r="A675" s="134">
        <v>42248</v>
      </c>
      <c r="B675" s="136">
        <v>-0.6</v>
      </c>
      <c r="C675" s="135">
        <v>0.36805555555555558</v>
      </c>
      <c r="D675" s="135">
        <v>0.27500000000000002</v>
      </c>
      <c r="E675" s="135">
        <v>0.83125000000000004</v>
      </c>
    </row>
    <row r="676" spans="1:5" x14ac:dyDescent="0.25">
      <c r="A676" s="134">
        <v>42248</v>
      </c>
      <c r="B676" s="136">
        <v>-0.5</v>
      </c>
      <c r="C676" s="135">
        <v>0.89166666666666672</v>
      </c>
      <c r="D676" s="135">
        <v>0.27500000000000002</v>
      </c>
      <c r="E676" s="135">
        <v>0.83125000000000004</v>
      </c>
    </row>
    <row r="677" spans="1:5" x14ac:dyDescent="0.25">
      <c r="A677" s="134">
        <v>42249</v>
      </c>
      <c r="B677" s="136">
        <v>0.1</v>
      </c>
      <c r="C677" s="135">
        <v>0.39930555555555558</v>
      </c>
      <c r="D677" s="135">
        <v>0.27569444444444446</v>
      </c>
      <c r="E677" s="135">
        <v>0.82986111111111116</v>
      </c>
    </row>
    <row r="678" spans="1:5" x14ac:dyDescent="0.25">
      <c r="A678" s="134">
        <v>42249</v>
      </c>
      <c r="B678" s="136">
        <v>-0.4</v>
      </c>
      <c r="C678" s="135">
        <v>0.9291666666666667</v>
      </c>
      <c r="D678" s="135">
        <v>0.27569444444444446</v>
      </c>
      <c r="E678" s="135">
        <v>0.82986111111111116</v>
      </c>
    </row>
    <row r="679" spans="1:5" x14ac:dyDescent="0.25">
      <c r="A679" s="134">
        <v>42250</v>
      </c>
      <c r="B679" s="136">
        <v>0.9</v>
      </c>
      <c r="C679" s="135">
        <v>0.43125000000000002</v>
      </c>
      <c r="D679" s="135">
        <v>0.27708333333333335</v>
      </c>
      <c r="E679" s="135">
        <v>0.82847222222222228</v>
      </c>
    </row>
    <row r="680" spans="1:5" x14ac:dyDescent="0.25">
      <c r="A680" s="134">
        <v>42250</v>
      </c>
      <c r="B680" s="136">
        <v>-0.2</v>
      </c>
      <c r="C680" s="135">
        <v>0.96875</v>
      </c>
      <c r="D680" s="135">
        <v>0.27708333333333335</v>
      </c>
      <c r="E680" s="135">
        <v>0.82847222222222228</v>
      </c>
    </row>
    <row r="681" spans="1:5" x14ac:dyDescent="0.25">
      <c r="A681" s="134">
        <v>42251</v>
      </c>
      <c r="B681" s="136">
        <v>1.6</v>
      </c>
      <c r="C681" s="135">
        <v>0.46736111111111112</v>
      </c>
      <c r="D681" s="135">
        <v>0.27777777777777779</v>
      </c>
      <c r="E681" s="135">
        <v>0.82708333333333328</v>
      </c>
    </row>
    <row r="682" spans="1:5" x14ac:dyDescent="0.25">
      <c r="A682" s="134">
        <v>42252</v>
      </c>
      <c r="B682" s="136">
        <v>0.1</v>
      </c>
      <c r="C682" s="135">
        <v>1.2500000000000001E-2</v>
      </c>
      <c r="D682" s="135">
        <v>0.27847222222222223</v>
      </c>
      <c r="E682" s="135">
        <v>0.8256944444444444</v>
      </c>
    </row>
    <row r="683" spans="1:5" x14ac:dyDescent="0.25">
      <c r="A683" s="134">
        <v>42252</v>
      </c>
      <c r="B683" s="136">
        <v>2.2999999999999998</v>
      </c>
      <c r="C683" s="135">
        <v>0.50902777777777775</v>
      </c>
      <c r="D683" s="135">
        <v>0.27847222222222223</v>
      </c>
      <c r="E683" s="135">
        <v>0.8256944444444444</v>
      </c>
    </row>
    <row r="684" spans="1:5" x14ac:dyDescent="0.25">
      <c r="A684" s="134">
        <v>42253</v>
      </c>
      <c r="B684" s="136">
        <v>0.3</v>
      </c>
      <c r="C684" s="135">
        <v>6.0416666666666667E-2</v>
      </c>
      <c r="D684" s="135">
        <v>0.27986111111111112</v>
      </c>
      <c r="E684" s="135">
        <v>0.82430555555555551</v>
      </c>
    </row>
    <row r="685" spans="1:5" x14ac:dyDescent="0.25">
      <c r="A685" s="134">
        <v>42253</v>
      </c>
      <c r="B685" s="136">
        <v>2.7</v>
      </c>
      <c r="C685" s="135">
        <v>0.55833333333333335</v>
      </c>
      <c r="D685" s="135">
        <v>0.27986111111111112</v>
      </c>
      <c r="E685" s="135">
        <v>0.82430555555555551</v>
      </c>
    </row>
    <row r="686" spans="1:5" x14ac:dyDescent="0.25">
      <c r="A686" s="134">
        <v>42254</v>
      </c>
      <c r="B686" s="136">
        <v>0.4</v>
      </c>
      <c r="C686" s="135">
        <v>0.11041666666666666</v>
      </c>
      <c r="D686" s="135">
        <v>0.28055555555555556</v>
      </c>
      <c r="E686" s="135">
        <v>0.82291666666666663</v>
      </c>
    </row>
    <row r="687" spans="1:5" x14ac:dyDescent="0.25">
      <c r="A687" s="134">
        <v>42254</v>
      </c>
      <c r="B687" s="136">
        <v>2.8</v>
      </c>
      <c r="C687" s="135">
        <v>0.61111111111111116</v>
      </c>
      <c r="D687" s="135">
        <v>0.28055555555555556</v>
      </c>
      <c r="E687" s="135">
        <v>0.82291666666666663</v>
      </c>
    </row>
    <row r="688" spans="1:5" x14ac:dyDescent="0.25">
      <c r="A688" s="134">
        <v>42255</v>
      </c>
      <c r="B688" s="136">
        <v>0.3</v>
      </c>
      <c r="C688" s="135">
        <v>0.15555555555555556</v>
      </c>
      <c r="D688" s="135">
        <v>0.28125</v>
      </c>
      <c r="E688" s="135">
        <v>0.82152777777777775</v>
      </c>
    </row>
    <row r="689" spans="1:5" x14ac:dyDescent="0.25">
      <c r="A689" s="134">
        <v>42255</v>
      </c>
      <c r="B689" s="136">
        <v>2.6</v>
      </c>
      <c r="C689" s="135">
        <v>0.65972222222222221</v>
      </c>
      <c r="D689" s="135">
        <v>0.28125</v>
      </c>
      <c r="E689" s="135">
        <v>0.82152777777777775</v>
      </c>
    </row>
    <row r="690" spans="1:5" x14ac:dyDescent="0.25">
      <c r="A690" s="134">
        <v>42256</v>
      </c>
      <c r="B690" s="136">
        <v>0.1</v>
      </c>
      <c r="C690" s="135">
        <v>0.19375000000000001</v>
      </c>
      <c r="D690" s="135">
        <v>0.28194444444444444</v>
      </c>
      <c r="E690" s="135">
        <v>0.82013888888888886</v>
      </c>
    </row>
    <row r="691" spans="1:5" x14ac:dyDescent="0.25">
      <c r="A691" s="134">
        <v>42256</v>
      </c>
      <c r="B691" s="136">
        <v>2.2000000000000002</v>
      </c>
      <c r="C691" s="135">
        <v>0.7</v>
      </c>
      <c r="D691" s="135">
        <v>0.28194444444444444</v>
      </c>
      <c r="E691" s="135">
        <v>0.82013888888888886</v>
      </c>
    </row>
    <row r="692" spans="1:5" x14ac:dyDescent="0.25">
      <c r="A692" s="134">
        <v>42257</v>
      </c>
      <c r="B692" s="136">
        <v>0</v>
      </c>
      <c r="C692" s="135">
        <v>0.22569444444444445</v>
      </c>
      <c r="D692" s="135">
        <v>0.28333333333333333</v>
      </c>
      <c r="E692" s="135">
        <v>0.81874999999999998</v>
      </c>
    </row>
    <row r="693" spans="1:5" x14ac:dyDescent="0.25">
      <c r="A693" s="134">
        <v>42257</v>
      </c>
      <c r="B693" s="136">
        <v>1.8</v>
      </c>
      <c r="C693" s="135">
        <v>0.73333333333333328</v>
      </c>
      <c r="D693" s="135">
        <v>0.28333333333333333</v>
      </c>
      <c r="E693" s="135">
        <v>0.81874999999999998</v>
      </c>
    </row>
    <row r="694" spans="1:5" x14ac:dyDescent="0.25">
      <c r="A694" s="134">
        <v>42258</v>
      </c>
      <c r="B694" s="136">
        <v>0</v>
      </c>
      <c r="C694" s="135">
        <v>0.25347222222222221</v>
      </c>
      <c r="D694" s="135">
        <v>0.28402777777777777</v>
      </c>
      <c r="E694" s="135">
        <v>0.81736111111111109</v>
      </c>
    </row>
    <row r="695" spans="1:5" x14ac:dyDescent="0.25">
      <c r="A695" s="134">
        <v>42258</v>
      </c>
      <c r="B695" s="136">
        <v>1.4</v>
      </c>
      <c r="C695" s="135">
        <v>0.76249999999999996</v>
      </c>
      <c r="D695" s="135">
        <v>0.28402777777777777</v>
      </c>
      <c r="E695" s="135">
        <v>0.81736111111111109</v>
      </c>
    </row>
    <row r="696" spans="1:5" x14ac:dyDescent="0.25">
      <c r="A696" s="134">
        <v>42259</v>
      </c>
      <c r="B696" s="136">
        <v>0.1</v>
      </c>
      <c r="C696" s="135">
        <v>0.27777777777777779</v>
      </c>
      <c r="D696" s="135">
        <v>0.28472222222222221</v>
      </c>
      <c r="E696" s="135">
        <v>0.81597222222222221</v>
      </c>
    </row>
    <row r="697" spans="1:5" x14ac:dyDescent="0.25">
      <c r="A697" s="134">
        <v>42259</v>
      </c>
      <c r="B697" s="136">
        <v>1</v>
      </c>
      <c r="C697" s="135">
        <v>0.78819444444444442</v>
      </c>
      <c r="D697" s="135">
        <v>0.28472222222222221</v>
      </c>
      <c r="E697" s="135">
        <v>0.81597222222222221</v>
      </c>
    </row>
    <row r="698" spans="1:5" x14ac:dyDescent="0.25">
      <c r="A698" s="134">
        <v>42260</v>
      </c>
      <c r="B698" s="136">
        <v>0.2</v>
      </c>
      <c r="C698" s="135">
        <v>0.3</v>
      </c>
      <c r="D698" s="135">
        <v>0.28611111111111109</v>
      </c>
      <c r="E698" s="135">
        <v>0.81458333333333333</v>
      </c>
    </row>
    <row r="699" spans="1:5" x14ac:dyDescent="0.25">
      <c r="A699" s="134">
        <v>42260</v>
      </c>
      <c r="B699" s="136">
        <v>0.8</v>
      </c>
      <c r="C699" s="135">
        <v>0.81319444444444444</v>
      </c>
      <c r="D699" s="135">
        <v>0.28611111111111109</v>
      </c>
      <c r="E699" s="135">
        <v>0.81458333333333333</v>
      </c>
    </row>
    <row r="700" spans="1:5" x14ac:dyDescent="0.25">
      <c r="A700" s="134">
        <v>42261</v>
      </c>
      <c r="B700" s="136">
        <v>0.5</v>
      </c>
      <c r="C700" s="135">
        <v>0.3215277777777778</v>
      </c>
      <c r="D700" s="135">
        <v>0.28680555555555554</v>
      </c>
      <c r="E700" s="135">
        <v>0.81319444444444444</v>
      </c>
    </row>
    <row r="701" spans="1:5" x14ac:dyDescent="0.25">
      <c r="A701" s="134">
        <v>42261</v>
      </c>
      <c r="B701" s="136">
        <v>0.6</v>
      </c>
      <c r="C701" s="135">
        <v>0.83680555555555558</v>
      </c>
      <c r="D701" s="135">
        <v>0.28680555555555554</v>
      </c>
      <c r="E701" s="135">
        <v>0.81319444444444444</v>
      </c>
    </row>
    <row r="702" spans="1:5" x14ac:dyDescent="0.25">
      <c r="A702" s="134">
        <v>42262</v>
      </c>
      <c r="B702" s="136">
        <v>0.8</v>
      </c>
      <c r="C702" s="135">
        <v>0.34236111111111112</v>
      </c>
      <c r="D702" s="135">
        <v>0.28749999999999998</v>
      </c>
      <c r="E702" s="135">
        <v>0.81180555555555556</v>
      </c>
    </row>
    <row r="703" spans="1:5" x14ac:dyDescent="0.25">
      <c r="A703" s="134">
        <v>42262</v>
      </c>
      <c r="B703" s="136">
        <v>0.6</v>
      </c>
      <c r="C703" s="135">
        <v>0.86111111111111116</v>
      </c>
      <c r="D703" s="135">
        <v>0.28749999999999998</v>
      </c>
      <c r="E703" s="135">
        <v>0.81180555555555556</v>
      </c>
    </row>
    <row r="704" spans="1:5" x14ac:dyDescent="0.25">
      <c r="A704" s="134">
        <v>42263</v>
      </c>
      <c r="B704" s="136">
        <v>1.2</v>
      </c>
      <c r="C704" s="135">
        <v>0.36388888888888887</v>
      </c>
      <c r="D704" s="135">
        <v>0.28888888888888886</v>
      </c>
      <c r="E704" s="135">
        <v>0.81041666666666667</v>
      </c>
    </row>
    <row r="705" spans="1:5" x14ac:dyDescent="0.25">
      <c r="A705" s="134">
        <v>42263</v>
      </c>
      <c r="B705" s="136">
        <v>0.6</v>
      </c>
      <c r="C705" s="135">
        <v>0.88611111111111107</v>
      </c>
      <c r="D705" s="135">
        <v>0.28888888888888886</v>
      </c>
      <c r="E705" s="135">
        <v>0.81041666666666667</v>
      </c>
    </row>
    <row r="706" spans="1:5" x14ac:dyDescent="0.25">
      <c r="A706" s="134">
        <v>42264</v>
      </c>
      <c r="B706" s="136">
        <v>1.6</v>
      </c>
      <c r="C706" s="135">
        <v>0.38541666666666669</v>
      </c>
      <c r="D706" s="135">
        <v>0.28958333333333336</v>
      </c>
      <c r="E706" s="135">
        <v>0.80902777777777779</v>
      </c>
    </row>
    <row r="707" spans="1:5" x14ac:dyDescent="0.25">
      <c r="A707" s="134">
        <v>42264</v>
      </c>
      <c r="B707" s="136">
        <v>0.7</v>
      </c>
      <c r="C707" s="135">
        <v>0.91249999999999998</v>
      </c>
      <c r="D707" s="135">
        <v>0.28958333333333336</v>
      </c>
      <c r="E707" s="135">
        <v>0.80902777777777779</v>
      </c>
    </row>
    <row r="708" spans="1:5" x14ac:dyDescent="0.25">
      <c r="A708" s="134">
        <v>42265</v>
      </c>
      <c r="B708" s="136">
        <v>2.1</v>
      </c>
      <c r="C708" s="135">
        <v>0.40902777777777777</v>
      </c>
      <c r="D708" s="135">
        <v>0.2902777777777778</v>
      </c>
      <c r="E708" s="135">
        <v>0.80763888888888891</v>
      </c>
    </row>
    <row r="709" spans="1:5" x14ac:dyDescent="0.25">
      <c r="A709" s="134">
        <v>42265</v>
      </c>
      <c r="B709" s="136">
        <v>0.8</v>
      </c>
      <c r="C709" s="135">
        <v>0.94236111111111109</v>
      </c>
      <c r="D709" s="135">
        <v>0.2902777777777778</v>
      </c>
      <c r="E709" s="135">
        <v>0.80763888888888891</v>
      </c>
    </row>
    <row r="710" spans="1:5" x14ac:dyDescent="0.25">
      <c r="A710" s="134">
        <v>42266</v>
      </c>
      <c r="B710" s="136">
        <v>2.6</v>
      </c>
      <c r="C710" s="135">
        <v>0.43611111111111112</v>
      </c>
      <c r="D710" s="135">
        <v>0.29166666666666669</v>
      </c>
      <c r="E710" s="135">
        <v>0.80625000000000002</v>
      </c>
    </row>
    <row r="711" spans="1:5" x14ac:dyDescent="0.25">
      <c r="A711" s="134">
        <v>42266</v>
      </c>
      <c r="B711" s="136">
        <v>0.9</v>
      </c>
      <c r="C711" s="135">
        <v>0.97777777777777775</v>
      </c>
      <c r="D711" s="135">
        <v>0.29166666666666669</v>
      </c>
      <c r="E711" s="135">
        <v>0.80625000000000002</v>
      </c>
    </row>
    <row r="712" spans="1:5" x14ac:dyDescent="0.25">
      <c r="A712" s="134">
        <v>42267</v>
      </c>
      <c r="B712" s="136">
        <v>3</v>
      </c>
      <c r="C712" s="135">
        <v>0.47013888888888888</v>
      </c>
      <c r="D712" s="135">
        <v>0.29236111111111113</v>
      </c>
      <c r="E712" s="135">
        <v>0.80486111111111114</v>
      </c>
    </row>
    <row r="713" spans="1:5" x14ac:dyDescent="0.25">
      <c r="A713" s="134">
        <v>42268</v>
      </c>
      <c r="B713" s="136">
        <v>1</v>
      </c>
      <c r="C713" s="135">
        <v>1.9444444444444445E-2</v>
      </c>
      <c r="D713" s="135">
        <v>0.29305555555555557</v>
      </c>
      <c r="E713" s="135">
        <v>0.80347222222222225</v>
      </c>
    </row>
    <row r="714" spans="1:5" x14ac:dyDescent="0.25">
      <c r="A714" s="134">
        <v>42268</v>
      </c>
      <c r="B714" s="136">
        <v>3.2</v>
      </c>
      <c r="C714" s="135">
        <v>0.51527777777777772</v>
      </c>
      <c r="D714" s="135">
        <v>0.29305555555555557</v>
      </c>
      <c r="E714" s="135">
        <v>0.80347222222222225</v>
      </c>
    </row>
    <row r="715" spans="1:5" x14ac:dyDescent="0.25">
      <c r="A715" s="134">
        <v>42269</v>
      </c>
      <c r="B715" s="136">
        <v>0.9</v>
      </c>
      <c r="C715" s="135">
        <v>6.5972222222222224E-2</v>
      </c>
      <c r="D715" s="135">
        <v>0.29444444444444445</v>
      </c>
      <c r="E715" s="135">
        <v>0.80208333333333337</v>
      </c>
    </row>
    <row r="716" spans="1:5" x14ac:dyDescent="0.25">
      <c r="A716" s="134">
        <v>42269</v>
      </c>
      <c r="B716" s="136">
        <v>3.2</v>
      </c>
      <c r="C716" s="135">
        <v>0.56874999999999998</v>
      </c>
      <c r="D716" s="135">
        <v>0.29444444444444445</v>
      </c>
      <c r="E716" s="135">
        <v>0.80208333333333337</v>
      </c>
    </row>
    <row r="717" spans="1:5" x14ac:dyDescent="0.25">
      <c r="A717" s="134">
        <v>42270</v>
      </c>
      <c r="B717" s="136">
        <v>0.6</v>
      </c>
      <c r="C717" s="135">
        <v>0.11319444444444444</v>
      </c>
      <c r="D717" s="135">
        <v>0.2951388888888889</v>
      </c>
      <c r="E717" s="135">
        <v>0.80069444444444449</v>
      </c>
    </row>
    <row r="718" spans="1:5" x14ac:dyDescent="0.25">
      <c r="A718" s="134">
        <v>42270</v>
      </c>
      <c r="B718" s="136">
        <v>2.9</v>
      </c>
      <c r="C718" s="135">
        <v>0.62152777777777779</v>
      </c>
      <c r="D718" s="135">
        <v>0.2951388888888889</v>
      </c>
      <c r="E718" s="135">
        <v>0.80069444444444449</v>
      </c>
    </row>
    <row r="719" spans="1:5" x14ac:dyDescent="0.25">
      <c r="A719" s="134">
        <v>42271</v>
      </c>
      <c r="B719" s="136">
        <v>0.3</v>
      </c>
      <c r="C719" s="135">
        <v>0.15555555555555556</v>
      </c>
      <c r="D719" s="135">
        <v>0.29583333333333334</v>
      </c>
      <c r="E719" s="135">
        <v>0.7993055555555556</v>
      </c>
    </row>
    <row r="720" spans="1:5" x14ac:dyDescent="0.25">
      <c r="A720" s="134">
        <v>42271</v>
      </c>
      <c r="B720" s="136">
        <v>2.2000000000000002</v>
      </c>
      <c r="C720" s="135">
        <v>0.66736111111111107</v>
      </c>
      <c r="D720" s="135">
        <v>0.29583333333333334</v>
      </c>
      <c r="E720" s="135">
        <v>0.7993055555555556</v>
      </c>
    </row>
    <row r="721" spans="1:5" x14ac:dyDescent="0.25">
      <c r="A721" s="134">
        <v>42272</v>
      </c>
      <c r="B721" s="136">
        <v>-0.1</v>
      </c>
      <c r="C721" s="135">
        <v>0.19305555555555556</v>
      </c>
      <c r="D721" s="135">
        <v>0.29722222222222222</v>
      </c>
      <c r="E721" s="135">
        <v>0.79791666666666672</v>
      </c>
    </row>
    <row r="722" spans="1:5" x14ac:dyDescent="0.25">
      <c r="A722" s="134">
        <v>42272</v>
      </c>
      <c r="B722" s="136">
        <v>1.3</v>
      </c>
      <c r="C722" s="135">
        <v>0.70763888888888893</v>
      </c>
      <c r="D722" s="135">
        <v>0.29722222222222222</v>
      </c>
      <c r="E722" s="135">
        <v>0.79791666666666672</v>
      </c>
    </row>
    <row r="723" spans="1:5" x14ac:dyDescent="0.25">
      <c r="A723" s="134">
        <v>42273</v>
      </c>
      <c r="B723" s="136">
        <v>-0.4</v>
      </c>
      <c r="C723" s="135">
        <v>0.22708333333333333</v>
      </c>
      <c r="D723" s="135">
        <v>0.29791666666666666</v>
      </c>
      <c r="E723" s="135">
        <v>0.79652777777777772</v>
      </c>
    </row>
    <row r="724" spans="1:5" x14ac:dyDescent="0.25">
      <c r="A724" s="134">
        <v>42273</v>
      </c>
      <c r="B724" s="136">
        <v>0.5</v>
      </c>
      <c r="C724" s="135">
        <v>0.74375000000000002</v>
      </c>
      <c r="D724" s="135">
        <v>0.29791666666666666</v>
      </c>
      <c r="E724" s="135">
        <v>0.79652777777777772</v>
      </c>
    </row>
    <row r="725" spans="1:5" x14ac:dyDescent="0.25">
      <c r="A725" s="134">
        <v>42274</v>
      </c>
      <c r="B725" s="136">
        <v>-0.5</v>
      </c>
      <c r="C725" s="135">
        <v>0.2590277777777778</v>
      </c>
      <c r="D725" s="135">
        <v>0.2986111111111111</v>
      </c>
      <c r="E725" s="135">
        <v>0.79513888888888884</v>
      </c>
    </row>
    <row r="726" spans="1:5" x14ac:dyDescent="0.25">
      <c r="A726" s="134">
        <v>42274</v>
      </c>
      <c r="B726" s="136">
        <v>-0.3</v>
      </c>
      <c r="C726" s="135">
        <v>0.77777777777777779</v>
      </c>
      <c r="D726" s="135">
        <v>0.2986111111111111</v>
      </c>
      <c r="E726" s="135">
        <v>0.79513888888888884</v>
      </c>
    </row>
    <row r="727" spans="1:5" x14ac:dyDescent="0.25">
      <c r="A727" s="134">
        <v>42275</v>
      </c>
      <c r="B727" s="136">
        <v>-0.3</v>
      </c>
      <c r="C727" s="135">
        <v>0.28958333333333336</v>
      </c>
      <c r="D727" s="135">
        <v>0.3</v>
      </c>
      <c r="E727" s="135">
        <v>0.79374999999999996</v>
      </c>
    </row>
    <row r="728" spans="1:5" x14ac:dyDescent="0.25">
      <c r="A728" s="134">
        <v>42275</v>
      </c>
      <c r="B728" s="136">
        <v>-0.9</v>
      </c>
      <c r="C728" s="135">
        <v>0.81111111111111112</v>
      </c>
      <c r="D728" s="135">
        <v>0.3</v>
      </c>
      <c r="E728" s="135">
        <v>0.79374999999999996</v>
      </c>
    </row>
    <row r="729" spans="1:5" x14ac:dyDescent="0.25">
      <c r="A729" s="134">
        <v>42276</v>
      </c>
      <c r="B729" s="136">
        <v>0</v>
      </c>
      <c r="C729" s="135">
        <v>0.32013888888888886</v>
      </c>
      <c r="D729" s="135">
        <v>0.30069444444444443</v>
      </c>
      <c r="E729" s="135">
        <v>0.79236111111111107</v>
      </c>
    </row>
    <row r="730" spans="1:5" x14ac:dyDescent="0.25">
      <c r="A730" s="134">
        <v>42276</v>
      </c>
      <c r="B730" s="136">
        <v>-1.2</v>
      </c>
      <c r="C730" s="135">
        <v>0.84444444444444444</v>
      </c>
      <c r="D730" s="135">
        <v>0.30069444444444443</v>
      </c>
      <c r="E730" s="135">
        <v>0.79236111111111107</v>
      </c>
    </row>
    <row r="731" spans="1:5" x14ac:dyDescent="0.25">
      <c r="A731" s="134">
        <v>42277</v>
      </c>
      <c r="B731" s="136">
        <v>0.5</v>
      </c>
      <c r="C731" s="135">
        <v>0.35069444444444442</v>
      </c>
      <c r="D731" s="135">
        <v>0.30138888888888887</v>
      </c>
      <c r="E731" s="135">
        <v>0.79097222222222219</v>
      </c>
    </row>
    <row r="732" spans="1:5" x14ac:dyDescent="0.25">
      <c r="A732" s="134">
        <v>42277</v>
      </c>
      <c r="B732" s="136">
        <v>-1.2</v>
      </c>
      <c r="C732" s="135">
        <v>0.87847222222222221</v>
      </c>
      <c r="D732" s="135">
        <v>0.30138888888888887</v>
      </c>
      <c r="E732" s="135">
        <v>0.79097222222222219</v>
      </c>
    </row>
    <row r="733" spans="1:5" x14ac:dyDescent="0.25">
      <c r="A733" s="134">
        <v>42278</v>
      </c>
      <c r="B733" s="136">
        <v>1.1000000000000001</v>
      </c>
      <c r="C733" s="135">
        <v>0.38194444444444442</v>
      </c>
      <c r="D733" s="135">
        <v>0.30277777777777776</v>
      </c>
      <c r="E733" s="135">
        <v>0.7895833333333333</v>
      </c>
    </row>
    <row r="734" spans="1:5" x14ac:dyDescent="0.25">
      <c r="A734" s="134">
        <v>42278</v>
      </c>
      <c r="B734" s="136">
        <v>-0.9</v>
      </c>
      <c r="C734" s="135">
        <v>0.91388888888888886</v>
      </c>
      <c r="D734" s="135">
        <v>0.30277777777777776</v>
      </c>
      <c r="E734" s="135">
        <v>0.7895833333333333</v>
      </c>
    </row>
    <row r="735" spans="1:5" x14ac:dyDescent="0.25">
      <c r="A735" s="134">
        <v>42279</v>
      </c>
      <c r="B735" s="136">
        <v>1.8</v>
      </c>
      <c r="C735" s="135">
        <v>0.41597222222222224</v>
      </c>
      <c r="D735" s="135">
        <v>0.3034722222222222</v>
      </c>
      <c r="E735" s="135">
        <v>0.78819444444444442</v>
      </c>
    </row>
    <row r="736" spans="1:5" x14ac:dyDescent="0.25">
      <c r="A736" s="134">
        <v>42279</v>
      </c>
      <c r="B736" s="136">
        <v>-0.5</v>
      </c>
      <c r="C736" s="135">
        <v>0.9506944444444444</v>
      </c>
      <c r="D736" s="135">
        <v>0.3034722222222222</v>
      </c>
      <c r="E736" s="135">
        <v>0.78819444444444442</v>
      </c>
    </row>
    <row r="737" spans="1:5" x14ac:dyDescent="0.25">
      <c r="A737" s="134">
        <v>42280</v>
      </c>
      <c r="B737" s="136">
        <v>2.4</v>
      </c>
      <c r="C737" s="135">
        <v>0.45277777777777778</v>
      </c>
      <c r="D737" s="135">
        <v>0.30486111111111114</v>
      </c>
      <c r="E737" s="135">
        <v>0.78680555555555554</v>
      </c>
    </row>
    <row r="738" spans="1:5" x14ac:dyDescent="0.25">
      <c r="A738" s="134">
        <v>42280</v>
      </c>
      <c r="B738" s="136">
        <v>0</v>
      </c>
      <c r="C738" s="135">
        <v>0.9916666666666667</v>
      </c>
      <c r="D738" s="135">
        <v>0.30486111111111114</v>
      </c>
      <c r="E738" s="135">
        <v>0.78680555555555554</v>
      </c>
    </row>
    <row r="739" spans="1:5" x14ac:dyDescent="0.25">
      <c r="A739" s="134">
        <v>42281</v>
      </c>
      <c r="B739" s="136">
        <v>2.9</v>
      </c>
      <c r="C739" s="135">
        <v>0.49652777777777779</v>
      </c>
      <c r="D739" s="135">
        <v>0.30555555555555558</v>
      </c>
      <c r="E739" s="135">
        <v>0.78541666666666665</v>
      </c>
    </row>
    <row r="740" spans="1:5" x14ac:dyDescent="0.25">
      <c r="A740" s="134">
        <v>42282</v>
      </c>
      <c r="B740" s="136">
        <v>0.5</v>
      </c>
      <c r="C740" s="135">
        <v>3.6805555555555557E-2</v>
      </c>
      <c r="D740" s="135">
        <v>0.30625000000000002</v>
      </c>
      <c r="E740" s="135">
        <v>0.78402777777777777</v>
      </c>
    </row>
    <row r="741" spans="1:5" x14ac:dyDescent="0.25">
      <c r="A741" s="134">
        <v>42282</v>
      </c>
      <c r="B741" s="136">
        <v>3.1</v>
      </c>
      <c r="C741" s="135">
        <v>0.54722222222222228</v>
      </c>
      <c r="D741" s="135">
        <v>0.30625000000000002</v>
      </c>
      <c r="E741" s="135">
        <v>0.78402777777777777</v>
      </c>
    </row>
    <row r="742" spans="1:5" x14ac:dyDescent="0.25">
      <c r="A742" s="134">
        <v>42283</v>
      </c>
      <c r="B742" s="136">
        <v>0.8</v>
      </c>
      <c r="C742" s="135">
        <v>8.4027777777777785E-2</v>
      </c>
      <c r="D742" s="135">
        <v>0.30763888888888891</v>
      </c>
      <c r="E742" s="135">
        <v>0.78263888888888888</v>
      </c>
    </row>
    <row r="743" spans="1:5" x14ac:dyDescent="0.25">
      <c r="A743" s="134">
        <v>42283</v>
      </c>
      <c r="B743" s="136">
        <v>3</v>
      </c>
      <c r="C743" s="135">
        <v>0.60138888888888886</v>
      </c>
      <c r="D743" s="135">
        <v>0.30763888888888891</v>
      </c>
      <c r="E743" s="135">
        <v>0.78263888888888888</v>
      </c>
    </row>
    <row r="744" spans="1:5" x14ac:dyDescent="0.25">
      <c r="A744" s="134">
        <v>42284</v>
      </c>
      <c r="B744" s="136">
        <v>0.9</v>
      </c>
      <c r="C744" s="135">
        <v>0.12916666666666668</v>
      </c>
      <c r="D744" s="135">
        <v>0.30833333333333335</v>
      </c>
      <c r="E744" s="135">
        <v>0.78125</v>
      </c>
    </row>
    <row r="745" spans="1:5" x14ac:dyDescent="0.25">
      <c r="A745" s="134">
        <v>42284</v>
      </c>
      <c r="B745" s="136">
        <v>2.6</v>
      </c>
      <c r="C745" s="135">
        <v>0.65</v>
      </c>
      <c r="D745" s="135">
        <v>0.30833333333333335</v>
      </c>
      <c r="E745" s="135">
        <v>0.78125</v>
      </c>
    </row>
    <row r="746" spans="1:5" x14ac:dyDescent="0.25">
      <c r="A746" s="134">
        <v>42285</v>
      </c>
      <c r="B746" s="136">
        <v>0.9</v>
      </c>
      <c r="C746" s="135">
        <v>0.16805555555555557</v>
      </c>
      <c r="D746" s="135">
        <v>0.30902777777777779</v>
      </c>
      <c r="E746" s="135">
        <v>0.77986111111111112</v>
      </c>
    </row>
    <row r="747" spans="1:5" x14ac:dyDescent="0.25">
      <c r="A747" s="134">
        <v>42285</v>
      </c>
      <c r="B747" s="136">
        <v>2.1</v>
      </c>
      <c r="C747" s="135">
        <v>0.68888888888888888</v>
      </c>
      <c r="D747" s="135">
        <v>0.30902777777777779</v>
      </c>
      <c r="E747" s="135">
        <v>0.77986111111111112</v>
      </c>
    </row>
    <row r="748" spans="1:5" x14ac:dyDescent="0.25">
      <c r="A748" s="134">
        <v>42286</v>
      </c>
      <c r="B748" s="136">
        <v>0.9</v>
      </c>
      <c r="C748" s="135">
        <v>0.20069444444444445</v>
      </c>
      <c r="D748" s="135">
        <v>0.31041666666666667</v>
      </c>
      <c r="E748" s="135">
        <v>0.77847222222222223</v>
      </c>
    </row>
    <row r="749" spans="1:5" x14ac:dyDescent="0.25">
      <c r="A749" s="134">
        <v>42286</v>
      </c>
      <c r="B749" s="136">
        <v>1.5</v>
      </c>
      <c r="C749" s="135">
        <v>0.72013888888888888</v>
      </c>
      <c r="D749" s="135">
        <v>0.31041666666666667</v>
      </c>
      <c r="E749" s="135">
        <v>0.77847222222222223</v>
      </c>
    </row>
    <row r="750" spans="1:5" x14ac:dyDescent="0.25">
      <c r="A750" s="134">
        <v>42287</v>
      </c>
      <c r="B750" s="136">
        <v>1</v>
      </c>
      <c r="C750" s="135">
        <v>0.22847222222222222</v>
      </c>
      <c r="D750" s="135">
        <v>0.31111111111111112</v>
      </c>
      <c r="E750" s="135">
        <v>0.77708333333333335</v>
      </c>
    </row>
    <row r="751" spans="1:5" x14ac:dyDescent="0.25">
      <c r="A751" s="134">
        <v>42287</v>
      </c>
      <c r="B751" s="136">
        <v>1.1000000000000001</v>
      </c>
      <c r="C751" s="135">
        <v>0.74791666666666667</v>
      </c>
      <c r="D751" s="135">
        <v>0.31111111111111112</v>
      </c>
      <c r="E751" s="135">
        <v>0.77708333333333335</v>
      </c>
    </row>
    <row r="752" spans="1:5" x14ac:dyDescent="0.25">
      <c r="A752" s="134">
        <v>42288</v>
      </c>
      <c r="B752" s="136">
        <v>1.1000000000000001</v>
      </c>
      <c r="C752" s="135">
        <v>0.25277777777777777</v>
      </c>
      <c r="D752" s="135">
        <v>0.3125</v>
      </c>
      <c r="E752" s="135">
        <v>0.77569444444444446</v>
      </c>
    </row>
    <row r="753" spans="1:5" x14ac:dyDescent="0.25">
      <c r="A753" s="134">
        <v>42288</v>
      </c>
      <c r="B753" s="136">
        <v>0.6</v>
      </c>
      <c r="C753" s="135">
        <v>0.7729166666666667</v>
      </c>
      <c r="D753" s="135">
        <v>0.3125</v>
      </c>
      <c r="E753" s="135">
        <v>0.77569444444444446</v>
      </c>
    </row>
    <row r="754" spans="1:5" x14ac:dyDescent="0.25">
      <c r="A754" s="134">
        <v>42289</v>
      </c>
      <c r="B754" s="136">
        <v>1.3</v>
      </c>
      <c r="C754" s="135">
        <v>0.27638888888888891</v>
      </c>
      <c r="D754" s="135">
        <v>0.31319444444444444</v>
      </c>
      <c r="E754" s="135">
        <v>0.77430555555555558</v>
      </c>
    </row>
    <row r="755" spans="1:5" x14ac:dyDescent="0.25">
      <c r="A755" s="134">
        <v>42289</v>
      </c>
      <c r="B755" s="136">
        <v>0.3</v>
      </c>
      <c r="C755" s="135">
        <v>0.79722222222222228</v>
      </c>
      <c r="D755" s="135">
        <v>0.31319444444444444</v>
      </c>
      <c r="E755" s="135">
        <v>0.77430555555555558</v>
      </c>
    </row>
    <row r="756" spans="1:5" x14ac:dyDescent="0.25">
      <c r="A756" s="134">
        <v>42290</v>
      </c>
      <c r="B756" s="136">
        <v>1.5</v>
      </c>
      <c r="C756" s="135">
        <v>0.2986111111111111</v>
      </c>
      <c r="D756" s="135">
        <v>0.31458333333333333</v>
      </c>
      <c r="E756" s="135">
        <v>0.7729166666666667</v>
      </c>
    </row>
    <row r="757" spans="1:5" x14ac:dyDescent="0.25">
      <c r="A757" s="134">
        <v>42290</v>
      </c>
      <c r="B757" s="136">
        <v>0.1</v>
      </c>
      <c r="C757" s="135">
        <v>0.8208333333333333</v>
      </c>
      <c r="D757" s="135">
        <v>0.31458333333333333</v>
      </c>
      <c r="E757" s="135">
        <v>0.7729166666666667</v>
      </c>
    </row>
    <row r="758" spans="1:5" x14ac:dyDescent="0.25">
      <c r="A758" s="134">
        <v>42291</v>
      </c>
      <c r="B758" s="136">
        <v>1.8</v>
      </c>
      <c r="C758" s="135">
        <v>0.32013888888888886</v>
      </c>
      <c r="D758" s="135">
        <v>0.31527777777777777</v>
      </c>
      <c r="E758" s="135">
        <v>0.77222222222222225</v>
      </c>
    </row>
    <row r="759" spans="1:5" x14ac:dyDescent="0.25">
      <c r="A759" s="134">
        <v>42291</v>
      </c>
      <c r="B759" s="136">
        <v>0</v>
      </c>
      <c r="C759" s="135">
        <v>0.84444444444444444</v>
      </c>
      <c r="D759" s="135">
        <v>0.31527777777777777</v>
      </c>
      <c r="E759" s="135">
        <v>0.77222222222222225</v>
      </c>
    </row>
    <row r="760" spans="1:5" x14ac:dyDescent="0.25">
      <c r="A760" s="134">
        <v>42292</v>
      </c>
      <c r="B760" s="136">
        <v>2.1</v>
      </c>
      <c r="C760" s="135">
        <v>0.34236111111111112</v>
      </c>
      <c r="D760" s="135">
        <v>0.31597222222222221</v>
      </c>
      <c r="E760" s="135">
        <v>0.77083333333333337</v>
      </c>
    </row>
    <row r="761" spans="1:5" x14ac:dyDescent="0.25">
      <c r="A761" s="134">
        <v>42292</v>
      </c>
      <c r="B761" s="136">
        <v>0</v>
      </c>
      <c r="C761" s="135">
        <v>0.86875000000000002</v>
      </c>
      <c r="D761" s="135">
        <v>0.31597222222222221</v>
      </c>
      <c r="E761" s="135">
        <v>0.77083333333333337</v>
      </c>
    </row>
    <row r="762" spans="1:5" x14ac:dyDescent="0.25">
      <c r="A762" s="134">
        <v>42293</v>
      </c>
      <c r="B762" s="136">
        <v>2.5</v>
      </c>
      <c r="C762" s="135">
        <v>0.3659722222222222</v>
      </c>
      <c r="D762" s="135">
        <v>0.31736111111111109</v>
      </c>
      <c r="E762" s="135">
        <v>0.76944444444444449</v>
      </c>
    </row>
    <row r="763" spans="1:5" x14ac:dyDescent="0.25">
      <c r="A763" s="134">
        <v>42293</v>
      </c>
      <c r="B763" s="136">
        <v>0.1</v>
      </c>
      <c r="C763" s="135">
        <v>0.89444444444444449</v>
      </c>
      <c r="D763" s="135">
        <v>0.31736111111111109</v>
      </c>
      <c r="E763" s="135">
        <v>0.76944444444444449</v>
      </c>
    </row>
    <row r="764" spans="1:5" x14ac:dyDescent="0.25">
      <c r="A764" s="134">
        <v>42294</v>
      </c>
      <c r="B764" s="136">
        <v>2.8</v>
      </c>
      <c r="C764" s="135">
        <v>0.39166666666666666</v>
      </c>
      <c r="D764" s="135">
        <v>0.31805555555555554</v>
      </c>
      <c r="E764" s="135">
        <v>0.7680555555555556</v>
      </c>
    </row>
    <row r="765" spans="1:5" x14ac:dyDescent="0.25">
      <c r="A765" s="134">
        <v>42294</v>
      </c>
      <c r="B765" s="136">
        <v>0.3</v>
      </c>
      <c r="C765" s="135">
        <v>0.92361111111111116</v>
      </c>
      <c r="D765" s="135">
        <v>0.31805555555555554</v>
      </c>
      <c r="E765" s="135">
        <v>0.7680555555555556</v>
      </c>
    </row>
    <row r="766" spans="1:5" x14ac:dyDescent="0.25">
      <c r="A766" s="134">
        <v>42295</v>
      </c>
      <c r="B766" s="136">
        <v>3.1</v>
      </c>
      <c r="C766" s="135">
        <v>0.42083333333333334</v>
      </c>
      <c r="D766" s="135">
        <v>0.31944444444444442</v>
      </c>
      <c r="E766" s="135">
        <v>0.76666666666666672</v>
      </c>
    </row>
    <row r="767" spans="1:5" x14ac:dyDescent="0.25">
      <c r="A767" s="134">
        <v>42295</v>
      </c>
      <c r="B767" s="136">
        <v>0.5</v>
      </c>
      <c r="C767" s="135">
        <v>0.95694444444444449</v>
      </c>
      <c r="D767" s="135">
        <v>0.31944444444444442</v>
      </c>
      <c r="E767" s="135">
        <v>0.76666666666666672</v>
      </c>
    </row>
    <row r="768" spans="1:5" x14ac:dyDescent="0.25">
      <c r="A768" s="134">
        <v>42296</v>
      </c>
      <c r="B768" s="136">
        <v>3.4</v>
      </c>
      <c r="C768" s="135">
        <v>0.45763888888888887</v>
      </c>
      <c r="D768" s="135">
        <v>0.32013888888888886</v>
      </c>
      <c r="E768" s="135">
        <v>0.76527777777777772</v>
      </c>
    </row>
    <row r="769" spans="1:5" x14ac:dyDescent="0.25">
      <c r="A769" s="134">
        <v>42296</v>
      </c>
      <c r="B769" s="136">
        <v>0.7</v>
      </c>
      <c r="C769" s="135">
        <v>0.99583333333333335</v>
      </c>
      <c r="D769" s="135">
        <v>0.32013888888888886</v>
      </c>
      <c r="E769" s="135">
        <v>0.76527777777777772</v>
      </c>
    </row>
    <row r="770" spans="1:5" x14ac:dyDescent="0.25">
      <c r="A770" s="134">
        <v>42297</v>
      </c>
      <c r="B770" s="136">
        <v>3.5</v>
      </c>
      <c r="C770" s="135">
        <v>0.50486111111111109</v>
      </c>
      <c r="D770" s="135">
        <v>0.3215277777777778</v>
      </c>
      <c r="E770" s="135">
        <v>0.76388888888888884</v>
      </c>
    </row>
    <row r="771" spans="1:5" x14ac:dyDescent="0.25">
      <c r="A771" s="134">
        <v>42298</v>
      </c>
      <c r="B771" s="136">
        <v>0.8</v>
      </c>
      <c r="C771" s="135">
        <v>3.9583333333333331E-2</v>
      </c>
      <c r="D771" s="135">
        <v>0.32222222222222224</v>
      </c>
      <c r="E771" s="135">
        <v>0.7631944444444444</v>
      </c>
    </row>
    <row r="772" spans="1:5" x14ac:dyDescent="0.25">
      <c r="A772" s="134">
        <v>42298</v>
      </c>
      <c r="B772" s="136">
        <v>3.3</v>
      </c>
      <c r="C772" s="135">
        <v>0.55902777777777779</v>
      </c>
      <c r="D772" s="135">
        <v>0.32222222222222224</v>
      </c>
      <c r="E772" s="135">
        <v>0.7631944444444444</v>
      </c>
    </row>
    <row r="773" spans="1:5" x14ac:dyDescent="0.25">
      <c r="A773" s="134">
        <v>42299</v>
      </c>
      <c r="B773" s="136">
        <v>0.8</v>
      </c>
      <c r="C773" s="135">
        <v>8.5416666666666669E-2</v>
      </c>
      <c r="D773" s="135">
        <v>0.32361111111111113</v>
      </c>
      <c r="E773" s="135">
        <v>0.76180555555555551</v>
      </c>
    </row>
    <row r="774" spans="1:5" x14ac:dyDescent="0.25">
      <c r="A774" s="134">
        <v>42299</v>
      </c>
      <c r="B774" s="136">
        <v>2.7</v>
      </c>
      <c r="C774" s="135">
        <v>0.6118055555555556</v>
      </c>
      <c r="D774" s="135">
        <v>0.32361111111111113</v>
      </c>
      <c r="E774" s="135">
        <v>0.76180555555555551</v>
      </c>
    </row>
    <row r="775" spans="1:5" x14ac:dyDescent="0.25">
      <c r="A775" s="134">
        <v>42300</v>
      </c>
      <c r="B775" s="136">
        <v>0.7</v>
      </c>
      <c r="C775" s="135">
        <v>0.12916666666666668</v>
      </c>
      <c r="D775" s="135">
        <v>0.32430555555555557</v>
      </c>
      <c r="E775" s="135">
        <v>0.76041666666666663</v>
      </c>
    </row>
    <row r="776" spans="1:5" x14ac:dyDescent="0.25">
      <c r="A776" s="134">
        <v>42300</v>
      </c>
      <c r="B776" s="136">
        <v>1.8</v>
      </c>
      <c r="C776" s="135">
        <v>0.65763888888888888</v>
      </c>
      <c r="D776" s="135">
        <v>0.32430555555555557</v>
      </c>
      <c r="E776" s="135">
        <v>0.76041666666666663</v>
      </c>
    </row>
    <row r="777" spans="1:5" x14ac:dyDescent="0.25">
      <c r="A777" s="134">
        <v>42301</v>
      </c>
      <c r="B777" s="136">
        <v>0.6</v>
      </c>
      <c r="C777" s="135">
        <v>0.16875000000000001</v>
      </c>
      <c r="D777" s="135">
        <v>0.32500000000000001</v>
      </c>
      <c r="E777" s="135">
        <v>0.75902777777777775</v>
      </c>
    </row>
    <row r="778" spans="1:5" x14ac:dyDescent="0.25">
      <c r="A778" s="134">
        <v>42301</v>
      </c>
      <c r="B778" s="136">
        <v>0.9</v>
      </c>
      <c r="C778" s="135">
        <v>0.69722222222222219</v>
      </c>
      <c r="D778" s="135">
        <v>0.32500000000000001</v>
      </c>
      <c r="E778" s="135">
        <v>0.75902777777777775</v>
      </c>
    </row>
    <row r="779" spans="1:5" x14ac:dyDescent="0.25">
      <c r="A779" s="134">
        <v>42302</v>
      </c>
      <c r="B779" s="136">
        <v>0.6</v>
      </c>
      <c r="C779" s="135">
        <v>0.2048611111111111</v>
      </c>
      <c r="D779" s="135">
        <v>0.3263888888888889</v>
      </c>
      <c r="E779" s="135">
        <v>0.7583333333333333</v>
      </c>
    </row>
    <row r="780" spans="1:5" x14ac:dyDescent="0.25">
      <c r="A780" s="134">
        <v>42302</v>
      </c>
      <c r="B780" s="136">
        <v>-0.1</v>
      </c>
      <c r="C780" s="135">
        <v>0.73333333333333328</v>
      </c>
      <c r="D780" s="135">
        <v>0.3263888888888889</v>
      </c>
      <c r="E780" s="135">
        <v>0.7583333333333333</v>
      </c>
    </row>
    <row r="781" spans="1:5" x14ac:dyDescent="0.25">
      <c r="A781" s="134">
        <v>42303</v>
      </c>
      <c r="B781" s="136">
        <v>0.7</v>
      </c>
      <c r="C781" s="135">
        <v>0.23819444444444443</v>
      </c>
      <c r="D781" s="135">
        <v>0.32708333333333334</v>
      </c>
      <c r="E781" s="135">
        <v>0.75694444444444442</v>
      </c>
    </row>
    <row r="782" spans="1:5" x14ac:dyDescent="0.25">
      <c r="A782" s="134">
        <v>42303</v>
      </c>
      <c r="B782" s="136">
        <v>-0.9</v>
      </c>
      <c r="C782" s="135">
        <v>0.76736111111111116</v>
      </c>
      <c r="D782" s="135">
        <v>0.32708333333333334</v>
      </c>
      <c r="E782" s="135">
        <v>0.75694444444444442</v>
      </c>
    </row>
    <row r="783" spans="1:5" x14ac:dyDescent="0.25">
      <c r="A783" s="134">
        <v>42304</v>
      </c>
      <c r="B783" s="136">
        <v>0.9</v>
      </c>
      <c r="C783" s="135">
        <v>0.27083333333333331</v>
      </c>
      <c r="D783" s="135">
        <v>0.32847222222222222</v>
      </c>
      <c r="E783" s="135">
        <v>0.75555555555555554</v>
      </c>
    </row>
    <row r="784" spans="1:5" x14ac:dyDescent="0.25">
      <c r="A784" s="134">
        <v>42304</v>
      </c>
      <c r="B784" s="136">
        <v>-1.4</v>
      </c>
      <c r="C784" s="135">
        <v>0.80069444444444449</v>
      </c>
      <c r="D784" s="135">
        <v>0.32847222222222222</v>
      </c>
      <c r="E784" s="135">
        <v>0.75555555555555554</v>
      </c>
    </row>
    <row r="785" spans="1:5" x14ac:dyDescent="0.25">
      <c r="A785" s="134">
        <v>42305</v>
      </c>
      <c r="B785" s="136">
        <v>1.2</v>
      </c>
      <c r="C785" s="135">
        <v>0.30277777777777776</v>
      </c>
      <c r="D785" s="135">
        <v>0.32916666666666666</v>
      </c>
      <c r="E785" s="135">
        <v>0.75486111111111109</v>
      </c>
    </row>
    <row r="786" spans="1:5" x14ac:dyDescent="0.25">
      <c r="A786" s="134">
        <v>42305</v>
      </c>
      <c r="B786" s="136">
        <v>-1.6</v>
      </c>
      <c r="C786" s="135">
        <v>0.83263888888888893</v>
      </c>
      <c r="D786" s="135">
        <v>0.32916666666666666</v>
      </c>
      <c r="E786" s="135">
        <v>0.75486111111111109</v>
      </c>
    </row>
    <row r="787" spans="1:5" x14ac:dyDescent="0.25">
      <c r="A787" s="134">
        <v>42306</v>
      </c>
      <c r="B787" s="136">
        <v>1.6</v>
      </c>
      <c r="C787" s="135">
        <v>0.3347222222222222</v>
      </c>
      <c r="D787" s="135">
        <v>0.33055555555555555</v>
      </c>
      <c r="E787" s="135">
        <v>0.75347222222222221</v>
      </c>
    </row>
    <row r="788" spans="1:5" x14ac:dyDescent="0.25">
      <c r="A788" s="134">
        <v>42306</v>
      </c>
      <c r="B788" s="136">
        <v>-1.5</v>
      </c>
      <c r="C788" s="135">
        <v>0.86527777777777781</v>
      </c>
      <c r="D788" s="135">
        <v>0.33055555555555555</v>
      </c>
      <c r="E788" s="135">
        <v>0.75347222222222221</v>
      </c>
    </row>
    <row r="789" spans="1:5" x14ac:dyDescent="0.25">
      <c r="A789" s="134">
        <v>42307</v>
      </c>
      <c r="B789" s="136">
        <v>2.1</v>
      </c>
      <c r="C789" s="135">
        <v>0.36736111111111114</v>
      </c>
      <c r="D789" s="135">
        <v>0.33124999999999999</v>
      </c>
      <c r="E789" s="135">
        <v>0.75277777777777777</v>
      </c>
    </row>
    <row r="790" spans="1:5" x14ac:dyDescent="0.25">
      <c r="A790" s="134">
        <v>42307</v>
      </c>
      <c r="B790" s="136">
        <v>-1.1000000000000001</v>
      </c>
      <c r="C790" s="135">
        <v>0.89861111111111114</v>
      </c>
      <c r="D790" s="135">
        <v>0.33124999999999999</v>
      </c>
      <c r="E790" s="135">
        <v>0.75277777777777777</v>
      </c>
    </row>
    <row r="791" spans="1:5" x14ac:dyDescent="0.25">
      <c r="A791" s="134">
        <v>42308</v>
      </c>
      <c r="B791" s="136">
        <v>2.6</v>
      </c>
      <c r="C791" s="135">
        <v>0.40138888888888891</v>
      </c>
      <c r="D791" s="135">
        <v>0.33263888888888887</v>
      </c>
      <c r="E791" s="135">
        <v>0.75138888888888888</v>
      </c>
    </row>
    <row r="792" spans="1:5" x14ac:dyDescent="0.25">
      <c r="A792" s="134">
        <v>42308</v>
      </c>
      <c r="B792" s="136">
        <v>-0.6</v>
      </c>
      <c r="C792" s="135">
        <v>0.93333333333333335</v>
      </c>
      <c r="D792" s="135">
        <v>0.33263888888888887</v>
      </c>
      <c r="E792" s="135">
        <v>0.75138888888888888</v>
      </c>
    </row>
    <row r="793" spans="1:5" x14ac:dyDescent="0.25">
      <c r="A793" s="134">
        <v>42309</v>
      </c>
      <c r="B793" s="136">
        <v>3</v>
      </c>
      <c r="C793" s="135">
        <v>0.3972222222222222</v>
      </c>
      <c r="D793" s="135">
        <v>0.29166666666666669</v>
      </c>
      <c r="E793" s="135">
        <v>0.70833333333333337</v>
      </c>
    </row>
    <row r="794" spans="1:5" x14ac:dyDescent="0.25">
      <c r="A794" s="134">
        <v>42309</v>
      </c>
      <c r="B794" s="136">
        <v>0.1</v>
      </c>
      <c r="C794" s="135">
        <v>0.92777777777777781</v>
      </c>
      <c r="D794" s="135">
        <v>0.29166666666666669</v>
      </c>
      <c r="E794" s="135">
        <v>0.70833333333333337</v>
      </c>
    </row>
    <row r="795" spans="1:5" x14ac:dyDescent="0.25">
      <c r="A795" s="134">
        <v>42310</v>
      </c>
      <c r="B795" s="136">
        <v>3.3</v>
      </c>
      <c r="C795" s="135">
        <v>0.44027777777777777</v>
      </c>
      <c r="D795" s="135">
        <v>0.29305555555555557</v>
      </c>
      <c r="E795" s="135">
        <v>0.70763888888888893</v>
      </c>
    </row>
    <row r="796" spans="1:5" x14ac:dyDescent="0.25">
      <c r="A796" s="134">
        <v>42310</v>
      </c>
      <c r="B796" s="136">
        <v>0.7</v>
      </c>
      <c r="C796" s="135">
        <v>0.96736111111111112</v>
      </c>
      <c r="D796" s="135">
        <v>0.29305555555555557</v>
      </c>
      <c r="E796" s="135">
        <v>0.70763888888888893</v>
      </c>
    </row>
    <row r="797" spans="1:5" x14ac:dyDescent="0.25">
      <c r="A797" s="134">
        <v>42311</v>
      </c>
      <c r="B797" s="136">
        <v>3.4</v>
      </c>
      <c r="C797" s="135">
        <v>0.48958333333333331</v>
      </c>
      <c r="D797" s="135">
        <v>0.29375000000000001</v>
      </c>
      <c r="E797" s="135">
        <v>0.70625000000000004</v>
      </c>
    </row>
    <row r="798" spans="1:5" x14ac:dyDescent="0.25">
      <c r="A798" s="134">
        <v>42312</v>
      </c>
      <c r="B798" s="136">
        <v>1.2</v>
      </c>
      <c r="C798" s="135">
        <v>9.7222222222222224E-3</v>
      </c>
      <c r="D798" s="135">
        <v>0.2951388888888889</v>
      </c>
      <c r="E798" s="135">
        <v>0.7055555555555556</v>
      </c>
    </row>
    <row r="799" spans="1:5" x14ac:dyDescent="0.25">
      <c r="A799" s="134">
        <v>42312</v>
      </c>
      <c r="B799" s="136">
        <v>3.2</v>
      </c>
      <c r="C799" s="135">
        <v>0.54166666666666663</v>
      </c>
      <c r="D799" s="135">
        <v>0.2951388888888889</v>
      </c>
      <c r="E799" s="135">
        <v>0.7055555555555556</v>
      </c>
    </row>
    <row r="800" spans="1:5" x14ac:dyDescent="0.25">
      <c r="A800" s="134">
        <v>42313</v>
      </c>
      <c r="B800" s="136">
        <v>1.5</v>
      </c>
      <c r="C800" s="135">
        <v>5.2083333333333336E-2</v>
      </c>
      <c r="D800" s="135">
        <v>0.29583333333333334</v>
      </c>
      <c r="E800" s="135">
        <v>0.70416666666666672</v>
      </c>
    </row>
    <row r="801" spans="1:5" x14ac:dyDescent="0.25">
      <c r="A801" s="134">
        <v>42313</v>
      </c>
      <c r="B801" s="136">
        <v>2.7</v>
      </c>
      <c r="C801" s="135">
        <v>0.58958333333333335</v>
      </c>
      <c r="D801" s="135">
        <v>0.29583333333333334</v>
      </c>
      <c r="E801" s="135">
        <v>0.70416666666666672</v>
      </c>
    </row>
    <row r="802" spans="1:5" x14ac:dyDescent="0.25">
      <c r="A802" s="134">
        <v>42314</v>
      </c>
      <c r="B802" s="136">
        <v>1.7</v>
      </c>
      <c r="C802" s="135">
        <v>9.0972222222222218E-2</v>
      </c>
      <c r="D802" s="135">
        <v>0.29722222222222222</v>
      </c>
      <c r="E802" s="135">
        <v>0.70347222222222228</v>
      </c>
    </row>
    <row r="803" spans="1:5" x14ac:dyDescent="0.25">
      <c r="A803" s="134">
        <v>42314</v>
      </c>
      <c r="B803" s="136">
        <v>2.1</v>
      </c>
      <c r="C803" s="135">
        <v>0.62916666666666665</v>
      </c>
      <c r="D803" s="135">
        <v>0.29722222222222222</v>
      </c>
      <c r="E803" s="135">
        <v>0.70347222222222228</v>
      </c>
    </row>
    <row r="804" spans="1:5" x14ac:dyDescent="0.25">
      <c r="A804" s="134">
        <v>42315</v>
      </c>
      <c r="B804" s="136">
        <v>1.9</v>
      </c>
      <c r="C804" s="135">
        <v>0.12569444444444444</v>
      </c>
      <c r="D804" s="135">
        <v>0.29791666666666666</v>
      </c>
      <c r="E804" s="135">
        <v>0.70277777777777772</v>
      </c>
    </row>
    <row r="805" spans="1:5" x14ac:dyDescent="0.25">
      <c r="A805" s="134">
        <v>42315</v>
      </c>
      <c r="B805" s="136">
        <v>1.5</v>
      </c>
      <c r="C805" s="135">
        <v>0.66111111111111109</v>
      </c>
      <c r="D805" s="135">
        <v>0.29791666666666666</v>
      </c>
      <c r="E805" s="135">
        <v>0.70277777777777772</v>
      </c>
    </row>
    <row r="806" spans="1:5" x14ac:dyDescent="0.25">
      <c r="A806" s="134">
        <v>42316</v>
      </c>
      <c r="B806" s="136">
        <v>2</v>
      </c>
      <c r="C806" s="135">
        <v>0.15625</v>
      </c>
      <c r="D806" s="135">
        <v>0.29930555555555555</v>
      </c>
      <c r="E806" s="135">
        <v>0.70138888888888884</v>
      </c>
    </row>
    <row r="807" spans="1:5" x14ac:dyDescent="0.25">
      <c r="A807" s="134">
        <v>42316</v>
      </c>
      <c r="B807" s="136">
        <v>0.9</v>
      </c>
      <c r="C807" s="135">
        <v>0.68888888888888888</v>
      </c>
      <c r="D807" s="135">
        <v>0.29930555555555555</v>
      </c>
      <c r="E807" s="135">
        <v>0.70138888888888884</v>
      </c>
    </row>
    <row r="808" spans="1:5" x14ac:dyDescent="0.25">
      <c r="A808" s="134">
        <v>42317</v>
      </c>
      <c r="B808" s="136">
        <v>2.1</v>
      </c>
      <c r="C808" s="135">
        <v>0.18333333333333332</v>
      </c>
      <c r="D808" s="135">
        <v>0.3</v>
      </c>
      <c r="E808" s="135">
        <v>0.7006944444444444</v>
      </c>
    </row>
    <row r="809" spans="1:5" x14ac:dyDescent="0.25">
      <c r="A809" s="134">
        <v>42317</v>
      </c>
      <c r="B809" s="136">
        <v>0.4</v>
      </c>
      <c r="C809" s="135">
        <v>0.71458333333333335</v>
      </c>
      <c r="D809" s="135">
        <v>0.3</v>
      </c>
      <c r="E809" s="135">
        <v>0.7006944444444444</v>
      </c>
    </row>
    <row r="810" spans="1:5" x14ac:dyDescent="0.25">
      <c r="A810" s="134">
        <v>42318</v>
      </c>
      <c r="B810" s="136">
        <v>2.2999999999999998</v>
      </c>
      <c r="C810" s="135">
        <v>0.20902777777777778</v>
      </c>
      <c r="D810" s="135">
        <v>0.30138888888888887</v>
      </c>
      <c r="E810" s="135">
        <v>0.7</v>
      </c>
    </row>
    <row r="811" spans="1:5" x14ac:dyDescent="0.25">
      <c r="A811" s="134">
        <v>42318</v>
      </c>
      <c r="B811" s="136">
        <v>0.1</v>
      </c>
      <c r="C811" s="135">
        <v>0.73958333333333337</v>
      </c>
      <c r="D811" s="135">
        <v>0.30138888888888887</v>
      </c>
      <c r="E811" s="135">
        <v>0.7</v>
      </c>
    </row>
    <row r="812" spans="1:5" x14ac:dyDescent="0.25">
      <c r="A812" s="134">
        <v>42319</v>
      </c>
      <c r="B812" s="136">
        <v>2.5</v>
      </c>
      <c r="C812" s="135">
        <v>0.23402777777777778</v>
      </c>
      <c r="D812" s="135">
        <v>0.30208333333333331</v>
      </c>
      <c r="E812" s="135">
        <v>0.69861111111111107</v>
      </c>
    </row>
    <row r="813" spans="1:5" x14ac:dyDescent="0.25">
      <c r="A813" s="134">
        <v>42319</v>
      </c>
      <c r="B813" s="136">
        <v>-0.2</v>
      </c>
      <c r="C813" s="135">
        <v>0.76388888888888884</v>
      </c>
      <c r="D813" s="135">
        <v>0.30208333333333331</v>
      </c>
      <c r="E813" s="135">
        <v>0.69861111111111107</v>
      </c>
    </row>
    <row r="814" spans="1:5" x14ac:dyDescent="0.25">
      <c r="A814" s="134">
        <v>42320</v>
      </c>
      <c r="B814" s="136">
        <v>2.6</v>
      </c>
      <c r="C814" s="135">
        <v>0.25833333333333336</v>
      </c>
      <c r="D814" s="135">
        <v>0.3034722222222222</v>
      </c>
      <c r="E814" s="135">
        <v>0.69791666666666663</v>
      </c>
    </row>
    <row r="815" spans="1:5" x14ac:dyDescent="0.25">
      <c r="A815" s="134">
        <v>42320</v>
      </c>
      <c r="B815" s="136">
        <v>-0.3</v>
      </c>
      <c r="C815" s="135">
        <v>0.78819444444444442</v>
      </c>
      <c r="D815" s="135">
        <v>0.3034722222222222</v>
      </c>
      <c r="E815" s="135">
        <v>0.69791666666666663</v>
      </c>
    </row>
    <row r="816" spans="1:5" x14ac:dyDescent="0.25">
      <c r="A816" s="134">
        <v>42321</v>
      </c>
      <c r="B816" s="136">
        <v>2.8</v>
      </c>
      <c r="C816" s="135">
        <v>0.28333333333333333</v>
      </c>
      <c r="D816" s="135">
        <v>0.30416666666666664</v>
      </c>
      <c r="E816" s="135">
        <v>0.69722222222222219</v>
      </c>
    </row>
    <row r="817" spans="1:5" x14ac:dyDescent="0.25">
      <c r="A817" s="134">
        <v>42321</v>
      </c>
      <c r="B817" s="136">
        <v>-0.4</v>
      </c>
      <c r="C817" s="135">
        <v>0.81319444444444444</v>
      </c>
      <c r="D817" s="135">
        <v>0.30416666666666664</v>
      </c>
      <c r="E817" s="135">
        <v>0.69722222222222219</v>
      </c>
    </row>
    <row r="818" spans="1:5" x14ac:dyDescent="0.25">
      <c r="A818" s="134">
        <v>42322</v>
      </c>
      <c r="B818" s="136">
        <v>3</v>
      </c>
      <c r="C818" s="135">
        <v>0.30902777777777779</v>
      </c>
      <c r="D818" s="135">
        <v>0.30555555555555558</v>
      </c>
      <c r="E818" s="135">
        <v>0.69652777777777775</v>
      </c>
    </row>
    <row r="819" spans="1:5" x14ac:dyDescent="0.25">
      <c r="A819" s="134">
        <v>42322</v>
      </c>
      <c r="B819" s="136">
        <v>-0.3</v>
      </c>
      <c r="C819" s="135">
        <v>0.83958333333333335</v>
      </c>
      <c r="D819" s="135">
        <v>0.30555555555555558</v>
      </c>
      <c r="E819" s="135">
        <v>0.69652777777777775</v>
      </c>
    </row>
    <row r="820" spans="1:5" x14ac:dyDescent="0.25">
      <c r="A820" s="134">
        <v>42323</v>
      </c>
      <c r="B820" s="136">
        <v>3.2</v>
      </c>
      <c r="C820" s="135">
        <v>0.33750000000000002</v>
      </c>
      <c r="D820" s="135">
        <v>0.30625000000000002</v>
      </c>
      <c r="E820" s="135">
        <v>0.6958333333333333</v>
      </c>
    </row>
    <row r="821" spans="1:5" x14ac:dyDescent="0.25">
      <c r="A821" s="134">
        <v>42323</v>
      </c>
      <c r="B821" s="136">
        <v>-0.2</v>
      </c>
      <c r="C821" s="135">
        <v>0.86805555555555558</v>
      </c>
      <c r="D821" s="135">
        <v>0.30625000000000002</v>
      </c>
      <c r="E821" s="135">
        <v>0.6958333333333333</v>
      </c>
    </row>
    <row r="822" spans="1:5" x14ac:dyDescent="0.25">
      <c r="A822" s="134">
        <v>42324</v>
      </c>
      <c r="B822" s="136">
        <v>3.4</v>
      </c>
      <c r="C822" s="135">
        <v>0.37013888888888891</v>
      </c>
      <c r="D822" s="135">
        <v>0.30763888888888891</v>
      </c>
      <c r="E822" s="135">
        <v>0.69513888888888886</v>
      </c>
    </row>
    <row r="823" spans="1:5" x14ac:dyDescent="0.25">
      <c r="A823" s="134">
        <v>42324</v>
      </c>
      <c r="B823" s="136">
        <v>0.1</v>
      </c>
      <c r="C823" s="135">
        <v>0.89930555555555558</v>
      </c>
      <c r="D823" s="135">
        <v>0.30763888888888891</v>
      </c>
      <c r="E823" s="135">
        <v>0.69513888888888886</v>
      </c>
    </row>
    <row r="824" spans="1:5" x14ac:dyDescent="0.25">
      <c r="A824" s="134">
        <v>42325</v>
      </c>
      <c r="B824" s="136">
        <v>3.5</v>
      </c>
      <c r="C824" s="135">
        <v>0.40902777777777777</v>
      </c>
      <c r="D824" s="135">
        <v>0.30833333333333335</v>
      </c>
      <c r="E824" s="135">
        <v>0.69444444444444442</v>
      </c>
    </row>
    <row r="825" spans="1:5" x14ac:dyDescent="0.25">
      <c r="A825" s="134">
        <v>42325</v>
      </c>
      <c r="B825" s="136">
        <v>0.4</v>
      </c>
      <c r="C825" s="135">
        <v>0.93472222222222223</v>
      </c>
      <c r="D825" s="135">
        <v>0.30833333333333335</v>
      </c>
      <c r="E825" s="135">
        <v>0.69444444444444442</v>
      </c>
    </row>
    <row r="826" spans="1:5" x14ac:dyDescent="0.25">
      <c r="A826" s="134">
        <v>42326</v>
      </c>
      <c r="B826" s="136">
        <v>3.4</v>
      </c>
      <c r="C826" s="135">
        <v>0.4548611111111111</v>
      </c>
      <c r="D826" s="135">
        <v>0.30972222222222223</v>
      </c>
      <c r="E826" s="135">
        <v>0.69374999999999998</v>
      </c>
    </row>
    <row r="827" spans="1:5" x14ac:dyDescent="0.25">
      <c r="A827" s="134">
        <v>42326</v>
      </c>
      <c r="B827" s="136">
        <v>0.7</v>
      </c>
      <c r="C827" s="135">
        <v>0.97430555555555554</v>
      </c>
      <c r="D827" s="135">
        <v>0.30972222222222223</v>
      </c>
      <c r="E827" s="135">
        <v>0.69374999999999998</v>
      </c>
    </row>
    <row r="828" spans="1:5" x14ac:dyDescent="0.25">
      <c r="A828" s="134">
        <v>42327</v>
      </c>
      <c r="B828" s="136">
        <v>3.1</v>
      </c>
      <c r="C828" s="135">
        <v>0.50694444444444442</v>
      </c>
      <c r="D828" s="135">
        <v>0.31041666666666667</v>
      </c>
      <c r="E828" s="135">
        <v>0.69305555555555554</v>
      </c>
    </row>
    <row r="829" spans="1:5" x14ac:dyDescent="0.25">
      <c r="A829" s="134">
        <v>42328</v>
      </c>
      <c r="B829" s="136">
        <v>1.1000000000000001</v>
      </c>
      <c r="C829" s="135">
        <v>1.7361111111111112E-2</v>
      </c>
      <c r="D829" s="135">
        <v>0.31111111111111112</v>
      </c>
      <c r="E829" s="135">
        <v>0.69236111111111109</v>
      </c>
    </row>
    <row r="830" spans="1:5" x14ac:dyDescent="0.25">
      <c r="A830" s="134">
        <v>42328</v>
      </c>
      <c r="B830" s="136">
        <v>2.4</v>
      </c>
      <c r="C830" s="135">
        <v>0.55833333333333335</v>
      </c>
      <c r="D830" s="135">
        <v>0.31111111111111112</v>
      </c>
      <c r="E830" s="135">
        <v>0.69236111111111109</v>
      </c>
    </row>
    <row r="831" spans="1:5" x14ac:dyDescent="0.25">
      <c r="A831" s="134">
        <v>42329</v>
      </c>
      <c r="B831" s="136">
        <v>1.3</v>
      </c>
      <c r="C831" s="135">
        <v>6.0416666666666667E-2</v>
      </c>
      <c r="D831" s="135">
        <v>0.3125</v>
      </c>
      <c r="E831" s="135">
        <v>0.69166666666666665</v>
      </c>
    </row>
    <row r="832" spans="1:5" x14ac:dyDescent="0.25">
      <c r="A832" s="134">
        <v>42329</v>
      </c>
      <c r="B832" s="136">
        <v>1.5</v>
      </c>
      <c r="C832" s="135">
        <v>0.60486111111111107</v>
      </c>
      <c r="D832" s="135">
        <v>0.3125</v>
      </c>
      <c r="E832" s="135">
        <v>0.69166666666666665</v>
      </c>
    </row>
    <row r="833" spans="1:5" x14ac:dyDescent="0.25">
      <c r="A833" s="134">
        <v>42330</v>
      </c>
      <c r="B833" s="136">
        <v>1.5</v>
      </c>
      <c r="C833" s="135">
        <v>0.10277777777777777</v>
      </c>
      <c r="D833" s="135">
        <v>0.31319444444444444</v>
      </c>
      <c r="E833" s="135">
        <v>0.69097222222222221</v>
      </c>
    </row>
    <row r="834" spans="1:5" x14ac:dyDescent="0.25">
      <c r="A834" s="134">
        <v>42330</v>
      </c>
      <c r="B834" s="136">
        <v>0.5</v>
      </c>
      <c r="C834" s="135">
        <v>0.64583333333333337</v>
      </c>
      <c r="D834" s="135">
        <v>0.31319444444444444</v>
      </c>
      <c r="E834" s="135">
        <v>0.69097222222222221</v>
      </c>
    </row>
    <row r="835" spans="1:5" x14ac:dyDescent="0.25">
      <c r="A835" s="134">
        <v>42331</v>
      </c>
      <c r="B835" s="136">
        <v>1.7</v>
      </c>
      <c r="C835" s="135">
        <v>0.14166666666666666</v>
      </c>
      <c r="D835" s="135">
        <v>0.31458333333333333</v>
      </c>
      <c r="E835" s="135">
        <v>0.69027777777777777</v>
      </c>
    </row>
    <row r="836" spans="1:5" x14ac:dyDescent="0.25">
      <c r="A836" s="134">
        <v>42331</v>
      </c>
      <c r="B836" s="136">
        <v>-0.4</v>
      </c>
      <c r="C836" s="135">
        <v>0.68263888888888891</v>
      </c>
      <c r="D836" s="135">
        <v>0.31458333333333333</v>
      </c>
      <c r="E836" s="135">
        <v>0.69027777777777777</v>
      </c>
    </row>
    <row r="837" spans="1:5" x14ac:dyDescent="0.25">
      <c r="A837" s="134">
        <v>42332</v>
      </c>
      <c r="B837" s="136">
        <v>1.8</v>
      </c>
      <c r="C837" s="135">
        <v>0.17847222222222223</v>
      </c>
      <c r="D837" s="135">
        <v>0.31527777777777777</v>
      </c>
      <c r="E837" s="135">
        <v>0.68958333333333333</v>
      </c>
    </row>
    <row r="838" spans="1:5" x14ac:dyDescent="0.25">
      <c r="A838" s="134">
        <v>42332</v>
      </c>
      <c r="B838" s="136">
        <v>-1</v>
      </c>
      <c r="C838" s="135">
        <v>0.71666666666666667</v>
      </c>
      <c r="D838" s="135">
        <v>0.31527777777777777</v>
      </c>
      <c r="E838" s="135">
        <v>0.68958333333333333</v>
      </c>
    </row>
    <row r="839" spans="1:5" x14ac:dyDescent="0.25">
      <c r="A839" s="134">
        <v>42333</v>
      </c>
      <c r="B839" s="136">
        <v>2</v>
      </c>
      <c r="C839" s="135">
        <v>0.21319444444444444</v>
      </c>
      <c r="D839" s="135">
        <v>0.31597222222222221</v>
      </c>
      <c r="E839" s="135">
        <v>0.68888888888888888</v>
      </c>
    </row>
    <row r="840" spans="1:5" x14ac:dyDescent="0.25">
      <c r="A840" s="134">
        <v>42333</v>
      </c>
      <c r="B840" s="136">
        <v>-1.5</v>
      </c>
      <c r="C840" s="135">
        <v>0.74930555555555556</v>
      </c>
      <c r="D840" s="135">
        <v>0.31597222222222221</v>
      </c>
      <c r="E840" s="135">
        <v>0.68888888888888888</v>
      </c>
    </row>
    <row r="841" spans="1:5" x14ac:dyDescent="0.25">
      <c r="A841" s="134">
        <v>42334</v>
      </c>
      <c r="B841" s="136">
        <v>2.2000000000000002</v>
      </c>
      <c r="C841" s="135">
        <v>0.24652777777777779</v>
      </c>
      <c r="D841" s="135">
        <v>0.31736111111111109</v>
      </c>
      <c r="E841" s="135">
        <v>0.68888888888888888</v>
      </c>
    </row>
    <row r="842" spans="1:5" x14ac:dyDescent="0.25">
      <c r="A842" s="134">
        <v>42334</v>
      </c>
      <c r="B842" s="136">
        <v>-1.6</v>
      </c>
      <c r="C842" s="135">
        <v>0.78055555555555556</v>
      </c>
      <c r="D842" s="135">
        <v>0.31736111111111109</v>
      </c>
      <c r="E842" s="135">
        <v>0.68888888888888888</v>
      </c>
    </row>
    <row r="843" spans="1:5" x14ac:dyDescent="0.25">
      <c r="A843" s="134">
        <v>42335</v>
      </c>
      <c r="B843" s="136">
        <v>2.4</v>
      </c>
      <c r="C843" s="135">
        <v>0.27986111111111112</v>
      </c>
      <c r="D843" s="135">
        <v>0.31805555555555554</v>
      </c>
      <c r="E843" s="135">
        <v>0.68819444444444444</v>
      </c>
    </row>
    <row r="844" spans="1:5" x14ac:dyDescent="0.25">
      <c r="A844" s="134">
        <v>42335</v>
      </c>
      <c r="B844" s="136">
        <v>-1.4</v>
      </c>
      <c r="C844" s="135">
        <v>0.81180555555555556</v>
      </c>
      <c r="D844" s="135">
        <v>0.31805555555555554</v>
      </c>
      <c r="E844" s="135">
        <v>0.68819444444444444</v>
      </c>
    </row>
    <row r="845" spans="1:5" x14ac:dyDescent="0.25">
      <c r="A845" s="134">
        <v>42336</v>
      </c>
      <c r="B845" s="136">
        <v>2.7</v>
      </c>
      <c r="C845" s="135">
        <v>0.3125</v>
      </c>
      <c r="D845" s="135">
        <v>0.31874999999999998</v>
      </c>
      <c r="E845" s="135">
        <v>0.6875</v>
      </c>
    </row>
    <row r="846" spans="1:5" x14ac:dyDescent="0.25">
      <c r="A846" s="134">
        <v>42336</v>
      </c>
      <c r="B846" s="136">
        <v>-1</v>
      </c>
      <c r="C846" s="135">
        <v>0.84236111111111112</v>
      </c>
      <c r="D846" s="135">
        <v>0.31874999999999998</v>
      </c>
      <c r="E846" s="135">
        <v>0.6875</v>
      </c>
    </row>
    <row r="847" spans="1:5" x14ac:dyDescent="0.25">
      <c r="A847" s="134">
        <v>42337</v>
      </c>
      <c r="B847" s="136">
        <v>2.9</v>
      </c>
      <c r="C847" s="135">
        <v>0.34652777777777777</v>
      </c>
      <c r="D847" s="135">
        <v>0.32013888888888886</v>
      </c>
      <c r="E847" s="135">
        <v>0.6875</v>
      </c>
    </row>
    <row r="848" spans="1:5" x14ac:dyDescent="0.25">
      <c r="A848" s="134">
        <v>42337</v>
      </c>
      <c r="B848" s="136">
        <v>-0.5</v>
      </c>
      <c r="C848" s="135">
        <v>0.87361111111111112</v>
      </c>
      <c r="D848" s="135">
        <v>0.32013888888888886</v>
      </c>
      <c r="E848" s="135">
        <v>0.6875</v>
      </c>
    </row>
    <row r="849" spans="1:5" x14ac:dyDescent="0.25">
      <c r="A849" s="134">
        <v>42338</v>
      </c>
      <c r="B849" s="136">
        <v>3.2</v>
      </c>
      <c r="C849" s="135">
        <v>0.38263888888888886</v>
      </c>
      <c r="D849" s="135">
        <v>0.32083333333333336</v>
      </c>
      <c r="E849" s="135">
        <v>0.68680555555555556</v>
      </c>
    </row>
    <row r="850" spans="1:5" x14ac:dyDescent="0.25">
      <c r="A850" s="134">
        <v>42338</v>
      </c>
      <c r="B850" s="136">
        <v>0.1</v>
      </c>
      <c r="C850" s="135">
        <v>0.90486111111111112</v>
      </c>
      <c r="D850" s="135">
        <v>0.32083333333333336</v>
      </c>
      <c r="E850" s="135">
        <v>0.68680555555555556</v>
      </c>
    </row>
    <row r="851" spans="1:5" x14ac:dyDescent="0.25">
      <c r="A851" s="134">
        <v>42339</v>
      </c>
      <c r="B851" s="136">
        <v>3.3</v>
      </c>
      <c r="C851" s="135">
        <v>0.42152777777777778</v>
      </c>
      <c r="D851" s="135">
        <v>0.3215277777777778</v>
      </c>
      <c r="E851" s="135">
        <v>0.68680555555555556</v>
      </c>
    </row>
    <row r="852" spans="1:5" x14ac:dyDescent="0.25">
      <c r="A852" s="134">
        <v>42339</v>
      </c>
      <c r="B852" s="136">
        <v>0.8</v>
      </c>
      <c r="C852" s="135">
        <v>0.93819444444444444</v>
      </c>
      <c r="D852" s="135">
        <v>0.3215277777777778</v>
      </c>
      <c r="E852" s="135">
        <v>0.68680555555555556</v>
      </c>
    </row>
    <row r="853" spans="1:5" x14ac:dyDescent="0.25">
      <c r="A853" s="134">
        <v>42340</v>
      </c>
      <c r="B853" s="136">
        <v>3.4</v>
      </c>
      <c r="C853" s="135">
        <v>0.46527777777777779</v>
      </c>
      <c r="D853" s="135">
        <v>0.32222222222222224</v>
      </c>
      <c r="E853" s="135">
        <v>0.68611111111111112</v>
      </c>
    </row>
    <row r="854" spans="1:5" x14ac:dyDescent="0.25">
      <c r="A854" s="134">
        <v>42340</v>
      </c>
      <c r="B854" s="136">
        <v>1.4</v>
      </c>
      <c r="C854" s="135">
        <v>0.97291666666666665</v>
      </c>
      <c r="D854" s="135">
        <v>0.32222222222222224</v>
      </c>
      <c r="E854" s="135">
        <v>0.68611111111111112</v>
      </c>
    </row>
    <row r="855" spans="1:5" x14ac:dyDescent="0.25">
      <c r="A855" s="134">
        <v>42341</v>
      </c>
      <c r="B855" s="136">
        <v>3.2</v>
      </c>
      <c r="C855" s="135">
        <v>0.5131944444444444</v>
      </c>
      <c r="D855" s="135">
        <v>0.32291666666666669</v>
      </c>
      <c r="E855" s="135">
        <v>0.68611111111111112</v>
      </c>
    </row>
    <row r="856" spans="1:5" x14ac:dyDescent="0.25">
      <c r="A856" s="134">
        <v>42342</v>
      </c>
      <c r="B856" s="136">
        <v>1.9</v>
      </c>
      <c r="C856" s="135">
        <v>1.0416666666666666E-2</v>
      </c>
      <c r="D856" s="135">
        <v>0.32430555555555557</v>
      </c>
      <c r="E856" s="135">
        <v>0.68611111111111112</v>
      </c>
    </row>
    <row r="857" spans="1:5" x14ac:dyDescent="0.25">
      <c r="A857" s="134">
        <v>42342</v>
      </c>
      <c r="B857" s="136">
        <v>2.8</v>
      </c>
      <c r="C857" s="135">
        <v>0.56041666666666667</v>
      </c>
      <c r="D857" s="135">
        <v>0.32430555555555557</v>
      </c>
      <c r="E857" s="135">
        <v>0.68611111111111112</v>
      </c>
    </row>
    <row r="858" spans="1:5" x14ac:dyDescent="0.25">
      <c r="A858" s="134">
        <v>42343</v>
      </c>
      <c r="B858" s="136">
        <v>2.4</v>
      </c>
      <c r="C858" s="135">
        <v>4.8611111111111112E-2</v>
      </c>
      <c r="D858" s="135">
        <v>0.32500000000000001</v>
      </c>
      <c r="E858" s="135">
        <v>0.68541666666666667</v>
      </c>
    </row>
    <row r="859" spans="1:5" x14ac:dyDescent="0.25">
      <c r="A859" s="134">
        <v>42343</v>
      </c>
      <c r="B859" s="136">
        <v>2.2999999999999998</v>
      </c>
      <c r="C859" s="135">
        <v>0.60277777777777775</v>
      </c>
      <c r="D859" s="135">
        <v>0.32500000000000001</v>
      </c>
      <c r="E859" s="135">
        <v>0.68541666666666667</v>
      </c>
    </row>
    <row r="860" spans="1:5" x14ac:dyDescent="0.25">
      <c r="A860" s="134">
        <v>42344</v>
      </c>
      <c r="B860" s="136">
        <v>2.7</v>
      </c>
      <c r="C860" s="135">
        <v>8.611111111111111E-2</v>
      </c>
      <c r="D860" s="135">
        <v>0.32569444444444445</v>
      </c>
      <c r="E860" s="135">
        <v>0.68541666666666667</v>
      </c>
    </row>
    <row r="861" spans="1:5" x14ac:dyDescent="0.25">
      <c r="A861" s="134">
        <v>42344</v>
      </c>
      <c r="B861" s="136">
        <v>1.6</v>
      </c>
      <c r="C861" s="135">
        <v>0.6381944444444444</v>
      </c>
      <c r="D861" s="135">
        <v>0.32569444444444445</v>
      </c>
      <c r="E861" s="135">
        <v>0.68541666666666667</v>
      </c>
    </row>
    <row r="862" spans="1:5" x14ac:dyDescent="0.25">
      <c r="A862" s="134">
        <v>42345</v>
      </c>
      <c r="B862" s="136">
        <v>2.9</v>
      </c>
      <c r="C862" s="135">
        <v>0.12152777777777778</v>
      </c>
      <c r="D862" s="135">
        <v>0.3263888888888889</v>
      </c>
      <c r="E862" s="135">
        <v>0.68541666666666667</v>
      </c>
    </row>
    <row r="863" spans="1:5" x14ac:dyDescent="0.25">
      <c r="A863" s="134">
        <v>42345</v>
      </c>
      <c r="B863" s="136">
        <v>1</v>
      </c>
      <c r="C863" s="135">
        <v>0.66874999999999996</v>
      </c>
      <c r="D863" s="135">
        <v>0.3263888888888889</v>
      </c>
      <c r="E863" s="135">
        <v>0.68541666666666667</v>
      </c>
    </row>
    <row r="864" spans="1:5" x14ac:dyDescent="0.25">
      <c r="A864" s="134">
        <v>42346</v>
      </c>
      <c r="B864" s="136">
        <v>3</v>
      </c>
      <c r="C864" s="135">
        <v>0.15416666666666667</v>
      </c>
      <c r="D864" s="135">
        <v>0.32708333333333334</v>
      </c>
      <c r="E864" s="135">
        <v>0.68541666666666667</v>
      </c>
    </row>
    <row r="865" spans="1:5" x14ac:dyDescent="0.25">
      <c r="A865" s="134">
        <v>42346</v>
      </c>
      <c r="B865" s="136">
        <v>0.5</v>
      </c>
      <c r="C865" s="135">
        <v>0.69722222222222219</v>
      </c>
      <c r="D865" s="135">
        <v>0.32708333333333334</v>
      </c>
      <c r="E865" s="135">
        <v>0.68541666666666667</v>
      </c>
    </row>
    <row r="866" spans="1:5" x14ac:dyDescent="0.25">
      <c r="A866" s="134">
        <v>42347</v>
      </c>
      <c r="B866" s="136">
        <v>3.1</v>
      </c>
      <c r="C866" s="135">
        <v>0.18472222222222223</v>
      </c>
      <c r="D866" s="135">
        <v>0.32777777777777778</v>
      </c>
      <c r="E866" s="135">
        <v>0.68541666666666667</v>
      </c>
    </row>
    <row r="867" spans="1:5" x14ac:dyDescent="0.25">
      <c r="A867" s="134">
        <v>42347</v>
      </c>
      <c r="B867" s="136">
        <v>0</v>
      </c>
      <c r="C867" s="135">
        <v>0.72291666666666665</v>
      </c>
      <c r="D867" s="135">
        <v>0.32777777777777778</v>
      </c>
      <c r="E867" s="135">
        <v>0.68541666666666667</v>
      </c>
    </row>
    <row r="868" spans="1:5" x14ac:dyDescent="0.25">
      <c r="A868" s="134">
        <v>42348</v>
      </c>
      <c r="B868" s="136">
        <v>3.1</v>
      </c>
      <c r="C868" s="135">
        <v>0.21319444444444444</v>
      </c>
      <c r="D868" s="135">
        <v>0.32847222222222222</v>
      </c>
      <c r="E868" s="135">
        <v>0.68541666666666667</v>
      </c>
    </row>
    <row r="869" spans="1:5" x14ac:dyDescent="0.25">
      <c r="A869" s="134">
        <v>42348</v>
      </c>
      <c r="B869" s="136">
        <v>-0.3</v>
      </c>
      <c r="C869" s="135">
        <v>0.74861111111111112</v>
      </c>
      <c r="D869" s="135">
        <v>0.32847222222222222</v>
      </c>
      <c r="E869" s="135">
        <v>0.68541666666666667</v>
      </c>
    </row>
    <row r="870" spans="1:5" x14ac:dyDescent="0.25">
      <c r="A870" s="134">
        <v>42349</v>
      </c>
      <c r="B870" s="136">
        <v>3.2</v>
      </c>
      <c r="C870" s="135">
        <v>0.24166666666666667</v>
      </c>
      <c r="D870" s="135">
        <v>0.32916666666666666</v>
      </c>
      <c r="E870" s="135">
        <v>0.68541666666666667</v>
      </c>
    </row>
    <row r="871" spans="1:5" x14ac:dyDescent="0.25">
      <c r="A871" s="134">
        <v>42349</v>
      </c>
      <c r="B871" s="136">
        <v>-0.6</v>
      </c>
      <c r="C871" s="135">
        <v>0.77430555555555558</v>
      </c>
      <c r="D871" s="135">
        <v>0.32916666666666666</v>
      </c>
      <c r="E871" s="135">
        <v>0.68541666666666667</v>
      </c>
    </row>
    <row r="872" spans="1:5" x14ac:dyDescent="0.25">
      <c r="A872" s="134">
        <v>42350</v>
      </c>
      <c r="B872" s="136">
        <v>3.2</v>
      </c>
      <c r="C872" s="135">
        <v>0.26944444444444443</v>
      </c>
      <c r="D872" s="135">
        <v>0.3298611111111111</v>
      </c>
      <c r="E872" s="135">
        <v>0.68541666666666667</v>
      </c>
    </row>
    <row r="873" spans="1:5" x14ac:dyDescent="0.25">
      <c r="A873" s="134">
        <v>42350</v>
      </c>
      <c r="B873" s="136">
        <v>-0.7</v>
      </c>
      <c r="C873" s="135">
        <v>0.80069444444444449</v>
      </c>
      <c r="D873" s="135">
        <v>0.3298611111111111</v>
      </c>
      <c r="E873" s="135">
        <v>0.68541666666666667</v>
      </c>
    </row>
    <row r="874" spans="1:5" x14ac:dyDescent="0.25">
      <c r="A874" s="134">
        <v>42351</v>
      </c>
      <c r="B874" s="136">
        <v>3.2</v>
      </c>
      <c r="C874" s="135">
        <v>0.29791666666666666</v>
      </c>
      <c r="D874" s="135">
        <v>0.33055555555555555</v>
      </c>
      <c r="E874" s="135">
        <v>0.68541666666666667</v>
      </c>
    </row>
    <row r="875" spans="1:5" x14ac:dyDescent="0.25">
      <c r="A875" s="134">
        <v>42351</v>
      </c>
      <c r="B875" s="136">
        <v>-0.7</v>
      </c>
      <c r="C875" s="135">
        <v>0.82777777777777772</v>
      </c>
      <c r="D875" s="135">
        <v>0.33055555555555555</v>
      </c>
      <c r="E875" s="135">
        <v>0.68541666666666667</v>
      </c>
    </row>
    <row r="876" spans="1:5" x14ac:dyDescent="0.25">
      <c r="A876" s="134">
        <v>42352</v>
      </c>
      <c r="B876" s="136">
        <v>3.2</v>
      </c>
      <c r="C876" s="135">
        <v>0.32916666666666666</v>
      </c>
      <c r="D876" s="135">
        <v>0.33055555555555555</v>
      </c>
      <c r="E876" s="135">
        <v>0.68541666666666667</v>
      </c>
    </row>
    <row r="877" spans="1:5" x14ac:dyDescent="0.25">
      <c r="A877" s="134">
        <v>42352</v>
      </c>
      <c r="B877" s="136">
        <v>-0.5</v>
      </c>
      <c r="C877" s="135">
        <v>0.85555555555555551</v>
      </c>
      <c r="D877" s="135">
        <v>0.33055555555555555</v>
      </c>
      <c r="E877" s="135">
        <v>0.68541666666666667</v>
      </c>
    </row>
    <row r="878" spans="1:5" x14ac:dyDescent="0.25">
      <c r="A878" s="134">
        <v>42353</v>
      </c>
      <c r="B878" s="136">
        <v>3.1</v>
      </c>
      <c r="C878" s="135">
        <v>0.36319444444444443</v>
      </c>
      <c r="D878" s="135">
        <v>0.33124999999999999</v>
      </c>
      <c r="E878" s="135">
        <v>0.68541666666666667</v>
      </c>
    </row>
    <row r="879" spans="1:5" x14ac:dyDescent="0.25">
      <c r="A879" s="134">
        <v>42353</v>
      </c>
      <c r="B879" s="136">
        <v>-0.2</v>
      </c>
      <c r="C879" s="135">
        <v>0.88541666666666663</v>
      </c>
      <c r="D879" s="135">
        <v>0.33124999999999999</v>
      </c>
      <c r="E879" s="135">
        <v>0.68541666666666667</v>
      </c>
    </row>
    <row r="880" spans="1:5" x14ac:dyDescent="0.25">
      <c r="A880" s="134">
        <v>42354</v>
      </c>
      <c r="B880" s="136">
        <v>3.1</v>
      </c>
      <c r="C880" s="135">
        <v>0.40138888888888891</v>
      </c>
      <c r="D880" s="135">
        <v>0.33194444444444443</v>
      </c>
      <c r="E880" s="135">
        <v>0.68541666666666667</v>
      </c>
    </row>
    <row r="881" spans="1:5" x14ac:dyDescent="0.25">
      <c r="A881" s="134">
        <v>42354</v>
      </c>
      <c r="B881" s="136">
        <v>0.3</v>
      </c>
      <c r="C881" s="135">
        <v>0.91805555555555551</v>
      </c>
      <c r="D881" s="135">
        <v>0.33194444444444443</v>
      </c>
      <c r="E881" s="135">
        <v>0.68541666666666667</v>
      </c>
    </row>
    <row r="882" spans="1:5" x14ac:dyDescent="0.25">
      <c r="A882" s="134">
        <v>42355</v>
      </c>
      <c r="B882" s="136">
        <v>2.9</v>
      </c>
      <c r="C882" s="135">
        <v>0.44513888888888886</v>
      </c>
      <c r="D882" s="135">
        <v>0.33263888888888887</v>
      </c>
      <c r="E882" s="135">
        <v>0.68611111111111112</v>
      </c>
    </row>
    <row r="883" spans="1:5" x14ac:dyDescent="0.25">
      <c r="A883" s="134">
        <v>42355</v>
      </c>
      <c r="B883" s="136">
        <v>0.8</v>
      </c>
      <c r="C883" s="135">
        <v>0.95347222222222228</v>
      </c>
      <c r="D883" s="135">
        <v>0.33263888888888887</v>
      </c>
      <c r="E883" s="135">
        <v>0.68611111111111112</v>
      </c>
    </row>
    <row r="884" spans="1:5" x14ac:dyDescent="0.25">
      <c r="A884" s="134">
        <v>42356</v>
      </c>
      <c r="B884" s="136">
        <v>2.5</v>
      </c>
      <c r="C884" s="135">
        <v>0.49375000000000002</v>
      </c>
      <c r="D884" s="135">
        <v>0.33263888888888887</v>
      </c>
      <c r="E884" s="135">
        <v>0.68611111111111112</v>
      </c>
    </row>
    <row r="885" spans="1:5" x14ac:dyDescent="0.25">
      <c r="A885" s="134">
        <v>42356</v>
      </c>
      <c r="B885" s="136">
        <v>1.4</v>
      </c>
      <c r="C885" s="135">
        <v>0.99305555555555558</v>
      </c>
      <c r="D885" s="135">
        <v>0.33263888888888887</v>
      </c>
      <c r="E885" s="135">
        <v>0.68611111111111112</v>
      </c>
    </row>
    <row r="886" spans="1:5" x14ac:dyDescent="0.25">
      <c r="A886" s="134">
        <v>42357</v>
      </c>
      <c r="B886" s="136">
        <v>2</v>
      </c>
      <c r="C886" s="135">
        <v>0.5444444444444444</v>
      </c>
      <c r="D886" s="135">
        <v>0.33333333333333331</v>
      </c>
      <c r="E886" s="135">
        <v>0.68611111111111112</v>
      </c>
    </row>
    <row r="887" spans="1:5" x14ac:dyDescent="0.25">
      <c r="A887" s="134">
        <v>42358</v>
      </c>
      <c r="B887" s="136">
        <v>2</v>
      </c>
      <c r="C887" s="135">
        <v>3.5416666666666666E-2</v>
      </c>
      <c r="D887" s="135">
        <v>0.33402777777777776</v>
      </c>
      <c r="E887" s="135">
        <v>0.68680555555555556</v>
      </c>
    </row>
    <row r="888" spans="1:5" x14ac:dyDescent="0.25">
      <c r="A888" s="134">
        <v>42358</v>
      </c>
      <c r="B888" s="136">
        <v>1.2</v>
      </c>
      <c r="C888" s="135">
        <v>0.59236111111111112</v>
      </c>
      <c r="D888" s="135">
        <v>0.33402777777777776</v>
      </c>
      <c r="E888" s="135">
        <v>0.68680555555555556</v>
      </c>
    </row>
    <row r="889" spans="1:5" x14ac:dyDescent="0.25">
      <c r="A889" s="134">
        <v>42359</v>
      </c>
      <c r="B889" s="136">
        <v>2.4</v>
      </c>
      <c r="C889" s="135">
        <v>7.9861111111111105E-2</v>
      </c>
      <c r="D889" s="135">
        <v>0.33402777777777776</v>
      </c>
      <c r="E889" s="135">
        <v>0.68680555555555556</v>
      </c>
    </row>
    <row r="890" spans="1:5" x14ac:dyDescent="0.25">
      <c r="A890" s="134">
        <v>42359</v>
      </c>
      <c r="B890" s="136">
        <v>0.4</v>
      </c>
      <c r="C890" s="135">
        <v>0.63541666666666663</v>
      </c>
      <c r="D890" s="135">
        <v>0.33402777777777776</v>
      </c>
      <c r="E890" s="135">
        <v>0.68680555555555556</v>
      </c>
    </row>
    <row r="891" spans="1:5" x14ac:dyDescent="0.25">
      <c r="A891" s="134">
        <v>42360</v>
      </c>
      <c r="B891" s="136">
        <v>2.6</v>
      </c>
      <c r="C891" s="135">
        <v>0.12361111111111112</v>
      </c>
      <c r="D891" s="135">
        <v>0.3347222222222222</v>
      </c>
      <c r="E891" s="135">
        <v>0.6875</v>
      </c>
    </row>
    <row r="892" spans="1:5" x14ac:dyDescent="0.25">
      <c r="A892" s="134">
        <v>42360</v>
      </c>
      <c r="B892" s="136">
        <v>-0.3</v>
      </c>
      <c r="C892" s="135">
        <v>0.67361111111111116</v>
      </c>
      <c r="D892" s="135">
        <v>0.3347222222222222</v>
      </c>
      <c r="E892" s="135">
        <v>0.6875</v>
      </c>
    </row>
    <row r="893" spans="1:5" x14ac:dyDescent="0.25">
      <c r="A893" s="134">
        <v>42361</v>
      </c>
      <c r="B893" s="136">
        <v>2.7</v>
      </c>
      <c r="C893" s="135">
        <v>0.16388888888888889</v>
      </c>
      <c r="D893" s="135">
        <v>0.3347222222222222</v>
      </c>
      <c r="E893" s="135">
        <v>0.6875</v>
      </c>
    </row>
    <row r="894" spans="1:5" x14ac:dyDescent="0.25">
      <c r="A894" s="134">
        <v>42361</v>
      </c>
      <c r="B894" s="136">
        <v>-0.9</v>
      </c>
      <c r="C894" s="135">
        <v>0.70833333333333337</v>
      </c>
      <c r="D894" s="135">
        <v>0.3347222222222222</v>
      </c>
      <c r="E894" s="135">
        <v>0.6875</v>
      </c>
    </row>
    <row r="895" spans="1:5" x14ac:dyDescent="0.25">
      <c r="A895" s="134">
        <v>42362</v>
      </c>
      <c r="B895" s="136">
        <v>2.8</v>
      </c>
      <c r="C895" s="135">
        <v>0.2013888888888889</v>
      </c>
      <c r="D895" s="135">
        <v>0.33541666666666664</v>
      </c>
      <c r="E895" s="135">
        <v>0.68819444444444444</v>
      </c>
    </row>
    <row r="896" spans="1:5" x14ac:dyDescent="0.25">
      <c r="A896" s="134">
        <v>42362</v>
      </c>
      <c r="B896" s="136">
        <v>-1.2</v>
      </c>
      <c r="C896" s="135">
        <v>0.74097222222222225</v>
      </c>
      <c r="D896" s="135">
        <v>0.33541666666666664</v>
      </c>
      <c r="E896" s="135">
        <v>0.68819444444444444</v>
      </c>
    </row>
    <row r="897" spans="1:5" x14ac:dyDescent="0.25">
      <c r="A897" s="134">
        <v>42363</v>
      </c>
      <c r="B897" s="136">
        <v>2.7</v>
      </c>
      <c r="C897" s="135">
        <v>0.2361111111111111</v>
      </c>
      <c r="D897" s="135">
        <v>0.33541666666666664</v>
      </c>
      <c r="E897" s="135">
        <v>0.68888888888888888</v>
      </c>
    </row>
    <row r="898" spans="1:5" x14ac:dyDescent="0.25">
      <c r="A898" s="134">
        <v>42363</v>
      </c>
      <c r="B898" s="136">
        <v>-1.3</v>
      </c>
      <c r="C898" s="135">
        <v>0.77083333333333337</v>
      </c>
      <c r="D898" s="135">
        <v>0.33541666666666664</v>
      </c>
      <c r="E898" s="135">
        <v>0.68888888888888888</v>
      </c>
    </row>
    <row r="899" spans="1:5" x14ac:dyDescent="0.25">
      <c r="A899" s="134">
        <v>42364</v>
      </c>
      <c r="B899" s="136">
        <v>2.7</v>
      </c>
      <c r="C899" s="135">
        <v>0.26944444444444443</v>
      </c>
      <c r="D899" s="135">
        <v>0.33541666666666664</v>
      </c>
      <c r="E899" s="135">
        <v>0.68888888888888888</v>
      </c>
    </row>
    <row r="900" spans="1:5" x14ac:dyDescent="0.25">
      <c r="A900" s="134">
        <v>42364</v>
      </c>
      <c r="B900" s="136">
        <v>-1.1000000000000001</v>
      </c>
      <c r="C900" s="135">
        <v>0.8</v>
      </c>
      <c r="D900" s="135">
        <v>0.33541666666666664</v>
      </c>
      <c r="E900" s="135">
        <v>0.68888888888888888</v>
      </c>
    </row>
    <row r="901" spans="1:5" x14ac:dyDescent="0.25">
      <c r="A901" s="134">
        <v>42365</v>
      </c>
      <c r="B901" s="136">
        <v>2.8</v>
      </c>
      <c r="C901" s="135">
        <v>0.30138888888888887</v>
      </c>
      <c r="D901" s="135">
        <v>0.33541666666666664</v>
      </c>
      <c r="E901" s="135">
        <v>0.68958333333333333</v>
      </c>
    </row>
    <row r="902" spans="1:5" x14ac:dyDescent="0.25">
      <c r="A902" s="134">
        <v>42365</v>
      </c>
      <c r="B902" s="136">
        <v>-0.8</v>
      </c>
      <c r="C902" s="135">
        <v>0.82777777777777772</v>
      </c>
      <c r="D902" s="135">
        <v>0.33541666666666664</v>
      </c>
      <c r="E902" s="135">
        <v>0.68958333333333333</v>
      </c>
    </row>
    <row r="903" spans="1:5" x14ac:dyDescent="0.25">
      <c r="A903" s="134">
        <v>42366</v>
      </c>
      <c r="B903" s="136">
        <v>2.9</v>
      </c>
      <c r="C903" s="135">
        <v>0.33333333333333331</v>
      </c>
      <c r="D903" s="135">
        <v>0.33611111111111114</v>
      </c>
      <c r="E903" s="135">
        <v>0.69027777777777777</v>
      </c>
    </row>
    <row r="904" spans="1:5" x14ac:dyDescent="0.25">
      <c r="A904" s="134">
        <v>42366</v>
      </c>
      <c r="B904" s="136">
        <v>-0.3</v>
      </c>
      <c r="C904" s="135">
        <v>0.85486111111111107</v>
      </c>
      <c r="D904" s="135">
        <v>0.33611111111111114</v>
      </c>
      <c r="E904" s="135">
        <v>0.69027777777777777</v>
      </c>
    </row>
    <row r="905" spans="1:5" x14ac:dyDescent="0.25">
      <c r="A905" s="134">
        <v>42367</v>
      </c>
      <c r="B905" s="136">
        <v>2.9</v>
      </c>
      <c r="C905" s="135">
        <v>0.36527777777777776</v>
      </c>
      <c r="D905" s="135">
        <v>0.33611111111111114</v>
      </c>
      <c r="E905" s="135">
        <v>0.69097222222222221</v>
      </c>
    </row>
    <row r="906" spans="1:5" x14ac:dyDescent="0.25">
      <c r="A906" s="134">
        <v>42367</v>
      </c>
      <c r="B906" s="136">
        <v>0.2</v>
      </c>
      <c r="C906" s="135">
        <v>0.88194444444444442</v>
      </c>
      <c r="D906" s="135">
        <v>0.33611111111111114</v>
      </c>
      <c r="E906" s="135">
        <v>0.69097222222222221</v>
      </c>
    </row>
    <row r="907" spans="1:5" x14ac:dyDescent="0.25">
      <c r="A907" s="134">
        <v>42368</v>
      </c>
      <c r="B907" s="136">
        <v>3</v>
      </c>
      <c r="C907" s="135">
        <v>0.39930555555555558</v>
      </c>
      <c r="D907" s="135">
        <v>0.33611111111111114</v>
      </c>
      <c r="E907" s="135">
        <v>0.69097222222222221</v>
      </c>
    </row>
    <row r="908" spans="1:5" x14ac:dyDescent="0.25">
      <c r="A908" s="134">
        <v>42368</v>
      </c>
      <c r="B908" s="136">
        <v>0.9</v>
      </c>
      <c r="C908" s="135">
        <v>0.90902777777777777</v>
      </c>
      <c r="D908" s="135">
        <v>0.33611111111111114</v>
      </c>
      <c r="E908" s="135">
        <v>0.69097222222222221</v>
      </c>
    </row>
    <row r="909" spans="1:5" x14ac:dyDescent="0.25">
      <c r="A909" s="134">
        <v>42369</v>
      </c>
      <c r="B909" s="136">
        <v>3.1</v>
      </c>
      <c r="C909" s="135">
        <v>0.43611111111111112</v>
      </c>
      <c r="D909" s="135">
        <v>0.33611111111111114</v>
      </c>
      <c r="E909" s="135">
        <v>0.69166666666666665</v>
      </c>
    </row>
    <row r="910" spans="1:5" x14ac:dyDescent="0.25">
      <c r="A910" s="134">
        <v>42369</v>
      </c>
      <c r="B910" s="136">
        <v>1.5</v>
      </c>
      <c r="C910" s="135">
        <v>0.9375</v>
      </c>
      <c r="D910" s="135">
        <v>0.33611111111111114</v>
      </c>
      <c r="E910" s="135">
        <v>0.69166666666666665</v>
      </c>
    </row>
    <row r="911" spans="1:5" x14ac:dyDescent="0.25">
      <c r="A911" s="134">
        <v>42370</v>
      </c>
      <c r="B911" s="136">
        <v>3.1</v>
      </c>
      <c r="C911" s="135">
        <v>0.47916666666666669</v>
      </c>
      <c r="D911" s="135">
        <v>0.33611111111111114</v>
      </c>
      <c r="E911" s="135">
        <v>0.69236111111111109</v>
      </c>
    </row>
    <row r="912" spans="1:5" x14ac:dyDescent="0.25">
      <c r="A912" s="134">
        <v>42370</v>
      </c>
      <c r="B912" s="136">
        <v>2.1</v>
      </c>
      <c r="C912" s="135">
        <v>0.97152777777777777</v>
      </c>
      <c r="D912" s="135">
        <v>0.33611111111111114</v>
      </c>
      <c r="E912" s="135">
        <v>0.69236111111111109</v>
      </c>
    </row>
    <row r="913" spans="1:5" x14ac:dyDescent="0.25">
      <c r="A913" s="134">
        <v>42371</v>
      </c>
      <c r="B913" s="136">
        <v>2.9</v>
      </c>
      <c r="C913" s="135">
        <v>0.52430555555555558</v>
      </c>
      <c r="D913" s="135">
        <v>0.33611111111111114</v>
      </c>
      <c r="E913" s="135">
        <v>0.69305555555555554</v>
      </c>
    </row>
    <row r="914" spans="1:5" x14ac:dyDescent="0.25">
      <c r="A914" s="134">
        <v>42372</v>
      </c>
      <c r="B914" s="136">
        <v>2.7</v>
      </c>
      <c r="C914" s="135">
        <v>6.2500000000000003E-3</v>
      </c>
      <c r="D914" s="135">
        <v>0.33611111111111114</v>
      </c>
      <c r="E914" s="135">
        <v>0.69374999999999998</v>
      </c>
    </row>
    <row r="915" spans="1:5" x14ac:dyDescent="0.25">
      <c r="A915" s="134">
        <v>42372</v>
      </c>
      <c r="B915" s="136">
        <v>2.4</v>
      </c>
      <c r="C915" s="135">
        <v>0.56944444444444442</v>
      </c>
      <c r="D915" s="135">
        <v>0.33611111111111114</v>
      </c>
      <c r="E915" s="135">
        <v>0.69374999999999998</v>
      </c>
    </row>
    <row r="916" spans="1:5" x14ac:dyDescent="0.25">
      <c r="A916" s="134">
        <v>42373</v>
      </c>
      <c r="B916" s="136">
        <v>3.1</v>
      </c>
      <c r="C916" s="135">
        <v>4.583333333333333E-2</v>
      </c>
      <c r="D916" s="135">
        <v>0.33611111111111114</v>
      </c>
      <c r="E916" s="135">
        <v>0.69444444444444442</v>
      </c>
    </row>
    <row r="917" spans="1:5" x14ac:dyDescent="0.25">
      <c r="A917" s="134">
        <v>42373</v>
      </c>
      <c r="B917" s="136">
        <v>1.9</v>
      </c>
      <c r="C917" s="135">
        <v>0.61041666666666672</v>
      </c>
      <c r="D917" s="135">
        <v>0.33611111111111114</v>
      </c>
      <c r="E917" s="135">
        <v>0.69444444444444442</v>
      </c>
    </row>
    <row r="918" spans="1:5" x14ac:dyDescent="0.25">
      <c r="A918" s="134">
        <v>42374</v>
      </c>
      <c r="B918" s="136">
        <v>3.4</v>
      </c>
      <c r="C918" s="135">
        <v>8.6805555555555552E-2</v>
      </c>
      <c r="D918" s="135">
        <v>0.33611111111111114</v>
      </c>
      <c r="E918" s="135">
        <v>0.69513888888888886</v>
      </c>
    </row>
    <row r="919" spans="1:5" x14ac:dyDescent="0.25">
      <c r="A919" s="134">
        <v>42374</v>
      </c>
      <c r="B919" s="136">
        <v>1.3</v>
      </c>
      <c r="C919" s="135">
        <v>0.64583333333333337</v>
      </c>
      <c r="D919" s="135">
        <v>0.33611111111111114</v>
      </c>
      <c r="E919" s="135">
        <v>0.69513888888888886</v>
      </c>
    </row>
    <row r="920" spans="1:5" x14ac:dyDescent="0.25">
      <c r="A920" s="134">
        <v>42375</v>
      </c>
      <c r="B920" s="136">
        <v>3.5</v>
      </c>
      <c r="C920" s="135">
        <v>0.12638888888888888</v>
      </c>
      <c r="D920" s="135">
        <v>0.33611111111111114</v>
      </c>
      <c r="E920" s="135">
        <v>0.6958333333333333</v>
      </c>
    </row>
    <row r="921" spans="1:5" x14ac:dyDescent="0.25">
      <c r="A921" s="134">
        <v>42375</v>
      </c>
      <c r="B921" s="136">
        <v>0.7</v>
      </c>
      <c r="C921" s="135">
        <v>0.67777777777777781</v>
      </c>
      <c r="D921" s="135">
        <v>0.33611111111111114</v>
      </c>
      <c r="E921" s="135">
        <v>0.6958333333333333</v>
      </c>
    </row>
    <row r="922" spans="1:5" x14ac:dyDescent="0.25">
      <c r="A922" s="134">
        <v>42376</v>
      </c>
      <c r="B922" s="136">
        <v>3.5</v>
      </c>
      <c r="C922" s="135">
        <v>0.16250000000000001</v>
      </c>
      <c r="D922" s="135">
        <v>0.33541666666666664</v>
      </c>
      <c r="E922" s="135">
        <v>0.69722222222222219</v>
      </c>
    </row>
    <row r="923" spans="1:5" x14ac:dyDescent="0.25">
      <c r="A923" s="134">
        <v>42376</v>
      </c>
      <c r="B923" s="136">
        <v>0.1</v>
      </c>
      <c r="C923" s="135">
        <v>0.70625000000000004</v>
      </c>
      <c r="D923" s="135">
        <v>0.33541666666666664</v>
      </c>
      <c r="E923" s="135">
        <v>0.69722222222222219</v>
      </c>
    </row>
    <row r="924" spans="1:5" x14ac:dyDescent="0.25">
      <c r="A924" s="134">
        <v>42377</v>
      </c>
      <c r="B924" s="136">
        <v>3.4</v>
      </c>
      <c r="C924" s="135">
        <v>0.19513888888888889</v>
      </c>
      <c r="D924" s="135">
        <v>0.33541666666666664</v>
      </c>
      <c r="E924" s="135">
        <v>0.69791666666666663</v>
      </c>
    </row>
    <row r="925" spans="1:5" x14ac:dyDescent="0.25">
      <c r="A925" s="134">
        <v>42377</v>
      </c>
      <c r="B925" s="136">
        <v>-0.4</v>
      </c>
      <c r="C925" s="135">
        <v>0.73402777777777772</v>
      </c>
      <c r="D925" s="135">
        <v>0.33541666666666664</v>
      </c>
      <c r="E925" s="135">
        <v>0.69791666666666663</v>
      </c>
    </row>
    <row r="926" spans="1:5" x14ac:dyDescent="0.25">
      <c r="A926" s="134">
        <v>42378</v>
      </c>
      <c r="B926" s="136">
        <v>3.2</v>
      </c>
      <c r="C926" s="135">
        <v>0.22638888888888889</v>
      </c>
      <c r="D926" s="135">
        <v>0.33541666666666664</v>
      </c>
      <c r="E926" s="135">
        <v>0.69861111111111107</v>
      </c>
    </row>
    <row r="927" spans="1:5" x14ac:dyDescent="0.25">
      <c r="A927" s="134">
        <v>42378</v>
      </c>
      <c r="B927" s="136">
        <v>-0.8</v>
      </c>
      <c r="C927" s="135">
        <v>0.76111111111111107</v>
      </c>
      <c r="D927" s="135">
        <v>0.33541666666666664</v>
      </c>
      <c r="E927" s="135">
        <v>0.69861111111111107</v>
      </c>
    </row>
    <row r="928" spans="1:5" x14ac:dyDescent="0.25">
      <c r="A928" s="134">
        <v>42379</v>
      </c>
      <c r="B928" s="136">
        <v>3</v>
      </c>
      <c r="C928" s="135">
        <v>0.25694444444444442</v>
      </c>
      <c r="D928" s="135">
        <v>0.3347222222222222</v>
      </c>
      <c r="E928" s="135">
        <v>0.69930555555555551</v>
      </c>
    </row>
    <row r="929" spans="1:5" x14ac:dyDescent="0.25">
      <c r="A929" s="134">
        <v>42379</v>
      </c>
      <c r="B929" s="136">
        <v>-1</v>
      </c>
      <c r="C929" s="135">
        <v>0.78819444444444442</v>
      </c>
      <c r="D929" s="135">
        <v>0.3347222222222222</v>
      </c>
      <c r="E929" s="135">
        <v>0.69930555555555551</v>
      </c>
    </row>
    <row r="930" spans="1:5" x14ac:dyDescent="0.25">
      <c r="A930" s="134">
        <v>42380</v>
      </c>
      <c r="B930" s="136">
        <v>2.8</v>
      </c>
      <c r="C930" s="135">
        <v>0.28819444444444442</v>
      </c>
      <c r="D930" s="135">
        <v>0.3347222222222222</v>
      </c>
      <c r="E930" s="135">
        <v>0.7</v>
      </c>
    </row>
    <row r="931" spans="1:5" x14ac:dyDescent="0.25">
      <c r="A931" s="134">
        <v>42380</v>
      </c>
      <c r="B931" s="136">
        <v>-1</v>
      </c>
      <c r="C931" s="135">
        <v>0.81527777777777777</v>
      </c>
      <c r="D931" s="135">
        <v>0.3347222222222222</v>
      </c>
      <c r="E931" s="135">
        <v>0.7</v>
      </c>
    </row>
    <row r="932" spans="1:5" x14ac:dyDescent="0.25">
      <c r="A932" s="134">
        <v>42381</v>
      </c>
      <c r="B932" s="136">
        <v>2.6</v>
      </c>
      <c r="C932" s="135">
        <v>0.32013888888888886</v>
      </c>
      <c r="D932" s="135">
        <v>0.33402777777777776</v>
      </c>
      <c r="E932" s="135">
        <v>0.70138888888888884</v>
      </c>
    </row>
    <row r="933" spans="1:5" x14ac:dyDescent="0.25">
      <c r="A933" s="134">
        <v>42381</v>
      </c>
      <c r="B933" s="136">
        <v>-0.8</v>
      </c>
      <c r="C933" s="135">
        <v>0.84305555555555556</v>
      </c>
      <c r="D933" s="135">
        <v>0.33402777777777776</v>
      </c>
      <c r="E933" s="135">
        <v>0.70138888888888884</v>
      </c>
    </row>
    <row r="934" spans="1:5" x14ac:dyDescent="0.25">
      <c r="A934" s="134">
        <v>42382</v>
      </c>
      <c r="B934" s="136">
        <v>2.4</v>
      </c>
      <c r="C934" s="135">
        <v>0.35416666666666669</v>
      </c>
      <c r="D934" s="135">
        <v>0.33402777777777776</v>
      </c>
      <c r="E934" s="135">
        <v>0.70208333333333328</v>
      </c>
    </row>
    <row r="935" spans="1:5" x14ac:dyDescent="0.25">
      <c r="A935" s="134">
        <v>42382</v>
      </c>
      <c r="B935" s="136">
        <v>-0.4</v>
      </c>
      <c r="C935" s="135">
        <v>0.87222222222222223</v>
      </c>
      <c r="D935" s="135">
        <v>0.33402777777777776</v>
      </c>
      <c r="E935" s="135">
        <v>0.70208333333333328</v>
      </c>
    </row>
    <row r="936" spans="1:5" x14ac:dyDescent="0.25">
      <c r="A936" s="134">
        <v>42383</v>
      </c>
      <c r="B936" s="136">
        <v>2.2999999999999998</v>
      </c>
      <c r="C936" s="135">
        <v>0.39097222222222222</v>
      </c>
      <c r="D936" s="135">
        <v>0.33333333333333331</v>
      </c>
      <c r="E936" s="135">
        <v>0.70277777777777772</v>
      </c>
    </row>
    <row r="937" spans="1:5" x14ac:dyDescent="0.25">
      <c r="A937" s="134">
        <v>42383</v>
      </c>
      <c r="B937" s="136">
        <v>0.2</v>
      </c>
      <c r="C937" s="135">
        <v>0.90277777777777779</v>
      </c>
      <c r="D937" s="135">
        <v>0.33333333333333331</v>
      </c>
      <c r="E937" s="135">
        <v>0.70277777777777772</v>
      </c>
    </row>
    <row r="938" spans="1:5" x14ac:dyDescent="0.25">
      <c r="A938" s="134">
        <v>42384</v>
      </c>
      <c r="B938" s="136">
        <v>2.1</v>
      </c>
      <c r="C938" s="135">
        <v>0.43263888888888891</v>
      </c>
      <c r="D938" s="135">
        <v>0.33333333333333331</v>
      </c>
      <c r="E938" s="135">
        <v>0.70416666666666672</v>
      </c>
    </row>
    <row r="939" spans="1:5" x14ac:dyDescent="0.25">
      <c r="A939" s="134">
        <v>42384</v>
      </c>
      <c r="B939" s="136">
        <v>1</v>
      </c>
      <c r="C939" s="135">
        <v>0.93611111111111112</v>
      </c>
      <c r="D939" s="135">
        <v>0.33333333333333331</v>
      </c>
      <c r="E939" s="135">
        <v>0.70416666666666672</v>
      </c>
    </row>
    <row r="940" spans="1:5" x14ac:dyDescent="0.25">
      <c r="A940" s="134">
        <v>42385</v>
      </c>
      <c r="B940" s="136">
        <v>1.9</v>
      </c>
      <c r="C940" s="135">
        <v>0.47847222222222224</v>
      </c>
      <c r="D940" s="135">
        <v>0.33263888888888887</v>
      </c>
      <c r="E940" s="135">
        <v>0.70486111111111116</v>
      </c>
    </row>
    <row r="941" spans="1:5" x14ac:dyDescent="0.25">
      <c r="A941" s="134">
        <v>42385</v>
      </c>
      <c r="B941" s="136">
        <v>1.7</v>
      </c>
      <c r="C941" s="135">
        <v>0.97361111111111109</v>
      </c>
      <c r="D941" s="135">
        <v>0.33263888888888887</v>
      </c>
      <c r="E941" s="135">
        <v>0.70486111111111116</v>
      </c>
    </row>
    <row r="942" spans="1:5" x14ac:dyDescent="0.25">
      <c r="A942" s="134">
        <v>42386</v>
      </c>
      <c r="B942" s="136">
        <v>1.6</v>
      </c>
      <c r="C942" s="135">
        <v>0.52847222222222223</v>
      </c>
      <c r="D942" s="135">
        <v>0.33194444444444443</v>
      </c>
      <c r="E942" s="135">
        <v>0.7055555555555556</v>
      </c>
    </row>
    <row r="943" spans="1:5" x14ac:dyDescent="0.25">
      <c r="A943" s="134">
        <v>42387</v>
      </c>
      <c r="B943" s="136">
        <v>2.4</v>
      </c>
      <c r="C943" s="135">
        <v>1.6666666666666666E-2</v>
      </c>
      <c r="D943" s="135">
        <v>0.33194444444444443</v>
      </c>
      <c r="E943" s="135">
        <v>0.70694444444444449</v>
      </c>
    </row>
    <row r="944" spans="1:5" x14ac:dyDescent="0.25">
      <c r="A944" s="134">
        <v>42387</v>
      </c>
      <c r="B944" s="136">
        <v>1.1000000000000001</v>
      </c>
      <c r="C944" s="135">
        <v>0.57916666666666672</v>
      </c>
      <c r="D944" s="135">
        <v>0.33194444444444443</v>
      </c>
      <c r="E944" s="135">
        <v>0.70694444444444449</v>
      </c>
    </row>
    <row r="945" spans="1:5" x14ac:dyDescent="0.25">
      <c r="A945" s="134">
        <v>42388</v>
      </c>
      <c r="B945" s="136">
        <v>2.9</v>
      </c>
      <c r="C945" s="135">
        <v>6.3888888888888884E-2</v>
      </c>
      <c r="D945" s="135">
        <v>0.33124999999999999</v>
      </c>
      <c r="E945" s="135">
        <v>0.70763888888888893</v>
      </c>
    </row>
    <row r="946" spans="1:5" x14ac:dyDescent="0.25">
      <c r="A946" s="134">
        <v>42388</v>
      </c>
      <c r="B946" s="136">
        <v>0.6</v>
      </c>
      <c r="C946" s="135">
        <v>0.625</v>
      </c>
      <c r="D946" s="135">
        <v>0.33124999999999999</v>
      </c>
      <c r="E946" s="135">
        <v>0.70763888888888893</v>
      </c>
    </row>
    <row r="947" spans="1:5" x14ac:dyDescent="0.25">
      <c r="A947" s="134">
        <v>42389</v>
      </c>
      <c r="B947" s="136">
        <v>3.2</v>
      </c>
      <c r="C947" s="135">
        <v>0.11180555555555556</v>
      </c>
      <c r="D947" s="135">
        <v>0.33055555555555555</v>
      </c>
      <c r="E947" s="135">
        <v>0.70902777777777781</v>
      </c>
    </row>
    <row r="948" spans="1:5" x14ac:dyDescent="0.25">
      <c r="A948" s="134">
        <v>42389</v>
      </c>
      <c r="B948" s="136">
        <v>0</v>
      </c>
      <c r="C948" s="135">
        <v>0.66527777777777775</v>
      </c>
      <c r="D948" s="135">
        <v>0.33055555555555555</v>
      </c>
      <c r="E948" s="135">
        <v>0.70902777777777781</v>
      </c>
    </row>
    <row r="949" spans="1:5" x14ac:dyDescent="0.25">
      <c r="A949" s="134">
        <v>42390</v>
      </c>
      <c r="B949" s="136">
        <v>3.2</v>
      </c>
      <c r="C949" s="135">
        <v>0.15555555555555556</v>
      </c>
      <c r="D949" s="135">
        <v>0.3298611111111111</v>
      </c>
      <c r="E949" s="135">
        <v>0.70972222222222225</v>
      </c>
    </row>
    <row r="950" spans="1:5" x14ac:dyDescent="0.25">
      <c r="A950" s="134">
        <v>42390</v>
      </c>
      <c r="B950" s="136">
        <v>-0.4</v>
      </c>
      <c r="C950" s="135">
        <v>0.7006944444444444</v>
      </c>
      <c r="D950" s="135">
        <v>0.3298611111111111</v>
      </c>
      <c r="E950" s="135">
        <v>0.70972222222222225</v>
      </c>
    </row>
    <row r="951" spans="1:5" x14ac:dyDescent="0.25">
      <c r="A951" s="134">
        <v>42391</v>
      </c>
      <c r="B951" s="136">
        <v>3</v>
      </c>
      <c r="C951" s="135">
        <v>0.19513888888888889</v>
      </c>
      <c r="D951" s="135">
        <v>0.32916666666666666</v>
      </c>
      <c r="E951" s="135">
        <v>0.7104166666666667</v>
      </c>
    </row>
    <row r="952" spans="1:5" x14ac:dyDescent="0.25">
      <c r="A952" s="134">
        <v>42391</v>
      </c>
      <c r="B952" s="136">
        <v>-0.7</v>
      </c>
      <c r="C952" s="135">
        <v>0.73263888888888884</v>
      </c>
      <c r="D952" s="135">
        <v>0.32916666666666666</v>
      </c>
      <c r="E952" s="135">
        <v>0.7104166666666667</v>
      </c>
    </row>
    <row r="953" spans="1:5" x14ac:dyDescent="0.25">
      <c r="A953" s="134">
        <v>42392</v>
      </c>
      <c r="B953" s="136">
        <v>2.8</v>
      </c>
      <c r="C953" s="135">
        <v>0.2298611111111111</v>
      </c>
      <c r="D953" s="135">
        <v>0.32847222222222222</v>
      </c>
      <c r="E953" s="135">
        <v>0.71180555555555558</v>
      </c>
    </row>
    <row r="954" spans="1:5" x14ac:dyDescent="0.25">
      <c r="A954" s="134">
        <v>42392</v>
      </c>
      <c r="B954" s="136">
        <v>-0.8</v>
      </c>
      <c r="C954" s="135">
        <v>0.76111111111111107</v>
      </c>
      <c r="D954" s="135">
        <v>0.32847222222222222</v>
      </c>
      <c r="E954" s="135">
        <v>0.71180555555555558</v>
      </c>
    </row>
    <row r="955" spans="1:5" x14ac:dyDescent="0.25">
      <c r="A955" s="134">
        <v>42393</v>
      </c>
      <c r="B955" s="136">
        <v>2.6</v>
      </c>
      <c r="C955" s="135">
        <v>0.26180555555555557</v>
      </c>
      <c r="D955" s="135">
        <v>0.32777777777777778</v>
      </c>
      <c r="E955" s="135">
        <v>0.71250000000000002</v>
      </c>
    </row>
    <row r="956" spans="1:5" x14ac:dyDescent="0.25">
      <c r="A956" s="134">
        <v>42393</v>
      </c>
      <c r="B956" s="136">
        <v>-0.7</v>
      </c>
      <c r="C956" s="135">
        <v>0.78749999999999998</v>
      </c>
      <c r="D956" s="135">
        <v>0.32777777777777778</v>
      </c>
      <c r="E956" s="135">
        <v>0.71250000000000002</v>
      </c>
    </row>
    <row r="957" spans="1:5" x14ac:dyDescent="0.25">
      <c r="A957" s="134">
        <v>42394</v>
      </c>
      <c r="B957" s="136">
        <v>2.5</v>
      </c>
      <c r="C957" s="135">
        <v>0.29166666666666669</v>
      </c>
      <c r="D957" s="135">
        <v>0.32708333333333334</v>
      </c>
      <c r="E957" s="135">
        <v>0.71388888888888891</v>
      </c>
    </row>
    <row r="958" spans="1:5" x14ac:dyDescent="0.25">
      <c r="A958" s="134">
        <v>42394</v>
      </c>
      <c r="B958" s="136">
        <v>-0.4</v>
      </c>
      <c r="C958" s="135">
        <v>0.81319444444444444</v>
      </c>
      <c r="D958" s="135">
        <v>0.32708333333333334</v>
      </c>
      <c r="E958" s="135">
        <v>0.71388888888888891</v>
      </c>
    </row>
    <row r="959" spans="1:5" x14ac:dyDescent="0.25">
      <c r="A959" s="134">
        <v>42395</v>
      </c>
      <c r="B959" s="136">
        <v>2.5</v>
      </c>
      <c r="C959" s="135">
        <v>0.32013888888888886</v>
      </c>
      <c r="D959" s="135">
        <v>0.3263888888888889</v>
      </c>
      <c r="E959" s="135">
        <v>0.71458333333333335</v>
      </c>
    </row>
    <row r="960" spans="1:5" x14ac:dyDescent="0.25">
      <c r="A960" s="134">
        <v>42395</v>
      </c>
      <c r="B960" s="136">
        <v>0</v>
      </c>
      <c r="C960" s="135">
        <v>0.83680555555555558</v>
      </c>
      <c r="D960" s="135">
        <v>0.3263888888888889</v>
      </c>
      <c r="E960" s="135">
        <v>0.71458333333333335</v>
      </c>
    </row>
    <row r="961" spans="1:5" x14ac:dyDescent="0.25">
      <c r="A961" s="134">
        <v>42396</v>
      </c>
      <c r="B961" s="136">
        <v>2.5</v>
      </c>
      <c r="C961" s="135">
        <v>0.34861111111111109</v>
      </c>
      <c r="D961" s="135">
        <v>0.32569444444444445</v>
      </c>
      <c r="E961" s="135">
        <v>0.71597222222222223</v>
      </c>
    </row>
    <row r="962" spans="1:5" x14ac:dyDescent="0.25">
      <c r="A962" s="134">
        <v>42396</v>
      </c>
      <c r="B962" s="136">
        <v>0.5</v>
      </c>
      <c r="C962" s="135">
        <v>0.86041666666666672</v>
      </c>
      <c r="D962" s="135">
        <v>0.32569444444444445</v>
      </c>
      <c r="E962" s="135">
        <v>0.71597222222222223</v>
      </c>
    </row>
    <row r="963" spans="1:5" x14ac:dyDescent="0.25">
      <c r="A963" s="134">
        <v>42397</v>
      </c>
      <c r="B963" s="136">
        <v>2.5</v>
      </c>
      <c r="C963" s="135">
        <v>0.37777777777777777</v>
      </c>
      <c r="D963" s="135">
        <v>0.32500000000000001</v>
      </c>
      <c r="E963" s="135">
        <v>0.71666666666666667</v>
      </c>
    </row>
    <row r="964" spans="1:5" x14ac:dyDescent="0.25">
      <c r="A964" s="134">
        <v>42397</v>
      </c>
      <c r="B964" s="136">
        <v>1</v>
      </c>
      <c r="C964" s="135">
        <v>0.88402777777777775</v>
      </c>
      <c r="D964" s="135">
        <v>0.32500000000000001</v>
      </c>
      <c r="E964" s="135">
        <v>0.71666666666666667</v>
      </c>
    </row>
    <row r="965" spans="1:5" x14ac:dyDescent="0.25">
      <c r="A965" s="134">
        <v>42398</v>
      </c>
      <c r="B965" s="136">
        <v>2.5</v>
      </c>
      <c r="C965" s="135">
        <v>0.40902777777777777</v>
      </c>
      <c r="D965" s="135">
        <v>0.32430555555555557</v>
      </c>
      <c r="E965" s="135">
        <v>0.71805555555555556</v>
      </c>
    </row>
    <row r="966" spans="1:5" x14ac:dyDescent="0.25">
      <c r="A966" s="134">
        <v>42398</v>
      </c>
      <c r="B966" s="136">
        <v>1.7</v>
      </c>
      <c r="C966" s="135">
        <v>0.90833333333333333</v>
      </c>
      <c r="D966" s="135">
        <v>0.32430555555555557</v>
      </c>
      <c r="E966" s="135">
        <v>0.71805555555555556</v>
      </c>
    </row>
    <row r="967" spans="1:5" x14ac:dyDescent="0.25">
      <c r="A967" s="134">
        <v>42399</v>
      </c>
      <c r="B967" s="136">
        <v>2.6</v>
      </c>
      <c r="C967" s="135">
        <v>0.44374999999999998</v>
      </c>
      <c r="D967" s="135">
        <v>0.32361111111111113</v>
      </c>
      <c r="E967" s="135">
        <v>0.71944444444444444</v>
      </c>
    </row>
    <row r="968" spans="1:5" x14ac:dyDescent="0.25">
      <c r="A968" s="134">
        <v>42399</v>
      </c>
      <c r="B968" s="136">
        <v>2.2999999999999998</v>
      </c>
      <c r="C968" s="135">
        <v>0.93472222222222223</v>
      </c>
      <c r="D968" s="135">
        <v>0.32361111111111113</v>
      </c>
      <c r="E968" s="135">
        <v>0.71944444444444444</v>
      </c>
    </row>
    <row r="969" spans="1:5" x14ac:dyDescent="0.25">
      <c r="A969" s="134">
        <v>42400</v>
      </c>
      <c r="B969" s="136">
        <v>2.5</v>
      </c>
      <c r="C969" s="135">
        <v>0.48333333333333334</v>
      </c>
      <c r="D969" s="135">
        <v>0.32291666666666669</v>
      </c>
      <c r="E969" s="135">
        <v>0.72013888888888888</v>
      </c>
    </row>
    <row r="970" spans="1:5" x14ac:dyDescent="0.25">
      <c r="A970" s="134">
        <v>42400</v>
      </c>
      <c r="B970" s="136">
        <v>2.9</v>
      </c>
      <c r="C970" s="135">
        <v>0.96597222222222223</v>
      </c>
      <c r="D970" s="135">
        <v>0.32291666666666669</v>
      </c>
      <c r="E970" s="135">
        <v>0.72013888888888888</v>
      </c>
    </row>
    <row r="971" spans="1:5" x14ac:dyDescent="0.25">
      <c r="A971" s="134">
        <v>42401</v>
      </c>
      <c r="B971" s="136">
        <v>2.2999999999999998</v>
      </c>
      <c r="C971" s="135">
        <v>0.52777777777777779</v>
      </c>
      <c r="D971" s="135">
        <v>0.3215277777777778</v>
      </c>
      <c r="E971" s="135">
        <v>0.72152777777777777</v>
      </c>
    </row>
    <row r="972" spans="1:5" x14ac:dyDescent="0.25">
      <c r="A972" s="134">
        <v>42402</v>
      </c>
      <c r="B972" s="136">
        <v>3.4</v>
      </c>
      <c r="C972" s="135">
        <v>4.1666666666666666E-3</v>
      </c>
      <c r="D972" s="135">
        <v>0.32083333333333336</v>
      </c>
      <c r="E972" s="135">
        <v>0.72222222222222221</v>
      </c>
    </row>
    <row r="973" spans="1:5" x14ac:dyDescent="0.25">
      <c r="A973" s="134">
        <v>42402</v>
      </c>
      <c r="B973" s="136">
        <v>2</v>
      </c>
      <c r="C973" s="135">
        <v>0.57430555555555551</v>
      </c>
      <c r="D973" s="135">
        <v>0.32083333333333336</v>
      </c>
      <c r="E973" s="135">
        <v>0.72222222222222221</v>
      </c>
    </row>
    <row r="974" spans="1:5" x14ac:dyDescent="0.25">
      <c r="A974" s="134">
        <v>42403</v>
      </c>
      <c r="B974" s="136">
        <v>3.7</v>
      </c>
      <c r="C974" s="135">
        <v>5.0694444444444445E-2</v>
      </c>
      <c r="D974" s="135">
        <v>0.32013888888888886</v>
      </c>
      <c r="E974" s="135">
        <v>0.72361111111111109</v>
      </c>
    </row>
    <row r="975" spans="1:5" x14ac:dyDescent="0.25">
      <c r="A975" s="134">
        <v>42403</v>
      </c>
      <c r="B975" s="136">
        <v>1.5</v>
      </c>
      <c r="C975" s="135">
        <v>0.6166666666666667</v>
      </c>
      <c r="D975" s="135">
        <v>0.32013888888888886</v>
      </c>
      <c r="E975" s="135">
        <v>0.72361111111111109</v>
      </c>
    </row>
    <row r="976" spans="1:5" x14ac:dyDescent="0.25">
      <c r="A976" s="134">
        <v>42404</v>
      </c>
      <c r="B976" s="136">
        <v>3.8</v>
      </c>
      <c r="C976" s="135">
        <v>9.8611111111111108E-2</v>
      </c>
      <c r="D976" s="135">
        <v>0.31874999999999998</v>
      </c>
      <c r="E976" s="135">
        <v>0.72430555555555554</v>
      </c>
    </row>
    <row r="977" spans="1:5" x14ac:dyDescent="0.25">
      <c r="A977" s="134">
        <v>42404</v>
      </c>
      <c r="B977" s="136">
        <v>0.8</v>
      </c>
      <c r="C977" s="135">
        <v>0.65347222222222223</v>
      </c>
      <c r="D977" s="135">
        <v>0.31874999999999998</v>
      </c>
      <c r="E977" s="135">
        <v>0.72430555555555554</v>
      </c>
    </row>
    <row r="978" spans="1:5" x14ac:dyDescent="0.25">
      <c r="A978" s="134">
        <v>42405</v>
      </c>
      <c r="B978" s="136">
        <v>3.6</v>
      </c>
      <c r="C978" s="135">
        <v>0.14166666666666666</v>
      </c>
      <c r="D978" s="135">
        <v>0.31805555555555554</v>
      </c>
      <c r="E978" s="135">
        <v>0.72569444444444442</v>
      </c>
    </row>
    <row r="979" spans="1:5" x14ac:dyDescent="0.25">
      <c r="A979" s="134">
        <v>42405</v>
      </c>
      <c r="B979" s="136">
        <v>0.2</v>
      </c>
      <c r="C979" s="135">
        <v>0.68611111111111112</v>
      </c>
      <c r="D979" s="135">
        <v>0.31805555555555554</v>
      </c>
      <c r="E979" s="135">
        <v>0.72569444444444442</v>
      </c>
    </row>
    <row r="980" spans="1:5" x14ac:dyDescent="0.25">
      <c r="A980" s="134">
        <v>42406</v>
      </c>
      <c r="B980" s="136">
        <v>3.3</v>
      </c>
      <c r="C980" s="135">
        <v>0.17916666666666667</v>
      </c>
      <c r="D980" s="135">
        <v>0.31736111111111109</v>
      </c>
      <c r="E980" s="135">
        <v>0.72638888888888886</v>
      </c>
    </row>
    <row r="981" spans="1:5" x14ac:dyDescent="0.25">
      <c r="A981" s="134">
        <v>42406</v>
      </c>
      <c r="B981" s="136">
        <v>-0.3</v>
      </c>
      <c r="C981" s="135">
        <v>0.71597222222222223</v>
      </c>
      <c r="D981" s="135">
        <v>0.31736111111111109</v>
      </c>
      <c r="E981" s="135">
        <v>0.72638888888888886</v>
      </c>
    </row>
    <row r="982" spans="1:5" x14ac:dyDescent="0.25">
      <c r="A982" s="134">
        <v>42407</v>
      </c>
      <c r="B982" s="136">
        <v>2.8</v>
      </c>
      <c r="C982" s="135">
        <v>0.21319444444444444</v>
      </c>
      <c r="D982" s="135">
        <v>0.31597222222222221</v>
      </c>
      <c r="E982" s="135">
        <v>0.72777777777777775</v>
      </c>
    </row>
    <row r="983" spans="1:5" x14ac:dyDescent="0.25">
      <c r="A983" s="134">
        <v>42407</v>
      </c>
      <c r="B983" s="136">
        <v>-0.7</v>
      </c>
      <c r="C983" s="135">
        <v>0.74444444444444446</v>
      </c>
      <c r="D983" s="135">
        <v>0.31597222222222221</v>
      </c>
      <c r="E983" s="135">
        <v>0.72777777777777775</v>
      </c>
    </row>
    <row r="984" spans="1:5" x14ac:dyDescent="0.25">
      <c r="A984" s="134">
        <v>42408</v>
      </c>
      <c r="B984" s="136">
        <v>2.2999999999999998</v>
      </c>
      <c r="C984" s="135">
        <v>0.24583333333333332</v>
      </c>
      <c r="D984" s="135">
        <v>0.31527777777777777</v>
      </c>
      <c r="E984" s="135">
        <v>0.72916666666666663</v>
      </c>
    </row>
    <row r="985" spans="1:5" x14ac:dyDescent="0.25">
      <c r="A985" s="134">
        <v>42408</v>
      </c>
      <c r="B985" s="136">
        <v>-1</v>
      </c>
      <c r="C985" s="135">
        <v>0.77222222222222225</v>
      </c>
      <c r="D985" s="135">
        <v>0.31527777777777777</v>
      </c>
      <c r="E985" s="135">
        <v>0.72916666666666663</v>
      </c>
    </row>
    <row r="986" spans="1:5" x14ac:dyDescent="0.25">
      <c r="A986" s="134">
        <v>42409</v>
      </c>
      <c r="B986" s="136">
        <v>1.9</v>
      </c>
      <c r="C986" s="135">
        <v>0.27777777777777779</v>
      </c>
      <c r="D986" s="135">
        <v>0.31388888888888888</v>
      </c>
      <c r="E986" s="135">
        <v>0.72986111111111107</v>
      </c>
    </row>
    <row r="987" spans="1:5" x14ac:dyDescent="0.25">
      <c r="A987" s="134">
        <v>42409</v>
      </c>
      <c r="B987" s="136">
        <v>-0.9</v>
      </c>
      <c r="C987" s="135">
        <v>0.8</v>
      </c>
      <c r="D987" s="135">
        <v>0.31388888888888888</v>
      </c>
      <c r="E987" s="135">
        <v>0.72986111111111107</v>
      </c>
    </row>
    <row r="988" spans="1:5" x14ac:dyDescent="0.25">
      <c r="A988" s="134">
        <v>42410</v>
      </c>
      <c r="B988" s="136">
        <v>1.5</v>
      </c>
      <c r="C988" s="135">
        <v>0.31041666666666667</v>
      </c>
      <c r="D988" s="135">
        <v>0.31319444444444444</v>
      </c>
      <c r="E988" s="135">
        <v>0.73124999999999996</v>
      </c>
    </row>
    <row r="989" spans="1:5" x14ac:dyDescent="0.25">
      <c r="A989" s="134">
        <v>42410</v>
      </c>
      <c r="B989" s="136">
        <v>-0.7</v>
      </c>
      <c r="C989" s="135">
        <v>0.82777777777777772</v>
      </c>
      <c r="D989" s="135">
        <v>0.31319444444444444</v>
      </c>
      <c r="E989" s="135">
        <v>0.73124999999999996</v>
      </c>
    </row>
    <row r="990" spans="1:5" x14ac:dyDescent="0.25">
      <c r="A990" s="134">
        <v>42411</v>
      </c>
      <c r="B990" s="136">
        <v>1.2</v>
      </c>
      <c r="C990" s="135">
        <v>0.34375</v>
      </c>
      <c r="D990" s="135">
        <v>0.31180555555555556</v>
      </c>
      <c r="E990" s="135">
        <v>0.7319444444444444</v>
      </c>
    </row>
    <row r="991" spans="1:5" x14ac:dyDescent="0.25">
      <c r="A991" s="134">
        <v>42411</v>
      </c>
      <c r="B991" s="136">
        <v>-0.1</v>
      </c>
      <c r="C991" s="135">
        <v>0.8569444444444444</v>
      </c>
      <c r="D991" s="135">
        <v>0.31180555555555556</v>
      </c>
      <c r="E991" s="135">
        <v>0.7319444444444444</v>
      </c>
    </row>
    <row r="992" spans="1:5" x14ac:dyDescent="0.25">
      <c r="A992" s="134">
        <v>42412</v>
      </c>
      <c r="B992" s="136">
        <v>1.1000000000000001</v>
      </c>
      <c r="C992" s="135">
        <v>0.37986111111111109</v>
      </c>
      <c r="D992" s="135">
        <v>0.31111111111111112</v>
      </c>
      <c r="E992" s="135">
        <v>0.73333333333333328</v>
      </c>
    </row>
    <row r="993" spans="1:5" x14ac:dyDescent="0.25">
      <c r="A993" s="134">
        <v>42412</v>
      </c>
      <c r="B993" s="136">
        <v>0.6</v>
      </c>
      <c r="C993" s="135">
        <v>0.88680555555555551</v>
      </c>
      <c r="D993" s="135">
        <v>0.31111111111111112</v>
      </c>
      <c r="E993" s="135">
        <v>0.73333333333333328</v>
      </c>
    </row>
    <row r="994" spans="1:5" x14ac:dyDescent="0.25">
      <c r="A994" s="134">
        <v>42413</v>
      </c>
      <c r="B994" s="136">
        <v>1.1000000000000001</v>
      </c>
      <c r="C994" s="135">
        <v>0.41875000000000001</v>
      </c>
      <c r="D994" s="135">
        <v>0.30972222222222223</v>
      </c>
      <c r="E994" s="135">
        <v>0.73402777777777772</v>
      </c>
    </row>
    <row r="995" spans="1:5" x14ac:dyDescent="0.25">
      <c r="A995" s="134">
        <v>42413</v>
      </c>
      <c r="B995" s="136">
        <v>1.4</v>
      </c>
      <c r="C995" s="135">
        <v>0.9194444444444444</v>
      </c>
      <c r="D995" s="135">
        <v>0.30972222222222223</v>
      </c>
      <c r="E995" s="135">
        <v>0.73402777777777772</v>
      </c>
    </row>
    <row r="996" spans="1:5" x14ac:dyDescent="0.25">
      <c r="A996" s="134">
        <v>42414</v>
      </c>
      <c r="B996" s="136">
        <v>1.1000000000000001</v>
      </c>
      <c r="C996" s="135">
        <v>0.46250000000000002</v>
      </c>
      <c r="D996" s="135">
        <v>0.30833333333333335</v>
      </c>
      <c r="E996" s="135">
        <v>0.73541666666666672</v>
      </c>
    </row>
    <row r="997" spans="1:5" x14ac:dyDescent="0.25">
      <c r="A997" s="134">
        <v>42414</v>
      </c>
      <c r="B997" s="136">
        <v>2.2000000000000002</v>
      </c>
      <c r="C997" s="135">
        <v>0.95694444444444449</v>
      </c>
      <c r="D997" s="135">
        <v>0.30833333333333335</v>
      </c>
      <c r="E997" s="135">
        <v>0.73541666666666672</v>
      </c>
    </row>
    <row r="998" spans="1:5" x14ac:dyDescent="0.25">
      <c r="A998" s="134">
        <v>42415</v>
      </c>
      <c r="B998" s="136">
        <v>1.1000000000000001</v>
      </c>
      <c r="C998" s="135">
        <v>0.51111111111111107</v>
      </c>
      <c r="D998" s="135">
        <v>0.30763888888888891</v>
      </c>
      <c r="E998" s="135">
        <v>0.73611111111111116</v>
      </c>
    </row>
    <row r="999" spans="1:5" x14ac:dyDescent="0.25">
      <c r="A999" s="134">
        <v>42416</v>
      </c>
      <c r="B999" s="136">
        <v>2.9</v>
      </c>
      <c r="C999" s="135">
        <v>6.9444444444444447E-4</v>
      </c>
      <c r="D999" s="135">
        <v>0.30625000000000002</v>
      </c>
      <c r="E999" s="135">
        <v>0.73750000000000004</v>
      </c>
    </row>
    <row r="1000" spans="1:5" x14ac:dyDescent="0.25">
      <c r="A1000" s="134">
        <v>42416</v>
      </c>
      <c r="B1000" s="136">
        <v>1</v>
      </c>
      <c r="C1000" s="135">
        <v>0.5625</v>
      </c>
      <c r="D1000" s="135">
        <v>0.30625000000000002</v>
      </c>
      <c r="E1000" s="135">
        <v>0.73750000000000004</v>
      </c>
    </row>
    <row r="1001" spans="1:5" x14ac:dyDescent="0.25">
      <c r="A1001" s="134">
        <v>42417</v>
      </c>
      <c r="B1001" s="136">
        <v>3.3</v>
      </c>
      <c r="C1001" s="135">
        <v>5.2083333333333336E-2</v>
      </c>
      <c r="D1001" s="135">
        <v>0.30486111111111114</v>
      </c>
      <c r="E1001" s="135">
        <v>0.73888888888888893</v>
      </c>
    </row>
    <row r="1002" spans="1:5" x14ac:dyDescent="0.25">
      <c r="A1002" s="134">
        <v>42417</v>
      </c>
      <c r="B1002" s="136">
        <v>0.7</v>
      </c>
      <c r="C1002" s="135">
        <v>0.61111111111111116</v>
      </c>
      <c r="D1002" s="135">
        <v>0.30486111111111114</v>
      </c>
      <c r="E1002" s="135">
        <v>0.73888888888888893</v>
      </c>
    </row>
    <row r="1003" spans="1:5" x14ac:dyDescent="0.25">
      <c r="A1003" s="134">
        <v>42418</v>
      </c>
      <c r="B1003" s="136">
        <v>3.4</v>
      </c>
      <c r="C1003" s="135">
        <v>0.10416666666666667</v>
      </c>
      <c r="D1003" s="135">
        <v>0.30416666666666664</v>
      </c>
      <c r="E1003" s="135">
        <v>0.73958333333333337</v>
      </c>
    </row>
    <row r="1004" spans="1:5" x14ac:dyDescent="0.25">
      <c r="A1004" s="134">
        <v>42418</v>
      </c>
      <c r="B1004" s="136">
        <v>0.3</v>
      </c>
      <c r="C1004" s="135">
        <v>0.65347222222222223</v>
      </c>
      <c r="D1004" s="135">
        <v>0.30416666666666664</v>
      </c>
      <c r="E1004" s="135">
        <v>0.73958333333333337</v>
      </c>
    </row>
    <row r="1005" spans="1:5" x14ac:dyDescent="0.25">
      <c r="A1005" s="134">
        <v>42419</v>
      </c>
      <c r="B1005" s="136">
        <v>3.1</v>
      </c>
      <c r="C1005" s="135">
        <v>0.15069444444444444</v>
      </c>
      <c r="D1005" s="135">
        <v>0.30277777777777776</v>
      </c>
      <c r="E1005" s="135">
        <v>0.74097222222222225</v>
      </c>
    </row>
    <row r="1006" spans="1:5" x14ac:dyDescent="0.25">
      <c r="A1006" s="134">
        <v>42419</v>
      </c>
      <c r="B1006" s="136">
        <v>0</v>
      </c>
      <c r="C1006" s="135">
        <v>0.68958333333333333</v>
      </c>
      <c r="D1006" s="135">
        <v>0.30277777777777776</v>
      </c>
      <c r="E1006" s="135">
        <v>0.74097222222222225</v>
      </c>
    </row>
    <row r="1007" spans="1:5" x14ac:dyDescent="0.25">
      <c r="A1007" s="134">
        <v>42420</v>
      </c>
      <c r="B1007" s="136">
        <v>2.8</v>
      </c>
      <c r="C1007" s="135">
        <v>0.18958333333333333</v>
      </c>
      <c r="D1007" s="135">
        <v>0.30138888888888887</v>
      </c>
      <c r="E1007" s="135">
        <v>0.7416666666666667</v>
      </c>
    </row>
    <row r="1008" spans="1:5" x14ac:dyDescent="0.25">
      <c r="A1008" s="134">
        <v>42420</v>
      </c>
      <c r="B1008" s="136">
        <v>-0.1</v>
      </c>
      <c r="C1008" s="135">
        <v>0.72013888888888888</v>
      </c>
      <c r="D1008" s="135">
        <v>0.30138888888888887</v>
      </c>
      <c r="E1008" s="135">
        <v>0.7416666666666667</v>
      </c>
    </row>
    <row r="1009" spans="1:5" x14ac:dyDescent="0.25">
      <c r="A1009" s="134">
        <v>42421</v>
      </c>
      <c r="B1009" s="136">
        <v>2.4</v>
      </c>
      <c r="C1009" s="135">
        <v>0.22291666666666668</v>
      </c>
      <c r="D1009" s="135">
        <v>0.30069444444444443</v>
      </c>
      <c r="E1009" s="135">
        <v>0.74305555555555558</v>
      </c>
    </row>
    <row r="1010" spans="1:5" x14ac:dyDescent="0.25">
      <c r="A1010" s="134">
        <v>42421</v>
      </c>
      <c r="B1010" s="136">
        <v>-0.2</v>
      </c>
      <c r="C1010" s="135">
        <v>0.74722222222222223</v>
      </c>
      <c r="D1010" s="135">
        <v>0.30069444444444443</v>
      </c>
      <c r="E1010" s="135">
        <v>0.74305555555555558</v>
      </c>
    </row>
    <row r="1011" spans="1:5" x14ac:dyDescent="0.25">
      <c r="A1011" s="134">
        <v>42422</v>
      </c>
      <c r="B1011" s="136">
        <v>2.1</v>
      </c>
      <c r="C1011" s="135">
        <v>0.25208333333333333</v>
      </c>
      <c r="D1011" s="135">
        <v>0.29930555555555555</v>
      </c>
      <c r="E1011" s="135">
        <v>0.74375000000000002</v>
      </c>
    </row>
    <row r="1012" spans="1:5" x14ac:dyDescent="0.25">
      <c r="A1012" s="134">
        <v>42422</v>
      </c>
      <c r="B1012" s="136">
        <v>-0.1</v>
      </c>
      <c r="C1012" s="135">
        <v>0.77152777777777781</v>
      </c>
      <c r="D1012" s="135">
        <v>0.29930555555555555</v>
      </c>
      <c r="E1012" s="135">
        <v>0.74375000000000002</v>
      </c>
    </row>
    <row r="1013" spans="1:5" x14ac:dyDescent="0.25">
      <c r="A1013" s="134">
        <v>42423</v>
      </c>
      <c r="B1013" s="136">
        <v>1.8</v>
      </c>
      <c r="C1013" s="135">
        <v>0.27986111111111112</v>
      </c>
      <c r="D1013" s="135">
        <v>0.29791666666666666</v>
      </c>
      <c r="E1013" s="135">
        <v>0.74513888888888891</v>
      </c>
    </row>
    <row r="1014" spans="1:5" x14ac:dyDescent="0.25">
      <c r="A1014" s="134">
        <v>42423</v>
      </c>
      <c r="B1014" s="136">
        <v>0.1</v>
      </c>
      <c r="C1014" s="135">
        <v>0.7944444444444444</v>
      </c>
      <c r="D1014" s="135">
        <v>0.29791666666666666</v>
      </c>
      <c r="E1014" s="135">
        <v>0.74513888888888891</v>
      </c>
    </row>
    <row r="1015" spans="1:5" x14ac:dyDescent="0.25">
      <c r="A1015" s="134">
        <v>42424</v>
      </c>
      <c r="B1015" s="136">
        <v>1.7</v>
      </c>
      <c r="C1015" s="135">
        <v>0.30555555555555558</v>
      </c>
      <c r="D1015" s="135">
        <v>0.29652777777777778</v>
      </c>
      <c r="E1015" s="135">
        <v>0.74583333333333335</v>
      </c>
    </row>
    <row r="1016" spans="1:5" x14ac:dyDescent="0.25">
      <c r="A1016" s="134">
        <v>42424</v>
      </c>
      <c r="B1016" s="136">
        <v>0.5</v>
      </c>
      <c r="C1016" s="135">
        <v>0.81597222222222221</v>
      </c>
      <c r="D1016" s="135">
        <v>0.29652777777777778</v>
      </c>
      <c r="E1016" s="135">
        <v>0.74583333333333335</v>
      </c>
    </row>
    <row r="1017" spans="1:5" x14ac:dyDescent="0.25">
      <c r="A1017" s="134">
        <v>42425</v>
      </c>
      <c r="B1017" s="136">
        <v>1.6</v>
      </c>
      <c r="C1017" s="135">
        <v>0.33055555555555555</v>
      </c>
      <c r="D1017" s="135">
        <v>0.2951388888888889</v>
      </c>
      <c r="E1017" s="135">
        <v>0.74722222222222223</v>
      </c>
    </row>
    <row r="1018" spans="1:5" x14ac:dyDescent="0.25">
      <c r="A1018" s="134">
        <v>42425</v>
      </c>
      <c r="B1018" s="136">
        <v>0.9</v>
      </c>
      <c r="C1018" s="135">
        <v>0.83750000000000002</v>
      </c>
      <c r="D1018" s="135">
        <v>0.2951388888888889</v>
      </c>
      <c r="E1018" s="135">
        <v>0.74722222222222223</v>
      </c>
    </row>
    <row r="1019" spans="1:5" x14ac:dyDescent="0.25">
      <c r="A1019" s="134">
        <v>42426</v>
      </c>
      <c r="B1019" s="136">
        <v>1.6</v>
      </c>
      <c r="C1019" s="135">
        <v>0.35625000000000001</v>
      </c>
      <c r="D1019" s="135">
        <v>0.29444444444444445</v>
      </c>
      <c r="E1019" s="135">
        <v>0.74791666666666667</v>
      </c>
    </row>
    <row r="1020" spans="1:5" x14ac:dyDescent="0.25">
      <c r="A1020" s="134">
        <v>42426</v>
      </c>
      <c r="B1020" s="136">
        <v>1.4</v>
      </c>
      <c r="C1020" s="135">
        <v>0.85902777777777772</v>
      </c>
      <c r="D1020" s="135">
        <v>0.29444444444444445</v>
      </c>
      <c r="E1020" s="135">
        <v>0.74791666666666667</v>
      </c>
    </row>
    <row r="1021" spans="1:5" x14ac:dyDescent="0.25">
      <c r="A1021" s="134">
        <v>42427</v>
      </c>
      <c r="B1021" s="136">
        <v>1.7</v>
      </c>
      <c r="C1021" s="135">
        <v>0.38333333333333336</v>
      </c>
      <c r="D1021" s="135">
        <v>0.29305555555555557</v>
      </c>
      <c r="E1021" s="135">
        <v>0.74930555555555556</v>
      </c>
    </row>
    <row r="1022" spans="1:5" x14ac:dyDescent="0.25">
      <c r="A1022" s="134">
        <v>42427</v>
      </c>
      <c r="B1022" s="136">
        <v>2</v>
      </c>
      <c r="C1022" s="135">
        <v>0.88124999999999998</v>
      </c>
      <c r="D1022" s="135">
        <v>0.29305555555555557</v>
      </c>
      <c r="E1022" s="135">
        <v>0.74930555555555556</v>
      </c>
    </row>
    <row r="1023" spans="1:5" x14ac:dyDescent="0.25">
      <c r="A1023" s="134">
        <v>42428</v>
      </c>
      <c r="B1023" s="136">
        <v>1.8</v>
      </c>
      <c r="C1023" s="135">
        <v>0.41319444444444442</v>
      </c>
      <c r="D1023" s="135">
        <v>0.29166666666666669</v>
      </c>
      <c r="E1023" s="135">
        <v>0.75</v>
      </c>
    </row>
    <row r="1024" spans="1:5" x14ac:dyDescent="0.25">
      <c r="A1024" s="134">
        <v>42428</v>
      </c>
      <c r="B1024" s="136">
        <v>2.5</v>
      </c>
      <c r="C1024" s="135">
        <v>0.90555555555555556</v>
      </c>
      <c r="D1024" s="135">
        <v>0.29166666666666669</v>
      </c>
      <c r="E1024" s="135">
        <v>0.75</v>
      </c>
    </row>
    <row r="1025" spans="1:5" x14ac:dyDescent="0.25">
      <c r="A1025" s="134">
        <v>42429</v>
      </c>
      <c r="B1025" s="136">
        <v>1.9</v>
      </c>
      <c r="C1025" s="135">
        <v>0.44791666666666669</v>
      </c>
      <c r="D1025" s="135">
        <v>0.2902777777777778</v>
      </c>
      <c r="E1025" s="135">
        <v>0.75138888888888888</v>
      </c>
    </row>
    <row r="1026" spans="1:5" x14ac:dyDescent="0.25">
      <c r="A1026" s="134">
        <v>42429</v>
      </c>
      <c r="B1026" s="136">
        <v>3.1</v>
      </c>
      <c r="C1026" s="135">
        <v>0.93472222222222223</v>
      </c>
      <c r="D1026" s="135">
        <v>0.2902777777777778</v>
      </c>
      <c r="E1026" s="135">
        <v>0.75138888888888888</v>
      </c>
    </row>
    <row r="1027" spans="1:5" x14ac:dyDescent="0.25">
      <c r="A1027" s="134">
        <v>42430</v>
      </c>
      <c r="B1027" s="136">
        <v>1.9</v>
      </c>
      <c r="C1027" s="135">
        <v>0.48888888888888887</v>
      </c>
      <c r="D1027" s="135">
        <v>0.28888888888888886</v>
      </c>
      <c r="E1027" s="135">
        <v>0.75208333333333333</v>
      </c>
    </row>
    <row r="1028" spans="1:5" x14ac:dyDescent="0.25">
      <c r="A1028" s="134">
        <v>42430</v>
      </c>
      <c r="B1028" s="136">
        <v>3.5</v>
      </c>
      <c r="C1028" s="135">
        <v>0.97222222222222221</v>
      </c>
      <c r="D1028" s="135">
        <v>0.28888888888888886</v>
      </c>
      <c r="E1028" s="135">
        <v>0.75208333333333333</v>
      </c>
    </row>
    <row r="1029" spans="1:5" x14ac:dyDescent="0.25">
      <c r="A1029" s="134">
        <v>42431</v>
      </c>
      <c r="B1029" s="136">
        <v>1.8</v>
      </c>
      <c r="C1029" s="135">
        <v>0.53541666666666665</v>
      </c>
      <c r="D1029" s="135">
        <v>0.28749999999999998</v>
      </c>
      <c r="E1029" s="135">
        <v>0.75347222222222221</v>
      </c>
    </row>
    <row r="1030" spans="1:5" x14ac:dyDescent="0.25">
      <c r="A1030" s="134">
        <v>42432</v>
      </c>
      <c r="B1030" s="136">
        <v>3.8</v>
      </c>
      <c r="C1030" s="135">
        <v>2.2222222222222223E-2</v>
      </c>
      <c r="D1030" s="135">
        <v>0.28611111111111109</v>
      </c>
      <c r="E1030" s="135">
        <v>0.75416666666666665</v>
      </c>
    </row>
    <row r="1031" spans="1:5" x14ac:dyDescent="0.25">
      <c r="A1031" s="134">
        <v>42432</v>
      </c>
      <c r="B1031" s="136">
        <v>1.4</v>
      </c>
      <c r="C1031" s="135">
        <v>0.58263888888888893</v>
      </c>
      <c r="D1031" s="135">
        <v>0.28611111111111109</v>
      </c>
      <c r="E1031" s="135">
        <v>0.75416666666666665</v>
      </c>
    </row>
    <row r="1032" spans="1:5" x14ac:dyDescent="0.25">
      <c r="A1032" s="134">
        <v>42433</v>
      </c>
      <c r="B1032" s="136">
        <v>3.7</v>
      </c>
      <c r="C1032" s="135">
        <v>7.5694444444444439E-2</v>
      </c>
      <c r="D1032" s="135">
        <v>0.28472222222222221</v>
      </c>
      <c r="E1032" s="135">
        <v>0.75555555555555554</v>
      </c>
    </row>
    <row r="1033" spans="1:5" x14ac:dyDescent="0.25">
      <c r="A1033" s="134">
        <v>42433</v>
      </c>
      <c r="B1033" s="136">
        <v>0.9</v>
      </c>
      <c r="C1033" s="135">
        <v>0.625</v>
      </c>
      <c r="D1033" s="135">
        <v>0.28472222222222221</v>
      </c>
      <c r="E1033" s="135">
        <v>0.75555555555555554</v>
      </c>
    </row>
    <row r="1034" spans="1:5" x14ac:dyDescent="0.25">
      <c r="A1034" s="134">
        <v>42434</v>
      </c>
      <c r="B1034" s="136">
        <v>3.4</v>
      </c>
      <c r="C1034" s="135">
        <v>0.12361111111111112</v>
      </c>
      <c r="D1034" s="135">
        <v>0.28333333333333333</v>
      </c>
      <c r="E1034" s="135">
        <v>0.75624999999999998</v>
      </c>
    </row>
    <row r="1035" spans="1:5" x14ac:dyDescent="0.25">
      <c r="A1035" s="134">
        <v>42434</v>
      </c>
      <c r="B1035" s="136">
        <v>0.3</v>
      </c>
      <c r="C1035" s="135">
        <v>0.66180555555555554</v>
      </c>
      <c r="D1035" s="135">
        <v>0.28333333333333333</v>
      </c>
      <c r="E1035" s="135">
        <v>0.75624999999999998</v>
      </c>
    </row>
    <row r="1036" spans="1:5" x14ac:dyDescent="0.25">
      <c r="A1036" s="134">
        <v>42435</v>
      </c>
      <c r="B1036" s="136">
        <v>2.8</v>
      </c>
      <c r="C1036" s="135">
        <v>0.16458333333333333</v>
      </c>
      <c r="D1036" s="135">
        <v>0.28263888888888888</v>
      </c>
      <c r="E1036" s="135">
        <v>0.75763888888888886</v>
      </c>
    </row>
    <row r="1037" spans="1:5" x14ac:dyDescent="0.25">
      <c r="A1037" s="134">
        <v>42435</v>
      </c>
      <c r="B1037" s="136">
        <v>-0.2</v>
      </c>
      <c r="C1037" s="135">
        <v>0.69444444444444442</v>
      </c>
      <c r="D1037" s="135">
        <v>0.28263888888888888</v>
      </c>
      <c r="E1037" s="135">
        <v>0.75763888888888886</v>
      </c>
    </row>
    <row r="1038" spans="1:5" x14ac:dyDescent="0.25">
      <c r="A1038" s="134">
        <v>42436</v>
      </c>
      <c r="B1038" s="136">
        <v>2</v>
      </c>
      <c r="C1038" s="135">
        <v>0.2</v>
      </c>
      <c r="D1038" s="135">
        <v>0.28125</v>
      </c>
      <c r="E1038" s="135">
        <v>0.7583333333333333</v>
      </c>
    </row>
    <row r="1039" spans="1:5" x14ac:dyDescent="0.25">
      <c r="A1039" s="134">
        <v>42436</v>
      </c>
      <c r="B1039" s="136">
        <v>-0.5</v>
      </c>
      <c r="C1039" s="135">
        <v>0.72430555555555554</v>
      </c>
      <c r="D1039" s="135">
        <v>0.28125</v>
      </c>
      <c r="E1039" s="135">
        <v>0.7583333333333333</v>
      </c>
    </row>
    <row r="1040" spans="1:5" x14ac:dyDescent="0.25">
      <c r="A1040" s="134">
        <v>42437</v>
      </c>
      <c r="B1040" s="136">
        <v>1.3</v>
      </c>
      <c r="C1040" s="135">
        <v>0.23402777777777778</v>
      </c>
      <c r="D1040" s="135">
        <v>0.27986111111111112</v>
      </c>
      <c r="E1040" s="135">
        <v>0.75972222222222219</v>
      </c>
    </row>
    <row r="1041" spans="1:5" x14ac:dyDescent="0.25">
      <c r="A1041" s="134">
        <v>42437</v>
      </c>
      <c r="B1041" s="136">
        <v>-0.6</v>
      </c>
      <c r="C1041" s="135">
        <v>0.75347222222222221</v>
      </c>
      <c r="D1041" s="135">
        <v>0.27986111111111112</v>
      </c>
      <c r="E1041" s="135">
        <v>0.75972222222222219</v>
      </c>
    </row>
    <row r="1042" spans="1:5" x14ac:dyDescent="0.25">
      <c r="A1042" s="134">
        <v>42438</v>
      </c>
      <c r="B1042" s="136">
        <v>0.6</v>
      </c>
      <c r="C1042" s="135">
        <v>0.26666666666666666</v>
      </c>
      <c r="D1042" s="135">
        <v>0.27847222222222223</v>
      </c>
      <c r="E1042" s="135">
        <v>0.76041666666666663</v>
      </c>
    </row>
    <row r="1043" spans="1:5" x14ac:dyDescent="0.25">
      <c r="A1043" s="134">
        <v>42438</v>
      </c>
      <c r="B1043" s="136">
        <v>-0.5</v>
      </c>
      <c r="C1043" s="135">
        <v>0.78263888888888888</v>
      </c>
      <c r="D1043" s="135">
        <v>0.27847222222222223</v>
      </c>
      <c r="E1043" s="135">
        <v>0.76041666666666663</v>
      </c>
    </row>
    <row r="1044" spans="1:5" x14ac:dyDescent="0.25">
      <c r="A1044" s="134">
        <v>42439</v>
      </c>
      <c r="B1044" s="136">
        <v>0.1</v>
      </c>
      <c r="C1044" s="135">
        <v>0.29930555555555555</v>
      </c>
      <c r="D1044" s="135">
        <v>0.27708333333333335</v>
      </c>
      <c r="E1044" s="135">
        <v>0.76111111111111107</v>
      </c>
    </row>
    <row r="1045" spans="1:5" x14ac:dyDescent="0.25">
      <c r="A1045" s="134">
        <v>42439</v>
      </c>
      <c r="B1045" s="136">
        <v>-0.2</v>
      </c>
      <c r="C1045" s="135">
        <v>0.81111111111111112</v>
      </c>
      <c r="D1045" s="135">
        <v>0.27708333333333335</v>
      </c>
      <c r="E1045" s="135">
        <v>0.76111111111111107</v>
      </c>
    </row>
    <row r="1046" spans="1:5" x14ac:dyDescent="0.25">
      <c r="A1046" s="134">
        <v>42440</v>
      </c>
      <c r="B1046" s="136">
        <v>-0.1</v>
      </c>
      <c r="C1046" s="135">
        <v>0.33263888888888887</v>
      </c>
      <c r="D1046" s="135">
        <v>0.27569444444444446</v>
      </c>
      <c r="E1046" s="135">
        <v>0.76249999999999996</v>
      </c>
    </row>
    <row r="1047" spans="1:5" x14ac:dyDescent="0.25">
      <c r="A1047" s="134">
        <v>42440</v>
      </c>
      <c r="B1047" s="136">
        <v>0.4</v>
      </c>
      <c r="C1047" s="135">
        <v>0.84027777777777779</v>
      </c>
      <c r="D1047" s="135">
        <v>0.27569444444444446</v>
      </c>
      <c r="E1047" s="135">
        <v>0.76249999999999996</v>
      </c>
    </row>
    <row r="1048" spans="1:5" x14ac:dyDescent="0.25">
      <c r="A1048" s="134">
        <v>42441</v>
      </c>
      <c r="B1048" s="136">
        <v>-0.2</v>
      </c>
      <c r="C1048" s="135">
        <v>0.36736111111111114</v>
      </c>
      <c r="D1048" s="135">
        <v>0.27430555555555558</v>
      </c>
      <c r="E1048" s="135">
        <v>0.7631944444444444</v>
      </c>
    </row>
    <row r="1049" spans="1:5" x14ac:dyDescent="0.25">
      <c r="A1049" s="134">
        <v>42441</v>
      </c>
      <c r="B1049" s="136">
        <v>1.1000000000000001</v>
      </c>
      <c r="C1049" s="135">
        <v>0.87152777777777779</v>
      </c>
      <c r="D1049" s="135">
        <v>0.27430555555555558</v>
      </c>
      <c r="E1049" s="135">
        <v>0.7631944444444444</v>
      </c>
    </row>
    <row r="1050" spans="1:5" x14ac:dyDescent="0.25">
      <c r="A1050" s="134">
        <v>42442</v>
      </c>
      <c r="B1050" s="136">
        <v>0</v>
      </c>
      <c r="C1050" s="135">
        <v>0.4465277777777778</v>
      </c>
      <c r="D1050" s="135">
        <v>0.31458333333333333</v>
      </c>
      <c r="E1050" s="135">
        <v>0.80625000000000002</v>
      </c>
    </row>
    <row r="1051" spans="1:5" x14ac:dyDescent="0.25">
      <c r="A1051" s="134">
        <v>42442</v>
      </c>
      <c r="B1051" s="136">
        <v>1.9</v>
      </c>
      <c r="C1051" s="135">
        <v>0.94652777777777775</v>
      </c>
      <c r="D1051" s="135">
        <v>0.31458333333333333</v>
      </c>
      <c r="E1051" s="135">
        <v>0.80625000000000002</v>
      </c>
    </row>
    <row r="1052" spans="1:5" x14ac:dyDescent="0.25">
      <c r="A1052" s="134">
        <v>42443</v>
      </c>
      <c r="B1052" s="136">
        <v>0.3</v>
      </c>
      <c r="C1052" s="135">
        <v>0.48749999999999999</v>
      </c>
      <c r="D1052" s="135">
        <v>0.31319444444444444</v>
      </c>
      <c r="E1052" s="135">
        <v>0.80694444444444446</v>
      </c>
    </row>
    <row r="1053" spans="1:5" x14ac:dyDescent="0.25">
      <c r="A1053" s="134">
        <v>42443</v>
      </c>
      <c r="B1053" s="136">
        <v>2.6</v>
      </c>
      <c r="C1053" s="135">
        <v>0.98541666666666672</v>
      </c>
      <c r="D1053" s="135">
        <v>0.31319444444444444</v>
      </c>
      <c r="E1053" s="135">
        <v>0.80694444444444446</v>
      </c>
    </row>
    <row r="1054" spans="1:5" x14ac:dyDescent="0.25">
      <c r="A1054" s="134">
        <v>42444</v>
      </c>
      <c r="B1054" s="136">
        <v>0.6</v>
      </c>
      <c r="C1054" s="135">
        <v>0.53402777777777777</v>
      </c>
      <c r="D1054" s="135">
        <v>0.31180555555555556</v>
      </c>
      <c r="E1054" s="135">
        <v>0.80833333333333335</v>
      </c>
    </row>
    <row r="1055" spans="1:5" x14ac:dyDescent="0.25">
      <c r="A1055" s="134">
        <v>42445</v>
      </c>
      <c r="B1055" s="136">
        <v>3.1</v>
      </c>
      <c r="C1055" s="135">
        <v>3.1944444444444442E-2</v>
      </c>
      <c r="D1055" s="135">
        <v>0.31041666666666667</v>
      </c>
      <c r="E1055" s="135">
        <v>0.80902777777777779</v>
      </c>
    </row>
    <row r="1056" spans="1:5" x14ac:dyDescent="0.25">
      <c r="A1056" s="134">
        <v>42445</v>
      </c>
      <c r="B1056" s="136">
        <v>0.8</v>
      </c>
      <c r="C1056" s="135">
        <v>0.58402777777777781</v>
      </c>
      <c r="D1056" s="135">
        <v>0.31041666666666667</v>
      </c>
      <c r="E1056" s="135">
        <v>0.80902777777777779</v>
      </c>
    </row>
    <row r="1057" spans="1:5" x14ac:dyDescent="0.25">
      <c r="A1057" s="134">
        <v>42446</v>
      </c>
      <c r="B1057" s="136">
        <v>3.3</v>
      </c>
      <c r="C1057" s="135">
        <v>8.611111111111111E-2</v>
      </c>
      <c r="D1057" s="135">
        <v>0.30902777777777779</v>
      </c>
      <c r="E1057" s="135">
        <v>0.81041666666666667</v>
      </c>
    </row>
    <row r="1058" spans="1:5" x14ac:dyDescent="0.25">
      <c r="A1058" s="134">
        <v>42446</v>
      </c>
      <c r="B1058" s="136">
        <v>0.8</v>
      </c>
      <c r="C1058" s="135">
        <v>0.6333333333333333</v>
      </c>
      <c r="D1058" s="135">
        <v>0.30902777777777779</v>
      </c>
      <c r="E1058" s="135">
        <v>0.81041666666666667</v>
      </c>
    </row>
    <row r="1059" spans="1:5" x14ac:dyDescent="0.25">
      <c r="A1059" s="134">
        <v>42447</v>
      </c>
      <c r="B1059" s="136">
        <v>3.2</v>
      </c>
      <c r="C1059" s="135">
        <v>0.14097222222222222</v>
      </c>
      <c r="D1059" s="135">
        <v>0.30763888888888891</v>
      </c>
      <c r="E1059" s="135">
        <v>0.81111111111111112</v>
      </c>
    </row>
    <row r="1060" spans="1:5" x14ac:dyDescent="0.25">
      <c r="A1060" s="134">
        <v>42447</v>
      </c>
      <c r="B1060" s="136">
        <v>0.7</v>
      </c>
      <c r="C1060" s="135">
        <v>0.67708333333333337</v>
      </c>
      <c r="D1060" s="135">
        <v>0.30763888888888891</v>
      </c>
      <c r="E1060" s="135">
        <v>0.81111111111111112</v>
      </c>
    </row>
    <row r="1061" spans="1:5" x14ac:dyDescent="0.25">
      <c r="A1061" s="134">
        <v>42448</v>
      </c>
      <c r="B1061" s="136">
        <v>2.7</v>
      </c>
      <c r="C1061" s="135">
        <v>0.18680555555555556</v>
      </c>
      <c r="D1061" s="135">
        <v>0.30625000000000002</v>
      </c>
      <c r="E1061" s="135">
        <v>0.81180555555555556</v>
      </c>
    </row>
    <row r="1062" spans="1:5" x14ac:dyDescent="0.25">
      <c r="A1062" s="134">
        <v>42448</v>
      </c>
      <c r="B1062" s="136">
        <v>0.5</v>
      </c>
      <c r="C1062" s="135">
        <v>0.71319444444444446</v>
      </c>
      <c r="D1062" s="135">
        <v>0.30625000000000002</v>
      </c>
      <c r="E1062" s="135">
        <v>0.81180555555555556</v>
      </c>
    </row>
    <row r="1063" spans="1:5" x14ac:dyDescent="0.25">
      <c r="A1063" s="134">
        <v>42449</v>
      </c>
      <c r="B1063" s="136">
        <v>2.2000000000000002</v>
      </c>
      <c r="C1063" s="135">
        <v>0.22361111111111112</v>
      </c>
      <c r="D1063" s="135">
        <v>0.30486111111111114</v>
      </c>
      <c r="E1063" s="135">
        <v>0.81319444444444444</v>
      </c>
    </row>
    <row r="1064" spans="1:5" x14ac:dyDescent="0.25">
      <c r="A1064" s="134">
        <v>42449</v>
      </c>
      <c r="B1064" s="136">
        <v>0.4</v>
      </c>
      <c r="C1064" s="135">
        <v>0.74305555555555558</v>
      </c>
      <c r="D1064" s="135">
        <v>0.30486111111111114</v>
      </c>
      <c r="E1064" s="135">
        <v>0.81319444444444444</v>
      </c>
    </row>
    <row r="1065" spans="1:5" x14ac:dyDescent="0.25">
      <c r="A1065" s="134">
        <v>42450</v>
      </c>
      <c r="B1065" s="136">
        <v>1.7</v>
      </c>
      <c r="C1065" s="135">
        <v>0.25486111111111109</v>
      </c>
      <c r="D1065" s="135">
        <v>0.3034722222222222</v>
      </c>
      <c r="E1065" s="135">
        <v>0.81388888888888888</v>
      </c>
    </row>
    <row r="1066" spans="1:5" x14ac:dyDescent="0.25">
      <c r="A1066" s="134">
        <v>42450</v>
      </c>
      <c r="B1066" s="136">
        <v>0.5</v>
      </c>
      <c r="C1066" s="135">
        <v>0.76944444444444449</v>
      </c>
      <c r="D1066" s="135">
        <v>0.3034722222222222</v>
      </c>
      <c r="E1066" s="135">
        <v>0.81388888888888888</v>
      </c>
    </row>
    <row r="1067" spans="1:5" x14ac:dyDescent="0.25">
      <c r="A1067" s="134">
        <v>42451</v>
      </c>
      <c r="B1067" s="136">
        <v>1.3</v>
      </c>
      <c r="C1067" s="135">
        <v>0.28263888888888888</v>
      </c>
      <c r="D1067" s="135">
        <v>0.30208333333333331</v>
      </c>
      <c r="E1067" s="135">
        <v>0.81527777777777777</v>
      </c>
    </row>
    <row r="1068" spans="1:5" x14ac:dyDescent="0.25">
      <c r="A1068" s="134">
        <v>42451</v>
      </c>
      <c r="B1068" s="136">
        <v>0.6</v>
      </c>
      <c r="C1068" s="135">
        <v>0.79305555555555551</v>
      </c>
      <c r="D1068" s="135">
        <v>0.30208333333333331</v>
      </c>
      <c r="E1068" s="135">
        <v>0.81527777777777777</v>
      </c>
    </row>
    <row r="1069" spans="1:5" x14ac:dyDescent="0.25">
      <c r="A1069" s="134">
        <v>42452</v>
      </c>
      <c r="B1069" s="136">
        <v>1</v>
      </c>
      <c r="C1069" s="135">
        <v>0.30763888888888891</v>
      </c>
      <c r="D1069" s="135">
        <v>0.30069444444444443</v>
      </c>
      <c r="E1069" s="135">
        <v>0.81597222222222221</v>
      </c>
    </row>
    <row r="1070" spans="1:5" x14ac:dyDescent="0.25">
      <c r="A1070" s="134">
        <v>42452</v>
      </c>
      <c r="B1070" s="136">
        <v>0.8</v>
      </c>
      <c r="C1070" s="135">
        <v>0.81527777777777777</v>
      </c>
      <c r="D1070" s="135">
        <v>0.30069444444444443</v>
      </c>
      <c r="E1070" s="135">
        <v>0.81597222222222221</v>
      </c>
    </row>
    <row r="1071" spans="1:5" x14ac:dyDescent="0.25">
      <c r="A1071" s="134">
        <v>42453</v>
      </c>
      <c r="B1071" s="136">
        <v>0.8</v>
      </c>
      <c r="C1071" s="135">
        <v>0.33124999999999999</v>
      </c>
      <c r="D1071" s="135">
        <v>0.29930555555555555</v>
      </c>
      <c r="E1071" s="135">
        <v>0.81666666666666665</v>
      </c>
    </row>
    <row r="1072" spans="1:5" x14ac:dyDescent="0.25">
      <c r="A1072" s="134">
        <v>42453</v>
      </c>
      <c r="B1072" s="136">
        <v>1.1000000000000001</v>
      </c>
      <c r="C1072" s="135">
        <v>0.83611111111111114</v>
      </c>
      <c r="D1072" s="135">
        <v>0.29930555555555555</v>
      </c>
      <c r="E1072" s="135">
        <v>0.81666666666666665</v>
      </c>
    </row>
    <row r="1073" spans="1:5" x14ac:dyDescent="0.25">
      <c r="A1073" s="134">
        <v>42454</v>
      </c>
      <c r="B1073" s="136">
        <v>0.7</v>
      </c>
      <c r="C1073" s="135">
        <v>0.35486111111111113</v>
      </c>
      <c r="D1073" s="135">
        <v>0.29791666666666666</v>
      </c>
      <c r="E1073" s="135">
        <v>0.81805555555555554</v>
      </c>
    </row>
    <row r="1074" spans="1:5" x14ac:dyDescent="0.25">
      <c r="A1074" s="134">
        <v>42454</v>
      </c>
      <c r="B1074" s="136">
        <v>1.5</v>
      </c>
      <c r="C1074" s="135">
        <v>0.85763888888888884</v>
      </c>
      <c r="D1074" s="135">
        <v>0.29791666666666666</v>
      </c>
      <c r="E1074" s="135">
        <v>0.81805555555555554</v>
      </c>
    </row>
    <row r="1075" spans="1:5" x14ac:dyDescent="0.25">
      <c r="A1075" s="134">
        <v>42455</v>
      </c>
      <c r="B1075" s="136">
        <v>0.6</v>
      </c>
      <c r="C1075" s="135">
        <v>0.37916666666666665</v>
      </c>
      <c r="D1075" s="135">
        <v>0.29652777777777778</v>
      </c>
      <c r="E1075" s="135">
        <v>0.81874999999999998</v>
      </c>
    </row>
    <row r="1076" spans="1:5" x14ac:dyDescent="0.25">
      <c r="A1076" s="134">
        <v>42455</v>
      </c>
      <c r="B1076" s="136">
        <v>1.9</v>
      </c>
      <c r="C1076" s="135">
        <v>0.87847222222222221</v>
      </c>
      <c r="D1076" s="135">
        <v>0.29652777777777778</v>
      </c>
      <c r="E1076" s="135">
        <v>0.81874999999999998</v>
      </c>
    </row>
    <row r="1077" spans="1:5" x14ac:dyDescent="0.25">
      <c r="A1077" s="134">
        <v>42456</v>
      </c>
      <c r="B1077" s="136">
        <v>0.7</v>
      </c>
      <c r="C1077" s="135">
        <v>0.40416666666666667</v>
      </c>
      <c r="D1077" s="135">
        <v>0.2951388888888889</v>
      </c>
      <c r="E1077" s="135">
        <v>0.82013888888888886</v>
      </c>
    </row>
    <row r="1078" spans="1:5" x14ac:dyDescent="0.25">
      <c r="A1078" s="134">
        <v>42456</v>
      </c>
      <c r="B1078" s="136">
        <v>2.2999999999999998</v>
      </c>
      <c r="C1078" s="135">
        <v>0.90138888888888891</v>
      </c>
      <c r="D1078" s="135">
        <v>0.2951388888888889</v>
      </c>
      <c r="E1078" s="135">
        <v>0.82013888888888886</v>
      </c>
    </row>
    <row r="1079" spans="1:5" x14ac:dyDescent="0.25">
      <c r="A1079" s="134">
        <v>42457</v>
      </c>
      <c r="B1079" s="136">
        <v>0.8</v>
      </c>
      <c r="C1079" s="135">
        <v>0.43125000000000002</v>
      </c>
      <c r="D1079" s="135">
        <v>0.29375000000000001</v>
      </c>
      <c r="E1079" s="135">
        <v>0.8208333333333333</v>
      </c>
    </row>
    <row r="1080" spans="1:5" x14ac:dyDescent="0.25">
      <c r="A1080" s="134">
        <v>42457</v>
      </c>
      <c r="B1080" s="136">
        <v>2.8</v>
      </c>
      <c r="C1080" s="135">
        <v>0.92569444444444449</v>
      </c>
      <c r="D1080" s="135">
        <v>0.29375000000000001</v>
      </c>
      <c r="E1080" s="135">
        <v>0.8208333333333333</v>
      </c>
    </row>
    <row r="1081" spans="1:5" x14ac:dyDescent="0.25">
      <c r="A1081" s="134">
        <v>42458</v>
      </c>
      <c r="B1081" s="136">
        <v>1</v>
      </c>
      <c r="C1081" s="135">
        <v>0.46250000000000002</v>
      </c>
      <c r="D1081" s="135">
        <v>0.29236111111111113</v>
      </c>
      <c r="E1081" s="135">
        <v>0.82152777777777775</v>
      </c>
    </row>
    <row r="1082" spans="1:5" x14ac:dyDescent="0.25">
      <c r="A1082" s="134">
        <v>42458</v>
      </c>
      <c r="B1082" s="136">
        <v>3.2</v>
      </c>
      <c r="C1082" s="135">
        <v>0.9555555555555556</v>
      </c>
      <c r="D1082" s="135">
        <v>0.29236111111111113</v>
      </c>
      <c r="E1082" s="135">
        <v>0.82152777777777775</v>
      </c>
    </row>
    <row r="1083" spans="1:5" x14ac:dyDescent="0.25">
      <c r="A1083" s="134">
        <v>42459</v>
      </c>
      <c r="B1083" s="136">
        <v>1.2</v>
      </c>
      <c r="C1083" s="135">
        <v>0.5</v>
      </c>
      <c r="D1083" s="135">
        <v>0.29097222222222224</v>
      </c>
      <c r="E1083" s="135">
        <v>0.82291666666666663</v>
      </c>
    </row>
    <row r="1084" spans="1:5" x14ac:dyDescent="0.25">
      <c r="A1084" s="134">
        <v>42459</v>
      </c>
      <c r="B1084" s="136">
        <v>3.5</v>
      </c>
      <c r="C1084" s="135">
        <v>0.99444444444444446</v>
      </c>
      <c r="D1084" s="135">
        <v>0.29097222222222224</v>
      </c>
      <c r="E1084" s="135">
        <v>0.82291666666666663</v>
      </c>
    </row>
    <row r="1085" spans="1:5" x14ac:dyDescent="0.25">
      <c r="A1085" s="134">
        <v>42460</v>
      </c>
      <c r="B1085" s="136">
        <v>1.2</v>
      </c>
      <c r="C1085" s="135">
        <v>0.54305555555555551</v>
      </c>
      <c r="D1085" s="135">
        <v>0.28958333333333336</v>
      </c>
      <c r="E1085" s="135">
        <v>0.82361111111111107</v>
      </c>
    </row>
    <row r="1086" spans="1:5" x14ac:dyDescent="0.25">
      <c r="A1086" s="134">
        <v>42461</v>
      </c>
      <c r="B1086" s="136">
        <v>3.6</v>
      </c>
      <c r="C1086" s="135">
        <v>4.5138888888888888E-2</v>
      </c>
      <c r="D1086" s="135">
        <v>0.28819444444444442</v>
      </c>
      <c r="E1086" s="135">
        <v>0.82499999999999996</v>
      </c>
    </row>
    <row r="1087" spans="1:5" x14ac:dyDescent="0.25">
      <c r="A1087" s="134">
        <v>42461</v>
      </c>
      <c r="B1087" s="136">
        <v>1.1000000000000001</v>
      </c>
      <c r="C1087" s="135">
        <v>0.59027777777777779</v>
      </c>
      <c r="D1087" s="135">
        <v>0.28819444444444442</v>
      </c>
      <c r="E1087" s="135">
        <v>0.82499999999999996</v>
      </c>
    </row>
    <row r="1088" spans="1:5" x14ac:dyDescent="0.25">
      <c r="A1088" s="134">
        <v>42462</v>
      </c>
      <c r="B1088" s="136">
        <v>3.4</v>
      </c>
      <c r="C1088" s="135">
        <v>0.1</v>
      </c>
      <c r="D1088" s="135">
        <v>0.28680555555555554</v>
      </c>
      <c r="E1088" s="135">
        <v>0.8256944444444444</v>
      </c>
    </row>
    <row r="1089" spans="1:5" x14ac:dyDescent="0.25">
      <c r="A1089" s="134">
        <v>42462</v>
      </c>
      <c r="B1089" s="136">
        <v>0.8</v>
      </c>
      <c r="C1089" s="135">
        <v>0.63541666666666663</v>
      </c>
      <c r="D1089" s="135">
        <v>0.28680555555555554</v>
      </c>
      <c r="E1089" s="135">
        <v>0.8256944444444444</v>
      </c>
    </row>
    <row r="1090" spans="1:5" x14ac:dyDescent="0.25">
      <c r="A1090" s="134">
        <v>42463</v>
      </c>
      <c r="B1090" s="136">
        <v>2.8</v>
      </c>
      <c r="C1090" s="135">
        <v>0.15</v>
      </c>
      <c r="D1090" s="135">
        <v>0.28541666666666665</v>
      </c>
      <c r="E1090" s="135">
        <v>0.82638888888888884</v>
      </c>
    </row>
    <row r="1091" spans="1:5" x14ac:dyDescent="0.25">
      <c r="A1091" s="134">
        <v>42463</v>
      </c>
      <c r="B1091" s="136">
        <v>0.5</v>
      </c>
      <c r="C1091" s="135">
        <v>0.67569444444444449</v>
      </c>
      <c r="D1091" s="135">
        <v>0.28541666666666665</v>
      </c>
      <c r="E1091" s="135">
        <v>0.82638888888888884</v>
      </c>
    </row>
    <row r="1092" spans="1:5" x14ac:dyDescent="0.25">
      <c r="A1092" s="134">
        <v>42464</v>
      </c>
      <c r="B1092" s="136">
        <v>2</v>
      </c>
      <c r="C1092" s="135">
        <v>0.19166666666666668</v>
      </c>
      <c r="D1092" s="135">
        <v>0.28402777777777777</v>
      </c>
      <c r="E1092" s="135">
        <v>0.82777777777777772</v>
      </c>
    </row>
    <row r="1093" spans="1:5" x14ac:dyDescent="0.25">
      <c r="A1093" s="134">
        <v>42464</v>
      </c>
      <c r="B1093" s="136">
        <v>0.1</v>
      </c>
      <c r="C1093" s="135">
        <v>0.71111111111111114</v>
      </c>
      <c r="D1093" s="135">
        <v>0.28402777777777777</v>
      </c>
      <c r="E1093" s="135">
        <v>0.82777777777777772</v>
      </c>
    </row>
    <row r="1094" spans="1:5" x14ac:dyDescent="0.25">
      <c r="A1094" s="134">
        <v>42465</v>
      </c>
      <c r="B1094" s="136">
        <v>1.1000000000000001</v>
      </c>
      <c r="C1094" s="135">
        <v>0.22916666666666666</v>
      </c>
      <c r="D1094" s="135">
        <v>0.28263888888888888</v>
      </c>
      <c r="E1094" s="135">
        <v>0.82847222222222228</v>
      </c>
    </row>
    <row r="1095" spans="1:5" x14ac:dyDescent="0.25">
      <c r="A1095" s="134">
        <v>42465</v>
      </c>
      <c r="B1095" s="136">
        <v>0</v>
      </c>
      <c r="C1095" s="135">
        <v>0.74375000000000002</v>
      </c>
      <c r="D1095" s="135">
        <v>0.28263888888888888</v>
      </c>
      <c r="E1095" s="135">
        <v>0.82847222222222228</v>
      </c>
    </row>
    <row r="1096" spans="1:5" x14ac:dyDescent="0.25">
      <c r="A1096" s="134">
        <v>42466</v>
      </c>
      <c r="B1096" s="136">
        <v>0.2</v>
      </c>
      <c r="C1096" s="135">
        <v>0.26319444444444445</v>
      </c>
      <c r="D1096" s="135">
        <v>0.28125</v>
      </c>
      <c r="E1096" s="135">
        <v>0.82986111111111116</v>
      </c>
    </row>
    <row r="1097" spans="1:5" x14ac:dyDescent="0.25">
      <c r="A1097" s="134">
        <v>42466</v>
      </c>
      <c r="B1097" s="136">
        <v>0</v>
      </c>
      <c r="C1097" s="135">
        <v>0.77500000000000002</v>
      </c>
      <c r="D1097" s="135">
        <v>0.28125</v>
      </c>
      <c r="E1097" s="135">
        <v>0.82986111111111116</v>
      </c>
    </row>
    <row r="1098" spans="1:5" x14ac:dyDescent="0.25">
      <c r="A1098" s="134">
        <v>42467</v>
      </c>
      <c r="B1098" s="136">
        <v>-0.6</v>
      </c>
      <c r="C1098" s="135">
        <v>0.29652777777777778</v>
      </c>
      <c r="D1098" s="135">
        <v>0.27986111111111112</v>
      </c>
      <c r="E1098" s="135">
        <v>0.8305555555555556</v>
      </c>
    </row>
    <row r="1099" spans="1:5" x14ac:dyDescent="0.25">
      <c r="A1099" s="134">
        <v>42467</v>
      </c>
      <c r="B1099" s="136">
        <v>0.2</v>
      </c>
      <c r="C1099" s="135">
        <v>0.80555555555555558</v>
      </c>
      <c r="D1099" s="135">
        <v>0.27986111111111112</v>
      </c>
      <c r="E1099" s="135">
        <v>0.8305555555555556</v>
      </c>
    </row>
    <row r="1100" spans="1:5" x14ac:dyDescent="0.25">
      <c r="A1100" s="134">
        <v>42468</v>
      </c>
      <c r="B1100" s="136">
        <v>-1.1000000000000001</v>
      </c>
      <c r="C1100" s="135">
        <v>0.32916666666666666</v>
      </c>
      <c r="D1100" s="135">
        <v>0.27847222222222223</v>
      </c>
      <c r="E1100" s="135">
        <v>0.83125000000000004</v>
      </c>
    </row>
    <row r="1101" spans="1:5" x14ac:dyDescent="0.25">
      <c r="A1101" s="134">
        <v>42468</v>
      </c>
      <c r="B1101" s="136">
        <v>0.5</v>
      </c>
      <c r="C1101" s="135">
        <v>0.8354166666666667</v>
      </c>
      <c r="D1101" s="135">
        <v>0.27847222222222223</v>
      </c>
      <c r="E1101" s="135">
        <v>0.83125000000000004</v>
      </c>
    </row>
    <row r="1102" spans="1:5" x14ac:dyDescent="0.25">
      <c r="A1102" s="134">
        <v>42469</v>
      </c>
      <c r="B1102" s="136">
        <v>-1.3</v>
      </c>
      <c r="C1102" s="135">
        <v>0.36249999999999999</v>
      </c>
      <c r="D1102" s="135">
        <v>0.27708333333333335</v>
      </c>
      <c r="E1102" s="135">
        <v>0.83263888888888893</v>
      </c>
    </row>
    <row r="1103" spans="1:5" x14ac:dyDescent="0.25">
      <c r="A1103" s="134">
        <v>42469</v>
      </c>
      <c r="B1103" s="136">
        <v>1</v>
      </c>
      <c r="C1103" s="135">
        <v>0.8666666666666667</v>
      </c>
      <c r="D1103" s="135">
        <v>0.27708333333333335</v>
      </c>
      <c r="E1103" s="135">
        <v>0.83263888888888893</v>
      </c>
    </row>
    <row r="1104" spans="1:5" x14ac:dyDescent="0.25">
      <c r="A1104" s="134">
        <v>42470</v>
      </c>
      <c r="B1104" s="136">
        <v>-1.2</v>
      </c>
      <c r="C1104" s="135">
        <v>0.3972222222222222</v>
      </c>
      <c r="D1104" s="135">
        <v>0.27569444444444446</v>
      </c>
      <c r="E1104" s="135">
        <v>0.83333333333333337</v>
      </c>
    </row>
    <row r="1105" spans="1:5" x14ac:dyDescent="0.25">
      <c r="A1105" s="134">
        <v>42470</v>
      </c>
      <c r="B1105" s="136">
        <v>1.6</v>
      </c>
      <c r="C1105" s="135">
        <v>0.89930555555555558</v>
      </c>
      <c r="D1105" s="135">
        <v>0.27569444444444446</v>
      </c>
      <c r="E1105" s="135">
        <v>0.83333333333333337</v>
      </c>
    </row>
    <row r="1106" spans="1:5" x14ac:dyDescent="0.25">
      <c r="A1106" s="134">
        <v>42471</v>
      </c>
      <c r="B1106" s="136">
        <v>-0.9</v>
      </c>
      <c r="C1106" s="135">
        <v>0.43263888888888891</v>
      </c>
      <c r="D1106" s="135">
        <v>0.27430555555555558</v>
      </c>
      <c r="E1106" s="135">
        <v>0.83472222222222225</v>
      </c>
    </row>
    <row r="1107" spans="1:5" x14ac:dyDescent="0.25">
      <c r="A1107" s="134">
        <v>42471</v>
      </c>
      <c r="B1107" s="136">
        <v>2.2000000000000002</v>
      </c>
      <c r="C1107" s="135">
        <v>0.93472222222222223</v>
      </c>
      <c r="D1107" s="135">
        <v>0.27430555555555558</v>
      </c>
      <c r="E1107" s="135">
        <v>0.83472222222222225</v>
      </c>
    </row>
    <row r="1108" spans="1:5" x14ac:dyDescent="0.25">
      <c r="A1108" s="134">
        <v>42472</v>
      </c>
      <c r="B1108" s="136">
        <v>-0.4</v>
      </c>
      <c r="C1108" s="135">
        <v>0.47152777777777777</v>
      </c>
      <c r="D1108" s="135">
        <v>0.27291666666666664</v>
      </c>
      <c r="E1108" s="135">
        <v>0.8354166666666667</v>
      </c>
    </row>
    <row r="1109" spans="1:5" x14ac:dyDescent="0.25">
      <c r="A1109" s="134">
        <v>42472</v>
      </c>
      <c r="B1109" s="136">
        <v>2.7</v>
      </c>
      <c r="C1109" s="135">
        <v>0.97569444444444442</v>
      </c>
      <c r="D1109" s="135">
        <v>0.27291666666666664</v>
      </c>
      <c r="E1109" s="135">
        <v>0.8354166666666667</v>
      </c>
    </row>
    <row r="1110" spans="1:5" x14ac:dyDescent="0.25">
      <c r="A1110" s="134">
        <v>42473</v>
      </c>
      <c r="B1110" s="136">
        <v>0.1</v>
      </c>
      <c r="C1110" s="135">
        <v>0.51388888888888884</v>
      </c>
      <c r="D1110" s="135">
        <v>0.27152777777777776</v>
      </c>
      <c r="E1110" s="135">
        <v>0.83611111111111114</v>
      </c>
    </row>
    <row r="1111" spans="1:5" x14ac:dyDescent="0.25">
      <c r="A1111" s="134">
        <v>42474</v>
      </c>
      <c r="B1111" s="136">
        <v>3.1</v>
      </c>
      <c r="C1111" s="135">
        <v>2.2916666666666665E-2</v>
      </c>
      <c r="D1111" s="135">
        <v>0.27083333333333331</v>
      </c>
      <c r="E1111" s="135">
        <v>0.83750000000000002</v>
      </c>
    </row>
    <row r="1112" spans="1:5" x14ac:dyDescent="0.25">
      <c r="A1112" s="134">
        <v>42474</v>
      </c>
      <c r="B1112" s="136">
        <v>0.6</v>
      </c>
      <c r="C1112" s="135">
        <v>0.55972222222222223</v>
      </c>
      <c r="D1112" s="135">
        <v>0.27083333333333331</v>
      </c>
      <c r="E1112" s="135">
        <v>0.83750000000000002</v>
      </c>
    </row>
    <row r="1113" spans="1:5" x14ac:dyDescent="0.25">
      <c r="A1113" s="134">
        <v>42475</v>
      </c>
      <c r="B1113" s="136">
        <v>3.1</v>
      </c>
      <c r="C1113" s="135">
        <v>7.7083333333333337E-2</v>
      </c>
      <c r="D1113" s="135">
        <v>0.26944444444444443</v>
      </c>
      <c r="E1113" s="135">
        <v>0.83819444444444446</v>
      </c>
    </row>
    <row r="1114" spans="1:5" x14ac:dyDescent="0.25">
      <c r="A1114" s="134">
        <v>42475</v>
      </c>
      <c r="B1114" s="136">
        <v>0.8</v>
      </c>
      <c r="C1114" s="135">
        <v>0.6069444444444444</v>
      </c>
      <c r="D1114" s="135">
        <v>0.26944444444444443</v>
      </c>
      <c r="E1114" s="135">
        <v>0.83819444444444446</v>
      </c>
    </row>
    <row r="1115" spans="1:5" x14ac:dyDescent="0.25">
      <c r="A1115" s="134">
        <v>42476</v>
      </c>
      <c r="B1115" s="136">
        <v>2.7</v>
      </c>
      <c r="C1115" s="135">
        <v>0.13055555555555556</v>
      </c>
      <c r="D1115" s="135">
        <v>0.26805555555555555</v>
      </c>
      <c r="E1115" s="135">
        <v>0.83958333333333335</v>
      </c>
    </row>
    <row r="1116" spans="1:5" x14ac:dyDescent="0.25">
      <c r="A1116" s="134">
        <v>42476</v>
      </c>
      <c r="B1116" s="136">
        <v>0.9</v>
      </c>
      <c r="C1116" s="135">
        <v>0.65</v>
      </c>
      <c r="D1116" s="135">
        <v>0.26805555555555555</v>
      </c>
      <c r="E1116" s="135">
        <v>0.83958333333333335</v>
      </c>
    </row>
    <row r="1117" spans="1:5" x14ac:dyDescent="0.25">
      <c r="A1117" s="134">
        <v>42477</v>
      </c>
      <c r="B1117" s="136">
        <v>2.2000000000000002</v>
      </c>
      <c r="C1117" s="135">
        <v>0.17569444444444443</v>
      </c>
      <c r="D1117" s="135">
        <v>0.26666666666666666</v>
      </c>
      <c r="E1117" s="135">
        <v>0.84027777777777779</v>
      </c>
    </row>
    <row r="1118" spans="1:5" x14ac:dyDescent="0.25">
      <c r="A1118" s="134">
        <v>42477</v>
      </c>
      <c r="B1118" s="136">
        <v>1</v>
      </c>
      <c r="C1118" s="135">
        <v>0.68680555555555556</v>
      </c>
      <c r="D1118" s="135">
        <v>0.26666666666666666</v>
      </c>
      <c r="E1118" s="135">
        <v>0.84027777777777779</v>
      </c>
    </row>
    <row r="1119" spans="1:5" x14ac:dyDescent="0.25">
      <c r="A1119" s="134">
        <v>42478</v>
      </c>
      <c r="B1119" s="136">
        <v>1.6</v>
      </c>
      <c r="C1119" s="135">
        <v>0.21111111111111111</v>
      </c>
      <c r="D1119" s="135">
        <v>0.26527777777777778</v>
      </c>
      <c r="E1119" s="135">
        <v>0.84097222222222223</v>
      </c>
    </row>
    <row r="1120" spans="1:5" x14ac:dyDescent="0.25">
      <c r="A1120" s="134">
        <v>42478</v>
      </c>
      <c r="B1120" s="136">
        <v>1</v>
      </c>
      <c r="C1120" s="135">
        <v>0.71736111111111112</v>
      </c>
      <c r="D1120" s="135">
        <v>0.26527777777777778</v>
      </c>
      <c r="E1120" s="135">
        <v>0.84097222222222223</v>
      </c>
    </row>
    <row r="1121" spans="1:5" x14ac:dyDescent="0.25">
      <c r="A1121" s="134">
        <v>42479</v>
      </c>
      <c r="B1121" s="136">
        <v>1</v>
      </c>
      <c r="C1121" s="135">
        <v>0.24097222222222223</v>
      </c>
      <c r="D1121" s="135">
        <v>0.2638888888888889</v>
      </c>
      <c r="E1121" s="135">
        <v>0.84236111111111112</v>
      </c>
    </row>
    <row r="1122" spans="1:5" x14ac:dyDescent="0.25">
      <c r="A1122" s="134">
        <v>42479</v>
      </c>
      <c r="B1122" s="136">
        <v>1.1000000000000001</v>
      </c>
      <c r="C1122" s="135">
        <v>0.74444444444444446</v>
      </c>
      <c r="D1122" s="135">
        <v>0.2638888888888889</v>
      </c>
      <c r="E1122" s="135">
        <v>0.84236111111111112</v>
      </c>
    </row>
    <row r="1123" spans="1:5" x14ac:dyDescent="0.25">
      <c r="A1123" s="134">
        <v>42480</v>
      </c>
      <c r="B1123" s="136">
        <v>0.6</v>
      </c>
      <c r="C1123" s="135">
        <v>0.2673611111111111</v>
      </c>
      <c r="D1123" s="135">
        <v>0.26250000000000001</v>
      </c>
      <c r="E1123" s="135">
        <v>0.84305555555555556</v>
      </c>
    </row>
    <row r="1124" spans="1:5" x14ac:dyDescent="0.25">
      <c r="A1124" s="134">
        <v>42480</v>
      </c>
      <c r="B1124" s="136">
        <v>1.3</v>
      </c>
      <c r="C1124" s="135">
        <v>0.76875000000000004</v>
      </c>
      <c r="D1124" s="135">
        <v>0.26250000000000001</v>
      </c>
      <c r="E1124" s="135">
        <v>0.84305555555555556</v>
      </c>
    </row>
    <row r="1125" spans="1:5" x14ac:dyDescent="0.25">
      <c r="A1125" s="134">
        <v>42481</v>
      </c>
      <c r="B1125" s="136">
        <v>0.2</v>
      </c>
      <c r="C1125" s="135">
        <v>0.29236111111111113</v>
      </c>
      <c r="D1125" s="135">
        <v>0.26180555555555557</v>
      </c>
      <c r="E1125" s="135">
        <v>0.84444444444444444</v>
      </c>
    </row>
    <row r="1126" spans="1:5" x14ac:dyDescent="0.25">
      <c r="A1126" s="134">
        <v>42481</v>
      </c>
      <c r="B1126" s="136">
        <v>1.5</v>
      </c>
      <c r="C1126" s="135">
        <v>0.79236111111111107</v>
      </c>
      <c r="D1126" s="135">
        <v>0.26180555555555557</v>
      </c>
      <c r="E1126" s="135">
        <v>0.84444444444444444</v>
      </c>
    </row>
    <row r="1127" spans="1:5" x14ac:dyDescent="0.25">
      <c r="A1127" s="134">
        <v>42482</v>
      </c>
      <c r="B1127" s="136">
        <v>0</v>
      </c>
      <c r="C1127" s="135">
        <v>0.31597222222222221</v>
      </c>
      <c r="D1127" s="135">
        <v>0.26041666666666669</v>
      </c>
      <c r="E1127" s="135">
        <v>0.84513888888888888</v>
      </c>
    </row>
    <row r="1128" spans="1:5" x14ac:dyDescent="0.25">
      <c r="A1128" s="134">
        <v>42482</v>
      </c>
      <c r="B1128" s="136">
        <v>1.7</v>
      </c>
      <c r="C1128" s="135">
        <v>0.81458333333333333</v>
      </c>
      <c r="D1128" s="135">
        <v>0.26041666666666669</v>
      </c>
      <c r="E1128" s="135">
        <v>0.84513888888888888</v>
      </c>
    </row>
    <row r="1129" spans="1:5" x14ac:dyDescent="0.25">
      <c r="A1129" s="134">
        <v>42483</v>
      </c>
      <c r="B1129" s="136">
        <v>-0.2</v>
      </c>
      <c r="C1129" s="135">
        <v>0.33888888888888891</v>
      </c>
      <c r="D1129" s="135">
        <v>0.2590277777777778</v>
      </c>
      <c r="E1129" s="135">
        <v>0.84583333333333333</v>
      </c>
    </row>
    <row r="1130" spans="1:5" x14ac:dyDescent="0.25">
      <c r="A1130" s="134">
        <v>42483</v>
      </c>
      <c r="B1130" s="136">
        <v>2</v>
      </c>
      <c r="C1130" s="135">
        <v>0.83680555555555558</v>
      </c>
      <c r="D1130" s="135">
        <v>0.2590277777777778</v>
      </c>
      <c r="E1130" s="135">
        <v>0.84583333333333333</v>
      </c>
    </row>
    <row r="1131" spans="1:5" x14ac:dyDescent="0.25">
      <c r="A1131" s="134">
        <v>42484</v>
      </c>
      <c r="B1131" s="136">
        <v>-0.2</v>
      </c>
      <c r="C1131" s="135">
        <v>0.36249999999999999</v>
      </c>
      <c r="D1131" s="135">
        <v>0.25763888888888886</v>
      </c>
      <c r="E1131" s="135">
        <v>0.84722222222222221</v>
      </c>
    </row>
    <row r="1132" spans="1:5" x14ac:dyDescent="0.25">
      <c r="A1132" s="134">
        <v>42484</v>
      </c>
      <c r="B1132" s="136">
        <v>2.2999999999999998</v>
      </c>
      <c r="C1132" s="135">
        <v>0.85972222222222228</v>
      </c>
      <c r="D1132" s="135">
        <v>0.25763888888888886</v>
      </c>
      <c r="E1132" s="135">
        <v>0.84722222222222221</v>
      </c>
    </row>
    <row r="1133" spans="1:5" x14ac:dyDescent="0.25">
      <c r="A1133" s="134">
        <v>42485</v>
      </c>
      <c r="B1133" s="136">
        <v>-0.2</v>
      </c>
      <c r="C1133" s="135">
        <v>0.38750000000000001</v>
      </c>
      <c r="D1133" s="135">
        <v>0.25694444444444442</v>
      </c>
      <c r="E1133" s="135">
        <v>0.84791666666666665</v>
      </c>
    </row>
    <row r="1134" spans="1:5" x14ac:dyDescent="0.25">
      <c r="A1134" s="134">
        <v>42485</v>
      </c>
      <c r="B1134" s="136">
        <v>2.6</v>
      </c>
      <c r="C1134" s="135">
        <v>0.88402777777777775</v>
      </c>
      <c r="D1134" s="135">
        <v>0.25694444444444442</v>
      </c>
      <c r="E1134" s="135">
        <v>0.84791666666666665</v>
      </c>
    </row>
    <row r="1135" spans="1:5" x14ac:dyDescent="0.25">
      <c r="A1135" s="134">
        <v>42486</v>
      </c>
      <c r="B1135" s="136">
        <v>-0.1</v>
      </c>
      <c r="C1135" s="135">
        <v>0.41388888888888886</v>
      </c>
      <c r="D1135" s="135">
        <v>0.25555555555555554</v>
      </c>
      <c r="E1135" s="135">
        <v>0.84861111111111109</v>
      </c>
    </row>
    <row r="1136" spans="1:5" x14ac:dyDescent="0.25">
      <c r="A1136" s="134">
        <v>42486</v>
      </c>
      <c r="B1136" s="136">
        <v>2.9</v>
      </c>
      <c r="C1136" s="135">
        <v>0.91111111111111109</v>
      </c>
      <c r="D1136" s="135">
        <v>0.25555555555555554</v>
      </c>
      <c r="E1136" s="135">
        <v>0.84861111111111109</v>
      </c>
    </row>
    <row r="1137" spans="1:5" x14ac:dyDescent="0.25">
      <c r="A1137" s="134">
        <v>42487</v>
      </c>
      <c r="B1137" s="136">
        <v>0.1</v>
      </c>
      <c r="C1137" s="135">
        <v>0.44374999999999998</v>
      </c>
      <c r="D1137" s="135">
        <v>0.25416666666666665</v>
      </c>
      <c r="E1137" s="135">
        <v>0.85</v>
      </c>
    </row>
    <row r="1138" spans="1:5" x14ac:dyDescent="0.25">
      <c r="A1138" s="134">
        <v>42487</v>
      </c>
      <c r="B1138" s="136">
        <v>3.1</v>
      </c>
      <c r="C1138" s="135">
        <v>0.94305555555555554</v>
      </c>
      <c r="D1138" s="135">
        <v>0.25416666666666665</v>
      </c>
      <c r="E1138" s="135">
        <v>0.85</v>
      </c>
    </row>
    <row r="1139" spans="1:5" x14ac:dyDescent="0.25">
      <c r="A1139" s="134">
        <v>42488</v>
      </c>
      <c r="B1139" s="136">
        <v>0.3</v>
      </c>
      <c r="C1139" s="135">
        <v>0.4777777777777778</v>
      </c>
      <c r="D1139" s="135">
        <v>0.25347222222222221</v>
      </c>
      <c r="E1139" s="135">
        <v>0.85069444444444442</v>
      </c>
    </row>
    <row r="1140" spans="1:5" x14ac:dyDescent="0.25">
      <c r="A1140" s="134">
        <v>42488</v>
      </c>
      <c r="B1140" s="136">
        <v>3.3</v>
      </c>
      <c r="C1140" s="135">
        <v>0.98333333333333328</v>
      </c>
      <c r="D1140" s="135">
        <v>0.25347222222222221</v>
      </c>
      <c r="E1140" s="135">
        <v>0.85069444444444442</v>
      </c>
    </row>
    <row r="1141" spans="1:5" x14ac:dyDescent="0.25">
      <c r="A1141" s="134">
        <v>42489</v>
      </c>
      <c r="B1141" s="136">
        <v>0.5</v>
      </c>
      <c r="C1141" s="135">
        <v>0.51666666666666672</v>
      </c>
      <c r="D1141" s="135">
        <v>0.25208333333333333</v>
      </c>
      <c r="E1141" s="135">
        <v>0.8520833333333333</v>
      </c>
    </row>
    <row r="1142" spans="1:5" x14ac:dyDescent="0.25">
      <c r="A1142" s="134">
        <v>42490</v>
      </c>
      <c r="B1142" s="136">
        <v>3.2</v>
      </c>
      <c r="C1142" s="135">
        <v>3.2638888888888891E-2</v>
      </c>
      <c r="D1142" s="135">
        <v>0.25069444444444444</v>
      </c>
      <c r="E1142" s="135">
        <v>0.85277777777777775</v>
      </c>
    </row>
    <row r="1143" spans="1:5" x14ac:dyDescent="0.25">
      <c r="A1143" s="134">
        <v>42490</v>
      </c>
      <c r="B1143" s="136">
        <v>0.6</v>
      </c>
      <c r="C1143" s="135">
        <v>0.55972222222222223</v>
      </c>
      <c r="D1143" s="135">
        <v>0.25069444444444444</v>
      </c>
      <c r="E1143" s="135">
        <v>0.85277777777777775</v>
      </c>
    </row>
    <row r="1144" spans="1:5" x14ac:dyDescent="0.25">
      <c r="A1144" s="134">
        <v>42491</v>
      </c>
      <c r="B1144" s="136">
        <v>2.8</v>
      </c>
      <c r="C1144" s="135">
        <v>8.611111111111111E-2</v>
      </c>
      <c r="D1144" s="135">
        <v>0.25</v>
      </c>
      <c r="E1144" s="135">
        <v>0.85347222222222219</v>
      </c>
    </row>
    <row r="1145" spans="1:5" x14ac:dyDescent="0.25">
      <c r="A1145" s="134">
        <v>42491</v>
      </c>
      <c r="B1145" s="136">
        <v>0.6</v>
      </c>
      <c r="C1145" s="135">
        <v>0.60416666666666663</v>
      </c>
      <c r="D1145" s="135">
        <v>0.25</v>
      </c>
      <c r="E1145" s="135">
        <v>0.85347222222222219</v>
      </c>
    </row>
    <row r="1146" spans="1:5" x14ac:dyDescent="0.25">
      <c r="A1146" s="134">
        <v>42492</v>
      </c>
      <c r="B1146" s="136">
        <v>2.1</v>
      </c>
      <c r="C1146" s="135">
        <v>0.13541666666666666</v>
      </c>
      <c r="D1146" s="135">
        <v>0.24861111111111112</v>
      </c>
      <c r="E1146" s="135">
        <v>0.85486111111111107</v>
      </c>
    </row>
    <row r="1147" spans="1:5" x14ac:dyDescent="0.25">
      <c r="A1147" s="134">
        <v>42492</v>
      </c>
      <c r="B1147" s="136">
        <v>0.6</v>
      </c>
      <c r="C1147" s="135">
        <v>0.64583333333333337</v>
      </c>
      <c r="D1147" s="135">
        <v>0.24861111111111112</v>
      </c>
      <c r="E1147" s="135">
        <v>0.85486111111111107</v>
      </c>
    </row>
    <row r="1148" spans="1:5" x14ac:dyDescent="0.25">
      <c r="A1148" s="134">
        <v>42493</v>
      </c>
      <c r="B1148" s="136">
        <v>1.1000000000000001</v>
      </c>
      <c r="C1148" s="135">
        <v>0.17777777777777778</v>
      </c>
      <c r="D1148" s="135">
        <v>0.24791666666666667</v>
      </c>
      <c r="E1148" s="135">
        <v>0.85555555555555551</v>
      </c>
    </row>
    <row r="1149" spans="1:5" x14ac:dyDescent="0.25">
      <c r="A1149" s="134">
        <v>42493</v>
      </c>
      <c r="B1149" s="136">
        <v>0.6</v>
      </c>
      <c r="C1149" s="135">
        <v>0.68472222222222223</v>
      </c>
      <c r="D1149" s="135">
        <v>0.24791666666666667</v>
      </c>
      <c r="E1149" s="135">
        <v>0.85555555555555551</v>
      </c>
    </row>
    <row r="1150" spans="1:5" x14ac:dyDescent="0.25">
      <c r="A1150" s="134">
        <v>42494</v>
      </c>
      <c r="B1150" s="136">
        <v>0.1</v>
      </c>
      <c r="C1150" s="135">
        <v>0.21597222222222223</v>
      </c>
      <c r="D1150" s="135">
        <v>0.24652777777777779</v>
      </c>
      <c r="E1150" s="135">
        <v>0.85624999999999996</v>
      </c>
    </row>
    <row r="1151" spans="1:5" x14ac:dyDescent="0.25">
      <c r="A1151" s="134">
        <v>42494</v>
      </c>
      <c r="B1151" s="136">
        <v>0.6</v>
      </c>
      <c r="C1151" s="135">
        <v>0.72013888888888888</v>
      </c>
      <c r="D1151" s="135">
        <v>0.24652777777777779</v>
      </c>
      <c r="E1151" s="135">
        <v>0.85624999999999996</v>
      </c>
    </row>
    <row r="1152" spans="1:5" x14ac:dyDescent="0.25">
      <c r="A1152" s="134">
        <v>42495</v>
      </c>
      <c r="B1152" s="136">
        <v>-0.8</v>
      </c>
      <c r="C1152" s="135">
        <v>0.25138888888888888</v>
      </c>
      <c r="D1152" s="135">
        <v>0.24583333333333332</v>
      </c>
      <c r="E1152" s="135">
        <v>0.85763888888888884</v>
      </c>
    </row>
    <row r="1153" spans="1:5" x14ac:dyDescent="0.25">
      <c r="A1153" s="134">
        <v>42495</v>
      </c>
      <c r="B1153" s="136">
        <v>0.7</v>
      </c>
      <c r="C1153" s="135">
        <v>0.75416666666666665</v>
      </c>
      <c r="D1153" s="135">
        <v>0.24583333333333332</v>
      </c>
      <c r="E1153" s="135">
        <v>0.85763888888888884</v>
      </c>
    </row>
    <row r="1154" spans="1:5" x14ac:dyDescent="0.25">
      <c r="A1154" s="134">
        <v>42496</v>
      </c>
      <c r="B1154" s="136">
        <v>-1.5</v>
      </c>
      <c r="C1154" s="135">
        <v>0.28541666666666665</v>
      </c>
      <c r="D1154" s="135">
        <v>0.24444444444444444</v>
      </c>
      <c r="E1154" s="135">
        <v>0.85833333333333328</v>
      </c>
    </row>
    <row r="1155" spans="1:5" x14ac:dyDescent="0.25">
      <c r="A1155" s="134">
        <v>42496</v>
      </c>
      <c r="B1155" s="136">
        <v>0.9</v>
      </c>
      <c r="C1155" s="135">
        <v>0.78680555555555554</v>
      </c>
      <c r="D1155" s="135">
        <v>0.24444444444444444</v>
      </c>
      <c r="E1155" s="135">
        <v>0.85833333333333328</v>
      </c>
    </row>
    <row r="1156" spans="1:5" x14ac:dyDescent="0.25">
      <c r="A1156" s="134">
        <v>42497</v>
      </c>
      <c r="B1156" s="136">
        <v>-2</v>
      </c>
      <c r="C1156" s="135">
        <v>0.31874999999999998</v>
      </c>
      <c r="D1156" s="135">
        <v>0.24374999999999999</v>
      </c>
      <c r="E1156" s="135">
        <v>0.85902777777777772</v>
      </c>
    </row>
    <row r="1157" spans="1:5" x14ac:dyDescent="0.25">
      <c r="A1157" s="134">
        <v>42497</v>
      </c>
      <c r="B1157" s="136">
        <v>1.2</v>
      </c>
      <c r="C1157" s="135">
        <v>0.82013888888888886</v>
      </c>
      <c r="D1157" s="135">
        <v>0.24374999999999999</v>
      </c>
      <c r="E1157" s="135">
        <v>0.85902777777777772</v>
      </c>
    </row>
    <row r="1158" spans="1:5" x14ac:dyDescent="0.25">
      <c r="A1158" s="134">
        <v>42498</v>
      </c>
      <c r="B1158" s="136">
        <v>-2.1</v>
      </c>
      <c r="C1158" s="135">
        <v>0.35138888888888886</v>
      </c>
      <c r="D1158" s="135">
        <v>0.24236111111111111</v>
      </c>
      <c r="E1158" s="135">
        <v>0.86041666666666672</v>
      </c>
    </row>
    <row r="1159" spans="1:5" x14ac:dyDescent="0.25">
      <c r="A1159" s="134">
        <v>42498</v>
      </c>
      <c r="B1159" s="136">
        <v>1.6</v>
      </c>
      <c r="C1159" s="135">
        <v>0.85277777777777775</v>
      </c>
      <c r="D1159" s="135">
        <v>0.24236111111111111</v>
      </c>
      <c r="E1159" s="135">
        <v>0.86041666666666672</v>
      </c>
    </row>
    <row r="1160" spans="1:5" x14ac:dyDescent="0.25">
      <c r="A1160" s="134">
        <v>42499</v>
      </c>
      <c r="B1160" s="136">
        <v>-1.9</v>
      </c>
      <c r="C1160" s="135">
        <v>0.38472222222222224</v>
      </c>
      <c r="D1160" s="135">
        <v>0.24166666666666667</v>
      </c>
      <c r="E1160" s="135">
        <v>0.86111111111111116</v>
      </c>
    </row>
    <row r="1161" spans="1:5" x14ac:dyDescent="0.25">
      <c r="A1161" s="134">
        <v>42499</v>
      </c>
      <c r="B1161" s="136">
        <v>2</v>
      </c>
      <c r="C1161" s="135">
        <v>0.88749999999999996</v>
      </c>
      <c r="D1161" s="135">
        <v>0.24166666666666667</v>
      </c>
      <c r="E1161" s="135">
        <v>0.86111111111111116</v>
      </c>
    </row>
    <row r="1162" spans="1:5" x14ac:dyDescent="0.25">
      <c r="A1162" s="134">
        <v>42500</v>
      </c>
      <c r="B1162" s="136">
        <v>-1.5</v>
      </c>
      <c r="C1162" s="135">
        <v>0.41875000000000001</v>
      </c>
      <c r="D1162" s="135">
        <v>0.24027777777777778</v>
      </c>
      <c r="E1162" s="135">
        <v>0.8618055555555556</v>
      </c>
    </row>
    <row r="1163" spans="1:5" x14ac:dyDescent="0.25">
      <c r="A1163" s="134">
        <v>42500</v>
      </c>
      <c r="B1163" s="136">
        <v>2.2999999999999998</v>
      </c>
      <c r="C1163" s="135">
        <v>0.9243055555555556</v>
      </c>
      <c r="D1163" s="135">
        <v>0.24027777777777778</v>
      </c>
      <c r="E1163" s="135">
        <v>0.8618055555555556</v>
      </c>
    </row>
    <row r="1164" spans="1:5" x14ac:dyDescent="0.25">
      <c r="A1164" s="134">
        <v>42501</v>
      </c>
      <c r="B1164" s="136">
        <v>-0.9</v>
      </c>
      <c r="C1164" s="135">
        <v>0.4548611111111111</v>
      </c>
      <c r="D1164" s="135">
        <v>0.23958333333333334</v>
      </c>
      <c r="E1164" s="135">
        <v>0.86319444444444449</v>
      </c>
    </row>
    <row r="1165" spans="1:5" x14ac:dyDescent="0.25">
      <c r="A1165" s="134">
        <v>42501</v>
      </c>
      <c r="B1165" s="136">
        <v>2.6</v>
      </c>
      <c r="C1165" s="135">
        <v>0.96458333333333335</v>
      </c>
      <c r="D1165" s="135">
        <v>0.23958333333333334</v>
      </c>
      <c r="E1165" s="135">
        <v>0.86319444444444449</v>
      </c>
    </row>
    <row r="1166" spans="1:5" x14ac:dyDescent="0.25">
      <c r="A1166" s="134">
        <v>42502</v>
      </c>
      <c r="B1166" s="136">
        <v>-0.3</v>
      </c>
      <c r="C1166" s="135">
        <v>0.49236111111111114</v>
      </c>
      <c r="D1166" s="135">
        <v>0.2388888888888889</v>
      </c>
      <c r="E1166" s="135">
        <v>0.86388888888888893</v>
      </c>
    </row>
    <row r="1167" spans="1:5" x14ac:dyDescent="0.25">
      <c r="A1167" s="134">
        <v>42503</v>
      </c>
      <c r="B1167" s="136">
        <v>2.8</v>
      </c>
      <c r="C1167" s="135">
        <v>1.1111111111111112E-2</v>
      </c>
      <c r="D1167" s="135">
        <v>0.23749999999999999</v>
      </c>
      <c r="E1167" s="135">
        <v>0.86458333333333337</v>
      </c>
    </row>
    <row r="1168" spans="1:5" x14ac:dyDescent="0.25">
      <c r="A1168" s="134">
        <v>42503</v>
      </c>
      <c r="B1168" s="136">
        <v>0.3</v>
      </c>
      <c r="C1168" s="135">
        <v>0.53194444444444444</v>
      </c>
      <c r="D1168" s="135">
        <v>0.23749999999999999</v>
      </c>
      <c r="E1168" s="135">
        <v>0.86458333333333337</v>
      </c>
    </row>
    <row r="1169" spans="1:5" x14ac:dyDescent="0.25">
      <c r="A1169" s="134">
        <v>42504</v>
      </c>
      <c r="B1169" s="136">
        <v>2.7</v>
      </c>
      <c r="C1169" s="135">
        <v>6.1805555555555558E-2</v>
      </c>
      <c r="D1169" s="135">
        <v>0.23680555555555555</v>
      </c>
      <c r="E1169" s="135">
        <v>0.86597222222222225</v>
      </c>
    </row>
    <row r="1170" spans="1:5" x14ac:dyDescent="0.25">
      <c r="A1170" s="134">
        <v>42504</v>
      </c>
      <c r="B1170" s="136">
        <v>0.8</v>
      </c>
      <c r="C1170" s="135">
        <v>0.57361111111111107</v>
      </c>
      <c r="D1170" s="135">
        <v>0.23680555555555555</v>
      </c>
      <c r="E1170" s="135">
        <v>0.86597222222222225</v>
      </c>
    </row>
    <row r="1171" spans="1:5" x14ac:dyDescent="0.25">
      <c r="A1171" s="134">
        <v>42505</v>
      </c>
      <c r="B1171" s="136">
        <v>2.2999999999999998</v>
      </c>
      <c r="C1171" s="135">
        <v>0.11180555555555556</v>
      </c>
      <c r="D1171" s="135">
        <v>0.2361111111111111</v>
      </c>
      <c r="E1171" s="135">
        <v>0.8666666666666667</v>
      </c>
    </row>
    <row r="1172" spans="1:5" x14ac:dyDescent="0.25">
      <c r="A1172" s="134">
        <v>42505</v>
      </c>
      <c r="B1172" s="136">
        <v>1.2</v>
      </c>
      <c r="C1172" s="135">
        <v>0.61458333333333337</v>
      </c>
      <c r="D1172" s="135">
        <v>0.2361111111111111</v>
      </c>
      <c r="E1172" s="135">
        <v>0.8666666666666667</v>
      </c>
    </row>
    <row r="1173" spans="1:5" x14ac:dyDescent="0.25">
      <c r="A1173" s="134">
        <v>42506</v>
      </c>
      <c r="B1173" s="136">
        <v>1.8</v>
      </c>
      <c r="C1173" s="135">
        <v>0.15625</v>
      </c>
      <c r="D1173" s="135">
        <v>0.23541666666666666</v>
      </c>
      <c r="E1173" s="135">
        <v>0.86736111111111114</v>
      </c>
    </row>
    <row r="1174" spans="1:5" x14ac:dyDescent="0.25">
      <c r="A1174" s="134">
        <v>42506</v>
      </c>
      <c r="B1174" s="136">
        <v>1.4</v>
      </c>
      <c r="C1174" s="135">
        <v>0.65208333333333335</v>
      </c>
      <c r="D1174" s="135">
        <v>0.23541666666666666</v>
      </c>
      <c r="E1174" s="135">
        <v>0.86736111111111114</v>
      </c>
    </row>
    <row r="1175" spans="1:5" x14ac:dyDescent="0.25">
      <c r="A1175" s="134">
        <v>42507</v>
      </c>
      <c r="B1175" s="136">
        <v>1.2</v>
      </c>
      <c r="C1175" s="135">
        <v>0.19236111111111112</v>
      </c>
      <c r="D1175" s="135">
        <v>0.23472222222222222</v>
      </c>
      <c r="E1175" s="135">
        <v>0.86805555555555558</v>
      </c>
    </row>
    <row r="1176" spans="1:5" x14ac:dyDescent="0.25">
      <c r="A1176" s="134">
        <v>42507</v>
      </c>
      <c r="B1176" s="136">
        <v>1.6</v>
      </c>
      <c r="C1176" s="135">
        <v>0.68541666666666667</v>
      </c>
      <c r="D1176" s="135">
        <v>0.23472222222222222</v>
      </c>
      <c r="E1176" s="135">
        <v>0.86805555555555558</v>
      </c>
    </row>
    <row r="1177" spans="1:5" x14ac:dyDescent="0.25">
      <c r="A1177" s="134">
        <v>42508</v>
      </c>
      <c r="B1177" s="136">
        <v>0.6</v>
      </c>
      <c r="C1177" s="135">
        <v>0.22291666666666668</v>
      </c>
      <c r="D1177" s="135">
        <v>0.23333333333333334</v>
      </c>
      <c r="E1177" s="135">
        <v>0.86875000000000002</v>
      </c>
    </row>
    <row r="1178" spans="1:5" x14ac:dyDescent="0.25">
      <c r="A1178" s="134">
        <v>42508</v>
      </c>
      <c r="B1178" s="136">
        <v>1.8</v>
      </c>
      <c r="C1178" s="135">
        <v>0.71527777777777779</v>
      </c>
      <c r="D1178" s="135">
        <v>0.23333333333333334</v>
      </c>
      <c r="E1178" s="135">
        <v>0.86875000000000002</v>
      </c>
    </row>
    <row r="1179" spans="1:5" x14ac:dyDescent="0.25">
      <c r="A1179" s="134">
        <v>42509</v>
      </c>
      <c r="B1179" s="136">
        <v>0.1</v>
      </c>
      <c r="C1179" s="135">
        <v>0.25</v>
      </c>
      <c r="D1179" s="135">
        <v>0.2326388888888889</v>
      </c>
      <c r="E1179" s="135">
        <v>0.87013888888888891</v>
      </c>
    </row>
    <row r="1180" spans="1:5" x14ac:dyDescent="0.25">
      <c r="A1180" s="134">
        <v>42509</v>
      </c>
      <c r="B1180" s="136">
        <v>1.9</v>
      </c>
      <c r="C1180" s="135">
        <v>0.74236111111111114</v>
      </c>
      <c r="D1180" s="135">
        <v>0.2326388888888889</v>
      </c>
      <c r="E1180" s="135">
        <v>0.87013888888888891</v>
      </c>
    </row>
    <row r="1181" spans="1:5" x14ac:dyDescent="0.25">
      <c r="A1181" s="134">
        <v>42510</v>
      </c>
      <c r="B1181" s="136">
        <v>-0.3</v>
      </c>
      <c r="C1181" s="135">
        <v>0.27569444444444446</v>
      </c>
      <c r="D1181" s="135">
        <v>0.23194444444444445</v>
      </c>
      <c r="E1181" s="135">
        <v>0.87083333333333335</v>
      </c>
    </row>
    <row r="1182" spans="1:5" x14ac:dyDescent="0.25">
      <c r="A1182" s="134">
        <v>42510</v>
      </c>
      <c r="B1182" s="136">
        <v>2.1</v>
      </c>
      <c r="C1182" s="135">
        <v>0.76875000000000004</v>
      </c>
      <c r="D1182" s="135">
        <v>0.23194444444444445</v>
      </c>
      <c r="E1182" s="135">
        <v>0.87083333333333335</v>
      </c>
    </row>
    <row r="1183" spans="1:5" x14ac:dyDescent="0.25">
      <c r="A1183" s="134">
        <v>42511</v>
      </c>
      <c r="B1183" s="136">
        <v>-0.6</v>
      </c>
      <c r="C1183" s="135">
        <v>0.3</v>
      </c>
      <c r="D1183" s="135">
        <v>0.23125000000000001</v>
      </c>
      <c r="E1183" s="135">
        <v>0.87152777777777779</v>
      </c>
    </row>
    <row r="1184" spans="1:5" x14ac:dyDescent="0.25">
      <c r="A1184" s="134">
        <v>42511</v>
      </c>
      <c r="B1184" s="136">
        <v>2.2000000000000002</v>
      </c>
      <c r="C1184" s="135">
        <v>0.79374999999999996</v>
      </c>
      <c r="D1184" s="135">
        <v>0.23125000000000001</v>
      </c>
      <c r="E1184" s="135">
        <v>0.87152777777777779</v>
      </c>
    </row>
    <row r="1185" spans="1:5" x14ac:dyDescent="0.25">
      <c r="A1185" s="134">
        <v>42512</v>
      </c>
      <c r="B1185" s="136">
        <v>-0.8</v>
      </c>
      <c r="C1185" s="135">
        <v>0.32430555555555557</v>
      </c>
      <c r="D1185" s="135">
        <v>0.23055555555555557</v>
      </c>
      <c r="E1185" s="135">
        <v>0.87222222222222223</v>
      </c>
    </row>
    <row r="1186" spans="1:5" x14ac:dyDescent="0.25">
      <c r="A1186" s="134">
        <v>42512</v>
      </c>
      <c r="B1186" s="136">
        <v>2.4</v>
      </c>
      <c r="C1186" s="135">
        <v>0.81874999999999998</v>
      </c>
      <c r="D1186" s="135">
        <v>0.23055555555555557</v>
      </c>
      <c r="E1186" s="135">
        <v>0.87222222222222223</v>
      </c>
    </row>
    <row r="1187" spans="1:5" x14ac:dyDescent="0.25">
      <c r="A1187" s="134">
        <v>42513</v>
      </c>
      <c r="B1187" s="136">
        <v>-0.9</v>
      </c>
      <c r="C1187" s="135">
        <v>0.34861111111111109</v>
      </c>
      <c r="D1187" s="135">
        <v>0.2298611111111111</v>
      </c>
      <c r="E1187" s="135">
        <v>0.87291666666666667</v>
      </c>
    </row>
    <row r="1188" spans="1:5" x14ac:dyDescent="0.25">
      <c r="A1188" s="134">
        <v>42513</v>
      </c>
      <c r="B1188" s="136">
        <v>2.5</v>
      </c>
      <c r="C1188" s="135">
        <v>0.84444444444444444</v>
      </c>
      <c r="D1188" s="135">
        <v>0.2298611111111111</v>
      </c>
      <c r="E1188" s="135">
        <v>0.87291666666666667</v>
      </c>
    </row>
    <row r="1189" spans="1:5" x14ac:dyDescent="0.25">
      <c r="A1189" s="134">
        <v>42514</v>
      </c>
      <c r="B1189" s="136">
        <v>-0.9</v>
      </c>
      <c r="C1189" s="135">
        <v>0.37361111111111112</v>
      </c>
      <c r="D1189" s="135">
        <v>0.22916666666666666</v>
      </c>
      <c r="E1189" s="135">
        <v>0.87361111111111112</v>
      </c>
    </row>
    <row r="1190" spans="1:5" x14ac:dyDescent="0.25">
      <c r="A1190" s="134">
        <v>42514</v>
      </c>
      <c r="B1190" s="136">
        <v>2.7</v>
      </c>
      <c r="C1190" s="135">
        <v>0.87152777777777779</v>
      </c>
      <c r="D1190" s="135">
        <v>0.22916666666666666</v>
      </c>
      <c r="E1190" s="135">
        <v>0.87361111111111112</v>
      </c>
    </row>
    <row r="1191" spans="1:5" x14ac:dyDescent="0.25">
      <c r="A1191" s="134">
        <v>42515</v>
      </c>
      <c r="B1191" s="136">
        <v>-0.8</v>
      </c>
      <c r="C1191" s="135">
        <v>0.4</v>
      </c>
      <c r="D1191" s="135">
        <v>0.22847222222222222</v>
      </c>
      <c r="E1191" s="135">
        <v>0.87430555555555556</v>
      </c>
    </row>
    <row r="1192" spans="1:5" x14ac:dyDescent="0.25">
      <c r="A1192" s="134">
        <v>42515</v>
      </c>
      <c r="B1192" s="136">
        <v>2.8</v>
      </c>
      <c r="C1192" s="135">
        <v>0.90069444444444446</v>
      </c>
      <c r="D1192" s="135">
        <v>0.22847222222222222</v>
      </c>
      <c r="E1192" s="135">
        <v>0.87430555555555556</v>
      </c>
    </row>
    <row r="1193" spans="1:5" x14ac:dyDescent="0.25">
      <c r="A1193" s="134">
        <v>42516</v>
      </c>
      <c r="B1193" s="136">
        <v>-0.6</v>
      </c>
      <c r="C1193" s="135">
        <v>0.4284722222222222</v>
      </c>
      <c r="D1193" s="135">
        <v>0.22847222222222222</v>
      </c>
      <c r="E1193" s="135">
        <v>0.875</v>
      </c>
    </row>
    <row r="1194" spans="1:5" x14ac:dyDescent="0.25">
      <c r="A1194" s="134">
        <v>42516</v>
      </c>
      <c r="B1194" s="136">
        <v>2.8</v>
      </c>
      <c r="C1194" s="135">
        <v>0.93472222222222223</v>
      </c>
      <c r="D1194" s="135">
        <v>0.22847222222222222</v>
      </c>
      <c r="E1194" s="135">
        <v>0.875</v>
      </c>
    </row>
    <row r="1195" spans="1:5" x14ac:dyDescent="0.25">
      <c r="A1195" s="134">
        <v>42517</v>
      </c>
      <c r="B1195" s="136">
        <v>-0.4</v>
      </c>
      <c r="C1195" s="135">
        <v>0.46041666666666664</v>
      </c>
      <c r="D1195" s="135">
        <v>0.22777777777777777</v>
      </c>
      <c r="E1195" s="135">
        <v>0.87569444444444444</v>
      </c>
    </row>
    <row r="1196" spans="1:5" x14ac:dyDescent="0.25">
      <c r="A1196" s="134">
        <v>42517</v>
      </c>
      <c r="B1196" s="136">
        <v>2.8</v>
      </c>
      <c r="C1196" s="135">
        <v>0.97499999999999998</v>
      </c>
      <c r="D1196" s="135">
        <v>0.22777777777777777</v>
      </c>
      <c r="E1196" s="135">
        <v>0.87569444444444444</v>
      </c>
    </row>
    <row r="1197" spans="1:5" x14ac:dyDescent="0.25">
      <c r="A1197" s="134">
        <v>42518</v>
      </c>
      <c r="B1197" s="136">
        <v>-0.1</v>
      </c>
      <c r="C1197" s="135">
        <v>0.49513888888888891</v>
      </c>
      <c r="D1197" s="135">
        <v>0.22708333333333333</v>
      </c>
      <c r="E1197" s="135">
        <v>0.87708333333333333</v>
      </c>
    </row>
    <row r="1198" spans="1:5" x14ac:dyDescent="0.25">
      <c r="A1198" s="134">
        <v>42519</v>
      </c>
      <c r="B1198" s="136">
        <v>2.6</v>
      </c>
      <c r="C1198" s="135">
        <v>2.2222222222222223E-2</v>
      </c>
      <c r="D1198" s="135">
        <v>0.22638888888888889</v>
      </c>
      <c r="E1198" s="135">
        <v>0.87708333333333333</v>
      </c>
    </row>
    <row r="1199" spans="1:5" x14ac:dyDescent="0.25">
      <c r="A1199" s="134">
        <v>42519</v>
      </c>
      <c r="B1199" s="136">
        <v>0.3</v>
      </c>
      <c r="C1199" s="135">
        <v>0.53402777777777777</v>
      </c>
      <c r="D1199" s="135">
        <v>0.22638888888888889</v>
      </c>
      <c r="E1199" s="135">
        <v>0.87708333333333333</v>
      </c>
    </row>
    <row r="1200" spans="1:5" x14ac:dyDescent="0.25">
      <c r="A1200" s="134">
        <v>42520</v>
      </c>
      <c r="B1200" s="136">
        <v>2.1</v>
      </c>
      <c r="C1200" s="135">
        <v>7.2222222222222215E-2</v>
      </c>
      <c r="D1200" s="135">
        <v>0.22638888888888889</v>
      </c>
      <c r="E1200" s="135">
        <v>0.87777777777777777</v>
      </c>
    </row>
    <row r="1201" spans="1:5" x14ac:dyDescent="0.25">
      <c r="A1201" s="134">
        <v>42520</v>
      </c>
      <c r="B1201" s="136">
        <v>0.6</v>
      </c>
      <c r="C1201" s="135">
        <v>0.5756944444444444</v>
      </c>
      <c r="D1201" s="135">
        <v>0.22638888888888889</v>
      </c>
      <c r="E1201" s="135">
        <v>0.87777777777777777</v>
      </c>
    </row>
    <row r="1202" spans="1:5" x14ac:dyDescent="0.25">
      <c r="A1202" s="134">
        <v>42521</v>
      </c>
      <c r="B1202" s="136">
        <v>1.3</v>
      </c>
      <c r="C1202" s="135">
        <v>0.12083333333333333</v>
      </c>
      <c r="D1202" s="135">
        <v>0.22569444444444445</v>
      </c>
      <c r="E1202" s="135">
        <v>0.87847222222222221</v>
      </c>
    </row>
    <row r="1203" spans="1:5" x14ac:dyDescent="0.25">
      <c r="A1203" s="134">
        <v>42521</v>
      </c>
      <c r="B1203" s="136">
        <v>0.9</v>
      </c>
      <c r="C1203" s="135">
        <v>0.61805555555555558</v>
      </c>
      <c r="D1203" s="135">
        <v>0.22569444444444445</v>
      </c>
      <c r="E1203" s="135">
        <v>0.87847222222222221</v>
      </c>
    </row>
    <row r="1204" spans="1:5" x14ac:dyDescent="0.25">
      <c r="A1204" s="134">
        <v>42522</v>
      </c>
      <c r="B1204" s="136">
        <v>0.4</v>
      </c>
      <c r="C1204" s="135">
        <v>0.16458333333333333</v>
      </c>
      <c r="D1204" s="135">
        <v>0.22500000000000001</v>
      </c>
      <c r="E1204" s="135">
        <v>0.87916666666666665</v>
      </c>
    </row>
    <row r="1205" spans="1:5" x14ac:dyDescent="0.25">
      <c r="A1205" s="134">
        <v>42522</v>
      </c>
      <c r="B1205" s="136">
        <v>1.1000000000000001</v>
      </c>
      <c r="C1205" s="135">
        <v>0.65902777777777777</v>
      </c>
      <c r="D1205" s="135">
        <v>0.22500000000000001</v>
      </c>
      <c r="E1205" s="135">
        <v>0.87916666666666665</v>
      </c>
    </row>
    <row r="1206" spans="1:5" x14ac:dyDescent="0.25">
      <c r="A1206" s="134">
        <v>42523</v>
      </c>
      <c r="B1206" s="136">
        <v>-0.5</v>
      </c>
      <c r="C1206" s="135">
        <v>0.20416666666666666</v>
      </c>
      <c r="D1206" s="135">
        <v>0.22500000000000001</v>
      </c>
      <c r="E1206" s="135">
        <v>0.87986111111111109</v>
      </c>
    </row>
    <row r="1207" spans="1:5" x14ac:dyDescent="0.25">
      <c r="A1207" s="134">
        <v>42523</v>
      </c>
      <c r="B1207" s="136">
        <v>1.3</v>
      </c>
      <c r="C1207" s="135">
        <v>0.69861111111111107</v>
      </c>
      <c r="D1207" s="135">
        <v>0.22500000000000001</v>
      </c>
      <c r="E1207" s="135">
        <v>0.87986111111111109</v>
      </c>
    </row>
    <row r="1208" spans="1:5" x14ac:dyDescent="0.25">
      <c r="A1208" s="134">
        <v>42524</v>
      </c>
      <c r="B1208" s="136">
        <v>-1.4</v>
      </c>
      <c r="C1208" s="135">
        <v>0.24097222222222223</v>
      </c>
      <c r="D1208" s="135">
        <v>0.22430555555555556</v>
      </c>
      <c r="E1208" s="135">
        <v>0.88055555555555554</v>
      </c>
    </row>
    <row r="1209" spans="1:5" x14ac:dyDescent="0.25">
      <c r="A1209" s="134">
        <v>42524</v>
      </c>
      <c r="B1209" s="136">
        <v>1.4</v>
      </c>
      <c r="C1209" s="135">
        <v>0.73611111111111116</v>
      </c>
      <c r="D1209" s="135">
        <v>0.22430555555555556</v>
      </c>
      <c r="E1209" s="135">
        <v>0.88055555555555554</v>
      </c>
    </row>
    <row r="1210" spans="1:5" x14ac:dyDescent="0.25">
      <c r="A1210" s="134">
        <v>42525</v>
      </c>
      <c r="B1210" s="136">
        <v>-2</v>
      </c>
      <c r="C1210" s="135">
        <v>0.27500000000000002</v>
      </c>
      <c r="D1210" s="135">
        <v>0.22430555555555556</v>
      </c>
      <c r="E1210" s="135">
        <v>0.88124999999999998</v>
      </c>
    </row>
    <row r="1211" spans="1:5" x14ac:dyDescent="0.25">
      <c r="A1211" s="134">
        <v>42525</v>
      </c>
      <c r="B1211" s="136">
        <v>1.5</v>
      </c>
      <c r="C1211" s="135">
        <v>0.77152777777777781</v>
      </c>
      <c r="D1211" s="135">
        <v>0.22430555555555556</v>
      </c>
      <c r="E1211" s="135">
        <v>0.88124999999999998</v>
      </c>
    </row>
    <row r="1212" spans="1:5" x14ac:dyDescent="0.25">
      <c r="A1212" s="134">
        <v>42526</v>
      </c>
      <c r="B1212" s="136">
        <v>-2.2999999999999998</v>
      </c>
      <c r="C1212" s="135">
        <v>0.30833333333333335</v>
      </c>
      <c r="D1212" s="135">
        <v>0.22361111111111112</v>
      </c>
      <c r="E1212" s="135">
        <v>0.88194444444444442</v>
      </c>
    </row>
    <row r="1213" spans="1:5" x14ac:dyDescent="0.25">
      <c r="A1213" s="134">
        <v>42526</v>
      </c>
      <c r="B1213" s="136">
        <v>1.7</v>
      </c>
      <c r="C1213" s="135">
        <v>0.80625000000000002</v>
      </c>
      <c r="D1213" s="135">
        <v>0.22361111111111112</v>
      </c>
      <c r="E1213" s="135">
        <v>0.88194444444444442</v>
      </c>
    </row>
    <row r="1214" spans="1:5" x14ac:dyDescent="0.25">
      <c r="A1214" s="134">
        <v>42527</v>
      </c>
      <c r="B1214" s="136">
        <v>-2.2999999999999998</v>
      </c>
      <c r="C1214" s="135">
        <v>0.34097222222222223</v>
      </c>
      <c r="D1214" s="135">
        <v>0.22361111111111112</v>
      </c>
      <c r="E1214" s="135">
        <v>0.88194444444444442</v>
      </c>
    </row>
    <row r="1215" spans="1:5" x14ac:dyDescent="0.25">
      <c r="A1215" s="134">
        <v>42527</v>
      </c>
      <c r="B1215" s="136">
        <v>1.8</v>
      </c>
      <c r="C1215" s="135">
        <v>0.84097222222222223</v>
      </c>
      <c r="D1215" s="135">
        <v>0.22361111111111112</v>
      </c>
      <c r="E1215" s="135">
        <v>0.88194444444444442</v>
      </c>
    </row>
    <row r="1216" spans="1:5" x14ac:dyDescent="0.25">
      <c r="A1216" s="134">
        <v>42528</v>
      </c>
      <c r="B1216" s="136">
        <v>-2.1</v>
      </c>
      <c r="C1216" s="135">
        <v>0.37291666666666667</v>
      </c>
      <c r="D1216" s="135">
        <v>0.22361111111111112</v>
      </c>
      <c r="E1216" s="135">
        <v>0.88263888888888886</v>
      </c>
    </row>
    <row r="1217" spans="1:5" x14ac:dyDescent="0.25">
      <c r="A1217" s="134">
        <v>42528</v>
      </c>
      <c r="B1217" s="136">
        <v>2</v>
      </c>
      <c r="C1217" s="135">
        <v>0.87569444444444444</v>
      </c>
      <c r="D1217" s="135">
        <v>0.22361111111111112</v>
      </c>
      <c r="E1217" s="135">
        <v>0.88263888888888886</v>
      </c>
    </row>
    <row r="1218" spans="1:5" x14ac:dyDescent="0.25">
      <c r="A1218" s="134">
        <v>42529</v>
      </c>
      <c r="B1218" s="136">
        <v>-1.7</v>
      </c>
      <c r="C1218" s="135">
        <v>0.40416666666666667</v>
      </c>
      <c r="D1218" s="135">
        <v>0.22291666666666668</v>
      </c>
      <c r="E1218" s="135">
        <v>0.8833333333333333</v>
      </c>
    </row>
    <row r="1219" spans="1:5" x14ac:dyDescent="0.25">
      <c r="A1219" s="134">
        <v>42529</v>
      </c>
      <c r="B1219" s="136">
        <v>2.2000000000000002</v>
      </c>
      <c r="C1219" s="135">
        <v>0.91249999999999998</v>
      </c>
      <c r="D1219" s="135">
        <v>0.22291666666666668</v>
      </c>
      <c r="E1219" s="135">
        <v>0.8833333333333333</v>
      </c>
    </row>
    <row r="1220" spans="1:5" x14ac:dyDescent="0.25">
      <c r="A1220" s="134">
        <v>42530</v>
      </c>
      <c r="B1220" s="136">
        <v>-1.1000000000000001</v>
      </c>
      <c r="C1220" s="135">
        <v>0.43611111111111112</v>
      </c>
      <c r="D1220" s="135">
        <v>0.22291666666666668</v>
      </c>
      <c r="E1220" s="135">
        <v>0.8833333333333333</v>
      </c>
    </row>
    <row r="1221" spans="1:5" x14ac:dyDescent="0.25">
      <c r="A1221" s="134">
        <v>42530</v>
      </c>
      <c r="B1221" s="136">
        <v>2.2999999999999998</v>
      </c>
      <c r="C1221" s="135">
        <v>0.9506944444444444</v>
      </c>
      <c r="D1221" s="135">
        <v>0.22291666666666668</v>
      </c>
      <c r="E1221" s="135">
        <v>0.8833333333333333</v>
      </c>
    </row>
    <row r="1222" spans="1:5" x14ac:dyDescent="0.25">
      <c r="A1222" s="134">
        <v>42531</v>
      </c>
      <c r="B1222" s="136">
        <v>-0.5</v>
      </c>
      <c r="C1222" s="135">
        <v>0.46875</v>
      </c>
      <c r="D1222" s="135">
        <v>0.22291666666666668</v>
      </c>
      <c r="E1222" s="135">
        <v>0.88402777777777775</v>
      </c>
    </row>
    <row r="1223" spans="1:5" x14ac:dyDescent="0.25">
      <c r="A1223" s="134">
        <v>42531</v>
      </c>
      <c r="B1223" s="136">
        <v>2.2999999999999998</v>
      </c>
      <c r="C1223" s="135">
        <v>0.99236111111111114</v>
      </c>
      <c r="D1223" s="135">
        <v>0.22291666666666668</v>
      </c>
      <c r="E1223" s="135">
        <v>0.88402777777777775</v>
      </c>
    </row>
    <row r="1224" spans="1:5" x14ac:dyDescent="0.25">
      <c r="A1224" s="134">
        <v>42532</v>
      </c>
      <c r="B1224" s="136">
        <v>0.2</v>
      </c>
      <c r="C1224" s="135">
        <v>0.50277777777777777</v>
      </c>
      <c r="D1224" s="135">
        <v>0.22222222222222221</v>
      </c>
      <c r="E1224" s="135">
        <v>0.88472222222222219</v>
      </c>
    </row>
    <row r="1225" spans="1:5" x14ac:dyDescent="0.25">
      <c r="A1225" s="134">
        <v>42533</v>
      </c>
      <c r="B1225" s="136">
        <v>2.2999999999999998</v>
      </c>
      <c r="C1225" s="135">
        <v>3.7499999999999999E-2</v>
      </c>
      <c r="D1225" s="135">
        <v>0.22222222222222221</v>
      </c>
      <c r="E1225" s="135">
        <v>0.88472222222222219</v>
      </c>
    </row>
    <row r="1226" spans="1:5" x14ac:dyDescent="0.25">
      <c r="A1226" s="134">
        <v>42533</v>
      </c>
      <c r="B1226" s="136">
        <v>0.8</v>
      </c>
      <c r="C1226" s="135">
        <v>0.53819444444444442</v>
      </c>
      <c r="D1226" s="135">
        <v>0.22222222222222221</v>
      </c>
      <c r="E1226" s="135">
        <v>0.88472222222222219</v>
      </c>
    </row>
    <row r="1227" spans="1:5" x14ac:dyDescent="0.25">
      <c r="A1227" s="134">
        <v>42534</v>
      </c>
      <c r="B1227" s="136">
        <v>2</v>
      </c>
      <c r="C1227" s="135">
        <v>8.4027777777777785E-2</v>
      </c>
      <c r="D1227" s="135">
        <v>0.22222222222222221</v>
      </c>
      <c r="E1227" s="135">
        <v>0.88541666666666663</v>
      </c>
    </row>
    <row r="1228" spans="1:5" x14ac:dyDescent="0.25">
      <c r="A1228" s="134">
        <v>42534</v>
      </c>
      <c r="B1228" s="136">
        <v>1.4</v>
      </c>
      <c r="C1228" s="135">
        <v>0.57499999999999996</v>
      </c>
      <c r="D1228" s="135">
        <v>0.22222222222222221</v>
      </c>
      <c r="E1228" s="135">
        <v>0.88541666666666663</v>
      </c>
    </row>
    <row r="1229" spans="1:5" x14ac:dyDescent="0.25">
      <c r="A1229" s="134">
        <v>42535</v>
      </c>
      <c r="B1229" s="136">
        <v>1.5</v>
      </c>
      <c r="C1229" s="135">
        <v>0.12847222222222221</v>
      </c>
      <c r="D1229" s="135">
        <v>0.22222222222222221</v>
      </c>
      <c r="E1229" s="135">
        <v>0.88541666666666663</v>
      </c>
    </row>
    <row r="1230" spans="1:5" x14ac:dyDescent="0.25">
      <c r="A1230" s="134">
        <v>42535</v>
      </c>
      <c r="B1230" s="136">
        <v>1.8</v>
      </c>
      <c r="C1230" s="135">
        <v>0.61250000000000004</v>
      </c>
      <c r="D1230" s="135">
        <v>0.22222222222222221</v>
      </c>
      <c r="E1230" s="135">
        <v>0.88541666666666663</v>
      </c>
    </row>
    <row r="1231" spans="1:5" x14ac:dyDescent="0.25">
      <c r="A1231" s="134">
        <v>42536</v>
      </c>
      <c r="B1231" s="136">
        <v>1</v>
      </c>
      <c r="C1231" s="135">
        <v>0.1673611111111111</v>
      </c>
      <c r="D1231" s="135">
        <v>0.22222222222222221</v>
      </c>
      <c r="E1231" s="135">
        <v>0.88611111111111107</v>
      </c>
    </row>
    <row r="1232" spans="1:5" x14ac:dyDescent="0.25">
      <c r="A1232" s="134">
        <v>42536</v>
      </c>
      <c r="B1232" s="136">
        <v>2.1</v>
      </c>
      <c r="C1232" s="135">
        <v>0.64930555555555558</v>
      </c>
      <c r="D1232" s="135">
        <v>0.22222222222222221</v>
      </c>
      <c r="E1232" s="135">
        <v>0.88611111111111107</v>
      </c>
    </row>
    <row r="1233" spans="1:5" x14ac:dyDescent="0.25">
      <c r="A1233" s="134">
        <v>42537</v>
      </c>
      <c r="B1233" s="136">
        <v>0.4</v>
      </c>
      <c r="C1233" s="135">
        <v>0.20069444444444445</v>
      </c>
      <c r="D1233" s="135">
        <v>0.22222222222222221</v>
      </c>
      <c r="E1233" s="135">
        <v>0.88611111111111107</v>
      </c>
    </row>
    <row r="1234" spans="1:5" x14ac:dyDescent="0.25">
      <c r="A1234" s="134">
        <v>42537</v>
      </c>
      <c r="B1234" s="136">
        <v>2.2999999999999998</v>
      </c>
      <c r="C1234" s="135">
        <v>0.68402777777777779</v>
      </c>
      <c r="D1234" s="135">
        <v>0.22222222222222221</v>
      </c>
      <c r="E1234" s="135">
        <v>0.88611111111111107</v>
      </c>
    </row>
    <row r="1235" spans="1:5" x14ac:dyDescent="0.25">
      <c r="A1235" s="134">
        <v>42538</v>
      </c>
      <c r="B1235" s="136">
        <v>-0.1</v>
      </c>
      <c r="C1235" s="135">
        <v>0.23055555555555557</v>
      </c>
      <c r="D1235" s="135">
        <v>0.22222222222222221</v>
      </c>
      <c r="E1235" s="135">
        <v>0.88611111111111107</v>
      </c>
    </row>
    <row r="1236" spans="1:5" x14ac:dyDescent="0.25">
      <c r="A1236" s="134">
        <v>42538</v>
      </c>
      <c r="B1236" s="136">
        <v>2.4</v>
      </c>
      <c r="C1236" s="135">
        <v>0.71597222222222223</v>
      </c>
      <c r="D1236" s="135">
        <v>0.22222222222222221</v>
      </c>
      <c r="E1236" s="135">
        <v>0.88611111111111107</v>
      </c>
    </row>
    <row r="1237" spans="1:5" x14ac:dyDescent="0.25">
      <c r="A1237" s="134">
        <v>42539</v>
      </c>
      <c r="B1237" s="136">
        <v>-0.6</v>
      </c>
      <c r="C1237" s="135">
        <v>0.25763888888888886</v>
      </c>
      <c r="D1237" s="135">
        <v>0.22222222222222221</v>
      </c>
      <c r="E1237" s="135">
        <v>0.88680555555555551</v>
      </c>
    </row>
    <row r="1238" spans="1:5" x14ac:dyDescent="0.25">
      <c r="A1238" s="134">
        <v>42539</v>
      </c>
      <c r="B1238" s="136">
        <v>2.5</v>
      </c>
      <c r="C1238" s="135">
        <v>0.74583333333333335</v>
      </c>
      <c r="D1238" s="135">
        <v>0.22222222222222221</v>
      </c>
      <c r="E1238" s="135">
        <v>0.88680555555555551</v>
      </c>
    </row>
    <row r="1239" spans="1:5" x14ac:dyDescent="0.25">
      <c r="A1239" s="134">
        <v>42540</v>
      </c>
      <c r="B1239" s="136">
        <v>-0.9</v>
      </c>
      <c r="C1239" s="135">
        <v>0.28333333333333333</v>
      </c>
      <c r="D1239" s="135">
        <v>0.22222222222222221</v>
      </c>
      <c r="E1239" s="135">
        <v>0.88680555555555551</v>
      </c>
    </row>
    <row r="1240" spans="1:5" x14ac:dyDescent="0.25">
      <c r="A1240" s="134">
        <v>42540</v>
      </c>
      <c r="B1240" s="136">
        <v>2.5</v>
      </c>
      <c r="C1240" s="135">
        <v>0.77430555555555558</v>
      </c>
      <c r="D1240" s="135">
        <v>0.22222222222222221</v>
      </c>
      <c r="E1240" s="135">
        <v>0.88680555555555551</v>
      </c>
    </row>
    <row r="1241" spans="1:5" x14ac:dyDescent="0.25">
      <c r="A1241" s="134">
        <v>42541</v>
      </c>
      <c r="B1241" s="136">
        <v>-1.2</v>
      </c>
      <c r="C1241" s="135">
        <v>0.30902777777777779</v>
      </c>
      <c r="D1241" s="135">
        <v>0.22291666666666668</v>
      </c>
      <c r="E1241" s="135">
        <v>0.88680555555555551</v>
      </c>
    </row>
    <row r="1242" spans="1:5" x14ac:dyDescent="0.25">
      <c r="A1242" s="134">
        <v>42541</v>
      </c>
      <c r="B1242" s="136">
        <v>2.5</v>
      </c>
      <c r="C1242" s="135">
        <v>0.80277777777777781</v>
      </c>
      <c r="D1242" s="135">
        <v>0.22291666666666668</v>
      </c>
      <c r="E1242" s="135">
        <v>0.88680555555555551</v>
      </c>
    </row>
    <row r="1243" spans="1:5" x14ac:dyDescent="0.25">
      <c r="A1243" s="134">
        <v>42542</v>
      </c>
      <c r="B1243" s="136">
        <v>-1.3</v>
      </c>
      <c r="C1243" s="135">
        <v>0.3347222222222222</v>
      </c>
      <c r="D1243" s="135">
        <v>0.22291666666666668</v>
      </c>
      <c r="E1243" s="135">
        <v>0.88680555555555551</v>
      </c>
    </row>
    <row r="1244" spans="1:5" x14ac:dyDescent="0.25">
      <c r="A1244" s="134">
        <v>42542</v>
      </c>
      <c r="B1244" s="136">
        <v>2.4</v>
      </c>
      <c r="C1244" s="135">
        <v>0.8305555555555556</v>
      </c>
      <c r="D1244" s="135">
        <v>0.22291666666666668</v>
      </c>
      <c r="E1244" s="135">
        <v>0.88680555555555551</v>
      </c>
    </row>
    <row r="1245" spans="1:5" x14ac:dyDescent="0.25">
      <c r="A1245" s="134">
        <v>42543</v>
      </c>
      <c r="B1245" s="136">
        <v>-1.4</v>
      </c>
      <c r="C1245" s="135">
        <v>0.36041666666666666</v>
      </c>
      <c r="D1245" s="135">
        <v>0.22291666666666668</v>
      </c>
      <c r="E1245" s="135">
        <v>0.88680555555555551</v>
      </c>
    </row>
    <row r="1246" spans="1:5" x14ac:dyDescent="0.25">
      <c r="A1246" s="134">
        <v>42543</v>
      </c>
      <c r="B1246" s="136">
        <v>2.4</v>
      </c>
      <c r="C1246" s="135">
        <v>0.86041666666666672</v>
      </c>
      <c r="D1246" s="135">
        <v>0.22291666666666668</v>
      </c>
      <c r="E1246" s="135">
        <v>0.88680555555555551</v>
      </c>
    </row>
    <row r="1247" spans="1:5" x14ac:dyDescent="0.25">
      <c r="A1247" s="134">
        <v>42544</v>
      </c>
      <c r="B1247" s="136">
        <v>-1.3</v>
      </c>
      <c r="C1247" s="135">
        <v>0.38680555555555557</v>
      </c>
      <c r="D1247" s="135">
        <v>0.22291666666666668</v>
      </c>
      <c r="E1247" s="135">
        <v>0.88749999999999996</v>
      </c>
    </row>
    <row r="1248" spans="1:5" x14ac:dyDescent="0.25">
      <c r="A1248" s="134">
        <v>42544</v>
      </c>
      <c r="B1248" s="136">
        <v>2.2999999999999998</v>
      </c>
      <c r="C1248" s="135">
        <v>0.89166666666666672</v>
      </c>
      <c r="D1248" s="135">
        <v>0.22291666666666668</v>
      </c>
      <c r="E1248" s="135">
        <v>0.88749999999999996</v>
      </c>
    </row>
    <row r="1249" spans="1:5" x14ac:dyDescent="0.25">
      <c r="A1249" s="134">
        <v>42545</v>
      </c>
      <c r="B1249" s="136">
        <v>-1.1000000000000001</v>
      </c>
      <c r="C1249" s="135">
        <v>0.41458333333333336</v>
      </c>
      <c r="D1249" s="135">
        <v>0.22361111111111112</v>
      </c>
      <c r="E1249" s="135">
        <v>0.88749999999999996</v>
      </c>
    </row>
    <row r="1250" spans="1:5" x14ac:dyDescent="0.25">
      <c r="A1250" s="134">
        <v>42545</v>
      </c>
      <c r="B1250" s="136">
        <v>2.2000000000000002</v>
      </c>
      <c r="C1250" s="135">
        <v>0.92638888888888893</v>
      </c>
      <c r="D1250" s="135">
        <v>0.22361111111111112</v>
      </c>
      <c r="E1250" s="135">
        <v>0.88749999999999996</v>
      </c>
    </row>
    <row r="1251" spans="1:5" x14ac:dyDescent="0.25">
      <c r="A1251" s="134">
        <v>42546</v>
      </c>
      <c r="B1251" s="136">
        <v>-0.8</v>
      </c>
      <c r="C1251" s="135">
        <v>0.44444444444444442</v>
      </c>
      <c r="D1251" s="135">
        <v>0.22361111111111112</v>
      </c>
      <c r="E1251" s="135">
        <v>0.88749999999999996</v>
      </c>
    </row>
    <row r="1252" spans="1:5" x14ac:dyDescent="0.25">
      <c r="A1252" s="134">
        <v>42546</v>
      </c>
      <c r="B1252" s="136">
        <v>2</v>
      </c>
      <c r="C1252" s="135">
        <v>0.96527777777777779</v>
      </c>
      <c r="D1252" s="135">
        <v>0.22361111111111112</v>
      </c>
      <c r="E1252" s="135">
        <v>0.88749999999999996</v>
      </c>
    </row>
    <row r="1253" spans="1:5" x14ac:dyDescent="0.25">
      <c r="A1253" s="134">
        <v>42547</v>
      </c>
      <c r="B1253" s="136">
        <v>-0.3</v>
      </c>
      <c r="C1253" s="135">
        <v>0.47638888888888886</v>
      </c>
      <c r="D1253" s="135">
        <v>0.22430555555555556</v>
      </c>
      <c r="E1253" s="135">
        <v>0.88749999999999996</v>
      </c>
    </row>
    <row r="1254" spans="1:5" x14ac:dyDescent="0.25">
      <c r="A1254" s="134">
        <v>42548</v>
      </c>
      <c r="B1254" s="136">
        <v>1.8</v>
      </c>
      <c r="C1254" s="135">
        <v>9.7222222222222224E-3</v>
      </c>
      <c r="D1254" s="135">
        <v>0.22430555555555556</v>
      </c>
      <c r="E1254" s="135">
        <v>0.88749999999999996</v>
      </c>
    </row>
    <row r="1255" spans="1:5" x14ac:dyDescent="0.25">
      <c r="A1255" s="134">
        <v>42548</v>
      </c>
      <c r="B1255" s="136">
        <v>0.3</v>
      </c>
      <c r="C1255" s="135">
        <v>0.51180555555555551</v>
      </c>
      <c r="D1255" s="135">
        <v>0.22430555555555556</v>
      </c>
      <c r="E1255" s="135">
        <v>0.88749999999999996</v>
      </c>
    </row>
    <row r="1256" spans="1:5" x14ac:dyDescent="0.25">
      <c r="A1256" s="134">
        <v>42549</v>
      </c>
      <c r="B1256" s="136">
        <v>1.3</v>
      </c>
      <c r="C1256" s="135">
        <v>5.7638888888888892E-2</v>
      </c>
      <c r="D1256" s="135">
        <v>0.22430555555555556</v>
      </c>
      <c r="E1256" s="135">
        <v>0.88680555555555551</v>
      </c>
    </row>
    <row r="1257" spans="1:5" x14ac:dyDescent="0.25">
      <c r="A1257" s="134">
        <v>42549</v>
      </c>
      <c r="B1257" s="136">
        <v>0.8</v>
      </c>
      <c r="C1257" s="135">
        <v>0.55138888888888893</v>
      </c>
      <c r="D1257" s="135">
        <v>0.22430555555555556</v>
      </c>
      <c r="E1257" s="135">
        <v>0.88680555555555551</v>
      </c>
    </row>
    <row r="1258" spans="1:5" x14ac:dyDescent="0.25">
      <c r="A1258" s="134">
        <v>42550</v>
      </c>
      <c r="B1258" s="136">
        <v>0.7</v>
      </c>
      <c r="C1258" s="135">
        <v>0.10625</v>
      </c>
      <c r="D1258" s="135">
        <v>0.22500000000000001</v>
      </c>
      <c r="E1258" s="135">
        <v>0.88680555555555551</v>
      </c>
    </row>
    <row r="1259" spans="1:5" x14ac:dyDescent="0.25">
      <c r="A1259" s="134">
        <v>42550</v>
      </c>
      <c r="B1259" s="136">
        <v>1.3</v>
      </c>
      <c r="C1259" s="135">
        <v>0.59444444444444444</v>
      </c>
      <c r="D1259" s="135">
        <v>0.22500000000000001</v>
      </c>
      <c r="E1259" s="135">
        <v>0.88680555555555551</v>
      </c>
    </row>
    <row r="1260" spans="1:5" x14ac:dyDescent="0.25">
      <c r="A1260" s="134">
        <v>42551</v>
      </c>
      <c r="B1260" s="136">
        <v>-0.1</v>
      </c>
      <c r="C1260" s="135">
        <v>0.15208333333333332</v>
      </c>
      <c r="D1260" s="135">
        <v>0.22569444444444445</v>
      </c>
      <c r="E1260" s="135">
        <v>0.88680555555555551</v>
      </c>
    </row>
    <row r="1261" spans="1:5" x14ac:dyDescent="0.25">
      <c r="A1261" s="134">
        <v>42551</v>
      </c>
      <c r="B1261" s="136">
        <v>1.7</v>
      </c>
      <c r="C1261" s="135">
        <v>0.63888888888888884</v>
      </c>
      <c r="D1261" s="135">
        <v>0.22569444444444445</v>
      </c>
      <c r="E1261" s="135">
        <v>0.88680555555555551</v>
      </c>
    </row>
    <row r="1262" spans="1:5" x14ac:dyDescent="0.25">
      <c r="A1262" s="134">
        <v>42552</v>
      </c>
      <c r="B1262" s="136">
        <v>-0.8</v>
      </c>
      <c r="C1262" s="135">
        <v>0.19375000000000001</v>
      </c>
      <c r="D1262" s="135">
        <v>0.22569444444444445</v>
      </c>
      <c r="E1262" s="135">
        <v>0.88680555555555551</v>
      </c>
    </row>
    <row r="1263" spans="1:5" x14ac:dyDescent="0.25">
      <c r="A1263" s="134">
        <v>42552</v>
      </c>
      <c r="B1263" s="136">
        <v>1.9</v>
      </c>
      <c r="C1263" s="135">
        <v>0.68263888888888891</v>
      </c>
      <c r="D1263" s="135">
        <v>0.22569444444444445</v>
      </c>
      <c r="E1263" s="135">
        <v>0.88680555555555551</v>
      </c>
    </row>
    <row r="1264" spans="1:5" x14ac:dyDescent="0.25">
      <c r="A1264" s="134">
        <v>42553</v>
      </c>
      <c r="B1264" s="136">
        <v>-1.5</v>
      </c>
      <c r="C1264" s="135">
        <v>0.23125000000000001</v>
      </c>
      <c r="D1264" s="135">
        <v>0.22638888888888889</v>
      </c>
      <c r="E1264" s="135">
        <v>0.88680555555555551</v>
      </c>
    </row>
    <row r="1265" spans="1:5" x14ac:dyDescent="0.25">
      <c r="A1265" s="134">
        <v>42553</v>
      </c>
      <c r="B1265" s="136">
        <v>1.9</v>
      </c>
      <c r="C1265" s="135">
        <v>0.72291666666666665</v>
      </c>
      <c r="D1265" s="135">
        <v>0.22638888888888889</v>
      </c>
      <c r="E1265" s="135">
        <v>0.88680555555555551</v>
      </c>
    </row>
    <row r="1266" spans="1:5" x14ac:dyDescent="0.25">
      <c r="A1266" s="134">
        <v>42554</v>
      </c>
      <c r="B1266" s="136">
        <v>-1.9</v>
      </c>
      <c r="C1266" s="135">
        <v>0.26597222222222222</v>
      </c>
      <c r="D1266" s="135">
        <v>0.22638888888888889</v>
      </c>
      <c r="E1266" s="135">
        <v>0.88611111111111107</v>
      </c>
    </row>
    <row r="1267" spans="1:5" x14ac:dyDescent="0.25">
      <c r="A1267" s="134">
        <v>42554</v>
      </c>
      <c r="B1267" s="136">
        <v>1.9</v>
      </c>
      <c r="C1267" s="135">
        <v>0.76041666666666663</v>
      </c>
      <c r="D1267" s="135">
        <v>0.22638888888888889</v>
      </c>
      <c r="E1267" s="135">
        <v>0.88611111111111107</v>
      </c>
    </row>
    <row r="1268" spans="1:5" x14ac:dyDescent="0.25">
      <c r="A1268" s="134">
        <v>42555</v>
      </c>
      <c r="B1268" s="136">
        <v>-2.1</v>
      </c>
      <c r="C1268" s="135">
        <v>0.2986111111111111</v>
      </c>
      <c r="D1268" s="135">
        <v>0.22708333333333333</v>
      </c>
      <c r="E1268" s="135">
        <v>0.88611111111111107</v>
      </c>
    </row>
    <row r="1269" spans="1:5" x14ac:dyDescent="0.25">
      <c r="A1269" s="134">
        <v>42555</v>
      </c>
      <c r="B1269" s="136">
        <v>1.8</v>
      </c>
      <c r="C1269" s="135">
        <v>0.79652777777777772</v>
      </c>
      <c r="D1269" s="135">
        <v>0.22708333333333333</v>
      </c>
      <c r="E1269" s="135">
        <v>0.88611111111111107</v>
      </c>
    </row>
    <row r="1270" spans="1:5" x14ac:dyDescent="0.25">
      <c r="A1270" s="134">
        <v>42556</v>
      </c>
      <c r="B1270" s="136">
        <v>-2.1</v>
      </c>
      <c r="C1270" s="135">
        <v>0.32916666666666666</v>
      </c>
      <c r="D1270" s="135">
        <v>0.22777777777777777</v>
      </c>
      <c r="E1270" s="135">
        <v>0.88541666666666663</v>
      </c>
    </row>
    <row r="1271" spans="1:5" x14ac:dyDescent="0.25">
      <c r="A1271" s="134">
        <v>42556</v>
      </c>
      <c r="B1271" s="136">
        <v>1.7</v>
      </c>
      <c r="C1271" s="135">
        <v>0.8305555555555556</v>
      </c>
      <c r="D1271" s="135">
        <v>0.22777777777777777</v>
      </c>
      <c r="E1271" s="135">
        <v>0.88541666666666663</v>
      </c>
    </row>
    <row r="1272" spans="1:5" x14ac:dyDescent="0.25">
      <c r="A1272" s="134">
        <v>42557</v>
      </c>
      <c r="B1272" s="136">
        <v>-1.9</v>
      </c>
      <c r="C1272" s="135">
        <v>0.35902777777777778</v>
      </c>
      <c r="D1272" s="135">
        <v>0.22847222222222222</v>
      </c>
      <c r="E1272" s="135">
        <v>0.88541666666666663</v>
      </c>
    </row>
    <row r="1273" spans="1:5" x14ac:dyDescent="0.25">
      <c r="A1273" s="134">
        <v>42557</v>
      </c>
      <c r="B1273" s="136">
        <v>1.7</v>
      </c>
      <c r="C1273" s="135">
        <v>0.86388888888888893</v>
      </c>
      <c r="D1273" s="135">
        <v>0.22847222222222222</v>
      </c>
      <c r="E1273" s="135">
        <v>0.88541666666666663</v>
      </c>
    </row>
    <row r="1274" spans="1:5" x14ac:dyDescent="0.25">
      <c r="A1274" s="134">
        <v>42558</v>
      </c>
      <c r="B1274" s="136">
        <v>-1.5</v>
      </c>
      <c r="C1274" s="135">
        <v>0.38750000000000001</v>
      </c>
      <c r="D1274" s="135">
        <v>0.22847222222222222</v>
      </c>
      <c r="E1274" s="135">
        <v>0.88472222222222219</v>
      </c>
    </row>
    <row r="1275" spans="1:5" x14ac:dyDescent="0.25">
      <c r="A1275" s="134">
        <v>42558</v>
      </c>
      <c r="B1275" s="136">
        <v>1.8</v>
      </c>
      <c r="C1275" s="135">
        <v>0.89722222222222225</v>
      </c>
      <c r="D1275" s="135">
        <v>0.22847222222222222</v>
      </c>
      <c r="E1275" s="135">
        <v>0.88472222222222219</v>
      </c>
    </row>
    <row r="1276" spans="1:5" x14ac:dyDescent="0.25">
      <c r="A1276" s="134">
        <v>42559</v>
      </c>
      <c r="B1276" s="136">
        <v>-1</v>
      </c>
      <c r="C1276" s="135">
        <v>0.41597222222222224</v>
      </c>
      <c r="D1276" s="135">
        <v>0.22916666666666666</v>
      </c>
      <c r="E1276" s="135">
        <v>0.88472222222222219</v>
      </c>
    </row>
    <row r="1277" spans="1:5" x14ac:dyDescent="0.25">
      <c r="A1277" s="134">
        <v>42559</v>
      </c>
      <c r="B1277" s="136">
        <v>1.8</v>
      </c>
      <c r="C1277" s="135">
        <v>0.93194444444444446</v>
      </c>
      <c r="D1277" s="135">
        <v>0.22916666666666666</v>
      </c>
      <c r="E1277" s="135">
        <v>0.88472222222222219</v>
      </c>
    </row>
    <row r="1278" spans="1:5" x14ac:dyDescent="0.25">
      <c r="A1278" s="134">
        <v>42560</v>
      </c>
      <c r="B1278" s="136">
        <v>-0.3</v>
      </c>
      <c r="C1278" s="135">
        <v>0.44374999999999998</v>
      </c>
      <c r="D1278" s="135">
        <v>0.2298611111111111</v>
      </c>
      <c r="E1278" s="135">
        <v>0.88402777777777775</v>
      </c>
    </row>
    <row r="1279" spans="1:5" x14ac:dyDescent="0.25">
      <c r="A1279" s="134">
        <v>42560</v>
      </c>
      <c r="B1279" s="136">
        <v>1.9</v>
      </c>
      <c r="C1279" s="135">
        <v>0.96805555555555556</v>
      </c>
      <c r="D1279" s="135">
        <v>0.2298611111111111</v>
      </c>
      <c r="E1279" s="135">
        <v>0.88402777777777775</v>
      </c>
    </row>
    <row r="1280" spans="1:5" x14ac:dyDescent="0.25">
      <c r="A1280" s="134">
        <v>42561</v>
      </c>
      <c r="B1280" s="136">
        <v>0.3</v>
      </c>
      <c r="C1280" s="135">
        <v>0.47222222222222221</v>
      </c>
      <c r="D1280" s="135">
        <v>0.23055555555555557</v>
      </c>
      <c r="E1280" s="135">
        <v>0.88402777777777775</v>
      </c>
    </row>
    <row r="1281" spans="1:5" x14ac:dyDescent="0.25">
      <c r="A1281" s="134">
        <v>42562</v>
      </c>
      <c r="B1281" s="136">
        <v>1.9</v>
      </c>
      <c r="C1281" s="135">
        <v>6.9444444444444441E-3</v>
      </c>
      <c r="D1281" s="135">
        <v>0.23125000000000001</v>
      </c>
      <c r="E1281" s="135">
        <v>0.8833333333333333</v>
      </c>
    </row>
    <row r="1282" spans="1:5" x14ac:dyDescent="0.25">
      <c r="A1282" s="134">
        <v>42562</v>
      </c>
      <c r="B1282" s="136">
        <v>1</v>
      </c>
      <c r="C1282" s="135">
        <v>0.50208333333333333</v>
      </c>
      <c r="D1282" s="135">
        <v>0.23125000000000001</v>
      </c>
      <c r="E1282" s="135">
        <v>0.8833333333333333</v>
      </c>
    </row>
    <row r="1283" spans="1:5" x14ac:dyDescent="0.25">
      <c r="A1283" s="134">
        <v>42563</v>
      </c>
      <c r="B1283" s="136">
        <v>1.7</v>
      </c>
      <c r="C1283" s="135">
        <v>0.05</v>
      </c>
      <c r="D1283" s="135">
        <v>0.23194444444444445</v>
      </c>
      <c r="E1283" s="135">
        <v>0.88263888888888886</v>
      </c>
    </row>
    <row r="1284" spans="1:5" x14ac:dyDescent="0.25">
      <c r="A1284" s="134">
        <v>42563</v>
      </c>
      <c r="B1284" s="136">
        <v>1.6</v>
      </c>
      <c r="C1284" s="135">
        <v>0.53541666666666665</v>
      </c>
      <c r="D1284" s="135">
        <v>0.23194444444444445</v>
      </c>
      <c r="E1284" s="135">
        <v>0.88263888888888886</v>
      </c>
    </row>
    <row r="1285" spans="1:5" x14ac:dyDescent="0.25">
      <c r="A1285" s="134">
        <v>42564</v>
      </c>
      <c r="B1285" s="136">
        <v>1.4</v>
      </c>
      <c r="C1285" s="135">
        <v>9.375E-2</v>
      </c>
      <c r="D1285" s="135">
        <v>0.2326388888888889</v>
      </c>
      <c r="E1285" s="135">
        <v>0.88263888888888886</v>
      </c>
    </row>
    <row r="1286" spans="1:5" x14ac:dyDescent="0.25">
      <c r="A1286" s="134">
        <v>42564</v>
      </c>
      <c r="B1286" s="136">
        <v>2.2000000000000002</v>
      </c>
      <c r="C1286" s="135">
        <v>0.57291666666666663</v>
      </c>
      <c r="D1286" s="135">
        <v>0.2326388888888889</v>
      </c>
      <c r="E1286" s="135">
        <v>0.88263888888888886</v>
      </c>
    </row>
    <row r="1287" spans="1:5" x14ac:dyDescent="0.25">
      <c r="A1287" s="134">
        <v>42565</v>
      </c>
      <c r="B1287" s="136">
        <v>1</v>
      </c>
      <c r="C1287" s="135">
        <v>0.1361111111111111</v>
      </c>
      <c r="D1287" s="135">
        <v>0.23333333333333334</v>
      </c>
      <c r="E1287" s="135">
        <v>0.88194444444444442</v>
      </c>
    </row>
    <row r="1288" spans="1:5" x14ac:dyDescent="0.25">
      <c r="A1288" s="134">
        <v>42565</v>
      </c>
      <c r="B1288" s="136">
        <v>2.5</v>
      </c>
      <c r="C1288" s="135">
        <v>0.61388888888888893</v>
      </c>
      <c r="D1288" s="135">
        <v>0.23333333333333334</v>
      </c>
      <c r="E1288" s="135">
        <v>0.88194444444444442</v>
      </c>
    </row>
    <row r="1289" spans="1:5" x14ac:dyDescent="0.25">
      <c r="A1289" s="134">
        <v>42566</v>
      </c>
      <c r="B1289" s="136">
        <v>0.5</v>
      </c>
      <c r="C1289" s="135">
        <v>0.17430555555555555</v>
      </c>
      <c r="D1289" s="135">
        <v>0.23402777777777778</v>
      </c>
      <c r="E1289" s="135">
        <v>0.88124999999999998</v>
      </c>
    </row>
    <row r="1290" spans="1:5" x14ac:dyDescent="0.25">
      <c r="A1290" s="134">
        <v>42566</v>
      </c>
      <c r="B1290" s="136">
        <v>2.7</v>
      </c>
      <c r="C1290" s="135">
        <v>0.65416666666666667</v>
      </c>
      <c r="D1290" s="135">
        <v>0.23402777777777778</v>
      </c>
      <c r="E1290" s="135">
        <v>0.88124999999999998</v>
      </c>
    </row>
    <row r="1291" spans="1:5" x14ac:dyDescent="0.25">
      <c r="A1291" s="134">
        <v>42567</v>
      </c>
      <c r="B1291" s="136">
        <v>0</v>
      </c>
      <c r="C1291" s="135">
        <v>0.2076388888888889</v>
      </c>
      <c r="D1291" s="135">
        <v>0.23472222222222222</v>
      </c>
      <c r="E1291" s="135">
        <v>0.88055555555555554</v>
      </c>
    </row>
    <row r="1292" spans="1:5" x14ac:dyDescent="0.25">
      <c r="A1292" s="134">
        <v>42567</v>
      </c>
      <c r="B1292" s="136">
        <v>2.7</v>
      </c>
      <c r="C1292" s="135">
        <v>0.69166666666666665</v>
      </c>
      <c r="D1292" s="135">
        <v>0.23472222222222222</v>
      </c>
      <c r="E1292" s="135">
        <v>0.88055555555555554</v>
      </c>
    </row>
    <row r="1293" spans="1:5" x14ac:dyDescent="0.25">
      <c r="A1293" s="134">
        <v>42568</v>
      </c>
      <c r="B1293" s="136">
        <v>-0.5</v>
      </c>
      <c r="C1293" s="135">
        <v>0.23749999999999999</v>
      </c>
      <c r="D1293" s="135">
        <v>0.23541666666666666</v>
      </c>
      <c r="E1293" s="135">
        <v>0.87986111111111109</v>
      </c>
    </row>
    <row r="1294" spans="1:5" x14ac:dyDescent="0.25">
      <c r="A1294" s="134">
        <v>42568</v>
      </c>
      <c r="B1294" s="136">
        <v>2.6</v>
      </c>
      <c r="C1294" s="135">
        <v>0.72638888888888886</v>
      </c>
      <c r="D1294" s="135">
        <v>0.23541666666666666</v>
      </c>
      <c r="E1294" s="135">
        <v>0.87986111111111109</v>
      </c>
    </row>
    <row r="1295" spans="1:5" x14ac:dyDescent="0.25">
      <c r="A1295" s="134">
        <v>42569</v>
      </c>
      <c r="B1295" s="136">
        <v>-0.9</v>
      </c>
      <c r="C1295" s="135">
        <v>0.26527777777777778</v>
      </c>
      <c r="D1295" s="135">
        <v>0.2361111111111111</v>
      </c>
      <c r="E1295" s="135">
        <v>0.87916666666666665</v>
      </c>
    </row>
    <row r="1296" spans="1:5" x14ac:dyDescent="0.25">
      <c r="A1296" s="134">
        <v>42569</v>
      </c>
      <c r="B1296" s="136">
        <v>2.4</v>
      </c>
      <c r="C1296" s="135">
        <v>0.75763888888888886</v>
      </c>
      <c r="D1296" s="135">
        <v>0.2361111111111111</v>
      </c>
      <c r="E1296" s="135">
        <v>0.87916666666666665</v>
      </c>
    </row>
    <row r="1297" spans="1:5" x14ac:dyDescent="0.25">
      <c r="A1297" s="134">
        <v>42570</v>
      </c>
      <c r="B1297" s="136">
        <v>-1.3</v>
      </c>
      <c r="C1297" s="135">
        <v>0.29236111111111113</v>
      </c>
      <c r="D1297" s="135">
        <v>0.23680555555555555</v>
      </c>
      <c r="E1297" s="135">
        <v>0.87847222222222221</v>
      </c>
    </row>
    <row r="1298" spans="1:5" x14ac:dyDescent="0.25">
      <c r="A1298" s="134">
        <v>42570</v>
      </c>
      <c r="B1298" s="136">
        <v>2.2000000000000002</v>
      </c>
      <c r="C1298" s="135">
        <v>0.78819444444444442</v>
      </c>
      <c r="D1298" s="135">
        <v>0.23680555555555555</v>
      </c>
      <c r="E1298" s="135">
        <v>0.87847222222222221</v>
      </c>
    </row>
    <row r="1299" spans="1:5" x14ac:dyDescent="0.25">
      <c r="A1299" s="134">
        <v>42571</v>
      </c>
      <c r="B1299" s="136">
        <v>-1.5</v>
      </c>
      <c r="C1299" s="135">
        <v>0.31874999999999998</v>
      </c>
      <c r="D1299" s="135">
        <v>0.23749999999999999</v>
      </c>
      <c r="E1299" s="135">
        <v>0.87777777777777777</v>
      </c>
    </row>
    <row r="1300" spans="1:5" x14ac:dyDescent="0.25">
      <c r="A1300" s="134">
        <v>42571</v>
      </c>
      <c r="B1300" s="136">
        <v>1.9</v>
      </c>
      <c r="C1300" s="135">
        <v>0.81805555555555554</v>
      </c>
      <c r="D1300" s="135">
        <v>0.23749999999999999</v>
      </c>
      <c r="E1300" s="135">
        <v>0.87777777777777777</v>
      </c>
    </row>
    <row r="1301" spans="1:5" x14ac:dyDescent="0.25">
      <c r="A1301" s="134">
        <v>42572</v>
      </c>
      <c r="B1301" s="136">
        <v>-1.5</v>
      </c>
      <c r="C1301" s="135">
        <v>0.34444444444444444</v>
      </c>
      <c r="D1301" s="135">
        <v>0.23819444444444443</v>
      </c>
      <c r="E1301" s="135">
        <v>0.87708333333333333</v>
      </c>
    </row>
    <row r="1302" spans="1:5" x14ac:dyDescent="0.25">
      <c r="A1302" s="134">
        <v>42572</v>
      </c>
      <c r="B1302" s="136">
        <v>1.7</v>
      </c>
      <c r="C1302" s="135">
        <v>0.84861111111111109</v>
      </c>
      <c r="D1302" s="135">
        <v>0.23819444444444443</v>
      </c>
      <c r="E1302" s="135">
        <v>0.87708333333333333</v>
      </c>
    </row>
    <row r="1303" spans="1:5" x14ac:dyDescent="0.25">
      <c r="A1303" s="134">
        <v>42573</v>
      </c>
      <c r="B1303" s="136">
        <v>-1.4</v>
      </c>
      <c r="C1303" s="135">
        <v>0.37152777777777779</v>
      </c>
      <c r="D1303" s="135">
        <v>0.2388888888888889</v>
      </c>
      <c r="E1303" s="135">
        <v>0.87638888888888888</v>
      </c>
    </row>
    <row r="1304" spans="1:5" x14ac:dyDescent="0.25">
      <c r="A1304" s="134">
        <v>42573</v>
      </c>
      <c r="B1304" s="136">
        <v>1.5</v>
      </c>
      <c r="C1304" s="135">
        <v>0.88055555555555554</v>
      </c>
      <c r="D1304" s="135">
        <v>0.2388888888888889</v>
      </c>
      <c r="E1304" s="135">
        <v>0.87638888888888888</v>
      </c>
    </row>
    <row r="1305" spans="1:5" x14ac:dyDescent="0.25">
      <c r="A1305" s="134">
        <v>42574</v>
      </c>
      <c r="B1305" s="136">
        <v>-1.1000000000000001</v>
      </c>
      <c r="C1305" s="135">
        <v>0.39861111111111114</v>
      </c>
      <c r="D1305" s="135">
        <v>0.23958333333333334</v>
      </c>
      <c r="E1305" s="135">
        <v>0.87569444444444444</v>
      </c>
    </row>
    <row r="1306" spans="1:5" x14ac:dyDescent="0.25">
      <c r="A1306" s="134">
        <v>42574</v>
      </c>
      <c r="B1306" s="136">
        <v>1.3</v>
      </c>
      <c r="C1306" s="135">
        <v>0.91527777777777775</v>
      </c>
      <c r="D1306" s="135">
        <v>0.23958333333333334</v>
      </c>
      <c r="E1306" s="135">
        <v>0.87569444444444444</v>
      </c>
    </row>
    <row r="1307" spans="1:5" x14ac:dyDescent="0.25">
      <c r="A1307" s="134">
        <v>42575</v>
      </c>
      <c r="B1307" s="136">
        <v>-0.7</v>
      </c>
      <c r="C1307" s="135">
        <v>0.42777777777777776</v>
      </c>
      <c r="D1307" s="135">
        <v>0.24097222222222223</v>
      </c>
      <c r="E1307" s="135">
        <v>0.875</v>
      </c>
    </row>
    <row r="1308" spans="1:5" x14ac:dyDescent="0.25">
      <c r="A1308" s="134">
        <v>42575</v>
      </c>
      <c r="B1308" s="136">
        <v>1.1000000000000001</v>
      </c>
      <c r="C1308" s="135">
        <v>0.95347222222222228</v>
      </c>
      <c r="D1308" s="135">
        <v>0.24097222222222223</v>
      </c>
      <c r="E1308" s="135">
        <v>0.875</v>
      </c>
    </row>
    <row r="1309" spans="1:5" x14ac:dyDescent="0.25">
      <c r="A1309" s="134">
        <v>42576</v>
      </c>
      <c r="B1309" s="136">
        <v>0</v>
      </c>
      <c r="C1309" s="135">
        <v>0.45833333333333331</v>
      </c>
      <c r="D1309" s="135">
        <v>0.24166666666666667</v>
      </c>
      <c r="E1309" s="135">
        <v>0.87430555555555556</v>
      </c>
    </row>
    <row r="1310" spans="1:5" x14ac:dyDescent="0.25">
      <c r="A1310" s="134">
        <v>42576</v>
      </c>
      <c r="B1310" s="136">
        <v>0.9</v>
      </c>
      <c r="C1310" s="135">
        <v>0.99583333333333335</v>
      </c>
      <c r="D1310" s="135">
        <v>0.24166666666666667</v>
      </c>
      <c r="E1310" s="135">
        <v>0.87430555555555556</v>
      </c>
    </row>
    <row r="1311" spans="1:5" x14ac:dyDescent="0.25">
      <c r="A1311" s="134">
        <v>42577</v>
      </c>
      <c r="B1311" s="136">
        <v>0.7</v>
      </c>
      <c r="C1311" s="135">
        <v>0.49305555555555558</v>
      </c>
      <c r="D1311" s="135">
        <v>0.24236111111111111</v>
      </c>
      <c r="E1311" s="135">
        <v>0.87361111111111112</v>
      </c>
    </row>
    <row r="1312" spans="1:5" x14ac:dyDescent="0.25">
      <c r="A1312" s="134">
        <v>42578</v>
      </c>
      <c r="B1312" s="136">
        <v>0.7</v>
      </c>
      <c r="C1312" s="135">
        <v>4.2361111111111113E-2</v>
      </c>
      <c r="D1312" s="135">
        <v>0.24305555555555555</v>
      </c>
      <c r="E1312" s="135">
        <v>0.87222222222222223</v>
      </c>
    </row>
    <row r="1313" spans="1:5" x14ac:dyDescent="0.25">
      <c r="A1313" s="134">
        <v>42578</v>
      </c>
      <c r="B1313" s="136">
        <v>1.4</v>
      </c>
      <c r="C1313" s="135">
        <v>0.53263888888888888</v>
      </c>
      <c r="D1313" s="135">
        <v>0.24305555555555555</v>
      </c>
      <c r="E1313" s="135">
        <v>0.87222222222222223</v>
      </c>
    </row>
    <row r="1314" spans="1:5" x14ac:dyDescent="0.25">
      <c r="A1314" s="134">
        <v>42579</v>
      </c>
      <c r="B1314" s="136">
        <v>0.3</v>
      </c>
      <c r="C1314" s="135">
        <v>9.166666666666666E-2</v>
      </c>
      <c r="D1314" s="135">
        <v>0.24374999999999999</v>
      </c>
      <c r="E1314" s="135">
        <v>0.87152777777777779</v>
      </c>
    </row>
    <row r="1315" spans="1:5" x14ac:dyDescent="0.25">
      <c r="A1315" s="134">
        <v>42579</v>
      </c>
      <c r="B1315" s="136">
        <v>1.9</v>
      </c>
      <c r="C1315" s="135">
        <v>0.57847222222222228</v>
      </c>
      <c r="D1315" s="135">
        <v>0.24374999999999999</v>
      </c>
      <c r="E1315" s="135">
        <v>0.87152777777777779</v>
      </c>
    </row>
    <row r="1316" spans="1:5" x14ac:dyDescent="0.25">
      <c r="A1316" s="134">
        <v>42580</v>
      </c>
      <c r="B1316" s="136">
        <v>-0.2</v>
      </c>
      <c r="C1316" s="135">
        <v>0.13958333333333334</v>
      </c>
      <c r="D1316" s="135">
        <v>0.24513888888888888</v>
      </c>
      <c r="E1316" s="135">
        <v>0.87083333333333335</v>
      </c>
    </row>
    <row r="1317" spans="1:5" x14ac:dyDescent="0.25">
      <c r="A1317" s="134">
        <v>42580</v>
      </c>
      <c r="B1317" s="136">
        <v>2.2000000000000002</v>
      </c>
      <c r="C1317" s="135">
        <v>0.62708333333333333</v>
      </c>
      <c r="D1317" s="135">
        <v>0.24513888888888888</v>
      </c>
      <c r="E1317" s="135">
        <v>0.87083333333333335</v>
      </c>
    </row>
    <row r="1318" spans="1:5" x14ac:dyDescent="0.25">
      <c r="A1318" s="134">
        <v>42581</v>
      </c>
      <c r="B1318" s="136">
        <v>-0.7</v>
      </c>
      <c r="C1318" s="135">
        <v>0.18333333333333332</v>
      </c>
      <c r="D1318" s="135">
        <v>0.24583333333333332</v>
      </c>
      <c r="E1318" s="135">
        <v>0.86944444444444446</v>
      </c>
    </row>
    <row r="1319" spans="1:5" x14ac:dyDescent="0.25">
      <c r="A1319" s="134">
        <v>42581</v>
      </c>
      <c r="B1319" s="136">
        <v>2.2000000000000002</v>
      </c>
      <c r="C1319" s="135">
        <v>0.67361111111111116</v>
      </c>
      <c r="D1319" s="135">
        <v>0.24583333333333332</v>
      </c>
      <c r="E1319" s="135">
        <v>0.86944444444444446</v>
      </c>
    </row>
    <row r="1320" spans="1:5" x14ac:dyDescent="0.25">
      <c r="A1320" s="134">
        <v>42582</v>
      </c>
      <c r="B1320" s="136">
        <v>-1.2</v>
      </c>
      <c r="C1320" s="135">
        <v>0.22152777777777777</v>
      </c>
      <c r="D1320" s="135">
        <v>0.24652777777777779</v>
      </c>
      <c r="E1320" s="135">
        <v>0.86875000000000002</v>
      </c>
    </row>
    <row r="1321" spans="1:5" x14ac:dyDescent="0.25">
      <c r="A1321" s="134">
        <v>42582</v>
      </c>
      <c r="B1321" s="136">
        <v>2.1</v>
      </c>
      <c r="C1321" s="135">
        <v>0.71597222222222223</v>
      </c>
      <c r="D1321" s="135">
        <v>0.24652777777777779</v>
      </c>
      <c r="E1321" s="135">
        <v>0.86875000000000002</v>
      </c>
    </row>
    <row r="1322" spans="1:5" x14ac:dyDescent="0.25">
      <c r="A1322" s="134">
        <v>42583</v>
      </c>
      <c r="B1322" s="136">
        <v>-1.5</v>
      </c>
      <c r="C1322" s="135">
        <v>0.25555555555555554</v>
      </c>
      <c r="D1322" s="135">
        <v>0.24722222222222223</v>
      </c>
      <c r="E1322" s="135">
        <v>0.86805555555555558</v>
      </c>
    </row>
    <row r="1323" spans="1:5" x14ac:dyDescent="0.25">
      <c r="A1323" s="134">
        <v>42583</v>
      </c>
      <c r="B1323" s="136">
        <v>1.8</v>
      </c>
      <c r="C1323" s="135">
        <v>0.75347222222222221</v>
      </c>
      <c r="D1323" s="135">
        <v>0.24722222222222223</v>
      </c>
      <c r="E1323" s="135">
        <v>0.86805555555555558</v>
      </c>
    </row>
    <row r="1324" spans="1:5" x14ac:dyDescent="0.25">
      <c r="A1324" s="134">
        <v>42584</v>
      </c>
      <c r="B1324" s="136">
        <v>-1.6</v>
      </c>
      <c r="C1324" s="135">
        <v>0.28680555555555554</v>
      </c>
      <c r="D1324" s="135">
        <v>0.24861111111111112</v>
      </c>
      <c r="E1324" s="135">
        <v>0.8666666666666667</v>
      </c>
    </row>
    <row r="1325" spans="1:5" x14ac:dyDescent="0.25">
      <c r="A1325" s="134">
        <v>42584</v>
      </c>
      <c r="B1325" s="136">
        <v>1.6</v>
      </c>
      <c r="C1325" s="135">
        <v>0.78819444444444442</v>
      </c>
      <c r="D1325" s="135">
        <v>0.24861111111111112</v>
      </c>
      <c r="E1325" s="135">
        <v>0.8666666666666667</v>
      </c>
    </row>
    <row r="1326" spans="1:5" x14ac:dyDescent="0.25">
      <c r="A1326" s="134">
        <v>42585</v>
      </c>
      <c r="B1326" s="136">
        <v>-1.5</v>
      </c>
      <c r="C1326" s="135">
        <v>0.31597222222222221</v>
      </c>
      <c r="D1326" s="135">
        <v>0.24930555555555556</v>
      </c>
      <c r="E1326" s="135">
        <v>0.86597222222222225</v>
      </c>
    </row>
    <row r="1327" spans="1:5" x14ac:dyDescent="0.25">
      <c r="A1327" s="134">
        <v>42585</v>
      </c>
      <c r="B1327" s="136">
        <v>1.4</v>
      </c>
      <c r="C1327" s="135">
        <v>0.82013888888888886</v>
      </c>
      <c r="D1327" s="135">
        <v>0.24930555555555556</v>
      </c>
      <c r="E1327" s="135">
        <v>0.86597222222222225</v>
      </c>
    </row>
    <row r="1328" spans="1:5" x14ac:dyDescent="0.25">
      <c r="A1328" s="134">
        <v>42586</v>
      </c>
      <c r="B1328" s="136">
        <v>-1.3</v>
      </c>
      <c r="C1328" s="135">
        <v>0.34236111111111112</v>
      </c>
      <c r="D1328" s="135">
        <v>0.25</v>
      </c>
      <c r="E1328" s="135">
        <v>0.86458333333333337</v>
      </c>
    </row>
    <row r="1329" spans="1:5" x14ac:dyDescent="0.25">
      <c r="A1329" s="134">
        <v>42586</v>
      </c>
      <c r="B1329" s="136">
        <v>1.3</v>
      </c>
      <c r="C1329" s="135">
        <v>0.85069444444444442</v>
      </c>
      <c r="D1329" s="135">
        <v>0.25</v>
      </c>
      <c r="E1329" s="135">
        <v>0.86458333333333337</v>
      </c>
    </row>
    <row r="1330" spans="1:5" x14ac:dyDescent="0.25">
      <c r="A1330" s="134">
        <v>42587</v>
      </c>
      <c r="B1330" s="136">
        <v>-0.9</v>
      </c>
      <c r="C1330" s="135">
        <v>0.36805555555555558</v>
      </c>
      <c r="D1330" s="135">
        <v>0.25069444444444444</v>
      </c>
      <c r="E1330" s="135">
        <v>0.86388888888888893</v>
      </c>
    </row>
    <row r="1331" spans="1:5" x14ac:dyDescent="0.25">
      <c r="A1331" s="134">
        <v>42587</v>
      </c>
      <c r="B1331" s="136">
        <v>1.3</v>
      </c>
      <c r="C1331" s="135">
        <v>0.88055555555555554</v>
      </c>
      <c r="D1331" s="135">
        <v>0.25069444444444444</v>
      </c>
      <c r="E1331" s="135">
        <v>0.86388888888888893</v>
      </c>
    </row>
    <row r="1332" spans="1:5" x14ac:dyDescent="0.25">
      <c r="A1332" s="134">
        <v>42588</v>
      </c>
      <c r="B1332" s="136">
        <v>-0.4</v>
      </c>
      <c r="C1332" s="135">
        <v>0.39305555555555555</v>
      </c>
      <c r="D1332" s="135">
        <v>0.25208333333333333</v>
      </c>
      <c r="E1332" s="135">
        <v>0.86250000000000004</v>
      </c>
    </row>
    <row r="1333" spans="1:5" x14ac:dyDescent="0.25">
      <c r="A1333" s="134">
        <v>42588</v>
      </c>
      <c r="B1333" s="136">
        <v>1.3</v>
      </c>
      <c r="C1333" s="135">
        <v>0.91041666666666665</v>
      </c>
      <c r="D1333" s="135">
        <v>0.25208333333333333</v>
      </c>
      <c r="E1333" s="135">
        <v>0.86250000000000004</v>
      </c>
    </row>
    <row r="1334" spans="1:5" x14ac:dyDescent="0.25">
      <c r="A1334" s="134">
        <v>42589</v>
      </c>
      <c r="B1334" s="136">
        <v>0.2</v>
      </c>
      <c r="C1334" s="135">
        <v>0.41736111111111113</v>
      </c>
      <c r="D1334" s="135">
        <v>0.25277777777777777</v>
      </c>
      <c r="E1334" s="135">
        <v>0.8618055555555556</v>
      </c>
    </row>
    <row r="1335" spans="1:5" x14ac:dyDescent="0.25">
      <c r="A1335" s="134">
        <v>42589</v>
      </c>
      <c r="B1335" s="136">
        <v>1.4</v>
      </c>
      <c r="C1335" s="135">
        <v>0.94166666666666665</v>
      </c>
      <c r="D1335" s="135">
        <v>0.25277777777777777</v>
      </c>
      <c r="E1335" s="135">
        <v>0.8618055555555556</v>
      </c>
    </row>
    <row r="1336" spans="1:5" x14ac:dyDescent="0.25">
      <c r="A1336" s="134">
        <v>42590</v>
      </c>
      <c r="B1336" s="136">
        <v>0.8</v>
      </c>
      <c r="C1336" s="135">
        <v>0.44236111111111109</v>
      </c>
      <c r="D1336" s="135">
        <v>0.25347222222222221</v>
      </c>
      <c r="E1336" s="135">
        <v>0.86041666666666672</v>
      </c>
    </row>
    <row r="1337" spans="1:5" x14ac:dyDescent="0.25">
      <c r="A1337" s="134">
        <v>42590</v>
      </c>
      <c r="B1337" s="136">
        <v>1.4</v>
      </c>
      <c r="C1337" s="135">
        <v>0.97499999999999998</v>
      </c>
      <c r="D1337" s="135">
        <v>0.25347222222222221</v>
      </c>
      <c r="E1337" s="135">
        <v>0.86041666666666672</v>
      </c>
    </row>
    <row r="1338" spans="1:5" x14ac:dyDescent="0.25">
      <c r="A1338" s="134">
        <v>42591</v>
      </c>
      <c r="B1338" s="136">
        <v>1.5</v>
      </c>
      <c r="C1338" s="135">
        <v>0.46944444444444444</v>
      </c>
      <c r="D1338" s="135">
        <v>0.25486111111111109</v>
      </c>
      <c r="E1338" s="135">
        <v>0.85972222222222228</v>
      </c>
    </row>
    <row r="1339" spans="1:5" x14ac:dyDescent="0.25">
      <c r="A1339" s="134">
        <v>42592</v>
      </c>
      <c r="B1339" s="136">
        <v>1.5</v>
      </c>
      <c r="C1339" s="135">
        <v>1.2500000000000001E-2</v>
      </c>
      <c r="D1339" s="135">
        <v>0.25555555555555554</v>
      </c>
      <c r="E1339" s="135">
        <v>0.85833333333333328</v>
      </c>
    </row>
    <row r="1340" spans="1:5" x14ac:dyDescent="0.25">
      <c r="A1340" s="134">
        <v>42592</v>
      </c>
      <c r="B1340" s="136">
        <v>2.1</v>
      </c>
      <c r="C1340" s="135">
        <v>0.5</v>
      </c>
      <c r="D1340" s="135">
        <v>0.25555555555555554</v>
      </c>
      <c r="E1340" s="135">
        <v>0.85833333333333328</v>
      </c>
    </row>
    <row r="1341" spans="1:5" x14ac:dyDescent="0.25">
      <c r="A1341" s="134">
        <v>42593</v>
      </c>
      <c r="B1341" s="136">
        <v>1.4</v>
      </c>
      <c r="C1341" s="135">
        <v>5.5555555555555552E-2</v>
      </c>
      <c r="D1341" s="135">
        <v>0.25624999999999998</v>
      </c>
      <c r="E1341" s="135">
        <v>0.8569444444444444</v>
      </c>
    </row>
    <row r="1342" spans="1:5" x14ac:dyDescent="0.25">
      <c r="A1342" s="134">
        <v>42593</v>
      </c>
      <c r="B1342" s="136">
        <v>2.6</v>
      </c>
      <c r="C1342" s="135">
        <v>0.53749999999999998</v>
      </c>
      <c r="D1342" s="135">
        <v>0.25624999999999998</v>
      </c>
      <c r="E1342" s="135">
        <v>0.8569444444444444</v>
      </c>
    </row>
    <row r="1343" spans="1:5" x14ac:dyDescent="0.25">
      <c r="A1343" s="134">
        <v>42594</v>
      </c>
      <c r="B1343" s="136">
        <v>1.2</v>
      </c>
      <c r="C1343" s="135">
        <v>0.1</v>
      </c>
      <c r="D1343" s="135">
        <v>0.25763888888888886</v>
      </c>
      <c r="E1343" s="135">
        <v>0.85624999999999996</v>
      </c>
    </row>
    <row r="1344" spans="1:5" x14ac:dyDescent="0.25">
      <c r="A1344" s="134">
        <v>42594</v>
      </c>
      <c r="B1344" s="136">
        <v>2.9</v>
      </c>
      <c r="C1344" s="135">
        <v>0.58194444444444449</v>
      </c>
      <c r="D1344" s="135">
        <v>0.25763888888888886</v>
      </c>
      <c r="E1344" s="135">
        <v>0.85624999999999996</v>
      </c>
    </row>
    <row r="1345" spans="1:5" x14ac:dyDescent="0.25">
      <c r="A1345" s="134">
        <v>42595</v>
      </c>
      <c r="B1345" s="136">
        <v>0.8</v>
      </c>
      <c r="C1345" s="135">
        <v>0.14305555555555555</v>
      </c>
      <c r="D1345" s="135">
        <v>0.25833333333333336</v>
      </c>
      <c r="E1345" s="135">
        <v>0.85486111111111107</v>
      </c>
    </row>
    <row r="1346" spans="1:5" x14ac:dyDescent="0.25">
      <c r="A1346" s="134">
        <v>42595</v>
      </c>
      <c r="B1346" s="136">
        <v>3</v>
      </c>
      <c r="C1346" s="135">
        <v>0.62847222222222221</v>
      </c>
      <c r="D1346" s="135">
        <v>0.25833333333333336</v>
      </c>
      <c r="E1346" s="135">
        <v>0.85486111111111107</v>
      </c>
    </row>
    <row r="1347" spans="1:5" x14ac:dyDescent="0.25">
      <c r="A1347" s="134">
        <v>42596</v>
      </c>
      <c r="B1347" s="136">
        <v>0.3</v>
      </c>
      <c r="C1347" s="135">
        <v>0.18124999999999999</v>
      </c>
      <c r="D1347" s="135">
        <v>0.2590277777777778</v>
      </c>
      <c r="E1347" s="135">
        <v>0.85347222222222219</v>
      </c>
    </row>
    <row r="1348" spans="1:5" x14ac:dyDescent="0.25">
      <c r="A1348" s="134">
        <v>42596</v>
      </c>
      <c r="B1348" s="136">
        <v>2.8</v>
      </c>
      <c r="C1348" s="135">
        <v>0.67152777777777772</v>
      </c>
      <c r="D1348" s="135">
        <v>0.2590277777777778</v>
      </c>
      <c r="E1348" s="135">
        <v>0.85347222222222219</v>
      </c>
    </row>
    <row r="1349" spans="1:5" x14ac:dyDescent="0.25">
      <c r="A1349" s="134">
        <v>42597</v>
      </c>
      <c r="B1349" s="136">
        <v>-0.2</v>
      </c>
      <c r="C1349" s="135">
        <v>0.21458333333333332</v>
      </c>
      <c r="D1349" s="135">
        <v>0.25972222222222224</v>
      </c>
      <c r="E1349" s="135">
        <v>0.85277777777777775</v>
      </c>
    </row>
    <row r="1350" spans="1:5" x14ac:dyDescent="0.25">
      <c r="A1350" s="134">
        <v>42597</v>
      </c>
      <c r="B1350" s="136">
        <v>2.5</v>
      </c>
      <c r="C1350" s="135">
        <v>0.70902777777777781</v>
      </c>
      <c r="D1350" s="135">
        <v>0.25972222222222224</v>
      </c>
      <c r="E1350" s="135">
        <v>0.85277777777777775</v>
      </c>
    </row>
    <row r="1351" spans="1:5" x14ac:dyDescent="0.25">
      <c r="A1351" s="134">
        <v>42598</v>
      </c>
      <c r="B1351" s="136">
        <v>-0.7</v>
      </c>
      <c r="C1351" s="135">
        <v>0.24444444444444444</v>
      </c>
      <c r="D1351" s="135">
        <v>0.26111111111111113</v>
      </c>
      <c r="E1351" s="135">
        <v>0.85138888888888886</v>
      </c>
    </row>
    <row r="1352" spans="1:5" x14ac:dyDescent="0.25">
      <c r="A1352" s="134">
        <v>42598</v>
      </c>
      <c r="B1352" s="136">
        <v>2.1</v>
      </c>
      <c r="C1352" s="135">
        <v>0.74236111111111114</v>
      </c>
      <c r="D1352" s="135">
        <v>0.26111111111111113</v>
      </c>
      <c r="E1352" s="135">
        <v>0.85138888888888886</v>
      </c>
    </row>
    <row r="1353" spans="1:5" x14ac:dyDescent="0.25">
      <c r="A1353" s="134">
        <v>42599</v>
      </c>
      <c r="B1353" s="136">
        <v>-1</v>
      </c>
      <c r="C1353" s="135">
        <v>0.2722222222222222</v>
      </c>
      <c r="D1353" s="135">
        <v>0.26180555555555557</v>
      </c>
      <c r="E1353" s="135">
        <v>0.85</v>
      </c>
    </row>
    <row r="1354" spans="1:5" x14ac:dyDescent="0.25">
      <c r="A1354" s="134">
        <v>42599</v>
      </c>
      <c r="B1354" s="136">
        <v>1.6</v>
      </c>
      <c r="C1354" s="135">
        <v>0.77430555555555558</v>
      </c>
      <c r="D1354" s="135">
        <v>0.26180555555555557</v>
      </c>
      <c r="E1354" s="135">
        <v>0.85</v>
      </c>
    </row>
    <row r="1355" spans="1:5" x14ac:dyDescent="0.25">
      <c r="A1355" s="134">
        <v>42600</v>
      </c>
      <c r="B1355" s="136">
        <v>-1.2</v>
      </c>
      <c r="C1355" s="135">
        <v>0.29930555555555555</v>
      </c>
      <c r="D1355" s="135">
        <v>0.26250000000000001</v>
      </c>
      <c r="E1355" s="135">
        <v>0.84861111111111109</v>
      </c>
    </row>
    <row r="1356" spans="1:5" x14ac:dyDescent="0.25">
      <c r="A1356" s="134">
        <v>42600</v>
      </c>
      <c r="B1356" s="136">
        <v>1.1000000000000001</v>
      </c>
      <c r="C1356" s="135">
        <v>0.80486111111111114</v>
      </c>
      <c r="D1356" s="135">
        <v>0.26250000000000001</v>
      </c>
      <c r="E1356" s="135">
        <v>0.84861111111111109</v>
      </c>
    </row>
    <row r="1357" spans="1:5" x14ac:dyDescent="0.25">
      <c r="A1357" s="134">
        <v>42601</v>
      </c>
      <c r="B1357" s="136">
        <v>-1.3</v>
      </c>
      <c r="C1357" s="135">
        <v>0.3263888888888889</v>
      </c>
      <c r="D1357" s="135">
        <v>0.2638888888888889</v>
      </c>
      <c r="E1357" s="135">
        <v>0.84722222222222221</v>
      </c>
    </row>
    <row r="1358" spans="1:5" x14ac:dyDescent="0.25">
      <c r="A1358" s="134">
        <v>42601</v>
      </c>
      <c r="B1358" s="136">
        <v>0.7</v>
      </c>
      <c r="C1358" s="135">
        <v>0.83611111111111114</v>
      </c>
      <c r="D1358" s="135">
        <v>0.2638888888888889</v>
      </c>
      <c r="E1358" s="135">
        <v>0.84722222222222221</v>
      </c>
    </row>
    <row r="1359" spans="1:5" x14ac:dyDescent="0.25">
      <c r="A1359" s="134">
        <v>42602</v>
      </c>
      <c r="B1359" s="136">
        <v>-1.1000000000000001</v>
      </c>
      <c r="C1359" s="135">
        <v>0.35347222222222224</v>
      </c>
      <c r="D1359" s="135">
        <v>0.26458333333333334</v>
      </c>
      <c r="E1359" s="135">
        <v>0.84652777777777777</v>
      </c>
    </row>
    <row r="1360" spans="1:5" x14ac:dyDescent="0.25">
      <c r="A1360" s="134">
        <v>42602</v>
      </c>
      <c r="B1360" s="136">
        <v>0.4</v>
      </c>
      <c r="C1360" s="135">
        <v>0.86875000000000002</v>
      </c>
      <c r="D1360" s="135">
        <v>0.26458333333333334</v>
      </c>
      <c r="E1360" s="135">
        <v>0.84652777777777777</v>
      </c>
    </row>
    <row r="1361" spans="1:5" x14ac:dyDescent="0.25">
      <c r="A1361" s="134">
        <v>42603</v>
      </c>
      <c r="B1361" s="136">
        <v>-0.6</v>
      </c>
      <c r="C1361" s="135">
        <v>0.38124999999999998</v>
      </c>
      <c r="D1361" s="135">
        <v>0.26527777777777778</v>
      </c>
      <c r="E1361" s="135">
        <v>0.84513888888888888</v>
      </c>
    </row>
    <row r="1362" spans="1:5" x14ac:dyDescent="0.25">
      <c r="A1362" s="134">
        <v>42603</v>
      </c>
      <c r="B1362" s="136">
        <v>0.2</v>
      </c>
      <c r="C1362" s="135">
        <v>0.90277777777777779</v>
      </c>
      <c r="D1362" s="135">
        <v>0.26527777777777778</v>
      </c>
      <c r="E1362" s="135">
        <v>0.84513888888888888</v>
      </c>
    </row>
    <row r="1363" spans="1:5" x14ac:dyDescent="0.25">
      <c r="A1363" s="134">
        <v>42604</v>
      </c>
      <c r="B1363" s="136">
        <v>0</v>
      </c>
      <c r="C1363" s="135">
        <v>0.41041666666666665</v>
      </c>
      <c r="D1363" s="135">
        <v>0.26666666666666666</v>
      </c>
      <c r="E1363" s="135">
        <v>0.84375</v>
      </c>
    </row>
    <row r="1364" spans="1:5" x14ac:dyDescent="0.25">
      <c r="A1364" s="134">
        <v>42604</v>
      </c>
      <c r="B1364" s="136">
        <v>0.2</v>
      </c>
      <c r="C1364" s="135">
        <v>0.93958333333333333</v>
      </c>
      <c r="D1364" s="135">
        <v>0.26666666666666666</v>
      </c>
      <c r="E1364" s="135">
        <v>0.84375</v>
      </c>
    </row>
    <row r="1365" spans="1:5" x14ac:dyDescent="0.25">
      <c r="A1365" s="134">
        <v>42605</v>
      </c>
      <c r="B1365" s="136">
        <v>0.7</v>
      </c>
      <c r="C1365" s="135">
        <v>0.44236111111111109</v>
      </c>
      <c r="D1365" s="135">
        <v>0.2673611111111111</v>
      </c>
      <c r="E1365" s="135">
        <v>0.84236111111111112</v>
      </c>
    </row>
    <row r="1366" spans="1:5" x14ac:dyDescent="0.25">
      <c r="A1366" s="134">
        <v>42605</v>
      </c>
      <c r="B1366" s="136">
        <v>0.2</v>
      </c>
      <c r="C1366" s="135">
        <v>0.98124999999999996</v>
      </c>
      <c r="D1366" s="135">
        <v>0.2673611111111111</v>
      </c>
      <c r="E1366" s="135">
        <v>0.84236111111111112</v>
      </c>
    </row>
    <row r="1367" spans="1:5" x14ac:dyDescent="0.25">
      <c r="A1367" s="134">
        <v>42606</v>
      </c>
      <c r="B1367" s="136">
        <v>1.4</v>
      </c>
      <c r="C1367" s="135">
        <v>0.4777777777777778</v>
      </c>
      <c r="D1367" s="135">
        <v>0.26805555555555555</v>
      </c>
      <c r="E1367" s="135">
        <v>0.84097222222222223</v>
      </c>
    </row>
    <row r="1368" spans="1:5" x14ac:dyDescent="0.25">
      <c r="A1368" s="134">
        <v>42607</v>
      </c>
      <c r="B1368" s="136">
        <v>0.2</v>
      </c>
      <c r="C1368" s="135">
        <v>2.6388888888888889E-2</v>
      </c>
      <c r="D1368" s="135">
        <v>0.26944444444444443</v>
      </c>
      <c r="E1368" s="135">
        <v>0.83958333333333335</v>
      </c>
    </row>
    <row r="1369" spans="1:5" x14ac:dyDescent="0.25">
      <c r="A1369" s="134">
        <v>42607</v>
      </c>
      <c r="B1369" s="136">
        <v>2.1</v>
      </c>
      <c r="C1369" s="135">
        <v>0.52013888888888893</v>
      </c>
      <c r="D1369" s="135">
        <v>0.26944444444444443</v>
      </c>
      <c r="E1369" s="135">
        <v>0.83958333333333335</v>
      </c>
    </row>
    <row r="1370" spans="1:5" x14ac:dyDescent="0.25">
      <c r="A1370" s="134">
        <v>42608</v>
      </c>
      <c r="B1370" s="136">
        <v>0.2</v>
      </c>
      <c r="C1370" s="135">
        <v>7.6388888888888895E-2</v>
      </c>
      <c r="D1370" s="135">
        <v>0.27013888888888887</v>
      </c>
      <c r="E1370" s="135">
        <v>0.83819444444444446</v>
      </c>
    </row>
    <row r="1371" spans="1:5" x14ac:dyDescent="0.25">
      <c r="A1371" s="134">
        <v>42608</v>
      </c>
      <c r="B1371" s="136">
        <v>2.5</v>
      </c>
      <c r="C1371" s="135">
        <v>0.56944444444444442</v>
      </c>
      <c r="D1371" s="135">
        <v>0.27013888888888887</v>
      </c>
      <c r="E1371" s="135">
        <v>0.83819444444444446</v>
      </c>
    </row>
    <row r="1372" spans="1:5" x14ac:dyDescent="0.25">
      <c r="A1372" s="134">
        <v>42609</v>
      </c>
      <c r="B1372" s="136">
        <v>0</v>
      </c>
      <c r="C1372" s="135">
        <v>0.12569444444444444</v>
      </c>
      <c r="D1372" s="135">
        <v>0.27083333333333331</v>
      </c>
      <c r="E1372" s="135">
        <v>0.83750000000000002</v>
      </c>
    </row>
    <row r="1373" spans="1:5" x14ac:dyDescent="0.25">
      <c r="A1373" s="134">
        <v>42609</v>
      </c>
      <c r="B1373" s="136">
        <v>2.6</v>
      </c>
      <c r="C1373" s="135">
        <v>0.62222222222222223</v>
      </c>
      <c r="D1373" s="135">
        <v>0.27083333333333331</v>
      </c>
      <c r="E1373" s="135">
        <v>0.83750000000000002</v>
      </c>
    </row>
    <row r="1374" spans="1:5" x14ac:dyDescent="0.25">
      <c r="A1374" s="134">
        <v>42610</v>
      </c>
      <c r="B1374" s="136">
        <v>-0.3</v>
      </c>
      <c r="C1374" s="135">
        <v>0.17083333333333334</v>
      </c>
      <c r="D1374" s="135">
        <v>0.2722222222222222</v>
      </c>
      <c r="E1374" s="135">
        <v>0.83611111111111114</v>
      </c>
    </row>
    <row r="1375" spans="1:5" x14ac:dyDescent="0.25">
      <c r="A1375" s="134">
        <v>42610</v>
      </c>
      <c r="B1375" s="136">
        <v>2.4</v>
      </c>
      <c r="C1375" s="135">
        <v>0.67083333333333328</v>
      </c>
      <c r="D1375" s="135">
        <v>0.2722222222222222</v>
      </c>
      <c r="E1375" s="135">
        <v>0.83611111111111114</v>
      </c>
    </row>
    <row r="1376" spans="1:5" x14ac:dyDescent="0.25">
      <c r="A1376" s="134">
        <v>42611</v>
      </c>
      <c r="B1376" s="136">
        <v>-0.6</v>
      </c>
      <c r="C1376" s="135">
        <v>0.20972222222222223</v>
      </c>
      <c r="D1376" s="135">
        <v>0.27291666666666664</v>
      </c>
      <c r="E1376" s="135">
        <v>0.83472222222222225</v>
      </c>
    </row>
    <row r="1377" spans="1:5" x14ac:dyDescent="0.25">
      <c r="A1377" s="134">
        <v>42611</v>
      </c>
      <c r="B1377" s="136">
        <v>2</v>
      </c>
      <c r="C1377" s="135">
        <v>0.71250000000000002</v>
      </c>
      <c r="D1377" s="135">
        <v>0.27291666666666664</v>
      </c>
      <c r="E1377" s="135">
        <v>0.83472222222222225</v>
      </c>
    </row>
    <row r="1378" spans="1:5" x14ac:dyDescent="0.25">
      <c r="A1378" s="134">
        <v>42612</v>
      </c>
      <c r="B1378" s="136">
        <v>-0.7</v>
      </c>
      <c r="C1378" s="135">
        <v>0.24305555555555555</v>
      </c>
      <c r="D1378" s="135">
        <v>0.27361111111111114</v>
      </c>
      <c r="E1378" s="135">
        <v>0.83333333333333337</v>
      </c>
    </row>
    <row r="1379" spans="1:5" x14ac:dyDescent="0.25">
      <c r="A1379" s="134">
        <v>42612</v>
      </c>
      <c r="B1379" s="136">
        <v>1.6</v>
      </c>
      <c r="C1379" s="135">
        <v>0.74791666666666667</v>
      </c>
      <c r="D1379" s="135">
        <v>0.27361111111111114</v>
      </c>
      <c r="E1379" s="135">
        <v>0.83333333333333337</v>
      </c>
    </row>
    <row r="1380" spans="1:5" x14ac:dyDescent="0.25">
      <c r="A1380" s="134">
        <v>42613</v>
      </c>
      <c r="B1380" s="136">
        <v>-0.8</v>
      </c>
      <c r="C1380" s="135">
        <v>0.2722222222222222</v>
      </c>
      <c r="D1380" s="135">
        <v>0.27500000000000002</v>
      </c>
      <c r="E1380" s="135">
        <v>0.83194444444444449</v>
      </c>
    </row>
    <row r="1381" spans="1:5" x14ac:dyDescent="0.25">
      <c r="A1381" s="134">
        <v>42613</v>
      </c>
      <c r="B1381" s="136">
        <v>1.2</v>
      </c>
      <c r="C1381" s="135">
        <v>0.77916666666666667</v>
      </c>
      <c r="D1381" s="135">
        <v>0.27500000000000002</v>
      </c>
      <c r="E1381" s="135">
        <v>0.83194444444444449</v>
      </c>
    </row>
    <row r="1382" spans="1:5" x14ac:dyDescent="0.25">
      <c r="A1382" s="134">
        <v>42614</v>
      </c>
      <c r="B1382" s="136">
        <v>-0.6</v>
      </c>
      <c r="C1382" s="135">
        <v>0.2986111111111111</v>
      </c>
      <c r="D1382" s="135">
        <v>0.27569444444444446</v>
      </c>
      <c r="E1382" s="135">
        <v>0.8305555555555556</v>
      </c>
    </row>
    <row r="1383" spans="1:5" x14ac:dyDescent="0.25">
      <c r="A1383" s="134">
        <v>42614</v>
      </c>
      <c r="B1383" s="136">
        <v>0.9</v>
      </c>
      <c r="C1383" s="135">
        <v>0.80833333333333335</v>
      </c>
      <c r="D1383" s="135">
        <v>0.27569444444444446</v>
      </c>
      <c r="E1383" s="135">
        <v>0.8305555555555556</v>
      </c>
    </row>
    <row r="1384" spans="1:5" x14ac:dyDescent="0.25">
      <c r="A1384" s="134">
        <v>42615</v>
      </c>
      <c r="B1384" s="136">
        <v>-0.4</v>
      </c>
      <c r="C1384" s="135">
        <v>0.32361111111111113</v>
      </c>
      <c r="D1384" s="135">
        <v>0.27638888888888891</v>
      </c>
      <c r="E1384" s="135">
        <v>0.82916666666666672</v>
      </c>
    </row>
    <row r="1385" spans="1:5" x14ac:dyDescent="0.25">
      <c r="A1385" s="134">
        <v>42615</v>
      </c>
      <c r="B1385" s="136">
        <v>0.8</v>
      </c>
      <c r="C1385" s="135">
        <v>0.8354166666666667</v>
      </c>
      <c r="D1385" s="135">
        <v>0.27638888888888891</v>
      </c>
      <c r="E1385" s="135">
        <v>0.82916666666666672</v>
      </c>
    </row>
    <row r="1386" spans="1:5" x14ac:dyDescent="0.25">
      <c r="A1386" s="134">
        <v>42616</v>
      </c>
      <c r="B1386" s="136">
        <v>0</v>
      </c>
      <c r="C1386" s="135">
        <v>0.34652777777777777</v>
      </c>
      <c r="D1386" s="135">
        <v>0.27777777777777779</v>
      </c>
      <c r="E1386" s="135">
        <v>0.82777777777777772</v>
      </c>
    </row>
    <row r="1387" spans="1:5" x14ac:dyDescent="0.25">
      <c r="A1387" s="134">
        <v>42616</v>
      </c>
      <c r="B1387" s="136">
        <v>0.7</v>
      </c>
      <c r="C1387" s="135">
        <v>0.8618055555555556</v>
      </c>
      <c r="D1387" s="135">
        <v>0.27777777777777779</v>
      </c>
      <c r="E1387" s="135">
        <v>0.82777777777777772</v>
      </c>
    </row>
    <row r="1388" spans="1:5" x14ac:dyDescent="0.25">
      <c r="A1388" s="134">
        <v>42617</v>
      </c>
      <c r="B1388" s="136">
        <v>0.5</v>
      </c>
      <c r="C1388" s="135">
        <v>0.36944444444444446</v>
      </c>
      <c r="D1388" s="135">
        <v>0.27847222222222223</v>
      </c>
      <c r="E1388" s="135">
        <v>0.82638888888888884</v>
      </c>
    </row>
    <row r="1389" spans="1:5" x14ac:dyDescent="0.25">
      <c r="A1389" s="134">
        <v>42617</v>
      </c>
      <c r="B1389" s="136">
        <v>0.7</v>
      </c>
      <c r="C1389" s="135">
        <v>0.8881944444444444</v>
      </c>
      <c r="D1389" s="135">
        <v>0.27847222222222223</v>
      </c>
      <c r="E1389" s="135">
        <v>0.82638888888888884</v>
      </c>
    </row>
    <row r="1390" spans="1:5" x14ac:dyDescent="0.25">
      <c r="A1390" s="134">
        <v>42618</v>
      </c>
      <c r="B1390" s="136">
        <v>1</v>
      </c>
      <c r="C1390" s="135">
        <v>0.39166666666666666</v>
      </c>
      <c r="D1390" s="135">
        <v>0.27916666666666667</v>
      </c>
      <c r="E1390" s="135">
        <v>0.82499999999999996</v>
      </c>
    </row>
    <row r="1391" spans="1:5" x14ac:dyDescent="0.25">
      <c r="A1391" s="134">
        <v>42618</v>
      </c>
      <c r="B1391" s="136">
        <v>0.8</v>
      </c>
      <c r="C1391" s="135">
        <v>0.91597222222222219</v>
      </c>
      <c r="D1391" s="135">
        <v>0.27916666666666667</v>
      </c>
      <c r="E1391" s="135">
        <v>0.82499999999999996</v>
      </c>
    </row>
    <row r="1392" spans="1:5" x14ac:dyDescent="0.25">
      <c r="A1392" s="134">
        <v>42619</v>
      </c>
      <c r="B1392" s="136">
        <v>1.6</v>
      </c>
      <c r="C1392" s="135">
        <v>0.4152777777777778</v>
      </c>
      <c r="D1392" s="135">
        <v>0.28055555555555556</v>
      </c>
      <c r="E1392" s="135">
        <v>0.82361111111111107</v>
      </c>
    </row>
    <row r="1393" spans="1:5" x14ac:dyDescent="0.25">
      <c r="A1393" s="134">
        <v>42619</v>
      </c>
      <c r="B1393" s="136">
        <v>1</v>
      </c>
      <c r="C1393" s="135">
        <v>0.94513888888888886</v>
      </c>
      <c r="D1393" s="135">
        <v>0.28055555555555556</v>
      </c>
      <c r="E1393" s="135">
        <v>0.82361111111111107</v>
      </c>
    </row>
    <row r="1394" spans="1:5" x14ac:dyDescent="0.25">
      <c r="A1394" s="134">
        <v>42620</v>
      </c>
      <c r="B1394" s="136">
        <v>2.1</v>
      </c>
      <c r="C1394" s="135">
        <v>0.44027777777777777</v>
      </c>
      <c r="D1394" s="135">
        <v>0.28125</v>
      </c>
      <c r="E1394" s="135">
        <v>0.82222222222222219</v>
      </c>
    </row>
    <row r="1395" spans="1:5" x14ac:dyDescent="0.25">
      <c r="A1395" s="134">
        <v>42620</v>
      </c>
      <c r="B1395" s="136">
        <v>1.2</v>
      </c>
      <c r="C1395" s="135">
        <v>0.97847222222222219</v>
      </c>
      <c r="D1395" s="135">
        <v>0.28125</v>
      </c>
      <c r="E1395" s="135">
        <v>0.82222222222222219</v>
      </c>
    </row>
    <row r="1396" spans="1:5" x14ac:dyDescent="0.25">
      <c r="A1396" s="134">
        <v>42621</v>
      </c>
      <c r="B1396" s="136">
        <v>2.7</v>
      </c>
      <c r="C1396" s="135">
        <v>0.47013888888888888</v>
      </c>
      <c r="D1396" s="135">
        <v>0.28194444444444444</v>
      </c>
      <c r="E1396" s="135">
        <v>0.8208333333333333</v>
      </c>
    </row>
    <row r="1397" spans="1:5" x14ac:dyDescent="0.25">
      <c r="A1397" s="134">
        <v>42622</v>
      </c>
      <c r="B1397" s="136">
        <v>1.3</v>
      </c>
      <c r="C1397" s="135">
        <v>1.8055555555555554E-2</v>
      </c>
      <c r="D1397" s="135">
        <v>0.28263888888888888</v>
      </c>
      <c r="E1397" s="135">
        <v>0.81944444444444442</v>
      </c>
    </row>
    <row r="1398" spans="1:5" x14ac:dyDescent="0.25">
      <c r="A1398" s="134">
        <v>42622</v>
      </c>
      <c r="B1398" s="136">
        <v>3.1</v>
      </c>
      <c r="C1398" s="135">
        <v>0.5083333333333333</v>
      </c>
      <c r="D1398" s="135">
        <v>0.28263888888888888</v>
      </c>
      <c r="E1398" s="135">
        <v>0.81944444444444442</v>
      </c>
    </row>
    <row r="1399" spans="1:5" x14ac:dyDescent="0.25">
      <c r="A1399" s="134">
        <v>42623</v>
      </c>
      <c r="B1399" s="136">
        <v>1.3</v>
      </c>
      <c r="C1399" s="135">
        <v>6.25E-2</v>
      </c>
      <c r="D1399" s="135">
        <v>0.28402777777777777</v>
      </c>
      <c r="E1399" s="135">
        <v>0.81805555555555554</v>
      </c>
    </row>
    <row r="1400" spans="1:5" x14ac:dyDescent="0.25">
      <c r="A1400" s="134">
        <v>42623</v>
      </c>
      <c r="B1400" s="136">
        <v>3.3</v>
      </c>
      <c r="C1400" s="135">
        <v>0.55625000000000002</v>
      </c>
      <c r="D1400" s="135">
        <v>0.28402777777777777</v>
      </c>
      <c r="E1400" s="135">
        <v>0.81805555555555554</v>
      </c>
    </row>
    <row r="1401" spans="1:5" x14ac:dyDescent="0.25">
      <c r="A1401" s="134">
        <v>42624</v>
      </c>
      <c r="B1401" s="136">
        <v>1.1000000000000001</v>
      </c>
      <c r="C1401" s="135">
        <v>0.10902777777777778</v>
      </c>
      <c r="D1401" s="135">
        <v>0.28472222222222221</v>
      </c>
      <c r="E1401" s="135">
        <v>0.81666666666666665</v>
      </c>
    </row>
    <row r="1402" spans="1:5" x14ac:dyDescent="0.25">
      <c r="A1402" s="134">
        <v>42624</v>
      </c>
      <c r="B1402" s="136">
        <v>3.2</v>
      </c>
      <c r="C1402" s="135">
        <v>0.60763888888888884</v>
      </c>
      <c r="D1402" s="135">
        <v>0.28472222222222221</v>
      </c>
      <c r="E1402" s="135">
        <v>0.81666666666666665</v>
      </c>
    </row>
    <row r="1403" spans="1:5" x14ac:dyDescent="0.25">
      <c r="A1403" s="134">
        <v>42625</v>
      </c>
      <c r="B1403" s="136">
        <v>0.7</v>
      </c>
      <c r="C1403" s="135">
        <v>0.15069444444444444</v>
      </c>
      <c r="D1403" s="135">
        <v>0.28541666666666665</v>
      </c>
      <c r="E1403" s="135">
        <v>0.81527777777777777</v>
      </c>
    </row>
    <row r="1404" spans="1:5" x14ac:dyDescent="0.25">
      <c r="A1404" s="134">
        <v>42625</v>
      </c>
      <c r="B1404" s="136">
        <v>2.9</v>
      </c>
      <c r="C1404" s="135">
        <v>0.65416666666666667</v>
      </c>
      <c r="D1404" s="135">
        <v>0.28541666666666665</v>
      </c>
      <c r="E1404" s="135">
        <v>0.81527777777777777</v>
      </c>
    </row>
    <row r="1405" spans="1:5" x14ac:dyDescent="0.25">
      <c r="A1405" s="134">
        <v>42626</v>
      </c>
      <c r="B1405" s="136">
        <v>0.2</v>
      </c>
      <c r="C1405" s="135">
        <v>0.1875</v>
      </c>
      <c r="D1405" s="135">
        <v>0.28680555555555554</v>
      </c>
      <c r="E1405" s="135">
        <v>0.81388888888888888</v>
      </c>
    </row>
    <row r="1406" spans="1:5" x14ac:dyDescent="0.25">
      <c r="A1406" s="134">
        <v>42626</v>
      </c>
      <c r="B1406" s="136">
        <v>2.2999999999999998</v>
      </c>
      <c r="C1406" s="135">
        <v>0.69305555555555554</v>
      </c>
      <c r="D1406" s="135">
        <v>0.28680555555555554</v>
      </c>
      <c r="E1406" s="135">
        <v>0.81388888888888888</v>
      </c>
    </row>
    <row r="1407" spans="1:5" x14ac:dyDescent="0.25">
      <c r="A1407" s="134">
        <v>42627</v>
      </c>
      <c r="B1407" s="136">
        <v>-0.2</v>
      </c>
      <c r="C1407" s="135">
        <v>0.21944444444444444</v>
      </c>
      <c r="D1407" s="135">
        <v>0.28749999999999998</v>
      </c>
      <c r="E1407" s="135">
        <v>0.8125</v>
      </c>
    </row>
    <row r="1408" spans="1:5" x14ac:dyDescent="0.25">
      <c r="A1408" s="134">
        <v>42627</v>
      </c>
      <c r="B1408" s="136">
        <v>1.6</v>
      </c>
      <c r="C1408" s="135">
        <v>0.72777777777777775</v>
      </c>
      <c r="D1408" s="135">
        <v>0.28749999999999998</v>
      </c>
      <c r="E1408" s="135">
        <v>0.8125</v>
      </c>
    </row>
    <row r="1409" spans="1:5" x14ac:dyDescent="0.25">
      <c r="A1409" s="134">
        <v>42628</v>
      </c>
      <c r="B1409" s="136">
        <v>-0.5</v>
      </c>
      <c r="C1409" s="135">
        <v>0.24930555555555556</v>
      </c>
      <c r="D1409" s="135">
        <v>0.28819444444444442</v>
      </c>
      <c r="E1409" s="135">
        <v>0.81111111111111112</v>
      </c>
    </row>
    <row r="1410" spans="1:5" x14ac:dyDescent="0.25">
      <c r="A1410" s="134">
        <v>42628</v>
      </c>
      <c r="B1410" s="136">
        <v>0.9</v>
      </c>
      <c r="C1410" s="135">
        <v>0.76041666666666663</v>
      </c>
      <c r="D1410" s="135">
        <v>0.28819444444444442</v>
      </c>
      <c r="E1410" s="135">
        <v>0.81111111111111112</v>
      </c>
    </row>
    <row r="1411" spans="1:5" x14ac:dyDescent="0.25">
      <c r="A1411" s="134">
        <v>42629</v>
      </c>
      <c r="B1411" s="136">
        <v>-0.6</v>
      </c>
      <c r="C1411" s="135">
        <v>0.27777777777777779</v>
      </c>
      <c r="D1411" s="135">
        <v>0.28958333333333336</v>
      </c>
      <c r="E1411" s="135">
        <v>0.80972222222222223</v>
      </c>
    </row>
    <row r="1412" spans="1:5" x14ac:dyDescent="0.25">
      <c r="A1412" s="134">
        <v>42629</v>
      </c>
      <c r="B1412" s="136">
        <v>0.2</v>
      </c>
      <c r="C1412" s="135">
        <v>0.79166666666666663</v>
      </c>
      <c r="D1412" s="135">
        <v>0.28958333333333336</v>
      </c>
      <c r="E1412" s="135">
        <v>0.80972222222222223</v>
      </c>
    </row>
    <row r="1413" spans="1:5" x14ac:dyDescent="0.25">
      <c r="A1413" s="134">
        <v>42630</v>
      </c>
      <c r="B1413" s="136">
        <v>-0.5</v>
      </c>
      <c r="C1413" s="135">
        <v>0.30625000000000002</v>
      </c>
      <c r="D1413" s="135">
        <v>0.2902777777777778</v>
      </c>
      <c r="E1413" s="135">
        <v>0.80833333333333335</v>
      </c>
    </row>
    <row r="1414" spans="1:5" x14ac:dyDescent="0.25">
      <c r="A1414" s="134">
        <v>42630</v>
      </c>
      <c r="B1414" s="136">
        <v>-0.3</v>
      </c>
      <c r="C1414" s="135">
        <v>0.82361111111111107</v>
      </c>
      <c r="D1414" s="135">
        <v>0.2902777777777778</v>
      </c>
      <c r="E1414" s="135">
        <v>0.80833333333333335</v>
      </c>
    </row>
    <row r="1415" spans="1:5" x14ac:dyDescent="0.25">
      <c r="A1415" s="134">
        <v>42631</v>
      </c>
      <c r="B1415" s="136">
        <v>-0.2</v>
      </c>
      <c r="C1415" s="135">
        <v>0.3347222222222222</v>
      </c>
      <c r="D1415" s="135">
        <v>0.29097222222222224</v>
      </c>
      <c r="E1415" s="135">
        <v>0.80694444444444446</v>
      </c>
    </row>
    <row r="1416" spans="1:5" x14ac:dyDescent="0.25">
      <c r="A1416" s="134">
        <v>42631</v>
      </c>
      <c r="B1416" s="136">
        <v>-0.6</v>
      </c>
      <c r="C1416" s="135">
        <v>0.85624999999999996</v>
      </c>
      <c r="D1416" s="135">
        <v>0.29097222222222224</v>
      </c>
      <c r="E1416" s="135">
        <v>0.80694444444444446</v>
      </c>
    </row>
    <row r="1417" spans="1:5" x14ac:dyDescent="0.25">
      <c r="A1417" s="134">
        <v>42632</v>
      </c>
      <c r="B1417" s="136">
        <v>0.3</v>
      </c>
      <c r="C1417" s="135">
        <v>0.36388888888888887</v>
      </c>
      <c r="D1417" s="135">
        <v>0.29236111111111113</v>
      </c>
      <c r="E1417" s="135">
        <v>0.80555555555555558</v>
      </c>
    </row>
    <row r="1418" spans="1:5" x14ac:dyDescent="0.25">
      <c r="A1418" s="134">
        <v>42632</v>
      </c>
      <c r="B1418" s="136">
        <v>-0.7</v>
      </c>
      <c r="C1418" s="135">
        <v>0.89027777777777772</v>
      </c>
      <c r="D1418" s="135">
        <v>0.29236111111111113</v>
      </c>
      <c r="E1418" s="135">
        <v>0.80555555555555558</v>
      </c>
    </row>
    <row r="1419" spans="1:5" x14ac:dyDescent="0.25">
      <c r="A1419" s="134">
        <v>42633</v>
      </c>
      <c r="B1419" s="136">
        <v>0.9</v>
      </c>
      <c r="C1419" s="135">
        <v>0.39444444444444443</v>
      </c>
      <c r="D1419" s="135">
        <v>0.29305555555555557</v>
      </c>
      <c r="E1419" s="135">
        <v>0.8041666666666667</v>
      </c>
    </row>
    <row r="1420" spans="1:5" x14ac:dyDescent="0.25">
      <c r="A1420" s="134">
        <v>42633</v>
      </c>
      <c r="B1420" s="136">
        <v>-0.6</v>
      </c>
      <c r="C1420" s="135">
        <v>0.92638888888888893</v>
      </c>
      <c r="D1420" s="135">
        <v>0.29305555555555557</v>
      </c>
      <c r="E1420" s="135">
        <v>0.8041666666666667</v>
      </c>
    </row>
    <row r="1421" spans="1:5" x14ac:dyDescent="0.25">
      <c r="A1421" s="134">
        <v>42634</v>
      </c>
      <c r="B1421" s="136">
        <v>1.6</v>
      </c>
      <c r="C1421" s="135">
        <v>0.42777777777777776</v>
      </c>
      <c r="D1421" s="135">
        <v>0.29375000000000001</v>
      </c>
      <c r="E1421" s="135">
        <v>0.80277777777777781</v>
      </c>
    </row>
    <row r="1422" spans="1:5" x14ac:dyDescent="0.25">
      <c r="A1422" s="134">
        <v>42634</v>
      </c>
      <c r="B1422" s="136">
        <v>-0.4</v>
      </c>
      <c r="C1422" s="135">
        <v>0.96597222222222223</v>
      </c>
      <c r="D1422" s="135">
        <v>0.29375000000000001</v>
      </c>
      <c r="E1422" s="135">
        <v>0.80277777777777781</v>
      </c>
    </row>
    <row r="1423" spans="1:5" x14ac:dyDescent="0.25">
      <c r="A1423" s="134">
        <v>42635</v>
      </c>
      <c r="B1423" s="136">
        <v>2.2000000000000002</v>
      </c>
      <c r="C1423" s="135">
        <v>0.46597222222222223</v>
      </c>
      <c r="D1423" s="135">
        <v>0.2951388888888889</v>
      </c>
      <c r="E1423" s="135">
        <v>0.80138888888888893</v>
      </c>
    </row>
    <row r="1424" spans="1:5" x14ac:dyDescent="0.25">
      <c r="A1424" s="134">
        <v>42636</v>
      </c>
      <c r="B1424" s="136">
        <v>0</v>
      </c>
      <c r="C1424" s="135">
        <v>1.0416666666666666E-2</v>
      </c>
      <c r="D1424" s="135">
        <v>0.29583333333333334</v>
      </c>
      <c r="E1424" s="135">
        <v>0.7993055555555556</v>
      </c>
    </row>
    <row r="1425" spans="1:5" x14ac:dyDescent="0.25">
      <c r="A1425" s="134">
        <v>42636</v>
      </c>
      <c r="B1425" s="136">
        <v>2.7</v>
      </c>
      <c r="C1425" s="135">
        <v>0.51180555555555551</v>
      </c>
      <c r="D1425" s="135">
        <v>0.29583333333333334</v>
      </c>
      <c r="E1425" s="135">
        <v>0.7993055555555556</v>
      </c>
    </row>
    <row r="1426" spans="1:5" x14ac:dyDescent="0.25">
      <c r="A1426" s="134">
        <v>42637</v>
      </c>
      <c r="B1426" s="136">
        <v>0.2</v>
      </c>
      <c r="C1426" s="135">
        <v>5.9027777777777776E-2</v>
      </c>
      <c r="D1426" s="135">
        <v>0.29652777777777778</v>
      </c>
      <c r="E1426" s="135">
        <v>0.79791666666666672</v>
      </c>
    </row>
    <row r="1427" spans="1:5" x14ac:dyDescent="0.25">
      <c r="A1427" s="134">
        <v>42637</v>
      </c>
      <c r="B1427" s="136">
        <v>2.9</v>
      </c>
      <c r="C1427" s="135">
        <v>0.56527777777777777</v>
      </c>
      <c r="D1427" s="135">
        <v>0.29652777777777778</v>
      </c>
      <c r="E1427" s="135">
        <v>0.79791666666666672</v>
      </c>
    </row>
    <row r="1428" spans="1:5" x14ac:dyDescent="0.25">
      <c r="A1428" s="134">
        <v>42638</v>
      </c>
      <c r="B1428" s="136">
        <v>0.3</v>
      </c>
      <c r="C1428" s="135">
        <v>0.10833333333333334</v>
      </c>
      <c r="D1428" s="135">
        <v>0.29791666666666666</v>
      </c>
      <c r="E1428" s="135">
        <v>0.79652777777777772</v>
      </c>
    </row>
    <row r="1429" spans="1:5" x14ac:dyDescent="0.25">
      <c r="A1429" s="134">
        <v>42638</v>
      </c>
      <c r="B1429" s="136">
        <v>2.8</v>
      </c>
      <c r="C1429" s="135">
        <v>0.62013888888888891</v>
      </c>
      <c r="D1429" s="135">
        <v>0.29791666666666666</v>
      </c>
      <c r="E1429" s="135">
        <v>0.79652777777777772</v>
      </c>
    </row>
    <row r="1430" spans="1:5" x14ac:dyDescent="0.25">
      <c r="A1430" s="134">
        <v>42639</v>
      </c>
      <c r="B1430" s="136">
        <v>0.3</v>
      </c>
      <c r="C1430" s="135">
        <v>0.15347222222222223</v>
      </c>
      <c r="D1430" s="135">
        <v>0.2986111111111111</v>
      </c>
      <c r="E1430" s="135">
        <v>0.79513888888888884</v>
      </c>
    </row>
    <row r="1431" spans="1:5" x14ac:dyDescent="0.25">
      <c r="A1431" s="134">
        <v>42639</v>
      </c>
      <c r="B1431" s="136">
        <v>2.2999999999999998</v>
      </c>
      <c r="C1431" s="135">
        <v>0.66805555555555551</v>
      </c>
      <c r="D1431" s="135">
        <v>0.2986111111111111</v>
      </c>
      <c r="E1431" s="135">
        <v>0.79513888888888884</v>
      </c>
    </row>
    <row r="1432" spans="1:5" x14ac:dyDescent="0.25">
      <c r="A1432" s="134">
        <v>42640</v>
      </c>
      <c r="B1432" s="136">
        <v>0.2</v>
      </c>
      <c r="C1432" s="135">
        <v>0.19236111111111112</v>
      </c>
      <c r="D1432" s="135">
        <v>0.29930555555555555</v>
      </c>
      <c r="E1432" s="135">
        <v>0.79374999999999996</v>
      </c>
    </row>
    <row r="1433" spans="1:5" x14ac:dyDescent="0.25">
      <c r="A1433" s="134">
        <v>42640</v>
      </c>
      <c r="B1433" s="136">
        <v>1.7</v>
      </c>
      <c r="C1433" s="135">
        <v>0.70694444444444449</v>
      </c>
      <c r="D1433" s="135">
        <v>0.29930555555555555</v>
      </c>
      <c r="E1433" s="135">
        <v>0.79374999999999996</v>
      </c>
    </row>
    <row r="1434" spans="1:5" x14ac:dyDescent="0.25">
      <c r="A1434" s="134">
        <v>42641</v>
      </c>
      <c r="B1434" s="136">
        <v>0.2</v>
      </c>
      <c r="C1434" s="135">
        <v>0.22430555555555556</v>
      </c>
      <c r="D1434" s="135">
        <v>0.30069444444444443</v>
      </c>
      <c r="E1434" s="135">
        <v>0.79236111111111107</v>
      </c>
    </row>
    <row r="1435" spans="1:5" x14ac:dyDescent="0.25">
      <c r="A1435" s="134">
        <v>42641</v>
      </c>
      <c r="B1435" s="136">
        <v>1.2</v>
      </c>
      <c r="C1435" s="135">
        <v>0.74027777777777781</v>
      </c>
      <c r="D1435" s="135">
        <v>0.30069444444444443</v>
      </c>
      <c r="E1435" s="135">
        <v>0.79236111111111107</v>
      </c>
    </row>
    <row r="1436" spans="1:5" x14ac:dyDescent="0.25">
      <c r="A1436" s="134">
        <v>42642</v>
      </c>
      <c r="B1436" s="136">
        <v>0.3</v>
      </c>
      <c r="C1436" s="135">
        <v>0.25277777777777777</v>
      </c>
      <c r="D1436" s="135">
        <v>0.30138888888888887</v>
      </c>
      <c r="E1436" s="135">
        <v>0.79097222222222219</v>
      </c>
    </row>
    <row r="1437" spans="1:5" x14ac:dyDescent="0.25">
      <c r="A1437" s="134">
        <v>42642</v>
      </c>
      <c r="B1437" s="136">
        <v>0.8</v>
      </c>
      <c r="C1437" s="135">
        <v>0.76875000000000004</v>
      </c>
      <c r="D1437" s="135">
        <v>0.30138888888888887</v>
      </c>
      <c r="E1437" s="135">
        <v>0.79097222222222219</v>
      </c>
    </row>
    <row r="1438" spans="1:5" x14ac:dyDescent="0.25">
      <c r="A1438" s="134">
        <v>42643</v>
      </c>
      <c r="B1438" s="136">
        <v>0.5</v>
      </c>
      <c r="C1438" s="135">
        <v>0.27847222222222223</v>
      </c>
      <c r="D1438" s="135">
        <v>0.30277777777777776</v>
      </c>
      <c r="E1438" s="135">
        <v>0.7895833333333333</v>
      </c>
    </row>
    <row r="1439" spans="1:5" x14ac:dyDescent="0.25">
      <c r="A1439" s="134">
        <v>42643</v>
      </c>
      <c r="B1439" s="136">
        <v>0.5</v>
      </c>
      <c r="C1439" s="135">
        <v>0.79513888888888884</v>
      </c>
      <c r="D1439" s="135">
        <v>0.30277777777777776</v>
      </c>
      <c r="E1439" s="135">
        <v>0.7895833333333333</v>
      </c>
    </row>
    <row r="1440" spans="1:5" x14ac:dyDescent="0.25">
      <c r="A1440" s="134">
        <v>42644</v>
      </c>
      <c r="B1440" s="136">
        <v>0.7</v>
      </c>
      <c r="C1440" s="135">
        <v>0.30138888888888887</v>
      </c>
      <c r="D1440" s="135">
        <v>0.3034722222222222</v>
      </c>
      <c r="E1440" s="135">
        <v>0.78819444444444442</v>
      </c>
    </row>
    <row r="1441" spans="1:5" x14ac:dyDescent="0.25">
      <c r="A1441" s="134">
        <v>42644</v>
      </c>
      <c r="B1441" s="136">
        <v>0.3</v>
      </c>
      <c r="C1441" s="135">
        <v>0.82013888888888886</v>
      </c>
      <c r="D1441" s="135">
        <v>0.3034722222222222</v>
      </c>
      <c r="E1441" s="135">
        <v>0.78819444444444442</v>
      </c>
    </row>
    <row r="1442" spans="1:5" x14ac:dyDescent="0.25">
      <c r="A1442" s="134">
        <v>42645</v>
      </c>
      <c r="B1442" s="136">
        <v>1.1000000000000001</v>
      </c>
      <c r="C1442" s="135">
        <v>0.32430555555555557</v>
      </c>
      <c r="D1442" s="135">
        <v>0.30416666666666664</v>
      </c>
      <c r="E1442" s="135">
        <v>0.78680555555555554</v>
      </c>
    </row>
    <row r="1443" spans="1:5" x14ac:dyDescent="0.25">
      <c r="A1443" s="134">
        <v>42645</v>
      </c>
      <c r="B1443" s="136">
        <v>0.2</v>
      </c>
      <c r="C1443" s="135">
        <v>0.84444444444444444</v>
      </c>
      <c r="D1443" s="135">
        <v>0.30416666666666664</v>
      </c>
      <c r="E1443" s="135">
        <v>0.78680555555555554</v>
      </c>
    </row>
    <row r="1444" spans="1:5" x14ac:dyDescent="0.25">
      <c r="A1444" s="134">
        <v>42646</v>
      </c>
      <c r="B1444" s="136">
        <v>1.5</v>
      </c>
      <c r="C1444" s="135">
        <v>0.34583333333333333</v>
      </c>
      <c r="D1444" s="135">
        <v>0.30555555555555558</v>
      </c>
      <c r="E1444" s="135">
        <v>0.78541666666666665</v>
      </c>
    </row>
    <row r="1445" spans="1:5" x14ac:dyDescent="0.25">
      <c r="A1445" s="134">
        <v>42646</v>
      </c>
      <c r="B1445" s="136">
        <v>0.3</v>
      </c>
      <c r="C1445" s="135">
        <v>0.86875000000000002</v>
      </c>
      <c r="D1445" s="135">
        <v>0.30555555555555558</v>
      </c>
      <c r="E1445" s="135">
        <v>0.78541666666666665</v>
      </c>
    </row>
    <row r="1446" spans="1:5" x14ac:dyDescent="0.25">
      <c r="A1446" s="134">
        <v>42647</v>
      </c>
      <c r="B1446" s="136">
        <v>2</v>
      </c>
      <c r="C1446" s="135">
        <v>0.36805555555555558</v>
      </c>
      <c r="D1446" s="135">
        <v>0.30625000000000002</v>
      </c>
      <c r="E1446" s="135">
        <v>0.78402777777777777</v>
      </c>
    </row>
    <row r="1447" spans="1:5" x14ac:dyDescent="0.25">
      <c r="A1447" s="134">
        <v>42647</v>
      </c>
      <c r="B1447" s="136">
        <v>0.4</v>
      </c>
      <c r="C1447" s="135">
        <v>0.89375000000000004</v>
      </c>
      <c r="D1447" s="135">
        <v>0.30625000000000002</v>
      </c>
      <c r="E1447" s="135">
        <v>0.78402777777777777</v>
      </c>
    </row>
    <row r="1448" spans="1:5" x14ac:dyDescent="0.25">
      <c r="A1448" s="134">
        <v>42648</v>
      </c>
      <c r="B1448" s="136">
        <v>2.4</v>
      </c>
      <c r="C1448" s="135">
        <v>0.39166666666666666</v>
      </c>
      <c r="D1448" s="135">
        <v>0.30694444444444446</v>
      </c>
      <c r="E1448" s="135">
        <v>0.78263888888888888</v>
      </c>
    </row>
    <row r="1449" spans="1:5" x14ac:dyDescent="0.25">
      <c r="A1449" s="134">
        <v>42648</v>
      </c>
      <c r="B1449" s="136">
        <v>0.6</v>
      </c>
      <c r="C1449" s="135">
        <v>0.92083333333333328</v>
      </c>
      <c r="D1449" s="135">
        <v>0.30694444444444446</v>
      </c>
      <c r="E1449" s="135">
        <v>0.78263888888888888</v>
      </c>
    </row>
    <row r="1450" spans="1:5" x14ac:dyDescent="0.25">
      <c r="A1450" s="134">
        <v>42649</v>
      </c>
      <c r="B1450" s="136">
        <v>2.9</v>
      </c>
      <c r="C1450" s="135">
        <v>0.41736111111111113</v>
      </c>
      <c r="D1450" s="135">
        <v>0.30833333333333335</v>
      </c>
      <c r="E1450" s="135">
        <v>0.78125</v>
      </c>
    </row>
    <row r="1451" spans="1:5" x14ac:dyDescent="0.25">
      <c r="A1451" s="134">
        <v>42649</v>
      </c>
      <c r="B1451" s="136">
        <v>0.8</v>
      </c>
      <c r="C1451" s="135">
        <v>0.9506944444444444</v>
      </c>
      <c r="D1451" s="135">
        <v>0.30833333333333335</v>
      </c>
      <c r="E1451" s="135">
        <v>0.78125</v>
      </c>
    </row>
    <row r="1452" spans="1:5" x14ac:dyDescent="0.25">
      <c r="A1452" s="134">
        <v>42650</v>
      </c>
      <c r="B1452" s="136">
        <v>3.2</v>
      </c>
      <c r="C1452" s="135">
        <v>0.44791666666666669</v>
      </c>
      <c r="D1452" s="135">
        <v>0.30902777777777779</v>
      </c>
      <c r="E1452" s="135">
        <v>0.77986111111111112</v>
      </c>
    </row>
    <row r="1453" spans="1:5" x14ac:dyDescent="0.25">
      <c r="A1453" s="134">
        <v>42650</v>
      </c>
      <c r="B1453" s="136">
        <v>1</v>
      </c>
      <c r="C1453" s="135">
        <v>0.98611111111111116</v>
      </c>
      <c r="D1453" s="135">
        <v>0.30902777777777779</v>
      </c>
      <c r="E1453" s="135">
        <v>0.77986111111111112</v>
      </c>
    </row>
    <row r="1454" spans="1:5" x14ac:dyDescent="0.25">
      <c r="A1454" s="134">
        <v>42651</v>
      </c>
      <c r="B1454" s="136">
        <v>3.5</v>
      </c>
      <c r="C1454" s="135">
        <v>0.48680555555555555</v>
      </c>
      <c r="D1454" s="135">
        <v>0.31041666666666667</v>
      </c>
      <c r="E1454" s="135">
        <v>0.77916666666666667</v>
      </c>
    </row>
    <row r="1455" spans="1:5" x14ac:dyDescent="0.25">
      <c r="A1455" s="134">
        <v>42652</v>
      </c>
      <c r="B1455" s="136">
        <v>1.2</v>
      </c>
      <c r="C1455" s="135">
        <v>2.7777777777777776E-2</v>
      </c>
      <c r="D1455" s="135">
        <v>0.31111111111111112</v>
      </c>
      <c r="E1455" s="135">
        <v>0.77777777777777779</v>
      </c>
    </row>
    <row r="1456" spans="1:5" x14ac:dyDescent="0.25">
      <c r="A1456" s="134">
        <v>42652</v>
      </c>
      <c r="B1456" s="136">
        <v>3.6</v>
      </c>
      <c r="C1456" s="135">
        <v>0.53611111111111109</v>
      </c>
      <c r="D1456" s="135">
        <v>0.31111111111111112</v>
      </c>
      <c r="E1456" s="135">
        <v>0.77777777777777779</v>
      </c>
    </row>
    <row r="1457" spans="1:5" x14ac:dyDescent="0.25">
      <c r="A1457" s="134">
        <v>42653</v>
      </c>
      <c r="B1457" s="136">
        <v>1.2</v>
      </c>
      <c r="C1457" s="135">
        <v>7.3611111111111113E-2</v>
      </c>
      <c r="D1457" s="135">
        <v>0.31180555555555556</v>
      </c>
      <c r="E1457" s="135">
        <v>0.77638888888888891</v>
      </c>
    </row>
    <row r="1458" spans="1:5" x14ac:dyDescent="0.25">
      <c r="A1458" s="134">
        <v>42653</v>
      </c>
      <c r="B1458" s="136">
        <v>3.4</v>
      </c>
      <c r="C1458" s="135">
        <v>0.58958333333333335</v>
      </c>
      <c r="D1458" s="135">
        <v>0.31180555555555556</v>
      </c>
      <c r="E1458" s="135">
        <v>0.77638888888888891</v>
      </c>
    </row>
    <row r="1459" spans="1:5" x14ac:dyDescent="0.25">
      <c r="A1459" s="134">
        <v>42654</v>
      </c>
      <c r="B1459" s="136">
        <v>1</v>
      </c>
      <c r="C1459" s="135">
        <v>0.11736111111111111</v>
      </c>
      <c r="D1459" s="135">
        <v>0.31319444444444444</v>
      </c>
      <c r="E1459" s="135">
        <v>0.77500000000000002</v>
      </c>
    </row>
    <row r="1460" spans="1:5" x14ac:dyDescent="0.25">
      <c r="A1460" s="134">
        <v>42654</v>
      </c>
      <c r="B1460" s="136">
        <v>2.8</v>
      </c>
      <c r="C1460" s="135">
        <v>0.63749999999999996</v>
      </c>
      <c r="D1460" s="135">
        <v>0.31319444444444444</v>
      </c>
      <c r="E1460" s="135">
        <v>0.77500000000000002</v>
      </c>
    </row>
    <row r="1461" spans="1:5" x14ac:dyDescent="0.25">
      <c r="A1461" s="134">
        <v>42655</v>
      </c>
      <c r="B1461" s="136">
        <v>0.7</v>
      </c>
      <c r="C1461" s="135">
        <v>0.15694444444444444</v>
      </c>
      <c r="D1461" s="135">
        <v>0.31388888888888888</v>
      </c>
      <c r="E1461" s="135">
        <v>0.77361111111111114</v>
      </c>
    </row>
    <row r="1462" spans="1:5" x14ac:dyDescent="0.25">
      <c r="A1462" s="134">
        <v>42655</v>
      </c>
      <c r="B1462" s="136">
        <v>2</v>
      </c>
      <c r="C1462" s="135">
        <v>0.67777777777777781</v>
      </c>
      <c r="D1462" s="135">
        <v>0.31388888888888888</v>
      </c>
      <c r="E1462" s="135">
        <v>0.77361111111111114</v>
      </c>
    </row>
    <row r="1463" spans="1:5" x14ac:dyDescent="0.25">
      <c r="A1463" s="134">
        <v>42656</v>
      </c>
      <c r="B1463" s="136">
        <v>0.5</v>
      </c>
      <c r="C1463" s="135">
        <v>0.19166666666666668</v>
      </c>
      <c r="D1463" s="135">
        <v>0.31527777777777777</v>
      </c>
      <c r="E1463" s="135">
        <v>0.77222222222222225</v>
      </c>
    </row>
    <row r="1464" spans="1:5" x14ac:dyDescent="0.25">
      <c r="A1464" s="134">
        <v>42656</v>
      </c>
      <c r="B1464" s="136">
        <v>1.1000000000000001</v>
      </c>
      <c r="C1464" s="135">
        <v>0.71319444444444446</v>
      </c>
      <c r="D1464" s="135">
        <v>0.31527777777777777</v>
      </c>
      <c r="E1464" s="135">
        <v>0.77222222222222225</v>
      </c>
    </row>
    <row r="1465" spans="1:5" x14ac:dyDescent="0.25">
      <c r="A1465" s="134">
        <v>42657</v>
      </c>
      <c r="B1465" s="136">
        <v>0.3</v>
      </c>
      <c r="C1465" s="135">
        <v>0.22430555555555556</v>
      </c>
      <c r="D1465" s="135">
        <v>0.31597222222222221</v>
      </c>
      <c r="E1465" s="135">
        <v>0.77083333333333337</v>
      </c>
    </row>
    <row r="1466" spans="1:5" x14ac:dyDescent="0.25">
      <c r="A1466" s="134">
        <v>42657</v>
      </c>
      <c r="B1466" s="136">
        <v>0.2</v>
      </c>
      <c r="C1466" s="135">
        <v>0.74652777777777779</v>
      </c>
      <c r="D1466" s="135">
        <v>0.31597222222222221</v>
      </c>
      <c r="E1466" s="135">
        <v>0.77083333333333337</v>
      </c>
    </row>
    <row r="1467" spans="1:5" x14ac:dyDescent="0.25">
      <c r="A1467" s="134">
        <v>42658</v>
      </c>
      <c r="B1467" s="136">
        <v>0.3</v>
      </c>
      <c r="C1467" s="135">
        <v>0.25555555555555554</v>
      </c>
      <c r="D1467" s="135">
        <v>0.31666666666666665</v>
      </c>
      <c r="E1467" s="135">
        <v>0.76944444444444449</v>
      </c>
    </row>
    <row r="1468" spans="1:5" x14ac:dyDescent="0.25">
      <c r="A1468" s="134">
        <v>42658</v>
      </c>
      <c r="B1468" s="136">
        <v>-0.6</v>
      </c>
      <c r="C1468" s="135">
        <v>0.77916666666666667</v>
      </c>
      <c r="D1468" s="135">
        <v>0.31666666666666665</v>
      </c>
      <c r="E1468" s="135">
        <v>0.76944444444444449</v>
      </c>
    </row>
    <row r="1469" spans="1:5" x14ac:dyDescent="0.25">
      <c r="A1469" s="134">
        <v>42659</v>
      </c>
      <c r="B1469" s="136">
        <v>0.5</v>
      </c>
      <c r="C1469" s="135">
        <v>0.28541666666666665</v>
      </c>
      <c r="D1469" s="135">
        <v>0.31805555555555554</v>
      </c>
      <c r="E1469" s="135">
        <v>0.7680555555555556</v>
      </c>
    </row>
    <row r="1470" spans="1:5" x14ac:dyDescent="0.25">
      <c r="A1470" s="134">
        <v>42659</v>
      </c>
      <c r="B1470" s="136">
        <v>-1.1000000000000001</v>
      </c>
      <c r="C1470" s="135">
        <v>0.81111111111111112</v>
      </c>
      <c r="D1470" s="135">
        <v>0.31805555555555554</v>
      </c>
      <c r="E1470" s="135">
        <v>0.7680555555555556</v>
      </c>
    </row>
    <row r="1471" spans="1:5" x14ac:dyDescent="0.25">
      <c r="A1471" s="134">
        <v>42660</v>
      </c>
      <c r="B1471" s="136">
        <v>0.8</v>
      </c>
      <c r="C1471" s="135">
        <v>0.31597222222222221</v>
      </c>
      <c r="D1471" s="135">
        <v>0.31874999999999998</v>
      </c>
      <c r="E1471" s="135">
        <v>0.76736111111111116</v>
      </c>
    </row>
    <row r="1472" spans="1:5" x14ac:dyDescent="0.25">
      <c r="A1472" s="134">
        <v>42660</v>
      </c>
      <c r="B1472" s="136">
        <v>-1.4</v>
      </c>
      <c r="C1472" s="135">
        <v>0.84444444444444444</v>
      </c>
      <c r="D1472" s="135">
        <v>0.31874999999999998</v>
      </c>
      <c r="E1472" s="135">
        <v>0.76736111111111116</v>
      </c>
    </row>
    <row r="1473" spans="1:5" x14ac:dyDescent="0.25">
      <c r="A1473" s="134">
        <v>42661</v>
      </c>
      <c r="B1473" s="136">
        <v>1.3</v>
      </c>
      <c r="C1473" s="135">
        <v>0.34722222222222221</v>
      </c>
      <c r="D1473" s="135">
        <v>0.32013888888888886</v>
      </c>
      <c r="E1473" s="135">
        <v>0.76597222222222228</v>
      </c>
    </row>
    <row r="1474" spans="1:5" x14ac:dyDescent="0.25">
      <c r="A1474" s="134">
        <v>42661</v>
      </c>
      <c r="B1474" s="136">
        <v>-1.4</v>
      </c>
      <c r="C1474" s="135">
        <v>0.87777777777777777</v>
      </c>
      <c r="D1474" s="135">
        <v>0.32013888888888886</v>
      </c>
      <c r="E1474" s="135">
        <v>0.76597222222222228</v>
      </c>
    </row>
    <row r="1475" spans="1:5" x14ac:dyDescent="0.25">
      <c r="A1475" s="134">
        <v>42662</v>
      </c>
      <c r="B1475" s="136">
        <v>1.8</v>
      </c>
      <c r="C1475" s="135">
        <v>0.37986111111111109</v>
      </c>
      <c r="D1475" s="135">
        <v>0.32083333333333336</v>
      </c>
      <c r="E1475" s="135">
        <v>0.76458333333333328</v>
      </c>
    </row>
    <row r="1476" spans="1:5" x14ac:dyDescent="0.25">
      <c r="A1476" s="134">
        <v>42662</v>
      </c>
      <c r="B1476" s="136">
        <v>-1.1000000000000001</v>
      </c>
      <c r="C1476" s="135">
        <v>0.91319444444444442</v>
      </c>
      <c r="D1476" s="135">
        <v>0.32083333333333336</v>
      </c>
      <c r="E1476" s="135">
        <v>0.76458333333333328</v>
      </c>
    </row>
    <row r="1477" spans="1:5" x14ac:dyDescent="0.25">
      <c r="A1477" s="134">
        <v>42663</v>
      </c>
      <c r="B1477" s="136">
        <v>2.2999999999999998</v>
      </c>
      <c r="C1477" s="135">
        <v>0.41597222222222224</v>
      </c>
      <c r="D1477" s="135">
        <v>0.32222222222222224</v>
      </c>
      <c r="E1477" s="135">
        <v>0.7631944444444444</v>
      </c>
    </row>
    <row r="1478" spans="1:5" x14ac:dyDescent="0.25">
      <c r="A1478" s="134">
        <v>42663</v>
      </c>
      <c r="B1478" s="136">
        <v>-0.7</v>
      </c>
      <c r="C1478" s="135">
        <v>0.95138888888888884</v>
      </c>
      <c r="D1478" s="135">
        <v>0.32222222222222224</v>
      </c>
      <c r="E1478" s="135">
        <v>0.7631944444444444</v>
      </c>
    </row>
    <row r="1479" spans="1:5" x14ac:dyDescent="0.25">
      <c r="A1479" s="134">
        <v>42664</v>
      </c>
      <c r="B1479" s="136">
        <v>2.8</v>
      </c>
      <c r="C1479" s="135">
        <v>0.45694444444444443</v>
      </c>
      <c r="D1479" s="135">
        <v>0.32291666666666669</v>
      </c>
      <c r="E1479" s="135">
        <v>0.76180555555555551</v>
      </c>
    </row>
    <row r="1480" spans="1:5" x14ac:dyDescent="0.25">
      <c r="A1480" s="134">
        <v>42664</v>
      </c>
      <c r="B1480" s="136">
        <v>-0.1</v>
      </c>
      <c r="C1480" s="135">
        <v>0.99305555555555558</v>
      </c>
      <c r="D1480" s="135">
        <v>0.32291666666666669</v>
      </c>
      <c r="E1480" s="135">
        <v>0.76180555555555551</v>
      </c>
    </row>
    <row r="1481" spans="1:5" x14ac:dyDescent="0.25">
      <c r="A1481" s="134">
        <v>42665</v>
      </c>
      <c r="B1481" s="136">
        <v>3.1</v>
      </c>
      <c r="C1481" s="135">
        <v>0.50416666666666665</v>
      </c>
      <c r="D1481" s="135">
        <v>0.32430555555555557</v>
      </c>
      <c r="E1481" s="135">
        <v>0.76111111111111107</v>
      </c>
    </row>
    <row r="1482" spans="1:5" x14ac:dyDescent="0.25">
      <c r="A1482" s="134">
        <v>42666</v>
      </c>
      <c r="B1482" s="136">
        <v>0.4</v>
      </c>
      <c r="C1482" s="135">
        <v>3.8194444444444448E-2</v>
      </c>
      <c r="D1482" s="135">
        <v>0.32500000000000001</v>
      </c>
      <c r="E1482" s="135">
        <v>0.75972222222222219</v>
      </c>
    </row>
    <row r="1483" spans="1:5" x14ac:dyDescent="0.25">
      <c r="A1483" s="134">
        <v>42666</v>
      </c>
      <c r="B1483" s="136">
        <v>3.1</v>
      </c>
      <c r="C1483" s="135">
        <v>0.55833333333333335</v>
      </c>
      <c r="D1483" s="135">
        <v>0.32500000000000001</v>
      </c>
      <c r="E1483" s="135">
        <v>0.75972222222222219</v>
      </c>
    </row>
    <row r="1484" spans="1:5" x14ac:dyDescent="0.25">
      <c r="A1484" s="134">
        <v>42667</v>
      </c>
      <c r="B1484" s="136">
        <v>0.8</v>
      </c>
      <c r="C1484" s="135">
        <v>8.4722222222222227E-2</v>
      </c>
      <c r="D1484" s="135">
        <v>0.3263888888888889</v>
      </c>
      <c r="E1484" s="135">
        <v>0.7583333333333333</v>
      </c>
    </row>
    <row r="1485" spans="1:5" x14ac:dyDescent="0.25">
      <c r="A1485" s="134">
        <v>42667</v>
      </c>
      <c r="B1485" s="136">
        <v>2.8</v>
      </c>
      <c r="C1485" s="135">
        <v>0.61319444444444449</v>
      </c>
      <c r="D1485" s="135">
        <v>0.3263888888888889</v>
      </c>
      <c r="E1485" s="135">
        <v>0.7583333333333333</v>
      </c>
    </row>
    <row r="1486" spans="1:5" x14ac:dyDescent="0.25">
      <c r="A1486" s="134">
        <v>42668</v>
      </c>
      <c r="B1486" s="136">
        <v>1</v>
      </c>
      <c r="C1486" s="135">
        <v>0.12916666666666668</v>
      </c>
      <c r="D1486" s="135">
        <v>0.32708333333333334</v>
      </c>
      <c r="E1486" s="135">
        <v>0.75694444444444442</v>
      </c>
    </row>
    <row r="1487" spans="1:5" x14ac:dyDescent="0.25">
      <c r="A1487" s="134">
        <v>42668</v>
      </c>
      <c r="B1487" s="136">
        <v>2.2000000000000002</v>
      </c>
      <c r="C1487" s="135">
        <v>0.65972222222222221</v>
      </c>
      <c r="D1487" s="135">
        <v>0.32708333333333334</v>
      </c>
      <c r="E1487" s="135">
        <v>0.75694444444444442</v>
      </c>
    </row>
    <row r="1488" spans="1:5" x14ac:dyDescent="0.25">
      <c r="A1488" s="134">
        <v>42669</v>
      </c>
      <c r="B1488" s="136">
        <v>1.1000000000000001</v>
      </c>
      <c r="C1488" s="135">
        <v>0.1673611111111111</v>
      </c>
      <c r="D1488" s="135">
        <v>0.32847222222222222</v>
      </c>
      <c r="E1488" s="135">
        <v>0.75624999999999998</v>
      </c>
    </row>
    <row r="1489" spans="1:5" x14ac:dyDescent="0.25">
      <c r="A1489" s="134">
        <v>42669</v>
      </c>
      <c r="B1489" s="136">
        <v>1.6</v>
      </c>
      <c r="C1489" s="135">
        <v>0.69722222222222219</v>
      </c>
      <c r="D1489" s="135">
        <v>0.32847222222222222</v>
      </c>
      <c r="E1489" s="135">
        <v>0.75624999999999998</v>
      </c>
    </row>
    <row r="1490" spans="1:5" x14ac:dyDescent="0.25">
      <c r="A1490" s="134">
        <v>42670</v>
      </c>
      <c r="B1490" s="136">
        <v>1.2</v>
      </c>
      <c r="C1490" s="135">
        <v>0.20069444444444445</v>
      </c>
      <c r="D1490" s="135">
        <v>0.32916666666666666</v>
      </c>
      <c r="E1490" s="135">
        <v>0.75486111111111109</v>
      </c>
    </row>
    <row r="1491" spans="1:5" x14ac:dyDescent="0.25">
      <c r="A1491" s="134">
        <v>42670</v>
      </c>
      <c r="B1491" s="136">
        <v>1</v>
      </c>
      <c r="C1491" s="135">
        <v>0.72847222222222219</v>
      </c>
      <c r="D1491" s="135">
        <v>0.32916666666666666</v>
      </c>
      <c r="E1491" s="135">
        <v>0.75486111111111109</v>
      </c>
    </row>
    <row r="1492" spans="1:5" x14ac:dyDescent="0.25">
      <c r="A1492" s="134">
        <v>42671</v>
      </c>
      <c r="B1492" s="136">
        <v>1.4</v>
      </c>
      <c r="C1492" s="135">
        <v>0.22916666666666666</v>
      </c>
      <c r="D1492" s="135">
        <v>0.3298611111111111</v>
      </c>
      <c r="E1492" s="135">
        <v>0.75416666666666665</v>
      </c>
    </row>
    <row r="1493" spans="1:5" x14ac:dyDescent="0.25">
      <c r="A1493" s="134">
        <v>42671</v>
      </c>
      <c r="B1493" s="136">
        <v>0.5</v>
      </c>
      <c r="C1493" s="135">
        <v>0.75624999999999998</v>
      </c>
      <c r="D1493" s="135">
        <v>0.3298611111111111</v>
      </c>
      <c r="E1493" s="135">
        <v>0.75416666666666665</v>
      </c>
    </row>
    <row r="1494" spans="1:5" x14ac:dyDescent="0.25">
      <c r="A1494" s="134">
        <v>42672</v>
      </c>
      <c r="B1494" s="136">
        <v>1.6</v>
      </c>
      <c r="C1494" s="135">
        <v>0.25486111111111109</v>
      </c>
      <c r="D1494" s="135">
        <v>0.33124999999999999</v>
      </c>
      <c r="E1494" s="135">
        <v>0.75277777777777777</v>
      </c>
    </row>
    <row r="1495" spans="1:5" x14ac:dyDescent="0.25">
      <c r="A1495" s="134">
        <v>42672</v>
      </c>
      <c r="B1495" s="136">
        <v>0.2</v>
      </c>
      <c r="C1495" s="135">
        <v>0.78125</v>
      </c>
      <c r="D1495" s="135">
        <v>0.33124999999999999</v>
      </c>
      <c r="E1495" s="135">
        <v>0.75277777777777777</v>
      </c>
    </row>
    <row r="1496" spans="1:5" x14ac:dyDescent="0.25">
      <c r="A1496" s="134">
        <v>42673</v>
      </c>
      <c r="B1496" s="136">
        <v>1.9</v>
      </c>
      <c r="C1496" s="135">
        <v>0.27916666666666667</v>
      </c>
      <c r="D1496" s="135">
        <v>0.33194444444444443</v>
      </c>
      <c r="E1496" s="135">
        <v>0.75138888888888888</v>
      </c>
    </row>
    <row r="1497" spans="1:5" x14ac:dyDescent="0.25">
      <c r="A1497" s="134">
        <v>42673</v>
      </c>
      <c r="B1497" s="136">
        <v>0</v>
      </c>
      <c r="C1497" s="135">
        <v>0.80486111111111114</v>
      </c>
      <c r="D1497" s="135">
        <v>0.33194444444444443</v>
      </c>
      <c r="E1497" s="135">
        <v>0.75138888888888888</v>
      </c>
    </row>
    <row r="1498" spans="1:5" x14ac:dyDescent="0.25">
      <c r="A1498" s="134">
        <v>42674</v>
      </c>
      <c r="B1498" s="136">
        <v>2.2000000000000002</v>
      </c>
      <c r="C1498" s="135">
        <v>0.30277777777777776</v>
      </c>
      <c r="D1498" s="135">
        <v>0.33333333333333331</v>
      </c>
      <c r="E1498" s="135">
        <v>0.75069444444444444</v>
      </c>
    </row>
    <row r="1499" spans="1:5" x14ac:dyDescent="0.25">
      <c r="A1499" s="134">
        <v>42674</v>
      </c>
      <c r="B1499" s="136">
        <v>-0.1</v>
      </c>
      <c r="C1499" s="135">
        <v>0.82847222222222228</v>
      </c>
      <c r="D1499" s="135">
        <v>0.33333333333333331</v>
      </c>
      <c r="E1499" s="135">
        <v>0.75069444444444444</v>
      </c>
    </row>
    <row r="1500" spans="1:5" x14ac:dyDescent="0.25">
      <c r="A1500" s="134">
        <v>42675</v>
      </c>
      <c r="B1500" s="136">
        <v>2.5</v>
      </c>
      <c r="C1500" s="135">
        <v>0.32569444444444445</v>
      </c>
      <c r="D1500" s="135">
        <v>0.33402777777777776</v>
      </c>
      <c r="E1500" s="135">
        <v>0.74930555555555556</v>
      </c>
    </row>
    <row r="1501" spans="1:5" x14ac:dyDescent="0.25">
      <c r="A1501" s="134">
        <v>42675</v>
      </c>
      <c r="B1501" s="136">
        <v>-0.1</v>
      </c>
      <c r="C1501" s="135">
        <v>0.8520833333333333</v>
      </c>
      <c r="D1501" s="135">
        <v>0.33402777777777776</v>
      </c>
      <c r="E1501" s="135">
        <v>0.74930555555555556</v>
      </c>
    </row>
    <row r="1502" spans="1:5" x14ac:dyDescent="0.25">
      <c r="A1502" s="134">
        <v>42676</v>
      </c>
      <c r="B1502" s="136">
        <v>2.8</v>
      </c>
      <c r="C1502" s="135">
        <v>0.34861111111111109</v>
      </c>
      <c r="D1502" s="135">
        <v>0.33541666666666664</v>
      </c>
      <c r="E1502" s="135">
        <v>0.74861111111111112</v>
      </c>
    </row>
    <row r="1503" spans="1:5" x14ac:dyDescent="0.25">
      <c r="A1503" s="134">
        <v>42676</v>
      </c>
      <c r="B1503" s="136">
        <v>0</v>
      </c>
      <c r="C1503" s="135">
        <v>0.87638888888888888</v>
      </c>
      <c r="D1503" s="135">
        <v>0.33541666666666664</v>
      </c>
      <c r="E1503" s="135">
        <v>0.74861111111111112</v>
      </c>
    </row>
    <row r="1504" spans="1:5" x14ac:dyDescent="0.25">
      <c r="A1504" s="134">
        <v>42677</v>
      </c>
      <c r="B1504" s="136">
        <v>3.1</v>
      </c>
      <c r="C1504" s="135">
        <v>0.37291666666666667</v>
      </c>
      <c r="D1504" s="135">
        <v>0.33611111111111114</v>
      </c>
      <c r="E1504" s="135">
        <v>0.74722222222222223</v>
      </c>
    </row>
    <row r="1505" spans="1:5" x14ac:dyDescent="0.25">
      <c r="A1505" s="134">
        <v>42677</v>
      </c>
      <c r="B1505" s="136">
        <v>0.2</v>
      </c>
      <c r="C1505" s="135">
        <v>0.90208333333333335</v>
      </c>
      <c r="D1505" s="135">
        <v>0.33611111111111114</v>
      </c>
      <c r="E1505" s="135">
        <v>0.74722222222222223</v>
      </c>
    </row>
    <row r="1506" spans="1:5" x14ac:dyDescent="0.25">
      <c r="A1506" s="134">
        <v>42678</v>
      </c>
      <c r="B1506" s="136">
        <v>3.4</v>
      </c>
      <c r="C1506" s="135">
        <v>0.4</v>
      </c>
      <c r="D1506" s="135">
        <v>0.33750000000000002</v>
      </c>
      <c r="E1506" s="135">
        <v>0.74652777777777779</v>
      </c>
    </row>
    <row r="1507" spans="1:5" x14ac:dyDescent="0.25">
      <c r="A1507" s="134">
        <v>42678</v>
      </c>
      <c r="B1507" s="136">
        <v>0.4</v>
      </c>
      <c r="C1507" s="135">
        <v>0.92986111111111114</v>
      </c>
      <c r="D1507" s="135">
        <v>0.33750000000000002</v>
      </c>
      <c r="E1507" s="135">
        <v>0.74652777777777779</v>
      </c>
    </row>
    <row r="1508" spans="1:5" x14ac:dyDescent="0.25">
      <c r="A1508" s="134">
        <v>42679</v>
      </c>
      <c r="B1508" s="136">
        <v>3.6</v>
      </c>
      <c r="C1508" s="135">
        <v>0.43194444444444446</v>
      </c>
      <c r="D1508" s="135">
        <v>0.33819444444444446</v>
      </c>
      <c r="E1508" s="135">
        <v>0.74513888888888891</v>
      </c>
    </row>
    <row r="1509" spans="1:5" x14ac:dyDescent="0.25">
      <c r="A1509" s="134">
        <v>42679</v>
      </c>
      <c r="B1509" s="136">
        <v>0.7</v>
      </c>
      <c r="C1509" s="135">
        <v>0.96180555555555558</v>
      </c>
      <c r="D1509" s="135">
        <v>0.33819444444444446</v>
      </c>
      <c r="E1509" s="135">
        <v>0.74513888888888891</v>
      </c>
    </row>
    <row r="1510" spans="1:5" x14ac:dyDescent="0.25">
      <c r="A1510" s="134">
        <v>42680</v>
      </c>
      <c r="B1510" s="136">
        <v>3.8</v>
      </c>
      <c r="C1510" s="135">
        <v>0.42916666666666664</v>
      </c>
      <c r="D1510" s="135">
        <v>0.29791666666666666</v>
      </c>
      <c r="E1510" s="135">
        <v>0.70277777777777772</v>
      </c>
    </row>
    <row r="1511" spans="1:5" x14ac:dyDescent="0.25">
      <c r="A1511" s="134">
        <v>42680</v>
      </c>
      <c r="B1511" s="136">
        <v>0.9</v>
      </c>
      <c r="C1511" s="135">
        <v>0.95694444444444449</v>
      </c>
      <c r="D1511" s="135">
        <v>0.29791666666666666</v>
      </c>
      <c r="E1511" s="135">
        <v>0.70277777777777772</v>
      </c>
    </row>
    <row r="1512" spans="1:5" x14ac:dyDescent="0.25">
      <c r="A1512" s="134">
        <v>42681</v>
      </c>
      <c r="B1512" s="136">
        <v>3.7</v>
      </c>
      <c r="C1512" s="135">
        <v>0.47708333333333336</v>
      </c>
      <c r="D1512" s="135">
        <v>0.2986111111111111</v>
      </c>
      <c r="E1512" s="135">
        <v>0.70208333333333328</v>
      </c>
    </row>
    <row r="1513" spans="1:5" x14ac:dyDescent="0.25">
      <c r="A1513" s="134">
        <v>42681</v>
      </c>
      <c r="B1513" s="136">
        <v>1.1000000000000001</v>
      </c>
      <c r="C1513" s="135">
        <v>0.99861111111111112</v>
      </c>
      <c r="D1513" s="135">
        <v>0.2986111111111111</v>
      </c>
      <c r="E1513" s="135">
        <v>0.70208333333333328</v>
      </c>
    </row>
    <row r="1514" spans="1:5" x14ac:dyDescent="0.25">
      <c r="A1514" s="134">
        <v>42682</v>
      </c>
      <c r="B1514" s="136">
        <v>3.3</v>
      </c>
      <c r="C1514" s="135">
        <v>0.52916666666666667</v>
      </c>
      <c r="D1514" s="135">
        <v>0.3</v>
      </c>
      <c r="E1514" s="135">
        <v>0.7006944444444444</v>
      </c>
    </row>
    <row r="1515" spans="1:5" x14ac:dyDescent="0.25">
      <c r="A1515" s="134">
        <v>42683</v>
      </c>
      <c r="B1515" s="136">
        <v>1.2</v>
      </c>
      <c r="C1515" s="135">
        <v>4.1666666666666664E-2</v>
      </c>
      <c r="D1515" s="135">
        <v>0.30069444444444443</v>
      </c>
      <c r="E1515" s="135">
        <v>0.7</v>
      </c>
    </row>
    <row r="1516" spans="1:5" x14ac:dyDescent="0.25">
      <c r="A1516" s="134">
        <v>42683</v>
      </c>
      <c r="B1516" s="136">
        <v>2.6</v>
      </c>
      <c r="C1516" s="135">
        <v>0.57777777777777772</v>
      </c>
      <c r="D1516" s="135">
        <v>0.30069444444444443</v>
      </c>
      <c r="E1516" s="135">
        <v>0.7</v>
      </c>
    </row>
    <row r="1517" spans="1:5" x14ac:dyDescent="0.25">
      <c r="A1517" s="134">
        <v>42684</v>
      </c>
      <c r="B1517" s="136">
        <v>1.3</v>
      </c>
      <c r="C1517" s="135">
        <v>8.3333333333333329E-2</v>
      </c>
      <c r="D1517" s="135">
        <v>0.30208333333333331</v>
      </c>
      <c r="E1517" s="135">
        <v>0.69930555555555551</v>
      </c>
    </row>
    <row r="1518" spans="1:5" x14ac:dyDescent="0.25">
      <c r="A1518" s="134">
        <v>42684</v>
      </c>
      <c r="B1518" s="136">
        <v>1.7</v>
      </c>
      <c r="C1518" s="135">
        <v>0.62013888888888891</v>
      </c>
      <c r="D1518" s="135">
        <v>0.30208333333333331</v>
      </c>
      <c r="E1518" s="135">
        <v>0.69930555555555551</v>
      </c>
    </row>
    <row r="1519" spans="1:5" x14ac:dyDescent="0.25">
      <c r="A1519" s="134">
        <v>42685</v>
      </c>
      <c r="B1519" s="136">
        <v>1.3</v>
      </c>
      <c r="C1519" s="135">
        <v>0.12152777777777778</v>
      </c>
      <c r="D1519" s="135">
        <v>0.30277777777777776</v>
      </c>
      <c r="E1519" s="135">
        <v>0.69791666666666663</v>
      </c>
    </row>
    <row r="1520" spans="1:5" x14ac:dyDescent="0.25">
      <c r="A1520" s="134">
        <v>42685</v>
      </c>
      <c r="B1520" s="136">
        <v>0.7</v>
      </c>
      <c r="C1520" s="135">
        <v>0.65763888888888888</v>
      </c>
      <c r="D1520" s="135">
        <v>0.30277777777777776</v>
      </c>
      <c r="E1520" s="135">
        <v>0.69791666666666663</v>
      </c>
    </row>
    <row r="1521" spans="1:5" x14ac:dyDescent="0.25">
      <c r="A1521" s="134">
        <v>42686</v>
      </c>
      <c r="B1521" s="136">
        <v>1.3</v>
      </c>
      <c r="C1521" s="135">
        <v>0.15763888888888888</v>
      </c>
      <c r="D1521" s="135">
        <v>0.30416666666666664</v>
      </c>
      <c r="E1521" s="135">
        <v>0.69722222222222219</v>
      </c>
    </row>
    <row r="1522" spans="1:5" x14ac:dyDescent="0.25">
      <c r="A1522" s="134">
        <v>42686</v>
      </c>
      <c r="B1522" s="136">
        <v>-0.3</v>
      </c>
      <c r="C1522" s="135">
        <v>0.69236111111111109</v>
      </c>
      <c r="D1522" s="135">
        <v>0.30416666666666664</v>
      </c>
      <c r="E1522" s="135">
        <v>0.69722222222222219</v>
      </c>
    </row>
    <row r="1523" spans="1:5" x14ac:dyDescent="0.25">
      <c r="A1523" s="134">
        <v>42687</v>
      </c>
      <c r="B1523" s="136">
        <v>1.4</v>
      </c>
      <c r="C1523" s="135">
        <v>0.19236111111111112</v>
      </c>
      <c r="D1523" s="135">
        <v>0.30486111111111114</v>
      </c>
      <c r="E1523" s="135">
        <v>0.69652777777777775</v>
      </c>
    </row>
    <row r="1524" spans="1:5" x14ac:dyDescent="0.25">
      <c r="A1524" s="134">
        <v>42687</v>
      </c>
      <c r="B1524" s="136">
        <v>-1.1000000000000001</v>
      </c>
      <c r="C1524" s="135">
        <v>0.72569444444444442</v>
      </c>
      <c r="D1524" s="135">
        <v>0.30486111111111114</v>
      </c>
      <c r="E1524" s="135">
        <v>0.69652777777777775</v>
      </c>
    </row>
    <row r="1525" spans="1:5" x14ac:dyDescent="0.25">
      <c r="A1525" s="134">
        <v>42688</v>
      </c>
      <c r="B1525" s="136">
        <v>1.6</v>
      </c>
      <c r="C1525" s="135">
        <v>0.22500000000000001</v>
      </c>
      <c r="D1525" s="135">
        <v>0.30625000000000002</v>
      </c>
      <c r="E1525" s="135">
        <v>0.6958333333333333</v>
      </c>
    </row>
    <row r="1526" spans="1:5" x14ac:dyDescent="0.25">
      <c r="A1526" s="134">
        <v>42688</v>
      </c>
      <c r="B1526" s="136">
        <v>-1.6</v>
      </c>
      <c r="C1526" s="135">
        <v>0.75902777777777775</v>
      </c>
      <c r="D1526" s="135">
        <v>0.30625000000000002</v>
      </c>
      <c r="E1526" s="135">
        <v>0.6958333333333333</v>
      </c>
    </row>
    <row r="1527" spans="1:5" x14ac:dyDescent="0.25">
      <c r="A1527" s="134">
        <v>42689</v>
      </c>
      <c r="B1527" s="136">
        <v>1.8</v>
      </c>
      <c r="C1527" s="135">
        <v>0.25833333333333336</v>
      </c>
      <c r="D1527" s="135">
        <v>0.30694444444444446</v>
      </c>
      <c r="E1527" s="135">
        <v>0.69513888888888886</v>
      </c>
    </row>
    <row r="1528" spans="1:5" x14ac:dyDescent="0.25">
      <c r="A1528" s="134">
        <v>42689</v>
      </c>
      <c r="B1528" s="136">
        <v>-1.8</v>
      </c>
      <c r="C1528" s="135">
        <v>0.79166666666666663</v>
      </c>
      <c r="D1528" s="135">
        <v>0.30694444444444446</v>
      </c>
      <c r="E1528" s="135">
        <v>0.69513888888888886</v>
      </c>
    </row>
    <row r="1529" spans="1:5" x14ac:dyDescent="0.25">
      <c r="A1529" s="134">
        <v>42690</v>
      </c>
      <c r="B1529" s="136">
        <v>2.1</v>
      </c>
      <c r="C1529" s="135">
        <v>0.29166666666666669</v>
      </c>
      <c r="D1529" s="135">
        <v>0.30833333333333335</v>
      </c>
      <c r="E1529" s="135">
        <v>0.69444444444444442</v>
      </c>
    </row>
    <row r="1530" spans="1:5" x14ac:dyDescent="0.25">
      <c r="A1530" s="134">
        <v>42690</v>
      </c>
      <c r="B1530" s="136">
        <v>-1.7</v>
      </c>
      <c r="C1530" s="135">
        <v>0.82499999999999996</v>
      </c>
      <c r="D1530" s="135">
        <v>0.30833333333333335</v>
      </c>
      <c r="E1530" s="135">
        <v>0.69444444444444442</v>
      </c>
    </row>
    <row r="1531" spans="1:5" x14ac:dyDescent="0.25">
      <c r="A1531" s="134">
        <v>42691</v>
      </c>
      <c r="B1531" s="136">
        <v>2.4</v>
      </c>
      <c r="C1531" s="135">
        <v>0.3263888888888889</v>
      </c>
      <c r="D1531" s="135">
        <v>0.30902777777777779</v>
      </c>
      <c r="E1531" s="135">
        <v>0.69374999999999998</v>
      </c>
    </row>
    <row r="1532" spans="1:5" x14ac:dyDescent="0.25">
      <c r="A1532" s="134">
        <v>42691</v>
      </c>
      <c r="B1532" s="136">
        <v>-1.3</v>
      </c>
      <c r="C1532" s="135">
        <v>0.85902777777777772</v>
      </c>
      <c r="D1532" s="135">
        <v>0.30902777777777779</v>
      </c>
      <c r="E1532" s="135">
        <v>0.69374999999999998</v>
      </c>
    </row>
    <row r="1533" spans="1:5" x14ac:dyDescent="0.25">
      <c r="A1533" s="134">
        <v>42692</v>
      </c>
      <c r="B1533" s="136">
        <v>2.8</v>
      </c>
      <c r="C1533" s="135">
        <v>0.36388888888888887</v>
      </c>
      <c r="D1533" s="135">
        <v>0.31041666666666667</v>
      </c>
      <c r="E1533" s="135">
        <v>0.69305555555555554</v>
      </c>
    </row>
    <row r="1534" spans="1:5" x14ac:dyDescent="0.25">
      <c r="A1534" s="134">
        <v>42692</v>
      </c>
      <c r="B1534" s="136">
        <v>-0.8</v>
      </c>
      <c r="C1534" s="135">
        <v>0.89444444444444449</v>
      </c>
      <c r="D1534" s="135">
        <v>0.31041666666666667</v>
      </c>
      <c r="E1534" s="135">
        <v>0.69305555555555554</v>
      </c>
    </row>
    <row r="1535" spans="1:5" x14ac:dyDescent="0.25">
      <c r="A1535" s="134">
        <v>42693</v>
      </c>
      <c r="B1535" s="136">
        <v>3.1</v>
      </c>
      <c r="C1535" s="135">
        <v>0.40486111111111112</v>
      </c>
      <c r="D1535" s="135">
        <v>0.31111111111111112</v>
      </c>
      <c r="E1535" s="135">
        <v>0.69236111111111109</v>
      </c>
    </row>
    <row r="1536" spans="1:5" x14ac:dyDescent="0.25">
      <c r="A1536" s="134">
        <v>42693</v>
      </c>
      <c r="B1536" s="136">
        <v>-0.1</v>
      </c>
      <c r="C1536" s="135">
        <v>0.93194444444444446</v>
      </c>
      <c r="D1536" s="135">
        <v>0.31111111111111112</v>
      </c>
      <c r="E1536" s="135">
        <v>0.69236111111111109</v>
      </c>
    </row>
    <row r="1537" spans="1:5" x14ac:dyDescent="0.25">
      <c r="A1537" s="134">
        <v>42694</v>
      </c>
      <c r="B1537" s="136">
        <v>3.2</v>
      </c>
      <c r="C1537" s="135">
        <v>0.45069444444444445</v>
      </c>
      <c r="D1537" s="135">
        <v>0.3125</v>
      </c>
      <c r="E1537" s="135">
        <v>0.69166666666666665</v>
      </c>
    </row>
    <row r="1538" spans="1:5" x14ac:dyDescent="0.25">
      <c r="A1538" s="134">
        <v>42694</v>
      </c>
      <c r="B1538" s="136">
        <v>0.6</v>
      </c>
      <c r="C1538" s="135">
        <v>0.97152777777777777</v>
      </c>
      <c r="D1538" s="135">
        <v>0.3125</v>
      </c>
      <c r="E1538" s="135">
        <v>0.69166666666666665</v>
      </c>
    </row>
    <row r="1539" spans="1:5" x14ac:dyDescent="0.25">
      <c r="A1539" s="134">
        <v>42695</v>
      </c>
      <c r="B1539" s="136">
        <v>3.1</v>
      </c>
      <c r="C1539" s="135">
        <v>0.50208333333333333</v>
      </c>
      <c r="D1539" s="135">
        <v>0.31319444444444444</v>
      </c>
      <c r="E1539" s="135">
        <v>0.69097222222222221</v>
      </c>
    </row>
    <row r="1540" spans="1:5" x14ac:dyDescent="0.25">
      <c r="A1540" s="134">
        <v>42696</v>
      </c>
      <c r="B1540" s="136">
        <v>1.2</v>
      </c>
      <c r="C1540" s="135">
        <v>1.3194444444444444E-2</v>
      </c>
      <c r="D1540" s="135">
        <v>0.31388888888888888</v>
      </c>
      <c r="E1540" s="135">
        <v>0.69027777777777777</v>
      </c>
    </row>
    <row r="1541" spans="1:5" x14ac:dyDescent="0.25">
      <c r="A1541" s="134">
        <v>42696</v>
      </c>
      <c r="B1541" s="136">
        <v>2.8</v>
      </c>
      <c r="C1541" s="135">
        <v>0.5541666666666667</v>
      </c>
      <c r="D1541" s="135">
        <v>0.31388888888888888</v>
      </c>
      <c r="E1541" s="135">
        <v>0.69027777777777777</v>
      </c>
    </row>
    <row r="1542" spans="1:5" x14ac:dyDescent="0.25">
      <c r="A1542" s="134">
        <v>42697</v>
      </c>
      <c r="B1542" s="136">
        <v>1.6</v>
      </c>
      <c r="C1542" s="135">
        <v>5.486111111111111E-2</v>
      </c>
      <c r="D1542" s="135">
        <v>0.31527777777777777</v>
      </c>
      <c r="E1542" s="135">
        <v>0.68958333333333333</v>
      </c>
    </row>
    <row r="1543" spans="1:5" x14ac:dyDescent="0.25">
      <c r="A1543" s="134">
        <v>42697</v>
      </c>
      <c r="B1543" s="136">
        <v>2.2000000000000002</v>
      </c>
      <c r="C1543" s="135">
        <v>0.60138888888888886</v>
      </c>
      <c r="D1543" s="135">
        <v>0.31527777777777777</v>
      </c>
      <c r="E1543" s="135">
        <v>0.68958333333333333</v>
      </c>
    </row>
    <row r="1544" spans="1:5" x14ac:dyDescent="0.25">
      <c r="A1544" s="134">
        <v>42698</v>
      </c>
      <c r="B1544" s="136">
        <v>2</v>
      </c>
      <c r="C1544" s="135">
        <v>9.4444444444444442E-2</v>
      </c>
      <c r="D1544" s="135">
        <v>0.31597222222222221</v>
      </c>
      <c r="E1544" s="135">
        <v>0.68958333333333333</v>
      </c>
    </row>
    <row r="1545" spans="1:5" x14ac:dyDescent="0.25">
      <c r="A1545" s="134">
        <v>42698</v>
      </c>
      <c r="B1545" s="136">
        <v>1.6</v>
      </c>
      <c r="C1545" s="135">
        <v>0.63958333333333328</v>
      </c>
      <c r="D1545" s="135">
        <v>0.31597222222222221</v>
      </c>
      <c r="E1545" s="135">
        <v>0.68958333333333333</v>
      </c>
    </row>
    <row r="1546" spans="1:5" x14ac:dyDescent="0.25">
      <c r="A1546" s="134">
        <v>42699</v>
      </c>
      <c r="B1546" s="136">
        <v>2.2000000000000002</v>
      </c>
      <c r="C1546" s="135">
        <v>0.12986111111111112</v>
      </c>
      <c r="D1546" s="135">
        <v>0.31666666666666665</v>
      </c>
      <c r="E1546" s="135">
        <v>0.68888888888888888</v>
      </c>
    </row>
    <row r="1547" spans="1:5" x14ac:dyDescent="0.25">
      <c r="A1547" s="134">
        <v>42699</v>
      </c>
      <c r="B1547" s="136">
        <v>1</v>
      </c>
      <c r="C1547" s="135">
        <v>0.67152777777777772</v>
      </c>
      <c r="D1547" s="135">
        <v>0.31666666666666665</v>
      </c>
      <c r="E1547" s="135">
        <v>0.68888888888888888</v>
      </c>
    </row>
    <row r="1548" spans="1:5" x14ac:dyDescent="0.25">
      <c r="A1548" s="134">
        <v>42700</v>
      </c>
      <c r="B1548" s="136">
        <v>2.5</v>
      </c>
      <c r="C1548" s="135">
        <v>0.16111111111111112</v>
      </c>
      <c r="D1548" s="135">
        <v>0.31805555555555554</v>
      </c>
      <c r="E1548" s="135">
        <v>0.68819444444444444</v>
      </c>
    </row>
    <row r="1549" spans="1:5" x14ac:dyDescent="0.25">
      <c r="A1549" s="134">
        <v>42700</v>
      </c>
      <c r="B1549" s="136">
        <v>0.5</v>
      </c>
      <c r="C1549" s="135">
        <v>0.69930555555555551</v>
      </c>
      <c r="D1549" s="135">
        <v>0.31805555555555554</v>
      </c>
      <c r="E1549" s="135">
        <v>0.68819444444444444</v>
      </c>
    </row>
    <row r="1550" spans="1:5" x14ac:dyDescent="0.25">
      <c r="A1550" s="134">
        <v>42701</v>
      </c>
      <c r="B1550" s="136">
        <v>2.7</v>
      </c>
      <c r="C1550" s="135">
        <v>0.18958333333333333</v>
      </c>
      <c r="D1550" s="135">
        <v>0.31874999999999998</v>
      </c>
      <c r="E1550" s="135">
        <v>0.68819444444444444</v>
      </c>
    </row>
    <row r="1551" spans="1:5" x14ac:dyDescent="0.25">
      <c r="A1551" s="134">
        <v>42701</v>
      </c>
      <c r="B1551" s="136">
        <v>0.2</v>
      </c>
      <c r="C1551" s="135">
        <v>0.72499999999999998</v>
      </c>
      <c r="D1551" s="135">
        <v>0.31874999999999998</v>
      </c>
      <c r="E1551" s="135">
        <v>0.68819444444444444</v>
      </c>
    </row>
    <row r="1552" spans="1:5" x14ac:dyDescent="0.25">
      <c r="A1552" s="134">
        <v>42702</v>
      </c>
      <c r="B1552" s="136">
        <v>2.8</v>
      </c>
      <c r="C1552" s="135">
        <v>0.21597222222222223</v>
      </c>
      <c r="D1552" s="135">
        <v>0.31944444444444442</v>
      </c>
      <c r="E1552" s="135">
        <v>0.6875</v>
      </c>
    </row>
    <row r="1553" spans="1:5" x14ac:dyDescent="0.25">
      <c r="A1553" s="134">
        <v>42702</v>
      </c>
      <c r="B1553" s="136">
        <v>-0.1</v>
      </c>
      <c r="C1553" s="135">
        <v>0.74930555555555556</v>
      </c>
      <c r="D1553" s="135">
        <v>0.31944444444444442</v>
      </c>
      <c r="E1553" s="135">
        <v>0.6875</v>
      </c>
    </row>
    <row r="1554" spans="1:5" x14ac:dyDescent="0.25">
      <c r="A1554" s="134">
        <v>42703</v>
      </c>
      <c r="B1554" s="136">
        <v>3</v>
      </c>
      <c r="C1554" s="135">
        <v>0.24166666666666667</v>
      </c>
      <c r="D1554" s="135">
        <v>0.32083333333333336</v>
      </c>
      <c r="E1554" s="135">
        <v>0.6875</v>
      </c>
    </row>
    <row r="1555" spans="1:5" x14ac:dyDescent="0.25">
      <c r="A1555" s="134">
        <v>42703</v>
      </c>
      <c r="B1555" s="136">
        <v>-0.2</v>
      </c>
      <c r="C1555" s="135">
        <v>0.7729166666666667</v>
      </c>
      <c r="D1555" s="135">
        <v>0.32083333333333336</v>
      </c>
      <c r="E1555" s="135">
        <v>0.6875</v>
      </c>
    </row>
    <row r="1556" spans="1:5" x14ac:dyDescent="0.25">
      <c r="A1556" s="134">
        <v>42704</v>
      </c>
      <c r="B1556" s="136">
        <v>3.1</v>
      </c>
      <c r="C1556" s="135">
        <v>0.26666666666666666</v>
      </c>
      <c r="D1556" s="135">
        <v>0.3215277777777778</v>
      </c>
      <c r="E1556" s="135">
        <v>0.68680555555555556</v>
      </c>
    </row>
    <row r="1557" spans="1:5" x14ac:dyDescent="0.25">
      <c r="A1557" s="134">
        <v>42704</v>
      </c>
      <c r="B1557" s="136">
        <v>-0.3</v>
      </c>
      <c r="C1557" s="135">
        <v>0.79652777777777772</v>
      </c>
      <c r="D1557" s="135">
        <v>0.3215277777777778</v>
      </c>
      <c r="E1557" s="135">
        <v>0.68680555555555556</v>
      </c>
    </row>
    <row r="1558" spans="1:5" x14ac:dyDescent="0.25">
      <c r="A1558" s="134">
        <v>42705</v>
      </c>
      <c r="B1558" s="136">
        <v>3.3</v>
      </c>
      <c r="C1558" s="135">
        <v>0.29166666666666669</v>
      </c>
      <c r="D1558" s="135">
        <v>0.32222222222222224</v>
      </c>
      <c r="E1558" s="135">
        <v>0.68680555555555556</v>
      </c>
    </row>
    <row r="1559" spans="1:5" x14ac:dyDescent="0.25">
      <c r="A1559" s="134">
        <v>42705</v>
      </c>
      <c r="B1559" s="136">
        <v>-0.2</v>
      </c>
      <c r="C1559" s="135">
        <v>0.82013888888888886</v>
      </c>
      <c r="D1559" s="135">
        <v>0.32222222222222224</v>
      </c>
      <c r="E1559" s="135">
        <v>0.68680555555555556</v>
      </c>
    </row>
    <row r="1560" spans="1:5" x14ac:dyDescent="0.25">
      <c r="A1560" s="134">
        <v>42706</v>
      </c>
      <c r="B1560" s="136">
        <v>3.4</v>
      </c>
      <c r="C1560" s="135">
        <v>0.31805555555555554</v>
      </c>
      <c r="D1560" s="135">
        <v>0.32291666666666669</v>
      </c>
      <c r="E1560" s="135">
        <v>0.68611111111111112</v>
      </c>
    </row>
    <row r="1561" spans="1:5" x14ac:dyDescent="0.25">
      <c r="A1561" s="134">
        <v>42706</v>
      </c>
      <c r="B1561" s="136">
        <v>-0.1</v>
      </c>
      <c r="C1561" s="135">
        <v>0.84583333333333333</v>
      </c>
      <c r="D1561" s="135">
        <v>0.32291666666666669</v>
      </c>
      <c r="E1561" s="135">
        <v>0.68611111111111112</v>
      </c>
    </row>
    <row r="1562" spans="1:5" x14ac:dyDescent="0.25">
      <c r="A1562" s="134">
        <v>42707</v>
      </c>
      <c r="B1562" s="136">
        <v>3.5</v>
      </c>
      <c r="C1562" s="135">
        <v>0.34583333333333333</v>
      </c>
      <c r="D1562" s="135">
        <v>0.32361111111111113</v>
      </c>
      <c r="E1562" s="135">
        <v>0.68611111111111112</v>
      </c>
    </row>
    <row r="1563" spans="1:5" x14ac:dyDescent="0.25">
      <c r="A1563" s="134">
        <v>42707</v>
      </c>
      <c r="B1563" s="136">
        <v>0.1</v>
      </c>
      <c r="C1563" s="135">
        <v>0.87222222222222223</v>
      </c>
      <c r="D1563" s="135">
        <v>0.32361111111111113</v>
      </c>
      <c r="E1563" s="135">
        <v>0.68611111111111112</v>
      </c>
    </row>
    <row r="1564" spans="1:5" x14ac:dyDescent="0.25">
      <c r="A1564" s="134">
        <v>42708</v>
      </c>
      <c r="B1564" s="136">
        <v>3.6</v>
      </c>
      <c r="C1564" s="135">
        <v>0.37847222222222221</v>
      </c>
      <c r="D1564" s="135">
        <v>0.32430555555555557</v>
      </c>
      <c r="E1564" s="135">
        <v>0.68611111111111112</v>
      </c>
    </row>
    <row r="1565" spans="1:5" x14ac:dyDescent="0.25">
      <c r="A1565" s="134">
        <v>42708</v>
      </c>
      <c r="B1565" s="136">
        <v>0.4</v>
      </c>
      <c r="C1565" s="135">
        <v>0.90138888888888891</v>
      </c>
      <c r="D1565" s="135">
        <v>0.32430555555555557</v>
      </c>
      <c r="E1565" s="135">
        <v>0.68611111111111112</v>
      </c>
    </row>
    <row r="1566" spans="1:5" x14ac:dyDescent="0.25">
      <c r="A1566" s="134">
        <v>42709</v>
      </c>
      <c r="B1566" s="136">
        <v>3.6</v>
      </c>
      <c r="C1566" s="135">
        <v>0.41597222222222224</v>
      </c>
      <c r="D1566" s="135">
        <v>0.32569444444444445</v>
      </c>
      <c r="E1566" s="135">
        <v>0.68541666666666667</v>
      </c>
    </row>
    <row r="1567" spans="1:5" x14ac:dyDescent="0.25">
      <c r="A1567" s="134">
        <v>42709</v>
      </c>
      <c r="B1567" s="136">
        <v>0.7</v>
      </c>
      <c r="C1567" s="135">
        <v>0.93333333333333335</v>
      </c>
      <c r="D1567" s="135">
        <v>0.32569444444444445</v>
      </c>
      <c r="E1567" s="135">
        <v>0.68541666666666667</v>
      </c>
    </row>
    <row r="1568" spans="1:5" x14ac:dyDescent="0.25">
      <c r="A1568" s="134">
        <v>42710</v>
      </c>
      <c r="B1568" s="136">
        <v>3.4</v>
      </c>
      <c r="C1568" s="135">
        <v>0.46041666666666664</v>
      </c>
      <c r="D1568" s="135">
        <v>0.3263888888888889</v>
      </c>
      <c r="E1568" s="135">
        <v>0.68541666666666667</v>
      </c>
    </row>
    <row r="1569" spans="1:5" x14ac:dyDescent="0.25">
      <c r="A1569" s="134">
        <v>42710</v>
      </c>
      <c r="B1569" s="136">
        <v>1.1000000000000001</v>
      </c>
      <c r="C1569" s="135">
        <v>0.96944444444444444</v>
      </c>
      <c r="D1569" s="135">
        <v>0.3263888888888889</v>
      </c>
      <c r="E1569" s="135">
        <v>0.68541666666666667</v>
      </c>
    </row>
    <row r="1570" spans="1:5" x14ac:dyDescent="0.25">
      <c r="A1570" s="134">
        <v>42711</v>
      </c>
      <c r="B1570" s="136">
        <v>3</v>
      </c>
      <c r="C1570" s="135">
        <v>0.50972222222222219</v>
      </c>
      <c r="D1570" s="135">
        <v>0.32708333333333334</v>
      </c>
      <c r="E1570" s="135">
        <v>0.68541666666666667</v>
      </c>
    </row>
    <row r="1571" spans="1:5" x14ac:dyDescent="0.25">
      <c r="A1571" s="134">
        <v>42712</v>
      </c>
      <c r="B1571" s="136">
        <v>1.5</v>
      </c>
      <c r="C1571" s="135">
        <v>9.7222222222222224E-3</v>
      </c>
      <c r="D1571" s="135">
        <v>0.32777777777777778</v>
      </c>
      <c r="E1571" s="135">
        <v>0.68541666666666667</v>
      </c>
    </row>
    <row r="1572" spans="1:5" x14ac:dyDescent="0.25">
      <c r="A1572" s="134">
        <v>42712</v>
      </c>
      <c r="B1572" s="136">
        <v>2.2999999999999998</v>
      </c>
      <c r="C1572" s="135">
        <v>0.55902777777777779</v>
      </c>
      <c r="D1572" s="135">
        <v>0.32777777777777778</v>
      </c>
      <c r="E1572" s="135">
        <v>0.68541666666666667</v>
      </c>
    </row>
    <row r="1573" spans="1:5" x14ac:dyDescent="0.25">
      <c r="A1573" s="134">
        <v>42713</v>
      </c>
      <c r="B1573" s="136">
        <v>1.8</v>
      </c>
      <c r="C1573" s="135">
        <v>5.2083333333333336E-2</v>
      </c>
      <c r="D1573" s="135">
        <v>0.32847222222222222</v>
      </c>
      <c r="E1573" s="135">
        <v>0.68541666666666667</v>
      </c>
    </row>
    <row r="1574" spans="1:5" x14ac:dyDescent="0.25">
      <c r="A1574" s="134">
        <v>42713</v>
      </c>
      <c r="B1574" s="136">
        <v>1.4</v>
      </c>
      <c r="C1574" s="135">
        <v>0.60416666666666663</v>
      </c>
      <c r="D1574" s="135">
        <v>0.32847222222222222</v>
      </c>
      <c r="E1574" s="135">
        <v>0.68541666666666667</v>
      </c>
    </row>
    <row r="1575" spans="1:5" x14ac:dyDescent="0.25">
      <c r="A1575" s="134">
        <v>42714</v>
      </c>
      <c r="B1575" s="136">
        <v>2.1</v>
      </c>
      <c r="C1575" s="135">
        <v>9.4444444444444442E-2</v>
      </c>
      <c r="D1575" s="135">
        <v>0.32916666666666666</v>
      </c>
      <c r="E1575" s="135">
        <v>0.68541666666666667</v>
      </c>
    </row>
    <row r="1576" spans="1:5" x14ac:dyDescent="0.25">
      <c r="A1576" s="134">
        <v>42714</v>
      </c>
      <c r="B1576" s="136">
        <v>0.5</v>
      </c>
      <c r="C1576" s="135">
        <v>0.64444444444444449</v>
      </c>
      <c r="D1576" s="135">
        <v>0.32916666666666666</v>
      </c>
      <c r="E1576" s="135">
        <v>0.68541666666666667</v>
      </c>
    </row>
    <row r="1577" spans="1:5" x14ac:dyDescent="0.25">
      <c r="A1577" s="134">
        <v>42715</v>
      </c>
      <c r="B1577" s="136">
        <v>2.2000000000000002</v>
      </c>
      <c r="C1577" s="135">
        <v>0.13541666666666666</v>
      </c>
      <c r="D1577" s="135">
        <v>0.3298611111111111</v>
      </c>
      <c r="E1577" s="135">
        <v>0.68541666666666667</v>
      </c>
    </row>
    <row r="1578" spans="1:5" x14ac:dyDescent="0.25">
      <c r="A1578" s="134">
        <v>42715</v>
      </c>
      <c r="B1578" s="136">
        <v>-0.5</v>
      </c>
      <c r="C1578" s="135">
        <v>0.68125000000000002</v>
      </c>
      <c r="D1578" s="135">
        <v>0.3298611111111111</v>
      </c>
      <c r="E1578" s="135">
        <v>0.68541666666666667</v>
      </c>
    </row>
    <row r="1579" spans="1:5" x14ac:dyDescent="0.25">
      <c r="A1579" s="134">
        <v>42716</v>
      </c>
      <c r="B1579" s="136">
        <v>2.2999999999999998</v>
      </c>
      <c r="C1579" s="135">
        <v>0.17430555555555555</v>
      </c>
      <c r="D1579" s="135">
        <v>0.3298611111111111</v>
      </c>
      <c r="E1579" s="135">
        <v>0.68541666666666667</v>
      </c>
    </row>
    <row r="1580" spans="1:5" x14ac:dyDescent="0.25">
      <c r="A1580" s="134">
        <v>42716</v>
      </c>
      <c r="B1580" s="136">
        <v>-1.2</v>
      </c>
      <c r="C1580" s="135">
        <v>0.71597222222222223</v>
      </c>
      <c r="D1580" s="135">
        <v>0.3298611111111111</v>
      </c>
      <c r="E1580" s="135">
        <v>0.68541666666666667</v>
      </c>
    </row>
    <row r="1581" spans="1:5" x14ac:dyDescent="0.25">
      <c r="A1581" s="134">
        <v>42717</v>
      </c>
      <c r="B1581" s="136">
        <v>2.4</v>
      </c>
      <c r="C1581" s="135">
        <v>0.21041666666666667</v>
      </c>
      <c r="D1581" s="135">
        <v>0.33055555555555555</v>
      </c>
      <c r="E1581" s="135">
        <v>0.68541666666666667</v>
      </c>
    </row>
    <row r="1582" spans="1:5" x14ac:dyDescent="0.25">
      <c r="A1582" s="134">
        <v>42717</v>
      </c>
      <c r="B1582" s="136">
        <v>-1.6</v>
      </c>
      <c r="C1582" s="135">
        <v>0.74930555555555556</v>
      </c>
      <c r="D1582" s="135">
        <v>0.33055555555555555</v>
      </c>
      <c r="E1582" s="135">
        <v>0.68541666666666667</v>
      </c>
    </row>
    <row r="1583" spans="1:5" x14ac:dyDescent="0.25">
      <c r="A1583" s="134">
        <v>42718</v>
      </c>
      <c r="B1583" s="136">
        <v>2.4</v>
      </c>
      <c r="C1583" s="135">
        <v>0.24652777777777779</v>
      </c>
      <c r="D1583" s="135">
        <v>0.33124999999999999</v>
      </c>
      <c r="E1583" s="135">
        <v>0.68541666666666667</v>
      </c>
    </row>
    <row r="1584" spans="1:5" x14ac:dyDescent="0.25">
      <c r="A1584" s="134">
        <v>42718</v>
      </c>
      <c r="B1584" s="136">
        <v>-1.8</v>
      </c>
      <c r="C1584" s="135">
        <v>0.78194444444444444</v>
      </c>
      <c r="D1584" s="135">
        <v>0.33124999999999999</v>
      </c>
      <c r="E1584" s="135">
        <v>0.68541666666666667</v>
      </c>
    </row>
    <row r="1585" spans="1:5" x14ac:dyDescent="0.25">
      <c r="A1585" s="134">
        <v>42719</v>
      </c>
      <c r="B1585" s="136">
        <v>2.5</v>
      </c>
      <c r="C1585" s="135">
        <v>0.28125</v>
      </c>
      <c r="D1585" s="135">
        <v>0.33194444444444443</v>
      </c>
      <c r="E1585" s="135">
        <v>0.68541666666666667</v>
      </c>
    </row>
    <row r="1586" spans="1:5" x14ac:dyDescent="0.25">
      <c r="A1586" s="134">
        <v>42719</v>
      </c>
      <c r="B1586" s="136">
        <v>-1.7</v>
      </c>
      <c r="C1586" s="135">
        <v>0.81388888888888888</v>
      </c>
      <c r="D1586" s="135">
        <v>0.33194444444444443</v>
      </c>
      <c r="E1586" s="135">
        <v>0.68541666666666667</v>
      </c>
    </row>
    <row r="1587" spans="1:5" x14ac:dyDescent="0.25">
      <c r="A1587" s="134">
        <v>42720</v>
      </c>
      <c r="B1587" s="136">
        <v>2.6</v>
      </c>
      <c r="C1587" s="135">
        <v>0.31666666666666665</v>
      </c>
      <c r="D1587" s="135">
        <v>0.33263888888888887</v>
      </c>
      <c r="E1587" s="135">
        <v>0.68611111111111112</v>
      </c>
    </row>
    <row r="1588" spans="1:5" x14ac:dyDescent="0.25">
      <c r="A1588" s="134">
        <v>42720</v>
      </c>
      <c r="B1588" s="136">
        <v>-1.3</v>
      </c>
      <c r="C1588" s="135">
        <v>0.84583333333333333</v>
      </c>
      <c r="D1588" s="135">
        <v>0.33263888888888887</v>
      </c>
      <c r="E1588" s="135">
        <v>0.68611111111111112</v>
      </c>
    </row>
    <row r="1589" spans="1:5" x14ac:dyDescent="0.25">
      <c r="A1589" s="134">
        <v>42721</v>
      </c>
      <c r="B1589" s="136">
        <v>2.7</v>
      </c>
      <c r="C1589" s="135">
        <v>0.3527777777777778</v>
      </c>
      <c r="D1589" s="135">
        <v>0.33263888888888887</v>
      </c>
      <c r="E1589" s="135">
        <v>0.68611111111111112</v>
      </c>
    </row>
    <row r="1590" spans="1:5" x14ac:dyDescent="0.25">
      <c r="A1590" s="134">
        <v>42721</v>
      </c>
      <c r="B1590" s="136">
        <v>-0.7</v>
      </c>
      <c r="C1590" s="135">
        <v>0.87777777777777777</v>
      </c>
      <c r="D1590" s="135">
        <v>0.33263888888888887</v>
      </c>
      <c r="E1590" s="135">
        <v>0.68611111111111112</v>
      </c>
    </row>
    <row r="1591" spans="1:5" x14ac:dyDescent="0.25">
      <c r="A1591" s="134">
        <v>42722</v>
      </c>
      <c r="B1591" s="136">
        <v>2.9</v>
      </c>
      <c r="C1591" s="135">
        <v>0.39097222222222222</v>
      </c>
      <c r="D1591" s="135">
        <v>0.33333333333333331</v>
      </c>
      <c r="E1591" s="135">
        <v>0.68611111111111112</v>
      </c>
    </row>
    <row r="1592" spans="1:5" x14ac:dyDescent="0.25">
      <c r="A1592" s="134">
        <v>42722</v>
      </c>
      <c r="B1592" s="136">
        <v>0</v>
      </c>
      <c r="C1592" s="135">
        <v>0.91041666666666665</v>
      </c>
      <c r="D1592" s="135">
        <v>0.33333333333333331</v>
      </c>
      <c r="E1592" s="135">
        <v>0.68611111111111112</v>
      </c>
    </row>
    <row r="1593" spans="1:5" x14ac:dyDescent="0.25">
      <c r="A1593" s="134">
        <v>42723</v>
      </c>
      <c r="B1593" s="136">
        <v>3</v>
      </c>
      <c r="C1593" s="135">
        <v>0.43263888888888891</v>
      </c>
      <c r="D1593" s="135">
        <v>0.33333333333333331</v>
      </c>
      <c r="E1593" s="135">
        <v>0.68680555555555556</v>
      </c>
    </row>
    <row r="1594" spans="1:5" x14ac:dyDescent="0.25">
      <c r="A1594" s="134">
        <v>42723</v>
      </c>
      <c r="B1594" s="136">
        <v>0.8</v>
      </c>
      <c r="C1594" s="135">
        <v>0.94444444444444442</v>
      </c>
      <c r="D1594" s="135">
        <v>0.33333333333333331</v>
      </c>
      <c r="E1594" s="135">
        <v>0.68680555555555556</v>
      </c>
    </row>
    <row r="1595" spans="1:5" x14ac:dyDescent="0.25">
      <c r="A1595" s="134">
        <v>42724</v>
      </c>
      <c r="B1595" s="136">
        <v>2.9</v>
      </c>
      <c r="C1595" s="135">
        <v>0.47847222222222224</v>
      </c>
      <c r="D1595" s="135">
        <v>0.33402777777777776</v>
      </c>
      <c r="E1595" s="135">
        <v>0.68680555555555556</v>
      </c>
    </row>
    <row r="1596" spans="1:5" x14ac:dyDescent="0.25">
      <c r="A1596" s="134">
        <v>42724</v>
      </c>
      <c r="B1596" s="136">
        <v>1.5</v>
      </c>
      <c r="C1596" s="135">
        <v>0.97986111111111107</v>
      </c>
      <c r="D1596" s="135">
        <v>0.33402777777777776</v>
      </c>
      <c r="E1596" s="135">
        <v>0.68680555555555556</v>
      </c>
    </row>
    <row r="1597" spans="1:5" x14ac:dyDescent="0.25">
      <c r="A1597" s="134">
        <v>42725</v>
      </c>
      <c r="B1597" s="136">
        <v>2.7</v>
      </c>
      <c r="C1597" s="135">
        <v>0.52708333333333335</v>
      </c>
      <c r="D1597" s="135">
        <v>0.3347222222222222</v>
      </c>
      <c r="E1597" s="135">
        <v>0.6875</v>
      </c>
    </row>
    <row r="1598" spans="1:5" x14ac:dyDescent="0.25">
      <c r="A1598" s="134">
        <v>42726</v>
      </c>
      <c r="B1598" s="136">
        <v>2.2000000000000002</v>
      </c>
      <c r="C1598" s="135">
        <v>1.7361111111111112E-2</v>
      </c>
      <c r="D1598" s="135">
        <v>0.3347222222222222</v>
      </c>
      <c r="E1598" s="135">
        <v>0.6875</v>
      </c>
    </row>
    <row r="1599" spans="1:5" x14ac:dyDescent="0.25">
      <c r="A1599" s="134">
        <v>42726</v>
      </c>
      <c r="B1599" s="136">
        <v>2.2999999999999998</v>
      </c>
      <c r="C1599" s="135">
        <v>0.57430555555555551</v>
      </c>
      <c r="D1599" s="135">
        <v>0.3347222222222222</v>
      </c>
      <c r="E1599" s="135">
        <v>0.6875</v>
      </c>
    </row>
    <row r="1600" spans="1:5" x14ac:dyDescent="0.25">
      <c r="A1600" s="134">
        <v>42727</v>
      </c>
      <c r="B1600" s="136">
        <v>2.7</v>
      </c>
      <c r="C1600" s="135">
        <v>5.6944444444444443E-2</v>
      </c>
      <c r="D1600" s="135">
        <v>0.3347222222222222</v>
      </c>
      <c r="E1600" s="135">
        <v>0.68819444444444444</v>
      </c>
    </row>
    <row r="1601" spans="1:5" x14ac:dyDescent="0.25">
      <c r="A1601" s="134">
        <v>42727</v>
      </c>
      <c r="B1601" s="136">
        <v>1.8</v>
      </c>
      <c r="C1601" s="135">
        <v>0.61597222222222225</v>
      </c>
      <c r="D1601" s="135">
        <v>0.3347222222222222</v>
      </c>
      <c r="E1601" s="135">
        <v>0.68819444444444444</v>
      </c>
    </row>
    <row r="1602" spans="1:5" x14ac:dyDescent="0.25">
      <c r="A1602" s="134">
        <v>42728</v>
      </c>
      <c r="B1602" s="136">
        <v>3.1</v>
      </c>
      <c r="C1602" s="135">
        <v>9.583333333333334E-2</v>
      </c>
      <c r="D1602" s="135">
        <v>0.33541666666666664</v>
      </c>
      <c r="E1602" s="135">
        <v>0.68819444444444444</v>
      </c>
    </row>
    <row r="1603" spans="1:5" x14ac:dyDescent="0.25">
      <c r="A1603" s="134">
        <v>42728</v>
      </c>
      <c r="B1603" s="136">
        <v>1.3</v>
      </c>
      <c r="C1603" s="135">
        <v>0.65138888888888891</v>
      </c>
      <c r="D1603" s="135">
        <v>0.33541666666666664</v>
      </c>
      <c r="E1603" s="135">
        <v>0.68819444444444444</v>
      </c>
    </row>
    <row r="1604" spans="1:5" x14ac:dyDescent="0.25">
      <c r="A1604" s="134">
        <v>42729</v>
      </c>
      <c r="B1604" s="136">
        <v>3.3</v>
      </c>
      <c r="C1604" s="135">
        <v>0.13263888888888889</v>
      </c>
      <c r="D1604" s="135">
        <v>0.33541666666666664</v>
      </c>
      <c r="E1604" s="135">
        <v>0.68888888888888888</v>
      </c>
    </row>
    <row r="1605" spans="1:5" x14ac:dyDescent="0.25">
      <c r="A1605" s="134">
        <v>42729</v>
      </c>
      <c r="B1605" s="136">
        <v>0.8</v>
      </c>
      <c r="C1605" s="135">
        <v>0.68125000000000002</v>
      </c>
      <c r="D1605" s="135">
        <v>0.33541666666666664</v>
      </c>
      <c r="E1605" s="135">
        <v>0.68888888888888888</v>
      </c>
    </row>
    <row r="1606" spans="1:5" x14ac:dyDescent="0.25">
      <c r="A1606" s="134">
        <v>42730</v>
      </c>
      <c r="B1606" s="136">
        <v>3.4</v>
      </c>
      <c r="C1606" s="135">
        <v>0.16597222222222222</v>
      </c>
      <c r="D1606" s="135">
        <v>0.33541666666666664</v>
      </c>
      <c r="E1606" s="135">
        <v>0.68958333333333333</v>
      </c>
    </row>
    <row r="1607" spans="1:5" x14ac:dyDescent="0.25">
      <c r="A1607" s="134">
        <v>42730</v>
      </c>
      <c r="B1607" s="136">
        <v>0.3</v>
      </c>
      <c r="C1607" s="135">
        <v>0.70833333333333337</v>
      </c>
      <c r="D1607" s="135">
        <v>0.33541666666666664</v>
      </c>
      <c r="E1607" s="135">
        <v>0.68958333333333333</v>
      </c>
    </row>
    <row r="1608" spans="1:5" x14ac:dyDescent="0.25">
      <c r="A1608" s="134">
        <v>42731</v>
      </c>
      <c r="B1608" s="136">
        <v>3.4</v>
      </c>
      <c r="C1608" s="135">
        <v>0.19652777777777777</v>
      </c>
      <c r="D1608" s="135">
        <v>0.33611111111111114</v>
      </c>
      <c r="E1608" s="135">
        <v>0.69027777777777777</v>
      </c>
    </row>
    <row r="1609" spans="1:5" x14ac:dyDescent="0.25">
      <c r="A1609" s="134">
        <v>42731</v>
      </c>
      <c r="B1609" s="136">
        <v>0</v>
      </c>
      <c r="C1609" s="135">
        <v>0.73402777777777772</v>
      </c>
      <c r="D1609" s="135">
        <v>0.33611111111111114</v>
      </c>
      <c r="E1609" s="135">
        <v>0.69027777777777777</v>
      </c>
    </row>
    <row r="1610" spans="1:5" x14ac:dyDescent="0.25">
      <c r="A1610" s="134">
        <v>42732</v>
      </c>
      <c r="B1610" s="136">
        <v>3.4</v>
      </c>
      <c r="C1610" s="135">
        <v>0.22500000000000001</v>
      </c>
      <c r="D1610" s="135">
        <v>0.33611111111111114</v>
      </c>
      <c r="E1610" s="135">
        <v>0.69027777777777777</v>
      </c>
    </row>
    <row r="1611" spans="1:5" x14ac:dyDescent="0.25">
      <c r="A1611" s="134">
        <v>42732</v>
      </c>
      <c r="B1611" s="136">
        <v>-0.2</v>
      </c>
      <c r="C1611" s="135">
        <v>0.75902777777777775</v>
      </c>
      <c r="D1611" s="135">
        <v>0.33611111111111114</v>
      </c>
      <c r="E1611" s="135">
        <v>0.69027777777777777</v>
      </c>
    </row>
    <row r="1612" spans="1:5" x14ac:dyDescent="0.25">
      <c r="A1612" s="134">
        <v>42733</v>
      </c>
      <c r="B1612" s="136">
        <v>3.3</v>
      </c>
      <c r="C1612" s="135">
        <v>0.25208333333333333</v>
      </c>
      <c r="D1612" s="135">
        <v>0.33611111111111114</v>
      </c>
      <c r="E1612" s="135">
        <v>0.69097222222222221</v>
      </c>
    </row>
    <row r="1613" spans="1:5" x14ac:dyDescent="0.25">
      <c r="A1613" s="134">
        <v>42733</v>
      </c>
      <c r="B1613" s="136">
        <v>-0.4</v>
      </c>
      <c r="C1613" s="135">
        <v>0.78263888888888888</v>
      </c>
      <c r="D1613" s="135">
        <v>0.33611111111111114</v>
      </c>
      <c r="E1613" s="135">
        <v>0.69097222222222221</v>
      </c>
    </row>
    <row r="1614" spans="1:5" x14ac:dyDescent="0.25">
      <c r="A1614" s="134">
        <v>42734</v>
      </c>
      <c r="B1614" s="136">
        <v>3.3</v>
      </c>
      <c r="C1614" s="135">
        <v>0.27916666666666667</v>
      </c>
      <c r="D1614" s="135">
        <v>0.33611111111111114</v>
      </c>
      <c r="E1614" s="135">
        <v>0.69166666666666665</v>
      </c>
    </row>
    <row r="1615" spans="1:5" x14ac:dyDescent="0.25">
      <c r="A1615" s="134">
        <v>42734</v>
      </c>
      <c r="B1615" s="136">
        <v>-0.4</v>
      </c>
      <c r="C1615" s="135">
        <v>0.80694444444444446</v>
      </c>
      <c r="D1615" s="135">
        <v>0.33611111111111114</v>
      </c>
      <c r="E1615" s="135">
        <v>0.69166666666666665</v>
      </c>
    </row>
    <row r="1616" spans="1:5" x14ac:dyDescent="0.25">
      <c r="A1616" s="134">
        <v>42735</v>
      </c>
      <c r="B1616" s="136">
        <v>3.2</v>
      </c>
      <c r="C1616" s="135">
        <v>0.30694444444444446</v>
      </c>
      <c r="D1616" s="135">
        <v>0.33611111111111114</v>
      </c>
      <c r="E1616" s="135">
        <v>0.69236111111111109</v>
      </c>
    </row>
    <row r="1617" spans="1:5" x14ac:dyDescent="0.25">
      <c r="A1617" s="134">
        <v>42735</v>
      </c>
      <c r="B1617" s="136">
        <v>-0.4</v>
      </c>
      <c r="C1617" s="135">
        <v>0.83125000000000004</v>
      </c>
      <c r="D1617" s="135">
        <v>0.33611111111111114</v>
      </c>
      <c r="E1617" s="135">
        <v>0.69236111111111109</v>
      </c>
    </row>
    <row r="1618" spans="1:5" x14ac:dyDescent="0.25">
      <c r="A1618" s="134">
        <v>42736</v>
      </c>
      <c r="B1618" s="136">
        <v>3.3</v>
      </c>
      <c r="C1618" s="135">
        <v>0.3347222222222222</v>
      </c>
      <c r="D1618" s="135">
        <v>0.33611111111111114</v>
      </c>
      <c r="E1618" s="135">
        <v>0.69305555555555554</v>
      </c>
    </row>
    <row r="1619" spans="1:5" x14ac:dyDescent="0.25">
      <c r="A1619" s="134">
        <v>42736</v>
      </c>
      <c r="B1619" s="136">
        <v>-0.2</v>
      </c>
      <c r="C1619" s="135">
        <v>0.85833333333333328</v>
      </c>
      <c r="D1619" s="135">
        <v>0.33611111111111114</v>
      </c>
      <c r="E1619" s="135">
        <v>0.69305555555555554</v>
      </c>
    </row>
    <row r="1620" spans="1:5" x14ac:dyDescent="0.25">
      <c r="A1620" s="134">
        <v>42737</v>
      </c>
      <c r="B1620" s="136">
        <v>3.2</v>
      </c>
      <c r="C1620" s="135">
        <v>0.36666666666666664</v>
      </c>
      <c r="D1620" s="135">
        <v>0.33611111111111114</v>
      </c>
      <c r="E1620" s="135">
        <v>0.69374999999999998</v>
      </c>
    </row>
    <row r="1621" spans="1:5" x14ac:dyDescent="0.25">
      <c r="A1621" s="134">
        <v>42737</v>
      </c>
      <c r="B1621" s="136">
        <v>0.1</v>
      </c>
      <c r="C1621" s="135">
        <v>0.88541666666666663</v>
      </c>
      <c r="D1621" s="135">
        <v>0.33611111111111114</v>
      </c>
      <c r="E1621" s="135">
        <v>0.69374999999999998</v>
      </c>
    </row>
    <row r="1622" spans="1:5" x14ac:dyDescent="0.25">
      <c r="A1622" s="134">
        <v>42738</v>
      </c>
      <c r="B1622" s="136">
        <v>3.1</v>
      </c>
      <c r="C1622" s="135">
        <v>0.40208333333333335</v>
      </c>
      <c r="D1622" s="135">
        <v>0.33611111111111114</v>
      </c>
      <c r="E1622" s="135">
        <v>0.69444444444444442</v>
      </c>
    </row>
    <row r="1623" spans="1:5" x14ac:dyDescent="0.25">
      <c r="A1623" s="134">
        <v>42738</v>
      </c>
      <c r="B1623" s="136">
        <v>0.6</v>
      </c>
      <c r="C1623" s="135">
        <v>0.9145833333333333</v>
      </c>
      <c r="D1623" s="135">
        <v>0.33611111111111114</v>
      </c>
      <c r="E1623" s="135">
        <v>0.69444444444444442</v>
      </c>
    </row>
    <row r="1624" spans="1:5" x14ac:dyDescent="0.25">
      <c r="A1624" s="134">
        <v>42739</v>
      </c>
      <c r="B1624" s="136">
        <v>2.9</v>
      </c>
      <c r="C1624" s="135">
        <v>0.44374999999999998</v>
      </c>
      <c r="D1624" s="135">
        <v>0.33611111111111114</v>
      </c>
      <c r="E1624" s="135">
        <v>0.69513888888888886</v>
      </c>
    </row>
    <row r="1625" spans="1:5" x14ac:dyDescent="0.25">
      <c r="A1625" s="134">
        <v>42739</v>
      </c>
      <c r="B1625" s="136">
        <v>1.1000000000000001</v>
      </c>
      <c r="C1625" s="135">
        <v>0.94722222222222219</v>
      </c>
      <c r="D1625" s="135">
        <v>0.33611111111111114</v>
      </c>
      <c r="E1625" s="135">
        <v>0.69513888888888886</v>
      </c>
    </row>
    <row r="1626" spans="1:5" x14ac:dyDescent="0.25">
      <c r="A1626" s="134">
        <v>42740</v>
      </c>
      <c r="B1626" s="136">
        <v>2.5</v>
      </c>
      <c r="C1626" s="135">
        <v>0.49027777777777776</v>
      </c>
      <c r="D1626" s="135">
        <v>0.33611111111111114</v>
      </c>
      <c r="E1626" s="135">
        <v>0.6958333333333333</v>
      </c>
    </row>
    <row r="1627" spans="1:5" x14ac:dyDescent="0.25">
      <c r="A1627" s="134">
        <v>42740</v>
      </c>
      <c r="B1627" s="136">
        <v>1.7</v>
      </c>
      <c r="C1627" s="135">
        <v>0.98472222222222228</v>
      </c>
      <c r="D1627" s="135">
        <v>0.33611111111111114</v>
      </c>
      <c r="E1627" s="135">
        <v>0.6958333333333333</v>
      </c>
    </row>
    <row r="1628" spans="1:5" x14ac:dyDescent="0.25">
      <c r="A1628" s="134">
        <v>42741</v>
      </c>
      <c r="B1628" s="136">
        <v>2</v>
      </c>
      <c r="C1628" s="135">
        <v>0.54027777777777775</v>
      </c>
      <c r="D1628" s="135">
        <v>0.33541666666666664</v>
      </c>
      <c r="E1628" s="135">
        <v>0.69652777777777775</v>
      </c>
    </row>
    <row r="1629" spans="1:5" x14ac:dyDescent="0.25">
      <c r="A1629" s="134">
        <v>42742</v>
      </c>
      <c r="B1629" s="136">
        <v>2.2999999999999998</v>
      </c>
      <c r="C1629" s="135">
        <v>2.7083333333333334E-2</v>
      </c>
      <c r="D1629" s="135">
        <v>0.33541666666666664</v>
      </c>
      <c r="E1629" s="135">
        <v>0.69722222222222219</v>
      </c>
    </row>
    <row r="1630" spans="1:5" x14ac:dyDescent="0.25">
      <c r="A1630" s="134">
        <v>42742</v>
      </c>
      <c r="B1630" s="136">
        <v>1.3</v>
      </c>
      <c r="C1630" s="135">
        <v>0.58819444444444446</v>
      </c>
      <c r="D1630" s="135">
        <v>0.33541666666666664</v>
      </c>
      <c r="E1630" s="135">
        <v>0.69722222222222219</v>
      </c>
    </row>
    <row r="1631" spans="1:5" x14ac:dyDescent="0.25">
      <c r="A1631" s="134">
        <v>42743</v>
      </c>
      <c r="B1631" s="136">
        <v>2.7</v>
      </c>
      <c r="C1631" s="135">
        <v>7.3611111111111113E-2</v>
      </c>
      <c r="D1631" s="135">
        <v>0.33541666666666664</v>
      </c>
      <c r="E1631" s="135">
        <v>0.69861111111111107</v>
      </c>
    </row>
    <row r="1632" spans="1:5" x14ac:dyDescent="0.25">
      <c r="A1632" s="134">
        <v>42743</v>
      </c>
      <c r="B1632" s="136">
        <v>0.4</v>
      </c>
      <c r="C1632" s="135">
        <v>0.63263888888888886</v>
      </c>
      <c r="D1632" s="135">
        <v>0.33541666666666664</v>
      </c>
      <c r="E1632" s="135">
        <v>0.69861111111111107</v>
      </c>
    </row>
    <row r="1633" spans="1:5" x14ac:dyDescent="0.25">
      <c r="A1633" s="134">
        <v>42744</v>
      </c>
      <c r="B1633" s="136">
        <v>2.9</v>
      </c>
      <c r="C1633" s="135">
        <v>0.11944444444444445</v>
      </c>
      <c r="D1633" s="135">
        <v>0.3347222222222222</v>
      </c>
      <c r="E1633" s="135">
        <v>0.69930555555555551</v>
      </c>
    </row>
    <row r="1634" spans="1:5" x14ac:dyDescent="0.25">
      <c r="A1634" s="134">
        <v>42744</v>
      </c>
      <c r="B1634" s="136">
        <v>-0.4</v>
      </c>
      <c r="C1634" s="135">
        <v>0.67222222222222228</v>
      </c>
      <c r="D1634" s="135">
        <v>0.3347222222222222</v>
      </c>
      <c r="E1634" s="135">
        <v>0.69930555555555551</v>
      </c>
    </row>
    <row r="1635" spans="1:5" x14ac:dyDescent="0.25">
      <c r="A1635" s="134">
        <v>42745</v>
      </c>
      <c r="B1635" s="136">
        <v>3</v>
      </c>
      <c r="C1635" s="135">
        <v>0.16250000000000001</v>
      </c>
      <c r="D1635" s="135">
        <v>0.3347222222222222</v>
      </c>
      <c r="E1635" s="135">
        <v>0.7</v>
      </c>
    </row>
    <row r="1636" spans="1:5" x14ac:dyDescent="0.25">
      <c r="A1636" s="134">
        <v>42745</v>
      </c>
      <c r="B1636" s="136">
        <v>-1</v>
      </c>
      <c r="C1636" s="135">
        <v>0.70833333333333337</v>
      </c>
      <c r="D1636" s="135">
        <v>0.3347222222222222</v>
      </c>
      <c r="E1636" s="135">
        <v>0.7</v>
      </c>
    </row>
    <row r="1637" spans="1:5" x14ac:dyDescent="0.25">
      <c r="A1637" s="134">
        <v>42746</v>
      </c>
      <c r="B1637" s="136">
        <v>2.8</v>
      </c>
      <c r="C1637" s="135">
        <v>0.20208333333333334</v>
      </c>
      <c r="D1637" s="135">
        <v>0.3347222222222222</v>
      </c>
      <c r="E1637" s="135">
        <v>0.7006944444444444</v>
      </c>
    </row>
    <row r="1638" spans="1:5" x14ac:dyDescent="0.25">
      <c r="A1638" s="134">
        <v>42746</v>
      </c>
      <c r="B1638" s="136">
        <v>-1.4</v>
      </c>
      <c r="C1638" s="135">
        <v>0.7416666666666667</v>
      </c>
      <c r="D1638" s="135">
        <v>0.3347222222222222</v>
      </c>
      <c r="E1638" s="135">
        <v>0.7006944444444444</v>
      </c>
    </row>
    <row r="1639" spans="1:5" x14ac:dyDescent="0.25">
      <c r="A1639" s="134">
        <v>42747</v>
      </c>
      <c r="B1639" s="136">
        <v>2.7</v>
      </c>
      <c r="C1639" s="135">
        <v>0.2388888888888889</v>
      </c>
      <c r="D1639" s="135">
        <v>0.33402777777777776</v>
      </c>
      <c r="E1639" s="135">
        <v>0.70208333333333328</v>
      </c>
    </row>
    <row r="1640" spans="1:5" x14ac:dyDescent="0.25">
      <c r="A1640" s="134">
        <v>42747</v>
      </c>
      <c r="B1640" s="136">
        <v>-1.5</v>
      </c>
      <c r="C1640" s="135">
        <v>0.7729166666666667</v>
      </c>
      <c r="D1640" s="135">
        <v>0.33402777777777776</v>
      </c>
      <c r="E1640" s="135">
        <v>0.70208333333333328</v>
      </c>
    </row>
    <row r="1641" spans="1:5" x14ac:dyDescent="0.25">
      <c r="A1641" s="134">
        <v>42748</v>
      </c>
      <c r="B1641" s="136">
        <v>2.5</v>
      </c>
      <c r="C1641" s="135">
        <v>0.27361111111111114</v>
      </c>
      <c r="D1641" s="135">
        <v>0.33333333333333331</v>
      </c>
      <c r="E1641" s="135">
        <v>0.70277777777777772</v>
      </c>
    </row>
    <row r="1642" spans="1:5" x14ac:dyDescent="0.25">
      <c r="A1642" s="134">
        <v>42748</v>
      </c>
      <c r="B1642" s="136">
        <v>-1.4</v>
      </c>
      <c r="C1642" s="135">
        <v>0.80347222222222225</v>
      </c>
      <c r="D1642" s="135">
        <v>0.33333333333333331</v>
      </c>
      <c r="E1642" s="135">
        <v>0.70277777777777772</v>
      </c>
    </row>
    <row r="1643" spans="1:5" x14ac:dyDescent="0.25">
      <c r="A1643" s="134">
        <v>42749</v>
      </c>
      <c r="B1643" s="136">
        <v>2.4</v>
      </c>
      <c r="C1643" s="135">
        <v>0.30763888888888891</v>
      </c>
      <c r="D1643" s="135">
        <v>0.33333333333333331</v>
      </c>
      <c r="E1643" s="135">
        <v>0.70347222222222228</v>
      </c>
    </row>
    <row r="1644" spans="1:5" x14ac:dyDescent="0.25">
      <c r="A1644" s="134">
        <v>42749</v>
      </c>
      <c r="B1644" s="136">
        <v>-1</v>
      </c>
      <c r="C1644" s="135">
        <v>0.83263888888888893</v>
      </c>
      <c r="D1644" s="135">
        <v>0.33333333333333331</v>
      </c>
      <c r="E1644" s="135">
        <v>0.70347222222222228</v>
      </c>
    </row>
    <row r="1645" spans="1:5" x14ac:dyDescent="0.25">
      <c r="A1645" s="134">
        <v>42750</v>
      </c>
      <c r="B1645" s="136">
        <v>2.4</v>
      </c>
      <c r="C1645" s="135">
        <v>0.34166666666666667</v>
      </c>
      <c r="D1645" s="135">
        <v>0.33263888888888887</v>
      </c>
      <c r="E1645" s="135">
        <v>0.70486111111111116</v>
      </c>
    </row>
    <row r="1646" spans="1:5" x14ac:dyDescent="0.25">
      <c r="A1646" s="134">
        <v>42750</v>
      </c>
      <c r="B1646" s="136">
        <v>-0.4</v>
      </c>
      <c r="C1646" s="135">
        <v>0.86111111111111116</v>
      </c>
      <c r="D1646" s="135">
        <v>0.33263888888888887</v>
      </c>
      <c r="E1646" s="135">
        <v>0.70486111111111116</v>
      </c>
    </row>
    <row r="1647" spans="1:5" x14ac:dyDescent="0.25">
      <c r="A1647" s="134">
        <v>42751</v>
      </c>
      <c r="B1647" s="136">
        <v>2.5</v>
      </c>
      <c r="C1647" s="135">
        <v>0.37569444444444444</v>
      </c>
      <c r="D1647" s="135">
        <v>0.33263888888888887</v>
      </c>
      <c r="E1647" s="135">
        <v>0.7055555555555556</v>
      </c>
    </row>
    <row r="1648" spans="1:5" x14ac:dyDescent="0.25">
      <c r="A1648" s="134">
        <v>42751</v>
      </c>
      <c r="B1648" s="136">
        <v>0.2</v>
      </c>
      <c r="C1648" s="135">
        <v>0.88958333333333328</v>
      </c>
      <c r="D1648" s="135">
        <v>0.33263888888888887</v>
      </c>
      <c r="E1648" s="135">
        <v>0.7055555555555556</v>
      </c>
    </row>
    <row r="1649" spans="1:5" x14ac:dyDescent="0.25">
      <c r="A1649" s="134">
        <v>42752</v>
      </c>
      <c r="B1649" s="136">
        <v>2.6</v>
      </c>
      <c r="C1649" s="135">
        <v>0.41180555555555554</v>
      </c>
      <c r="D1649" s="135">
        <v>0.33194444444444443</v>
      </c>
      <c r="E1649" s="135">
        <v>0.70625000000000004</v>
      </c>
    </row>
    <row r="1650" spans="1:5" x14ac:dyDescent="0.25">
      <c r="A1650" s="134">
        <v>42752</v>
      </c>
      <c r="B1650" s="136">
        <v>1</v>
      </c>
      <c r="C1650" s="135">
        <v>0.91805555555555551</v>
      </c>
      <c r="D1650" s="135">
        <v>0.33194444444444443</v>
      </c>
      <c r="E1650" s="135">
        <v>0.70625000000000004</v>
      </c>
    </row>
    <row r="1651" spans="1:5" x14ac:dyDescent="0.25">
      <c r="A1651" s="134">
        <v>42753</v>
      </c>
      <c r="B1651" s="136">
        <v>2.6</v>
      </c>
      <c r="C1651" s="135">
        <v>0.45069444444444445</v>
      </c>
      <c r="D1651" s="135">
        <v>0.33124999999999999</v>
      </c>
      <c r="E1651" s="135">
        <v>0.70763888888888893</v>
      </c>
    </row>
    <row r="1652" spans="1:5" x14ac:dyDescent="0.25">
      <c r="A1652" s="134">
        <v>42753</v>
      </c>
      <c r="B1652" s="136">
        <v>1.8</v>
      </c>
      <c r="C1652" s="135">
        <v>0.94722222222222219</v>
      </c>
      <c r="D1652" s="135">
        <v>0.33124999999999999</v>
      </c>
      <c r="E1652" s="135">
        <v>0.70763888888888893</v>
      </c>
    </row>
    <row r="1653" spans="1:5" x14ac:dyDescent="0.25">
      <c r="A1653" s="134">
        <v>42754</v>
      </c>
      <c r="B1653" s="136">
        <v>2.6</v>
      </c>
      <c r="C1653" s="135">
        <v>0.49305555555555558</v>
      </c>
      <c r="D1653" s="135">
        <v>0.33055555555555555</v>
      </c>
      <c r="E1653" s="135">
        <v>0.70833333333333337</v>
      </c>
    </row>
    <row r="1654" spans="1:5" x14ac:dyDescent="0.25">
      <c r="A1654" s="134">
        <v>42754</v>
      </c>
      <c r="B1654" s="136">
        <v>2.5</v>
      </c>
      <c r="C1654" s="135">
        <v>0.98055555555555551</v>
      </c>
      <c r="D1654" s="135">
        <v>0.33055555555555555</v>
      </c>
      <c r="E1654" s="135">
        <v>0.70833333333333337</v>
      </c>
    </row>
    <row r="1655" spans="1:5" x14ac:dyDescent="0.25">
      <c r="A1655" s="134">
        <v>42755</v>
      </c>
      <c r="B1655" s="136">
        <v>2.4</v>
      </c>
      <c r="C1655" s="135">
        <v>0.53888888888888886</v>
      </c>
      <c r="D1655" s="135">
        <v>0.3298611111111111</v>
      </c>
      <c r="E1655" s="135">
        <v>0.70972222222222225</v>
      </c>
    </row>
    <row r="1656" spans="1:5" x14ac:dyDescent="0.25">
      <c r="A1656" s="134">
        <v>42756</v>
      </c>
      <c r="B1656" s="136">
        <v>3.1</v>
      </c>
      <c r="C1656" s="135">
        <v>1.8055555555555554E-2</v>
      </c>
      <c r="D1656" s="135">
        <v>0.32916666666666666</v>
      </c>
      <c r="E1656" s="135">
        <v>0.7104166666666667</v>
      </c>
    </row>
    <row r="1657" spans="1:5" x14ac:dyDescent="0.25">
      <c r="A1657" s="134">
        <v>42756</v>
      </c>
      <c r="B1657" s="136">
        <v>2</v>
      </c>
      <c r="C1657" s="135">
        <v>0.58472222222222225</v>
      </c>
      <c r="D1657" s="135">
        <v>0.32916666666666666</v>
      </c>
      <c r="E1657" s="135">
        <v>0.7104166666666667</v>
      </c>
    </row>
    <row r="1658" spans="1:5" x14ac:dyDescent="0.25">
      <c r="A1658" s="134">
        <v>42757</v>
      </c>
      <c r="B1658" s="136">
        <v>3.6</v>
      </c>
      <c r="C1658" s="135">
        <v>6.0416666666666667E-2</v>
      </c>
      <c r="D1658" s="135">
        <v>0.32916666666666666</v>
      </c>
      <c r="E1658" s="135">
        <v>0.71180555555555558</v>
      </c>
    </row>
    <row r="1659" spans="1:5" x14ac:dyDescent="0.25">
      <c r="A1659" s="134">
        <v>42757</v>
      </c>
      <c r="B1659" s="136">
        <v>1.6</v>
      </c>
      <c r="C1659" s="135">
        <v>0.625</v>
      </c>
      <c r="D1659" s="135">
        <v>0.32916666666666666</v>
      </c>
      <c r="E1659" s="135">
        <v>0.71180555555555558</v>
      </c>
    </row>
    <row r="1660" spans="1:5" x14ac:dyDescent="0.25">
      <c r="A1660" s="134">
        <v>42758</v>
      </c>
      <c r="B1660" s="136">
        <v>3.8</v>
      </c>
      <c r="C1660" s="135">
        <v>0.10347222222222222</v>
      </c>
      <c r="D1660" s="135">
        <v>0.32847222222222222</v>
      </c>
      <c r="E1660" s="135">
        <v>0.71250000000000002</v>
      </c>
    </row>
    <row r="1661" spans="1:5" x14ac:dyDescent="0.25">
      <c r="A1661" s="134">
        <v>42758</v>
      </c>
      <c r="B1661" s="136">
        <v>1.1000000000000001</v>
      </c>
      <c r="C1661" s="135">
        <v>0.65972222222222221</v>
      </c>
      <c r="D1661" s="135">
        <v>0.32847222222222222</v>
      </c>
      <c r="E1661" s="135">
        <v>0.71250000000000002</v>
      </c>
    </row>
    <row r="1662" spans="1:5" x14ac:dyDescent="0.25">
      <c r="A1662" s="134">
        <v>42759</v>
      </c>
      <c r="B1662" s="136">
        <v>3.8</v>
      </c>
      <c r="C1662" s="135">
        <v>0.14305555555555555</v>
      </c>
      <c r="D1662" s="135">
        <v>0.32777777777777778</v>
      </c>
      <c r="E1662" s="135">
        <v>0.71388888888888891</v>
      </c>
    </row>
    <row r="1663" spans="1:5" x14ac:dyDescent="0.25">
      <c r="A1663" s="134">
        <v>42759</v>
      </c>
      <c r="B1663" s="136">
        <v>0.6</v>
      </c>
      <c r="C1663" s="135">
        <v>0.69027777777777777</v>
      </c>
      <c r="D1663" s="135">
        <v>0.32777777777777778</v>
      </c>
      <c r="E1663" s="135">
        <v>0.71388888888888891</v>
      </c>
    </row>
    <row r="1664" spans="1:5" x14ac:dyDescent="0.25">
      <c r="A1664" s="134">
        <v>42760</v>
      </c>
      <c r="B1664" s="136">
        <v>3.6</v>
      </c>
      <c r="C1664" s="135">
        <v>0.17847222222222223</v>
      </c>
      <c r="D1664" s="135">
        <v>0.32708333333333334</v>
      </c>
      <c r="E1664" s="135">
        <v>0.71458333333333335</v>
      </c>
    </row>
    <row r="1665" spans="1:5" x14ac:dyDescent="0.25">
      <c r="A1665" s="134">
        <v>42760</v>
      </c>
      <c r="B1665" s="136">
        <v>0.1</v>
      </c>
      <c r="C1665" s="135">
        <v>0.71736111111111112</v>
      </c>
      <c r="D1665" s="135">
        <v>0.32708333333333334</v>
      </c>
      <c r="E1665" s="135">
        <v>0.71458333333333335</v>
      </c>
    </row>
    <row r="1666" spans="1:5" x14ac:dyDescent="0.25">
      <c r="A1666" s="134">
        <v>42761</v>
      </c>
      <c r="B1666" s="136">
        <v>3.4</v>
      </c>
      <c r="C1666" s="135">
        <v>0.20972222222222223</v>
      </c>
      <c r="D1666" s="135">
        <v>0.32569444444444445</v>
      </c>
      <c r="E1666" s="135">
        <v>0.71597222222222223</v>
      </c>
    </row>
    <row r="1667" spans="1:5" x14ac:dyDescent="0.25">
      <c r="A1667" s="134">
        <v>42761</v>
      </c>
      <c r="B1667" s="136">
        <v>-0.2</v>
      </c>
      <c r="C1667" s="135">
        <v>0.74305555555555558</v>
      </c>
      <c r="D1667" s="135">
        <v>0.32569444444444445</v>
      </c>
      <c r="E1667" s="135">
        <v>0.71597222222222223</v>
      </c>
    </row>
    <row r="1668" spans="1:5" x14ac:dyDescent="0.25">
      <c r="A1668" s="134">
        <v>42762</v>
      </c>
      <c r="B1668" s="136">
        <v>3.1</v>
      </c>
      <c r="C1668" s="135">
        <v>0.2388888888888889</v>
      </c>
      <c r="D1668" s="135">
        <v>0.32500000000000001</v>
      </c>
      <c r="E1668" s="135">
        <v>0.71666666666666667</v>
      </c>
    </row>
    <row r="1669" spans="1:5" x14ac:dyDescent="0.25">
      <c r="A1669" s="134">
        <v>42762</v>
      </c>
      <c r="B1669" s="136">
        <v>-0.5</v>
      </c>
      <c r="C1669" s="135">
        <v>0.7680555555555556</v>
      </c>
      <c r="D1669" s="135">
        <v>0.32500000000000001</v>
      </c>
      <c r="E1669" s="135">
        <v>0.71666666666666667</v>
      </c>
    </row>
    <row r="1670" spans="1:5" x14ac:dyDescent="0.25">
      <c r="A1670" s="134">
        <v>42763</v>
      </c>
      <c r="B1670" s="136">
        <v>2.9</v>
      </c>
      <c r="C1670" s="135">
        <v>0.26666666666666666</v>
      </c>
      <c r="D1670" s="135">
        <v>0.32430555555555557</v>
      </c>
      <c r="E1670" s="135">
        <v>0.71805555555555556</v>
      </c>
    </row>
    <row r="1671" spans="1:5" x14ac:dyDescent="0.25">
      <c r="A1671" s="134">
        <v>42763</v>
      </c>
      <c r="B1671" s="136">
        <v>-0.6</v>
      </c>
      <c r="C1671" s="135">
        <v>0.79236111111111107</v>
      </c>
      <c r="D1671" s="135">
        <v>0.32430555555555557</v>
      </c>
      <c r="E1671" s="135">
        <v>0.71805555555555556</v>
      </c>
    </row>
    <row r="1672" spans="1:5" x14ac:dyDescent="0.25">
      <c r="A1672" s="134">
        <v>42764</v>
      </c>
      <c r="B1672" s="136">
        <v>2.6</v>
      </c>
      <c r="C1672" s="135">
        <v>0.2951388888888889</v>
      </c>
      <c r="D1672" s="135">
        <v>0.32361111111111113</v>
      </c>
      <c r="E1672" s="135">
        <v>0.71875</v>
      </c>
    </row>
    <row r="1673" spans="1:5" x14ac:dyDescent="0.25">
      <c r="A1673" s="134">
        <v>42764</v>
      </c>
      <c r="B1673" s="136">
        <v>-0.5</v>
      </c>
      <c r="C1673" s="135">
        <v>0.81736111111111109</v>
      </c>
      <c r="D1673" s="135">
        <v>0.32361111111111113</v>
      </c>
      <c r="E1673" s="135">
        <v>0.71875</v>
      </c>
    </row>
    <row r="1674" spans="1:5" x14ac:dyDescent="0.25">
      <c r="A1674" s="134">
        <v>42765</v>
      </c>
      <c r="B1674" s="136">
        <v>2.4</v>
      </c>
      <c r="C1674" s="135">
        <v>0.32430555555555557</v>
      </c>
      <c r="D1674" s="135">
        <v>0.32291666666666669</v>
      </c>
      <c r="E1674" s="135">
        <v>0.72013888888888888</v>
      </c>
    </row>
    <row r="1675" spans="1:5" x14ac:dyDescent="0.25">
      <c r="A1675" s="134">
        <v>42765</v>
      </c>
      <c r="B1675" s="136">
        <v>-0.3</v>
      </c>
      <c r="C1675" s="135">
        <v>0.84236111111111112</v>
      </c>
      <c r="D1675" s="135">
        <v>0.32291666666666669</v>
      </c>
      <c r="E1675" s="135">
        <v>0.72013888888888888</v>
      </c>
    </row>
    <row r="1676" spans="1:5" x14ac:dyDescent="0.25">
      <c r="A1676" s="134">
        <v>42766</v>
      </c>
      <c r="B1676" s="136">
        <v>2.2000000000000002</v>
      </c>
      <c r="C1676" s="135">
        <v>0.35555555555555557</v>
      </c>
      <c r="D1676" s="135">
        <v>0.32222222222222224</v>
      </c>
      <c r="E1676" s="135">
        <v>0.72083333333333333</v>
      </c>
    </row>
    <row r="1677" spans="1:5" x14ac:dyDescent="0.25">
      <c r="A1677" s="134">
        <v>42766</v>
      </c>
      <c r="B1677" s="136">
        <v>0.2</v>
      </c>
      <c r="C1677" s="135">
        <v>0.86805555555555558</v>
      </c>
      <c r="D1677" s="135">
        <v>0.32222222222222224</v>
      </c>
      <c r="E1677" s="135">
        <v>0.72083333333333333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84"/>
  <sheetViews>
    <sheetView workbookViewId="0">
      <selection activeCell="I78" activeCellId="1" sqref="E78 I78"/>
    </sheetView>
  </sheetViews>
  <sheetFormatPr defaultRowHeight="15" x14ac:dyDescent="0.25"/>
  <cols>
    <col min="1" max="1" width="18.7109375" customWidth="1"/>
  </cols>
  <sheetData>
    <row r="1" spans="1:18" ht="15.75" thickBot="1" x14ac:dyDescent="0.3">
      <c r="A1" s="144" t="s">
        <v>54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</row>
    <row r="2" spans="1:18" ht="15.75" thickTop="1" x14ac:dyDescent="0.25">
      <c r="A2" s="23"/>
      <c r="B2" s="23"/>
      <c r="C2" s="23"/>
      <c r="D2" s="23"/>
      <c r="E2" s="229" t="s">
        <v>22</v>
      </c>
      <c r="F2" s="230"/>
      <c r="G2" s="230"/>
      <c r="H2" s="231"/>
      <c r="I2" s="229" t="s">
        <v>23</v>
      </c>
      <c r="J2" s="230"/>
      <c r="K2" s="230"/>
      <c r="L2" s="231"/>
      <c r="M2" s="232" t="s">
        <v>24</v>
      </c>
      <c r="N2" s="233"/>
      <c r="O2" s="233"/>
      <c r="P2" s="234"/>
      <c r="Q2" s="227" t="s">
        <v>25</v>
      </c>
      <c r="R2" s="228"/>
    </row>
    <row r="3" spans="1:18" ht="15.75" thickBot="1" x14ac:dyDescent="0.3">
      <c r="A3" s="24" t="s">
        <v>26</v>
      </c>
      <c r="B3" s="24" t="s">
        <v>27</v>
      </c>
      <c r="C3" s="24" t="s">
        <v>28</v>
      </c>
      <c r="D3" s="24" t="s">
        <v>29</v>
      </c>
      <c r="E3" s="25" t="s">
        <v>30</v>
      </c>
      <c r="F3" s="24" t="s">
        <v>31</v>
      </c>
      <c r="G3" s="24" t="s">
        <v>10</v>
      </c>
      <c r="H3" s="24" t="s">
        <v>35</v>
      </c>
      <c r="I3" s="25" t="s">
        <v>30</v>
      </c>
      <c r="J3" s="24" t="s">
        <v>31</v>
      </c>
      <c r="K3" s="24" t="s">
        <v>10</v>
      </c>
      <c r="L3" s="24" t="s">
        <v>35</v>
      </c>
      <c r="M3" s="25" t="s">
        <v>30</v>
      </c>
      <c r="N3" s="24" t="s">
        <v>31</v>
      </c>
      <c r="O3" s="24" t="s">
        <v>10</v>
      </c>
      <c r="P3" s="24" t="s">
        <v>35</v>
      </c>
      <c r="Q3" s="25" t="s">
        <v>30</v>
      </c>
      <c r="R3" s="26" t="s">
        <v>31</v>
      </c>
    </row>
    <row r="4" spans="1:18" ht="15.75" thickTop="1" x14ac:dyDescent="0.25">
      <c r="A4" s="4">
        <v>41922</v>
      </c>
      <c r="B4" s="5">
        <f t="shared" ref="B4:B6" si="0">+A4</f>
        <v>41922</v>
      </c>
      <c r="C4" s="13">
        <v>-1.1000000000000001</v>
      </c>
      <c r="D4" s="12">
        <v>0.86319444444444438</v>
      </c>
      <c r="E4" s="30" t="s">
        <v>11</v>
      </c>
      <c r="F4" s="31" t="s">
        <v>11</v>
      </c>
      <c r="G4" s="28" t="s">
        <v>11</v>
      </c>
      <c r="H4" s="28"/>
      <c r="I4" s="30">
        <v>1222.3150974793125</v>
      </c>
      <c r="J4" s="31">
        <v>16040.535048459285</v>
      </c>
      <c r="K4" s="28">
        <v>13.123076923076923</v>
      </c>
      <c r="L4" s="28"/>
      <c r="M4" s="30" t="s">
        <v>11</v>
      </c>
      <c r="N4" s="31" t="s">
        <v>11</v>
      </c>
      <c r="O4" s="28" t="s">
        <v>11</v>
      </c>
      <c r="P4" s="28"/>
      <c r="Q4" s="30">
        <f>+I4</f>
        <v>1222.3150974793125</v>
      </c>
      <c r="R4" s="31">
        <f>+J4</f>
        <v>16040.535048459285</v>
      </c>
    </row>
    <row r="5" spans="1:18" x14ac:dyDescent="0.25">
      <c r="A5" s="4">
        <v>41923</v>
      </c>
      <c r="B5" s="5">
        <f t="shared" si="0"/>
        <v>41923</v>
      </c>
      <c r="C5" s="13">
        <v>-0.8</v>
      </c>
      <c r="D5" s="12">
        <v>0.89444444444444438</v>
      </c>
      <c r="E5" s="30">
        <v>2205.5586036055502</v>
      </c>
      <c r="F5" s="31">
        <v>8634.5272992217288</v>
      </c>
      <c r="G5" s="28">
        <v>3.9148936170212769</v>
      </c>
      <c r="H5" s="28"/>
      <c r="I5" s="30">
        <v>2126.2957375746932</v>
      </c>
      <c r="J5" s="31">
        <v>24229.881660734882</v>
      </c>
      <c r="K5" s="28">
        <v>11.395348837209305</v>
      </c>
      <c r="L5" s="28"/>
      <c r="M5" s="30" t="s">
        <v>11</v>
      </c>
      <c r="N5" s="31" t="s">
        <v>11</v>
      </c>
      <c r="O5" s="28" t="s">
        <v>11</v>
      </c>
      <c r="P5" s="28"/>
      <c r="Q5" s="30">
        <f>+E5+I5</f>
        <v>4331.8543411802439</v>
      </c>
      <c r="R5" s="31">
        <f>+F5+J5</f>
        <v>32864.408959956607</v>
      </c>
    </row>
    <row r="6" spans="1:18" x14ac:dyDescent="0.25">
      <c r="A6" s="4">
        <v>41924</v>
      </c>
      <c r="B6" s="5">
        <f t="shared" si="0"/>
        <v>41924</v>
      </c>
      <c r="C6" s="13">
        <f>-0.3</f>
        <v>-0.3</v>
      </c>
      <c r="D6" s="12">
        <v>0.92708333333333337</v>
      </c>
      <c r="E6" s="30" t="s">
        <v>11</v>
      </c>
      <c r="F6" s="31" t="s">
        <v>11</v>
      </c>
      <c r="G6" s="28" t="s">
        <v>11</v>
      </c>
      <c r="H6" s="28"/>
      <c r="I6" s="30">
        <v>294.76324531231057</v>
      </c>
      <c r="J6" s="31">
        <v>3766.4192456573023</v>
      </c>
      <c r="K6" s="28">
        <v>12.77777777777778</v>
      </c>
      <c r="L6" s="28"/>
      <c r="M6" s="30" t="s">
        <v>11</v>
      </c>
      <c r="N6" s="31" t="s">
        <v>11</v>
      </c>
      <c r="O6" s="28" t="s">
        <v>11</v>
      </c>
      <c r="P6" s="28"/>
      <c r="Q6" s="30">
        <f>+I6</f>
        <v>294.76324531231057</v>
      </c>
      <c r="R6" s="38">
        <f>+J6</f>
        <v>3766.4192456573023</v>
      </c>
    </row>
    <row r="7" spans="1:18" x14ac:dyDescent="0.25">
      <c r="A7" s="225"/>
      <c r="B7" s="225"/>
      <c r="C7" s="225"/>
      <c r="D7" s="226"/>
      <c r="E7" s="34">
        <f>SUM(E4:E6)</f>
        <v>2205.5586036055502</v>
      </c>
      <c r="F7" s="35">
        <f>SUM(F4:F6)</f>
        <v>8634.5272992217288</v>
      </c>
      <c r="G7" s="33">
        <f>+F7/E7</f>
        <v>3.9148936170212769</v>
      </c>
      <c r="H7" s="33"/>
      <c r="I7" s="34">
        <f>SUM(I4:I6)</f>
        <v>3643.3740803663163</v>
      </c>
      <c r="J7" s="35">
        <f>SUM(J4:J6)</f>
        <v>44036.835954851464</v>
      </c>
      <c r="K7" s="33">
        <f>+J7/I7</f>
        <v>12.086828029040559</v>
      </c>
      <c r="L7" s="33">
        <v>120.68</v>
      </c>
      <c r="M7" s="34"/>
      <c r="N7" s="35"/>
      <c r="O7" s="35"/>
      <c r="P7" s="33"/>
      <c r="Q7" s="34">
        <f>SUM(Q4:Q6)</f>
        <v>5848.9326839718669</v>
      </c>
      <c r="R7" s="35">
        <f>SUM(R4:R6)</f>
        <v>52671.363254073192</v>
      </c>
    </row>
    <row r="8" spans="1:18" x14ac:dyDescent="0.25">
      <c r="A8" s="4">
        <v>41936</v>
      </c>
      <c r="B8" s="18">
        <v>41936</v>
      </c>
      <c r="C8" s="28">
        <v>-0.4</v>
      </c>
      <c r="D8" s="29">
        <v>0.82222222222222219</v>
      </c>
      <c r="E8" s="30" t="s">
        <v>11</v>
      </c>
      <c r="F8" s="38" t="s">
        <v>11</v>
      </c>
      <c r="G8" s="103" t="s">
        <v>11</v>
      </c>
      <c r="H8" s="36"/>
      <c r="I8" s="30">
        <v>1499.4480783807305</v>
      </c>
      <c r="J8" s="38">
        <v>20419.756558312132</v>
      </c>
      <c r="K8" s="103">
        <v>13.618181818181819</v>
      </c>
      <c r="L8" s="36"/>
      <c r="M8" s="30" t="s">
        <v>11</v>
      </c>
      <c r="N8" s="31" t="s">
        <v>11</v>
      </c>
      <c r="O8" s="28" t="s">
        <v>11</v>
      </c>
      <c r="P8" s="36"/>
      <c r="Q8" s="30">
        <f>+I8</f>
        <v>1499.4480783807305</v>
      </c>
      <c r="R8" s="38">
        <f>+J8</f>
        <v>20419.756558312132</v>
      </c>
    </row>
    <row r="9" spans="1:18" x14ac:dyDescent="0.25">
      <c r="A9" s="4">
        <v>41937</v>
      </c>
      <c r="B9" s="18">
        <v>41937</v>
      </c>
      <c r="C9" s="28">
        <v>-0.6</v>
      </c>
      <c r="D9" s="29">
        <v>0.84861111111111109</v>
      </c>
      <c r="E9" s="30">
        <v>196.0529754573505</v>
      </c>
      <c r="F9" s="38">
        <v>0</v>
      </c>
      <c r="G9" s="103">
        <v>0</v>
      </c>
      <c r="H9" s="36"/>
      <c r="I9" s="30">
        <v>203.36132887875735</v>
      </c>
      <c r="J9" s="38">
        <v>0</v>
      </c>
      <c r="K9" s="103">
        <v>0</v>
      </c>
      <c r="L9" s="36"/>
      <c r="M9" s="30" t="s">
        <v>11</v>
      </c>
      <c r="N9" s="31" t="s">
        <v>11</v>
      </c>
      <c r="O9" s="28" t="s">
        <v>11</v>
      </c>
      <c r="P9" s="36"/>
      <c r="Q9" s="30">
        <f>+E9+I9</f>
        <v>399.41430433610788</v>
      </c>
      <c r="R9" s="38">
        <f>+F9+J9</f>
        <v>0</v>
      </c>
    </row>
    <row r="10" spans="1:18" x14ac:dyDescent="0.25">
      <c r="A10" s="4">
        <v>41938</v>
      </c>
      <c r="B10" s="18">
        <v>41938</v>
      </c>
      <c r="C10" s="28">
        <v>-0.6</v>
      </c>
      <c r="D10" s="29">
        <v>0.87708333333333333</v>
      </c>
      <c r="E10" s="30" t="s">
        <v>11</v>
      </c>
      <c r="F10" s="38" t="s">
        <v>11</v>
      </c>
      <c r="G10" s="103" t="s">
        <v>11</v>
      </c>
      <c r="H10" s="36"/>
      <c r="I10" s="30">
        <v>380.01381752137826</v>
      </c>
      <c r="J10" s="38">
        <v>5700.2072628206733</v>
      </c>
      <c r="K10" s="103">
        <v>14.999999999999998</v>
      </c>
      <c r="L10" s="36"/>
      <c r="M10" s="30" t="s">
        <v>11</v>
      </c>
      <c r="N10" s="31" t="s">
        <v>11</v>
      </c>
      <c r="O10" s="28" t="s">
        <v>11</v>
      </c>
      <c r="P10" s="36"/>
      <c r="Q10" s="30">
        <f>+I10</f>
        <v>380.01381752137826</v>
      </c>
      <c r="R10" s="38">
        <f>+J10</f>
        <v>5700.2072628206733</v>
      </c>
    </row>
    <row r="11" spans="1:18" x14ac:dyDescent="0.25">
      <c r="A11" s="225"/>
      <c r="B11" s="225"/>
      <c r="C11" s="225"/>
      <c r="D11" s="226"/>
      <c r="E11" s="34">
        <f>SUM(E9:E10)</f>
        <v>196.0529754573505</v>
      </c>
      <c r="F11" s="35">
        <f>SUM(F9:F10)</f>
        <v>0</v>
      </c>
      <c r="G11" s="104">
        <f>+F11/E11</f>
        <v>0</v>
      </c>
      <c r="H11" s="33"/>
      <c r="I11" s="34">
        <f>SUM(I8:I10)</f>
        <v>2082.823224780866</v>
      </c>
      <c r="J11" s="35">
        <f>SUM(J8:J10)</f>
        <v>26119.963821132806</v>
      </c>
      <c r="K11" s="104">
        <f>+J11/I11</f>
        <v>12.540653239489822</v>
      </c>
      <c r="L11" s="33">
        <v>115.39</v>
      </c>
      <c r="M11" s="34"/>
      <c r="N11" s="35"/>
      <c r="O11" s="35"/>
      <c r="P11" s="33"/>
      <c r="Q11" s="34">
        <f>SUM(Q8:Q10)</f>
        <v>2278.8762002382168</v>
      </c>
      <c r="R11" s="35">
        <f>SUM(R8:R10)</f>
        <v>26119.963821132806</v>
      </c>
    </row>
    <row r="12" spans="1:18" x14ac:dyDescent="0.25">
      <c r="A12" s="4">
        <v>41950</v>
      </c>
      <c r="B12" s="18">
        <v>41950</v>
      </c>
      <c r="C12" s="28">
        <v>-1.2</v>
      </c>
      <c r="D12" s="29">
        <v>0.77916666666666667</v>
      </c>
      <c r="E12" s="30" t="s">
        <v>11</v>
      </c>
      <c r="F12" s="38" t="s">
        <v>11</v>
      </c>
      <c r="G12" s="103" t="s">
        <v>11</v>
      </c>
      <c r="H12" s="74"/>
      <c r="I12" s="30">
        <v>1063.9832982077737</v>
      </c>
      <c r="J12" s="38">
        <v>15959.749473116606</v>
      </c>
      <c r="K12" s="103">
        <v>15</v>
      </c>
      <c r="L12" s="74"/>
      <c r="M12" s="30" t="s">
        <v>11</v>
      </c>
      <c r="N12" s="31" t="s">
        <v>11</v>
      </c>
      <c r="O12" s="28" t="s">
        <v>11</v>
      </c>
      <c r="P12" s="74"/>
      <c r="Q12" s="30">
        <f>+I12</f>
        <v>1063.9832982077737</v>
      </c>
      <c r="R12" s="38">
        <f>+J12</f>
        <v>15959.749473116606</v>
      </c>
    </row>
    <row r="13" spans="1:18" x14ac:dyDescent="0.25">
      <c r="A13" s="4">
        <v>41951</v>
      </c>
      <c r="B13" s="18">
        <v>41951</v>
      </c>
      <c r="C13" s="28">
        <v>-1.1000000000000001</v>
      </c>
      <c r="D13" s="29">
        <v>0.80833333333333335</v>
      </c>
      <c r="E13" s="30">
        <v>3127.5339014925967</v>
      </c>
      <c r="F13" s="38">
        <v>42243.129135228759</v>
      </c>
      <c r="G13" s="103">
        <v>13.506849315068489</v>
      </c>
      <c r="H13" s="36"/>
      <c r="I13" s="30">
        <v>1948.1298570553215</v>
      </c>
      <c r="J13" s="38">
        <v>27588.032491847942</v>
      </c>
      <c r="K13" s="103">
        <v>14.161290322580646</v>
      </c>
      <c r="L13" s="36"/>
      <c r="M13" s="30" t="s">
        <v>11</v>
      </c>
      <c r="N13" s="31" t="s">
        <v>11</v>
      </c>
      <c r="O13" s="28" t="s">
        <v>11</v>
      </c>
      <c r="P13" s="36"/>
      <c r="Q13" s="30">
        <f>+E13+I13</f>
        <v>5075.6637585479184</v>
      </c>
      <c r="R13" s="38">
        <f>+F13+J13</f>
        <v>69831.161627076697</v>
      </c>
    </row>
    <row r="14" spans="1:18" x14ac:dyDescent="0.25">
      <c r="A14" s="4">
        <v>41952</v>
      </c>
      <c r="B14" s="18">
        <v>41952</v>
      </c>
      <c r="C14" s="28">
        <v>-0.7</v>
      </c>
      <c r="D14" s="29">
        <v>0.83680555555555558</v>
      </c>
      <c r="E14" s="30" t="s">
        <v>11</v>
      </c>
      <c r="F14" s="38" t="s">
        <v>11</v>
      </c>
      <c r="G14" s="103" t="s">
        <v>11</v>
      </c>
      <c r="H14" s="36"/>
      <c r="I14" s="30">
        <v>728.74218164091008</v>
      </c>
      <c r="J14" s="38">
        <v>7838.0270203155669</v>
      </c>
      <c r="K14" s="103">
        <v>10.755555555555556</v>
      </c>
      <c r="L14" s="36"/>
      <c r="M14" s="30" t="s">
        <v>11</v>
      </c>
      <c r="N14" s="31" t="s">
        <v>11</v>
      </c>
      <c r="O14" s="28" t="s">
        <v>11</v>
      </c>
      <c r="P14" s="36"/>
      <c r="Q14" s="30">
        <f>+I14</f>
        <v>728.74218164091008</v>
      </c>
      <c r="R14" s="38">
        <f>+J14</f>
        <v>7838.0270203155669</v>
      </c>
    </row>
    <row r="15" spans="1:18" x14ac:dyDescent="0.25">
      <c r="A15" s="225"/>
      <c r="B15" s="225"/>
      <c r="C15" s="225"/>
      <c r="D15" s="226"/>
      <c r="E15" s="34">
        <f>SUM(E13:E14)</f>
        <v>3127.5339014925967</v>
      </c>
      <c r="F15" s="35">
        <f>SUM(F13:F14)</f>
        <v>42243.129135228759</v>
      </c>
      <c r="G15" s="104">
        <f>+F15/E15</f>
        <v>13.506849315068489</v>
      </c>
      <c r="H15" s="33"/>
      <c r="I15" s="34">
        <f>SUM(I12:I14)</f>
        <v>3740.8553369040051</v>
      </c>
      <c r="J15" s="35">
        <f>SUM(J12:J14)</f>
        <v>51385.808985280113</v>
      </c>
      <c r="K15" s="104">
        <f>+J15/I15</f>
        <v>13.736379613066747</v>
      </c>
      <c r="L15" s="33"/>
      <c r="M15" s="34"/>
      <c r="N15" s="35"/>
      <c r="O15" s="35"/>
      <c r="P15" s="33"/>
      <c r="Q15" s="34">
        <f>SUM(Q12:Q14)</f>
        <v>6868.3892383966013</v>
      </c>
      <c r="R15" s="35">
        <f>SUM(R12:R14)</f>
        <v>93628.938120508872</v>
      </c>
    </row>
    <row r="16" spans="1:18" x14ac:dyDescent="0.25">
      <c r="A16" s="4">
        <v>41964</v>
      </c>
      <c r="B16" s="18">
        <v>41964</v>
      </c>
      <c r="C16" s="28">
        <v>-0.5</v>
      </c>
      <c r="D16" s="29">
        <v>0.73958333333333337</v>
      </c>
      <c r="E16" s="30" t="s">
        <v>11</v>
      </c>
      <c r="F16" s="38" t="s">
        <v>11</v>
      </c>
      <c r="G16" s="103" t="s">
        <v>11</v>
      </c>
      <c r="H16" s="36"/>
      <c r="I16" s="30">
        <v>640.25513040060639</v>
      </c>
      <c r="J16" s="38">
        <v>4579.2160413434676</v>
      </c>
      <c r="K16" s="103">
        <v>7.1521739130434785</v>
      </c>
      <c r="L16" s="36"/>
      <c r="M16" s="30" t="s">
        <v>11</v>
      </c>
      <c r="N16" s="31" t="s">
        <v>11</v>
      </c>
      <c r="O16" s="28" t="s">
        <v>11</v>
      </c>
      <c r="P16" s="36"/>
      <c r="Q16" s="30">
        <f>+I16</f>
        <v>640.25513040060639</v>
      </c>
      <c r="R16" s="38">
        <f>+J16</f>
        <v>4579.2160413434676</v>
      </c>
    </row>
    <row r="17" spans="1:18" x14ac:dyDescent="0.25">
      <c r="A17" s="4">
        <v>41965</v>
      </c>
      <c r="B17" s="18">
        <v>41965</v>
      </c>
      <c r="C17" s="28">
        <v>-0.8</v>
      </c>
      <c r="D17" s="29">
        <v>0.76666666666666672</v>
      </c>
      <c r="E17" s="30">
        <v>2124.6544402768313</v>
      </c>
      <c r="F17" s="38">
        <v>20605.139288722479</v>
      </c>
      <c r="G17" s="103">
        <v>9.6981132075471699</v>
      </c>
      <c r="H17" s="36"/>
      <c r="I17" s="30">
        <v>1283.3310340242842</v>
      </c>
      <c r="J17" s="38">
        <v>19249.965510364265</v>
      </c>
      <c r="K17" s="103">
        <v>15.000000000000002</v>
      </c>
      <c r="L17" s="36"/>
      <c r="M17" s="30" t="s">
        <v>11</v>
      </c>
      <c r="N17" s="31" t="s">
        <v>11</v>
      </c>
      <c r="O17" s="28" t="s">
        <v>11</v>
      </c>
      <c r="P17" s="36"/>
      <c r="Q17" s="30">
        <f>+E17+I17</f>
        <v>3407.9854743011156</v>
      </c>
      <c r="R17" s="38">
        <f>+F17+J17</f>
        <v>39855.104799086745</v>
      </c>
    </row>
    <row r="18" spans="1:18" x14ac:dyDescent="0.25">
      <c r="A18" s="4">
        <v>41966</v>
      </c>
      <c r="B18" s="18">
        <v>41966</v>
      </c>
      <c r="C18" s="28">
        <v>-1</v>
      </c>
      <c r="D18" s="29">
        <v>0.79513888888888884</v>
      </c>
      <c r="E18" s="30" t="s">
        <v>11</v>
      </c>
      <c r="F18" s="38" t="s">
        <v>11</v>
      </c>
      <c r="G18" s="103" t="s">
        <v>11</v>
      </c>
      <c r="H18" s="36"/>
      <c r="I18" s="30">
        <v>428.76517894114585</v>
      </c>
      <c r="J18" s="38">
        <v>6389.984279703528</v>
      </c>
      <c r="K18" s="103">
        <v>14.903225806451612</v>
      </c>
      <c r="L18" s="36"/>
      <c r="M18" s="30" t="s">
        <v>11</v>
      </c>
      <c r="N18" s="31" t="s">
        <v>11</v>
      </c>
      <c r="O18" s="28" t="s">
        <v>11</v>
      </c>
      <c r="P18" s="36"/>
      <c r="Q18" s="30">
        <f>+I18</f>
        <v>428.76517894114585</v>
      </c>
      <c r="R18" s="38">
        <f>+J18</f>
        <v>6389.984279703528</v>
      </c>
    </row>
    <row r="19" spans="1:18" x14ac:dyDescent="0.25">
      <c r="A19" s="225"/>
      <c r="B19" s="225"/>
      <c r="C19" s="225"/>
      <c r="D19" s="226"/>
      <c r="E19" s="34">
        <f>SUM(E17:E18)</f>
        <v>2124.6544402768313</v>
      </c>
      <c r="F19" s="35">
        <f>SUM(F17:F18)</f>
        <v>20605.139288722479</v>
      </c>
      <c r="G19" s="104">
        <f>+F19/E19</f>
        <v>9.6981132075471699</v>
      </c>
      <c r="H19" s="33"/>
      <c r="I19" s="34">
        <f>SUM(I16:I18)</f>
        <v>2352.3513433660364</v>
      </c>
      <c r="J19" s="35">
        <f>SUM(J16:J18)</f>
        <v>30219.165831411261</v>
      </c>
      <c r="K19" s="104">
        <f>+J19/I19</f>
        <v>12.846365793372485</v>
      </c>
      <c r="L19" s="33"/>
      <c r="M19" s="34"/>
      <c r="N19" s="35"/>
      <c r="O19" s="35"/>
      <c r="P19" s="33"/>
      <c r="Q19" s="34">
        <f>SUM(Q16:Q18)</f>
        <v>4477.0057836428678</v>
      </c>
      <c r="R19" s="35">
        <f>SUM(R16:R18)</f>
        <v>50824.305120133744</v>
      </c>
    </row>
    <row r="20" spans="1:18" x14ac:dyDescent="0.25">
      <c r="A20" s="4">
        <v>41978</v>
      </c>
      <c r="B20" s="18">
        <v>41964</v>
      </c>
      <c r="C20" s="28">
        <v>-0.9</v>
      </c>
      <c r="D20" s="29">
        <v>0.70972222222222225</v>
      </c>
      <c r="E20" s="30" t="s">
        <v>11</v>
      </c>
      <c r="F20" s="38" t="s">
        <v>11</v>
      </c>
      <c r="G20" s="103" t="s">
        <v>11</v>
      </c>
      <c r="H20" s="74"/>
      <c r="I20" s="30">
        <v>961.20237631072666</v>
      </c>
      <c r="J20" s="38">
        <v>14418.0356446609</v>
      </c>
      <c r="K20" s="103">
        <v>15</v>
      </c>
      <c r="L20" s="74"/>
      <c r="M20" s="30" t="s">
        <v>11</v>
      </c>
      <c r="N20" s="31" t="s">
        <v>11</v>
      </c>
      <c r="O20" s="28" t="s">
        <v>11</v>
      </c>
      <c r="P20" s="74"/>
      <c r="Q20" s="30">
        <f>+I20</f>
        <v>961.20237631072666</v>
      </c>
      <c r="R20" s="38">
        <f>+J20</f>
        <v>14418.0356446609</v>
      </c>
    </row>
    <row r="21" spans="1:18" x14ac:dyDescent="0.25">
      <c r="A21" s="4">
        <v>41979</v>
      </c>
      <c r="B21" s="18">
        <v>41965</v>
      </c>
      <c r="C21" s="28">
        <v>-1</v>
      </c>
      <c r="D21" s="29">
        <v>0.73958333333333337</v>
      </c>
      <c r="E21" s="30">
        <v>1191.6818844214458</v>
      </c>
      <c r="F21" s="38">
        <v>15362.333857867772</v>
      </c>
      <c r="G21" s="103">
        <v>12.89130434782609</v>
      </c>
      <c r="H21" s="74"/>
      <c r="I21" s="30">
        <v>1410.4645974603841</v>
      </c>
      <c r="J21" s="38">
        <v>20966.365637924631</v>
      </c>
      <c r="K21" s="103">
        <v>14.864864864864867</v>
      </c>
      <c r="L21" s="74"/>
      <c r="M21" s="30" t="s">
        <v>11</v>
      </c>
      <c r="N21" s="31" t="s">
        <v>11</v>
      </c>
      <c r="O21" s="28" t="s">
        <v>11</v>
      </c>
      <c r="P21" s="74"/>
      <c r="Q21" s="30">
        <f>+E21+I21</f>
        <v>2602.1464818818299</v>
      </c>
      <c r="R21" s="38">
        <f>+F21+J21</f>
        <v>36328.699495792403</v>
      </c>
    </row>
    <row r="22" spans="1:18" x14ac:dyDescent="0.25">
      <c r="A22" s="4">
        <v>41980</v>
      </c>
      <c r="B22" s="18">
        <v>41966</v>
      </c>
      <c r="C22" s="28">
        <v>-0.9</v>
      </c>
      <c r="D22" s="29">
        <v>0.7680555555555556</v>
      </c>
      <c r="E22" s="30" t="s">
        <v>11</v>
      </c>
      <c r="F22" s="38" t="s">
        <v>11</v>
      </c>
      <c r="G22" s="103" t="s">
        <v>11</v>
      </c>
      <c r="H22" s="74"/>
      <c r="I22" s="30">
        <v>347.3404756633463</v>
      </c>
      <c r="J22" s="38">
        <v>5210.1071349501954</v>
      </c>
      <c r="K22" s="103">
        <v>15.000000000000002</v>
      </c>
      <c r="L22" s="74"/>
      <c r="M22" s="30" t="s">
        <v>11</v>
      </c>
      <c r="N22" s="31" t="s">
        <v>11</v>
      </c>
      <c r="O22" s="28" t="s">
        <v>11</v>
      </c>
      <c r="P22" s="74"/>
      <c r="Q22" s="30">
        <f>+I22</f>
        <v>347.3404756633463</v>
      </c>
      <c r="R22" s="38">
        <f>+J22</f>
        <v>5210.1071349501954</v>
      </c>
    </row>
    <row r="23" spans="1:18" x14ac:dyDescent="0.25">
      <c r="A23" s="225"/>
      <c r="B23" s="225"/>
      <c r="C23" s="225"/>
      <c r="D23" s="226"/>
      <c r="E23" s="34">
        <f>SUM(E21:E22)</f>
        <v>1191.6818844214458</v>
      </c>
      <c r="F23" s="35">
        <f>SUM(F21:F22)</f>
        <v>15362.333857867772</v>
      </c>
      <c r="G23" s="104">
        <f>+F23/E23</f>
        <v>12.89130434782609</v>
      </c>
      <c r="H23" s="33"/>
      <c r="I23" s="34">
        <f>SUM(I20:I22)</f>
        <v>2719.0074494344572</v>
      </c>
      <c r="J23" s="35">
        <f>SUM(J20:J22)</f>
        <v>40594.508417535726</v>
      </c>
      <c r="K23" s="104">
        <f>+J23/I23</f>
        <v>14.929899668343765</v>
      </c>
      <c r="L23" s="33"/>
      <c r="M23" s="34"/>
      <c r="N23" s="35"/>
      <c r="O23" s="35"/>
      <c r="P23" s="33"/>
      <c r="Q23" s="34">
        <f>SUM(Q20:Q22)</f>
        <v>3910.689333855903</v>
      </c>
      <c r="R23" s="35">
        <f>SUM(R20:R22)</f>
        <v>55956.842275403498</v>
      </c>
    </row>
    <row r="24" spans="1:18" x14ac:dyDescent="0.25">
      <c r="A24" s="4">
        <v>41992</v>
      </c>
      <c r="B24" s="18">
        <v>41964</v>
      </c>
      <c r="C24" s="28">
        <v>0</v>
      </c>
      <c r="D24" s="29">
        <v>0.69513888888888886</v>
      </c>
      <c r="E24" s="30" t="s">
        <v>11</v>
      </c>
      <c r="F24" s="38" t="s">
        <v>11</v>
      </c>
      <c r="G24" s="103" t="s">
        <v>11</v>
      </c>
      <c r="H24" s="36"/>
      <c r="I24" s="30">
        <v>909.71745179664254</v>
      </c>
      <c r="J24" s="38">
        <v>5939.9198323192541</v>
      </c>
      <c r="K24" s="103">
        <v>6.5294117647058822</v>
      </c>
      <c r="L24" s="36"/>
      <c r="M24" s="30" t="s">
        <v>11</v>
      </c>
      <c r="N24" s="38" t="s">
        <v>11</v>
      </c>
      <c r="O24" s="38" t="s">
        <v>11</v>
      </c>
      <c r="P24" s="74"/>
      <c r="Q24" s="108">
        <f>+I24</f>
        <v>909.71745179664254</v>
      </c>
      <c r="R24" s="73">
        <f>+J24</f>
        <v>5939.9198323192541</v>
      </c>
    </row>
    <row r="25" spans="1:18" x14ac:dyDescent="0.25">
      <c r="A25" s="4">
        <v>41993</v>
      </c>
      <c r="B25" s="18">
        <v>41965</v>
      </c>
      <c r="C25" s="28">
        <v>-0.6</v>
      </c>
      <c r="D25" s="29">
        <v>0.72430555555555554</v>
      </c>
      <c r="E25" s="30">
        <v>781.84675942100864</v>
      </c>
      <c r="F25" s="38">
        <v>68.986478772441941</v>
      </c>
      <c r="G25" s="103">
        <v>8.8235294117647065E-2</v>
      </c>
      <c r="H25" s="36"/>
      <c r="I25" s="30">
        <v>454.43395749698209</v>
      </c>
      <c r="J25" s="38">
        <v>0</v>
      </c>
      <c r="K25" s="103">
        <v>0</v>
      </c>
      <c r="L25" s="36"/>
      <c r="M25" s="30" t="s">
        <v>11</v>
      </c>
      <c r="N25" s="38" t="s">
        <v>11</v>
      </c>
      <c r="O25" s="38" t="s">
        <v>11</v>
      </c>
      <c r="P25" s="74"/>
      <c r="Q25" s="108">
        <f>+E25+I25</f>
        <v>1236.2807169179907</v>
      </c>
      <c r="R25" s="73">
        <f>+F25+J25</f>
        <v>68.986478772441941</v>
      </c>
    </row>
    <row r="26" spans="1:18" x14ac:dyDescent="0.25">
      <c r="A26" s="4">
        <v>41994</v>
      </c>
      <c r="B26" s="18">
        <v>41966</v>
      </c>
      <c r="C26" s="28">
        <v>-1.1000000000000001</v>
      </c>
      <c r="D26" s="29">
        <v>0.75416666666666676</v>
      </c>
      <c r="E26" s="30" t="s">
        <v>11</v>
      </c>
      <c r="F26" s="38" t="s">
        <v>11</v>
      </c>
      <c r="G26" s="103" t="s">
        <v>11</v>
      </c>
      <c r="H26" s="36"/>
      <c r="I26" s="30">
        <v>872.46013838893214</v>
      </c>
      <c r="J26" s="38">
        <v>13086.902075833983</v>
      </c>
      <c r="K26" s="103">
        <v>15</v>
      </c>
      <c r="L26" s="36"/>
      <c r="M26" s="30" t="s">
        <v>11</v>
      </c>
      <c r="N26" s="38" t="s">
        <v>11</v>
      </c>
      <c r="O26" s="38" t="s">
        <v>11</v>
      </c>
      <c r="P26" s="74"/>
      <c r="Q26" s="108">
        <f>+I26</f>
        <v>872.46013838893214</v>
      </c>
      <c r="R26" s="73">
        <f>+J26</f>
        <v>13086.902075833983</v>
      </c>
    </row>
    <row r="27" spans="1:18" x14ac:dyDescent="0.25">
      <c r="A27" s="225"/>
      <c r="B27" s="225"/>
      <c r="C27" s="225"/>
      <c r="D27" s="226"/>
      <c r="E27" s="34">
        <f>SUM(E25:E26)</f>
        <v>781.84675942100864</v>
      </c>
      <c r="F27" s="35">
        <f>SUM(F25:F26)</f>
        <v>68.986478772441941</v>
      </c>
      <c r="G27" s="104">
        <f>+F27/E27</f>
        <v>8.8235294117647065E-2</v>
      </c>
      <c r="H27" s="33"/>
      <c r="I27" s="34">
        <f>SUM(I24:I26)</f>
        <v>2236.6115476825566</v>
      </c>
      <c r="J27" s="35">
        <f>SUM(J24:J26)</f>
        <v>19026.821908153237</v>
      </c>
      <c r="K27" s="104">
        <f>+J27/I27</f>
        <v>8.506985456579482</v>
      </c>
      <c r="L27" s="33"/>
      <c r="M27" s="34"/>
      <c r="N27" s="35"/>
      <c r="O27" s="35"/>
      <c r="P27" s="33"/>
      <c r="Q27" s="34">
        <f>SUM(Q24:Q26)</f>
        <v>3018.4583071035654</v>
      </c>
      <c r="R27" s="35">
        <f>SUM(R24:R26)</f>
        <v>19095.808386925681</v>
      </c>
    </row>
    <row r="28" spans="1:18" x14ac:dyDescent="0.25">
      <c r="A28" s="153">
        <v>42004</v>
      </c>
      <c r="B28" s="37" t="s">
        <v>61</v>
      </c>
      <c r="C28" s="62">
        <v>0.6</v>
      </c>
      <c r="D28" s="154">
        <v>0.62847222222222221</v>
      </c>
      <c r="E28" s="30">
        <v>2956.2947549713276</v>
      </c>
      <c r="F28" s="38">
        <v>44344.421324569907</v>
      </c>
      <c r="G28" s="103">
        <v>14.999999999999998</v>
      </c>
      <c r="H28" s="36"/>
      <c r="I28" s="30">
        <v>1992.3103799895064</v>
      </c>
      <c r="J28" s="38">
        <v>29884.655699842595</v>
      </c>
      <c r="K28" s="103">
        <v>15</v>
      </c>
      <c r="L28" s="74"/>
      <c r="M28" s="30" t="s">
        <v>11</v>
      </c>
      <c r="N28" s="38" t="s">
        <v>11</v>
      </c>
      <c r="O28" s="38" t="s">
        <v>11</v>
      </c>
      <c r="P28" s="74"/>
      <c r="Q28" s="30">
        <f t="shared" ref="Q28:R31" si="1">+E28+I28</f>
        <v>4948.6051349608342</v>
      </c>
      <c r="R28" s="38">
        <f t="shared" si="1"/>
        <v>74229.077024412501</v>
      </c>
    </row>
    <row r="29" spans="1:18" x14ac:dyDescent="0.25">
      <c r="A29" s="153">
        <v>42005</v>
      </c>
      <c r="B29" s="18" t="s">
        <v>57</v>
      </c>
      <c r="C29" s="62">
        <v>0.2</v>
      </c>
      <c r="D29" s="152">
        <v>0.66736111111111107</v>
      </c>
      <c r="E29" s="30">
        <v>3455.8474017668996</v>
      </c>
      <c r="F29" s="38">
        <v>51837.711026503501</v>
      </c>
      <c r="G29" s="103">
        <v>15.000000000000002</v>
      </c>
      <c r="H29" s="36"/>
      <c r="I29" s="30">
        <v>2947.4411495022296</v>
      </c>
      <c r="J29" s="38">
        <v>44211.617242533437</v>
      </c>
      <c r="K29" s="103">
        <v>14.999999999999998</v>
      </c>
      <c r="L29" s="36"/>
      <c r="M29" s="30" t="s">
        <v>11</v>
      </c>
      <c r="N29" s="38" t="s">
        <v>11</v>
      </c>
      <c r="O29" s="38" t="s">
        <v>11</v>
      </c>
      <c r="P29" s="36"/>
      <c r="Q29" s="30">
        <f t="shared" si="1"/>
        <v>6403.2885512691291</v>
      </c>
      <c r="R29" s="38">
        <f t="shared" si="1"/>
        <v>96049.328269036938</v>
      </c>
    </row>
    <row r="30" spans="1:18" x14ac:dyDescent="0.25">
      <c r="A30" s="153">
        <v>42006</v>
      </c>
      <c r="B30" s="18" t="s">
        <v>59</v>
      </c>
      <c r="C30" s="62">
        <v>-0.2</v>
      </c>
      <c r="D30" s="152">
        <v>0.7006944444444444</v>
      </c>
      <c r="E30" s="30">
        <v>2410.8541485573114</v>
      </c>
      <c r="F30" s="38">
        <v>33253.16066975602</v>
      </c>
      <c r="G30" s="103">
        <v>13.793103448275863</v>
      </c>
      <c r="H30" s="36"/>
      <c r="I30" s="30">
        <v>1198.2597506643551</v>
      </c>
      <c r="J30" s="38">
        <v>17958.533955469629</v>
      </c>
      <c r="K30" s="103">
        <v>14.987179487179487</v>
      </c>
      <c r="L30" s="36"/>
      <c r="M30" s="30" t="s">
        <v>11</v>
      </c>
      <c r="N30" s="38" t="s">
        <v>11</v>
      </c>
      <c r="O30" s="38" t="s">
        <v>11</v>
      </c>
      <c r="P30" s="36"/>
      <c r="Q30" s="30">
        <f t="shared" si="1"/>
        <v>3609.1138992216665</v>
      </c>
      <c r="R30" s="38">
        <f t="shared" si="1"/>
        <v>51211.694625225646</v>
      </c>
    </row>
    <row r="31" spans="1:18" x14ac:dyDescent="0.25">
      <c r="A31" s="153">
        <v>41642</v>
      </c>
      <c r="B31" s="18" t="s">
        <v>58</v>
      </c>
      <c r="C31" s="62">
        <v>-0.5</v>
      </c>
      <c r="D31" s="152">
        <v>0.73055555555555562</v>
      </c>
      <c r="E31" s="30">
        <v>3146.092369996888</v>
      </c>
      <c r="F31" s="38">
        <v>47280.007870234927</v>
      </c>
      <c r="G31" s="103">
        <v>15.028169014084508</v>
      </c>
      <c r="H31" s="36"/>
      <c r="I31" s="30">
        <v>1581.3260055603935</v>
      </c>
      <c r="J31" s="38">
        <v>23688.88369114001</v>
      </c>
      <c r="K31" s="103">
        <v>14.980392156862743</v>
      </c>
      <c r="L31" s="36"/>
      <c r="M31" s="30" t="s">
        <v>11</v>
      </c>
      <c r="N31" s="38" t="s">
        <v>11</v>
      </c>
      <c r="O31" s="38" t="s">
        <v>11</v>
      </c>
      <c r="P31" s="36"/>
      <c r="Q31" s="30">
        <f t="shared" si="1"/>
        <v>4727.4183755572813</v>
      </c>
      <c r="R31" s="38">
        <f t="shared" si="1"/>
        <v>70968.891561374941</v>
      </c>
    </row>
    <row r="32" spans="1:18" x14ac:dyDescent="0.25">
      <c r="A32" s="153">
        <v>41643</v>
      </c>
      <c r="B32" s="18" t="s">
        <v>60</v>
      </c>
      <c r="C32" s="62">
        <v>-0.05</v>
      </c>
      <c r="D32" s="152">
        <v>0.7583333333333333</v>
      </c>
      <c r="E32" s="30" t="s">
        <v>11</v>
      </c>
      <c r="F32" s="38" t="s">
        <v>11</v>
      </c>
      <c r="G32" s="103" t="s">
        <v>11</v>
      </c>
      <c r="H32" s="36"/>
      <c r="I32" s="30">
        <v>97.88867042751744</v>
      </c>
      <c r="J32" s="38">
        <v>391.55468171006976</v>
      </c>
      <c r="K32" s="103">
        <v>4</v>
      </c>
      <c r="L32" s="36"/>
      <c r="M32" s="30" t="s">
        <v>11</v>
      </c>
      <c r="N32" s="38" t="s">
        <v>11</v>
      </c>
      <c r="O32" s="38" t="s">
        <v>11</v>
      </c>
      <c r="P32" s="36"/>
      <c r="Q32" s="30">
        <f>+I32</f>
        <v>97.88867042751744</v>
      </c>
      <c r="R32" s="38">
        <f>+J32</f>
        <v>391.55468171006976</v>
      </c>
    </row>
    <row r="33" spans="1:18" x14ac:dyDescent="0.25">
      <c r="A33" s="225"/>
      <c r="B33" s="225"/>
      <c r="C33" s="225"/>
      <c r="D33" s="226"/>
      <c r="E33" s="34">
        <f>SUM(E28:E32)</f>
        <v>11969.088675292427</v>
      </c>
      <c r="F33" s="35">
        <f>SUM(F28:F32)</f>
        <v>176715.30089106434</v>
      </c>
      <c r="G33" s="104">
        <f>+F33/E33</f>
        <v>14.764307098489004</v>
      </c>
      <c r="H33" s="33"/>
      <c r="I33" s="34">
        <f>SUM(I28:I32)</f>
        <v>7817.2259561440014</v>
      </c>
      <c r="J33" s="35">
        <f>SUM(J28:J32)</f>
        <v>116135.24527069574</v>
      </c>
      <c r="K33" s="104">
        <f>+J33/I33</f>
        <v>14.856324471396206</v>
      </c>
      <c r="L33" s="33"/>
      <c r="M33" s="34"/>
      <c r="N33" s="35"/>
      <c r="O33" s="35"/>
      <c r="P33" s="33"/>
      <c r="Q33" s="34">
        <f>SUM(Q28:Q32)</f>
        <v>19786.314631436428</v>
      </c>
      <c r="R33" s="35">
        <f>SUM(R28:R32)</f>
        <v>292850.54616176011</v>
      </c>
    </row>
    <row r="34" spans="1:18" x14ac:dyDescent="0.25">
      <c r="A34" s="153">
        <v>42021</v>
      </c>
      <c r="B34" s="18">
        <v>42021</v>
      </c>
      <c r="C34" s="28">
        <v>0.1</v>
      </c>
      <c r="D34" s="29">
        <v>0.67708333333333337</v>
      </c>
      <c r="E34" s="30">
        <v>1990.4826704758302</v>
      </c>
      <c r="F34" s="38">
        <v>23136.129741245037</v>
      </c>
      <c r="G34" s="103">
        <v>11.623376623376622</v>
      </c>
      <c r="H34" s="36"/>
      <c r="I34" s="30">
        <v>1277.5845439849681</v>
      </c>
      <c r="J34" s="38">
        <v>17233.195959975012</v>
      </c>
      <c r="K34" s="103">
        <v>13.488888888888887</v>
      </c>
      <c r="L34" s="36"/>
      <c r="M34" s="30" t="s">
        <v>11</v>
      </c>
      <c r="N34" s="38" t="s">
        <v>11</v>
      </c>
      <c r="O34" s="38" t="s">
        <v>11</v>
      </c>
      <c r="P34" s="36"/>
      <c r="Q34" s="30">
        <f>+E34+I34</f>
        <v>3268.0672144607984</v>
      </c>
      <c r="R34" s="38">
        <f>+F34+J34</f>
        <v>40369.325701220048</v>
      </c>
    </row>
    <row r="35" spans="1:18" x14ac:dyDescent="0.25">
      <c r="A35" s="153">
        <v>42022</v>
      </c>
      <c r="B35" s="18">
        <v>42022</v>
      </c>
      <c r="C35" s="28">
        <v>-0.6</v>
      </c>
      <c r="D35" s="29">
        <v>0.70972222222222225</v>
      </c>
      <c r="E35" s="30" t="s">
        <v>11</v>
      </c>
      <c r="F35" s="38" t="s">
        <v>11</v>
      </c>
      <c r="G35" s="103" t="s">
        <v>11</v>
      </c>
      <c r="H35" s="36"/>
      <c r="I35" s="30">
        <v>2382.1223015858241</v>
      </c>
      <c r="J35" s="38">
        <v>29732.415393867508</v>
      </c>
      <c r="K35" s="103">
        <v>12.481481481481481</v>
      </c>
      <c r="L35" s="36"/>
      <c r="M35" s="30" t="s">
        <v>11</v>
      </c>
      <c r="N35" s="38" t="s">
        <v>11</v>
      </c>
      <c r="O35" s="38" t="s">
        <v>11</v>
      </c>
      <c r="P35" s="36"/>
      <c r="Q35" s="30">
        <f>+I35</f>
        <v>2382.1223015858241</v>
      </c>
      <c r="R35" s="38">
        <f>+J35</f>
        <v>29732.415393867508</v>
      </c>
    </row>
    <row r="36" spans="1:18" x14ac:dyDescent="0.25">
      <c r="A36" s="153">
        <v>42027</v>
      </c>
      <c r="B36" s="18">
        <v>42027</v>
      </c>
      <c r="C36" s="28">
        <v>-0.6</v>
      </c>
      <c r="D36" s="29">
        <v>0.86111111111111116</v>
      </c>
      <c r="E36" s="30" t="s">
        <v>11</v>
      </c>
      <c r="F36" s="38" t="s">
        <v>11</v>
      </c>
      <c r="G36" s="103" t="s">
        <v>11</v>
      </c>
      <c r="H36" s="36"/>
      <c r="I36" s="30">
        <v>188.7508998625687</v>
      </c>
      <c r="J36" s="38">
        <v>578.04963082911661</v>
      </c>
      <c r="K36" s="103">
        <v>3.0625</v>
      </c>
      <c r="L36" s="36"/>
      <c r="M36" s="30" t="s">
        <v>11</v>
      </c>
      <c r="N36" s="38" t="s">
        <v>11</v>
      </c>
      <c r="O36" s="38" t="s">
        <v>11</v>
      </c>
      <c r="P36" s="36"/>
      <c r="Q36" s="30">
        <f>+I36</f>
        <v>188.7508998625687</v>
      </c>
      <c r="R36" s="38">
        <f>+J36</f>
        <v>578.04963082911661</v>
      </c>
    </row>
    <row r="37" spans="1:18" x14ac:dyDescent="0.25">
      <c r="A37" s="153">
        <v>42028</v>
      </c>
      <c r="B37" s="18">
        <v>42028</v>
      </c>
      <c r="C37" s="28">
        <v>0.1</v>
      </c>
      <c r="D37" s="29">
        <v>0.89236111111111116</v>
      </c>
      <c r="E37" s="30">
        <v>413.86003226044198</v>
      </c>
      <c r="F37" s="38">
        <v>6207.9004839066311</v>
      </c>
      <c r="G37" s="103">
        <v>15.000000000000004</v>
      </c>
      <c r="H37" s="36"/>
      <c r="I37" s="30">
        <v>398.46207599790125</v>
      </c>
      <c r="J37" s="38">
        <v>5976.9311399685184</v>
      </c>
      <c r="K37" s="103">
        <v>15</v>
      </c>
      <c r="L37" s="36"/>
      <c r="M37" s="30" t="s">
        <v>11</v>
      </c>
      <c r="N37" s="38" t="s">
        <v>11</v>
      </c>
      <c r="O37" s="38" t="s">
        <v>11</v>
      </c>
      <c r="P37" s="36"/>
      <c r="Q37" s="30">
        <f>+E37+I37</f>
        <v>812.32210825834318</v>
      </c>
      <c r="R37" s="38">
        <f>+F37+J37</f>
        <v>12184.83162387515</v>
      </c>
    </row>
    <row r="38" spans="1:18" x14ac:dyDescent="0.25">
      <c r="A38" s="225"/>
      <c r="B38" s="225"/>
      <c r="C38" s="225"/>
      <c r="D38" s="226"/>
      <c r="E38" s="34">
        <f>SUM(E34:E37)</f>
        <v>2404.3427027362723</v>
      </c>
      <c r="F38" s="35">
        <f>SUM(F34:F37)</f>
        <v>29344.03022515167</v>
      </c>
      <c r="G38" s="104">
        <f>+F38/E38</f>
        <v>12.204595539461398</v>
      </c>
      <c r="H38" s="33"/>
      <c r="I38" s="34">
        <f>SUM(I34:I37)</f>
        <v>4246.9198214312619</v>
      </c>
      <c r="J38" s="35">
        <f>SUM(J34:J37)</f>
        <v>53520.592124640156</v>
      </c>
      <c r="K38" s="104">
        <f>+J38/I38</f>
        <v>12.602213927976415</v>
      </c>
      <c r="L38" s="33"/>
      <c r="M38" s="34"/>
      <c r="N38" s="35"/>
      <c r="O38" s="35"/>
      <c r="P38" s="33"/>
      <c r="Q38" s="34">
        <f>SUM(Q34:Q37)</f>
        <v>6651.262524167535</v>
      </c>
      <c r="R38" s="35">
        <f>SUM(R34:R37)</f>
        <v>82864.622349791811</v>
      </c>
    </row>
    <row r="39" spans="1:18" x14ac:dyDescent="0.25">
      <c r="A39" s="153">
        <v>42034</v>
      </c>
      <c r="B39" s="18">
        <v>42034</v>
      </c>
      <c r="C39" s="28">
        <v>0.5</v>
      </c>
      <c r="D39" s="29">
        <v>0.65486111111111112</v>
      </c>
      <c r="E39" s="30" t="s">
        <v>11</v>
      </c>
      <c r="F39" s="38" t="s">
        <v>11</v>
      </c>
      <c r="G39" s="103" t="s">
        <v>11</v>
      </c>
      <c r="H39" s="36"/>
      <c r="I39" s="30">
        <v>2439.2317143500291</v>
      </c>
      <c r="J39" s="38">
        <v>36714.642872889228</v>
      </c>
      <c r="K39" s="103">
        <v>15.051724137931034</v>
      </c>
      <c r="L39" s="36"/>
      <c r="M39" s="30" t="s">
        <v>11</v>
      </c>
      <c r="N39" s="38" t="s">
        <v>11</v>
      </c>
      <c r="O39" s="38" t="s">
        <v>11</v>
      </c>
      <c r="P39" s="36"/>
      <c r="Q39" s="30">
        <f>+I39</f>
        <v>2439.2317143500291</v>
      </c>
      <c r="R39" s="38">
        <f>+J39</f>
        <v>36714.642872889228</v>
      </c>
    </row>
    <row r="40" spans="1:18" x14ac:dyDescent="0.25">
      <c r="A40" s="153">
        <v>42035</v>
      </c>
      <c r="B40" s="18">
        <v>42035</v>
      </c>
      <c r="C40" s="28">
        <v>0.2</v>
      </c>
      <c r="D40" s="29">
        <v>0.68888888888888888</v>
      </c>
      <c r="E40" s="30">
        <v>3379.9945470724274</v>
      </c>
      <c r="F40" s="38">
        <v>50699.918206086426</v>
      </c>
      <c r="G40" s="103">
        <v>15.000000000000004</v>
      </c>
      <c r="H40" s="36"/>
      <c r="I40" s="30">
        <v>2745.0018809129447</v>
      </c>
      <c r="J40" s="38">
        <v>41175.028213694175</v>
      </c>
      <c r="K40" s="103">
        <v>15.000000000000002</v>
      </c>
      <c r="L40" s="36"/>
      <c r="M40" s="30" t="s">
        <v>11</v>
      </c>
      <c r="N40" s="38" t="s">
        <v>11</v>
      </c>
      <c r="O40" s="38" t="s">
        <v>11</v>
      </c>
      <c r="P40" s="36"/>
      <c r="Q40" s="30">
        <f>+E40+I40</f>
        <v>6124.9964279853721</v>
      </c>
      <c r="R40" s="38">
        <f>+F40+J40</f>
        <v>91874.946419780608</v>
      </c>
    </row>
    <row r="41" spans="1:18" x14ac:dyDescent="0.25">
      <c r="A41" s="153">
        <v>42036</v>
      </c>
      <c r="B41" s="18">
        <v>42036</v>
      </c>
      <c r="C41" s="28">
        <v>0</v>
      </c>
      <c r="D41" s="29">
        <v>0.71875</v>
      </c>
      <c r="E41" s="30" t="s">
        <v>11</v>
      </c>
      <c r="F41" s="38" t="s">
        <v>11</v>
      </c>
      <c r="G41" s="103" t="s">
        <v>11</v>
      </c>
      <c r="H41" s="36"/>
      <c r="I41" s="30">
        <v>238.05014571606984</v>
      </c>
      <c r="J41" s="38">
        <v>2971.2184854190941</v>
      </c>
      <c r="K41" s="103">
        <v>12.481481481481483</v>
      </c>
      <c r="L41" s="36"/>
      <c r="M41" s="30" t="s">
        <v>11</v>
      </c>
      <c r="N41" s="38" t="s">
        <v>11</v>
      </c>
      <c r="O41" s="38" t="s">
        <v>11</v>
      </c>
      <c r="P41" s="36"/>
      <c r="Q41" s="30">
        <f>+I41</f>
        <v>238.05014571606984</v>
      </c>
      <c r="R41" s="38">
        <f>+J41</f>
        <v>2971.2184854190941</v>
      </c>
    </row>
    <row r="42" spans="1:18" x14ac:dyDescent="0.25">
      <c r="A42" s="225"/>
      <c r="B42" s="225"/>
      <c r="C42" s="225"/>
      <c r="D42" s="226"/>
      <c r="E42" s="34">
        <f>SUM(E40:E41)</f>
        <v>3379.9945470724274</v>
      </c>
      <c r="F42" s="35">
        <f>SUM(F40:F41)</f>
        <v>50699.918206086426</v>
      </c>
      <c r="G42" s="104">
        <f>+F42/E42</f>
        <v>15.000000000000004</v>
      </c>
      <c r="H42" s="33"/>
      <c r="I42" s="34">
        <f>SUM(I39:I41)</f>
        <v>5422.2837409790436</v>
      </c>
      <c r="J42" s="35">
        <f>SUM(J39:J41)</f>
        <v>80860.889572002503</v>
      </c>
      <c r="K42" s="104">
        <f>+J42/I42</f>
        <v>14.912699783837265</v>
      </c>
      <c r="L42" s="33"/>
      <c r="M42" s="34"/>
      <c r="N42" s="35"/>
      <c r="O42" s="35"/>
      <c r="P42" s="33"/>
      <c r="Q42" s="34">
        <f>SUM(Q39:Q41)</f>
        <v>8802.2782880514715</v>
      </c>
      <c r="R42" s="35">
        <f>SUM(R39:R41)</f>
        <v>131560.80777808893</v>
      </c>
    </row>
    <row r="43" spans="1:18" x14ac:dyDescent="0.25">
      <c r="A43" s="153">
        <v>42055</v>
      </c>
      <c r="B43" s="18">
        <v>42055</v>
      </c>
      <c r="C43" s="28">
        <v>-0.7</v>
      </c>
      <c r="D43" s="29">
        <v>0.81458333333333333</v>
      </c>
      <c r="E43" s="30" t="s">
        <v>11</v>
      </c>
      <c r="F43" s="38" t="s">
        <v>11</v>
      </c>
      <c r="G43" s="103" t="s">
        <v>11</v>
      </c>
      <c r="H43" s="36"/>
      <c r="I43" s="30">
        <v>1885.4993913937292</v>
      </c>
      <c r="J43" s="38">
        <v>28282.490870905938</v>
      </c>
      <c r="K43" s="103">
        <v>15</v>
      </c>
      <c r="L43" s="36"/>
      <c r="M43" s="30" t="s">
        <v>11</v>
      </c>
      <c r="N43" s="38" t="s">
        <v>11</v>
      </c>
      <c r="O43" s="38" t="s">
        <v>11</v>
      </c>
      <c r="P43" s="36"/>
      <c r="Q43" s="30">
        <f>+I43</f>
        <v>1885.4993913937292</v>
      </c>
      <c r="R43" s="38">
        <f>+J43</f>
        <v>28282.490870905938</v>
      </c>
    </row>
    <row r="44" spans="1:18" x14ac:dyDescent="0.25">
      <c r="A44" s="153">
        <v>42056</v>
      </c>
      <c r="B44" s="18">
        <v>42056</v>
      </c>
      <c r="C44" s="28">
        <v>-0.1</v>
      </c>
      <c r="D44" s="29">
        <v>0.84444444444444444</v>
      </c>
      <c r="E44" s="30">
        <v>2960.4092193616189</v>
      </c>
      <c r="F44" s="38">
        <v>43528.980003206023</v>
      </c>
      <c r="G44" s="103">
        <v>14.703703703703702</v>
      </c>
      <c r="H44" s="36"/>
      <c r="I44" s="30">
        <v>1331.1065472882369</v>
      </c>
      <c r="J44" s="38">
        <v>19966.598209323554</v>
      </c>
      <c r="K44" s="103">
        <v>15</v>
      </c>
      <c r="L44" s="36"/>
      <c r="M44" s="30" t="s">
        <v>11</v>
      </c>
      <c r="N44" s="38" t="s">
        <v>11</v>
      </c>
      <c r="O44" s="38" t="s">
        <v>11</v>
      </c>
      <c r="P44" s="36"/>
      <c r="Q44" s="30">
        <f>+E44+I44</f>
        <v>4291.5157666498562</v>
      </c>
      <c r="R44" s="38">
        <f>+F44+J44</f>
        <v>63495.578212529581</v>
      </c>
    </row>
    <row r="45" spans="1:18" x14ac:dyDescent="0.25">
      <c r="A45" s="153">
        <v>42057</v>
      </c>
      <c r="B45" s="18">
        <v>42057</v>
      </c>
      <c r="C45" s="28">
        <v>0.6</v>
      </c>
      <c r="D45" s="29">
        <v>0.875</v>
      </c>
      <c r="E45" s="30" t="s">
        <v>11</v>
      </c>
      <c r="F45" s="38" t="s">
        <v>11</v>
      </c>
      <c r="G45" s="103" t="s">
        <v>11</v>
      </c>
      <c r="H45" s="36"/>
      <c r="I45" s="30">
        <v>349.52813684026427</v>
      </c>
      <c r="J45" s="38">
        <v>5242.9220526039644</v>
      </c>
      <c r="K45" s="103">
        <v>15.000000000000002</v>
      </c>
      <c r="L45" s="36"/>
      <c r="M45" s="30" t="s">
        <v>11</v>
      </c>
      <c r="N45" s="38" t="s">
        <v>11</v>
      </c>
      <c r="O45" s="38" t="s">
        <v>11</v>
      </c>
      <c r="P45" s="36"/>
      <c r="Q45" s="30">
        <f>+I45</f>
        <v>349.52813684026427</v>
      </c>
      <c r="R45" s="38">
        <f>+J45</f>
        <v>5242.9220526039644</v>
      </c>
    </row>
    <row r="46" spans="1:18" x14ac:dyDescent="0.25">
      <c r="A46" s="225"/>
      <c r="B46" s="225"/>
      <c r="C46" s="225"/>
      <c r="D46" s="226"/>
      <c r="E46" s="34">
        <f>SUM(E44:E45)</f>
        <v>2960.4092193616189</v>
      </c>
      <c r="F46" s="35">
        <f>SUM(F44:F45)</f>
        <v>43528.980003206023</v>
      </c>
      <c r="G46" s="104">
        <f>+F46/E46</f>
        <v>14.703703703703702</v>
      </c>
      <c r="H46" s="33"/>
      <c r="I46" s="34">
        <f>SUM(I43:I45)</f>
        <v>3566.1340755222304</v>
      </c>
      <c r="J46" s="35">
        <f>SUM(J43:J45)</f>
        <v>53492.011132833453</v>
      </c>
      <c r="K46" s="104">
        <f>+J46/I46</f>
        <v>14.999999999999998</v>
      </c>
      <c r="L46" s="33"/>
      <c r="M46" s="34"/>
      <c r="N46" s="35"/>
      <c r="O46" s="35"/>
      <c r="P46" s="33"/>
      <c r="Q46" s="34">
        <f>SUM(Q43:Q45)</f>
        <v>6526.5432948838488</v>
      </c>
      <c r="R46" s="35">
        <f>SUM(R43:R45)</f>
        <v>97020.991136039491</v>
      </c>
    </row>
    <row r="47" spans="1:18" x14ac:dyDescent="0.25">
      <c r="A47" s="153">
        <v>42083</v>
      </c>
      <c r="B47" s="18">
        <v>42083</v>
      </c>
      <c r="C47" s="28">
        <v>-0.4</v>
      </c>
      <c r="D47" s="29">
        <v>0.80972222222222223</v>
      </c>
      <c r="E47" s="30">
        <v>4545.0958092646688</v>
      </c>
      <c r="F47" s="38">
        <v>62814.245453882497</v>
      </c>
      <c r="G47" s="36">
        <v>13.820224719101123</v>
      </c>
      <c r="H47" s="36"/>
      <c r="I47" s="30">
        <v>2995.7330013225996</v>
      </c>
      <c r="J47" s="38">
        <v>39011.100861667634</v>
      </c>
      <c r="K47" s="103">
        <v>13.022222222222224</v>
      </c>
      <c r="L47" s="36"/>
      <c r="M47" s="30" t="s">
        <v>11</v>
      </c>
      <c r="N47" s="38" t="s">
        <v>11</v>
      </c>
      <c r="O47" s="38" t="s">
        <v>11</v>
      </c>
      <c r="P47" s="36"/>
      <c r="Q47" s="30">
        <f t="shared" ref="Q47:R49" si="2">+E47+I47</f>
        <v>7540.8288105872689</v>
      </c>
      <c r="R47" s="38">
        <f t="shared" si="2"/>
        <v>101825.34631555012</v>
      </c>
    </row>
    <row r="48" spans="1:18" x14ac:dyDescent="0.25">
      <c r="A48" s="153">
        <v>42084</v>
      </c>
      <c r="B48" s="18">
        <v>42084</v>
      </c>
      <c r="C48" s="28">
        <v>-0.5</v>
      </c>
      <c r="D48" s="29">
        <v>0.3298611111111111</v>
      </c>
      <c r="E48" s="30">
        <v>7523.6934812031277</v>
      </c>
      <c r="F48" s="38">
        <v>104686.82072416926</v>
      </c>
      <c r="G48" s="36">
        <v>13.914285714285718</v>
      </c>
      <c r="H48" s="36"/>
      <c r="I48" s="30">
        <v>3139.9977166331578</v>
      </c>
      <c r="J48" s="38">
        <v>47099.965749497365</v>
      </c>
      <c r="K48" s="103">
        <v>15</v>
      </c>
      <c r="L48" s="36"/>
      <c r="M48" s="30" t="s">
        <v>11</v>
      </c>
      <c r="N48" s="38" t="s">
        <v>11</v>
      </c>
      <c r="O48" s="38" t="s">
        <v>11</v>
      </c>
      <c r="P48" s="36"/>
      <c r="Q48" s="30">
        <f t="shared" si="2"/>
        <v>10663.691197836286</v>
      </c>
      <c r="R48" s="38">
        <f t="shared" si="2"/>
        <v>151786.78647366661</v>
      </c>
    </row>
    <row r="49" spans="1:18" x14ac:dyDescent="0.25">
      <c r="A49" s="153">
        <v>42085</v>
      </c>
      <c r="B49" s="18">
        <v>42085</v>
      </c>
      <c r="C49" s="28">
        <v>-0.7</v>
      </c>
      <c r="D49" s="29">
        <v>0.36249999999999999</v>
      </c>
      <c r="E49" s="30">
        <v>4417.4898155849742</v>
      </c>
      <c r="F49" s="38">
        <v>64495.351307540623</v>
      </c>
      <c r="G49" s="36">
        <v>14.600000000000001</v>
      </c>
      <c r="H49" s="36"/>
      <c r="I49" s="30">
        <v>3096.8318570683919</v>
      </c>
      <c r="J49" s="38">
        <v>45703.244342219004</v>
      </c>
      <c r="K49" s="103">
        <v>14.75806451612903</v>
      </c>
      <c r="L49" s="36"/>
      <c r="M49" s="30" t="s">
        <v>11</v>
      </c>
      <c r="N49" s="38" t="s">
        <v>11</v>
      </c>
      <c r="O49" s="38" t="s">
        <v>11</v>
      </c>
      <c r="P49" s="36"/>
      <c r="Q49" s="30">
        <f t="shared" si="2"/>
        <v>7514.3216726533665</v>
      </c>
      <c r="R49" s="38">
        <f t="shared" si="2"/>
        <v>110198.59564975963</v>
      </c>
    </row>
    <row r="50" spans="1:18" x14ac:dyDescent="0.25">
      <c r="A50" s="225"/>
      <c r="B50" s="225"/>
      <c r="C50" s="225"/>
      <c r="D50" s="226"/>
      <c r="E50" s="34">
        <f>SUM(E47:E49)</f>
        <v>16486.279106052771</v>
      </c>
      <c r="F50" s="35">
        <f>SUM(F47:F49)</f>
        <v>231996.41748559236</v>
      </c>
      <c r="G50" s="104">
        <f>+F50/E50</f>
        <v>14.072090857688877</v>
      </c>
      <c r="H50" s="33"/>
      <c r="I50" s="34">
        <f>SUM(I47:I49)</f>
        <v>9232.5625750241488</v>
      </c>
      <c r="J50" s="35">
        <f>SUM(J47:J49)</f>
        <v>131814.310953384</v>
      </c>
      <c r="K50" s="104">
        <f>+J50/I50</f>
        <v>14.277109944531215</v>
      </c>
      <c r="L50" s="33"/>
      <c r="M50" s="34"/>
      <c r="N50" s="35"/>
      <c r="O50" s="35"/>
      <c r="P50" s="33"/>
      <c r="Q50" s="34">
        <f>SUM(Q47:Q49)</f>
        <v>25718.841681076919</v>
      </c>
      <c r="R50" s="35">
        <f>SUM(R47:R49)</f>
        <v>363810.72843897634</v>
      </c>
    </row>
    <row r="51" spans="1:18" x14ac:dyDescent="0.25">
      <c r="A51" s="153">
        <v>42098</v>
      </c>
      <c r="B51" s="18">
        <v>42098</v>
      </c>
      <c r="C51" s="28">
        <v>0.6</v>
      </c>
      <c r="D51" s="29">
        <v>0.30763888888888891</v>
      </c>
      <c r="E51" s="30">
        <v>2097.0112966547676</v>
      </c>
      <c r="F51" s="38">
        <v>15847.905045210624</v>
      </c>
      <c r="G51" s="103">
        <v>7.5573770491803289</v>
      </c>
      <c r="H51" s="36"/>
      <c r="I51" s="30">
        <v>1463.0127752944372</v>
      </c>
      <c r="J51" s="38">
        <v>19426.890950631052</v>
      </c>
      <c r="K51" s="103">
        <v>13.278688524590164</v>
      </c>
      <c r="L51" s="36"/>
      <c r="M51" s="30" t="s">
        <v>11</v>
      </c>
      <c r="N51" s="38" t="s">
        <v>11</v>
      </c>
      <c r="O51" s="38" t="s">
        <v>11</v>
      </c>
      <c r="P51" s="36"/>
      <c r="Q51" s="30">
        <f t="shared" ref="Q51:Q52" si="3">+E51+I51</f>
        <v>3560.0240719492049</v>
      </c>
      <c r="R51" s="38">
        <f t="shared" ref="R51:R52" si="4">+F51+J51</f>
        <v>35274.795995841676</v>
      </c>
    </row>
    <row r="52" spans="1:18" x14ac:dyDescent="0.25">
      <c r="A52" s="153">
        <v>42099</v>
      </c>
      <c r="B52" s="18">
        <v>42099</v>
      </c>
      <c r="C52" s="28">
        <v>0.3</v>
      </c>
      <c r="D52" s="29">
        <v>0.33124999999999999</v>
      </c>
      <c r="E52" s="191">
        <v>1432.2624288903507</v>
      </c>
      <c r="F52" s="192">
        <v>21534.191255421589</v>
      </c>
      <c r="G52" s="193">
        <v>15.035087719298245</v>
      </c>
      <c r="H52" s="194"/>
      <c r="I52" s="30">
        <v>1222.9439015280407</v>
      </c>
      <c r="J52" s="38">
        <v>18124.655771364294</v>
      </c>
      <c r="K52" s="103">
        <v>14.820512820512819</v>
      </c>
      <c r="L52" s="36"/>
      <c r="M52" s="30" t="s">
        <v>11</v>
      </c>
      <c r="N52" s="38" t="s">
        <v>11</v>
      </c>
      <c r="O52" s="38" t="s">
        <v>11</v>
      </c>
      <c r="P52" s="36"/>
      <c r="Q52" s="30">
        <f t="shared" si="3"/>
        <v>2655.2063304183912</v>
      </c>
      <c r="R52" s="38">
        <f t="shared" si="4"/>
        <v>39658.847026785879</v>
      </c>
    </row>
    <row r="53" spans="1:18" x14ac:dyDescent="0.25">
      <c r="A53" s="225"/>
      <c r="B53" s="225"/>
      <c r="C53" s="225"/>
      <c r="D53" s="226"/>
      <c r="E53" s="196">
        <f>SUM(E51:E52)</f>
        <v>3529.2737255451184</v>
      </c>
      <c r="F53" s="189">
        <f>SUM(F51:F52)</f>
        <v>37382.096300632213</v>
      </c>
      <c r="G53" s="190">
        <f>+F53/E53</f>
        <v>10.592008216891228</v>
      </c>
      <c r="H53" s="197"/>
      <c r="I53" s="198">
        <f>SUM(I51:I52)</f>
        <v>2685.9566768224777</v>
      </c>
      <c r="J53" s="199">
        <f>SUM(J51:J52)</f>
        <v>37551.546721995343</v>
      </c>
      <c r="K53" s="200">
        <f>+J53/I53</f>
        <v>13.980697099857665</v>
      </c>
      <c r="L53" s="33"/>
      <c r="M53" s="34"/>
      <c r="N53" s="35"/>
      <c r="O53" s="35"/>
      <c r="P53" s="33"/>
      <c r="Q53" s="34">
        <f>SUM(Q51:Q52)</f>
        <v>6215.2304023675961</v>
      </c>
      <c r="R53" s="199">
        <f>SUM(R51:R52)</f>
        <v>74933.643022627555</v>
      </c>
    </row>
    <row r="54" spans="1:18" x14ac:dyDescent="0.25">
      <c r="A54" s="188">
        <v>42111</v>
      </c>
      <c r="B54" s="18">
        <v>42111</v>
      </c>
      <c r="C54" s="13">
        <v>-0.2</v>
      </c>
      <c r="D54" s="112">
        <v>0.25208333333333333</v>
      </c>
      <c r="E54" s="30" t="str">
        <f>'Summary Table'!K110</f>
        <v>CLOSED</v>
      </c>
      <c r="F54" s="38" t="str">
        <f>'Summary Table'!L110</f>
        <v>CLOSED</v>
      </c>
      <c r="G54" s="36" t="s">
        <v>11</v>
      </c>
      <c r="H54" s="36"/>
      <c r="I54" s="30">
        <f>'Summary Table'!N110</f>
        <v>883.12565107172679</v>
      </c>
      <c r="J54" s="38">
        <f>'Summary Table'!O110</f>
        <v>12235.304474848288</v>
      </c>
      <c r="K54" s="103">
        <f>'Summary Table'!P110</f>
        <v>13.854545454545455</v>
      </c>
      <c r="L54" s="36"/>
      <c r="M54" s="30" t="s">
        <v>11</v>
      </c>
      <c r="N54" s="38" t="s">
        <v>11</v>
      </c>
      <c r="O54" s="38" t="s">
        <v>11</v>
      </c>
      <c r="P54" s="36"/>
      <c r="Q54" s="30">
        <f>+I54</f>
        <v>883.12565107172679</v>
      </c>
      <c r="R54" s="38">
        <f>+J54</f>
        <v>12235.304474848288</v>
      </c>
    </row>
    <row r="55" spans="1:18" x14ac:dyDescent="0.25">
      <c r="A55" s="188">
        <v>42112</v>
      </c>
      <c r="B55" s="18">
        <v>42112</v>
      </c>
      <c r="C55" s="13">
        <v>-0.9</v>
      </c>
      <c r="D55" s="112">
        <v>0.28611111111111109</v>
      </c>
      <c r="E55" s="30">
        <f>'Summary Table'!K111</f>
        <v>4043.9921466158548</v>
      </c>
      <c r="F55" s="38">
        <f>'Summary Table'!L111</f>
        <v>60659.882199237822</v>
      </c>
      <c r="G55" s="36">
        <v>15</v>
      </c>
      <c r="H55" s="36"/>
      <c r="I55" s="30">
        <f>'Summary Table'!N111</f>
        <v>3267.6744699779319</v>
      </c>
      <c r="J55" s="38">
        <f>'Summary Table'!O111</f>
        <v>49015.117049668981</v>
      </c>
      <c r="K55" s="103">
        <f>'Summary Table'!P111</f>
        <v>15</v>
      </c>
      <c r="L55" s="36"/>
      <c r="M55" s="30" t="s">
        <v>11</v>
      </c>
      <c r="N55" s="38" t="s">
        <v>11</v>
      </c>
      <c r="O55" s="38" t="s">
        <v>11</v>
      </c>
      <c r="P55" s="36"/>
      <c r="Q55" s="30">
        <f>+E55+I55</f>
        <v>7311.6666165937868</v>
      </c>
      <c r="R55" s="38">
        <f>+F55+J55</f>
        <v>109674.9992489068</v>
      </c>
    </row>
    <row r="56" spans="1:18" x14ac:dyDescent="0.25">
      <c r="A56" s="188">
        <v>42113</v>
      </c>
      <c r="B56" s="18">
        <v>42113</v>
      </c>
      <c r="C56" s="13">
        <v>-1.3</v>
      </c>
      <c r="D56" s="112">
        <v>0.31874999999999998</v>
      </c>
      <c r="E56" s="191">
        <f>'Summary Table'!K112</f>
        <v>4225.6487756481865</v>
      </c>
      <c r="F56" s="192">
        <f>'Summary Table'!L112</f>
        <v>63384.731634722804</v>
      </c>
      <c r="G56" s="201">
        <v>15.000000000000002</v>
      </c>
      <c r="H56" s="201"/>
      <c r="I56" s="191">
        <f>'Summary Table'!N112</f>
        <v>2651.2018318015253</v>
      </c>
      <c r="J56" s="192">
        <f>'Summary Table'!O112</f>
        <v>39768.027477022879</v>
      </c>
      <c r="K56" s="193">
        <f>'Summary Table'!P112</f>
        <v>15</v>
      </c>
      <c r="L56" s="201"/>
      <c r="M56" s="191" t="s">
        <v>11</v>
      </c>
      <c r="N56" s="38" t="s">
        <v>11</v>
      </c>
      <c r="O56" s="38" t="s">
        <v>11</v>
      </c>
      <c r="P56" s="36"/>
      <c r="Q56" s="30">
        <f>+E56+I56</f>
        <v>6876.8506074497118</v>
      </c>
      <c r="R56" s="192">
        <f>+F56+J56</f>
        <v>103152.75911174569</v>
      </c>
    </row>
    <row r="57" spans="1:18" x14ac:dyDescent="0.25">
      <c r="A57" s="225"/>
      <c r="B57" s="225"/>
      <c r="C57" s="225"/>
      <c r="D57" s="235"/>
      <c r="E57" s="111">
        <f>'Summary Table'!K118</f>
        <v>8269.6409222640414</v>
      </c>
      <c r="F57" s="111">
        <f>'Summary Table'!L118</f>
        <v>124044.61383396063</v>
      </c>
      <c r="G57" s="202">
        <f>'Summary Table'!M118</f>
        <v>15</v>
      </c>
      <c r="H57" s="114"/>
      <c r="I57" s="111">
        <f>'Summary Table'!N118</f>
        <v>6802.0019528511839</v>
      </c>
      <c r="J57" s="111">
        <f>'Summary Table'!O118</f>
        <v>101018.44900154014</v>
      </c>
      <c r="K57" s="202">
        <f>'Summary Table'!P118</f>
        <v>14.851281975771325</v>
      </c>
      <c r="L57" s="114"/>
      <c r="M57" s="111"/>
      <c r="N57" s="35"/>
      <c r="O57" s="35"/>
      <c r="P57" s="33"/>
      <c r="Q57" s="34">
        <f>SUM(Q54:Q56)</f>
        <v>15071.642875115227</v>
      </c>
      <c r="R57" s="195">
        <f>SUM(R54:R56)</f>
        <v>225063.06283550078</v>
      </c>
    </row>
    <row r="58" spans="1:18" x14ac:dyDescent="0.25">
      <c r="A58" s="153">
        <v>42126</v>
      </c>
      <c r="B58" s="18">
        <v>42126</v>
      </c>
      <c r="C58" s="28">
        <v>0.2</v>
      </c>
      <c r="D58" s="29">
        <v>0.26597222222222222</v>
      </c>
      <c r="E58" s="30" t="s">
        <v>11</v>
      </c>
      <c r="F58" s="38" t="s">
        <v>11</v>
      </c>
      <c r="G58" s="103" t="s">
        <v>11</v>
      </c>
      <c r="H58" s="36"/>
      <c r="I58" s="30">
        <v>1101.2770320816758</v>
      </c>
      <c r="J58" s="38">
        <v>16519.155481225138</v>
      </c>
      <c r="K58" s="103">
        <v>15.000000000000002</v>
      </c>
      <c r="L58" s="36"/>
      <c r="M58" s="30" t="s">
        <v>11</v>
      </c>
      <c r="N58" s="38" t="s">
        <v>11</v>
      </c>
      <c r="O58" s="103" t="s">
        <v>11</v>
      </c>
      <c r="P58" s="36"/>
      <c r="Q58" s="30">
        <v>1101.2770320816758</v>
      </c>
      <c r="R58" s="38">
        <v>16519.155481225138</v>
      </c>
    </row>
    <row r="59" spans="1:18" x14ac:dyDescent="0.25">
      <c r="A59" s="153">
        <v>42127</v>
      </c>
      <c r="B59" s="18">
        <v>42127</v>
      </c>
      <c r="C59" s="28">
        <v>-0.3</v>
      </c>
      <c r="D59" s="29">
        <v>0.29097222222222224</v>
      </c>
      <c r="E59" s="30" t="s">
        <v>11</v>
      </c>
      <c r="F59" s="38" t="s">
        <v>11</v>
      </c>
      <c r="G59" s="201" t="s">
        <v>11</v>
      </c>
      <c r="H59" s="36"/>
      <c r="I59" s="30">
        <v>1089.9588935635122</v>
      </c>
      <c r="J59" s="38">
        <v>16349.383403452683</v>
      </c>
      <c r="K59" s="103">
        <v>15</v>
      </c>
      <c r="L59" s="36"/>
      <c r="M59" s="30" t="s">
        <v>11</v>
      </c>
      <c r="N59" s="38" t="s">
        <v>11</v>
      </c>
      <c r="O59" s="201" t="s">
        <v>11</v>
      </c>
      <c r="P59" s="36"/>
      <c r="Q59" s="30">
        <v>1089.9588935635122</v>
      </c>
      <c r="R59" s="38">
        <v>16349.383403452683</v>
      </c>
    </row>
    <row r="60" spans="1:18" x14ac:dyDescent="0.25">
      <c r="A60" s="225"/>
      <c r="B60" s="225"/>
      <c r="C60" s="225"/>
      <c r="D60" s="226"/>
      <c r="E60" s="34"/>
      <c r="F60" s="35"/>
      <c r="G60" s="190"/>
      <c r="H60" s="33"/>
      <c r="I60" s="34">
        <f>SUM(I58:I59)</f>
        <v>2191.2359256451882</v>
      </c>
      <c r="J60" s="35">
        <f>SUM(J58:J59)</f>
        <v>32868.538884677822</v>
      </c>
      <c r="K60" s="200">
        <f>+J60/I60</f>
        <v>15</v>
      </c>
      <c r="L60" s="33"/>
      <c r="M60" s="34"/>
      <c r="N60" s="35"/>
      <c r="O60" s="35"/>
      <c r="P60" s="33"/>
      <c r="Q60" s="34">
        <f>SUM(Q58:Q59)</f>
        <v>2191.2359256451882</v>
      </c>
      <c r="R60" s="35">
        <f>SUM(R58:R59)</f>
        <v>32868.538884677822</v>
      </c>
    </row>
    <row r="61" spans="1:18" x14ac:dyDescent="0.25">
      <c r="A61" s="37"/>
      <c r="B61" s="18"/>
      <c r="C61" s="13"/>
      <c r="D61" s="101"/>
      <c r="E61" s="30"/>
      <c r="F61" s="38"/>
      <c r="G61" s="103"/>
      <c r="H61" s="36"/>
      <c r="I61" s="30"/>
      <c r="J61" s="38"/>
      <c r="K61" s="103"/>
      <c r="L61" s="36"/>
      <c r="M61" s="30"/>
      <c r="N61" s="38"/>
      <c r="O61" s="38"/>
      <c r="P61" s="36"/>
      <c r="Q61" s="30"/>
      <c r="R61" s="38"/>
    </row>
    <row r="62" spans="1:18" x14ac:dyDescent="0.25">
      <c r="A62" s="37"/>
      <c r="B62" s="18"/>
      <c r="C62" s="13"/>
      <c r="D62" s="101"/>
      <c r="E62" s="30"/>
      <c r="F62" s="38"/>
      <c r="G62" s="103"/>
      <c r="H62" s="36"/>
      <c r="I62" s="30"/>
      <c r="J62" s="38"/>
      <c r="K62" s="103"/>
      <c r="L62" s="36"/>
      <c r="M62" s="30"/>
      <c r="N62" s="38"/>
      <c r="O62" s="38"/>
      <c r="P62" s="36"/>
      <c r="Q62" s="30"/>
      <c r="R62" s="38"/>
    </row>
    <row r="63" spans="1:18" x14ac:dyDescent="0.25">
      <c r="A63" s="37"/>
      <c r="B63" s="18"/>
      <c r="C63" s="13"/>
      <c r="D63" s="101"/>
      <c r="E63" s="30"/>
      <c r="F63" s="38"/>
      <c r="G63" s="103"/>
      <c r="H63" s="36"/>
      <c r="I63" s="30"/>
      <c r="J63" s="38"/>
      <c r="K63" s="103"/>
      <c r="L63" s="36"/>
      <c r="M63" s="30"/>
      <c r="N63" s="38"/>
      <c r="O63" s="38"/>
      <c r="P63" s="36"/>
      <c r="Q63" s="30"/>
      <c r="R63" s="38"/>
    </row>
    <row r="64" spans="1:18" x14ac:dyDescent="0.25">
      <c r="A64" s="225"/>
      <c r="B64" s="225"/>
      <c r="C64" s="225"/>
      <c r="D64" s="226"/>
      <c r="E64" s="34"/>
      <c r="F64" s="35"/>
      <c r="G64" s="104"/>
      <c r="H64" s="33"/>
      <c r="I64" s="34"/>
      <c r="J64" s="35"/>
      <c r="K64" s="104"/>
      <c r="L64" s="33"/>
      <c r="M64" s="34"/>
      <c r="N64" s="35"/>
      <c r="O64" s="35"/>
      <c r="P64" s="33"/>
      <c r="Q64" s="34"/>
      <c r="R64" s="35"/>
    </row>
    <row r="65" spans="1:18" x14ac:dyDescent="0.25">
      <c r="A65" s="117"/>
      <c r="B65" s="18"/>
      <c r="C65" s="62"/>
      <c r="D65" s="118"/>
      <c r="E65" s="30"/>
      <c r="F65" s="38"/>
      <c r="G65" s="103"/>
      <c r="H65" s="36"/>
      <c r="I65" s="30"/>
      <c r="J65" s="38"/>
      <c r="K65" s="103"/>
      <c r="L65" s="36"/>
      <c r="M65" s="30"/>
      <c r="N65" s="38"/>
      <c r="O65" s="38"/>
      <c r="P65" s="36"/>
      <c r="Q65" s="30"/>
      <c r="R65" s="38"/>
    </row>
    <row r="66" spans="1:18" x14ac:dyDescent="0.25">
      <c r="A66" s="117"/>
      <c r="B66" s="18"/>
      <c r="C66" s="62"/>
      <c r="D66" s="118"/>
      <c r="E66" s="30"/>
      <c r="F66" s="38"/>
      <c r="G66" s="103"/>
      <c r="H66" s="36"/>
      <c r="I66" s="30"/>
      <c r="J66" s="38"/>
      <c r="K66" s="103"/>
      <c r="L66" s="36"/>
      <c r="M66" s="30"/>
      <c r="N66" s="38"/>
      <c r="O66" s="38"/>
      <c r="P66" s="36"/>
      <c r="Q66" s="30"/>
      <c r="R66" s="38"/>
    </row>
    <row r="67" spans="1:18" x14ac:dyDescent="0.25">
      <c r="A67" s="117"/>
      <c r="B67" s="18"/>
      <c r="C67" s="62"/>
      <c r="D67" s="118"/>
      <c r="E67" s="30"/>
      <c r="F67" s="38"/>
      <c r="G67" s="103"/>
      <c r="H67" s="36"/>
      <c r="I67" s="30"/>
      <c r="J67" s="38"/>
      <c r="K67" s="103"/>
      <c r="L67" s="36"/>
      <c r="M67" s="30"/>
      <c r="N67" s="38"/>
      <c r="O67" s="38"/>
      <c r="P67" s="36"/>
      <c r="Q67" s="30"/>
      <c r="R67" s="38"/>
    </row>
    <row r="68" spans="1:18" x14ac:dyDescent="0.25">
      <c r="A68" s="115"/>
      <c r="B68" s="116"/>
      <c r="C68" s="116"/>
      <c r="D68" s="116"/>
      <c r="E68" s="34"/>
      <c r="F68" s="35"/>
      <c r="G68" s="104"/>
      <c r="H68" s="33"/>
      <c r="I68" s="34"/>
      <c r="J68" s="35"/>
      <c r="K68" s="104"/>
      <c r="L68" s="33"/>
      <c r="M68" s="34"/>
      <c r="N68" s="35"/>
      <c r="O68" s="35"/>
      <c r="P68" s="33"/>
      <c r="Q68" s="34"/>
      <c r="R68" s="35"/>
    </row>
    <row r="69" spans="1:18" x14ac:dyDescent="0.25">
      <c r="A69" s="37"/>
      <c r="B69" s="18"/>
      <c r="C69" s="13"/>
      <c r="D69" s="101"/>
      <c r="E69" s="30"/>
      <c r="F69" s="38"/>
      <c r="G69" s="103"/>
      <c r="H69" s="36"/>
      <c r="I69" s="30"/>
      <c r="J69" s="38"/>
      <c r="K69" s="103"/>
      <c r="L69" s="36"/>
      <c r="M69" s="30"/>
      <c r="N69" s="38"/>
      <c r="O69" s="38"/>
      <c r="P69" s="36"/>
      <c r="Q69" s="30"/>
      <c r="R69" s="38"/>
    </row>
    <row r="70" spans="1:18" x14ac:dyDescent="0.25">
      <c r="A70" s="37"/>
      <c r="B70" s="18"/>
      <c r="C70" s="13"/>
      <c r="D70" s="101"/>
      <c r="E70" s="30"/>
      <c r="F70" s="38"/>
      <c r="G70" s="103"/>
      <c r="H70" s="36"/>
      <c r="I70" s="30"/>
      <c r="J70" s="38"/>
      <c r="K70" s="103"/>
      <c r="L70" s="36"/>
      <c r="M70" s="30"/>
      <c r="N70" s="38"/>
      <c r="O70" s="38"/>
      <c r="P70" s="36"/>
      <c r="Q70" s="30"/>
      <c r="R70" s="38"/>
    </row>
    <row r="71" spans="1:18" x14ac:dyDescent="0.25">
      <c r="A71" s="37"/>
      <c r="B71" s="18"/>
      <c r="C71" s="13"/>
      <c r="D71" s="101"/>
      <c r="E71" s="30"/>
      <c r="F71" s="38"/>
      <c r="G71" s="103"/>
      <c r="H71" s="36"/>
      <c r="I71" s="30"/>
      <c r="J71" s="38"/>
      <c r="K71" s="103"/>
      <c r="L71" s="36"/>
      <c r="M71" s="30"/>
      <c r="N71" s="38"/>
      <c r="O71" s="38"/>
      <c r="P71" s="36"/>
      <c r="Q71" s="30"/>
      <c r="R71" s="38"/>
    </row>
    <row r="72" spans="1:18" x14ac:dyDescent="0.25">
      <c r="A72" s="225"/>
      <c r="B72" s="225"/>
      <c r="C72" s="225"/>
      <c r="D72" s="226"/>
      <c r="E72" s="34"/>
      <c r="F72" s="35"/>
      <c r="G72" s="104"/>
      <c r="H72" s="33"/>
      <c r="I72" s="34"/>
      <c r="J72" s="35"/>
      <c r="K72" s="104"/>
      <c r="L72" s="33"/>
      <c r="M72" s="34"/>
      <c r="N72" s="35"/>
      <c r="O72" s="35"/>
      <c r="P72" s="33"/>
      <c r="Q72" s="34"/>
      <c r="R72" s="35"/>
    </row>
    <row r="73" spans="1:18" x14ac:dyDescent="0.25">
      <c r="A73" s="37"/>
      <c r="B73" s="18"/>
      <c r="C73" s="13"/>
      <c r="D73" s="101"/>
      <c r="E73" s="30"/>
      <c r="F73" s="38"/>
      <c r="G73" s="103"/>
      <c r="H73" s="36"/>
      <c r="I73" s="30"/>
      <c r="J73" s="38"/>
      <c r="K73" s="103"/>
      <c r="L73" s="36"/>
      <c r="M73" s="30"/>
      <c r="N73" s="38"/>
      <c r="O73" s="38"/>
      <c r="P73" s="36"/>
      <c r="Q73" s="30"/>
      <c r="R73" s="38"/>
    </row>
    <row r="74" spans="1:18" x14ac:dyDescent="0.25">
      <c r="A74" s="37"/>
      <c r="B74" s="18"/>
      <c r="C74" s="13"/>
      <c r="D74" s="101"/>
      <c r="E74" s="30"/>
      <c r="F74" s="38"/>
      <c r="G74" s="103"/>
      <c r="H74" s="36"/>
      <c r="I74" s="30"/>
      <c r="J74" s="38"/>
      <c r="K74" s="103"/>
      <c r="L74" s="36"/>
      <c r="M74" s="30"/>
      <c r="N74" s="38"/>
      <c r="O74" s="38"/>
      <c r="P74" s="36"/>
      <c r="Q74" s="30"/>
      <c r="R74" s="38"/>
    </row>
    <row r="75" spans="1:18" x14ac:dyDescent="0.25">
      <c r="A75" s="37"/>
      <c r="B75" s="18"/>
      <c r="C75" s="13"/>
      <c r="D75" s="101"/>
      <c r="E75" s="30"/>
      <c r="F75" s="38"/>
      <c r="G75" s="103"/>
      <c r="H75" s="36"/>
      <c r="I75" s="30"/>
      <c r="J75" s="38"/>
      <c r="K75" s="103"/>
      <c r="L75" s="36"/>
      <c r="M75" s="30"/>
      <c r="N75" s="38"/>
      <c r="O75" s="38"/>
      <c r="P75" s="36"/>
      <c r="Q75" s="30"/>
      <c r="R75" s="38"/>
    </row>
    <row r="76" spans="1:18" x14ac:dyDescent="0.25">
      <c r="A76" s="37"/>
      <c r="B76" s="18"/>
      <c r="C76" s="13"/>
      <c r="D76" s="101"/>
      <c r="E76" s="30"/>
      <c r="F76" s="38"/>
      <c r="G76" s="103"/>
      <c r="H76" s="36"/>
      <c r="I76" s="30"/>
      <c r="J76" s="38"/>
      <c r="K76" s="103"/>
      <c r="L76" s="36"/>
      <c r="M76" s="30"/>
      <c r="N76" s="38"/>
      <c r="O76" s="38"/>
      <c r="P76" s="36"/>
      <c r="Q76" s="30"/>
      <c r="R76" s="38"/>
    </row>
    <row r="77" spans="1:18" ht="15.75" thickBot="1" x14ac:dyDescent="0.3">
      <c r="A77" s="225"/>
      <c r="B77" s="225"/>
      <c r="C77" s="225"/>
      <c r="D77" s="226"/>
      <c r="E77" s="34"/>
      <c r="F77" s="35"/>
      <c r="G77" s="104"/>
      <c r="H77" s="33"/>
      <c r="I77" s="34"/>
      <c r="J77" s="35"/>
      <c r="K77" s="104"/>
      <c r="L77" s="33"/>
      <c r="M77" s="34"/>
      <c r="N77" s="35"/>
      <c r="O77" s="35"/>
      <c r="P77" s="33"/>
      <c r="Q77" s="34"/>
      <c r="R77" s="35"/>
    </row>
    <row r="78" spans="1:18" ht="15.75" thickTop="1" x14ac:dyDescent="0.25">
      <c r="A78" s="39" t="s">
        <v>37</v>
      </c>
      <c r="B78" s="42"/>
      <c r="C78" s="42"/>
      <c r="D78" s="42"/>
      <c r="E78" s="40">
        <f>E7+E11+E15+E19+E23+E27+E33+E38+E42+E46+E50+E53+E57+E60</f>
        <v>58626.357462999462</v>
      </c>
      <c r="F78" s="40">
        <f>F7+F11+F15+F19+F23+F27+F33+F38+F42+F46+F50+F53+F57</f>
        <v>780625.47300550691</v>
      </c>
      <c r="G78" s="99">
        <f>+F78/E78</f>
        <v>13.31526478509566</v>
      </c>
      <c r="H78" s="41"/>
      <c r="I78" s="40">
        <f>I7+I11+I15+I19+I23+I27+I33+I38+I42+I46+I50+I53+I57+I60</f>
        <v>58739.343706953769</v>
      </c>
      <c r="J78" s="40">
        <f>J7+J11+J15+J19+J23+J27+J33+J38+J42+J46+J50+J53+J57+J60</f>
        <v>818644.6885801336</v>
      </c>
      <c r="K78" s="99">
        <f>+J78/I78</f>
        <v>13.936905605624252</v>
      </c>
      <c r="L78" s="41"/>
      <c r="M78" s="40">
        <f>+M7+M11+M15</f>
        <v>0</v>
      </c>
      <c r="N78" s="40">
        <f>+N7+N11+N15</f>
        <v>0</v>
      </c>
      <c r="O78" s="99"/>
      <c r="P78" s="41"/>
      <c r="Q78" s="40">
        <f>Q7+Q11+Q15+Q19+Q23+Q27+Q33+Q38+Q42+Q46+Q50+Q53+Q57+Q60</f>
        <v>117365.70116995323</v>
      </c>
      <c r="R78" s="40">
        <f>R7+R11+R15+R19+R23+R27+R33+R38+R42+R46+R50+R53+R57+R60</f>
        <v>1599270.1615856409</v>
      </c>
    </row>
    <row r="79" spans="1:18" x14ac:dyDescent="0.25">
      <c r="A79" s="71" t="s">
        <v>36</v>
      </c>
      <c r="B79" s="72"/>
      <c r="C79" s="72"/>
      <c r="D79" s="72"/>
      <c r="E79" s="73"/>
      <c r="F79" s="73">
        <f>+Harvest!J130</f>
        <v>22094.760778360727</v>
      </c>
      <c r="G79" s="73"/>
      <c r="H79" s="74"/>
      <c r="I79" s="73"/>
      <c r="J79" s="73">
        <f>+Harvest!L130</f>
        <v>12636.234469003195</v>
      </c>
      <c r="K79" s="73"/>
      <c r="L79" s="74"/>
      <c r="M79" s="73"/>
      <c r="N79" s="73"/>
      <c r="O79" s="73"/>
      <c r="P79" s="74"/>
      <c r="Q79" s="73"/>
      <c r="R79" s="73">
        <f>+F79+J79+N79</f>
        <v>34730.99524736392</v>
      </c>
    </row>
    <row r="80" spans="1:18" x14ac:dyDescent="0.25">
      <c r="A80" s="81" t="s">
        <v>33</v>
      </c>
      <c r="B80" s="82"/>
      <c r="C80" s="82"/>
      <c r="D80" s="82"/>
      <c r="E80" s="75">
        <f>+E78</f>
        <v>58626.357462999462</v>
      </c>
      <c r="F80" s="75">
        <f>SUM(F78:F79)</f>
        <v>802720.23378386768</v>
      </c>
      <c r="G80" s="106">
        <f>+G78</f>
        <v>13.31526478509566</v>
      </c>
      <c r="H80" s="76"/>
      <c r="I80" s="75">
        <f>+I78</f>
        <v>58739.343706953769</v>
      </c>
      <c r="J80" s="75">
        <f>SUM(J78:J79)</f>
        <v>831280.92304913676</v>
      </c>
      <c r="K80" s="106">
        <f>+K78</f>
        <v>13.936905605624252</v>
      </c>
      <c r="L80" s="76"/>
      <c r="M80" s="75">
        <f>+M78</f>
        <v>0</v>
      </c>
      <c r="N80" s="75">
        <f>+N78</f>
        <v>0</v>
      </c>
      <c r="O80" s="75"/>
      <c r="P80" s="76"/>
      <c r="Q80" s="75">
        <f>+Q78</f>
        <v>117365.70116995323</v>
      </c>
      <c r="R80" s="77">
        <f>SUM(R78:R79)</f>
        <v>1634001.1568330047</v>
      </c>
    </row>
    <row r="81" spans="1:18" x14ac:dyDescent="0.25">
      <c r="A81" s="83" t="s">
        <v>16</v>
      </c>
      <c r="B81" s="79"/>
      <c r="C81" s="79"/>
      <c r="D81" s="79"/>
      <c r="E81" s="79"/>
      <c r="F81" s="78">
        <f>+Harvest!J133</f>
        <v>0.90210776115536084</v>
      </c>
      <c r="G81" s="78"/>
      <c r="H81" s="79"/>
      <c r="I81" s="79"/>
      <c r="J81" s="78">
        <f>+Harvest!L133</f>
        <v>0.37105641078460233</v>
      </c>
      <c r="K81" s="78"/>
      <c r="L81" s="79"/>
      <c r="M81" s="79"/>
      <c r="N81" s="78">
        <f>+Harvest!N133</f>
        <v>0</v>
      </c>
      <c r="O81" s="78"/>
      <c r="P81" s="79"/>
      <c r="Q81" s="79"/>
      <c r="R81" s="80"/>
    </row>
    <row r="83" spans="1:18" x14ac:dyDescent="0.25">
      <c r="Q83" s="10"/>
    </row>
    <row r="84" spans="1:18" x14ac:dyDescent="0.25">
      <c r="F84" s="10"/>
      <c r="J84" s="10"/>
    </row>
  </sheetData>
  <mergeCells count="21">
    <mergeCell ref="A64:D64"/>
    <mergeCell ref="E2:H2"/>
    <mergeCell ref="I2:L2"/>
    <mergeCell ref="M2:P2"/>
    <mergeCell ref="A42:D42"/>
    <mergeCell ref="Q2:R2"/>
    <mergeCell ref="A77:D77"/>
    <mergeCell ref="A7:D7"/>
    <mergeCell ref="A33:D33"/>
    <mergeCell ref="A38:D38"/>
    <mergeCell ref="A46:D46"/>
    <mergeCell ref="A19:D19"/>
    <mergeCell ref="A11:D11"/>
    <mergeCell ref="A15:D15"/>
    <mergeCell ref="A60:D60"/>
    <mergeCell ref="A57:D57"/>
    <mergeCell ref="A53:D53"/>
    <mergeCell ref="A50:D50"/>
    <mergeCell ref="A23:D23"/>
    <mergeCell ref="A27:D27"/>
    <mergeCell ref="A72:D72"/>
  </mergeCells>
  <pageMargins left="0.7" right="0.7" top="0.75" bottom="0.75" header="0.3" footer="0.3"/>
  <pageSetup scale="5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14"/>
  <sheetViews>
    <sheetView workbookViewId="0"/>
  </sheetViews>
  <sheetFormatPr defaultRowHeight="15" x14ac:dyDescent="0.25"/>
  <cols>
    <col min="1" max="1" width="21.5703125" customWidth="1"/>
    <col min="2" max="2" width="10.5703125" bestFit="1" customWidth="1"/>
    <col min="3" max="3" width="12" bestFit="1" customWidth="1"/>
    <col min="4" max="5" width="10.5703125" bestFit="1" customWidth="1"/>
    <col min="6" max="6" width="13.28515625" bestFit="1" customWidth="1"/>
  </cols>
  <sheetData>
    <row r="1" spans="1:6" x14ac:dyDescent="0.25">
      <c r="A1" s="3" t="s">
        <v>55</v>
      </c>
      <c r="B1" s="3"/>
      <c r="C1" s="3"/>
      <c r="D1" s="3"/>
    </row>
    <row r="2" spans="1:6" x14ac:dyDescent="0.25">
      <c r="A2" s="3"/>
      <c r="B2" s="3"/>
      <c r="C2" s="3"/>
      <c r="D2" s="3"/>
    </row>
    <row r="3" spans="1:6" ht="15.75" thickBot="1" x14ac:dyDescent="0.3">
      <c r="A3" s="3"/>
      <c r="B3" s="3" t="s">
        <v>46</v>
      </c>
      <c r="C3" s="1" t="s">
        <v>44</v>
      </c>
      <c r="D3" s="1" t="s">
        <v>43</v>
      </c>
      <c r="E3" s="1" t="s">
        <v>42</v>
      </c>
      <c r="F3" s="1" t="s">
        <v>41</v>
      </c>
    </row>
    <row r="4" spans="1:6" x14ac:dyDescent="0.25">
      <c r="A4" s="44" t="s">
        <v>20</v>
      </c>
      <c r="B4" s="45">
        <v>3885491.5446236241</v>
      </c>
      <c r="C4" s="45">
        <v>2881223.2800000003</v>
      </c>
      <c r="D4" s="45">
        <v>1847952.1349999998</v>
      </c>
      <c r="E4" s="45">
        <v>1094641.4136540764</v>
      </c>
      <c r="F4" s="45">
        <v>1276247.6927039789</v>
      </c>
    </row>
    <row r="5" spans="1:6" x14ac:dyDescent="0.25">
      <c r="A5" s="46" t="s">
        <v>21</v>
      </c>
      <c r="B5" s="47">
        <v>2662860.8000000003</v>
      </c>
      <c r="C5" s="47">
        <f>5744410.73323314*0.4</f>
        <v>2297764.2932932558</v>
      </c>
      <c r="D5" s="47">
        <v>1881783.2000000002</v>
      </c>
      <c r="E5" s="47">
        <v>616314.30636927264</v>
      </c>
      <c r="F5" s="47">
        <v>845427.66684737173</v>
      </c>
    </row>
    <row r="6" spans="1:6" x14ac:dyDescent="0.25">
      <c r="A6" s="46" t="s">
        <v>22</v>
      </c>
      <c r="B6" s="132">
        <v>889827.43342746096</v>
      </c>
      <c r="C6" s="131">
        <f>(2615522*0.5)-(161153)+250000</f>
        <v>1396608</v>
      </c>
      <c r="D6" s="47">
        <v>1072689.5999999999</v>
      </c>
      <c r="E6" s="47">
        <v>371373.03795949166</v>
      </c>
      <c r="F6" s="47">
        <v>683167.40704835602</v>
      </c>
    </row>
    <row r="7" spans="1:6" x14ac:dyDescent="0.25">
      <c r="A7" s="46" t="s">
        <v>23</v>
      </c>
      <c r="B7" s="47">
        <v>2240308.7479108246</v>
      </c>
      <c r="C7" s="47">
        <v>2088668.5</v>
      </c>
      <c r="D7" s="47">
        <v>909667.35</v>
      </c>
      <c r="E7" s="47">
        <v>605830.70008886908</v>
      </c>
      <c r="F7" s="47">
        <v>545586.68998891278</v>
      </c>
    </row>
    <row r="8" spans="1:6" ht="15.75" thickBot="1" x14ac:dyDescent="0.3">
      <c r="A8" s="48" t="s">
        <v>24</v>
      </c>
      <c r="B8" s="49">
        <v>125735.12787535199</v>
      </c>
      <c r="C8" s="49">
        <f>1033285.9456848*0.254*0.5</f>
        <v>131227.31510196961</v>
      </c>
      <c r="D8" s="49">
        <v>113543.20699999999</v>
      </c>
      <c r="E8" s="49">
        <v>144560.51050788548</v>
      </c>
      <c r="F8" s="49">
        <v>258924.12448845015</v>
      </c>
    </row>
    <row r="9" spans="1:6" ht="16.5" thickBot="1" x14ac:dyDescent="0.3">
      <c r="A9" s="50" t="s">
        <v>34</v>
      </c>
      <c r="B9" s="51">
        <f>SUM(B4:B8)</f>
        <v>9804223.6538372617</v>
      </c>
      <c r="C9" s="51">
        <f>SUM(C4:C8)</f>
        <v>8795491.3883952256</v>
      </c>
      <c r="D9" s="51">
        <f>SUM(D4:D8)</f>
        <v>5825635.4919999996</v>
      </c>
      <c r="E9" s="51">
        <f>SUM(E4:E8)</f>
        <v>2832719.968579595</v>
      </c>
      <c r="F9" s="51">
        <f>SUM(F4:F8)</f>
        <v>3609353.5810770695</v>
      </c>
    </row>
    <row r="14" spans="1:6" x14ac:dyDescent="0.25">
      <c r="B14">
        <f>161784/B4</f>
        <v>4.1637975052052655E-2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100"/>
  <sheetViews>
    <sheetView workbookViewId="0">
      <selection sqref="A1:E25"/>
    </sheetView>
  </sheetViews>
  <sheetFormatPr defaultRowHeight="15" x14ac:dyDescent="0.25"/>
  <cols>
    <col min="1" max="1" width="9.42578125" style="3" bestFit="1" customWidth="1"/>
    <col min="2" max="2" width="12.5703125" style="3" bestFit="1" customWidth="1"/>
    <col min="3" max="3" width="10.140625" style="91" bestFit="1" customWidth="1"/>
    <col min="4" max="4" width="14.7109375" style="3" bestFit="1" customWidth="1"/>
    <col min="5" max="5" width="16.7109375" bestFit="1" customWidth="1"/>
  </cols>
  <sheetData>
    <row r="1" spans="1:7" x14ac:dyDescent="0.25">
      <c r="A1" s="218" t="s">
        <v>38</v>
      </c>
      <c r="B1" s="218" t="s">
        <v>9</v>
      </c>
      <c r="C1" s="218" t="s">
        <v>8</v>
      </c>
      <c r="D1" s="218" t="s">
        <v>39</v>
      </c>
      <c r="E1" s="218" t="s">
        <v>40</v>
      </c>
    </row>
    <row r="2" spans="1:7" x14ac:dyDescent="0.25">
      <c r="A2" s="219">
        <v>1021</v>
      </c>
      <c r="B2" s="220" t="s">
        <v>1</v>
      </c>
      <c r="C2" s="221">
        <v>41919</v>
      </c>
      <c r="D2" s="219">
        <v>891</v>
      </c>
      <c r="E2" s="222">
        <v>22288.858872919118</v>
      </c>
      <c r="F2" s="8"/>
      <c r="G2" s="88"/>
    </row>
    <row r="3" spans="1:7" x14ac:dyDescent="0.25">
      <c r="A3" s="219">
        <v>1024</v>
      </c>
      <c r="B3" s="220" t="s">
        <v>1</v>
      </c>
      <c r="C3" s="221">
        <v>41920</v>
      </c>
      <c r="D3" s="219">
        <v>1587</v>
      </c>
      <c r="E3" s="222">
        <v>26450.193987554463</v>
      </c>
      <c r="F3" s="8"/>
      <c r="G3" s="88"/>
    </row>
    <row r="4" spans="1:7" x14ac:dyDescent="0.25">
      <c r="A4" s="219">
        <v>1029</v>
      </c>
      <c r="B4" s="220" t="s">
        <v>1</v>
      </c>
      <c r="C4" s="221">
        <v>41923</v>
      </c>
      <c r="D4" s="219">
        <v>0</v>
      </c>
      <c r="E4" s="222">
        <v>4169.3615896969441</v>
      </c>
      <c r="F4" s="8"/>
      <c r="G4" s="88"/>
    </row>
    <row r="5" spans="1:7" x14ac:dyDescent="0.25">
      <c r="A5" s="219">
        <v>1050</v>
      </c>
      <c r="B5" s="220" t="s">
        <v>1</v>
      </c>
      <c r="C5" s="221">
        <v>41948</v>
      </c>
      <c r="D5" s="219">
        <v>134</v>
      </c>
      <c r="E5" s="222">
        <v>13416.527161229038</v>
      </c>
      <c r="F5" s="8"/>
      <c r="G5" s="88"/>
    </row>
    <row r="6" spans="1:7" x14ac:dyDescent="0.25">
      <c r="A6" s="219">
        <v>1070</v>
      </c>
      <c r="B6" s="220" t="s">
        <v>1</v>
      </c>
      <c r="C6" s="221">
        <v>41965</v>
      </c>
      <c r="D6" s="219">
        <v>253</v>
      </c>
      <c r="E6" s="222">
        <v>12687.182221723857</v>
      </c>
      <c r="F6" s="8"/>
      <c r="G6" s="88"/>
    </row>
    <row r="7" spans="1:7" x14ac:dyDescent="0.25">
      <c r="A7" s="219">
        <v>1086</v>
      </c>
      <c r="B7" s="220" t="s">
        <v>1</v>
      </c>
      <c r="C7" s="221">
        <v>41976</v>
      </c>
      <c r="D7" s="219">
        <v>539</v>
      </c>
      <c r="E7" s="222">
        <v>10111.090664044705</v>
      </c>
      <c r="F7" s="8"/>
      <c r="G7" s="88"/>
    </row>
    <row r="8" spans="1:7" x14ac:dyDescent="0.25">
      <c r="A8" s="219">
        <v>1089</v>
      </c>
      <c r="B8" s="220" t="s">
        <v>1</v>
      </c>
      <c r="C8" s="221">
        <v>41978</v>
      </c>
      <c r="D8" s="219">
        <v>342</v>
      </c>
      <c r="E8" s="222">
        <v>11410.790798689859</v>
      </c>
      <c r="F8" s="8"/>
      <c r="G8" s="88"/>
    </row>
    <row r="9" spans="1:7" x14ac:dyDescent="0.25">
      <c r="A9" s="219">
        <v>1118</v>
      </c>
      <c r="B9" s="220" t="s">
        <v>1</v>
      </c>
      <c r="C9" s="221">
        <v>42004</v>
      </c>
      <c r="D9" s="219">
        <v>1819</v>
      </c>
      <c r="E9" s="222">
        <v>30310.543209876541</v>
      </c>
      <c r="F9" s="8"/>
      <c r="G9" s="88"/>
    </row>
    <row r="10" spans="1:7" x14ac:dyDescent="0.25">
      <c r="A10" s="219">
        <v>1119</v>
      </c>
      <c r="B10" s="220" t="s">
        <v>1</v>
      </c>
      <c r="C10" s="221">
        <v>42005</v>
      </c>
      <c r="D10" s="219">
        <v>165</v>
      </c>
      <c r="E10" s="222">
        <v>32968.356310084448</v>
      </c>
      <c r="F10" s="8"/>
      <c r="G10" s="88"/>
    </row>
    <row r="11" spans="1:7" x14ac:dyDescent="0.25">
      <c r="A11" s="219">
        <v>1146</v>
      </c>
      <c r="B11" s="220" t="s">
        <v>1</v>
      </c>
      <c r="C11" s="221">
        <v>42034</v>
      </c>
      <c r="D11" s="219">
        <v>334</v>
      </c>
      <c r="E11" s="222">
        <v>16725.036158836199</v>
      </c>
      <c r="F11" s="8"/>
      <c r="G11" s="88"/>
    </row>
    <row r="12" spans="1:7" x14ac:dyDescent="0.25">
      <c r="A12" s="219">
        <v>1141</v>
      </c>
      <c r="B12" s="220" t="s">
        <v>1</v>
      </c>
      <c r="C12" s="221">
        <v>42035</v>
      </c>
      <c r="D12" s="219">
        <v>261</v>
      </c>
      <c r="E12" s="222">
        <v>15664.493787977863</v>
      </c>
      <c r="F12" s="8"/>
      <c r="G12" s="88"/>
    </row>
    <row r="13" spans="1:7" x14ac:dyDescent="0.25">
      <c r="A13" s="219">
        <v>1143</v>
      </c>
      <c r="B13" s="220" t="s">
        <v>1</v>
      </c>
      <c r="C13" s="221">
        <v>42037</v>
      </c>
      <c r="D13" s="219">
        <v>793</v>
      </c>
      <c r="E13" s="222">
        <v>8813.3856364206331</v>
      </c>
      <c r="F13" s="8"/>
      <c r="G13" s="88"/>
    </row>
    <row r="14" spans="1:7" x14ac:dyDescent="0.25">
      <c r="A14" s="219">
        <v>1150</v>
      </c>
      <c r="B14" s="220" t="s">
        <v>1</v>
      </c>
      <c r="C14" s="221">
        <v>42050</v>
      </c>
      <c r="D14" s="219">
        <v>6536</v>
      </c>
      <c r="E14" s="222">
        <v>103186.01391091263</v>
      </c>
      <c r="F14" s="8"/>
      <c r="G14" s="88"/>
    </row>
    <row r="15" spans="1:7" x14ac:dyDescent="0.25">
      <c r="A15" s="219">
        <v>1151</v>
      </c>
      <c r="B15" s="220" t="s">
        <v>1</v>
      </c>
      <c r="C15" s="221">
        <v>42051</v>
      </c>
      <c r="D15" s="219">
        <v>7579</v>
      </c>
      <c r="E15" s="222">
        <v>81204.007105575933</v>
      </c>
      <c r="F15" s="8"/>
      <c r="G15" s="88"/>
    </row>
    <row r="16" spans="1:7" x14ac:dyDescent="0.25">
      <c r="A16" s="219">
        <v>1158</v>
      </c>
      <c r="B16" s="220" t="s">
        <v>1</v>
      </c>
      <c r="C16" s="221">
        <v>42053</v>
      </c>
      <c r="D16" s="219">
        <v>669</v>
      </c>
      <c r="E16" s="222">
        <v>33446.596204900408</v>
      </c>
      <c r="F16" s="8"/>
      <c r="G16" s="88"/>
    </row>
    <row r="17" spans="1:7" x14ac:dyDescent="0.25">
      <c r="A17" s="219">
        <v>1162</v>
      </c>
      <c r="B17" s="220" t="s">
        <v>1</v>
      </c>
      <c r="C17" s="221">
        <v>42065</v>
      </c>
      <c r="D17" s="219">
        <v>573</v>
      </c>
      <c r="E17" s="222">
        <v>19103.838439081566</v>
      </c>
      <c r="F17" s="8"/>
      <c r="G17" s="88"/>
    </row>
    <row r="18" spans="1:7" x14ac:dyDescent="0.25">
      <c r="A18" s="219">
        <v>1164</v>
      </c>
      <c r="B18" s="220" t="s">
        <v>1</v>
      </c>
      <c r="C18" s="221">
        <v>42067</v>
      </c>
      <c r="D18" s="219">
        <v>2483</v>
      </c>
      <c r="E18" s="222">
        <v>18394.997538551412</v>
      </c>
      <c r="F18" s="8"/>
      <c r="G18" s="88"/>
    </row>
    <row r="19" spans="1:7" x14ac:dyDescent="0.25">
      <c r="A19" s="219">
        <v>1166</v>
      </c>
      <c r="B19" s="220" t="s">
        <v>1</v>
      </c>
      <c r="C19" s="221">
        <v>42079</v>
      </c>
      <c r="D19" s="219">
        <v>449</v>
      </c>
      <c r="E19" s="222">
        <v>11212.57819448533</v>
      </c>
      <c r="F19" s="8"/>
      <c r="G19" s="88"/>
    </row>
    <row r="20" spans="1:7" x14ac:dyDescent="0.25">
      <c r="A20" s="219">
        <v>1177</v>
      </c>
      <c r="B20" s="220" t="s">
        <v>1</v>
      </c>
      <c r="C20" s="221">
        <v>42086</v>
      </c>
      <c r="D20" s="219">
        <v>273</v>
      </c>
      <c r="E20" s="222">
        <v>13632.607111775123</v>
      </c>
      <c r="F20" s="8"/>
      <c r="G20" s="88"/>
    </row>
    <row r="21" spans="1:7" x14ac:dyDescent="0.25">
      <c r="A21" s="219">
        <v>1186</v>
      </c>
      <c r="B21" s="220" t="s">
        <v>1</v>
      </c>
      <c r="C21" s="221">
        <v>42100</v>
      </c>
      <c r="D21" s="219">
        <v>1256</v>
      </c>
      <c r="E21" s="222">
        <v>9662.9524129578404</v>
      </c>
      <c r="F21" s="8"/>
      <c r="G21" s="88"/>
    </row>
    <row r="22" spans="1:7" x14ac:dyDescent="0.25">
      <c r="A22" s="219">
        <v>1190</v>
      </c>
      <c r="B22" s="220" t="s">
        <v>1</v>
      </c>
      <c r="C22" s="221">
        <v>42104</v>
      </c>
      <c r="D22" s="219">
        <v>846</v>
      </c>
      <c r="E22" s="222">
        <v>23071.977441231691</v>
      </c>
      <c r="F22" s="8"/>
      <c r="G22" s="88"/>
    </row>
    <row r="23" spans="1:7" x14ac:dyDescent="0.25">
      <c r="A23" s="219">
        <v>1202</v>
      </c>
      <c r="B23" s="220" t="s">
        <v>1</v>
      </c>
      <c r="C23" s="221">
        <v>42113</v>
      </c>
      <c r="D23" s="219">
        <v>2454</v>
      </c>
      <c r="E23" s="222">
        <v>44615.06067733853</v>
      </c>
      <c r="F23" s="8"/>
      <c r="G23" s="88"/>
    </row>
    <row r="24" spans="1:7" x14ac:dyDescent="0.25">
      <c r="A24" s="219">
        <v>1203</v>
      </c>
      <c r="B24" s="220" t="s">
        <v>1</v>
      </c>
      <c r="C24" s="221">
        <v>42114</v>
      </c>
      <c r="D24" s="219">
        <v>189</v>
      </c>
      <c r="E24" s="222">
        <v>37982.78945040617</v>
      </c>
      <c r="F24" s="8"/>
      <c r="G24" s="88"/>
    </row>
    <row r="25" spans="1:7" x14ac:dyDescent="0.25">
      <c r="A25" s="219">
        <v>1204</v>
      </c>
      <c r="B25" s="220" t="s">
        <v>1</v>
      </c>
      <c r="C25" s="221">
        <v>42115</v>
      </c>
      <c r="D25" s="219">
        <v>789</v>
      </c>
      <c r="E25" s="222">
        <v>39476.094376165223</v>
      </c>
      <c r="F25" s="8"/>
      <c r="G25" s="88"/>
    </row>
    <row r="26" spans="1:7" x14ac:dyDescent="0.25">
      <c r="A26" s="119"/>
      <c r="B26" s="120"/>
      <c r="C26" s="121"/>
      <c r="D26" s="119"/>
      <c r="E26" s="122"/>
      <c r="F26" s="8"/>
      <c r="G26" s="88"/>
    </row>
    <row r="27" spans="1:7" x14ac:dyDescent="0.25">
      <c r="A27" s="119"/>
      <c r="B27" s="120"/>
      <c r="C27" s="121"/>
      <c r="D27" s="119"/>
      <c r="E27" s="122"/>
      <c r="F27" s="8"/>
      <c r="G27" s="88"/>
    </row>
    <row r="28" spans="1:7" x14ac:dyDescent="0.25">
      <c r="A28" s="119"/>
      <c r="B28" s="120"/>
      <c r="C28" s="121"/>
      <c r="D28" s="119"/>
      <c r="E28" s="122"/>
      <c r="F28" s="8"/>
      <c r="G28" s="88"/>
    </row>
    <row r="29" spans="1:7" x14ac:dyDescent="0.25">
      <c r="A29" s="119"/>
      <c r="B29" s="120"/>
      <c r="C29" s="121"/>
      <c r="D29" s="119"/>
      <c r="E29" s="122"/>
      <c r="F29" s="8"/>
      <c r="G29" s="88"/>
    </row>
    <row r="30" spans="1:7" x14ac:dyDescent="0.25">
      <c r="A30" s="119"/>
      <c r="B30" s="120"/>
      <c r="C30" s="121"/>
      <c r="D30" s="119"/>
      <c r="E30" s="122"/>
      <c r="F30" s="8"/>
      <c r="G30" s="88"/>
    </row>
    <row r="31" spans="1:7" x14ac:dyDescent="0.25">
      <c r="A31" s="119"/>
      <c r="B31" s="120"/>
      <c r="C31" s="121"/>
      <c r="D31" s="119"/>
      <c r="E31" s="122"/>
      <c r="F31" s="8"/>
      <c r="G31" s="88"/>
    </row>
    <row r="32" spans="1:7" x14ac:dyDescent="0.25">
      <c r="A32" s="119"/>
      <c r="B32" s="120"/>
      <c r="C32" s="121"/>
      <c r="D32" s="119"/>
      <c r="E32" s="122"/>
      <c r="F32" s="8"/>
      <c r="G32" s="88"/>
    </row>
    <row r="33" spans="1:7" x14ac:dyDescent="0.25">
      <c r="A33" s="119"/>
      <c r="B33" s="120"/>
      <c r="C33" s="121"/>
      <c r="D33" s="119"/>
      <c r="E33" s="122"/>
      <c r="F33" s="8"/>
      <c r="G33" s="88"/>
    </row>
    <row r="34" spans="1:7" x14ac:dyDescent="0.25">
      <c r="A34" s="119"/>
      <c r="B34" s="120"/>
      <c r="C34" s="121"/>
      <c r="D34" s="119"/>
      <c r="E34" s="122"/>
      <c r="F34" s="8"/>
      <c r="G34" s="88"/>
    </row>
    <row r="35" spans="1:7" x14ac:dyDescent="0.25">
      <c r="A35" s="119"/>
      <c r="B35" s="120"/>
      <c r="C35" s="121"/>
      <c r="D35" s="119"/>
      <c r="E35" s="122"/>
      <c r="F35" s="8"/>
      <c r="G35" s="88"/>
    </row>
    <row r="36" spans="1:7" x14ac:dyDescent="0.25">
      <c r="A36" s="119"/>
      <c r="B36" s="120"/>
      <c r="C36" s="121"/>
      <c r="D36" s="119"/>
      <c r="E36" s="122"/>
      <c r="F36" s="8"/>
      <c r="G36" s="88"/>
    </row>
    <row r="37" spans="1:7" x14ac:dyDescent="0.25">
      <c r="A37" s="119"/>
      <c r="B37" s="120"/>
      <c r="C37" s="121"/>
      <c r="D37" s="119"/>
      <c r="E37" s="122"/>
      <c r="F37" s="8"/>
      <c r="G37" s="88"/>
    </row>
    <row r="38" spans="1:7" x14ac:dyDescent="0.25">
      <c r="A38" s="119"/>
      <c r="B38" s="120"/>
      <c r="C38" s="121"/>
      <c r="D38" s="119"/>
      <c r="E38" s="122"/>
      <c r="F38" s="8"/>
      <c r="G38" s="88"/>
    </row>
    <row r="39" spans="1:7" x14ac:dyDescent="0.25">
      <c r="A39" s="119"/>
      <c r="B39" s="120"/>
      <c r="C39" s="121"/>
      <c r="D39" s="119"/>
      <c r="E39" s="122"/>
      <c r="F39" s="8"/>
      <c r="G39" s="88"/>
    </row>
    <row r="40" spans="1:7" x14ac:dyDescent="0.25">
      <c r="A40" s="119"/>
      <c r="B40" s="120"/>
      <c r="C40" s="121"/>
      <c r="D40" s="119"/>
      <c r="E40" s="122"/>
      <c r="F40" s="8"/>
      <c r="G40" s="88"/>
    </row>
    <row r="41" spans="1:7" x14ac:dyDescent="0.25">
      <c r="A41" s="119"/>
      <c r="B41" s="120"/>
      <c r="C41" s="121"/>
      <c r="D41" s="119"/>
      <c r="E41" s="122"/>
      <c r="F41" s="8"/>
      <c r="G41" s="88"/>
    </row>
    <row r="42" spans="1:7" x14ac:dyDescent="0.25">
      <c r="A42" s="119"/>
      <c r="B42" s="120"/>
      <c r="C42" s="121"/>
      <c r="D42" s="119"/>
      <c r="E42" s="122"/>
      <c r="F42" s="8"/>
      <c r="G42" s="88"/>
    </row>
    <row r="43" spans="1:7" x14ac:dyDescent="0.25">
      <c r="A43" s="119"/>
      <c r="B43" s="120"/>
      <c r="C43" s="121"/>
      <c r="D43" s="119"/>
      <c r="E43" s="122"/>
      <c r="F43" s="8"/>
      <c r="G43" s="88"/>
    </row>
    <row r="44" spans="1:7" x14ac:dyDescent="0.25">
      <c r="A44" s="119"/>
      <c r="B44" s="120"/>
      <c r="C44" s="121"/>
      <c r="D44" s="119"/>
      <c r="E44" s="122"/>
      <c r="F44" s="8"/>
      <c r="G44" s="88"/>
    </row>
    <row r="45" spans="1:7" x14ac:dyDescent="0.25">
      <c r="A45" s="119"/>
      <c r="B45" s="120"/>
      <c r="C45" s="121"/>
      <c r="D45" s="119"/>
      <c r="E45" s="122"/>
      <c r="F45" s="8"/>
      <c r="G45" s="88"/>
    </row>
    <row r="46" spans="1:7" x14ac:dyDescent="0.25">
      <c r="A46" s="119"/>
      <c r="B46" s="120"/>
      <c r="C46" s="121"/>
      <c r="D46" s="119"/>
      <c r="E46" s="122"/>
      <c r="F46" s="8"/>
      <c r="G46" s="88"/>
    </row>
    <row r="47" spans="1:7" x14ac:dyDescent="0.25">
      <c r="A47" s="119"/>
      <c r="B47" s="120"/>
      <c r="C47" s="121"/>
      <c r="D47" s="119"/>
      <c r="E47" s="122"/>
      <c r="F47" s="8"/>
      <c r="G47" s="88"/>
    </row>
    <row r="48" spans="1:7" x14ac:dyDescent="0.25">
      <c r="A48" s="119"/>
      <c r="B48" s="120"/>
      <c r="C48" s="121"/>
      <c r="D48" s="119"/>
      <c r="E48" s="122"/>
    </row>
    <row r="49" spans="1:5" x14ac:dyDescent="0.25">
      <c r="A49" s="119"/>
      <c r="B49" s="120"/>
      <c r="C49" s="121"/>
      <c r="D49" s="119"/>
      <c r="E49" s="122"/>
    </row>
    <row r="50" spans="1:5" x14ac:dyDescent="0.25">
      <c r="A50" s="119"/>
      <c r="B50" s="120"/>
      <c r="C50" s="121"/>
      <c r="D50" s="119"/>
      <c r="E50" s="122"/>
    </row>
    <row r="51" spans="1:5" x14ac:dyDescent="0.25">
      <c r="A51" s="119"/>
      <c r="B51" s="120"/>
      <c r="C51" s="121"/>
      <c r="D51" s="119"/>
      <c r="E51" s="122"/>
    </row>
    <row r="52" spans="1:5" x14ac:dyDescent="0.25">
      <c r="A52" s="119"/>
      <c r="B52" s="120"/>
      <c r="C52" s="121"/>
      <c r="D52" s="119"/>
      <c r="E52" s="122"/>
    </row>
    <row r="53" spans="1:5" x14ac:dyDescent="0.25">
      <c r="A53" s="119"/>
      <c r="B53" s="120"/>
      <c r="C53" s="121"/>
      <c r="D53" s="119"/>
      <c r="E53" s="122"/>
    </row>
    <row r="54" spans="1:5" x14ac:dyDescent="0.25">
      <c r="A54" s="119"/>
      <c r="B54" s="120"/>
      <c r="C54" s="121"/>
      <c r="D54" s="119"/>
      <c r="E54" s="122"/>
    </row>
    <row r="55" spans="1:5" x14ac:dyDescent="0.25">
      <c r="A55" s="119"/>
      <c r="B55" s="120"/>
      <c r="C55" s="121"/>
      <c r="D55" s="119"/>
      <c r="E55" s="122"/>
    </row>
    <row r="56" spans="1:5" x14ac:dyDescent="0.25">
      <c r="A56" s="119"/>
      <c r="B56" s="120"/>
      <c r="C56" s="121"/>
      <c r="D56" s="119"/>
      <c r="E56" s="122"/>
    </row>
    <row r="57" spans="1:5" x14ac:dyDescent="0.25">
      <c r="A57" s="119"/>
      <c r="B57" s="120"/>
      <c r="C57" s="121"/>
      <c r="D57" s="119"/>
      <c r="E57" s="122"/>
    </row>
    <row r="58" spans="1:5" x14ac:dyDescent="0.25">
      <c r="A58" s="119"/>
      <c r="B58" s="120"/>
      <c r="C58" s="121"/>
      <c r="D58" s="119"/>
      <c r="E58" s="122"/>
    </row>
    <row r="59" spans="1:5" x14ac:dyDescent="0.25">
      <c r="A59" s="119"/>
      <c r="B59" s="120"/>
      <c r="C59" s="121"/>
      <c r="D59" s="119"/>
      <c r="E59" s="122"/>
    </row>
    <row r="60" spans="1:5" x14ac:dyDescent="0.25">
      <c r="A60" s="119"/>
      <c r="B60" s="120"/>
      <c r="C60" s="121"/>
      <c r="D60" s="119"/>
      <c r="E60" s="122"/>
    </row>
    <row r="61" spans="1:5" x14ac:dyDescent="0.25">
      <c r="A61" s="119"/>
      <c r="B61" s="120"/>
      <c r="C61" s="121"/>
      <c r="D61" s="119"/>
      <c r="E61" s="122"/>
    </row>
    <row r="62" spans="1:5" x14ac:dyDescent="0.25">
      <c r="A62" s="119"/>
      <c r="B62" s="120"/>
      <c r="C62" s="121"/>
      <c r="D62" s="119"/>
      <c r="E62" s="122"/>
    </row>
    <row r="63" spans="1:5" x14ac:dyDescent="0.25">
      <c r="A63" s="119"/>
      <c r="B63" s="120"/>
      <c r="C63" s="121"/>
      <c r="D63" s="119"/>
      <c r="E63" s="122"/>
    </row>
    <row r="64" spans="1:5" x14ac:dyDescent="0.25">
      <c r="A64" s="119"/>
      <c r="B64" s="120"/>
      <c r="C64" s="121"/>
      <c r="D64" s="119"/>
      <c r="E64" s="122"/>
    </row>
    <row r="65" spans="1:5" x14ac:dyDescent="0.25">
      <c r="A65" s="119"/>
      <c r="B65" s="120"/>
      <c r="C65" s="121"/>
      <c r="D65" s="119"/>
      <c r="E65" s="122"/>
    </row>
    <row r="66" spans="1:5" x14ac:dyDescent="0.25">
      <c r="A66" s="119"/>
      <c r="B66" s="120"/>
      <c r="C66" s="121"/>
      <c r="D66" s="119"/>
      <c r="E66" s="122"/>
    </row>
    <row r="67" spans="1:5" x14ac:dyDescent="0.25">
      <c r="A67" s="119"/>
      <c r="B67" s="120"/>
      <c r="C67" s="121"/>
      <c r="D67" s="119"/>
      <c r="E67" s="122"/>
    </row>
    <row r="68" spans="1:5" x14ac:dyDescent="0.25">
      <c r="A68" s="119"/>
      <c r="B68" s="120"/>
      <c r="C68" s="121"/>
      <c r="D68" s="119"/>
      <c r="E68" s="122"/>
    </row>
    <row r="69" spans="1:5" x14ac:dyDescent="0.25">
      <c r="A69" s="119"/>
      <c r="B69" s="120"/>
      <c r="C69" s="121"/>
      <c r="D69" s="119"/>
      <c r="E69" s="122"/>
    </row>
    <row r="70" spans="1:5" x14ac:dyDescent="0.25">
      <c r="A70" s="119"/>
      <c r="B70" s="120"/>
      <c r="C70" s="121"/>
      <c r="D70" s="119"/>
      <c r="E70" s="122"/>
    </row>
    <row r="71" spans="1:5" x14ac:dyDescent="0.25">
      <c r="A71" s="119"/>
      <c r="B71" s="120"/>
      <c r="C71" s="121"/>
      <c r="D71" s="119"/>
      <c r="E71" s="122"/>
    </row>
    <row r="72" spans="1:5" x14ac:dyDescent="0.25">
      <c r="A72" s="119"/>
      <c r="B72" s="120"/>
      <c r="C72" s="121"/>
      <c r="D72" s="119"/>
      <c r="E72" s="122"/>
    </row>
    <row r="73" spans="1:5" x14ac:dyDescent="0.25">
      <c r="A73" s="119"/>
      <c r="B73" s="120"/>
      <c r="C73" s="121"/>
      <c r="D73" s="119"/>
      <c r="E73" s="122"/>
    </row>
    <row r="74" spans="1:5" x14ac:dyDescent="0.25">
      <c r="A74" s="119"/>
      <c r="B74" s="120"/>
      <c r="C74" s="121"/>
      <c r="D74" s="119"/>
      <c r="E74" s="122"/>
    </row>
    <row r="75" spans="1:5" x14ac:dyDescent="0.25">
      <c r="A75" s="119"/>
      <c r="B75" s="120"/>
      <c r="C75" s="121"/>
      <c r="D75" s="119"/>
      <c r="E75" s="122"/>
    </row>
    <row r="76" spans="1:5" x14ac:dyDescent="0.25">
      <c r="A76" s="119"/>
      <c r="B76" s="120"/>
      <c r="C76" s="121"/>
      <c r="D76" s="119"/>
      <c r="E76" s="122"/>
    </row>
    <row r="77" spans="1:5" x14ac:dyDescent="0.25">
      <c r="A77" s="119"/>
      <c r="B77" s="120"/>
      <c r="C77" s="121"/>
      <c r="D77" s="119"/>
      <c r="E77" s="122"/>
    </row>
    <row r="78" spans="1:5" x14ac:dyDescent="0.25">
      <c r="A78" s="119"/>
      <c r="B78" s="120"/>
      <c r="C78" s="121"/>
      <c r="D78" s="119"/>
      <c r="E78" s="122"/>
    </row>
    <row r="79" spans="1:5" x14ac:dyDescent="0.25">
      <c r="A79" s="119"/>
      <c r="B79" s="120"/>
      <c r="C79" s="121"/>
      <c r="D79" s="119"/>
      <c r="E79" s="122"/>
    </row>
    <row r="80" spans="1:5" x14ac:dyDescent="0.25">
      <c r="A80" s="119"/>
      <c r="B80" s="120"/>
      <c r="C80" s="121"/>
      <c r="D80" s="119"/>
      <c r="E80" s="122"/>
    </row>
    <row r="81" spans="1:5" x14ac:dyDescent="0.25">
      <c r="A81" s="119"/>
      <c r="B81" s="120"/>
      <c r="C81" s="121"/>
      <c r="D81" s="119"/>
      <c r="E81" s="122"/>
    </row>
    <row r="82" spans="1:5" x14ac:dyDescent="0.25">
      <c r="A82" s="119"/>
      <c r="B82" s="120"/>
      <c r="C82" s="121"/>
      <c r="D82" s="119"/>
      <c r="E82" s="122"/>
    </row>
    <row r="83" spans="1:5" x14ac:dyDescent="0.25">
      <c r="A83" s="119"/>
      <c r="B83" s="120"/>
      <c r="C83" s="121"/>
      <c r="D83" s="119"/>
      <c r="E83" s="122"/>
    </row>
    <row r="84" spans="1:5" x14ac:dyDescent="0.25">
      <c r="A84" s="119"/>
      <c r="B84" s="120"/>
      <c r="C84" s="121"/>
      <c r="D84" s="119"/>
      <c r="E84" s="122"/>
    </row>
    <row r="85" spans="1:5" x14ac:dyDescent="0.25">
      <c r="A85" s="119"/>
      <c r="B85" s="120"/>
      <c r="C85" s="121"/>
      <c r="D85" s="119"/>
      <c r="E85" s="122"/>
    </row>
    <row r="86" spans="1:5" x14ac:dyDescent="0.25">
      <c r="A86" s="119"/>
      <c r="B86" s="120"/>
      <c r="C86" s="121"/>
      <c r="D86" s="119"/>
      <c r="E86" s="122"/>
    </row>
    <row r="87" spans="1:5" x14ac:dyDescent="0.25">
      <c r="A87" s="119"/>
      <c r="B87" s="120"/>
      <c r="C87" s="121"/>
      <c r="D87" s="119"/>
      <c r="E87" s="122"/>
    </row>
    <row r="88" spans="1:5" x14ac:dyDescent="0.25">
      <c r="A88" s="119"/>
      <c r="B88" s="120"/>
      <c r="C88" s="121"/>
      <c r="D88" s="119"/>
      <c r="E88" s="122"/>
    </row>
    <row r="89" spans="1:5" x14ac:dyDescent="0.25">
      <c r="A89" s="119"/>
      <c r="B89" s="120"/>
      <c r="C89" s="121"/>
      <c r="D89" s="119"/>
      <c r="E89" s="122"/>
    </row>
    <row r="90" spans="1:5" x14ac:dyDescent="0.25">
      <c r="A90" s="119"/>
      <c r="B90" s="120"/>
      <c r="C90" s="121"/>
      <c r="D90" s="119"/>
      <c r="E90" s="122"/>
    </row>
    <row r="91" spans="1:5" x14ac:dyDescent="0.25">
      <c r="A91" s="119"/>
      <c r="B91" s="120"/>
      <c r="C91" s="121"/>
      <c r="D91" s="119"/>
      <c r="E91" s="122"/>
    </row>
    <row r="92" spans="1:5" x14ac:dyDescent="0.25">
      <c r="A92" s="119"/>
      <c r="B92" s="120"/>
      <c r="C92" s="121"/>
      <c r="D92" s="119"/>
      <c r="E92" s="122"/>
    </row>
    <row r="93" spans="1:5" x14ac:dyDescent="0.25">
      <c r="A93" s="119"/>
      <c r="B93" s="120"/>
      <c r="C93" s="121"/>
      <c r="D93" s="119"/>
      <c r="E93" s="122"/>
    </row>
    <row r="94" spans="1:5" x14ac:dyDescent="0.25">
      <c r="A94" s="119"/>
      <c r="B94" s="120"/>
      <c r="C94" s="121"/>
      <c r="D94" s="119"/>
      <c r="E94" s="122"/>
    </row>
    <row r="95" spans="1:5" x14ac:dyDescent="0.25">
      <c r="A95" s="119"/>
      <c r="B95" s="120"/>
      <c r="C95" s="121"/>
      <c r="D95" s="119"/>
      <c r="E95" s="122"/>
    </row>
    <row r="96" spans="1:5" x14ac:dyDescent="0.25">
      <c r="A96" s="123"/>
      <c r="B96" s="124"/>
      <c r="C96" s="125"/>
      <c r="D96" s="119"/>
      <c r="E96" s="126"/>
    </row>
    <row r="97" spans="1:6" x14ac:dyDescent="0.25">
      <c r="A97" s="123"/>
      <c r="B97" s="124"/>
      <c r="C97" s="125"/>
      <c r="D97" s="119"/>
      <c r="E97" s="126"/>
    </row>
    <row r="98" spans="1:6" x14ac:dyDescent="0.25">
      <c r="A98" s="123"/>
      <c r="B98" s="124"/>
      <c r="C98" s="125"/>
      <c r="D98" s="119"/>
      <c r="E98" s="126"/>
    </row>
    <row r="99" spans="1:6" x14ac:dyDescent="0.25">
      <c r="A99" s="123"/>
      <c r="B99" s="124"/>
      <c r="C99" s="125"/>
      <c r="D99" s="119"/>
      <c r="E99" s="126"/>
    </row>
    <row r="100" spans="1:6" x14ac:dyDescent="0.25">
      <c r="D100" s="89">
        <f>SUM(D2:D99)</f>
        <v>31214</v>
      </c>
      <c r="E100" s="10">
        <f>SUM(E2:E99)</f>
        <v>640005.33326243551</v>
      </c>
      <c r="F100" s="93">
        <f>+D100/E100</f>
        <v>4.8771468576497994E-2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F100"/>
  <sheetViews>
    <sheetView workbookViewId="0">
      <selection sqref="A1:E11"/>
    </sheetView>
  </sheetViews>
  <sheetFormatPr defaultRowHeight="15" x14ac:dyDescent="0.25"/>
  <cols>
    <col min="1" max="1" width="7.85546875" style="3" bestFit="1" customWidth="1"/>
    <col min="2" max="2" width="11.5703125" style="3" bestFit="1" customWidth="1"/>
    <col min="3" max="3" width="10.140625" style="3" bestFit="1" customWidth="1"/>
    <col min="4" max="4" width="14.7109375" style="3" bestFit="1" customWidth="1"/>
    <col min="5" max="5" width="16.7109375" style="3" bestFit="1" customWidth="1"/>
  </cols>
  <sheetData>
    <row r="1" spans="1:5" x14ac:dyDescent="0.25">
      <c r="A1" s="213" t="s">
        <v>38</v>
      </c>
      <c r="B1" s="213" t="s">
        <v>9</v>
      </c>
      <c r="C1" s="213" t="s">
        <v>8</v>
      </c>
      <c r="D1" s="213" t="s">
        <v>39</v>
      </c>
      <c r="E1" s="213" t="s">
        <v>40</v>
      </c>
    </row>
    <row r="2" spans="1:5" x14ac:dyDescent="0.25">
      <c r="A2" s="214">
        <v>1034</v>
      </c>
      <c r="B2" s="215" t="s">
        <v>53</v>
      </c>
      <c r="C2" s="216">
        <v>41921</v>
      </c>
      <c r="D2" s="214">
        <v>1036</v>
      </c>
      <c r="E2" s="217">
        <v>25889.968737183372</v>
      </c>
    </row>
    <row r="3" spans="1:5" x14ac:dyDescent="0.25">
      <c r="A3" s="214">
        <v>1033</v>
      </c>
      <c r="B3" s="215" t="s">
        <v>53</v>
      </c>
      <c r="C3" s="216">
        <v>41922</v>
      </c>
      <c r="D3" s="214">
        <v>2267</v>
      </c>
      <c r="E3" s="217">
        <v>37783.571475691926</v>
      </c>
    </row>
    <row r="4" spans="1:5" x14ac:dyDescent="0.25">
      <c r="A4" s="214">
        <v>1062</v>
      </c>
      <c r="B4" s="215" t="s">
        <v>53</v>
      </c>
      <c r="C4" s="216">
        <v>41948</v>
      </c>
      <c r="D4" s="214">
        <v>861</v>
      </c>
      <c r="E4" s="217">
        <v>7161.6230458979589</v>
      </c>
    </row>
    <row r="5" spans="1:5" x14ac:dyDescent="0.25">
      <c r="A5" s="214">
        <v>1088</v>
      </c>
      <c r="B5" s="215" t="s">
        <v>53</v>
      </c>
      <c r="C5" s="216">
        <v>41976</v>
      </c>
      <c r="D5" s="214">
        <v>124</v>
      </c>
      <c r="E5" s="217">
        <v>12364.244246829141</v>
      </c>
    </row>
    <row r="6" spans="1:5" x14ac:dyDescent="0.25">
      <c r="A6" s="214">
        <v>1111</v>
      </c>
      <c r="B6" s="215" t="s">
        <v>53</v>
      </c>
      <c r="C6" s="216">
        <v>42005</v>
      </c>
      <c r="D6" s="214">
        <v>3439</v>
      </c>
      <c r="E6" s="217">
        <v>57295.218346881637</v>
      </c>
    </row>
    <row r="7" spans="1:5" x14ac:dyDescent="0.25">
      <c r="A7" s="214">
        <v>1178</v>
      </c>
      <c r="B7" s="215" t="s">
        <v>53</v>
      </c>
      <c r="C7" s="216">
        <v>42084</v>
      </c>
      <c r="D7" s="214">
        <v>9265</v>
      </c>
      <c r="E7" s="217">
        <v>132354.73729724414</v>
      </c>
    </row>
    <row r="8" spans="1:5" x14ac:dyDescent="0.25">
      <c r="A8" s="214">
        <v>1179</v>
      </c>
      <c r="B8" s="215" t="s">
        <v>53</v>
      </c>
      <c r="C8" s="216">
        <v>42085</v>
      </c>
      <c r="D8" s="214">
        <v>3041</v>
      </c>
      <c r="E8" s="217">
        <v>101427.8447130284</v>
      </c>
    </row>
    <row r="9" spans="1:5" x14ac:dyDescent="0.25">
      <c r="A9" s="214">
        <v>1207</v>
      </c>
      <c r="B9" s="215" t="s">
        <v>53</v>
      </c>
      <c r="C9" s="216">
        <v>42113</v>
      </c>
      <c r="D9" s="214">
        <v>6998</v>
      </c>
      <c r="E9" s="217">
        <v>161499.23791159422</v>
      </c>
    </row>
    <row r="10" spans="1:5" x14ac:dyDescent="0.25">
      <c r="A10" s="214">
        <v>1208</v>
      </c>
      <c r="B10" s="215" t="s">
        <v>53</v>
      </c>
      <c r="C10" s="216">
        <v>42114</v>
      </c>
      <c r="D10" s="214">
        <v>2593</v>
      </c>
      <c r="E10" s="217">
        <v>64803.111524990731</v>
      </c>
    </row>
    <row r="11" spans="1:5" x14ac:dyDescent="0.25">
      <c r="A11" s="214">
        <v>1210</v>
      </c>
      <c r="B11" s="215" t="s">
        <v>53</v>
      </c>
      <c r="C11" s="216">
        <v>42115</v>
      </c>
      <c r="D11" s="214">
        <v>853</v>
      </c>
      <c r="E11" s="217">
        <v>42605.814106453108</v>
      </c>
    </row>
    <row r="100" spans="4:6" x14ac:dyDescent="0.25">
      <c r="D100" s="95">
        <f>SUM(D2:D99)</f>
        <v>30477</v>
      </c>
      <c r="E100" s="94">
        <f>SUM(E2:E99)</f>
        <v>643185.37140579463</v>
      </c>
      <c r="F100" s="93">
        <f>+D100/E100</f>
        <v>4.7384473209313147E-2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100"/>
  <sheetViews>
    <sheetView workbookViewId="0"/>
  </sheetViews>
  <sheetFormatPr defaultRowHeight="15" x14ac:dyDescent="0.25"/>
  <cols>
    <col min="1" max="2" width="14.28515625" customWidth="1"/>
    <col min="3" max="3" width="14.28515625" style="92" customWidth="1"/>
    <col min="4" max="4" width="14.28515625" customWidth="1"/>
    <col min="5" max="5" width="16.7109375" bestFit="1" customWidth="1"/>
  </cols>
  <sheetData>
    <row r="1" spans="1:5" x14ac:dyDescent="0.25">
      <c r="A1" s="203" t="s">
        <v>38</v>
      </c>
      <c r="B1" s="203" t="s">
        <v>9</v>
      </c>
      <c r="C1" s="203" t="s">
        <v>8</v>
      </c>
      <c r="D1" s="203" t="s">
        <v>39</v>
      </c>
      <c r="E1" s="203" t="s">
        <v>40</v>
      </c>
    </row>
    <row r="2" spans="1:5" x14ac:dyDescent="0.25">
      <c r="A2" s="204">
        <v>1101</v>
      </c>
      <c r="B2" s="205" t="s">
        <v>2</v>
      </c>
      <c r="C2" s="206">
        <v>42004</v>
      </c>
      <c r="D2" s="204">
        <v>2218</v>
      </c>
      <c r="E2" s="207">
        <v>44344.421324569907</v>
      </c>
    </row>
    <row r="3" spans="1:5" x14ac:dyDescent="0.25">
      <c r="A3" s="204">
        <v>1102</v>
      </c>
      <c r="B3" s="205" t="s">
        <v>2</v>
      </c>
      <c r="C3" s="206">
        <v>42005</v>
      </c>
      <c r="D3" s="204">
        <v>518</v>
      </c>
      <c r="E3" s="207">
        <v>51837.711026503501</v>
      </c>
    </row>
    <row r="4" spans="1:5" x14ac:dyDescent="0.25">
      <c r="A4" s="204">
        <v>1103</v>
      </c>
      <c r="B4" s="205" t="s">
        <v>2</v>
      </c>
      <c r="C4" s="206">
        <v>42006</v>
      </c>
      <c r="D4" s="204">
        <v>666</v>
      </c>
      <c r="E4" s="207">
        <v>33253.16066975602</v>
      </c>
    </row>
    <row r="5" spans="1:5" x14ac:dyDescent="0.25">
      <c r="A5" s="204">
        <v>1140</v>
      </c>
      <c r="B5" s="205" t="s">
        <v>2</v>
      </c>
      <c r="C5" s="206">
        <v>42035</v>
      </c>
      <c r="D5" s="204">
        <v>2028</v>
      </c>
      <c r="E5" s="207">
        <v>50699.918206086426</v>
      </c>
    </row>
    <row r="6" spans="1:5" x14ac:dyDescent="0.25">
      <c r="A6" s="204">
        <v>1173</v>
      </c>
      <c r="B6" s="205" t="s">
        <v>2</v>
      </c>
      <c r="C6" s="206">
        <v>42084</v>
      </c>
      <c r="D6" s="204">
        <v>3141</v>
      </c>
      <c r="E6" s="207">
        <v>104686.82072416926</v>
      </c>
    </row>
    <row r="7" spans="1:5" x14ac:dyDescent="0.25">
      <c r="A7" s="204">
        <v>1174</v>
      </c>
      <c r="B7" s="205" t="s">
        <v>2</v>
      </c>
      <c r="C7" s="206">
        <v>42085</v>
      </c>
      <c r="D7" s="204">
        <v>1290</v>
      </c>
      <c r="E7" s="207">
        <v>64495.351307540623</v>
      </c>
    </row>
    <row r="8" spans="1:5" x14ac:dyDescent="0.25">
      <c r="A8" s="204">
        <v>1195</v>
      </c>
      <c r="B8" s="205" t="s">
        <v>2</v>
      </c>
      <c r="C8" s="206">
        <v>42112</v>
      </c>
      <c r="D8" s="204">
        <v>1212</v>
      </c>
      <c r="E8" s="207">
        <v>60659.882199237822</v>
      </c>
    </row>
    <row r="9" spans="1:5" x14ac:dyDescent="0.25">
      <c r="A9" s="204">
        <v>1196</v>
      </c>
      <c r="B9" s="205" t="s">
        <v>2</v>
      </c>
      <c r="C9" s="206">
        <v>42113</v>
      </c>
      <c r="D9" s="204">
        <v>2325</v>
      </c>
      <c r="E9" s="207">
        <v>63384.731634722804</v>
      </c>
    </row>
    <row r="10" spans="1:5" x14ac:dyDescent="0.25">
      <c r="A10" s="3"/>
      <c r="B10" s="3"/>
      <c r="C10" s="91"/>
      <c r="D10" s="3"/>
      <c r="E10" s="10"/>
    </row>
    <row r="11" spans="1:5" x14ac:dyDescent="0.25">
      <c r="A11" s="3"/>
      <c r="B11" s="3"/>
      <c r="C11" s="91"/>
      <c r="D11" s="3"/>
      <c r="E11" s="10"/>
    </row>
    <row r="12" spans="1:5" x14ac:dyDescent="0.25">
      <c r="A12" s="3"/>
      <c r="B12" s="3"/>
      <c r="C12" s="91"/>
      <c r="D12" s="3"/>
      <c r="E12" s="10"/>
    </row>
    <row r="13" spans="1:5" x14ac:dyDescent="0.25">
      <c r="A13" s="3"/>
      <c r="B13" s="3"/>
      <c r="C13" s="91"/>
      <c r="D13" s="3"/>
      <c r="E13" s="10"/>
    </row>
    <row r="14" spans="1:5" x14ac:dyDescent="0.25">
      <c r="A14" s="3"/>
      <c r="B14" s="3"/>
      <c r="C14" s="91"/>
      <c r="D14" s="3"/>
      <c r="E14" s="10"/>
    </row>
    <row r="15" spans="1:5" x14ac:dyDescent="0.25">
      <c r="A15" s="3"/>
      <c r="B15" s="3"/>
      <c r="C15" s="91"/>
      <c r="D15" s="3"/>
      <c r="E15" s="10"/>
    </row>
    <row r="16" spans="1:5" x14ac:dyDescent="0.25">
      <c r="A16" s="3"/>
      <c r="B16" s="3"/>
      <c r="C16" s="91"/>
      <c r="D16" s="3"/>
      <c r="E16" s="10"/>
    </row>
    <row r="17" spans="1:5" x14ac:dyDescent="0.25">
      <c r="A17" s="3"/>
      <c r="B17" s="3"/>
      <c r="C17" s="91"/>
      <c r="D17" s="3"/>
      <c r="E17" s="10"/>
    </row>
    <row r="18" spans="1:5" x14ac:dyDescent="0.25">
      <c r="A18" s="3"/>
      <c r="B18" s="3"/>
      <c r="C18" s="91"/>
      <c r="D18" s="3"/>
      <c r="E18" s="10"/>
    </row>
    <row r="19" spans="1:5" x14ac:dyDescent="0.25">
      <c r="A19" s="3"/>
      <c r="B19" s="3"/>
      <c r="C19" s="91"/>
      <c r="D19" s="3"/>
      <c r="E19" s="10"/>
    </row>
    <row r="20" spans="1:5" x14ac:dyDescent="0.25">
      <c r="A20" s="3"/>
      <c r="B20" s="3"/>
      <c r="C20" s="91"/>
      <c r="D20" s="3"/>
      <c r="E20" s="10"/>
    </row>
    <row r="21" spans="1:5" x14ac:dyDescent="0.25">
      <c r="A21" s="3"/>
      <c r="B21" s="3"/>
      <c r="C21" s="91"/>
      <c r="D21" s="3"/>
      <c r="E21" s="10"/>
    </row>
    <row r="22" spans="1:5" x14ac:dyDescent="0.25">
      <c r="A22" s="3"/>
      <c r="B22" s="3"/>
      <c r="C22" s="91"/>
      <c r="D22" s="3"/>
      <c r="E22" s="10"/>
    </row>
    <row r="23" spans="1:5" x14ac:dyDescent="0.25">
      <c r="A23" s="3"/>
      <c r="B23" s="3"/>
      <c r="C23" s="91"/>
      <c r="D23" s="3"/>
      <c r="E23" s="10"/>
    </row>
    <row r="24" spans="1:5" x14ac:dyDescent="0.25">
      <c r="A24" s="3"/>
      <c r="B24" s="3"/>
      <c r="C24" s="91"/>
      <c r="D24" s="3"/>
      <c r="E24" s="10"/>
    </row>
    <row r="25" spans="1:5" x14ac:dyDescent="0.25">
      <c r="A25" s="3"/>
      <c r="B25" s="3"/>
      <c r="C25" s="91"/>
      <c r="D25" s="3"/>
      <c r="E25" s="10"/>
    </row>
    <row r="26" spans="1:5" x14ac:dyDescent="0.25">
      <c r="A26" s="3"/>
      <c r="B26" s="3"/>
      <c r="C26" s="91"/>
      <c r="D26" s="3"/>
      <c r="E26" s="10"/>
    </row>
    <row r="27" spans="1:5" x14ac:dyDescent="0.25">
      <c r="A27" s="3"/>
      <c r="B27" s="3"/>
      <c r="C27" s="91"/>
      <c r="D27" s="3"/>
      <c r="E27" s="10"/>
    </row>
    <row r="28" spans="1:5" x14ac:dyDescent="0.25">
      <c r="A28" s="3"/>
      <c r="B28" s="3"/>
      <c r="C28" s="91"/>
      <c r="D28" s="3"/>
      <c r="E28" s="10"/>
    </row>
    <row r="29" spans="1:5" x14ac:dyDescent="0.25">
      <c r="A29" s="3"/>
      <c r="B29" s="3"/>
      <c r="C29" s="91"/>
      <c r="D29" s="3"/>
      <c r="E29" s="10"/>
    </row>
    <row r="30" spans="1:5" x14ac:dyDescent="0.25">
      <c r="A30" s="3"/>
      <c r="B30" s="3"/>
      <c r="C30" s="91"/>
      <c r="D30" s="3"/>
      <c r="E30" s="10"/>
    </row>
    <row r="31" spans="1:5" x14ac:dyDescent="0.25">
      <c r="A31" s="3"/>
      <c r="B31" s="3"/>
      <c r="C31" s="91"/>
      <c r="D31" s="3"/>
      <c r="E31" s="10"/>
    </row>
    <row r="32" spans="1:5" x14ac:dyDescent="0.25">
      <c r="A32" s="3"/>
      <c r="B32" s="3"/>
      <c r="C32" s="91"/>
      <c r="D32" s="3"/>
      <c r="E32" s="10"/>
    </row>
    <row r="33" spans="1:5" x14ac:dyDescent="0.25">
      <c r="A33" s="3"/>
      <c r="B33" s="3"/>
      <c r="C33" s="91"/>
      <c r="D33" s="3"/>
      <c r="E33" s="10"/>
    </row>
    <row r="34" spans="1:5" x14ac:dyDescent="0.25">
      <c r="A34" s="3"/>
      <c r="B34" s="3"/>
      <c r="C34" s="91"/>
      <c r="D34" s="3"/>
      <c r="E34" s="10"/>
    </row>
    <row r="35" spans="1:5" x14ac:dyDescent="0.25">
      <c r="A35" s="3"/>
      <c r="B35" s="3"/>
      <c r="C35" s="91"/>
      <c r="D35" s="3"/>
      <c r="E35" s="10"/>
    </row>
    <row r="36" spans="1:5" x14ac:dyDescent="0.25">
      <c r="A36" s="3"/>
      <c r="B36" s="3"/>
      <c r="C36" s="91"/>
      <c r="D36" s="3"/>
      <c r="E36" s="10"/>
    </row>
    <row r="37" spans="1:5" x14ac:dyDescent="0.25">
      <c r="A37" s="3"/>
      <c r="B37" s="3"/>
      <c r="C37" s="91"/>
      <c r="D37" s="3"/>
      <c r="E37" s="10"/>
    </row>
    <row r="38" spans="1:5" x14ac:dyDescent="0.25">
      <c r="A38" s="3"/>
      <c r="B38" s="3"/>
      <c r="C38" s="91"/>
      <c r="D38" s="3"/>
      <c r="E38" s="10"/>
    </row>
    <row r="39" spans="1:5" x14ac:dyDescent="0.25">
      <c r="A39" s="3"/>
      <c r="B39" s="3"/>
      <c r="C39" s="91"/>
      <c r="D39" s="3"/>
      <c r="E39" s="10"/>
    </row>
    <row r="40" spans="1:5" x14ac:dyDescent="0.25">
      <c r="A40" s="3"/>
      <c r="B40" s="3"/>
      <c r="C40" s="91"/>
      <c r="D40" s="3"/>
      <c r="E40" s="10"/>
    </row>
    <row r="41" spans="1:5" x14ac:dyDescent="0.25">
      <c r="A41" s="3"/>
      <c r="B41" s="3"/>
      <c r="C41" s="91"/>
      <c r="D41" s="3"/>
      <c r="E41" s="10"/>
    </row>
    <row r="42" spans="1:5" x14ac:dyDescent="0.25">
      <c r="A42" s="3"/>
      <c r="B42" s="3"/>
      <c r="C42" s="91"/>
      <c r="D42" s="3"/>
      <c r="E42" s="10"/>
    </row>
    <row r="43" spans="1:5" x14ac:dyDescent="0.25">
      <c r="A43" s="3"/>
      <c r="B43" s="3"/>
      <c r="C43" s="91"/>
      <c r="D43" s="3"/>
      <c r="E43" s="10"/>
    </row>
    <row r="44" spans="1:5" x14ac:dyDescent="0.25">
      <c r="A44" s="3"/>
      <c r="B44" s="3"/>
      <c r="C44" s="91"/>
      <c r="D44" s="3"/>
      <c r="E44" s="10"/>
    </row>
    <row r="45" spans="1:5" x14ac:dyDescent="0.25">
      <c r="A45" s="3"/>
      <c r="B45" s="3"/>
      <c r="C45" s="91"/>
      <c r="D45" s="3"/>
      <c r="E45" s="10"/>
    </row>
    <row r="46" spans="1:5" x14ac:dyDescent="0.25">
      <c r="A46" s="3"/>
      <c r="B46" s="3"/>
      <c r="C46" s="91"/>
      <c r="D46" s="3"/>
      <c r="E46" s="10"/>
    </row>
    <row r="47" spans="1:5" x14ac:dyDescent="0.25">
      <c r="A47" s="3"/>
      <c r="B47" s="3"/>
      <c r="C47" s="91"/>
      <c r="D47" s="3"/>
      <c r="E47" s="10"/>
    </row>
    <row r="48" spans="1:5" x14ac:dyDescent="0.25">
      <c r="A48" s="3"/>
      <c r="B48" s="3"/>
      <c r="C48" s="91"/>
      <c r="D48" s="3"/>
      <c r="E48" s="10"/>
    </row>
    <row r="49" spans="1:5" x14ac:dyDescent="0.25">
      <c r="A49" s="3"/>
      <c r="B49" s="3"/>
      <c r="C49" s="91"/>
      <c r="D49" s="3"/>
      <c r="E49" s="10"/>
    </row>
    <row r="50" spans="1:5" x14ac:dyDescent="0.25">
      <c r="A50" s="3"/>
      <c r="B50" s="3"/>
      <c r="C50" s="91"/>
      <c r="D50" s="3"/>
      <c r="E50" s="10"/>
    </row>
    <row r="51" spans="1:5" x14ac:dyDescent="0.25">
      <c r="A51" s="3"/>
      <c r="B51" s="3"/>
      <c r="C51" s="91"/>
      <c r="D51" s="3"/>
      <c r="E51" s="10"/>
    </row>
    <row r="52" spans="1:5" x14ac:dyDescent="0.25">
      <c r="A52" s="3"/>
      <c r="B52" s="3"/>
      <c r="C52" s="91"/>
      <c r="D52" s="3"/>
      <c r="E52" s="10"/>
    </row>
    <row r="53" spans="1:5" x14ac:dyDescent="0.25">
      <c r="A53" s="3"/>
      <c r="B53" s="3"/>
      <c r="C53" s="91"/>
      <c r="D53" s="3"/>
      <c r="E53" s="10"/>
    </row>
    <row r="54" spans="1:5" x14ac:dyDescent="0.25">
      <c r="A54" s="3"/>
      <c r="B54" s="3"/>
      <c r="C54" s="91"/>
      <c r="D54" s="3"/>
      <c r="E54" s="10"/>
    </row>
    <row r="55" spans="1:5" x14ac:dyDescent="0.25">
      <c r="A55" s="3"/>
      <c r="B55" s="3"/>
      <c r="C55" s="91"/>
      <c r="D55" s="3"/>
      <c r="E55" s="10"/>
    </row>
    <row r="56" spans="1:5" x14ac:dyDescent="0.25">
      <c r="A56" s="3"/>
      <c r="B56" s="3"/>
      <c r="C56" s="91"/>
      <c r="D56" s="3"/>
      <c r="E56" s="10"/>
    </row>
    <row r="57" spans="1:5" x14ac:dyDescent="0.25">
      <c r="A57" s="3"/>
      <c r="B57" s="3"/>
      <c r="C57" s="91"/>
      <c r="D57" s="3"/>
      <c r="E57" s="10"/>
    </row>
    <row r="58" spans="1:5" x14ac:dyDescent="0.25">
      <c r="A58" s="3"/>
      <c r="B58" s="3"/>
      <c r="C58" s="91"/>
      <c r="D58" s="3"/>
      <c r="E58" s="10"/>
    </row>
    <row r="59" spans="1:5" x14ac:dyDescent="0.25">
      <c r="A59" s="3"/>
      <c r="B59" s="3"/>
      <c r="C59" s="91"/>
      <c r="D59" s="3"/>
      <c r="E59" s="10"/>
    </row>
    <row r="60" spans="1:5" x14ac:dyDescent="0.25">
      <c r="A60" s="3"/>
      <c r="B60" s="3"/>
      <c r="C60" s="91"/>
      <c r="D60" s="3"/>
      <c r="E60" s="10"/>
    </row>
    <row r="61" spans="1:5" x14ac:dyDescent="0.25">
      <c r="A61" s="3"/>
      <c r="B61" s="3"/>
      <c r="C61" s="91"/>
      <c r="D61" s="3"/>
      <c r="E61" s="10"/>
    </row>
    <row r="62" spans="1:5" x14ac:dyDescent="0.25">
      <c r="A62" s="3"/>
      <c r="B62" s="3"/>
      <c r="C62" s="91"/>
      <c r="D62" s="3"/>
      <c r="E62" s="10"/>
    </row>
    <row r="63" spans="1:5" x14ac:dyDescent="0.25">
      <c r="A63" s="3"/>
      <c r="B63" s="3"/>
      <c r="C63" s="91"/>
      <c r="D63" s="3"/>
      <c r="E63" s="10"/>
    </row>
    <row r="64" spans="1:5" x14ac:dyDescent="0.25">
      <c r="A64" s="3"/>
      <c r="B64" s="3"/>
      <c r="C64" s="91"/>
      <c r="D64" s="3"/>
      <c r="E64" s="10"/>
    </row>
    <row r="65" spans="1:5" x14ac:dyDescent="0.25">
      <c r="A65" s="3"/>
      <c r="B65" s="3"/>
      <c r="C65" s="91"/>
      <c r="D65" s="3"/>
      <c r="E65" s="10"/>
    </row>
    <row r="66" spans="1:5" x14ac:dyDescent="0.25">
      <c r="A66" s="3"/>
      <c r="B66" s="3"/>
      <c r="C66" s="91"/>
      <c r="D66" s="3"/>
      <c r="E66" s="10"/>
    </row>
    <row r="67" spans="1:5" x14ac:dyDescent="0.25">
      <c r="A67" s="3"/>
      <c r="B67" s="3"/>
      <c r="C67" s="91"/>
      <c r="D67" s="3"/>
      <c r="E67" s="10"/>
    </row>
    <row r="68" spans="1:5" x14ac:dyDescent="0.25">
      <c r="A68" s="3"/>
      <c r="B68" s="3"/>
      <c r="C68" s="91"/>
      <c r="D68" s="3"/>
      <c r="E68" s="10"/>
    </row>
    <row r="69" spans="1:5" x14ac:dyDescent="0.25">
      <c r="A69" s="3"/>
      <c r="B69" s="3"/>
      <c r="C69" s="91"/>
      <c r="D69" s="3"/>
      <c r="E69" s="10"/>
    </row>
    <row r="70" spans="1:5" x14ac:dyDescent="0.25">
      <c r="A70" s="3"/>
      <c r="B70" s="3"/>
      <c r="C70" s="91"/>
      <c r="D70" s="3"/>
      <c r="E70" s="10"/>
    </row>
    <row r="71" spans="1:5" x14ac:dyDescent="0.25">
      <c r="A71" s="3"/>
      <c r="B71" s="3"/>
      <c r="C71" s="91"/>
      <c r="D71" s="3"/>
      <c r="E71" s="10"/>
    </row>
    <row r="72" spans="1:5" x14ac:dyDescent="0.25">
      <c r="A72" s="3"/>
      <c r="B72" s="3"/>
      <c r="C72" s="91"/>
      <c r="D72" s="3"/>
      <c r="E72" s="10"/>
    </row>
    <row r="73" spans="1:5" x14ac:dyDescent="0.25">
      <c r="A73" s="3"/>
      <c r="B73" s="3"/>
      <c r="C73" s="91"/>
      <c r="D73" s="3"/>
      <c r="E73" s="10"/>
    </row>
    <row r="74" spans="1:5" x14ac:dyDescent="0.25">
      <c r="A74" s="3"/>
      <c r="B74" s="3"/>
      <c r="C74" s="91"/>
      <c r="D74" s="3"/>
      <c r="E74" s="10"/>
    </row>
    <row r="75" spans="1:5" x14ac:dyDescent="0.25">
      <c r="A75" s="3"/>
      <c r="B75" s="3"/>
      <c r="C75" s="91"/>
      <c r="D75" s="3"/>
      <c r="E75" s="10"/>
    </row>
    <row r="76" spans="1:5" x14ac:dyDescent="0.25">
      <c r="A76" s="3"/>
      <c r="B76" s="3"/>
      <c r="C76" s="91"/>
      <c r="D76" s="3"/>
      <c r="E76" s="10"/>
    </row>
    <row r="77" spans="1:5" x14ac:dyDescent="0.25">
      <c r="A77" s="3"/>
      <c r="B77" s="3"/>
      <c r="C77" s="91"/>
      <c r="D77" s="3"/>
      <c r="E77" s="10"/>
    </row>
    <row r="78" spans="1:5" x14ac:dyDescent="0.25">
      <c r="A78" s="3"/>
      <c r="B78" s="3"/>
      <c r="C78" s="91"/>
      <c r="D78" s="3"/>
      <c r="E78" s="10"/>
    </row>
    <row r="79" spans="1:5" x14ac:dyDescent="0.25">
      <c r="A79" s="3"/>
      <c r="B79" s="3"/>
      <c r="C79" s="91"/>
      <c r="D79" s="3"/>
      <c r="E79" s="10"/>
    </row>
    <row r="80" spans="1:5" x14ac:dyDescent="0.25">
      <c r="A80" s="3"/>
      <c r="B80" s="3"/>
      <c r="C80" s="91"/>
      <c r="D80" s="3"/>
      <c r="E80" s="10"/>
    </row>
    <row r="81" spans="1:5" x14ac:dyDescent="0.25">
      <c r="A81" s="3"/>
      <c r="B81" s="3"/>
      <c r="C81" s="91"/>
      <c r="D81" s="3"/>
      <c r="E81" s="10"/>
    </row>
    <row r="82" spans="1:5" x14ac:dyDescent="0.25">
      <c r="A82" s="3"/>
      <c r="B82" s="3"/>
      <c r="C82" s="91"/>
      <c r="D82" s="3"/>
      <c r="E82" s="10"/>
    </row>
    <row r="83" spans="1:5" x14ac:dyDescent="0.25">
      <c r="A83" s="3"/>
      <c r="B83" s="3"/>
      <c r="C83" s="91"/>
      <c r="D83" s="3"/>
      <c r="E83" s="10"/>
    </row>
    <row r="84" spans="1:5" x14ac:dyDescent="0.25">
      <c r="A84" s="3"/>
      <c r="B84" s="3"/>
      <c r="C84" s="91"/>
      <c r="D84" s="3"/>
      <c r="E84" s="10"/>
    </row>
    <row r="85" spans="1:5" x14ac:dyDescent="0.25">
      <c r="A85" s="3"/>
      <c r="B85" s="3"/>
      <c r="C85" s="91"/>
      <c r="D85" s="3"/>
      <c r="E85" s="10"/>
    </row>
    <row r="86" spans="1:5" x14ac:dyDescent="0.25">
      <c r="A86" s="3"/>
      <c r="B86" s="3"/>
      <c r="C86" s="91"/>
      <c r="D86" s="3"/>
      <c r="E86" s="10"/>
    </row>
    <row r="87" spans="1:5" x14ac:dyDescent="0.25">
      <c r="A87" s="3"/>
      <c r="B87" s="3"/>
      <c r="C87" s="91"/>
      <c r="D87" s="3"/>
      <c r="E87" s="10"/>
    </row>
    <row r="88" spans="1:5" x14ac:dyDescent="0.25">
      <c r="A88" s="3"/>
      <c r="B88" s="3"/>
      <c r="C88" s="91"/>
      <c r="D88" s="3"/>
      <c r="E88" s="10"/>
    </row>
    <row r="89" spans="1:5" x14ac:dyDescent="0.25">
      <c r="A89" s="3"/>
      <c r="B89" s="3"/>
      <c r="C89" s="91"/>
      <c r="D89" s="3"/>
      <c r="E89" s="10"/>
    </row>
    <row r="90" spans="1:5" x14ac:dyDescent="0.25">
      <c r="A90" s="3"/>
      <c r="B90" s="3"/>
      <c r="C90" s="91"/>
      <c r="D90" s="3"/>
      <c r="E90" s="10"/>
    </row>
    <row r="91" spans="1:5" x14ac:dyDescent="0.25">
      <c r="A91" s="3"/>
      <c r="B91" s="3"/>
      <c r="C91" s="91"/>
      <c r="D91" s="3"/>
      <c r="E91" s="10"/>
    </row>
    <row r="92" spans="1:5" x14ac:dyDescent="0.25">
      <c r="A92" s="3"/>
      <c r="B92" s="3"/>
      <c r="C92" s="91"/>
      <c r="D92" s="3"/>
      <c r="E92" s="10"/>
    </row>
    <row r="93" spans="1:5" x14ac:dyDescent="0.25">
      <c r="A93" s="3"/>
      <c r="B93" s="3"/>
      <c r="C93" s="91"/>
      <c r="D93" s="3"/>
      <c r="E93" s="10"/>
    </row>
    <row r="94" spans="1:5" x14ac:dyDescent="0.25">
      <c r="A94" s="3"/>
      <c r="B94" s="3"/>
      <c r="C94" s="91"/>
      <c r="D94" s="3"/>
      <c r="E94" s="10"/>
    </row>
    <row r="95" spans="1:5" x14ac:dyDescent="0.25">
      <c r="A95" s="3"/>
      <c r="B95" s="3"/>
      <c r="C95" s="91"/>
      <c r="D95" s="3"/>
      <c r="E95" s="10"/>
    </row>
    <row r="96" spans="1:5" x14ac:dyDescent="0.25">
      <c r="A96" s="3"/>
      <c r="B96" s="3"/>
      <c r="C96" s="91"/>
      <c r="D96" s="3"/>
      <c r="E96" s="10"/>
    </row>
    <row r="97" spans="1:6" x14ac:dyDescent="0.25">
      <c r="A97" s="3"/>
      <c r="B97" s="3"/>
      <c r="C97" s="91"/>
      <c r="D97" s="3"/>
      <c r="E97" s="10"/>
    </row>
    <row r="98" spans="1:6" x14ac:dyDescent="0.25">
      <c r="A98" s="3"/>
      <c r="B98" s="3"/>
      <c r="C98" s="91"/>
      <c r="D98" s="3"/>
      <c r="E98" s="10"/>
    </row>
    <row r="99" spans="1:6" x14ac:dyDescent="0.25">
      <c r="A99" s="3"/>
      <c r="B99" s="3"/>
      <c r="C99" s="91"/>
      <c r="D99" s="3"/>
      <c r="E99" s="10"/>
    </row>
    <row r="100" spans="1:6" x14ac:dyDescent="0.25">
      <c r="A100" s="3"/>
      <c r="B100" s="3"/>
      <c r="C100" s="91"/>
      <c r="D100" s="89">
        <f>SUM(D2:D99)</f>
        <v>13398</v>
      </c>
      <c r="E100" s="10">
        <f>SUM(E2:E99)</f>
        <v>473361.9970925863</v>
      </c>
      <c r="F100" s="93">
        <f>+D100/E100</f>
        <v>2.8303919795613513E-2</v>
      </c>
    </row>
  </sheetData>
  <pageMargins left="0.7" right="0.7" top="0.75" bottom="0.75" header="0.3" footer="0.3"/>
  <pageSetup orientation="portrait" r:id="rId1"/>
  <ignoredErrors>
    <ignoredError sqref="F100" evalErro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100"/>
  <sheetViews>
    <sheetView workbookViewId="0">
      <selection sqref="A1:E8"/>
    </sheetView>
  </sheetViews>
  <sheetFormatPr defaultRowHeight="15" x14ac:dyDescent="0.25"/>
  <cols>
    <col min="1" max="2" width="15.140625" customWidth="1"/>
    <col min="3" max="3" width="15.140625" style="92" customWidth="1"/>
    <col min="4" max="4" width="15.140625" customWidth="1"/>
    <col min="5" max="5" width="16.7109375" bestFit="1" customWidth="1"/>
  </cols>
  <sheetData>
    <row r="1" spans="1:5" x14ac:dyDescent="0.25">
      <c r="A1" s="208" t="s">
        <v>38</v>
      </c>
      <c r="B1" s="208" t="s">
        <v>9</v>
      </c>
      <c r="C1" s="208" t="s">
        <v>8</v>
      </c>
      <c r="D1" s="208" t="s">
        <v>39</v>
      </c>
      <c r="E1" s="208" t="s">
        <v>40</v>
      </c>
    </row>
    <row r="2" spans="1:5" x14ac:dyDescent="0.25">
      <c r="A2" s="209">
        <v>1098</v>
      </c>
      <c r="B2" s="210" t="s">
        <v>3</v>
      </c>
      <c r="C2" s="211">
        <v>42004</v>
      </c>
      <c r="D2" s="209">
        <v>0</v>
      </c>
      <c r="E2" s="212">
        <v>29884.655699842595</v>
      </c>
    </row>
    <row r="3" spans="1:5" x14ac:dyDescent="0.25">
      <c r="A3" s="209">
        <v>1099</v>
      </c>
      <c r="B3" s="210" t="s">
        <v>3</v>
      </c>
      <c r="C3" s="211">
        <v>42005</v>
      </c>
      <c r="D3" s="209">
        <v>1770</v>
      </c>
      <c r="E3" s="212">
        <v>44211.617242533437</v>
      </c>
    </row>
    <row r="4" spans="1:5" x14ac:dyDescent="0.25">
      <c r="A4" s="209">
        <v>1138</v>
      </c>
      <c r="B4" s="210" t="s">
        <v>3</v>
      </c>
      <c r="C4" s="211">
        <v>42034</v>
      </c>
      <c r="D4" s="209">
        <v>0</v>
      </c>
      <c r="E4" s="212">
        <v>36714.642872889228</v>
      </c>
    </row>
    <row r="5" spans="1:5" x14ac:dyDescent="0.25">
      <c r="A5" s="209">
        <v>1139</v>
      </c>
      <c r="B5" s="210" t="s">
        <v>3</v>
      </c>
      <c r="C5" s="211">
        <v>42035</v>
      </c>
      <c r="D5" s="209">
        <v>548</v>
      </c>
      <c r="E5" s="212">
        <v>41175.028213694175</v>
      </c>
    </row>
    <row r="6" spans="1:5" x14ac:dyDescent="0.25">
      <c r="A6" s="209">
        <v>1172</v>
      </c>
      <c r="B6" s="210" t="s">
        <v>3</v>
      </c>
      <c r="C6" s="211">
        <v>42085</v>
      </c>
      <c r="D6" s="209">
        <v>761</v>
      </c>
      <c r="E6" s="212">
        <v>45703.244342219004</v>
      </c>
    </row>
    <row r="7" spans="1:5" x14ac:dyDescent="0.25">
      <c r="A7" s="209">
        <v>1198</v>
      </c>
      <c r="B7" s="210" t="s">
        <v>3</v>
      </c>
      <c r="C7" s="211">
        <v>42112</v>
      </c>
      <c r="D7" s="209">
        <v>488</v>
      </c>
      <c r="E7" s="212">
        <v>49015.117049668981</v>
      </c>
    </row>
    <row r="8" spans="1:5" x14ac:dyDescent="0.25">
      <c r="A8" s="209">
        <v>1216</v>
      </c>
      <c r="B8" s="210" t="s">
        <v>3</v>
      </c>
      <c r="C8" s="211">
        <v>42126</v>
      </c>
      <c r="D8" s="209">
        <v>496</v>
      </c>
      <c r="E8" s="212">
        <v>16519.155481225138</v>
      </c>
    </row>
    <row r="9" spans="1:5" x14ac:dyDescent="0.25">
      <c r="A9" s="127"/>
      <c r="B9" s="128"/>
      <c r="C9" s="129"/>
      <c r="D9" s="127"/>
      <c r="E9" s="130"/>
    </row>
    <row r="10" spans="1:5" x14ac:dyDescent="0.25">
      <c r="A10" s="127"/>
      <c r="B10" s="128"/>
      <c r="C10" s="129"/>
      <c r="D10" s="127"/>
      <c r="E10" s="130"/>
    </row>
    <row r="11" spans="1:5" x14ac:dyDescent="0.25">
      <c r="A11" s="127"/>
      <c r="B11" s="128"/>
      <c r="C11" s="129"/>
      <c r="D11" s="127"/>
      <c r="E11" s="130"/>
    </row>
    <row r="12" spans="1:5" x14ac:dyDescent="0.25">
      <c r="A12" s="127"/>
      <c r="B12" s="128"/>
      <c r="C12" s="129"/>
      <c r="D12" s="127"/>
      <c r="E12" s="130"/>
    </row>
    <row r="13" spans="1:5" x14ac:dyDescent="0.25">
      <c r="A13" s="127"/>
      <c r="B13" s="128"/>
      <c r="C13" s="129"/>
      <c r="D13" s="127"/>
      <c r="E13" s="130"/>
    </row>
    <row r="14" spans="1:5" x14ac:dyDescent="0.25">
      <c r="A14" s="127"/>
      <c r="B14" s="128"/>
      <c r="C14" s="129"/>
      <c r="D14" s="127"/>
      <c r="E14" s="130"/>
    </row>
    <row r="15" spans="1:5" x14ac:dyDescent="0.25">
      <c r="A15" s="127"/>
      <c r="B15" s="128"/>
      <c r="C15" s="129"/>
      <c r="D15" s="127"/>
      <c r="E15" s="130"/>
    </row>
    <row r="16" spans="1:5" x14ac:dyDescent="0.25">
      <c r="A16" s="127"/>
      <c r="B16" s="128"/>
      <c r="C16" s="129"/>
      <c r="D16" s="127"/>
      <c r="E16" s="130"/>
    </row>
    <row r="17" spans="1:5" x14ac:dyDescent="0.25">
      <c r="A17" s="127"/>
      <c r="B17" s="128"/>
      <c r="C17" s="129"/>
      <c r="D17" s="127"/>
      <c r="E17" s="130"/>
    </row>
    <row r="18" spans="1:5" x14ac:dyDescent="0.25">
      <c r="A18" s="127"/>
      <c r="B18" s="128"/>
      <c r="C18" s="129"/>
      <c r="D18" s="127"/>
      <c r="E18" s="130"/>
    </row>
    <row r="19" spans="1:5" x14ac:dyDescent="0.25">
      <c r="A19" s="127"/>
      <c r="B19" s="128"/>
      <c r="C19" s="129"/>
      <c r="D19" s="127"/>
      <c r="E19" s="130"/>
    </row>
    <row r="20" spans="1:5" x14ac:dyDescent="0.25">
      <c r="A20" s="127"/>
      <c r="B20" s="128"/>
      <c r="C20" s="129"/>
      <c r="D20" s="127"/>
      <c r="E20" s="130"/>
    </row>
    <row r="21" spans="1:5" x14ac:dyDescent="0.25">
      <c r="A21" s="127"/>
      <c r="B21" s="128"/>
      <c r="C21" s="129"/>
      <c r="D21" s="127"/>
      <c r="E21" s="130"/>
    </row>
    <row r="22" spans="1:5" x14ac:dyDescent="0.25">
      <c r="A22" s="127"/>
      <c r="B22" s="128"/>
      <c r="C22" s="129"/>
      <c r="D22" s="127"/>
      <c r="E22" s="130"/>
    </row>
    <row r="23" spans="1:5" x14ac:dyDescent="0.25">
      <c r="A23" s="127"/>
      <c r="B23" s="128"/>
      <c r="C23" s="129"/>
      <c r="D23" s="127"/>
      <c r="E23" s="130"/>
    </row>
    <row r="24" spans="1:5" x14ac:dyDescent="0.25">
      <c r="A24" s="127"/>
      <c r="B24" s="128"/>
      <c r="C24" s="129"/>
      <c r="D24" s="127"/>
      <c r="E24" s="130"/>
    </row>
    <row r="25" spans="1:5" x14ac:dyDescent="0.25">
      <c r="A25" s="127"/>
      <c r="B25" s="128"/>
      <c r="C25" s="129"/>
      <c r="D25" s="127"/>
      <c r="E25" s="130"/>
    </row>
    <row r="26" spans="1:5" x14ac:dyDescent="0.25">
      <c r="A26" s="127"/>
      <c r="B26" s="128"/>
      <c r="C26" s="129"/>
      <c r="D26" s="127"/>
      <c r="E26" s="130"/>
    </row>
    <row r="27" spans="1:5" x14ac:dyDescent="0.25">
      <c r="A27" s="127"/>
      <c r="B27" s="128"/>
      <c r="C27" s="129"/>
      <c r="D27" s="127"/>
      <c r="E27" s="130"/>
    </row>
    <row r="28" spans="1:5" x14ac:dyDescent="0.25">
      <c r="A28" s="127"/>
      <c r="B28" s="128"/>
      <c r="C28" s="129"/>
      <c r="D28" s="127"/>
      <c r="E28" s="130"/>
    </row>
    <row r="29" spans="1:5" x14ac:dyDescent="0.25">
      <c r="A29" s="127"/>
      <c r="B29" s="128"/>
      <c r="C29" s="129"/>
      <c r="D29" s="127"/>
      <c r="E29" s="130"/>
    </row>
    <row r="30" spans="1:5" x14ac:dyDescent="0.25">
      <c r="A30" s="127"/>
      <c r="B30" s="128"/>
      <c r="C30" s="129"/>
      <c r="D30" s="127"/>
      <c r="E30" s="130"/>
    </row>
    <row r="31" spans="1:5" x14ac:dyDescent="0.25">
      <c r="A31" s="127"/>
      <c r="B31" s="128"/>
      <c r="C31" s="129"/>
      <c r="D31" s="127"/>
      <c r="E31" s="130"/>
    </row>
    <row r="32" spans="1:5" x14ac:dyDescent="0.25">
      <c r="A32" s="127"/>
      <c r="B32" s="128"/>
      <c r="C32" s="129"/>
      <c r="D32" s="127"/>
      <c r="E32" s="130"/>
    </row>
    <row r="33" spans="1:5" x14ac:dyDescent="0.25">
      <c r="A33" s="127"/>
      <c r="B33" s="128"/>
      <c r="C33" s="129"/>
      <c r="D33" s="127"/>
      <c r="E33" s="130"/>
    </row>
    <row r="34" spans="1:5" x14ac:dyDescent="0.25">
      <c r="A34" s="127"/>
      <c r="B34" s="128"/>
      <c r="C34" s="129"/>
      <c r="D34" s="127"/>
      <c r="E34" s="130"/>
    </row>
    <row r="35" spans="1:5" x14ac:dyDescent="0.25">
      <c r="A35" s="127"/>
      <c r="B35" s="128"/>
      <c r="C35" s="129"/>
      <c r="D35" s="127"/>
      <c r="E35" s="130"/>
    </row>
    <row r="36" spans="1:5" x14ac:dyDescent="0.25">
      <c r="A36" s="127"/>
      <c r="B36" s="128"/>
      <c r="C36" s="129"/>
      <c r="D36" s="127"/>
      <c r="E36" s="130"/>
    </row>
    <row r="37" spans="1:5" x14ac:dyDescent="0.25">
      <c r="A37" s="127"/>
      <c r="B37" s="128"/>
      <c r="C37" s="129"/>
      <c r="D37" s="127"/>
      <c r="E37" s="130"/>
    </row>
    <row r="38" spans="1:5" x14ac:dyDescent="0.25">
      <c r="A38" s="127"/>
      <c r="B38" s="128"/>
      <c r="C38" s="129"/>
      <c r="D38" s="127"/>
      <c r="E38" s="130"/>
    </row>
    <row r="39" spans="1:5" x14ac:dyDescent="0.25">
      <c r="A39" s="127"/>
      <c r="B39" s="128"/>
      <c r="C39" s="129"/>
      <c r="D39" s="127"/>
      <c r="E39" s="130"/>
    </row>
    <row r="40" spans="1:5" x14ac:dyDescent="0.25">
      <c r="A40" s="127"/>
      <c r="B40" s="128"/>
      <c r="C40" s="129"/>
      <c r="D40" s="127"/>
      <c r="E40" s="130"/>
    </row>
    <row r="41" spans="1:5" x14ac:dyDescent="0.25">
      <c r="A41" s="127"/>
      <c r="B41" s="128"/>
      <c r="C41" s="129"/>
      <c r="D41" s="127"/>
      <c r="E41" s="130"/>
    </row>
    <row r="42" spans="1:5" x14ac:dyDescent="0.25">
      <c r="A42" s="127"/>
      <c r="B42" s="128"/>
      <c r="C42" s="129"/>
      <c r="D42" s="127"/>
      <c r="E42" s="130"/>
    </row>
    <row r="43" spans="1:5" x14ac:dyDescent="0.25">
      <c r="A43" s="127"/>
      <c r="B43" s="128"/>
      <c r="C43" s="129"/>
      <c r="D43" s="127"/>
      <c r="E43" s="130"/>
    </row>
    <row r="44" spans="1:5" x14ac:dyDescent="0.25">
      <c r="A44" s="127"/>
      <c r="B44" s="128"/>
      <c r="C44" s="129"/>
      <c r="D44" s="127"/>
      <c r="E44" s="130"/>
    </row>
    <row r="45" spans="1:5" x14ac:dyDescent="0.25">
      <c r="A45" s="127"/>
      <c r="B45" s="128"/>
      <c r="C45" s="129"/>
      <c r="D45" s="127"/>
      <c r="E45" s="130"/>
    </row>
    <row r="46" spans="1:5" x14ac:dyDescent="0.25">
      <c r="A46" s="127"/>
      <c r="B46" s="128"/>
      <c r="C46" s="129"/>
      <c r="D46" s="127"/>
      <c r="E46" s="130"/>
    </row>
    <row r="47" spans="1:5" x14ac:dyDescent="0.25">
      <c r="A47" s="127"/>
      <c r="B47" s="128"/>
      <c r="C47" s="129"/>
      <c r="D47" s="127"/>
      <c r="E47" s="130"/>
    </row>
    <row r="48" spans="1:5" x14ac:dyDescent="0.25">
      <c r="A48" s="127"/>
      <c r="B48" s="128"/>
      <c r="C48" s="129"/>
      <c r="D48" s="127"/>
      <c r="E48" s="130"/>
    </row>
    <row r="49" spans="1:5" x14ac:dyDescent="0.25">
      <c r="A49" s="127"/>
      <c r="B49" s="128"/>
      <c r="C49" s="129"/>
      <c r="D49" s="127"/>
      <c r="E49" s="130"/>
    </row>
    <row r="50" spans="1:5" x14ac:dyDescent="0.25">
      <c r="A50" s="127"/>
      <c r="B50" s="128"/>
      <c r="C50" s="129"/>
      <c r="D50" s="127"/>
      <c r="E50" s="130"/>
    </row>
    <row r="51" spans="1:5" x14ac:dyDescent="0.25">
      <c r="A51" s="127"/>
      <c r="B51" s="128"/>
      <c r="C51" s="129"/>
      <c r="D51" s="127"/>
      <c r="E51" s="130"/>
    </row>
    <row r="52" spans="1:5" x14ac:dyDescent="0.25">
      <c r="A52" s="127"/>
      <c r="B52" s="128"/>
      <c r="C52" s="129"/>
      <c r="D52" s="127"/>
      <c r="E52" s="130"/>
    </row>
    <row r="53" spans="1:5" x14ac:dyDescent="0.25">
      <c r="A53" s="127"/>
      <c r="B53" s="128"/>
      <c r="C53" s="129"/>
      <c r="D53" s="127"/>
      <c r="E53" s="130"/>
    </row>
    <row r="54" spans="1:5" x14ac:dyDescent="0.25">
      <c r="A54" s="127"/>
      <c r="B54" s="128"/>
      <c r="C54" s="129"/>
      <c r="D54" s="127"/>
      <c r="E54" s="130"/>
    </row>
    <row r="55" spans="1:5" x14ac:dyDescent="0.25">
      <c r="A55" s="127"/>
      <c r="B55" s="128"/>
      <c r="C55" s="129"/>
      <c r="D55" s="127"/>
      <c r="E55" s="130"/>
    </row>
    <row r="56" spans="1:5" x14ac:dyDescent="0.25">
      <c r="A56" s="127"/>
      <c r="B56" s="128"/>
      <c r="C56" s="129"/>
      <c r="D56" s="127"/>
      <c r="E56" s="130"/>
    </row>
    <row r="57" spans="1:5" x14ac:dyDescent="0.25">
      <c r="A57" s="127"/>
      <c r="B57" s="128"/>
      <c r="C57" s="129"/>
      <c r="D57" s="127"/>
      <c r="E57" s="130"/>
    </row>
    <row r="58" spans="1:5" x14ac:dyDescent="0.25">
      <c r="A58" s="127"/>
      <c r="B58" s="128"/>
      <c r="C58" s="129"/>
      <c r="D58" s="127"/>
      <c r="E58" s="130"/>
    </row>
    <row r="59" spans="1:5" x14ac:dyDescent="0.25">
      <c r="A59" s="127"/>
      <c r="B59" s="128"/>
      <c r="C59" s="129"/>
      <c r="D59" s="127"/>
      <c r="E59" s="130"/>
    </row>
    <row r="60" spans="1:5" x14ac:dyDescent="0.25">
      <c r="A60" s="127"/>
      <c r="B60" s="128"/>
      <c r="C60" s="129"/>
      <c r="D60" s="127"/>
      <c r="E60" s="130"/>
    </row>
    <row r="61" spans="1:5" x14ac:dyDescent="0.25">
      <c r="A61" s="127"/>
      <c r="B61" s="128"/>
      <c r="C61" s="129"/>
      <c r="D61" s="127"/>
      <c r="E61" s="130"/>
    </row>
    <row r="62" spans="1:5" x14ac:dyDescent="0.25">
      <c r="A62" s="127"/>
      <c r="B62" s="128"/>
      <c r="C62" s="129"/>
      <c r="D62" s="127"/>
      <c r="E62" s="130"/>
    </row>
    <row r="63" spans="1:5" x14ac:dyDescent="0.25">
      <c r="A63" s="127"/>
      <c r="B63" s="128"/>
      <c r="C63" s="129"/>
      <c r="D63" s="127"/>
      <c r="E63" s="130"/>
    </row>
    <row r="64" spans="1:5" x14ac:dyDescent="0.25">
      <c r="A64" s="127"/>
      <c r="B64" s="128"/>
      <c r="C64" s="129"/>
      <c r="D64" s="127"/>
      <c r="E64" s="130"/>
    </row>
    <row r="65" spans="1:5" x14ac:dyDescent="0.25">
      <c r="A65" s="127"/>
      <c r="B65" s="128"/>
      <c r="C65" s="129"/>
      <c r="D65" s="127"/>
      <c r="E65" s="130"/>
    </row>
    <row r="66" spans="1:5" x14ac:dyDescent="0.25">
      <c r="A66" s="127"/>
      <c r="B66" s="128"/>
      <c r="C66" s="129"/>
      <c r="D66" s="127"/>
      <c r="E66" s="130"/>
    </row>
    <row r="67" spans="1:5" x14ac:dyDescent="0.25">
      <c r="A67" s="127"/>
      <c r="B67" s="128"/>
      <c r="C67" s="129"/>
      <c r="D67" s="127"/>
      <c r="E67" s="130"/>
    </row>
    <row r="68" spans="1:5" x14ac:dyDescent="0.25">
      <c r="A68" s="127"/>
      <c r="B68" s="128"/>
      <c r="C68" s="129"/>
      <c r="D68" s="127"/>
      <c r="E68" s="130"/>
    </row>
    <row r="69" spans="1:5" x14ac:dyDescent="0.25">
      <c r="A69" s="127"/>
      <c r="B69" s="128"/>
      <c r="C69" s="129"/>
      <c r="D69" s="127"/>
      <c r="E69" s="130"/>
    </row>
    <row r="70" spans="1:5" x14ac:dyDescent="0.25">
      <c r="A70" s="127"/>
      <c r="B70" s="128"/>
      <c r="C70" s="129"/>
      <c r="D70" s="127"/>
      <c r="E70" s="130"/>
    </row>
    <row r="71" spans="1:5" x14ac:dyDescent="0.25">
      <c r="A71" s="127"/>
      <c r="B71" s="128"/>
      <c r="C71" s="129"/>
      <c r="D71" s="127"/>
      <c r="E71" s="130"/>
    </row>
    <row r="72" spans="1:5" x14ac:dyDescent="0.25">
      <c r="A72" s="127"/>
      <c r="B72" s="128"/>
      <c r="C72" s="129"/>
      <c r="D72" s="127"/>
      <c r="E72" s="130"/>
    </row>
    <row r="73" spans="1:5" x14ac:dyDescent="0.25">
      <c r="A73" s="127"/>
      <c r="B73" s="128"/>
      <c r="C73" s="129"/>
      <c r="D73" s="127"/>
      <c r="E73" s="130"/>
    </row>
    <row r="74" spans="1:5" x14ac:dyDescent="0.25">
      <c r="A74" s="127"/>
      <c r="B74" s="128"/>
      <c r="C74" s="129"/>
      <c r="D74" s="127"/>
      <c r="E74" s="130"/>
    </row>
    <row r="75" spans="1:5" x14ac:dyDescent="0.25">
      <c r="A75" s="127"/>
      <c r="B75" s="128"/>
      <c r="C75" s="129"/>
      <c r="D75" s="127"/>
      <c r="E75" s="130"/>
    </row>
    <row r="76" spans="1:5" x14ac:dyDescent="0.25">
      <c r="A76" s="127"/>
      <c r="B76" s="128"/>
      <c r="C76" s="129"/>
      <c r="D76" s="127"/>
      <c r="E76" s="130"/>
    </row>
    <row r="77" spans="1:5" x14ac:dyDescent="0.25">
      <c r="A77" s="127"/>
      <c r="B77" s="128"/>
      <c r="C77" s="129"/>
      <c r="D77" s="127"/>
      <c r="E77" s="130"/>
    </row>
    <row r="78" spans="1:5" x14ac:dyDescent="0.25">
      <c r="A78" s="127"/>
      <c r="B78" s="128"/>
      <c r="C78" s="129"/>
      <c r="D78" s="127"/>
      <c r="E78" s="130"/>
    </row>
    <row r="79" spans="1:5" x14ac:dyDescent="0.25">
      <c r="A79" s="127"/>
      <c r="B79" s="128"/>
      <c r="C79" s="129"/>
      <c r="D79" s="127"/>
      <c r="E79" s="130"/>
    </row>
    <row r="80" spans="1:5" x14ac:dyDescent="0.25">
      <c r="A80" s="127"/>
      <c r="B80" s="128"/>
      <c r="C80" s="129"/>
      <c r="D80" s="127"/>
      <c r="E80" s="130"/>
    </row>
    <row r="81" spans="1:5" x14ac:dyDescent="0.25">
      <c r="A81" s="127"/>
      <c r="B81" s="128"/>
      <c r="C81" s="129"/>
      <c r="D81" s="127"/>
      <c r="E81" s="130"/>
    </row>
    <row r="82" spans="1:5" x14ac:dyDescent="0.25">
      <c r="A82" s="127"/>
      <c r="B82" s="128"/>
      <c r="C82" s="129"/>
      <c r="D82" s="127"/>
      <c r="E82" s="130"/>
    </row>
    <row r="83" spans="1:5" x14ac:dyDescent="0.25">
      <c r="A83" s="127"/>
      <c r="B83" s="128"/>
      <c r="C83" s="129"/>
      <c r="D83" s="127"/>
      <c r="E83" s="130"/>
    </row>
    <row r="84" spans="1:5" x14ac:dyDescent="0.25">
      <c r="A84" s="127"/>
      <c r="B84" s="128"/>
      <c r="C84" s="129"/>
      <c r="D84" s="127"/>
      <c r="E84" s="130"/>
    </row>
    <row r="85" spans="1:5" x14ac:dyDescent="0.25">
      <c r="A85" s="127"/>
      <c r="B85" s="128"/>
      <c r="C85" s="129"/>
      <c r="D85" s="127"/>
      <c r="E85" s="130"/>
    </row>
    <row r="86" spans="1:5" x14ac:dyDescent="0.25">
      <c r="A86" s="127"/>
      <c r="B86" s="128"/>
      <c r="C86" s="129"/>
      <c r="D86" s="127"/>
      <c r="E86" s="130"/>
    </row>
    <row r="87" spans="1:5" x14ac:dyDescent="0.25">
      <c r="A87" s="127"/>
      <c r="B87" s="128"/>
      <c r="C87" s="129"/>
      <c r="D87" s="127"/>
      <c r="E87" s="130"/>
    </row>
    <row r="88" spans="1:5" x14ac:dyDescent="0.25">
      <c r="A88" s="127"/>
      <c r="B88" s="128"/>
      <c r="C88" s="129"/>
      <c r="D88" s="127"/>
      <c r="E88" s="130"/>
    </row>
    <row r="89" spans="1:5" x14ac:dyDescent="0.25">
      <c r="A89" s="127"/>
      <c r="B89" s="128"/>
      <c r="C89" s="129"/>
      <c r="D89" s="127"/>
      <c r="E89" s="130"/>
    </row>
    <row r="90" spans="1:5" x14ac:dyDescent="0.25">
      <c r="A90" s="127"/>
      <c r="B90" s="128"/>
      <c r="C90" s="129"/>
      <c r="D90" s="127"/>
      <c r="E90" s="130"/>
    </row>
    <row r="91" spans="1:5" x14ac:dyDescent="0.25">
      <c r="A91" s="127"/>
      <c r="B91" s="128"/>
      <c r="C91" s="129"/>
      <c r="D91" s="127"/>
      <c r="E91" s="130"/>
    </row>
    <row r="92" spans="1:5" x14ac:dyDescent="0.25">
      <c r="A92" s="127"/>
      <c r="B92" s="128"/>
      <c r="C92" s="129"/>
      <c r="D92" s="127"/>
      <c r="E92" s="130"/>
    </row>
    <row r="93" spans="1:5" x14ac:dyDescent="0.25">
      <c r="A93" s="127"/>
      <c r="B93" s="128"/>
      <c r="C93" s="129"/>
      <c r="D93" s="127"/>
      <c r="E93" s="130"/>
    </row>
    <row r="94" spans="1:5" x14ac:dyDescent="0.25">
      <c r="A94" s="127"/>
      <c r="B94" s="128"/>
      <c r="C94" s="129"/>
      <c r="D94" s="127"/>
      <c r="E94" s="130"/>
    </row>
    <row r="95" spans="1:5" x14ac:dyDescent="0.25">
      <c r="A95" s="127"/>
      <c r="B95" s="128"/>
      <c r="C95" s="129"/>
      <c r="D95" s="127"/>
      <c r="E95" s="130"/>
    </row>
    <row r="96" spans="1:5" x14ac:dyDescent="0.25">
      <c r="A96" s="127"/>
      <c r="B96" s="128"/>
      <c r="C96" s="129"/>
      <c r="D96" s="127"/>
      <c r="E96" s="130"/>
    </row>
    <row r="97" spans="1:6" x14ac:dyDescent="0.25">
      <c r="A97" s="127"/>
      <c r="B97" s="128"/>
      <c r="C97" s="129"/>
      <c r="D97" s="127"/>
      <c r="E97" s="130"/>
    </row>
    <row r="98" spans="1:6" x14ac:dyDescent="0.25">
      <c r="A98" s="127"/>
      <c r="B98" s="128"/>
      <c r="C98" s="129"/>
      <c r="D98" s="127"/>
      <c r="E98" s="130"/>
    </row>
    <row r="99" spans="1:6" x14ac:dyDescent="0.25">
      <c r="A99" s="127"/>
      <c r="B99" s="128"/>
      <c r="C99" s="129"/>
      <c r="D99" s="127"/>
      <c r="E99" s="130"/>
    </row>
    <row r="100" spans="1:6" x14ac:dyDescent="0.25">
      <c r="A100" s="3"/>
      <c r="B100" s="3"/>
      <c r="C100" s="91"/>
      <c r="D100" s="89">
        <f>SUM(D2:D99)</f>
        <v>4063</v>
      </c>
      <c r="E100" s="10">
        <f>SUM(E2:E99)</f>
        <v>263223.46090207255</v>
      </c>
      <c r="F100" s="93">
        <f>+D100/E100</f>
        <v>1.5435554209628619E-2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0" ma:contentTypeDescription="Create a new document." ma:contentTypeScope="" ma:versionID="be37b145ad5d1ea89c8963a27abed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7EC04E-4191-4720-AB2C-D43DDF16D7CD}"/>
</file>

<file path=customXml/itemProps2.xml><?xml version="1.0" encoding="utf-8"?>
<ds:datastoreItem xmlns:ds="http://schemas.openxmlformats.org/officeDocument/2006/customXml" ds:itemID="{596A163E-9119-411F-8B66-D844CC39C39C}"/>
</file>

<file path=customXml/itemProps3.xml><?xml version="1.0" encoding="utf-8"?>
<ds:datastoreItem xmlns:ds="http://schemas.openxmlformats.org/officeDocument/2006/customXml" ds:itemID="{979E5875-D904-432B-AD7A-EC2CE3CCF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Harvest</vt:lpstr>
      <vt:lpstr>Effort</vt:lpstr>
      <vt:lpstr>CPUE</vt:lpstr>
      <vt:lpstr>Summary Table</vt:lpstr>
      <vt:lpstr>Copy Sheet</vt:lpstr>
      <vt:lpstr>Tide Info</vt:lpstr>
      <vt:lpstr>Tribal update</vt:lpstr>
      <vt:lpstr>TAC</vt:lpstr>
      <vt:lpstr>TH Wastage</vt:lpstr>
      <vt:lpstr>LB Wastage</vt:lpstr>
      <vt:lpstr>Cop Wastage</vt:lpstr>
      <vt:lpstr>Moc Wastage</vt:lpstr>
      <vt:lpstr>'Summary Table'!Print_Area</vt:lpstr>
      <vt:lpstr>'Tribal update'!Print_Area</vt:lpstr>
      <vt:lpstr>'Summary Table'!Print_Titles</vt:lpstr>
    </vt:vector>
  </TitlesOfParts>
  <Company>WDFW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John Deibert</dc:creator>
  <cp:lastModifiedBy>George, Matthew (DFW)</cp:lastModifiedBy>
  <cp:lastPrinted>2015-09-14T15:51:24Z</cp:lastPrinted>
  <dcterms:created xsi:type="dcterms:W3CDTF">2009-10-21T21:07:28Z</dcterms:created>
  <dcterms:modified xsi:type="dcterms:W3CDTF">2023-11-16T18:50:31Z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2023-11-16T18:50:31Z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b754f08a-026b-41fa-ab44-374a2deeabc5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0x010100245DFC7247A834468B68F53E17E77B58</vt:lpwstr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