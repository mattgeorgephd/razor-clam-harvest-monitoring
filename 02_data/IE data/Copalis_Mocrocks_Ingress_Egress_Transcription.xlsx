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c6005962954c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servations" sheetId="1" r:id="Rb07108c36e9c4ee7"/>
    <x:sheet xmlns:r="http://schemas.openxmlformats.org/officeDocument/2006/relationships" name="Datasheet Metadata" sheetId="2" r:id="R4db1b68baa8c4e9c"/>
    <x:sheet xmlns:r="http://schemas.openxmlformats.org/officeDocument/2006/relationships" name="Data Dictionary" sheetId="3" r:id="R382218ed4d834c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4E63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f5cb7a342e4f89" /><Relationship Type="http://schemas.openxmlformats.org/officeDocument/2006/relationships/theme" Target="/xl/theme/theme1.xml" Id="R4da4fe15813c48af" /><Relationship Type="http://schemas.openxmlformats.org/officeDocument/2006/relationships/sharedStrings" Target="/xl/sharedStrings.xml" Id="Rad27001a06d94014" /><Relationship Type="http://schemas.openxmlformats.org/officeDocument/2006/relationships/worksheet" Target="/xl/worksheets/sheet1.xml" Id="Rb07108c36e9c4ee7" /><Relationship Type="http://schemas.openxmlformats.org/officeDocument/2006/relationships/worksheet" Target="/xl/worksheets/sheet2.xml" Id="R4db1b68baa8c4e9c" /><Relationship Type="http://schemas.openxmlformats.org/officeDocument/2006/relationships/worksheet" Target="/xl/worksheets/sheet3.xml" Id="R382218ed4d834c33" /></Relationships>
</file>

<file path=xl/tables/table1.xml><?xml version="1.0" encoding="utf-8"?>
<x:table xmlns:x="http://schemas.openxmlformats.org/spreadsheetml/2006/main" id="1" name="ObservationsTable" displayName="ObservationsTable" ref="A2:V257" headerRowCount="1">
  <x:tableColumns count="22">
    <x:tableColumn id="1" name="Source File"/>
    <x:tableColumn id="2" name="PDF Page"/>
    <x:tableColumn id="3" name="Datasheet ID"/>
    <x:tableColumn id="4" name="Beach"/>
    <x:tableColumn id="5" name="Access Point"/>
    <x:tableColumn id="6" name="Date"/>
    <x:tableColumn id="7" name="Sampler"/>
    <x:tableColumn id="8" name="Row Number"/>
    <x:tableColumn id="9" name="Row Type"/>
    <x:tableColumn id="10" name="Time Start"/>
    <x:tableColumn id="11" name="Time End"/>
    <x:tableColumn id="12" name="Relative Start"/>
    <x:tableColumn id="13" name="Relative End"/>
    <x:tableColumn id="14" name="Cars On Raw"/>
    <x:tableColumn id="15" name="Cars On"/>
    <x:tableColumn id="16" name="Cars Off Raw"/>
    <x:tableColumn id="17" name="Cars Off"/>
    <x:tableColumn id="18" name="Entry Status"/>
    <x:tableColumn id="19" name="Transcription Note"/>
    <x:tableColumn id="20" name="Cumulative Cars On"/>
    <x:tableColumn id="21" name="Cumulative Cars Off"/>
    <x:tableColumn id="22" name="Calculated Vehicles in Area"/>
  </x:tableColumns>
  <x:tableStyleInfo name="TableStyleMedium2" showRowStripes="1"/>
</x:table>
</file>

<file path=xl/tables/table2.xml><?xml version="1.0" encoding="utf-8"?>
<x:table xmlns:x="http://schemas.openxmlformats.org/spreadsheetml/2006/main" id="2" name="MetadataTable" displayName="MetadataTable" ref="A2:V17" headerRowCount="1">
  <x:tableColumns count="22">
    <x:tableColumn id="1" name="Source File"/>
    <x:tableColumn id="2" name="PDF Page"/>
    <x:tableColumn id="3" name="Datasheet ID"/>
    <x:tableColumn id="4" name="Beach"/>
    <x:tableColumn id="5" name="Access Point"/>
    <x:tableColumn id="6" name="Date"/>
    <x:tableColumn id="7" name="Sampler"/>
    <x:tableColumn id="8" name="Tide Height"/>
    <x:tableColumn id="9" name="Tide Unit"/>
    <x:tableColumn id="10" name="Tide Time (as written)"/>
    <x:tableColumn id="11" name="Solar Event"/>
    <x:tableColumn id="12" name="Solar Time (as written)"/>
    <x:tableColumn id="13" name="Weather / Wind / Surf"/>
    <x:tableColumn id="14" name="Count Left Raw"/>
    <x:tableColumn id="15" name="Discrepancy Raw"/>
    <x:tableColumn id="16" name="Count Left Interpreted"/>
    <x:tableColumn id="17" name="Page Notes"/>
    <x:tableColumn id="18" name="Total Cars On"/>
    <x:tableColumn id="19" name="Total Cars Off"/>
    <x:tableColumn id="20" name="Calculated Balance"/>
    <x:tableColumn id="21" name="Calculated Absolute Discrepancy"/>
    <x:tableColumn id="22" name="Review"/>
  </x:tableColumns>
  <x:tableStyleInfo name="TableStyleMedium2" showRowStripes="1"/>
</x:table>
</file>

<file path=xl/tables/table3.xml><?xml version="1.0" encoding="utf-8"?>
<x:table xmlns:x="http://schemas.openxmlformats.org/spreadsheetml/2006/main" id="3" name="DataDictionaryTable" displayName="DataDictionaryTable" ref="A3:D13" headerRowCount="1">
  <x:tableColumns count="4">
    <x:tableColumn id="1" name="Field / Topic"/>
    <x:tableColumn id="2" name="Meaning"/>
    <x:tableColumn id="3" name="Convention Used"/>
    <x:tableColumn id="4" name="Review Guida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358ec9b62747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00b7e917c6041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8d61509544a4442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9" hidden="0" customWidth="1"/>
    <x:col min="3" max="3" width="12" hidden="0" customWidth="1"/>
    <x:col min="4" max="4" width="18" hidden="0" customWidth="1"/>
    <x:col min="5" max="5" width="24" hidden="0" customWidth="1"/>
    <x:col min="6" max="6" width="12" hidden="0" customWidth="1"/>
    <x:col min="7" max="7" width="14" hidden="0" customWidth="1"/>
    <x:col min="8" max="8" width="10" hidden="0" customWidth="1"/>
    <x:col min="9" max="9" width="18" hidden="0" customWidth="1"/>
    <x:col min="10" max="10" width="13" hidden="0" customWidth="1"/>
    <x:col min="11" max="11" width="11" hidden="0" customWidth="1"/>
    <x:col min="12" max="12" width="13" hidden="0" customWidth="1"/>
    <x:col min="13" max="13" width="12" hidden="0" customWidth="1"/>
    <x:col min="14" max="14" width="15" hidden="0" customWidth="1"/>
    <x:col min="15" max="15" width="10" hidden="0" customWidth="1"/>
    <x:col min="16" max="16" width="15" hidden="0" customWidth="1"/>
    <x:col min="17" max="17" width="10" hidden="0" customWidth="1"/>
    <x:col min="18" max="18" width="14" hidden="0" customWidth="1"/>
    <x:col min="19" max="19" width="38" hidden="0" customWidth="1"/>
    <x:col min="20" max="20" width="18" hidden="0" customWidth="1"/>
    <x:col min="21" max="21" width="19" hidden="0" customWidth="1"/>
    <x:col min="22" max="22" width="23" hidden="0" customWidth="1"/>
  </x:cols>
  <x:sheetData>
    <x:row r="1" ht="26" customHeight="1">
      <x:c r="A1" s="5" t="str">
        <x:v>Ingress-Egress Datasheet Transcription - Tidy Observations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 ht="34" customHeight="1">
      <x:c r="A2" s="14" t="str">
        <x:v>Source File</x:v>
      </x:c>
      <x:c r="B2" s="14" t="str">
        <x:v>PDF Page</x:v>
      </x:c>
      <x:c r="C2" s="14" t="str">
        <x:v>Datasheet ID</x:v>
      </x:c>
      <x:c r="D2" s="14" t="str">
        <x:v>Beach</x:v>
      </x:c>
      <x:c r="E2" s="14" t="str">
        <x:v>Access Point</x:v>
      </x:c>
      <x:c r="F2" s="14" t="str">
        <x:v>Date</x:v>
      </x:c>
      <x:c r="G2" s="14" t="str">
        <x:v>Sampler</x:v>
      </x:c>
      <x:c r="H2" s="14" t="str">
        <x:v>Row Number</x:v>
      </x:c>
      <x:c r="I2" s="14" t="str">
        <x:v>Row Type</x:v>
      </x:c>
      <x:c r="J2" s="14" t="str">
        <x:v>Time Start</x:v>
      </x:c>
      <x:c r="K2" s="14" t="str">
        <x:v>Time End</x:v>
      </x:c>
      <x:c r="L2" s="14" t="str">
        <x:v>Relative Start</x:v>
      </x:c>
      <x:c r="M2" s="14" t="str">
        <x:v>Relative End</x:v>
      </x:c>
      <x:c r="N2" s="14" t="str">
        <x:v>Cars On Raw</x:v>
      </x:c>
      <x:c r="O2" s="14" t="str">
        <x:v>Cars On</x:v>
      </x:c>
      <x:c r="P2" s="14" t="str">
        <x:v>Cars Off Raw</x:v>
      </x:c>
      <x:c r="Q2" s="14" t="str">
        <x:v>Cars Off</x:v>
      </x:c>
      <x:c r="R2" s="14" t="str">
        <x:v>Entry Status</x:v>
      </x:c>
      <x:c r="S2" s="14" t="str">
        <x:v>Transcription Note</x:v>
      </x:c>
      <x:c r="T2" s="14" t="str">
        <x:v>Cumulative Cars On</x:v>
      </x:c>
      <x:c r="U2" s="14" t="str">
        <x:v>Cumulative Cars Off</x:v>
      </x:c>
      <x:c r="V2" s="14" t="str">
        <x:v>Calculated Vehicles in Area</x:v>
      </x:c>
    </x:row>
    <x:row r="3">
      <x:c r="A3" s="22" t="str">
        <x:v>2022-2026-Copalis-Mocrocks.pdf</x:v>
      </x:c>
      <x:c r="B3" s="26" t="n">
        <x:v>1</x:v>
      </x:c>
      <x:c r="C3" s="22" t="str">
        <x:v>P01</x:v>
      </x:c>
      <x:c r="D3" s="22" t="str">
        <x:v>Copalis Beach</x:v>
      </x:c>
      <x:c r="E3" s="22" t="str">
        <x:v>Ocean City North</x:v>
      </x:c>
      <x:c r="F3" s="24" t="n">
        <x:v>44653</x:v>
      </x:c>
      <x:c r="G3" s="22" t="str">
        <x:v>Bryce</x:v>
      </x:c>
      <x:c r="H3" s="26" t="n">
        <x:v>1</x:v>
      </x:c>
      <x:c r="I3" s="22" t="str">
        <x:v>Prior to Start</x:v>
      </x:c>
      <x:c r="J3" s="22" t="str">
        <x:v>Prior to Start</x:v>
      </x:c>
      <x:c r="K3" s="22" t="str"/>
      <x:c r="L3" s="22" t="str">
        <x:v>to Start</x:v>
      </x:c>
      <x:c r="M3" s="22" t="str"/>
      <x:c r="N3" s="22" t="str">
        <x:v>0</x:v>
      </x:c>
      <x:c r="O3" s="26" t="n">
        <x:v>0</x:v>
      </x:c>
      <x:c r="P3" s="22" t="str">
        <x:v>0</x:v>
      </x:c>
      <x:c r="Q3" s="26" t="n">
        <x:v>0</x:v>
      </x:c>
      <x:c r="R3" s="22" t="str">
        <x:v>Observed</x:v>
      </x:c>
      <x:c r="S3" s="22" t="str"/>
      <x:c r="T3" s="26" t="n">
        <x:f>IF(R3&lt;&gt;"Observed","",SUMIFS($O$3:O3,$C$3:C3,C3,$R$3:R3,"Observed"))</x:f>
        <x:v>0</x:v>
      </x:c>
      <x:c r="U3" s="26" t="n">
        <x:f>IF(R3&lt;&gt;"Observed","",SUMIFS($Q$3:Q3,$C$3:C3,C3,$R$3:R3,"Observed"))</x:f>
        <x:v>0</x:v>
      </x:c>
      <x:c r="V3" s="26" t="n">
        <x:f>IF(R3&lt;&gt;"Observed","",T3-U3)</x:f>
        <x:v>0</x:v>
      </x:c>
    </x:row>
    <x:row r="4">
      <x:c r="A4" s="22" t="str">
        <x:v>2022-2026-Copalis-Mocrocks.pdf</x:v>
      </x:c>
      <x:c r="B4" s="26" t="n">
        <x:v>1</x:v>
      </x:c>
      <x:c r="C4" s="22" t="str">
        <x:v>P01</x:v>
      </x:c>
      <x:c r="D4" s="22" t="str">
        <x:v>Copalis Beach</x:v>
      </x:c>
      <x:c r="E4" s="22" t="str">
        <x:v>Ocean City North</x:v>
      </x:c>
      <x:c r="F4" s="24" t="n">
        <x:v>44653</x:v>
      </x:c>
      <x:c r="G4" s="22" t="str">
        <x:v>Bryce</x:v>
      </x:c>
      <x:c r="H4" s="26" t="n">
        <x:v>2</x:v>
      </x:c>
      <x:c r="I4" s="22" t="str">
        <x:v>15-minute interval</x:v>
      </x:c>
      <x:c r="J4" s="22" t="str">
        <x:v>0507</x:v>
      </x:c>
      <x:c r="K4" s="22" t="str">
        <x:v>0522</x:v>
      </x:c>
      <x:c r="L4" s="22" t="str">
        <x:v>3:00</x:v>
      </x:c>
      <x:c r="M4" s="22" t="str">
        <x:v>2:45</x:v>
      </x:c>
      <x:c r="N4" s="22" t="str">
        <x:v>3</x:v>
      </x:c>
      <x:c r="O4" s="26" t="n">
        <x:v>3</x:v>
      </x:c>
      <x:c r="P4" s="22" t="str">
        <x:v>0</x:v>
      </x:c>
      <x:c r="Q4" s="26" t="n">
        <x:v>0</x:v>
      </x:c>
      <x:c r="R4" s="22" t="str">
        <x:v>Observed</x:v>
      </x:c>
      <x:c r="S4" s="22" t="str"/>
      <x:c r="T4" s="26" t="n">
        <x:f>IF(R4&lt;&gt;"Observed","",SUMIFS($O$3:O4,$C$3:C4,C4,$R$3:R4,"Observed"))</x:f>
        <x:v>3</x:v>
      </x:c>
      <x:c r="U4" s="26" t="n">
        <x:f>IF(R4&lt;&gt;"Observed","",SUMIFS($Q$3:Q4,$C$3:C4,C4,$R$3:R4,"Observed"))</x:f>
        <x:v>0</x:v>
      </x:c>
      <x:c r="V4" s="26" t="n">
        <x:f>IF(R4&lt;&gt;"Observed","",T4-U4)</x:f>
        <x:v>3</x:v>
      </x:c>
    </x:row>
    <x:row r="5">
      <x:c r="A5" s="22" t="str">
        <x:v>2022-2026-Copalis-Mocrocks.pdf</x:v>
      </x:c>
      <x:c r="B5" s="26" t="n">
        <x:v>1</x:v>
      </x:c>
      <x:c r="C5" s="22" t="str">
        <x:v>P01</x:v>
      </x:c>
      <x:c r="D5" s="22" t="str">
        <x:v>Copalis Beach</x:v>
      </x:c>
      <x:c r="E5" s="22" t="str">
        <x:v>Ocean City North</x:v>
      </x:c>
      <x:c r="F5" s="24" t="n">
        <x:v>44653</x:v>
      </x:c>
      <x:c r="G5" s="22" t="str">
        <x:v>Bryce</x:v>
      </x:c>
      <x:c r="H5" s="26" t="n">
        <x:v>3</x:v>
      </x:c>
      <x:c r="I5" s="22" t="str">
        <x:v>15-minute interval</x:v>
      </x:c>
      <x:c r="J5" s="22" t="str">
        <x:v>0522</x:v>
      </x:c>
      <x:c r="K5" s="22" t="str">
        <x:v>0537</x:v>
      </x:c>
      <x:c r="L5" s="22" t="str">
        <x:v>2:45</x:v>
      </x:c>
      <x:c r="M5" s="22" t="str">
        <x:v>2:30</x:v>
      </x:c>
      <x:c r="N5" s="22" t="str">
        <x:v>4</x:v>
      </x:c>
      <x:c r="O5" s="26" t="n">
        <x:v>4</x:v>
      </x:c>
      <x:c r="P5" s="22" t="str">
        <x:v>0</x:v>
      </x:c>
      <x:c r="Q5" s="26" t="n">
        <x:v>0</x:v>
      </x:c>
      <x:c r="R5" s="22" t="str">
        <x:v>Observed</x:v>
      </x:c>
      <x:c r="S5" s="22" t="str"/>
      <x:c r="T5" s="26" t="n">
        <x:f>IF(R5&lt;&gt;"Observed","",SUMIFS($O$3:O5,$C$3:C5,C5,$R$3:R5,"Observed"))</x:f>
        <x:v>7</x:v>
      </x:c>
      <x:c r="U5" s="26" t="n">
        <x:f>IF(R5&lt;&gt;"Observed","",SUMIFS($Q$3:Q5,$C$3:C5,C5,$R$3:R5,"Observed"))</x:f>
        <x:v>0</x:v>
      </x:c>
      <x:c r="V5" s="26" t="n">
        <x:f>IF(R5&lt;&gt;"Observed","",T5-U5)</x:f>
        <x:v>7</x:v>
      </x:c>
    </x:row>
    <x:row r="6">
      <x:c r="A6" s="22" t="str">
        <x:v>2022-2026-Copalis-Mocrocks.pdf</x:v>
      </x:c>
      <x:c r="B6" s="26" t="n">
        <x:v>1</x:v>
      </x:c>
      <x:c r="C6" s="22" t="str">
        <x:v>P01</x:v>
      </x:c>
      <x:c r="D6" s="22" t="str">
        <x:v>Copalis Beach</x:v>
      </x:c>
      <x:c r="E6" s="22" t="str">
        <x:v>Ocean City North</x:v>
      </x:c>
      <x:c r="F6" s="24" t="n">
        <x:v>44653</x:v>
      </x:c>
      <x:c r="G6" s="22" t="str">
        <x:v>Bryce</x:v>
      </x:c>
      <x:c r="H6" s="26" t="n">
        <x:v>4</x:v>
      </x:c>
      <x:c r="I6" s="22" t="str">
        <x:v>15-minute interval</x:v>
      </x:c>
      <x:c r="J6" s="22" t="str">
        <x:v>0537</x:v>
      </x:c>
      <x:c r="K6" s="22" t="str">
        <x:v>0552</x:v>
      </x:c>
      <x:c r="L6" s="22" t="str">
        <x:v>2:30</x:v>
      </x:c>
      <x:c r="M6" s="22" t="str">
        <x:v>2:15</x:v>
      </x:c>
      <x:c r="N6" s="22" t="str">
        <x:v>15</x:v>
      </x:c>
      <x:c r="O6" s="26" t="n">
        <x:v>15</x:v>
      </x:c>
      <x:c r="P6" s="22" t="str">
        <x:v>0</x:v>
      </x:c>
      <x:c r="Q6" s="26" t="n">
        <x:v>0</x:v>
      </x:c>
      <x:c r="R6" s="22" t="str">
        <x:v>Observed</x:v>
      </x:c>
      <x:c r="S6" s="22" t="str"/>
      <x:c r="T6" s="26" t="n">
        <x:f>IF(R6&lt;&gt;"Observed","",SUMIFS($O$3:O6,$C$3:C6,C6,$R$3:R6,"Observed"))</x:f>
        <x:v>22</x:v>
      </x:c>
      <x:c r="U6" s="26" t="n">
        <x:f>IF(R6&lt;&gt;"Observed","",SUMIFS($Q$3:Q6,$C$3:C6,C6,$R$3:R6,"Observed"))</x:f>
        <x:v>0</x:v>
      </x:c>
      <x:c r="V6" s="26" t="n">
        <x:f>IF(R6&lt;&gt;"Observed","",T6-U6)</x:f>
        <x:v>22</x:v>
      </x:c>
    </x:row>
    <x:row r="7">
      <x:c r="A7" s="22" t="str">
        <x:v>2022-2026-Copalis-Mocrocks.pdf</x:v>
      </x:c>
      <x:c r="B7" s="26" t="n">
        <x:v>1</x:v>
      </x:c>
      <x:c r="C7" s="22" t="str">
        <x:v>P01</x:v>
      </x:c>
      <x:c r="D7" s="22" t="str">
        <x:v>Copalis Beach</x:v>
      </x:c>
      <x:c r="E7" s="22" t="str">
        <x:v>Ocean City North</x:v>
      </x:c>
      <x:c r="F7" s="24" t="n">
        <x:v>44653</x:v>
      </x:c>
      <x:c r="G7" s="22" t="str">
        <x:v>Bryce</x:v>
      </x:c>
      <x:c r="H7" s="26" t="n">
        <x:v>5</x:v>
      </x:c>
      <x:c r="I7" s="22" t="str">
        <x:v>15-minute interval</x:v>
      </x:c>
      <x:c r="J7" s="22" t="str">
        <x:v>0552</x:v>
      </x:c>
      <x:c r="K7" s="22" t="str">
        <x:v>0607</x:v>
      </x:c>
      <x:c r="L7" s="22" t="str">
        <x:v>2:15</x:v>
      </x:c>
      <x:c r="M7" s="22" t="str">
        <x:v>2:00</x:v>
      </x:c>
      <x:c r="N7" s="22" t="str">
        <x:v>10</x:v>
      </x:c>
      <x:c r="O7" s="26" t="n">
        <x:v>10</x:v>
      </x:c>
      <x:c r="P7" s="22" t="str">
        <x:v>1</x:v>
      </x:c>
      <x:c r="Q7" s="26" t="n">
        <x:v>1</x:v>
      </x:c>
      <x:c r="R7" s="22" t="str">
        <x:v>Observed</x:v>
      </x:c>
      <x:c r="S7" s="22" t="str"/>
      <x:c r="T7" s="26" t="n">
        <x:f>IF(R7&lt;&gt;"Observed","",SUMIFS($O$3:O7,$C$3:C7,C7,$R$3:R7,"Observed"))</x:f>
        <x:v>32</x:v>
      </x:c>
      <x:c r="U7" s="26" t="n">
        <x:f>IF(R7&lt;&gt;"Observed","",SUMIFS($Q$3:Q7,$C$3:C7,C7,$R$3:R7,"Observed"))</x:f>
        <x:v>1</x:v>
      </x:c>
      <x:c r="V7" s="26" t="n">
        <x:f>IF(R7&lt;&gt;"Observed","",T7-U7)</x:f>
        <x:v>31</x:v>
      </x:c>
    </x:row>
    <x:row r="8">
      <x:c r="A8" s="22" t="str">
        <x:v>2022-2026-Copalis-Mocrocks.pdf</x:v>
      </x:c>
      <x:c r="B8" s="26" t="n">
        <x:v>1</x:v>
      </x:c>
      <x:c r="C8" s="22" t="str">
        <x:v>P01</x:v>
      </x:c>
      <x:c r="D8" s="22" t="str">
        <x:v>Copalis Beach</x:v>
      </x:c>
      <x:c r="E8" s="22" t="str">
        <x:v>Ocean City North</x:v>
      </x:c>
      <x:c r="F8" s="24" t="n">
        <x:v>44653</x:v>
      </x:c>
      <x:c r="G8" s="22" t="str">
        <x:v>Bryce</x:v>
      </x:c>
      <x:c r="H8" s="26" t="n">
        <x:v>6</x:v>
      </x:c>
      <x:c r="I8" s="22" t="str">
        <x:v>15-minute interval</x:v>
      </x:c>
      <x:c r="J8" s="22" t="str">
        <x:v>0607</x:v>
      </x:c>
      <x:c r="K8" s="22" t="str">
        <x:v>0622</x:v>
      </x:c>
      <x:c r="L8" s="22" t="str">
        <x:v>2:00</x:v>
      </x:c>
      <x:c r="M8" s="22" t="str">
        <x:v>1:45</x:v>
      </x:c>
      <x:c r="N8" s="22" t="str">
        <x:v>26</x:v>
      </x:c>
      <x:c r="O8" s="26" t="n">
        <x:v>26</x:v>
      </x:c>
      <x:c r="P8" s="22" t="str">
        <x:v>1</x:v>
      </x:c>
      <x:c r="Q8" s="26" t="n">
        <x:v>1</x:v>
      </x:c>
      <x:c r="R8" s="22" t="str">
        <x:v>Observed</x:v>
      </x:c>
      <x:c r="S8" s="22" t="str"/>
      <x:c r="T8" s="26" t="n">
        <x:f>IF(R8&lt;&gt;"Observed","",SUMIFS($O$3:O8,$C$3:C8,C8,$R$3:R8,"Observed"))</x:f>
        <x:v>58</x:v>
      </x:c>
      <x:c r="U8" s="26" t="n">
        <x:f>IF(R8&lt;&gt;"Observed","",SUMIFS($Q$3:Q8,$C$3:C8,C8,$R$3:R8,"Observed"))</x:f>
        <x:v>2</x:v>
      </x:c>
      <x:c r="V8" s="26" t="n">
        <x:f>IF(R8&lt;&gt;"Observed","",T8-U8)</x:f>
        <x:v>56</x:v>
      </x:c>
    </x:row>
    <x:row r="9">
      <x:c r="A9" s="22" t="str">
        <x:v>2022-2026-Copalis-Mocrocks.pdf</x:v>
      </x:c>
      <x:c r="B9" s="26" t="n">
        <x:v>1</x:v>
      </x:c>
      <x:c r="C9" s="22" t="str">
        <x:v>P01</x:v>
      </x:c>
      <x:c r="D9" s="22" t="str">
        <x:v>Copalis Beach</x:v>
      </x:c>
      <x:c r="E9" s="22" t="str">
        <x:v>Ocean City North</x:v>
      </x:c>
      <x:c r="F9" s="24" t="n">
        <x:v>44653</x:v>
      </x:c>
      <x:c r="G9" s="22" t="str">
        <x:v>Bryce</x:v>
      </x:c>
      <x:c r="H9" s="26" t="n">
        <x:v>7</x:v>
      </x:c>
      <x:c r="I9" s="22" t="str">
        <x:v>15-minute interval</x:v>
      </x:c>
      <x:c r="J9" s="22" t="str">
        <x:v>0622</x:v>
      </x:c>
      <x:c r="K9" s="22" t="str">
        <x:v>0637</x:v>
      </x:c>
      <x:c r="L9" s="22" t="str">
        <x:v>1:45</x:v>
      </x:c>
      <x:c r="M9" s="22" t="str">
        <x:v>1:30</x:v>
      </x:c>
      <x:c r="N9" s="22" t="str">
        <x:v>51</x:v>
      </x:c>
      <x:c r="O9" s="26" t="n">
        <x:v>51</x:v>
      </x:c>
      <x:c r="P9" s="22" t="str">
        <x:v>0</x:v>
      </x:c>
      <x:c r="Q9" s="26" t="n">
        <x:v>0</x:v>
      </x:c>
      <x:c r="R9" s="22" t="str">
        <x:v>Observed</x:v>
      </x:c>
      <x:c r="S9" s="22" t="str"/>
      <x:c r="T9" s="26" t="n">
        <x:f>IF(R9&lt;&gt;"Observed","",SUMIFS($O$3:O9,$C$3:C9,C9,$R$3:R9,"Observed"))</x:f>
        <x:v>109</x:v>
      </x:c>
      <x:c r="U9" s="26" t="n">
        <x:f>IF(R9&lt;&gt;"Observed","",SUMIFS($Q$3:Q9,$C$3:C9,C9,$R$3:R9,"Observed"))</x:f>
        <x:v>2</x:v>
      </x:c>
      <x:c r="V9" s="26" t="n">
        <x:f>IF(R9&lt;&gt;"Observed","",T9-U9)</x:f>
        <x:v>107</x:v>
      </x:c>
    </x:row>
    <x:row r="10">
      <x:c r="A10" s="22" t="str">
        <x:v>2022-2026-Copalis-Mocrocks.pdf</x:v>
      </x:c>
      <x:c r="B10" s="26" t="n">
        <x:v>1</x:v>
      </x:c>
      <x:c r="C10" s="22" t="str">
        <x:v>P01</x:v>
      </x:c>
      <x:c r="D10" s="22" t="str">
        <x:v>Copalis Beach</x:v>
      </x:c>
      <x:c r="E10" s="22" t="str">
        <x:v>Ocean City North</x:v>
      </x:c>
      <x:c r="F10" s="24" t="n">
        <x:v>44653</x:v>
      </x:c>
      <x:c r="G10" s="22" t="str">
        <x:v>Bryce</x:v>
      </x:c>
      <x:c r="H10" s="26" t="n">
        <x:v>8</x:v>
      </x:c>
      <x:c r="I10" s="22" t="str">
        <x:v>15-minute interval</x:v>
      </x:c>
      <x:c r="J10" s="22" t="str">
        <x:v>0637</x:v>
      </x:c>
      <x:c r="K10" s="22" t="str">
        <x:v>0652</x:v>
      </x:c>
      <x:c r="L10" s="22" t="str">
        <x:v>1:30</x:v>
      </x:c>
      <x:c r="M10" s="22" t="str">
        <x:v>1:15</x:v>
      </x:c>
      <x:c r="N10" s="22" t="str">
        <x:v>59</x:v>
      </x:c>
      <x:c r="O10" s="26" t="n">
        <x:v>59</x:v>
      </x:c>
      <x:c r="P10" s="22" t="str">
        <x:v>3</x:v>
      </x:c>
      <x:c r="Q10" s="26" t="n">
        <x:v>3</x:v>
      </x:c>
      <x:c r="R10" s="22" t="str">
        <x:v>Observed</x:v>
      </x:c>
      <x:c r="S10" s="22" t="str"/>
      <x:c r="T10" s="26" t="n">
        <x:f>IF(R10&lt;&gt;"Observed","",SUMIFS($O$3:O10,$C$3:C10,C10,$R$3:R10,"Observed"))</x:f>
        <x:v>168</x:v>
      </x:c>
      <x:c r="U10" s="26" t="n">
        <x:f>IF(R10&lt;&gt;"Observed","",SUMIFS($Q$3:Q10,$C$3:C10,C10,$R$3:R10,"Observed"))</x:f>
        <x:v>5</x:v>
      </x:c>
      <x:c r="V10" s="26" t="n">
        <x:f>IF(R10&lt;&gt;"Observed","",T10-U10)</x:f>
        <x:v>163</x:v>
      </x:c>
    </x:row>
    <x:row r="11">
      <x:c r="A11" s="22" t="str">
        <x:v>2022-2026-Copalis-Mocrocks.pdf</x:v>
      </x:c>
      <x:c r="B11" s="26" t="n">
        <x:v>1</x:v>
      </x:c>
      <x:c r="C11" s="22" t="str">
        <x:v>P01</x:v>
      </x:c>
      <x:c r="D11" s="22" t="str">
        <x:v>Copalis Beach</x:v>
      </x:c>
      <x:c r="E11" s="22" t="str">
        <x:v>Ocean City North</x:v>
      </x:c>
      <x:c r="F11" s="24" t="n">
        <x:v>44653</x:v>
      </x:c>
      <x:c r="G11" s="22" t="str">
        <x:v>Bryce</x:v>
      </x:c>
      <x:c r="H11" s="26" t="n">
        <x:v>9</x:v>
      </x:c>
      <x:c r="I11" s="22" t="str">
        <x:v>15-minute interval</x:v>
      </x:c>
      <x:c r="J11" s="22" t="str">
        <x:v>0652</x:v>
      </x:c>
      <x:c r="K11" s="22" t="str">
        <x:v>0707</x:v>
      </x:c>
      <x:c r="L11" s="22" t="str">
        <x:v>1:15</x:v>
      </x:c>
      <x:c r="M11" s="22" t="str">
        <x:v>1:00</x:v>
      </x:c>
      <x:c r="N11" s="22" t="str">
        <x:v>74</x:v>
      </x:c>
      <x:c r="O11" s="26" t="n">
        <x:v>74</x:v>
      </x:c>
      <x:c r="P11" s="22" t="str">
        <x:v>4</x:v>
      </x:c>
      <x:c r="Q11" s="26" t="n">
        <x:v>4</x:v>
      </x:c>
      <x:c r="R11" s="22" t="str">
        <x:v>Observed</x:v>
      </x:c>
      <x:c r="S11" s="22" t="str"/>
      <x:c r="T11" s="26" t="n">
        <x:f>IF(R11&lt;&gt;"Observed","",SUMIFS($O$3:O11,$C$3:C11,C11,$R$3:R11,"Observed"))</x:f>
        <x:v>242</x:v>
      </x:c>
      <x:c r="U11" s="26" t="n">
        <x:f>IF(R11&lt;&gt;"Observed","",SUMIFS($Q$3:Q11,$C$3:C11,C11,$R$3:R11,"Observed"))</x:f>
        <x:v>9</x:v>
      </x:c>
      <x:c r="V11" s="26" t="n">
        <x:f>IF(R11&lt;&gt;"Observed","",T11-U11)</x:f>
        <x:v>233</x:v>
      </x:c>
    </x:row>
    <x:row r="12">
      <x:c r="A12" s="22" t="str">
        <x:v>2022-2026-Copalis-Mocrocks.pdf</x:v>
      </x:c>
      <x:c r="B12" s="26" t="n">
        <x:v>1</x:v>
      </x:c>
      <x:c r="C12" s="22" t="str">
        <x:v>P01</x:v>
      </x:c>
      <x:c r="D12" s="22" t="str">
        <x:v>Copalis Beach</x:v>
      </x:c>
      <x:c r="E12" s="22" t="str">
        <x:v>Ocean City North</x:v>
      </x:c>
      <x:c r="F12" s="24" t="n">
        <x:v>44653</x:v>
      </x:c>
      <x:c r="G12" s="22" t="str">
        <x:v>Bryce</x:v>
      </x:c>
      <x:c r="H12" s="26" t="n">
        <x:v>10</x:v>
      </x:c>
      <x:c r="I12" s="22" t="str">
        <x:v>15-minute interval</x:v>
      </x:c>
      <x:c r="J12" s="22" t="str">
        <x:v>0707</x:v>
      </x:c>
      <x:c r="K12" s="22" t="str">
        <x:v>0722</x:v>
      </x:c>
      <x:c r="L12" s="22" t="str">
        <x:v>1:00</x:v>
      </x:c>
      <x:c r="M12" s="22" t="str">
        <x:v>0:45</x:v>
      </x:c>
      <x:c r="N12" s="22" t="str">
        <x:v>64</x:v>
      </x:c>
      <x:c r="O12" s="26" t="n">
        <x:v>64</x:v>
      </x:c>
      <x:c r="P12" s="22" t="str">
        <x:v>17</x:v>
      </x:c>
      <x:c r="Q12" s="26" t="n">
        <x:v>17</x:v>
      </x:c>
      <x:c r="R12" s="22" t="str">
        <x:v>Observed</x:v>
      </x:c>
      <x:c r="S12" s="22" t="str"/>
      <x:c r="T12" s="26" t="n">
        <x:f>IF(R12&lt;&gt;"Observed","",SUMIFS($O$3:O12,$C$3:C12,C12,$R$3:R12,"Observed"))</x:f>
        <x:v>306</x:v>
      </x:c>
      <x:c r="U12" s="26" t="n">
        <x:f>IF(R12&lt;&gt;"Observed","",SUMIFS($Q$3:Q12,$C$3:C12,C12,$R$3:R12,"Observed"))</x:f>
        <x:v>26</x:v>
      </x:c>
      <x:c r="V12" s="26" t="n">
        <x:f>IF(R12&lt;&gt;"Observed","",T12-U12)</x:f>
        <x:v>280</x:v>
      </x:c>
    </x:row>
    <x:row r="13">
      <x:c r="A13" s="22" t="str">
        <x:v>2022-2026-Copalis-Mocrocks.pdf</x:v>
      </x:c>
      <x:c r="B13" s="26" t="n">
        <x:v>1</x:v>
      </x:c>
      <x:c r="C13" s="22" t="str">
        <x:v>P01</x:v>
      </x:c>
      <x:c r="D13" s="22" t="str">
        <x:v>Copalis Beach</x:v>
      </x:c>
      <x:c r="E13" s="22" t="str">
        <x:v>Ocean City North</x:v>
      </x:c>
      <x:c r="F13" s="24" t="n">
        <x:v>44653</x:v>
      </x:c>
      <x:c r="G13" s="22" t="str">
        <x:v>Bryce</x:v>
      </x:c>
      <x:c r="H13" s="26" t="n">
        <x:v>11</x:v>
      </x:c>
      <x:c r="I13" s="22" t="str">
        <x:v>15-minute interval</x:v>
      </x:c>
      <x:c r="J13" s="22" t="str">
        <x:v>0722</x:v>
      </x:c>
      <x:c r="K13" s="22" t="str">
        <x:v>0737</x:v>
      </x:c>
      <x:c r="L13" s="22" t="str">
        <x:v>0:45</x:v>
      </x:c>
      <x:c r="M13" s="22" t="str">
        <x:v>0:30</x:v>
      </x:c>
      <x:c r="N13" s="22" t="str">
        <x:v>47</x:v>
      </x:c>
      <x:c r="O13" s="26" t="n">
        <x:v>47</x:v>
      </x:c>
      <x:c r="P13" s="22" t="str">
        <x:v>34</x:v>
      </x:c>
      <x:c r="Q13" s="26" t="n">
        <x:v>34</x:v>
      </x:c>
      <x:c r="R13" s="22" t="str">
        <x:v>Observed</x:v>
      </x:c>
      <x:c r="S13" s="22" t="str"/>
      <x:c r="T13" s="26" t="n">
        <x:f>IF(R13&lt;&gt;"Observed","",SUMIFS($O$3:O13,$C$3:C13,C13,$R$3:R13,"Observed"))</x:f>
        <x:v>353</x:v>
      </x:c>
      <x:c r="U13" s="26" t="n">
        <x:f>IF(R13&lt;&gt;"Observed","",SUMIFS($Q$3:Q13,$C$3:C13,C13,$R$3:R13,"Observed"))</x:f>
        <x:v>60</x:v>
      </x:c>
      <x:c r="V13" s="26" t="n">
        <x:f>IF(R13&lt;&gt;"Observed","",T13-U13)</x:f>
        <x:v>293</x:v>
      </x:c>
    </x:row>
    <x:row r="14">
      <x:c r="A14" s="22" t="str">
        <x:v>2022-2026-Copalis-Mocrocks.pdf</x:v>
      </x:c>
      <x:c r="B14" s="26" t="n">
        <x:v>1</x:v>
      </x:c>
      <x:c r="C14" s="22" t="str">
        <x:v>P01</x:v>
      </x:c>
      <x:c r="D14" s="22" t="str">
        <x:v>Copalis Beach</x:v>
      </x:c>
      <x:c r="E14" s="22" t="str">
        <x:v>Ocean City North</x:v>
      </x:c>
      <x:c r="F14" s="24" t="n">
        <x:v>44653</x:v>
      </x:c>
      <x:c r="G14" s="22" t="str">
        <x:v>Bryce</x:v>
      </x:c>
      <x:c r="H14" s="26" t="n">
        <x:v>12</x:v>
      </x:c>
      <x:c r="I14" s="22" t="str">
        <x:v>15-minute interval</x:v>
      </x:c>
      <x:c r="J14" s="22" t="str">
        <x:v>0737</x:v>
      </x:c>
      <x:c r="K14" s="22" t="str">
        <x:v>0752</x:v>
      </x:c>
      <x:c r="L14" s="22" t="str">
        <x:v>0:30</x:v>
      </x:c>
      <x:c r="M14" s="22" t="str">
        <x:v>0:15</x:v>
      </x:c>
      <x:c r="N14" s="22" t="str">
        <x:v>18</x:v>
      </x:c>
      <x:c r="O14" s="26" t="n">
        <x:v>18</x:v>
      </x:c>
      <x:c r="P14" s="22" t="str">
        <x:v>37</x:v>
      </x:c>
      <x:c r="Q14" s="26" t="n">
        <x:v>37</x:v>
      </x:c>
      <x:c r="R14" s="22" t="str">
        <x:v>Observed</x:v>
      </x:c>
      <x:c r="S14" s="22" t="str"/>
      <x:c r="T14" s="26" t="n">
        <x:f>IF(R14&lt;&gt;"Observed","",SUMIFS($O$3:O14,$C$3:C14,C14,$R$3:R14,"Observed"))</x:f>
        <x:v>371</x:v>
      </x:c>
      <x:c r="U14" s="26" t="n">
        <x:f>IF(R14&lt;&gt;"Observed","",SUMIFS($Q$3:Q14,$C$3:C14,C14,$R$3:R14,"Observed"))</x:f>
        <x:v>97</x:v>
      </x:c>
      <x:c r="V14" s="26" t="n">
        <x:f>IF(R14&lt;&gt;"Observed","",T14-U14)</x:f>
        <x:v>274</x:v>
      </x:c>
    </x:row>
    <x:row r="15">
      <x:c r="A15" s="22" t="str">
        <x:v>2022-2026-Copalis-Mocrocks.pdf</x:v>
      </x:c>
      <x:c r="B15" s="26" t="n">
        <x:v>1</x:v>
      </x:c>
      <x:c r="C15" s="22" t="str">
        <x:v>P01</x:v>
      </x:c>
      <x:c r="D15" s="22" t="str">
        <x:v>Copalis Beach</x:v>
      </x:c>
      <x:c r="E15" s="22" t="str">
        <x:v>Ocean City North</x:v>
      </x:c>
      <x:c r="F15" s="24" t="n">
        <x:v>44653</x:v>
      </x:c>
      <x:c r="G15" s="22" t="str">
        <x:v>Bryce</x:v>
      </x:c>
      <x:c r="H15" s="26" t="n">
        <x:v>13</x:v>
      </x:c>
      <x:c r="I15" s="22" t="str">
        <x:v>15-minute interval</x:v>
      </x:c>
      <x:c r="J15" s="22" t="str">
        <x:v>0752</x:v>
      </x:c>
      <x:c r="K15" s="22" t="str">
        <x:v>0807</x:v>
      </x:c>
      <x:c r="L15" s="22" t="str">
        <x:v>0:15</x:v>
      </x:c>
      <x:c r="M15" s="22" t="str">
        <x:v>0:00</x:v>
      </x:c>
      <x:c r="N15" s="22" t="str">
        <x:v>14</x:v>
      </x:c>
      <x:c r="O15" s="26" t="n">
        <x:v>14</x:v>
      </x:c>
      <x:c r="P15" s="22" t="str">
        <x:v>49</x:v>
      </x:c>
      <x:c r="Q15" s="26" t="n">
        <x:v>49</x:v>
      </x:c>
      <x:c r="R15" s="22" t="str">
        <x:v>Observed</x:v>
      </x:c>
      <x:c r="S15" s="22" t="str"/>
      <x:c r="T15" s="26" t="n">
        <x:f>IF(R15&lt;&gt;"Observed","",SUMIFS($O$3:O15,$C$3:C15,C15,$R$3:R15,"Observed"))</x:f>
        <x:v>385</x:v>
      </x:c>
      <x:c r="U15" s="26" t="n">
        <x:f>IF(R15&lt;&gt;"Observed","",SUMIFS($Q$3:Q15,$C$3:C15,C15,$R$3:R15,"Observed"))</x:f>
        <x:v>146</x:v>
      </x:c>
      <x:c r="V15" s="26" t="n">
        <x:f>IF(R15&lt;&gt;"Observed","",T15-U15)</x:f>
        <x:v>239</x:v>
      </x:c>
    </x:row>
    <x:row r="16">
      <x:c r="A16" s="22" t="str">
        <x:v>2022-2026-Copalis-Mocrocks.pdf</x:v>
      </x:c>
      <x:c r="B16" s="26" t="n">
        <x:v>1</x:v>
      </x:c>
      <x:c r="C16" s="22" t="str">
        <x:v>P01</x:v>
      </x:c>
      <x:c r="D16" s="22" t="str">
        <x:v>Copalis Beach</x:v>
      </x:c>
      <x:c r="E16" s="22" t="str">
        <x:v>Ocean City North</x:v>
      </x:c>
      <x:c r="F16" s="24" t="n">
        <x:v>44653</x:v>
      </x:c>
      <x:c r="G16" s="22" t="str">
        <x:v>Bryce</x:v>
      </x:c>
      <x:c r="H16" s="26" t="n">
        <x:v>14</x:v>
      </x:c>
      <x:c r="I16" s="22" t="str">
        <x:v>15-minute interval</x:v>
      </x:c>
      <x:c r="J16" s="22" t="str">
        <x:v>0807</x:v>
      </x:c>
      <x:c r="K16" s="22" t="str">
        <x:v>0822</x:v>
      </x:c>
      <x:c r="L16" s="22" t="str">
        <x:v>0:00</x:v>
      </x:c>
      <x:c r="M16" s="22" t="str">
        <x:v>0:15</x:v>
      </x:c>
      <x:c r="N16" s="22" t="str">
        <x:v>14</x:v>
      </x:c>
      <x:c r="O16" s="26" t="n">
        <x:v>14</x:v>
      </x:c>
      <x:c r="P16" s="22" t="str">
        <x:v>47</x:v>
      </x:c>
      <x:c r="Q16" s="26" t="n">
        <x:v>47</x:v>
      </x:c>
      <x:c r="R16" s="22" t="str">
        <x:v>Observed</x:v>
      </x:c>
      <x:c r="S16" s="22" t="str"/>
      <x:c r="T16" s="26" t="n">
        <x:f>IF(R16&lt;&gt;"Observed","",SUMIFS($O$3:O16,$C$3:C16,C16,$R$3:R16,"Observed"))</x:f>
        <x:v>399</x:v>
      </x:c>
      <x:c r="U16" s="26" t="n">
        <x:f>IF(R16&lt;&gt;"Observed","",SUMIFS($Q$3:Q16,$C$3:C16,C16,$R$3:R16,"Observed"))</x:f>
        <x:v>193</x:v>
      </x:c>
      <x:c r="V16" s="26" t="n">
        <x:f>IF(R16&lt;&gt;"Observed","",T16-U16)</x:f>
        <x:v>206</x:v>
      </x:c>
    </x:row>
    <x:row r="17">
      <x:c r="A17" s="22" t="str">
        <x:v>2022-2026-Copalis-Mocrocks.pdf</x:v>
      </x:c>
      <x:c r="B17" s="26" t="n">
        <x:v>1</x:v>
      </x:c>
      <x:c r="C17" s="22" t="str">
        <x:v>P01</x:v>
      </x:c>
      <x:c r="D17" s="22" t="str">
        <x:v>Copalis Beach</x:v>
      </x:c>
      <x:c r="E17" s="22" t="str">
        <x:v>Ocean City North</x:v>
      </x:c>
      <x:c r="F17" s="24" t="n">
        <x:v>44653</x:v>
      </x:c>
      <x:c r="G17" s="22" t="str">
        <x:v>Bryce</x:v>
      </x:c>
      <x:c r="H17" s="26" t="n">
        <x:v>15</x:v>
      </x:c>
      <x:c r="I17" s="22" t="str">
        <x:v>15-minute interval</x:v>
      </x:c>
      <x:c r="J17" s="22" t="str">
        <x:v>0822</x:v>
      </x:c>
      <x:c r="K17" s="22" t="str">
        <x:v>0837</x:v>
      </x:c>
      <x:c r="L17" s="22" t="str">
        <x:v>0:15</x:v>
      </x:c>
      <x:c r="M17" s="22" t="str">
        <x:v>0:30</x:v>
      </x:c>
      <x:c r="N17" s="22" t="str">
        <x:v>13</x:v>
      </x:c>
      <x:c r="O17" s="26" t="n">
        <x:v>13</x:v>
      </x:c>
      <x:c r="P17" s="22" t="str">
        <x:v>33</x:v>
      </x:c>
      <x:c r="Q17" s="26" t="n">
        <x:v>33</x:v>
      </x:c>
      <x:c r="R17" s="22" t="str">
        <x:v>Observed</x:v>
      </x:c>
      <x:c r="S17" s="22" t="str"/>
      <x:c r="T17" s="26" t="n">
        <x:f>IF(R17&lt;&gt;"Observed","",SUMIFS($O$3:O17,$C$3:C17,C17,$R$3:R17,"Observed"))</x:f>
        <x:v>412</x:v>
      </x:c>
      <x:c r="U17" s="26" t="n">
        <x:f>IF(R17&lt;&gt;"Observed","",SUMIFS($Q$3:Q17,$C$3:C17,C17,$R$3:R17,"Observed"))</x:f>
        <x:v>226</x:v>
      </x:c>
      <x:c r="V17" s="26" t="n">
        <x:f>IF(R17&lt;&gt;"Observed","",T17-U17)</x:f>
        <x:v>186</x:v>
      </x:c>
    </x:row>
    <x:row r="18">
      <x:c r="A18" s="22" t="str">
        <x:v>2022-2026-Copalis-Mocrocks.pdf</x:v>
      </x:c>
      <x:c r="B18" s="26" t="n">
        <x:v>1</x:v>
      </x:c>
      <x:c r="C18" s="22" t="str">
        <x:v>P01</x:v>
      </x:c>
      <x:c r="D18" s="22" t="str">
        <x:v>Copalis Beach</x:v>
      </x:c>
      <x:c r="E18" s="22" t="str">
        <x:v>Ocean City North</x:v>
      </x:c>
      <x:c r="F18" s="24" t="n">
        <x:v>44653</x:v>
      </x:c>
      <x:c r="G18" s="22" t="str">
        <x:v>Bryce</x:v>
      </x:c>
      <x:c r="H18" s="26" t="n">
        <x:v>16</x:v>
      </x:c>
      <x:c r="I18" s="22" t="str">
        <x:v>15-minute interval</x:v>
      </x:c>
      <x:c r="J18" s="22" t="str">
        <x:v>0837</x:v>
      </x:c>
      <x:c r="K18" s="22" t="str">
        <x:v>0852</x:v>
      </x:c>
      <x:c r="L18" s="22" t="str">
        <x:v>0:30</x:v>
      </x:c>
      <x:c r="M18" s="22" t="str">
        <x:v>0:45</x:v>
      </x:c>
      <x:c r="N18" s="22" t="str">
        <x:v>7</x:v>
      </x:c>
      <x:c r="O18" s="26" t="n">
        <x:v>7</x:v>
      </x:c>
      <x:c r="P18" s="22" t="str">
        <x:v>54</x:v>
      </x:c>
      <x:c r="Q18" s="26" t="n">
        <x:v>54</x:v>
      </x:c>
      <x:c r="R18" s="22" t="str">
        <x:v>Observed</x:v>
      </x:c>
      <x:c r="S18" s="22" t="str"/>
      <x:c r="T18" s="26" t="n">
        <x:f>IF(R18&lt;&gt;"Observed","",SUMIFS($O$3:O18,$C$3:C18,C18,$R$3:R18,"Observed"))</x:f>
        <x:v>419</x:v>
      </x:c>
      <x:c r="U18" s="26" t="n">
        <x:f>IF(R18&lt;&gt;"Observed","",SUMIFS($Q$3:Q18,$C$3:C18,C18,$R$3:R18,"Observed"))</x:f>
        <x:v>280</x:v>
      </x:c>
      <x:c r="V18" s="26" t="n">
        <x:f>IF(R18&lt;&gt;"Observed","",T18-U18)</x:f>
        <x:v>139</x:v>
      </x:c>
    </x:row>
    <x:row r="19">
      <x:c r="A19" s="22" t="str">
        <x:v>2022-2026-Copalis-Mocrocks.pdf</x:v>
      </x:c>
      <x:c r="B19" s="26" t="n">
        <x:v>1</x:v>
      </x:c>
      <x:c r="C19" s="22" t="str">
        <x:v>P01</x:v>
      </x:c>
      <x:c r="D19" s="22" t="str">
        <x:v>Copalis Beach</x:v>
      </x:c>
      <x:c r="E19" s="22" t="str">
        <x:v>Ocean City North</x:v>
      </x:c>
      <x:c r="F19" s="24" t="n">
        <x:v>44653</x:v>
      </x:c>
      <x:c r="G19" s="22" t="str">
        <x:v>Bryce</x:v>
      </x:c>
      <x:c r="H19" s="26" t="n">
        <x:v>17</x:v>
      </x:c>
      <x:c r="I19" s="22" t="str">
        <x:v>15-minute interval</x:v>
      </x:c>
      <x:c r="J19" s="22" t="str">
        <x:v>0852</x:v>
      </x:c>
      <x:c r="K19" s="22" t="str">
        <x:v>0907</x:v>
      </x:c>
      <x:c r="L19" s="22" t="str">
        <x:v>0:45</x:v>
      </x:c>
      <x:c r="M19" s="22" t="str">
        <x:v>1:00</x:v>
      </x:c>
      <x:c r="N19" s="22" t="str">
        <x:v>7</x:v>
      </x:c>
      <x:c r="O19" s="26" t="n">
        <x:v>7</x:v>
      </x:c>
      <x:c r="P19" s="22" t="str">
        <x:v>21</x:v>
      </x:c>
      <x:c r="Q19" s="26" t="n">
        <x:v>21</x:v>
      </x:c>
      <x:c r="R19" s="22" t="str">
        <x:v>Observed</x:v>
      </x:c>
      <x:c r="S19" s="22" t="str"/>
      <x:c r="T19" s="26" t="n">
        <x:f>IF(R19&lt;&gt;"Observed","",SUMIFS($O$3:O19,$C$3:C19,C19,$R$3:R19,"Observed"))</x:f>
        <x:v>426</x:v>
      </x:c>
      <x:c r="U19" s="26" t="n">
        <x:f>IF(R19&lt;&gt;"Observed","",SUMIFS($Q$3:Q19,$C$3:C19,C19,$R$3:R19,"Observed"))</x:f>
        <x:v>301</x:v>
      </x:c>
      <x:c r="V19" s="26" t="n">
        <x:f>IF(R19&lt;&gt;"Observed","",T19-U19)</x:f>
        <x:v>125</x:v>
      </x:c>
    </x:row>
    <x:row r="20">
      <x:c r="A20" s="22" t="str">
        <x:v>2022-2026-Copalis-Mocrocks.pdf</x:v>
      </x:c>
      <x:c r="B20" s="26" t="n">
        <x:v>2</x:v>
      </x:c>
      <x:c r="C20" s="22" t="str">
        <x:v>P02</x:v>
      </x:c>
      <x:c r="D20" s="22" t="str">
        <x:v>Mocrocks</x:v>
      </x:c>
      <x:c r="E20" s="22" t="str">
        <x:v>Roosevelt App. South</x:v>
      </x:c>
      <x:c r="F20" s="24" t="n">
        <x:v>44654</x:v>
      </x:c>
      <x:c r="G20" s="22" t="str">
        <x:v>Clayton</x:v>
      </x:c>
      <x:c r="H20" s="26" t="n">
        <x:v>1</x:v>
      </x:c>
      <x:c r="I20" s="22" t="str">
        <x:v>Prior to Start</x:v>
      </x:c>
      <x:c r="J20" s="22" t="str">
        <x:v>Prior to Start</x:v>
      </x:c>
      <x:c r="K20" s="22" t="str"/>
      <x:c r="L20" s="22" t="str">
        <x:v>to Start</x:v>
      </x:c>
      <x:c r="M20" s="22" t="str"/>
      <x:c r="N20" s="22" t="str">
        <x:v>2</x:v>
      </x:c>
      <x:c r="O20" s="26" t="n">
        <x:v>2</x:v>
      </x:c>
      <x:c r="P20" s="22" t="str"/>
      <x:c r="Q20" s="26" t="n">
        <x:v>0</x:v>
      </x:c>
      <x:c r="R20" s="22" t="str">
        <x:v>Observed</x:v>
      </x:c>
      <x:c r="S20" s="22" t="str">
        <x:v>Cars Off source cell blank; treated as 0.</x:v>
      </x:c>
      <x:c r="T20" s="26" t="n">
        <x:f>IF(R20&lt;&gt;"Observed","",SUMIFS($O$3:O20,$C$3:C20,C20,$R$3:R20,"Observed"))</x:f>
        <x:v>2</x:v>
      </x:c>
      <x:c r="U20" s="26" t="n">
        <x:f>IF(R20&lt;&gt;"Observed","",SUMIFS($Q$3:Q20,$C$3:C20,C20,$R$3:R20,"Observed"))</x:f>
        <x:v>0</x:v>
      </x:c>
      <x:c r="V20" s="26" t="n">
        <x:f>IF(R20&lt;&gt;"Observed","",T20-U20)</x:f>
        <x:v>2</x:v>
      </x:c>
    </x:row>
    <x:row r="21">
      <x:c r="A21" s="22" t="str">
        <x:v>2022-2026-Copalis-Mocrocks.pdf</x:v>
      </x:c>
      <x:c r="B21" s="26" t="n">
        <x:v>2</x:v>
      </x:c>
      <x:c r="C21" s="22" t="str">
        <x:v>P02</x:v>
      </x:c>
      <x:c r="D21" s="22" t="str">
        <x:v>Mocrocks</x:v>
      </x:c>
      <x:c r="E21" s="22" t="str">
        <x:v>Roosevelt App. South</x:v>
      </x:c>
      <x:c r="F21" s="24" t="n">
        <x:v>44654</x:v>
      </x:c>
      <x:c r="G21" s="22" t="str">
        <x:v>Clayton</x:v>
      </x:c>
      <x:c r="H21" s="26" t="n">
        <x:v>2</x:v>
      </x:c>
      <x:c r="I21" s="22" t="str">
        <x:v>15-minute interval</x:v>
      </x:c>
      <x:c r="J21" s="22" t="str">
        <x:v>0545</x:v>
      </x:c>
      <x:c r="K21" s="22" t="str">
        <x:v>0600</x:v>
      </x:c>
      <x:c r="L21" s="22" t="str">
        <x:v>3:00</x:v>
      </x:c>
      <x:c r="M21" s="22" t="str">
        <x:v>2:45</x:v>
      </x:c>
      <x:c r="N21" s="22" t="str">
        <x:v>-</x:v>
      </x:c>
      <x:c r="O21" s="26" t="n">
        <x:v>0</x:v>
      </x:c>
      <x:c r="P21" s="22" t="str">
        <x:v>-</x:v>
      </x:c>
      <x:c r="Q21" s="26" t="n">
        <x:v>0</x:v>
      </x:c>
      <x:c r="R21" s="22" t="str">
        <x:v>Observed</x:v>
      </x:c>
      <x:c r="S21" s="22" t="str">
        <x:v>Dashes interpreted as 0.</x:v>
      </x:c>
      <x:c r="T21" s="26" t="n">
        <x:f>IF(R21&lt;&gt;"Observed","",SUMIFS($O$3:O21,$C$3:C21,C21,$R$3:R21,"Observed"))</x:f>
        <x:v>2</x:v>
      </x:c>
      <x:c r="U21" s="26" t="n">
        <x:f>IF(R21&lt;&gt;"Observed","",SUMIFS($Q$3:Q21,$C$3:C21,C21,$R$3:R21,"Observed"))</x:f>
        <x:v>0</x:v>
      </x:c>
      <x:c r="V21" s="26" t="n">
        <x:f>IF(R21&lt;&gt;"Observed","",T21-U21)</x:f>
        <x:v>2</x:v>
      </x:c>
    </x:row>
    <x:row r="22">
      <x:c r="A22" s="22" t="str">
        <x:v>2022-2026-Copalis-Mocrocks.pdf</x:v>
      </x:c>
      <x:c r="B22" s="26" t="n">
        <x:v>2</x:v>
      </x:c>
      <x:c r="C22" s="22" t="str">
        <x:v>P02</x:v>
      </x:c>
      <x:c r="D22" s="22" t="str">
        <x:v>Mocrocks</x:v>
      </x:c>
      <x:c r="E22" s="22" t="str">
        <x:v>Roosevelt App. South</x:v>
      </x:c>
      <x:c r="F22" s="24" t="n">
        <x:v>44654</x:v>
      </x:c>
      <x:c r="G22" s="22" t="str">
        <x:v>Clayton</x:v>
      </x:c>
      <x:c r="H22" s="26" t="n">
        <x:v>3</x:v>
      </x:c>
      <x:c r="I22" s="22" t="str">
        <x:v>15-minute interval</x:v>
      </x:c>
      <x:c r="J22" s="22" t="str">
        <x:v>0600</x:v>
      </x:c>
      <x:c r="K22" s="22" t="str">
        <x:v>0615</x:v>
      </x:c>
      <x:c r="L22" s="22" t="str">
        <x:v>2:45</x:v>
      </x:c>
      <x:c r="M22" s="22" t="str">
        <x:v>2:30</x:v>
      </x:c>
      <x:c r="N22" s="22" t="str">
        <x:v>1</x:v>
      </x:c>
      <x:c r="O22" s="26" t="n">
        <x:v>1</x:v>
      </x:c>
      <x:c r="P22" s="22" t="str">
        <x:v>0</x:v>
      </x:c>
      <x:c r="Q22" s="26" t="n">
        <x:v>0</x:v>
      </x:c>
      <x:c r="R22" s="22" t="str">
        <x:v>Observed</x:v>
      </x:c>
      <x:c r="S22" s="22" t="str"/>
      <x:c r="T22" s="26" t="n">
        <x:f>IF(R22&lt;&gt;"Observed","",SUMIFS($O$3:O22,$C$3:C22,C22,$R$3:R22,"Observed"))</x:f>
        <x:v>3</x:v>
      </x:c>
      <x:c r="U22" s="26" t="n">
        <x:f>IF(R22&lt;&gt;"Observed","",SUMIFS($Q$3:Q22,$C$3:C22,C22,$R$3:R22,"Observed"))</x:f>
        <x:v>0</x:v>
      </x:c>
      <x:c r="V22" s="26" t="n">
        <x:f>IF(R22&lt;&gt;"Observed","",T22-U22)</x:f>
        <x:v>3</x:v>
      </x:c>
    </x:row>
    <x:row r="23">
      <x:c r="A23" s="22" t="str">
        <x:v>2022-2026-Copalis-Mocrocks.pdf</x:v>
      </x:c>
      <x:c r="B23" s="26" t="n">
        <x:v>2</x:v>
      </x:c>
      <x:c r="C23" s="22" t="str">
        <x:v>P02</x:v>
      </x:c>
      <x:c r="D23" s="22" t="str">
        <x:v>Mocrocks</x:v>
      </x:c>
      <x:c r="E23" s="22" t="str">
        <x:v>Roosevelt App. South</x:v>
      </x:c>
      <x:c r="F23" s="24" t="n">
        <x:v>44654</x:v>
      </x:c>
      <x:c r="G23" s="22" t="str">
        <x:v>Clayton</x:v>
      </x:c>
      <x:c r="H23" s="26" t="n">
        <x:v>4</x:v>
      </x:c>
      <x:c r="I23" s="22" t="str">
        <x:v>15-minute interval</x:v>
      </x:c>
      <x:c r="J23" s="22" t="str">
        <x:v>0615</x:v>
      </x:c>
      <x:c r="K23" s="22" t="str">
        <x:v>0630</x:v>
      </x:c>
      <x:c r="L23" s="22" t="str">
        <x:v>2:30</x:v>
      </x:c>
      <x:c r="M23" s="22" t="str">
        <x:v>2:15</x:v>
      </x:c>
      <x:c r="N23" s="22" t="str">
        <x:v>6</x:v>
      </x:c>
      <x:c r="O23" s="26" t="n">
        <x:v>6</x:v>
      </x:c>
      <x:c r="P23" s="22" t="str">
        <x:v>0</x:v>
      </x:c>
      <x:c r="Q23" s="26" t="n">
        <x:v>0</x:v>
      </x:c>
      <x:c r="R23" s="22" t="str">
        <x:v>Observed</x:v>
      </x:c>
      <x:c r="S23" s="22" t="str"/>
      <x:c r="T23" s="26" t="n">
        <x:f>IF(R23&lt;&gt;"Observed","",SUMIFS($O$3:O23,$C$3:C23,C23,$R$3:R23,"Observed"))</x:f>
        <x:v>9</x:v>
      </x:c>
      <x:c r="U23" s="26" t="n">
        <x:f>IF(R23&lt;&gt;"Observed","",SUMIFS($Q$3:Q23,$C$3:C23,C23,$R$3:R23,"Observed"))</x:f>
        <x:v>0</x:v>
      </x:c>
      <x:c r="V23" s="26" t="n">
        <x:f>IF(R23&lt;&gt;"Observed","",T23-U23)</x:f>
        <x:v>9</x:v>
      </x:c>
    </x:row>
    <x:row r="24">
      <x:c r="A24" s="22" t="str">
        <x:v>2022-2026-Copalis-Mocrocks.pdf</x:v>
      </x:c>
      <x:c r="B24" s="26" t="n">
        <x:v>2</x:v>
      </x:c>
      <x:c r="C24" s="22" t="str">
        <x:v>P02</x:v>
      </x:c>
      <x:c r="D24" s="22" t="str">
        <x:v>Mocrocks</x:v>
      </x:c>
      <x:c r="E24" s="22" t="str">
        <x:v>Roosevelt App. South</x:v>
      </x:c>
      <x:c r="F24" s="24" t="n">
        <x:v>44654</x:v>
      </x:c>
      <x:c r="G24" s="22" t="str">
        <x:v>Clayton</x:v>
      </x:c>
      <x:c r="H24" s="26" t="n">
        <x:v>5</x:v>
      </x:c>
      <x:c r="I24" s="22" t="str">
        <x:v>15-minute interval</x:v>
      </x:c>
      <x:c r="J24" s="22" t="str">
        <x:v>0630</x:v>
      </x:c>
      <x:c r="K24" s="22" t="str">
        <x:v>0645</x:v>
      </x:c>
      <x:c r="L24" s="22" t="str">
        <x:v>2:15</x:v>
      </x:c>
      <x:c r="M24" s="22" t="str">
        <x:v>2:00</x:v>
      </x:c>
      <x:c r="N24" s="22" t="str">
        <x:v>15</x:v>
      </x:c>
      <x:c r="O24" s="26" t="n">
        <x:v>15</x:v>
      </x:c>
      <x:c r="P24" s="22" t="str">
        <x:v>1</x:v>
      </x:c>
      <x:c r="Q24" s="26" t="n">
        <x:v>1</x:v>
      </x:c>
      <x:c r="R24" s="22" t="str">
        <x:v>Observed</x:v>
      </x:c>
      <x:c r="S24" s="22" t="str"/>
      <x:c r="T24" s="26" t="n">
        <x:f>IF(R24&lt;&gt;"Observed","",SUMIFS($O$3:O24,$C$3:C24,C24,$R$3:R24,"Observed"))</x:f>
        <x:v>24</x:v>
      </x:c>
      <x:c r="U24" s="26" t="n">
        <x:f>IF(R24&lt;&gt;"Observed","",SUMIFS($Q$3:Q24,$C$3:C24,C24,$R$3:R24,"Observed"))</x:f>
        <x:v>1</x:v>
      </x:c>
      <x:c r="V24" s="26" t="n">
        <x:f>IF(R24&lt;&gt;"Observed","",T24-U24)</x:f>
        <x:v>23</x:v>
      </x:c>
    </x:row>
    <x:row r="25">
      <x:c r="A25" s="22" t="str">
        <x:v>2022-2026-Copalis-Mocrocks.pdf</x:v>
      </x:c>
      <x:c r="B25" s="26" t="n">
        <x:v>2</x:v>
      </x:c>
      <x:c r="C25" s="22" t="str">
        <x:v>P02</x:v>
      </x:c>
      <x:c r="D25" s="22" t="str">
        <x:v>Mocrocks</x:v>
      </x:c>
      <x:c r="E25" s="22" t="str">
        <x:v>Roosevelt App. South</x:v>
      </x:c>
      <x:c r="F25" s="24" t="n">
        <x:v>44654</x:v>
      </x:c>
      <x:c r="G25" s="22" t="str">
        <x:v>Clayton</x:v>
      </x:c>
      <x:c r="H25" s="26" t="n">
        <x:v>6</x:v>
      </x:c>
      <x:c r="I25" s="22" t="str">
        <x:v>15-minute interval</x:v>
      </x:c>
      <x:c r="J25" s="22" t="str">
        <x:v>0645</x:v>
      </x:c>
      <x:c r="K25" s="22" t="str">
        <x:v>0700</x:v>
      </x:c>
      <x:c r="L25" s="22" t="str">
        <x:v>2:00</x:v>
      </x:c>
      <x:c r="M25" s="22" t="str">
        <x:v>1:45</x:v>
      </x:c>
      <x:c r="N25" s="22" t="str">
        <x:v>25</x:v>
      </x:c>
      <x:c r="O25" s="26" t="n">
        <x:v>25</x:v>
      </x:c>
      <x:c r="P25" s="22" t="str">
        <x:v>0</x:v>
      </x:c>
      <x:c r="Q25" s="26" t="n">
        <x:v>0</x:v>
      </x:c>
      <x:c r="R25" s="22" t="str">
        <x:v>Observed</x:v>
      </x:c>
      <x:c r="S25" s="22" t="str"/>
      <x:c r="T25" s="26" t="n">
        <x:f>IF(R25&lt;&gt;"Observed","",SUMIFS($O$3:O25,$C$3:C25,C25,$R$3:R25,"Observed"))</x:f>
        <x:v>49</x:v>
      </x:c>
      <x:c r="U25" s="26" t="n">
        <x:f>IF(R25&lt;&gt;"Observed","",SUMIFS($Q$3:Q25,$C$3:C25,C25,$R$3:R25,"Observed"))</x:f>
        <x:v>1</x:v>
      </x:c>
      <x:c r="V25" s="26" t="n">
        <x:f>IF(R25&lt;&gt;"Observed","",T25-U25)</x:f>
        <x:v>48</x:v>
      </x:c>
    </x:row>
    <x:row r="26">
      <x:c r="A26" s="22" t="str">
        <x:v>2022-2026-Copalis-Mocrocks.pdf</x:v>
      </x:c>
      <x:c r="B26" s="26" t="n">
        <x:v>2</x:v>
      </x:c>
      <x:c r="C26" s="22" t="str">
        <x:v>P02</x:v>
      </x:c>
      <x:c r="D26" s="22" t="str">
        <x:v>Mocrocks</x:v>
      </x:c>
      <x:c r="E26" s="22" t="str">
        <x:v>Roosevelt App. South</x:v>
      </x:c>
      <x:c r="F26" s="24" t="n">
        <x:v>44654</x:v>
      </x:c>
      <x:c r="G26" s="22" t="str">
        <x:v>Clayton</x:v>
      </x:c>
      <x:c r="H26" s="26" t="n">
        <x:v>7</x:v>
      </x:c>
      <x:c r="I26" s="22" t="str">
        <x:v>15-minute interval</x:v>
      </x:c>
      <x:c r="J26" s="22" t="str">
        <x:v>0700</x:v>
      </x:c>
      <x:c r="K26" s="22" t="str">
        <x:v>0715</x:v>
      </x:c>
      <x:c r="L26" s="22" t="str">
        <x:v>1:45</x:v>
      </x:c>
      <x:c r="M26" s="22" t="str">
        <x:v>1:30</x:v>
      </x:c>
      <x:c r="N26" s="22" t="str">
        <x:v>31</x:v>
      </x:c>
      <x:c r="O26" s="26" t="n">
        <x:v>31</x:v>
      </x:c>
      <x:c r="P26" s="22" t="str">
        <x:v>0</x:v>
      </x:c>
      <x:c r="Q26" s="26" t="n">
        <x:v>0</x:v>
      </x:c>
      <x:c r="R26" s="22" t="str">
        <x:v>Observed</x:v>
      </x:c>
      <x:c r="S26" s="22" t="str"/>
      <x:c r="T26" s="26" t="n">
        <x:f>IF(R26&lt;&gt;"Observed","",SUMIFS($O$3:O26,$C$3:C26,C26,$R$3:R26,"Observed"))</x:f>
        <x:v>80</x:v>
      </x:c>
      <x:c r="U26" s="26" t="n">
        <x:f>IF(R26&lt;&gt;"Observed","",SUMIFS($Q$3:Q26,$C$3:C26,C26,$R$3:R26,"Observed"))</x:f>
        <x:v>1</x:v>
      </x:c>
      <x:c r="V26" s="26" t="n">
        <x:f>IF(R26&lt;&gt;"Observed","",T26-U26)</x:f>
        <x:v>79</x:v>
      </x:c>
    </x:row>
    <x:row r="27">
      <x:c r="A27" s="22" t="str">
        <x:v>2022-2026-Copalis-Mocrocks.pdf</x:v>
      </x:c>
      <x:c r="B27" s="26" t="n">
        <x:v>2</x:v>
      </x:c>
      <x:c r="C27" s="22" t="str">
        <x:v>P02</x:v>
      </x:c>
      <x:c r="D27" s="22" t="str">
        <x:v>Mocrocks</x:v>
      </x:c>
      <x:c r="E27" s="22" t="str">
        <x:v>Roosevelt App. South</x:v>
      </x:c>
      <x:c r="F27" s="24" t="n">
        <x:v>44654</x:v>
      </x:c>
      <x:c r="G27" s="22" t="str">
        <x:v>Clayton</x:v>
      </x:c>
      <x:c r="H27" s="26" t="n">
        <x:v>8</x:v>
      </x:c>
      <x:c r="I27" s="22" t="str">
        <x:v>15-minute interval</x:v>
      </x:c>
      <x:c r="J27" s="22" t="str">
        <x:v>0715</x:v>
      </x:c>
      <x:c r="K27" s="22" t="str">
        <x:v>0730</x:v>
      </x:c>
      <x:c r="L27" s="22" t="str">
        <x:v>1:30</x:v>
      </x:c>
      <x:c r="M27" s="22" t="str">
        <x:v>1:15</x:v>
      </x:c>
      <x:c r="N27" s="22" t="str">
        <x:v>38</x:v>
      </x:c>
      <x:c r="O27" s="26" t="n">
        <x:v>38</x:v>
      </x:c>
      <x:c r="P27" s="22" t="str">
        <x:v>1</x:v>
      </x:c>
      <x:c r="Q27" s="26" t="n">
        <x:v>1</x:v>
      </x:c>
      <x:c r="R27" s="22" t="str">
        <x:v>Observed</x:v>
      </x:c>
      <x:c r="S27" s="22" t="str"/>
      <x:c r="T27" s="26" t="n">
        <x:f>IF(R27&lt;&gt;"Observed","",SUMIFS($O$3:O27,$C$3:C27,C27,$R$3:R27,"Observed"))</x:f>
        <x:v>118</x:v>
      </x:c>
      <x:c r="U27" s="26" t="n">
        <x:f>IF(R27&lt;&gt;"Observed","",SUMIFS($Q$3:Q27,$C$3:C27,C27,$R$3:R27,"Observed"))</x:f>
        <x:v>2</x:v>
      </x:c>
      <x:c r="V27" s="26" t="n">
        <x:f>IF(R27&lt;&gt;"Observed","",T27-U27)</x:f>
        <x:v>116</x:v>
      </x:c>
    </x:row>
    <x:row r="28">
      <x:c r="A28" s="22" t="str">
        <x:v>2022-2026-Copalis-Mocrocks.pdf</x:v>
      </x:c>
      <x:c r="B28" s="26" t="n">
        <x:v>2</x:v>
      </x:c>
      <x:c r="C28" s="22" t="str">
        <x:v>P02</x:v>
      </x:c>
      <x:c r="D28" s="22" t="str">
        <x:v>Mocrocks</x:v>
      </x:c>
      <x:c r="E28" s="22" t="str">
        <x:v>Roosevelt App. South</x:v>
      </x:c>
      <x:c r="F28" s="24" t="n">
        <x:v>44654</x:v>
      </x:c>
      <x:c r="G28" s="22" t="str">
        <x:v>Clayton</x:v>
      </x:c>
      <x:c r="H28" s="26" t="n">
        <x:v>9</x:v>
      </x:c>
      <x:c r="I28" s="22" t="str">
        <x:v>15-minute interval</x:v>
      </x:c>
      <x:c r="J28" s="22" t="str">
        <x:v>0730</x:v>
      </x:c>
      <x:c r="K28" s="22" t="str">
        <x:v>0745</x:v>
      </x:c>
      <x:c r="L28" s="22" t="str">
        <x:v>1:15</x:v>
      </x:c>
      <x:c r="M28" s="22" t="str">
        <x:v>1:00</x:v>
      </x:c>
      <x:c r="N28" s="22" t="str">
        <x:v>27</x:v>
      </x:c>
      <x:c r="O28" s="26" t="n">
        <x:v>27</x:v>
      </x:c>
      <x:c r="P28" s="22" t="str">
        <x:v>8</x:v>
      </x:c>
      <x:c r="Q28" s="26" t="n">
        <x:v>8</x:v>
      </x:c>
      <x:c r="R28" s="22" t="str">
        <x:v>Observed</x:v>
      </x:c>
      <x:c r="S28" s="22" t="str"/>
      <x:c r="T28" s="26" t="n">
        <x:f>IF(R28&lt;&gt;"Observed","",SUMIFS($O$3:O28,$C$3:C28,C28,$R$3:R28,"Observed"))</x:f>
        <x:v>145</x:v>
      </x:c>
      <x:c r="U28" s="26" t="n">
        <x:f>IF(R28&lt;&gt;"Observed","",SUMIFS($Q$3:Q28,$C$3:C28,C28,$R$3:R28,"Observed"))</x:f>
        <x:v>10</x:v>
      </x:c>
      <x:c r="V28" s="26" t="n">
        <x:f>IF(R28&lt;&gt;"Observed","",T28-U28)</x:f>
        <x:v>135</x:v>
      </x:c>
    </x:row>
    <x:row r="29">
      <x:c r="A29" s="22" t="str">
        <x:v>2022-2026-Copalis-Mocrocks.pdf</x:v>
      </x:c>
      <x:c r="B29" s="26" t="n">
        <x:v>2</x:v>
      </x:c>
      <x:c r="C29" s="22" t="str">
        <x:v>P02</x:v>
      </x:c>
      <x:c r="D29" s="22" t="str">
        <x:v>Mocrocks</x:v>
      </x:c>
      <x:c r="E29" s="22" t="str">
        <x:v>Roosevelt App. South</x:v>
      </x:c>
      <x:c r="F29" s="24" t="n">
        <x:v>44654</x:v>
      </x:c>
      <x:c r="G29" s="22" t="str">
        <x:v>Clayton</x:v>
      </x:c>
      <x:c r="H29" s="26" t="n">
        <x:v>10</x:v>
      </x:c>
      <x:c r="I29" s="22" t="str">
        <x:v>15-minute interval</x:v>
      </x:c>
      <x:c r="J29" s="22" t="str">
        <x:v>0745</x:v>
      </x:c>
      <x:c r="K29" s="22" t="str">
        <x:v>0800</x:v>
      </x:c>
      <x:c r="L29" s="22" t="str">
        <x:v>1:00</x:v>
      </x:c>
      <x:c r="M29" s="22" t="str">
        <x:v>0:45</x:v>
      </x:c>
      <x:c r="N29" s="22" t="str">
        <x:v>28</x:v>
      </x:c>
      <x:c r="O29" s="26" t="n">
        <x:v>28</x:v>
      </x:c>
      <x:c r="P29" s="22" t="str">
        <x:v>10</x:v>
      </x:c>
      <x:c r="Q29" s="26" t="n">
        <x:v>10</x:v>
      </x:c>
      <x:c r="R29" s="22" t="str">
        <x:v>Observed</x:v>
      </x:c>
      <x:c r="S29" s="22" t="str"/>
      <x:c r="T29" s="26" t="n">
        <x:f>IF(R29&lt;&gt;"Observed","",SUMIFS($O$3:O29,$C$3:C29,C29,$R$3:R29,"Observed"))</x:f>
        <x:v>173</x:v>
      </x:c>
      <x:c r="U29" s="26" t="n">
        <x:f>IF(R29&lt;&gt;"Observed","",SUMIFS($Q$3:Q29,$C$3:C29,C29,$R$3:R29,"Observed"))</x:f>
        <x:v>20</x:v>
      </x:c>
      <x:c r="V29" s="26" t="n">
        <x:f>IF(R29&lt;&gt;"Observed","",T29-U29)</x:f>
        <x:v>153</x:v>
      </x:c>
    </x:row>
    <x:row r="30">
      <x:c r="A30" s="22" t="str">
        <x:v>2022-2026-Copalis-Mocrocks.pdf</x:v>
      </x:c>
      <x:c r="B30" s="26" t="n">
        <x:v>2</x:v>
      </x:c>
      <x:c r="C30" s="22" t="str">
        <x:v>P02</x:v>
      </x:c>
      <x:c r="D30" s="22" t="str">
        <x:v>Mocrocks</x:v>
      </x:c>
      <x:c r="E30" s="22" t="str">
        <x:v>Roosevelt App. South</x:v>
      </x:c>
      <x:c r="F30" s="24" t="n">
        <x:v>44654</x:v>
      </x:c>
      <x:c r="G30" s="22" t="str">
        <x:v>Clayton</x:v>
      </x:c>
      <x:c r="H30" s="26" t="n">
        <x:v>11</x:v>
      </x:c>
      <x:c r="I30" s="22" t="str">
        <x:v>15-minute interval</x:v>
      </x:c>
      <x:c r="J30" s="22" t="str">
        <x:v>0800</x:v>
      </x:c>
      <x:c r="K30" s="22" t="str">
        <x:v>0815</x:v>
      </x:c>
      <x:c r="L30" s="22" t="str">
        <x:v>0:45</x:v>
      </x:c>
      <x:c r="M30" s="22" t="str">
        <x:v>0:30</x:v>
      </x:c>
      <x:c r="N30" s="22" t="str">
        <x:v>23</x:v>
      </x:c>
      <x:c r="O30" s="26" t="n">
        <x:v>23</x:v>
      </x:c>
      <x:c r="P30" s="22" t="str">
        <x:v>19</x:v>
      </x:c>
      <x:c r="Q30" s="26" t="n">
        <x:v>19</x:v>
      </x:c>
      <x:c r="R30" s="22" t="str">
        <x:v>Observed</x:v>
      </x:c>
      <x:c r="S30" s="22" t="str"/>
      <x:c r="T30" s="26" t="n">
        <x:f>IF(R30&lt;&gt;"Observed","",SUMIFS($O$3:O30,$C$3:C30,C30,$R$3:R30,"Observed"))</x:f>
        <x:v>196</x:v>
      </x:c>
      <x:c r="U30" s="26" t="n">
        <x:f>IF(R30&lt;&gt;"Observed","",SUMIFS($Q$3:Q30,$C$3:C30,C30,$R$3:R30,"Observed"))</x:f>
        <x:v>39</x:v>
      </x:c>
      <x:c r="V30" s="26" t="n">
        <x:f>IF(R30&lt;&gt;"Observed","",T30-U30)</x:f>
        <x:v>157</x:v>
      </x:c>
    </x:row>
    <x:row r="31">
      <x:c r="A31" s="22" t="str">
        <x:v>2022-2026-Copalis-Mocrocks.pdf</x:v>
      </x:c>
      <x:c r="B31" s="26" t="n">
        <x:v>2</x:v>
      </x:c>
      <x:c r="C31" s="22" t="str">
        <x:v>P02</x:v>
      </x:c>
      <x:c r="D31" s="22" t="str">
        <x:v>Mocrocks</x:v>
      </x:c>
      <x:c r="E31" s="22" t="str">
        <x:v>Roosevelt App. South</x:v>
      </x:c>
      <x:c r="F31" s="24" t="n">
        <x:v>44654</x:v>
      </x:c>
      <x:c r="G31" s="22" t="str">
        <x:v>Clayton</x:v>
      </x:c>
      <x:c r="H31" s="26" t="n">
        <x:v>12</x:v>
      </x:c>
      <x:c r="I31" s="22" t="str">
        <x:v>15-minute interval</x:v>
      </x:c>
      <x:c r="J31" s="22" t="str">
        <x:v>0815</x:v>
      </x:c>
      <x:c r="K31" s="22" t="str">
        <x:v>0830</x:v>
      </x:c>
      <x:c r="L31" s="22" t="str">
        <x:v>0:30</x:v>
      </x:c>
      <x:c r="M31" s="22" t="str">
        <x:v>0:15</x:v>
      </x:c>
      <x:c r="N31" s="22" t="str">
        <x:v>20</x:v>
      </x:c>
      <x:c r="O31" s="26" t="n">
        <x:v>20</x:v>
      </x:c>
      <x:c r="P31" s="22" t="str">
        <x:v>22</x:v>
      </x:c>
      <x:c r="Q31" s="26" t="n">
        <x:v>22</x:v>
      </x:c>
      <x:c r="R31" s="22" t="str">
        <x:v>Observed</x:v>
      </x:c>
      <x:c r="S31" s="22" t="str"/>
      <x:c r="T31" s="26" t="n">
        <x:f>IF(R31&lt;&gt;"Observed","",SUMIFS($O$3:O31,$C$3:C31,C31,$R$3:R31,"Observed"))</x:f>
        <x:v>216</x:v>
      </x:c>
      <x:c r="U31" s="26" t="n">
        <x:f>IF(R31&lt;&gt;"Observed","",SUMIFS($Q$3:Q31,$C$3:C31,C31,$R$3:R31,"Observed"))</x:f>
        <x:v>61</x:v>
      </x:c>
      <x:c r="V31" s="26" t="n">
        <x:f>IF(R31&lt;&gt;"Observed","",T31-U31)</x:f>
        <x:v>155</x:v>
      </x:c>
    </x:row>
    <x:row r="32">
      <x:c r="A32" s="22" t="str">
        <x:v>2022-2026-Copalis-Mocrocks.pdf</x:v>
      </x:c>
      <x:c r="B32" s="26" t="n">
        <x:v>2</x:v>
      </x:c>
      <x:c r="C32" s="22" t="str">
        <x:v>P02</x:v>
      </x:c>
      <x:c r="D32" s="22" t="str">
        <x:v>Mocrocks</x:v>
      </x:c>
      <x:c r="E32" s="22" t="str">
        <x:v>Roosevelt App. South</x:v>
      </x:c>
      <x:c r="F32" s="24" t="n">
        <x:v>44654</x:v>
      </x:c>
      <x:c r="G32" s="22" t="str">
        <x:v>Clayton</x:v>
      </x:c>
      <x:c r="H32" s="26" t="n">
        <x:v>13</x:v>
      </x:c>
      <x:c r="I32" s="22" t="str">
        <x:v>15-minute interval</x:v>
      </x:c>
      <x:c r="J32" s="22" t="str">
        <x:v>0830</x:v>
      </x:c>
      <x:c r="K32" s="22" t="str">
        <x:v>0845</x:v>
      </x:c>
      <x:c r="L32" s="22" t="str">
        <x:v>0:15</x:v>
      </x:c>
      <x:c r="M32" s="22" t="str">
        <x:v>0:00</x:v>
      </x:c>
      <x:c r="N32" s="22" t="str">
        <x:v>6</x:v>
      </x:c>
      <x:c r="O32" s="26" t="n">
        <x:v>6</x:v>
      </x:c>
      <x:c r="P32" s="22" t="str">
        <x:v>17</x:v>
      </x:c>
      <x:c r="Q32" s="26" t="n">
        <x:v>17</x:v>
      </x:c>
      <x:c r="R32" s="22" t="str">
        <x:v>Observed</x:v>
      </x:c>
      <x:c r="S32" s="22" t="str"/>
      <x:c r="T32" s="26" t="n">
        <x:f>IF(R32&lt;&gt;"Observed","",SUMIFS($O$3:O32,$C$3:C32,C32,$R$3:R32,"Observed"))</x:f>
        <x:v>222</x:v>
      </x:c>
      <x:c r="U32" s="26" t="n">
        <x:f>IF(R32&lt;&gt;"Observed","",SUMIFS($Q$3:Q32,$C$3:C32,C32,$R$3:R32,"Observed"))</x:f>
        <x:v>78</x:v>
      </x:c>
      <x:c r="V32" s="26" t="n">
        <x:f>IF(R32&lt;&gt;"Observed","",T32-U32)</x:f>
        <x:v>144</x:v>
      </x:c>
    </x:row>
    <x:row r="33">
      <x:c r="A33" s="22" t="str">
        <x:v>2022-2026-Copalis-Mocrocks.pdf</x:v>
      </x:c>
      <x:c r="B33" s="26" t="n">
        <x:v>2</x:v>
      </x:c>
      <x:c r="C33" s="22" t="str">
        <x:v>P02</x:v>
      </x:c>
      <x:c r="D33" s="22" t="str">
        <x:v>Mocrocks</x:v>
      </x:c>
      <x:c r="E33" s="22" t="str">
        <x:v>Roosevelt App. South</x:v>
      </x:c>
      <x:c r="F33" s="24" t="n">
        <x:v>44654</x:v>
      </x:c>
      <x:c r="G33" s="22" t="str">
        <x:v>Clayton</x:v>
      </x:c>
      <x:c r="H33" s="26" t="n">
        <x:v>14</x:v>
      </x:c>
      <x:c r="I33" s="22" t="str">
        <x:v>15-minute interval</x:v>
      </x:c>
      <x:c r="J33" s="22" t="str">
        <x:v>0845</x:v>
      </x:c>
      <x:c r="K33" s="22" t="str">
        <x:v>0900</x:v>
      </x:c>
      <x:c r="L33" s="22" t="str">
        <x:v>0:00</x:v>
      </x:c>
      <x:c r="M33" s="22" t="str">
        <x:v>0:15</x:v>
      </x:c>
      <x:c r="N33" s="22" t="str">
        <x:v>5</x:v>
      </x:c>
      <x:c r="O33" s="26" t="n">
        <x:v>5</x:v>
      </x:c>
      <x:c r="P33" s="22" t="str">
        <x:v>34</x:v>
      </x:c>
      <x:c r="Q33" s="26" t="n">
        <x:v>34</x:v>
      </x:c>
      <x:c r="R33" s="22" t="str">
        <x:v>Observed</x:v>
      </x:c>
      <x:c r="S33" s="22" t="str"/>
      <x:c r="T33" s="26" t="n">
        <x:f>IF(R33&lt;&gt;"Observed","",SUMIFS($O$3:O33,$C$3:C33,C33,$R$3:R33,"Observed"))</x:f>
        <x:v>227</x:v>
      </x:c>
      <x:c r="U33" s="26" t="n">
        <x:f>IF(R33&lt;&gt;"Observed","",SUMIFS($Q$3:Q33,$C$3:C33,C33,$R$3:R33,"Observed"))</x:f>
        <x:v>112</x:v>
      </x:c>
      <x:c r="V33" s="26" t="n">
        <x:f>IF(R33&lt;&gt;"Observed","",T33-U33)</x:f>
        <x:v>115</x:v>
      </x:c>
    </x:row>
    <x:row r="34">
      <x:c r="A34" s="22" t="str">
        <x:v>2022-2026-Copalis-Mocrocks.pdf</x:v>
      </x:c>
      <x:c r="B34" s="26" t="n">
        <x:v>2</x:v>
      </x:c>
      <x:c r="C34" s="22" t="str">
        <x:v>P02</x:v>
      </x:c>
      <x:c r="D34" s="22" t="str">
        <x:v>Mocrocks</x:v>
      </x:c>
      <x:c r="E34" s="22" t="str">
        <x:v>Roosevelt App. South</x:v>
      </x:c>
      <x:c r="F34" s="24" t="n">
        <x:v>44654</x:v>
      </x:c>
      <x:c r="G34" s="22" t="str">
        <x:v>Clayton</x:v>
      </x:c>
      <x:c r="H34" s="26" t="n">
        <x:v>15</x:v>
      </x:c>
      <x:c r="I34" s="22" t="str">
        <x:v>15-minute interval</x:v>
      </x:c>
      <x:c r="J34" s="22" t="str">
        <x:v>0900</x:v>
      </x:c>
      <x:c r="K34" s="22" t="str">
        <x:v>0915</x:v>
      </x:c>
      <x:c r="L34" s="22" t="str">
        <x:v>0:15</x:v>
      </x:c>
      <x:c r="M34" s="22" t="str">
        <x:v>0:30</x:v>
      </x:c>
      <x:c r="N34" s="22" t="str">
        <x:v>6</x:v>
      </x:c>
      <x:c r="O34" s="26" t="n">
        <x:v>6</x:v>
      </x:c>
      <x:c r="P34" s="22" t="str">
        <x:v>44</x:v>
      </x:c>
      <x:c r="Q34" s="26" t="n">
        <x:v>44</x:v>
      </x:c>
      <x:c r="R34" s="22" t="str">
        <x:v>Observed</x:v>
      </x:c>
      <x:c r="S34" s="22" t="str"/>
      <x:c r="T34" s="26" t="n">
        <x:f>IF(R34&lt;&gt;"Observed","",SUMIFS($O$3:O34,$C$3:C34,C34,$R$3:R34,"Observed"))</x:f>
        <x:v>233</x:v>
      </x:c>
      <x:c r="U34" s="26" t="n">
        <x:f>IF(R34&lt;&gt;"Observed","",SUMIFS($Q$3:Q34,$C$3:C34,C34,$R$3:R34,"Observed"))</x:f>
        <x:v>156</x:v>
      </x:c>
      <x:c r="V34" s="26" t="n">
        <x:f>IF(R34&lt;&gt;"Observed","",T34-U34)</x:f>
        <x:v>77</x:v>
      </x:c>
    </x:row>
    <x:row r="35">
      <x:c r="A35" s="22" t="str">
        <x:v>2022-2026-Copalis-Mocrocks.pdf</x:v>
      </x:c>
      <x:c r="B35" s="26" t="n">
        <x:v>2</x:v>
      </x:c>
      <x:c r="C35" s="22" t="str">
        <x:v>P02</x:v>
      </x:c>
      <x:c r="D35" s="22" t="str">
        <x:v>Mocrocks</x:v>
      </x:c>
      <x:c r="E35" s="22" t="str">
        <x:v>Roosevelt App. South</x:v>
      </x:c>
      <x:c r="F35" s="24" t="n">
        <x:v>44654</x:v>
      </x:c>
      <x:c r="G35" s="22" t="str">
        <x:v>Clayton</x:v>
      </x:c>
      <x:c r="H35" s="26" t="n">
        <x:v>16</x:v>
      </x:c>
      <x:c r="I35" s="22" t="str">
        <x:v>15-minute interval</x:v>
      </x:c>
      <x:c r="J35" s="22" t="str">
        <x:v>0915</x:v>
      </x:c>
      <x:c r="K35" s="22" t="str">
        <x:v>0930</x:v>
      </x:c>
      <x:c r="L35" s="22" t="str">
        <x:v>0:30</x:v>
      </x:c>
      <x:c r="M35" s="22" t="str">
        <x:v>0:45</x:v>
      </x:c>
      <x:c r="N35" s="22" t="str">
        <x:v>6</x:v>
      </x:c>
      <x:c r="O35" s="26" t="n">
        <x:v>6</x:v>
      </x:c>
      <x:c r="P35" s="22" t="str">
        <x:v>21</x:v>
      </x:c>
      <x:c r="Q35" s="26" t="n">
        <x:v>21</x:v>
      </x:c>
      <x:c r="R35" s="22" t="str">
        <x:v>Observed</x:v>
      </x:c>
      <x:c r="S35" s="22" t="str"/>
      <x:c r="T35" s="26" t="n">
        <x:f>IF(R35&lt;&gt;"Observed","",SUMIFS($O$3:O35,$C$3:C35,C35,$R$3:R35,"Observed"))</x:f>
        <x:v>239</x:v>
      </x:c>
      <x:c r="U35" s="26" t="n">
        <x:f>IF(R35&lt;&gt;"Observed","",SUMIFS($Q$3:Q35,$C$3:C35,C35,$R$3:R35,"Observed"))</x:f>
        <x:v>177</x:v>
      </x:c>
      <x:c r="V35" s="26" t="n">
        <x:f>IF(R35&lt;&gt;"Observed","",T35-U35)</x:f>
        <x:v>62</x:v>
      </x:c>
    </x:row>
    <x:row r="36">
      <x:c r="A36" s="22" t="str">
        <x:v>2022-2026-Copalis-Mocrocks.pdf</x:v>
      </x:c>
      <x:c r="B36" s="26" t="n">
        <x:v>2</x:v>
      </x:c>
      <x:c r="C36" s="22" t="str">
        <x:v>P02</x:v>
      </x:c>
      <x:c r="D36" s="22" t="str">
        <x:v>Mocrocks</x:v>
      </x:c>
      <x:c r="E36" s="22" t="str">
        <x:v>Roosevelt App. South</x:v>
      </x:c>
      <x:c r="F36" s="24" t="n">
        <x:v>44654</x:v>
      </x:c>
      <x:c r="G36" s="22" t="str">
        <x:v>Clayton</x:v>
      </x:c>
      <x:c r="H36" s="26" t="n">
        <x:v>17</x:v>
      </x:c>
      <x:c r="I36" s="22" t="str">
        <x:v>15-minute interval</x:v>
      </x:c>
      <x:c r="J36" s="22" t="str">
        <x:v>0930</x:v>
      </x:c>
      <x:c r="K36" s="22" t="str">
        <x:v>0945</x:v>
      </x:c>
      <x:c r="L36" s="22" t="str">
        <x:v>0:45</x:v>
      </x:c>
      <x:c r="M36" s="22" t="str">
        <x:v>1:00</x:v>
      </x:c>
      <x:c r="N36" s="22" t="str">
        <x:v>0</x:v>
      </x:c>
      <x:c r="O36" s="26" t="n">
        <x:v>0</x:v>
      </x:c>
      <x:c r="P36" s="22" t="str">
        <x:v>21</x:v>
      </x:c>
      <x:c r="Q36" s="26" t="n">
        <x:v>21</x:v>
      </x:c>
      <x:c r="R36" s="22" t="str">
        <x:v>Observed</x:v>
      </x:c>
      <x:c r="S36" s="22" t="str"/>
      <x:c r="T36" s="26" t="n">
        <x:f>IF(R36&lt;&gt;"Observed","",SUMIFS($O$3:O36,$C$3:C36,C36,$R$3:R36,"Observed"))</x:f>
        <x:v>239</x:v>
      </x:c>
      <x:c r="U36" s="26" t="n">
        <x:f>IF(R36&lt;&gt;"Observed","",SUMIFS($Q$3:Q36,$C$3:C36,C36,$R$3:R36,"Observed"))</x:f>
        <x:v>198</x:v>
      </x:c>
      <x:c r="V36" s="26" t="n">
        <x:f>IF(R36&lt;&gt;"Observed","",T36-U36)</x:f>
        <x:v>41</x:v>
      </x:c>
    </x:row>
    <x:row r="37">
      <x:c r="A37" s="22" t="str">
        <x:v>2022-2026-Copalis-Mocrocks.pdf</x:v>
      </x:c>
      <x:c r="B37" s="26" t="n">
        <x:v>3</x:v>
      </x:c>
      <x:c r="C37" s="22" t="str">
        <x:v>P03</x:v>
      </x:c>
      <x:c r="D37" s="22" t="str">
        <x:v>Copalis Beach</x:v>
      </x:c>
      <x:c r="E37" s="22" t="str">
        <x:v>Ocean City North</x:v>
      </x:c>
      <x:c r="F37" s="24" t="n">
        <x:v>45040</x:v>
      </x:c>
      <x:c r="G37" s="22" t="str">
        <x:v>Bryce</x:v>
      </x:c>
      <x:c r="H37" s="26" t="n">
        <x:v>1</x:v>
      </x:c>
      <x:c r="I37" s="22" t="str">
        <x:v>Prior to Start</x:v>
      </x:c>
      <x:c r="J37" s="22" t="str">
        <x:v>Prior to Start</x:v>
      </x:c>
      <x:c r="K37" s="22" t="str"/>
      <x:c r="L37" s="22" t="str">
        <x:v>to Start</x:v>
      </x:c>
      <x:c r="M37" s="22" t="str"/>
      <x:c r="N37" s="22" t="str">
        <x:v>3</x:v>
      </x:c>
      <x:c r="O37" s="26" t="n">
        <x:v>3</x:v>
      </x:c>
      <x:c r="P37" s="22" t="str"/>
      <x:c r="Q37" s="26" t="n">
        <x:v>0</x:v>
      </x:c>
      <x:c r="R37" s="22" t="str">
        <x:v>Observed</x:v>
      </x:c>
      <x:c r="S37" s="22" t="str">
        <x:v>Cars Off source cell blank; treated as 0.</x:v>
      </x:c>
      <x:c r="T37" s="26" t="n">
        <x:f>IF(R37&lt;&gt;"Observed","",SUMIFS($O$3:O37,$C$3:C37,C37,$R$3:R37,"Observed"))</x:f>
        <x:v>3</x:v>
      </x:c>
      <x:c r="U37" s="26" t="n">
        <x:f>IF(R37&lt;&gt;"Observed","",SUMIFS($Q$3:Q37,$C$3:C37,C37,$R$3:R37,"Observed"))</x:f>
        <x:v>0</x:v>
      </x:c>
      <x:c r="V37" s="26" t="n">
        <x:f>IF(R37&lt;&gt;"Observed","",T37-U37)</x:f>
        <x:v>3</x:v>
      </x:c>
    </x:row>
    <x:row r="38">
      <x:c r="A38" s="22" t="str">
        <x:v>2022-2026-Copalis-Mocrocks.pdf</x:v>
      </x:c>
      <x:c r="B38" s="26" t="n">
        <x:v>3</x:v>
      </x:c>
      <x:c r="C38" s="22" t="str">
        <x:v>P03</x:v>
      </x:c>
      <x:c r="D38" s="22" t="str">
        <x:v>Copalis Beach</x:v>
      </x:c>
      <x:c r="E38" s="22" t="str">
        <x:v>Ocean City North</x:v>
      </x:c>
      <x:c r="F38" s="24" t="n">
        <x:v>45040</x:v>
      </x:c>
      <x:c r="G38" s="22" t="str">
        <x:v>Bryce</x:v>
      </x:c>
      <x:c r="H38" s="26" t="n">
        <x:v>2</x:v>
      </x:c>
      <x:c r="I38" s="22" t="str">
        <x:v>15-minute interval</x:v>
      </x:c>
      <x:c r="J38" s="22" t="str">
        <x:v>0714</x:v>
      </x:c>
      <x:c r="K38" s="22" t="str">
        <x:v>0729</x:v>
      </x:c>
      <x:c r="L38" s="22" t="str">
        <x:v>3:00</x:v>
      </x:c>
      <x:c r="M38" s="22" t="str">
        <x:v>2:45</x:v>
      </x:c>
      <x:c r="N38" s="22" t="str">
        <x:v>5</x:v>
      </x:c>
      <x:c r="O38" s="26" t="n">
        <x:v>5</x:v>
      </x:c>
      <x:c r="P38" s="22" t="str"/>
      <x:c r="Q38" s="26" t="n">
        <x:v>0</x:v>
      </x:c>
      <x:c r="R38" s="22" t="str">
        <x:v>Observed</x:v>
      </x:c>
      <x:c r="S38" s="22" t="str">
        <x:v>Cars Off source cell blank; treated as 0.</x:v>
      </x:c>
      <x:c r="T38" s="26" t="n">
        <x:f>IF(R38&lt;&gt;"Observed","",SUMIFS($O$3:O38,$C$3:C38,C38,$R$3:R38,"Observed"))</x:f>
        <x:v>8</x:v>
      </x:c>
      <x:c r="U38" s="26" t="n">
        <x:f>IF(R38&lt;&gt;"Observed","",SUMIFS($Q$3:Q38,$C$3:C38,C38,$R$3:R38,"Observed"))</x:f>
        <x:v>0</x:v>
      </x:c>
      <x:c r="V38" s="26" t="n">
        <x:f>IF(R38&lt;&gt;"Observed","",T38-U38)</x:f>
        <x:v>8</x:v>
      </x:c>
    </x:row>
    <x:row r="39">
      <x:c r="A39" s="22" t="str">
        <x:v>2022-2026-Copalis-Mocrocks.pdf</x:v>
      </x:c>
      <x:c r="B39" s="26" t="n">
        <x:v>3</x:v>
      </x:c>
      <x:c r="C39" s="22" t="str">
        <x:v>P03</x:v>
      </x:c>
      <x:c r="D39" s="22" t="str">
        <x:v>Copalis Beach</x:v>
      </x:c>
      <x:c r="E39" s="22" t="str">
        <x:v>Ocean City North</x:v>
      </x:c>
      <x:c r="F39" s="24" t="n">
        <x:v>45040</x:v>
      </x:c>
      <x:c r="G39" s="22" t="str">
        <x:v>Bryce</x:v>
      </x:c>
      <x:c r="H39" s="26" t="n">
        <x:v>3</x:v>
      </x:c>
      <x:c r="I39" s="22" t="str">
        <x:v>15-minute interval</x:v>
      </x:c>
      <x:c r="J39" s="22" t="str">
        <x:v>0729</x:v>
      </x:c>
      <x:c r="K39" s="22" t="str">
        <x:v>0744</x:v>
      </x:c>
      <x:c r="L39" s="22" t="str">
        <x:v>2:45</x:v>
      </x:c>
      <x:c r="M39" s="22" t="str">
        <x:v>2:30</x:v>
      </x:c>
      <x:c r="N39" s="22" t="str">
        <x:v>4</x:v>
      </x:c>
      <x:c r="O39" s="26" t="n">
        <x:v>4</x:v>
      </x:c>
      <x:c r="P39" s="22" t="str"/>
      <x:c r="Q39" s="26" t="n">
        <x:v>0</x:v>
      </x:c>
      <x:c r="R39" s="22" t="str">
        <x:v>Observed</x:v>
      </x:c>
      <x:c r="S39" s="22" t="str">
        <x:v>Cars Off source cell blank; treated as 0.</x:v>
      </x:c>
      <x:c r="T39" s="26" t="n">
        <x:f>IF(R39&lt;&gt;"Observed","",SUMIFS($O$3:O39,$C$3:C39,C39,$R$3:R39,"Observed"))</x:f>
        <x:v>12</x:v>
      </x:c>
      <x:c r="U39" s="26" t="n">
        <x:f>IF(R39&lt;&gt;"Observed","",SUMIFS($Q$3:Q39,$C$3:C39,C39,$R$3:R39,"Observed"))</x:f>
        <x:v>0</x:v>
      </x:c>
      <x:c r="V39" s="26" t="n">
        <x:f>IF(R39&lt;&gt;"Observed","",T39-U39)</x:f>
        <x:v>12</x:v>
      </x:c>
    </x:row>
    <x:row r="40">
      <x:c r="A40" s="22" t="str">
        <x:v>2022-2026-Copalis-Mocrocks.pdf</x:v>
      </x:c>
      <x:c r="B40" s="26" t="n">
        <x:v>3</x:v>
      </x:c>
      <x:c r="C40" s="22" t="str">
        <x:v>P03</x:v>
      </x:c>
      <x:c r="D40" s="22" t="str">
        <x:v>Copalis Beach</x:v>
      </x:c>
      <x:c r="E40" s="22" t="str">
        <x:v>Ocean City North</x:v>
      </x:c>
      <x:c r="F40" s="24" t="n">
        <x:v>45040</x:v>
      </x:c>
      <x:c r="G40" s="22" t="str">
        <x:v>Bryce</x:v>
      </x:c>
      <x:c r="H40" s="26" t="n">
        <x:v>4</x:v>
      </x:c>
      <x:c r="I40" s="22" t="str">
        <x:v>15-minute interval</x:v>
      </x:c>
      <x:c r="J40" s="22" t="str">
        <x:v>0744</x:v>
      </x:c>
      <x:c r="K40" s="22" t="str">
        <x:v>0759</x:v>
      </x:c>
      <x:c r="L40" s="22" t="str">
        <x:v>2:30</x:v>
      </x:c>
      <x:c r="M40" s="22" t="str">
        <x:v>2:15</x:v>
      </x:c>
      <x:c r="N40" s="22" t="str">
        <x:v>6</x:v>
      </x:c>
      <x:c r="O40" s="26" t="n">
        <x:v>6</x:v>
      </x:c>
      <x:c r="P40" s="22" t="str"/>
      <x:c r="Q40" s="26" t="n">
        <x:v>0</x:v>
      </x:c>
      <x:c r="R40" s="22" t="str">
        <x:v>Observed</x:v>
      </x:c>
      <x:c r="S40" s="22" t="str">
        <x:v>Cars Off source cell blank; treated as 0.</x:v>
      </x:c>
      <x:c r="T40" s="26" t="n">
        <x:f>IF(R40&lt;&gt;"Observed","",SUMIFS($O$3:O40,$C$3:C40,C40,$R$3:R40,"Observed"))</x:f>
        <x:v>18</x:v>
      </x:c>
      <x:c r="U40" s="26" t="n">
        <x:f>IF(R40&lt;&gt;"Observed","",SUMIFS($Q$3:Q40,$C$3:C40,C40,$R$3:R40,"Observed"))</x:f>
        <x:v>0</x:v>
      </x:c>
      <x:c r="V40" s="26" t="n">
        <x:f>IF(R40&lt;&gt;"Observed","",T40-U40)</x:f>
        <x:v>18</x:v>
      </x:c>
    </x:row>
    <x:row r="41">
      <x:c r="A41" s="22" t="str">
        <x:v>2022-2026-Copalis-Mocrocks.pdf</x:v>
      </x:c>
      <x:c r="B41" s="26" t="n">
        <x:v>3</x:v>
      </x:c>
      <x:c r="C41" s="22" t="str">
        <x:v>P03</x:v>
      </x:c>
      <x:c r="D41" s="22" t="str">
        <x:v>Copalis Beach</x:v>
      </x:c>
      <x:c r="E41" s="22" t="str">
        <x:v>Ocean City North</x:v>
      </x:c>
      <x:c r="F41" s="24" t="n">
        <x:v>45040</x:v>
      </x:c>
      <x:c r="G41" s="22" t="str">
        <x:v>Bryce</x:v>
      </x:c>
      <x:c r="H41" s="26" t="n">
        <x:v>5</x:v>
      </x:c>
      <x:c r="I41" s="22" t="str">
        <x:v>15-minute interval</x:v>
      </x:c>
      <x:c r="J41" s="22" t="str">
        <x:v>0759</x:v>
      </x:c>
      <x:c r="K41" s="22" t="str">
        <x:v>0814</x:v>
      </x:c>
      <x:c r="L41" s="22" t="str">
        <x:v>2:15</x:v>
      </x:c>
      <x:c r="M41" s="22" t="str">
        <x:v>2:00</x:v>
      </x:c>
      <x:c r="N41" s="22" t="str">
        <x:v>22</x:v>
      </x:c>
      <x:c r="O41" s="26" t="n">
        <x:v>22</x:v>
      </x:c>
      <x:c r="P41" s="22" t="str"/>
      <x:c r="Q41" s="26" t="n">
        <x:v>0</x:v>
      </x:c>
      <x:c r="R41" s="22" t="str">
        <x:v>Observed</x:v>
      </x:c>
      <x:c r="S41" s="22" t="str">
        <x:v>Cars Off source cell blank; treated as 0.</x:v>
      </x:c>
      <x:c r="T41" s="26" t="n">
        <x:f>IF(R41&lt;&gt;"Observed","",SUMIFS($O$3:O41,$C$3:C41,C41,$R$3:R41,"Observed"))</x:f>
        <x:v>40</x:v>
      </x:c>
      <x:c r="U41" s="26" t="n">
        <x:f>IF(R41&lt;&gt;"Observed","",SUMIFS($Q$3:Q41,$C$3:C41,C41,$R$3:R41,"Observed"))</x:f>
        <x:v>0</x:v>
      </x:c>
      <x:c r="V41" s="26" t="n">
        <x:f>IF(R41&lt;&gt;"Observed","",T41-U41)</x:f>
        <x:v>40</x:v>
      </x:c>
    </x:row>
    <x:row r="42">
      <x:c r="A42" s="22" t="str">
        <x:v>2022-2026-Copalis-Mocrocks.pdf</x:v>
      </x:c>
      <x:c r="B42" s="26" t="n">
        <x:v>3</x:v>
      </x:c>
      <x:c r="C42" s="22" t="str">
        <x:v>P03</x:v>
      </x:c>
      <x:c r="D42" s="22" t="str">
        <x:v>Copalis Beach</x:v>
      </x:c>
      <x:c r="E42" s="22" t="str">
        <x:v>Ocean City North</x:v>
      </x:c>
      <x:c r="F42" s="24" t="n">
        <x:v>45040</x:v>
      </x:c>
      <x:c r="G42" s="22" t="str">
        <x:v>Bryce</x:v>
      </x:c>
      <x:c r="H42" s="26" t="n">
        <x:v>6</x:v>
      </x:c>
      <x:c r="I42" s="22" t="str">
        <x:v>15-minute interval</x:v>
      </x:c>
      <x:c r="J42" s="22" t="str">
        <x:v>0814</x:v>
      </x:c>
      <x:c r="K42" s="22" t="str">
        <x:v>0829</x:v>
      </x:c>
      <x:c r="L42" s="22" t="str">
        <x:v>2:00</x:v>
      </x:c>
      <x:c r="M42" s="22" t="str">
        <x:v>1:45</x:v>
      </x:c>
      <x:c r="N42" s="22" t="str">
        <x:v>39</x:v>
      </x:c>
      <x:c r="O42" s="26" t="n">
        <x:v>39</x:v>
      </x:c>
      <x:c r="P42" s="22" t="str">
        <x:v>1</x:v>
      </x:c>
      <x:c r="Q42" s="26" t="n">
        <x:v>1</x:v>
      </x:c>
      <x:c r="R42" s="22" t="str">
        <x:v>Observed</x:v>
      </x:c>
      <x:c r="S42" s="22" t="str"/>
      <x:c r="T42" s="26" t="n">
        <x:f>IF(R42&lt;&gt;"Observed","",SUMIFS($O$3:O42,$C$3:C42,C42,$R$3:R42,"Observed"))</x:f>
        <x:v>79</x:v>
      </x:c>
      <x:c r="U42" s="26" t="n">
        <x:f>IF(R42&lt;&gt;"Observed","",SUMIFS($Q$3:Q42,$C$3:C42,C42,$R$3:R42,"Observed"))</x:f>
        <x:v>1</x:v>
      </x:c>
      <x:c r="V42" s="26" t="n">
        <x:f>IF(R42&lt;&gt;"Observed","",T42-U42)</x:f>
        <x:v>78</x:v>
      </x:c>
    </x:row>
    <x:row r="43">
      <x:c r="A43" s="22" t="str">
        <x:v>2022-2026-Copalis-Mocrocks.pdf</x:v>
      </x:c>
      <x:c r="B43" s="26" t="n">
        <x:v>3</x:v>
      </x:c>
      <x:c r="C43" s="22" t="str">
        <x:v>P03</x:v>
      </x:c>
      <x:c r="D43" s="22" t="str">
        <x:v>Copalis Beach</x:v>
      </x:c>
      <x:c r="E43" s="22" t="str">
        <x:v>Ocean City North</x:v>
      </x:c>
      <x:c r="F43" s="24" t="n">
        <x:v>45040</x:v>
      </x:c>
      <x:c r="G43" s="22" t="str">
        <x:v>Bryce</x:v>
      </x:c>
      <x:c r="H43" s="26" t="n">
        <x:v>7</x:v>
      </x:c>
      <x:c r="I43" s="22" t="str">
        <x:v>15-minute interval</x:v>
      </x:c>
      <x:c r="J43" s="22" t="str">
        <x:v>0829</x:v>
      </x:c>
      <x:c r="K43" s="22" t="str">
        <x:v>0844</x:v>
      </x:c>
      <x:c r="L43" s="22" t="str">
        <x:v>1:45</x:v>
      </x:c>
      <x:c r="M43" s="22" t="str">
        <x:v>1:30</x:v>
      </x:c>
      <x:c r="N43" s="22" t="str">
        <x:v>35</x:v>
      </x:c>
      <x:c r="O43" s="26" t="n">
        <x:v>35</x:v>
      </x:c>
      <x:c r="P43" s="22" t="str">
        <x:v>0</x:v>
      </x:c>
      <x:c r="Q43" s="26" t="n">
        <x:v>0</x:v>
      </x:c>
      <x:c r="R43" s="22" t="str">
        <x:v>Observed</x:v>
      </x:c>
      <x:c r="S43" s="22" t="str"/>
      <x:c r="T43" s="26" t="n">
        <x:f>IF(R43&lt;&gt;"Observed","",SUMIFS($O$3:O43,$C$3:C43,C43,$R$3:R43,"Observed"))</x:f>
        <x:v>114</x:v>
      </x:c>
      <x:c r="U43" s="26" t="n">
        <x:f>IF(R43&lt;&gt;"Observed","",SUMIFS($Q$3:Q43,$C$3:C43,C43,$R$3:R43,"Observed"))</x:f>
        <x:v>1</x:v>
      </x:c>
      <x:c r="V43" s="26" t="n">
        <x:f>IF(R43&lt;&gt;"Observed","",T43-U43)</x:f>
        <x:v>113</x:v>
      </x:c>
    </x:row>
    <x:row r="44">
      <x:c r="A44" s="22" t="str">
        <x:v>2022-2026-Copalis-Mocrocks.pdf</x:v>
      </x:c>
      <x:c r="B44" s="26" t="n">
        <x:v>3</x:v>
      </x:c>
      <x:c r="C44" s="22" t="str">
        <x:v>P03</x:v>
      </x:c>
      <x:c r="D44" s="22" t="str">
        <x:v>Copalis Beach</x:v>
      </x:c>
      <x:c r="E44" s="22" t="str">
        <x:v>Ocean City North</x:v>
      </x:c>
      <x:c r="F44" s="24" t="n">
        <x:v>45040</x:v>
      </x:c>
      <x:c r="G44" s="22" t="str">
        <x:v>Bryce</x:v>
      </x:c>
      <x:c r="H44" s="26" t="n">
        <x:v>8</x:v>
      </x:c>
      <x:c r="I44" s="22" t="str">
        <x:v>15-minute interval</x:v>
      </x:c>
      <x:c r="J44" s="22" t="str">
        <x:v>0844</x:v>
      </x:c>
      <x:c r="K44" s="22" t="str">
        <x:v>0859</x:v>
      </x:c>
      <x:c r="L44" s="22" t="str">
        <x:v>1:30</x:v>
      </x:c>
      <x:c r="M44" s="22" t="str">
        <x:v>1:15</x:v>
      </x:c>
      <x:c r="N44" s="22" t="str">
        <x:v>25</x:v>
      </x:c>
      <x:c r="O44" s="26" t="n">
        <x:v>25</x:v>
      </x:c>
      <x:c r="P44" s="22" t="str">
        <x:v>2</x:v>
      </x:c>
      <x:c r="Q44" s="26" t="n">
        <x:v>2</x:v>
      </x:c>
      <x:c r="R44" s="22" t="str">
        <x:v>Observed</x:v>
      </x:c>
      <x:c r="S44" s="22" t="str"/>
      <x:c r="T44" s="26" t="n">
        <x:f>IF(R44&lt;&gt;"Observed","",SUMIFS($O$3:O44,$C$3:C44,C44,$R$3:R44,"Observed"))</x:f>
        <x:v>139</x:v>
      </x:c>
      <x:c r="U44" s="26" t="n">
        <x:f>IF(R44&lt;&gt;"Observed","",SUMIFS($Q$3:Q44,$C$3:C44,C44,$R$3:R44,"Observed"))</x:f>
        <x:v>3</x:v>
      </x:c>
      <x:c r="V44" s="26" t="n">
        <x:f>IF(R44&lt;&gt;"Observed","",T44-U44)</x:f>
        <x:v>136</x:v>
      </x:c>
    </x:row>
    <x:row r="45">
      <x:c r="A45" s="22" t="str">
        <x:v>2022-2026-Copalis-Mocrocks.pdf</x:v>
      </x:c>
      <x:c r="B45" s="26" t="n">
        <x:v>3</x:v>
      </x:c>
      <x:c r="C45" s="22" t="str">
        <x:v>P03</x:v>
      </x:c>
      <x:c r="D45" s="22" t="str">
        <x:v>Copalis Beach</x:v>
      </x:c>
      <x:c r="E45" s="22" t="str">
        <x:v>Ocean City North</x:v>
      </x:c>
      <x:c r="F45" s="24" t="n">
        <x:v>45040</x:v>
      </x:c>
      <x:c r="G45" s="22" t="str">
        <x:v>Bryce</x:v>
      </x:c>
      <x:c r="H45" s="26" t="n">
        <x:v>9</x:v>
      </x:c>
      <x:c r="I45" s="22" t="str">
        <x:v>15-minute interval</x:v>
      </x:c>
      <x:c r="J45" s="22" t="str">
        <x:v>0859</x:v>
      </x:c>
      <x:c r="K45" s="22" t="str">
        <x:v>0914</x:v>
      </x:c>
      <x:c r="L45" s="22" t="str">
        <x:v>1:15</x:v>
      </x:c>
      <x:c r="M45" s="22" t="str">
        <x:v>1:00</x:v>
      </x:c>
      <x:c r="N45" s="22" t="str">
        <x:v>23</x:v>
      </x:c>
      <x:c r="O45" s="26" t="n">
        <x:v>23</x:v>
      </x:c>
      <x:c r="P45" s="22" t="str">
        <x:v>2</x:v>
      </x:c>
      <x:c r="Q45" s="26" t="n">
        <x:v>2</x:v>
      </x:c>
      <x:c r="R45" s="22" t="str">
        <x:v>Observed</x:v>
      </x:c>
      <x:c r="S45" s="22" t="str"/>
      <x:c r="T45" s="26" t="n">
        <x:f>IF(R45&lt;&gt;"Observed","",SUMIFS($O$3:O45,$C$3:C45,C45,$R$3:R45,"Observed"))</x:f>
        <x:v>162</x:v>
      </x:c>
      <x:c r="U45" s="26" t="n">
        <x:f>IF(R45&lt;&gt;"Observed","",SUMIFS($Q$3:Q45,$C$3:C45,C45,$R$3:R45,"Observed"))</x:f>
        <x:v>5</x:v>
      </x:c>
      <x:c r="V45" s="26" t="n">
        <x:f>IF(R45&lt;&gt;"Observed","",T45-U45)</x:f>
        <x:v>157</x:v>
      </x:c>
    </x:row>
    <x:row r="46">
      <x:c r="A46" s="22" t="str">
        <x:v>2022-2026-Copalis-Mocrocks.pdf</x:v>
      </x:c>
      <x:c r="B46" s="26" t="n">
        <x:v>3</x:v>
      </x:c>
      <x:c r="C46" s="22" t="str">
        <x:v>P03</x:v>
      </x:c>
      <x:c r="D46" s="22" t="str">
        <x:v>Copalis Beach</x:v>
      </x:c>
      <x:c r="E46" s="22" t="str">
        <x:v>Ocean City North</x:v>
      </x:c>
      <x:c r="F46" s="24" t="n">
        <x:v>45040</x:v>
      </x:c>
      <x:c r="G46" s="22" t="str">
        <x:v>Bryce</x:v>
      </x:c>
      <x:c r="H46" s="26" t="n">
        <x:v>10</x:v>
      </x:c>
      <x:c r="I46" s="22" t="str">
        <x:v>15-minute interval</x:v>
      </x:c>
      <x:c r="J46" s="22" t="str">
        <x:v>0914</x:v>
      </x:c>
      <x:c r="K46" s="22" t="str">
        <x:v>0929</x:v>
      </x:c>
      <x:c r="L46" s="22" t="str">
        <x:v>1:00</x:v>
      </x:c>
      <x:c r="M46" s="22" t="str">
        <x:v>0:45</x:v>
      </x:c>
      <x:c r="N46" s="22" t="str">
        <x:v>17</x:v>
      </x:c>
      <x:c r="O46" s="26" t="n">
        <x:v>17</x:v>
      </x:c>
      <x:c r="P46" s="22" t="str">
        <x:v>6</x:v>
      </x:c>
      <x:c r="Q46" s="26" t="n">
        <x:v>6</x:v>
      </x:c>
      <x:c r="R46" s="22" t="str">
        <x:v>Observed</x:v>
      </x:c>
      <x:c r="S46" s="22" t="str"/>
      <x:c r="T46" s="26" t="n">
        <x:f>IF(R46&lt;&gt;"Observed","",SUMIFS($O$3:O46,$C$3:C46,C46,$R$3:R46,"Observed"))</x:f>
        <x:v>179</x:v>
      </x:c>
      <x:c r="U46" s="26" t="n">
        <x:f>IF(R46&lt;&gt;"Observed","",SUMIFS($Q$3:Q46,$C$3:C46,C46,$R$3:R46,"Observed"))</x:f>
        <x:v>11</x:v>
      </x:c>
      <x:c r="V46" s="26" t="n">
        <x:f>IF(R46&lt;&gt;"Observed","",T46-U46)</x:f>
        <x:v>168</x:v>
      </x:c>
    </x:row>
    <x:row r="47">
      <x:c r="A47" s="22" t="str">
        <x:v>2022-2026-Copalis-Mocrocks.pdf</x:v>
      </x:c>
      <x:c r="B47" s="26" t="n">
        <x:v>3</x:v>
      </x:c>
      <x:c r="C47" s="22" t="str">
        <x:v>P03</x:v>
      </x:c>
      <x:c r="D47" s="22" t="str">
        <x:v>Copalis Beach</x:v>
      </x:c>
      <x:c r="E47" s="22" t="str">
        <x:v>Ocean City North</x:v>
      </x:c>
      <x:c r="F47" s="24" t="n">
        <x:v>45040</x:v>
      </x:c>
      <x:c r="G47" s="22" t="str">
        <x:v>Bryce</x:v>
      </x:c>
      <x:c r="H47" s="26" t="n">
        <x:v>11</x:v>
      </x:c>
      <x:c r="I47" s="22" t="str">
        <x:v>15-minute interval</x:v>
      </x:c>
      <x:c r="J47" s="22" t="str">
        <x:v>0929</x:v>
      </x:c>
      <x:c r="K47" s="22" t="str">
        <x:v>0944</x:v>
      </x:c>
      <x:c r="L47" s="22" t="str">
        <x:v>0:45</x:v>
      </x:c>
      <x:c r="M47" s="22" t="str">
        <x:v>0:30</x:v>
      </x:c>
      <x:c r="N47" s="22" t="str">
        <x:v>15</x:v>
      </x:c>
      <x:c r="O47" s="26" t="n">
        <x:v>15</x:v>
      </x:c>
      <x:c r="P47" s="22" t="str">
        <x:v>11</x:v>
      </x:c>
      <x:c r="Q47" s="26" t="n">
        <x:v>11</x:v>
      </x:c>
      <x:c r="R47" s="22" t="str">
        <x:v>Observed</x:v>
      </x:c>
      <x:c r="S47" s="22" t="str"/>
      <x:c r="T47" s="26" t="n">
        <x:f>IF(R47&lt;&gt;"Observed","",SUMIFS($O$3:O47,$C$3:C47,C47,$R$3:R47,"Observed"))</x:f>
        <x:v>194</x:v>
      </x:c>
      <x:c r="U47" s="26" t="n">
        <x:f>IF(R47&lt;&gt;"Observed","",SUMIFS($Q$3:Q47,$C$3:C47,C47,$R$3:R47,"Observed"))</x:f>
        <x:v>22</x:v>
      </x:c>
      <x:c r="V47" s="26" t="n">
        <x:f>IF(R47&lt;&gt;"Observed","",T47-U47)</x:f>
        <x:v>172</x:v>
      </x:c>
    </x:row>
    <x:row r="48">
      <x:c r="A48" s="22" t="str">
        <x:v>2022-2026-Copalis-Mocrocks.pdf</x:v>
      </x:c>
      <x:c r="B48" s="26" t="n">
        <x:v>3</x:v>
      </x:c>
      <x:c r="C48" s="22" t="str">
        <x:v>P03</x:v>
      </x:c>
      <x:c r="D48" s="22" t="str">
        <x:v>Copalis Beach</x:v>
      </x:c>
      <x:c r="E48" s="22" t="str">
        <x:v>Ocean City North</x:v>
      </x:c>
      <x:c r="F48" s="24" t="n">
        <x:v>45040</x:v>
      </x:c>
      <x:c r="G48" s="22" t="str">
        <x:v>Bryce</x:v>
      </x:c>
      <x:c r="H48" s="26" t="n">
        <x:v>12</x:v>
      </x:c>
      <x:c r="I48" s="22" t="str">
        <x:v>15-minute interval</x:v>
      </x:c>
      <x:c r="J48" s="22" t="str">
        <x:v>0944</x:v>
      </x:c>
      <x:c r="K48" s="22" t="str">
        <x:v>0959</x:v>
      </x:c>
      <x:c r="L48" s="22" t="str">
        <x:v>0:30</x:v>
      </x:c>
      <x:c r="M48" s="22" t="str">
        <x:v>0:15</x:v>
      </x:c>
      <x:c r="N48" s="22" t="str">
        <x:v>7</x:v>
      </x:c>
      <x:c r="O48" s="26" t="n">
        <x:v>7</x:v>
      </x:c>
      <x:c r="P48" s="22" t="str">
        <x:v>24</x:v>
      </x:c>
      <x:c r="Q48" s="26" t="n">
        <x:v>24</x:v>
      </x:c>
      <x:c r="R48" s="22" t="str">
        <x:v>Observed</x:v>
      </x:c>
      <x:c r="S48" s="22" t="str"/>
      <x:c r="T48" s="26" t="n">
        <x:f>IF(R48&lt;&gt;"Observed","",SUMIFS($O$3:O48,$C$3:C48,C48,$R$3:R48,"Observed"))</x:f>
        <x:v>201</x:v>
      </x:c>
      <x:c r="U48" s="26" t="n">
        <x:f>IF(R48&lt;&gt;"Observed","",SUMIFS($Q$3:Q48,$C$3:C48,C48,$R$3:R48,"Observed"))</x:f>
        <x:v>46</x:v>
      </x:c>
      <x:c r="V48" s="26" t="n">
        <x:f>IF(R48&lt;&gt;"Observed","",T48-U48)</x:f>
        <x:v>155</x:v>
      </x:c>
    </x:row>
    <x:row r="49">
      <x:c r="A49" s="22" t="str">
        <x:v>2022-2026-Copalis-Mocrocks.pdf</x:v>
      </x:c>
      <x:c r="B49" s="26" t="n">
        <x:v>3</x:v>
      </x:c>
      <x:c r="C49" s="22" t="str">
        <x:v>P03</x:v>
      </x:c>
      <x:c r="D49" s="22" t="str">
        <x:v>Copalis Beach</x:v>
      </x:c>
      <x:c r="E49" s="22" t="str">
        <x:v>Ocean City North</x:v>
      </x:c>
      <x:c r="F49" s="24" t="n">
        <x:v>45040</x:v>
      </x:c>
      <x:c r="G49" s="22" t="str">
        <x:v>Bryce</x:v>
      </x:c>
      <x:c r="H49" s="26" t="n">
        <x:v>13</x:v>
      </x:c>
      <x:c r="I49" s="22" t="str">
        <x:v>15-minute interval</x:v>
      </x:c>
      <x:c r="J49" s="22" t="str">
        <x:v>0959</x:v>
      </x:c>
      <x:c r="K49" s="22" t="str">
        <x:v>1014</x:v>
      </x:c>
      <x:c r="L49" s="22" t="str">
        <x:v>0:15</x:v>
      </x:c>
      <x:c r="M49" s="22" t="str">
        <x:v>0:00</x:v>
      </x:c>
      <x:c r="N49" s="22" t="str">
        <x:v>4</x:v>
      </x:c>
      <x:c r="O49" s="26" t="n">
        <x:v>4</x:v>
      </x:c>
      <x:c r="P49" s="22" t="str">
        <x:v>27</x:v>
      </x:c>
      <x:c r="Q49" s="26" t="n">
        <x:v>27</x:v>
      </x:c>
      <x:c r="R49" s="22" t="str">
        <x:v>Observed</x:v>
      </x:c>
      <x:c r="S49" s="22" t="str"/>
      <x:c r="T49" s="26" t="n">
        <x:f>IF(R49&lt;&gt;"Observed","",SUMIFS($O$3:O49,$C$3:C49,C49,$R$3:R49,"Observed"))</x:f>
        <x:v>205</x:v>
      </x:c>
      <x:c r="U49" s="26" t="n">
        <x:f>IF(R49&lt;&gt;"Observed","",SUMIFS($Q$3:Q49,$C$3:C49,C49,$R$3:R49,"Observed"))</x:f>
        <x:v>73</x:v>
      </x:c>
      <x:c r="V49" s="26" t="n">
        <x:f>IF(R49&lt;&gt;"Observed","",T49-U49)</x:f>
        <x:v>132</x:v>
      </x:c>
    </x:row>
    <x:row r="50">
      <x:c r="A50" s="22" t="str">
        <x:v>2022-2026-Copalis-Mocrocks.pdf</x:v>
      </x:c>
      <x:c r="B50" s="26" t="n">
        <x:v>3</x:v>
      </x:c>
      <x:c r="C50" s="22" t="str">
        <x:v>P03</x:v>
      </x:c>
      <x:c r="D50" s="22" t="str">
        <x:v>Copalis Beach</x:v>
      </x:c>
      <x:c r="E50" s="22" t="str">
        <x:v>Ocean City North</x:v>
      </x:c>
      <x:c r="F50" s="24" t="n">
        <x:v>45040</x:v>
      </x:c>
      <x:c r="G50" s="22" t="str">
        <x:v>Bryce</x:v>
      </x:c>
      <x:c r="H50" s="26" t="n">
        <x:v>14</x:v>
      </x:c>
      <x:c r="I50" s="22" t="str">
        <x:v>15-minute interval</x:v>
      </x:c>
      <x:c r="J50" s="22" t="str">
        <x:v>1014</x:v>
      </x:c>
      <x:c r="K50" s="22" t="str">
        <x:v>1029</x:v>
      </x:c>
      <x:c r="L50" s="22" t="str">
        <x:v>0:00</x:v>
      </x:c>
      <x:c r="M50" s="22" t="str">
        <x:v>0:15</x:v>
      </x:c>
      <x:c r="N50" s="22" t="str">
        <x:v>3</x:v>
      </x:c>
      <x:c r="O50" s="26" t="n">
        <x:v>3</x:v>
      </x:c>
      <x:c r="P50" s="22" t="str">
        <x:v>28</x:v>
      </x:c>
      <x:c r="Q50" s="26" t="n">
        <x:v>28</x:v>
      </x:c>
      <x:c r="R50" s="22" t="str">
        <x:v>Observed</x:v>
      </x:c>
      <x:c r="S50" s="22" t="str"/>
      <x:c r="T50" s="26" t="n">
        <x:f>IF(R50&lt;&gt;"Observed","",SUMIFS($O$3:O50,$C$3:C50,C50,$R$3:R50,"Observed"))</x:f>
        <x:v>208</x:v>
      </x:c>
      <x:c r="U50" s="26" t="n">
        <x:f>IF(R50&lt;&gt;"Observed","",SUMIFS($Q$3:Q50,$C$3:C50,C50,$R$3:R50,"Observed"))</x:f>
        <x:v>101</x:v>
      </x:c>
      <x:c r="V50" s="26" t="n">
        <x:f>IF(R50&lt;&gt;"Observed","",T50-U50)</x:f>
        <x:v>107</x:v>
      </x:c>
    </x:row>
    <x:row r="51">
      <x:c r="A51" s="22" t="str">
        <x:v>2022-2026-Copalis-Mocrocks.pdf</x:v>
      </x:c>
      <x:c r="B51" s="26" t="n">
        <x:v>3</x:v>
      </x:c>
      <x:c r="C51" s="22" t="str">
        <x:v>P03</x:v>
      </x:c>
      <x:c r="D51" s="22" t="str">
        <x:v>Copalis Beach</x:v>
      </x:c>
      <x:c r="E51" s="22" t="str">
        <x:v>Ocean City North</x:v>
      </x:c>
      <x:c r="F51" s="24" t="n">
        <x:v>45040</x:v>
      </x:c>
      <x:c r="G51" s="22" t="str">
        <x:v>Bryce</x:v>
      </x:c>
      <x:c r="H51" s="26" t="n">
        <x:v>15</x:v>
      </x:c>
      <x:c r="I51" s="22" t="str">
        <x:v>15-minute interval</x:v>
      </x:c>
      <x:c r="J51" s="22" t="str">
        <x:v>1029</x:v>
      </x:c>
      <x:c r="K51" s="22" t="str">
        <x:v>1044</x:v>
      </x:c>
      <x:c r="L51" s="22" t="str">
        <x:v>0:15</x:v>
      </x:c>
      <x:c r="M51" s="22" t="str">
        <x:v>0:30</x:v>
      </x:c>
      <x:c r="N51" s="22" t="str">
        <x:v>0</x:v>
      </x:c>
      <x:c r="O51" s="26" t="n">
        <x:v>0</x:v>
      </x:c>
      <x:c r="P51" s="22" t="str">
        <x:v>26</x:v>
      </x:c>
      <x:c r="Q51" s="26" t="n">
        <x:v>26</x:v>
      </x:c>
      <x:c r="R51" s="22" t="str">
        <x:v>Observed</x:v>
      </x:c>
      <x:c r="S51" s="22" t="str"/>
      <x:c r="T51" s="26" t="n">
        <x:f>IF(R51&lt;&gt;"Observed","",SUMIFS($O$3:O51,$C$3:C51,C51,$R$3:R51,"Observed"))</x:f>
        <x:v>208</x:v>
      </x:c>
      <x:c r="U51" s="26" t="n">
        <x:f>IF(R51&lt;&gt;"Observed","",SUMIFS($Q$3:Q51,$C$3:C51,C51,$R$3:R51,"Observed"))</x:f>
        <x:v>127</x:v>
      </x:c>
      <x:c r="V51" s="26" t="n">
        <x:f>IF(R51&lt;&gt;"Observed","",T51-U51)</x:f>
        <x:v>81</x:v>
      </x:c>
    </x:row>
    <x:row r="52">
      <x:c r="A52" s="22" t="str">
        <x:v>2022-2026-Copalis-Mocrocks.pdf</x:v>
      </x:c>
      <x:c r="B52" s="26" t="n">
        <x:v>3</x:v>
      </x:c>
      <x:c r="C52" s="22" t="str">
        <x:v>P03</x:v>
      </x:c>
      <x:c r="D52" s="22" t="str">
        <x:v>Copalis Beach</x:v>
      </x:c>
      <x:c r="E52" s="22" t="str">
        <x:v>Ocean City North</x:v>
      </x:c>
      <x:c r="F52" s="24" t="n">
        <x:v>45040</x:v>
      </x:c>
      <x:c r="G52" s="22" t="str">
        <x:v>Bryce</x:v>
      </x:c>
      <x:c r="H52" s="26" t="n">
        <x:v>16</x:v>
      </x:c>
      <x:c r="I52" s="22" t="str">
        <x:v>15-minute interval</x:v>
      </x:c>
      <x:c r="J52" s="22" t="str">
        <x:v>1044</x:v>
      </x:c>
      <x:c r="K52" s="22" t="str">
        <x:v>1059</x:v>
      </x:c>
      <x:c r="L52" s="22" t="str">
        <x:v>0:30</x:v>
      </x:c>
      <x:c r="M52" s="22" t="str">
        <x:v>0:45</x:v>
      </x:c>
      <x:c r="N52" s="22" t="str">
        <x:v>1</x:v>
      </x:c>
      <x:c r="O52" s="26" t="n">
        <x:v>1</x:v>
      </x:c>
      <x:c r="P52" s="22" t="str">
        <x:v>22</x:v>
      </x:c>
      <x:c r="Q52" s="26" t="n">
        <x:v>22</x:v>
      </x:c>
      <x:c r="R52" s="22" t="str">
        <x:v>Observed</x:v>
      </x:c>
      <x:c r="S52" s="22" t="str"/>
      <x:c r="T52" s="26" t="n">
        <x:f>IF(R52&lt;&gt;"Observed","",SUMIFS($O$3:O52,$C$3:C52,C52,$R$3:R52,"Observed"))</x:f>
        <x:v>209</x:v>
      </x:c>
      <x:c r="U52" s="26" t="n">
        <x:f>IF(R52&lt;&gt;"Observed","",SUMIFS($Q$3:Q52,$C$3:C52,C52,$R$3:R52,"Observed"))</x:f>
        <x:v>149</x:v>
      </x:c>
      <x:c r="V52" s="26" t="n">
        <x:f>IF(R52&lt;&gt;"Observed","",T52-U52)</x:f>
        <x:v>60</x:v>
      </x:c>
    </x:row>
    <x:row r="53">
      <x:c r="A53" s="22" t="str">
        <x:v>2022-2026-Copalis-Mocrocks.pdf</x:v>
      </x:c>
      <x:c r="B53" s="26" t="n">
        <x:v>3</x:v>
      </x:c>
      <x:c r="C53" s="22" t="str">
        <x:v>P03</x:v>
      </x:c>
      <x:c r="D53" s="22" t="str">
        <x:v>Copalis Beach</x:v>
      </x:c>
      <x:c r="E53" s="22" t="str">
        <x:v>Ocean City North</x:v>
      </x:c>
      <x:c r="F53" s="24" t="n">
        <x:v>45040</x:v>
      </x:c>
      <x:c r="G53" s="22" t="str">
        <x:v>Bryce</x:v>
      </x:c>
      <x:c r="H53" s="26" t="n">
        <x:v>17</x:v>
      </x:c>
      <x:c r="I53" s="22" t="str">
        <x:v>15-minute interval</x:v>
      </x:c>
      <x:c r="J53" s="22" t="str">
        <x:v>1059</x:v>
      </x:c>
      <x:c r="K53" s="22" t="str">
        <x:v>1114</x:v>
      </x:c>
      <x:c r="L53" s="22" t="str">
        <x:v>0:45</x:v>
      </x:c>
      <x:c r="M53" s="22" t="str">
        <x:v>1:00</x:v>
      </x:c>
      <x:c r="N53" s="22" t="str">
        <x:v>3</x:v>
      </x:c>
      <x:c r="O53" s="26" t="n">
        <x:v>3</x:v>
      </x:c>
      <x:c r="P53" s="22" t="str">
        <x:v>22</x:v>
      </x:c>
      <x:c r="Q53" s="26" t="n">
        <x:v>22</x:v>
      </x:c>
      <x:c r="R53" s="22" t="str">
        <x:v>Observed</x:v>
      </x:c>
      <x:c r="S53" s="22" t="str"/>
      <x:c r="T53" s="26" t="n">
        <x:f>IF(R53&lt;&gt;"Observed","",SUMIFS($O$3:O53,$C$3:C53,C53,$R$3:R53,"Observed"))</x:f>
        <x:v>212</x:v>
      </x:c>
      <x:c r="U53" s="26" t="n">
        <x:f>IF(R53&lt;&gt;"Observed","",SUMIFS($Q$3:Q53,$C$3:C53,C53,$R$3:R53,"Observed"))</x:f>
        <x:v>171</x:v>
      </x:c>
      <x:c r="V53" s="26" t="n">
        <x:f>IF(R53&lt;&gt;"Observed","",T53-U53)</x:f>
        <x:v>41</x:v>
      </x:c>
    </x:row>
    <x:row r="54">
      <x:c r="A54" s="22" t="str">
        <x:v>2022-2026-Copalis-Mocrocks.pdf</x:v>
      </x:c>
      <x:c r="B54" s="26" t="n">
        <x:v>4</x:v>
      </x:c>
      <x:c r="C54" s="22" t="str">
        <x:v>P04</x:v>
      </x:c>
      <x:c r="D54" s="22" t="str">
        <x:v>Mocrocks</x:v>
      </x:c>
      <x:c r="E54" s="22" t="str">
        <x:v>Roosevelt App. South</x:v>
      </x:c>
      <x:c r="F54" s="24" t="n">
        <x:v>45041</x:v>
      </x:c>
      <x:c r="G54" s="22" t="str">
        <x:v>JG</x:v>
      </x:c>
      <x:c r="H54" s="26" t="n">
        <x:v>1</x:v>
      </x:c>
      <x:c r="I54" s="22" t="str">
        <x:v>Prior to Start</x:v>
      </x:c>
      <x:c r="J54" s="22" t="str">
        <x:v>Prior to Start</x:v>
      </x:c>
      <x:c r="K54" s="22" t="str"/>
      <x:c r="L54" s="22" t="str">
        <x:v>to Start</x:v>
      </x:c>
      <x:c r="M54" s="22" t="str"/>
      <x:c r="N54" s="22" t="str"/>
      <x:c r="O54" s="26"/>
      <x:c r="P54" s="22" t="str"/>
      <x:c r="Q54" s="26"/>
      <x:c r="R54" s="22" t="str">
        <x:v>Not recorded</x:v>
      </x:c>
      <x:c r="S54" s="22" t="str"/>
      <x:c r="T54" s="26" t="str">
        <x:f>IF(R54&lt;&gt;"Observed","",SUMIFS($O$3:O54,$C$3:C54,C54,$R$3:R54,"Observed"))</x:f>
      </x:c>
      <x:c r="U54" s="26" t="str">
        <x:f>IF(R54&lt;&gt;"Observed","",SUMIFS($Q$3:Q54,$C$3:C54,C54,$R$3:R54,"Observed"))</x:f>
      </x:c>
      <x:c r="V54" s="26" t="str">
        <x:f>IF(R54&lt;&gt;"Observed","",T54-U54)</x:f>
      </x:c>
    </x:row>
    <x:row r="55">
      <x:c r="A55" s="22" t="str">
        <x:v>2022-2026-Copalis-Mocrocks.pdf</x:v>
      </x:c>
      <x:c r="B55" s="26" t="n">
        <x:v>4</x:v>
      </x:c>
      <x:c r="C55" s="22" t="str">
        <x:v>P04</x:v>
      </x:c>
      <x:c r="D55" s="22" t="str">
        <x:v>Mocrocks</x:v>
      </x:c>
      <x:c r="E55" s="22" t="str">
        <x:v>Roosevelt App. South</x:v>
      </x:c>
      <x:c r="F55" s="24" t="n">
        <x:v>45041</x:v>
      </x:c>
      <x:c r="G55" s="22" t="str">
        <x:v>JG</x:v>
      </x:c>
      <x:c r="H55" s="26" t="n">
        <x:v>2</x:v>
      </x:c>
      <x:c r="I55" s="22" t="str">
        <x:v>15-minute interval</x:v>
      </x:c>
      <x:c r="J55" s="22" t="str">
        <x:v>0801</x:v>
      </x:c>
      <x:c r="K55" s="22" t="str">
        <x:v>0816</x:v>
      </x:c>
      <x:c r="L55" s="22" t="str">
        <x:v>3:00</x:v>
      </x:c>
      <x:c r="M55" s="22" t="str">
        <x:v>2:45</x:v>
      </x:c>
      <x:c r="N55" s="22" t="str"/>
      <x:c r="O55" s="26"/>
      <x:c r="P55" s="22" t="str"/>
      <x:c r="Q55" s="26"/>
      <x:c r="R55" s="22" t="str">
        <x:v>Not recorded</x:v>
      </x:c>
      <x:c r="S55" s="22" t="str"/>
      <x:c r="T55" s="26" t="str">
        <x:f>IF(R55&lt;&gt;"Observed","",SUMIFS($O$3:O55,$C$3:C55,C55,$R$3:R55,"Observed"))</x:f>
      </x:c>
      <x:c r="U55" s="26" t="str">
        <x:f>IF(R55&lt;&gt;"Observed","",SUMIFS($Q$3:Q55,$C$3:C55,C55,$R$3:R55,"Observed"))</x:f>
      </x:c>
      <x:c r="V55" s="26" t="str">
        <x:f>IF(R55&lt;&gt;"Observed","",T55-U55)</x:f>
      </x:c>
    </x:row>
    <x:row r="56">
      <x:c r="A56" s="22" t="str">
        <x:v>2022-2026-Copalis-Mocrocks.pdf</x:v>
      </x:c>
      <x:c r="B56" s="26" t="n">
        <x:v>4</x:v>
      </x:c>
      <x:c r="C56" s="22" t="str">
        <x:v>P04</x:v>
      </x:c>
      <x:c r="D56" s="22" t="str">
        <x:v>Mocrocks</x:v>
      </x:c>
      <x:c r="E56" s="22" t="str">
        <x:v>Roosevelt App. South</x:v>
      </x:c>
      <x:c r="F56" s="24" t="n">
        <x:v>45041</x:v>
      </x:c>
      <x:c r="G56" s="22" t="str">
        <x:v>JG</x:v>
      </x:c>
      <x:c r="H56" s="26" t="n">
        <x:v>3</x:v>
      </x:c>
      <x:c r="I56" s="22" t="str">
        <x:v>15-minute interval</x:v>
      </x:c>
      <x:c r="J56" s="22" t="str">
        <x:v>0816</x:v>
      </x:c>
      <x:c r="K56" s="22" t="str">
        <x:v>0831</x:v>
      </x:c>
      <x:c r="L56" s="22" t="str">
        <x:v>2:45</x:v>
      </x:c>
      <x:c r="M56" s="22" t="str">
        <x:v>2:30</x:v>
      </x:c>
      <x:c r="N56" s="22" t="str"/>
      <x:c r="O56" s="26"/>
      <x:c r="P56" s="22" t="str"/>
      <x:c r="Q56" s="26"/>
      <x:c r="R56" s="22" t="str">
        <x:v>Not recorded</x:v>
      </x:c>
      <x:c r="S56" s="22" t="str"/>
      <x:c r="T56" s="26" t="str">
        <x:f>IF(R56&lt;&gt;"Observed","",SUMIFS($O$3:O56,$C$3:C56,C56,$R$3:R56,"Observed"))</x:f>
      </x:c>
      <x:c r="U56" s="26" t="str">
        <x:f>IF(R56&lt;&gt;"Observed","",SUMIFS($Q$3:Q56,$C$3:C56,C56,$R$3:R56,"Observed"))</x:f>
      </x:c>
      <x:c r="V56" s="26" t="str">
        <x:f>IF(R56&lt;&gt;"Observed","",T56-U56)</x:f>
      </x:c>
    </x:row>
    <x:row r="57">
      <x:c r="A57" s="22" t="str">
        <x:v>2022-2026-Copalis-Mocrocks.pdf</x:v>
      </x:c>
      <x:c r="B57" s="26" t="n">
        <x:v>4</x:v>
      </x:c>
      <x:c r="C57" s="22" t="str">
        <x:v>P04</x:v>
      </x:c>
      <x:c r="D57" s="22" t="str">
        <x:v>Mocrocks</x:v>
      </x:c>
      <x:c r="E57" s="22" t="str">
        <x:v>Roosevelt App. South</x:v>
      </x:c>
      <x:c r="F57" s="24" t="n">
        <x:v>45041</x:v>
      </x:c>
      <x:c r="G57" s="22" t="str">
        <x:v>JG</x:v>
      </x:c>
      <x:c r="H57" s="26" t="n">
        <x:v>4</x:v>
      </x:c>
      <x:c r="I57" s="22" t="str">
        <x:v>15-minute interval</x:v>
      </x:c>
      <x:c r="J57" s="22" t="str">
        <x:v>0831</x:v>
      </x:c>
      <x:c r="K57" s="22" t="str">
        <x:v>0846</x:v>
      </x:c>
      <x:c r="L57" s="22" t="str">
        <x:v>2:30</x:v>
      </x:c>
      <x:c r="M57" s="22" t="str">
        <x:v>2:15</x:v>
      </x:c>
      <x:c r="N57" s="22" t="str">
        <x:v>19</x:v>
      </x:c>
      <x:c r="O57" s="26" t="n">
        <x:v>19</x:v>
      </x:c>
      <x:c r="P57" s="22" t="str"/>
      <x:c r="Q57" s="26" t="n">
        <x:v>0</x:v>
      </x:c>
      <x:c r="R57" s="22" t="str">
        <x:v>Observed</x:v>
      </x:c>
      <x:c r="S57" s="22" t="str">
        <x:v>Cars Off source cell blank; treated as 0.</x:v>
      </x:c>
      <x:c r="T57" s="26" t="n">
        <x:f>IF(R57&lt;&gt;"Observed","",SUMIFS($O$3:O57,$C$3:C57,C57,$R$3:R57,"Observed"))</x:f>
        <x:v>19</x:v>
      </x:c>
      <x:c r="U57" s="26" t="n">
        <x:f>IF(R57&lt;&gt;"Observed","",SUMIFS($Q$3:Q57,$C$3:C57,C57,$R$3:R57,"Observed"))</x:f>
        <x:v>0</x:v>
      </x:c>
      <x:c r="V57" s="26" t="n">
        <x:f>IF(R57&lt;&gt;"Observed","",T57-U57)</x:f>
        <x:v>19</x:v>
      </x:c>
    </x:row>
    <x:row r="58">
      <x:c r="A58" s="22" t="str">
        <x:v>2022-2026-Copalis-Mocrocks.pdf</x:v>
      </x:c>
      <x:c r="B58" s="26" t="n">
        <x:v>4</x:v>
      </x:c>
      <x:c r="C58" s="22" t="str">
        <x:v>P04</x:v>
      </x:c>
      <x:c r="D58" s="22" t="str">
        <x:v>Mocrocks</x:v>
      </x:c>
      <x:c r="E58" s="22" t="str">
        <x:v>Roosevelt App. South</x:v>
      </x:c>
      <x:c r="F58" s="24" t="n">
        <x:v>45041</x:v>
      </x:c>
      <x:c r="G58" s="22" t="str">
        <x:v>JG</x:v>
      </x:c>
      <x:c r="H58" s="26" t="n">
        <x:v>5</x:v>
      </x:c>
      <x:c r="I58" s="22" t="str">
        <x:v>15-minute interval</x:v>
      </x:c>
      <x:c r="J58" s="22" t="str">
        <x:v>0846</x:v>
      </x:c>
      <x:c r="K58" s="22" t="str">
        <x:v>0901</x:v>
      </x:c>
      <x:c r="L58" s="22" t="str">
        <x:v>2:15</x:v>
      </x:c>
      <x:c r="M58" s="22" t="str">
        <x:v>2:00</x:v>
      </x:c>
      <x:c r="N58" s="22" t="str">
        <x:v>17</x:v>
      </x:c>
      <x:c r="O58" s="26" t="n">
        <x:v>17</x:v>
      </x:c>
      <x:c r="P58" s="22" t="str">
        <x:v>1</x:v>
      </x:c>
      <x:c r="Q58" s="26" t="n">
        <x:v>1</x:v>
      </x:c>
      <x:c r="R58" s="22" t="str">
        <x:v>Observed</x:v>
      </x:c>
      <x:c r="S58" s="22" t="str"/>
      <x:c r="T58" s="26" t="n">
        <x:f>IF(R58&lt;&gt;"Observed","",SUMIFS($O$3:O58,$C$3:C58,C58,$R$3:R58,"Observed"))</x:f>
        <x:v>36</x:v>
      </x:c>
      <x:c r="U58" s="26" t="n">
        <x:f>IF(R58&lt;&gt;"Observed","",SUMIFS($Q$3:Q58,$C$3:C58,C58,$R$3:R58,"Observed"))</x:f>
        <x:v>1</x:v>
      </x:c>
      <x:c r="V58" s="26" t="n">
        <x:f>IF(R58&lt;&gt;"Observed","",T58-U58)</x:f>
        <x:v>35</x:v>
      </x:c>
    </x:row>
    <x:row r="59">
      <x:c r="A59" s="22" t="str">
        <x:v>2022-2026-Copalis-Mocrocks.pdf</x:v>
      </x:c>
      <x:c r="B59" s="26" t="n">
        <x:v>4</x:v>
      </x:c>
      <x:c r="C59" s="22" t="str">
        <x:v>P04</x:v>
      </x:c>
      <x:c r="D59" s="22" t="str">
        <x:v>Mocrocks</x:v>
      </x:c>
      <x:c r="E59" s="22" t="str">
        <x:v>Roosevelt App. South</x:v>
      </x:c>
      <x:c r="F59" s="24" t="n">
        <x:v>45041</x:v>
      </x:c>
      <x:c r="G59" s="22" t="str">
        <x:v>JG</x:v>
      </x:c>
      <x:c r="H59" s="26" t="n">
        <x:v>6</x:v>
      </x:c>
      <x:c r="I59" s="22" t="str">
        <x:v>15-minute interval</x:v>
      </x:c>
      <x:c r="J59" s="22" t="str">
        <x:v>0901</x:v>
      </x:c>
      <x:c r="K59" s="22" t="str">
        <x:v>0916</x:v>
      </x:c>
      <x:c r="L59" s="22" t="str">
        <x:v>2:00</x:v>
      </x:c>
      <x:c r="M59" s="22" t="str">
        <x:v>1:45</x:v>
      </x:c>
      <x:c r="N59" s="22" t="str">
        <x:v>33</x:v>
      </x:c>
      <x:c r="O59" s="26" t="n">
        <x:v>33</x:v>
      </x:c>
      <x:c r="P59" s="22" t="str">
        <x:v>0</x:v>
      </x:c>
      <x:c r="Q59" s="26" t="n">
        <x:v>0</x:v>
      </x:c>
      <x:c r="R59" s="22" t="str">
        <x:v>Observed</x:v>
      </x:c>
      <x:c r="S59" s="22" t="str"/>
      <x:c r="T59" s="26" t="n">
        <x:f>IF(R59&lt;&gt;"Observed","",SUMIFS($O$3:O59,$C$3:C59,C59,$R$3:R59,"Observed"))</x:f>
        <x:v>69</x:v>
      </x:c>
      <x:c r="U59" s="26" t="n">
        <x:f>IF(R59&lt;&gt;"Observed","",SUMIFS($Q$3:Q59,$C$3:C59,C59,$R$3:R59,"Observed"))</x:f>
        <x:v>1</x:v>
      </x:c>
      <x:c r="V59" s="26" t="n">
        <x:f>IF(R59&lt;&gt;"Observed","",T59-U59)</x:f>
        <x:v>68</x:v>
      </x:c>
    </x:row>
    <x:row r="60">
      <x:c r="A60" s="22" t="str">
        <x:v>2022-2026-Copalis-Mocrocks.pdf</x:v>
      </x:c>
      <x:c r="B60" s="26" t="n">
        <x:v>4</x:v>
      </x:c>
      <x:c r="C60" s="22" t="str">
        <x:v>P04</x:v>
      </x:c>
      <x:c r="D60" s="22" t="str">
        <x:v>Mocrocks</x:v>
      </x:c>
      <x:c r="E60" s="22" t="str">
        <x:v>Roosevelt App. South</x:v>
      </x:c>
      <x:c r="F60" s="24" t="n">
        <x:v>45041</x:v>
      </x:c>
      <x:c r="G60" s="22" t="str">
        <x:v>JG</x:v>
      </x:c>
      <x:c r="H60" s="26" t="n">
        <x:v>7</x:v>
      </x:c>
      <x:c r="I60" s="22" t="str">
        <x:v>15-minute interval</x:v>
      </x:c>
      <x:c r="J60" s="22" t="str">
        <x:v>0916</x:v>
      </x:c>
      <x:c r="K60" s="22" t="str">
        <x:v>0931</x:v>
      </x:c>
      <x:c r="L60" s="22" t="str">
        <x:v>1:45</x:v>
      </x:c>
      <x:c r="M60" s="22" t="str">
        <x:v>1:30</x:v>
      </x:c>
      <x:c r="N60" s="22" t="str">
        <x:v>34</x:v>
      </x:c>
      <x:c r="O60" s="26" t="n">
        <x:v>34</x:v>
      </x:c>
      <x:c r="P60" s="22" t="str">
        <x:v>3</x:v>
      </x:c>
      <x:c r="Q60" s="26" t="n">
        <x:v>3</x:v>
      </x:c>
      <x:c r="R60" s="22" t="str">
        <x:v>Observed</x:v>
      </x:c>
      <x:c r="S60" s="22" t="str"/>
      <x:c r="T60" s="26" t="n">
        <x:f>IF(R60&lt;&gt;"Observed","",SUMIFS($O$3:O60,$C$3:C60,C60,$R$3:R60,"Observed"))</x:f>
        <x:v>103</x:v>
      </x:c>
      <x:c r="U60" s="26" t="n">
        <x:f>IF(R60&lt;&gt;"Observed","",SUMIFS($Q$3:Q60,$C$3:C60,C60,$R$3:R60,"Observed"))</x:f>
        <x:v>4</x:v>
      </x:c>
      <x:c r="V60" s="26" t="n">
        <x:f>IF(R60&lt;&gt;"Observed","",T60-U60)</x:f>
        <x:v>99</x:v>
      </x:c>
    </x:row>
    <x:row r="61">
      <x:c r="A61" s="22" t="str">
        <x:v>2022-2026-Copalis-Mocrocks.pdf</x:v>
      </x:c>
      <x:c r="B61" s="26" t="n">
        <x:v>4</x:v>
      </x:c>
      <x:c r="C61" s="22" t="str">
        <x:v>P04</x:v>
      </x:c>
      <x:c r="D61" s="22" t="str">
        <x:v>Mocrocks</x:v>
      </x:c>
      <x:c r="E61" s="22" t="str">
        <x:v>Roosevelt App. South</x:v>
      </x:c>
      <x:c r="F61" s="24" t="n">
        <x:v>45041</x:v>
      </x:c>
      <x:c r="G61" s="22" t="str">
        <x:v>JG</x:v>
      </x:c>
      <x:c r="H61" s="26" t="n">
        <x:v>8</x:v>
      </x:c>
      <x:c r="I61" s="22" t="str">
        <x:v>15-minute interval</x:v>
      </x:c>
      <x:c r="J61" s="22" t="str">
        <x:v>0931</x:v>
      </x:c>
      <x:c r="K61" s="22" t="str">
        <x:v>0946</x:v>
      </x:c>
      <x:c r="L61" s="22" t="str">
        <x:v>1:30</x:v>
      </x:c>
      <x:c r="M61" s="22" t="str">
        <x:v>1:15</x:v>
      </x:c>
      <x:c r="N61" s="22" t="str">
        <x:v>38</x:v>
      </x:c>
      <x:c r="O61" s="26" t="n">
        <x:v>38</x:v>
      </x:c>
      <x:c r="P61" s="22" t="str">
        <x:v>5</x:v>
      </x:c>
      <x:c r="Q61" s="26" t="n">
        <x:v>5</x:v>
      </x:c>
      <x:c r="R61" s="22" t="str">
        <x:v>Observed</x:v>
      </x:c>
      <x:c r="S61" s="22" t="str"/>
      <x:c r="T61" s="26" t="n">
        <x:f>IF(R61&lt;&gt;"Observed","",SUMIFS($O$3:O61,$C$3:C61,C61,$R$3:R61,"Observed"))</x:f>
        <x:v>141</x:v>
      </x:c>
      <x:c r="U61" s="26" t="n">
        <x:f>IF(R61&lt;&gt;"Observed","",SUMIFS($Q$3:Q61,$C$3:C61,C61,$R$3:R61,"Observed"))</x:f>
        <x:v>9</x:v>
      </x:c>
      <x:c r="V61" s="26" t="n">
        <x:f>IF(R61&lt;&gt;"Observed","",T61-U61)</x:f>
        <x:v>132</x:v>
      </x:c>
    </x:row>
    <x:row r="62">
      <x:c r="A62" s="22" t="str">
        <x:v>2022-2026-Copalis-Mocrocks.pdf</x:v>
      </x:c>
      <x:c r="B62" s="26" t="n">
        <x:v>4</x:v>
      </x:c>
      <x:c r="C62" s="22" t="str">
        <x:v>P04</x:v>
      </x:c>
      <x:c r="D62" s="22" t="str">
        <x:v>Mocrocks</x:v>
      </x:c>
      <x:c r="E62" s="22" t="str">
        <x:v>Roosevelt App. South</x:v>
      </x:c>
      <x:c r="F62" s="24" t="n">
        <x:v>45041</x:v>
      </x:c>
      <x:c r="G62" s="22" t="str">
        <x:v>JG</x:v>
      </x:c>
      <x:c r="H62" s="26" t="n">
        <x:v>9</x:v>
      </x:c>
      <x:c r="I62" s="22" t="str">
        <x:v>15-minute interval</x:v>
      </x:c>
      <x:c r="J62" s="22" t="str">
        <x:v>0946</x:v>
      </x:c>
      <x:c r="K62" s="22" t="str">
        <x:v>1001</x:v>
      </x:c>
      <x:c r="L62" s="22" t="str">
        <x:v>1:15</x:v>
      </x:c>
      <x:c r="M62" s="22" t="str">
        <x:v>1:00</x:v>
      </x:c>
      <x:c r="N62" s="22" t="str">
        <x:v>26</x:v>
      </x:c>
      <x:c r="O62" s="26" t="n">
        <x:v>26</x:v>
      </x:c>
      <x:c r="P62" s="22" t="str">
        <x:v>5</x:v>
      </x:c>
      <x:c r="Q62" s="26" t="n">
        <x:v>5</x:v>
      </x:c>
      <x:c r="R62" s="22" t="str">
        <x:v>Observed</x:v>
      </x:c>
      <x:c r="S62" s="22" t="str"/>
      <x:c r="T62" s="26" t="n">
        <x:f>IF(R62&lt;&gt;"Observed","",SUMIFS($O$3:O62,$C$3:C62,C62,$R$3:R62,"Observed"))</x:f>
        <x:v>167</x:v>
      </x:c>
      <x:c r="U62" s="26" t="n">
        <x:f>IF(R62&lt;&gt;"Observed","",SUMIFS($Q$3:Q62,$C$3:C62,C62,$R$3:R62,"Observed"))</x:f>
        <x:v>14</x:v>
      </x:c>
      <x:c r="V62" s="26" t="n">
        <x:f>IF(R62&lt;&gt;"Observed","",T62-U62)</x:f>
        <x:v>153</x:v>
      </x:c>
    </x:row>
    <x:row r="63">
      <x:c r="A63" s="22" t="str">
        <x:v>2022-2026-Copalis-Mocrocks.pdf</x:v>
      </x:c>
      <x:c r="B63" s="26" t="n">
        <x:v>4</x:v>
      </x:c>
      <x:c r="C63" s="22" t="str">
        <x:v>P04</x:v>
      </x:c>
      <x:c r="D63" s="22" t="str">
        <x:v>Mocrocks</x:v>
      </x:c>
      <x:c r="E63" s="22" t="str">
        <x:v>Roosevelt App. South</x:v>
      </x:c>
      <x:c r="F63" s="24" t="n">
        <x:v>45041</x:v>
      </x:c>
      <x:c r="G63" s="22" t="str">
        <x:v>JG</x:v>
      </x:c>
      <x:c r="H63" s="26" t="n">
        <x:v>10</x:v>
      </x:c>
      <x:c r="I63" s="22" t="str">
        <x:v>15-minute interval</x:v>
      </x:c>
      <x:c r="J63" s="22" t="str">
        <x:v>1001</x:v>
      </x:c>
      <x:c r="K63" s="22" t="str">
        <x:v>1016</x:v>
      </x:c>
      <x:c r="L63" s="22" t="str">
        <x:v>1:00</x:v>
      </x:c>
      <x:c r="M63" s="22" t="str">
        <x:v>0:45</x:v>
      </x:c>
      <x:c r="N63" s="22" t="str">
        <x:v>23</x:v>
      </x:c>
      <x:c r="O63" s="26" t="n">
        <x:v>23</x:v>
      </x:c>
      <x:c r="P63" s="22" t="str">
        <x:v>15</x:v>
      </x:c>
      <x:c r="Q63" s="26" t="n">
        <x:v>15</x:v>
      </x:c>
      <x:c r="R63" s="22" t="str">
        <x:v>Observed</x:v>
      </x:c>
      <x:c r="S63" s="22" t="str"/>
      <x:c r="T63" s="26" t="n">
        <x:f>IF(R63&lt;&gt;"Observed","",SUMIFS($O$3:O63,$C$3:C63,C63,$R$3:R63,"Observed"))</x:f>
        <x:v>190</x:v>
      </x:c>
      <x:c r="U63" s="26" t="n">
        <x:f>IF(R63&lt;&gt;"Observed","",SUMIFS($Q$3:Q63,$C$3:C63,C63,$R$3:R63,"Observed"))</x:f>
        <x:v>29</x:v>
      </x:c>
      <x:c r="V63" s="26" t="n">
        <x:f>IF(R63&lt;&gt;"Observed","",T63-U63)</x:f>
        <x:v>161</x:v>
      </x:c>
    </x:row>
    <x:row r="64">
      <x:c r="A64" s="22" t="str">
        <x:v>2022-2026-Copalis-Mocrocks.pdf</x:v>
      </x:c>
      <x:c r="B64" s="26" t="n">
        <x:v>4</x:v>
      </x:c>
      <x:c r="C64" s="22" t="str">
        <x:v>P04</x:v>
      </x:c>
      <x:c r="D64" s="22" t="str">
        <x:v>Mocrocks</x:v>
      </x:c>
      <x:c r="E64" s="22" t="str">
        <x:v>Roosevelt App. South</x:v>
      </x:c>
      <x:c r="F64" s="24" t="n">
        <x:v>45041</x:v>
      </x:c>
      <x:c r="G64" s="22" t="str">
        <x:v>JG</x:v>
      </x:c>
      <x:c r="H64" s="26" t="n">
        <x:v>11</x:v>
      </x:c>
      <x:c r="I64" s="22" t="str">
        <x:v>15-minute interval</x:v>
      </x:c>
      <x:c r="J64" s="22" t="str">
        <x:v>1016</x:v>
      </x:c>
      <x:c r="K64" s="22" t="str">
        <x:v>1031</x:v>
      </x:c>
      <x:c r="L64" s="22" t="str">
        <x:v>0:45</x:v>
      </x:c>
      <x:c r="M64" s="22" t="str">
        <x:v>0:30</x:v>
      </x:c>
      <x:c r="N64" s="22" t="str">
        <x:v>11</x:v>
      </x:c>
      <x:c r="O64" s="26" t="n">
        <x:v>11</x:v>
      </x:c>
      <x:c r="P64" s="22" t="str">
        <x:v>11</x:v>
      </x:c>
      <x:c r="Q64" s="26" t="n">
        <x:v>11</x:v>
      </x:c>
      <x:c r="R64" s="22" t="str">
        <x:v>Observed</x:v>
      </x:c>
      <x:c r="S64" s="22" t="str"/>
      <x:c r="T64" s="26" t="n">
        <x:f>IF(R64&lt;&gt;"Observed","",SUMIFS($O$3:O64,$C$3:C64,C64,$R$3:R64,"Observed"))</x:f>
        <x:v>201</x:v>
      </x:c>
      <x:c r="U64" s="26" t="n">
        <x:f>IF(R64&lt;&gt;"Observed","",SUMIFS($Q$3:Q64,$C$3:C64,C64,$R$3:R64,"Observed"))</x:f>
        <x:v>40</x:v>
      </x:c>
      <x:c r="V64" s="26" t="n">
        <x:f>IF(R64&lt;&gt;"Observed","",T64-U64)</x:f>
        <x:v>161</x:v>
      </x:c>
    </x:row>
    <x:row r="65">
      <x:c r="A65" s="22" t="str">
        <x:v>2022-2026-Copalis-Mocrocks.pdf</x:v>
      </x:c>
      <x:c r="B65" s="26" t="n">
        <x:v>4</x:v>
      </x:c>
      <x:c r="C65" s="22" t="str">
        <x:v>P04</x:v>
      </x:c>
      <x:c r="D65" s="22" t="str">
        <x:v>Mocrocks</x:v>
      </x:c>
      <x:c r="E65" s="22" t="str">
        <x:v>Roosevelt App. South</x:v>
      </x:c>
      <x:c r="F65" s="24" t="n">
        <x:v>45041</x:v>
      </x:c>
      <x:c r="G65" s="22" t="str">
        <x:v>JG</x:v>
      </x:c>
      <x:c r="H65" s="26" t="n">
        <x:v>12</x:v>
      </x:c>
      <x:c r="I65" s="22" t="str">
        <x:v>15-minute interval</x:v>
      </x:c>
      <x:c r="J65" s="22" t="str">
        <x:v>1031</x:v>
      </x:c>
      <x:c r="K65" s="22" t="str">
        <x:v>1046</x:v>
      </x:c>
      <x:c r="L65" s="22" t="str">
        <x:v>0:30</x:v>
      </x:c>
      <x:c r="M65" s="22" t="str">
        <x:v>0:15</x:v>
      </x:c>
      <x:c r="N65" s="22" t="str">
        <x:v>5</x:v>
      </x:c>
      <x:c r="O65" s="26" t="n">
        <x:v>5</x:v>
      </x:c>
      <x:c r="P65" s="22" t="str">
        <x:v>25</x:v>
      </x:c>
      <x:c r="Q65" s="26" t="n">
        <x:v>25</x:v>
      </x:c>
      <x:c r="R65" s="22" t="str">
        <x:v>Observed</x:v>
      </x:c>
      <x:c r="S65" s="22" t="str"/>
      <x:c r="T65" s="26" t="n">
        <x:f>IF(R65&lt;&gt;"Observed","",SUMIFS($O$3:O65,$C$3:C65,C65,$R$3:R65,"Observed"))</x:f>
        <x:v>206</x:v>
      </x:c>
      <x:c r="U65" s="26" t="n">
        <x:f>IF(R65&lt;&gt;"Observed","",SUMIFS($Q$3:Q65,$C$3:C65,C65,$R$3:R65,"Observed"))</x:f>
        <x:v>65</x:v>
      </x:c>
      <x:c r="V65" s="26" t="n">
        <x:f>IF(R65&lt;&gt;"Observed","",T65-U65)</x:f>
        <x:v>141</x:v>
      </x:c>
    </x:row>
    <x:row r="66">
      <x:c r="A66" s="22" t="str">
        <x:v>2022-2026-Copalis-Mocrocks.pdf</x:v>
      </x:c>
      <x:c r="B66" s="26" t="n">
        <x:v>4</x:v>
      </x:c>
      <x:c r="C66" s="22" t="str">
        <x:v>P04</x:v>
      </x:c>
      <x:c r="D66" s="22" t="str">
        <x:v>Mocrocks</x:v>
      </x:c>
      <x:c r="E66" s="22" t="str">
        <x:v>Roosevelt App. South</x:v>
      </x:c>
      <x:c r="F66" s="24" t="n">
        <x:v>45041</x:v>
      </x:c>
      <x:c r="G66" s="22" t="str">
        <x:v>JG</x:v>
      </x:c>
      <x:c r="H66" s="26" t="n">
        <x:v>13</x:v>
      </x:c>
      <x:c r="I66" s="22" t="str">
        <x:v>15-minute interval</x:v>
      </x:c>
      <x:c r="J66" s="22" t="str">
        <x:v>1046</x:v>
      </x:c>
      <x:c r="K66" s="22" t="str">
        <x:v>1101</x:v>
      </x:c>
      <x:c r="L66" s="22" t="str">
        <x:v>0:15</x:v>
      </x:c>
      <x:c r="M66" s="22" t="str">
        <x:v>0:00</x:v>
      </x:c>
      <x:c r="N66" s="22" t="str">
        <x:v>3</x:v>
      </x:c>
      <x:c r="O66" s="26" t="n">
        <x:v>3</x:v>
      </x:c>
      <x:c r="P66" s="22" t="str">
        <x:v>25</x:v>
      </x:c>
      <x:c r="Q66" s="26" t="n">
        <x:v>25</x:v>
      </x:c>
      <x:c r="R66" s="22" t="str">
        <x:v>Observed</x:v>
      </x:c>
      <x:c r="S66" s="22" t="str"/>
      <x:c r="T66" s="26" t="n">
        <x:f>IF(R66&lt;&gt;"Observed","",SUMIFS($O$3:O66,$C$3:C66,C66,$R$3:R66,"Observed"))</x:f>
        <x:v>209</x:v>
      </x:c>
      <x:c r="U66" s="26" t="n">
        <x:f>IF(R66&lt;&gt;"Observed","",SUMIFS($Q$3:Q66,$C$3:C66,C66,$R$3:R66,"Observed"))</x:f>
        <x:v>90</x:v>
      </x:c>
      <x:c r="V66" s="26" t="n">
        <x:f>IF(R66&lt;&gt;"Observed","",T66-U66)</x:f>
        <x:v>119</x:v>
      </x:c>
    </x:row>
    <x:row r="67">
      <x:c r="A67" s="22" t="str">
        <x:v>2022-2026-Copalis-Mocrocks.pdf</x:v>
      </x:c>
      <x:c r="B67" s="26" t="n">
        <x:v>4</x:v>
      </x:c>
      <x:c r="C67" s="22" t="str">
        <x:v>P04</x:v>
      </x:c>
      <x:c r="D67" s="22" t="str">
        <x:v>Mocrocks</x:v>
      </x:c>
      <x:c r="E67" s="22" t="str">
        <x:v>Roosevelt App. South</x:v>
      </x:c>
      <x:c r="F67" s="24" t="n">
        <x:v>45041</x:v>
      </x:c>
      <x:c r="G67" s="22" t="str">
        <x:v>JG</x:v>
      </x:c>
      <x:c r="H67" s="26" t="n">
        <x:v>14</x:v>
      </x:c>
      <x:c r="I67" s="22" t="str">
        <x:v>15-minute interval</x:v>
      </x:c>
      <x:c r="J67" s="22" t="str">
        <x:v>1101</x:v>
      </x:c>
      <x:c r="K67" s="22" t="str">
        <x:v>1116</x:v>
      </x:c>
      <x:c r="L67" s="22" t="str">
        <x:v>0:00</x:v>
      </x:c>
      <x:c r="M67" s="22" t="str">
        <x:v>0:15</x:v>
      </x:c>
      <x:c r="N67" s="22" t="str">
        <x:v>2</x:v>
      </x:c>
      <x:c r="O67" s="26" t="n">
        <x:v>2</x:v>
      </x:c>
      <x:c r="P67" s="22" t="str">
        <x:v>19</x:v>
      </x:c>
      <x:c r="Q67" s="26" t="n">
        <x:v>19</x:v>
      </x:c>
      <x:c r="R67" s="22" t="str">
        <x:v>Observed</x:v>
      </x:c>
      <x:c r="S67" s="22" t="str"/>
      <x:c r="T67" s="26" t="n">
        <x:f>IF(R67&lt;&gt;"Observed","",SUMIFS($O$3:O67,$C$3:C67,C67,$R$3:R67,"Observed"))</x:f>
        <x:v>211</x:v>
      </x:c>
      <x:c r="U67" s="26" t="n">
        <x:f>IF(R67&lt;&gt;"Observed","",SUMIFS($Q$3:Q67,$C$3:C67,C67,$R$3:R67,"Observed"))</x:f>
        <x:v>109</x:v>
      </x:c>
      <x:c r="V67" s="26" t="n">
        <x:f>IF(R67&lt;&gt;"Observed","",T67-U67)</x:f>
        <x:v>102</x:v>
      </x:c>
    </x:row>
    <x:row r="68">
      <x:c r="A68" s="22" t="str">
        <x:v>2022-2026-Copalis-Mocrocks.pdf</x:v>
      </x:c>
      <x:c r="B68" s="26" t="n">
        <x:v>4</x:v>
      </x:c>
      <x:c r="C68" s="22" t="str">
        <x:v>P04</x:v>
      </x:c>
      <x:c r="D68" s="22" t="str">
        <x:v>Mocrocks</x:v>
      </x:c>
      <x:c r="E68" s="22" t="str">
        <x:v>Roosevelt App. South</x:v>
      </x:c>
      <x:c r="F68" s="24" t="n">
        <x:v>45041</x:v>
      </x:c>
      <x:c r="G68" s="22" t="str">
        <x:v>JG</x:v>
      </x:c>
      <x:c r="H68" s="26" t="n">
        <x:v>15</x:v>
      </x:c>
      <x:c r="I68" s="22" t="str">
        <x:v>15-minute interval</x:v>
      </x:c>
      <x:c r="J68" s="22" t="str">
        <x:v>1116</x:v>
      </x:c>
      <x:c r="K68" s="22" t="str">
        <x:v>1131</x:v>
      </x:c>
      <x:c r="L68" s="22" t="str">
        <x:v>0:15</x:v>
      </x:c>
      <x:c r="M68" s="22" t="str">
        <x:v>0:30</x:v>
      </x:c>
      <x:c r="N68" s="22" t="str">
        <x:v>4</x:v>
      </x:c>
      <x:c r="O68" s="26" t="n">
        <x:v>4</x:v>
      </x:c>
      <x:c r="P68" s="22" t="str">
        <x:v>26*</x:v>
      </x:c>
      <x:c r="Q68" s="26" t="n">
        <x:v>26</x:v>
      </x:c>
      <x:c r="R68" s="22" t="str">
        <x:v>Observed</x:v>
      </x:c>
      <x:c r="S68" s="22" t="str">
        <x:v>Asterisk in source.</x:v>
      </x:c>
      <x:c r="T68" s="26" t="n">
        <x:f>IF(R68&lt;&gt;"Observed","",SUMIFS($O$3:O68,$C$3:C68,C68,$R$3:R68,"Observed"))</x:f>
        <x:v>215</x:v>
      </x:c>
      <x:c r="U68" s="26" t="n">
        <x:f>IF(R68&lt;&gt;"Observed","",SUMIFS($Q$3:Q68,$C$3:C68,C68,$R$3:R68,"Observed"))</x:f>
        <x:v>135</x:v>
      </x:c>
      <x:c r="V68" s="26" t="n">
        <x:f>IF(R68&lt;&gt;"Observed","",T68-U68)</x:f>
        <x:v>80</x:v>
      </x:c>
    </x:row>
    <x:row r="69">
      <x:c r="A69" s="22" t="str">
        <x:v>2022-2026-Copalis-Mocrocks.pdf</x:v>
      </x:c>
      <x:c r="B69" s="26" t="n">
        <x:v>4</x:v>
      </x:c>
      <x:c r="C69" s="22" t="str">
        <x:v>P04</x:v>
      </x:c>
      <x:c r="D69" s="22" t="str">
        <x:v>Mocrocks</x:v>
      </x:c>
      <x:c r="E69" s="22" t="str">
        <x:v>Roosevelt App. South</x:v>
      </x:c>
      <x:c r="F69" s="24" t="n">
        <x:v>45041</x:v>
      </x:c>
      <x:c r="G69" s="22" t="str">
        <x:v>JG</x:v>
      </x:c>
      <x:c r="H69" s="26" t="n">
        <x:v>16</x:v>
      </x:c>
      <x:c r="I69" s="22" t="str">
        <x:v>15-minute interval</x:v>
      </x:c>
      <x:c r="J69" s="22" t="str">
        <x:v>1131</x:v>
      </x:c>
      <x:c r="K69" s="22" t="str">
        <x:v>1146</x:v>
      </x:c>
      <x:c r="L69" s="22" t="str">
        <x:v>0:30</x:v>
      </x:c>
      <x:c r="M69" s="22" t="str">
        <x:v>0:45</x:v>
      </x:c>
      <x:c r="N69" s="22" t="str">
        <x:v>2</x:v>
      </x:c>
      <x:c r="O69" s="26" t="n">
        <x:v>2</x:v>
      </x:c>
      <x:c r="P69" s="22" t="str">
        <x:v>30*</x:v>
      </x:c>
      <x:c r="Q69" s="26" t="n">
        <x:v>30</x:v>
      </x:c>
      <x:c r="R69" s="22" t="str">
        <x:v>Observed</x:v>
      </x:c>
      <x:c r="S69" s="22" t="str">
        <x:v>Asterisk in source.</x:v>
      </x:c>
      <x:c r="T69" s="26" t="n">
        <x:f>IF(R69&lt;&gt;"Observed","",SUMIFS($O$3:O69,$C$3:C69,C69,$R$3:R69,"Observed"))</x:f>
        <x:v>217</x:v>
      </x:c>
      <x:c r="U69" s="26" t="n">
        <x:f>IF(R69&lt;&gt;"Observed","",SUMIFS($Q$3:Q69,$C$3:C69,C69,$R$3:R69,"Observed"))</x:f>
        <x:v>165</x:v>
      </x:c>
      <x:c r="V69" s="26" t="n">
        <x:f>IF(R69&lt;&gt;"Observed","",T69-U69)</x:f>
        <x:v>52</x:v>
      </x:c>
    </x:row>
    <x:row r="70">
      <x:c r="A70" s="22" t="str">
        <x:v>2022-2026-Copalis-Mocrocks.pdf</x:v>
      </x:c>
      <x:c r="B70" s="26" t="n">
        <x:v>4</x:v>
      </x:c>
      <x:c r="C70" s="22" t="str">
        <x:v>P04</x:v>
      </x:c>
      <x:c r="D70" s="22" t="str">
        <x:v>Mocrocks</x:v>
      </x:c>
      <x:c r="E70" s="22" t="str">
        <x:v>Roosevelt App. South</x:v>
      </x:c>
      <x:c r="F70" s="24" t="n">
        <x:v>45041</x:v>
      </x:c>
      <x:c r="G70" s="22" t="str">
        <x:v>JG</x:v>
      </x:c>
      <x:c r="H70" s="26" t="n">
        <x:v>17</x:v>
      </x:c>
      <x:c r="I70" s="22" t="str">
        <x:v>15-minute interval</x:v>
      </x:c>
      <x:c r="J70" s="22" t="str">
        <x:v>1146</x:v>
      </x:c>
      <x:c r="K70" s="22" t="str">
        <x:v>1201</x:v>
      </x:c>
      <x:c r="L70" s="22" t="str">
        <x:v>0:45</x:v>
      </x:c>
      <x:c r="M70" s="22" t="str">
        <x:v>1:00</x:v>
      </x:c>
      <x:c r="N70" s="22" t="str">
        <x:v>2</x:v>
      </x:c>
      <x:c r="O70" s="26" t="n">
        <x:v>2</x:v>
      </x:c>
      <x:c r="P70" s="22" t="str">
        <x:v>17</x:v>
      </x:c>
      <x:c r="Q70" s="26" t="n">
        <x:v>17</x:v>
      </x:c>
      <x:c r="R70" s="22" t="str">
        <x:v>Observed</x:v>
      </x:c>
      <x:c r="S70" s="22" t="str"/>
      <x:c r="T70" s="26" t="n">
        <x:f>IF(R70&lt;&gt;"Observed","",SUMIFS($O$3:O70,$C$3:C70,C70,$R$3:R70,"Observed"))</x:f>
        <x:v>219</x:v>
      </x:c>
      <x:c r="U70" s="26" t="n">
        <x:f>IF(R70&lt;&gt;"Observed","",SUMIFS($Q$3:Q70,$C$3:C70,C70,$R$3:R70,"Observed"))</x:f>
        <x:v>182</x:v>
      </x:c>
      <x:c r="V70" s="26" t="n">
        <x:f>IF(R70&lt;&gt;"Observed","",T70-U70)</x:f>
        <x:v>37</x:v>
      </x:c>
    </x:row>
    <x:row r="71">
      <x:c r="A71" s="22" t="str">
        <x:v>2022-2026-Copalis-Mocrocks.pdf</x:v>
      </x:c>
      <x:c r="B71" s="26" t="n">
        <x:v>5</x:v>
      </x:c>
      <x:c r="C71" s="22" t="str">
        <x:v>P05</x:v>
      </x:c>
      <x:c r="D71" s="22" t="str">
        <x:v>Mocrocks</x:v>
      </x:c>
      <x:c r="E71" s="22" t="str">
        <x:v>Roosevelt App. South</x:v>
      </x:c>
      <x:c r="F71" s="24" t="n">
        <x:v>45368</x:v>
      </x:c>
      <x:c r="G71" s="22" t="str">
        <x:v>Chase</x:v>
      </x:c>
      <x:c r="H71" s="26" t="n">
        <x:v>1</x:v>
      </x:c>
      <x:c r="I71" s="22" t="str">
        <x:v>Prior to Start</x:v>
      </x:c>
      <x:c r="J71" s="22" t="str">
        <x:v>Prior to Start</x:v>
      </x:c>
      <x:c r="K71" s="22" t="str"/>
      <x:c r="L71" s="22" t="str">
        <x:v>to Start</x:v>
      </x:c>
      <x:c r="M71" s="22" t="str"/>
      <x:c r="N71" s="22" t="str">
        <x:v>76</x:v>
      </x:c>
      <x:c r="O71" s="26" t="n">
        <x:v>76</x:v>
      </x:c>
      <x:c r="P71" s="22" t="str">
        <x:v>0</x:v>
      </x:c>
      <x:c r="Q71" s="26" t="n">
        <x:v>0</x:v>
      </x:c>
      <x:c r="R71" s="22" t="str">
        <x:v>Observed</x:v>
      </x:c>
      <x:c r="S71" s="22" t="str"/>
      <x:c r="T71" s="26" t="n">
        <x:f>IF(R71&lt;&gt;"Observed","",SUMIFS($O$3:O71,$C$3:C71,C71,$R$3:R71,"Observed"))</x:f>
        <x:v>76</x:v>
      </x:c>
      <x:c r="U71" s="26" t="n">
        <x:f>IF(R71&lt;&gt;"Observed","",SUMIFS($Q$3:Q71,$C$3:C71,C71,$R$3:R71,"Observed"))</x:f>
        <x:v>0</x:v>
      </x:c>
      <x:c r="V71" s="26" t="n">
        <x:f>IF(R71&lt;&gt;"Observed","",T71-U71)</x:f>
        <x:v>76</x:v>
      </x:c>
    </x:row>
    <x:row r="72">
      <x:c r="A72" s="22" t="str">
        <x:v>2022-2026-Copalis-Mocrocks.pdf</x:v>
      </x:c>
      <x:c r="B72" s="26" t="n">
        <x:v>5</x:v>
      </x:c>
      <x:c r="C72" s="22" t="str">
        <x:v>P05</x:v>
      </x:c>
      <x:c r="D72" s="22" t="str">
        <x:v>Mocrocks</x:v>
      </x:c>
      <x:c r="E72" s="22" t="str">
        <x:v>Roosevelt App. South</x:v>
      </x:c>
      <x:c r="F72" s="24" t="n">
        <x:v>45368</x:v>
      </x:c>
      <x:c r="G72" s="22" t="str">
        <x:v>Chase</x:v>
      </x:c>
      <x:c r="H72" s="26" t="n">
        <x:v>2</x:v>
      </x:c>
      <x:c r="I72" s="22" t="str">
        <x:v>15-minute interval</x:v>
      </x:c>
      <x:c r="J72" s="22" t="str">
        <x:v>1023</x:v>
      </x:c>
      <x:c r="K72" s="22" t="str">
        <x:v>1038</x:v>
      </x:c>
      <x:c r="L72" s="22" t="str">
        <x:v>3:00</x:v>
      </x:c>
      <x:c r="M72" s="22" t="str">
        <x:v>2:45</x:v>
      </x:c>
      <x:c r="N72" s="22" t="str">
        <x:v>17</x:v>
      </x:c>
      <x:c r="O72" s="26" t="n">
        <x:v>17</x:v>
      </x:c>
      <x:c r="P72" s="22" t="str">
        <x:v>2</x:v>
      </x:c>
      <x:c r="Q72" s="26" t="n">
        <x:v>2</x:v>
      </x:c>
      <x:c r="R72" s="22" t="str">
        <x:v>Observed</x:v>
      </x:c>
      <x:c r="S72" s="22" t="str"/>
      <x:c r="T72" s="26" t="n">
        <x:f>IF(R72&lt;&gt;"Observed","",SUMIFS($O$3:O72,$C$3:C72,C72,$R$3:R72,"Observed"))</x:f>
        <x:v>93</x:v>
      </x:c>
      <x:c r="U72" s="26" t="n">
        <x:f>IF(R72&lt;&gt;"Observed","",SUMIFS($Q$3:Q72,$C$3:C72,C72,$R$3:R72,"Observed"))</x:f>
        <x:v>2</x:v>
      </x:c>
      <x:c r="V72" s="26" t="n">
        <x:f>IF(R72&lt;&gt;"Observed","",T72-U72)</x:f>
        <x:v>91</x:v>
      </x:c>
    </x:row>
    <x:row r="73">
      <x:c r="A73" s="22" t="str">
        <x:v>2022-2026-Copalis-Mocrocks.pdf</x:v>
      </x:c>
      <x:c r="B73" s="26" t="n">
        <x:v>5</x:v>
      </x:c>
      <x:c r="C73" s="22" t="str">
        <x:v>P05</x:v>
      </x:c>
      <x:c r="D73" s="22" t="str">
        <x:v>Mocrocks</x:v>
      </x:c>
      <x:c r="E73" s="22" t="str">
        <x:v>Roosevelt App. South</x:v>
      </x:c>
      <x:c r="F73" s="24" t="n">
        <x:v>45368</x:v>
      </x:c>
      <x:c r="G73" s="22" t="str">
        <x:v>Chase</x:v>
      </x:c>
      <x:c r="H73" s="26" t="n">
        <x:v>3</x:v>
      </x:c>
      <x:c r="I73" s="22" t="str">
        <x:v>15-minute interval</x:v>
      </x:c>
      <x:c r="J73" s="22" t="str">
        <x:v>1038</x:v>
      </x:c>
      <x:c r="K73" s="22" t="str">
        <x:v>1053</x:v>
      </x:c>
      <x:c r="L73" s="22" t="str">
        <x:v>2:45</x:v>
      </x:c>
      <x:c r="M73" s="22" t="str">
        <x:v>2:30</x:v>
      </x:c>
      <x:c r="N73" s="22" t="str">
        <x:v>33</x:v>
      </x:c>
      <x:c r="O73" s="26" t="n">
        <x:v>33</x:v>
      </x:c>
      <x:c r="P73" s="22" t="str">
        <x:v>7</x:v>
      </x:c>
      <x:c r="Q73" s="26" t="n">
        <x:v>7</x:v>
      </x:c>
      <x:c r="R73" s="22" t="str">
        <x:v>Observed</x:v>
      </x:c>
      <x:c r="S73" s="22" t="str"/>
      <x:c r="T73" s="26" t="n">
        <x:f>IF(R73&lt;&gt;"Observed","",SUMIFS($O$3:O73,$C$3:C73,C73,$R$3:R73,"Observed"))</x:f>
        <x:v>126</x:v>
      </x:c>
      <x:c r="U73" s="26" t="n">
        <x:f>IF(R73&lt;&gt;"Observed","",SUMIFS($Q$3:Q73,$C$3:C73,C73,$R$3:R73,"Observed"))</x:f>
        <x:v>9</x:v>
      </x:c>
      <x:c r="V73" s="26" t="n">
        <x:f>IF(R73&lt;&gt;"Observed","",T73-U73)</x:f>
        <x:v>117</x:v>
      </x:c>
    </x:row>
    <x:row r="74">
      <x:c r="A74" s="22" t="str">
        <x:v>2022-2026-Copalis-Mocrocks.pdf</x:v>
      </x:c>
      <x:c r="B74" s="26" t="n">
        <x:v>5</x:v>
      </x:c>
      <x:c r="C74" s="22" t="str">
        <x:v>P05</x:v>
      </x:c>
      <x:c r="D74" s="22" t="str">
        <x:v>Mocrocks</x:v>
      </x:c>
      <x:c r="E74" s="22" t="str">
        <x:v>Roosevelt App. South</x:v>
      </x:c>
      <x:c r="F74" s="24" t="n">
        <x:v>45368</x:v>
      </x:c>
      <x:c r="G74" s="22" t="str">
        <x:v>Chase</x:v>
      </x:c>
      <x:c r="H74" s="26" t="n">
        <x:v>4</x:v>
      </x:c>
      <x:c r="I74" s="22" t="str">
        <x:v>15-minute interval</x:v>
      </x:c>
      <x:c r="J74" s="22" t="str">
        <x:v>1053</x:v>
      </x:c>
      <x:c r="K74" s="22" t="str">
        <x:v>1108</x:v>
      </x:c>
      <x:c r="L74" s="22" t="str">
        <x:v>2:30</x:v>
      </x:c>
      <x:c r="M74" s="22" t="str">
        <x:v>2:15</x:v>
      </x:c>
      <x:c r="N74" s="22" t="str">
        <x:v>57</x:v>
      </x:c>
      <x:c r="O74" s="26" t="n">
        <x:v>57</x:v>
      </x:c>
      <x:c r="P74" s="22" t="str">
        <x:v>7</x:v>
      </x:c>
      <x:c r="Q74" s="26" t="n">
        <x:v>7</x:v>
      </x:c>
      <x:c r="R74" s="22" t="str">
        <x:v>Observed</x:v>
      </x:c>
      <x:c r="S74" s="22" t="str"/>
      <x:c r="T74" s="26" t="n">
        <x:f>IF(R74&lt;&gt;"Observed","",SUMIFS($O$3:O74,$C$3:C74,C74,$R$3:R74,"Observed"))</x:f>
        <x:v>183</x:v>
      </x:c>
      <x:c r="U74" s="26" t="n">
        <x:f>IF(R74&lt;&gt;"Observed","",SUMIFS($Q$3:Q74,$C$3:C74,C74,$R$3:R74,"Observed"))</x:f>
        <x:v>16</x:v>
      </x:c>
      <x:c r="V74" s="26" t="n">
        <x:f>IF(R74&lt;&gt;"Observed","",T74-U74)</x:f>
        <x:v>167</x:v>
      </x:c>
    </x:row>
    <x:row r="75">
      <x:c r="A75" s="22" t="str">
        <x:v>2022-2026-Copalis-Mocrocks.pdf</x:v>
      </x:c>
      <x:c r="B75" s="26" t="n">
        <x:v>5</x:v>
      </x:c>
      <x:c r="C75" s="22" t="str">
        <x:v>P05</x:v>
      </x:c>
      <x:c r="D75" s="22" t="str">
        <x:v>Mocrocks</x:v>
      </x:c>
      <x:c r="E75" s="22" t="str">
        <x:v>Roosevelt App. South</x:v>
      </x:c>
      <x:c r="F75" s="24" t="n">
        <x:v>45368</x:v>
      </x:c>
      <x:c r="G75" s="22" t="str">
        <x:v>Chase</x:v>
      </x:c>
      <x:c r="H75" s="26" t="n">
        <x:v>5</x:v>
      </x:c>
      <x:c r="I75" s="22" t="str">
        <x:v>15-minute interval</x:v>
      </x:c>
      <x:c r="J75" s="22" t="str">
        <x:v>1108</x:v>
      </x:c>
      <x:c r="K75" s="22" t="str">
        <x:v>1123</x:v>
      </x:c>
      <x:c r="L75" s="22" t="str">
        <x:v>2:15</x:v>
      </x:c>
      <x:c r="M75" s="22" t="str">
        <x:v>2:00</x:v>
      </x:c>
      <x:c r="N75" s="22" t="str">
        <x:v>38</x:v>
      </x:c>
      <x:c r="O75" s="26" t="n">
        <x:v>38</x:v>
      </x:c>
      <x:c r="P75" s="22" t="str">
        <x:v>16</x:v>
      </x:c>
      <x:c r="Q75" s="26" t="n">
        <x:v>16</x:v>
      </x:c>
      <x:c r="R75" s="22" t="str">
        <x:v>Observed</x:v>
      </x:c>
      <x:c r="S75" s="22" t="str"/>
      <x:c r="T75" s="26" t="n">
        <x:f>IF(R75&lt;&gt;"Observed","",SUMIFS($O$3:O75,$C$3:C75,C75,$R$3:R75,"Observed"))</x:f>
        <x:v>221</x:v>
      </x:c>
      <x:c r="U75" s="26" t="n">
        <x:f>IF(R75&lt;&gt;"Observed","",SUMIFS($Q$3:Q75,$C$3:C75,C75,$R$3:R75,"Observed"))</x:f>
        <x:v>32</x:v>
      </x:c>
      <x:c r="V75" s="26" t="n">
        <x:f>IF(R75&lt;&gt;"Observed","",T75-U75)</x:f>
        <x:v>189</x:v>
      </x:c>
    </x:row>
    <x:row r="76">
      <x:c r="A76" s="22" t="str">
        <x:v>2022-2026-Copalis-Mocrocks.pdf</x:v>
      </x:c>
      <x:c r="B76" s="26" t="n">
        <x:v>5</x:v>
      </x:c>
      <x:c r="C76" s="22" t="str">
        <x:v>P05</x:v>
      </x:c>
      <x:c r="D76" s="22" t="str">
        <x:v>Mocrocks</x:v>
      </x:c>
      <x:c r="E76" s="22" t="str">
        <x:v>Roosevelt App. South</x:v>
      </x:c>
      <x:c r="F76" s="24" t="n">
        <x:v>45368</x:v>
      </x:c>
      <x:c r="G76" s="22" t="str">
        <x:v>Chase</x:v>
      </x:c>
      <x:c r="H76" s="26" t="n">
        <x:v>6</x:v>
      </x:c>
      <x:c r="I76" s="22" t="str">
        <x:v>15-minute interval</x:v>
      </x:c>
      <x:c r="J76" s="22" t="str">
        <x:v>1123</x:v>
      </x:c>
      <x:c r="K76" s="22" t="str">
        <x:v>1138</x:v>
      </x:c>
      <x:c r="L76" s="22" t="str">
        <x:v>2:00</x:v>
      </x:c>
      <x:c r="M76" s="22" t="str">
        <x:v>1:45</x:v>
      </x:c>
      <x:c r="N76" s="22" t="str">
        <x:v>65</x:v>
      </x:c>
      <x:c r="O76" s="26" t="n">
        <x:v>65</x:v>
      </x:c>
      <x:c r="P76" s="22" t="str">
        <x:v>11</x:v>
      </x:c>
      <x:c r="Q76" s="26" t="n">
        <x:v>11</x:v>
      </x:c>
      <x:c r="R76" s="22" t="str">
        <x:v>Observed</x:v>
      </x:c>
      <x:c r="S76" s="22" t="str"/>
      <x:c r="T76" s="26" t="n">
        <x:f>IF(R76&lt;&gt;"Observed","",SUMIFS($O$3:O76,$C$3:C76,C76,$R$3:R76,"Observed"))</x:f>
        <x:v>286</x:v>
      </x:c>
      <x:c r="U76" s="26" t="n">
        <x:f>IF(R76&lt;&gt;"Observed","",SUMIFS($Q$3:Q76,$C$3:C76,C76,$R$3:R76,"Observed"))</x:f>
        <x:v>43</x:v>
      </x:c>
      <x:c r="V76" s="26" t="n">
        <x:f>IF(R76&lt;&gt;"Observed","",T76-U76)</x:f>
        <x:v>243</x:v>
      </x:c>
    </x:row>
    <x:row r="77">
      <x:c r="A77" s="22" t="str">
        <x:v>2022-2026-Copalis-Mocrocks.pdf</x:v>
      </x:c>
      <x:c r="B77" s="26" t="n">
        <x:v>5</x:v>
      </x:c>
      <x:c r="C77" s="22" t="str">
        <x:v>P05</x:v>
      </x:c>
      <x:c r="D77" s="22" t="str">
        <x:v>Mocrocks</x:v>
      </x:c>
      <x:c r="E77" s="22" t="str">
        <x:v>Roosevelt App. South</x:v>
      </x:c>
      <x:c r="F77" s="24" t="n">
        <x:v>45368</x:v>
      </x:c>
      <x:c r="G77" s="22" t="str">
        <x:v>Chase</x:v>
      </x:c>
      <x:c r="H77" s="26" t="n">
        <x:v>7</x:v>
      </x:c>
      <x:c r="I77" s="22" t="str">
        <x:v>15-minute interval</x:v>
      </x:c>
      <x:c r="J77" s="22" t="str">
        <x:v>1138</x:v>
      </x:c>
      <x:c r="K77" s="22" t="str">
        <x:v>1153</x:v>
      </x:c>
      <x:c r="L77" s="22" t="str">
        <x:v>1:45</x:v>
      </x:c>
      <x:c r="M77" s="22" t="str">
        <x:v>1:30</x:v>
      </x:c>
      <x:c r="N77" s="22" t="str">
        <x:v>54</x:v>
      </x:c>
      <x:c r="O77" s="26" t="n">
        <x:v>54</x:v>
      </x:c>
      <x:c r="P77" s="22" t="str">
        <x:v>9</x:v>
      </x:c>
      <x:c r="Q77" s="26" t="n">
        <x:v>9</x:v>
      </x:c>
      <x:c r="R77" s="22" t="str">
        <x:v>Observed</x:v>
      </x:c>
      <x:c r="S77" s="22" t="str"/>
      <x:c r="T77" s="26" t="n">
        <x:f>IF(R77&lt;&gt;"Observed","",SUMIFS($O$3:O77,$C$3:C77,C77,$R$3:R77,"Observed"))</x:f>
        <x:v>340</x:v>
      </x:c>
      <x:c r="U77" s="26" t="n">
        <x:f>IF(R77&lt;&gt;"Observed","",SUMIFS($Q$3:Q77,$C$3:C77,C77,$R$3:R77,"Observed"))</x:f>
        <x:v>52</x:v>
      </x:c>
      <x:c r="V77" s="26" t="n">
        <x:f>IF(R77&lt;&gt;"Observed","",T77-U77)</x:f>
        <x:v>288</x:v>
      </x:c>
    </x:row>
    <x:row r="78">
      <x:c r="A78" s="22" t="str">
        <x:v>2022-2026-Copalis-Mocrocks.pdf</x:v>
      </x:c>
      <x:c r="B78" s="26" t="n">
        <x:v>5</x:v>
      </x:c>
      <x:c r="C78" s="22" t="str">
        <x:v>P05</x:v>
      </x:c>
      <x:c r="D78" s="22" t="str">
        <x:v>Mocrocks</x:v>
      </x:c>
      <x:c r="E78" s="22" t="str">
        <x:v>Roosevelt App. South</x:v>
      </x:c>
      <x:c r="F78" s="24" t="n">
        <x:v>45368</x:v>
      </x:c>
      <x:c r="G78" s="22" t="str">
        <x:v>Chase</x:v>
      </x:c>
      <x:c r="H78" s="26" t="n">
        <x:v>8</x:v>
      </x:c>
      <x:c r="I78" s="22" t="str">
        <x:v>15-minute interval</x:v>
      </x:c>
      <x:c r="J78" s="22" t="str">
        <x:v>1153</x:v>
      </x:c>
      <x:c r="K78" s="22" t="str">
        <x:v>1208</x:v>
      </x:c>
      <x:c r="L78" s="22" t="str">
        <x:v>1:30</x:v>
      </x:c>
      <x:c r="M78" s="22" t="str">
        <x:v>1:15</x:v>
      </x:c>
      <x:c r="N78" s="22" t="str">
        <x:v>71</x:v>
      </x:c>
      <x:c r="O78" s="26" t="n">
        <x:v>71</x:v>
      </x:c>
      <x:c r="P78" s="22" t="str">
        <x:v>26</x:v>
      </x:c>
      <x:c r="Q78" s="26" t="n">
        <x:v>26</x:v>
      </x:c>
      <x:c r="R78" s="22" t="str">
        <x:v>Observed</x:v>
      </x:c>
      <x:c r="S78" s="22" t="str"/>
      <x:c r="T78" s="26" t="n">
        <x:f>IF(R78&lt;&gt;"Observed","",SUMIFS($O$3:O78,$C$3:C78,C78,$R$3:R78,"Observed"))</x:f>
        <x:v>411</x:v>
      </x:c>
      <x:c r="U78" s="26" t="n">
        <x:f>IF(R78&lt;&gt;"Observed","",SUMIFS($Q$3:Q78,$C$3:C78,C78,$R$3:R78,"Observed"))</x:f>
        <x:v>78</x:v>
      </x:c>
      <x:c r="V78" s="26" t="n">
        <x:f>IF(R78&lt;&gt;"Observed","",T78-U78)</x:f>
        <x:v>333</x:v>
      </x:c>
    </x:row>
    <x:row r="79">
      <x:c r="A79" s="22" t="str">
        <x:v>2022-2026-Copalis-Mocrocks.pdf</x:v>
      </x:c>
      <x:c r="B79" s="26" t="n">
        <x:v>5</x:v>
      </x:c>
      <x:c r="C79" s="22" t="str">
        <x:v>P05</x:v>
      </x:c>
      <x:c r="D79" s="22" t="str">
        <x:v>Mocrocks</x:v>
      </x:c>
      <x:c r="E79" s="22" t="str">
        <x:v>Roosevelt App. South</x:v>
      </x:c>
      <x:c r="F79" s="24" t="n">
        <x:v>45368</x:v>
      </x:c>
      <x:c r="G79" s="22" t="str">
        <x:v>Chase</x:v>
      </x:c>
      <x:c r="H79" s="26" t="n">
        <x:v>9</x:v>
      </x:c>
      <x:c r="I79" s="22" t="str">
        <x:v>15-minute interval</x:v>
      </x:c>
      <x:c r="J79" s="22" t="str">
        <x:v>1208</x:v>
      </x:c>
      <x:c r="K79" s="22" t="str">
        <x:v>1223</x:v>
      </x:c>
      <x:c r="L79" s="22" t="str">
        <x:v>1:15</x:v>
      </x:c>
      <x:c r="M79" s="22" t="str">
        <x:v>1:00</x:v>
      </x:c>
      <x:c r="N79" s="22" t="str">
        <x:v>52</x:v>
      </x:c>
      <x:c r="O79" s="26" t="n">
        <x:v>52</x:v>
      </x:c>
      <x:c r="P79" s="22" t="str">
        <x:v>15</x:v>
      </x:c>
      <x:c r="Q79" s="26" t="n">
        <x:v>15</x:v>
      </x:c>
      <x:c r="R79" s="22" t="str">
        <x:v>Observed</x:v>
      </x:c>
      <x:c r="S79" s="22" t="str"/>
      <x:c r="T79" s="26" t="n">
        <x:f>IF(R79&lt;&gt;"Observed","",SUMIFS($O$3:O79,$C$3:C79,C79,$R$3:R79,"Observed"))</x:f>
        <x:v>463</x:v>
      </x:c>
      <x:c r="U79" s="26" t="n">
        <x:f>IF(R79&lt;&gt;"Observed","",SUMIFS($Q$3:Q79,$C$3:C79,C79,$R$3:R79,"Observed"))</x:f>
        <x:v>93</x:v>
      </x:c>
      <x:c r="V79" s="26" t="n">
        <x:f>IF(R79&lt;&gt;"Observed","",T79-U79)</x:f>
        <x:v>370</x:v>
      </x:c>
    </x:row>
    <x:row r="80">
      <x:c r="A80" s="22" t="str">
        <x:v>2022-2026-Copalis-Mocrocks.pdf</x:v>
      </x:c>
      <x:c r="B80" s="26" t="n">
        <x:v>5</x:v>
      </x:c>
      <x:c r="C80" s="22" t="str">
        <x:v>P05</x:v>
      </x:c>
      <x:c r="D80" s="22" t="str">
        <x:v>Mocrocks</x:v>
      </x:c>
      <x:c r="E80" s="22" t="str">
        <x:v>Roosevelt App. South</x:v>
      </x:c>
      <x:c r="F80" s="24" t="n">
        <x:v>45368</x:v>
      </x:c>
      <x:c r="G80" s="22" t="str">
        <x:v>Chase</x:v>
      </x:c>
      <x:c r="H80" s="26" t="n">
        <x:v>10</x:v>
      </x:c>
      <x:c r="I80" s="22" t="str">
        <x:v>15-minute interval</x:v>
      </x:c>
      <x:c r="J80" s="22" t="str">
        <x:v>1223</x:v>
      </x:c>
      <x:c r="K80" s="22" t="str">
        <x:v>1238</x:v>
      </x:c>
      <x:c r="L80" s="22" t="str">
        <x:v>1:00</x:v>
      </x:c>
      <x:c r="M80" s="22" t="str">
        <x:v>0:45</x:v>
      </x:c>
      <x:c r="N80" s="22" t="str">
        <x:v>63</x:v>
      </x:c>
      <x:c r="O80" s="26" t="n">
        <x:v>63</x:v>
      </x:c>
      <x:c r="P80" s="22" t="str">
        <x:v>22</x:v>
      </x:c>
      <x:c r="Q80" s="26" t="n">
        <x:v>22</x:v>
      </x:c>
      <x:c r="R80" s="22" t="str">
        <x:v>Observed</x:v>
      </x:c>
      <x:c r="S80" s="22" t="str"/>
      <x:c r="T80" s="26" t="n">
        <x:f>IF(R80&lt;&gt;"Observed","",SUMIFS($O$3:O80,$C$3:C80,C80,$R$3:R80,"Observed"))</x:f>
        <x:v>526</x:v>
      </x:c>
      <x:c r="U80" s="26" t="n">
        <x:f>IF(R80&lt;&gt;"Observed","",SUMIFS($Q$3:Q80,$C$3:C80,C80,$R$3:R80,"Observed"))</x:f>
        <x:v>115</x:v>
      </x:c>
      <x:c r="V80" s="26" t="n">
        <x:f>IF(R80&lt;&gt;"Observed","",T80-U80)</x:f>
        <x:v>411</x:v>
      </x:c>
    </x:row>
    <x:row r="81">
      <x:c r="A81" s="22" t="str">
        <x:v>2022-2026-Copalis-Mocrocks.pdf</x:v>
      </x:c>
      <x:c r="B81" s="26" t="n">
        <x:v>5</x:v>
      </x:c>
      <x:c r="C81" s="22" t="str">
        <x:v>P05</x:v>
      </x:c>
      <x:c r="D81" s="22" t="str">
        <x:v>Mocrocks</x:v>
      </x:c>
      <x:c r="E81" s="22" t="str">
        <x:v>Roosevelt App. South</x:v>
      </x:c>
      <x:c r="F81" s="24" t="n">
        <x:v>45368</x:v>
      </x:c>
      <x:c r="G81" s="22" t="str">
        <x:v>Chase</x:v>
      </x:c>
      <x:c r="H81" s="26" t="n">
        <x:v>11</x:v>
      </x:c>
      <x:c r="I81" s="22" t="str">
        <x:v>15-minute interval</x:v>
      </x:c>
      <x:c r="J81" s="22" t="str">
        <x:v>1238</x:v>
      </x:c>
      <x:c r="K81" s="22" t="str">
        <x:v>1253</x:v>
      </x:c>
      <x:c r="L81" s="22" t="str">
        <x:v>0:45</x:v>
      </x:c>
      <x:c r="M81" s="22" t="str">
        <x:v>0:30</x:v>
      </x:c>
      <x:c r="N81" s="22" t="str">
        <x:v>34</x:v>
      </x:c>
      <x:c r="O81" s="26" t="n">
        <x:v>34</x:v>
      </x:c>
      <x:c r="P81" s="22" t="str">
        <x:v>18</x:v>
      </x:c>
      <x:c r="Q81" s="26" t="n">
        <x:v>18</x:v>
      </x:c>
      <x:c r="R81" s="22" t="str">
        <x:v>Observed</x:v>
      </x:c>
      <x:c r="S81" s="22" t="str"/>
      <x:c r="T81" s="26" t="n">
        <x:f>IF(R81&lt;&gt;"Observed","",SUMIFS($O$3:O81,$C$3:C81,C81,$R$3:R81,"Observed"))</x:f>
        <x:v>560</x:v>
      </x:c>
      <x:c r="U81" s="26" t="n">
        <x:f>IF(R81&lt;&gt;"Observed","",SUMIFS($Q$3:Q81,$C$3:C81,C81,$R$3:R81,"Observed"))</x:f>
        <x:v>133</x:v>
      </x:c>
      <x:c r="V81" s="26" t="n">
        <x:f>IF(R81&lt;&gt;"Observed","",T81-U81)</x:f>
        <x:v>427</x:v>
      </x:c>
    </x:row>
    <x:row r="82">
      <x:c r="A82" s="22" t="str">
        <x:v>2022-2026-Copalis-Mocrocks.pdf</x:v>
      </x:c>
      <x:c r="B82" s="26" t="n">
        <x:v>5</x:v>
      </x:c>
      <x:c r="C82" s="22" t="str">
        <x:v>P05</x:v>
      </x:c>
      <x:c r="D82" s="22" t="str">
        <x:v>Mocrocks</x:v>
      </x:c>
      <x:c r="E82" s="22" t="str">
        <x:v>Roosevelt App. South</x:v>
      </x:c>
      <x:c r="F82" s="24" t="n">
        <x:v>45368</x:v>
      </x:c>
      <x:c r="G82" s="22" t="str">
        <x:v>Chase</x:v>
      </x:c>
      <x:c r="H82" s="26" t="n">
        <x:v>12</x:v>
      </x:c>
      <x:c r="I82" s="22" t="str">
        <x:v>15-minute interval</x:v>
      </x:c>
      <x:c r="J82" s="22" t="str">
        <x:v>1253</x:v>
      </x:c>
      <x:c r="K82" s="22" t="str">
        <x:v>1308</x:v>
      </x:c>
      <x:c r="L82" s="22" t="str">
        <x:v>0:30</x:v>
      </x:c>
      <x:c r="M82" s="22" t="str">
        <x:v>0:15</x:v>
      </x:c>
      <x:c r="N82" s="22" t="str">
        <x:v>38</x:v>
      </x:c>
      <x:c r="O82" s="26" t="n">
        <x:v>38</x:v>
      </x:c>
      <x:c r="P82" s="22" t="str">
        <x:v>27</x:v>
      </x:c>
      <x:c r="Q82" s="26" t="n">
        <x:v>27</x:v>
      </x:c>
      <x:c r="R82" s="22" t="str">
        <x:v>Observed</x:v>
      </x:c>
      <x:c r="S82" s="22" t="str"/>
      <x:c r="T82" s="26" t="n">
        <x:f>IF(R82&lt;&gt;"Observed","",SUMIFS($O$3:O82,$C$3:C82,C82,$R$3:R82,"Observed"))</x:f>
        <x:v>598</x:v>
      </x:c>
      <x:c r="U82" s="26" t="n">
        <x:f>IF(R82&lt;&gt;"Observed","",SUMIFS($Q$3:Q82,$C$3:C82,C82,$R$3:R82,"Observed"))</x:f>
        <x:v>160</x:v>
      </x:c>
      <x:c r="V82" s="26" t="n">
        <x:f>IF(R82&lt;&gt;"Observed","",T82-U82)</x:f>
        <x:v>438</x:v>
      </x:c>
    </x:row>
    <x:row r="83">
      <x:c r="A83" s="22" t="str">
        <x:v>2022-2026-Copalis-Mocrocks.pdf</x:v>
      </x:c>
      <x:c r="B83" s="26" t="n">
        <x:v>5</x:v>
      </x:c>
      <x:c r="C83" s="22" t="str">
        <x:v>P05</x:v>
      </x:c>
      <x:c r="D83" s="22" t="str">
        <x:v>Mocrocks</x:v>
      </x:c>
      <x:c r="E83" s="22" t="str">
        <x:v>Roosevelt App. South</x:v>
      </x:c>
      <x:c r="F83" s="24" t="n">
        <x:v>45368</x:v>
      </x:c>
      <x:c r="G83" s="22" t="str">
        <x:v>Chase</x:v>
      </x:c>
      <x:c r="H83" s="26" t="n">
        <x:v>13</x:v>
      </x:c>
      <x:c r="I83" s="22" t="str">
        <x:v>15-minute interval</x:v>
      </x:c>
      <x:c r="J83" s="22" t="str">
        <x:v>1308</x:v>
      </x:c>
      <x:c r="K83" s="22" t="str">
        <x:v>1323</x:v>
      </x:c>
      <x:c r="L83" s="22" t="str">
        <x:v>0:15</x:v>
      </x:c>
      <x:c r="M83" s="22" t="str">
        <x:v>0:00</x:v>
      </x:c>
      <x:c r="N83" s="22" t="str">
        <x:v>14</x:v>
      </x:c>
      <x:c r="O83" s="26" t="n">
        <x:v>14</x:v>
      </x:c>
      <x:c r="P83" s="22" t="str">
        <x:v>62</x:v>
      </x:c>
      <x:c r="Q83" s="26" t="n">
        <x:v>62</x:v>
      </x:c>
      <x:c r="R83" s="22" t="str">
        <x:v>Observed</x:v>
      </x:c>
      <x:c r="S83" s="22" t="str"/>
      <x:c r="T83" s="26" t="n">
        <x:f>IF(R83&lt;&gt;"Observed","",SUMIFS($O$3:O83,$C$3:C83,C83,$R$3:R83,"Observed"))</x:f>
        <x:v>612</x:v>
      </x:c>
      <x:c r="U83" s="26" t="n">
        <x:f>IF(R83&lt;&gt;"Observed","",SUMIFS($Q$3:Q83,$C$3:C83,C83,$R$3:R83,"Observed"))</x:f>
        <x:v>222</x:v>
      </x:c>
      <x:c r="V83" s="26" t="n">
        <x:f>IF(R83&lt;&gt;"Observed","",T83-U83)</x:f>
        <x:v>390</x:v>
      </x:c>
    </x:row>
    <x:row r="84">
      <x:c r="A84" s="22" t="str">
        <x:v>2022-2026-Copalis-Mocrocks.pdf</x:v>
      </x:c>
      <x:c r="B84" s="26" t="n">
        <x:v>5</x:v>
      </x:c>
      <x:c r="C84" s="22" t="str">
        <x:v>P05</x:v>
      </x:c>
      <x:c r="D84" s="22" t="str">
        <x:v>Mocrocks</x:v>
      </x:c>
      <x:c r="E84" s="22" t="str">
        <x:v>Roosevelt App. South</x:v>
      </x:c>
      <x:c r="F84" s="24" t="n">
        <x:v>45368</x:v>
      </x:c>
      <x:c r="G84" s="22" t="str">
        <x:v>Chase</x:v>
      </x:c>
      <x:c r="H84" s="26" t="n">
        <x:v>14</x:v>
      </x:c>
      <x:c r="I84" s="22" t="str">
        <x:v>15-minute interval</x:v>
      </x:c>
      <x:c r="J84" s="22" t="str">
        <x:v>1323</x:v>
      </x:c>
      <x:c r="K84" s="22" t="str">
        <x:v>1338</x:v>
      </x:c>
      <x:c r="L84" s="22" t="str">
        <x:v>0:00</x:v>
      </x:c>
      <x:c r="M84" s="22" t="str">
        <x:v>0:15</x:v>
      </x:c>
      <x:c r="N84" s="22" t="str">
        <x:v>17</x:v>
      </x:c>
      <x:c r="O84" s="26" t="n">
        <x:v>17</x:v>
      </x:c>
      <x:c r="P84" s="22" t="str">
        <x:v>40</x:v>
      </x:c>
      <x:c r="Q84" s="26" t="n">
        <x:v>40</x:v>
      </x:c>
      <x:c r="R84" s="22" t="str">
        <x:v>Observed</x:v>
      </x:c>
      <x:c r="S84" s="22" t="str"/>
      <x:c r="T84" s="26" t="n">
        <x:f>IF(R84&lt;&gt;"Observed","",SUMIFS($O$3:O84,$C$3:C84,C84,$R$3:R84,"Observed"))</x:f>
        <x:v>629</x:v>
      </x:c>
      <x:c r="U84" s="26" t="n">
        <x:f>IF(R84&lt;&gt;"Observed","",SUMIFS($Q$3:Q84,$C$3:C84,C84,$R$3:R84,"Observed"))</x:f>
        <x:v>262</x:v>
      </x:c>
      <x:c r="V84" s="26" t="n">
        <x:f>IF(R84&lt;&gt;"Observed","",T84-U84)</x:f>
        <x:v>367</x:v>
      </x:c>
    </x:row>
    <x:row r="85">
      <x:c r="A85" s="22" t="str">
        <x:v>2022-2026-Copalis-Mocrocks.pdf</x:v>
      </x:c>
      <x:c r="B85" s="26" t="n">
        <x:v>5</x:v>
      </x:c>
      <x:c r="C85" s="22" t="str">
        <x:v>P05</x:v>
      </x:c>
      <x:c r="D85" s="22" t="str">
        <x:v>Mocrocks</x:v>
      </x:c>
      <x:c r="E85" s="22" t="str">
        <x:v>Roosevelt App. South</x:v>
      </x:c>
      <x:c r="F85" s="24" t="n">
        <x:v>45368</x:v>
      </x:c>
      <x:c r="G85" s="22" t="str">
        <x:v>Chase</x:v>
      </x:c>
      <x:c r="H85" s="26" t="n">
        <x:v>15</x:v>
      </x:c>
      <x:c r="I85" s="22" t="str">
        <x:v>15-minute interval</x:v>
      </x:c>
      <x:c r="J85" s="22" t="str">
        <x:v>1338</x:v>
      </x:c>
      <x:c r="K85" s="22" t="str">
        <x:v>1353</x:v>
      </x:c>
      <x:c r="L85" s="22" t="str">
        <x:v>0:15</x:v>
      </x:c>
      <x:c r="M85" s="22" t="str">
        <x:v>0:30</x:v>
      </x:c>
      <x:c r="N85" s="22" t="str">
        <x:v>12</x:v>
      </x:c>
      <x:c r="O85" s="26" t="n">
        <x:v>12</x:v>
      </x:c>
      <x:c r="P85" s="22" t="str">
        <x:v>72</x:v>
      </x:c>
      <x:c r="Q85" s="26" t="n">
        <x:v>72</x:v>
      </x:c>
      <x:c r="R85" s="22" t="str">
        <x:v>Observed</x:v>
      </x:c>
      <x:c r="S85" s="22" t="str"/>
      <x:c r="T85" s="26" t="n">
        <x:f>IF(R85&lt;&gt;"Observed","",SUMIFS($O$3:O85,$C$3:C85,C85,$R$3:R85,"Observed"))</x:f>
        <x:v>641</x:v>
      </x:c>
      <x:c r="U85" s="26" t="n">
        <x:f>IF(R85&lt;&gt;"Observed","",SUMIFS($Q$3:Q85,$C$3:C85,C85,$R$3:R85,"Observed"))</x:f>
        <x:v>334</x:v>
      </x:c>
      <x:c r="V85" s="26" t="n">
        <x:f>IF(R85&lt;&gt;"Observed","",T85-U85)</x:f>
        <x:v>307</x:v>
      </x:c>
    </x:row>
    <x:row r="86">
      <x:c r="A86" s="22" t="str">
        <x:v>2022-2026-Copalis-Mocrocks.pdf</x:v>
      </x:c>
      <x:c r="B86" s="26" t="n">
        <x:v>5</x:v>
      </x:c>
      <x:c r="C86" s="22" t="str">
        <x:v>P05</x:v>
      </x:c>
      <x:c r="D86" s="22" t="str">
        <x:v>Mocrocks</x:v>
      </x:c>
      <x:c r="E86" s="22" t="str">
        <x:v>Roosevelt App. South</x:v>
      </x:c>
      <x:c r="F86" s="24" t="n">
        <x:v>45368</x:v>
      </x:c>
      <x:c r="G86" s="22" t="str">
        <x:v>Chase</x:v>
      </x:c>
      <x:c r="H86" s="26" t="n">
        <x:v>16</x:v>
      </x:c>
      <x:c r="I86" s="22" t="str">
        <x:v>15-minute interval</x:v>
      </x:c>
      <x:c r="J86" s="22" t="str">
        <x:v>1353</x:v>
      </x:c>
      <x:c r="K86" s="22" t="str">
        <x:v>1408</x:v>
      </x:c>
      <x:c r="L86" s="22" t="str">
        <x:v>0:30</x:v>
      </x:c>
      <x:c r="M86" s="22" t="str">
        <x:v>0:45</x:v>
      </x:c>
      <x:c r="N86" s="22" t="str">
        <x:v>11</x:v>
      </x:c>
      <x:c r="O86" s="26" t="n">
        <x:v>11</x:v>
      </x:c>
      <x:c r="P86" s="22" t="str">
        <x:v>52</x:v>
      </x:c>
      <x:c r="Q86" s="26" t="n">
        <x:v>52</x:v>
      </x:c>
      <x:c r="R86" s="22" t="str">
        <x:v>Observed</x:v>
      </x:c>
      <x:c r="S86" s="22" t="str"/>
      <x:c r="T86" s="26" t="n">
        <x:f>IF(R86&lt;&gt;"Observed","",SUMIFS($O$3:O86,$C$3:C86,C86,$R$3:R86,"Observed"))</x:f>
        <x:v>652</x:v>
      </x:c>
      <x:c r="U86" s="26" t="n">
        <x:f>IF(R86&lt;&gt;"Observed","",SUMIFS($Q$3:Q86,$C$3:C86,C86,$R$3:R86,"Observed"))</x:f>
        <x:v>386</x:v>
      </x:c>
      <x:c r="V86" s="26" t="n">
        <x:f>IF(R86&lt;&gt;"Observed","",T86-U86)</x:f>
        <x:v>266</x:v>
      </x:c>
    </x:row>
    <x:row r="87">
      <x:c r="A87" s="22" t="str">
        <x:v>2022-2026-Copalis-Mocrocks.pdf</x:v>
      </x:c>
      <x:c r="B87" s="26" t="n">
        <x:v>5</x:v>
      </x:c>
      <x:c r="C87" s="22" t="str">
        <x:v>P05</x:v>
      </x:c>
      <x:c r="D87" s="22" t="str">
        <x:v>Mocrocks</x:v>
      </x:c>
      <x:c r="E87" s="22" t="str">
        <x:v>Roosevelt App. South</x:v>
      </x:c>
      <x:c r="F87" s="24" t="n">
        <x:v>45368</x:v>
      </x:c>
      <x:c r="G87" s="22" t="str">
        <x:v>Chase</x:v>
      </x:c>
      <x:c r="H87" s="26" t="n">
        <x:v>17</x:v>
      </x:c>
      <x:c r="I87" s="22" t="str">
        <x:v>15-minute interval</x:v>
      </x:c>
      <x:c r="J87" s="22" t="str">
        <x:v>1408</x:v>
      </x:c>
      <x:c r="K87" s="22" t="str">
        <x:v>1423</x:v>
      </x:c>
      <x:c r="L87" s="22" t="str">
        <x:v>0:45</x:v>
      </x:c>
      <x:c r="M87" s="22" t="str">
        <x:v>1:00</x:v>
      </x:c>
      <x:c r="N87" s="22" t="str">
        <x:v>11</x:v>
      </x:c>
      <x:c r="O87" s="26" t="n">
        <x:v>11</x:v>
      </x:c>
      <x:c r="P87" s="22" t="str">
        <x:v>59</x:v>
      </x:c>
      <x:c r="Q87" s="26" t="n">
        <x:v>59</x:v>
      </x:c>
      <x:c r="R87" s="22" t="str">
        <x:v>Observed</x:v>
      </x:c>
      <x:c r="S87" s="22" t="str"/>
      <x:c r="T87" s="26" t="n">
        <x:f>IF(R87&lt;&gt;"Observed","",SUMIFS($O$3:O87,$C$3:C87,C87,$R$3:R87,"Observed"))</x:f>
        <x:v>663</x:v>
      </x:c>
      <x:c r="U87" s="26" t="n">
        <x:f>IF(R87&lt;&gt;"Observed","",SUMIFS($Q$3:Q87,$C$3:C87,C87,$R$3:R87,"Observed"))</x:f>
        <x:v>445</x:v>
      </x:c>
      <x:c r="V87" s="26" t="n">
        <x:f>IF(R87&lt;&gt;"Observed","",T87-U87)</x:f>
        <x:v>218</x:v>
      </x:c>
    </x:row>
    <x:row r="88">
      <x:c r="A88" s="22" t="str">
        <x:v>2022-2026-Copalis-Mocrocks.pdf</x:v>
      </x:c>
      <x:c r="B88" s="26" t="n">
        <x:v>6</x:v>
      </x:c>
      <x:c r="C88" s="22" t="str">
        <x:v>P06</x:v>
      </x:c>
      <x:c r="D88" s="22" t="str">
        <x:v>Copalis Beach</x:v>
      </x:c>
      <x:c r="E88" s="22" t="str">
        <x:v>Ocean City North</x:v>
      </x:c>
      <x:c r="F88" s="24" t="n">
        <x:v>45358</x:v>
      </x:c>
      <x:c r="G88" s="22" t="str">
        <x:v>Chase</x:v>
      </x:c>
      <x:c r="H88" s="26" t="n">
        <x:v>1</x:v>
      </x:c>
      <x:c r="I88" s="22" t="str">
        <x:v>Prior to Start</x:v>
      </x:c>
      <x:c r="J88" s="22" t="str">
        <x:v>Prior to Start</x:v>
      </x:c>
      <x:c r="K88" s="22" t="str"/>
      <x:c r="L88" s="22" t="str">
        <x:v>to Start</x:v>
      </x:c>
      <x:c r="M88" s="22" t="str"/>
      <x:c r="N88" s="22" t="str">
        <x:v>11</x:v>
      </x:c>
      <x:c r="O88" s="26" t="n">
        <x:v>11</x:v>
      </x:c>
      <x:c r="P88" s="22" t="str">
        <x:v>2</x:v>
      </x:c>
      <x:c r="Q88" s="26" t="n">
        <x:v>2</x:v>
      </x:c>
      <x:c r="R88" s="22" t="str">
        <x:v>Observed</x:v>
      </x:c>
      <x:c r="S88" s="22" t="str"/>
      <x:c r="T88" s="26" t="n">
        <x:f>IF(R88&lt;&gt;"Observed","",SUMIFS($O$3:O88,$C$3:C88,C88,$R$3:R88,"Observed"))</x:f>
        <x:v>11</x:v>
      </x:c>
      <x:c r="U88" s="26" t="n">
        <x:f>IF(R88&lt;&gt;"Observed","",SUMIFS($Q$3:Q88,$C$3:C88,C88,$R$3:R88,"Observed"))</x:f>
        <x:v>2</x:v>
      </x:c>
      <x:c r="V88" s="26" t="n">
        <x:f>IF(R88&lt;&gt;"Observed","",T88-U88)</x:f>
        <x:v>9</x:v>
      </x:c>
    </x:row>
    <x:row r="89">
      <x:c r="A89" s="22" t="str">
        <x:v>2022-2026-Copalis-Mocrocks.pdf</x:v>
      </x:c>
      <x:c r="B89" s="26" t="n">
        <x:v>6</x:v>
      </x:c>
      <x:c r="C89" s="22" t="str">
        <x:v>P06</x:v>
      </x:c>
      <x:c r="D89" s="22" t="str">
        <x:v>Copalis Beach</x:v>
      </x:c>
      <x:c r="E89" s="22" t="str">
        <x:v>Ocean City North</x:v>
      </x:c>
      <x:c r="F89" s="24" t="n">
        <x:v>45358</x:v>
      </x:c>
      <x:c r="G89" s="22" t="str">
        <x:v>Chase</x:v>
      </x:c>
      <x:c r="H89" s="26" t="n">
        <x:v>2</x:v>
      </x:c>
      <x:c r="I89" s="22" t="str">
        <x:v>15-minute interval</x:v>
      </x:c>
      <x:c r="J89" s="22" t="str">
        <x:v>1315</x:v>
      </x:c>
      <x:c r="K89" s="22" t="str">
        <x:v>1330</x:v>
      </x:c>
      <x:c r="L89" s="22" t="str">
        <x:v>3:00</x:v>
      </x:c>
      <x:c r="M89" s="22" t="str">
        <x:v>2:45</x:v>
      </x:c>
      <x:c r="N89" s="22" t="str">
        <x:v>14</x:v>
      </x:c>
      <x:c r="O89" s="26" t="n">
        <x:v>14</x:v>
      </x:c>
      <x:c r="P89" s="22" t="str">
        <x:v>3</x:v>
      </x:c>
      <x:c r="Q89" s="26" t="n">
        <x:v>3</x:v>
      </x:c>
      <x:c r="R89" s="22" t="str">
        <x:v>Observed</x:v>
      </x:c>
      <x:c r="S89" s="22" t="str"/>
      <x:c r="T89" s="26" t="n">
        <x:f>IF(R89&lt;&gt;"Observed","",SUMIFS($O$3:O89,$C$3:C89,C89,$R$3:R89,"Observed"))</x:f>
        <x:v>25</x:v>
      </x:c>
      <x:c r="U89" s="26" t="n">
        <x:f>IF(R89&lt;&gt;"Observed","",SUMIFS($Q$3:Q89,$C$3:C89,C89,$R$3:R89,"Observed"))</x:f>
        <x:v>5</x:v>
      </x:c>
      <x:c r="V89" s="26" t="n">
        <x:f>IF(R89&lt;&gt;"Observed","",T89-U89)</x:f>
        <x:v>20</x:v>
      </x:c>
    </x:row>
    <x:row r="90">
      <x:c r="A90" s="22" t="str">
        <x:v>2022-2026-Copalis-Mocrocks.pdf</x:v>
      </x:c>
      <x:c r="B90" s="26" t="n">
        <x:v>6</x:v>
      </x:c>
      <x:c r="C90" s="22" t="str">
        <x:v>P06</x:v>
      </x:c>
      <x:c r="D90" s="22" t="str">
        <x:v>Copalis Beach</x:v>
      </x:c>
      <x:c r="E90" s="22" t="str">
        <x:v>Ocean City North</x:v>
      </x:c>
      <x:c r="F90" s="24" t="n">
        <x:v>45358</x:v>
      </x:c>
      <x:c r="G90" s="22" t="str">
        <x:v>Chase</x:v>
      </x:c>
      <x:c r="H90" s="26" t="n">
        <x:v>3</x:v>
      </x:c>
      <x:c r="I90" s="22" t="str">
        <x:v>15-minute interval</x:v>
      </x:c>
      <x:c r="J90" s="22" t="str">
        <x:v>1330</x:v>
      </x:c>
      <x:c r="K90" s="22" t="str">
        <x:v>1345</x:v>
      </x:c>
      <x:c r="L90" s="22" t="str">
        <x:v>2:45</x:v>
      </x:c>
      <x:c r="M90" s="22" t="str">
        <x:v>2:30</x:v>
      </x:c>
      <x:c r="N90" s="22" t="str">
        <x:v>19</x:v>
      </x:c>
      <x:c r="O90" s="26" t="n">
        <x:v>19</x:v>
      </x:c>
      <x:c r="P90" s="22" t="str">
        <x:v>2</x:v>
      </x:c>
      <x:c r="Q90" s="26" t="n">
        <x:v>2</x:v>
      </x:c>
      <x:c r="R90" s="22" t="str">
        <x:v>Observed</x:v>
      </x:c>
      <x:c r="S90" s="22" t="str"/>
      <x:c r="T90" s="26" t="n">
        <x:f>IF(R90&lt;&gt;"Observed","",SUMIFS($O$3:O90,$C$3:C90,C90,$R$3:R90,"Observed"))</x:f>
        <x:v>44</x:v>
      </x:c>
      <x:c r="U90" s="26" t="n">
        <x:f>IF(R90&lt;&gt;"Observed","",SUMIFS($Q$3:Q90,$C$3:C90,C90,$R$3:R90,"Observed"))</x:f>
        <x:v>7</x:v>
      </x:c>
      <x:c r="V90" s="26" t="n">
        <x:f>IF(R90&lt;&gt;"Observed","",T90-U90)</x:f>
        <x:v>37</x:v>
      </x:c>
    </x:row>
    <x:row r="91">
      <x:c r="A91" s="22" t="str">
        <x:v>2022-2026-Copalis-Mocrocks.pdf</x:v>
      </x:c>
      <x:c r="B91" s="26" t="n">
        <x:v>6</x:v>
      </x:c>
      <x:c r="C91" s="22" t="str">
        <x:v>P06</x:v>
      </x:c>
      <x:c r="D91" s="22" t="str">
        <x:v>Copalis Beach</x:v>
      </x:c>
      <x:c r="E91" s="22" t="str">
        <x:v>Ocean City North</x:v>
      </x:c>
      <x:c r="F91" s="24" t="n">
        <x:v>45358</x:v>
      </x:c>
      <x:c r="G91" s="22" t="str">
        <x:v>Chase</x:v>
      </x:c>
      <x:c r="H91" s="26" t="n">
        <x:v>4</x:v>
      </x:c>
      <x:c r="I91" s="22" t="str">
        <x:v>15-minute interval</x:v>
      </x:c>
      <x:c r="J91" s="22" t="str">
        <x:v>1345</x:v>
      </x:c>
      <x:c r="K91" s="22" t="str">
        <x:v>1400</x:v>
      </x:c>
      <x:c r="L91" s="22" t="str">
        <x:v>2:30</x:v>
      </x:c>
      <x:c r="M91" s="22" t="str">
        <x:v>2:15</x:v>
      </x:c>
      <x:c r="N91" s="22" t="str">
        <x:v>26</x:v>
      </x:c>
      <x:c r="O91" s="26" t="n">
        <x:v>26</x:v>
      </x:c>
      <x:c r="P91" s="22" t="str">
        <x:v>5</x:v>
      </x:c>
      <x:c r="Q91" s="26" t="n">
        <x:v>5</x:v>
      </x:c>
      <x:c r="R91" s="22" t="str">
        <x:v>Observed</x:v>
      </x:c>
      <x:c r="S91" s="22" t="str"/>
      <x:c r="T91" s="26" t="n">
        <x:f>IF(R91&lt;&gt;"Observed","",SUMIFS($O$3:O91,$C$3:C91,C91,$R$3:R91,"Observed"))</x:f>
        <x:v>70</x:v>
      </x:c>
      <x:c r="U91" s="26" t="n">
        <x:f>IF(R91&lt;&gt;"Observed","",SUMIFS($Q$3:Q91,$C$3:C91,C91,$R$3:R91,"Observed"))</x:f>
        <x:v>12</x:v>
      </x:c>
      <x:c r="V91" s="26" t="n">
        <x:f>IF(R91&lt;&gt;"Observed","",T91-U91)</x:f>
        <x:v>58</x:v>
      </x:c>
    </x:row>
    <x:row r="92">
      <x:c r="A92" s="22" t="str">
        <x:v>2022-2026-Copalis-Mocrocks.pdf</x:v>
      </x:c>
      <x:c r="B92" s="26" t="n">
        <x:v>6</x:v>
      </x:c>
      <x:c r="C92" s="22" t="str">
        <x:v>P06</x:v>
      </x:c>
      <x:c r="D92" s="22" t="str">
        <x:v>Copalis Beach</x:v>
      </x:c>
      <x:c r="E92" s="22" t="str">
        <x:v>Ocean City North</x:v>
      </x:c>
      <x:c r="F92" s="24" t="n">
        <x:v>45358</x:v>
      </x:c>
      <x:c r="G92" s="22" t="str">
        <x:v>Chase</x:v>
      </x:c>
      <x:c r="H92" s="26" t="n">
        <x:v>5</x:v>
      </x:c>
      <x:c r="I92" s="22" t="str">
        <x:v>15-minute interval</x:v>
      </x:c>
      <x:c r="J92" s="22" t="str">
        <x:v>1400</x:v>
      </x:c>
      <x:c r="K92" s="22" t="str">
        <x:v>1415</x:v>
      </x:c>
      <x:c r="L92" s="22" t="str">
        <x:v>2:15</x:v>
      </x:c>
      <x:c r="M92" s="22" t="str">
        <x:v>2:00</x:v>
      </x:c>
      <x:c r="N92" s="22" t="str">
        <x:v>33</x:v>
      </x:c>
      <x:c r="O92" s="26" t="n">
        <x:v>33</x:v>
      </x:c>
      <x:c r="P92" s="22" t="str">
        <x:v>3</x:v>
      </x:c>
      <x:c r="Q92" s="26" t="n">
        <x:v>3</x:v>
      </x:c>
      <x:c r="R92" s="22" t="str">
        <x:v>Observed</x:v>
      </x:c>
      <x:c r="S92" s="22" t="str"/>
      <x:c r="T92" s="26" t="n">
        <x:f>IF(R92&lt;&gt;"Observed","",SUMIFS($O$3:O92,$C$3:C92,C92,$R$3:R92,"Observed"))</x:f>
        <x:v>103</x:v>
      </x:c>
      <x:c r="U92" s="26" t="n">
        <x:f>IF(R92&lt;&gt;"Observed","",SUMIFS($Q$3:Q92,$C$3:C92,C92,$R$3:R92,"Observed"))</x:f>
        <x:v>15</x:v>
      </x:c>
      <x:c r="V92" s="26" t="n">
        <x:f>IF(R92&lt;&gt;"Observed","",T92-U92)</x:f>
        <x:v>88</x:v>
      </x:c>
    </x:row>
    <x:row r="93">
      <x:c r="A93" s="22" t="str">
        <x:v>2022-2026-Copalis-Mocrocks.pdf</x:v>
      </x:c>
      <x:c r="B93" s="26" t="n">
        <x:v>6</x:v>
      </x:c>
      <x:c r="C93" s="22" t="str">
        <x:v>P06</x:v>
      </x:c>
      <x:c r="D93" s="22" t="str">
        <x:v>Copalis Beach</x:v>
      </x:c>
      <x:c r="E93" s="22" t="str">
        <x:v>Ocean City North</x:v>
      </x:c>
      <x:c r="F93" s="24" t="n">
        <x:v>45358</x:v>
      </x:c>
      <x:c r="G93" s="22" t="str">
        <x:v>Chase</x:v>
      </x:c>
      <x:c r="H93" s="26" t="n">
        <x:v>6</x:v>
      </x:c>
      <x:c r="I93" s="22" t="str">
        <x:v>15-minute interval</x:v>
      </x:c>
      <x:c r="J93" s="22" t="str">
        <x:v>1415</x:v>
      </x:c>
      <x:c r="K93" s="22" t="str">
        <x:v>1430</x:v>
      </x:c>
      <x:c r="L93" s="22" t="str">
        <x:v>2:00</x:v>
      </x:c>
      <x:c r="M93" s="22" t="str">
        <x:v>1:45</x:v>
      </x:c>
      <x:c r="N93" s="22" t="str">
        <x:v>31</x:v>
      </x:c>
      <x:c r="O93" s="26" t="n">
        <x:v>31</x:v>
      </x:c>
      <x:c r="P93" s="22" t="str">
        <x:v>3</x:v>
      </x:c>
      <x:c r="Q93" s="26" t="n">
        <x:v>3</x:v>
      </x:c>
      <x:c r="R93" s="22" t="str">
        <x:v>Observed</x:v>
      </x:c>
      <x:c r="S93" s="22" t="str"/>
      <x:c r="T93" s="26" t="n">
        <x:f>IF(R93&lt;&gt;"Observed","",SUMIFS($O$3:O93,$C$3:C93,C93,$R$3:R93,"Observed"))</x:f>
        <x:v>134</x:v>
      </x:c>
      <x:c r="U93" s="26" t="n">
        <x:f>IF(R93&lt;&gt;"Observed","",SUMIFS($Q$3:Q93,$C$3:C93,C93,$R$3:R93,"Observed"))</x:f>
        <x:v>18</x:v>
      </x:c>
      <x:c r="V93" s="26" t="n">
        <x:f>IF(R93&lt;&gt;"Observed","",T93-U93)</x:f>
        <x:v>116</x:v>
      </x:c>
    </x:row>
    <x:row r="94">
      <x:c r="A94" s="22" t="str">
        <x:v>2022-2026-Copalis-Mocrocks.pdf</x:v>
      </x:c>
      <x:c r="B94" s="26" t="n">
        <x:v>6</x:v>
      </x:c>
      <x:c r="C94" s="22" t="str">
        <x:v>P06</x:v>
      </x:c>
      <x:c r="D94" s="22" t="str">
        <x:v>Copalis Beach</x:v>
      </x:c>
      <x:c r="E94" s="22" t="str">
        <x:v>Ocean City North</x:v>
      </x:c>
      <x:c r="F94" s="24" t="n">
        <x:v>45358</x:v>
      </x:c>
      <x:c r="G94" s="22" t="str">
        <x:v>Chase</x:v>
      </x:c>
      <x:c r="H94" s="26" t="n">
        <x:v>7</x:v>
      </x:c>
      <x:c r="I94" s="22" t="str">
        <x:v>15-minute interval</x:v>
      </x:c>
      <x:c r="J94" s="22" t="str">
        <x:v>1430</x:v>
      </x:c>
      <x:c r="K94" s="22" t="str">
        <x:v>1445</x:v>
      </x:c>
      <x:c r="L94" s="22" t="str">
        <x:v>1:45</x:v>
      </x:c>
      <x:c r="M94" s="22" t="str">
        <x:v>1:30</x:v>
      </x:c>
      <x:c r="N94" s="22" t="str">
        <x:v>30</x:v>
      </x:c>
      <x:c r="O94" s="26" t="n">
        <x:v>30</x:v>
      </x:c>
      <x:c r="P94" s="22" t="str">
        <x:v>7</x:v>
      </x:c>
      <x:c r="Q94" s="26" t="n">
        <x:v>7</x:v>
      </x:c>
      <x:c r="R94" s="22" t="str">
        <x:v>Observed</x:v>
      </x:c>
      <x:c r="S94" s="22" t="str"/>
      <x:c r="T94" s="26" t="n">
        <x:f>IF(R94&lt;&gt;"Observed","",SUMIFS($O$3:O94,$C$3:C94,C94,$R$3:R94,"Observed"))</x:f>
        <x:v>164</x:v>
      </x:c>
      <x:c r="U94" s="26" t="n">
        <x:f>IF(R94&lt;&gt;"Observed","",SUMIFS($Q$3:Q94,$C$3:C94,C94,$R$3:R94,"Observed"))</x:f>
        <x:v>25</x:v>
      </x:c>
      <x:c r="V94" s="26" t="n">
        <x:f>IF(R94&lt;&gt;"Observed","",T94-U94)</x:f>
        <x:v>139</x:v>
      </x:c>
    </x:row>
    <x:row r="95">
      <x:c r="A95" s="22" t="str">
        <x:v>2022-2026-Copalis-Mocrocks.pdf</x:v>
      </x:c>
      <x:c r="B95" s="26" t="n">
        <x:v>6</x:v>
      </x:c>
      <x:c r="C95" s="22" t="str">
        <x:v>P06</x:v>
      </x:c>
      <x:c r="D95" s="22" t="str">
        <x:v>Copalis Beach</x:v>
      </x:c>
      <x:c r="E95" s="22" t="str">
        <x:v>Ocean City North</x:v>
      </x:c>
      <x:c r="F95" s="24" t="n">
        <x:v>45358</x:v>
      </x:c>
      <x:c r="G95" s="22" t="str">
        <x:v>Chase</x:v>
      </x:c>
      <x:c r="H95" s="26" t="n">
        <x:v>8</x:v>
      </x:c>
      <x:c r="I95" s="22" t="str">
        <x:v>15-minute interval</x:v>
      </x:c>
      <x:c r="J95" s="22" t="str">
        <x:v>1445</x:v>
      </x:c>
      <x:c r="K95" s="22" t="str">
        <x:v>1500</x:v>
      </x:c>
      <x:c r="L95" s="22" t="str">
        <x:v>1:30</x:v>
      </x:c>
      <x:c r="M95" s="22" t="str">
        <x:v>1:15</x:v>
      </x:c>
      <x:c r="N95" s="22" t="str">
        <x:v>32</x:v>
      </x:c>
      <x:c r="O95" s="26" t="n">
        <x:v>32</x:v>
      </x:c>
      <x:c r="P95" s="22" t="str">
        <x:v>8</x:v>
      </x:c>
      <x:c r="Q95" s="26" t="n">
        <x:v>8</x:v>
      </x:c>
      <x:c r="R95" s="22" t="str">
        <x:v>Observed</x:v>
      </x:c>
      <x:c r="S95" s="22" t="str"/>
      <x:c r="T95" s="26" t="n">
        <x:f>IF(R95&lt;&gt;"Observed","",SUMIFS($O$3:O95,$C$3:C95,C95,$R$3:R95,"Observed"))</x:f>
        <x:v>196</x:v>
      </x:c>
      <x:c r="U95" s="26" t="n">
        <x:f>IF(R95&lt;&gt;"Observed","",SUMIFS($Q$3:Q95,$C$3:C95,C95,$R$3:R95,"Observed"))</x:f>
        <x:v>33</x:v>
      </x:c>
      <x:c r="V95" s="26" t="n">
        <x:f>IF(R95&lt;&gt;"Observed","",T95-U95)</x:f>
        <x:v>163</x:v>
      </x:c>
    </x:row>
    <x:row r="96">
      <x:c r="A96" s="22" t="str">
        <x:v>2022-2026-Copalis-Mocrocks.pdf</x:v>
      </x:c>
      <x:c r="B96" s="26" t="n">
        <x:v>6</x:v>
      </x:c>
      <x:c r="C96" s="22" t="str">
        <x:v>P06</x:v>
      </x:c>
      <x:c r="D96" s="22" t="str">
        <x:v>Copalis Beach</x:v>
      </x:c>
      <x:c r="E96" s="22" t="str">
        <x:v>Ocean City North</x:v>
      </x:c>
      <x:c r="F96" s="24" t="n">
        <x:v>45358</x:v>
      </x:c>
      <x:c r="G96" s="22" t="str">
        <x:v>Chase</x:v>
      </x:c>
      <x:c r="H96" s="26" t="n">
        <x:v>9</x:v>
      </x:c>
      <x:c r="I96" s="22" t="str">
        <x:v>15-minute interval</x:v>
      </x:c>
      <x:c r="J96" s="22" t="str">
        <x:v>1500</x:v>
      </x:c>
      <x:c r="K96" s="22" t="str">
        <x:v>1515</x:v>
      </x:c>
      <x:c r="L96" s="22" t="str">
        <x:v>1:15</x:v>
      </x:c>
      <x:c r="M96" s="22" t="str">
        <x:v>1:00</x:v>
      </x:c>
      <x:c r="N96" s="22" t="str">
        <x:v>23</x:v>
      </x:c>
      <x:c r="O96" s="26" t="n">
        <x:v>23</x:v>
      </x:c>
      <x:c r="P96" s="22" t="str">
        <x:v>16</x:v>
      </x:c>
      <x:c r="Q96" s="26" t="n">
        <x:v>16</x:v>
      </x:c>
      <x:c r="R96" s="22" t="str">
        <x:v>Observed</x:v>
      </x:c>
      <x:c r="S96" s="22" t="str"/>
      <x:c r="T96" s="26" t="n">
        <x:f>IF(R96&lt;&gt;"Observed","",SUMIFS($O$3:O96,$C$3:C96,C96,$R$3:R96,"Observed"))</x:f>
        <x:v>219</x:v>
      </x:c>
      <x:c r="U96" s="26" t="n">
        <x:f>IF(R96&lt;&gt;"Observed","",SUMIFS($Q$3:Q96,$C$3:C96,C96,$R$3:R96,"Observed"))</x:f>
        <x:v>49</x:v>
      </x:c>
      <x:c r="V96" s="26" t="n">
        <x:f>IF(R96&lt;&gt;"Observed","",T96-U96)</x:f>
        <x:v>170</x:v>
      </x:c>
    </x:row>
    <x:row r="97">
      <x:c r="A97" s="22" t="str">
        <x:v>2022-2026-Copalis-Mocrocks.pdf</x:v>
      </x:c>
      <x:c r="B97" s="26" t="n">
        <x:v>6</x:v>
      </x:c>
      <x:c r="C97" s="22" t="str">
        <x:v>P06</x:v>
      </x:c>
      <x:c r="D97" s="22" t="str">
        <x:v>Copalis Beach</x:v>
      </x:c>
      <x:c r="E97" s="22" t="str">
        <x:v>Ocean City North</x:v>
      </x:c>
      <x:c r="F97" s="24" t="n">
        <x:v>45358</x:v>
      </x:c>
      <x:c r="G97" s="22" t="str">
        <x:v>Chase</x:v>
      </x:c>
      <x:c r="H97" s="26" t="n">
        <x:v>10</x:v>
      </x:c>
      <x:c r="I97" s="22" t="str">
        <x:v>15-minute interval</x:v>
      </x:c>
      <x:c r="J97" s="22" t="str">
        <x:v>1515</x:v>
      </x:c>
      <x:c r="K97" s="22" t="str">
        <x:v>1530</x:v>
      </x:c>
      <x:c r="L97" s="22" t="str">
        <x:v>1:00</x:v>
      </x:c>
      <x:c r="M97" s="22" t="str">
        <x:v>0:45</x:v>
      </x:c>
      <x:c r="N97" s="22" t="str">
        <x:v>16</x:v>
      </x:c>
      <x:c r="O97" s="26" t="n">
        <x:v>16</x:v>
      </x:c>
      <x:c r="P97" s="22" t="str">
        <x:v>23</x:v>
      </x:c>
      <x:c r="Q97" s="26" t="n">
        <x:v>23</x:v>
      </x:c>
      <x:c r="R97" s="22" t="str">
        <x:v>Observed</x:v>
      </x:c>
      <x:c r="S97" s="22" t="str"/>
      <x:c r="T97" s="26" t="n">
        <x:f>IF(R97&lt;&gt;"Observed","",SUMIFS($O$3:O97,$C$3:C97,C97,$R$3:R97,"Observed"))</x:f>
        <x:v>235</x:v>
      </x:c>
      <x:c r="U97" s="26" t="n">
        <x:f>IF(R97&lt;&gt;"Observed","",SUMIFS($Q$3:Q97,$C$3:C97,C97,$R$3:R97,"Observed"))</x:f>
        <x:v>72</x:v>
      </x:c>
      <x:c r="V97" s="26" t="n">
        <x:f>IF(R97&lt;&gt;"Observed","",T97-U97)</x:f>
        <x:v>163</x:v>
      </x:c>
    </x:row>
    <x:row r="98">
      <x:c r="A98" s="22" t="str">
        <x:v>2022-2026-Copalis-Mocrocks.pdf</x:v>
      </x:c>
      <x:c r="B98" s="26" t="n">
        <x:v>6</x:v>
      </x:c>
      <x:c r="C98" s="22" t="str">
        <x:v>P06</x:v>
      </x:c>
      <x:c r="D98" s="22" t="str">
        <x:v>Copalis Beach</x:v>
      </x:c>
      <x:c r="E98" s="22" t="str">
        <x:v>Ocean City North</x:v>
      </x:c>
      <x:c r="F98" s="24" t="n">
        <x:v>45358</x:v>
      </x:c>
      <x:c r="G98" s="22" t="str">
        <x:v>Chase</x:v>
      </x:c>
      <x:c r="H98" s="26" t="n">
        <x:v>11</x:v>
      </x:c>
      <x:c r="I98" s="22" t="str">
        <x:v>15-minute interval</x:v>
      </x:c>
      <x:c r="J98" s="22" t="str">
        <x:v>1530</x:v>
      </x:c>
      <x:c r="K98" s="22" t="str">
        <x:v>1545</x:v>
      </x:c>
      <x:c r="L98" s="22" t="str">
        <x:v>0:45</x:v>
      </x:c>
      <x:c r="M98" s="22" t="str">
        <x:v>0:30</x:v>
      </x:c>
      <x:c r="N98" s="22" t="str">
        <x:v>14</x:v>
      </x:c>
      <x:c r="O98" s="26" t="n">
        <x:v>14</x:v>
      </x:c>
      <x:c r="P98" s="22" t="str">
        <x:v>46</x:v>
      </x:c>
      <x:c r="Q98" s="26" t="n">
        <x:v>46</x:v>
      </x:c>
      <x:c r="R98" s="22" t="str">
        <x:v>Observed</x:v>
      </x:c>
      <x:c r="S98" s="22" t="str"/>
      <x:c r="T98" s="26" t="n">
        <x:f>IF(R98&lt;&gt;"Observed","",SUMIFS($O$3:O98,$C$3:C98,C98,$R$3:R98,"Observed"))</x:f>
        <x:v>249</x:v>
      </x:c>
      <x:c r="U98" s="26" t="n">
        <x:f>IF(R98&lt;&gt;"Observed","",SUMIFS($Q$3:Q98,$C$3:C98,C98,$R$3:R98,"Observed"))</x:f>
        <x:v>118</x:v>
      </x:c>
      <x:c r="V98" s="26" t="n">
        <x:f>IF(R98&lt;&gt;"Observed","",T98-U98)</x:f>
        <x:v>131</x:v>
      </x:c>
    </x:row>
    <x:row r="99">
      <x:c r="A99" s="22" t="str">
        <x:v>2022-2026-Copalis-Mocrocks.pdf</x:v>
      </x:c>
      <x:c r="B99" s="26" t="n">
        <x:v>6</x:v>
      </x:c>
      <x:c r="C99" s="22" t="str">
        <x:v>P06</x:v>
      </x:c>
      <x:c r="D99" s="22" t="str">
        <x:v>Copalis Beach</x:v>
      </x:c>
      <x:c r="E99" s="22" t="str">
        <x:v>Ocean City North</x:v>
      </x:c>
      <x:c r="F99" s="24" t="n">
        <x:v>45358</x:v>
      </x:c>
      <x:c r="G99" s="22" t="str">
        <x:v>Chase</x:v>
      </x:c>
      <x:c r="H99" s="26" t="n">
        <x:v>12</x:v>
      </x:c>
      <x:c r="I99" s="22" t="str">
        <x:v>15-minute interval</x:v>
      </x:c>
      <x:c r="J99" s="22" t="str">
        <x:v>1545</x:v>
      </x:c>
      <x:c r="K99" s="22" t="str">
        <x:v>1600</x:v>
      </x:c>
      <x:c r="L99" s="22" t="str">
        <x:v>0:30</x:v>
      </x:c>
      <x:c r="M99" s="22" t="str">
        <x:v>0:15</x:v>
      </x:c>
      <x:c r="N99" s="22" t="str">
        <x:v>32 (overwritten)</x:v>
      </x:c>
      <x:c r="O99" s="26" t="n">
        <x:v>32</x:v>
      </x:c>
      <x:c r="P99" s="22" t="str">
        <x:v>29</x:v>
      </x:c>
      <x:c r="Q99" s="26" t="n">
        <x:v>29</x:v>
      </x:c>
      <x:c r="R99" s="22" t="str">
        <x:v>Observed</x:v>
      </x:c>
      <x:c r="S99" s="22" t="str">
        <x:v>Cars On value overwritten; transcribed as 32 based on visible correction and balance.</x:v>
      </x:c>
      <x:c r="T99" s="26" t="n">
        <x:f>IF(R99&lt;&gt;"Observed","",SUMIFS($O$3:O99,$C$3:C99,C99,$R$3:R99,"Observed"))</x:f>
        <x:v>281</x:v>
      </x:c>
      <x:c r="U99" s="26" t="n">
        <x:f>IF(R99&lt;&gt;"Observed","",SUMIFS($Q$3:Q99,$C$3:C99,C99,$R$3:R99,"Observed"))</x:f>
        <x:v>147</x:v>
      </x:c>
      <x:c r="V99" s="26" t="n">
        <x:f>IF(R99&lt;&gt;"Observed","",T99-U99)</x:f>
        <x:v>134</x:v>
      </x:c>
    </x:row>
    <x:row r="100">
      <x:c r="A100" s="22" t="str">
        <x:v>2022-2026-Copalis-Mocrocks.pdf</x:v>
      </x:c>
      <x:c r="B100" s="26" t="n">
        <x:v>6</x:v>
      </x:c>
      <x:c r="C100" s="22" t="str">
        <x:v>P06</x:v>
      </x:c>
      <x:c r="D100" s="22" t="str">
        <x:v>Copalis Beach</x:v>
      </x:c>
      <x:c r="E100" s="22" t="str">
        <x:v>Ocean City North</x:v>
      </x:c>
      <x:c r="F100" s="24" t="n">
        <x:v>45358</x:v>
      </x:c>
      <x:c r="G100" s="22" t="str">
        <x:v>Chase</x:v>
      </x:c>
      <x:c r="H100" s="26" t="n">
        <x:v>13</x:v>
      </x:c>
      <x:c r="I100" s="22" t="str">
        <x:v>15-minute interval</x:v>
      </x:c>
      <x:c r="J100" s="22" t="str">
        <x:v>1600</x:v>
      </x:c>
      <x:c r="K100" s="22" t="str">
        <x:v>1615</x:v>
      </x:c>
      <x:c r="L100" s="22" t="str">
        <x:v>0:15</x:v>
      </x:c>
      <x:c r="M100" s="22" t="str">
        <x:v>0:00</x:v>
      </x:c>
      <x:c r="N100" s="22" t="str">
        <x:v>10</x:v>
      </x:c>
      <x:c r="O100" s="26" t="n">
        <x:v>10</x:v>
      </x:c>
      <x:c r="P100" s="22" t="str">
        <x:v>36</x:v>
      </x:c>
      <x:c r="Q100" s="26" t="n">
        <x:v>36</x:v>
      </x:c>
      <x:c r="R100" s="22" t="str">
        <x:v>Observed</x:v>
      </x:c>
      <x:c r="S100" s="22" t="str"/>
      <x:c r="T100" s="26" t="n">
        <x:f>IF(R100&lt;&gt;"Observed","",SUMIFS($O$3:O100,$C$3:C100,C100,$R$3:R100,"Observed"))</x:f>
        <x:v>291</x:v>
      </x:c>
      <x:c r="U100" s="26" t="n">
        <x:f>IF(R100&lt;&gt;"Observed","",SUMIFS($Q$3:Q100,$C$3:C100,C100,$R$3:R100,"Observed"))</x:f>
        <x:v>183</x:v>
      </x:c>
      <x:c r="V100" s="26" t="n">
        <x:f>IF(R100&lt;&gt;"Observed","",T100-U100)</x:f>
        <x:v>108</x:v>
      </x:c>
    </x:row>
    <x:row r="101">
      <x:c r="A101" s="22" t="str">
        <x:v>2022-2026-Copalis-Mocrocks.pdf</x:v>
      </x:c>
      <x:c r="B101" s="26" t="n">
        <x:v>6</x:v>
      </x:c>
      <x:c r="C101" s="22" t="str">
        <x:v>P06</x:v>
      </x:c>
      <x:c r="D101" s="22" t="str">
        <x:v>Copalis Beach</x:v>
      </x:c>
      <x:c r="E101" s="22" t="str">
        <x:v>Ocean City North</x:v>
      </x:c>
      <x:c r="F101" s="24" t="n">
        <x:v>45358</x:v>
      </x:c>
      <x:c r="G101" s="22" t="str">
        <x:v>Chase</x:v>
      </x:c>
      <x:c r="H101" s="26" t="n">
        <x:v>14</x:v>
      </x:c>
      <x:c r="I101" s="22" t="str">
        <x:v>15-minute interval</x:v>
      </x:c>
      <x:c r="J101" s="22" t="str">
        <x:v>1615</x:v>
      </x:c>
      <x:c r="K101" s="22" t="str">
        <x:v>1630</x:v>
      </x:c>
      <x:c r="L101" s="22" t="str">
        <x:v>0:00</x:v>
      </x:c>
      <x:c r="M101" s="22" t="str">
        <x:v>0:15</x:v>
      </x:c>
      <x:c r="N101" s="22" t="str">
        <x:v>5</x:v>
      </x:c>
      <x:c r="O101" s="26" t="n">
        <x:v>5</x:v>
      </x:c>
      <x:c r="P101" s="22" t="str">
        <x:v>27</x:v>
      </x:c>
      <x:c r="Q101" s="26" t="n">
        <x:v>27</x:v>
      </x:c>
      <x:c r="R101" s="22" t="str">
        <x:v>Observed</x:v>
      </x:c>
      <x:c r="S101" s="22" t="str"/>
      <x:c r="T101" s="26" t="n">
        <x:f>IF(R101&lt;&gt;"Observed","",SUMIFS($O$3:O101,$C$3:C101,C101,$R$3:R101,"Observed"))</x:f>
        <x:v>296</x:v>
      </x:c>
      <x:c r="U101" s="26" t="n">
        <x:f>IF(R101&lt;&gt;"Observed","",SUMIFS($Q$3:Q101,$C$3:C101,C101,$R$3:R101,"Observed"))</x:f>
        <x:v>210</x:v>
      </x:c>
      <x:c r="V101" s="26" t="n">
        <x:f>IF(R101&lt;&gt;"Observed","",T101-U101)</x:f>
        <x:v>86</x:v>
      </x:c>
    </x:row>
    <x:row r="102">
      <x:c r="A102" s="22" t="str">
        <x:v>2022-2026-Copalis-Mocrocks.pdf</x:v>
      </x:c>
      <x:c r="B102" s="26" t="n">
        <x:v>6</x:v>
      </x:c>
      <x:c r="C102" s="22" t="str">
        <x:v>P06</x:v>
      </x:c>
      <x:c r="D102" s="22" t="str">
        <x:v>Copalis Beach</x:v>
      </x:c>
      <x:c r="E102" s="22" t="str">
        <x:v>Ocean City North</x:v>
      </x:c>
      <x:c r="F102" s="24" t="n">
        <x:v>45358</x:v>
      </x:c>
      <x:c r="G102" s="22" t="str">
        <x:v>Chase</x:v>
      </x:c>
      <x:c r="H102" s="26" t="n">
        <x:v>15</x:v>
      </x:c>
      <x:c r="I102" s="22" t="str">
        <x:v>15-minute interval</x:v>
      </x:c>
      <x:c r="J102" s="22" t="str">
        <x:v>1630</x:v>
      </x:c>
      <x:c r="K102" s="22" t="str">
        <x:v>1645</x:v>
      </x:c>
      <x:c r="L102" s="22" t="str">
        <x:v>0:15</x:v>
      </x:c>
      <x:c r="M102" s="22" t="str">
        <x:v>0:30</x:v>
      </x:c>
      <x:c r="N102" s="22" t="str">
        <x:v>5</x:v>
      </x:c>
      <x:c r="O102" s="26" t="n">
        <x:v>5</x:v>
      </x:c>
      <x:c r="P102" s="22" t="str">
        <x:v>21</x:v>
      </x:c>
      <x:c r="Q102" s="26" t="n">
        <x:v>21</x:v>
      </x:c>
      <x:c r="R102" s="22" t="str">
        <x:v>Observed</x:v>
      </x:c>
      <x:c r="S102" s="22" t="str"/>
      <x:c r="T102" s="26" t="n">
        <x:f>IF(R102&lt;&gt;"Observed","",SUMIFS($O$3:O102,$C$3:C102,C102,$R$3:R102,"Observed"))</x:f>
        <x:v>301</x:v>
      </x:c>
      <x:c r="U102" s="26" t="n">
        <x:f>IF(R102&lt;&gt;"Observed","",SUMIFS($Q$3:Q102,$C$3:C102,C102,$R$3:R102,"Observed"))</x:f>
        <x:v>231</x:v>
      </x:c>
      <x:c r="V102" s="26" t="n">
        <x:f>IF(R102&lt;&gt;"Observed","",T102-U102)</x:f>
        <x:v>70</x:v>
      </x:c>
    </x:row>
    <x:row r="103">
      <x:c r="A103" s="22" t="str">
        <x:v>2022-2026-Copalis-Mocrocks.pdf</x:v>
      </x:c>
      <x:c r="B103" s="26" t="n">
        <x:v>6</x:v>
      </x:c>
      <x:c r="C103" s="22" t="str">
        <x:v>P06</x:v>
      </x:c>
      <x:c r="D103" s="22" t="str">
        <x:v>Copalis Beach</x:v>
      </x:c>
      <x:c r="E103" s="22" t="str">
        <x:v>Ocean City North</x:v>
      </x:c>
      <x:c r="F103" s="24" t="n">
        <x:v>45358</x:v>
      </x:c>
      <x:c r="G103" s="22" t="str">
        <x:v>Chase</x:v>
      </x:c>
      <x:c r="H103" s="26" t="n">
        <x:v>16</x:v>
      </x:c>
      <x:c r="I103" s="22" t="str">
        <x:v>15-minute interval</x:v>
      </x:c>
      <x:c r="J103" s="22" t="str">
        <x:v>1645</x:v>
      </x:c>
      <x:c r="K103" s="22" t="str">
        <x:v>1700</x:v>
      </x:c>
      <x:c r="L103" s="22" t="str">
        <x:v>0:30</x:v>
      </x:c>
      <x:c r="M103" s="22" t="str">
        <x:v>0:45</x:v>
      </x:c>
      <x:c r="N103" s="22" t="str">
        <x:v>6</x:v>
      </x:c>
      <x:c r="O103" s="26" t="n">
        <x:v>6</x:v>
      </x:c>
      <x:c r="P103" s="22" t="str">
        <x:v>28</x:v>
      </x:c>
      <x:c r="Q103" s="26" t="n">
        <x:v>28</x:v>
      </x:c>
      <x:c r="R103" s="22" t="str">
        <x:v>Observed</x:v>
      </x:c>
      <x:c r="S103" s="22" t="str"/>
      <x:c r="T103" s="26" t="n">
        <x:f>IF(R103&lt;&gt;"Observed","",SUMIFS($O$3:O103,$C$3:C103,C103,$R$3:R103,"Observed"))</x:f>
        <x:v>307</x:v>
      </x:c>
      <x:c r="U103" s="26" t="n">
        <x:f>IF(R103&lt;&gt;"Observed","",SUMIFS($Q$3:Q103,$C$3:C103,C103,$R$3:R103,"Observed"))</x:f>
        <x:v>259</x:v>
      </x:c>
      <x:c r="V103" s="26" t="n">
        <x:f>IF(R103&lt;&gt;"Observed","",T103-U103)</x:f>
        <x:v>48</x:v>
      </x:c>
    </x:row>
    <x:row r="104">
      <x:c r="A104" s="22" t="str">
        <x:v>2022-2026-Copalis-Mocrocks.pdf</x:v>
      </x:c>
      <x:c r="B104" s="26" t="n">
        <x:v>6</x:v>
      </x:c>
      <x:c r="C104" s="22" t="str">
        <x:v>P06</x:v>
      </x:c>
      <x:c r="D104" s="22" t="str">
        <x:v>Copalis Beach</x:v>
      </x:c>
      <x:c r="E104" s="22" t="str">
        <x:v>Ocean City North</x:v>
      </x:c>
      <x:c r="F104" s="24" t="n">
        <x:v>45358</x:v>
      </x:c>
      <x:c r="G104" s="22" t="str">
        <x:v>Chase</x:v>
      </x:c>
      <x:c r="H104" s="26" t="n">
        <x:v>17</x:v>
      </x:c>
      <x:c r="I104" s="22" t="str">
        <x:v>15-minute interval</x:v>
      </x:c>
      <x:c r="J104" s="22" t="str">
        <x:v>1700</x:v>
      </x:c>
      <x:c r="K104" s="22" t="str">
        <x:v>1715</x:v>
      </x:c>
      <x:c r="L104" s="22" t="str">
        <x:v>0:45</x:v>
      </x:c>
      <x:c r="M104" s="22" t="str">
        <x:v>1:00</x:v>
      </x:c>
      <x:c r="N104" s="22" t="str">
        <x:v>0</x:v>
      </x:c>
      <x:c r="O104" s="26" t="n">
        <x:v>0</x:v>
      </x:c>
      <x:c r="P104" s="22" t="str">
        <x:v>12</x:v>
      </x:c>
      <x:c r="Q104" s="26" t="n">
        <x:v>12</x:v>
      </x:c>
      <x:c r="R104" s="22" t="str">
        <x:v>Observed</x:v>
      </x:c>
      <x:c r="S104" s="22" t="str"/>
      <x:c r="T104" s="26" t="n">
        <x:f>IF(R104&lt;&gt;"Observed","",SUMIFS($O$3:O104,$C$3:C104,C104,$R$3:R104,"Observed"))</x:f>
        <x:v>307</x:v>
      </x:c>
      <x:c r="U104" s="26" t="n">
        <x:f>IF(R104&lt;&gt;"Observed","",SUMIFS($Q$3:Q104,$C$3:C104,C104,$R$3:R104,"Observed"))</x:f>
        <x:v>271</x:v>
      </x:c>
      <x:c r="V104" s="26" t="n">
        <x:f>IF(R104&lt;&gt;"Observed","",T104-U104)</x:f>
        <x:v>36</x:v>
      </x:c>
    </x:row>
    <x:row r="105">
      <x:c r="A105" s="22" t="str">
        <x:v>2022-2026-Copalis-Mocrocks.pdf</x:v>
      </x:c>
      <x:c r="B105" s="26" t="n">
        <x:v>7</x:v>
      </x:c>
      <x:c r="C105" s="22" t="str">
        <x:v>P07</x:v>
      </x:c>
      <x:c r="D105" s="22" t="str">
        <x:v>Mocrocks</x:v>
      </x:c>
      <x:c r="E105" s="22" t="str">
        <x:v>Roosevelt App. South</x:v>
      </x:c>
      <x:c r="F105" s="24" t="n">
        <x:v>45359</x:v>
      </x:c>
      <x:c r="G105" s="22" t="str">
        <x:v>M. Joseph</x:v>
      </x:c>
      <x:c r="H105" s="26" t="n">
        <x:v>1</x:v>
      </x:c>
      <x:c r="I105" s="22" t="str">
        <x:v>Prior to Start</x:v>
      </x:c>
      <x:c r="J105" s="22" t="str">
        <x:v>Prior to Start</x:v>
      </x:c>
      <x:c r="K105" s="22" t="str"/>
      <x:c r="L105" s="22" t="str">
        <x:v>to Start</x:v>
      </x:c>
      <x:c r="M105" s="22" t="str"/>
      <x:c r="N105" s="22" t="str">
        <x:v>17</x:v>
      </x:c>
      <x:c r="O105" s="26" t="n">
        <x:v>17</x:v>
      </x:c>
      <x:c r="P105" s="22" t="str"/>
      <x:c r="Q105" s="26" t="n">
        <x:v>0</x:v>
      </x:c>
      <x:c r="R105" s="22" t="str">
        <x:v>Observed</x:v>
      </x:c>
      <x:c r="S105" s="22" t="str">
        <x:v>Cars Off source cell blank; treated as 0.</x:v>
      </x:c>
      <x:c r="T105" s="26" t="n">
        <x:f>IF(R105&lt;&gt;"Observed","",SUMIFS($O$3:O105,$C$3:C105,C105,$R$3:R105,"Observed"))</x:f>
        <x:v>17</x:v>
      </x:c>
      <x:c r="U105" s="26" t="n">
        <x:f>IF(R105&lt;&gt;"Observed","",SUMIFS($Q$3:Q105,$C$3:C105,C105,$R$3:R105,"Observed"))</x:f>
        <x:v>0</x:v>
      </x:c>
      <x:c r="V105" s="26" t="n">
        <x:f>IF(R105&lt;&gt;"Observed","",T105-U105)</x:f>
        <x:v>17</x:v>
      </x:c>
    </x:row>
    <x:row r="106">
      <x:c r="A106" s="22" t="str">
        <x:v>2022-2026-Copalis-Mocrocks.pdf</x:v>
      </x:c>
      <x:c r="B106" s="26" t="n">
        <x:v>7</x:v>
      </x:c>
      <x:c r="C106" s="22" t="str">
        <x:v>P07</x:v>
      </x:c>
      <x:c r="D106" s="22" t="str">
        <x:v>Mocrocks</x:v>
      </x:c>
      <x:c r="E106" s="22" t="str">
        <x:v>Roosevelt App. South</x:v>
      </x:c>
      <x:c r="F106" s="24" t="n">
        <x:v>45359</x:v>
      </x:c>
      <x:c r="G106" s="22" t="str">
        <x:v>M. Joseph</x:v>
      </x:c>
      <x:c r="H106" s="26" t="n">
        <x:v>2</x:v>
      </x:c>
      <x:c r="I106" s="22" t="str">
        <x:v>15-minute interval</x:v>
      </x:c>
      <x:c r="J106" s="22" t="str">
        <x:v>1400</x:v>
      </x:c>
      <x:c r="K106" s="22" t="str">
        <x:v>1415</x:v>
      </x:c>
      <x:c r="L106" s="22" t="str">
        <x:v>3:00</x:v>
      </x:c>
      <x:c r="M106" s="22" t="str">
        <x:v>2:45</x:v>
      </x:c>
      <x:c r="N106" s="22" t="str">
        <x:v>6</x:v>
      </x:c>
      <x:c r="O106" s="26" t="n">
        <x:v>6</x:v>
      </x:c>
      <x:c r="P106" s="22" t="str">
        <x:v>1</x:v>
      </x:c>
      <x:c r="Q106" s="26" t="n">
        <x:v>1</x:v>
      </x:c>
      <x:c r="R106" s="22" t="str">
        <x:v>Observed</x:v>
      </x:c>
      <x:c r="S106" s="22" t="str"/>
      <x:c r="T106" s="26" t="n">
        <x:f>IF(R106&lt;&gt;"Observed","",SUMIFS($O$3:O106,$C$3:C106,C106,$R$3:R106,"Observed"))</x:f>
        <x:v>23</x:v>
      </x:c>
      <x:c r="U106" s="26" t="n">
        <x:f>IF(R106&lt;&gt;"Observed","",SUMIFS($Q$3:Q106,$C$3:C106,C106,$R$3:R106,"Observed"))</x:f>
        <x:v>1</x:v>
      </x:c>
      <x:c r="V106" s="26" t="n">
        <x:f>IF(R106&lt;&gt;"Observed","",T106-U106)</x:f>
        <x:v>22</x:v>
      </x:c>
    </x:row>
    <x:row r="107">
      <x:c r="A107" s="22" t="str">
        <x:v>2022-2026-Copalis-Mocrocks.pdf</x:v>
      </x:c>
      <x:c r="B107" s="26" t="n">
        <x:v>7</x:v>
      </x:c>
      <x:c r="C107" s="22" t="str">
        <x:v>P07</x:v>
      </x:c>
      <x:c r="D107" s="22" t="str">
        <x:v>Mocrocks</x:v>
      </x:c>
      <x:c r="E107" s="22" t="str">
        <x:v>Roosevelt App. South</x:v>
      </x:c>
      <x:c r="F107" s="24" t="n">
        <x:v>45359</x:v>
      </x:c>
      <x:c r="G107" s="22" t="str">
        <x:v>M. Joseph</x:v>
      </x:c>
      <x:c r="H107" s="26" t="n">
        <x:v>3</x:v>
      </x:c>
      <x:c r="I107" s="22" t="str">
        <x:v>15-minute interval</x:v>
      </x:c>
      <x:c r="J107" s="22" t="str">
        <x:v>1415</x:v>
      </x:c>
      <x:c r="K107" s="22" t="str">
        <x:v>1430</x:v>
      </x:c>
      <x:c r="L107" s="22" t="str">
        <x:v>2:45</x:v>
      </x:c>
      <x:c r="M107" s="22" t="str">
        <x:v>2:30</x:v>
      </x:c>
      <x:c r="N107" s="22" t="str">
        <x:v>17</x:v>
      </x:c>
      <x:c r="O107" s="26" t="n">
        <x:v>17</x:v>
      </x:c>
      <x:c r="P107" s="22" t="str">
        <x:v>2</x:v>
      </x:c>
      <x:c r="Q107" s="26" t="n">
        <x:v>2</x:v>
      </x:c>
      <x:c r="R107" s="22" t="str">
        <x:v>Observed</x:v>
      </x:c>
      <x:c r="S107" s="22" t="str"/>
      <x:c r="T107" s="26" t="n">
        <x:f>IF(R107&lt;&gt;"Observed","",SUMIFS($O$3:O107,$C$3:C107,C107,$R$3:R107,"Observed"))</x:f>
        <x:v>40</x:v>
      </x:c>
      <x:c r="U107" s="26" t="n">
        <x:f>IF(R107&lt;&gt;"Observed","",SUMIFS($Q$3:Q107,$C$3:C107,C107,$R$3:R107,"Observed"))</x:f>
        <x:v>3</x:v>
      </x:c>
      <x:c r="V107" s="26" t="n">
        <x:f>IF(R107&lt;&gt;"Observed","",T107-U107)</x:f>
        <x:v>37</x:v>
      </x:c>
    </x:row>
    <x:row r="108">
      <x:c r="A108" s="22" t="str">
        <x:v>2022-2026-Copalis-Mocrocks.pdf</x:v>
      </x:c>
      <x:c r="B108" s="26" t="n">
        <x:v>7</x:v>
      </x:c>
      <x:c r="C108" s="22" t="str">
        <x:v>P07</x:v>
      </x:c>
      <x:c r="D108" s="22" t="str">
        <x:v>Mocrocks</x:v>
      </x:c>
      <x:c r="E108" s="22" t="str">
        <x:v>Roosevelt App. South</x:v>
      </x:c>
      <x:c r="F108" s="24" t="n">
        <x:v>45359</x:v>
      </x:c>
      <x:c r="G108" s="22" t="str">
        <x:v>M. Joseph</x:v>
      </x:c>
      <x:c r="H108" s="26" t="n">
        <x:v>4</x:v>
      </x:c>
      <x:c r="I108" s="22" t="str">
        <x:v>15-minute interval</x:v>
      </x:c>
      <x:c r="J108" s="22" t="str">
        <x:v>1430</x:v>
      </x:c>
      <x:c r="K108" s="22" t="str">
        <x:v>1445</x:v>
      </x:c>
      <x:c r="L108" s="22" t="str">
        <x:v>2:30</x:v>
      </x:c>
      <x:c r="M108" s="22" t="str">
        <x:v>2:15</x:v>
      </x:c>
      <x:c r="N108" s="22" t="str">
        <x:v>23</x:v>
      </x:c>
      <x:c r="O108" s="26" t="n">
        <x:v>23</x:v>
      </x:c>
      <x:c r="P108" s="22" t="str">
        <x:v>1</x:v>
      </x:c>
      <x:c r="Q108" s="26" t="n">
        <x:v>1</x:v>
      </x:c>
      <x:c r="R108" s="22" t="str">
        <x:v>Observed</x:v>
      </x:c>
      <x:c r="S108" s="22" t="str"/>
      <x:c r="T108" s="26" t="n">
        <x:f>IF(R108&lt;&gt;"Observed","",SUMIFS($O$3:O108,$C$3:C108,C108,$R$3:R108,"Observed"))</x:f>
        <x:v>63</x:v>
      </x:c>
      <x:c r="U108" s="26" t="n">
        <x:f>IF(R108&lt;&gt;"Observed","",SUMIFS($Q$3:Q108,$C$3:C108,C108,$R$3:R108,"Observed"))</x:f>
        <x:v>4</x:v>
      </x:c>
      <x:c r="V108" s="26" t="n">
        <x:f>IF(R108&lt;&gt;"Observed","",T108-U108)</x:f>
        <x:v>59</x:v>
      </x:c>
    </x:row>
    <x:row r="109">
      <x:c r="A109" s="22" t="str">
        <x:v>2022-2026-Copalis-Mocrocks.pdf</x:v>
      </x:c>
      <x:c r="B109" s="26" t="n">
        <x:v>7</x:v>
      </x:c>
      <x:c r="C109" s="22" t="str">
        <x:v>P07</x:v>
      </x:c>
      <x:c r="D109" s="22" t="str">
        <x:v>Mocrocks</x:v>
      </x:c>
      <x:c r="E109" s="22" t="str">
        <x:v>Roosevelt App. South</x:v>
      </x:c>
      <x:c r="F109" s="24" t="n">
        <x:v>45359</x:v>
      </x:c>
      <x:c r="G109" s="22" t="str">
        <x:v>M. Joseph</x:v>
      </x:c>
      <x:c r="H109" s="26" t="n">
        <x:v>5</x:v>
      </x:c>
      <x:c r="I109" s="22" t="str">
        <x:v>15-minute interval</x:v>
      </x:c>
      <x:c r="J109" s="22" t="str">
        <x:v>1445</x:v>
      </x:c>
      <x:c r="K109" s="22" t="str">
        <x:v>1500</x:v>
      </x:c>
      <x:c r="L109" s="22" t="str">
        <x:v>2:15</x:v>
      </x:c>
      <x:c r="M109" s="22" t="str">
        <x:v>2:00</x:v>
      </x:c>
      <x:c r="N109" s="22" t="str">
        <x:v>26</x:v>
      </x:c>
      <x:c r="O109" s="26" t="n">
        <x:v>26</x:v>
      </x:c>
      <x:c r="P109" s="22" t="str">
        <x:v>0</x:v>
      </x:c>
      <x:c r="Q109" s="26" t="n">
        <x:v>0</x:v>
      </x:c>
      <x:c r="R109" s="22" t="str">
        <x:v>Observed</x:v>
      </x:c>
      <x:c r="S109" s="22" t="str"/>
      <x:c r="T109" s="26" t="n">
        <x:f>IF(R109&lt;&gt;"Observed","",SUMIFS($O$3:O109,$C$3:C109,C109,$R$3:R109,"Observed"))</x:f>
        <x:v>89</x:v>
      </x:c>
      <x:c r="U109" s="26" t="n">
        <x:f>IF(R109&lt;&gt;"Observed","",SUMIFS($Q$3:Q109,$C$3:C109,C109,$R$3:R109,"Observed"))</x:f>
        <x:v>4</x:v>
      </x:c>
      <x:c r="V109" s="26" t="n">
        <x:f>IF(R109&lt;&gt;"Observed","",T109-U109)</x:f>
        <x:v>85</x:v>
      </x:c>
    </x:row>
    <x:row r="110">
      <x:c r="A110" s="22" t="str">
        <x:v>2022-2026-Copalis-Mocrocks.pdf</x:v>
      </x:c>
      <x:c r="B110" s="26" t="n">
        <x:v>7</x:v>
      </x:c>
      <x:c r="C110" s="22" t="str">
        <x:v>P07</x:v>
      </x:c>
      <x:c r="D110" s="22" t="str">
        <x:v>Mocrocks</x:v>
      </x:c>
      <x:c r="E110" s="22" t="str">
        <x:v>Roosevelt App. South</x:v>
      </x:c>
      <x:c r="F110" s="24" t="n">
        <x:v>45359</x:v>
      </x:c>
      <x:c r="G110" s="22" t="str">
        <x:v>M. Joseph</x:v>
      </x:c>
      <x:c r="H110" s="26" t="n">
        <x:v>6</x:v>
      </x:c>
      <x:c r="I110" s="22" t="str">
        <x:v>15-minute interval</x:v>
      </x:c>
      <x:c r="J110" s="22" t="str">
        <x:v>1500</x:v>
      </x:c>
      <x:c r="K110" s="22" t="str">
        <x:v>1515</x:v>
      </x:c>
      <x:c r="L110" s="22" t="str">
        <x:v>2:00</x:v>
      </x:c>
      <x:c r="M110" s="22" t="str">
        <x:v>1:45</x:v>
      </x:c>
      <x:c r="N110" s="22" t="str">
        <x:v>29</x:v>
      </x:c>
      <x:c r="O110" s="26" t="n">
        <x:v>29</x:v>
      </x:c>
      <x:c r="P110" s="22" t="str">
        <x:v>4</x:v>
      </x:c>
      <x:c r="Q110" s="26" t="n">
        <x:v>4</x:v>
      </x:c>
      <x:c r="R110" s="22" t="str">
        <x:v>Observed</x:v>
      </x:c>
      <x:c r="S110" s="22" t="str"/>
      <x:c r="T110" s="26" t="n">
        <x:f>IF(R110&lt;&gt;"Observed","",SUMIFS($O$3:O110,$C$3:C110,C110,$R$3:R110,"Observed"))</x:f>
        <x:v>118</x:v>
      </x:c>
      <x:c r="U110" s="26" t="n">
        <x:f>IF(R110&lt;&gt;"Observed","",SUMIFS($Q$3:Q110,$C$3:C110,C110,$R$3:R110,"Observed"))</x:f>
        <x:v>8</x:v>
      </x:c>
      <x:c r="V110" s="26" t="n">
        <x:f>IF(R110&lt;&gt;"Observed","",T110-U110)</x:f>
        <x:v>110</x:v>
      </x:c>
    </x:row>
    <x:row r="111">
      <x:c r="A111" s="22" t="str">
        <x:v>2022-2026-Copalis-Mocrocks.pdf</x:v>
      </x:c>
      <x:c r="B111" s="26" t="n">
        <x:v>7</x:v>
      </x:c>
      <x:c r="C111" s="22" t="str">
        <x:v>P07</x:v>
      </x:c>
      <x:c r="D111" s="22" t="str">
        <x:v>Mocrocks</x:v>
      </x:c>
      <x:c r="E111" s="22" t="str">
        <x:v>Roosevelt App. South</x:v>
      </x:c>
      <x:c r="F111" s="24" t="n">
        <x:v>45359</x:v>
      </x:c>
      <x:c r="G111" s="22" t="str">
        <x:v>M. Joseph</x:v>
      </x:c>
      <x:c r="H111" s="26" t="n">
        <x:v>7</x:v>
      </x:c>
      <x:c r="I111" s="22" t="str">
        <x:v>15-minute interval</x:v>
      </x:c>
      <x:c r="J111" s="22" t="str">
        <x:v>1515</x:v>
      </x:c>
      <x:c r="K111" s="22" t="str">
        <x:v>1530</x:v>
      </x:c>
      <x:c r="L111" s="22" t="str">
        <x:v>1:45</x:v>
      </x:c>
      <x:c r="M111" s="22" t="str">
        <x:v>1:30</x:v>
      </x:c>
      <x:c r="N111" s="22" t="str">
        <x:v>34</x:v>
      </x:c>
      <x:c r="O111" s="26" t="n">
        <x:v>34</x:v>
      </x:c>
      <x:c r="P111" s="22" t="str">
        <x:v>2</x:v>
      </x:c>
      <x:c r="Q111" s="26" t="n">
        <x:v>2</x:v>
      </x:c>
      <x:c r="R111" s="22" t="str">
        <x:v>Observed</x:v>
      </x:c>
      <x:c r="S111" s="22" t="str"/>
      <x:c r="T111" s="26" t="n">
        <x:f>IF(R111&lt;&gt;"Observed","",SUMIFS($O$3:O111,$C$3:C111,C111,$R$3:R111,"Observed"))</x:f>
        <x:v>152</x:v>
      </x:c>
      <x:c r="U111" s="26" t="n">
        <x:f>IF(R111&lt;&gt;"Observed","",SUMIFS($Q$3:Q111,$C$3:C111,C111,$R$3:R111,"Observed"))</x:f>
        <x:v>10</x:v>
      </x:c>
      <x:c r="V111" s="26" t="n">
        <x:f>IF(R111&lt;&gt;"Observed","",T111-U111)</x:f>
        <x:v>142</x:v>
      </x:c>
    </x:row>
    <x:row r="112">
      <x:c r="A112" s="22" t="str">
        <x:v>2022-2026-Copalis-Mocrocks.pdf</x:v>
      </x:c>
      <x:c r="B112" s="26" t="n">
        <x:v>7</x:v>
      </x:c>
      <x:c r="C112" s="22" t="str">
        <x:v>P07</x:v>
      </x:c>
      <x:c r="D112" s="22" t="str">
        <x:v>Mocrocks</x:v>
      </x:c>
      <x:c r="E112" s="22" t="str">
        <x:v>Roosevelt App. South</x:v>
      </x:c>
      <x:c r="F112" s="24" t="n">
        <x:v>45359</x:v>
      </x:c>
      <x:c r="G112" s="22" t="str">
        <x:v>M. Joseph</x:v>
      </x:c>
      <x:c r="H112" s="26" t="n">
        <x:v>8</x:v>
      </x:c>
      <x:c r="I112" s="22" t="str">
        <x:v>15-minute interval</x:v>
      </x:c>
      <x:c r="J112" s="22" t="str">
        <x:v>1530</x:v>
      </x:c>
      <x:c r="K112" s="22" t="str">
        <x:v>1545</x:v>
      </x:c>
      <x:c r="L112" s="22" t="str">
        <x:v>1:30</x:v>
      </x:c>
      <x:c r="M112" s="22" t="str">
        <x:v>1:15</x:v>
      </x:c>
      <x:c r="N112" s="22" t="str">
        <x:v>38</x:v>
      </x:c>
      <x:c r="O112" s="26" t="n">
        <x:v>38</x:v>
      </x:c>
      <x:c r="P112" s="22" t="str">
        <x:v>2</x:v>
      </x:c>
      <x:c r="Q112" s="26" t="n">
        <x:v>2</x:v>
      </x:c>
      <x:c r="R112" s="22" t="str">
        <x:v>Observed</x:v>
      </x:c>
      <x:c r="S112" s="22" t="str"/>
      <x:c r="T112" s="26" t="n">
        <x:f>IF(R112&lt;&gt;"Observed","",SUMIFS($O$3:O112,$C$3:C112,C112,$R$3:R112,"Observed"))</x:f>
        <x:v>190</x:v>
      </x:c>
      <x:c r="U112" s="26" t="n">
        <x:f>IF(R112&lt;&gt;"Observed","",SUMIFS($Q$3:Q112,$C$3:C112,C112,$R$3:R112,"Observed"))</x:f>
        <x:v>12</x:v>
      </x:c>
      <x:c r="V112" s="26" t="n">
        <x:f>IF(R112&lt;&gt;"Observed","",T112-U112)</x:f>
        <x:v>178</x:v>
      </x:c>
    </x:row>
    <x:row r="113">
      <x:c r="A113" s="22" t="str">
        <x:v>2022-2026-Copalis-Mocrocks.pdf</x:v>
      </x:c>
      <x:c r="B113" s="26" t="n">
        <x:v>7</x:v>
      </x:c>
      <x:c r="C113" s="22" t="str">
        <x:v>P07</x:v>
      </x:c>
      <x:c r="D113" s="22" t="str">
        <x:v>Mocrocks</x:v>
      </x:c>
      <x:c r="E113" s="22" t="str">
        <x:v>Roosevelt App. South</x:v>
      </x:c>
      <x:c r="F113" s="24" t="n">
        <x:v>45359</x:v>
      </x:c>
      <x:c r="G113" s="22" t="str">
        <x:v>M. Joseph</x:v>
      </x:c>
      <x:c r="H113" s="26" t="n">
        <x:v>9</x:v>
      </x:c>
      <x:c r="I113" s="22" t="str">
        <x:v>15-minute interval</x:v>
      </x:c>
      <x:c r="J113" s="22" t="str">
        <x:v>1545</x:v>
      </x:c>
      <x:c r="K113" s="22" t="str">
        <x:v>1600</x:v>
      </x:c>
      <x:c r="L113" s="22" t="str">
        <x:v>1:15</x:v>
      </x:c>
      <x:c r="M113" s="22" t="str">
        <x:v>1:00</x:v>
      </x:c>
      <x:c r="N113" s="22" t="str">
        <x:v>27</x:v>
      </x:c>
      <x:c r="O113" s="26" t="n">
        <x:v>27</x:v>
      </x:c>
      <x:c r="P113" s="22" t="str">
        <x:v>12</x:v>
      </x:c>
      <x:c r="Q113" s="26" t="n">
        <x:v>12</x:v>
      </x:c>
      <x:c r="R113" s="22" t="str">
        <x:v>Observed</x:v>
      </x:c>
      <x:c r="S113" s="22" t="str"/>
      <x:c r="T113" s="26" t="n">
        <x:f>IF(R113&lt;&gt;"Observed","",SUMIFS($O$3:O113,$C$3:C113,C113,$R$3:R113,"Observed"))</x:f>
        <x:v>217</x:v>
      </x:c>
      <x:c r="U113" s="26" t="n">
        <x:f>IF(R113&lt;&gt;"Observed","",SUMIFS($Q$3:Q113,$C$3:C113,C113,$R$3:R113,"Observed"))</x:f>
        <x:v>24</x:v>
      </x:c>
      <x:c r="V113" s="26" t="n">
        <x:f>IF(R113&lt;&gt;"Observed","",T113-U113)</x:f>
        <x:v>193</x:v>
      </x:c>
    </x:row>
    <x:row r="114">
      <x:c r="A114" s="22" t="str">
        <x:v>2022-2026-Copalis-Mocrocks.pdf</x:v>
      </x:c>
      <x:c r="B114" s="26" t="n">
        <x:v>7</x:v>
      </x:c>
      <x:c r="C114" s="22" t="str">
        <x:v>P07</x:v>
      </x:c>
      <x:c r="D114" s="22" t="str">
        <x:v>Mocrocks</x:v>
      </x:c>
      <x:c r="E114" s="22" t="str">
        <x:v>Roosevelt App. South</x:v>
      </x:c>
      <x:c r="F114" s="24" t="n">
        <x:v>45359</x:v>
      </x:c>
      <x:c r="G114" s="22" t="str">
        <x:v>M. Joseph</x:v>
      </x:c>
      <x:c r="H114" s="26" t="n">
        <x:v>10</x:v>
      </x:c>
      <x:c r="I114" s="22" t="str">
        <x:v>15-minute interval</x:v>
      </x:c>
      <x:c r="J114" s="22" t="str">
        <x:v>1600</x:v>
      </x:c>
      <x:c r="K114" s="22" t="str">
        <x:v>1615</x:v>
      </x:c>
      <x:c r="L114" s="22" t="str">
        <x:v>1:00</x:v>
      </x:c>
      <x:c r="M114" s="22" t="str">
        <x:v>0:45</x:v>
      </x:c>
      <x:c r="N114" s="22" t="str">
        <x:v>23</x:v>
      </x:c>
      <x:c r="O114" s="26" t="n">
        <x:v>23</x:v>
      </x:c>
      <x:c r="P114" s="22" t="str">
        <x:v>7</x:v>
      </x:c>
      <x:c r="Q114" s="26" t="n">
        <x:v>7</x:v>
      </x:c>
      <x:c r="R114" s="22" t="str">
        <x:v>Observed</x:v>
      </x:c>
      <x:c r="S114" s="22" t="str"/>
      <x:c r="T114" s="26" t="n">
        <x:f>IF(R114&lt;&gt;"Observed","",SUMIFS($O$3:O114,$C$3:C114,C114,$R$3:R114,"Observed"))</x:f>
        <x:v>240</x:v>
      </x:c>
      <x:c r="U114" s="26" t="n">
        <x:f>IF(R114&lt;&gt;"Observed","",SUMIFS($Q$3:Q114,$C$3:C114,C114,$R$3:R114,"Observed"))</x:f>
        <x:v>31</x:v>
      </x:c>
      <x:c r="V114" s="26" t="n">
        <x:f>IF(R114&lt;&gt;"Observed","",T114-U114)</x:f>
        <x:v>209</x:v>
      </x:c>
    </x:row>
    <x:row r="115">
      <x:c r="A115" s="22" t="str">
        <x:v>2022-2026-Copalis-Mocrocks.pdf</x:v>
      </x:c>
      <x:c r="B115" s="26" t="n">
        <x:v>7</x:v>
      </x:c>
      <x:c r="C115" s="22" t="str">
        <x:v>P07</x:v>
      </x:c>
      <x:c r="D115" s="22" t="str">
        <x:v>Mocrocks</x:v>
      </x:c>
      <x:c r="E115" s="22" t="str">
        <x:v>Roosevelt App. South</x:v>
      </x:c>
      <x:c r="F115" s="24" t="n">
        <x:v>45359</x:v>
      </x:c>
      <x:c r="G115" s="22" t="str">
        <x:v>M. Joseph</x:v>
      </x:c>
      <x:c r="H115" s="26" t="n">
        <x:v>11</x:v>
      </x:c>
      <x:c r="I115" s="22" t="str">
        <x:v>15-minute interval</x:v>
      </x:c>
      <x:c r="J115" s="22" t="str">
        <x:v>1615</x:v>
      </x:c>
      <x:c r="K115" s="22" t="str">
        <x:v>1630</x:v>
      </x:c>
      <x:c r="L115" s="22" t="str">
        <x:v>0:45</x:v>
      </x:c>
      <x:c r="M115" s="22" t="str">
        <x:v>0:30</x:v>
      </x:c>
      <x:c r="N115" s="22" t="str">
        <x:v>29</x:v>
      </x:c>
      <x:c r="O115" s="26" t="n">
        <x:v>29</x:v>
      </x:c>
      <x:c r="P115" s="22" t="str">
        <x:v>28</x:v>
      </x:c>
      <x:c r="Q115" s="26" t="n">
        <x:v>28</x:v>
      </x:c>
      <x:c r="R115" s="22" t="str">
        <x:v>Observed</x:v>
      </x:c>
      <x:c r="S115" s="22" t="str"/>
      <x:c r="T115" s="26" t="n">
        <x:f>IF(R115&lt;&gt;"Observed","",SUMIFS($O$3:O115,$C$3:C115,C115,$R$3:R115,"Observed"))</x:f>
        <x:v>269</x:v>
      </x:c>
      <x:c r="U115" s="26" t="n">
        <x:f>IF(R115&lt;&gt;"Observed","",SUMIFS($Q$3:Q115,$C$3:C115,C115,$R$3:R115,"Observed"))</x:f>
        <x:v>59</x:v>
      </x:c>
      <x:c r="V115" s="26" t="n">
        <x:f>IF(R115&lt;&gt;"Observed","",T115-U115)</x:f>
        <x:v>210</x:v>
      </x:c>
    </x:row>
    <x:row r="116">
      <x:c r="A116" s="22" t="str">
        <x:v>2022-2026-Copalis-Mocrocks.pdf</x:v>
      </x:c>
      <x:c r="B116" s="26" t="n">
        <x:v>7</x:v>
      </x:c>
      <x:c r="C116" s="22" t="str">
        <x:v>P07</x:v>
      </x:c>
      <x:c r="D116" s="22" t="str">
        <x:v>Mocrocks</x:v>
      </x:c>
      <x:c r="E116" s="22" t="str">
        <x:v>Roosevelt App. South</x:v>
      </x:c>
      <x:c r="F116" s="24" t="n">
        <x:v>45359</x:v>
      </x:c>
      <x:c r="G116" s="22" t="str">
        <x:v>M. Joseph</x:v>
      </x:c>
      <x:c r="H116" s="26" t="n">
        <x:v>12</x:v>
      </x:c>
      <x:c r="I116" s="22" t="str">
        <x:v>15-minute interval</x:v>
      </x:c>
      <x:c r="J116" s="22" t="str">
        <x:v>1630</x:v>
      </x:c>
      <x:c r="K116" s="22" t="str">
        <x:v>1645</x:v>
      </x:c>
      <x:c r="L116" s="22" t="str">
        <x:v>0:30</x:v>
      </x:c>
      <x:c r="M116" s="22" t="str">
        <x:v>0:15</x:v>
      </x:c>
      <x:c r="N116" s="22" t="str">
        <x:v>10</x:v>
      </x:c>
      <x:c r="O116" s="26" t="n">
        <x:v>10</x:v>
      </x:c>
      <x:c r="P116" s="22" t="str">
        <x:v>23</x:v>
      </x:c>
      <x:c r="Q116" s="26" t="n">
        <x:v>23</x:v>
      </x:c>
      <x:c r="R116" s="22" t="str">
        <x:v>Observed</x:v>
      </x:c>
      <x:c r="S116" s="22" t="str"/>
      <x:c r="T116" s="26" t="n">
        <x:f>IF(R116&lt;&gt;"Observed","",SUMIFS($O$3:O116,$C$3:C116,C116,$R$3:R116,"Observed"))</x:f>
        <x:v>279</x:v>
      </x:c>
      <x:c r="U116" s="26" t="n">
        <x:f>IF(R116&lt;&gt;"Observed","",SUMIFS($Q$3:Q116,$C$3:C116,C116,$R$3:R116,"Observed"))</x:f>
        <x:v>82</x:v>
      </x:c>
      <x:c r="V116" s="26" t="n">
        <x:f>IF(R116&lt;&gt;"Observed","",T116-U116)</x:f>
        <x:v>197</x:v>
      </x:c>
    </x:row>
    <x:row r="117">
      <x:c r="A117" s="22" t="str">
        <x:v>2022-2026-Copalis-Mocrocks.pdf</x:v>
      </x:c>
      <x:c r="B117" s="26" t="n">
        <x:v>7</x:v>
      </x:c>
      <x:c r="C117" s="22" t="str">
        <x:v>P07</x:v>
      </x:c>
      <x:c r="D117" s="22" t="str">
        <x:v>Mocrocks</x:v>
      </x:c>
      <x:c r="E117" s="22" t="str">
        <x:v>Roosevelt App. South</x:v>
      </x:c>
      <x:c r="F117" s="24" t="n">
        <x:v>45359</x:v>
      </x:c>
      <x:c r="G117" s="22" t="str">
        <x:v>M. Joseph</x:v>
      </x:c>
      <x:c r="H117" s="26" t="n">
        <x:v>13</x:v>
      </x:c>
      <x:c r="I117" s="22" t="str">
        <x:v>15-minute interval</x:v>
      </x:c>
      <x:c r="J117" s="22" t="str">
        <x:v>1645</x:v>
      </x:c>
      <x:c r="K117" s="22" t="str">
        <x:v>1700</x:v>
      </x:c>
      <x:c r="L117" s="22" t="str">
        <x:v>0:15</x:v>
      </x:c>
      <x:c r="M117" s="22" t="str">
        <x:v>0:00</x:v>
      </x:c>
      <x:c r="N117" s="22" t="str">
        <x:v>11</x:v>
      </x:c>
      <x:c r="O117" s="26" t="n">
        <x:v>11</x:v>
      </x:c>
      <x:c r="P117" s="22" t="str">
        <x:v>28</x:v>
      </x:c>
      <x:c r="Q117" s="26" t="n">
        <x:v>28</x:v>
      </x:c>
      <x:c r="R117" s="22" t="str">
        <x:v>Observed</x:v>
      </x:c>
      <x:c r="S117" s="22" t="str"/>
      <x:c r="T117" s="26" t="n">
        <x:f>IF(R117&lt;&gt;"Observed","",SUMIFS($O$3:O117,$C$3:C117,C117,$R$3:R117,"Observed"))</x:f>
        <x:v>290</x:v>
      </x:c>
      <x:c r="U117" s="26" t="n">
        <x:f>IF(R117&lt;&gt;"Observed","",SUMIFS($Q$3:Q117,$C$3:C117,C117,$R$3:R117,"Observed"))</x:f>
        <x:v>110</x:v>
      </x:c>
      <x:c r="V117" s="26" t="n">
        <x:f>IF(R117&lt;&gt;"Observed","",T117-U117)</x:f>
        <x:v>180</x:v>
      </x:c>
    </x:row>
    <x:row r="118">
      <x:c r="A118" s="22" t="str">
        <x:v>2022-2026-Copalis-Mocrocks.pdf</x:v>
      </x:c>
      <x:c r="B118" s="26" t="n">
        <x:v>7</x:v>
      </x:c>
      <x:c r="C118" s="22" t="str">
        <x:v>P07</x:v>
      </x:c>
      <x:c r="D118" s="22" t="str">
        <x:v>Mocrocks</x:v>
      </x:c>
      <x:c r="E118" s="22" t="str">
        <x:v>Roosevelt App. South</x:v>
      </x:c>
      <x:c r="F118" s="24" t="n">
        <x:v>45359</x:v>
      </x:c>
      <x:c r="G118" s="22" t="str">
        <x:v>M. Joseph</x:v>
      </x:c>
      <x:c r="H118" s="26" t="n">
        <x:v>14</x:v>
      </x:c>
      <x:c r="I118" s="22" t="str">
        <x:v>15-minute interval</x:v>
      </x:c>
      <x:c r="J118" s="22" t="str">
        <x:v>1700</x:v>
      </x:c>
      <x:c r="K118" s="22" t="str">
        <x:v>1715</x:v>
      </x:c>
      <x:c r="L118" s="22" t="str">
        <x:v>0:00</x:v>
      </x:c>
      <x:c r="M118" s="22" t="str">
        <x:v>0:15</x:v>
      </x:c>
      <x:c r="N118" s="22" t="str">
        <x:v>7</x:v>
      </x:c>
      <x:c r="O118" s="26" t="n">
        <x:v>7</x:v>
      </x:c>
      <x:c r="P118" s="22" t="str">
        <x:v>29</x:v>
      </x:c>
      <x:c r="Q118" s="26" t="n">
        <x:v>29</x:v>
      </x:c>
      <x:c r="R118" s="22" t="str">
        <x:v>Observed</x:v>
      </x:c>
      <x:c r="S118" s="22" t="str"/>
      <x:c r="T118" s="26" t="n">
        <x:f>IF(R118&lt;&gt;"Observed","",SUMIFS($O$3:O118,$C$3:C118,C118,$R$3:R118,"Observed"))</x:f>
        <x:v>297</x:v>
      </x:c>
      <x:c r="U118" s="26" t="n">
        <x:f>IF(R118&lt;&gt;"Observed","",SUMIFS($Q$3:Q118,$C$3:C118,C118,$R$3:R118,"Observed"))</x:f>
        <x:v>139</x:v>
      </x:c>
      <x:c r="V118" s="26" t="n">
        <x:f>IF(R118&lt;&gt;"Observed","",T118-U118)</x:f>
        <x:v>158</x:v>
      </x:c>
    </x:row>
    <x:row r="119">
      <x:c r="A119" s="22" t="str">
        <x:v>2022-2026-Copalis-Mocrocks.pdf</x:v>
      </x:c>
      <x:c r="B119" s="26" t="n">
        <x:v>7</x:v>
      </x:c>
      <x:c r="C119" s="22" t="str">
        <x:v>P07</x:v>
      </x:c>
      <x:c r="D119" s="22" t="str">
        <x:v>Mocrocks</x:v>
      </x:c>
      <x:c r="E119" s="22" t="str">
        <x:v>Roosevelt App. South</x:v>
      </x:c>
      <x:c r="F119" s="24" t="n">
        <x:v>45359</x:v>
      </x:c>
      <x:c r="G119" s="22" t="str">
        <x:v>M. Joseph</x:v>
      </x:c>
      <x:c r="H119" s="26" t="n">
        <x:v>15</x:v>
      </x:c>
      <x:c r="I119" s="22" t="str">
        <x:v>15-minute interval</x:v>
      </x:c>
      <x:c r="J119" s="22" t="str">
        <x:v>1715</x:v>
      </x:c>
      <x:c r="K119" s="22" t="str">
        <x:v>1730</x:v>
      </x:c>
      <x:c r="L119" s="22" t="str">
        <x:v>0:15</x:v>
      </x:c>
      <x:c r="M119" s="22" t="str">
        <x:v>0:30</x:v>
      </x:c>
      <x:c r="N119" s="22" t="str">
        <x:v>8</x:v>
      </x:c>
      <x:c r="O119" s="26" t="n">
        <x:v>8</x:v>
      </x:c>
      <x:c r="P119" s="22" t="str">
        <x:v>43</x:v>
      </x:c>
      <x:c r="Q119" s="26" t="n">
        <x:v>43</x:v>
      </x:c>
      <x:c r="R119" s="22" t="str">
        <x:v>Observed</x:v>
      </x:c>
      <x:c r="S119" s="22" t="str"/>
      <x:c r="T119" s="26" t="n">
        <x:f>IF(R119&lt;&gt;"Observed","",SUMIFS($O$3:O119,$C$3:C119,C119,$R$3:R119,"Observed"))</x:f>
        <x:v>305</x:v>
      </x:c>
      <x:c r="U119" s="26" t="n">
        <x:f>IF(R119&lt;&gt;"Observed","",SUMIFS($Q$3:Q119,$C$3:C119,C119,$R$3:R119,"Observed"))</x:f>
        <x:v>182</x:v>
      </x:c>
      <x:c r="V119" s="26" t="n">
        <x:f>IF(R119&lt;&gt;"Observed","",T119-U119)</x:f>
        <x:v>123</x:v>
      </x:c>
    </x:row>
    <x:row r="120">
      <x:c r="A120" s="22" t="str">
        <x:v>2022-2026-Copalis-Mocrocks.pdf</x:v>
      </x:c>
      <x:c r="B120" s="26" t="n">
        <x:v>7</x:v>
      </x:c>
      <x:c r="C120" s="22" t="str">
        <x:v>P07</x:v>
      </x:c>
      <x:c r="D120" s="22" t="str">
        <x:v>Mocrocks</x:v>
      </x:c>
      <x:c r="E120" s="22" t="str">
        <x:v>Roosevelt App. South</x:v>
      </x:c>
      <x:c r="F120" s="24" t="n">
        <x:v>45359</x:v>
      </x:c>
      <x:c r="G120" s="22" t="str">
        <x:v>M. Joseph</x:v>
      </x:c>
      <x:c r="H120" s="26" t="n">
        <x:v>16</x:v>
      </x:c>
      <x:c r="I120" s="22" t="str">
        <x:v>15-minute interval</x:v>
      </x:c>
      <x:c r="J120" s="22" t="str">
        <x:v>1730</x:v>
      </x:c>
      <x:c r="K120" s="22" t="str">
        <x:v>1745</x:v>
      </x:c>
      <x:c r="L120" s="22" t="str">
        <x:v>0:30</x:v>
      </x:c>
      <x:c r="M120" s="22" t="str">
        <x:v>0:45</x:v>
      </x:c>
      <x:c r="N120" s="22" t="str">
        <x:v>2</x:v>
      </x:c>
      <x:c r="O120" s="26" t="n">
        <x:v>2</x:v>
      </x:c>
      <x:c r="P120" s="22" t="str">
        <x:v>45</x:v>
      </x:c>
      <x:c r="Q120" s="26" t="n">
        <x:v>45</x:v>
      </x:c>
      <x:c r="R120" s="22" t="str">
        <x:v>Observed</x:v>
      </x:c>
      <x:c r="S120" s="22" t="str"/>
      <x:c r="T120" s="26" t="n">
        <x:f>IF(R120&lt;&gt;"Observed","",SUMIFS($O$3:O120,$C$3:C120,C120,$R$3:R120,"Observed"))</x:f>
        <x:v>307</x:v>
      </x:c>
      <x:c r="U120" s="26" t="n">
        <x:f>IF(R120&lt;&gt;"Observed","",SUMIFS($Q$3:Q120,$C$3:C120,C120,$R$3:R120,"Observed"))</x:f>
        <x:v>227</x:v>
      </x:c>
      <x:c r="V120" s="26" t="n">
        <x:f>IF(R120&lt;&gt;"Observed","",T120-U120)</x:f>
        <x:v>80</x:v>
      </x:c>
    </x:row>
    <x:row r="121">
      <x:c r="A121" s="22" t="str">
        <x:v>2022-2026-Copalis-Mocrocks.pdf</x:v>
      </x:c>
      <x:c r="B121" s="26" t="n">
        <x:v>7</x:v>
      </x:c>
      <x:c r="C121" s="22" t="str">
        <x:v>P07</x:v>
      </x:c>
      <x:c r="D121" s="22" t="str">
        <x:v>Mocrocks</x:v>
      </x:c>
      <x:c r="E121" s="22" t="str">
        <x:v>Roosevelt App. South</x:v>
      </x:c>
      <x:c r="F121" s="24" t="n">
        <x:v>45359</x:v>
      </x:c>
      <x:c r="G121" s="22" t="str">
        <x:v>M. Joseph</x:v>
      </x:c>
      <x:c r="H121" s="26" t="n">
        <x:v>17</x:v>
      </x:c>
      <x:c r="I121" s="22" t="str">
        <x:v>15-minute interval</x:v>
      </x:c>
      <x:c r="J121" s="22" t="str">
        <x:v>1745</x:v>
      </x:c>
      <x:c r="K121" s="22" t="str">
        <x:v>1800</x:v>
      </x:c>
      <x:c r="L121" s="22" t="str">
        <x:v>0:45</x:v>
      </x:c>
      <x:c r="M121" s="22" t="str">
        <x:v>1:00</x:v>
      </x:c>
      <x:c r="N121" s="22" t="str">
        <x:v>-</x:v>
      </x:c>
      <x:c r="O121" s="26"/>
      <x:c r="P121" s="22" t="str">
        <x:v>-</x:v>
      </x:c>
      <x:c r="Q121" s="26"/>
      <x:c r="R121" s="22" t="str">
        <x:v>Not recorded</x:v>
      </x:c>
      <x:c r="S121" s="22" t="str">
        <x:v>Dashes; no numeric value recorded.</x:v>
      </x:c>
      <x:c r="T121" s="26" t="str">
        <x:f>IF(R121&lt;&gt;"Observed","",SUMIFS($O$3:O121,$C$3:C121,C121,$R$3:R121,"Observed"))</x:f>
      </x:c>
      <x:c r="U121" s="26" t="str">
        <x:f>IF(R121&lt;&gt;"Observed","",SUMIFS($Q$3:Q121,$C$3:C121,C121,$R$3:R121,"Observed"))</x:f>
      </x:c>
      <x:c r="V121" s="26" t="str">
        <x:f>IF(R121&lt;&gt;"Observed","",T121-U121)</x:f>
      </x:c>
    </x:row>
    <x:row r="122">
      <x:c r="A122" s="22" t="str">
        <x:v>2022-2026-Copalis-Mocrocks.pdf</x:v>
      </x:c>
      <x:c r="B122" s="26" t="n">
        <x:v>8</x:v>
      </x:c>
      <x:c r="C122" s="22" t="str">
        <x:v>P08</x:v>
      </x:c>
      <x:c r="D122" s="22" t="str">
        <x:v>Copalis Beach</x:v>
      </x:c>
      <x:c r="E122" s="22" t="str">
        <x:v>Ocean City North</x:v>
      </x:c>
      <x:c r="F122" s="24" t="n">
        <x:v>45366</x:v>
      </x:c>
      <x:c r="G122" s="22" t="str">
        <x:v>BB/CF</x:v>
      </x:c>
      <x:c r="H122" s="26" t="n">
        <x:v>1</x:v>
      </x:c>
      <x:c r="I122" s="22" t="str">
        <x:v>Prior to Start</x:v>
      </x:c>
      <x:c r="J122" s="22" t="str">
        <x:v>Prior to Start</x:v>
      </x:c>
      <x:c r="K122" s="22" t="str"/>
      <x:c r="L122" s="22" t="str">
        <x:v>to Start</x:v>
      </x:c>
      <x:c r="M122" s="22" t="str"/>
      <x:c r="N122" s="22" t="str">
        <x:v>10</x:v>
      </x:c>
      <x:c r="O122" s="26" t="n">
        <x:v>10</x:v>
      </x:c>
      <x:c r="P122" s="22" t="str"/>
      <x:c r="Q122" s="26" t="n">
        <x:v>0</x:v>
      </x:c>
      <x:c r="R122" s="22" t="str">
        <x:v>Observed</x:v>
      </x:c>
      <x:c r="S122" s="22" t="str">
        <x:v>Cars Off source cell blank; treated as 0.</x:v>
      </x:c>
      <x:c r="T122" s="26" t="n">
        <x:f>IF(R122&lt;&gt;"Observed","",SUMIFS($O$3:O122,$C$3:C122,C122,$R$3:R122,"Observed"))</x:f>
        <x:v>10</x:v>
      </x:c>
      <x:c r="U122" s="26" t="n">
        <x:f>IF(R122&lt;&gt;"Observed","",SUMIFS($Q$3:Q122,$C$3:C122,C122,$R$3:R122,"Observed"))</x:f>
        <x:v>0</x:v>
      </x:c>
      <x:c r="V122" s="26" t="n">
        <x:f>IF(R122&lt;&gt;"Observed","",T122-U122)</x:f>
        <x:v>10</x:v>
      </x:c>
    </x:row>
    <x:row r="123">
      <x:c r="A123" s="22" t="str">
        <x:v>2022-2026-Copalis-Mocrocks.pdf</x:v>
      </x:c>
      <x:c r="B123" s="26" t="n">
        <x:v>8</x:v>
      </x:c>
      <x:c r="C123" s="22" t="str">
        <x:v>P08</x:v>
      </x:c>
      <x:c r="D123" s="22" t="str">
        <x:v>Copalis Beach</x:v>
      </x:c>
      <x:c r="E123" s="22" t="str">
        <x:v>Ocean City North</x:v>
      </x:c>
      <x:c r="F123" s="24" t="n">
        <x:v>45366</x:v>
      </x:c>
      <x:c r="G123" s="22" t="str">
        <x:v>BB/CF</x:v>
      </x:c>
      <x:c r="H123" s="26" t="n">
        <x:v>2</x:v>
      </x:c>
      <x:c r="I123" s="22" t="str">
        <x:v>15-minute interval</x:v>
      </x:c>
      <x:c r="J123" s="22" t="str">
        <x:v>0808</x:v>
      </x:c>
      <x:c r="K123" s="22" t="str">
        <x:v>0823</x:v>
      </x:c>
      <x:c r="L123" s="22" t="str">
        <x:v>3:00</x:v>
      </x:c>
      <x:c r="M123" s="22" t="str">
        <x:v>2:45</x:v>
      </x:c>
      <x:c r="N123" s="22" t="str">
        <x:v>X</x:v>
      </x:c>
      <x:c r="O123" s="26"/>
      <x:c r="P123" s="22" t="str">
        <x:v>X</x:v>
      </x:c>
      <x:c r="Q123" s="26"/>
      <x:c r="R123" s="22" t="str">
        <x:v>Crossed out</x:v>
      </x:c>
      <x:c r="S123" s="22" t="str">
        <x:v>Both count cells crossed out.</x:v>
      </x:c>
      <x:c r="T123" s="26" t="str">
        <x:f>IF(R123&lt;&gt;"Observed","",SUMIFS($O$3:O123,$C$3:C123,C123,$R$3:R123,"Observed"))</x:f>
      </x:c>
      <x:c r="U123" s="26" t="str">
        <x:f>IF(R123&lt;&gt;"Observed","",SUMIFS($Q$3:Q123,$C$3:C123,C123,$R$3:R123,"Observed"))</x:f>
      </x:c>
      <x:c r="V123" s="26" t="str">
        <x:f>IF(R123&lt;&gt;"Observed","",T123-U123)</x:f>
      </x:c>
    </x:row>
    <x:row r="124">
      <x:c r="A124" s="22" t="str">
        <x:v>2022-2026-Copalis-Mocrocks.pdf</x:v>
      </x:c>
      <x:c r="B124" s="26" t="n">
        <x:v>8</x:v>
      </x:c>
      <x:c r="C124" s="22" t="str">
        <x:v>P08</x:v>
      </x:c>
      <x:c r="D124" s="22" t="str">
        <x:v>Copalis Beach</x:v>
      </x:c>
      <x:c r="E124" s="22" t="str">
        <x:v>Ocean City North</x:v>
      </x:c>
      <x:c r="F124" s="24" t="n">
        <x:v>45366</x:v>
      </x:c>
      <x:c r="G124" s="22" t="str">
        <x:v>BB/CF</x:v>
      </x:c>
      <x:c r="H124" s="26" t="n">
        <x:v>3</x:v>
      </x:c>
      <x:c r="I124" s="22" t="str">
        <x:v>15-minute interval</x:v>
      </x:c>
      <x:c r="J124" s="22" t="str">
        <x:v>0823</x:v>
      </x:c>
      <x:c r="K124" s="22" t="str">
        <x:v>0838</x:v>
      </x:c>
      <x:c r="L124" s="22" t="str">
        <x:v>2:45</x:v>
      </x:c>
      <x:c r="M124" s="22" t="str">
        <x:v>2:30</x:v>
      </x:c>
      <x:c r="N124" s="22" t="str">
        <x:v>8</x:v>
      </x:c>
      <x:c r="O124" s="26" t="n">
        <x:v>8</x:v>
      </x:c>
      <x:c r="P124" s="22" t="str">
        <x:v>0</x:v>
      </x:c>
      <x:c r="Q124" s="26" t="n">
        <x:v>0</x:v>
      </x:c>
      <x:c r="R124" s="22" t="str">
        <x:v>Observed</x:v>
      </x:c>
      <x:c r="S124" s="22" t="str"/>
      <x:c r="T124" s="26" t="n">
        <x:f>IF(R124&lt;&gt;"Observed","",SUMIFS($O$3:O124,$C$3:C124,C124,$R$3:R124,"Observed"))</x:f>
        <x:v>18</x:v>
      </x:c>
      <x:c r="U124" s="26" t="n">
        <x:f>IF(R124&lt;&gt;"Observed","",SUMIFS($Q$3:Q124,$C$3:C124,C124,$R$3:R124,"Observed"))</x:f>
        <x:v>0</x:v>
      </x:c>
      <x:c r="V124" s="26" t="n">
        <x:f>IF(R124&lt;&gt;"Observed","",T124-U124)</x:f>
        <x:v>18</x:v>
      </x:c>
    </x:row>
    <x:row r="125">
      <x:c r="A125" s="22" t="str">
        <x:v>2022-2026-Copalis-Mocrocks.pdf</x:v>
      </x:c>
      <x:c r="B125" s="26" t="n">
        <x:v>8</x:v>
      </x:c>
      <x:c r="C125" s="22" t="str">
        <x:v>P08</x:v>
      </x:c>
      <x:c r="D125" s="22" t="str">
        <x:v>Copalis Beach</x:v>
      </x:c>
      <x:c r="E125" s="22" t="str">
        <x:v>Ocean City North</x:v>
      </x:c>
      <x:c r="F125" s="24" t="n">
        <x:v>45366</x:v>
      </x:c>
      <x:c r="G125" s="22" t="str">
        <x:v>BB/CF</x:v>
      </x:c>
      <x:c r="H125" s="26" t="n">
        <x:v>4</x:v>
      </x:c>
      <x:c r="I125" s="22" t="str">
        <x:v>15-minute interval</x:v>
      </x:c>
      <x:c r="J125" s="22" t="str">
        <x:v>0838</x:v>
      </x:c>
      <x:c r="K125" s="22" t="str">
        <x:v>0853</x:v>
      </x:c>
      <x:c r="L125" s="22" t="str">
        <x:v>2:30</x:v>
      </x:c>
      <x:c r="M125" s="22" t="str">
        <x:v>2:15</x:v>
      </x:c>
      <x:c r="N125" s="22" t="str">
        <x:v>12</x:v>
      </x:c>
      <x:c r="O125" s="26" t="n">
        <x:v>12</x:v>
      </x:c>
      <x:c r="P125" s="22" t="str">
        <x:v>2</x:v>
      </x:c>
      <x:c r="Q125" s="26" t="n">
        <x:v>2</x:v>
      </x:c>
      <x:c r="R125" s="22" t="str">
        <x:v>Observed</x:v>
      </x:c>
      <x:c r="S125" s="22" t="str"/>
      <x:c r="T125" s="26" t="n">
        <x:f>IF(R125&lt;&gt;"Observed","",SUMIFS($O$3:O125,$C$3:C125,C125,$R$3:R125,"Observed"))</x:f>
        <x:v>30</x:v>
      </x:c>
      <x:c r="U125" s="26" t="n">
        <x:f>IF(R125&lt;&gt;"Observed","",SUMIFS($Q$3:Q125,$C$3:C125,C125,$R$3:R125,"Observed"))</x:f>
        <x:v>2</x:v>
      </x:c>
      <x:c r="V125" s="26" t="n">
        <x:f>IF(R125&lt;&gt;"Observed","",T125-U125)</x:f>
        <x:v>28</x:v>
      </x:c>
    </x:row>
    <x:row r="126">
      <x:c r="A126" s="22" t="str">
        <x:v>2022-2026-Copalis-Mocrocks.pdf</x:v>
      </x:c>
      <x:c r="B126" s="26" t="n">
        <x:v>8</x:v>
      </x:c>
      <x:c r="C126" s="22" t="str">
        <x:v>P08</x:v>
      </x:c>
      <x:c r="D126" s="22" t="str">
        <x:v>Copalis Beach</x:v>
      </x:c>
      <x:c r="E126" s="22" t="str">
        <x:v>Ocean City North</x:v>
      </x:c>
      <x:c r="F126" s="24" t="n">
        <x:v>45366</x:v>
      </x:c>
      <x:c r="G126" s="22" t="str">
        <x:v>BB/CF</x:v>
      </x:c>
      <x:c r="H126" s="26" t="n">
        <x:v>5</x:v>
      </x:c>
      <x:c r="I126" s="22" t="str">
        <x:v>15-minute interval</x:v>
      </x:c>
      <x:c r="J126" s="22" t="str">
        <x:v>0853</x:v>
      </x:c>
      <x:c r="K126" s="22" t="str">
        <x:v>0908</x:v>
      </x:c>
      <x:c r="L126" s="22" t="str">
        <x:v>2:15</x:v>
      </x:c>
      <x:c r="M126" s="22" t="str">
        <x:v>2:00</x:v>
      </x:c>
      <x:c r="N126" s="22" t="str">
        <x:v>35</x:v>
      </x:c>
      <x:c r="O126" s="26" t="n">
        <x:v>35</x:v>
      </x:c>
      <x:c r="P126" s="22" t="str">
        <x:v>0</x:v>
      </x:c>
      <x:c r="Q126" s="26" t="n">
        <x:v>0</x:v>
      </x:c>
      <x:c r="R126" s="22" t="str">
        <x:v>Observed</x:v>
      </x:c>
      <x:c r="S126" s="22" t="str"/>
      <x:c r="T126" s="26" t="n">
        <x:f>IF(R126&lt;&gt;"Observed","",SUMIFS($O$3:O126,$C$3:C126,C126,$R$3:R126,"Observed"))</x:f>
        <x:v>65</x:v>
      </x:c>
      <x:c r="U126" s="26" t="n">
        <x:f>IF(R126&lt;&gt;"Observed","",SUMIFS($Q$3:Q126,$C$3:C126,C126,$R$3:R126,"Observed"))</x:f>
        <x:v>2</x:v>
      </x:c>
      <x:c r="V126" s="26" t="n">
        <x:f>IF(R126&lt;&gt;"Observed","",T126-U126)</x:f>
        <x:v>63</x:v>
      </x:c>
    </x:row>
    <x:row r="127">
      <x:c r="A127" s="22" t="str">
        <x:v>2022-2026-Copalis-Mocrocks.pdf</x:v>
      </x:c>
      <x:c r="B127" s="26" t="n">
        <x:v>8</x:v>
      </x:c>
      <x:c r="C127" s="22" t="str">
        <x:v>P08</x:v>
      </x:c>
      <x:c r="D127" s="22" t="str">
        <x:v>Copalis Beach</x:v>
      </x:c>
      <x:c r="E127" s="22" t="str">
        <x:v>Ocean City North</x:v>
      </x:c>
      <x:c r="F127" s="24" t="n">
        <x:v>45366</x:v>
      </x:c>
      <x:c r="G127" s="22" t="str">
        <x:v>BB/CF</x:v>
      </x:c>
      <x:c r="H127" s="26" t="n">
        <x:v>6</x:v>
      </x:c>
      <x:c r="I127" s="22" t="str">
        <x:v>15-minute interval</x:v>
      </x:c>
      <x:c r="J127" s="22" t="str">
        <x:v>0908</x:v>
      </x:c>
      <x:c r="K127" s="22" t="str">
        <x:v>0923</x:v>
      </x:c>
      <x:c r="L127" s="22" t="str">
        <x:v>2:00</x:v>
      </x:c>
      <x:c r="M127" s="22" t="str">
        <x:v>1:45</x:v>
      </x:c>
      <x:c r="N127" s="22" t="str">
        <x:v>41</x:v>
      </x:c>
      <x:c r="O127" s="26" t="n">
        <x:v>41</x:v>
      </x:c>
      <x:c r="P127" s="22" t="str">
        <x:v>0</x:v>
      </x:c>
      <x:c r="Q127" s="26" t="n">
        <x:v>0</x:v>
      </x:c>
      <x:c r="R127" s="22" t="str">
        <x:v>Observed</x:v>
      </x:c>
      <x:c r="S127" s="22" t="str"/>
      <x:c r="T127" s="26" t="n">
        <x:f>IF(R127&lt;&gt;"Observed","",SUMIFS($O$3:O127,$C$3:C127,C127,$R$3:R127,"Observed"))</x:f>
        <x:v>106</x:v>
      </x:c>
      <x:c r="U127" s="26" t="n">
        <x:f>IF(R127&lt;&gt;"Observed","",SUMIFS($Q$3:Q127,$C$3:C127,C127,$R$3:R127,"Observed"))</x:f>
        <x:v>2</x:v>
      </x:c>
      <x:c r="V127" s="26" t="n">
        <x:f>IF(R127&lt;&gt;"Observed","",T127-U127)</x:f>
        <x:v>104</x:v>
      </x:c>
    </x:row>
    <x:row r="128">
      <x:c r="A128" s="22" t="str">
        <x:v>2022-2026-Copalis-Mocrocks.pdf</x:v>
      </x:c>
      <x:c r="B128" s="26" t="n">
        <x:v>8</x:v>
      </x:c>
      <x:c r="C128" s="22" t="str">
        <x:v>P08</x:v>
      </x:c>
      <x:c r="D128" s="22" t="str">
        <x:v>Copalis Beach</x:v>
      </x:c>
      <x:c r="E128" s="22" t="str">
        <x:v>Ocean City North</x:v>
      </x:c>
      <x:c r="F128" s="24" t="n">
        <x:v>45366</x:v>
      </x:c>
      <x:c r="G128" s="22" t="str">
        <x:v>BB/CF</x:v>
      </x:c>
      <x:c r="H128" s="26" t="n">
        <x:v>7</x:v>
      </x:c>
      <x:c r="I128" s="22" t="str">
        <x:v>15-minute interval</x:v>
      </x:c>
      <x:c r="J128" s="22" t="str">
        <x:v>0923</x:v>
      </x:c>
      <x:c r="K128" s="22" t="str">
        <x:v>0938</x:v>
      </x:c>
      <x:c r="L128" s="22" t="str">
        <x:v>1:45</x:v>
      </x:c>
      <x:c r="M128" s="22" t="str">
        <x:v>1:30</x:v>
      </x:c>
      <x:c r="N128" s="22" t="str">
        <x:v>45</x:v>
      </x:c>
      <x:c r="O128" s="26" t="n">
        <x:v>45</x:v>
      </x:c>
      <x:c r="P128" s="22" t="str">
        <x:v>2</x:v>
      </x:c>
      <x:c r="Q128" s="26" t="n">
        <x:v>2</x:v>
      </x:c>
      <x:c r="R128" s="22" t="str">
        <x:v>Observed</x:v>
      </x:c>
      <x:c r="S128" s="22" t="str"/>
      <x:c r="T128" s="26" t="n">
        <x:f>IF(R128&lt;&gt;"Observed","",SUMIFS($O$3:O128,$C$3:C128,C128,$R$3:R128,"Observed"))</x:f>
        <x:v>151</x:v>
      </x:c>
      <x:c r="U128" s="26" t="n">
        <x:f>IF(R128&lt;&gt;"Observed","",SUMIFS($Q$3:Q128,$C$3:C128,C128,$R$3:R128,"Observed"))</x:f>
        <x:v>4</x:v>
      </x:c>
      <x:c r="V128" s="26" t="n">
        <x:f>IF(R128&lt;&gt;"Observed","",T128-U128)</x:f>
        <x:v>147</x:v>
      </x:c>
    </x:row>
    <x:row r="129">
      <x:c r="A129" s="22" t="str">
        <x:v>2022-2026-Copalis-Mocrocks.pdf</x:v>
      </x:c>
      <x:c r="B129" s="26" t="n">
        <x:v>8</x:v>
      </x:c>
      <x:c r="C129" s="22" t="str">
        <x:v>P08</x:v>
      </x:c>
      <x:c r="D129" s="22" t="str">
        <x:v>Copalis Beach</x:v>
      </x:c>
      <x:c r="E129" s="22" t="str">
        <x:v>Ocean City North</x:v>
      </x:c>
      <x:c r="F129" s="24" t="n">
        <x:v>45366</x:v>
      </x:c>
      <x:c r="G129" s="22" t="str">
        <x:v>BB/CF</x:v>
      </x:c>
      <x:c r="H129" s="26" t="n">
        <x:v>8</x:v>
      </x:c>
      <x:c r="I129" s="22" t="str">
        <x:v>15-minute interval</x:v>
      </x:c>
      <x:c r="J129" s="22" t="str">
        <x:v>0938</x:v>
      </x:c>
      <x:c r="K129" s="22" t="str">
        <x:v>0953</x:v>
      </x:c>
      <x:c r="L129" s="22" t="str">
        <x:v>1:30</x:v>
      </x:c>
      <x:c r="M129" s="22" t="str">
        <x:v>1:15</x:v>
      </x:c>
      <x:c r="N129" s="22" t="str">
        <x:v>53</x:v>
      </x:c>
      <x:c r="O129" s="26" t="n">
        <x:v>53</x:v>
      </x:c>
      <x:c r="P129" s="22" t="str">
        <x:v>3</x:v>
      </x:c>
      <x:c r="Q129" s="26" t="n">
        <x:v>3</x:v>
      </x:c>
      <x:c r="R129" s="22" t="str">
        <x:v>Observed</x:v>
      </x:c>
      <x:c r="S129" s="22" t="str"/>
      <x:c r="T129" s="26" t="n">
        <x:f>IF(R129&lt;&gt;"Observed","",SUMIFS($O$3:O129,$C$3:C129,C129,$R$3:R129,"Observed"))</x:f>
        <x:v>204</x:v>
      </x:c>
      <x:c r="U129" s="26" t="n">
        <x:f>IF(R129&lt;&gt;"Observed","",SUMIFS($Q$3:Q129,$C$3:C129,C129,$R$3:R129,"Observed"))</x:f>
        <x:v>7</x:v>
      </x:c>
      <x:c r="V129" s="26" t="n">
        <x:f>IF(R129&lt;&gt;"Observed","",T129-U129)</x:f>
        <x:v>197</x:v>
      </x:c>
    </x:row>
    <x:row r="130">
      <x:c r="A130" s="22" t="str">
        <x:v>2022-2026-Copalis-Mocrocks.pdf</x:v>
      </x:c>
      <x:c r="B130" s="26" t="n">
        <x:v>8</x:v>
      </x:c>
      <x:c r="C130" s="22" t="str">
        <x:v>P08</x:v>
      </x:c>
      <x:c r="D130" s="22" t="str">
        <x:v>Copalis Beach</x:v>
      </x:c>
      <x:c r="E130" s="22" t="str">
        <x:v>Ocean City North</x:v>
      </x:c>
      <x:c r="F130" s="24" t="n">
        <x:v>45366</x:v>
      </x:c>
      <x:c r="G130" s="22" t="str">
        <x:v>BB/CF</x:v>
      </x:c>
      <x:c r="H130" s="26" t="n">
        <x:v>9</x:v>
      </x:c>
      <x:c r="I130" s="22" t="str">
        <x:v>15-minute interval</x:v>
      </x:c>
      <x:c r="J130" s="22" t="str">
        <x:v>0953</x:v>
      </x:c>
      <x:c r="K130" s="22" t="str">
        <x:v>1008</x:v>
      </x:c>
      <x:c r="L130" s="22" t="str">
        <x:v>1:15</x:v>
      </x:c>
      <x:c r="M130" s="22" t="str">
        <x:v>1:00</x:v>
      </x:c>
      <x:c r="N130" s="22" t="str">
        <x:v>39</x:v>
      </x:c>
      <x:c r="O130" s="26" t="n">
        <x:v>39</x:v>
      </x:c>
      <x:c r="P130" s="22" t="str">
        <x:v>9</x:v>
      </x:c>
      <x:c r="Q130" s="26" t="n">
        <x:v>9</x:v>
      </x:c>
      <x:c r="R130" s="22" t="str">
        <x:v>Observed</x:v>
      </x:c>
      <x:c r="S130" s="22" t="str"/>
      <x:c r="T130" s="26" t="n">
        <x:f>IF(R130&lt;&gt;"Observed","",SUMIFS($O$3:O130,$C$3:C130,C130,$R$3:R130,"Observed"))</x:f>
        <x:v>243</x:v>
      </x:c>
      <x:c r="U130" s="26" t="n">
        <x:f>IF(R130&lt;&gt;"Observed","",SUMIFS($Q$3:Q130,$C$3:C130,C130,$R$3:R130,"Observed"))</x:f>
        <x:v>16</x:v>
      </x:c>
      <x:c r="V130" s="26" t="n">
        <x:f>IF(R130&lt;&gt;"Observed","",T130-U130)</x:f>
        <x:v>227</x:v>
      </x:c>
    </x:row>
    <x:row r="131">
      <x:c r="A131" s="22" t="str">
        <x:v>2022-2026-Copalis-Mocrocks.pdf</x:v>
      </x:c>
      <x:c r="B131" s="26" t="n">
        <x:v>8</x:v>
      </x:c>
      <x:c r="C131" s="22" t="str">
        <x:v>P08</x:v>
      </x:c>
      <x:c r="D131" s="22" t="str">
        <x:v>Copalis Beach</x:v>
      </x:c>
      <x:c r="E131" s="22" t="str">
        <x:v>Ocean City North</x:v>
      </x:c>
      <x:c r="F131" s="24" t="n">
        <x:v>45366</x:v>
      </x:c>
      <x:c r="G131" s="22" t="str">
        <x:v>BB/CF</x:v>
      </x:c>
      <x:c r="H131" s="26" t="n">
        <x:v>10</x:v>
      </x:c>
      <x:c r="I131" s="22" t="str">
        <x:v>15-minute interval</x:v>
      </x:c>
      <x:c r="J131" s="22" t="str">
        <x:v>1008</x:v>
      </x:c>
      <x:c r="K131" s="22" t="str">
        <x:v>1023</x:v>
      </x:c>
      <x:c r="L131" s="22" t="str">
        <x:v>1:00</x:v>
      </x:c>
      <x:c r="M131" s="22" t="str">
        <x:v>0:45</x:v>
      </x:c>
      <x:c r="N131" s="22" t="str">
        <x:v>34</x:v>
      </x:c>
      <x:c r="O131" s="26" t="n">
        <x:v>34</x:v>
      </x:c>
      <x:c r="P131" s="22" t="str">
        <x:v>14</x:v>
      </x:c>
      <x:c r="Q131" s="26" t="n">
        <x:v>14</x:v>
      </x:c>
      <x:c r="R131" s="22" t="str">
        <x:v>Observed</x:v>
      </x:c>
      <x:c r="S131" s="22" t="str"/>
      <x:c r="T131" s="26" t="n">
        <x:f>IF(R131&lt;&gt;"Observed","",SUMIFS($O$3:O131,$C$3:C131,C131,$R$3:R131,"Observed"))</x:f>
        <x:v>277</x:v>
      </x:c>
      <x:c r="U131" s="26" t="n">
        <x:f>IF(R131&lt;&gt;"Observed","",SUMIFS($Q$3:Q131,$C$3:C131,C131,$R$3:R131,"Observed"))</x:f>
        <x:v>30</x:v>
      </x:c>
      <x:c r="V131" s="26" t="n">
        <x:f>IF(R131&lt;&gt;"Observed","",T131-U131)</x:f>
        <x:v>247</x:v>
      </x:c>
    </x:row>
    <x:row r="132">
      <x:c r="A132" s="22" t="str">
        <x:v>2022-2026-Copalis-Mocrocks.pdf</x:v>
      </x:c>
      <x:c r="B132" s="26" t="n">
        <x:v>8</x:v>
      </x:c>
      <x:c r="C132" s="22" t="str">
        <x:v>P08</x:v>
      </x:c>
      <x:c r="D132" s="22" t="str">
        <x:v>Copalis Beach</x:v>
      </x:c>
      <x:c r="E132" s="22" t="str">
        <x:v>Ocean City North</x:v>
      </x:c>
      <x:c r="F132" s="24" t="n">
        <x:v>45366</x:v>
      </x:c>
      <x:c r="G132" s="22" t="str">
        <x:v>BB/CF</x:v>
      </x:c>
      <x:c r="H132" s="26" t="n">
        <x:v>11</x:v>
      </x:c>
      <x:c r="I132" s="22" t="str">
        <x:v>15-minute interval</x:v>
      </x:c>
      <x:c r="J132" s="22" t="str">
        <x:v>1023</x:v>
      </x:c>
      <x:c r="K132" s="22" t="str">
        <x:v>1038</x:v>
      </x:c>
      <x:c r="L132" s="22" t="str">
        <x:v>0:45</x:v>
      </x:c>
      <x:c r="M132" s="22" t="str">
        <x:v>0:30</x:v>
      </x:c>
      <x:c r="N132" s="22" t="str">
        <x:v>32</x:v>
      </x:c>
      <x:c r="O132" s="26" t="n">
        <x:v>32</x:v>
      </x:c>
      <x:c r="P132" s="22" t="str">
        <x:v>23</x:v>
      </x:c>
      <x:c r="Q132" s="26" t="n">
        <x:v>23</x:v>
      </x:c>
      <x:c r="R132" s="22" t="str">
        <x:v>Observed</x:v>
      </x:c>
      <x:c r="S132" s="22" t="str"/>
      <x:c r="T132" s="26" t="n">
        <x:f>IF(R132&lt;&gt;"Observed","",SUMIFS($O$3:O132,$C$3:C132,C132,$R$3:R132,"Observed"))</x:f>
        <x:v>309</x:v>
      </x:c>
      <x:c r="U132" s="26" t="n">
        <x:f>IF(R132&lt;&gt;"Observed","",SUMIFS($Q$3:Q132,$C$3:C132,C132,$R$3:R132,"Observed"))</x:f>
        <x:v>53</x:v>
      </x:c>
      <x:c r="V132" s="26" t="n">
        <x:f>IF(R132&lt;&gt;"Observed","",T132-U132)</x:f>
        <x:v>256</x:v>
      </x:c>
    </x:row>
    <x:row r="133">
      <x:c r="A133" s="22" t="str">
        <x:v>2022-2026-Copalis-Mocrocks.pdf</x:v>
      </x:c>
      <x:c r="B133" s="26" t="n">
        <x:v>8</x:v>
      </x:c>
      <x:c r="C133" s="22" t="str">
        <x:v>P08</x:v>
      </x:c>
      <x:c r="D133" s="22" t="str">
        <x:v>Copalis Beach</x:v>
      </x:c>
      <x:c r="E133" s="22" t="str">
        <x:v>Ocean City North</x:v>
      </x:c>
      <x:c r="F133" s="24" t="n">
        <x:v>45366</x:v>
      </x:c>
      <x:c r="G133" s="22" t="str">
        <x:v>BB/CF</x:v>
      </x:c>
      <x:c r="H133" s="26" t="n">
        <x:v>12</x:v>
      </x:c>
      <x:c r="I133" s="22" t="str">
        <x:v>15-minute interval</x:v>
      </x:c>
      <x:c r="J133" s="22" t="str">
        <x:v>1038</x:v>
      </x:c>
      <x:c r="K133" s="22" t="str">
        <x:v>1053</x:v>
      </x:c>
      <x:c r="L133" s="22" t="str">
        <x:v>0:30</x:v>
      </x:c>
      <x:c r="M133" s="22" t="str">
        <x:v>0:15</x:v>
      </x:c>
      <x:c r="N133" s="22" t="str">
        <x:v>17</x:v>
      </x:c>
      <x:c r="O133" s="26" t="n">
        <x:v>17</x:v>
      </x:c>
      <x:c r="P133" s="22" t="str">
        <x:v>27</x:v>
      </x:c>
      <x:c r="Q133" s="26" t="n">
        <x:v>27</x:v>
      </x:c>
      <x:c r="R133" s="22" t="str">
        <x:v>Observed</x:v>
      </x:c>
      <x:c r="S133" s="22" t="str"/>
      <x:c r="T133" s="26" t="n">
        <x:f>IF(R133&lt;&gt;"Observed","",SUMIFS($O$3:O133,$C$3:C133,C133,$R$3:R133,"Observed"))</x:f>
        <x:v>326</x:v>
      </x:c>
      <x:c r="U133" s="26" t="n">
        <x:f>IF(R133&lt;&gt;"Observed","",SUMIFS($Q$3:Q133,$C$3:C133,C133,$R$3:R133,"Observed"))</x:f>
        <x:v>80</x:v>
      </x:c>
      <x:c r="V133" s="26" t="n">
        <x:f>IF(R133&lt;&gt;"Observed","",T133-U133)</x:f>
        <x:v>246</x:v>
      </x:c>
    </x:row>
    <x:row r="134">
      <x:c r="A134" s="22" t="str">
        <x:v>2022-2026-Copalis-Mocrocks.pdf</x:v>
      </x:c>
      <x:c r="B134" s="26" t="n">
        <x:v>8</x:v>
      </x:c>
      <x:c r="C134" s="22" t="str">
        <x:v>P08</x:v>
      </x:c>
      <x:c r="D134" s="22" t="str">
        <x:v>Copalis Beach</x:v>
      </x:c>
      <x:c r="E134" s="22" t="str">
        <x:v>Ocean City North</x:v>
      </x:c>
      <x:c r="F134" s="24" t="n">
        <x:v>45366</x:v>
      </x:c>
      <x:c r="G134" s="22" t="str">
        <x:v>BB/CF</x:v>
      </x:c>
      <x:c r="H134" s="26" t="n">
        <x:v>13</x:v>
      </x:c>
      <x:c r="I134" s="22" t="str">
        <x:v>15-minute interval</x:v>
      </x:c>
      <x:c r="J134" s="22" t="str">
        <x:v>1053</x:v>
      </x:c>
      <x:c r="K134" s="22" t="str">
        <x:v>1108</x:v>
      </x:c>
      <x:c r="L134" s="22" t="str">
        <x:v>0:15</x:v>
      </x:c>
      <x:c r="M134" s="22" t="str">
        <x:v>0:00</x:v>
      </x:c>
      <x:c r="N134" s="22" t="str">
        <x:v>15</x:v>
      </x:c>
      <x:c r="O134" s="26" t="n">
        <x:v>15</x:v>
      </x:c>
      <x:c r="P134" s="22" t="str">
        <x:v>28</x:v>
      </x:c>
      <x:c r="Q134" s="26" t="n">
        <x:v>28</x:v>
      </x:c>
      <x:c r="R134" s="22" t="str">
        <x:v>Observed</x:v>
      </x:c>
      <x:c r="S134" s="22" t="str"/>
      <x:c r="T134" s="26" t="n">
        <x:f>IF(R134&lt;&gt;"Observed","",SUMIFS($O$3:O134,$C$3:C134,C134,$R$3:R134,"Observed"))</x:f>
        <x:v>341</x:v>
      </x:c>
      <x:c r="U134" s="26" t="n">
        <x:f>IF(R134&lt;&gt;"Observed","",SUMIFS($Q$3:Q134,$C$3:C134,C134,$R$3:R134,"Observed"))</x:f>
        <x:v>108</x:v>
      </x:c>
      <x:c r="V134" s="26" t="n">
        <x:f>IF(R134&lt;&gt;"Observed","",T134-U134)</x:f>
        <x:v>233</x:v>
      </x:c>
    </x:row>
    <x:row r="135">
      <x:c r="A135" s="22" t="str">
        <x:v>2022-2026-Copalis-Mocrocks.pdf</x:v>
      </x:c>
      <x:c r="B135" s="26" t="n">
        <x:v>8</x:v>
      </x:c>
      <x:c r="C135" s="22" t="str">
        <x:v>P08</x:v>
      </x:c>
      <x:c r="D135" s="22" t="str">
        <x:v>Copalis Beach</x:v>
      </x:c>
      <x:c r="E135" s="22" t="str">
        <x:v>Ocean City North</x:v>
      </x:c>
      <x:c r="F135" s="24" t="n">
        <x:v>45366</x:v>
      </x:c>
      <x:c r="G135" s="22" t="str">
        <x:v>BB/CF</x:v>
      </x:c>
      <x:c r="H135" s="26" t="n">
        <x:v>14</x:v>
      </x:c>
      <x:c r="I135" s="22" t="str">
        <x:v>15-minute interval</x:v>
      </x:c>
      <x:c r="J135" s="22" t="str">
        <x:v>1108</x:v>
      </x:c>
      <x:c r="K135" s="22" t="str">
        <x:v>1123</x:v>
      </x:c>
      <x:c r="L135" s="22" t="str">
        <x:v>0:00</x:v>
      </x:c>
      <x:c r="M135" s="22" t="str">
        <x:v>0:15</x:v>
      </x:c>
      <x:c r="N135" s="22" t="str">
        <x:v>8</x:v>
      </x:c>
      <x:c r="O135" s="26" t="n">
        <x:v>8</x:v>
      </x:c>
      <x:c r="P135" s="22" t="str">
        <x:v>33</x:v>
      </x:c>
      <x:c r="Q135" s="26" t="n">
        <x:v>33</x:v>
      </x:c>
      <x:c r="R135" s="22" t="str">
        <x:v>Observed</x:v>
      </x:c>
      <x:c r="S135" s="22" t="str"/>
      <x:c r="T135" s="26" t="n">
        <x:f>IF(R135&lt;&gt;"Observed","",SUMIFS($O$3:O135,$C$3:C135,C135,$R$3:R135,"Observed"))</x:f>
        <x:v>349</x:v>
      </x:c>
      <x:c r="U135" s="26" t="n">
        <x:f>IF(R135&lt;&gt;"Observed","",SUMIFS($Q$3:Q135,$C$3:C135,C135,$R$3:R135,"Observed"))</x:f>
        <x:v>141</x:v>
      </x:c>
      <x:c r="V135" s="26" t="n">
        <x:f>IF(R135&lt;&gt;"Observed","",T135-U135)</x:f>
        <x:v>208</x:v>
      </x:c>
    </x:row>
    <x:row r="136">
      <x:c r="A136" s="22" t="str">
        <x:v>2022-2026-Copalis-Mocrocks.pdf</x:v>
      </x:c>
      <x:c r="B136" s="26" t="n">
        <x:v>8</x:v>
      </x:c>
      <x:c r="C136" s="22" t="str">
        <x:v>P08</x:v>
      </x:c>
      <x:c r="D136" s="22" t="str">
        <x:v>Copalis Beach</x:v>
      </x:c>
      <x:c r="E136" s="22" t="str">
        <x:v>Ocean City North</x:v>
      </x:c>
      <x:c r="F136" s="24" t="n">
        <x:v>45366</x:v>
      </x:c>
      <x:c r="G136" s="22" t="str">
        <x:v>BB/CF</x:v>
      </x:c>
      <x:c r="H136" s="26" t="n">
        <x:v>15</x:v>
      </x:c>
      <x:c r="I136" s="22" t="str">
        <x:v>15-minute interval</x:v>
      </x:c>
      <x:c r="J136" s="22" t="str">
        <x:v>1123</x:v>
      </x:c>
      <x:c r="K136" s="22" t="str">
        <x:v>1138</x:v>
      </x:c>
      <x:c r="L136" s="22" t="str">
        <x:v>0:15</x:v>
      </x:c>
      <x:c r="M136" s="22" t="str">
        <x:v>0:30</x:v>
      </x:c>
      <x:c r="N136" s="22" t="str">
        <x:v>9</x:v>
      </x:c>
      <x:c r="O136" s="26" t="n">
        <x:v>9</x:v>
      </x:c>
      <x:c r="P136" s="22" t="str">
        <x:v>42</x:v>
      </x:c>
      <x:c r="Q136" s="26" t="n">
        <x:v>42</x:v>
      </x:c>
      <x:c r="R136" s="22" t="str">
        <x:v>Observed</x:v>
      </x:c>
      <x:c r="S136" s="22" t="str"/>
      <x:c r="T136" s="26" t="n">
        <x:f>IF(R136&lt;&gt;"Observed","",SUMIFS($O$3:O136,$C$3:C136,C136,$R$3:R136,"Observed"))</x:f>
        <x:v>358</x:v>
      </x:c>
      <x:c r="U136" s="26" t="n">
        <x:f>IF(R136&lt;&gt;"Observed","",SUMIFS($Q$3:Q136,$C$3:C136,C136,$R$3:R136,"Observed"))</x:f>
        <x:v>183</x:v>
      </x:c>
      <x:c r="V136" s="26" t="n">
        <x:f>IF(R136&lt;&gt;"Observed","",T136-U136)</x:f>
        <x:v>175</x:v>
      </x:c>
    </x:row>
    <x:row r="137">
      <x:c r="A137" s="22" t="str">
        <x:v>2022-2026-Copalis-Mocrocks.pdf</x:v>
      </x:c>
      <x:c r="B137" s="26" t="n">
        <x:v>8</x:v>
      </x:c>
      <x:c r="C137" s="22" t="str">
        <x:v>P08</x:v>
      </x:c>
      <x:c r="D137" s="22" t="str">
        <x:v>Copalis Beach</x:v>
      </x:c>
      <x:c r="E137" s="22" t="str">
        <x:v>Ocean City North</x:v>
      </x:c>
      <x:c r="F137" s="24" t="n">
        <x:v>45366</x:v>
      </x:c>
      <x:c r="G137" s="22" t="str">
        <x:v>BB/CF</x:v>
      </x:c>
      <x:c r="H137" s="26" t="n">
        <x:v>16</x:v>
      </x:c>
      <x:c r="I137" s="22" t="str">
        <x:v>15-minute interval</x:v>
      </x:c>
      <x:c r="J137" s="22" t="str">
        <x:v>1138</x:v>
      </x:c>
      <x:c r="K137" s="22" t="str">
        <x:v>1153</x:v>
      </x:c>
      <x:c r="L137" s="22" t="str">
        <x:v>0:30</x:v>
      </x:c>
      <x:c r="M137" s="22" t="str">
        <x:v>0:45</x:v>
      </x:c>
      <x:c r="N137" s="22" t="str">
        <x:v>6</x:v>
      </x:c>
      <x:c r="O137" s="26" t="n">
        <x:v>6</x:v>
      </x:c>
      <x:c r="P137" s="22" t="str">
        <x:v>36</x:v>
      </x:c>
      <x:c r="Q137" s="26" t="n">
        <x:v>36</x:v>
      </x:c>
      <x:c r="R137" s="22" t="str">
        <x:v>Observed</x:v>
      </x:c>
      <x:c r="S137" s="22" t="str"/>
      <x:c r="T137" s="26" t="n">
        <x:f>IF(R137&lt;&gt;"Observed","",SUMIFS($O$3:O137,$C$3:C137,C137,$R$3:R137,"Observed"))</x:f>
        <x:v>364</x:v>
      </x:c>
      <x:c r="U137" s="26" t="n">
        <x:f>IF(R137&lt;&gt;"Observed","",SUMIFS($Q$3:Q137,$C$3:C137,C137,$R$3:R137,"Observed"))</x:f>
        <x:v>219</x:v>
      </x:c>
      <x:c r="V137" s="26" t="n">
        <x:f>IF(R137&lt;&gt;"Observed","",T137-U137)</x:f>
        <x:v>145</x:v>
      </x:c>
    </x:row>
    <x:row r="138">
      <x:c r="A138" s="22" t="str">
        <x:v>2022-2026-Copalis-Mocrocks.pdf</x:v>
      </x:c>
      <x:c r="B138" s="26" t="n">
        <x:v>8</x:v>
      </x:c>
      <x:c r="C138" s="22" t="str">
        <x:v>P08</x:v>
      </x:c>
      <x:c r="D138" s="22" t="str">
        <x:v>Copalis Beach</x:v>
      </x:c>
      <x:c r="E138" s="22" t="str">
        <x:v>Ocean City North</x:v>
      </x:c>
      <x:c r="F138" s="24" t="n">
        <x:v>45366</x:v>
      </x:c>
      <x:c r="G138" s="22" t="str">
        <x:v>BB/CF</x:v>
      </x:c>
      <x:c r="H138" s="26" t="n">
        <x:v>17</x:v>
      </x:c>
      <x:c r="I138" s="22" t="str">
        <x:v>15-minute interval</x:v>
      </x:c>
      <x:c r="J138" s="22" t="str">
        <x:v>1153</x:v>
      </x:c>
      <x:c r="K138" s="22" t="str">
        <x:v>1208</x:v>
      </x:c>
      <x:c r="L138" s="22" t="str">
        <x:v>0:45</x:v>
      </x:c>
      <x:c r="M138" s="22" t="str">
        <x:v>1:00</x:v>
      </x:c>
      <x:c r="N138" s="22" t="str">
        <x:v>11</x:v>
      </x:c>
      <x:c r="O138" s="26" t="n">
        <x:v>11</x:v>
      </x:c>
      <x:c r="P138" s="22" t="str">
        <x:v>27</x:v>
      </x:c>
      <x:c r="Q138" s="26" t="n">
        <x:v>27</x:v>
      </x:c>
      <x:c r="R138" s="22" t="str">
        <x:v>Observed</x:v>
      </x:c>
      <x:c r="S138" s="22" t="str"/>
      <x:c r="T138" s="26" t="n">
        <x:f>IF(R138&lt;&gt;"Observed","",SUMIFS($O$3:O138,$C$3:C138,C138,$R$3:R138,"Observed"))</x:f>
        <x:v>375</x:v>
      </x:c>
      <x:c r="U138" s="26" t="n">
        <x:f>IF(R138&lt;&gt;"Observed","",SUMIFS($Q$3:Q138,$C$3:C138,C138,$R$3:R138,"Observed"))</x:f>
        <x:v>246</x:v>
      </x:c>
      <x:c r="V138" s="26" t="n">
        <x:f>IF(R138&lt;&gt;"Observed","",T138-U138)</x:f>
        <x:v>129</x:v>
      </x:c>
    </x:row>
    <x:row r="139">
      <x:c r="A139" s="22" t="str">
        <x:v>2022-2026-Copalis-Mocrocks.pdf</x:v>
      </x:c>
      <x:c r="B139" s="26" t="n">
        <x:v>9</x:v>
      </x:c>
      <x:c r="C139" s="22" t="str">
        <x:v>P09</x:v>
      </x:c>
      <x:c r="D139" s="22" t="str">
        <x:v>Copalis Beach</x:v>
      </x:c>
      <x:c r="E139" s="22" t="str">
        <x:v>Ocean City North</x:v>
      </x:c>
      <x:c r="F139" s="24" t="n">
        <x:v>45582</x:v>
      </x:c>
      <x:c r="G139" s="22" t="str">
        <x:v>Clayton</x:v>
      </x:c>
      <x:c r="H139" s="26" t="n">
        <x:v>1</x:v>
      </x:c>
      <x:c r="I139" s="22" t="str">
        <x:v>Prior to Start</x:v>
      </x:c>
      <x:c r="J139" s="22" t="str">
        <x:v>Prior to Start</x:v>
      </x:c>
      <x:c r="K139" s="22" t="str"/>
      <x:c r="L139" s="22" t="str">
        <x:v>to Start</x:v>
      </x:c>
      <x:c r="M139" s="22" t="str"/>
      <x:c r="N139" s="22" t="str">
        <x:v>45</x:v>
      </x:c>
      <x:c r="O139" s="26" t="n">
        <x:v>45</x:v>
      </x:c>
      <x:c r="P139" s="22" t="str">
        <x:v>1</x:v>
      </x:c>
      <x:c r="Q139" s="26" t="n">
        <x:v>1</x:v>
      </x:c>
      <x:c r="R139" s="22" t="str">
        <x:v>Observed</x:v>
      </x:c>
      <x:c r="S139" s="22" t="str"/>
      <x:c r="T139" s="26" t="n">
        <x:f>IF(R139&lt;&gt;"Observed","",SUMIFS($O$3:O139,$C$3:C139,C139,$R$3:R139,"Observed"))</x:f>
        <x:v>45</x:v>
      </x:c>
      <x:c r="U139" s="26" t="n">
        <x:f>IF(R139&lt;&gt;"Observed","",SUMIFS($Q$3:Q139,$C$3:C139,C139,$R$3:R139,"Observed"))</x:f>
        <x:v>1</x:v>
      </x:c>
      <x:c r="V139" s="26" t="n">
        <x:f>IF(R139&lt;&gt;"Observed","",T139-U139)</x:f>
        <x:v>44</x:v>
      </x:c>
    </x:row>
    <x:row r="140">
      <x:c r="A140" s="22" t="str">
        <x:v>2022-2026-Copalis-Mocrocks.pdf</x:v>
      </x:c>
      <x:c r="B140" s="26" t="n">
        <x:v>9</x:v>
      </x:c>
      <x:c r="C140" s="22" t="str">
        <x:v>P09</x:v>
      </x:c>
      <x:c r="D140" s="22" t="str">
        <x:v>Copalis Beach</x:v>
      </x:c>
      <x:c r="E140" s="22" t="str">
        <x:v>Ocean City North</x:v>
      </x:c>
      <x:c r="F140" s="24" t="n">
        <x:v>45582</x:v>
      </x:c>
      <x:c r="G140" s="22" t="str">
        <x:v>Clayton</x:v>
      </x:c>
      <x:c r="H140" s="26" t="n">
        <x:v>2</x:v>
      </x:c>
      <x:c r="I140" s="22" t="str">
        <x:v>15-minute interval</x:v>
      </x:c>
      <x:c r="J140" s="22" t="str">
        <x:v>1603</x:v>
      </x:c>
      <x:c r="K140" s="22" t="str">
        <x:v>1618</x:v>
      </x:c>
      <x:c r="L140" s="22" t="str">
        <x:v>3:00</x:v>
      </x:c>
      <x:c r="M140" s="22" t="str">
        <x:v>2:45</x:v>
      </x:c>
      <x:c r="N140" s="22" t="str">
        <x:v>13</x:v>
      </x:c>
      <x:c r="O140" s="26" t="n">
        <x:v>13</x:v>
      </x:c>
      <x:c r="P140" s="22" t="str">
        <x:v>1</x:v>
      </x:c>
      <x:c r="Q140" s="26" t="n">
        <x:v>1</x:v>
      </x:c>
      <x:c r="R140" s="22" t="str">
        <x:v>Observed</x:v>
      </x:c>
      <x:c r="S140" s="22" t="str"/>
      <x:c r="T140" s="26" t="n">
        <x:f>IF(R140&lt;&gt;"Observed","",SUMIFS($O$3:O140,$C$3:C140,C140,$R$3:R140,"Observed"))</x:f>
        <x:v>58</x:v>
      </x:c>
      <x:c r="U140" s="26" t="n">
        <x:f>IF(R140&lt;&gt;"Observed","",SUMIFS($Q$3:Q140,$C$3:C140,C140,$R$3:R140,"Observed"))</x:f>
        <x:v>2</x:v>
      </x:c>
      <x:c r="V140" s="26" t="n">
        <x:f>IF(R140&lt;&gt;"Observed","",T140-U140)</x:f>
        <x:v>56</x:v>
      </x:c>
    </x:row>
    <x:row r="141">
      <x:c r="A141" s="22" t="str">
        <x:v>2022-2026-Copalis-Mocrocks.pdf</x:v>
      </x:c>
      <x:c r="B141" s="26" t="n">
        <x:v>9</x:v>
      </x:c>
      <x:c r="C141" s="22" t="str">
        <x:v>P09</x:v>
      </x:c>
      <x:c r="D141" s="22" t="str">
        <x:v>Copalis Beach</x:v>
      </x:c>
      <x:c r="E141" s="22" t="str">
        <x:v>Ocean City North</x:v>
      </x:c>
      <x:c r="F141" s="24" t="n">
        <x:v>45582</x:v>
      </x:c>
      <x:c r="G141" s="22" t="str">
        <x:v>Clayton</x:v>
      </x:c>
      <x:c r="H141" s="26" t="n">
        <x:v>3</x:v>
      </x:c>
      <x:c r="I141" s="22" t="str">
        <x:v>15-minute interval</x:v>
      </x:c>
      <x:c r="J141" s="22" t="str">
        <x:v>1618</x:v>
      </x:c>
      <x:c r="K141" s="22" t="str">
        <x:v>1633</x:v>
      </x:c>
      <x:c r="L141" s="22" t="str">
        <x:v>2:45</x:v>
      </x:c>
      <x:c r="M141" s="22" t="str">
        <x:v>2:30</x:v>
      </x:c>
      <x:c r="N141" s="22" t="str">
        <x:v>25</x:v>
      </x:c>
      <x:c r="O141" s="26" t="n">
        <x:v>25</x:v>
      </x:c>
      <x:c r="P141" s="22" t="str">
        <x:v>0</x:v>
      </x:c>
      <x:c r="Q141" s="26" t="n">
        <x:v>0</x:v>
      </x:c>
      <x:c r="R141" s="22" t="str">
        <x:v>Observed</x:v>
      </x:c>
      <x:c r="S141" s="22" t="str"/>
      <x:c r="T141" s="26" t="n">
        <x:f>IF(R141&lt;&gt;"Observed","",SUMIFS($O$3:O141,$C$3:C141,C141,$R$3:R141,"Observed"))</x:f>
        <x:v>83</x:v>
      </x:c>
      <x:c r="U141" s="26" t="n">
        <x:f>IF(R141&lt;&gt;"Observed","",SUMIFS($Q$3:Q141,$C$3:C141,C141,$R$3:R141,"Observed"))</x:f>
        <x:v>2</x:v>
      </x:c>
      <x:c r="V141" s="26" t="n">
        <x:f>IF(R141&lt;&gt;"Observed","",T141-U141)</x:f>
        <x:v>81</x:v>
      </x:c>
    </x:row>
    <x:row r="142">
      <x:c r="A142" s="22" t="str">
        <x:v>2022-2026-Copalis-Mocrocks.pdf</x:v>
      </x:c>
      <x:c r="B142" s="26" t="n">
        <x:v>9</x:v>
      </x:c>
      <x:c r="C142" s="22" t="str">
        <x:v>P09</x:v>
      </x:c>
      <x:c r="D142" s="22" t="str">
        <x:v>Copalis Beach</x:v>
      </x:c>
      <x:c r="E142" s="22" t="str">
        <x:v>Ocean City North</x:v>
      </x:c>
      <x:c r="F142" s="24" t="n">
        <x:v>45582</x:v>
      </x:c>
      <x:c r="G142" s="22" t="str">
        <x:v>Clayton</x:v>
      </x:c>
      <x:c r="H142" s="26" t="n">
        <x:v>4</x:v>
      </x:c>
      <x:c r="I142" s="22" t="str">
        <x:v>15-minute interval</x:v>
      </x:c>
      <x:c r="J142" s="22" t="str">
        <x:v>1633</x:v>
      </x:c>
      <x:c r="K142" s="22" t="str">
        <x:v>1648</x:v>
      </x:c>
      <x:c r="L142" s="22" t="str">
        <x:v>2:30</x:v>
      </x:c>
      <x:c r="M142" s="22" t="str">
        <x:v>2:15</x:v>
      </x:c>
      <x:c r="N142" s="22" t="str">
        <x:v>35</x:v>
      </x:c>
      <x:c r="O142" s="26" t="n">
        <x:v>35</x:v>
      </x:c>
      <x:c r="P142" s="22" t="str">
        <x:v>2</x:v>
      </x:c>
      <x:c r="Q142" s="26" t="n">
        <x:v>2</x:v>
      </x:c>
      <x:c r="R142" s="22" t="str">
        <x:v>Observed</x:v>
      </x:c>
      <x:c r="S142" s="22" t="str"/>
      <x:c r="T142" s="26" t="n">
        <x:f>IF(R142&lt;&gt;"Observed","",SUMIFS($O$3:O142,$C$3:C142,C142,$R$3:R142,"Observed"))</x:f>
        <x:v>118</x:v>
      </x:c>
      <x:c r="U142" s="26" t="n">
        <x:f>IF(R142&lt;&gt;"Observed","",SUMIFS($Q$3:Q142,$C$3:C142,C142,$R$3:R142,"Observed"))</x:f>
        <x:v>4</x:v>
      </x:c>
      <x:c r="V142" s="26" t="n">
        <x:f>IF(R142&lt;&gt;"Observed","",T142-U142)</x:f>
        <x:v>114</x:v>
      </x:c>
    </x:row>
    <x:row r="143">
      <x:c r="A143" s="22" t="str">
        <x:v>2022-2026-Copalis-Mocrocks.pdf</x:v>
      </x:c>
      <x:c r="B143" s="26" t="n">
        <x:v>9</x:v>
      </x:c>
      <x:c r="C143" s="22" t="str">
        <x:v>P09</x:v>
      </x:c>
      <x:c r="D143" s="22" t="str">
        <x:v>Copalis Beach</x:v>
      </x:c>
      <x:c r="E143" s="22" t="str">
        <x:v>Ocean City North</x:v>
      </x:c>
      <x:c r="F143" s="24" t="n">
        <x:v>45582</x:v>
      </x:c>
      <x:c r="G143" s="22" t="str">
        <x:v>Clayton</x:v>
      </x:c>
      <x:c r="H143" s="26" t="n">
        <x:v>5</x:v>
      </x:c>
      <x:c r="I143" s="22" t="str">
        <x:v>15-minute interval</x:v>
      </x:c>
      <x:c r="J143" s="22" t="str">
        <x:v>1648</x:v>
      </x:c>
      <x:c r="K143" s="22" t="str">
        <x:v>1703</x:v>
      </x:c>
      <x:c r="L143" s="22" t="str">
        <x:v>2:15</x:v>
      </x:c>
      <x:c r="M143" s="22" t="str">
        <x:v>2:00</x:v>
      </x:c>
      <x:c r="N143" s="22" t="str">
        <x:v>45</x:v>
      </x:c>
      <x:c r="O143" s="26" t="n">
        <x:v>45</x:v>
      </x:c>
      <x:c r="P143" s="22" t="str">
        <x:v>3</x:v>
      </x:c>
      <x:c r="Q143" s="26" t="n">
        <x:v>3</x:v>
      </x:c>
      <x:c r="R143" s="22" t="str">
        <x:v>Observed</x:v>
      </x:c>
      <x:c r="S143" s="22" t="str"/>
      <x:c r="T143" s="26" t="n">
        <x:f>IF(R143&lt;&gt;"Observed","",SUMIFS($O$3:O143,$C$3:C143,C143,$R$3:R143,"Observed"))</x:f>
        <x:v>163</x:v>
      </x:c>
      <x:c r="U143" s="26" t="n">
        <x:f>IF(R143&lt;&gt;"Observed","",SUMIFS($Q$3:Q143,$C$3:C143,C143,$R$3:R143,"Observed"))</x:f>
        <x:v>7</x:v>
      </x:c>
      <x:c r="V143" s="26" t="n">
        <x:f>IF(R143&lt;&gt;"Observed","",T143-U143)</x:f>
        <x:v>156</x:v>
      </x:c>
    </x:row>
    <x:row r="144">
      <x:c r="A144" s="22" t="str">
        <x:v>2022-2026-Copalis-Mocrocks.pdf</x:v>
      </x:c>
      <x:c r="B144" s="26" t="n">
        <x:v>9</x:v>
      </x:c>
      <x:c r="C144" s="22" t="str">
        <x:v>P09</x:v>
      </x:c>
      <x:c r="D144" s="22" t="str">
        <x:v>Copalis Beach</x:v>
      </x:c>
      <x:c r="E144" s="22" t="str">
        <x:v>Ocean City North</x:v>
      </x:c>
      <x:c r="F144" s="24" t="n">
        <x:v>45582</x:v>
      </x:c>
      <x:c r="G144" s="22" t="str">
        <x:v>Clayton</x:v>
      </x:c>
      <x:c r="H144" s="26" t="n">
        <x:v>6</x:v>
      </x:c>
      <x:c r="I144" s="22" t="str">
        <x:v>15-minute interval</x:v>
      </x:c>
      <x:c r="J144" s="22" t="str">
        <x:v>1703</x:v>
      </x:c>
      <x:c r="K144" s="22" t="str">
        <x:v>1718</x:v>
      </x:c>
      <x:c r="L144" s="22" t="str">
        <x:v>2:00</x:v>
      </x:c>
      <x:c r="M144" s="22" t="str">
        <x:v>1:45</x:v>
      </x:c>
      <x:c r="N144" s="22" t="str">
        <x:v>32</x:v>
      </x:c>
      <x:c r="O144" s="26" t="n">
        <x:v>32</x:v>
      </x:c>
      <x:c r="P144" s="22" t="str">
        <x:v>3</x:v>
      </x:c>
      <x:c r="Q144" s="26" t="n">
        <x:v>3</x:v>
      </x:c>
      <x:c r="R144" s="22" t="str">
        <x:v>Observed</x:v>
      </x:c>
      <x:c r="S144" s="22" t="str"/>
      <x:c r="T144" s="26" t="n">
        <x:f>IF(R144&lt;&gt;"Observed","",SUMIFS($O$3:O144,$C$3:C144,C144,$R$3:R144,"Observed"))</x:f>
        <x:v>195</x:v>
      </x:c>
      <x:c r="U144" s="26" t="n">
        <x:f>IF(R144&lt;&gt;"Observed","",SUMIFS($Q$3:Q144,$C$3:C144,C144,$R$3:R144,"Observed"))</x:f>
        <x:v>10</x:v>
      </x:c>
      <x:c r="V144" s="26" t="n">
        <x:f>IF(R144&lt;&gt;"Observed","",T144-U144)</x:f>
        <x:v>185</x:v>
      </x:c>
    </x:row>
    <x:row r="145">
      <x:c r="A145" s="22" t="str">
        <x:v>2022-2026-Copalis-Mocrocks.pdf</x:v>
      </x:c>
      <x:c r="B145" s="26" t="n">
        <x:v>9</x:v>
      </x:c>
      <x:c r="C145" s="22" t="str">
        <x:v>P09</x:v>
      </x:c>
      <x:c r="D145" s="22" t="str">
        <x:v>Copalis Beach</x:v>
      </x:c>
      <x:c r="E145" s="22" t="str">
        <x:v>Ocean City North</x:v>
      </x:c>
      <x:c r="F145" s="24" t="n">
        <x:v>45582</x:v>
      </x:c>
      <x:c r="G145" s="22" t="str">
        <x:v>Clayton</x:v>
      </x:c>
      <x:c r="H145" s="26" t="n">
        <x:v>7</x:v>
      </x:c>
      <x:c r="I145" s="22" t="str">
        <x:v>15-minute interval</x:v>
      </x:c>
      <x:c r="J145" s="22" t="str">
        <x:v>1718</x:v>
      </x:c>
      <x:c r="K145" s="22" t="str">
        <x:v>1733</x:v>
      </x:c>
      <x:c r="L145" s="22" t="str">
        <x:v>1:45</x:v>
      </x:c>
      <x:c r="M145" s="22" t="str">
        <x:v>1:30</x:v>
      </x:c>
      <x:c r="N145" s="22" t="str">
        <x:v>30</x:v>
      </x:c>
      <x:c r="O145" s="26" t="n">
        <x:v>30</x:v>
      </x:c>
      <x:c r="P145" s="22" t="str">
        <x:v>19</x:v>
      </x:c>
      <x:c r="Q145" s="26" t="n">
        <x:v>19</x:v>
      </x:c>
      <x:c r="R145" s="22" t="str">
        <x:v>Observed</x:v>
      </x:c>
      <x:c r="S145" s="22" t="str"/>
      <x:c r="T145" s="26" t="n">
        <x:f>IF(R145&lt;&gt;"Observed","",SUMIFS($O$3:O145,$C$3:C145,C145,$R$3:R145,"Observed"))</x:f>
        <x:v>225</x:v>
      </x:c>
      <x:c r="U145" s="26" t="n">
        <x:f>IF(R145&lt;&gt;"Observed","",SUMIFS($Q$3:Q145,$C$3:C145,C145,$R$3:R145,"Observed"))</x:f>
        <x:v>29</x:v>
      </x:c>
      <x:c r="V145" s="26" t="n">
        <x:f>IF(R145&lt;&gt;"Observed","",T145-U145)</x:f>
        <x:v>196</x:v>
      </x:c>
    </x:row>
    <x:row r="146">
      <x:c r="A146" s="22" t="str">
        <x:v>2022-2026-Copalis-Mocrocks.pdf</x:v>
      </x:c>
      <x:c r="B146" s="26" t="n">
        <x:v>9</x:v>
      </x:c>
      <x:c r="C146" s="22" t="str">
        <x:v>P09</x:v>
      </x:c>
      <x:c r="D146" s="22" t="str">
        <x:v>Copalis Beach</x:v>
      </x:c>
      <x:c r="E146" s="22" t="str">
        <x:v>Ocean City North</x:v>
      </x:c>
      <x:c r="F146" s="24" t="n">
        <x:v>45582</x:v>
      </x:c>
      <x:c r="G146" s="22" t="str">
        <x:v>Clayton</x:v>
      </x:c>
      <x:c r="H146" s="26" t="n">
        <x:v>8</x:v>
      </x:c>
      <x:c r="I146" s="22" t="str">
        <x:v>15-minute interval</x:v>
      </x:c>
      <x:c r="J146" s="22" t="str">
        <x:v>1733</x:v>
      </x:c>
      <x:c r="K146" s="22" t="str">
        <x:v>1748</x:v>
      </x:c>
      <x:c r="L146" s="22" t="str">
        <x:v>1:30</x:v>
      </x:c>
      <x:c r="M146" s="22" t="str">
        <x:v>1:15</x:v>
      </x:c>
      <x:c r="N146" s="22" t="str">
        <x:v>24</x:v>
      </x:c>
      <x:c r="O146" s="26" t="n">
        <x:v>24</x:v>
      </x:c>
      <x:c r="P146" s="22" t="str">
        <x:v>35</x:v>
      </x:c>
      <x:c r="Q146" s="26" t="n">
        <x:v>35</x:v>
      </x:c>
      <x:c r="R146" s="22" t="str">
        <x:v>Observed</x:v>
      </x:c>
      <x:c r="S146" s="22" t="str"/>
      <x:c r="T146" s="26" t="n">
        <x:f>IF(R146&lt;&gt;"Observed","",SUMIFS($O$3:O146,$C$3:C146,C146,$R$3:R146,"Observed"))</x:f>
        <x:v>249</x:v>
      </x:c>
      <x:c r="U146" s="26" t="n">
        <x:f>IF(R146&lt;&gt;"Observed","",SUMIFS($Q$3:Q146,$C$3:C146,C146,$R$3:R146,"Observed"))</x:f>
        <x:v>64</x:v>
      </x:c>
      <x:c r="V146" s="26" t="n">
        <x:f>IF(R146&lt;&gt;"Observed","",T146-U146)</x:f>
        <x:v>185</x:v>
      </x:c>
    </x:row>
    <x:row r="147">
      <x:c r="A147" s="22" t="str">
        <x:v>2022-2026-Copalis-Mocrocks.pdf</x:v>
      </x:c>
      <x:c r="B147" s="26" t="n">
        <x:v>9</x:v>
      </x:c>
      <x:c r="C147" s="22" t="str">
        <x:v>P09</x:v>
      </x:c>
      <x:c r="D147" s="22" t="str">
        <x:v>Copalis Beach</x:v>
      </x:c>
      <x:c r="E147" s="22" t="str">
        <x:v>Ocean City North</x:v>
      </x:c>
      <x:c r="F147" s="24" t="n">
        <x:v>45582</x:v>
      </x:c>
      <x:c r="G147" s="22" t="str">
        <x:v>Clayton</x:v>
      </x:c>
      <x:c r="H147" s="26" t="n">
        <x:v>9</x:v>
      </x:c>
      <x:c r="I147" s="22" t="str">
        <x:v>15-minute interval</x:v>
      </x:c>
      <x:c r="J147" s="22" t="str">
        <x:v>1748</x:v>
      </x:c>
      <x:c r="K147" s="22" t="str">
        <x:v>1803</x:v>
      </x:c>
      <x:c r="L147" s="22" t="str">
        <x:v>1:15</x:v>
      </x:c>
      <x:c r="M147" s="22" t="str">
        <x:v>1:00</x:v>
      </x:c>
      <x:c r="N147" s="22" t="str">
        <x:v>15</x:v>
      </x:c>
      <x:c r="O147" s="26" t="n">
        <x:v>15</x:v>
      </x:c>
      <x:c r="P147" s="22" t="str">
        <x:v>26</x:v>
      </x:c>
      <x:c r="Q147" s="26" t="n">
        <x:v>26</x:v>
      </x:c>
      <x:c r="R147" s="22" t="str">
        <x:v>Observed</x:v>
      </x:c>
      <x:c r="S147" s="22" t="str"/>
      <x:c r="T147" s="26" t="n">
        <x:f>IF(R147&lt;&gt;"Observed","",SUMIFS($O$3:O147,$C$3:C147,C147,$R$3:R147,"Observed"))</x:f>
        <x:v>264</x:v>
      </x:c>
      <x:c r="U147" s="26" t="n">
        <x:f>IF(R147&lt;&gt;"Observed","",SUMIFS($Q$3:Q147,$C$3:C147,C147,$R$3:R147,"Observed"))</x:f>
        <x:v>90</x:v>
      </x:c>
      <x:c r="V147" s="26" t="n">
        <x:f>IF(R147&lt;&gt;"Observed","",T147-U147)</x:f>
        <x:v>174</x:v>
      </x:c>
    </x:row>
    <x:row r="148">
      <x:c r="A148" s="22" t="str">
        <x:v>2022-2026-Copalis-Mocrocks.pdf</x:v>
      </x:c>
      <x:c r="B148" s="26" t="n">
        <x:v>9</x:v>
      </x:c>
      <x:c r="C148" s="22" t="str">
        <x:v>P09</x:v>
      </x:c>
      <x:c r="D148" s="22" t="str">
        <x:v>Copalis Beach</x:v>
      </x:c>
      <x:c r="E148" s="22" t="str">
        <x:v>Ocean City North</x:v>
      </x:c>
      <x:c r="F148" s="24" t="n">
        <x:v>45582</x:v>
      </x:c>
      <x:c r="G148" s="22" t="str">
        <x:v>Clayton</x:v>
      </x:c>
      <x:c r="H148" s="26" t="n">
        <x:v>10</x:v>
      </x:c>
      <x:c r="I148" s="22" t="str">
        <x:v>15-minute interval</x:v>
      </x:c>
      <x:c r="J148" s="22" t="str">
        <x:v>1803</x:v>
      </x:c>
      <x:c r="K148" s="22" t="str">
        <x:v>1818</x:v>
      </x:c>
      <x:c r="L148" s="22" t="str">
        <x:v>1:00</x:v>
      </x:c>
      <x:c r="M148" s="22" t="str">
        <x:v>0:45</x:v>
      </x:c>
      <x:c r="N148" s="22" t="str">
        <x:v>6</x:v>
      </x:c>
      <x:c r="O148" s="26" t="n">
        <x:v>6</x:v>
      </x:c>
      <x:c r="P148" s="22" t="str">
        <x:v>58</x:v>
      </x:c>
      <x:c r="Q148" s="26" t="n">
        <x:v>58</x:v>
      </x:c>
      <x:c r="R148" s="22" t="str">
        <x:v>Observed</x:v>
      </x:c>
      <x:c r="S148" s="22" t="str"/>
      <x:c r="T148" s="26" t="n">
        <x:f>IF(R148&lt;&gt;"Observed","",SUMIFS($O$3:O148,$C$3:C148,C148,$R$3:R148,"Observed"))</x:f>
        <x:v>270</x:v>
      </x:c>
      <x:c r="U148" s="26" t="n">
        <x:f>IF(R148&lt;&gt;"Observed","",SUMIFS($Q$3:Q148,$C$3:C148,C148,$R$3:R148,"Observed"))</x:f>
        <x:v>148</x:v>
      </x:c>
      <x:c r="V148" s="26" t="n">
        <x:f>IF(R148&lt;&gt;"Observed","",T148-U148)</x:f>
        <x:v>122</x:v>
      </x:c>
    </x:row>
    <x:row r="149">
      <x:c r="A149" s="22" t="str">
        <x:v>2022-2026-Copalis-Mocrocks.pdf</x:v>
      </x:c>
      <x:c r="B149" s="26" t="n">
        <x:v>9</x:v>
      </x:c>
      <x:c r="C149" s="22" t="str">
        <x:v>P09</x:v>
      </x:c>
      <x:c r="D149" s="22" t="str">
        <x:v>Copalis Beach</x:v>
      </x:c>
      <x:c r="E149" s="22" t="str">
        <x:v>Ocean City North</x:v>
      </x:c>
      <x:c r="F149" s="24" t="n">
        <x:v>45582</x:v>
      </x:c>
      <x:c r="G149" s="22" t="str">
        <x:v>Clayton</x:v>
      </x:c>
      <x:c r="H149" s="26" t="n">
        <x:v>11</x:v>
      </x:c>
      <x:c r="I149" s="22" t="str">
        <x:v>15-minute interval</x:v>
      </x:c>
      <x:c r="J149" s="22" t="str">
        <x:v>1818</x:v>
      </x:c>
      <x:c r="K149" s="22" t="str">
        <x:v>1833</x:v>
      </x:c>
      <x:c r="L149" s="22" t="str">
        <x:v>0:45</x:v>
      </x:c>
      <x:c r="M149" s="22" t="str">
        <x:v>0:30</x:v>
      </x:c>
      <x:c r="N149" s="22" t="str">
        <x:v>15</x:v>
      </x:c>
      <x:c r="O149" s="26" t="n">
        <x:v>15</x:v>
      </x:c>
      <x:c r="P149" s="22" t="str">
        <x:v>44</x:v>
      </x:c>
      <x:c r="Q149" s="26" t="n">
        <x:v>44</x:v>
      </x:c>
      <x:c r="R149" s="22" t="str">
        <x:v>Observed</x:v>
      </x:c>
      <x:c r="S149" s="22" t="str"/>
      <x:c r="T149" s="26" t="n">
        <x:f>IF(R149&lt;&gt;"Observed","",SUMIFS($O$3:O149,$C$3:C149,C149,$R$3:R149,"Observed"))</x:f>
        <x:v>285</x:v>
      </x:c>
      <x:c r="U149" s="26" t="n">
        <x:f>IF(R149&lt;&gt;"Observed","",SUMIFS($Q$3:Q149,$C$3:C149,C149,$R$3:R149,"Observed"))</x:f>
        <x:v>192</x:v>
      </x:c>
      <x:c r="V149" s="26" t="n">
        <x:f>IF(R149&lt;&gt;"Observed","",T149-U149)</x:f>
        <x:v>93</x:v>
      </x:c>
    </x:row>
    <x:row r="150">
      <x:c r="A150" s="22" t="str">
        <x:v>2022-2026-Copalis-Mocrocks.pdf</x:v>
      </x:c>
      <x:c r="B150" s="26" t="n">
        <x:v>9</x:v>
      </x:c>
      <x:c r="C150" s="22" t="str">
        <x:v>P09</x:v>
      </x:c>
      <x:c r="D150" s="22" t="str">
        <x:v>Copalis Beach</x:v>
      </x:c>
      <x:c r="E150" s="22" t="str">
        <x:v>Ocean City North</x:v>
      </x:c>
      <x:c r="F150" s="24" t="n">
        <x:v>45582</x:v>
      </x:c>
      <x:c r="G150" s="22" t="str">
        <x:v>Clayton</x:v>
      </x:c>
      <x:c r="H150" s="26" t="n">
        <x:v>12</x:v>
      </x:c>
      <x:c r="I150" s="22" t="str">
        <x:v>15-minute interval</x:v>
      </x:c>
      <x:c r="J150" s="22" t="str">
        <x:v>1833</x:v>
      </x:c>
      <x:c r="K150" s="22" t="str">
        <x:v>1848</x:v>
      </x:c>
      <x:c r="L150" s="22" t="str">
        <x:v>0:30</x:v>
      </x:c>
      <x:c r="M150" s="22" t="str">
        <x:v>0:15</x:v>
      </x:c>
      <x:c r="N150" s="22" t="str">
        <x:v>2</x:v>
      </x:c>
      <x:c r="O150" s="26" t="n">
        <x:v>2</x:v>
      </x:c>
      <x:c r="P150" s="22" t="str">
        <x:v>34</x:v>
      </x:c>
      <x:c r="Q150" s="26" t="n">
        <x:v>34</x:v>
      </x:c>
      <x:c r="R150" s="22" t="str">
        <x:v>Observed</x:v>
      </x:c>
      <x:c r="S150" s="22" t="str"/>
      <x:c r="T150" s="26" t="n">
        <x:f>IF(R150&lt;&gt;"Observed","",SUMIFS($O$3:O150,$C$3:C150,C150,$R$3:R150,"Observed"))</x:f>
        <x:v>287</x:v>
      </x:c>
      <x:c r="U150" s="26" t="n">
        <x:f>IF(R150&lt;&gt;"Observed","",SUMIFS($Q$3:Q150,$C$3:C150,C150,$R$3:R150,"Observed"))</x:f>
        <x:v>226</x:v>
      </x:c>
      <x:c r="V150" s="26" t="n">
        <x:f>IF(R150&lt;&gt;"Observed","",T150-U150)</x:f>
        <x:v>61</x:v>
      </x:c>
    </x:row>
    <x:row r="151">
      <x:c r="A151" s="22" t="str">
        <x:v>2022-2026-Copalis-Mocrocks.pdf</x:v>
      </x:c>
      <x:c r="B151" s="26" t="n">
        <x:v>9</x:v>
      </x:c>
      <x:c r="C151" s="22" t="str">
        <x:v>P09</x:v>
      </x:c>
      <x:c r="D151" s="22" t="str">
        <x:v>Copalis Beach</x:v>
      </x:c>
      <x:c r="E151" s="22" t="str">
        <x:v>Ocean City North</x:v>
      </x:c>
      <x:c r="F151" s="24" t="n">
        <x:v>45582</x:v>
      </x:c>
      <x:c r="G151" s="22" t="str">
        <x:v>Clayton</x:v>
      </x:c>
      <x:c r="H151" s="26" t="n">
        <x:v>13</x:v>
      </x:c>
      <x:c r="I151" s="22" t="str">
        <x:v>15-minute interval</x:v>
      </x:c>
      <x:c r="J151" s="22" t="str">
        <x:v>1848</x:v>
      </x:c>
      <x:c r="K151" s="22" t="str">
        <x:v>1903</x:v>
      </x:c>
      <x:c r="L151" s="22" t="str">
        <x:v>0:15</x:v>
      </x:c>
      <x:c r="M151" s="22" t="str">
        <x:v>0:00</x:v>
      </x:c>
      <x:c r="N151" s="22" t="str">
        <x:v>2</x:v>
      </x:c>
      <x:c r="O151" s="26" t="n">
        <x:v>2</x:v>
      </x:c>
      <x:c r="P151" s="22" t="str">
        <x:v>25</x:v>
      </x:c>
      <x:c r="Q151" s="26" t="n">
        <x:v>25</x:v>
      </x:c>
      <x:c r="R151" s="22" t="str">
        <x:v>Observed</x:v>
      </x:c>
      <x:c r="S151" s="22" t="str"/>
      <x:c r="T151" s="26" t="n">
        <x:f>IF(R151&lt;&gt;"Observed","",SUMIFS($O$3:O151,$C$3:C151,C151,$R$3:R151,"Observed"))</x:f>
        <x:v>289</x:v>
      </x:c>
      <x:c r="U151" s="26" t="n">
        <x:f>IF(R151&lt;&gt;"Observed","",SUMIFS($Q$3:Q151,$C$3:C151,C151,$R$3:R151,"Observed"))</x:f>
        <x:v>251</x:v>
      </x:c>
      <x:c r="V151" s="26" t="n">
        <x:f>IF(R151&lt;&gt;"Observed","",T151-U151)</x:f>
        <x:v>38</x:v>
      </x:c>
    </x:row>
    <x:row r="152">
      <x:c r="A152" s="22" t="str">
        <x:v>2022-2026-Copalis-Mocrocks.pdf</x:v>
      </x:c>
      <x:c r="B152" s="26" t="n">
        <x:v>9</x:v>
      </x:c>
      <x:c r="C152" s="22" t="str">
        <x:v>P09</x:v>
      </x:c>
      <x:c r="D152" s="22" t="str">
        <x:v>Copalis Beach</x:v>
      </x:c>
      <x:c r="E152" s="22" t="str">
        <x:v>Ocean City North</x:v>
      </x:c>
      <x:c r="F152" s="24" t="n">
        <x:v>45582</x:v>
      </x:c>
      <x:c r="G152" s="22" t="str">
        <x:v>Clayton</x:v>
      </x:c>
      <x:c r="H152" s="26" t="n">
        <x:v>14</x:v>
      </x:c>
      <x:c r="I152" s="22" t="str">
        <x:v>15-minute interval</x:v>
      </x:c>
      <x:c r="J152" s="22" t="str">
        <x:v>1903</x:v>
      </x:c>
      <x:c r="K152" s="22" t="str">
        <x:v>1918</x:v>
      </x:c>
      <x:c r="L152" s="22" t="str">
        <x:v>0:00</x:v>
      </x:c>
      <x:c r="M152" s="22" t="str">
        <x:v>0:15</x:v>
      </x:c>
      <x:c r="N152" s="22" t="str">
        <x:v>2</x:v>
      </x:c>
      <x:c r="O152" s="26" t="n">
        <x:v>2</x:v>
      </x:c>
      <x:c r="P152" s="22" t="str">
        <x:v>15</x:v>
      </x:c>
      <x:c r="Q152" s="26" t="n">
        <x:v>15</x:v>
      </x:c>
      <x:c r="R152" s="22" t="str">
        <x:v>Observed</x:v>
      </x:c>
      <x:c r="S152" s="22" t="str"/>
      <x:c r="T152" s="26" t="n">
        <x:f>IF(R152&lt;&gt;"Observed","",SUMIFS($O$3:O152,$C$3:C152,C152,$R$3:R152,"Observed"))</x:f>
        <x:v>291</x:v>
      </x:c>
      <x:c r="U152" s="26" t="n">
        <x:f>IF(R152&lt;&gt;"Observed","",SUMIFS($Q$3:Q152,$C$3:C152,C152,$R$3:R152,"Observed"))</x:f>
        <x:v>266</x:v>
      </x:c>
      <x:c r="V152" s="26" t="n">
        <x:f>IF(R152&lt;&gt;"Observed","",T152-U152)</x:f>
        <x:v>25</x:v>
      </x:c>
    </x:row>
    <x:row r="153">
      <x:c r="A153" s="22" t="str">
        <x:v>2022-2026-Copalis-Mocrocks.pdf</x:v>
      </x:c>
      <x:c r="B153" s="26" t="n">
        <x:v>9</x:v>
      </x:c>
      <x:c r="C153" s="22" t="str">
        <x:v>P09</x:v>
      </x:c>
      <x:c r="D153" s="22" t="str">
        <x:v>Copalis Beach</x:v>
      </x:c>
      <x:c r="E153" s="22" t="str">
        <x:v>Ocean City North</x:v>
      </x:c>
      <x:c r="F153" s="24" t="n">
        <x:v>45582</x:v>
      </x:c>
      <x:c r="G153" s="22" t="str">
        <x:v>Clayton</x:v>
      </x:c>
      <x:c r="H153" s="26" t="n">
        <x:v>15</x:v>
      </x:c>
      <x:c r="I153" s="22" t="str">
        <x:v>15-minute interval</x:v>
      </x:c>
      <x:c r="J153" s="22" t="str">
        <x:v>1918</x:v>
      </x:c>
      <x:c r="K153" s="22" t="str">
        <x:v>1933</x:v>
      </x:c>
      <x:c r="L153" s="22" t="str">
        <x:v>0:15</x:v>
      </x:c>
      <x:c r="M153" s="22" t="str">
        <x:v>0:30</x:v>
      </x:c>
      <x:c r="N153" s="22" t="str">
        <x:v>-</x:v>
      </x:c>
      <x:c r="O153" s="26"/>
      <x:c r="P153" s="22" t="str"/>
      <x:c r="Q153" s="26"/>
      <x:c r="R153" s="22" t="str">
        <x:v>Not recorded</x:v>
      </x:c>
      <x:c r="S153" s="22" t="str">
        <x:v>Cars On dash; Cars Off blank.</x:v>
      </x:c>
      <x:c r="T153" s="26" t="str">
        <x:f>IF(R153&lt;&gt;"Observed","",SUMIFS($O$3:O153,$C$3:C153,C153,$R$3:R153,"Observed"))</x:f>
      </x:c>
      <x:c r="U153" s="26" t="str">
        <x:f>IF(R153&lt;&gt;"Observed","",SUMIFS($Q$3:Q153,$C$3:C153,C153,$R$3:R153,"Observed"))</x:f>
      </x:c>
      <x:c r="V153" s="26" t="str">
        <x:f>IF(R153&lt;&gt;"Observed","",T153-U153)</x:f>
      </x:c>
    </x:row>
    <x:row r="154">
      <x:c r="A154" s="22" t="str">
        <x:v>2022-2026-Copalis-Mocrocks.pdf</x:v>
      </x:c>
      <x:c r="B154" s="26" t="n">
        <x:v>9</x:v>
      </x:c>
      <x:c r="C154" s="22" t="str">
        <x:v>P09</x:v>
      </x:c>
      <x:c r="D154" s="22" t="str">
        <x:v>Copalis Beach</x:v>
      </x:c>
      <x:c r="E154" s="22" t="str">
        <x:v>Ocean City North</x:v>
      </x:c>
      <x:c r="F154" s="24" t="n">
        <x:v>45582</x:v>
      </x:c>
      <x:c r="G154" s="22" t="str">
        <x:v>Clayton</x:v>
      </x:c>
      <x:c r="H154" s="26" t="n">
        <x:v>16</x:v>
      </x:c>
      <x:c r="I154" s="22" t="str">
        <x:v>15-minute interval</x:v>
      </x:c>
      <x:c r="J154" s="22" t="str">
        <x:v>1933</x:v>
      </x:c>
      <x:c r="K154" s="22" t="str">
        <x:v>1948</x:v>
      </x:c>
      <x:c r="L154" s="22" t="str">
        <x:v>0:30</x:v>
      </x:c>
      <x:c r="M154" s="22" t="str">
        <x:v>0:45</x:v>
      </x:c>
      <x:c r="N154" s="22" t="str">
        <x:v>-</x:v>
      </x:c>
      <x:c r="O154" s="26"/>
      <x:c r="P154" s="22" t="str"/>
      <x:c r="Q154" s="26"/>
      <x:c r="R154" s="22" t="str">
        <x:v>Not recorded</x:v>
      </x:c>
      <x:c r="S154" s="22" t="str">
        <x:v>Cars On dash; Cars Off blank.</x:v>
      </x:c>
      <x:c r="T154" s="26" t="str">
        <x:f>IF(R154&lt;&gt;"Observed","",SUMIFS($O$3:O154,$C$3:C154,C154,$R$3:R154,"Observed"))</x:f>
      </x:c>
      <x:c r="U154" s="26" t="str">
        <x:f>IF(R154&lt;&gt;"Observed","",SUMIFS($Q$3:Q154,$C$3:C154,C154,$R$3:R154,"Observed"))</x:f>
      </x:c>
      <x:c r="V154" s="26" t="str">
        <x:f>IF(R154&lt;&gt;"Observed","",T154-U154)</x:f>
      </x:c>
    </x:row>
    <x:row r="155">
      <x:c r="A155" s="22" t="str">
        <x:v>2022-2026-Copalis-Mocrocks.pdf</x:v>
      </x:c>
      <x:c r="B155" s="26" t="n">
        <x:v>9</x:v>
      </x:c>
      <x:c r="C155" s="22" t="str">
        <x:v>P09</x:v>
      </x:c>
      <x:c r="D155" s="22" t="str">
        <x:v>Copalis Beach</x:v>
      </x:c>
      <x:c r="E155" s="22" t="str">
        <x:v>Ocean City North</x:v>
      </x:c>
      <x:c r="F155" s="24" t="n">
        <x:v>45582</x:v>
      </x:c>
      <x:c r="G155" s="22" t="str">
        <x:v>Clayton</x:v>
      </x:c>
      <x:c r="H155" s="26" t="n">
        <x:v>17</x:v>
      </x:c>
      <x:c r="I155" s="22" t="str">
        <x:v>15-minute interval</x:v>
      </x:c>
      <x:c r="J155" s="22" t="str">
        <x:v>1948</x:v>
      </x:c>
      <x:c r="K155" s="22" t="str">
        <x:v>2003</x:v>
      </x:c>
      <x:c r="L155" s="22" t="str">
        <x:v>0:45</x:v>
      </x:c>
      <x:c r="M155" s="22" t="str">
        <x:v>1:00</x:v>
      </x:c>
      <x:c r="N155" s="22" t="str">
        <x:v>-</x:v>
      </x:c>
      <x:c r="O155" s="26"/>
      <x:c r="P155" s="22" t="str"/>
      <x:c r="Q155" s="26"/>
      <x:c r="R155" s="22" t="str">
        <x:v>Not recorded</x:v>
      </x:c>
      <x:c r="S155" s="22" t="str">
        <x:v>Cars On dash; Cars Off blank.</x:v>
      </x:c>
      <x:c r="T155" s="26" t="str">
        <x:f>IF(R155&lt;&gt;"Observed","",SUMIFS($O$3:O155,$C$3:C155,C155,$R$3:R155,"Observed"))</x:f>
      </x:c>
      <x:c r="U155" s="26" t="str">
        <x:f>IF(R155&lt;&gt;"Observed","",SUMIFS($Q$3:Q155,$C$3:C155,C155,$R$3:R155,"Observed"))</x:f>
      </x:c>
      <x:c r="V155" s="26" t="str">
        <x:f>IF(R155&lt;&gt;"Observed","",T155-U155)</x:f>
      </x:c>
    </x:row>
    <x:row r="156">
      <x:c r="A156" s="22" t="str">
        <x:v>2022-2026-Copalis-Mocrocks.pdf</x:v>
      </x:c>
      <x:c r="B156" s="26" t="n">
        <x:v>10</x:v>
      </x:c>
      <x:c r="C156" s="22" t="str">
        <x:v>P10</x:v>
      </x:c>
      <x:c r="D156" s="22" t="str">
        <x:v>Mocrocks Beach</x:v>
      </x:c>
      <x:c r="E156" s="22" t="str">
        <x:v>Roosevelt Beach Rd. South</x:v>
      </x:c>
      <x:c r="F156" s="24" t="n">
        <x:v>45597</x:v>
      </x:c>
      <x:c r="G156" s="22" t="str">
        <x:v>Bryce</x:v>
      </x:c>
      <x:c r="H156" s="26" t="n">
        <x:v>1</x:v>
      </x:c>
      <x:c r="I156" s="22" t="str">
        <x:v>Prior to Start</x:v>
      </x:c>
      <x:c r="J156" s="22" t="str">
        <x:v>Prior to Start</x:v>
      </x:c>
      <x:c r="K156" s="22" t="str"/>
      <x:c r="L156" s="22" t="str">
        <x:v>to Start</x:v>
      </x:c>
      <x:c r="M156" s="22" t="str"/>
      <x:c r="N156" s="22" t="str">
        <x:v>10</x:v>
      </x:c>
      <x:c r="O156" s="26" t="n">
        <x:v>10</x:v>
      </x:c>
      <x:c r="P156" s="22" t="str">
        <x:v>0</x:v>
      </x:c>
      <x:c r="Q156" s="26" t="n">
        <x:v>0</x:v>
      </x:c>
      <x:c r="R156" s="22" t="str">
        <x:v>Observed</x:v>
      </x:c>
      <x:c r="S156" s="22" t="str"/>
      <x:c r="T156" s="26" t="n">
        <x:f>IF(R156&lt;&gt;"Observed","",SUMIFS($O$3:O156,$C$3:C156,C156,$R$3:R156,"Observed"))</x:f>
        <x:v>10</x:v>
      </x:c>
      <x:c r="U156" s="26" t="n">
        <x:f>IF(R156&lt;&gt;"Observed","",SUMIFS($Q$3:Q156,$C$3:C156,C156,$R$3:R156,"Observed"))</x:f>
        <x:v>0</x:v>
      </x:c>
      <x:c r="V156" s="26" t="n">
        <x:f>IF(R156&lt;&gt;"Observed","",T156-U156)</x:f>
        <x:v>10</x:v>
      </x:c>
    </x:row>
    <x:row r="157">
      <x:c r="A157" s="22" t="str">
        <x:v>2022-2026-Copalis-Mocrocks.pdf</x:v>
      </x:c>
      <x:c r="B157" s="26" t="n">
        <x:v>10</x:v>
      </x:c>
      <x:c r="C157" s="22" t="str">
        <x:v>P10</x:v>
      </x:c>
      <x:c r="D157" s="22" t="str">
        <x:v>Mocrocks Beach</x:v>
      </x:c>
      <x:c r="E157" s="22" t="str">
        <x:v>Roosevelt Beach Rd. South</x:v>
      </x:c>
      <x:c r="F157" s="24" t="n">
        <x:v>45597</x:v>
      </x:c>
      <x:c r="G157" s="22" t="str">
        <x:v>Bryce</x:v>
      </x:c>
      <x:c r="H157" s="26" t="n">
        <x:v>2</x:v>
      </x:c>
      <x:c r="I157" s="22" t="str">
        <x:v>15-minute interval</x:v>
      </x:c>
      <x:c r="J157" s="22" t="str">
        <x:v>1615</x:v>
      </x:c>
      <x:c r="K157" s="22" t="str">
        <x:v>1630</x:v>
      </x:c>
      <x:c r="L157" s="22" t="str">
        <x:v>3:00</x:v>
      </x:c>
      <x:c r="M157" s="22" t="str">
        <x:v>2:45</x:v>
      </x:c>
      <x:c r="N157" s="22" t="str">
        <x:v>4</x:v>
      </x:c>
      <x:c r="O157" s="26" t="n">
        <x:v>4</x:v>
      </x:c>
      <x:c r="P157" s="22" t="str">
        <x:v>0</x:v>
      </x:c>
      <x:c r="Q157" s="26" t="n">
        <x:v>0</x:v>
      </x:c>
      <x:c r="R157" s="22" t="str">
        <x:v>Observed</x:v>
      </x:c>
      <x:c r="S157" s="22" t="str"/>
      <x:c r="T157" s="26" t="n">
        <x:f>IF(R157&lt;&gt;"Observed","",SUMIFS($O$3:O157,$C$3:C157,C157,$R$3:R157,"Observed"))</x:f>
        <x:v>14</x:v>
      </x:c>
      <x:c r="U157" s="26" t="n">
        <x:f>IF(R157&lt;&gt;"Observed","",SUMIFS($Q$3:Q157,$C$3:C157,C157,$R$3:R157,"Observed"))</x:f>
        <x:v>0</x:v>
      </x:c>
      <x:c r="V157" s="26" t="n">
        <x:f>IF(R157&lt;&gt;"Observed","",T157-U157)</x:f>
        <x:v>14</x:v>
      </x:c>
    </x:row>
    <x:row r="158">
      <x:c r="A158" s="22" t="str">
        <x:v>2022-2026-Copalis-Mocrocks.pdf</x:v>
      </x:c>
      <x:c r="B158" s="26" t="n">
        <x:v>10</x:v>
      </x:c>
      <x:c r="C158" s="22" t="str">
        <x:v>P10</x:v>
      </x:c>
      <x:c r="D158" s="22" t="str">
        <x:v>Mocrocks Beach</x:v>
      </x:c>
      <x:c r="E158" s="22" t="str">
        <x:v>Roosevelt Beach Rd. South</x:v>
      </x:c>
      <x:c r="F158" s="24" t="n">
        <x:v>45597</x:v>
      </x:c>
      <x:c r="G158" s="22" t="str">
        <x:v>Bryce</x:v>
      </x:c>
      <x:c r="H158" s="26" t="n">
        <x:v>3</x:v>
      </x:c>
      <x:c r="I158" s="22" t="str">
        <x:v>15-minute interval</x:v>
      </x:c>
      <x:c r="J158" s="22" t="str">
        <x:v>1630</x:v>
      </x:c>
      <x:c r="K158" s="22" t="str">
        <x:v>1645</x:v>
      </x:c>
      <x:c r="L158" s="22" t="str">
        <x:v>2:45</x:v>
      </x:c>
      <x:c r="M158" s="22" t="str">
        <x:v>2:30</x:v>
      </x:c>
      <x:c r="N158" s="22" t="str">
        <x:v>4</x:v>
      </x:c>
      <x:c r="O158" s="26" t="n">
        <x:v>4</x:v>
      </x:c>
      <x:c r="P158" s="22" t="str">
        <x:v>0</x:v>
      </x:c>
      <x:c r="Q158" s="26" t="n">
        <x:v>0</x:v>
      </x:c>
      <x:c r="R158" s="22" t="str">
        <x:v>Observed</x:v>
      </x:c>
      <x:c r="S158" s="22" t="str"/>
      <x:c r="T158" s="26" t="n">
        <x:f>IF(R158&lt;&gt;"Observed","",SUMIFS($O$3:O158,$C$3:C158,C158,$R$3:R158,"Observed"))</x:f>
        <x:v>18</x:v>
      </x:c>
      <x:c r="U158" s="26" t="n">
        <x:f>IF(R158&lt;&gt;"Observed","",SUMIFS($Q$3:Q158,$C$3:C158,C158,$R$3:R158,"Observed"))</x:f>
        <x:v>0</x:v>
      </x:c>
      <x:c r="V158" s="26" t="n">
        <x:f>IF(R158&lt;&gt;"Observed","",T158-U158)</x:f>
        <x:v>18</x:v>
      </x:c>
    </x:row>
    <x:row r="159">
      <x:c r="A159" s="22" t="str">
        <x:v>2022-2026-Copalis-Mocrocks.pdf</x:v>
      </x:c>
      <x:c r="B159" s="26" t="n">
        <x:v>10</x:v>
      </x:c>
      <x:c r="C159" s="22" t="str">
        <x:v>P10</x:v>
      </x:c>
      <x:c r="D159" s="22" t="str">
        <x:v>Mocrocks Beach</x:v>
      </x:c>
      <x:c r="E159" s="22" t="str">
        <x:v>Roosevelt Beach Rd. South</x:v>
      </x:c>
      <x:c r="F159" s="24" t="n">
        <x:v>45597</x:v>
      </x:c>
      <x:c r="G159" s="22" t="str">
        <x:v>Bryce</x:v>
      </x:c>
      <x:c r="H159" s="26" t="n">
        <x:v>4</x:v>
      </x:c>
      <x:c r="I159" s="22" t="str">
        <x:v>15-minute interval</x:v>
      </x:c>
      <x:c r="J159" s="22" t="str">
        <x:v>1645</x:v>
      </x:c>
      <x:c r="K159" s="22" t="str">
        <x:v>1700</x:v>
      </x:c>
      <x:c r="L159" s="22" t="str">
        <x:v>2:30</x:v>
      </x:c>
      <x:c r="M159" s="22" t="str">
        <x:v>2:15</x:v>
      </x:c>
      <x:c r="N159" s="22" t="str">
        <x:v>10</x:v>
      </x:c>
      <x:c r="O159" s="26" t="n">
        <x:v>10</x:v>
      </x:c>
      <x:c r="P159" s="22" t="str">
        <x:v>3</x:v>
      </x:c>
      <x:c r="Q159" s="26" t="n">
        <x:v>3</x:v>
      </x:c>
      <x:c r="R159" s="22" t="str">
        <x:v>Observed</x:v>
      </x:c>
      <x:c r="S159" s="22" t="str"/>
      <x:c r="T159" s="26" t="n">
        <x:f>IF(R159&lt;&gt;"Observed","",SUMIFS($O$3:O159,$C$3:C159,C159,$R$3:R159,"Observed"))</x:f>
        <x:v>28</x:v>
      </x:c>
      <x:c r="U159" s="26" t="n">
        <x:f>IF(R159&lt;&gt;"Observed","",SUMIFS($Q$3:Q159,$C$3:C159,C159,$R$3:R159,"Observed"))</x:f>
        <x:v>3</x:v>
      </x:c>
      <x:c r="V159" s="26" t="n">
        <x:f>IF(R159&lt;&gt;"Observed","",T159-U159)</x:f>
        <x:v>25</x:v>
      </x:c>
    </x:row>
    <x:row r="160">
      <x:c r="A160" s="22" t="str">
        <x:v>2022-2026-Copalis-Mocrocks.pdf</x:v>
      </x:c>
      <x:c r="B160" s="26" t="n">
        <x:v>10</x:v>
      </x:c>
      <x:c r="C160" s="22" t="str">
        <x:v>P10</x:v>
      </x:c>
      <x:c r="D160" s="22" t="str">
        <x:v>Mocrocks Beach</x:v>
      </x:c>
      <x:c r="E160" s="22" t="str">
        <x:v>Roosevelt Beach Rd. South</x:v>
      </x:c>
      <x:c r="F160" s="24" t="n">
        <x:v>45597</x:v>
      </x:c>
      <x:c r="G160" s="22" t="str">
        <x:v>Bryce</x:v>
      </x:c>
      <x:c r="H160" s="26" t="n">
        <x:v>5</x:v>
      </x:c>
      <x:c r="I160" s="22" t="str">
        <x:v>15-minute interval</x:v>
      </x:c>
      <x:c r="J160" s="22" t="str">
        <x:v>1700</x:v>
      </x:c>
      <x:c r="K160" s="22" t="str">
        <x:v>1715</x:v>
      </x:c>
      <x:c r="L160" s="22" t="str">
        <x:v>2:15</x:v>
      </x:c>
      <x:c r="M160" s="22" t="str">
        <x:v>2:00</x:v>
      </x:c>
      <x:c r="N160" s="22" t="str">
        <x:v>8</x:v>
      </x:c>
      <x:c r="O160" s="26" t="n">
        <x:v>8</x:v>
      </x:c>
      <x:c r="P160" s="22" t="str">
        <x:v>0</x:v>
      </x:c>
      <x:c r="Q160" s="26" t="n">
        <x:v>0</x:v>
      </x:c>
      <x:c r="R160" s="22" t="str">
        <x:v>Observed</x:v>
      </x:c>
      <x:c r="S160" s="22" t="str"/>
      <x:c r="T160" s="26" t="n">
        <x:f>IF(R160&lt;&gt;"Observed","",SUMIFS($O$3:O160,$C$3:C160,C160,$R$3:R160,"Observed"))</x:f>
        <x:v>36</x:v>
      </x:c>
      <x:c r="U160" s="26" t="n">
        <x:f>IF(R160&lt;&gt;"Observed","",SUMIFS($Q$3:Q160,$C$3:C160,C160,$R$3:R160,"Observed"))</x:f>
        <x:v>3</x:v>
      </x:c>
      <x:c r="V160" s="26" t="n">
        <x:f>IF(R160&lt;&gt;"Observed","",T160-U160)</x:f>
        <x:v>33</x:v>
      </x:c>
    </x:row>
    <x:row r="161">
      <x:c r="A161" s="22" t="str">
        <x:v>2022-2026-Copalis-Mocrocks.pdf</x:v>
      </x:c>
      <x:c r="B161" s="26" t="n">
        <x:v>10</x:v>
      </x:c>
      <x:c r="C161" s="22" t="str">
        <x:v>P10</x:v>
      </x:c>
      <x:c r="D161" s="22" t="str">
        <x:v>Mocrocks Beach</x:v>
      </x:c>
      <x:c r="E161" s="22" t="str">
        <x:v>Roosevelt Beach Rd. South</x:v>
      </x:c>
      <x:c r="F161" s="24" t="n">
        <x:v>45597</x:v>
      </x:c>
      <x:c r="G161" s="22" t="str">
        <x:v>Bryce</x:v>
      </x:c>
      <x:c r="H161" s="26" t="n">
        <x:v>6</x:v>
      </x:c>
      <x:c r="I161" s="22" t="str">
        <x:v>15-minute interval</x:v>
      </x:c>
      <x:c r="J161" s="22" t="str">
        <x:v>1715</x:v>
      </x:c>
      <x:c r="K161" s="22" t="str">
        <x:v>1730</x:v>
      </x:c>
      <x:c r="L161" s="22" t="str">
        <x:v>2:00</x:v>
      </x:c>
      <x:c r="M161" s="22" t="str">
        <x:v>1:45</x:v>
      </x:c>
      <x:c r="N161" s="22" t="str">
        <x:v>11</x:v>
      </x:c>
      <x:c r="O161" s="26" t="n">
        <x:v>11</x:v>
      </x:c>
      <x:c r="P161" s="22" t="str">
        <x:v>1</x:v>
      </x:c>
      <x:c r="Q161" s="26" t="n">
        <x:v>1</x:v>
      </x:c>
      <x:c r="R161" s="22" t="str">
        <x:v>Observed</x:v>
      </x:c>
      <x:c r="S161" s="22" t="str"/>
      <x:c r="T161" s="26" t="n">
        <x:f>IF(R161&lt;&gt;"Observed","",SUMIFS($O$3:O161,$C$3:C161,C161,$R$3:R161,"Observed"))</x:f>
        <x:v>47</x:v>
      </x:c>
      <x:c r="U161" s="26" t="n">
        <x:f>IF(R161&lt;&gt;"Observed","",SUMIFS($Q$3:Q161,$C$3:C161,C161,$R$3:R161,"Observed"))</x:f>
        <x:v>4</x:v>
      </x:c>
      <x:c r="V161" s="26" t="n">
        <x:f>IF(R161&lt;&gt;"Observed","",T161-U161)</x:f>
        <x:v>43</x:v>
      </x:c>
    </x:row>
    <x:row r="162">
      <x:c r="A162" s="22" t="str">
        <x:v>2022-2026-Copalis-Mocrocks.pdf</x:v>
      </x:c>
      <x:c r="B162" s="26" t="n">
        <x:v>10</x:v>
      </x:c>
      <x:c r="C162" s="22" t="str">
        <x:v>P10</x:v>
      </x:c>
      <x:c r="D162" s="22" t="str">
        <x:v>Mocrocks Beach</x:v>
      </x:c>
      <x:c r="E162" s="22" t="str">
        <x:v>Roosevelt Beach Rd. South</x:v>
      </x:c>
      <x:c r="F162" s="24" t="n">
        <x:v>45597</x:v>
      </x:c>
      <x:c r="G162" s="22" t="str">
        <x:v>Bryce</x:v>
      </x:c>
      <x:c r="H162" s="26" t="n">
        <x:v>7</x:v>
      </x:c>
      <x:c r="I162" s="22" t="str">
        <x:v>15-minute interval</x:v>
      </x:c>
      <x:c r="J162" s="22" t="str">
        <x:v>1730</x:v>
      </x:c>
      <x:c r="K162" s="22" t="str">
        <x:v>1745</x:v>
      </x:c>
      <x:c r="L162" s="22" t="str">
        <x:v>1:45</x:v>
      </x:c>
      <x:c r="M162" s="22" t="str">
        <x:v>1:30</x:v>
      </x:c>
      <x:c r="N162" s="22" t="str">
        <x:v>13</x:v>
      </x:c>
      <x:c r="O162" s="26" t="n">
        <x:v>13</x:v>
      </x:c>
      <x:c r="P162" s="22" t="str">
        <x:v>3</x:v>
      </x:c>
      <x:c r="Q162" s="26" t="n">
        <x:v>3</x:v>
      </x:c>
      <x:c r="R162" s="22" t="str">
        <x:v>Observed</x:v>
      </x:c>
      <x:c r="S162" s="22" t="str"/>
      <x:c r="T162" s="26" t="n">
        <x:f>IF(R162&lt;&gt;"Observed","",SUMIFS($O$3:O162,$C$3:C162,C162,$R$3:R162,"Observed"))</x:f>
        <x:v>60</x:v>
      </x:c>
      <x:c r="U162" s="26" t="n">
        <x:f>IF(R162&lt;&gt;"Observed","",SUMIFS($Q$3:Q162,$C$3:C162,C162,$R$3:R162,"Observed"))</x:f>
        <x:v>7</x:v>
      </x:c>
      <x:c r="V162" s="26" t="n">
        <x:f>IF(R162&lt;&gt;"Observed","",T162-U162)</x:f>
        <x:v>53</x:v>
      </x:c>
    </x:row>
    <x:row r="163">
      <x:c r="A163" s="22" t="str">
        <x:v>2022-2026-Copalis-Mocrocks.pdf</x:v>
      </x:c>
      <x:c r="B163" s="26" t="n">
        <x:v>10</x:v>
      </x:c>
      <x:c r="C163" s="22" t="str">
        <x:v>P10</x:v>
      </x:c>
      <x:c r="D163" s="22" t="str">
        <x:v>Mocrocks Beach</x:v>
      </x:c>
      <x:c r="E163" s="22" t="str">
        <x:v>Roosevelt Beach Rd. South</x:v>
      </x:c>
      <x:c r="F163" s="24" t="n">
        <x:v>45597</x:v>
      </x:c>
      <x:c r="G163" s="22" t="str">
        <x:v>Bryce</x:v>
      </x:c>
      <x:c r="H163" s="26" t="n">
        <x:v>8</x:v>
      </x:c>
      <x:c r="I163" s="22" t="str">
        <x:v>15-minute interval</x:v>
      </x:c>
      <x:c r="J163" s="22" t="str">
        <x:v>1745</x:v>
      </x:c>
      <x:c r="K163" s="22" t="str">
        <x:v>1800</x:v>
      </x:c>
      <x:c r="L163" s="22" t="str">
        <x:v>1:30</x:v>
      </x:c>
      <x:c r="M163" s="22" t="str">
        <x:v>1:15</x:v>
      </x:c>
      <x:c r="N163" s="22" t="str">
        <x:v>13</x:v>
      </x:c>
      <x:c r="O163" s="26" t="n">
        <x:v>13</x:v>
      </x:c>
      <x:c r="P163" s="22" t="str">
        <x:v>6</x:v>
      </x:c>
      <x:c r="Q163" s="26" t="n">
        <x:v>6</x:v>
      </x:c>
      <x:c r="R163" s="22" t="str">
        <x:v>Observed</x:v>
      </x:c>
      <x:c r="S163" s="22" t="str"/>
      <x:c r="T163" s="26" t="n">
        <x:f>IF(R163&lt;&gt;"Observed","",SUMIFS($O$3:O163,$C$3:C163,C163,$R$3:R163,"Observed"))</x:f>
        <x:v>73</x:v>
      </x:c>
      <x:c r="U163" s="26" t="n">
        <x:f>IF(R163&lt;&gt;"Observed","",SUMIFS($Q$3:Q163,$C$3:C163,C163,$R$3:R163,"Observed"))</x:f>
        <x:v>13</x:v>
      </x:c>
      <x:c r="V163" s="26" t="n">
        <x:f>IF(R163&lt;&gt;"Observed","",T163-U163)</x:f>
        <x:v>60</x:v>
      </x:c>
    </x:row>
    <x:row r="164">
      <x:c r="A164" s="22" t="str">
        <x:v>2022-2026-Copalis-Mocrocks.pdf</x:v>
      </x:c>
      <x:c r="B164" s="26" t="n">
        <x:v>10</x:v>
      </x:c>
      <x:c r="C164" s="22" t="str">
        <x:v>P10</x:v>
      </x:c>
      <x:c r="D164" s="22" t="str">
        <x:v>Mocrocks Beach</x:v>
      </x:c>
      <x:c r="E164" s="22" t="str">
        <x:v>Roosevelt Beach Rd. South</x:v>
      </x:c>
      <x:c r="F164" s="24" t="n">
        <x:v>45597</x:v>
      </x:c>
      <x:c r="G164" s="22" t="str">
        <x:v>Bryce</x:v>
      </x:c>
      <x:c r="H164" s="26" t="n">
        <x:v>9</x:v>
      </x:c>
      <x:c r="I164" s="22" t="str">
        <x:v>15-minute interval</x:v>
      </x:c>
      <x:c r="J164" s="22" t="str">
        <x:v>1800</x:v>
      </x:c>
      <x:c r="K164" s="22" t="str">
        <x:v>1815</x:v>
      </x:c>
      <x:c r="L164" s="22" t="str">
        <x:v>1:15</x:v>
      </x:c>
      <x:c r="M164" s="22" t="str">
        <x:v>1:00</x:v>
      </x:c>
      <x:c r="N164" s="22" t="str">
        <x:v>12</x:v>
      </x:c>
      <x:c r="O164" s="26" t="n">
        <x:v>12</x:v>
      </x:c>
      <x:c r="P164" s="22" t="str">
        <x:v>12</x:v>
      </x:c>
      <x:c r="Q164" s="26" t="n">
        <x:v>12</x:v>
      </x:c>
      <x:c r="R164" s="22" t="str">
        <x:v>Observed</x:v>
      </x:c>
      <x:c r="S164" s="22" t="str"/>
      <x:c r="T164" s="26" t="n">
        <x:f>IF(R164&lt;&gt;"Observed","",SUMIFS($O$3:O164,$C$3:C164,C164,$R$3:R164,"Observed"))</x:f>
        <x:v>85</x:v>
      </x:c>
      <x:c r="U164" s="26" t="n">
        <x:f>IF(R164&lt;&gt;"Observed","",SUMIFS($Q$3:Q164,$C$3:C164,C164,$R$3:R164,"Observed"))</x:f>
        <x:v>25</x:v>
      </x:c>
      <x:c r="V164" s="26" t="n">
        <x:f>IF(R164&lt;&gt;"Observed","",T164-U164)</x:f>
        <x:v>60</x:v>
      </x:c>
    </x:row>
    <x:row r="165">
      <x:c r="A165" s="22" t="str">
        <x:v>2022-2026-Copalis-Mocrocks.pdf</x:v>
      </x:c>
      <x:c r="B165" s="26" t="n">
        <x:v>10</x:v>
      </x:c>
      <x:c r="C165" s="22" t="str">
        <x:v>P10</x:v>
      </x:c>
      <x:c r="D165" s="22" t="str">
        <x:v>Mocrocks Beach</x:v>
      </x:c>
      <x:c r="E165" s="22" t="str">
        <x:v>Roosevelt Beach Rd. South</x:v>
      </x:c>
      <x:c r="F165" s="24" t="n">
        <x:v>45597</x:v>
      </x:c>
      <x:c r="G165" s="22" t="str">
        <x:v>Bryce</x:v>
      </x:c>
      <x:c r="H165" s="26" t="n">
        <x:v>10</x:v>
      </x:c>
      <x:c r="I165" s="22" t="str">
        <x:v>15-minute interval</x:v>
      </x:c>
      <x:c r="J165" s="22" t="str">
        <x:v>1815</x:v>
      </x:c>
      <x:c r="K165" s="22" t="str">
        <x:v>1830</x:v>
      </x:c>
      <x:c r="L165" s="22" t="str">
        <x:v>1:00</x:v>
      </x:c>
      <x:c r="M165" s="22" t="str">
        <x:v>0:45</x:v>
      </x:c>
      <x:c r="N165" s="22" t="str">
        <x:v>7</x:v>
      </x:c>
      <x:c r="O165" s="26" t="n">
        <x:v>7</x:v>
      </x:c>
      <x:c r="P165" s="22" t="str">
        <x:v>15</x:v>
      </x:c>
      <x:c r="Q165" s="26" t="n">
        <x:v>15</x:v>
      </x:c>
      <x:c r="R165" s="22" t="str">
        <x:v>Observed</x:v>
      </x:c>
      <x:c r="S165" s="22" t="str"/>
      <x:c r="T165" s="26" t="n">
        <x:f>IF(R165&lt;&gt;"Observed","",SUMIFS($O$3:O165,$C$3:C165,C165,$R$3:R165,"Observed"))</x:f>
        <x:v>92</x:v>
      </x:c>
      <x:c r="U165" s="26" t="n">
        <x:f>IF(R165&lt;&gt;"Observed","",SUMIFS($Q$3:Q165,$C$3:C165,C165,$R$3:R165,"Observed"))</x:f>
        <x:v>40</x:v>
      </x:c>
      <x:c r="V165" s="26" t="n">
        <x:f>IF(R165&lt;&gt;"Observed","",T165-U165)</x:f>
        <x:v>52</x:v>
      </x:c>
    </x:row>
    <x:row r="166">
      <x:c r="A166" s="22" t="str">
        <x:v>2022-2026-Copalis-Mocrocks.pdf</x:v>
      </x:c>
      <x:c r="B166" s="26" t="n">
        <x:v>10</x:v>
      </x:c>
      <x:c r="C166" s="22" t="str">
        <x:v>P10</x:v>
      </x:c>
      <x:c r="D166" s="22" t="str">
        <x:v>Mocrocks Beach</x:v>
      </x:c>
      <x:c r="E166" s="22" t="str">
        <x:v>Roosevelt Beach Rd. South</x:v>
      </x:c>
      <x:c r="F166" s="24" t="n">
        <x:v>45597</x:v>
      </x:c>
      <x:c r="G166" s="22" t="str">
        <x:v>Bryce</x:v>
      </x:c>
      <x:c r="H166" s="26" t="n">
        <x:v>11</x:v>
      </x:c>
      <x:c r="I166" s="22" t="str">
        <x:v>15-minute interval</x:v>
      </x:c>
      <x:c r="J166" s="22" t="str">
        <x:v>1830</x:v>
      </x:c>
      <x:c r="K166" s="22" t="str">
        <x:v>1845</x:v>
      </x:c>
      <x:c r="L166" s="22" t="str">
        <x:v>0:45</x:v>
      </x:c>
      <x:c r="M166" s="22" t="str">
        <x:v>0:30</x:v>
      </x:c>
      <x:c r="N166" s="22" t="str">
        <x:v>5</x:v>
      </x:c>
      <x:c r="O166" s="26" t="n">
        <x:v>5</x:v>
      </x:c>
      <x:c r="P166" s="22" t="str">
        <x:v>15</x:v>
      </x:c>
      <x:c r="Q166" s="26" t="n">
        <x:v>15</x:v>
      </x:c>
      <x:c r="R166" s="22" t="str">
        <x:v>Observed</x:v>
      </x:c>
      <x:c r="S166" s="22" t="str"/>
      <x:c r="T166" s="26" t="n">
        <x:f>IF(R166&lt;&gt;"Observed","",SUMIFS($O$3:O166,$C$3:C166,C166,$R$3:R166,"Observed"))</x:f>
        <x:v>97</x:v>
      </x:c>
      <x:c r="U166" s="26" t="n">
        <x:f>IF(R166&lt;&gt;"Observed","",SUMIFS($Q$3:Q166,$C$3:C166,C166,$R$3:R166,"Observed"))</x:f>
        <x:v>55</x:v>
      </x:c>
      <x:c r="V166" s="26" t="n">
        <x:f>IF(R166&lt;&gt;"Observed","",T166-U166)</x:f>
        <x:v>42</x:v>
      </x:c>
    </x:row>
    <x:row r="167">
      <x:c r="A167" s="22" t="str">
        <x:v>2022-2026-Copalis-Mocrocks.pdf</x:v>
      </x:c>
      <x:c r="B167" s="26" t="n">
        <x:v>10</x:v>
      </x:c>
      <x:c r="C167" s="22" t="str">
        <x:v>P10</x:v>
      </x:c>
      <x:c r="D167" s="22" t="str">
        <x:v>Mocrocks Beach</x:v>
      </x:c>
      <x:c r="E167" s="22" t="str">
        <x:v>Roosevelt Beach Rd. South</x:v>
      </x:c>
      <x:c r="F167" s="24" t="n">
        <x:v>45597</x:v>
      </x:c>
      <x:c r="G167" s="22" t="str">
        <x:v>Bryce</x:v>
      </x:c>
      <x:c r="H167" s="26" t="n">
        <x:v>12</x:v>
      </x:c>
      <x:c r="I167" s="22" t="str">
        <x:v>15-minute interval</x:v>
      </x:c>
      <x:c r="J167" s="22" t="str">
        <x:v>1845</x:v>
      </x:c>
      <x:c r="K167" s="22" t="str">
        <x:v>1900</x:v>
      </x:c>
      <x:c r="L167" s="22" t="str">
        <x:v>0:30</x:v>
      </x:c>
      <x:c r="M167" s="22" t="str">
        <x:v>0:15</x:v>
      </x:c>
      <x:c r="N167" s="22" t="str">
        <x:v>3</x:v>
      </x:c>
      <x:c r="O167" s="26" t="n">
        <x:v>3</x:v>
      </x:c>
      <x:c r="P167" s="22" t="str">
        <x:v>11</x:v>
      </x:c>
      <x:c r="Q167" s="26" t="n">
        <x:v>11</x:v>
      </x:c>
      <x:c r="R167" s="22" t="str">
        <x:v>Observed</x:v>
      </x:c>
      <x:c r="S167" s="22" t="str"/>
      <x:c r="T167" s="26" t="n">
        <x:f>IF(R167&lt;&gt;"Observed","",SUMIFS($O$3:O167,$C$3:C167,C167,$R$3:R167,"Observed"))</x:f>
        <x:v>100</x:v>
      </x:c>
      <x:c r="U167" s="26" t="n">
        <x:f>IF(R167&lt;&gt;"Observed","",SUMIFS($Q$3:Q167,$C$3:C167,C167,$R$3:R167,"Observed"))</x:f>
        <x:v>66</x:v>
      </x:c>
      <x:c r="V167" s="26" t="n">
        <x:f>IF(R167&lt;&gt;"Observed","",T167-U167)</x:f>
        <x:v>34</x:v>
      </x:c>
    </x:row>
    <x:row r="168">
      <x:c r="A168" s="22" t="str">
        <x:v>2022-2026-Copalis-Mocrocks.pdf</x:v>
      </x:c>
      <x:c r="B168" s="26" t="n">
        <x:v>10</x:v>
      </x:c>
      <x:c r="C168" s="22" t="str">
        <x:v>P10</x:v>
      </x:c>
      <x:c r="D168" s="22" t="str">
        <x:v>Mocrocks Beach</x:v>
      </x:c>
      <x:c r="E168" s="22" t="str">
        <x:v>Roosevelt Beach Rd. South</x:v>
      </x:c>
      <x:c r="F168" s="24" t="n">
        <x:v>45597</x:v>
      </x:c>
      <x:c r="G168" s="22" t="str">
        <x:v>Bryce</x:v>
      </x:c>
      <x:c r="H168" s="26" t="n">
        <x:v>13</x:v>
      </x:c>
      <x:c r="I168" s="22" t="str">
        <x:v>15-minute interval</x:v>
      </x:c>
      <x:c r="J168" s="22" t="str">
        <x:v>1900</x:v>
      </x:c>
      <x:c r="K168" s="22" t="str">
        <x:v>1915</x:v>
      </x:c>
      <x:c r="L168" s="22" t="str">
        <x:v>0:15</x:v>
      </x:c>
      <x:c r="M168" s="22" t="str">
        <x:v>0:00</x:v>
      </x:c>
      <x:c r="N168" s="22" t="str">
        <x:v>1</x:v>
      </x:c>
      <x:c r="O168" s="26" t="n">
        <x:v>1</x:v>
      </x:c>
      <x:c r="P168" s="22" t="str">
        <x:v>11</x:v>
      </x:c>
      <x:c r="Q168" s="26" t="n">
        <x:v>11</x:v>
      </x:c>
      <x:c r="R168" s="22" t="str">
        <x:v>Observed</x:v>
      </x:c>
      <x:c r="S168" s="22" t="str"/>
      <x:c r="T168" s="26" t="n">
        <x:f>IF(R168&lt;&gt;"Observed","",SUMIFS($O$3:O168,$C$3:C168,C168,$R$3:R168,"Observed"))</x:f>
        <x:v>101</x:v>
      </x:c>
      <x:c r="U168" s="26" t="n">
        <x:f>IF(R168&lt;&gt;"Observed","",SUMIFS($Q$3:Q168,$C$3:C168,C168,$R$3:R168,"Observed"))</x:f>
        <x:v>77</x:v>
      </x:c>
      <x:c r="V168" s="26" t="n">
        <x:f>IF(R168&lt;&gt;"Observed","",T168-U168)</x:f>
        <x:v>24</x:v>
      </x:c>
    </x:row>
    <x:row r="169">
      <x:c r="A169" s="22" t="str">
        <x:v>2022-2026-Copalis-Mocrocks.pdf</x:v>
      </x:c>
      <x:c r="B169" s="26" t="n">
        <x:v>10</x:v>
      </x:c>
      <x:c r="C169" s="22" t="str">
        <x:v>P10</x:v>
      </x:c>
      <x:c r="D169" s="22" t="str">
        <x:v>Mocrocks Beach</x:v>
      </x:c>
      <x:c r="E169" s="22" t="str">
        <x:v>Roosevelt Beach Rd. South</x:v>
      </x:c>
      <x:c r="F169" s="24" t="n">
        <x:v>45597</x:v>
      </x:c>
      <x:c r="G169" s="22" t="str">
        <x:v>Bryce</x:v>
      </x:c>
      <x:c r="H169" s="26" t="n">
        <x:v>14</x:v>
      </x:c>
      <x:c r="I169" s="22" t="str">
        <x:v>15-minute interval</x:v>
      </x:c>
      <x:c r="J169" s="22" t="str">
        <x:v>1915</x:v>
      </x:c>
      <x:c r="K169" s="22" t="str">
        <x:v>1930</x:v>
      </x:c>
      <x:c r="L169" s="22" t="str">
        <x:v>0:00</x:v>
      </x:c>
      <x:c r="M169" s="22" t="str">
        <x:v>0:15</x:v>
      </x:c>
      <x:c r="N169" s="22" t="str">
        <x:v>4</x:v>
      </x:c>
      <x:c r="O169" s="26" t="n">
        <x:v>4</x:v>
      </x:c>
      <x:c r="P169" s="22" t="str">
        <x:v>11</x:v>
      </x:c>
      <x:c r="Q169" s="26" t="n">
        <x:v>11</x:v>
      </x:c>
      <x:c r="R169" s="22" t="str">
        <x:v>Observed</x:v>
      </x:c>
      <x:c r="S169" s="22" t="str"/>
      <x:c r="T169" s="26" t="n">
        <x:f>IF(R169&lt;&gt;"Observed","",SUMIFS($O$3:O169,$C$3:C169,C169,$R$3:R169,"Observed"))</x:f>
        <x:v>105</x:v>
      </x:c>
      <x:c r="U169" s="26" t="n">
        <x:f>IF(R169&lt;&gt;"Observed","",SUMIFS($Q$3:Q169,$C$3:C169,C169,$R$3:R169,"Observed"))</x:f>
        <x:v>88</x:v>
      </x:c>
      <x:c r="V169" s="26" t="n">
        <x:f>IF(R169&lt;&gt;"Observed","",T169-U169)</x:f>
        <x:v>17</x:v>
      </x:c>
    </x:row>
    <x:row r="170">
      <x:c r="A170" s="22" t="str">
        <x:v>2022-2026-Copalis-Mocrocks.pdf</x:v>
      </x:c>
      <x:c r="B170" s="26" t="n">
        <x:v>10</x:v>
      </x:c>
      <x:c r="C170" s="22" t="str">
        <x:v>P10</x:v>
      </x:c>
      <x:c r="D170" s="22" t="str">
        <x:v>Mocrocks Beach</x:v>
      </x:c>
      <x:c r="E170" s="22" t="str">
        <x:v>Roosevelt Beach Rd. South</x:v>
      </x:c>
      <x:c r="F170" s="24" t="n">
        <x:v>45597</x:v>
      </x:c>
      <x:c r="G170" s="22" t="str">
        <x:v>Bryce</x:v>
      </x:c>
      <x:c r="H170" s="26" t="n">
        <x:v>15</x:v>
      </x:c>
      <x:c r="I170" s="22" t="str">
        <x:v>15-minute interval</x:v>
      </x:c>
      <x:c r="J170" s="22" t="str">
        <x:v>1930</x:v>
      </x:c>
      <x:c r="K170" s="22" t="str">
        <x:v>1945</x:v>
      </x:c>
      <x:c r="L170" s="22" t="str">
        <x:v>0:15</x:v>
      </x:c>
      <x:c r="M170" s="22" t="str">
        <x:v>0:30</x:v>
      </x:c>
      <x:c r="N170" s="22" t="str">
        <x:v>2</x:v>
      </x:c>
      <x:c r="O170" s="26" t="n">
        <x:v>2</x:v>
      </x:c>
      <x:c r="P170" s="22" t="str">
        <x:v>3</x:v>
      </x:c>
      <x:c r="Q170" s="26" t="n">
        <x:v>3</x:v>
      </x:c>
      <x:c r="R170" s="22" t="str">
        <x:v>Observed</x:v>
      </x:c>
      <x:c r="S170" s="22" t="str"/>
      <x:c r="T170" s="26" t="n">
        <x:f>IF(R170&lt;&gt;"Observed","",SUMIFS($O$3:O170,$C$3:C170,C170,$R$3:R170,"Observed"))</x:f>
        <x:v>107</x:v>
      </x:c>
      <x:c r="U170" s="26" t="n">
        <x:f>IF(R170&lt;&gt;"Observed","",SUMIFS($Q$3:Q170,$C$3:C170,C170,$R$3:R170,"Observed"))</x:f>
        <x:v>91</x:v>
      </x:c>
      <x:c r="V170" s="26" t="n">
        <x:f>IF(R170&lt;&gt;"Observed","",T170-U170)</x:f>
        <x:v>16</x:v>
      </x:c>
    </x:row>
    <x:row r="171">
      <x:c r="A171" s="22" t="str">
        <x:v>2022-2026-Copalis-Mocrocks.pdf</x:v>
      </x:c>
      <x:c r="B171" s="26" t="n">
        <x:v>10</x:v>
      </x:c>
      <x:c r="C171" s="22" t="str">
        <x:v>P10</x:v>
      </x:c>
      <x:c r="D171" s="22" t="str">
        <x:v>Mocrocks Beach</x:v>
      </x:c>
      <x:c r="E171" s="22" t="str">
        <x:v>Roosevelt Beach Rd. South</x:v>
      </x:c>
      <x:c r="F171" s="24" t="n">
        <x:v>45597</x:v>
      </x:c>
      <x:c r="G171" s="22" t="str">
        <x:v>Bryce</x:v>
      </x:c>
      <x:c r="H171" s="26" t="n">
        <x:v>16</x:v>
      </x:c>
      <x:c r="I171" s="22" t="str">
        <x:v>15-minute interval</x:v>
      </x:c>
      <x:c r="J171" s="22" t="str">
        <x:v>1945</x:v>
      </x:c>
      <x:c r="K171" s="22" t="str">
        <x:v>2000</x:v>
      </x:c>
      <x:c r="L171" s="22" t="str">
        <x:v>0:30</x:v>
      </x:c>
      <x:c r="M171" s="22" t="str">
        <x:v>0:45</x:v>
      </x:c>
      <x:c r="N171" s="22" t="str">
        <x:v>-</x:v>
      </x:c>
      <x:c r="O171" s="26"/>
      <x:c r="P171" s="22" t="str">
        <x:v>-</x:v>
      </x:c>
      <x:c r="Q171" s="26"/>
      <x:c r="R171" s="22" t="str">
        <x:v>Not recorded</x:v>
      </x:c>
      <x:c r="S171" s="22" t="str">
        <x:v>Dashes; no numeric value recorded.</x:v>
      </x:c>
      <x:c r="T171" s="26" t="str">
        <x:f>IF(R171&lt;&gt;"Observed","",SUMIFS($O$3:O171,$C$3:C171,C171,$R$3:R171,"Observed"))</x:f>
      </x:c>
      <x:c r="U171" s="26" t="str">
        <x:f>IF(R171&lt;&gt;"Observed","",SUMIFS($Q$3:Q171,$C$3:C171,C171,$R$3:R171,"Observed"))</x:f>
      </x:c>
      <x:c r="V171" s="26" t="str">
        <x:f>IF(R171&lt;&gt;"Observed","",T171-U171)</x:f>
      </x:c>
    </x:row>
    <x:row r="172">
      <x:c r="A172" s="22" t="str">
        <x:v>2022-2026-Copalis-Mocrocks.pdf</x:v>
      </x:c>
      <x:c r="B172" s="26" t="n">
        <x:v>10</x:v>
      </x:c>
      <x:c r="C172" s="22" t="str">
        <x:v>P10</x:v>
      </x:c>
      <x:c r="D172" s="22" t="str">
        <x:v>Mocrocks Beach</x:v>
      </x:c>
      <x:c r="E172" s="22" t="str">
        <x:v>Roosevelt Beach Rd. South</x:v>
      </x:c>
      <x:c r="F172" s="24" t="n">
        <x:v>45597</x:v>
      </x:c>
      <x:c r="G172" s="22" t="str">
        <x:v>Bryce</x:v>
      </x:c>
      <x:c r="H172" s="26" t="n">
        <x:v>17</x:v>
      </x:c>
      <x:c r="I172" s="22" t="str">
        <x:v>15-minute interval</x:v>
      </x:c>
      <x:c r="J172" s="22" t="str">
        <x:v>2000</x:v>
      </x:c>
      <x:c r="K172" s="22" t="str">
        <x:v>2018</x:v>
      </x:c>
      <x:c r="L172" s="22" t="str">
        <x:v>0:45</x:v>
      </x:c>
      <x:c r="M172" s="22" t="str">
        <x:v>1:00</x:v>
      </x:c>
      <x:c r="N172" s="22" t="str">
        <x:v>-</x:v>
      </x:c>
      <x:c r="O172" s="26"/>
      <x:c r="P172" s="22" t="str">
        <x:v>-</x:v>
      </x:c>
      <x:c r="Q172" s="26"/>
      <x:c r="R172" s="22" t="str">
        <x:v>Not recorded</x:v>
      </x:c>
      <x:c r="S172" s="22" t="str">
        <x:v>Dashes; no numeric value recorded.</x:v>
      </x:c>
      <x:c r="T172" s="26" t="str">
        <x:f>IF(R172&lt;&gt;"Observed","",SUMIFS($O$3:O172,$C$3:C172,C172,$R$3:R172,"Observed"))</x:f>
      </x:c>
      <x:c r="U172" s="26" t="str">
        <x:f>IF(R172&lt;&gt;"Observed","",SUMIFS($Q$3:Q172,$C$3:C172,C172,$R$3:R172,"Observed"))</x:f>
      </x:c>
      <x:c r="V172" s="26" t="str">
        <x:f>IF(R172&lt;&gt;"Observed","",T172-U172)</x:f>
      </x:c>
    </x:row>
    <x:row r="173">
      <x:c r="A173" s="22" t="str">
        <x:v>2022-2026-Copalis-Mocrocks.pdf</x:v>
      </x:c>
      <x:c r="B173" s="26" t="n">
        <x:v>11</x:v>
      </x:c>
      <x:c r="C173" s="22" t="str">
        <x:v>P11</x:v>
      </x:c>
      <x:c r="D173" s="22" t="str">
        <x:v>Mocrocks Beach</x:v>
      </x:c>
      <x:c r="E173" s="22" t="str">
        <x:v>Roosevelt Beach Rd. South</x:v>
      </x:c>
      <x:c r="F173" s="24" t="n">
        <x:v>45716</x:v>
      </x:c>
      <x:c r="G173" s="22" t="str">
        <x:v>Bryce B.</x:v>
      </x:c>
      <x:c r="H173" s="26" t="n">
        <x:v>1</x:v>
      </x:c>
      <x:c r="I173" s="22" t="str">
        <x:v>Prior to Start</x:v>
      </x:c>
      <x:c r="J173" s="22" t="str">
        <x:v>Prior to Start</x:v>
      </x:c>
      <x:c r="K173" s="22" t="str"/>
      <x:c r="L173" s="22" t="str">
        <x:v>to Start</x:v>
      </x:c>
      <x:c r="M173" s="22" t="str"/>
      <x:c r="N173" s="22" t="str">
        <x:v>20</x:v>
      </x:c>
      <x:c r="O173" s="26" t="n">
        <x:v>20</x:v>
      </x:c>
      <x:c r="P173" s="22" t="str">
        <x:v>0</x:v>
      </x:c>
      <x:c r="Q173" s="26" t="n">
        <x:v>0</x:v>
      </x:c>
      <x:c r="R173" s="22" t="str">
        <x:v>Observed</x:v>
      </x:c>
      <x:c r="S173" s="22" t="str"/>
      <x:c r="T173" s="26" t="n">
        <x:f>IF(R173&lt;&gt;"Observed","",SUMIFS($O$3:O173,$C$3:C173,C173,$R$3:R173,"Observed"))</x:f>
        <x:v>20</x:v>
      </x:c>
      <x:c r="U173" s="26" t="n">
        <x:f>IF(R173&lt;&gt;"Observed","",SUMIFS($Q$3:Q173,$C$3:C173,C173,$R$3:R173,"Observed"))</x:f>
        <x:v>0</x:v>
      </x:c>
      <x:c r="V173" s="26" t="n">
        <x:f>IF(R173&lt;&gt;"Observed","",T173-U173)</x:f>
        <x:v>20</x:v>
      </x:c>
    </x:row>
    <x:row r="174">
      <x:c r="A174" s="22" t="str">
        <x:v>2022-2026-Copalis-Mocrocks.pdf</x:v>
      </x:c>
      <x:c r="B174" s="26" t="n">
        <x:v>11</x:v>
      </x:c>
      <x:c r="C174" s="22" t="str">
        <x:v>P11</x:v>
      </x:c>
      <x:c r="D174" s="22" t="str">
        <x:v>Mocrocks Beach</x:v>
      </x:c>
      <x:c r="E174" s="22" t="str">
        <x:v>Roosevelt Beach Rd. South</x:v>
      </x:c>
      <x:c r="F174" s="24" t="n">
        <x:v>45716</x:v>
      </x:c>
      <x:c r="G174" s="22" t="str">
        <x:v>Bryce B.</x:v>
      </x:c>
      <x:c r="H174" s="26" t="n">
        <x:v>2</x:v>
      </x:c>
      <x:c r="I174" s="22" t="str">
        <x:v>15-minute interval</x:v>
      </x:c>
      <x:c r="J174" s="22" t="str">
        <x:v>1539</x:v>
      </x:c>
      <x:c r="K174" s="22" t="str">
        <x:v>1554</x:v>
      </x:c>
      <x:c r="L174" s="22" t="str">
        <x:v>3:00</x:v>
      </x:c>
      <x:c r="M174" s="22" t="str">
        <x:v>2:45</x:v>
      </x:c>
      <x:c r="N174" s="22" t="str">
        <x:v>20</x:v>
      </x:c>
      <x:c r="O174" s="26" t="n">
        <x:v>20</x:v>
      </x:c>
      <x:c r="P174" s="22" t="str">
        <x:v>0</x:v>
      </x:c>
      <x:c r="Q174" s="26" t="n">
        <x:v>0</x:v>
      </x:c>
      <x:c r="R174" s="22" t="str">
        <x:v>Observed</x:v>
      </x:c>
      <x:c r="S174" s="22" t="str"/>
      <x:c r="T174" s="26" t="n">
        <x:f>IF(R174&lt;&gt;"Observed","",SUMIFS($O$3:O174,$C$3:C174,C174,$R$3:R174,"Observed"))</x:f>
        <x:v>40</x:v>
      </x:c>
      <x:c r="U174" s="26" t="n">
        <x:f>IF(R174&lt;&gt;"Observed","",SUMIFS($Q$3:Q174,$C$3:C174,C174,$R$3:R174,"Observed"))</x:f>
        <x:v>0</x:v>
      </x:c>
      <x:c r="V174" s="26" t="n">
        <x:f>IF(R174&lt;&gt;"Observed","",T174-U174)</x:f>
        <x:v>40</x:v>
      </x:c>
    </x:row>
    <x:row r="175">
      <x:c r="A175" s="22" t="str">
        <x:v>2022-2026-Copalis-Mocrocks.pdf</x:v>
      </x:c>
      <x:c r="B175" s="26" t="n">
        <x:v>11</x:v>
      </x:c>
      <x:c r="C175" s="22" t="str">
        <x:v>P11</x:v>
      </x:c>
      <x:c r="D175" s="22" t="str">
        <x:v>Mocrocks Beach</x:v>
      </x:c>
      <x:c r="E175" s="22" t="str">
        <x:v>Roosevelt Beach Rd. South</x:v>
      </x:c>
      <x:c r="F175" s="24" t="n">
        <x:v>45716</x:v>
      </x:c>
      <x:c r="G175" s="22" t="str">
        <x:v>Bryce B.</x:v>
      </x:c>
      <x:c r="H175" s="26" t="n">
        <x:v>3</x:v>
      </x:c>
      <x:c r="I175" s="22" t="str">
        <x:v>15-minute interval</x:v>
      </x:c>
      <x:c r="J175" s="22" t="str">
        <x:v>1554</x:v>
      </x:c>
      <x:c r="K175" s="22" t="str">
        <x:v>1609</x:v>
      </x:c>
      <x:c r="L175" s="22" t="str">
        <x:v>2:45</x:v>
      </x:c>
      <x:c r="M175" s="22" t="str">
        <x:v>2:30</x:v>
      </x:c>
      <x:c r="N175" s="22" t="str">
        <x:v>23</x:v>
      </x:c>
      <x:c r="O175" s="26" t="n">
        <x:v>23</x:v>
      </x:c>
      <x:c r="P175" s="22" t="str">
        <x:v>1</x:v>
      </x:c>
      <x:c r="Q175" s="26" t="n">
        <x:v>1</x:v>
      </x:c>
      <x:c r="R175" s="22" t="str">
        <x:v>Observed</x:v>
      </x:c>
      <x:c r="S175" s="22" t="str"/>
      <x:c r="T175" s="26" t="n">
        <x:f>IF(R175&lt;&gt;"Observed","",SUMIFS($O$3:O175,$C$3:C175,C175,$R$3:R175,"Observed"))</x:f>
        <x:v>63</x:v>
      </x:c>
      <x:c r="U175" s="26" t="n">
        <x:f>IF(R175&lt;&gt;"Observed","",SUMIFS($Q$3:Q175,$C$3:C175,C175,$R$3:R175,"Observed"))</x:f>
        <x:v>1</x:v>
      </x:c>
      <x:c r="V175" s="26" t="n">
        <x:f>IF(R175&lt;&gt;"Observed","",T175-U175)</x:f>
        <x:v>62</x:v>
      </x:c>
    </x:row>
    <x:row r="176">
      <x:c r="A176" s="22" t="str">
        <x:v>2022-2026-Copalis-Mocrocks.pdf</x:v>
      </x:c>
      <x:c r="B176" s="26" t="n">
        <x:v>11</x:v>
      </x:c>
      <x:c r="C176" s="22" t="str">
        <x:v>P11</x:v>
      </x:c>
      <x:c r="D176" s="22" t="str">
        <x:v>Mocrocks Beach</x:v>
      </x:c>
      <x:c r="E176" s="22" t="str">
        <x:v>Roosevelt Beach Rd. South</x:v>
      </x:c>
      <x:c r="F176" s="24" t="n">
        <x:v>45716</x:v>
      </x:c>
      <x:c r="G176" s="22" t="str">
        <x:v>Bryce B.</x:v>
      </x:c>
      <x:c r="H176" s="26" t="n">
        <x:v>4</x:v>
      </x:c>
      <x:c r="I176" s="22" t="str">
        <x:v>15-minute interval</x:v>
      </x:c>
      <x:c r="J176" s="22" t="str">
        <x:v>1609</x:v>
      </x:c>
      <x:c r="K176" s="22" t="str">
        <x:v>1624</x:v>
      </x:c>
      <x:c r="L176" s="22" t="str">
        <x:v>2:30</x:v>
      </x:c>
      <x:c r="M176" s="22" t="str">
        <x:v>2:15</x:v>
      </x:c>
      <x:c r="N176" s="22" t="str">
        <x:v>29</x:v>
      </x:c>
      <x:c r="O176" s="26" t="n">
        <x:v>29</x:v>
      </x:c>
      <x:c r="P176" s="22" t="str">
        <x:v>1</x:v>
      </x:c>
      <x:c r="Q176" s="26" t="n">
        <x:v>1</x:v>
      </x:c>
      <x:c r="R176" s="22" t="str">
        <x:v>Observed</x:v>
      </x:c>
      <x:c r="S176" s="22" t="str"/>
      <x:c r="T176" s="26" t="n">
        <x:f>IF(R176&lt;&gt;"Observed","",SUMIFS($O$3:O176,$C$3:C176,C176,$R$3:R176,"Observed"))</x:f>
        <x:v>92</x:v>
      </x:c>
      <x:c r="U176" s="26" t="n">
        <x:f>IF(R176&lt;&gt;"Observed","",SUMIFS($Q$3:Q176,$C$3:C176,C176,$R$3:R176,"Observed"))</x:f>
        <x:v>2</x:v>
      </x:c>
      <x:c r="V176" s="26" t="n">
        <x:f>IF(R176&lt;&gt;"Observed","",T176-U176)</x:f>
        <x:v>90</x:v>
      </x:c>
    </x:row>
    <x:row r="177">
      <x:c r="A177" s="22" t="str">
        <x:v>2022-2026-Copalis-Mocrocks.pdf</x:v>
      </x:c>
      <x:c r="B177" s="26" t="n">
        <x:v>11</x:v>
      </x:c>
      <x:c r="C177" s="22" t="str">
        <x:v>P11</x:v>
      </x:c>
      <x:c r="D177" s="22" t="str">
        <x:v>Mocrocks Beach</x:v>
      </x:c>
      <x:c r="E177" s="22" t="str">
        <x:v>Roosevelt Beach Rd. South</x:v>
      </x:c>
      <x:c r="F177" s="24" t="n">
        <x:v>45716</x:v>
      </x:c>
      <x:c r="G177" s="22" t="str">
        <x:v>Bryce B.</x:v>
      </x:c>
      <x:c r="H177" s="26" t="n">
        <x:v>5</x:v>
      </x:c>
      <x:c r="I177" s="22" t="str">
        <x:v>15-minute interval</x:v>
      </x:c>
      <x:c r="J177" s="22" t="str">
        <x:v>1624</x:v>
      </x:c>
      <x:c r="K177" s="22" t="str">
        <x:v>1639</x:v>
      </x:c>
      <x:c r="L177" s="22" t="str">
        <x:v>2:15</x:v>
      </x:c>
      <x:c r="M177" s="22" t="str">
        <x:v>2:00</x:v>
      </x:c>
      <x:c r="N177" s="22" t="str">
        <x:v>25</x:v>
      </x:c>
      <x:c r="O177" s="26" t="n">
        <x:v>25</x:v>
      </x:c>
      <x:c r="P177" s="22" t="str">
        <x:v>3</x:v>
      </x:c>
      <x:c r="Q177" s="26" t="n">
        <x:v>3</x:v>
      </x:c>
      <x:c r="R177" s="22" t="str">
        <x:v>Observed</x:v>
      </x:c>
      <x:c r="S177" s="22" t="str"/>
      <x:c r="T177" s="26" t="n">
        <x:f>IF(R177&lt;&gt;"Observed","",SUMIFS($O$3:O177,$C$3:C177,C177,$R$3:R177,"Observed"))</x:f>
        <x:v>117</x:v>
      </x:c>
      <x:c r="U177" s="26" t="n">
        <x:f>IF(R177&lt;&gt;"Observed","",SUMIFS($Q$3:Q177,$C$3:C177,C177,$R$3:R177,"Observed"))</x:f>
        <x:v>5</x:v>
      </x:c>
      <x:c r="V177" s="26" t="n">
        <x:f>IF(R177&lt;&gt;"Observed","",T177-U177)</x:f>
        <x:v>112</x:v>
      </x:c>
    </x:row>
    <x:row r="178">
      <x:c r="A178" s="22" t="str">
        <x:v>2022-2026-Copalis-Mocrocks.pdf</x:v>
      </x:c>
      <x:c r="B178" s="26" t="n">
        <x:v>11</x:v>
      </x:c>
      <x:c r="C178" s="22" t="str">
        <x:v>P11</x:v>
      </x:c>
      <x:c r="D178" s="22" t="str">
        <x:v>Mocrocks Beach</x:v>
      </x:c>
      <x:c r="E178" s="22" t="str">
        <x:v>Roosevelt Beach Rd. South</x:v>
      </x:c>
      <x:c r="F178" s="24" t="n">
        <x:v>45716</x:v>
      </x:c>
      <x:c r="G178" s="22" t="str">
        <x:v>Bryce B.</x:v>
      </x:c>
      <x:c r="H178" s="26" t="n">
        <x:v>6</x:v>
      </x:c>
      <x:c r="I178" s="22" t="str">
        <x:v>15-minute interval</x:v>
      </x:c>
      <x:c r="J178" s="22" t="str">
        <x:v>1639</x:v>
      </x:c>
      <x:c r="K178" s="22" t="str">
        <x:v>1654</x:v>
      </x:c>
      <x:c r="L178" s="22" t="str">
        <x:v>2:00</x:v>
      </x:c>
      <x:c r="M178" s="22" t="str">
        <x:v>1:45</x:v>
      </x:c>
      <x:c r="N178" s="22" t="str">
        <x:v>16</x:v>
      </x:c>
      <x:c r="O178" s="26" t="n">
        <x:v>16</x:v>
      </x:c>
      <x:c r="P178" s="22" t="str">
        <x:v>3</x:v>
      </x:c>
      <x:c r="Q178" s="26" t="n">
        <x:v>3</x:v>
      </x:c>
      <x:c r="R178" s="22" t="str">
        <x:v>Observed</x:v>
      </x:c>
      <x:c r="S178" s="22" t="str"/>
      <x:c r="T178" s="26" t="n">
        <x:f>IF(R178&lt;&gt;"Observed","",SUMIFS($O$3:O178,$C$3:C178,C178,$R$3:R178,"Observed"))</x:f>
        <x:v>133</x:v>
      </x:c>
      <x:c r="U178" s="26" t="n">
        <x:f>IF(R178&lt;&gt;"Observed","",SUMIFS($Q$3:Q178,$C$3:C178,C178,$R$3:R178,"Observed"))</x:f>
        <x:v>8</x:v>
      </x:c>
      <x:c r="V178" s="26" t="n">
        <x:f>IF(R178&lt;&gt;"Observed","",T178-U178)</x:f>
        <x:v>125</x:v>
      </x:c>
    </x:row>
    <x:row r="179">
      <x:c r="A179" s="22" t="str">
        <x:v>2022-2026-Copalis-Mocrocks.pdf</x:v>
      </x:c>
      <x:c r="B179" s="26" t="n">
        <x:v>11</x:v>
      </x:c>
      <x:c r="C179" s="22" t="str">
        <x:v>P11</x:v>
      </x:c>
      <x:c r="D179" s="22" t="str">
        <x:v>Mocrocks Beach</x:v>
      </x:c>
      <x:c r="E179" s="22" t="str">
        <x:v>Roosevelt Beach Rd. South</x:v>
      </x:c>
      <x:c r="F179" s="24" t="n">
        <x:v>45716</x:v>
      </x:c>
      <x:c r="G179" s="22" t="str">
        <x:v>Bryce B.</x:v>
      </x:c>
      <x:c r="H179" s="26" t="n">
        <x:v>7</x:v>
      </x:c>
      <x:c r="I179" s="22" t="str">
        <x:v>15-minute interval</x:v>
      </x:c>
      <x:c r="J179" s="22" t="str">
        <x:v>1654</x:v>
      </x:c>
      <x:c r="K179" s="22" t="str">
        <x:v>1709</x:v>
      </x:c>
      <x:c r="L179" s="22" t="str">
        <x:v>1:45</x:v>
      </x:c>
      <x:c r="M179" s="22" t="str">
        <x:v>1:30</x:v>
      </x:c>
      <x:c r="N179" s="22" t="str">
        <x:v>25</x:v>
      </x:c>
      <x:c r="O179" s="26" t="n">
        <x:v>25</x:v>
      </x:c>
      <x:c r="P179" s="22" t="str">
        <x:v>10</x:v>
      </x:c>
      <x:c r="Q179" s="26" t="n">
        <x:v>10</x:v>
      </x:c>
      <x:c r="R179" s="22" t="str">
        <x:v>Observed</x:v>
      </x:c>
      <x:c r="S179" s="22" t="str"/>
      <x:c r="T179" s="26" t="n">
        <x:f>IF(R179&lt;&gt;"Observed","",SUMIFS($O$3:O179,$C$3:C179,C179,$R$3:R179,"Observed"))</x:f>
        <x:v>158</x:v>
      </x:c>
      <x:c r="U179" s="26" t="n">
        <x:f>IF(R179&lt;&gt;"Observed","",SUMIFS($Q$3:Q179,$C$3:C179,C179,$R$3:R179,"Observed"))</x:f>
        <x:v>18</x:v>
      </x:c>
      <x:c r="V179" s="26" t="n">
        <x:f>IF(R179&lt;&gt;"Observed","",T179-U179)</x:f>
        <x:v>140</x:v>
      </x:c>
    </x:row>
    <x:row r="180">
      <x:c r="A180" s="22" t="str">
        <x:v>2022-2026-Copalis-Mocrocks.pdf</x:v>
      </x:c>
      <x:c r="B180" s="26" t="n">
        <x:v>11</x:v>
      </x:c>
      <x:c r="C180" s="22" t="str">
        <x:v>P11</x:v>
      </x:c>
      <x:c r="D180" s="22" t="str">
        <x:v>Mocrocks Beach</x:v>
      </x:c>
      <x:c r="E180" s="22" t="str">
        <x:v>Roosevelt Beach Rd. South</x:v>
      </x:c>
      <x:c r="F180" s="24" t="n">
        <x:v>45716</x:v>
      </x:c>
      <x:c r="G180" s="22" t="str">
        <x:v>Bryce B.</x:v>
      </x:c>
      <x:c r="H180" s="26" t="n">
        <x:v>8</x:v>
      </x:c>
      <x:c r="I180" s="22" t="str">
        <x:v>15-minute interval</x:v>
      </x:c>
      <x:c r="J180" s="22" t="str">
        <x:v>1709</x:v>
      </x:c>
      <x:c r="K180" s="22" t="str">
        <x:v>1724</x:v>
      </x:c>
      <x:c r="L180" s="22" t="str">
        <x:v>1:30</x:v>
      </x:c>
      <x:c r="M180" s="22" t="str">
        <x:v>1:15</x:v>
      </x:c>
      <x:c r="N180" s="22" t="str">
        <x:v>27</x:v>
      </x:c>
      <x:c r="O180" s="26" t="n">
        <x:v>27</x:v>
      </x:c>
      <x:c r="P180" s="22" t="str">
        <x:v>9</x:v>
      </x:c>
      <x:c r="Q180" s="26" t="n">
        <x:v>9</x:v>
      </x:c>
      <x:c r="R180" s="22" t="str">
        <x:v>Observed</x:v>
      </x:c>
      <x:c r="S180" s="22" t="str"/>
      <x:c r="T180" s="26" t="n">
        <x:f>IF(R180&lt;&gt;"Observed","",SUMIFS($O$3:O180,$C$3:C180,C180,$R$3:R180,"Observed"))</x:f>
        <x:v>185</x:v>
      </x:c>
      <x:c r="U180" s="26" t="n">
        <x:f>IF(R180&lt;&gt;"Observed","",SUMIFS($Q$3:Q180,$C$3:C180,C180,$R$3:R180,"Observed"))</x:f>
        <x:v>27</x:v>
      </x:c>
      <x:c r="V180" s="26" t="n">
        <x:f>IF(R180&lt;&gt;"Observed","",T180-U180)</x:f>
        <x:v>158</x:v>
      </x:c>
    </x:row>
    <x:row r="181">
      <x:c r="A181" s="22" t="str">
        <x:v>2022-2026-Copalis-Mocrocks.pdf</x:v>
      </x:c>
      <x:c r="B181" s="26" t="n">
        <x:v>11</x:v>
      </x:c>
      <x:c r="C181" s="22" t="str">
        <x:v>P11</x:v>
      </x:c>
      <x:c r="D181" s="22" t="str">
        <x:v>Mocrocks Beach</x:v>
      </x:c>
      <x:c r="E181" s="22" t="str">
        <x:v>Roosevelt Beach Rd. South</x:v>
      </x:c>
      <x:c r="F181" s="24" t="n">
        <x:v>45716</x:v>
      </x:c>
      <x:c r="G181" s="22" t="str">
        <x:v>Bryce B.</x:v>
      </x:c>
      <x:c r="H181" s="26" t="n">
        <x:v>9</x:v>
      </x:c>
      <x:c r="I181" s="22" t="str">
        <x:v>15-minute interval</x:v>
      </x:c>
      <x:c r="J181" s="22" t="str">
        <x:v>1724</x:v>
      </x:c>
      <x:c r="K181" s="22" t="str">
        <x:v>1739</x:v>
      </x:c>
      <x:c r="L181" s="22" t="str">
        <x:v>1:15</x:v>
      </x:c>
      <x:c r="M181" s="22" t="str">
        <x:v>1:00</x:v>
      </x:c>
      <x:c r="N181" s="22" t="str">
        <x:v>14</x:v>
      </x:c>
      <x:c r="O181" s="26" t="n">
        <x:v>14</x:v>
      </x:c>
      <x:c r="P181" s="22" t="str">
        <x:v>24</x:v>
      </x:c>
      <x:c r="Q181" s="26" t="n">
        <x:v>24</x:v>
      </x:c>
      <x:c r="R181" s="22" t="str">
        <x:v>Observed</x:v>
      </x:c>
      <x:c r="S181" s="22" t="str"/>
      <x:c r="T181" s="26" t="n">
        <x:f>IF(R181&lt;&gt;"Observed","",SUMIFS($O$3:O181,$C$3:C181,C181,$R$3:R181,"Observed"))</x:f>
        <x:v>199</x:v>
      </x:c>
      <x:c r="U181" s="26" t="n">
        <x:f>IF(R181&lt;&gt;"Observed","",SUMIFS($Q$3:Q181,$C$3:C181,C181,$R$3:R181,"Observed"))</x:f>
        <x:v>51</x:v>
      </x:c>
      <x:c r="V181" s="26" t="n">
        <x:f>IF(R181&lt;&gt;"Observed","",T181-U181)</x:f>
        <x:v>148</x:v>
      </x:c>
    </x:row>
    <x:row r="182">
      <x:c r="A182" s="22" t="str">
        <x:v>2022-2026-Copalis-Mocrocks.pdf</x:v>
      </x:c>
      <x:c r="B182" s="26" t="n">
        <x:v>11</x:v>
      </x:c>
      <x:c r="C182" s="22" t="str">
        <x:v>P11</x:v>
      </x:c>
      <x:c r="D182" s="22" t="str">
        <x:v>Mocrocks Beach</x:v>
      </x:c>
      <x:c r="E182" s="22" t="str">
        <x:v>Roosevelt Beach Rd. South</x:v>
      </x:c>
      <x:c r="F182" s="24" t="n">
        <x:v>45716</x:v>
      </x:c>
      <x:c r="G182" s="22" t="str">
        <x:v>Bryce B.</x:v>
      </x:c>
      <x:c r="H182" s="26" t="n">
        <x:v>10</x:v>
      </x:c>
      <x:c r="I182" s="22" t="str">
        <x:v>15-minute interval</x:v>
      </x:c>
      <x:c r="J182" s="22" t="str">
        <x:v>1739</x:v>
      </x:c>
      <x:c r="K182" s="22" t="str">
        <x:v>1754</x:v>
      </x:c>
      <x:c r="L182" s="22" t="str">
        <x:v>1:00</x:v>
      </x:c>
      <x:c r="M182" s="22" t="str">
        <x:v>0:45</x:v>
      </x:c>
      <x:c r="N182" s="22" t="str">
        <x:v>15</x:v>
      </x:c>
      <x:c r="O182" s="26" t="n">
        <x:v>15</x:v>
      </x:c>
      <x:c r="P182" s="22" t="str">
        <x:v>22</x:v>
      </x:c>
      <x:c r="Q182" s="26" t="n">
        <x:v>22</x:v>
      </x:c>
      <x:c r="R182" s="22" t="str">
        <x:v>Observed</x:v>
      </x:c>
      <x:c r="S182" s="22" t="str"/>
      <x:c r="T182" s="26" t="n">
        <x:f>IF(R182&lt;&gt;"Observed","",SUMIFS($O$3:O182,$C$3:C182,C182,$R$3:R182,"Observed"))</x:f>
        <x:v>214</x:v>
      </x:c>
      <x:c r="U182" s="26" t="n">
        <x:f>IF(R182&lt;&gt;"Observed","",SUMIFS($Q$3:Q182,$C$3:C182,C182,$R$3:R182,"Observed"))</x:f>
        <x:v>73</x:v>
      </x:c>
      <x:c r="V182" s="26" t="n">
        <x:f>IF(R182&lt;&gt;"Observed","",T182-U182)</x:f>
        <x:v>141</x:v>
      </x:c>
    </x:row>
    <x:row r="183">
      <x:c r="A183" s="22" t="str">
        <x:v>2022-2026-Copalis-Mocrocks.pdf</x:v>
      </x:c>
      <x:c r="B183" s="26" t="n">
        <x:v>11</x:v>
      </x:c>
      <x:c r="C183" s="22" t="str">
        <x:v>P11</x:v>
      </x:c>
      <x:c r="D183" s="22" t="str">
        <x:v>Mocrocks Beach</x:v>
      </x:c>
      <x:c r="E183" s="22" t="str">
        <x:v>Roosevelt Beach Rd. South</x:v>
      </x:c>
      <x:c r="F183" s="24" t="n">
        <x:v>45716</x:v>
      </x:c>
      <x:c r="G183" s="22" t="str">
        <x:v>Bryce B.</x:v>
      </x:c>
      <x:c r="H183" s="26" t="n">
        <x:v>11</x:v>
      </x:c>
      <x:c r="I183" s="22" t="str">
        <x:v>15-minute interval</x:v>
      </x:c>
      <x:c r="J183" s="22" t="str">
        <x:v>1754</x:v>
      </x:c>
      <x:c r="K183" s="22" t="str">
        <x:v>1809</x:v>
      </x:c>
      <x:c r="L183" s="22" t="str">
        <x:v>0:45</x:v>
      </x:c>
      <x:c r="M183" s="22" t="str">
        <x:v>0:30</x:v>
      </x:c>
      <x:c r="N183" s="22" t="str">
        <x:v>7</x:v>
      </x:c>
      <x:c r="O183" s="26" t="n">
        <x:v>7</x:v>
      </x:c>
      <x:c r="P183" s="22" t="str">
        <x:v>36</x:v>
      </x:c>
      <x:c r="Q183" s="26" t="n">
        <x:v>36</x:v>
      </x:c>
      <x:c r="R183" s="22" t="str">
        <x:v>Observed</x:v>
      </x:c>
      <x:c r="S183" s="22" t="str"/>
      <x:c r="T183" s="26" t="n">
        <x:f>IF(R183&lt;&gt;"Observed","",SUMIFS($O$3:O183,$C$3:C183,C183,$R$3:R183,"Observed"))</x:f>
        <x:v>221</x:v>
      </x:c>
      <x:c r="U183" s="26" t="n">
        <x:f>IF(R183&lt;&gt;"Observed","",SUMIFS($Q$3:Q183,$C$3:C183,C183,$R$3:R183,"Observed"))</x:f>
        <x:v>109</x:v>
      </x:c>
      <x:c r="V183" s="26" t="n">
        <x:f>IF(R183&lt;&gt;"Observed","",T183-U183)</x:f>
        <x:v>112</x:v>
      </x:c>
    </x:row>
    <x:row r="184">
      <x:c r="A184" s="22" t="str">
        <x:v>2022-2026-Copalis-Mocrocks.pdf</x:v>
      </x:c>
      <x:c r="B184" s="26" t="n">
        <x:v>11</x:v>
      </x:c>
      <x:c r="C184" s="22" t="str">
        <x:v>P11</x:v>
      </x:c>
      <x:c r="D184" s="22" t="str">
        <x:v>Mocrocks Beach</x:v>
      </x:c>
      <x:c r="E184" s="22" t="str">
        <x:v>Roosevelt Beach Rd. South</x:v>
      </x:c>
      <x:c r="F184" s="24" t="n">
        <x:v>45716</x:v>
      </x:c>
      <x:c r="G184" s="22" t="str">
        <x:v>Bryce B.</x:v>
      </x:c>
      <x:c r="H184" s="26" t="n">
        <x:v>12</x:v>
      </x:c>
      <x:c r="I184" s="22" t="str">
        <x:v>15-minute interval</x:v>
      </x:c>
      <x:c r="J184" s="22" t="str">
        <x:v>1809</x:v>
      </x:c>
      <x:c r="K184" s="22" t="str">
        <x:v>1824</x:v>
      </x:c>
      <x:c r="L184" s="22" t="str">
        <x:v>0:30</x:v>
      </x:c>
      <x:c r="M184" s="22" t="str">
        <x:v>0:15</x:v>
      </x:c>
      <x:c r="N184" s="22" t="str">
        <x:v>6</x:v>
      </x:c>
      <x:c r="O184" s="26" t="n">
        <x:v>6</x:v>
      </x:c>
      <x:c r="P184" s="22" t="str">
        <x:v>41</x:v>
      </x:c>
      <x:c r="Q184" s="26" t="n">
        <x:v>41</x:v>
      </x:c>
      <x:c r="R184" s="22" t="str">
        <x:v>Observed</x:v>
      </x:c>
      <x:c r="S184" s="22" t="str"/>
      <x:c r="T184" s="26" t="n">
        <x:f>IF(R184&lt;&gt;"Observed","",SUMIFS($O$3:O184,$C$3:C184,C184,$R$3:R184,"Observed"))</x:f>
        <x:v>227</x:v>
      </x:c>
      <x:c r="U184" s="26" t="n">
        <x:f>IF(R184&lt;&gt;"Observed","",SUMIFS($Q$3:Q184,$C$3:C184,C184,$R$3:R184,"Observed"))</x:f>
        <x:v>150</x:v>
      </x:c>
      <x:c r="V184" s="26" t="n">
        <x:f>IF(R184&lt;&gt;"Observed","",T184-U184)</x:f>
        <x:v>77</x:v>
      </x:c>
    </x:row>
    <x:row r="185">
      <x:c r="A185" s="22" t="str">
        <x:v>2022-2026-Copalis-Mocrocks.pdf</x:v>
      </x:c>
      <x:c r="B185" s="26" t="n">
        <x:v>11</x:v>
      </x:c>
      <x:c r="C185" s="22" t="str">
        <x:v>P11</x:v>
      </x:c>
      <x:c r="D185" s="22" t="str">
        <x:v>Mocrocks Beach</x:v>
      </x:c>
      <x:c r="E185" s="22" t="str">
        <x:v>Roosevelt Beach Rd. South</x:v>
      </x:c>
      <x:c r="F185" s="24" t="n">
        <x:v>45716</x:v>
      </x:c>
      <x:c r="G185" s="22" t="str">
        <x:v>Bryce B.</x:v>
      </x:c>
      <x:c r="H185" s="26" t="n">
        <x:v>13</x:v>
      </x:c>
      <x:c r="I185" s="22" t="str">
        <x:v>15-minute interval</x:v>
      </x:c>
      <x:c r="J185" s="22" t="str">
        <x:v>1824</x:v>
      </x:c>
      <x:c r="K185" s="22" t="str">
        <x:v>1839</x:v>
      </x:c>
      <x:c r="L185" s="22" t="str">
        <x:v>0:15</x:v>
      </x:c>
      <x:c r="M185" s="22" t="str">
        <x:v>0:00</x:v>
      </x:c>
      <x:c r="N185" s="22" t="str">
        <x:v>4</x:v>
      </x:c>
      <x:c r="O185" s="26" t="n">
        <x:v>4</x:v>
      </x:c>
      <x:c r="P185" s="22" t="str">
        <x:v>20</x:v>
      </x:c>
      <x:c r="Q185" s="26" t="n">
        <x:v>20</x:v>
      </x:c>
      <x:c r="R185" s="22" t="str">
        <x:v>Observed</x:v>
      </x:c>
      <x:c r="S185" s="22" t="str"/>
      <x:c r="T185" s="26" t="n">
        <x:f>IF(R185&lt;&gt;"Observed","",SUMIFS($O$3:O185,$C$3:C185,C185,$R$3:R185,"Observed"))</x:f>
        <x:v>231</x:v>
      </x:c>
      <x:c r="U185" s="26" t="n">
        <x:f>IF(R185&lt;&gt;"Observed","",SUMIFS($Q$3:Q185,$C$3:C185,C185,$R$3:R185,"Observed"))</x:f>
        <x:v>170</x:v>
      </x:c>
      <x:c r="V185" s="26" t="n">
        <x:f>IF(R185&lt;&gt;"Observed","",T185-U185)</x:f>
        <x:v>61</x:v>
      </x:c>
    </x:row>
    <x:row r="186">
      <x:c r="A186" s="22" t="str">
        <x:v>2022-2026-Copalis-Mocrocks.pdf</x:v>
      </x:c>
      <x:c r="B186" s="26" t="n">
        <x:v>11</x:v>
      </x:c>
      <x:c r="C186" s="22" t="str">
        <x:v>P11</x:v>
      </x:c>
      <x:c r="D186" s="22" t="str">
        <x:v>Mocrocks Beach</x:v>
      </x:c>
      <x:c r="E186" s="22" t="str">
        <x:v>Roosevelt Beach Rd. South</x:v>
      </x:c>
      <x:c r="F186" s="24" t="n">
        <x:v>45716</x:v>
      </x:c>
      <x:c r="G186" s="22" t="str">
        <x:v>Bryce B.</x:v>
      </x:c>
      <x:c r="H186" s="26" t="n">
        <x:v>14</x:v>
      </x:c>
      <x:c r="I186" s="22" t="str">
        <x:v>15-minute interval</x:v>
      </x:c>
      <x:c r="J186" s="22" t="str">
        <x:v>1839</x:v>
      </x:c>
      <x:c r="K186" s="22" t="str">
        <x:v>1854</x:v>
      </x:c>
      <x:c r="L186" s="22" t="str">
        <x:v>0:00</x:v>
      </x:c>
      <x:c r="M186" s="22" t="str">
        <x:v>0:15</x:v>
      </x:c>
      <x:c r="N186" s="22" t="str">
        <x:v>2</x:v>
      </x:c>
      <x:c r="O186" s="26" t="n">
        <x:v>2</x:v>
      </x:c>
      <x:c r="P186" s="22" t="str">
        <x:v>26</x:v>
      </x:c>
      <x:c r="Q186" s="26" t="n">
        <x:v>26</x:v>
      </x:c>
      <x:c r="R186" s="22" t="str">
        <x:v>Observed</x:v>
      </x:c>
      <x:c r="S186" s="22" t="str"/>
      <x:c r="T186" s="26" t="n">
        <x:f>IF(R186&lt;&gt;"Observed","",SUMIFS($O$3:O186,$C$3:C186,C186,$R$3:R186,"Observed"))</x:f>
        <x:v>233</x:v>
      </x:c>
      <x:c r="U186" s="26" t="n">
        <x:f>IF(R186&lt;&gt;"Observed","",SUMIFS($Q$3:Q186,$C$3:C186,C186,$R$3:R186,"Observed"))</x:f>
        <x:v>196</x:v>
      </x:c>
      <x:c r="V186" s="26" t="n">
        <x:f>IF(R186&lt;&gt;"Observed","",T186-U186)</x:f>
        <x:v>37</x:v>
      </x:c>
    </x:row>
    <x:row r="187">
      <x:c r="A187" s="22" t="str">
        <x:v>2022-2026-Copalis-Mocrocks.pdf</x:v>
      </x:c>
      <x:c r="B187" s="26" t="n">
        <x:v>11</x:v>
      </x:c>
      <x:c r="C187" s="22" t="str">
        <x:v>P11</x:v>
      </x:c>
      <x:c r="D187" s="22" t="str">
        <x:v>Mocrocks Beach</x:v>
      </x:c>
      <x:c r="E187" s="22" t="str">
        <x:v>Roosevelt Beach Rd. South</x:v>
      </x:c>
      <x:c r="F187" s="24" t="n">
        <x:v>45716</x:v>
      </x:c>
      <x:c r="G187" s="22" t="str">
        <x:v>Bryce B.</x:v>
      </x:c>
      <x:c r="H187" s="26" t="n">
        <x:v>15</x:v>
      </x:c>
      <x:c r="I187" s="22" t="str">
        <x:v>15-minute interval</x:v>
      </x:c>
      <x:c r="J187" s="22" t="str">
        <x:v>1854</x:v>
      </x:c>
      <x:c r="K187" s="22" t="str">
        <x:v>1909</x:v>
      </x:c>
      <x:c r="L187" s="22" t="str">
        <x:v>0:15</x:v>
      </x:c>
      <x:c r="M187" s="22" t="str">
        <x:v>0:30</x:v>
      </x:c>
      <x:c r="N187" s="22" t="str">
        <x:v>1</x:v>
      </x:c>
      <x:c r="O187" s="26" t="n">
        <x:v>1</x:v>
      </x:c>
      <x:c r="P187" s="22" t="str">
        <x:v>12</x:v>
      </x:c>
      <x:c r="Q187" s="26" t="n">
        <x:v>12</x:v>
      </x:c>
      <x:c r="R187" s="22" t="str">
        <x:v>Observed</x:v>
      </x:c>
      <x:c r="S187" s="22" t="str"/>
      <x:c r="T187" s="26" t="n">
        <x:f>IF(R187&lt;&gt;"Observed","",SUMIFS($O$3:O187,$C$3:C187,C187,$R$3:R187,"Observed"))</x:f>
        <x:v>234</x:v>
      </x:c>
      <x:c r="U187" s="26" t="n">
        <x:f>IF(R187&lt;&gt;"Observed","",SUMIFS($Q$3:Q187,$C$3:C187,C187,$R$3:R187,"Observed"))</x:f>
        <x:v>208</x:v>
      </x:c>
      <x:c r="V187" s="26" t="n">
        <x:f>IF(R187&lt;&gt;"Observed","",T187-U187)</x:f>
        <x:v>26</x:v>
      </x:c>
    </x:row>
    <x:row r="188">
      <x:c r="A188" s="22" t="str">
        <x:v>2022-2026-Copalis-Mocrocks.pdf</x:v>
      </x:c>
      <x:c r="B188" s="26" t="n">
        <x:v>11</x:v>
      </x:c>
      <x:c r="C188" s="22" t="str">
        <x:v>P11</x:v>
      </x:c>
      <x:c r="D188" s="22" t="str">
        <x:v>Mocrocks Beach</x:v>
      </x:c>
      <x:c r="E188" s="22" t="str">
        <x:v>Roosevelt Beach Rd. South</x:v>
      </x:c>
      <x:c r="F188" s="24" t="n">
        <x:v>45716</x:v>
      </x:c>
      <x:c r="G188" s="22" t="str">
        <x:v>Bryce B.</x:v>
      </x:c>
      <x:c r="H188" s="26" t="n">
        <x:v>16</x:v>
      </x:c>
      <x:c r="I188" s="22" t="str">
        <x:v>15-minute interval</x:v>
      </x:c>
      <x:c r="J188" s="22" t="str">
        <x:v>1909</x:v>
      </x:c>
      <x:c r="K188" s="22" t="str">
        <x:v>1924</x:v>
      </x:c>
      <x:c r="L188" s="22" t="str">
        <x:v>0:30</x:v>
      </x:c>
      <x:c r="M188" s="22" t="str">
        <x:v>0:45</x:v>
      </x:c>
      <x:c r="N188" s="22" t="str">
        <x:v>1</x:v>
      </x:c>
      <x:c r="O188" s="26" t="n">
        <x:v>1</x:v>
      </x:c>
      <x:c r="P188" s="22" t="str">
        <x:v>6</x:v>
      </x:c>
      <x:c r="Q188" s="26" t="n">
        <x:v>6</x:v>
      </x:c>
      <x:c r="R188" s="22" t="str">
        <x:v>Observed</x:v>
      </x:c>
      <x:c r="S188" s="22" t="str"/>
      <x:c r="T188" s="26" t="n">
        <x:f>IF(R188&lt;&gt;"Observed","",SUMIFS($O$3:O188,$C$3:C188,C188,$R$3:R188,"Observed"))</x:f>
        <x:v>235</x:v>
      </x:c>
      <x:c r="U188" s="26" t="n">
        <x:f>IF(R188&lt;&gt;"Observed","",SUMIFS($Q$3:Q188,$C$3:C188,C188,$R$3:R188,"Observed"))</x:f>
        <x:v>214</x:v>
      </x:c>
      <x:c r="V188" s="26" t="n">
        <x:f>IF(R188&lt;&gt;"Observed","",T188-U188)</x:f>
        <x:v>21</x:v>
      </x:c>
    </x:row>
    <x:row r="189">
      <x:c r="A189" s="22" t="str">
        <x:v>2022-2026-Copalis-Mocrocks.pdf</x:v>
      </x:c>
      <x:c r="B189" s="26" t="n">
        <x:v>11</x:v>
      </x:c>
      <x:c r="C189" s="22" t="str">
        <x:v>P11</x:v>
      </x:c>
      <x:c r="D189" s="22" t="str">
        <x:v>Mocrocks Beach</x:v>
      </x:c>
      <x:c r="E189" s="22" t="str">
        <x:v>Roosevelt Beach Rd. South</x:v>
      </x:c>
      <x:c r="F189" s="24" t="n">
        <x:v>45716</x:v>
      </x:c>
      <x:c r="G189" s="22" t="str">
        <x:v>Bryce B.</x:v>
      </x:c>
      <x:c r="H189" s="26" t="n">
        <x:v>17</x:v>
      </x:c>
      <x:c r="I189" s="22" t="str">
        <x:v>15-minute interval</x:v>
      </x:c>
      <x:c r="J189" s="22" t="str">
        <x:v>1924</x:v>
      </x:c>
      <x:c r="K189" s="22" t="str">
        <x:v>1939</x:v>
      </x:c>
      <x:c r="L189" s="22" t="str">
        <x:v>0:45</x:v>
      </x:c>
      <x:c r="M189" s="22" t="str">
        <x:v>1:00</x:v>
      </x:c>
      <x:c r="N189" s="22" t="str">
        <x:v>0</x:v>
      </x:c>
      <x:c r="O189" s="26" t="n">
        <x:v>0</x:v>
      </x:c>
      <x:c r="P189" s="22" t="str">
        <x:v>5</x:v>
      </x:c>
      <x:c r="Q189" s="26" t="n">
        <x:v>5</x:v>
      </x:c>
      <x:c r="R189" s="22" t="str">
        <x:v>Observed</x:v>
      </x:c>
      <x:c r="S189" s="22" t="str"/>
      <x:c r="T189" s="26" t="n">
        <x:f>IF(R189&lt;&gt;"Observed","",SUMIFS($O$3:O189,$C$3:C189,C189,$R$3:R189,"Observed"))</x:f>
        <x:v>235</x:v>
      </x:c>
      <x:c r="U189" s="26" t="n">
        <x:f>IF(R189&lt;&gt;"Observed","",SUMIFS($Q$3:Q189,$C$3:C189,C189,$R$3:R189,"Observed"))</x:f>
        <x:v>219</x:v>
      </x:c>
      <x:c r="V189" s="26" t="n">
        <x:f>IF(R189&lt;&gt;"Observed","",T189-U189)</x:f>
        <x:v>16</x:v>
      </x:c>
    </x:row>
    <x:row r="190">
      <x:c r="A190" s="22" t="str">
        <x:v>2022-2026-Copalis-Mocrocks.pdf</x:v>
      </x:c>
      <x:c r="B190" s="26" t="n">
        <x:v>12</x:v>
      </x:c>
      <x:c r="C190" s="22" t="str">
        <x:v>P12</x:v>
      </x:c>
      <x:c r="D190" s="22" t="str">
        <x:v>Copalis Beach</x:v>
      </x:c>
      <x:c r="E190" s="22" t="str">
        <x:v>Ocean City North</x:v>
      </x:c>
      <x:c r="F190" s="24" t="n">
        <x:v>45730</x:v>
      </x:c>
      <x:c r="G190" s="22" t="str">
        <x:v>Chase</x:v>
      </x:c>
      <x:c r="H190" s="26" t="n">
        <x:v>1</x:v>
      </x:c>
      <x:c r="I190" s="22" t="str">
        <x:v>Prior to Start</x:v>
      </x:c>
      <x:c r="J190" s="22" t="str">
        <x:v>Prior to Start</x:v>
      </x:c>
      <x:c r="K190" s="22" t="str"/>
      <x:c r="L190" s="22" t="str">
        <x:v>to Start</x:v>
      </x:c>
      <x:c r="M190" s="22" t="str"/>
      <x:c r="N190" s="22" t="str">
        <x:v>15</x:v>
      </x:c>
      <x:c r="O190" s="26" t="n">
        <x:v>15</x:v>
      </x:c>
      <x:c r="P190" s="22" t="str">
        <x:v>1</x:v>
      </x:c>
      <x:c r="Q190" s="26" t="n">
        <x:v>1</x:v>
      </x:c>
      <x:c r="R190" s="22" t="str">
        <x:v>Observed</x:v>
      </x:c>
      <x:c r="S190" s="22" t="str"/>
      <x:c r="T190" s="26" t="n">
        <x:f>IF(R190&lt;&gt;"Observed","",SUMIFS($O$3:O190,$C$3:C190,C190,$R$3:R190,"Observed"))</x:f>
        <x:v>15</x:v>
      </x:c>
      <x:c r="U190" s="26" t="n">
        <x:f>IF(R190&lt;&gt;"Observed","",SUMIFS($Q$3:Q190,$C$3:C190,C190,$R$3:R190,"Observed"))</x:f>
        <x:v>1</x:v>
      </x:c>
      <x:c r="V190" s="26" t="n">
        <x:f>IF(R190&lt;&gt;"Observed","",T190-U190)</x:f>
        <x:v>14</x:v>
      </x:c>
    </x:row>
    <x:row r="191">
      <x:c r="A191" s="22" t="str">
        <x:v>2022-2026-Copalis-Mocrocks.pdf</x:v>
      </x:c>
      <x:c r="B191" s="26" t="n">
        <x:v>12</x:v>
      </x:c>
      <x:c r="C191" s="22" t="str">
        <x:v>P12</x:v>
      </x:c>
      <x:c r="D191" s="22" t="str">
        <x:v>Copalis Beach</x:v>
      </x:c>
      <x:c r="E191" s="22" t="str">
        <x:v>Ocean City North</x:v>
      </x:c>
      <x:c r="F191" s="24" t="n">
        <x:v>45730</x:v>
      </x:c>
      <x:c r="G191" s="22" t="str">
        <x:v>Chase</x:v>
      </x:c>
      <x:c r="H191" s="26" t="n">
        <x:v>2</x:v>
      </x:c>
      <x:c r="I191" s="22" t="str">
        <x:v>15-minute interval</x:v>
      </x:c>
      <x:c r="J191" s="22" t="str">
        <x:v>1630</x:v>
      </x:c>
      <x:c r="K191" s="22" t="str">
        <x:v>1645</x:v>
      </x:c>
      <x:c r="L191" s="22" t="str">
        <x:v>3:00</x:v>
      </x:c>
      <x:c r="M191" s="22" t="str">
        <x:v>2:45</x:v>
      </x:c>
      <x:c r="N191" s="22" t="str">
        <x:v>2</x:v>
      </x:c>
      <x:c r="O191" s="26" t="n">
        <x:v>2</x:v>
      </x:c>
      <x:c r="P191" s="22" t="str">
        <x:v>2</x:v>
      </x:c>
      <x:c r="Q191" s="26" t="n">
        <x:v>2</x:v>
      </x:c>
      <x:c r="R191" s="22" t="str">
        <x:v>Observed</x:v>
      </x:c>
      <x:c r="S191" s="22" t="str"/>
      <x:c r="T191" s="26" t="n">
        <x:f>IF(R191&lt;&gt;"Observed","",SUMIFS($O$3:O191,$C$3:C191,C191,$R$3:R191,"Observed"))</x:f>
        <x:v>17</x:v>
      </x:c>
      <x:c r="U191" s="26" t="n">
        <x:f>IF(R191&lt;&gt;"Observed","",SUMIFS($Q$3:Q191,$C$3:C191,C191,$R$3:R191,"Observed"))</x:f>
        <x:v>3</x:v>
      </x:c>
      <x:c r="V191" s="26" t="n">
        <x:f>IF(R191&lt;&gt;"Observed","",T191-U191)</x:f>
        <x:v>14</x:v>
      </x:c>
    </x:row>
    <x:row r="192">
      <x:c r="A192" s="22" t="str">
        <x:v>2022-2026-Copalis-Mocrocks.pdf</x:v>
      </x:c>
      <x:c r="B192" s="26" t="n">
        <x:v>12</x:v>
      </x:c>
      <x:c r="C192" s="22" t="str">
        <x:v>P12</x:v>
      </x:c>
      <x:c r="D192" s="22" t="str">
        <x:v>Copalis Beach</x:v>
      </x:c>
      <x:c r="E192" s="22" t="str">
        <x:v>Ocean City North</x:v>
      </x:c>
      <x:c r="F192" s="24" t="n">
        <x:v>45730</x:v>
      </x:c>
      <x:c r="G192" s="22" t="str">
        <x:v>Chase</x:v>
      </x:c>
      <x:c r="H192" s="26" t="n">
        <x:v>3</x:v>
      </x:c>
      <x:c r="I192" s="22" t="str">
        <x:v>15-minute interval</x:v>
      </x:c>
      <x:c r="J192" s="22" t="str">
        <x:v>1645</x:v>
      </x:c>
      <x:c r="K192" s="22" t="str">
        <x:v>1700</x:v>
      </x:c>
      <x:c r="L192" s="22" t="str">
        <x:v>2:45</x:v>
      </x:c>
      <x:c r="M192" s="22" t="str">
        <x:v>2:30</x:v>
      </x:c>
      <x:c r="N192" s="22" t="str">
        <x:v>0</x:v>
      </x:c>
      <x:c r="O192" s="26" t="n">
        <x:v>0</x:v>
      </x:c>
      <x:c r="P192" s="22" t="str">
        <x:v>2</x:v>
      </x:c>
      <x:c r="Q192" s="26" t="n">
        <x:v>2</x:v>
      </x:c>
      <x:c r="R192" s="22" t="str">
        <x:v>Observed</x:v>
      </x:c>
      <x:c r="S192" s="22" t="str"/>
      <x:c r="T192" s="26" t="n">
        <x:f>IF(R192&lt;&gt;"Observed","",SUMIFS($O$3:O192,$C$3:C192,C192,$R$3:R192,"Observed"))</x:f>
        <x:v>17</x:v>
      </x:c>
      <x:c r="U192" s="26" t="n">
        <x:f>IF(R192&lt;&gt;"Observed","",SUMIFS($Q$3:Q192,$C$3:C192,C192,$R$3:R192,"Observed"))</x:f>
        <x:v>5</x:v>
      </x:c>
      <x:c r="V192" s="26" t="n">
        <x:f>IF(R192&lt;&gt;"Observed","",T192-U192)</x:f>
        <x:v>12</x:v>
      </x:c>
    </x:row>
    <x:row r="193">
      <x:c r="A193" s="22" t="str">
        <x:v>2022-2026-Copalis-Mocrocks.pdf</x:v>
      </x:c>
      <x:c r="B193" s="26" t="n">
        <x:v>12</x:v>
      </x:c>
      <x:c r="C193" s="22" t="str">
        <x:v>P12</x:v>
      </x:c>
      <x:c r="D193" s="22" t="str">
        <x:v>Copalis Beach</x:v>
      </x:c>
      <x:c r="E193" s="22" t="str">
        <x:v>Ocean City North</x:v>
      </x:c>
      <x:c r="F193" s="24" t="n">
        <x:v>45730</x:v>
      </x:c>
      <x:c r="G193" s="22" t="str">
        <x:v>Chase</x:v>
      </x:c>
      <x:c r="H193" s="26" t="n">
        <x:v>4</x:v>
      </x:c>
      <x:c r="I193" s="22" t="str">
        <x:v>15-minute interval</x:v>
      </x:c>
      <x:c r="J193" s="22" t="str">
        <x:v>1700</x:v>
      </x:c>
      <x:c r="K193" s="22" t="str">
        <x:v>1715</x:v>
      </x:c>
      <x:c r="L193" s="22" t="str">
        <x:v>2:30</x:v>
      </x:c>
      <x:c r="M193" s="22" t="str">
        <x:v>2:15</x:v>
      </x:c>
      <x:c r="N193" s="22" t="str">
        <x:v>2</x:v>
      </x:c>
      <x:c r="O193" s="26" t="n">
        <x:v>2</x:v>
      </x:c>
      <x:c r="P193" s="22" t="str">
        <x:v>0</x:v>
      </x:c>
      <x:c r="Q193" s="26" t="n">
        <x:v>0</x:v>
      </x:c>
      <x:c r="R193" s="22" t="str">
        <x:v>Observed</x:v>
      </x:c>
      <x:c r="S193" s="22" t="str"/>
      <x:c r="T193" s="26" t="n">
        <x:f>IF(R193&lt;&gt;"Observed","",SUMIFS($O$3:O193,$C$3:C193,C193,$R$3:R193,"Observed"))</x:f>
        <x:v>19</x:v>
      </x:c>
      <x:c r="U193" s="26" t="n">
        <x:f>IF(R193&lt;&gt;"Observed","",SUMIFS($Q$3:Q193,$C$3:C193,C193,$R$3:R193,"Observed"))</x:f>
        <x:v>5</x:v>
      </x:c>
      <x:c r="V193" s="26" t="n">
        <x:f>IF(R193&lt;&gt;"Observed","",T193-U193)</x:f>
        <x:v>14</x:v>
      </x:c>
    </x:row>
    <x:row r="194">
      <x:c r="A194" s="22" t="str">
        <x:v>2022-2026-Copalis-Mocrocks.pdf</x:v>
      </x:c>
      <x:c r="B194" s="26" t="n">
        <x:v>12</x:v>
      </x:c>
      <x:c r="C194" s="22" t="str">
        <x:v>P12</x:v>
      </x:c>
      <x:c r="D194" s="22" t="str">
        <x:v>Copalis Beach</x:v>
      </x:c>
      <x:c r="E194" s="22" t="str">
        <x:v>Ocean City North</x:v>
      </x:c>
      <x:c r="F194" s="24" t="n">
        <x:v>45730</x:v>
      </x:c>
      <x:c r="G194" s="22" t="str">
        <x:v>Chase</x:v>
      </x:c>
      <x:c r="H194" s="26" t="n">
        <x:v>5</x:v>
      </x:c>
      <x:c r="I194" s="22" t="str">
        <x:v>15-minute interval</x:v>
      </x:c>
      <x:c r="J194" s="22" t="str">
        <x:v>1715</x:v>
      </x:c>
      <x:c r="K194" s="22" t="str">
        <x:v>1730</x:v>
      </x:c>
      <x:c r="L194" s="22" t="str">
        <x:v>2:15</x:v>
      </x:c>
      <x:c r="M194" s="22" t="str">
        <x:v>2:00</x:v>
      </x:c>
      <x:c r="N194" s="22" t="str">
        <x:v>6</x:v>
      </x:c>
      <x:c r="O194" s="26" t="n">
        <x:v>6</x:v>
      </x:c>
      <x:c r="P194" s="22" t="str">
        <x:v>2</x:v>
      </x:c>
      <x:c r="Q194" s="26" t="n">
        <x:v>2</x:v>
      </x:c>
      <x:c r="R194" s="22" t="str">
        <x:v>Observed</x:v>
      </x:c>
      <x:c r="S194" s="22" t="str"/>
      <x:c r="T194" s="26" t="n">
        <x:f>IF(R194&lt;&gt;"Observed","",SUMIFS($O$3:O194,$C$3:C194,C194,$R$3:R194,"Observed"))</x:f>
        <x:v>25</x:v>
      </x:c>
      <x:c r="U194" s="26" t="n">
        <x:f>IF(R194&lt;&gt;"Observed","",SUMIFS($Q$3:Q194,$C$3:C194,C194,$R$3:R194,"Observed"))</x:f>
        <x:v>7</x:v>
      </x:c>
      <x:c r="V194" s="26" t="n">
        <x:f>IF(R194&lt;&gt;"Observed","",T194-U194)</x:f>
        <x:v>18</x:v>
      </x:c>
    </x:row>
    <x:row r="195">
      <x:c r="A195" s="22" t="str">
        <x:v>2022-2026-Copalis-Mocrocks.pdf</x:v>
      </x:c>
      <x:c r="B195" s="26" t="n">
        <x:v>12</x:v>
      </x:c>
      <x:c r="C195" s="22" t="str">
        <x:v>P12</x:v>
      </x:c>
      <x:c r="D195" s="22" t="str">
        <x:v>Copalis Beach</x:v>
      </x:c>
      <x:c r="E195" s="22" t="str">
        <x:v>Ocean City North</x:v>
      </x:c>
      <x:c r="F195" s="24" t="n">
        <x:v>45730</x:v>
      </x:c>
      <x:c r="G195" s="22" t="str">
        <x:v>Chase</x:v>
      </x:c>
      <x:c r="H195" s="26" t="n">
        <x:v>6</x:v>
      </x:c>
      <x:c r="I195" s="22" t="str">
        <x:v>15-minute interval</x:v>
      </x:c>
      <x:c r="J195" s="22" t="str">
        <x:v>1730</x:v>
      </x:c>
      <x:c r="K195" s="22" t="str">
        <x:v>1745</x:v>
      </x:c>
      <x:c r="L195" s="22" t="str">
        <x:v>2:00</x:v>
      </x:c>
      <x:c r="M195" s="22" t="str">
        <x:v>1:45</x:v>
      </x:c>
      <x:c r="N195" s="22" t="str">
        <x:v>6</x:v>
      </x:c>
      <x:c r="O195" s="26" t="n">
        <x:v>6</x:v>
      </x:c>
      <x:c r="P195" s="22" t="str">
        <x:v>3</x:v>
      </x:c>
      <x:c r="Q195" s="26" t="n">
        <x:v>3</x:v>
      </x:c>
      <x:c r="R195" s="22" t="str">
        <x:v>Observed</x:v>
      </x:c>
      <x:c r="S195" s="22" t="str"/>
      <x:c r="T195" s="26" t="n">
        <x:f>IF(R195&lt;&gt;"Observed","",SUMIFS($O$3:O195,$C$3:C195,C195,$R$3:R195,"Observed"))</x:f>
        <x:v>31</x:v>
      </x:c>
      <x:c r="U195" s="26" t="n">
        <x:f>IF(R195&lt;&gt;"Observed","",SUMIFS($Q$3:Q195,$C$3:C195,C195,$R$3:R195,"Observed"))</x:f>
        <x:v>10</x:v>
      </x:c>
      <x:c r="V195" s="26" t="n">
        <x:f>IF(R195&lt;&gt;"Observed","",T195-U195)</x:f>
        <x:v>21</x:v>
      </x:c>
    </x:row>
    <x:row r="196">
      <x:c r="A196" s="22" t="str">
        <x:v>2022-2026-Copalis-Mocrocks.pdf</x:v>
      </x:c>
      <x:c r="B196" s="26" t="n">
        <x:v>12</x:v>
      </x:c>
      <x:c r="C196" s="22" t="str">
        <x:v>P12</x:v>
      </x:c>
      <x:c r="D196" s="22" t="str">
        <x:v>Copalis Beach</x:v>
      </x:c>
      <x:c r="E196" s="22" t="str">
        <x:v>Ocean City North</x:v>
      </x:c>
      <x:c r="F196" s="24" t="n">
        <x:v>45730</x:v>
      </x:c>
      <x:c r="G196" s="22" t="str">
        <x:v>Chase</x:v>
      </x:c>
      <x:c r="H196" s="26" t="n">
        <x:v>7</x:v>
      </x:c>
      <x:c r="I196" s="22" t="str">
        <x:v>15-minute interval</x:v>
      </x:c>
      <x:c r="J196" s="22" t="str">
        <x:v>1745</x:v>
      </x:c>
      <x:c r="K196" s="22" t="str">
        <x:v>1800</x:v>
      </x:c>
      <x:c r="L196" s="22" t="str">
        <x:v>1:45</x:v>
      </x:c>
      <x:c r="M196" s="22" t="str">
        <x:v>1:30</x:v>
      </x:c>
      <x:c r="N196" s="22" t="str">
        <x:v>7</x:v>
      </x:c>
      <x:c r="O196" s="26" t="n">
        <x:v>7</x:v>
      </x:c>
      <x:c r="P196" s="22" t="str">
        <x:v>1</x:v>
      </x:c>
      <x:c r="Q196" s="26" t="n">
        <x:v>1</x:v>
      </x:c>
      <x:c r="R196" s="22" t="str">
        <x:v>Observed</x:v>
      </x:c>
      <x:c r="S196" s="22" t="str"/>
      <x:c r="T196" s="26" t="n">
        <x:f>IF(R196&lt;&gt;"Observed","",SUMIFS($O$3:O196,$C$3:C196,C196,$R$3:R196,"Observed"))</x:f>
        <x:v>38</x:v>
      </x:c>
      <x:c r="U196" s="26" t="n">
        <x:f>IF(R196&lt;&gt;"Observed","",SUMIFS($Q$3:Q196,$C$3:C196,C196,$R$3:R196,"Observed"))</x:f>
        <x:v>11</x:v>
      </x:c>
      <x:c r="V196" s="26" t="n">
        <x:f>IF(R196&lt;&gt;"Observed","",T196-U196)</x:f>
        <x:v>27</x:v>
      </x:c>
    </x:row>
    <x:row r="197">
      <x:c r="A197" s="22" t="str">
        <x:v>2022-2026-Copalis-Mocrocks.pdf</x:v>
      </x:c>
      <x:c r="B197" s="26" t="n">
        <x:v>12</x:v>
      </x:c>
      <x:c r="C197" s="22" t="str">
        <x:v>P12</x:v>
      </x:c>
      <x:c r="D197" s="22" t="str">
        <x:v>Copalis Beach</x:v>
      </x:c>
      <x:c r="E197" s="22" t="str">
        <x:v>Ocean City North</x:v>
      </x:c>
      <x:c r="F197" s="24" t="n">
        <x:v>45730</x:v>
      </x:c>
      <x:c r="G197" s="22" t="str">
        <x:v>Chase</x:v>
      </x:c>
      <x:c r="H197" s="26" t="n">
        <x:v>8</x:v>
      </x:c>
      <x:c r="I197" s="22" t="str">
        <x:v>15-minute interval</x:v>
      </x:c>
      <x:c r="J197" s="22" t="str">
        <x:v>1800</x:v>
      </x:c>
      <x:c r="K197" s="22" t="str">
        <x:v>1815</x:v>
      </x:c>
      <x:c r="L197" s="22" t="str">
        <x:v>1:30</x:v>
      </x:c>
      <x:c r="M197" s="22" t="str">
        <x:v>1:15</x:v>
      </x:c>
      <x:c r="N197" s="22" t="str">
        <x:v>3</x:v>
      </x:c>
      <x:c r="O197" s="26" t="n">
        <x:v>3</x:v>
      </x:c>
      <x:c r="P197" s="22" t="str">
        <x:v>1</x:v>
      </x:c>
      <x:c r="Q197" s="26" t="n">
        <x:v>1</x:v>
      </x:c>
      <x:c r="R197" s="22" t="str">
        <x:v>Observed</x:v>
      </x:c>
      <x:c r="S197" s="22" t="str"/>
      <x:c r="T197" s="26" t="n">
        <x:f>IF(R197&lt;&gt;"Observed","",SUMIFS($O$3:O197,$C$3:C197,C197,$R$3:R197,"Observed"))</x:f>
        <x:v>41</x:v>
      </x:c>
      <x:c r="U197" s="26" t="n">
        <x:f>IF(R197&lt;&gt;"Observed","",SUMIFS($Q$3:Q197,$C$3:C197,C197,$R$3:R197,"Observed"))</x:f>
        <x:v>12</x:v>
      </x:c>
      <x:c r="V197" s="26" t="n">
        <x:f>IF(R197&lt;&gt;"Observed","",T197-U197)</x:f>
        <x:v>29</x:v>
      </x:c>
    </x:row>
    <x:row r="198">
      <x:c r="A198" s="22" t="str">
        <x:v>2022-2026-Copalis-Mocrocks.pdf</x:v>
      </x:c>
      <x:c r="B198" s="26" t="n">
        <x:v>12</x:v>
      </x:c>
      <x:c r="C198" s="22" t="str">
        <x:v>P12</x:v>
      </x:c>
      <x:c r="D198" s="22" t="str">
        <x:v>Copalis Beach</x:v>
      </x:c>
      <x:c r="E198" s="22" t="str">
        <x:v>Ocean City North</x:v>
      </x:c>
      <x:c r="F198" s="24" t="n">
        <x:v>45730</x:v>
      </x:c>
      <x:c r="G198" s="22" t="str">
        <x:v>Chase</x:v>
      </x:c>
      <x:c r="H198" s="26" t="n">
        <x:v>9</x:v>
      </x:c>
      <x:c r="I198" s="22" t="str">
        <x:v>15-minute interval</x:v>
      </x:c>
      <x:c r="J198" s="22" t="str">
        <x:v>1815</x:v>
      </x:c>
      <x:c r="K198" s="22" t="str">
        <x:v>1830</x:v>
      </x:c>
      <x:c r="L198" s="22" t="str">
        <x:v>1:15</x:v>
      </x:c>
      <x:c r="M198" s="22" t="str">
        <x:v>1:00</x:v>
      </x:c>
      <x:c r="N198" s="22" t="str">
        <x:v>6</x:v>
      </x:c>
      <x:c r="O198" s="26" t="n">
        <x:v>6</x:v>
      </x:c>
      <x:c r="P198" s="22" t="str">
        <x:v>0</x:v>
      </x:c>
      <x:c r="Q198" s="26" t="n">
        <x:v>0</x:v>
      </x:c>
      <x:c r="R198" s="22" t="str">
        <x:v>Observed</x:v>
      </x:c>
      <x:c r="S198" s="22" t="str"/>
      <x:c r="T198" s="26" t="n">
        <x:f>IF(R198&lt;&gt;"Observed","",SUMIFS($O$3:O198,$C$3:C198,C198,$R$3:R198,"Observed"))</x:f>
        <x:v>47</x:v>
      </x:c>
      <x:c r="U198" s="26" t="n">
        <x:f>IF(R198&lt;&gt;"Observed","",SUMIFS($Q$3:Q198,$C$3:C198,C198,$R$3:R198,"Observed"))</x:f>
        <x:v>12</x:v>
      </x:c>
      <x:c r="V198" s="26" t="n">
        <x:f>IF(R198&lt;&gt;"Observed","",T198-U198)</x:f>
        <x:v>35</x:v>
      </x:c>
    </x:row>
    <x:row r="199">
      <x:c r="A199" s="22" t="str">
        <x:v>2022-2026-Copalis-Mocrocks.pdf</x:v>
      </x:c>
      <x:c r="B199" s="26" t="n">
        <x:v>12</x:v>
      </x:c>
      <x:c r="C199" s="22" t="str">
        <x:v>P12</x:v>
      </x:c>
      <x:c r="D199" s="22" t="str">
        <x:v>Copalis Beach</x:v>
      </x:c>
      <x:c r="E199" s="22" t="str">
        <x:v>Ocean City North</x:v>
      </x:c>
      <x:c r="F199" s="24" t="n">
        <x:v>45730</x:v>
      </x:c>
      <x:c r="G199" s="22" t="str">
        <x:v>Chase</x:v>
      </x:c>
      <x:c r="H199" s="26" t="n">
        <x:v>10</x:v>
      </x:c>
      <x:c r="I199" s="22" t="str">
        <x:v>15-minute interval</x:v>
      </x:c>
      <x:c r="J199" s="22" t="str">
        <x:v>1830</x:v>
      </x:c>
      <x:c r="K199" s="22" t="str">
        <x:v>1845</x:v>
      </x:c>
      <x:c r="L199" s="22" t="str">
        <x:v>1:00</x:v>
      </x:c>
      <x:c r="M199" s="22" t="str">
        <x:v>0:45</x:v>
      </x:c>
      <x:c r="N199" s="22" t="str">
        <x:v>7</x:v>
      </x:c>
      <x:c r="O199" s="26" t="n">
        <x:v>7</x:v>
      </x:c>
      <x:c r="P199" s="22" t="str">
        <x:v>4</x:v>
      </x:c>
      <x:c r="Q199" s="26" t="n">
        <x:v>4</x:v>
      </x:c>
      <x:c r="R199" s="22" t="str">
        <x:v>Observed</x:v>
      </x:c>
      <x:c r="S199" s="22" t="str"/>
      <x:c r="T199" s="26" t="n">
        <x:f>IF(R199&lt;&gt;"Observed","",SUMIFS($O$3:O199,$C$3:C199,C199,$R$3:R199,"Observed"))</x:f>
        <x:v>54</x:v>
      </x:c>
      <x:c r="U199" s="26" t="n">
        <x:f>IF(R199&lt;&gt;"Observed","",SUMIFS($Q$3:Q199,$C$3:C199,C199,$R$3:R199,"Observed"))</x:f>
        <x:v>16</x:v>
      </x:c>
      <x:c r="V199" s="26" t="n">
        <x:f>IF(R199&lt;&gt;"Observed","",T199-U199)</x:f>
        <x:v>38</x:v>
      </x:c>
    </x:row>
    <x:row r="200">
      <x:c r="A200" s="22" t="str">
        <x:v>2022-2026-Copalis-Mocrocks.pdf</x:v>
      </x:c>
      <x:c r="B200" s="26" t="n">
        <x:v>12</x:v>
      </x:c>
      <x:c r="C200" s="22" t="str">
        <x:v>P12</x:v>
      </x:c>
      <x:c r="D200" s="22" t="str">
        <x:v>Copalis Beach</x:v>
      </x:c>
      <x:c r="E200" s="22" t="str">
        <x:v>Ocean City North</x:v>
      </x:c>
      <x:c r="F200" s="24" t="n">
        <x:v>45730</x:v>
      </x:c>
      <x:c r="G200" s="22" t="str">
        <x:v>Chase</x:v>
      </x:c>
      <x:c r="H200" s="26" t="n">
        <x:v>11</x:v>
      </x:c>
      <x:c r="I200" s="22" t="str">
        <x:v>15-minute interval</x:v>
      </x:c>
      <x:c r="J200" s="22" t="str">
        <x:v>1845</x:v>
      </x:c>
      <x:c r="K200" s="22" t="str">
        <x:v>1900</x:v>
      </x:c>
      <x:c r="L200" s="22" t="str">
        <x:v>0:45</x:v>
      </x:c>
      <x:c r="M200" s="22" t="str">
        <x:v>0:30</x:v>
      </x:c>
      <x:c r="N200" s="22" t="str">
        <x:v>1</x:v>
      </x:c>
      <x:c r="O200" s="26" t="n">
        <x:v>1</x:v>
      </x:c>
      <x:c r="P200" s="22" t="str">
        <x:v>4</x:v>
      </x:c>
      <x:c r="Q200" s="26" t="n">
        <x:v>4</x:v>
      </x:c>
      <x:c r="R200" s="22" t="str">
        <x:v>Observed</x:v>
      </x:c>
      <x:c r="S200" s="22" t="str"/>
      <x:c r="T200" s="26" t="n">
        <x:f>IF(R200&lt;&gt;"Observed","",SUMIFS($O$3:O200,$C$3:C200,C200,$R$3:R200,"Observed"))</x:f>
        <x:v>55</x:v>
      </x:c>
      <x:c r="U200" s="26" t="n">
        <x:f>IF(R200&lt;&gt;"Observed","",SUMIFS($Q$3:Q200,$C$3:C200,C200,$R$3:R200,"Observed"))</x:f>
        <x:v>20</x:v>
      </x:c>
      <x:c r="V200" s="26" t="n">
        <x:f>IF(R200&lt;&gt;"Observed","",T200-U200)</x:f>
        <x:v>35</x:v>
      </x:c>
    </x:row>
    <x:row r="201">
      <x:c r="A201" s="22" t="str">
        <x:v>2022-2026-Copalis-Mocrocks.pdf</x:v>
      </x:c>
      <x:c r="B201" s="26" t="n">
        <x:v>12</x:v>
      </x:c>
      <x:c r="C201" s="22" t="str">
        <x:v>P12</x:v>
      </x:c>
      <x:c r="D201" s="22" t="str">
        <x:v>Copalis Beach</x:v>
      </x:c>
      <x:c r="E201" s="22" t="str">
        <x:v>Ocean City North</x:v>
      </x:c>
      <x:c r="F201" s="24" t="n">
        <x:v>45730</x:v>
      </x:c>
      <x:c r="G201" s="22" t="str">
        <x:v>Chase</x:v>
      </x:c>
      <x:c r="H201" s="26" t="n">
        <x:v>12</x:v>
      </x:c>
      <x:c r="I201" s="22" t="str">
        <x:v>15-minute interval</x:v>
      </x:c>
      <x:c r="J201" s="22" t="str">
        <x:v>1900</x:v>
      </x:c>
      <x:c r="K201" s="22" t="str">
        <x:v>1915</x:v>
      </x:c>
      <x:c r="L201" s="22" t="str">
        <x:v>0:30</x:v>
      </x:c>
      <x:c r="M201" s="22" t="str">
        <x:v>0:15</x:v>
      </x:c>
      <x:c r="N201" s="22" t="str">
        <x:v>4</x:v>
      </x:c>
      <x:c r="O201" s="26" t="n">
        <x:v>4</x:v>
      </x:c>
      <x:c r="P201" s="22" t="str">
        <x:v>5</x:v>
      </x:c>
      <x:c r="Q201" s="26" t="n">
        <x:v>5</x:v>
      </x:c>
      <x:c r="R201" s="22" t="str">
        <x:v>Observed</x:v>
      </x:c>
      <x:c r="S201" s="22" t="str"/>
      <x:c r="T201" s="26" t="n">
        <x:f>IF(R201&lt;&gt;"Observed","",SUMIFS($O$3:O201,$C$3:C201,C201,$R$3:R201,"Observed"))</x:f>
        <x:v>59</x:v>
      </x:c>
      <x:c r="U201" s="26" t="n">
        <x:f>IF(R201&lt;&gt;"Observed","",SUMIFS($Q$3:Q201,$C$3:C201,C201,$R$3:R201,"Observed"))</x:f>
        <x:v>25</x:v>
      </x:c>
      <x:c r="V201" s="26" t="n">
        <x:f>IF(R201&lt;&gt;"Observed","",T201-U201)</x:f>
        <x:v>34</x:v>
      </x:c>
    </x:row>
    <x:row r="202">
      <x:c r="A202" s="22" t="str">
        <x:v>2022-2026-Copalis-Mocrocks.pdf</x:v>
      </x:c>
      <x:c r="B202" s="26" t="n">
        <x:v>12</x:v>
      </x:c>
      <x:c r="C202" s="22" t="str">
        <x:v>P12</x:v>
      </x:c>
      <x:c r="D202" s="22" t="str">
        <x:v>Copalis Beach</x:v>
      </x:c>
      <x:c r="E202" s="22" t="str">
        <x:v>Ocean City North</x:v>
      </x:c>
      <x:c r="F202" s="24" t="n">
        <x:v>45730</x:v>
      </x:c>
      <x:c r="G202" s="22" t="str">
        <x:v>Chase</x:v>
      </x:c>
      <x:c r="H202" s="26" t="n">
        <x:v>13</x:v>
      </x:c>
      <x:c r="I202" s="22" t="str">
        <x:v>15-minute interval</x:v>
      </x:c>
      <x:c r="J202" s="22" t="str">
        <x:v>1915</x:v>
      </x:c>
      <x:c r="K202" s="22" t="str">
        <x:v>1930</x:v>
      </x:c>
      <x:c r="L202" s="22" t="str">
        <x:v>0:15</x:v>
      </x:c>
      <x:c r="M202" s="22" t="str">
        <x:v>0:00</x:v>
      </x:c>
      <x:c r="N202" s="22" t="str">
        <x:v>0</x:v>
      </x:c>
      <x:c r="O202" s="26" t="n">
        <x:v>0</x:v>
      </x:c>
      <x:c r="P202" s="22" t="str">
        <x:v>6</x:v>
      </x:c>
      <x:c r="Q202" s="26" t="n">
        <x:v>6</x:v>
      </x:c>
      <x:c r="R202" s="22" t="str">
        <x:v>Observed</x:v>
      </x:c>
      <x:c r="S202" s="22" t="str"/>
      <x:c r="T202" s="26" t="n">
        <x:f>IF(R202&lt;&gt;"Observed","",SUMIFS($O$3:O202,$C$3:C202,C202,$R$3:R202,"Observed"))</x:f>
        <x:v>59</x:v>
      </x:c>
      <x:c r="U202" s="26" t="n">
        <x:f>IF(R202&lt;&gt;"Observed","",SUMIFS($Q$3:Q202,$C$3:C202,C202,$R$3:R202,"Observed"))</x:f>
        <x:v>31</x:v>
      </x:c>
      <x:c r="V202" s="26" t="n">
        <x:f>IF(R202&lt;&gt;"Observed","",T202-U202)</x:f>
        <x:v>28</x:v>
      </x:c>
    </x:row>
    <x:row r="203">
      <x:c r="A203" s="22" t="str">
        <x:v>2022-2026-Copalis-Mocrocks.pdf</x:v>
      </x:c>
      <x:c r="B203" s="26" t="n">
        <x:v>12</x:v>
      </x:c>
      <x:c r="C203" s="22" t="str">
        <x:v>P12</x:v>
      </x:c>
      <x:c r="D203" s="22" t="str">
        <x:v>Copalis Beach</x:v>
      </x:c>
      <x:c r="E203" s="22" t="str">
        <x:v>Ocean City North</x:v>
      </x:c>
      <x:c r="F203" s="24" t="n">
        <x:v>45730</x:v>
      </x:c>
      <x:c r="G203" s="22" t="str">
        <x:v>Chase</x:v>
      </x:c>
      <x:c r="H203" s="26" t="n">
        <x:v>14</x:v>
      </x:c>
      <x:c r="I203" s="22" t="str">
        <x:v>15-minute interval</x:v>
      </x:c>
      <x:c r="J203" s="22" t="str">
        <x:v>1930</x:v>
      </x:c>
      <x:c r="K203" s="22" t="str">
        <x:v>1945</x:v>
      </x:c>
      <x:c r="L203" s="22" t="str">
        <x:v>0:00</x:v>
      </x:c>
      <x:c r="M203" s="22" t="str">
        <x:v>0:15</x:v>
      </x:c>
      <x:c r="N203" s="22" t="str">
        <x:v>0</x:v>
      </x:c>
      <x:c r="O203" s="26" t="n">
        <x:v>0</x:v>
      </x:c>
      <x:c r="P203" s="22" t="str">
        <x:v>13</x:v>
      </x:c>
      <x:c r="Q203" s="26" t="n">
        <x:v>13</x:v>
      </x:c>
      <x:c r="R203" s="22" t="str">
        <x:v>Observed</x:v>
      </x:c>
      <x:c r="S203" s="22" t="str"/>
      <x:c r="T203" s="26" t="n">
        <x:f>IF(R203&lt;&gt;"Observed","",SUMIFS($O$3:O203,$C$3:C203,C203,$R$3:R203,"Observed"))</x:f>
        <x:v>59</x:v>
      </x:c>
      <x:c r="U203" s="26" t="n">
        <x:f>IF(R203&lt;&gt;"Observed","",SUMIFS($Q$3:Q203,$C$3:C203,C203,$R$3:R203,"Observed"))</x:f>
        <x:v>44</x:v>
      </x:c>
      <x:c r="V203" s="26" t="n">
        <x:f>IF(R203&lt;&gt;"Observed","",T203-U203)</x:f>
        <x:v>15</x:v>
      </x:c>
    </x:row>
    <x:row r="204">
      <x:c r="A204" s="22" t="str">
        <x:v>2022-2026-Copalis-Mocrocks.pdf</x:v>
      </x:c>
      <x:c r="B204" s="26" t="n">
        <x:v>12</x:v>
      </x:c>
      <x:c r="C204" s="22" t="str">
        <x:v>P12</x:v>
      </x:c>
      <x:c r="D204" s="22" t="str">
        <x:v>Copalis Beach</x:v>
      </x:c>
      <x:c r="E204" s="22" t="str">
        <x:v>Ocean City North</x:v>
      </x:c>
      <x:c r="F204" s="24" t="n">
        <x:v>45730</x:v>
      </x:c>
      <x:c r="G204" s="22" t="str">
        <x:v>Chase</x:v>
      </x:c>
      <x:c r="H204" s="26" t="n">
        <x:v>15</x:v>
      </x:c>
      <x:c r="I204" s="22" t="str">
        <x:v>15-minute interval</x:v>
      </x:c>
      <x:c r="J204" s="22" t="str">
        <x:v>1945</x:v>
      </x:c>
      <x:c r="K204" s="22" t="str">
        <x:v>2000</x:v>
      </x:c>
      <x:c r="L204" s="22" t="str">
        <x:v>0:15</x:v>
      </x:c>
      <x:c r="M204" s="22" t="str">
        <x:v>0:30</x:v>
      </x:c>
      <x:c r="N204" s="22" t="str">
        <x:v>-</x:v>
      </x:c>
      <x:c r="O204" s="26"/>
      <x:c r="P204" s="22" t="str">
        <x:v>-</x:v>
      </x:c>
      <x:c r="Q204" s="26"/>
      <x:c r="R204" s="22" t="str">
        <x:v>Not recorded</x:v>
      </x:c>
      <x:c r="S204" s="22" t="str">
        <x:v>Dashes; no numeric value recorded.</x:v>
      </x:c>
      <x:c r="T204" s="26" t="str">
        <x:f>IF(R204&lt;&gt;"Observed","",SUMIFS($O$3:O204,$C$3:C204,C204,$R$3:R204,"Observed"))</x:f>
      </x:c>
      <x:c r="U204" s="26" t="str">
        <x:f>IF(R204&lt;&gt;"Observed","",SUMIFS($Q$3:Q204,$C$3:C204,C204,$R$3:R204,"Observed"))</x:f>
      </x:c>
      <x:c r="V204" s="26" t="str">
        <x:f>IF(R204&lt;&gt;"Observed","",T204-U204)</x:f>
      </x:c>
    </x:row>
    <x:row r="205">
      <x:c r="A205" s="22" t="str">
        <x:v>2022-2026-Copalis-Mocrocks.pdf</x:v>
      </x:c>
      <x:c r="B205" s="26" t="n">
        <x:v>12</x:v>
      </x:c>
      <x:c r="C205" s="22" t="str">
        <x:v>P12</x:v>
      </x:c>
      <x:c r="D205" s="22" t="str">
        <x:v>Copalis Beach</x:v>
      </x:c>
      <x:c r="E205" s="22" t="str">
        <x:v>Ocean City North</x:v>
      </x:c>
      <x:c r="F205" s="24" t="n">
        <x:v>45730</x:v>
      </x:c>
      <x:c r="G205" s="22" t="str">
        <x:v>Chase</x:v>
      </x:c>
      <x:c r="H205" s="26" t="n">
        <x:v>16</x:v>
      </x:c>
      <x:c r="I205" s="22" t="str">
        <x:v>15-minute interval</x:v>
      </x:c>
      <x:c r="J205" s="22" t="str">
        <x:v>2000</x:v>
      </x:c>
      <x:c r="K205" s="22" t="str">
        <x:v>2015</x:v>
      </x:c>
      <x:c r="L205" s="22" t="str">
        <x:v>0:30</x:v>
      </x:c>
      <x:c r="M205" s="22" t="str">
        <x:v>0:45</x:v>
      </x:c>
      <x:c r="N205" s="22" t="str">
        <x:v>-</x:v>
      </x:c>
      <x:c r="O205" s="26"/>
      <x:c r="P205" s="22" t="str">
        <x:v>-</x:v>
      </x:c>
      <x:c r="Q205" s="26"/>
      <x:c r="R205" s="22" t="str">
        <x:v>Not recorded</x:v>
      </x:c>
      <x:c r="S205" s="22" t="str">
        <x:v>Dashes; no numeric value recorded.</x:v>
      </x:c>
      <x:c r="T205" s="26" t="str">
        <x:f>IF(R205&lt;&gt;"Observed","",SUMIFS($O$3:O205,$C$3:C205,C205,$R$3:R205,"Observed"))</x:f>
      </x:c>
      <x:c r="U205" s="26" t="str">
        <x:f>IF(R205&lt;&gt;"Observed","",SUMIFS($Q$3:Q205,$C$3:C205,C205,$R$3:R205,"Observed"))</x:f>
      </x:c>
      <x:c r="V205" s="26" t="str">
        <x:f>IF(R205&lt;&gt;"Observed","",T205-U205)</x:f>
      </x:c>
    </x:row>
    <x:row r="206">
      <x:c r="A206" s="22" t="str">
        <x:v>2022-2026-Copalis-Mocrocks.pdf</x:v>
      </x:c>
      <x:c r="B206" s="26" t="n">
        <x:v>12</x:v>
      </x:c>
      <x:c r="C206" s="22" t="str">
        <x:v>P12</x:v>
      </x:c>
      <x:c r="D206" s="22" t="str">
        <x:v>Copalis Beach</x:v>
      </x:c>
      <x:c r="E206" s="22" t="str">
        <x:v>Ocean City North</x:v>
      </x:c>
      <x:c r="F206" s="24" t="n">
        <x:v>45730</x:v>
      </x:c>
      <x:c r="G206" s="22" t="str">
        <x:v>Chase</x:v>
      </x:c>
      <x:c r="H206" s="26" t="n">
        <x:v>17</x:v>
      </x:c>
      <x:c r="I206" s="22" t="str">
        <x:v>15-minute interval</x:v>
      </x:c>
      <x:c r="J206" s="22" t="str">
        <x:v>2015</x:v>
      </x:c>
      <x:c r="K206" s="22" t="str">
        <x:v>2030</x:v>
      </x:c>
      <x:c r="L206" s="22" t="str">
        <x:v>0:45</x:v>
      </x:c>
      <x:c r="M206" s="22" t="str">
        <x:v>1:00</x:v>
      </x:c>
      <x:c r="N206" s="22" t="str">
        <x:v>-</x:v>
      </x:c>
      <x:c r="O206" s="26"/>
      <x:c r="P206" s="22" t="str">
        <x:v>-</x:v>
      </x:c>
      <x:c r="Q206" s="26"/>
      <x:c r="R206" s="22" t="str">
        <x:v>Not recorded</x:v>
      </x:c>
      <x:c r="S206" s="22" t="str">
        <x:v>Dashes; no numeric value recorded.</x:v>
      </x:c>
      <x:c r="T206" s="26" t="str">
        <x:f>IF(R206&lt;&gt;"Observed","",SUMIFS($O$3:O206,$C$3:C206,C206,$R$3:R206,"Observed"))</x:f>
      </x:c>
      <x:c r="U206" s="26" t="str">
        <x:f>IF(R206&lt;&gt;"Observed","",SUMIFS($Q$3:Q206,$C$3:C206,C206,$R$3:R206,"Observed"))</x:f>
      </x:c>
      <x:c r="V206" s="26" t="str">
        <x:f>IF(R206&lt;&gt;"Observed","",T206-U206)</x:f>
      </x:c>
    </x:row>
    <x:row r="207">
      <x:c r="A207" s="22" t="str">
        <x:v>2022-2026-Copalis-Mocrocks.pdf</x:v>
      </x:c>
      <x:c r="B207" s="26" t="n">
        <x:v>13</x:v>
      </x:c>
      <x:c r="C207" s="22" t="str">
        <x:v>P13</x:v>
      </x:c>
      <x:c r="D207" s="22" t="str">
        <x:v>Copalis Beach</x:v>
      </x:c>
      <x:c r="E207" s="22" t="str">
        <x:v>Ocean City North</x:v>
      </x:c>
      <x:c r="F207" s="24" t="n">
        <x:v>46038</x:v>
      </x:c>
      <x:c r="G207" s="22" t="str">
        <x:v>BB DW</x:v>
      </x:c>
      <x:c r="H207" s="26" t="n">
        <x:v>1</x:v>
      </x:c>
      <x:c r="I207" s="22" t="str">
        <x:v>Prior to Start</x:v>
      </x:c>
      <x:c r="J207" s="22" t="str">
        <x:v>Prior to Start</x:v>
      </x:c>
      <x:c r="K207" s="22" t="str"/>
      <x:c r="L207" s="22" t="str">
        <x:v>to Start</x:v>
      </x:c>
      <x:c r="M207" s="22" t="str"/>
      <x:c r="N207" s="22" t="str">
        <x:v>31</x:v>
      </x:c>
      <x:c r="O207" s="26" t="n">
        <x:v>31</x:v>
      </x:c>
      <x:c r="P207" s="22" t="str">
        <x:v>0</x:v>
      </x:c>
      <x:c r="Q207" s="26" t="n">
        <x:v>0</x:v>
      </x:c>
      <x:c r="R207" s="22" t="str">
        <x:v>Observed</x:v>
      </x:c>
      <x:c r="S207" s="22" t="str"/>
      <x:c r="T207" s="26" t="n">
        <x:f>IF(R207&lt;&gt;"Observed","",SUMIFS($O$3:O207,$C$3:C207,C207,$R$3:R207,"Observed"))</x:f>
        <x:v>31</x:v>
      </x:c>
      <x:c r="U207" s="26" t="n">
        <x:f>IF(R207&lt;&gt;"Observed","",SUMIFS($Q$3:Q207,$C$3:C207,C207,$R$3:R207,"Observed"))</x:f>
        <x:v>0</x:v>
      </x:c>
      <x:c r="V207" s="26" t="n">
        <x:f>IF(R207&lt;&gt;"Observed","",T207-U207)</x:f>
        <x:v>31</x:v>
      </x:c>
    </x:row>
    <x:row r="208">
      <x:c r="A208" s="22" t="str">
        <x:v>2022-2026-Copalis-Mocrocks.pdf</x:v>
      </x:c>
      <x:c r="B208" s="26" t="n">
        <x:v>13</x:v>
      </x:c>
      <x:c r="C208" s="22" t="str">
        <x:v>P13</x:v>
      </x:c>
      <x:c r="D208" s="22" t="str">
        <x:v>Copalis Beach</x:v>
      </x:c>
      <x:c r="E208" s="22" t="str">
        <x:v>Ocean City North</x:v>
      </x:c>
      <x:c r="F208" s="24" t="n">
        <x:v>46038</x:v>
      </x:c>
      <x:c r="G208" s="22" t="str">
        <x:v>BB DW</x:v>
      </x:c>
      <x:c r="H208" s="26" t="n">
        <x:v>2</x:v>
      </x:c>
      <x:c r="I208" s="22" t="str">
        <x:v>15-minute interval</x:v>
      </x:c>
      <x:c r="J208" s="22" t="str">
        <x:v>1414</x:v>
      </x:c>
      <x:c r="K208" s="22" t="str">
        <x:v>1429</x:v>
      </x:c>
      <x:c r="L208" s="22" t="str">
        <x:v>3:00</x:v>
      </x:c>
      <x:c r="M208" s="22" t="str">
        <x:v>2:45</x:v>
      </x:c>
      <x:c r="N208" s="22" t="str">
        <x:v>/</x:v>
      </x:c>
      <x:c r="O208" s="26"/>
      <x:c r="P208" s="22" t="str">
        <x:v>0</x:v>
      </x:c>
      <x:c r="Q208" s="26"/>
      <x:c r="R208" s="22" t="str">
        <x:v>Crossed out</x:v>
      </x:c>
      <x:c r="S208" s="22" t="str">
        <x:v>Cars On cell diagonally crossed; row excluded.</x:v>
      </x:c>
      <x:c r="T208" s="26" t="str">
        <x:f>IF(R208&lt;&gt;"Observed","",SUMIFS($O$3:O208,$C$3:C208,C208,$R$3:R208,"Observed"))</x:f>
      </x:c>
      <x:c r="U208" s="26" t="str">
        <x:f>IF(R208&lt;&gt;"Observed","",SUMIFS($Q$3:Q208,$C$3:C208,C208,$R$3:R208,"Observed"))</x:f>
      </x:c>
      <x:c r="V208" s="26" t="str">
        <x:f>IF(R208&lt;&gt;"Observed","",T208-U208)</x:f>
      </x:c>
    </x:row>
    <x:row r="209">
      <x:c r="A209" s="22" t="str">
        <x:v>2022-2026-Copalis-Mocrocks.pdf</x:v>
      </x:c>
      <x:c r="B209" s="26" t="n">
        <x:v>13</x:v>
      </x:c>
      <x:c r="C209" s="22" t="str">
        <x:v>P13</x:v>
      </x:c>
      <x:c r="D209" s="22" t="str">
        <x:v>Copalis Beach</x:v>
      </x:c>
      <x:c r="E209" s="22" t="str">
        <x:v>Ocean City North</x:v>
      </x:c>
      <x:c r="F209" s="24" t="n">
        <x:v>46038</x:v>
      </x:c>
      <x:c r="G209" s="22" t="str">
        <x:v>BB DW</x:v>
      </x:c>
      <x:c r="H209" s="26" t="n">
        <x:v>3</x:v>
      </x:c>
      <x:c r="I209" s="22" t="str">
        <x:v>15-minute interval</x:v>
      </x:c>
      <x:c r="J209" s="22" t="str">
        <x:v>1429</x:v>
      </x:c>
      <x:c r="K209" s="22" t="str">
        <x:v>1444</x:v>
      </x:c>
      <x:c r="L209" s="22" t="str">
        <x:v>2:45</x:v>
      </x:c>
      <x:c r="M209" s="22" t="str">
        <x:v>2:30</x:v>
      </x:c>
      <x:c r="N209" s="22" t="str">
        <x:v>/</x:v>
      </x:c>
      <x:c r="O209" s="26"/>
      <x:c r="P209" s="22" t="str">
        <x:v>0</x:v>
      </x:c>
      <x:c r="Q209" s="26"/>
      <x:c r="R209" s="22" t="str">
        <x:v>Crossed out</x:v>
      </x:c>
      <x:c r="S209" s="22" t="str">
        <x:v>Cars On cell diagonally crossed; row excluded.</x:v>
      </x:c>
      <x:c r="T209" s="26" t="str">
        <x:f>IF(R209&lt;&gt;"Observed","",SUMIFS($O$3:O209,$C$3:C209,C209,$R$3:R209,"Observed"))</x:f>
      </x:c>
      <x:c r="U209" s="26" t="str">
        <x:f>IF(R209&lt;&gt;"Observed","",SUMIFS($Q$3:Q209,$C$3:C209,C209,$R$3:R209,"Observed"))</x:f>
      </x:c>
      <x:c r="V209" s="26" t="str">
        <x:f>IF(R209&lt;&gt;"Observed","",T209-U209)</x:f>
      </x:c>
    </x:row>
    <x:row r="210">
      <x:c r="A210" s="22" t="str">
        <x:v>2022-2026-Copalis-Mocrocks.pdf</x:v>
      </x:c>
      <x:c r="B210" s="26" t="n">
        <x:v>13</x:v>
      </x:c>
      <x:c r="C210" s="22" t="str">
        <x:v>P13</x:v>
      </x:c>
      <x:c r="D210" s="22" t="str">
        <x:v>Copalis Beach</x:v>
      </x:c>
      <x:c r="E210" s="22" t="str">
        <x:v>Ocean City North</x:v>
      </x:c>
      <x:c r="F210" s="24" t="n">
        <x:v>46038</x:v>
      </x:c>
      <x:c r="G210" s="22" t="str">
        <x:v>BB DW</x:v>
      </x:c>
      <x:c r="H210" s="26" t="n">
        <x:v>4</x:v>
      </x:c>
      <x:c r="I210" s="22" t="str">
        <x:v>15-minute interval</x:v>
      </x:c>
      <x:c r="J210" s="22" t="str">
        <x:v>1444</x:v>
      </x:c>
      <x:c r="K210" s="22" t="str">
        <x:v>1459</x:v>
      </x:c>
      <x:c r="L210" s="22" t="str">
        <x:v>2:30</x:v>
      </x:c>
      <x:c r="M210" s="22" t="str">
        <x:v>2:15</x:v>
      </x:c>
      <x:c r="N210" s="22" t="str">
        <x:v>12</x:v>
      </x:c>
      <x:c r="O210" s="26" t="n">
        <x:v>12</x:v>
      </x:c>
      <x:c r="P210" s="22" t="str">
        <x:v>0</x:v>
      </x:c>
      <x:c r="Q210" s="26" t="n">
        <x:v>0</x:v>
      </x:c>
      <x:c r="R210" s="22" t="str">
        <x:v>Observed</x:v>
      </x:c>
      <x:c r="S210" s="22" t="str"/>
      <x:c r="T210" s="26" t="n">
        <x:f>IF(R210&lt;&gt;"Observed","",SUMIFS($O$3:O210,$C$3:C210,C210,$R$3:R210,"Observed"))</x:f>
        <x:v>43</x:v>
      </x:c>
      <x:c r="U210" s="26" t="n">
        <x:f>IF(R210&lt;&gt;"Observed","",SUMIFS($Q$3:Q210,$C$3:C210,C210,$R$3:R210,"Observed"))</x:f>
        <x:v>0</x:v>
      </x:c>
      <x:c r="V210" s="26" t="n">
        <x:f>IF(R210&lt;&gt;"Observed","",T210-U210)</x:f>
        <x:v>43</x:v>
      </x:c>
    </x:row>
    <x:row r="211">
      <x:c r="A211" s="22" t="str">
        <x:v>2022-2026-Copalis-Mocrocks.pdf</x:v>
      </x:c>
      <x:c r="B211" s="26" t="n">
        <x:v>13</x:v>
      </x:c>
      <x:c r="C211" s="22" t="str">
        <x:v>P13</x:v>
      </x:c>
      <x:c r="D211" s="22" t="str">
        <x:v>Copalis Beach</x:v>
      </x:c>
      <x:c r="E211" s="22" t="str">
        <x:v>Ocean City North</x:v>
      </x:c>
      <x:c r="F211" s="24" t="n">
        <x:v>46038</x:v>
      </x:c>
      <x:c r="G211" s="22" t="str">
        <x:v>BB DW</x:v>
      </x:c>
      <x:c r="H211" s="26" t="n">
        <x:v>5</x:v>
      </x:c>
      <x:c r="I211" s="22" t="str">
        <x:v>15-minute interval</x:v>
      </x:c>
      <x:c r="J211" s="22" t="str">
        <x:v>1459</x:v>
      </x:c>
      <x:c r="K211" s="22" t="str">
        <x:v>1514</x:v>
      </x:c>
      <x:c r="L211" s="22" t="str">
        <x:v>2:15</x:v>
      </x:c>
      <x:c r="M211" s="22" t="str">
        <x:v>2:00</x:v>
      </x:c>
      <x:c r="N211" s="22" t="str">
        <x:v>22</x:v>
      </x:c>
      <x:c r="O211" s="26" t="n">
        <x:v>22</x:v>
      </x:c>
      <x:c r="P211" s="22" t="str">
        <x:v>1</x:v>
      </x:c>
      <x:c r="Q211" s="26" t="n">
        <x:v>1</x:v>
      </x:c>
      <x:c r="R211" s="22" t="str">
        <x:v>Observed</x:v>
      </x:c>
      <x:c r="S211" s="22" t="str"/>
      <x:c r="T211" s="26" t="n">
        <x:f>IF(R211&lt;&gt;"Observed","",SUMIFS($O$3:O211,$C$3:C211,C211,$R$3:R211,"Observed"))</x:f>
        <x:v>65</x:v>
      </x:c>
      <x:c r="U211" s="26" t="n">
        <x:f>IF(R211&lt;&gt;"Observed","",SUMIFS($Q$3:Q211,$C$3:C211,C211,$R$3:R211,"Observed"))</x:f>
        <x:v>1</x:v>
      </x:c>
      <x:c r="V211" s="26" t="n">
        <x:f>IF(R211&lt;&gt;"Observed","",T211-U211)</x:f>
        <x:v>64</x:v>
      </x:c>
    </x:row>
    <x:row r="212">
      <x:c r="A212" s="22" t="str">
        <x:v>2022-2026-Copalis-Mocrocks.pdf</x:v>
      </x:c>
      <x:c r="B212" s="26" t="n">
        <x:v>13</x:v>
      </x:c>
      <x:c r="C212" s="22" t="str">
        <x:v>P13</x:v>
      </x:c>
      <x:c r="D212" s="22" t="str">
        <x:v>Copalis Beach</x:v>
      </x:c>
      <x:c r="E212" s="22" t="str">
        <x:v>Ocean City North</x:v>
      </x:c>
      <x:c r="F212" s="24" t="n">
        <x:v>46038</x:v>
      </x:c>
      <x:c r="G212" s="22" t="str">
        <x:v>BB DW</x:v>
      </x:c>
      <x:c r="H212" s="26" t="n">
        <x:v>6</x:v>
      </x:c>
      <x:c r="I212" s="22" t="str">
        <x:v>15-minute interval</x:v>
      </x:c>
      <x:c r="J212" s="22" t="str">
        <x:v>1514</x:v>
      </x:c>
      <x:c r="K212" s="22" t="str">
        <x:v>1529</x:v>
      </x:c>
      <x:c r="L212" s="22" t="str">
        <x:v>2:00</x:v>
      </x:c>
      <x:c r="M212" s="22" t="str">
        <x:v>1:45</x:v>
      </x:c>
      <x:c r="N212" s="22" t="str">
        <x:v>22</x:v>
      </x:c>
      <x:c r="O212" s="26" t="n">
        <x:v>22</x:v>
      </x:c>
      <x:c r="P212" s="22" t="str">
        <x:v>2</x:v>
      </x:c>
      <x:c r="Q212" s="26" t="n">
        <x:v>2</x:v>
      </x:c>
      <x:c r="R212" s="22" t="str">
        <x:v>Observed</x:v>
      </x:c>
      <x:c r="S212" s="22" t="str"/>
      <x:c r="T212" s="26" t="n">
        <x:f>IF(R212&lt;&gt;"Observed","",SUMIFS($O$3:O212,$C$3:C212,C212,$R$3:R212,"Observed"))</x:f>
        <x:v>87</x:v>
      </x:c>
      <x:c r="U212" s="26" t="n">
        <x:f>IF(R212&lt;&gt;"Observed","",SUMIFS($Q$3:Q212,$C$3:C212,C212,$R$3:R212,"Observed"))</x:f>
        <x:v>3</x:v>
      </x:c>
      <x:c r="V212" s="26" t="n">
        <x:f>IF(R212&lt;&gt;"Observed","",T212-U212)</x:f>
        <x:v>84</x:v>
      </x:c>
    </x:row>
    <x:row r="213">
      <x:c r="A213" s="22" t="str">
        <x:v>2022-2026-Copalis-Mocrocks.pdf</x:v>
      </x:c>
      <x:c r="B213" s="26" t="n">
        <x:v>13</x:v>
      </x:c>
      <x:c r="C213" s="22" t="str">
        <x:v>P13</x:v>
      </x:c>
      <x:c r="D213" s="22" t="str">
        <x:v>Copalis Beach</x:v>
      </x:c>
      <x:c r="E213" s="22" t="str">
        <x:v>Ocean City North</x:v>
      </x:c>
      <x:c r="F213" s="24" t="n">
        <x:v>46038</x:v>
      </x:c>
      <x:c r="G213" s="22" t="str">
        <x:v>BB DW</x:v>
      </x:c>
      <x:c r="H213" s="26" t="n">
        <x:v>7</x:v>
      </x:c>
      <x:c r="I213" s="22" t="str">
        <x:v>15-minute interval</x:v>
      </x:c>
      <x:c r="J213" s="22" t="str">
        <x:v>1529</x:v>
      </x:c>
      <x:c r="K213" s="22" t="str">
        <x:v>1544</x:v>
      </x:c>
      <x:c r="L213" s="22" t="str">
        <x:v>1:45</x:v>
      </x:c>
      <x:c r="M213" s="22" t="str">
        <x:v>1:30</x:v>
      </x:c>
      <x:c r="N213" s="22" t="str">
        <x:v>19</x:v>
      </x:c>
      <x:c r="O213" s="26" t="n">
        <x:v>19</x:v>
      </x:c>
      <x:c r="P213" s="22" t="str">
        <x:v>8</x:v>
      </x:c>
      <x:c r="Q213" s="26" t="n">
        <x:v>8</x:v>
      </x:c>
      <x:c r="R213" s="22" t="str">
        <x:v>Observed</x:v>
      </x:c>
      <x:c r="S213" s="22" t="str"/>
      <x:c r="T213" s="26" t="n">
        <x:f>IF(R213&lt;&gt;"Observed","",SUMIFS($O$3:O213,$C$3:C213,C213,$R$3:R213,"Observed"))</x:f>
        <x:v>106</x:v>
      </x:c>
      <x:c r="U213" s="26" t="n">
        <x:f>IF(R213&lt;&gt;"Observed","",SUMIFS($Q$3:Q213,$C$3:C213,C213,$R$3:R213,"Observed"))</x:f>
        <x:v>11</x:v>
      </x:c>
      <x:c r="V213" s="26" t="n">
        <x:f>IF(R213&lt;&gt;"Observed","",T213-U213)</x:f>
        <x:v>95</x:v>
      </x:c>
    </x:row>
    <x:row r="214">
      <x:c r="A214" s="22" t="str">
        <x:v>2022-2026-Copalis-Mocrocks.pdf</x:v>
      </x:c>
      <x:c r="B214" s="26" t="n">
        <x:v>13</x:v>
      </x:c>
      <x:c r="C214" s="22" t="str">
        <x:v>P13</x:v>
      </x:c>
      <x:c r="D214" s="22" t="str">
        <x:v>Copalis Beach</x:v>
      </x:c>
      <x:c r="E214" s="22" t="str">
        <x:v>Ocean City North</x:v>
      </x:c>
      <x:c r="F214" s="24" t="n">
        <x:v>46038</x:v>
      </x:c>
      <x:c r="G214" s="22" t="str">
        <x:v>BB DW</x:v>
      </x:c>
      <x:c r="H214" s="26" t="n">
        <x:v>8</x:v>
      </x:c>
      <x:c r="I214" s="22" t="str">
        <x:v>15-minute interval</x:v>
      </x:c>
      <x:c r="J214" s="22" t="str">
        <x:v>1544</x:v>
      </x:c>
      <x:c r="K214" s="22" t="str">
        <x:v>1559</x:v>
      </x:c>
      <x:c r="L214" s="22" t="str">
        <x:v>1:30</x:v>
      </x:c>
      <x:c r="M214" s="22" t="str">
        <x:v>1:15</x:v>
      </x:c>
      <x:c r="N214" s="22" t="str">
        <x:v>23</x:v>
      </x:c>
      <x:c r="O214" s="26" t="n">
        <x:v>23</x:v>
      </x:c>
      <x:c r="P214" s="22" t="str">
        <x:v>11</x:v>
      </x:c>
      <x:c r="Q214" s="26" t="n">
        <x:v>11</x:v>
      </x:c>
      <x:c r="R214" s="22" t="str">
        <x:v>Observed</x:v>
      </x:c>
      <x:c r="S214" s="22" t="str"/>
      <x:c r="T214" s="26" t="n">
        <x:f>IF(R214&lt;&gt;"Observed","",SUMIFS($O$3:O214,$C$3:C214,C214,$R$3:R214,"Observed"))</x:f>
        <x:v>129</x:v>
      </x:c>
      <x:c r="U214" s="26" t="n">
        <x:f>IF(R214&lt;&gt;"Observed","",SUMIFS($Q$3:Q214,$C$3:C214,C214,$R$3:R214,"Observed"))</x:f>
        <x:v>22</x:v>
      </x:c>
      <x:c r="V214" s="26" t="n">
        <x:f>IF(R214&lt;&gt;"Observed","",T214-U214)</x:f>
        <x:v>107</x:v>
      </x:c>
    </x:row>
    <x:row r="215">
      <x:c r="A215" s="22" t="str">
        <x:v>2022-2026-Copalis-Mocrocks.pdf</x:v>
      </x:c>
      <x:c r="B215" s="26" t="n">
        <x:v>13</x:v>
      </x:c>
      <x:c r="C215" s="22" t="str">
        <x:v>P13</x:v>
      </x:c>
      <x:c r="D215" s="22" t="str">
        <x:v>Copalis Beach</x:v>
      </x:c>
      <x:c r="E215" s="22" t="str">
        <x:v>Ocean City North</x:v>
      </x:c>
      <x:c r="F215" s="24" t="n">
        <x:v>46038</x:v>
      </x:c>
      <x:c r="G215" s="22" t="str">
        <x:v>BB DW</x:v>
      </x:c>
      <x:c r="H215" s="26" t="n">
        <x:v>9</x:v>
      </x:c>
      <x:c r="I215" s="22" t="str">
        <x:v>15-minute interval</x:v>
      </x:c>
      <x:c r="J215" s="22" t="str">
        <x:v>1559</x:v>
      </x:c>
      <x:c r="K215" s="22" t="str">
        <x:v>1614</x:v>
      </x:c>
      <x:c r="L215" s="22" t="str">
        <x:v>1:15</x:v>
      </x:c>
      <x:c r="M215" s="22" t="str">
        <x:v>1:00</x:v>
      </x:c>
      <x:c r="N215" s="22" t="str">
        <x:v>14</x:v>
      </x:c>
      <x:c r="O215" s="26" t="n">
        <x:v>14</x:v>
      </x:c>
      <x:c r="P215" s="22" t="str">
        <x:v>10</x:v>
      </x:c>
      <x:c r="Q215" s="26" t="n">
        <x:v>10</x:v>
      </x:c>
      <x:c r="R215" s="22" t="str">
        <x:v>Observed</x:v>
      </x:c>
      <x:c r="S215" s="22" t="str"/>
      <x:c r="T215" s="26" t="n">
        <x:f>IF(R215&lt;&gt;"Observed","",SUMIFS($O$3:O215,$C$3:C215,C215,$R$3:R215,"Observed"))</x:f>
        <x:v>143</x:v>
      </x:c>
      <x:c r="U215" s="26" t="n">
        <x:f>IF(R215&lt;&gt;"Observed","",SUMIFS($Q$3:Q215,$C$3:C215,C215,$R$3:R215,"Observed"))</x:f>
        <x:v>32</x:v>
      </x:c>
      <x:c r="V215" s="26" t="n">
        <x:f>IF(R215&lt;&gt;"Observed","",T215-U215)</x:f>
        <x:v>111</x:v>
      </x:c>
    </x:row>
    <x:row r="216">
      <x:c r="A216" s="22" t="str">
        <x:v>2022-2026-Copalis-Mocrocks.pdf</x:v>
      </x:c>
      <x:c r="B216" s="26" t="n">
        <x:v>13</x:v>
      </x:c>
      <x:c r="C216" s="22" t="str">
        <x:v>P13</x:v>
      </x:c>
      <x:c r="D216" s="22" t="str">
        <x:v>Copalis Beach</x:v>
      </x:c>
      <x:c r="E216" s="22" t="str">
        <x:v>Ocean City North</x:v>
      </x:c>
      <x:c r="F216" s="24" t="n">
        <x:v>46038</x:v>
      </x:c>
      <x:c r="G216" s="22" t="str">
        <x:v>BB DW</x:v>
      </x:c>
      <x:c r="H216" s="26" t="n">
        <x:v>10</x:v>
      </x:c>
      <x:c r="I216" s="22" t="str">
        <x:v>15-minute interval</x:v>
      </x:c>
      <x:c r="J216" s="22" t="str">
        <x:v>1614</x:v>
      </x:c>
      <x:c r="K216" s="22" t="str">
        <x:v>1629</x:v>
      </x:c>
      <x:c r="L216" s="22" t="str">
        <x:v>1:00</x:v>
      </x:c>
      <x:c r="M216" s="22" t="str">
        <x:v>0:45</x:v>
      </x:c>
      <x:c r="N216" s="22" t="str">
        <x:v>15</x:v>
      </x:c>
      <x:c r="O216" s="26" t="n">
        <x:v>15</x:v>
      </x:c>
      <x:c r="P216" s="22" t="str">
        <x:v>16</x:v>
      </x:c>
      <x:c r="Q216" s="26" t="n">
        <x:v>16</x:v>
      </x:c>
      <x:c r="R216" s="22" t="str">
        <x:v>Observed</x:v>
      </x:c>
      <x:c r="S216" s="22" t="str"/>
      <x:c r="T216" s="26" t="n">
        <x:f>IF(R216&lt;&gt;"Observed","",SUMIFS($O$3:O216,$C$3:C216,C216,$R$3:R216,"Observed"))</x:f>
        <x:v>158</x:v>
      </x:c>
      <x:c r="U216" s="26" t="n">
        <x:f>IF(R216&lt;&gt;"Observed","",SUMIFS($Q$3:Q216,$C$3:C216,C216,$R$3:R216,"Observed"))</x:f>
        <x:v>48</x:v>
      </x:c>
      <x:c r="V216" s="26" t="n">
        <x:f>IF(R216&lt;&gt;"Observed","",T216-U216)</x:f>
        <x:v>110</x:v>
      </x:c>
    </x:row>
    <x:row r="217">
      <x:c r="A217" s="22" t="str">
        <x:v>2022-2026-Copalis-Mocrocks.pdf</x:v>
      </x:c>
      <x:c r="B217" s="26" t="n">
        <x:v>13</x:v>
      </x:c>
      <x:c r="C217" s="22" t="str">
        <x:v>P13</x:v>
      </x:c>
      <x:c r="D217" s="22" t="str">
        <x:v>Copalis Beach</x:v>
      </x:c>
      <x:c r="E217" s="22" t="str">
        <x:v>Ocean City North</x:v>
      </x:c>
      <x:c r="F217" s="24" t="n">
        <x:v>46038</x:v>
      </x:c>
      <x:c r="G217" s="22" t="str">
        <x:v>BB DW</x:v>
      </x:c>
      <x:c r="H217" s="26" t="n">
        <x:v>11</x:v>
      </x:c>
      <x:c r="I217" s="22" t="str">
        <x:v>15-minute interval</x:v>
      </x:c>
      <x:c r="J217" s="22" t="str">
        <x:v>1629</x:v>
      </x:c>
      <x:c r="K217" s="22" t="str">
        <x:v>1644</x:v>
      </x:c>
      <x:c r="L217" s="22" t="str">
        <x:v>0:45</x:v>
      </x:c>
      <x:c r="M217" s="22" t="str">
        <x:v>0:30</x:v>
      </x:c>
      <x:c r="N217" s="22" t="str">
        <x:v>10</x:v>
      </x:c>
      <x:c r="O217" s="26" t="n">
        <x:v>10</x:v>
      </x:c>
      <x:c r="P217" s="22" t="str">
        <x:v>16</x:v>
      </x:c>
      <x:c r="Q217" s="26" t="n">
        <x:v>16</x:v>
      </x:c>
      <x:c r="R217" s="22" t="str">
        <x:v>Observed</x:v>
      </x:c>
      <x:c r="S217" s="22" t="str"/>
      <x:c r="T217" s="26" t="n">
        <x:f>IF(R217&lt;&gt;"Observed","",SUMIFS($O$3:O217,$C$3:C217,C217,$R$3:R217,"Observed"))</x:f>
        <x:v>168</x:v>
      </x:c>
      <x:c r="U217" s="26" t="n">
        <x:f>IF(R217&lt;&gt;"Observed","",SUMIFS($Q$3:Q217,$C$3:C217,C217,$R$3:R217,"Observed"))</x:f>
        <x:v>64</x:v>
      </x:c>
      <x:c r="V217" s="26" t="n">
        <x:f>IF(R217&lt;&gt;"Observed","",T217-U217)</x:f>
        <x:v>104</x:v>
      </x:c>
    </x:row>
    <x:row r="218">
      <x:c r="A218" s="22" t="str">
        <x:v>2022-2026-Copalis-Mocrocks.pdf</x:v>
      </x:c>
      <x:c r="B218" s="26" t="n">
        <x:v>13</x:v>
      </x:c>
      <x:c r="C218" s="22" t="str">
        <x:v>P13</x:v>
      </x:c>
      <x:c r="D218" s="22" t="str">
        <x:v>Copalis Beach</x:v>
      </x:c>
      <x:c r="E218" s="22" t="str">
        <x:v>Ocean City North</x:v>
      </x:c>
      <x:c r="F218" s="24" t="n">
        <x:v>46038</x:v>
      </x:c>
      <x:c r="G218" s="22" t="str">
        <x:v>BB DW</x:v>
      </x:c>
      <x:c r="H218" s="26" t="n">
        <x:v>12</x:v>
      </x:c>
      <x:c r="I218" s="22" t="str">
        <x:v>15-minute interval</x:v>
      </x:c>
      <x:c r="J218" s="22" t="str">
        <x:v>1644</x:v>
      </x:c>
      <x:c r="K218" s="22" t="str">
        <x:v>1659</x:v>
      </x:c>
      <x:c r="L218" s="22" t="str">
        <x:v>0:30</x:v>
      </x:c>
      <x:c r="M218" s="22" t="str">
        <x:v>0:15</x:v>
      </x:c>
      <x:c r="N218" s="22" t="str">
        <x:v>9</x:v>
      </x:c>
      <x:c r="O218" s="26" t="n">
        <x:v>9</x:v>
      </x:c>
      <x:c r="P218" s="22" t="str">
        <x:v>26</x:v>
      </x:c>
      <x:c r="Q218" s="26" t="n">
        <x:v>26</x:v>
      </x:c>
      <x:c r="R218" s="22" t="str">
        <x:v>Observed</x:v>
      </x:c>
      <x:c r="S218" s="22" t="str"/>
      <x:c r="T218" s="26" t="n">
        <x:f>IF(R218&lt;&gt;"Observed","",SUMIFS($O$3:O218,$C$3:C218,C218,$R$3:R218,"Observed"))</x:f>
        <x:v>177</x:v>
      </x:c>
      <x:c r="U218" s="26" t="n">
        <x:f>IF(R218&lt;&gt;"Observed","",SUMIFS($Q$3:Q218,$C$3:C218,C218,$R$3:R218,"Observed"))</x:f>
        <x:v>90</x:v>
      </x:c>
      <x:c r="V218" s="26" t="n">
        <x:f>IF(R218&lt;&gt;"Observed","",T218-U218)</x:f>
        <x:v>87</x:v>
      </x:c>
    </x:row>
    <x:row r="219">
      <x:c r="A219" s="22" t="str">
        <x:v>2022-2026-Copalis-Mocrocks.pdf</x:v>
      </x:c>
      <x:c r="B219" s="26" t="n">
        <x:v>13</x:v>
      </x:c>
      <x:c r="C219" s="22" t="str">
        <x:v>P13</x:v>
      </x:c>
      <x:c r="D219" s="22" t="str">
        <x:v>Copalis Beach</x:v>
      </x:c>
      <x:c r="E219" s="22" t="str">
        <x:v>Ocean City North</x:v>
      </x:c>
      <x:c r="F219" s="24" t="n">
        <x:v>46038</x:v>
      </x:c>
      <x:c r="G219" s="22" t="str">
        <x:v>BB DW</x:v>
      </x:c>
      <x:c r="H219" s="26" t="n">
        <x:v>13</x:v>
      </x:c>
      <x:c r="I219" s="22" t="str">
        <x:v>15-minute interval</x:v>
      </x:c>
      <x:c r="J219" s="22" t="str">
        <x:v>1659</x:v>
      </x:c>
      <x:c r="K219" s="22" t="str">
        <x:v>1714</x:v>
      </x:c>
      <x:c r="L219" s="22" t="str">
        <x:v>0:15</x:v>
      </x:c>
      <x:c r="M219" s="22" t="str">
        <x:v>0:00</x:v>
      </x:c>
      <x:c r="N219" s="22" t="str">
        <x:v>4</x:v>
      </x:c>
      <x:c r="O219" s="26" t="n">
        <x:v>4</x:v>
      </x:c>
      <x:c r="P219" s="22" t="str">
        <x:v>21</x:v>
      </x:c>
      <x:c r="Q219" s="26" t="n">
        <x:v>21</x:v>
      </x:c>
      <x:c r="R219" s="22" t="str">
        <x:v>Observed</x:v>
      </x:c>
      <x:c r="S219" s="22" t="str"/>
      <x:c r="T219" s="26" t="n">
        <x:f>IF(R219&lt;&gt;"Observed","",SUMIFS($O$3:O219,$C$3:C219,C219,$R$3:R219,"Observed"))</x:f>
        <x:v>181</x:v>
      </x:c>
      <x:c r="U219" s="26" t="n">
        <x:f>IF(R219&lt;&gt;"Observed","",SUMIFS($Q$3:Q219,$C$3:C219,C219,$R$3:R219,"Observed"))</x:f>
        <x:v>111</x:v>
      </x:c>
      <x:c r="V219" s="26" t="n">
        <x:f>IF(R219&lt;&gt;"Observed","",T219-U219)</x:f>
        <x:v>70</x:v>
      </x:c>
    </x:row>
    <x:row r="220">
      <x:c r="A220" s="22" t="str">
        <x:v>2022-2026-Copalis-Mocrocks.pdf</x:v>
      </x:c>
      <x:c r="B220" s="26" t="n">
        <x:v>13</x:v>
      </x:c>
      <x:c r="C220" s="22" t="str">
        <x:v>P13</x:v>
      </x:c>
      <x:c r="D220" s="22" t="str">
        <x:v>Copalis Beach</x:v>
      </x:c>
      <x:c r="E220" s="22" t="str">
        <x:v>Ocean City North</x:v>
      </x:c>
      <x:c r="F220" s="24" t="n">
        <x:v>46038</x:v>
      </x:c>
      <x:c r="G220" s="22" t="str">
        <x:v>BB DW</x:v>
      </x:c>
      <x:c r="H220" s="26" t="n">
        <x:v>14</x:v>
      </x:c>
      <x:c r="I220" s="22" t="str">
        <x:v>15-minute interval</x:v>
      </x:c>
      <x:c r="J220" s="22" t="str">
        <x:v>1714</x:v>
      </x:c>
      <x:c r="K220" s="22" t="str">
        <x:v>1729</x:v>
      </x:c>
      <x:c r="L220" s="22" t="str">
        <x:v>0:00</x:v>
      </x:c>
      <x:c r="M220" s="22" t="str">
        <x:v>0:15</x:v>
      </x:c>
      <x:c r="N220" s="22" t="str">
        <x:v>2</x:v>
      </x:c>
      <x:c r="O220" s="26" t="n">
        <x:v>2</x:v>
      </x:c>
      <x:c r="P220" s="22" t="str">
        <x:v>22</x:v>
      </x:c>
      <x:c r="Q220" s="26" t="n">
        <x:v>22</x:v>
      </x:c>
      <x:c r="R220" s="22" t="str">
        <x:v>Observed</x:v>
      </x:c>
      <x:c r="S220" s="22" t="str"/>
      <x:c r="T220" s="26" t="n">
        <x:f>IF(R220&lt;&gt;"Observed","",SUMIFS($O$3:O220,$C$3:C220,C220,$R$3:R220,"Observed"))</x:f>
        <x:v>183</x:v>
      </x:c>
      <x:c r="U220" s="26" t="n">
        <x:f>IF(R220&lt;&gt;"Observed","",SUMIFS($Q$3:Q220,$C$3:C220,C220,$R$3:R220,"Observed"))</x:f>
        <x:v>133</x:v>
      </x:c>
      <x:c r="V220" s="26" t="n">
        <x:f>IF(R220&lt;&gt;"Observed","",T220-U220)</x:f>
        <x:v>50</x:v>
      </x:c>
    </x:row>
    <x:row r="221">
      <x:c r="A221" s="22" t="str">
        <x:v>2022-2026-Copalis-Mocrocks.pdf</x:v>
      </x:c>
      <x:c r="B221" s="26" t="n">
        <x:v>13</x:v>
      </x:c>
      <x:c r="C221" s="22" t="str">
        <x:v>P13</x:v>
      </x:c>
      <x:c r="D221" s="22" t="str">
        <x:v>Copalis Beach</x:v>
      </x:c>
      <x:c r="E221" s="22" t="str">
        <x:v>Ocean City North</x:v>
      </x:c>
      <x:c r="F221" s="24" t="n">
        <x:v>46038</x:v>
      </x:c>
      <x:c r="G221" s="22" t="str">
        <x:v>BB DW</x:v>
      </x:c>
      <x:c r="H221" s="26" t="n">
        <x:v>15</x:v>
      </x:c>
      <x:c r="I221" s="22" t="str">
        <x:v>15-minute interval</x:v>
      </x:c>
      <x:c r="J221" s="22" t="str">
        <x:v>1729</x:v>
      </x:c>
      <x:c r="K221" s="22" t="str">
        <x:v>1744</x:v>
      </x:c>
      <x:c r="L221" s="22" t="str">
        <x:v>0:15</x:v>
      </x:c>
      <x:c r="M221" s="22" t="str">
        <x:v>0:30</x:v>
      </x:c>
      <x:c r="N221" s="22" t="str">
        <x:v>1</x:v>
      </x:c>
      <x:c r="O221" s="26" t="n">
        <x:v>1</x:v>
      </x:c>
      <x:c r="P221" s="22" t="str">
        <x:v>21</x:v>
      </x:c>
      <x:c r="Q221" s="26" t="n">
        <x:v>21</x:v>
      </x:c>
      <x:c r="R221" s="22" t="str">
        <x:v>Observed</x:v>
      </x:c>
      <x:c r="S221" s="22" t="str">
        <x:v>Source end time appears as "1933"; normalized to 1744.</x:v>
      </x:c>
      <x:c r="T221" s="26" t="n">
        <x:f>IF(R221&lt;&gt;"Observed","",SUMIFS($O$3:O221,$C$3:C221,C221,$R$3:R221,"Observed"))</x:f>
        <x:v>184</x:v>
      </x:c>
      <x:c r="U221" s="26" t="n">
        <x:f>IF(R221&lt;&gt;"Observed","",SUMIFS($Q$3:Q221,$C$3:C221,C221,$R$3:R221,"Observed"))</x:f>
        <x:v>154</x:v>
      </x:c>
      <x:c r="V221" s="26" t="n">
        <x:f>IF(R221&lt;&gt;"Observed","",T221-U221)</x:f>
        <x:v>30</x:v>
      </x:c>
    </x:row>
    <x:row r="222">
      <x:c r="A222" s="22" t="str">
        <x:v>2022-2026-Copalis-Mocrocks.pdf</x:v>
      </x:c>
      <x:c r="B222" s="26" t="n">
        <x:v>13</x:v>
      </x:c>
      <x:c r="C222" s="22" t="str">
        <x:v>P13</x:v>
      </x:c>
      <x:c r="D222" s="22" t="str">
        <x:v>Copalis Beach</x:v>
      </x:c>
      <x:c r="E222" s="22" t="str">
        <x:v>Ocean City North</x:v>
      </x:c>
      <x:c r="F222" s="24" t="n">
        <x:v>46038</x:v>
      </x:c>
      <x:c r="G222" s="22" t="str">
        <x:v>BB DW</x:v>
      </x:c>
      <x:c r="H222" s="26" t="n">
        <x:v>16</x:v>
      </x:c>
      <x:c r="I222" s="22" t="str">
        <x:v>15-minute interval</x:v>
      </x:c>
      <x:c r="J222" s="22" t="str">
        <x:v>1744</x:v>
      </x:c>
      <x:c r="K222" s="22" t="str">
        <x:v>1759</x:v>
      </x:c>
      <x:c r="L222" s="22" t="str">
        <x:v>0:30</x:v>
      </x:c>
      <x:c r="M222" s="22" t="str">
        <x:v>0:45</x:v>
      </x:c>
      <x:c r="N222" s="22" t="str">
        <x:v>2</x:v>
      </x:c>
      <x:c r="O222" s="26" t="n">
        <x:v>2</x:v>
      </x:c>
      <x:c r="P222" s="22" t="str">
        <x:v>10</x:v>
      </x:c>
      <x:c r="Q222" s="26" t="n">
        <x:v>10</x:v>
      </x:c>
      <x:c r="R222" s="22" t="str">
        <x:v>Observed</x:v>
      </x:c>
      <x:c r="S222" s="22" t="str">
        <x:v>Source end time appears as "1948"; normalized to 1759.</x:v>
      </x:c>
      <x:c r="T222" s="26" t="n">
        <x:f>IF(R222&lt;&gt;"Observed","",SUMIFS($O$3:O222,$C$3:C222,C222,$R$3:R222,"Observed"))</x:f>
        <x:v>186</x:v>
      </x:c>
      <x:c r="U222" s="26" t="n">
        <x:f>IF(R222&lt;&gt;"Observed","",SUMIFS($Q$3:Q222,$C$3:C222,C222,$R$3:R222,"Observed"))</x:f>
        <x:v>164</x:v>
      </x:c>
      <x:c r="V222" s="26" t="n">
        <x:f>IF(R222&lt;&gt;"Observed","",T222-U222)</x:f>
        <x:v>22</x:v>
      </x:c>
    </x:row>
    <x:row r="223">
      <x:c r="A223" s="22" t="str">
        <x:v>2022-2026-Copalis-Mocrocks.pdf</x:v>
      </x:c>
      <x:c r="B223" s="26" t="n">
        <x:v>13</x:v>
      </x:c>
      <x:c r="C223" s="22" t="str">
        <x:v>P13</x:v>
      </x:c>
      <x:c r="D223" s="22" t="str">
        <x:v>Copalis Beach</x:v>
      </x:c>
      <x:c r="E223" s="22" t="str">
        <x:v>Ocean City North</x:v>
      </x:c>
      <x:c r="F223" s="24" t="n">
        <x:v>46038</x:v>
      </x:c>
      <x:c r="G223" s="22" t="str">
        <x:v>BB DW</x:v>
      </x:c>
      <x:c r="H223" s="26" t="n">
        <x:v>17</x:v>
      </x:c>
      <x:c r="I223" s="22" t="str">
        <x:v>15-minute interval</x:v>
      </x:c>
      <x:c r="J223" s="22" t="str">
        <x:v>1759</x:v>
      </x:c>
      <x:c r="K223" s="22" t="str">
        <x:v>1814</x:v>
      </x:c>
      <x:c r="L223" s="22" t="str">
        <x:v>0:45</x:v>
      </x:c>
      <x:c r="M223" s="22" t="str">
        <x:v>1:00</x:v>
      </x:c>
      <x:c r="N223" s="22" t="str">
        <x:v>/</x:v>
      </x:c>
      <x:c r="O223" s="26"/>
      <x:c r="P223" s="22" t="str">
        <x:v>/</x:v>
      </x:c>
      <x:c r="Q223" s="26"/>
      <x:c r="R223" s="22" t="str">
        <x:v>Crossed out</x:v>
      </x:c>
      <x:c r="S223" s="22" t="str">
        <x:v>Both count cells diagonally crossed; row excluded.</x:v>
      </x:c>
      <x:c r="T223" s="26" t="str">
        <x:f>IF(R223&lt;&gt;"Observed","",SUMIFS($O$3:O223,$C$3:C223,C223,$R$3:R223,"Observed"))</x:f>
      </x:c>
      <x:c r="U223" s="26" t="str">
        <x:f>IF(R223&lt;&gt;"Observed","",SUMIFS($Q$3:Q223,$C$3:C223,C223,$R$3:R223,"Observed"))</x:f>
      </x:c>
      <x:c r="V223" s="26" t="str">
        <x:f>IF(R223&lt;&gt;"Observed","",T223-U223)</x:f>
      </x:c>
    </x:row>
    <x:row r="224">
      <x:c r="A224" s="22" t="str">
        <x:v>2022-2026-Copalis-Mocrocks.pdf</x:v>
      </x:c>
      <x:c r="B224" s="26" t="n">
        <x:v>14</x:v>
      </x:c>
      <x:c r="C224" s="22" t="str">
        <x:v>P14</x:v>
      </x:c>
      <x:c r="D224" s="22" t="str">
        <x:v>Copalis Beach</x:v>
      </x:c>
      <x:c r="E224" s="22" t="str">
        <x:v>Ocean City North</x:v>
      </x:c>
      <x:c r="F224" s="24" t="n">
        <x:v>46102</x:v>
      </x:c>
      <x:c r="G224" s="22" t="str">
        <x:v>BB</x:v>
      </x:c>
      <x:c r="H224" s="26" t="n">
        <x:v>1</x:v>
      </x:c>
      <x:c r="I224" s="22" t="str">
        <x:v>Prior to Start</x:v>
      </x:c>
      <x:c r="J224" s="22" t="str">
        <x:v>Prior to Start</x:v>
      </x:c>
      <x:c r="K224" s="22" t="str"/>
      <x:c r="L224" s="22" t="str">
        <x:v>to Start</x:v>
      </x:c>
      <x:c r="M224" s="22" t="str"/>
      <x:c r="N224" s="22" t="str">
        <x:v>0</x:v>
      </x:c>
      <x:c r="O224" s="26" t="n">
        <x:v>0</x:v>
      </x:c>
      <x:c r="P224" s="22" t="str">
        <x:v>0</x:v>
      </x:c>
      <x:c r="Q224" s="26" t="n">
        <x:v>0</x:v>
      </x:c>
      <x:c r="R224" s="22" t="str">
        <x:v>Observed</x:v>
      </x:c>
      <x:c r="S224" s="22" t="str"/>
      <x:c r="T224" s="26" t="n">
        <x:f>IF(R224&lt;&gt;"Observed","",SUMIFS($O$3:O224,$C$3:C224,C224,$R$3:R224,"Observed"))</x:f>
        <x:v>0</x:v>
      </x:c>
      <x:c r="U224" s="26" t="n">
        <x:f>IF(R224&lt;&gt;"Observed","",SUMIFS($Q$3:Q224,$C$3:C224,C224,$R$3:R224,"Observed"))</x:f>
        <x:v>0</x:v>
      </x:c>
      <x:c r="V224" s="26" t="n">
        <x:f>IF(R224&lt;&gt;"Observed","",T224-U224)</x:f>
        <x:v>0</x:v>
      </x:c>
    </x:row>
    <x:row r="225">
      <x:c r="A225" s="22" t="str">
        <x:v>2022-2026-Copalis-Mocrocks.pdf</x:v>
      </x:c>
      <x:c r="B225" s="26" t="n">
        <x:v>14</x:v>
      </x:c>
      <x:c r="C225" s="22" t="str">
        <x:v>P14</x:v>
      </x:c>
      <x:c r="D225" s="22" t="str">
        <x:v>Copalis Beach</x:v>
      </x:c>
      <x:c r="E225" s="22" t="str">
        <x:v>Ocean City North</x:v>
      </x:c>
      <x:c r="F225" s="24" t="n">
        <x:v>46102</x:v>
      </x:c>
      <x:c r="G225" s="22" t="str">
        <x:v>BB</x:v>
      </x:c>
      <x:c r="H225" s="26" t="n">
        <x:v>2</x:v>
      </x:c>
      <x:c r="I225" s="22" t="str">
        <x:v>15-minute interval</x:v>
      </x:c>
      <x:c r="J225" s="22" t="str">
        <x:v>0543</x:v>
      </x:c>
      <x:c r="K225" s="22" t="str">
        <x:v>0558</x:v>
      </x:c>
      <x:c r="L225" s="22" t="str">
        <x:v>3:00</x:v>
      </x:c>
      <x:c r="M225" s="22" t="str">
        <x:v>2:45</x:v>
      </x:c>
      <x:c r="N225" s="22" t="str">
        <x:v>0</x:v>
      </x:c>
      <x:c r="O225" s="26" t="n">
        <x:v>0</x:v>
      </x:c>
      <x:c r="P225" s="22" t="str">
        <x:v>0</x:v>
      </x:c>
      <x:c r="Q225" s="26" t="n">
        <x:v>0</x:v>
      </x:c>
      <x:c r="R225" s="22" t="str">
        <x:v>Observed</x:v>
      </x:c>
      <x:c r="S225" s="22" t="str"/>
      <x:c r="T225" s="26" t="n">
        <x:f>IF(R225&lt;&gt;"Observed","",SUMIFS($O$3:O225,$C$3:C225,C225,$R$3:R225,"Observed"))</x:f>
        <x:v>0</x:v>
      </x:c>
      <x:c r="U225" s="26" t="n">
        <x:f>IF(R225&lt;&gt;"Observed","",SUMIFS($Q$3:Q225,$C$3:C225,C225,$R$3:R225,"Observed"))</x:f>
        <x:v>0</x:v>
      </x:c>
      <x:c r="V225" s="26" t="n">
        <x:f>IF(R225&lt;&gt;"Observed","",T225-U225)</x:f>
        <x:v>0</x:v>
      </x:c>
    </x:row>
    <x:row r="226">
      <x:c r="A226" s="22" t="str">
        <x:v>2022-2026-Copalis-Mocrocks.pdf</x:v>
      </x:c>
      <x:c r="B226" s="26" t="n">
        <x:v>14</x:v>
      </x:c>
      <x:c r="C226" s="22" t="str">
        <x:v>P14</x:v>
      </x:c>
      <x:c r="D226" s="22" t="str">
        <x:v>Copalis Beach</x:v>
      </x:c>
      <x:c r="E226" s="22" t="str">
        <x:v>Ocean City North</x:v>
      </x:c>
      <x:c r="F226" s="24" t="n">
        <x:v>46102</x:v>
      </x:c>
      <x:c r="G226" s="22" t="str">
        <x:v>BB</x:v>
      </x:c>
      <x:c r="H226" s="26" t="n">
        <x:v>3</x:v>
      </x:c>
      <x:c r="I226" s="22" t="str">
        <x:v>15-minute interval</x:v>
      </x:c>
      <x:c r="J226" s="22" t="str">
        <x:v>0558</x:v>
      </x:c>
      <x:c r="K226" s="22" t="str">
        <x:v>0613</x:v>
      </x:c>
      <x:c r="L226" s="22" t="str">
        <x:v>2:45</x:v>
      </x:c>
      <x:c r="M226" s="22" t="str">
        <x:v>2:30</x:v>
      </x:c>
      <x:c r="N226" s="22" t="str">
        <x:v>1</x:v>
      </x:c>
      <x:c r="O226" s="26" t="n">
        <x:v>1</x:v>
      </x:c>
      <x:c r="P226" s="22" t="str">
        <x:v>1</x:v>
      </x:c>
      <x:c r="Q226" s="26" t="n">
        <x:v>1</x:v>
      </x:c>
      <x:c r="R226" s="22" t="str">
        <x:v>Observed</x:v>
      </x:c>
      <x:c r="S226" s="22" t="str"/>
      <x:c r="T226" s="26" t="n">
        <x:f>IF(R226&lt;&gt;"Observed","",SUMIFS($O$3:O226,$C$3:C226,C226,$R$3:R226,"Observed"))</x:f>
        <x:v>1</x:v>
      </x:c>
      <x:c r="U226" s="26" t="n">
        <x:f>IF(R226&lt;&gt;"Observed","",SUMIFS($Q$3:Q226,$C$3:C226,C226,$R$3:R226,"Observed"))</x:f>
        <x:v>1</x:v>
      </x:c>
      <x:c r="V226" s="26" t="n">
        <x:f>IF(R226&lt;&gt;"Observed","",T226-U226)</x:f>
        <x:v>0</x:v>
      </x:c>
    </x:row>
    <x:row r="227">
      <x:c r="A227" s="22" t="str">
        <x:v>2022-2026-Copalis-Mocrocks.pdf</x:v>
      </x:c>
      <x:c r="B227" s="26" t="n">
        <x:v>14</x:v>
      </x:c>
      <x:c r="C227" s="22" t="str">
        <x:v>P14</x:v>
      </x:c>
      <x:c r="D227" s="22" t="str">
        <x:v>Copalis Beach</x:v>
      </x:c>
      <x:c r="E227" s="22" t="str">
        <x:v>Ocean City North</x:v>
      </x:c>
      <x:c r="F227" s="24" t="n">
        <x:v>46102</x:v>
      </x:c>
      <x:c r="G227" s="22" t="str">
        <x:v>BB</x:v>
      </x:c>
      <x:c r="H227" s="26" t="n">
        <x:v>4</x:v>
      </x:c>
      <x:c r="I227" s="22" t="str">
        <x:v>15-minute interval</x:v>
      </x:c>
      <x:c r="J227" s="22" t="str">
        <x:v>0613</x:v>
      </x:c>
      <x:c r="K227" s="22" t="str">
        <x:v>0628</x:v>
      </x:c>
      <x:c r="L227" s="22" t="str">
        <x:v>2:30</x:v>
      </x:c>
      <x:c r="M227" s="22" t="str">
        <x:v>2:15</x:v>
      </x:c>
      <x:c r="N227" s="22" t="str">
        <x:v>2</x:v>
      </x:c>
      <x:c r="O227" s="26" t="n">
        <x:v>2</x:v>
      </x:c>
      <x:c r="P227" s="22" t="str">
        <x:v>0</x:v>
      </x:c>
      <x:c r="Q227" s="26" t="n">
        <x:v>0</x:v>
      </x:c>
      <x:c r="R227" s="22" t="str">
        <x:v>Observed</x:v>
      </x:c>
      <x:c r="S227" s="22" t="str"/>
      <x:c r="T227" s="26" t="n">
        <x:f>IF(R227&lt;&gt;"Observed","",SUMIFS($O$3:O227,$C$3:C227,C227,$R$3:R227,"Observed"))</x:f>
        <x:v>3</x:v>
      </x:c>
      <x:c r="U227" s="26" t="n">
        <x:f>IF(R227&lt;&gt;"Observed","",SUMIFS($Q$3:Q227,$C$3:C227,C227,$R$3:R227,"Observed"))</x:f>
        <x:v>1</x:v>
      </x:c>
      <x:c r="V227" s="26" t="n">
        <x:f>IF(R227&lt;&gt;"Observed","",T227-U227)</x:f>
        <x:v>2</x:v>
      </x:c>
    </x:row>
    <x:row r="228">
      <x:c r="A228" s="22" t="str">
        <x:v>2022-2026-Copalis-Mocrocks.pdf</x:v>
      </x:c>
      <x:c r="B228" s="26" t="n">
        <x:v>14</x:v>
      </x:c>
      <x:c r="C228" s="22" t="str">
        <x:v>P14</x:v>
      </x:c>
      <x:c r="D228" s="22" t="str">
        <x:v>Copalis Beach</x:v>
      </x:c>
      <x:c r="E228" s="22" t="str">
        <x:v>Ocean City North</x:v>
      </x:c>
      <x:c r="F228" s="24" t="n">
        <x:v>46102</x:v>
      </x:c>
      <x:c r="G228" s="22" t="str">
        <x:v>BB</x:v>
      </x:c>
      <x:c r="H228" s="26" t="n">
        <x:v>5</x:v>
      </x:c>
      <x:c r="I228" s="22" t="str">
        <x:v>15-minute interval</x:v>
      </x:c>
      <x:c r="J228" s="22" t="str">
        <x:v>0628</x:v>
      </x:c>
      <x:c r="K228" s="22" t="str">
        <x:v>0643</x:v>
      </x:c>
      <x:c r="L228" s="22" t="str">
        <x:v>2:15</x:v>
      </x:c>
      <x:c r="M228" s="22" t="str">
        <x:v>2:00</x:v>
      </x:c>
      <x:c r="N228" s="22" t="str">
        <x:v>18</x:v>
      </x:c>
      <x:c r="O228" s="26" t="n">
        <x:v>18</x:v>
      </x:c>
      <x:c r="P228" s="22" t="str">
        <x:v>0</x:v>
      </x:c>
      <x:c r="Q228" s="26" t="n">
        <x:v>0</x:v>
      </x:c>
      <x:c r="R228" s="22" t="str">
        <x:v>Observed</x:v>
      </x:c>
      <x:c r="S228" s="22" t="str"/>
      <x:c r="T228" s="26" t="n">
        <x:f>IF(R228&lt;&gt;"Observed","",SUMIFS($O$3:O228,$C$3:C228,C228,$R$3:R228,"Observed"))</x:f>
        <x:v>21</x:v>
      </x:c>
      <x:c r="U228" s="26" t="n">
        <x:f>IF(R228&lt;&gt;"Observed","",SUMIFS($Q$3:Q228,$C$3:C228,C228,$R$3:R228,"Observed"))</x:f>
        <x:v>1</x:v>
      </x:c>
      <x:c r="V228" s="26" t="n">
        <x:f>IF(R228&lt;&gt;"Observed","",T228-U228)</x:f>
        <x:v>20</x:v>
      </x:c>
    </x:row>
    <x:row r="229">
      <x:c r="A229" s="22" t="str">
        <x:v>2022-2026-Copalis-Mocrocks.pdf</x:v>
      </x:c>
      <x:c r="B229" s="26" t="n">
        <x:v>14</x:v>
      </x:c>
      <x:c r="C229" s="22" t="str">
        <x:v>P14</x:v>
      </x:c>
      <x:c r="D229" s="22" t="str">
        <x:v>Copalis Beach</x:v>
      </x:c>
      <x:c r="E229" s="22" t="str">
        <x:v>Ocean City North</x:v>
      </x:c>
      <x:c r="F229" s="24" t="n">
        <x:v>46102</x:v>
      </x:c>
      <x:c r="G229" s="22" t="str">
        <x:v>BB</x:v>
      </x:c>
      <x:c r="H229" s="26" t="n">
        <x:v>6</x:v>
      </x:c>
      <x:c r="I229" s="22" t="str">
        <x:v>15-minute interval</x:v>
      </x:c>
      <x:c r="J229" s="22" t="str">
        <x:v>0643</x:v>
      </x:c>
      <x:c r="K229" s="22" t="str">
        <x:v>0658</x:v>
      </x:c>
      <x:c r="L229" s="22" t="str">
        <x:v>2:00</x:v>
      </x:c>
      <x:c r="M229" s="22" t="str">
        <x:v>1:45</x:v>
      </x:c>
      <x:c r="N229" s="22" t="str">
        <x:v>37</x:v>
      </x:c>
      <x:c r="O229" s="26" t="n">
        <x:v>37</x:v>
      </x:c>
      <x:c r="P229" s="22" t="str">
        <x:v>2</x:v>
      </x:c>
      <x:c r="Q229" s="26" t="n">
        <x:v>2</x:v>
      </x:c>
      <x:c r="R229" s="22" t="str">
        <x:v>Observed</x:v>
      </x:c>
      <x:c r="S229" s="22" t="str"/>
      <x:c r="T229" s="26" t="n">
        <x:f>IF(R229&lt;&gt;"Observed","",SUMIFS($O$3:O229,$C$3:C229,C229,$R$3:R229,"Observed"))</x:f>
        <x:v>58</x:v>
      </x:c>
      <x:c r="U229" s="26" t="n">
        <x:f>IF(R229&lt;&gt;"Observed","",SUMIFS($Q$3:Q229,$C$3:C229,C229,$R$3:R229,"Observed"))</x:f>
        <x:v>3</x:v>
      </x:c>
      <x:c r="V229" s="26" t="n">
        <x:f>IF(R229&lt;&gt;"Observed","",T229-U229)</x:f>
        <x:v>55</x:v>
      </x:c>
    </x:row>
    <x:row r="230">
      <x:c r="A230" s="22" t="str">
        <x:v>2022-2026-Copalis-Mocrocks.pdf</x:v>
      </x:c>
      <x:c r="B230" s="26" t="n">
        <x:v>14</x:v>
      </x:c>
      <x:c r="C230" s="22" t="str">
        <x:v>P14</x:v>
      </x:c>
      <x:c r="D230" s="22" t="str">
        <x:v>Copalis Beach</x:v>
      </x:c>
      <x:c r="E230" s="22" t="str">
        <x:v>Ocean City North</x:v>
      </x:c>
      <x:c r="F230" s="24" t="n">
        <x:v>46102</x:v>
      </x:c>
      <x:c r="G230" s="22" t="str">
        <x:v>BB</x:v>
      </x:c>
      <x:c r="H230" s="26" t="n">
        <x:v>7</x:v>
      </x:c>
      <x:c r="I230" s="22" t="str">
        <x:v>15-minute interval</x:v>
      </x:c>
      <x:c r="J230" s="22" t="str">
        <x:v>0658</x:v>
      </x:c>
      <x:c r="K230" s="22" t="str">
        <x:v>0713</x:v>
      </x:c>
      <x:c r="L230" s="22" t="str">
        <x:v>1:45</x:v>
      </x:c>
      <x:c r="M230" s="22" t="str">
        <x:v>1:30</x:v>
      </x:c>
      <x:c r="N230" s="22" t="str">
        <x:v>55</x:v>
      </x:c>
      <x:c r="O230" s="26" t="n">
        <x:v>55</x:v>
      </x:c>
      <x:c r="P230" s="22" t="str">
        <x:v>2</x:v>
      </x:c>
      <x:c r="Q230" s="26" t="n">
        <x:v>2</x:v>
      </x:c>
      <x:c r="R230" s="22" t="str">
        <x:v>Observed</x:v>
      </x:c>
      <x:c r="S230" s="22" t="str"/>
      <x:c r="T230" s="26" t="n">
        <x:f>IF(R230&lt;&gt;"Observed","",SUMIFS($O$3:O230,$C$3:C230,C230,$R$3:R230,"Observed"))</x:f>
        <x:v>113</x:v>
      </x:c>
      <x:c r="U230" s="26" t="n">
        <x:f>IF(R230&lt;&gt;"Observed","",SUMIFS($Q$3:Q230,$C$3:C230,C230,$R$3:R230,"Observed"))</x:f>
        <x:v>5</x:v>
      </x:c>
      <x:c r="V230" s="26" t="n">
        <x:f>IF(R230&lt;&gt;"Observed","",T230-U230)</x:f>
        <x:v>108</x:v>
      </x:c>
    </x:row>
    <x:row r="231">
      <x:c r="A231" s="22" t="str">
        <x:v>2022-2026-Copalis-Mocrocks.pdf</x:v>
      </x:c>
      <x:c r="B231" s="26" t="n">
        <x:v>14</x:v>
      </x:c>
      <x:c r="C231" s="22" t="str">
        <x:v>P14</x:v>
      </x:c>
      <x:c r="D231" s="22" t="str">
        <x:v>Copalis Beach</x:v>
      </x:c>
      <x:c r="E231" s="22" t="str">
        <x:v>Ocean City North</x:v>
      </x:c>
      <x:c r="F231" s="24" t="n">
        <x:v>46102</x:v>
      </x:c>
      <x:c r="G231" s="22" t="str">
        <x:v>BB</x:v>
      </x:c>
      <x:c r="H231" s="26" t="n">
        <x:v>8</x:v>
      </x:c>
      <x:c r="I231" s="22" t="str">
        <x:v>15-minute interval</x:v>
      </x:c>
      <x:c r="J231" s="22" t="str">
        <x:v>0713</x:v>
      </x:c>
      <x:c r="K231" s="22" t="str">
        <x:v>0728</x:v>
      </x:c>
      <x:c r="L231" s="22" t="str">
        <x:v>1:30</x:v>
      </x:c>
      <x:c r="M231" s="22" t="str">
        <x:v>1:15</x:v>
      </x:c>
      <x:c r="N231" s="22" t="str">
        <x:v>76</x:v>
      </x:c>
      <x:c r="O231" s="26" t="n">
        <x:v>76</x:v>
      </x:c>
      <x:c r="P231" s="22" t="str">
        <x:v>2</x:v>
      </x:c>
      <x:c r="Q231" s="26" t="n">
        <x:v>2</x:v>
      </x:c>
      <x:c r="R231" s="22" t="str">
        <x:v>Observed</x:v>
      </x:c>
      <x:c r="S231" s="22" t="str"/>
      <x:c r="T231" s="26" t="n">
        <x:f>IF(R231&lt;&gt;"Observed","",SUMIFS($O$3:O231,$C$3:C231,C231,$R$3:R231,"Observed"))</x:f>
        <x:v>189</x:v>
      </x:c>
      <x:c r="U231" s="26" t="n">
        <x:f>IF(R231&lt;&gt;"Observed","",SUMIFS($Q$3:Q231,$C$3:C231,C231,$R$3:R231,"Observed"))</x:f>
        <x:v>7</x:v>
      </x:c>
      <x:c r="V231" s="26" t="n">
        <x:f>IF(R231&lt;&gt;"Observed","",T231-U231)</x:f>
        <x:v>182</x:v>
      </x:c>
    </x:row>
    <x:row r="232">
      <x:c r="A232" s="22" t="str">
        <x:v>2022-2026-Copalis-Mocrocks.pdf</x:v>
      </x:c>
      <x:c r="B232" s="26" t="n">
        <x:v>14</x:v>
      </x:c>
      <x:c r="C232" s="22" t="str">
        <x:v>P14</x:v>
      </x:c>
      <x:c r="D232" s="22" t="str">
        <x:v>Copalis Beach</x:v>
      </x:c>
      <x:c r="E232" s="22" t="str">
        <x:v>Ocean City North</x:v>
      </x:c>
      <x:c r="F232" s="24" t="n">
        <x:v>46102</x:v>
      </x:c>
      <x:c r="G232" s="22" t="str">
        <x:v>BB</x:v>
      </x:c>
      <x:c r="H232" s="26" t="n">
        <x:v>9</x:v>
      </x:c>
      <x:c r="I232" s="22" t="str">
        <x:v>15-minute interval</x:v>
      </x:c>
      <x:c r="J232" s="22" t="str">
        <x:v>0728</x:v>
      </x:c>
      <x:c r="K232" s="22" t="str">
        <x:v>0743</x:v>
      </x:c>
      <x:c r="L232" s="22" t="str">
        <x:v>1:15</x:v>
      </x:c>
      <x:c r="M232" s="22" t="str">
        <x:v>1:00</x:v>
      </x:c>
      <x:c r="N232" s="22" t="str">
        <x:v>61</x:v>
      </x:c>
      <x:c r="O232" s="26" t="n">
        <x:v>61</x:v>
      </x:c>
      <x:c r="P232" s="22" t="str">
        <x:v>3</x:v>
      </x:c>
      <x:c r="Q232" s="26" t="n">
        <x:v>3</x:v>
      </x:c>
      <x:c r="R232" s="22" t="str">
        <x:v>Observed</x:v>
      </x:c>
      <x:c r="S232" s="22" t="str"/>
      <x:c r="T232" s="26" t="n">
        <x:f>IF(R232&lt;&gt;"Observed","",SUMIFS($O$3:O232,$C$3:C232,C232,$R$3:R232,"Observed"))</x:f>
        <x:v>250</x:v>
      </x:c>
      <x:c r="U232" s="26" t="n">
        <x:f>IF(R232&lt;&gt;"Observed","",SUMIFS($Q$3:Q232,$C$3:C232,C232,$R$3:R232,"Observed"))</x:f>
        <x:v>10</x:v>
      </x:c>
      <x:c r="V232" s="26" t="n">
        <x:f>IF(R232&lt;&gt;"Observed","",T232-U232)</x:f>
        <x:v>240</x:v>
      </x:c>
    </x:row>
    <x:row r="233">
      <x:c r="A233" s="22" t="str">
        <x:v>2022-2026-Copalis-Mocrocks.pdf</x:v>
      </x:c>
      <x:c r="B233" s="26" t="n">
        <x:v>14</x:v>
      </x:c>
      <x:c r="C233" s="22" t="str">
        <x:v>P14</x:v>
      </x:c>
      <x:c r="D233" s="22" t="str">
        <x:v>Copalis Beach</x:v>
      </x:c>
      <x:c r="E233" s="22" t="str">
        <x:v>Ocean City North</x:v>
      </x:c>
      <x:c r="F233" s="24" t="n">
        <x:v>46102</x:v>
      </x:c>
      <x:c r="G233" s="22" t="str">
        <x:v>BB</x:v>
      </x:c>
      <x:c r="H233" s="26" t="n">
        <x:v>10</x:v>
      </x:c>
      <x:c r="I233" s="22" t="str">
        <x:v>15-minute interval</x:v>
      </x:c>
      <x:c r="J233" s="22" t="str">
        <x:v>0743</x:v>
      </x:c>
      <x:c r="K233" s="22" t="str">
        <x:v>0758</x:v>
      </x:c>
      <x:c r="L233" s="22" t="str">
        <x:v>1:00</x:v>
      </x:c>
      <x:c r="M233" s="22" t="str">
        <x:v>0:45</x:v>
      </x:c>
      <x:c r="N233" s="22" t="str">
        <x:v>30</x:v>
      </x:c>
      <x:c r="O233" s="26" t="n">
        <x:v>30</x:v>
      </x:c>
      <x:c r="P233" s="22" t="str">
        <x:v>12</x:v>
      </x:c>
      <x:c r="Q233" s="26" t="n">
        <x:v>12</x:v>
      </x:c>
      <x:c r="R233" s="22" t="str">
        <x:v>Observed</x:v>
      </x:c>
      <x:c r="S233" s="22" t="str"/>
      <x:c r="T233" s="26" t="n">
        <x:f>IF(R233&lt;&gt;"Observed","",SUMIFS($O$3:O233,$C$3:C233,C233,$R$3:R233,"Observed"))</x:f>
        <x:v>280</x:v>
      </x:c>
      <x:c r="U233" s="26" t="n">
        <x:f>IF(R233&lt;&gt;"Observed","",SUMIFS($Q$3:Q233,$C$3:C233,C233,$R$3:R233,"Observed"))</x:f>
        <x:v>22</x:v>
      </x:c>
      <x:c r="V233" s="26" t="n">
        <x:f>IF(R233&lt;&gt;"Observed","",T233-U233)</x:f>
        <x:v>258</x:v>
      </x:c>
    </x:row>
    <x:row r="234">
      <x:c r="A234" s="22" t="str">
        <x:v>2022-2026-Copalis-Mocrocks.pdf</x:v>
      </x:c>
      <x:c r="B234" s="26" t="n">
        <x:v>14</x:v>
      </x:c>
      <x:c r="C234" s="22" t="str">
        <x:v>P14</x:v>
      </x:c>
      <x:c r="D234" s="22" t="str">
        <x:v>Copalis Beach</x:v>
      </x:c>
      <x:c r="E234" s="22" t="str">
        <x:v>Ocean City North</x:v>
      </x:c>
      <x:c r="F234" s="24" t="n">
        <x:v>46102</x:v>
      </x:c>
      <x:c r="G234" s="22" t="str">
        <x:v>BB</x:v>
      </x:c>
      <x:c r="H234" s="26" t="n">
        <x:v>11</x:v>
      </x:c>
      <x:c r="I234" s="22" t="str">
        <x:v>15-minute interval</x:v>
      </x:c>
      <x:c r="J234" s="22" t="str">
        <x:v>0758</x:v>
      </x:c>
      <x:c r="K234" s="22" t="str">
        <x:v>0813</x:v>
      </x:c>
      <x:c r="L234" s="22" t="str">
        <x:v>0:45</x:v>
      </x:c>
      <x:c r="M234" s="22" t="str">
        <x:v>0:30</x:v>
      </x:c>
      <x:c r="N234" s="22" t="str">
        <x:v>24</x:v>
      </x:c>
      <x:c r="O234" s="26" t="n">
        <x:v>24</x:v>
      </x:c>
      <x:c r="P234" s="22" t="str">
        <x:v>16</x:v>
      </x:c>
      <x:c r="Q234" s="26" t="n">
        <x:v>16</x:v>
      </x:c>
      <x:c r="R234" s="22" t="str">
        <x:v>Observed</x:v>
      </x:c>
      <x:c r="S234" s="22" t="str"/>
      <x:c r="T234" s="26" t="n">
        <x:f>IF(R234&lt;&gt;"Observed","",SUMIFS($O$3:O234,$C$3:C234,C234,$R$3:R234,"Observed"))</x:f>
        <x:v>304</x:v>
      </x:c>
      <x:c r="U234" s="26" t="n">
        <x:f>IF(R234&lt;&gt;"Observed","",SUMIFS($Q$3:Q234,$C$3:C234,C234,$R$3:R234,"Observed"))</x:f>
        <x:v>38</x:v>
      </x:c>
      <x:c r="V234" s="26" t="n">
        <x:f>IF(R234&lt;&gt;"Observed","",T234-U234)</x:f>
        <x:v>266</x:v>
      </x:c>
    </x:row>
    <x:row r="235">
      <x:c r="A235" s="22" t="str">
        <x:v>2022-2026-Copalis-Mocrocks.pdf</x:v>
      </x:c>
      <x:c r="B235" s="26" t="n">
        <x:v>14</x:v>
      </x:c>
      <x:c r="C235" s="22" t="str">
        <x:v>P14</x:v>
      </x:c>
      <x:c r="D235" s="22" t="str">
        <x:v>Copalis Beach</x:v>
      </x:c>
      <x:c r="E235" s="22" t="str">
        <x:v>Ocean City North</x:v>
      </x:c>
      <x:c r="F235" s="24" t="n">
        <x:v>46102</x:v>
      </x:c>
      <x:c r="G235" s="22" t="str">
        <x:v>BB</x:v>
      </x:c>
      <x:c r="H235" s="26" t="n">
        <x:v>12</x:v>
      </x:c>
      <x:c r="I235" s="22" t="str">
        <x:v>15-minute interval</x:v>
      </x:c>
      <x:c r="J235" s="22" t="str">
        <x:v>0813</x:v>
      </x:c>
      <x:c r="K235" s="22" t="str">
        <x:v>0828</x:v>
      </x:c>
      <x:c r="L235" s="22" t="str">
        <x:v>0:30</x:v>
      </x:c>
      <x:c r="M235" s="22" t="str">
        <x:v>0:15</x:v>
      </x:c>
      <x:c r="N235" s="22" t="str">
        <x:v>21</x:v>
      </x:c>
      <x:c r="O235" s="26" t="n">
        <x:v>21</x:v>
      </x:c>
      <x:c r="P235" s="22" t="str">
        <x:v>29</x:v>
      </x:c>
      <x:c r="Q235" s="26" t="n">
        <x:v>29</x:v>
      </x:c>
      <x:c r="R235" s="22" t="str">
        <x:v>Observed</x:v>
      </x:c>
      <x:c r="S235" s="22" t="str"/>
      <x:c r="T235" s="26" t="n">
        <x:f>IF(R235&lt;&gt;"Observed","",SUMIFS($O$3:O235,$C$3:C235,C235,$R$3:R235,"Observed"))</x:f>
        <x:v>325</x:v>
      </x:c>
      <x:c r="U235" s="26" t="n">
        <x:f>IF(R235&lt;&gt;"Observed","",SUMIFS($Q$3:Q235,$C$3:C235,C235,$R$3:R235,"Observed"))</x:f>
        <x:v>67</x:v>
      </x:c>
      <x:c r="V235" s="26" t="n">
        <x:f>IF(R235&lt;&gt;"Observed","",T235-U235)</x:f>
        <x:v>258</x:v>
      </x:c>
    </x:row>
    <x:row r="236">
      <x:c r="A236" s="22" t="str">
        <x:v>2022-2026-Copalis-Mocrocks.pdf</x:v>
      </x:c>
      <x:c r="B236" s="26" t="n">
        <x:v>14</x:v>
      </x:c>
      <x:c r="C236" s="22" t="str">
        <x:v>P14</x:v>
      </x:c>
      <x:c r="D236" s="22" t="str">
        <x:v>Copalis Beach</x:v>
      </x:c>
      <x:c r="E236" s="22" t="str">
        <x:v>Ocean City North</x:v>
      </x:c>
      <x:c r="F236" s="24" t="n">
        <x:v>46102</x:v>
      </x:c>
      <x:c r="G236" s="22" t="str">
        <x:v>BB</x:v>
      </x:c>
      <x:c r="H236" s="26" t="n">
        <x:v>13</x:v>
      </x:c>
      <x:c r="I236" s="22" t="str">
        <x:v>15-minute interval</x:v>
      </x:c>
      <x:c r="J236" s="22" t="str">
        <x:v>0828</x:v>
      </x:c>
      <x:c r="K236" s="22" t="str">
        <x:v>0843</x:v>
      </x:c>
      <x:c r="L236" s="22" t="str">
        <x:v>0:15</x:v>
      </x:c>
      <x:c r="M236" s="22" t="str">
        <x:v>0:00</x:v>
      </x:c>
      <x:c r="N236" s="22" t="str">
        <x:v>17</x:v>
      </x:c>
      <x:c r="O236" s="26" t="n">
        <x:v>17</x:v>
      </x:c>
      <x:c r="P236" s="22" t="str">
        <x:v>51</x:v>
      </x:c>
      <x:c r="Q236" s="26" t="n">
        <x:v>51</x:v>
      </x:c>
      <x:c r="R236" s="22" t="str">
        <x:v>Observed</x:v>
      </x:c>
      <x:c r="S236" s="22" t="str"/>
      <x:c r="T236" s="26" t="n">
        <x:f>IF(R236&lt;&gt;"Observed","",SUMIFS($O$3:O236,$C$3:C236,C236,$R$3:R236,"Observed"))</x:f>
        <x:v>342</x:v>
      </x:c>
      <x:c r="U236" s="26" t="n">
        <x:f>IF(R236&lt;&gt;"Observed","",SUMIFS($Q$3:Q236,$C$3:C236,C236,$R$3:R236,"Observed"))</x:f>
        <x:v>118</x:v>
      </x:c>
      <x:c r="V236" s="26" t="n">
        <x:f>IF(R236&lt;&gt;"Observed","",T236-U236)</x:f>
        <x:v>224</x:v>
      </x:c>
    </x:row>
    <x:row r="237">
      <x:c r="A237" s="22" t="str">
        <x:v>2022-2026-Copalis-Mocrocks.pdf</x:v>
      </x:c>
      <x:c r="B237" s="26" t="n">
        <x:v>14</x:v>
      </x:c>
      <x:c r="C237" s="22" t="str">
        <x:v>P14</x:v>
      </x:c>
      <x:c r="D237" s="22" t="str">
        <x:v>Copalis Beach</x:v>
      </x:c>
      <x:c r="E237" s="22" t="str">
        <x:v>Ocean City North</x:v>
      </x:c>
      <x:c r="F237" s="24" t="n">
        <x:v>46102</x:v>
      </x:c>
      <x:c r="G237" s="22" t="str">
        <x:v>BB</x:v>
      </x:c>
      <x:c r="H237" s="26" t="n">
        <x:v>14</x:v>
      </x:c>
      <x:c r="I237" s="22" t="str">
        <x:v>15-minute interval</x:v>
      </x:c>
      <x:c r="J237" s="22" t="str">
        <x:v>0843</x:v>
      </x:c>
      <x:c r="K237" s="22" t="str">
        <x:v>0858</x:v>
      </x:c>
      <x:c r="L237" s="22" t="str">
        <x:v>0:00</x:v>
      </x:c>
      <x:c r="M237" s="22" t="str">
        <x:v>0:15</x:v>
      </x:c>
      <x:c r="N237" s="22" t="str">
        <x:v>5</x:v>
      </x:c>
      <x:c r="O237" s="26" t="n">
        <x:v>5</x:v>
      </x:c>
      <x:c r="P237" s="22" t="str">
        <x:v>39</x:v>
      </x:c>
      <x:c r="Q237" s="26" t="n">
        <x:v>39</x:v>
      </x:c>
      <x:c r="R237" s="22" t="str">
        <x:v>Observed</x:v>
      </x:c>
      <x:c r="S237" s="22" t="str"/>
      <x:c r="T237" s="26" t="n">
        <x:f>IF(R237&lt;&gt;"Observed","",SUMIFS($O$3:O237,$C$3:C237,C237,$R$3:R237,"Observed"))</x:f>
        <x:v>347</x:v>
      </x:c>
      <x:c r="U237" s="26" t="n">
        <x:f>IF(R237&lt;&gt;"Observed","",SUMIFS($Q$3:Q237,$C$3:C237,C237,$R$3:R237,"Observed"))</x:f>
        <x:v>157</x:v>
      </x:c>
      <x:c r="V237" s="26" t="n">
        <x:f>IF(R237&lt;&gt;"Observed","",T237-U237)</x:f>
        <x:v>190</x:v>
      </x:c>
    </x:row>
    <x:row r="238">
      <x:c r="A238" s="22" t="str">
        <x:v>2022-2026-Copalis-Mocrocks.pdf</x:v>
      </x:c>
      <x:c r="B238" s="26" t="n">
        <x:v>14</x:v>
      </x:c>
      <x:c r="C238" s="22" t="str">
        <x:v>P14</x:v>
      </x:c>
      <x:c r="D238" s="22" t="str">
        <x:v>Copalis Beach</x:v>
      </x:c>
      <x:c r="E238" s="22" t="str">
        <x:v>Ocean City North</x:v>
      </x:c>
      <x:c r="F238" s="24" t="n">
        <x:v>46102</x:v>
      </x:c>
      <x:c r="G238" s="22" t="str">
        <x:v>BB</x:v>
      </x:c>
      <x:c r="H238" s="26" t="n">
        <x:v>15</x:v>
      </x:c>
      <x:c r="I238" s="22" t="str">
        <x:v>15-minute interval</x:v>
      </x:c>
      <x:c r="J238" s="22" t="str">
        <x:v>0858</x:v>
      </x:c>
      <x:c r="K238" s="22" t="str">
        <x:v>0913</x:v>
      </x:c>
      <x:c r="L238" s="22" t="str">
        <x:v>0:15</x:v>
      </x:c>
      <x:c r="M238" s="22" t="str">
        <x:v>0:30</x:v>
      </x:c>
      <x:c r="N238" s="22" t="str">
        <x:v>5</x:v>
      </x:c>
      <x:c r="O238" s="26" t="n">
        <x:v>5</x:v>
      </x:c>
      <x:c r="P238" s="22" t="str">
        <x:v>30</x:v>
      </x:c>
      <x:c r="Q238" s="26" t="n">
        <x:v>30</x:v>
      </x:c>
      <x:c r="R238" s="22" t="str">
        <x:v>Observed</x:v>
      </x:c>
      <x:c r="S238" s="22" t="str"/>
      <x:c r="T238" s="26" t="n">
        <x:f>IF(R238&lt;&gt;"Observed","",SUMIFS($O$3:O238,$C$3:C238,C238,$R$3:R238,"Observed"))</x:f>
        <x:v>352</x:v>
      </x:c>
      <x:c r="U238" s="26" t="n">
        <x:f>IF(R238&lt;&gt;"Observed","",SUMIFS($Q$3:Q238,$C$3:C238,C238,$R$3:R238,"Observed"))</x:f>
        <x:v>187</x:v>
      </x:c>
      <x:c r="V238" s="26" t="n">
        <x:f>IF(R238&lt;&gt;"Observed","",T238-U238)</x:f>
        <x:v>165</x:v>
      </x:c>
    </x:row>
    <x:row r="239">
      <x:c r="A239" s="22" t="str">
        <x:v>2022-2026-Copalis-Mocrocks.pdf</x:v>
      </x:c>
      <x:c r="B239" s="26" t="n">
        <x:v>14</x:v>
      </x:c>
      <x:c r="C239" s="22" t="str">
        <x:v>P14</x:v>
      </x:c>
      <x:c r="D239" s="22" t="str">
        <x:v>Copalis Beach</x:v>
      </x:c>
      <x:c r="E239" s="22" t="str">
        <x:v>Ocean City North</x:v>
      </x:c>
      <x:c r="F239" s="24" t="n">
        <x:v>46102</x:v>
      </x:c>
      <x:c r="G239" s="22" t="str">
        <x:v>BB</x:v>
      </x:c>
      <x:c r="H239" s="26" t="n">
        <x:v>16</x:v>
      </x:c>
      <x:c r="I239" s="22" t="str">
        <x:v>15-minute interval</x:v>
      </x:c>
      <x:c r="J239" s="22" t="str">
        <x:v>0913</x:v>
      </x:c>
      <x:c r="K239" s="22" t="str">
        <x:v>0928</x:v>
      </x:c>
      <x:c r="L239" s="22" t="str">
        <x:v>0:30</x:v>
      </x:c>
      <x:c r="M239" s="22" t="str">
        <x:v>0:45</x:v>
      </x:c>
      <x:c r="N239" s="22" t="str">
        <x:v>9</x:v>
      </x:c>
      <x:c r="O239" s="26" t="n">
        <x:v>9</x:v>
      </x:c>
      <x:c r="P239" s="22" t="str">
        <x:v>27</x:v>
      </x:c>
      <x:c r="Q239" s="26" t="n">
        <x:v>27</x:v>
      </x:c>
      <x:c r="R239" s="22" t="str">
        <x:v>Observed</x:v>
      </x:c>
      <x:c r="S239" s="22" t="str"/>
      <x:c r="T239" s="26" t="n">
        <x:f>IF(R239&lt;&gt;"Observed","",SUMIFS($O$3:O239,$C$3:C239,C239,$R$3:R239,"Observed"))</x:f>
        <x:v>361</x:v>
      </x:c>
      <x:c r="U239" s="26" t="n">
        <x:f>IF(R239&lt;&gt;"Observed","",SUMIFS($Q$3:Q239,$C$3:C239,C239,$R$3:R239,"Observed"))</x:f>
        <x:v>214</x:v>
      </x:c>
      <x:c r="V239" s="26" t="n">
        <x:f>IF(R239&lt;&gt;"Observed","",T239-U239)</x:f>
        <x:v>147</x:v>
      </x:c>
    </x:row>
    <x:row r="240">
      <x:c r="A240" s="22" t="str">
        <x:v>2022-2026-Copalis-Mocrocks.pdf</x:v>
      </x:c>
      <x:c r="B240" s="26" t="n">
        <x:v>14</x:v>
      </x:c>
      <x:c r="C240" s="22" t="str">
        <x:v>P14</x:v>
      </x:c>
      <x:c r="D240" s="22" t="str">
        <x:v>Copalis Beach</x:v>
      </x:c>
      <x:c r="E240" s="22" t="str">
        <x:v>Ocean City North</x:v>
      </x:c>
      <x:c r="F240" s="24" t="n">
        <x:v>46102</x:v>
      </x:c>
      <x:c r="G240" s="22" t="str">
        <x:v>BB</x:v>
      </x:c>
      <x:c r="H240" s="26" t="n">
        <x:v>17</x:v>
      </x:c>
      <x:c r="I240" s="22" t="str">
        <x:v>15-minute interval</x:v>
      </x:c>
      <x:c r="J240" s="22" t="str">
        <x:v>0928</x:v>
      </x:c>
      <x:c r="K240" s="22" t="str">
        <x:v>0943</x:v>
      </x:c>
      <x:c r="L240" s="22" t="str">
        <x:v>0:45</x:v>
      </x:c>
      <x:c r="M240" s="22" t="str">
        <x:v>1:00</x:v>
      </x:c>
      <x:c r="N240" s="22" t="str">
        <x:v>7</x:v>
      </x:c>
      <x:c r="O240" s="26" t="n">
        <x:v>7</x:v>
      </x:c>
      <x:c r="P240" s="22" t="str">
        <x:v>27</x:v>
      </x:c>
      <x:c r="Q240" s="26" t="n">
        <x:v>27</x:v>
      </x:c>
      <x:c r="R240" s="22" t="str">
        <x:v>Observed</x:v>
      </x:c>
      <x:c r="S240" s="22" t="str"/>
      <x:c r="T240" s="26" t="n">
        <x:f>IF(R240&lt;&gt;"Observed","",SUMIFS($O$3:O240,$C$3:C240,C240,$R$3:R240,"Observed"))</x:f>
        <x:v>368</x:v>
      </x:c>
      <x:c r="U240" s="26" t="n">
        <x:f>IF(R240&lt;&gt;"Observed","",SUMIFS($Q$3:Q240,$C$3:C240,C240,$R$3:R240,"Observed"))</x:f>
        <x:v>241</x:v>
      </x:c>
      <x:c r="V240" s="26" t="n">
        <x:f>IF(R240&lt;&gt;"Observed","",T240-U240)</x:f>
        <x:v>127</x:v>
      </x:c>
    </x:row>
    <x:row r="241">
      <x:c r="A241" s="22" t="str">
        <x:v>2022-2026-Copalis-Mocrocks.pdf</x:v>
      </x:c>
      <x:c r="B241" s="26" t="n">
        <x:v>15</x:v>
      </x:c>
      <x:c r="C241" s="22" t="str">
        <x:v>P15</x:v>
      </x:c>
      <x:c r="D241" s="22" t="str">
        <x:v>Mocrocks Beach</x:v>
      </x:c>
      <x:c r="E241" s="22" t="str">
        <x:v>Roosevelt Beach Rd. South</x:v>
      </x:c>
      <x:c r="F241" s="24" t="n">
        <x:v>46145</x:v>
      </x:c>
      <x:c r="G241" s="22" t="str">
        <x:v>Bryce</x:v>
      </x:c>
      <x:c r="H241" s="26" t="n">
        <x:v>1</x:v>
      </x:c>
      <x:c r="I241" s="22" t="str">
        <x:v>Prior to Start</x:v>
      </x:c>
      <x:c r="J241" s="22" t="str">
        <x:v>Prior to Start</x:v>
      </x:c>
      <x:c r="K241" s="22" t="str"/>
      <x:c r="L241" s="22" t="str">
        <x:v>to Start</x:v>
      </x:c>
      <x:c r="M241" s="22" t="str"/>
      <x:c r="N241" s="22" t="str">
        <x:v>2</x:v>
      </x:c>
      <x:c r="O241" s="26" t="n">
        <x:v>2</x:v>
      </x:c>
      <x:c r="P241" s="22" t="str">
        <x:v>0</x:v>
      </x:c>
      <x:c r="Q241" s="26" t="n">
        <x:v>0</x:v>
      </x:c>
      <x:c r="R241" s="22" t="str">
        <x:v>Observed</x:v>
      </x:c>
      <x:c r="S241" s="22" t="str"/>
      <x:c r="T241" s="26" t="n">
        <x:f>IF(R241&lt;&gt;"Observed","",SUMIFS($O$3:O241,$C$3:C241,C241,$R$3:R241,"Observed"))</x:f>
        <x:v>2</x:v>
      </x:c>
      <x:c r="U241" s="26" t="n">
        <x:f>IF(R241&lt;&gt;"Observed","",SUMIFS($Q$3:Q241,$C$3:C241,C241,$R$3:R241,"Observed"))</x:f>
        <x:v>0</x:v>
      </x:c>
      <x:c r="V241" s="26" t="n">
        <x:f>IF(R241&lt;&gt;"Observed","",T241-U241)</x:f>
        <x:v>2</x:v>
      </x:c>
    </x:row>
    <x:row r="242">
      <x:c r="A242" s="22" t="str">
        <x:v>2022-2026-Copalis-Mocrocks.pdf</x:v>
      </x:c>
      <x:c r="B242" s="26" t="n">
        <x:v>15</x:v>
      </x:c>
      <x:c r="C242" s="22" t="str">
        <x:v>P15</x:v>
      </x:c>
      <x:c r="D242" s="22" t="str">
        <x:v>Mocrocks Beach</x:v>
      </x:c>
      <x:c r="E242" s="22" t="str">
        <x:v>Roosevelt Beach Rd. South</x:v>
      </x:c>
      <x:c r="F242" s="24" t="n">
        <x:v>46145</x:v>
      </x:c>
      <x:c r="G242" s="22" t="str">
        <x:v>Bryce</x:v>
      </x:c>
      <x:c r="H242" s="26" t="n">
        <x:v>2</x:v>
      </x:c>
      <x:c r="I242" s="22" t="str">
        <x:v>15-minute interval</x:v>
      </x:c>
      <x:c r="J242" s="22" t="str">
        <x:v>0508</x:v>
      </x:c>
      <x:c r="K242" s="22" t="str">
        <x:v>0523</x:v>
      </x:c>
      <x:c r="L242" s="22" t="str">
        <x:v>3:00</x:v>
      </x:c>
      <x:c r="M242" s="22" t="str">
        <x:v>2:45</x:v>
      </x:c>
      <x:c r="N242" s="22" t="str">
        <x:v>2</x:v>
      </x:c>
      <x:c r="O242" s="26" t="n">
        <x:v>2</x:v>
      </x:c>
      <x:c r="P242" s="22" t="str">
        <x:v>0</x:v>
      </x:c>
      <x:c r="Q242" s="26" t="n">
        <x:v>0</x:v>
      </x:c>
      <x:c r="R242" s="22" t="str">
        <x:v>Observed</x:v>
      </x:c>
      <x:c r="S242" s="22" t="str"/>
      <x:c r="T242" s="26" t="n">
        <x:f>IF(R242&lt;&gt;"Observed","",SUMIFS($O$3:O242,$C$3:C242,C242,$R$3:R242,"Observed"))</x:f>
        <x:v>4</x:v>
      </x:c>
      <x:c r="U242" s="26" t="n">
        <x:f>IF(R242&lt;&gt;"Observed","",SUMIFS($Q$3:Q242,$C$3:C242,C242,$R$3:R242,"Observed"))</x:f>
        <x:v>0</x:v>
      </x:c>
      <x:c r="V242" s="26" t="n">
        <x:f>IF(R242&lt;&gt;"Observed","",T242-U242)</x:f>
        <x:v>4</x:v>
      </x:c>
    </x:row>
    <x:row r="243">
      <x:c r="A243" s="22" t="str">
        <x:v>2022-2026-Copalis-Mocrocks.pdf</x:v>
      </x:c>
      <x:c r="B243" s="26" t="n">
        <x:v>15</x:v>
      </x:c>
      <x:c r="C243" s="22" t="str">
        <x:v>P15</x:v>
      </x:c>
      <x:c r="D243" s="22" t="str">
        <x:v>Mocrocks Beach</x:v>
      </x:c>
      <x:c r="E243" s="22" t="str">
        <x:v>Roosevelt Beach Rd. South</x:v>
      </x:c>
      <x:c r="F243" s="24" t="n">
        <x:v>46145</x:v>
      </x:c>
      <x:c r="G243" s="22" t="str">
        <x:v>Bryce</x:v>
      </x:c>
      <x:c r="H243" s="26" t="n">
        <x:v>3</x:v>
      </x:c>
      <x:c r="I243" s="22" t="str">
        <x:v>15-minute interval</x:v>
      </x:c>
      <x:c r="J243" s="22" t="str">
        <x:v>0523</x:v>
      </x:c>
      <x:c r="K243" s="22" t="str">
        <x:v>0538</x:v>
      </x:c>
      <x:c r="L243" s="22" t="str">
        <x:v>2:45</x:v>
      </x:c>
      <x:c r="M243" s="22" t="str">
        <x:v>2:30</x:v>
      </x:c>
      <x:c r="N243" s="22" t="str">
        <x:v>5</x:v>
      </x:c>
      <x:c r="O243" s="26" t="n">
        <x:v>5</x:v>
      </x:c>
      <x:c r="P243" s="22" t="str">
        <x:v>0</x:v>
      </x:c>
      <x:c r="Q243" s="26" t="n">
        <x:v>0</x:v>
      </x:c>
      <x:c r="R243" s="22" t="str">
        <x:v>Observed</x:v>
      </x:c>
      <x:c r="S243" s="22" t="str"/>
      <x:c r="T243" s="26" t="n">
        <x:f>IF(R243&lt;&gt;"Observed","",SUMIFS($O$3:O243,$C$3:C243,C243,$R$3:R243,"Observed"))</x:f>
        <x:v>9</x:v>
      </x:c>
      <x:c r="U243" s="26" t="n">
        <x:f>IF(R243&lt;&gt;"Observed","",SUMIFS($Q$3:Q243,$C$3:C243,C243,$R$3:R243,"Observed"))</x:f>
        <x:v>0</x:v>
      </x:c>
      <x:c r="V243" s="26" t="n">
        <x:f>IF(R243&lt;&gt;"Observed","",T243-U243)</x:f>
        <x:v>9</x:v>
      </x:c>
    </x:row>
    <x:row r="244">
      <x:c r="A244" s="22" t="str">
        <x:v>2022-2026-Copalis-Mocrocks.pdf</x:v>
      </x:c>
      <x:c r="B244" s="26" t="n">
        <x:v>15</x:v>
      </x:c>
      <x:c r="C244" s="22" t="str">
        <x:v>P15</x:v>
      </x:c>
      <x:c r="D244" s="22" t="str">
        <x:v>Mocrocks Beach</x:v>
      </x:c>
      <x:c r="E244" s="22" t="str">
        <x:v>Roosevelt Beach Rd. South</x:v>
      </x:c>
      <x:c r="F244" s="24" t="n">
        <x:v>46145</x:v>
      </x:c>
      <x:c r="G244" s="22" t="str">
        <x:v>Bryce</x:v>
      </x:c>
      <x:c r="H244" s="26" t="n">
        <x:v>4</x:v>
      </x:c>
      <x:c r="I244" s="22" t="str">
        <x:v>15-minute interval</x:v>
      </x:c>
      <x:c r="J244" s="22" t="str">
        <x:v>0538</x:v>
      </x:c>
      <x:c r="K244" s="22" t="str">
        <x:v>0553</x:v>
      </x:c>
      <x:c r="L244" s="22" t="str">
        <x:v>2:30</x:v>
      </x:c>
      <x:c r="M244" s="22" t="str">
        <x:v>2:15</x:v>
      </x:c>
      <x:c r="N244" s="22" t="str">
        <x:v>10</x:v>
      </x:c>
      <x:c r="O244" s="26" t="n">
        <x:v>10</x:v>
      </x:c>
      <x:c r="P244" s="22" t="str">
        <x:v>0</x:v>
      </x:c>
      <x:c r="Q244" s="26" t="n">
        <x:v>0</x:v>
      </x:c>
      <x:c r="R244" s="22" t="str">
        <x:v>Observed</x:v>
      </x:c>
      <x:c r="S244" s="22" t="str"/>
      <x:c r="T244" s="26" t="n">
        <x:f>IF(R244&lt;&gt;"Observed","",SUMIFS($O$3:O244,$C$3:C244,C244,$R$3:R244,"Observed"))</x:f>
        <x:v>19</x:v>
      </x:c>
      <x:c r="U244" s="26" t="n">
        <x:f>IF(R244&lt;&gt;"Observed","",SUMIFS($Q$3:Q244,$C$3:C244,C244,$R$3:R244,"Observed"))</x:f>
        <x:v>0</x:v>
      </x:c>
      <x:c r="V244" s="26" t="n">
        <x:f>IF(R244&lt;&gt;"Observed","",T244-U244)</x:f>
        <x:v>19</x:v>
      </x:c>
    </x:row>
    <x:row r="245">
      <x:c r="A245" s="22" t="str">
        <x:v>2022-2026-Copalis-Mocrocks.pdf</x:v>
      </x:c>
      <x:c r="B245" s="26" t="n">
        <x:v>15</x:v>
      </x:c>
      <x:c r="C245" s="22" t="str">
        <x:v>P15</x:v>
      </x:c>
      <x:c r="D245" s="22" t="str">
        <x:v>Mocrocks Beach</x:v>
      </x:c>
      <x:c r="E245" s="22" t="str">
        <x:v>Roosevelt Beach Rd. South</x:v>
      </x:c>
      <x:c r="F245" s="24" t="n">
        <x:v>46145</x:v>
      </x:c>
      <x:c r="G245" s="22" t="str">
        <x:v>Bryce</x:v>
      </x:c>
      <x:c r="H245" s="26" t="n">
        <x:v>5</x:v>
      </x:c>
      <x:c r="I245" s="22" t="str">
        <x:v>15-minute interval</x:v>
      </x:c>
      <x:c r="J245" s="22" t="str">
        <x:v>0553</x:v>
      </x:c>
      <x:c r="K245" s="22" t="str">
        <x:v>0608</x:v>
      </x:c>
      <x:c r="L245" s="22" t="str">
        <x:v>2:15</x:v>
      </x:c>
      <x:c r="M245" s="22" t="str">
        <x:v>2:00</x:v>
      </x:c>
      <x:c r="N245" s="22" t="str">
        <x:v>20</x:v>
      </x:c>
      <x:c r="O245" s="26" t="n">
        <x:v>20</x:v>
      </x:c>
      <x:c r="P245" s="22" t="str">
        <x:v>0</x:v>
      </x:c>
      <x:c r="Q245" s="26" t="n">
        <x:v>0</x:v>
      </x:c>
      <x:c r="R245" s="22" t="str">
        <x:v>Observed</x:v>
      </x:c>
      <x:c r="S245" s="22" t="str"/>
      <x:c r="T245" s="26" t="n">
        <x:f>IF(R245&lt;&gt;"Observed","",SUMIFS($O$3:O245,$C$3:C245,C245,$R$3:R245,"Observed"))</x:f>
        <x:v>39</x:v>
      </x:c>
      <x:c r="U245" s="26" t="n">
        <x:f>IF(R245&lt;&gt;"Observed","",SUMIFS($Q$3:Q245,$C$3:C245,C245,$R$3:R245,"Observed"))</x:f>
        <x:v>0</x:v>
      </x:c>
      <x:c r="V245" s="26" t="n">
        <x:f>IF(R245&lt;&gt;"Observed","",T245-U245)</x:f>
        <x:v>39</x:v>
      </x:c>
    </x:row>
    <x:row r="246">
      <x:c r="A246" s="22" t="str">
        <x:v>2022-2026-Copalis-Mocrocks.pdf</x:v>
      </x:c>
      <x:c r="B246" s="26" t="n">
        <x:v>15</x:v>
      </x:c>
      <x:c r="C246" s="22" t="str">
        <x:v>P15</x:v>
      </x:c>
      <x:c r="D246" s="22" t="str">
        <x:v>Mocrocks Beach</x:v>
      </x:c>
      <x:c r="E246" s="22" t="str">
        <x:v>Roosevelt Beach Rd. South</x:v>
      </x:c>
      <x:c r="F246" s="24" t="n">
        <x:v>46145</x:v>
      </x:c>
      <x:c r="G246" s="22" t="str">
        <x:v>Bryce</x:v>
      </x:c>
      <x:c r="H246" s="26" t="n">
        <x:v>6</x:v>
      </x:c>
      <x:c r="I246" s="22" t="str">
        <x:v>15-minute interval</x:v>
      </x:c>
      <x:c r="J246" s="22" t="str">
        <x:v>0608</x:v>
      </x:c>
      <x:c r="K246" s="22" t="str">
        <x:v>0623</x:v>
      </x:c>
      <x:c r="L246" s="22" t="str">
        <x:v>2:00</x:v>
      </x:c>
      <x:c r="M246" s="22" t="str">
        <x:v>1:45</x:v>
      </x:c>
      <x:c r="N246" s="22" t="str">
        <x:v>39</x:v>
      </x:c>
      <x:c r="O246" s="26" t="n">
        <x:v>39</x:v>
      </x:c>
      <x:c r="P246" s="22" t="str">
        <x:v>0</x:v>
      </x:c>
      <x:c r="Q246" s="26" t="n">
        <x:v>0</x:v>
      </x:c>
      <x:c r="R246" s="22" t="str">
        <x:v>Observed</x:v>
      </x:c>
      <x:c r="S246" s="22" t="str"/>
      <x:c r="T246" s="26" t="n">
        <x:f>IF(R246&lt;&gt;"Observed","",SUMIFS($O$3:O246,$C$3:C246,C246,$R$3:R246,"Observed"))</x:f>
        <x:v>78</x:v>
      </x:c>
      <x:c r="U246" s="26" t="n">
        <x:f>IF(R246&lt;&gt;"Observed","",SUMIFS($Q$3:Q246,$C$3:C246,C246,$R$3:R246,"Observed"))</x:f>
        <x:v>0</x:v>
      </x:c>
      <x:c r="V246" s="26" t="n">
        <x:f>IF(R246&lt;&gt;"Observed","",T246-U246)</x:f>
        <x:v>78</x:v>
      </x:c>
    </x:row>
    <x:row r="247">
      <x:c r="A247" s="22" t="str">
        <x:v>2022-2026-Copalis-Mocrocks.pdf</x:v>
      </x:c>
      <x:c r="B247" s="26" t="n">
        <x:v>15</x:v>
      </x:c>
      <x:c r="C247" s="22" t="str">
        <x:v>P15</x:v>
      </x:c>
      <x:c r="D247" s="22" t="str">
        <x:v>Mocrocks Beach</x:v>
      </x:c>
      <x:c r="E247" s="22" t="str">
        <x:v>Roosevelt Beach Rd. South</x:v>
      </x:c>
      <x:c r="F247" s="24" t="n">
        <x:v>46145</x:v>
      </x:c>
      <x:c r="G247" s="22" t="str">
        <x:v>Bryce</x:v>
      </x:c>
      <x:c r="H247" s="26" t="n">
        <x:v>7</x:v>
      </x:c>
      <x:c r="I247" s="22" t="str">
        <x:v>15-minute interval</x:v>
      </x:c>
      <x:c r="J247" s="22" t="str">
        <x:v>0623</x:v>
      </x:c>
      <x:c r="K247" s="22" t="str">
        <x:v>0638</x:v>
      </x:c>
      <x:c r="L247" s="22" t="str">
        <x:v>1:45</x:v>
      </x:c>
      <x:c r="M247" s="22" t="str">
        <x:v>1:30</x:v>
      </x:c>
      <x:c r="N247" s="22" t="str">
        <x:v>43</x:v>
      </x:c>
      <x:c r="O247" s="26" t="n">
        <x:v>43</x:v>
      </x:c>
      <x:c r="P247" s="22" t="str">
        <x:v>0</x:v>
      </x:c>
      <x:c r="Q247" s="26" t="n">
        <x:v>0</x:v>
      </x:c>
      <x:c r="R247" s="22" t="str">
        <x:v>Observed</x:v>
      </x:c>
      <x:c r="S247" s="22" t="str"/>
      <x:c r="T247" s="26" t="n">
        <x:f>IF(R247&lt;&gt;"Observed","",SUMIFS($O$3:O247,$C$3:C247,C247,$R$3:R247,"Observed"))</x:f>
        <x:v>121</x:v>
      </x:c>
      <x:c r="U247" s="26" t="n">
        <x:f>IF(R247&lt;&gt;"Observed","",SUMIFS($Q$3:Q247,$C$3:C247,C247,$R$3:R247,"Observed"))</x:f>
        <x:v>0</x:v>
      </x:c>
      <x:c r="V247" s="26" t="n">
        <x:f>IF(R247&lt;&gt;"Observed","",T247-U247)</x:f>
        <x:v>121</x:v>
      </x:c>
    </x:row>
    <x:row r="248">
      <x:c r="A248" s="22" t="str">
        <x:v>2022-2026-Copalis-Mocrocks.pdf</x:v>
      </x:c>
      <x:c r="B248" s="26" t="n">
        <x:v>15</x:v>
      </x:c>
      <x:c r="C248" s="22" t="str">
        <x:v>P15</x:v>
      </x:c>
      <x:c r="D248" s="22" t="str">
        <x:v>Mocrocks Beach</x:v>
      </x:c>
      <x:c r="E248" s="22" t="str">
        <x:v>Roosevelt Beach Rd. South</x:v>
      </x:c>
      <x:c r="F248" s="24" t="n">
        <x:v>46145</x:v>
      </x:c>
      <x:c r="G248" s="22" t="str">
        <x:v>Bryce</x:v>
      </x:c>
      <x:c r="H248" s="26" t="n">
        <x:v>8</x:v>
      </x:c>
      <x:c r="I248" s="22" t="str">
        <x:v>15-minute interval</x:v>
      </x:c>
      <x:c r="J248" s="22" t="str">
        <x:v>0638</x:v>
      </x:c>
      <x:c r="K248" s="22" t="str">
        <x:v>0653</x:v>
      </x:c>
      <x:c r="L248" s="22" t="str">
        <x:v>1:30</x:v>
      </x:c>
      <x:c r="M248" s="22" t="str">
        <x:v>1:15</x:v>
      </x:c>
      <x:c r="N248" s="22" t="str">
        <x:v>30</x:v>
      </x:c>
      <x:c r="O248" s="26" t="n">
        <x:v>30</x:v>
      </x:c>
      <x:c r="P248" s="22" t="str">
        <x:v>6</x:v>
      </x:c>
      <x:c r="Q248" s="26" t="n">
        <x:v>6</x:v>
      </x:c>
      <x:c r="R248" s="22" t="str">
        <x:v>Observed</x:v>
      </x:c>
      <x:c r="S248" s="22" t="str"/>
      <x:c r="T248" s="26" t="n">
        <x:f>IF(R248&lt;&gt;"Observed","",SUMIFS($O$3:O248,$C$3:C248,C248,$R$3:R248,"Observed"))</x:f>
        <x:v>151</x:v>
      </x:c>
      <x:c r="U248" s="26" t="n">
        <x:f>IF(R248&lt;&gt;"Observed","",SUMIFS($Q$3:Q248,$C$3:C248,C248,$R$3:R248,"Observed"))</x:f>
        <x:v>6</x:v>
      </x:c>
      <x:c r="V248" s="26" t="n">
        <x:f>IF(R248&lt;&gt;"Observed","",T248-U248)</x:f>
        <x:v>145</x:v>
      </x:c>
    </x:row>
    <x:row r="249">
      <x:c r="A249" s="22" t="str">
        <x:v>2022-2026-Copalis-Mocrocks.pdf</x:v>
      </x:c>
      <x:c r="B249" s="26" t="n">
        <x:v>15</x:v>
      </x:c>
      <x:c r="C249" s="22" t="str">
        <x:v>P15</x:v>
      </x:c>
      <x:c r="D249" s="22" t="str">
        <x:v>Mocrocks Beach</x:v>
      </x:c>
      <x:c r="E249" s="22" t="str">
        <x:v>Roosevelt Beach Rd. South</x:v>
      </x:c>
      <x:c r="F249" s="24" t="n">
        <x:v>46145</x:v>
      </x:c>
      <x:c r="G249" s="22" t="str">
        <x:v>Bryce</x:v>
      </x:c>
      <x:c r="H249" s="26" t="n">
        <x:v>9</x:v>
      </x:c>
      <x:c r="I249" s="22" t="str">
        <x:v>15-minute interval</x:v>
      </x:c>
      <x:c r="J249" s="22" t="str">
        <x:v>0653</x:v>
      </x:c>
      <x:c r="K249" s="22" t="str">
        <x:v>0708</x:v>
      </x:c>
      <x:c r="L249" s="22" t="str">
        <x:v>1:15</x:v>
      </x:c>
      <x:c r="M249" s="22" t="str">
        <x:v>1:00</x:v>
      </x:c>
      <x:c r="N249" s="22" t="str">
        <x:v>37</x:v>
      </x:c>
      <x:c r="O249" s="26" t="n">
        <x:v>37</x:v>
      </x:c>
      <x:c r="P249" s="22" t="str">
        <x:v>3</x:v>
      </x:c>
      <x:c r="Q249" s="26" t="n">
        <x:v>3</x:v>
      </x:c>
      <x:c r="R249" s="22" t="str">
        <x:v>Observed</x:v>
      </x:c>
      <x:c r="S249" s="22" t="str"/>
      <x:c r="T249" s="26" t="n">
        <x:f>IF(R249&lt;&gt;"Observed","",SUMIFS($O$3:O249,$C$3:C249,C249,$R$3:R249,"Observed"))</x:f>
        <x:v>188</x:v>
      </x:c>
      <x:c r="U249" s="26" t="n">
        <x:f>IF(R249&lt;&gt;"Observed","",SUMIFS($Q$3:Q249,$C$3:C249,C249,$R$3:R249,"Observed"))</x:f>
        <x:v>9</x:v>
      </x:c>
      <x:c r="V249" s="26" t="n">
        <x:f>IF(R249&lt;&gt;"Observed","",T249-U249)</x:f>
        <x:v>179</x:v>
      </x:c>
    </x:row>
    <x:row r="250">
      <x:c r="A250" s="22" t="str">
        <x:v>2022-2026-Copalis-Mocrocks.pdf</x:v>
      </x:c>
      <x:c r="B250" s="26" t="n">
        <x:v>15</x:v>
      </x:c>
      <x:c r="C250" s="22" t="str">
        <x:v>P15</x:v>
      </x:c>
      <x:c r="D250" s="22" t="str">
        <x:v>Mocrocks Beach</x:v>
      </x:c>
      <x:c r="E250" s="22" t="str">
        <x:v>Roosevelt Beach Rd. South</x:v>
      </x:c>
      <x:c r="F250" s="24" t="n">
        <x:v>46145</x:v>
      </x:c>
      <x:c r="G250" s="22" t="str">
        <x:v>Bryce</x:v>
      </x:c>
      <x:c r="H250" s="26" t="n">
        <x:v>10</x:v>
      </x:c>
      <x:c r="I250" s="22" t="str">
        <x:v>15-minute interval</x:v>
      </x:c>
      <x:c r="J250" s="22" t="str">
        <x:v>0708</x:v>
      </x:c>
      <x:c r="K250" s="22" t="str">
        <x:v>0723</x:v>
      </x:c>
      <x:c r="L250" s="22" t="str">
        <x:v>1:00</x:v>
      </x:c>
      <x:c r="M250" s="22" t="str">
        <x:v>0:45</x:v>
      </x:c>
      <x:c r="N250" s="22" t="str">
        <x:v>31</x:v>
      </x:c>
      <x:c r="O250" s="26" t="n">
        <x:v>31</x:v>
      </x:c>
      <x:c r="P250" s="22" t="str">
        <x:v>6</x:v>
      </x:c>
      <x:c r="Q250" s="26" t="n">
        <x:v>6</x:v>
      </x:c>
      <x:c r="R250" s="22" t="str">
        <x:v>Observed</x:v>
      </x:c>
      <x:c r="S250" s="22" t="str"/>
      <x:c r="T250" s="26" t="n">
        <x:f>IF(R250&lt;&gt;"Observed","",SUMIFS($O$3:O250,$C$3:C250,C250,$R$3:R250,"Observed"))</x:f>
        <x:v>219</x:v>
      </x:c>
      <x:c r="U250" s="26" t="n">
        <x:f>IF(R250&lt;&gt;"Observed","",SUMIFS($Q$3:Q250,$C$3:C250,C250,$R$3:R250,"Observed"))</x:f>
        <x:v>15</x:v>
      </x:c>
      <x:c r="V250" s="26" t="n">
        <x:f>IF(R250&lt;&gt;"Observed","",T250-U250)</x:f>
        <x:v>204</x:v>
      </x:c>
    </x:row>
    <x:row r="251">
      <x:c r="A251" s="22" t="str">
        <x:v>2022-2026-Copalis-Mocrocks.pdf</x:v>
      </x:c>
      <x:c r="B251" s="26" t="n">
        <x:v>15</x:v>
      </x:c>
      <x:c r="C251" s="22" t="str">
        <x:v>P15</x:v>
      </x:c>
      <x:c r="D251" s="22" t="str">
        <x:v>Mocrocks Beach</x:v>
      </x:c>
      <x:c r="E251" s="22" t="str">
        <x:v>Roosevelt Beach Rd. South</x:v>
      </x:c>
      <x:c r="F251" s="24" t="n">
        <x:v>46145</x:v>
      </x:c>
      <x:c r="G251" s="22" t="str">
        <x:v>Bryce</x:v>
      </x:c>
      <x:c r="H251" s="26" t="n">
        <x:v>11</x:v>
      </x:c>
      <x:c r="I251" s="22" t="str">
        <x:v>15-minute interval</x:v>
      </x:c>
      <x:c r="J251" s="22" t="str">
        <x:v>0723</x:v>
      </x:c>
      <x:c r="K251" s="22" t="str">
        <x:v>0738</x:v>
      </x:c>
      <x:c r="L251" s="22" t="str">
        <x:v>0:45</x:v>
      </x:c>
      <x:c r="M251" s="22" t="str">
        <x:v>0:30</x:v>
      </x:c>
      <x:c r="N251" s="22" t="str">
        <x:v>43</x:v>
      </x:c>
      <x:c r="O251" s="26" t="n">
        <x:v>43</x:v>
      </x:c>
      <x:c r="P251" s="22" t="str">
        <x:v>9</x:v>
      </x:c>
      <x:c r="Q251" s="26" t="n">
        <x:v>9</x:v>
      </x:c>
      <x:c r="R251" s="22" t="str">
        <x:v>Observed</x:v>
      </x:c>
      <x:c r="S251" s="22" t="str"/>
      <x:c r="T251" s="26" t="n">
        <x:f>IF(R251&lt;&gt;"Observed","",SUMIFS($O$3:O251,$C$3:C251,C251,$R$3:R251,"Observed"))</x:f>
        <x:v>262</x:v>
      </x:c>
      <x:c r="U251" s="26" t="n">
        <x:f>IF(R251&lt;&gt;"Observed","",SUMIFS($Q$3:Q251,$C$3:C251,C251,$R$3:R251,"Observed"))</x:f>
        <x:v>24</x:v>
      </x:c>
      <x:c r="V251" s="26" t="n">
        <x:f>IF(R251&lt;&gt;"Observed","",T251-U251)</x:f>
        <x:v>238</x:v>
      </x:c>
    </x:row>
    <x:row r="252">
      <x:c r="A252" s="22" t="str">
        <x:v>2022-2026-Copalis-Mocrocks.pdf</x:v>
      </x:c>
      <x:c r="B252" s="26" t="n">
        <x:v>15</x:v>
      </x:c>
      <x:c r="C252" s="22" t="str">
        <x:v>P15</x:v>
      </x:c>
      <x:c r="D252" s="22" t="str">
        <x:v>Mocrocks Beach</x:v>
      </x:c>
      <x:c r="E252" s="22" t="str">
        <x:v>Roosevelt Beach Rd. South</x:v>
      </x:c>
      <x:c r="F252" s="24" t="n">
        <x:v>46145</x:v>
      </x:c>
      <x:c r="G252" s="22" t="str">
        <x:v>Bryce</x:v>
      </x:c>
      <x:c r="H252" s="26" t="n">
        <x:v>12</x:v>
      </x:c>
      <x:c r="I252" s="22" t="str">
        <x:v>15-minute interval</x:v>
      </x:c>
      <x:c r="J252" s="22" t="str">
        <x:v>0738</x:v>
      </x:c>
      <x:c r="K252" s="22" t="str">
        <x:v>0753</x:v>
      </x:c>
      <x:c r="L252" s="22" t="str">
        <x:v>0:30</x:v>
      </x:c>
      <x:c r="M252" s="22" t="str">
        <x:v>0:15</x:v>
      </x:c>
      <x:c r="N252" s="22" t="str">
        <x:v>34</x:v>
      </x:c>
      <x:c r="O252" s="26" t="n">
        <x:v>34</x:v>
      </x:c>
      <x:c r="P252" s="22" t="str">
        <x:v>20</x:v>
      </x:c>
      <x:c r="Q252" s="26" t="n">
        <x:v>20</x:v>
      </x:c>
      <x:c r="R252" s="22" t="str">
        <x:v>Observed</x:v>
      </x:c>
      <x:c r="S252" s="22" t="str"/>
      <x:c r="T252" s="26" t="n">
        <x:f>IF(R252&lt;&gt;"Observed","",SUMIFS($O$3:O252,$C$3:C252,C252,$R$3:R252,"Observed"))</x:f>
        <x:v>296</x:v>
      </x:c>
      <x:c r="U252" s="26" t="n">
        <x:f>IF(R252&lt;&gt;"Observed","",SUMIFS($Q$3:Q252,$C$3:C252,C252,$R$3:R252,"Observed"))</x:f>
        <x:v>44</x:v>
      </x:c>
      <x:c r="V252" s="26" t="n">
        <x:f>IF(R252&lt;&gt;"Observed","",T252-U252)</x:f>
        <x:v>252</x:v>
      </x:c>
    </x:row>
    <x:row r="253">
      <x:c r="A253" s="22" t="str">
        <x:v>2022-2026-Copalis-Mocrocks.pdf</x:v>
      </x:c>
      <x:c r="B253" s="26" t="n">
        <x:v>15</x:v>
      </x:c>
      <x:c r="C253" s="22" t="str">
        <x:v>P15</x:v>
      </x:c>
      <x:c r="D253" s="22" t="str">
        <x:v>Mocrocks Beach</x:v>
      </x:c>
      <x:c r="E253" s="22" t="str">
        <x:v>Roosevelt Beach Rd. South</x:v>
      </x:c>
      <x:c r="F253" s="24" t="n">
        <x:v>46145</x:v>
      </x:c>
      <x:c r="G253" s="22" t="str">
        <x:v>Bryce</x:v>
      </x:c>
      <x:c r="H253" s="26" t="n">
        <x:v>13</x:v>
      </x:c>
      <x:c r="I253" s="22" t="str">
        <x:v>15-minute interval</x:v>
      </x:c>
      <x:c r="J253" s="22" t="str">
        <x:v>0753</x:v>
      </x:c>
      <x:c r="K253" s="22" t="str">
        <x:v>0808</x:v>
      </x:c>
      <x:c r="L253" s="22" t="str">
        <x:v>0:15</x:v>
      </x:c>
      <x:c r="M253" s="22" t="str">
        <x:v>0:00</x:v>
      </x:c>
      <x:c r="N253" s="22" t="str">
        <x:v>10</x:v>
      </x:c>
      <x:c r="O253" s="26" t="n">
        <x:v>10</x:v>
      </x:c>
      <x:c r="P253" s="22" t="str">
        <x:v>17</x:v>
      </x:c>
      <x:c r="Q253" s="26" t="n">
        <x:v>17</x:v>
      </x:c>
      <x:c r="R253" s="22" t="str">
        <x:v>Observed</x:v>
      </x:c>
      <x:c r="S253" s="22" t="str"/>
      <x:c r="T253" s="26" t="n">
        <x:f>IF(R253&lt;&gt;"Observed","",SUMIFS($O$3:O253,$C$3:C253,C253,$R$3:R253,"Observed"))</x:f>
        <x:v>306</x:v>
      </x:c>
      <x:c r="U253" s="26" t="n">
        <x:f>IF(R253&lt;&gt;"Observed","",SUMIFS($Q$3:Q253,$C$3:C253,C253,$R$3:R253,"Observed"))</x:f>
        <x:v>61</x:v>
      </x:c>
      <x:c r="V253" s="26" t="n">
        <x:f>IF(R253&lt;&gt;"Observed","",T253-U253)</x:f>
        <x:v>245</x:v>
      </x:c>
    </x:row>
    <x:row r="254">
      <x:c r="A254" s="22" t="str">
        <x:v>2022-2026-Copalis-Mocrocks.pdf</x:v>
      </x:c>
      <x:c r="B254" s="26" t="n">
        <x:v>15</x:v>
      </x:c>
      <x:c r="C254" s="22" t="str">
        <x:v>P15</x:v>
      </x:c>
      <x:c r="D254" s="22" t="str">
        <x:v>Mocrocks Beach</x:v>
      </x:c>
      <x:c r="E254" s="22" t="str">
        <x:v>Roosevelt Beach Rd. South</x:v>
      </x:c>
      <x:c r="F254" s="24" t="n">
        <x:v>46145</x:v>
      </x:c>
      <x:c r="G254" s="22" t="str">
        <x:v>Bryce</x:v>
      </x:c>
      <x:c r="H254" s="26" t="n">
        <x:v>14</x:v>
      </x:c>
      <x:c r="I254" s="22" t="str">
        <x:v>15-minute interval</x:v>
      </x:c>
      <x:c r="J254" s="22" t="str">
        <x:v>0808</x:v>
      </x:c>
      <x:c r="K254" s="22" t="str">
        <x:v>0823</x:v>
      </x:c>
      <x:c r="L254" s="22" t="str">
        <x:v>0:00</x:v>
      </x:c>
      <x:c r="M254" s="22" t="str">
        <x:v>0:15</x:v>
      </x:c>
      <x:c r="N254" s="22" t="str">
        <x:v>2</x:v>
      </x:c>
      <x:c r="O254" s="26" t="n">
        <x:v>2</x:v>
      </x:c>
      <x:c r="P254" s="22" t="str">
        <x:v>28</x:v>
      </x:c>
      <x:c r="Q254" s="26" t="n">
        <x:v>28</x:v>
      </x:c>
      <x:c r="R254" s="22" t="str">
        <x:v>Observed</x:v>
      </x:c>
      <x:c r="S254" s="22" t="str"/>
      <x:c r="T254" s="26" t="n">
        <x:f>IF(R254&lt;&gt;"Observed","",SUMIFS($O$3:O254,$C$3:C254,C254,$R$3:R254,"Observed"))</x:f>
        <x:v>308</x:v>
      </x:c>
      <x:c r="U254" s="26" t="n">
        <x:f>IF(R254&lt;&gt;"Observed","",SUMIFS($Q$3:Q254,$C$3:C254,C254,$R$3:R254,"Observed"))</x:f>
        <x:v>89</x:v>
      </x:c>
      <x:c r="V254" s="26" t="n">
        <x:f>IF(R254&lt;&gt;"Observed","",T254-U254)</x:f>
        <x:v>219</x:v>
      </x:c>
    </x:row>
    <x:row r="255">
      <x:c r="A255" s="22" t="str">
        <x:v>2022-2026-Copalis-Mocrocks.pdf</x:v>
      </x:c>
      <x:c r="B255" s="26" t="n">
        <x:v>15</x:v>
      </x:c>
      <x:c r="C255" s="22" t="str">
        <x:v>P15</x:v>
      </x:c>
      <x:c r="D255" s="22" t="str">
        <x:v>Mocrocks Beach</x:v>
      </x:c>
      <x:c r="E255" s="22" t="str">
        <x:v>Roosevelt Beach Rd. South</x:v>
      </x:c>
      <x:c r="F255" s="24" t="n">
        <x:v>46145</x:v>
      </x:c>
      <x:c r="G255" s="22" t="str">
        <x:v>Bryce</x:v>
      </x:c>
      <x:c r="H255" s="26" t="n">
        <x:v>15</x:v>
      </x:c>
      <x:c r="I255" s="22" t="str">
        <x:v>15-minute interval</x:v>
      </x:c>
      <x:c r="J255" s="22" t="str">
        <x:v>0823</x:v>
      </x:c>
      <x:c r="K255" s="22" t="str">
        <x:v>0838</x:v>
      </x:c>
      <x:c r="L255" s="22" t="str">
        <x:v>0:15</x:v>
      </x:c>
      <x:c r="M255" s="22" t="str">
        <x:v>0:30</x:v>
      </x:c>
      <x:c r="N255" s="22" t="str">
        <x:v>10</x:v>
      </x:c>
      <x:c r="O255" s="26" t="n">
        <x:v>10</x:v>
      </x:c>
      <x:c r="P255" s="22" t="str">
        <x:v>30</x:v>
      </x:c>
      <x:c r="Q255" s="26" t="n">
        <x:v>30</x:v>
      </x:c>
      <x:c r="R255" s="22" t="str">
        <x:v>Observed</x:v>
      </x:c>
      <x:c r="S255" s="22" t="str"/>
      <x:c r="T255" s="26" t="n">
        <x:f>IF(R255&lt;&gt;"Observed","",SUMIFS($O$3:O255,$C$3:C255,C255,$R$3:R255,"Observed"))</x:f>
        <x:v>318</x:v>
      </x:c>
      <x:c r="U255" s="26" t="n">
        <x:f>IF(R255&lt;&gt;"Observed","",SUMIFS($Q$3:Q255,$C$3:C255,C255,$R$3:R255,"Observed"))</x:f>
        <x:v>119</x:v>
      </x:c>
      <x:c r="V255" s="26" t="n">
        <x:f>IF(R255&lt;&gt;"Observed","",T255-U255)</x:f>
        <x:v>199</x:v>
      </x:c>
    </x:row>
    <x:row r="256">
      <x:c r="A256" s="22" t="str">
        <x:v>2022-2026-Copalis-Mocrocks.pdf</x:v>
      </x:c>
      <x:c r="B256" s="26" t="n">
        <x:v>15</x:v>
      </x:c>
      <x:c r="C256" s="22" t="str">
        <x:v>P15</x:v>
      </x:c>
      <x:c r="D256" s="22" t="str">
        <x:v>Mocrocks Beach</x:v>
      </x:c>
      <x:c r="E256" s="22" t="str">
        <x:v>Roosevelt Beach Rd. South</x:v>
      </x:c>
      <x:c r="F256" s="24" t="n">
        <x:v>46145</x:v>
      </x:c>
      <x:c r="G256" s="22" t="str">
        <x:v>Bryce</x:v>
      </x:c>
      <x:c r="H256" s="26" t="n">
        <x:v>16</x:v>
      </x:c>
      <x:c r="I256" s="22" t="str">
        <x:v>15-minute interval</x:v>
      </x:c>
      <x:c r="J256" s="22" t="str">
        <x:v>0838</x:v>
      </x:c>
      <x:c r="K256" s="22" t="str">
        <x:v>0853</x:v>
      </x:c>
      <x:c r="L256" s="22" t="str">
        <x:v>0:30</x:v>
      </x:c>
      <x:c r="M256" s="22" t="str">
        <x:v>0:45</x:v>
      </x:c>
      <x:c r="N256" s="22" t="str">
        <x:v>9</x:v>
      </x:c>
      <x:c r="O256" s="26" t="n">
        <x:v>9</x:v>
      </x:c>
      <x:c r="P256" s="22" t="str">
        <x:v>17</x:v>
      </x:c>
      <x:c r="Q256" s="26" t="n">
        <x:v>17</x:v>
      </x:c>
      <x:c r="R256" s="22" t="str">
        <x:v>Observed</x:v>
      </x:c>
      <x:c r="S256" s="22" t="str"/>
      <x:c r="T256" s="26" t="n">
        <x:f>IF(R256&lt;&gt;"Observed","",SUMIFS($O$3:O256,$C$3:C256,C256,$R$3:R256,"Observed"))</x:f>
        <x:v>327</x:v>
      </x:c>
      <x:c r="U256" s="26" t="n">
        <x:f>IF(R256&lt;&gt;"Observed","",SUMIFS($Q$3:Q256,$C$3:C256,C256,$R$3:R256,"Observed"))</x:f>
        <x:v>136</x:v>
      </x:c>
      <x:c r="V256" s="26" t="n">
        <x:f>IF(R256&lt;&gt;"Observed","",T256-U256)</x:f>
        <x:v>191</x:v>
      </x:c>
    </x:row>
    <x:row r="257">
      <x:c r="A257" s="22" t="str">
        <x:v>2022-2026-Copalis-Mocrocks.pdf</x:v>
      </x:c>
      <x:c r="B257" s="26" t="n">
        <x:v>15</x:v>
      </x:c>
      <x:c r="C257" s="22" t="str">
        <x:v>P15</x:v>
      </x:c>
      <x:c r="D257" s="22" t="str">
        <x:v>Mocrocks Beach</x:v>
      </x:c>
      <x:c r="E257" s="22" t="str">
        <x:v>Roosevelt Beach Rd. South</x:v>
      </x:c>
      <x:c r="F257" s="24" t="n">
        <x:v>46145</x:v>
      </x:c>
      <x:c r="G257" s="22" t="str">
        <x:v>Bryce</x:v>
      </x:c>
      <x:c r="H257" s="26" t="n">
        <x:v>17</x:v>
      </x:c>
      <x:c r="I257" s="22" t="str">
        <x:v>15-minute interval</x:v>
      </x:c>
      <x:c r="J257" s="22" t="str">
        <x:v>0853</x:v>
      </x:c>
      <x:c r="K257" s="22" t="str">
        <x:v>0908</x:v>
      </x:c>
      <x:c r="L257" s="22" t="str">
        <x:v>0:45</x:v>
      </x:c>
      <x:c r="M257" s="22" t="str">
        <x:v>1:00</x:v>
      </x:c>
      <x:c r="N257" s="22" t="str">
        <x:v>0</x:v>
      </x:c>
      <x:c r="O257" s="26" t="n">
        <x:v>0</x:v>
      </x:c>
      <x:c r="P257" s="22" t="str">
        <x:v>20</x:v>
      </x:c>
      <x:c r="Q257" s="26" t="n">
        <x:v>20</x:v>
      </x:c>
      <x:c r="R257" s="22" t="str">
        <x:v>Observed</x:v>
      </x:c>
      <x:c r="S257" s="22" t="str"/>
      <x:c r="T257" s="26" t="n">
        <x:f>IF(R257&lt;&gt;"Observed","",SUMIFS($O$3:O257,$C$3:C257,C257,$R$3:R257,"Observed"))</x:f>
        <x:v>327</x:v>
      </x:c>
      <x:c r="U257" s="26" t="n">
        <x:f>IF(R257&lt;&gt;"Observed","",SUMIFS($Q$3:Q257,$C$3:C257,C257,$R$3:R257,"Observed"))</x:f>
        <x:v>156</x:v>
      </x:c>
      <x:c r="V257" s="26" t="n">
        <x:f>IF(R257&lt;&gt;"Observed","",T257-U257)</x:f>
        <x:v>171</x:v>
      </x:c>
    </x:row>
  </x:sheetData>
  <x:mergeCells>
    <x:mergeCell ref="A1:V1"/>
  </x:mergeCells>
  <x:conditionalFormatting sqref="R3:R257">
    <x:cfRule type="expression" dxfId="2" priority="1">
      <x:formula>R3&lt;&gt;"Observed"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e358ec9b62747e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9" hidden="0" customWidth="1"/>
    <x:col min="3" max="3" width="12" hidden="0" customWidth="1"/>
    <x:col min="4" max="4" width="18" hidden="0" customWidth="1"/>
    <x:col min="5" max="5" width="24" hidden="0" customWidth="1"/>
    <x:col min="6" max="6" width="12" hidden="0" customWidth="1"/>
    <x:col min="7" max="7" width="14" hidden="0" customWidth="1"/>
    <x:col min="8" max="8" width="11" hidden="0" customWidth="1"/>
    <x:col min="9" max="9" width="10" hidden="0" customWidth="1"/>
    <x:col min="10" max="10" width="29" hidden="0" customWidth="1"/>
    <x:col min="11" max="11" width="12" hidden="0" customWidth="1"/>
    <x:col min="12" max="12" width="23" hidden="0" customWidth="1"/>
    <x:col min="13" max="13" width="42" hidden="0" customWidth="1"/>
    <x:col min="14" max="14" width="14" hidden="0" customWidth="1"/>
    <x:col min="15" max="15" width="15" hidden="0" customWidth="1"/>
    <x:col min="16" max="16" width="20" hidden="0" customWidth="1"/>
    <x:col min="17" max="17" width="48" hidden="0" customWidth="1"/>
    <x:col min="18" max="18" width="15" hidden="0" customWidth="1"/>
    <x:col min="19" max="19" width="16" hidden="0" customWidth="1"/>
    <x:col min="20" max="20" width="18" hidden="0" customWidth="1"/>
    <x:col min="21" max="21" width="24" hidden="0" customWidth="1"/>
    <x:col min="22" max="22" width="19" hidden="0" customWidth="1"/>
  </x:cols>
  <x:sheetData>
    <x:row r="1" ht="26" customHeight="1">
      <x:c r="A1" s="5" t="str">
        <x:v>Datasheet Metadata and Balance Check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 ht="34" customHeight="1">
      <x:c r="A2" s="14" t="str">
        <x:v>Source File</x:v>
      </x:c>
      <x:c r="B2" s="14" t="str">
        <x:v>PDF Page</x:v>
      </x:c>
      <x:c r="C2" s="14" t="str">
        <x:v>Datasheet ID</x:v>
      </x:c>
      <x:c r="D2" s="14" t="str">
        <x:v>Beach</x:v>
      </x:c>
      <x:c r="E2" s="14" t="str">
        <x:v>Access Point</x:v>
      </x:c>
      <x:c r="F2" s="14" t="str">
        <x:v>Date</x:v>
      </x:c>
      <x:c r="G2" s="14" t="str">
        <x:v>Sampler</x:v>
      </x:c>
      <x:c r="H2" s="14" t="str">
        <x:v>Tide Height</x:v>
      </x:c>
      <x:c r="I2" s="14" t="str">
        <x:v>Tide Unit</x:v>
      </x:c>
      <x:c r="J2" s="14" t="str">
        <x:v>Tide Time (as written)</x:v>
      </x:c>
      <x:c r="K2" s="14" t="str">
        <x:v>Solar Event</x:v>
      </x:c>
      <x:c r="L2" s="14" t="str">
        <x:v>Solar Time (as written)</x:v>
      </x:c>
      <x:c r="M2" s="14" t="str">
        <x:v>Weather / Wind / Surf</x:v>
      </x:c>
      <x:c r="N2" s="14" t="str">
        <x:v>Count Left Raw</x:v>
      </x:c>
      <x:c r="O2" s="14" t="str">
        <x:v>Discrepancy Raw</x:v>
      </x:c>
      <x:c r="P2" s="14" t="str">
        <x:v>Count Left Interpreted</x:v>
      </x:c>
      <x:c r="Q2" s="14" t="str">
        <x:v>Page Notes</x:v>
      </x:c>
      <x:c r="R2" s="14" t="str">
        <x:v>Total Cars On</x:v>
      </x:c>
      <x:c r="S2" s="14" t="str">
        <x:v>Total Cars Off</x:v>
      </x:c>
      <x:c r="T2" s="14" t="str">
        <x:v>Calculated Balance</x:v>
      </x:c>
      <x:c r="U2" s="14" t="str">
        <x:v>Calculated Absolute Discrepancy</x:v>
      </x:c>
      <x:c r="V2" s="14" t="str">
        <x:v>Review</x:v>
      </x:c>
    </x:row>
    <x:row r="3">
      <x:c r="A3" s="22" t="str">
        <x:v>2022-2026-Copalis-Mocrocks.pdf</x:v>
      </x:c>
      <x:c r="B3" s="22" t="n">
        <x:v>1</x:v>
      </x:c>
      <x:c r="C3" s="22" t="str">
        <x:v>P01</x:v>
      </x:c>
      <x:c r="D3" s="22" t="str">
        <x:v>Copalis Beach</x:v>
      </x:c>
      <x:c r="E3" s="22" t="str">
        <x:v>Ocean City North</x:v>
      </x:c>
      <x:c r="F3" s="24" t="n">
        <x:v>44653</x:v>
      </x:c>
      <x:c r="G3" s="22" t="str">
        <x:v>Bryce</x:v>
      </x:c>
      <x:c r="H3" s="28" t="n">
        <x:v>0</x:v>
      </x:c>
      <x:c r="I3" s="22" t="str">
        <x:v>ft</x:v>
      </x:c>
      <x:c r="J3" s="22" t="str">
        <x:v>8:07 AM</x:v>
      </x:c>
      <x:c r="K3" s="22" t="str">
        <x:v>Sunrise</x:v>
      </x:c>
      <x:c r="L3" s="22" t="str">
        <x:v>6:51 AM</x:v>
      </x:c>
      <x:c r="M3" s="22" t="str"/>
      <x:c r="N3" s="22" t="str">
        <x:v>132</x:v>
      </x:c>
      <x:c r="O3" s="22" t="str"/>
      <x:c r="P3" s="26" t="n">
        <x:v>132</x:v>
      </x:c>
      <x:c r="Q3" s="26" t="str"/>
      <x:c r="R3" s="26" t="n">
        <x:f>SUMIF(Observations!$C:$C,$C3,Observations!$O:$O)</x:f>
        <x:v>426</x:v>
      </x:c>
      <x:c r="S3" s="26" t="n">
        <x:f>SUMIF(Observations!$C:$C,$C3,Observations!$Q:$Q)</x:f>
        <x:v>301</x:v>
      </x:c>
      <x:c r="T3" s="26" t="n">
        <x:f>R3-S3</x:f>
        <x:v>125</x:v>
      </x:c>
      <x:c r="U3" s="26" t="n">
        <x:f>IF(P3="","",ABS(T3-P3))</x:f>
        <x:v>7</x:v>
      </x:c>
      <x:c r="V3" s="22" t="str">
        <x:f>IF(P3="","No reported count",IF(U3=0,"Balance matches","Review difference"))</x:f>
        <x:v>Review difference</x:v>
      </x:c>
    </x:row>
    <x:row r="4">
      <x:c r="A4" s="22" t="str">
        <x:v>2022-2026-Copalis-Mocrocks.pdf</x:v>
      </x:c>
      <x:c r="B4" s="22" t="n">
        <x:v>2</x:v>
      </x:c>
      <x:c r="C4" s="22" t="str">
        <x:v>P02</x:v>
      </x:c>
      <x:c r="D4" s="22" t="str">
        <x:v>Mocrocks</x:v>
      </x:c>
      <x:c r="E4" s="22" t="str">
        <x:v>Roosevelt App. South</x:v>
      </x:c>
      <x:c r="F4" s="24" t="n">
        <x:v>44654</x:v>
      </x:c>
      <x:c r="G4" s="22" t="str">
        <x:v>Clayton</x:v>
      </x:c>
      <x:c r="H4" s="28" t="n">
        <x:v>-0.1</x:v>
      </x:c>
      <x:c r="I4" s="22" t="str">
        <x:v>ft</x:v>
      </x:c>
      <x:c r="J4" s="22" t="str">
        <x:v>8:45 AM (printed 8:07 AM crossed out)</x:v>
      </x:c>
      <x:c r="K4" s="22" t="str">
        <x:v>Sunrise</x:v>
      </x:c>
      <x:c r="L4" s="22" t="str">
        <x:v>6:49 AM</x:v>
      </x:c>
      <x:c r="M4" s="22" t="str"/>
      <x:c r="N4" s="22" t="str">
        <x:v>43</x:v>
      </x:c>
      <x:c r="O4" s="22" t="str">
        <x:v>2</x:v>
      </x:c>
      <x:c r="P4" s="26" t="n">
        <x:v>43</x:v>
      </x:c>
      <x:c r="Q4" s="26" t="str"/>
      <x:c r="R4" s="26" t="n">
        <x:f>SUMIF(Observations!$C:$C,$C4,Observations!$O:$O)</x:f>
        <x:v>239</x:v>
      </x:c>
      <x:c r="S4" s="26" t="n">
        <x:f>SUMIF(Observations!$C:$C,$C4,Observations!$Q:$Q)</x:f>
        <x:v>198</x:v>
      </x:c>
      <x:c r="T4" s="26" t="n">
        <x:f>R4-S4</x:f>
        <x:v>41</x:v>
      </x:c>
      <x:c r="U4" s="26" t="n">
        <x:f>IF(P4="","",ABS(T4-P4))</x:f>
        <x:v>2</x:v>
      </x:c>
      <x:c r="V4" s="22" t="str">
        <x:f>IF(P4="","No reported count",IF(U4=0,"Balance matches","Review difference"))</x:f>
        <x:v>Review difference</x:v>
      </x:c>
    </x:row>
    <x:row r="5">
      <x:c r="A5" s="22" t="str">
        <x:v>2022-2026-Copalis-Mocrocks.pdf</x:v>
      </x:c>
      <x:c r="B5" s="22" t="n">
        <x:v>3</x:v>
      </x:c>
      <x:c r="C5" s="22" t="str">
        <x:v>P03</x:v>
      </x:c>
      <x:c r="D5" s="22" t="str">
        <x:v>Copalis Beach</x:v>
      </x:c>
      <x:c r="E5" s="22" t="str">
        <x:v>Ocean City North</x:v>
      </x:c>
      <x:c r="F5" s="24" t="n">
        <x:v>45040</x:v>
      </x:c>
      <x:c r="G5" s="22" t="str">
        <x:v>Bryce</x:v>
      </x:c>
      <x:c r="H5" s="28" t="n">
        <x:v>-0.4</x:v>
      </x:c>
      <x:c r="I5" s="22" t="str">
        <x:v>ft</x:v>
      </x:c>
      <x:c r="J5" s="22" t="str">
        <x:v>10:14 AM</x:v>
      </x:c>
      <x:c r="K5" s="22" t="str">
        <x:v>Sunrise</x:v>
      </x:c>
      <x:c r="L5" s="22" t="str">
        <x:v>6:13 AM</x:v>
      </x:c>
      <x:c r="M5" s="22" t="str"/>
      <x:c r="N5" s="22" t="str">
        <x:v>51</x:v>
      </x:c>
      <x:c r="O5" s="22" t="str"/>
      <x:c r="P5" s="26" t="n">
        <x:v>51</x:v>
      </x:c>
      <x:c r="Q5" s="26" t="str">
        <x:v>Handwritten page note: "Dan? Hymer (360) 581-9796" (name uncertain).</x:v>
      </x:c>
      <x:c r="R5" s="26" t="n">
        <x:f>SUMIF(Observations!$C:$C,$C5,Observations!$O:$O)</x:f>
        <x:v>212</x:v>
      </x:c>
      <x:c r="S5" s="26" t="n">
        <x:f>SUMIF(Observations!$C:$C,$C5,Observations!$Q:$Q)</x:f>
        <x:v>171</x:v>
      </x:c>
      <x:c r="T5" s="26" t="n">
        <x:f>R5-S5</x:f>
        <x:v>41</x:v>
      </x:c>
      <x:c r="U5" s="26" t="n">
        <x:f>IF(P5="","",ABS(T5-P5))</x:f>
        <x:v>10</x:v>
      </x:c>
      <x:c r="V5" s="22" t="str">
        <x:f>IF(P5="","No reported count",IF(U5=0,"Balance matches","Review difference"))</x:f>
        <x:v>Review difference</x:v>
      </x:c>
    </x:row>
    <x:row r="6">
      <x:c r="A6" s="22" t="str">
        <x:v>2022-2026-Copalis-Mocrocks.pdf</x:v>
      </x:c>
      <x:c r="B6" s="22" t="n">
        <x:v>4</x:v>
      </x:c>
      <x:c r="C6" s="22" t="str">
        <x:v>P04</x:v>
      </x:c>
      <x:c r="D6" s="22" t="str">
        <x:v>Mocrocks</x:v>
      </x:c>
      <x:c r="E6" s="22" t="str">
        <x:v>Roosevelt App. South</x:v>
      </x:c>
      <x:c r="F6" s="24" t="n">
        <x:v>45041</x:v>
      </x:c>
      <x:c r="G6" s="22" t="str">
        <x:v>JG</x:v>
      </x:c>
      <x:c r="H6" s="28" t="n">
        <x:v>0.1</x:v>
      </x:c>
      <x:c r="I6" s="22" t="str">
        <x:v>ft</x:v>
      </x:c>
      <x:c r="J6" s="22" t="str">
        <x:v>11:01 AM</x:v>
      </x:c>
      <x:c r="K6" s="22" t="str">
        <x:v>Sunrise</x:v>
      </x:c>
      <x:c r="L6" s="22" t="str">
        <x:v>6:11 AM</x:v>
      </x:c>
      <x:c r="M6" s="22" t="str">
        <x:v>Sunny, low+ surf, northern wind 0-5 mph. Sunny changed to cloudy at low tide.</x:v>
      </x:c>
      <x:c r="N6" s="22" t="str">
        <x:v>34</x:v>
      </x:c>
      <x:c r="O6" s="22" t="str">
        <x:v>3</x:v>
      </x:c>
      <x:c r="P6" s="26" t="n">
        <x:v>34</x:v>
      </x:c>
      <x:c r="Q6" s="26" t="str">
        <x:v>Margin notes: "Plane"; "Few people came up &amp; distracted me. I believe the 3 missing cars belong here." Total Cars On "219" written below table.</x:v>
      </x:c>
      <x:c r="R6" s="26" t="n">
        <x:f>SUMIF(Observations!$C:$C,$C6,Observations!$O:$O)</x:f>
        <x:v>219</x:v>
      </x:c>
      <x:c r="S6" s="26" t="n">
        <x:f>SUMIF(Observations!$C:$C,$C6,Observations!$Q:$Q)</x:f>
        <x:v>182</x:v>
      </x:c>
      <x:c r="T6" s="26" t="n">
        <x:f>R6-S6</x:f>
        <x:v>37</x:v>
      </x:c>
      <x:c r="U6" s="26" t="n">
        <x:f>IF(P6="","",ABS(T6-P6))</x:f>
        <x:v>3</x:v>
      </x:c>
      <x:c r="V6" s="22" t="str">
        <x:f>IF(P6="","No reported count",IF(U6=0,"Balance matches","Review difference"))</x:f>
        <x:v>Review difference</x:v>
      </x:c>
    </x:row>
    <x:row r="7">
      <x:c r="A7" s="22" t="str">
        <x:v>2022-2026-Copalis-Mocrocks.pdf</x:v>
      </x:c>
      <x:c r="B7" s="22" t="n">
        <x:v>5</x:v>
      </x:c>
      <x:c r="C7" s="22" t="str">
        <x:v>P05</x:v>
      </x:c>
      <x:c r="D7" s="22" t="str">
        <x:v>Mocrocks</x:v>
      </x:c>
      <x:c r="E7" s="22" t="str">
        <x:v>Roosevelt App. South</x:v>
      </x:c>
      <x:c r="F7" s="24" t="n">
        <x:v>45368</x:v>
      </x:c>
      <x:c r="G7" s="22" t="str">
        <x:v>Chase</x:v>
      </x:c>
      <x:c r="H7" s="28" t="n">
        <x:v>0.9</x:v>
      </x:c>
      <x:c r="I7" s="22" t="str">
        <x:v>ft</x:v>
      </x:c>
      <x:c r="J7" s="22" t="str">
        <x:v>1:23 PM (1323)</x:v>
      </x:c>
      <x:c r="K7" s="22" t="str">
        <x:v>Sunrise</x:v>
      </x:c>
      <x:c r="L7" s="22" t="str">
        <x:v>7:23 AM</x:v>
      </x:c>
      <x:c r="M7" s="22" t="str">
        <x:v>Overcast, 49°F, 7 mph NW, low+ to moderate surf conditions.</x:v>
      </x:c>
      <x:c r="N7" s="22" t="str">
        <x:v>303</x:v>
      </x:c>
      <x:c r="O7" s="22" t="str"/>
      <x:c r="P7" s="26" t="n">
        <x:v>303</x:v>
      </x:c>
      <x:c r="Q7" s="26" t="str">
        <x:v>Notes: "@1010" at left; "5 planes @1434" below table.</x:v>
      </x:c>
      <x:c r="R7" s="26" t="n">
        <x:f>SUMIF(Observations!$C:$C,$C7,Observations!$O:$O)</x:f>
        <x:v>663</x:v>
      </x:c>
      <x:c r="S7" s="26" t="n">
        <x:f>SUMIF(Observations!$C:$C,$C7,Observations!$Q:$Q)</x:f>
        <x:v>445</x:v>
      </x:c>
      <x:c r="T7" s="26" t="n">
        <x:f>R7-S7</x:f>
        <x:v>218</x:v>
      </x:c>
      <x:c r="U7" s="26" t="n">
        <x:f>IF(P7="","",ABS(T7-P7))</x:f>
        <x:v>85</x:v>
      </x:c>
      <x:c r="V7" s="22" t="str">
        <x:f>IF(P7="","No reported count",IF(U7=0,"Balance matches","Review difference"))</x:f>
        <x:v>Review difference</x:v>
      </x:c>
    </x:row>
    <x:row r="8">
      <x:c r="A8" s="22" t="str">
        <x:v>2022-2026-Copalis-Mocrocks.pdf</x:v>
      </x:c>
      <x:c r="B8" s="22" t="n">
        <x:v>6</x:v>
      </x:c>
      <x:c r="C8" s="22" t="str">
        <x:v>P06</x:v>
      </x:c>
      <x:c r="D8" s="22" t="str">
        <x:v>Copalis Beach</x:v>
      </x:c>
      <x:c r="E8" s="22" t="str">
        <x:v>Ocean City North</x:v>
      </x:c>
      <x:c r="F8" s="24" t="n">
        <x:v>45358</x:v>
      </x:c>
      <x:c r="G8" s="22" t="str">
        <x:v>Chase</x:v>
      </x:c>
      <x:c r="H8" s="28" t="n">
        <x:v>-0.5</x:v>
      </x:c>
      <x:c r="I8" s="22" t="str">
        <x:v>ft</x:v>
      </x:c>
      <x:c r="J8" s="22" t="str">
        <x:v>4:15 PM (1615)</x:v>
      </x:c>
      <x:c r="K8" s="22" t="str">
        <x:v>Sunset</x:v>
      </x:c>
      <x:c r="L8" s="22" t="str">
        <x:v>6:11 PM</x:v>
      </x:c>
      <x:c r="M8" s="22" t="str">
        <x:v>47°F, high 48°F, low 41°F; mostly sunny, precipitation 0%; humidity 58%; wind 7 mph from south; 3-4 ft surf.</x:v>
      </x:c>
      <x:c r="N8" s="22" t="str">
        <x:v>36</x:v>
      </x:c>
      <x:c r="O8" s="22" t="str"/>
      <x:c r="P8" s="26" t="n">
        <x:v>36</x:v>
      </x:c>
      <x:c r="Q8" s="26" t="str"/>
      <x:c r="R8" s="26" t="n">
        <x:f>SUMIF(Observations!$C:$C,$C8,Observations!$O:$O)</x:f>
        <x:v>307</x:v>
      </x:c>
      <x:c r="S8" s="26" t="n">
        <x:f>SUMIF(Observations!$C:$C,$C8,Observations!$Q:$Q)</x:f>
        <x:v>271</x:v>
      </x:c>
      <x:c r="T8" s="26" t="n">
        <x:f>R8-S8</x:f>
        <x:v>36</x:v>
      </x:c>
      <x:c r="U8" s="26" t="n">
        <x:f>IF(P8="","",ABS(T8-P8))</x:f>
        <x:v>0</x:v>
      </x:c>
      <x:c r="V8" s="22" t="str">
        <x:f>IF(P8="","No reported count",IF(U8=0,"Balance matches","Review difference"))</x:f>
        <x:v>Balance matches</x:v>
      </x:c>
    </x:row>
    <x:row r="9">
      <x:c r="A9" s="22" t="str">
        <x:v>2022-2026-Copalis-Mocrocks.pdf</x:v>
      </x:c>
      <x:c r="B9" s="22" t="n">
        <x:v>7</x:v>
      </x:c>
      <x:c r="C9" s="22" t="str">
        <x:v>P07</x:v>
      </x:c>
      <x:c r="D9" s="22" t="str">
        <x:v>Mocrocks</x:v>
      </x:c>
      <x:c r="E9" s="22" t="str">
        <x:v>Roosevelt App. South</x:v>
      </x:c>
      <x:c r="F9" s="24" t="n">
        <x:v>45359</x:v>
      </x:c>
      <x:c r="G9" s="22" t="str">
        <x:v>M. Joseph</x:v>
      </x:c>
      <x:c r="H9" s="28" t="n">
        <x:v>-0.8</x:v>
      </x:c>
      <x:c r="I9" s="22" t="str">
        <x:v>ft</x:v>
      </x:c>
      <x:c r="J9" s="22" t="str">
        <x:v>5:00 PM (1700)</x:v>
      </x:c>
      <x:c r="K9" s="22" t="str">
        <x:v>Sunset</x:v>
      </x:c>
      <x:c r="L9" s="22" t="str">
        <x:v>6:12 PM</x:v>
      </x:c>
      <x:c r="M9" s="22" t="str">
        <x:v>Overcast, moderately low surf, west wind 10-15 knots, about 50°F.</x:v>
      </x:c>
      <x:c r="N9" s="22" t="str"/>
      <x:c r="O9" s="22" t="str">
        <x:v>73</x:v>
      </x:c>
      <x:c r="P9" s="26" t="n">
        <x:v>73</x:v>
      </x:c>
      <x:c r="Q9" s="26" t="str">
        <x:v>Handwritten note above table appears to read "leave @ 1845" (uncertain). The value 73 was entered on the discrepancy line; interpreted as count of cars left because the count line is blank.</x:v>
      </x:c>
      <x:c r="R9" s="26" t="n">
        <x:f>SUMIF(Observations!$C:$C,$C9,Observations!$O:$O)</x:f>
        <x:v>307</x:v>
      </x:c>
      <x:c r="S9" s="26" t="n">
        <x:f>SUMIF(Observations!$C:$C,$C9,Observations!$Q:$Q)</x:f>
        <x:v>227</x:v>
      </x:c>
      <x:c r="T9" s="26" t="n">
        <x:f>R9-S9</x:f>
        <x:v>80</x:v>
      </x:c>
      <x:c r="U9" s="26" t="n">
        <x:f>IF(P9="","",ABS(T9-P9))</x:f>
        <x:v>7</x:v>
      </x:c>
      <x:c r="V9" s="22" t="str">
        <x:f>IF(P9="","No reported count",IF(U9=0,"Balance matches","Review difference"))</x:f>
        <x:v>Review difference</x:v>
      </x:c>
    </x:row>
    <x:row r="10">
      <x:c r="A10" s="22" t="str">
        <x:v>2022-2026-Copalis-Mocrocks.pdf</x:v>
      </x:c>
      <x:c r="B10" s="22" t="n">
        <x:v>8</x:v>
      </x:c>
      <x:c r="C10" s="22" t="str">
        <x:v>P08</x:v>
      </x:c>
      <x:c r="D10" s="22" t="str">
        <x:v>Copalis Beach</x:v>
      </x:c>
      <x:c r="E10" s="22" t="str">
        <x:v>Ocean City North</x:v>
      </x:c>
      <x:c r="F10" s="24" t="n">
        <x:v>45366</x:v>
      </x:c>
      <x:c r="G10" s="22" t="str">
        <x:v>BB/CF</x:v>
      </x:c>
      <x:c r="H10" s="28" t="n">
        <x:v>0.1</x:v>
      </x:c>
      <x:c r="I10" s="22" t="str">
        <x:v>ft</x:v>
      </x:c>
      <x:c r="J10" s="22" t="str">
        <x:v>11:08 AM (1108)</x:v>
      </x:c>
      <x:c r="K10" s="22" t="str">
        <x:v>Sunrise</x:v>
      </x:c>
      <x:c r="L10" s="22" t="str">
        <x:v>7:27 AM</x:v>
      </x:c>
      <x:c r="M10" s="22" t="str"/>
      <x:c r="N10" s="22" t="str">
        <x:v>149</x:v>
      </x:c>
      <x:c r="O10" s="22" t="str"/>
      <x:c r="P10" s="26" t="n">
        <x:v>149</x:v>
      </x:c>
      <x:c r="Q10" s="26" t="str"/>
      <x:c r="R10" s="26" t="n">
        <x:f>SUMIF(Observations!$C:$C,$C10,Observations!$O:$O)</x:f>
        <x:v>375</x:v>
      </x:c>
      <x:c r="S10" s="26" t="n">
        <x:f>SUMIF(Observations!$C:$C,$C10,Observations!$Q:$Q)</x:f>
        <x:v>246</x:v>
      </x:c>
      <x:c r="T10" s="26" t="n">
        <x:f>R10-S10</x:f>
        <x:v>129</x:v>
      </x:c>
      <x:c r="U10" s="26" t="n">
        <x:f>IF(P10="","",ABS(T10-P10))</x:f>
        <x:v>20</x:v>
      </x:c>
      <x:c r="V10" s="22" t="str">
        <x:f>IF(P10="","No reported count",IF(U10=0,"Balance matches","Review difference"))</x:f>
        <x:v>Review difference</x:v>
      </x:c>
    </x:row>
    <x:row r="11">
      <x:c r="A11" s="22" t="str">
        <x:v>2022-2026-Copalis-Mocrocks.pdf</x:v>
      </x:c>
      <x:c r="B11" s="22" t="n">
        <x:v>9</x:v>
      </x:c>
      <x:c r="C11" s="22" t="str">
        <x:v>P09</x:v>
      </x:c>
      <x:c r="D11" s="22" t="str">
        <x:v>Copalis Beach</x:v>
      </x:c>
      <x:c r="E11" s="22" t="str">
        <x:v>Ocean City North</x:v>
      </x:c>
      <x:c r="F11" s="24" t="n">
        <x:v>45582</x:v>
      </x:c>
      <x:c r="G11" s="22" t="str">
        <x:v>Clayton</x:v>
      </x:c>
      <x:c r="H11" s="28" t="n">
        <x:v>-1.3</x:v>
      </x:c>
      <x:c r="I11" s="22" t="str">
        <x:v>ft</x:v>
      </x:c>
      <x:c r="J11" s="22" t="str">
        <x:v>7:03 PM (1903)</x:v>
      </x:c>
      <x:c r="K11" s="22" t="str">
        <x:v>Sunset</x:v>
      </x:c>
      <x:c r="L11" s="22" t="str">
        <x:v>6:24 PM (1824)</x:v>
      </x:c>
      <x:c r="M11" s="22" t="str"/>
      <x:c r="N11" s="22" t="str">
        <x:v>23</x:v>
      </x:c>
      <x:c r="O11" s="22" t="str"/>
      <x:c r="P11" s="26" t="n">
        <x:v>23</x:v>
      </x:c>
      <x:c r="Q11" s="26" t="str">
        <x:v>Note below table: "@1920".</x:v>
      </x:c>
      <x:c r="R11" s="26" t="n">
        <x:f>SUMIF(Observations!$C:$C,$C11,Observations!$O:$O)</x:f>
        <x:v>291</x:v>
      </x:c>
      <x:c r="S11" s="26" t="n">
        <x:f>SUMIF(Observations!$C:$C,$C11,Observations!$Q:$Q)</x:f>
        <x:v>266</x:v>
      </x:c>
      <x:c r="T11" s="26" t="n">
        <x:f>R11-S11</x:f>
        <x:v>25</x:v>
      </x:c>
      <x:c r="U11" s="26" t="n">
        <x:f>IF(P11="","",ABS(T11-P11))</x:f>
        <x:v>2</x:v>
      </x:c>
      <x:c r="V11" s="22" t="str">
        <x:f>IF(P11="","No reported count",IF(U11=0,"Balance matches","Review difference"))</x:f>
        <x:v>Review difference</x:v>
      </x:c>
    </x:row>
    <x:row r="12">
      <x:c r="A12" s="22" t="str">
        <x:v>2022-2026-Copalis-Mocrocks.pdf</x:v>
      </x:c>
      <x:c r="B12" s="22" t="n">
        <x:v>10</x:v>
      </x:c>
      <x:c r="C12" s="22" t="str">
        <x:v>P10</x:v>
      </x:c>
      <x:c r="D12" s="22" t="str">
        <x:v>Mocrocks Beach</x:v>
      </x:c>
      <x:c r="E12" s="22" t="str">
        <x:v>Roosevelt Beach Rd. South</x:v>
      </x:c>
      <x:c r="F12" s="24" t="n">
        <x:v>45597</x:v>
      </x:c>
      <x:c r="G12" s="22" t="str">
        <x:v>Bryce</x:v>
      </x:c>
      <x:c r="H12" s="28" t="n">
        <x:v>-0.2</x:v>
      </x:c>
      <x:c r="I12" s="22" t="str">
        <x:v>ft</x:v>
      </x:c>
      <x:c r="J12" s="22" t="str">
        <x:v>7:15 PM (1915)</x:v>
      </x:c>
      <x:c r="K12" s="22" t="str">
        <x:v>Sunset</x:v>
      </x:c>
      <x:c r="L12" s="22" t="str">
        <x:v>5:59 PM (1759)</x:v>
      </x:c>
      <x:c r="M12" s="22" t="str"/>
      <x:c r="N12" s="22" t="str">
        <x:v>12</x:v>
      </x:c>
      <x:c r="O12" s="22" t="str"/>
      <x:c r="P12" s="26" t="n">
        <x:v>12</x:v>
      </x:c>
      <x:c r="Q12" s="26" t="str"/>
      <x:c r="R12" s="26" t="n">
        <x:f>SUMIF(Observations!$C:$C,$C12,Observations!$O:$O)</x:f>
        <x:v>107</x:v>
      </x:c>
      <x:c r="S12" s="26" t="n">
        <x:f>SUMIF(Observations!$C:$C,$C12,Observations!$Q:$Q)</x:f>
        <x:v>91</x:v>
      </x:c>
      <x:c r="T12" s="26" t="n">
        <x:f>R12-S12</x:f>
        <x:v>16</x:v>
      </x:c>
      <x:c r="U12" s="26" t="n">
        <x:f>IF(P12="","",ABS(T12-P12))</x:f>
        <x:v>4</x:v>
      </x:c>
      <x:c r="V12" s="22" t="str">
        <x:f>IF(P12="","No reported count",IF(U12=0,"Balance matches","Review difference"))</x:f>
        <x:v>Review difference</x:v>
      </x:c>
    </x:row>
    <x:row r="13">
      <x:c r="A13" s="22" t="str">
        <x:v>2022-2026-Copalis-Mocrocks.pdf</x:v>
      </x:c>
      <x:c r="B13" s="22" t="n">
        <x:v>11</x:v>
      </x:c>
      <x:c r="C13" s="22" t="str">
        <x:v>P11</x:v>
      </x:c>
      <x:c r="D13" s="22" t="str">
        <x:v>Mocrocks Beach</x:v>
      </x:c>
      <x:c r="E13" s="22" t="str">
        <x:v>Roosevelt Beach Rd. South</x:v>
      </x:c>
      <x:c r="F13" s="24" t="n">
        <x:v>45716</x:v>
      </x:c>
      <x:c r="G13" s="22" t="str">
        <x:v>Bryce B.</x:v>
      </x:c>
      <x:c r="H13" s="28" t="n">
        <x:v>-0.6</x:v>
      </x:c>
      <x:c r="I13" s="22" t="str">
        <x:v>ft</x:v>
      </x:c>
      <x:c r="J13" s="22" t="str">
        <x:v>6:39 PM (1839)</x:v>
      </x:c>
      <x:c r="K13" s="22" t="str">
        <x:v>Sunset</x:v>
      </x:c>
      <x:c r="L13" s="22" t="str">
        <x:v>6:00 PM (1800)</x:v>
      </x:c>
      <x:c r="M13" s="22" t="str">
        <x:v>6 ft W swell, 5 kt E wind, overcast and foggy but still visible.</x:v>
      </x:c>
      <x:c r="N13" s="22" t="str">
        <x:v>14</x:v>
      </x:c>
      <x:c r="O13" s="22" t="str"/>
      <x:c r="P13" s="26" t="n">
        <x:v>14</x:v>
      </x:c>
      <x:c r="Q13" s="26" t="str"/>
      <x:c r="R13" s="26" t="n">
        <x:f>SUMIF(Observations!$C:$C,$C13,Observations!$O:$O)</x:f>
        <x:v>235</x:v>
      </x:c>
      <x:c r="S13" s="26" t="n">
        <x:f>SUMIF(Observations!$C:$C,$C13,Observations!$Q:$Q)</x:f>
        <x:v>219</x:v>
      </x:c>
      <x:c r="T13" s="26" t="n">
        <x:f>R13-S13</x:f>
        <x:v>16</x:v>
      </x:c>
      <x:c r="U13" s="26" t="n">
        <x:f>IF(P13="","",ABS(T13-P13))</x:f>
        <x:v>2</x:v>
      </x:c>
      <x:c r="V13" s="22" t="str">
        <x:f>IF(P13="","No reported count",IF(U13=0,"Balance matches","Review difference"))</x:f>
        <x:v>Review difference</x:v>
      </x:c>
    </x:row>
    <x:row r="14">
      <x:c r="A14" s="22" t="str">
        <x:v>2022-2026-Copalis-Mocrocks.pdf</x:v>
      </x:c>
      <x:c r="B14" s="22" t="n">
        <x:v>12</x:v>
      </x:c>
      <x:c r="C14" s="22" t="str">
        <x:v>P12</x:v>
      </x:c>
      <x:c r="D14" s="22" t="str">
        <x:v>Copalis Beach</x:v>
      </x:c>
      <x:c r="E14" s="22" t="str">
        <x:v>Ocean City North</x:v>
      </x:c>
      <x:c r="F14" s="24" t="n">
        <x:v>45730</x:v>
      </x:c>
      <x:c r="G14" s="22" t="str">
        <x:v>Chase</x:v>
      </x:c>
      <x:c r="H14" s="28" t="n">
        <x:v>0.4</x:v>
      </x:c>
      <x:c r="I14" s="22" t="str">
        <x:v>ft</x:v>
      </x:c>
      <x:c r="J14" s="22" t="str">
        <x:v>7:30 PM (1930)</x:v>
      </x:c>
      <x:c r="K14" s="22" t="str">
        <x:v>Sunset</x:v>
      </x:c>
      <x:c r="L14" s="22" t="str">
        <x:v>7:21 PM (1921)</x:v>
      </x:c>
      <x:c r="M14" s="22" t="str">
        <x:v>45°F, partly cloudy with rain; high 47°F, low 39°F; 15 mph SE; surf 4-5 ft, low+ to moderate swell.</x:v>
      </x:c>
      <x:c r="N14" s="22" t="str">
        <x:v>19</x:v>
      </x:c>
      <x:c r="O14" s="22" t="str"/>
      <x:c r="P14" s="26" t="n">
        <x:v>19</x:v>
      </x:c>
      <x:c r="Q14" s="26" t="str">
        <x:v>Note below table: "@1945-2000".</x:v>
      </x:c>
      <x:c r="R14" s="26" t="n">
        <x:f>SUMIF(Observations!$C:$C,$C14,Observations!$O:$O)</x:f>
        <x:v>59</x:v>
      </x:c>
      <x:c r="S14" s="26" t="n">
        <x:f>SUMIF(Observations!$C:$C,$C14,Observations!$Q:$Q)</x:f>
        <x:v>44</x:v>
      </x:c>
      <x:c r="T14" s="26" t="n">
        <x:f>R14-S14</x:f>
        <x:v>15</x:v>
      </x:c>
      <x:c r="U14" s="26" t="n">
        <x:f>IF(P14="","",ABS(T14-P14))</x:f>
        <x:v>4</x:v>
      </x:c>
      <x:c r="V14" s="22" t="str">
        <x:f>IF(P14="","No reported count",IF(U14=0,"Balance matches","Review difference"))</x:f>
        <x:v>Review difference</x:v>
      </x:c>
    </x:row>
    <x:row r="15">
      <x:c r="A15" s="22" t="str">
        <x:v>2022-2026-Copalis-Mocrocks.pdf</x:v>
      </x:c>
      <x:c r="B15" s="22" t="n">
        <x:v>13</x:v>
      </x:c>
      <x:c r="C15" s="22" t="str">
        <x:v>P13</x:v>
      </x:c>
      <x:c r="D15" s="22" t="str">
        <x:v>Copalis Beach</x:v>
      </x:c>
      <x:c r="E15" s="22" t="str">
        <x:v>Ocean City North</x:v>
      </x:c>
      <x:c r="F15" s="24" t="n">
        <x:v>46038</x:v>
      </x:c>
      <x:c r="G15" s="22" t="str">
        <x:v>BB DW</x:v>
      </x:c>
      <x:c r="H15" s="28" t="n">
        <x:v>0</x:v>
      </x:c>
      <x:c r="I15" s="22" t="str">
        <x:v>ft</x:v>
      </x:c>
      <x:c r="J15" s="22" t="str">
        <x:v>5:14 PM (1714)</x:v>
      </x:c>
      <x:c r="K15" s="22" t="str">
        <x:v>Sunset</x:v>
      </x:c>
      <x:c r="L15" s="22" t="str">
        <x:v>4:56 PM (1656)</x:v>
      </x:c>
      <x:c r="M15" s="22" t="str">
        <x:v>5 kt E, 4 ft W, clear and sunny.</x:v>
      </x:c>
      <x:c r="N15" s="22" t="str">
        <x:v>28</x:v>
      </x:c>
      <x:c r="O15" s="22" t="str"/>
      <x:c r="P15" s="26" t="n">
        <x:v>28</x:v>
      </x:c>
      <x:c r="Q15" s="26" t="str">
        <x:v>Two middle interval end times appear malformed on source; normalized to the expected 15-minute sequence.</x:v>
      </x:c>
      <x:c r="R15" s="26" t="n">
        <x:f>SUMIF(Observations!$C:$C,$C15,Observations!$O:$O)</x:f>
        <x:v>186</x:v>
      </x:c>
      <x:c r="S15" s="26" t="n">
        <x:f>SUMIF(Observations!$C:$C,$C15,Observations!$Q:$Q)</x:f>
        <x:v>164</x:v>
      </x:c>
      <x:c r="T15" s="26" t="n">
        <x:f>R15-S15</x:f>
        <x:v>22</x:v>
      </x:c>
      <x:c r="U15" s="26" t="n">
        <x:f>IF(P15="","",ABS(T15-P15))</x:f>
        <x:v>6</x:v>
      </x:c>
      <x:c r="V15" s="22" t="str">
        <x:f>IF(P15="","No reported count",IF(U15=0,"Balance matches","Review difference"))</x:f>
        <x:v>Review difference</x:v>
      </x:c>
    </x:row>
    <x:row r="16">
      <x:c r="A16" s="22" t="str">
        <x:v>2022-2026-Copalis-Mocrocks.pdf</x:v>
      </x:c>
      <x:c r="B16" s="22" t="n">
        <x:v>14</x:v>
      </x:c>
      <x:c r="C16" s="22" t="str">
        <x:v>P14</x:v>
      </x:c>
      <x:c r="D16" s="22" t="str">
        <x:v>Copalis Beach</x:v>
      </x:c>
      <x:c r="E16" s="22" t="str">
        <x:v>Ocean City North</x:v>
      </x:c>
      <x:c r="F16" s="24" t="n">
        <x:v>46102</x:v>
      </x:c>
      <x:c r="G16" s="22" t="str">
        <x:v>BB</x:v>
      </x:c>
      <x:c r="H16" s="28" t="n">
        <x:v>0</x:v>
      </x:c>
      <x:c r="I16" s="22" t="str">
        <x:v>ft</x:v>
      </x:c>
      <x:c r="J16" s="22" t="str">
        <x:v>8:43 AM (0843)</x:v>
      </x:c>
      <x:c r="K16" s="22" t="str">
        <x:v>Sunrise</x:v>
      </x:c>
      <x:c r="L16" s="22" t="str">
        <x:v>7:15 AM (0715)</x:v>
      </x:c>
      <x:c r="M16" s="22" t="str">
        <x:v>7 ft W, 10-second period swell; 5-10 kt WNW; partly cloudy/sunny.</x:v>
      </x:c>
      <x:c r="N16" s="22" t="str">
        <x:v>129</x:v>
      </x:c>
      <x:c r="O16" s="22" t="str"/>
      <x:c r="P16" s="26" t="n">
        <x:v>129</x:v>
      </x:c>
      <x:c r="Q16" s="26" t="str">
        <x:v>Notes: "@954" below table; right-margin notation appears to read "342/11" (uncertain).</x:v>
      </x:c>
      <x:c r="R16" s="26" t="n">
        <x:f>SUMIF(Observations!$C:$C,$C16,Observations!$O:$O)</x:f>
        <x:v>368</x:v>
      </x:c>
      <x:c r="S16" s="26" t="n">
        <x:f>SUMIF(Observations!$C:$C,$C16,Observations!$Q:$Q)</x:f>
        <x:v>241</x:v>
      </x:c>
      <x:c r="T16" s="26" t="n">
        <x:f>R16-S16</x:f>
        <x:v>127</x:v>
      </x:c>
      <x:c r="U16" s="26" t="n">
        <x:f>IF(P16="","",ABS(T16-P16))</x:f>
        <x:v>2</x:v>
      </x:c>
      <x:c r="V16" s="22" t="str">
        <x:f>IF(P16="","No reported count",IF(U16=0,"Balance matches","Review difference"))</x:f>
        <x:v>Review difference</x:v>
      </x:c>
    </x:row>
    <x:row r="17">
      <x:c r="A17" s="22" t="str">
        <x:v>2022-2026-Copalis-Mocrocks.pdf</x:v>
      </x:c>
      <x:c r="B17" s="22" t="n">
        <x:v>15</x:v>
      </x:c>
      <x:c r="C17" s="22" t="str">
        <x:v>P15</x:v>
      </x:c>
      <x:c r="D17" s="22" t="str">
        <x:v>Mocrocks Beach</x:v>
      </x:c>
      <x:c r="E17" s="22" t="str">
        <x:v>Roosevelt Beach Rd. South</x:v>
      </x:c>
      <x:c r="F17" s="24" t="n">
        <x:v>46145</x:v>
      </x:c>
      <x:c r="G17" s="22" t="str">
        <x:v>Bryce</x:v>
      </x:c>
      <x:c r="H17" s="28" t="n">
        <x:v>-0.8</x:v>
      </x:c>
      <x:c r="I17" s="22" t="str">
        <x:v>ft</x:v>
      </x:c>
      <x:c r="J17" s="22" t="str">
        <x:v>8:08 PM (0808) [AM/PM conflicts with 24-hour time and morning intervals]</x:v>
      </x:c>
      <x:c r="K17" s="22" t="str">
        <x:v>Sunrise</x:v>
      </x:c>
      <x:c r="L17" s="22" t="str">
        <x:v>5:57 AM (0557)</x:v>
      </x:c>
      <x:c r="M17" s="22" t="str">
        <x:v>5-10 kt NE, 5 ft W, sunny and clear.</x:v>
      </x:c>
      <x:c r="N17" s="22" t="str">
        <x:v>176</x:v>
      </x:c>
      <x:c r="O17" s="22" t="str"/>
      <x:c r="P17" s="26" t="n">
        <x:v>176</x:v>
      </x:c>
      <x:c r="Q17" s="26" t="str">
        <x:v>Tide time contains a source inconsistency: printed PM, but 24-hour value 0808 and intervals indicate morning.</x:v>
      </x:c>
      <x:c r="R17" s="26" t="n">
        <x:f>SUMIF(Observations!$C:$C,$C17,Observations!$O:$O)</x:f>
        <x:v>327</x:v>
      </x:c>
      <x:c r="S17" s="26" t="n">
        <x:f>SUMIF(Observations!$C:$C,$C17,Observations!$Q:$Q)</x:f>
        <x:v>156</x:v>
      </x:c>
      <x:c r="T17" s="26" t="n">
        <x:f>R17-S17</x:f>
        <x:v>171</x:v>
      </x:c>
      <x:c r="U17" s="26" t="n">
        <x:f>IF(P17="","",ABS(T17-P17))</x:f>
        <x:v>5</x:v>
      </x:c>
      <x:c r="V17" s="22" t="str">
        <x:f>IF(P17="","No reported count",IF(U17=0,"Balance matches","Review difference"))</x:f>
        <x:v>Review difference</x:v>
      </x:c>
    </x:row>
  </x:sheetData>
  <x:mergeCells>
    <x:mergeCell ref="A1:V1"/>
  </x:mergeCells>
  <x:conditionalFormatting sqref="U3:U17">
    <x:cfRule type="cellIs" dxfId="0" priority="1" operator="greaterThan">
      <x:formula>0</x:formula>
    </x:cfRule>
  </x:conditionalFormatting>
  <x:conditionalFormatting sqref="V3:V17">
    <x:cfRule type="expression" dxfId="1" priority="2">
      <x:formula>V3="Balance matches"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00b7e917c60416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2" hidden="0" customWidth="1"/>
    <x:col min="4" max="4" width="42" hidden="0" customWidth="1"/>
  </x:cols>
  <x:sheetData>
    <x:row r="1" ht="26" customHeight="1">
      <x:c r="A1" s="5" t="str">
        <x:v>Transcription Conventions and Review Notes</x:v>
      </x:c>
      <x:c r="B1" s="5"/>
      <x:c r="C1" s="5"/>
      <x:c r="D1" s="5"/>
    </x:row>
    <x:row r="3" ht="32" customHeight="1">
      <x:c r="A3" s="14" t="str">
        <x:v>Field / Topic</x:v>
      </x:c>
      <x:c r="B3" s="14" t="str">
        <x:v>Meaning</x:v>
      </x:c>
      <x:c r="C3" s="14" t="str">
        <x:v>Convention Used</x:v>
      </x:c>
      <x:c r="D3" s="14" t="str">
        <x:v>Review Guidance</x:v>
      </x:c>
    </x:row>
    <x:row r="4">
      <x:c r="A4" s="22" t="str">
        <x:v>Raw count fields</x:v>
      </x:c>
      <x:c r="B4" s="22" t="str">
        <x:v>Exactly what appears in the handwritten count cell.</x:v>
      </x:c>
      <x:c r="C4" s="22" t="str">
        <x:v>Numbers, blanks, dashes, X marks, and overwritten values are retained as text.</x:v>
      </x:c>
      <x:c r="D4" s="22" t="str">
        <x:v>Use these fields when auditing against the PDF.</x:v>
      </x:c>
    </x:row>
    <x:row r="5">
      <x:c r="A5" s="22" t="str">
        <x:v>Parsed count fields</x:v>
      </x:c>
      <x:c r="B5" s="22" t="str">
        <x:v>Numeric values used for calculations.</x:v>
      </x:c>
      <x:c r="C5" s="22" t="str">
        <x:v>Clear numbers are numeric. Blank cells that clearly represented zero are parsed as 0 and noted. Crossed-out or unobserved rows remain blank.</x:v>
      </x:c>
      <x:c r="D5" s="22" t="str">
        <x:v>Filter Entry Status and Transcription Note before analysis.</x:v>
      </x:c>
    </x:row>
    <x:row r="6">
      <x:c r="A6" s="22" t="str">
        <x:v>Entry Status</x:v>
      </x:c>
      <x:c r="B6" s="22" t="str">
        <x:v>Whether the interval was usable.</x:v>
      </x:c>
      <x:c r="C6" s="22" t="str">
        <x:v>Observed, Not recorded, or Crossed out.</x:v>
      </x:c>
      <x:c r="D6" s="22" t="str">
        <x:v>Only Observed rows contribute to calculated totals.</x:v>
      </x:c>
    </x:row>
    <x:row r="7">
      <x:c r="A7" s="22" t="str">
        <x:v>Cumulative columns</x:v>
      </x:c>
      <x:c r="B7" s="22" t="str">
        <x:v>Running ingress, egress, and vehicle balance.</x:v>
      </x:c>
      <x:c r="C7" s="22" t="str">
        <x:v>Formula-driven and reset by Datasheet ID.</x:v>
      </x:c>
      <x:c r="D7" s="22" t="str">
        <x:v>These are calculated fields, not handwritten values.</x:v>
      </x:c>
    </x:row>
    <x:row r="8">
      <x:c r="A8" s="22" t="str">
        <x:v>Calculated discrepancy</x:v>
      </x:c>
      <x:c r="B8" s="22" t="str">
        <x:v>Absolute difference between calculated balance and interpreted final count.</x:v>
      </x:c>
      <x:c r="C8" s="22" t="str">
        <x:v>Formula-driven in Datasheet Metadata.</x:v>
      </x:c>
      <x:c r="D8" s="22" t="str">
        <x:v>A nonzero result may reflect counting error, late start, early stop, or an unrecorded interval.</x:v>
      </x:c>
    </x:row>
    <x:row r="9">
      <x:c r="A9" s="22" t="str">
        <x:v>Page 6 overwrite</x:v>
      </x:c>
      <x:c r="B9" s="22" t="str">
        <x:v>Cars On for 1545-1600.</x:v>
      </x:c>
      <x:c r="C9" s="22" t="str">
        <x:v>Transcribed as 32 from the visible correction and exact balance check.</x:v>
      </x:c>
      <x:c r="D9" s="22" t="str">
        <x:v>Review PDF page 6 if a different interpretation is preferred.</x:v>
      </x:c>
    </x:row>
    <x:row r="10">
      <x:c r="A10" s="22" t="str">
        <x:v>Page 7 final count</x:v>
      </x:c>
      <x:c r="B10" s="22" t="str">
        <x:v>The number 73 is written on the discrepancy line while the count line is blank.</x:v>
      </x:c>
      <x:c r="C10" s="22" t="str">
        <x:v>Count Left Interpreted is 73; raw fields preserve the original placement.</x:v>
      </x:c>
      <x:c r="D10" s="22" t="str">
        <x:v>Review PDF page 7.</x:v>
      </x:c>
    </x:row>
    <x:row r="11">
      <x:c r="A11" s="22" t="str">
        <x:v>Page 13 times</x:v>
      </x:c>
      <x:c r="B11" s="22" t="str">
        <x:v>Two printed/handwritten interval end times appear malformed.</x:v>
      </x:c>
      <x:c r="C11" s="22" t="str">
        <x:v>Normalized to the expected 15-minute sequence: 1729-1744 and 1744-1759.</x:v>
      </x:c>
      <x:c r="D11" s="22" t="str">
        <x:v>Source wording is retained in row notes.</x:v>
      </x:c>
    </x:row>
    <x:row r="12">
      <x:c r="A12" s="22" t="str">
        <x:v>Page 15 tide time</x:v>
      </x:c>
      <x:c r="B12" s="22" t="str">
        <x:v>Printed AM/PM conflicts with the 24-hour value and morning intervals.</x:v>
      </x:c>
      <x:c r="C12" s="22" t="str">
        <x:v>Tide time is retained exactly as written, with the conflict noted.</x:v>
      </x:c>
      <x:c r="D12" s="22" t="str">
        <x:v>Treat the event as 0808 unless source documentation says otherwise.</x:v>
      </x:c>
    </x:row>
    <x:row r="13">
      <x:c r="A13" s="22" t="str">
        <x:v>Source</x:v>
      </x:c>
      <x:c r="B13" s="22" t="str">
        <x:v>Original scanned datasheets.</x:v>
      </x:c>
      <x:c r="C13" s="22" t="str">
        <x:v>2022-2026-Copalis-Mocrocks.pdf, pages 1-15.</x:v>
      </x:c>
      <x:c r="D13" s="22" t="str">
        <x:v>PDF page number is included on every record.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e8d61509544a4442"/>
  </x:tableParts>
</x:worksheet>
</file>