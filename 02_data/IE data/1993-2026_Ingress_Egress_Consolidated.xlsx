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1.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8.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Read_Me" sheetId="1" state="visible" r:id="rId3"/>
    <sheet name="File_Manifest" sheetId="2" state="visible" r:id="rId4"/>
    <sheet name="Survey_Inventory" sheetId="3" state="visible" r:id="rId5"/>
    <sheet name="Survey_Counts" sheetId="4" state="visible" r:id="rId6"/>
    <sheet name="Pct_Available_Matrix" sheetId="5" state="visible" r:id="rId7"/>
    <sheet name="Coverage" sheetId="6" state="visible" r:id="rId8"/>
    <sheet name="Published_Tables" sheetId="7" state="visible" r:id="rId9"/>
    <sheet name="Reference_Tables_Pct" sheetId="8" state="visible" r:id="rId10"/>
    <sheet name="Table_Provenance" sheetId="9" state="visible" r:id="rId11"/>
    <sheet name="Reconstructed_Surveys" sheetId="10" state="visible" r:id="rId12"/>
    <sheet name="Data_Issues" sheetId="11" state="visible" r:id="rId13"/>
  </sheets>
  <definedNames>
    <definedName function="false" hidden="true" localSheetId="10" name="_xlnm._FilterDatabase" vbProcedure="false">Data_Issues!$A$1:$G$21</definedName>
    <definedName function="false" hidden="true" localSheetId="1" name="_xlnm._FilterDatabase" vbProcedure="false">File_Manifest!$A$1:$F$36</definedName>
    <definedName function="false" hidden="true" localSheetId="9" name="_xlnm._FilterDatabase" vbProcedure="false">Reconstructed_Surveys!$A$1:$M$94</definedName>
    <definedName function="false" hidden="true" localSheetId="7" name="_xlnm._FilterDatabase" vbProcedure="false">Reference_Tables_Pct!$A$1:$J$88</definedName>
    <definedName function="false" hidden="true" localSheetId="3" name="_xlnm._FilterDatabase" vbProcedure="false">Survey_Counts!$A$1:$Q$930</definedName>
    <definedName function="false" hidden="true" localSheetId="2" name="_xlnm._FilterDatabase" vbProcedure="false">Survey_Inventory!$A$1:$AB$56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<sst xmlns="http://schemas.openxmlformats.org/spreadsheetml/2006/main" count="7181" uniqueCount="785">
  <si>
    <t xml:space="preserve">WDFW Coastal Razor Clam: Consolidated Ingress / Egress (Egress Survey) Data</t>
  </si>
  <si>
    <t xml:space="preserve">Compiled 09 July 2026 from every ingress/egress source located in the project file set plus the uploaded Access database. Revised 10 July 2026 to add eleven Copalis and Mocrocks surveys, 2024 to 2026, transcribed from the scanned field sheets in 2022-2026-Copalis-Mocrocks.pdf.</t>
  </si>
  <si>
    <t xml:space="preserve">What an egress survey is</t>
  </si>
  <si>
    <t xml:space="preserve">Staff are posted at each beach access point from three hours before published low water until two hours after, counting cars on and cars off in 15 minute intervals. The cumulative difference (cars on minus cars off) is the number of cars on the beach at any instant. Dividing that by the total cars on for the whole window gives the '% available for beach count' curve. That curve is the expansion table used to derive the correction factor applied to the roving beach count.</t>
  </si>
  <si>
    <t xml:space="preserve">Sheets</t>
  </si>
  <si>
    <t xml:space="preserve">File_Manifest ...... every file examined, its content hash, its role, and whether it is a duplicate.</t>
  </si>
  <si>
    <t xml:space="preserve">Survey_Inventory ... one row per survey record (55 records covering 38 distinct surveys: 6 Long Beach, 7 Twin Harbors, 9 Copalis, 13 Mocrocks, 0 Kalaloch). Records marked use_for_pooling = No are duplicates or excluded.</t>
  </si>
  <si>
    <t xml:space="preserve">Coverage ........... surveys per beach per year, and per beach per condition. Shows the 2012-2021 blackout and the total absence of Kalaloch.</t>
  </si>
  <si>
    <t xml:space="preserve">Survey_Counts ...... the raw 15-minute cars-on / cars-off counts in long format, with live formulas for cumulative counts, cars on beach, and % available.</t>
  </si>
  <si>
    <t xml:space="preserve">Pct_Available_Matrix  the % available curve for every survey, bins down the rows, surveys across the columns.</t>
  </si>
  <si>
    <t xml:space="preserve">Published_Tables ... the eight dated evening expansion tables and the five Master_Tables reference tables, as published.</t>
  </si>
  <si>
    <t xml:space="preserve">Table_Provenance ... which surveys compose each published and reference table, and the verification result. All thirteen reproduce exactly from the surveys named.</t>
  </si>
  <si>
    <t xml:space="preserve">Reconstructed_Surveys  four evening surveys that are in no file, but whose exact bin-by-bin counts are recoverable by differencing successive published tables, plus the recovered bin split of database record DB-04. Every bin-wise difference is non-negative, which is what pure accumulation predicts and smoothing would not. This recovers the counts; it does not independently validate the tables, since the tables are the input.</t>
  </si>
  <si>
    <t xml:space="preserve">Data_Issues ........ 20 numbered defects found while reconciling, with evidence, effect and recommendation.</t>
  </si>
  <si>
    <t xml:space="preserve">Bin convention</t>
  </si>
  <si>
    <t xml:space="preserve">Bins are named by their position relative to published low water, counting down before low water and up after. 'Prior to start' holds cars already on the beach when counting began. Ordinal 0 = Prior to start, 1 = 3:30-3:15 before low, ..., 14 = 0:15-0:00 before low, 15 = 0:00-0:15 after low, ..., 22 = 1:45-2:00 after low. min_from_low is the signed minutes from low water at the start of the bin.</t>
  </si>
  <si>
    <t xml:space="preserve">Two things that vary between surveys, and matter</t>
  </si>
  <si>
    <t xml:space="preserve">Approach. Long Beach was surveyed at the Seaview approach (south, to Beard's Hollow) and at the Oysterville approach (north, to Leadbetter Point) on consecutive days in April 2004; the north survey is more than ten times larger. The 1998 and 1990 Long Beach sheets are north-only. Twin Harbors 1998 combines five approaches (Bonge, Grayland, County Line, Midway, North Cove); Mocrocks 1998 combines three (Moclips, Trestle, Roosevelt); Twin Harbors 2004 combines Grayland and Bonge. The Access database records NO approach at all. Pooling across approaches without recording which is a hidden stratification.</t>
  </si>
  <si>
    <t xml:space="preserve">Condition. Daylight, evening (low water near or after sunset), and weather are distinct effort regimes and produce distinct curves. The Access database carries an Evening? flag; the workbooks carry sunrise/sunset lines. Master_Tables.xls keeps separate Copalis daylight and near-dark tables, and separate Mocrocks daylight and poor-weather tables. The dated 'Cumulative Ingress' tables are evening only.</t>
  </si>
  <si>
    <t xml:space="preserve">Window start</t>
  </si>
  <si>
    <t xml:space="preserve">Surveys do not all start at the same offset. Some begin 3:30 before low water, most begin 3:00 before. A survey's 'Prior to start' is anchored to its own window, not to a common clock. When surveys with different windows are pooled, the program has folded the later-starting survey's prior-to-start into the bin immediately preceding its first counted bin (verified for the Copalis 03-Nov-2010 table), but has not always done so (the Twin Harbors 24-Sep-2013 table simply sums the priors). See Data_Issues #7.</t>
  </si>
  <si>
    <t xml:space="preserve">Beaches</t>
  </si>
  <si>
    <t xml:space="preserve">Long Beach, Twin Harbors, Copalis and Mocrocks all have survey data. Kalaloch has none. The 'Kalaloch Daylight Table' in Master_Tables.xls is, to sixteen significant figures, the Mocrocks 01-Apr-1998 survey. See Data_Issues #1.</t>
  </si>
  <si>
    <t xml:space="preserve">Caveats</t>
  </si>
  <si>
    <t xml:space="preserve">Counts are cars, not diggers. People-per-car (2.26 to 2.98 in 1998) is a separate parameter and is not reconciled here.</t>
  </si>
  <si>
    <t xml:space="preserve">A blank bin means the source did not record that interval. It does not mean zero. Rows are omitted outside each survey's counting window rather than filled with zeros.</t>
  </si>
  <si>
    <t xml:space="preserve">pct_available is recomputed here as cars_on_beach / total cars-on across the survey window. pct_available_as_reported is what the source sheet itself printed. Where they differ, the source used a different denominator; see the check_delta column and Data_Issues #9.</t>
  </si>
  <si>
    <t xml:space="preserve">This workbook does not re-derive the operational correction factors and does not touch the harvest database. It is a source-of-truth compilation.</t>
  </si>
  <si>
    <t xml:space="preserve">2026-07-10 revision</t>
  </si>
  <si>
    <t xml:space="preserve">Eleven new surveys were added from 2022-2026-Copalis-Mocrocks.pdf, a 15-page scan of the paper field sheets. Pages 1 to 4 duplicate the four typed 2022 and 2023 workbooks already in this file and were not re-added. Pages 5 to 15 are new: three Copalis daylight, three Copalis evening, three Mocrocks daylight, two Mocrocks evening.</t>
  </si>
  <si>
    <t xml:space="preserve">Transcription quality. The transcription's own cumulative columns reconcile with its parsed counts on 15 of 15 pages. Against the typed workbooks, pages 1, 2 and 3 agree on 102 of 102 count values. Page 4 disagrees in exactly one cell, adjudicated in Data_Issues #16. That is 135 of 136 values, and the single exception is explained.</t>
  </si>
  <si>
    <t xml:space="preserve">What this changes. The Copalis evening record goes from three surveys to six and the Mocrocks evening record from four to six. Those are the tables that set the correction-factor floor on effort at both beaches. The Copalis daylight record goes from one usable survey to six and the Mocrocks daylight record from four to seven; before this, the operational Copalis daylight table rested on a single day in April 2004 and could not be given an error bar at all.</t>
  </si>
  <si>
    <t xml:space="preserve">What it does not change. Long Beach and Twin Harbors have had no egress survey since 2011. The 2012 to 2021 blackout is untouched. And every survey from 2022 onward stops one hour after low water rather than two, so it cannot be pooled with the older full-window surveys past bin 18 without carrying its unreleased cars forward.</t>
  </si>
  <si>
    <t xml:space="preserve">File</t>
  </si>
  <si>
    <t xml:space="preserve">Type</t>
  </si>
  <si>
    <t xml:space="preserve">Role</t>
  </si>
  <si>
    <t xml:space="preserve">md5 (12)</t>
  </si>
  <si>
    <t xml:space="preserve">Size (bytes)</t>
  </si>
  <si>
    <t xml:space="preserve">Notes / duplicate of</t>
  </si>
  <si>
    <t xml:space="preserve">Razor_Clam_Ingress.accdb</t>
  </si>
  <si>
    <t xml:space="preserve">Access database</t>
  </si>
  <si>
    <t xml:space="preserve">Primary</t>
  </si>
  <si>
    <t xml:space="preserve">ed2fb9d05693</t>
  </si>
  <si>
    <t xml:space="preserve">20 egress events, 2004-2011, all five beaches in the lookup but Kalaloch has none. Tables: Event Data, Cars On, Cars Off, LUT Beach Name, LUT Sampler.  [uploaded]</t>
  </si>
  <si>
    <t xml:space="preserve">Ingress_form_April_2004.xlsx</t>
  </si>
  <si>
    <t xml:space="preserve">Survey workbook</t>
  </si>
  <si>
    <t xml:space="preserve">5d010e744dda</t>
  </si>
  <si>
    <t xml:space="preserve">Five surveys, April 2004: Longbeach South (Seaview), Longbeach North (Oysterville), Twin Harbors, Copalis, Mocrocks. Also blank per-approach field sheets.</t>
  </si>
  <si>
    <t xml:space="preserve">EGRESS_MASTER.xlsx</t>
  </si>
  <si>
    <t xml:space="preserve">Duplicate</t>
  </si>
  <si>
    <t xml:space="preserve">54d768612b25</t>
  </si>
  <si>
    <t xml:space="preserve">Survey sheets are cell-for-cell identical to Ingress_form_April_2004.xlsx. Adds derived 'Copalis Table' and 'Mocrocks Table'.  [= Ingress_form_April_2004.xlsx]</t>
  </si>
  <si>
    <t xml:space="preserve">Ingress_form_Nov_2006.xls</t>
  </si>
  <si>
    <t xml:space="preserve">11c973a04648</t>
  </si>
  <si>
    <t xml:space="preserve">Mocrocks, 04-Nov-2006, evening, poor weather.</t>
  </si>
  <si>
    <t xml:space="preserve">20061104Mockrocks.xls</t>
  </si>
  <si>
    <t xml:space="preserve">Byte-identical to Ingress_form_Nov_2006.xls.  [md5 11c973a04648]</t>
  </si>
  <si>
    <t xml:space="preserve">Ingress_form_November_13_2008.xls</t>
  </si>
  <si>
    <t xml:space="preserve">9844d0b89276</t>
  </si>
  <si>
    <t xml:space="preserve">Copalis and Mocrocks, 13-Nov-2008, evening (low water 1h44m after sunset).</t>
  </si>
  <si>
    <t xml:space="preserve">2008113MocrocksCopalis.xls</t>
  </si>
  <si>
    <t xml:space="preserve">9f00d5673476</t>
  </si>
  <si>
    <t xml:space="preserve">Cell-for-cell identical to Ingress_form_November_13_2008.xls (different byte stream).</t>
  </si>
  <si>
    <t xml:space="preserve">Ingress__Copalis__April_02_2022.xlsx</t>
  </si>
  <si>
    <t xml:space="preserve">895dde5a36d9</t>
  </si>
  <si>
    <t xml:space="preserve">Copalis, Ocean City North approach, 02-Apr-2022.</t>
  </si>
  <si>
    <t xml:space="preserve">Ingress__Mocrocks__April_03_2022.xlsx</t>
  </si>
  <si>
    <t xml:space="preserve">e2d351b1ab45</t>
  </si>
  <si>
    <t xml:space="preserve">Mocrocks, Roosevelt App. South, 03-Apr-2022.</t>
  </si>
  <si>
    <t xml:space="preserve">Ingress__Copalis__April_24_2023.xlsx</t>
  </si>
  <si>
    <t xml:space="preserve">354335c3c28e</t>
  </si>
  <si>
    <t xml:space="preserve">Copalis, Ocean City North approach, 24-Apr-2023.</t>
  </si>
  <si>
    <t xml:space="preserve">Ingress__Mocrocks__April_25_2023.xlsx</t>
  </si>
  <si>
    <t xml:space="preserve">e90675cd713a</t>
  </si>
  <si>
    <t xml:space="preserve">Mocrocks, Roosevelt App. South, 25-Apr-2023.</t>
  </si>
  <si>
    <t xml:space="preserve">lb98s.xlsx</t>
  </si>
  <si>
    <t xml:space="preserve">Legacy summary</t>
  </si>
  <si>
    <t xml:space="preserve">c8448a873688</t>
  </si>
  <si>
    <t xml:space="preserve">Long Beach, Oysterville NORTH ONLY, 27-Mar-1998. Quattro Pro conversion.</t>
  </si>
  <si>
    <t xml:space="preserve">moc98s.xlsx</t>
  </si>
  <si>
    <t xml:space="preserve">deb98e6f46e6</t>
  </si>
  <si>
    <t xml:space="preserve">Mocrocks, 01-Apr-1998, summary plus Moclips / Trestle / Roosevelt approach sheets.</t>
  </si>
  <si>
    <t xml:space="preserve">th98s.xlsx</t>
  </si>
  <si>
    <t xml:space="preserve">634cdeb65bdf</t>
  </si>
  <si>
    <t xml:space="preserve">Twin Harbors, 31-Mar-1998, summary plus five approach sheets.</t>
  </si>
  <si>
    <t xml:space="preserve">19900511longbeachnorthonly.xlsx</t>
  </si>
  <si>
    <t xml:space="preserve">Conflict</t>
  </si>
  <si>
    <t xml:space="preserve">31f53693b495</t>
  </si>
  <si>
    <t xml:space="preserve">Counts identical to lb98s.xlsx but dated 11-MAY-1990. Both dates are Fridays with a 1757 -0.2 tide in the header.</t>
  </si>
  <si>
    <t xml:space="preserve">Longbeach_Evening_Tides_Cumulative_Ingress.pdf</t>
  </si>
  <si>
    <t xml:space="preserve">Published table</t>
  </si>
  <si>
    <t xml:space="preserve">520ee05688a1</t>
  </si>
  <si>
    <t xml:space="preserve">Long Beach evening table, updated 25-Jan-2011. NOTE: the file is an XLSX/zip container, not a PDF.</t>
  </si>
  <si>
    <t xml:space="preserve">20110125Longbeach_Evening_Tides_Cumulative_Ingress.pdf</t>
  </si>
  <si>
    <t xml:space="preserve">bc9543230720</t>
  </si>
  <si>
    <t xml:space="preserve">Same table content as the above.</t>
  </si>
  <si>
    <t xml:space="preserve">Longbeach_Evening_Tides_Cumulative_Ingress_20130918.pdf</t>
  </si>
  <si>
    <t xml:space="preserve">51d1bd1aa12e</t>
  </si>
  <si>
    <t xml:space="preserve">Long Beach evening table, updated 11-Feb-2013. The filename date (20130918) does not match the 'Updated on' date in the table.</t>
  </si>
  <si>
    <t xml:space="preserve">20130211Longbeach_Evening_Tides_Cumulative_Ingress.pdf</t>
  </si>
  <si>
    <t xml:space="preserve">f50c097dd54a</t>
  </si>
  <si>
    <t xml:space="preserve">Same table content as the above; filename date agrees with the table.</t>
  </si>
  <si>
    <t xml:space="preserve">Twin_Harbors_Evening_Tides_Cumulative_Ingress.pdf</t>
  </si>
  <si>
    <t xml:space="preserve">f5a985caa6ee</t>
  </si>
  <si>
    <t xml:space="preserve">Twin Harbors evening table, updated 25-Jan-2011.</t>
  </si>
  <si>
    <t xml:space="preserve">20110125Twin_Harbors_Evening_Tides_Cumulative_Ingress.pdf</t>
  </si>
  <si>
    <t xml:space="preserve">b8a566933286</t>
  </si>
  <si>
    <t xml:space="preserve">Same table content.</t>
  </si>
  <si>
    <t xml:space="preserve">Twin_Harbors_Evening_Tides_Cumulative_Ingress_Sept_24_2013.pdf</t>
  </si>
  <si>
    <t xml:space="preserve">28d56f9206b7</t>
  </si>
  <si>
    <t xml:space="preserve">Twin Harbors evening table, updated 24-Sep-2013.</t>
  </si>
  <si>
    <t xml:space="preserve">20130924Twin_Harbors_Evening_Tides_Cumulative_Ingress.pdf</t>
  </si>
  <si>
    <t xml:space="preserve">83df61da4d38</t>
  </si>
  <si>
    <t xml:space="preserve">Copalis_Evening_Tides_Cumulative_Ingress.pdf</t>
  </si>
  <si>
    <t xml:space="preserve">86cfb978f629</t>
  </si>
  <si>
    <t xml:space="preserve">Copalis evening table, updated 03-Nov-2010. NOT a duplicate of the 20121219 file.</t>
  </si>
  <si>
    <t xml:space="preserve">20121219Copalis_Evening_Tides_Cumulative_Ingress.pdf</t>
  </si>
  <si>
    <t xml:space="preserve">7e645f0cfb91</t>
  </si>
  <si>
    <t xml:space="preserve">Copalis evening table, updated 19-Dec-2012.</t>
  </si>
  <si>
    <t xml:space="preserve">Mocrocks_Evening_Tides_Cumulative_Ingress.pdf</t>
  </si>
  <si>
    <t xml:space="preserve">d48a64b29a5d</t>
  </si>
  <si>
    <t xml:space="preserve">Mocrocks evening table, updated 03-Nov-2010.</t>
  </si>
  <si>
    <t xml:space="preserve">20101103Mocrocks_Evening_Tides_Cumulative_Ingress.pdf</t>
  </si>
  <si>
    <t xml:space="preserve">095bac3c35d9</t>
  </si>
  <si>
    <t xml:space="preserve">Mocrocks_Evening_Tides_Cumulative_Ingress_20130918.pdf</t>
  </si>
  <si>
    <t xml:space="preserve">fd7035c3e356</t>
  </si>
  <si>
    <t xml:space="preserve">Mocrocks evening table, updated 18-Sep-2013.</t>
  </si>
  <si>
    <t xml:space="preserve">20130918Mocrocks_Evening_Tides_Cumulative_Ingress.pdf</t>
  </si>
  <si>
    <t xml:space="preserve">c77d23619f5c</t>
  </si>
  <si>
    <t xml:space="preserve">Master_Tables.xls</t>
  </si>
  <si>
    <t xml:space="preserve">Reference tables</t>
  </si>
  <si>
    <t xml:space="preserve">cb35a44c5bad</t>
  </si>
  <si>
    <t xml:space="preserve">Copalis daylight, Copalis near-dark, Mocrocks daylight, Mocrocks daylight/poor-weather, Kalaloch daylight. Each is a single survey, not a pool.</t>
  </si>
  <si>
    <t xml:space="preserve">Kalaloch_Ingress_Egress.xls</t>
  </si>
  <si>
    <t xml:space="preserve">Reference table</t>
  </si>
  <si>
    <t xml:space="preserve">Derived</t>
  </si>
  <si>
    <t xml:space="preserve">8fd82222a2a8</t>
  </si>
  <si>
    <t xml:space="preserve">'summary' sheet is the % available column of moc98s.xlsx (Mocrocks, 01-Apr-1998) to 16 significant figures, plus its cars-left value 303. Approach sheets B-F are empty.</t>
  </si>
  <si>
    <t xml:space="preserve">Kalaloch_Ingress_Egress_April_2004.xlsx</t>
  </si>
  <si>
    <t xml:space="preserve">443423c995d1</t>
  </si>
  <si>
    <t xml:space="preserve">Same 13 values as Kalaloch_Ingress_Egress.xls, without the trailing 303 / 15.</t>
  </si>
  <si>
    <t xml:space="preserve">Ingress_Egress_review.xls</t>
  </si>
  <si>
    <t xml:space="preserve">Analysis worksheet</t>
  </si>
  <si>
    <t xml:space="preserve">Do not use as source</t>
  </si>
  <si>
    <t xml:space="preserve">0c1fe33d849c</t>
  </si>
  <si>
    <t xml:space="preserve">Comparison sheet, Mocrocks and Copalis. Columns are misaligned and mislabelled. Useful only as independent corroboration; see Data_Issues #5 and #6.</t>
  </si>
  <si>
    <t xml:space="preserve">INGRESSPLAN98.docx</t>
  </si>
  <si>
    <t xml:space="preserve">Protocol</t>
  </si>
  <si>
    <t xml:space="preserve">Context</t>
  </si>
  <si>
    <t xml:space="preserve">504545fcb103</t>
  </si>
  <si>
    <t xml:space="preserve">1998 ingress survey plan.</t>
  </si>
  <si>
    <t xml:space="preserve">AM_vs_PM_tides.xls</t>
  </si>
  <si>
    <t xml:space="preserve">Not ingress data</t>
  </si>
  <si>
    <t xml:space="preserve">Excluded</t>
  </si>
  <si>
    <t xml:space="preserve">729488f4fa58</t>
  </si>
  <si>
    <t xml:space="preserve">Days open on AM vs PM tides by season, 1998-2002. No car counts.</t>
  </si>
  <si>
    <t xml:space="preserve">2022-2026-Copalis-Mocrocks.pdf</t>
  </si>
  <si>
    <t xml:space="preserve">Scanned field sheets (PDF)</t>
  </si>
  <si>
    <t xml:space="preserve">Primary source</t>
  </si>
  <si>
    <t xml:space="preserve">4f30b30ae271</t>
  </si>
  <si>
    <t xml:space="preserve">15 pages, 300 dpi images, no text layer. Pages 1-4 duplicate the four typed 2022/2023 workbooks; pages 5-15 are new.</t>
  </si>
  <si>
    <t xml:space="preserve">Copalis_Mocrocks_Ingress_Egress_Transcription.xlsx</t>
  </si>
  <si>
    <t xml:space="preserve">Transcription workbook</t>
  </si>
  <si>
    <t xml:space="preserve">Primary source (transcribed)</t>
  </si>
  <si>
    <t xml:space="preserve">2b1071e9d376</t>
  </si>
  <si>
    <t xml:space="preserve">Manual transcription of the 15 scanned sheets. Cumulative columns reconcile with the parsed counts on 15 of 15 pages. Pages 1-3 match the typed workbooks on 102 of 102 values; page 4 differs in one cell (Data_Issues #16).</t>
  </si>
  <si>
    <t xml:space="preserve">survey_key</t>
  </si>
  <si>
    <t xml:space="preserve">beach</t>
  </si>
  <si>
    <t xml:space="preserve">approach / sub-beach</t>
  </si>
  <si>
    <t xml:space="preserve">date</t>
  </si>
  <si>
    <t xml:space="preserve">day</t>
  </si>
  <si>
    <t xml:space="preserve">condition</t>
  </si>
  <si>
    <t xml:space="preserve">tide_time</t>
  </si>
  <si>
    <t xml:space="preserve">tide_ft</t>
  </si>
  <si>
    <t xml:space="preserve">sampler(s)</t>
  </si>
  <si>
    <t xml:space="preserve">weather</t>
  </si>
  <si>
    <t xml:space="preserve">wind</t>
  </si>
  <si>
    <t xml:space="preserve">surf</t>
  </si>
  <si>
    <t xml:space="preserve">window_first_bin</t>
  </si>
  <si>
    <t xml:space="preserve">window_last_bin</t>
  </si>
  <si>
    <t xml:space="preserve">n_bins</t>
  </si>
  <si>
    <t xml:space="preserve">total_cars_on</t>
  </si>
  <si>
    <t xml:space="preserve">total_cars_off</t>
  </si>
  <si>
    <t xml:space="preserve">cars_left_in_area</t>
  </si>
  <si>
    <t xml:space="preserve">implied_discrepancy</t>
  </si>
  <si>
    <t xml:space="preserve">peak_pct_available</t>
  </si>
  <si>
    <t xml:space="preserve">peak_bin</t>
  </si>
  <si>
    <t xml:space="preserve">use_for_pooling</t>
  </si>
  <si>
    <t xml:space="preserve">reason_excluded</t>
  </si>
  <si>
    <t xml:space="preserve">source_type</t>
  </si>
  <si>
    <t xml:space="preserve">source_file</t>
  </si>
  <si>
    <t xml:space="preserve">source_sheet</t>
  </si>
  <si>
    <t xml:space="preserve">notes</t>
  </si>
  <si>
    <t xml:space="preserve">qc_flag</t>
  </si>
  <si>
    <t xml:space="preserve">DB-18</t>
  </si>
  <si>
    <t xml:space="preserve">Copalis</t>
  </si>
  <si>
    <t xml:space="preserve">(not recorded)</t>
  </si>
  <si>
    <t xml:space="preserve">Friday</t>
  </si>
  <si>
    <t xml:space="preserve">Daylight</t>
  </si>
  <si>
    <t xml:space="preserve">09:43</t>
  </si>
  <si>
    <t xml:space="preserve">Terry Wilson</t>
  </si>
  <si>
    <t xml:space="preserve">Overcast, with showers</t>
  </si>
  <si>
    <t xml:space="preserve">SW, 5 - 15</t>
  </si>
  <si>
    <t xml:space="preserve">Low+</t>
  </si>
  <si>
    <t xml:space="preserve">Prior to start</t>
  </si>
  <si>
    <t xml:space="preserve">1:00 - 1:15</t>
  </si>
  <si>
    <t xml:space="preserve">1:15 - 1:00</t>
  </si>
  <si>
    <t xml:space="preserve">No</t>
  </si>
  <si>
    <t xml:space="preserve">Superseded by WB-COP-2004-04-23 (same survey, primary source)</t>
  </si>
  <si>
    <t xml:space="preserve">Access DB</t>
  </si>
  <si>
    <t xml:space="preserve">Event Data ID=18</t>
  </si>
  <si>
    <t xml:space="preserve">WB-COP-2004-04-23</t>
  </si>
  <si>
    <t xml:space="preserve">Ocean City Approach</t>
  </si>
  <si>
    <t xml:space="preserve">T. Wilson</t>
  </si>
  <si>
    <t xml:space="preserve">Overcast with showers</t>
  </si>
  <si>
    <t xml:space="preserve">SW 5-15 mph</t>
  </si>
  <si>
    <t xml:space="preserve">Yes</t>
  </si>
  <si>
    <t xml:space="preserve">Ingress_form_April_2004.xlsx (=EGRESS_MASTER.xlsx)</t>
  </si>
  <si>
    <t xml:space="preserve">DB-17</t>
  </si>
  <si>
    <t xml:space="preserve">Thursday</t>
  </si>
  <si>
    <t xml:space="preserve">Evening</t>
  </si>
  <si>
    <t xml:space="preserve">18:27</t>
  </si>
  <si>
    <t xml:space="preserve">Clayton Parson</t>
  </si>
  <si>
    <t xml:space="preserve">Clear skies, no rain</t>
  </si>
  <si>
    <t xml:space="preserve">SW, 0 - 5</t>
  </si>
  <si>
    <t xml:space="preserve">High</t>
  </si>
  <si>
    <t xml:space="preserve">0:45 - 1:00</t>
  </si>
  <si>
    <t xml:space="preserve">2:00 - 1:45</t>
  </si>
  <si>
    <t xml:space="preserve">Superseded by WB-COP-2008-11-13 (same survey, primary source)</t>
  </si>
  <si>
    <t xml:space="preserve">Event Data ID=17</t>
  </si>
  <si>
    <t xml:space="preserve">WB-COP-2008-11-13</t>
  </si>
  <si>
    <t xml:space="preserve">C. Parson</t>
  </si>
  <si>
    <t xml:space="preserve">Clear skies, no rain. Sunset 4:43 PM</t>
  </si>
  <si>
    <t xml:space="preserve">SW 0-5 mph</t>
  </si>
  <si>
    <t xml:space="preserve">Ingress_form_November_13_2008.xls (=2008113MocrocksCopalis.xls)</t>
  </si>
  <si>
    <t xml:space="preserve">DB-20</t>
  </si>
  <si>
    <t xml:space="preserve">19:42</t>
  </si>
  <si>
    <t xml:space="preserve">John Deibert</t>
  </si>
  <si>
    <t xml:space="preserve">Overcast with occasional sunbreaks</t>
  </si>
  <si>
    <t xml:space="preserve">S, 5 - 15</t>
  </si>
  <si>
    <t xml:space="preserve">Moderate, 6 - 8 ft.</t>
  </si>
  <si>
    <t xml:space="preserve">1:45 - 1:30</t>
  </si>
  <si>
    <t xml:space="preserve">Event Data ID=20</t>
  </si>
  <si>
    <t xml:space="preserve">DB-19</t>
  </si>
  <si>
    <t xml:space="preserve">10:33</t>
  </si>
  <si>
    <t xml:space="preserve">Travis Haring</t>
  </si>
  <si>
    <t xml:space="preserve">1:00 - 0:45</t>
  </si>
  <si>
    <t xml:space="preserve">Event Data ID=19</t>
  </si>
  <si>
    <t xml:space="preserve">WB-COP-2022-04-02</t>
  </si>
  <si>
    <t xml:space="preserve">Ocean City North</t>
  </si>
  <si>
    <t xml:space="preserve">Saturday</t>
  </si>
  <si>
    <t xml:space="preserve">08:07</t>
  </si>
  <si>
    <t xml:space="preserve">Blumenthal</t>
  </si>
  <si>
    <t xml:space="preserve">Sunrise 6:51 AM</t>
  </si>
  <si>
    <t xml:space="preserve">0:45 - 0:30</t>
  </si>
  <si>
    <t xml:space="preserve">Calculation Sheet</t>
  </si>
  <si>
    <t xml:space="preserve">WB-COP-2023-04-24</t>
  </si>
  <si>
    <t xml:space="preserve">Monday</t>
  </si>
  <si>
    <t xml:space="preserve">10:14</t>
  </si>
  <si>
    <t xml:space="preserve">BB / TZ / CF</t>
  </si>
  <si>
    <t xml:space="preserve">Sunrise 6:13 AM</t>
  </si>
  <si>
    <t xml:space="preserve">WB-LB-1990-05-11</t>
  </si>
  <si>
    <t xml:space="preserve">Longbeach</t>
  </si>
  <si>
    <t xml:space="preserve">Oysterville approach, NORTH ONLY</t>
  </si>
  <si>
    <t xml:space="preserve">17:57</t>
  </si>
  <si>
    <t xml:space="preserve">1:30 - 1:45</t>
  </si>
  <si>
    <t xml:space="preserve">Counts identical to WB-LB-1998-03-27; date conflict unresolved</t>
  </si>
  <si>
    <t xml:space="preserve">Survey workbook (legacy)</t>
  </si>
  <si>
    <t xml:space="preserve">Sheet1</t>
  </si>
  <si>
    <t xml:space="preserve">Counts are identical to lb98s.xlsx (27-MAR-1998). One of the two dates is wrong. DO NOT POOL BOTH.</t>
  </si>
  <si>
    <t xml:space="preserve">Counts byte-identical to lb98s.xlsx (27-MAR-1998). Exactly one of the two dates is correct.</t>
  </si>
  <si>
    <t xml:space="preserve">WB-LB-1998-03-27</t>
  </si>
  <si>
    <t xml:space="preserve">Mod-high surf; showers; partly cloudy; SW wind 0-5 mph; cold</t>
  </si>
  <si>
    <t xml:space="preserve">Mod-high</t>
  </si>
  <si>
    <t xml:space="preserve">Majority of effort was north of the Oysterville approach this season. Byte-identical counts appear in 19900511longbeachnorthonly.xlsx dated 11-MAY-90.</t>
  </si>
  <si>
    <t xml:space="preserve">'% avail' in source divides by accumulated cars-on at the 0:45-1:00 row (2333), not the window total (2344).</t>
  </si>
  <si>
    <t xml:space="preserve">DB-08</t>
  </si>
  <si>
    <t xml:space="preserve">09:06</t>
  </si>
  <si>
    <t xml:space="preserve">Polo Sanchez</t>
  </si>
  <si>
    <t xml:space="preserve">1:30 - 1:15</t>
  </si>
  <si>
    <t xml:space="preserve">Superseded by WB-LB-2004-04-22 (same survey, primary source)</t>
  </si>
  <si>
    <t xml:space="preserve">Event Data ID=8</t>
  </si>
  <si>
    <t xml:space="preserve">WB-LB-2004-04-22</t>
  </si>
  <si>
    <t xml:space="preserve">Oysterville Approach, north to Leadbetter Point</t>
  </si>
  <si>
    <t xml:space="preserve">Sanchez</t>
  </si>
  <si>
    <t xml:space="preserve">Longbeach - North</t>
  </si>
  <si>
    <t xml:space="preserve">DB-06</t>
  </si>
  <si>
    <t xml:space="preserve">Superseded by WB-LB-2004-04-23 (same survey, primary source)</t>
  </si>
  <si>
    <t xml:space="preserve">Event Data ID=6</t>
  </si>
  <si>
    <t xml:space="preserve">Prior-to-start value (3) entered twice: once in 'Prior to start' and once in '3:15 - 3:00'. Inflates total cars-on 82 -&gt; 85 (+3.7%).</t>
  </si>
  <si>
    <t xml:space="preserve">WB-LB-2004-04-23</t>
  </si>
  <si>
    <t xml:space="preserve">Seaview Approach, south to Beard's Hollow</t>
  </si>
  <si>
    <t xml:space="preserve">Deibert</t>
  </si>
  <si>
    <t xml:space="preserve">Longbeach - South</t>
  </si>
  <si>
    <t xml:space="preserve">DB-09</t>
  </si>
  <si>
    <t xml:space="preserve">17:58</t>
  </si>
  <si>
    <t xml:space="preserve">Alan Sarich</t>
  </si>
  <si>
    <t xml:space="preserve">Light to Heavy rain</t>
  </si>
  <si>
    <t xml:space="preserve">S, 5 mph increasing to 30 mph by 7:00 pm</t>
  </si>
  <si>
    <t xml:space="preserve">Event Data ID=9</t>
  </si>
  <si>
    <t xml:space="preserve">DB-07</t>
  </si>
  <si>
    <t xml:space="preserve">19:38</t>
  </si>
  <si>
    <t xml:space="preserve">Overcast, Occasional drizzle</t>
  </si>
  <si>
    <t xml:space="preserve">S, 0 - 5</t>
  </si>
  <si>
    <t xml:space="preserve">Moderate</t>
  </si>
  <si>
    <t xml:space="preserve">Event Data ID=7</t>
  </si>
  <si>
    <t xml:space="preserve">DB-10</t>
  </si>
  <si>
    <t xml:space="preserve">Tuesday</t>
  </si>
  <si>
    <t xml:space="preserve">Partly cloudy with occasional showers</t>
  </si>
  <si>
    <t xml:space="preserve">5 - 15</t>
  </si>
  <si>
    <t xml:space="preserve">Low</t>
  </si>
  <si>
    <t xml:space="preserve">Event Data ID=10</t>
  </si>
  <si>
    <t xml:space="preserve">WB-MOC-1998-04-01</t>
  </si>
  <si>
    <t xml:space="preserve">Mocrocks</t>
  </si>
  <si>
    <t xml:space="preserve">Moclips + Trestle + Roosevelt (3 approaches combined)</t>
  </si>
  <si>
    <t xml:space="preserve">Wednesday</t>
  </si>
  <si>
    <t xml:space="preserve">08:42 (header) / 09:39 implied by bins</t>
  </si>
  <si>
    <t xml:space="preserve">Low-mod surf; clear, no wind</t>
  </si>
  <si>
    <t xml:space="preserve">None</t>
  </si>
  <si>
    <t xml:space="preserve">Low-mod</t>
  </si>
  <si>
    <t xml:space="preserve">summary</t>
  </si>
  <si>
    <t xml:space="preserve">Header tide time (0842) is inconsistent with the actual-time bins, which imply low water at 0939. Avg catch 14.4; 2.31 people/car. THIS SURVEY IS THE SOURCE OF THE 'KALALOCH' TABLE.</t>
  </si>
  <si>
    <t xml:space="preserve">Header tide time 0842 is inconsistent with the bin labels, which imply low water ~0939. THIS SURVEY IS THE SOLE SOURCE OF THE 'KALALOCH DAYLIGHT TABLE'.</t>
  </si>
  <si>
    <t xml:space="preserve">WB-MOC-1998-04-01-MOCLIPS</t>
  </si>
  <si>
    <t xml:space="preserve">MOCLIPS</t>
  </si>
  <si>
    <t xml:space="preserve">08:42</t>
  </si>
  <si>
    <t xml:space="preserve">0:30 - 0:45</t>
  </si>
  <si>
    <t xml:space="preserve">Component approach of the same-day summary survey</t>
  </si>
  <si>
    <t xml:space="preserve">Survey workbook (legacy, per-approach)</t>
  </si>
  <si>
    <t xml:space="preserve">Component approach of the same-day summary survey. Do not pool with the summary.</t>
  </si>
  <si>
    <t xml:space="preserve">Prior-to-start cars-on under-recorded on the approach sheets; 15-minute bins reconcile exactly to the summary. On-beach goes negative in some bins.</t>
  </si>
  <si>
    <t xml:space="preserve">WB-MOC-1998-04-01-ROOSEVELT</t>
  </si>
  <si>
    <t xml:space="preserve">ROOSEVELT</t>
  </si>
  <si>
    <t xml:space="preserve">WB-MOC-1998-04-01-TRESTLE</t>
  </si>
  <si>
    <t xml:space="preserve">TRESTLE</t>
  </si>
  <si>
    <t xml:space="preserve">DB-01</t>
  </si>
  <si>
    <t xml:space="preserve">10:22</t>
  </si>
  <si>
    <t xml:space="preserve">Clear skies and sunny. Cold early but very warm later.</t>
  </si>
  <si>
    <t xml:space="preserve">West. 0 - 5</t>
  </si>
  <si>
    <t xml:space="preserve">Low. 4 ft.</t>
  </si>
  <si>
    <t xml:space="preserve">3:15 - 3:00</t>
  </si>
  <si>
    <t xml:space="preserve">Superseded by WB-MOC-2004-04-24 (same survey, primary source)</t>
  </si>
  <si>
    <t xml:space="preserve">Event Data ID=1</t>
  </si>
  <si>
    <t xml:space="preserve">Stopped the count because most people left were no longer clam digging. They were staying on the beach having picnics and flying kites.</t>
  </si>
  <si>
    <t xml:space="preserve">Prior-to-start (39 cars on) stored in the '3:15 - 3:00' column. Workbook is authoritative.</t>
  </si>
  <si>
    <t xml:space="preserve">WB-MOC-2004-04-24</t>
  </si>
  <si>
    <t xml:space="preserve">Roosevelt Beach Approach</t>
  </si>
  <si>
    <t xml:space="preserve">J. Deibert</t>
  </si>
  <si>
    <t xml:space="preserve">Clear, sunny; cold early, warm later</t>
  </si>
  <si>
    <t xml:space="preserve">W 0-5 mph</t>
  </si>
  <si>
    <t xml:space="preserve">Low, ~4 ft</t>
  </si>
  <si>
    <t xml:space="preserve">Count stopped early: remaining people were picnicking / kite flying, not digging.</t>
  </si>
  <si>
    <t xml:space="preserve">DB-02</t>
  </si>
  <si>
    <t xml:space="preserve">17:23</t>
  </si>
  <si>
    <t xml:space="preserve">Rain hard at times. Break in weather at 2:37 pm. Partly cloudy</t>
  </si>
  <si>
    <t xml:space="preserve">SW 5 - 20</t>
  </si>
  <si>
    <t xml:space="preserve">Superseded by WB-MOC-2006-11-04 (same survey, primary source)</t>
  </si>
  <si>
    <t xml:space="preserve">Event Data ID=2</t>
  </si>
  <si>
    <t xml:space="preserve">Prior-to-start (11 cars on) stored in the '3:15 - 3:00' column. Workbook is authoritative.</t>
  </si>
  <si>
    <t xml:space="preserve">WB-MOC-2006-11-04</t>
  </si>
  <si>
    <t xml:space="preserve">L. Wargo</t>
  </si>
  <si>
    <t xml:space="preserve">Windy, rain hard at times; break at 2:37 PM, partly cloudy. Sunset 4:56 PM</t>
  </si>
  <si>
    <t xml:space="preserve">SW 5-20 mph</t>
  </si>
  <si>
    <t xml:space="preserve">Ingress_form_Nov_2006.xls (=20061104Mockrocks.xls)</t>
  </si>
  <si>
    <t xml:space="preserve">Rain resumed 4:23-4:38 PM; dark near 5:30 PM.</t>
  </si>
  <si>
    <t xml:space="preserve">DB-03</t>
  </si>
  <si>
    <t xml:space="preserve">0:15 - 0:30</t>
  </si>
  <si>
    <t xml:space="preserve">Superseded by WB-MOC-2008-11-13 (same survey, primary source)</t>
  </si>
  <si>
    <t xml:space="preserve">Event Data ID=3</t>
  </si>
  <si>
    <t xml:space="preserve">Prior-to-start (27 cars on) stored in the '3:15 - 3:00' column. Workbook is authoritative.</t>
  </si>
  <si>
    <t xml:space="preserve">WB-MOC-2008-11-13</t>
  </si>
  <si>
    <t xml:space="preserve">Roosevelt Approach, south to Copalis River</t>
  </si>
  <si>
    <t xml:space="preserve">J. Beck</t>
  </si>
  <si>
    <t xml:space="preserve">DB-04</t>
  </si>
  <si>
    <t xml:space="preserve">20:28</t>
  </si>
  <si>
    <t xml:space="preserve">Stormy, Rain light to moderate, Heavy at times.</t>
  </si>
  <si>
    <t xml:space="preserve">SW, 15 - 30</t>
  </si>
  <si>
    <t xml:space="preserve">Event Data ID=4</t>
  </si>
  <si>
    <t xml:space="preserve">'3:15 - 3:00' cell holds Prior-to-start + 3:30-3:15 + 3:15-3:00 collapsed (on 55 = 25+15+15; off 8 = 1+3+4). True split recovered from the 03-Nov-2010 published table; see Reconstructed_Surveys.</t>
  </si>
  <si>
    <t xml:space="preserve">DB-05</t>
  </si>
  <si>
    <t xml:space="preserve">Event Data ID=5</t>
  </si>
  <si>
    <t xml:space="preserve">Prior-to-start (6 cars on) stored in '3:15 - 3:00'. ALSO: cars-on at '1:00 - 0:45' is 3; independent evidence (Ingress.Egress.review.xls) implies 23. Total on would be 205, not 185.</t>
  </si>
  <si>
    <t xml:space="preserve">WB-MOC-2022-04-03</t>
  </si>
  <si>
    <t xml:space="preserve">Roosevelt App. South</t>
  </si>
  <si>
    <t xml:space="preserve">Sunday</t>
  </si>
  <si>
    <t xml:space="preserve">08:45</t>
  </si>
  <si>
    <t xml:space="preserve">Parson</t>
  </si>
  <si>
    <t xml:space="preserve">Sunrise 6:49 AM</t>
  </si>
  <si>
    <t xml:space="preserve">WB-MOC-2023-04-25</t>
  </si>
  <si>
    <t xml:space="preserve">11:01</t>
  </si>
  <si>
    <t xml:space="preserve">Janna Goulding</t>
  </si>
  <si>
    <t xml:space="preserve">Sunny, Low+ surf, N wind 0-5 mph. Sunrise 6:11 AM</t>
  </si>
  <si>
    <t xml:space="preserve">Scan of the same field sheet (2022-2026-Copalis-Mocrocks.pdf, page 4) reads cars_off = 11 at 0:45-0:30 where this record reads 17. The typed value is retained; see Data_Issues #16.</t>
  </si>
  <si>
    <t xml:space="preserve">WB-TH-1998-03-31</t>
  </si>
  <si>
    <t xml:space="preserve">Twin Harbors</t>
  </si>
  <si>
    <t xml:space="preserve">Bonge + Grayland + County Line + Midway + North Cove (5 approaches combined)</t>
  </si>
  <si>
    <t xml:space="preserve">08:48 (header) / 09:03 implied by bins</t>
  </si>
  <si>
    <t xml:space="preserve">Low-mod surf; clear, W wind 0-5 mph</t>
  </si>
  <si>
    <t xml:space="preserve">Avg catch 12.8; 2.26 people/car.</t>
  </si>
  <si>
    <t xml:space="preserve">'% avail' in source divides by 2130, not the window total 2133. Header tide time 0848 is inconsistent with the bin labels (imply low water ~0903).</t>
  </si>
  <si>
    <t xml:space="preserve">WB-TH-1998-03-31-BONGE</t>
  </si>
  <si>
    <t xml:space="preserve">BONGE</t>
  </si>
  <si>
    <t xml:space="preserve">08:48</t>
  </si>
  <si>
    <t xml:space="preserve">0:30 - 0:15</t>
  </si>
  <si>
    <t xml:space="preserve">bonge</t>
  </si>
  <si>
    <t xml:space="preserve">WB-TH-1998-03-31-COUNTY_LINE</t>
  </si>
  <si>
    <t xml:space="preserve">COUNTY LINE</t>
  </si>
  <si>
    <t xml:space="preserve">county line</t>
  </si>
  <si>
    <t xml:space="preserve">WB-TH-1998-03-31-GRAYLAND</t>
  </si>
  <si>
    <t xml:space="preserve">GRAYLAND</t>
  </si>
  <si>
    <t xml:space="preserve">grayland</t>
  </si>
  <si>
    <t xml:space="preserve">WB-TH-1998-03-31-MIDWAY</t>
  </si>
  <si>
    <t xml:space="preserve">MIDWAY</t>
  </si>
  <si>
    <t xml:space="preserve">midway</t>
  </si>
  <si>
    <t xml:space="preserve">WB-TH-1998-03-31-NORTH_COVE</t>
  </si>
  <si>
    <t xml:space="preserve">NORTH COVE</t>
  </si>
  <si>
    <t xml:space="preserve">north cove</t>
  </si>
  <si>
    <t xml:space="preserve">DB-12</t>
  </si>
  <si>
    <t xml:space="preserve">08:30</t>
  </si>
  <si>
    <t xml:space="preserve">1:45 - 2:00</t>
  </si>
  <si>
    <t xml:space="preserve">Superseded by WB-TH-2004-04-21 (same survey, primary source)</t>
  </si>
  <si>
    <t xml:space="preserve">Event Data ID=12</t>
  </si>
  <si>
    <t xml:space="preserve">This Ingress / Egress was completed by John Deibert and Dan Ayres. Each counted a different approach and combined their numbers to get the final count.</t>
  </si>
  <si>
    <t xml:space="preserve">WB-TH-2004-04-21</t>
  </si>
  <si>
    <t xml:space="preserve">Grayland + Bonge (two approaches combined)</t>
  </si>
  <si>
    <t xml:space="preserve">Deibert, Ayres</t>
  </si>
  <si>
    <t xml:space="preserve">Counted by two staff on different approaches; numbers combined.</t>
  </si>
  <si>
    <t xml:space="preserve">DB-13</t>
  </si>
  <si>
    <t xml:space="preserve">07:06</t>
  </si>
  <si>
    <t xml:space="preserve">Showers</t>
  </si>
  <si>
    <t xml:space="preserve">SW. 5 - 15</t>
  </si>
  <si>
    <t xml:space="preserve">Event Data ID=13</t>
  </si>
  <si>
    <t xml:space="preserve">DB-16</t>
  </si>
  <si>
    <t xml:space="preserve">20:19</t>
  </si>
  <si>
    <t xml:space="preserve">Event Data ID=16</t>
  </si>
  <si>
    <t xml:space="preserve">DB-15</t>
  </si>
  <si>
    <t xml:space="preserve">17:53</t>
  </si>
  <si>
    <t xml:space="preserve">Event Data ID=15</t>
  </si>
  <si>
    <t xml:space="preserve">DB-14</t>
  </si>
  <si>
    <t xml:space="preserve">09:37</t>
  </si>
  <si>
    <t xml:space="preserve">Glen Beck</t>
  </si>
  <si>
    <t xml:space="preserve">Overcast, No Rain</t>
  </si>
  <si>
    <t xml:space="preserve">N, 0 - 5</t>
  </si>
  <si>
    <t xml:space="preserve">Event Data ID=14</t>
  </si>
  <si>
    <t xml:space="preserve">DB-11</t>
  </si>
  <si>
    <t xml:space="preserve">08:54</t>
  </si>
  <si>
    <t xml:space="preserve">Event Data ID=11</t>
  </si>
  <si>
    <t xml:space="preserve">SC-COP-2024-03-07</t>
  </si>
  <si>
    <t xml:space="preserve">16:15</t>
  </si>
  <si>
    <t xml:space="preserve">Chase</t>
  </si>
  <si>
    <t xml:space="preserve">47°F, high 48°F, low 41°F; mostly sunny, precipitation 0%; humidity 58%; wind 7 mph from south; 3-4 ft surf. | Sunset 18:11</t>
  </si>
  <si>
    <t xml:space="preserve">Scanned field sheet (transcribed)</t>
  </si>
  <si>
    <t xml:space="preserve">page 6</t>
  </si>
  <si>
    <t xml:space="preserve">Afternoon low tide. Low water is 116 minutes BEFORE sunset, so the count window is entirely in daylight, but the dig runs to dusk. Condition assigned Daylight by the rule below; review before pooling.</t>
  </si>
  <si>
    <t xml:space="preserve">SC-COP-2024-03-15</t>
  </si>
  <si>
    <t xml:space="preserve">11:08</t>
  </si>
  <si>
    <t xml:space="preserve">BB/CF</t>
  </si>
  <si>
    <t xml:space="preserve">Sunrise 07:27</t>
  </si>
  <si>
    <t xml:space="preserve">page 8</t>
  </si>
  <si>
    <t xml:space="preserve">SC-COP-2024-10-17</t>
  </si>
  <si>
    <t xml:space="preserve">19:03</t>
  </si>
  <si>
    <t xml:space="preserve">Clayton</t>
  </si>
  <si>
    <t xml:space="preserve">Sunset 18:24</t>
  </si>
  <si>
    <t xml:space="preserve">0:00 - 0:15</t>
  </si>
  <si>
    <t xml:space="preserve">page 9</t>
  </si>
  <si>
    <t xml:space="preserve">Note below table: "@1920".</t>
  </si>
  <si>
    <t xml:space="preserve">SC-COP-2025-03-14</t>
  </si>
  <si>
    <t xml:space="preserve">19:30</t>
  </si>
  <si>
    <t xml:space="preserve">45°F, partly cloudy with rain; high 47°F, low 39°F; 15 mph SE; surf 4-5 ft, low+ to moderate swell. | Sunset 19:21</t>
  </si>
  <si>
    <t xml:space="preserve">page 12</t>
  </si>
  <si>
    <t xml:space="preserve">Note below table: "@1945-2000".</t>
  </si>
  <si>
    <t xml:space="preserve">SC-COP-2026-01-16</t>
  </si>
  <si>
    <t xml:space="preserve">17:14</t>
  </si>
  <si>
    <t xml:space="preserve">BB DW</t>
  </si>
  <si>
    <t xml:space="preserve">5 kt E, 4 ft W, clear and sunny. | Sunset 16:56</t>
  </si>
  <si>
    <t xml:space="preserve">page 13</t>
  </si>
  <si>
    <t xml:space="preserve">Two middle interval end times appear malformed on source; normalized to the expected 15-minute sequence.</t>
  </si>
  <si>
    <t xml:space="preserve">SC-COP-2026-03-21</t>
  </si>
  <si>
    <t xml:space="preserve">08:43</t>
  </si>
  <si>
    <t xml:space="preserve">BB</t>
  </si>
  <si>
    <t xml:space="preserve">7 ft W, 10-second period swell; 5-10 kt WNW; partly cloudy/sunny. | Sunrise 07:15</t>
  </si>
  <si>
    <t xml:space="preserve">page 14</t>
  </si>
  <si>
    <t xml:space="preserve">Notes: "@954" below table; right-margin notation appears to read "342/11" (uncertain).</t>
  </si>
  <si>
    <t xml:space="preserve">SC-MOC-2024-03-08</t>
  </si>
  <si>
    <t xml:space="preserve">17:00</t>
  </si>
  <si>
    <t xml:space="preserve">M. Joseph</t>
  </si>
  <si>
    <t xml:space="preserve">Overcast, moderately low surf, west wind 10-15 knots, about 50°F. | Sunset 18:12</t>
  </si>
  <si>
    <t xml:space="preserve">page 7</t>
  </si>
  <si>
    <t xml:space="preserve">Handwritten note above table appears to read "leave @ 1845" (uncertain). The value 73 was entered on the discrepancy line; interpreted as count of cars left because the count line is blank.</t>
  </si>
  <si>
    <t xml:space="preserve">Afternoon low tide. Low water is 72 minutes BEFORE sunset, so the count window is entirely in daylight, but the dig runs to dusk. Condition assigned Daylight by the rule below; review before pooling. Count-left value 73 was written on the discrepancy line; count line blank.</t>
  </si>
  <si>
    <t xml:space="preserve">SC-MOC-2024-03-17</t>
  </si>
  <si>
    <t xml:space="preserve">13:23</t>
  </si>
  <si>
    <t xml:space="preserve">Overcast, 49°F, 7 mph NW, low+ to moderate surf conditions. | Sunrise 07:23</t>
  </si>
  <si>
    <t xml:space="preserve">page 5</t>
  </si>
  <si>
    <t xml:space="preserve">Notes: "@1010" at left; "5 planes @1434" below table.</t>
  </si>
  <si>
    <t xml:space="preserve">Cars left in area (303) exceeds cars on beach at the last bin (218) by 85. See Data_Issues #17.</t>
  </si>
  <si>
    <t xml:space="preserve">SC-MOC-2024-11-01</t>
  </si>
  <si>
    <t xml:space="preserve">Roosevelt Beach Rd. South</t>
  </si>
  <si>
    <t xml:space="preserve">19:15</t>
  </si>
  <si>
    <t xml:space="preserve">Bryce</t>
  </si>
  <si>
    <t xml:space="preserve">Sunset 17:59</t>
  </si>
  <si>
    <t xml:space="preserve">page 10</t>
  </si>
  <si>
    <t xml:space="preserve">SC-MOC-2025-02-28</t>
  </si>
  <si>
    <t xml:space="preserve">18:39</t>
  </si>
  <si>
    <t xml:space="preserve">Bryce B.</t>
  </si>
  <si>
    <t xml:space="preserve">6 ft W swell, 5 kt E wind, overcast and foggy but still visible. | Sunset 18:00</t>
  </si>
  <si>
    <t xml:space="preserve">page 11</t>
  </si>
  <si>
    <t xml:space="preserve">SC-MOC-2026-05-03</t>
  </si>
  <si>
    <t xml:space="preserve">08:08</t>
  </si>
  <si>
    <t xml:space="preserve">5-10 kt NE, 5 ft W, sunny and clear. | Sunrise 05:57</t>
  </si>
  <si>
    <t xml:space="preserve">page 15</t>
  </si>
  <si>
    <t xml:space="preserve">Tide time contains a source inconsistency: printed PM, but 24-hour value 0808 and intervals indicate morning.</t>
  </si>
  <si>
    <t xml:space="preserve">Source tide time reads 8:08 PM but the 24-hour value is 0808 and the intervals are morning. Treated as 08:08.</t>
  </si>
  <si>
    <t xml:space="preserve">bin_ord</t>
  </si>
  <si>
    <t xml:space="preserve">bin</t>
  </si>
  <si>
    <t xml:space="preserve">min_from_low</t>
  </si>
  <si>
    <t xml:space="preserve">cars_on</t>
  </si>
  <si>
    <t xml:space="preserve">cars_off</t>
  </si>
  <si>
    <t xml:space="preserve">cum_cars_on</t>
  </si>
  <si>
    <t xml:space="preserve">cum_cars_off</t>
  </si>
  <si>
    <t xml:space="preserve">cars_on_beach</t>
  </si>
  <si>
    <t xml:space="preserve">pct_available</t>
  </si>
  <si>
    <t xml:space="preserve">pct_available_as_reported</t>
  </si>
  <si>
    <t xml:space="preserve">check_delta</t>
  </si>
  <si>
    <t xml:space="preserve">not_recorded_in_source</t>
  </si>
  <si>
    <t xml:space="preserve">3:00 - 2:45</t>
  </si>
  <si>
    <t xml:space="preserve">2:45 - 2:30</t>
  </si>
  <si>
    <t xml:space="preserve">2:30 - 2:15</t>
  </si>
  <si>
    <t xml:space="preserve">2:15 - 2:00</t>
  </si>
  <si>
    <t xml:space="preserve">0:15 - 0:00</t>
  </si>
  <si>
    <t xml:space="preserve">off</t>
  </si>
  <si>
    <t xml:space="preserve">3:30 - 3:15</t>
  </si>
  <si>
    <t xml:space="preserve">1:15 - 1:30</t>
  </si>
  <si>
    <t xml:space="preserve">Not recorded</t>
  </si>
  <si>
    <t xml:space="preserve">Crossed out</t>
  </si>
  <si>
    <t xml:space="preserve">2004-04-23 Day [excl]</t>
  </si>
  <si>
    <t xml:space="preserve">2004-04-23 Day</t>
  </si>
  <si>
    <t xml:space="preserve">2008-11-13 Eve [excl]</t>
  </si>
  <si>
    <t xml:space="preserve">2008-11-13 Eve</t>
  </si>
  <si>
    <t xml:space="preserve">2010-10-08 Eve</t>
  </si>
  <si>
    <t xml:space="preserve">2011-04-22 Day</t>
  </si>
  <si>
    <t xml:space="preserve">2022-04-02 Day</t>
  </si>
  <si>
    <t xml:space="preserve">2023-04-24 Day</t>
  </si>
  <si>
    <t xml:space="preserve">2024-03-07 Day</t>
  </si>
  <si>
    <t xml:space="preserve">2024-03-15 Day</t>
  </si>
  <si>
    <t xml:space="preserve">2024-10-17 Eve</t>
  </si>
  <si>
    <t xml:space="preserve">2025-03-14 Eve</t>
  </si>
  <si>
    <t xml:space="preserve">2026-01-16 Eve</t>
  </si>
  <si>
    <t xml:space="preserve">2026-03-21 Day</t>
  </si>
  <si>
    <t xml:space="preserve">1990-05-11 Eve [excl]</t>
  </si>
  <si>
    <t xml:space="preserve">1998-03-27 Eve</t>
  </si>
  <si>
    <t xml:space="preserve">2004-04-22 Day [excl]</t>
  </si>
  <si>
    <t xml:space="preserve">2004-04-22 Day</t>
  </si>
  <si>
    <t xml:space="preserve">2009-01-10 Eve</t>
  </si>
  <si>
    <t xml:space="preserve">2011-01-21 Eve</t>
  </si>
  <si>
    <t xml:space="preserve">2011-04-19 Day</t>
  </si>
  <si>
    <t xml:space="preserve">1998-04-01 Day</t>
  </si>
  <si>
    <t xml:space="preserve">1998-04-01 Day [excl]</t>
  </si>
  <si>
    <t xml:space="preserve">2004-04-24 Day [excl]</t>
  </si>
  <si>
    <t xml:space="preserve">2004-04-24 Day</t>
  </si>
  <si>
    <t xml:space="preserve">2006-11-04 Eve [excl]</t>
  </si>
  <si>
    <t xml:space="preserve">2006-11-04 Eve</t>
  </si>
  <si>
    <t xml:space="preserve">2010-10-09 Eve</t>
  </si>
  <si>
    <t xml:space="preserve">2011-04-21 Day</t>
  </si>
  <si>
    <t xml:space="preserve">2022-04-03 Day</t>
  </si>
  <si>
    <t xml:space="preserve">2023-04-25 Day</t>
  </si>
  <si>
    <t xml:space="preserve">2024-03-08 Day</t>
  </si>
  <si>
    <t xml:space="preserve">2024-03-17 Day</t>
  </si>
  <si>
    <t xml:space="preserve">2024-11-01 Eve</t>
  </si>
  <si>
    <t xml:space="preserve">2025-02-28 Eve</t>
  </si>
  <si>
    <t xml:space="preserve">2026-05-03 Day</t>
  </si>
  <si>
    <t xml:space="preserve">1998-03-31 Day</t>
  </si>
  <si>
    <t xml:space="preserve">1998-03-31 Day [excl]</t>
  </si>
  <si>
    <t xml:space="preserve">2004-04-21 Day [excl]</t>
  </si>
  <si>
    <t xml:space="preserve">2004-04-21 Day</t>
  </si>
  <si>
    <t xml:space="preserve">2010-04-27 Day</t>
  </si>
  <si>
    <t xml:space="preserve">2011-01-22 Eve</t>
  </si>
  <si>
    <t xml:space="preserve">2011-02-17 Eve</t>
  </si>
  <si>
    <t xml:space="preserve">2011-04-07 Day</t>
  </si>
  <si>
    <t xml:space="preserve">2011-04-20 Day</t>
  </si>
  <si>
    <t xml:space="preserve">Survey coverage (use_for_pooling = Yes only)</t>
  </si>
  <si>
    <t xml:space="preserve">Counts are live COUNTIFS over Survey_Inventory rows 2 to 56.</t>
  </si>
  <si>
    <t xml:space="preserve">A. Surveys per beach per year</t>
  </si>
  <si>
    <t xml:space="preserve">1998</t>
  </si>
  <si>
    <t xml:space="preserve">2004</t>
  </si>
  <si>
    <t xml:space="preserve">2006</t>
  </si>
  <si>
    <t xml:space="preserve">2008</t>
  </si>
  <si>
    <t xml:space="preserve">2009</t>
  </si>
  <si>
    <t xml:space="preserve">2010</t>
  </si>
  <si>
    <t xml:space="preserve">2011</t>
  </si>
  <si>
    <t xml:space="preserve">2022</t>
  </si>
  <si>
    <t xml:space="preserve">2023</t>
  </si>
  <si>
    <t xml:space="preserve">2024</t>
  </si>
  <si>
    <t xml:space="preserve">2025</t>
  </si>
  <si>
    <t xml:space="preserve">2026</t>
  </si>
  <si>
    <t xml:space="preserve">2012-2021</t>
  </si>
  <si>
    <t xml:space="preserve">TOTAL</t>
  </si>
  <si>
    <t xml:space="preserve">Kalaloch</t>
  </si>
  <si>
    <t xml:space="preserve">B. Surveys per beach per condition</t>
  </si>
  <si>
    <t xml:space="preserve">Notes</t>
  </si>
  <si>
    <t xml:space="preserve">Kalaloch: zero surveys. Its expansion table is the Mocrocks 01-Apr-1998 survey (Data_Issues #1).</t>
  </si>
  <si>
    <t xml:space="preserve">2012-2021 remains a blackout: zero surveys, yet all four evening tables were revised in 2012-2013. Reconstructed_Surveys recovers the four missing surveys bin by bin from the published tables.</t>
  </si>
  <si>
    <t xml:space="preserve">2024-2026: eleven new Copalis and Mocrocks surveys, transcribed from 2022-2026-Copalis-Mocrocks.pdf. Six are evening surveys, which more than doubles the evening record at both beaches.</t>
  </si>
  <si>
    <t xml:space="preserve">Long Beach and Twin Harbors still have no daylight expansion table anywhere in the file set (Data_Issues #12), and no survey since 2011.</t>
  </si>
  <si>
    <t xml:space="preserve">Every survey from 2022 onward stops one hour after low water, not two. They cannot be pooled with the older full-window surveys beyond bin 18 without carrying their unreleased cars forward (Data_Issues #15).</t>
  </si>
  <si>
    <t xml:space="preserve">table_updated_on</t>
  </si>
  <si>
    <t xml:space="preserve">table_type</t>
  </si>
  <si>
    <t xml:space="preserve">condition_label</t>
  </si>
  <si>
    <t xml:space="preserve">2011-01-25</t>
  </si>
  <si>
    <t xml:space="preserve">Evening (pooled)</t>
  </si>
  <si>
    <t xml:space="preserve">Evening tide</t>
  </si>
  <si>
    <t xml:space="preserve">Longbeach/Twin_Harbors_Evening_Tides_Cumulative_Ingress.pdf (=201101 25*)</t>
  </si>
  <si>
    <t xml:space="preserve">2013-02-11</t>
  </si>
  <si>
    <t xml:space="preserve">Longbeach_Evening_Tides_Cumulative_Ingress_20130918.pdf (table says 2/11/2013)</t>
  </si>
  <si>
    <t xml:space="preserve">Evening (single survey)</t>
  </si>
  <si>
    <t xml:space="preserve">2013-09-24</t>
  </si>
  <si>
    <t xml:space="preserve">2010-11-03</t>
  </si>
  <si>
    <t xml:space="preserve">Copalis/Mocrocks_Evening_Tides_Cumulative_Ingress.pdf</t>
  </si>
  <si>
    <t xml:space="preserve">2012-12-19</t>
  </si>
  <si>
    <t xml:space="preserve">2013-09-18</t>
  </si>
  <si>
    <t xml:space="preserve">beach_label</t>
  </si>
  <si>
    <t xml:space="preserve">pct_available_published</t>
  </si>
  <si>
    <t xml:space="preserve">traced_to_survey</t>
  </si>
  <si>
    <t xml:space="preserve">hand_appended</t>
  </si>
  <si>
    <t xml:space="preserve">Copalis Daylight Table</t>
  </si>
  <si>
    <t xml:space="preserve">Daylight / good weather</t>
  </si>
  <si>
    <t xml:space="preserve">Copalis Near Dark Table</t>
  </si>
  <si>
    <t xml:space="preserve">Low tide just after dark</t>
  </si>
  <si>
    <t xml:space="preserve">Mocrocks Daylight Table</t>
  </si>
  <si>
    <t xml:space="preserve">Mocrocks Daylight weather</t>
  </si>
  <si>
    <t xml:space="preserve">Daylight / poor weather</t>
  </si>
  <si>
    <t xml:space="preserve">Kalaloch Daylight Table</t>
  </si>
  <si>
    <t xml:space="preserve">WB-MOC-1998-04-01 (Mocrocks!)</t>
  </si>
  <si>
    <t xml:space="preserve">table</t>
  </si>
  <si>
    <t xml:space="preserve">component surveys</t>
  </si>
  <si>
    <t xml:space="preserve">verification</t>
  </si>
  <si>
    <t xml:space="preserve">status</t>
  </si>
  <si>
    <t xml:space="preserve">DB-07 (2011-01-21 PM) + DB-09 (2009-01-10 PM)</t>
  </si>
  <si>
    <t xml:space="preserve">Exact. All 23 bins, cars-on and cars-off, reproduce the published table. Totals 1252 on / 1217 off.</t>
  </si>
  <si>
    <t xml:space="preserve">Verified</t>
  </si>
  <si>
    <t xml:space="preserve">2011-01-25 table + one unlocated evening survey</t>
  </si>
  <si>
    <t xml:space="preserve">Difference is non-negative in every bin: 585 cars on, 555 cars off. See Reconstructed_Surveys.</t>
  </si>
  <si>
    <t xml:space="preserve">Partly verified</t>
  </si>
  <si>
    <t xml:space="preserve">DB-16 (2011-01-22 PM) alone</t>
  </si>
  <si>
    <t xml:space="preserve">Exact. Single survey, prior-to-start left in place. Totals 245 on / 219 off.</t>
  </si>
  <si>
    <t xml:space="preserve">DB-16 + DB-15 (2011-02-17 PM) + one unlocated evening survey</t>
  </si>
  <si>
    <t xml:space="preserve">Priors summed into Prior-to-start (no folding). Residual is non-negative: 346 cars on, 336 cars off.</t>
  </si>
  <si>
    <t xml:space="preserve">DB-17 (2008-11-13 PM) + DB-20 (2010-10-08 PM)</t>
  </si>
  <si>
    <t xml:space="preserve">Exact, but ONLY if DB-17's prior-to-start (16 on) is folded into the 3:15-3:00 bin. Totals 717 on / 670 off.</t>
  </si>
  <si>
    <t xml:space="preserve">2010-11-03 table + one unlocated evening survey</t>
  </si>
  <si>
    <t xml:space="preserve">Difference non-negative in every bin: 142 cars on, 137 cars off.</t>
  </si>
  <si>
    <t xml:space="preserve">DB-02 (2006-11-04 PM) + DB-03 (2008-11-13 PM) + DB-04 (2010-10-09 PM)</t>
  </si>
  <si>
    <t xml:space="preserve">Exact. Also recovers DB-04's true prior / 3:30-3:15 / 3:15-3:00 split (25/15/15 on, 1/3/4 off), which the database collapsed into one cell. Totals 643 on / 590 off.</t>
  </si>
  <si>
    <t xml:space="preserve">Difference non-negative in every bin: 119 cars on, 106 cars off.</t>
  </si>
  <si>
    <t xml:space="preserve">Master_Tables daylight</t>
  </si>
  <si>
    <t xml:space="preserve">WB-COP-2004-04-23 alone</t>
  </si>
  <si>
    <t xml:space="preserve">18 of 19 bins match to 1e-9. One hand-appended value (0.015 at 1:15-1:30) has no survey behind it.</t>
  </si>
  <si>
    <t xml:space="preserve">Master_Tables near dark</t>
  </si>
  <si>
    <t xml:space="preserve">WB-COP-2008-11-13 alone</t>
  </si>
  <si>
    <t xml:space="preserve">All 17 bins match to 1e-9.</t>
  </si>
  <si>
    <t xml:space="preserve">WB-MOC-2004-04-24 alone</t>
  </si>
  <si>
    <t xml:space="preserve">17 bins match to 1e-9. Four hand-appended tail values (0.1548, 0.0953, 0.052, 0.012) have no survey behind them.</t>
  </si>
  <si>
    <t xml:space="preserve">Master_Tables daylight/poor weather</t>
  </si>
  <si>
    <t xml:space="preserve">WB-MOC-2006-11-04 alone</t>
  </si>
  <si>
    <t xml:space="preserve">All 17 bins match to 1e-9. NOTE: that survey's low water was 27 minutes AFTER sunset and the database flags it Evening.</t>
  </si>
  <si>
    <t xml:space="preserve">WB-MOC-1998-04-01 (a MOCROCKS survey)</t>
  </si>
  <si>
    <t xml:space="preserve">All 13 values are the Mocrocks 01-Apr-1998 % available column rounded to 3 dp. The cars-left value 303 also carries across. There is no Kalaloch egress survey in any file.</t>
  </si>
  <si>
    <t xml:space="preserve">reconstruction</t>
  </si>
  <si>
    <t xml:space="preserve">method</t>
  </si>
  <si>
    <t xml:space="preserve">LB evening survey(s), between 2011-01-25 and 2013-02-11</t>
  </si>
  <si>
    <t xml:space="preserve">Published 2013-02-11 table minus published 2011-01-25 table. Non-negative in every bin. NOTE: this survey's window ends at low water (no counts after 0:15-0:00). See Data_Issues #15.</t>
  </si>
  <si>
    <t xml:space="preserve">TH evening survey, between 2011-02-17 and 2013-09-24</t>
  </si>
  <si>
    <t xml:space="preserve">Published 2013-09-24 table minus (DB-16 + DB-15). Non-negative in every bin.</t>
  </si>
  <si>
    <t xml:space="preserve">COP evening survey, between 2010-11-03 and 2012-12-19</t>
  </si>
  <si>
    <t xml:space="preserve">Published 2012-12-19 table minus published 2010-11-03 table. Non-negative in every bin.</t>
  </si>
  <si>
    <t xml:space="preserve">MOC evening survey, between 2010-11-03 and 2013-09-18</t>
  </si>
  <si>
    <t xml:space="preserve">Published 2013-09-18 table minus published 2010-11-03 table. Non-negative in every bin.</t>
  </si>
  <si>
    <t xml:space="preserve">DB-04 (2010-10-09) TRUE bin split, recovered</t>
  </si>
  <si>
    <t xml:space="preserve">Published 2010-11-03 Mocrocks table minus (DB-02 + DB-03). Reverses the collapse of prior / 3:30-3:15 / 3:15-3:00 into one database cell.</t>
  </si>
  <si>
    <t xml:space="preserve">#</t>
  </si>
  <si>
    <t xml:space="preserve">severity</t>
  </si>
  <si>
    <t xml:space="preserve">issue</t>
  </si>
  <si>
    <t xml:space="preserve">where</t>
  </si>
  <si>
    <t xml:space="preserve">evidence</t>
  </si>
  <si>
    <t xml:space="preserve">effect</t>
  </si>
  <si>
    <t xml:space="preserve">recommendation</t>
  </si>
  <si>
    <t xml:space="preserve">Kalaloch expansion table is a Mocrocks survey</t>
  </si>
  <si>
    <t xml:space="preserve">Master_Tables.xls 'Kalaloch Daylight Table'; Kalaloch_Ingress_Egress.xls 'summary'; moc98s.xlsx 'summary'</t>
  </si>
  <si>
    <t xml:space="preserve">All 13 values of the Kalaloch table equal the Mocrocks 01-Apr-1998 % available column to 16 significant figures (0.48325635103926096, 0.5871824480369515, ...). The cars-left figure 303 in Kalaloch_Ingress_Egress.xls is Mocrocks' 303. There is no Kalaloch egress survey in the Access database or any workbook.</t>
  </si>
  <si>
    <t xml:space="preserve">Every Kalaloch harvest estimate expanded with this table has been expanded on Mocrocks effort behaviour. Kalaloch is inside Olympic National Park, is reached by different approaches, and has a different effort profile. Direction and magnitude of bias unknown.</t>
  </si>
  <si>
    <t xml:space="preserve">Confirm with program staff whether a Kalaloch egress survey was ever run. If not, either run one or state explicitly in the methodology that Kalaloch borrows the Mocrocks curve.</t>
  </si>
  <si>
    <t xml:space="preserve">Access database collapses three bins into one for DB-04</t>
  </si>
  <si>
    <t xml:space="preserve">Razor_Clam_Ingress.accdb, Cars On / Cars Off, ID = 4 (Mocrocks, 09-Oct-2010)</t>
  </si>
  <si>
    <t xml:space="preserve">Stored '3:15 - 3:00' = 55 on / 8 off. The published Mocrocks 03-Nov-2010 table, which is exactly DB-02 + DB-03 + DB-04, requires 25/15/15 on and 1/3/4 off across Prior-to-start, 3:30-3:15 and 3:15-3:00.</t>
  </si>
  <si>
    <t xml:space="preserve">Any curve pooled straight from the database mis-places 40 cars-on and 4 cars-off into a single early bin, distorting the leading edge of the Mocrocks evening curve.</t>
  </si>
  <si>
    <t xml:space="preserve">Correct the database record using the recovered split in Reconstructed_Surveys, or treat the published table as primary for this survey.</t>
  </si>
  <si>
    <t xml:space="preserve">Probable transcription error in DB-05 cars-on</t>
  </si>
  <si>
    <t xml:space="preserve">Razor_Clam_Ingress.accdb ID = 5 (Mocrocks, 21-Apr-2011); Ingress_Egress_review.xls 'Mocrocks' column F</t>
  </si>
  <si>
    <t xml:space="preserve">Stored cars-on at '1:00 - 0:45' is 3. Pooling DB-01 + DB-05 with 3 gives a total of 892 and an on-beach series that diverges from the review sheet's 'Mocrocks 2011 AM' curve from that bin onward by exactly 20 cars. Substituting 23 reproduces the review curve bin-for-bin and gives the review sheet's own denominator, 912.</t>
  </si>
  <si>
    <t xml:space="preserve">Mocrocks daylight curve understated by up to 3.7 percentage points from 1:00-0:45 onward; survey total understated by 20 cars (10.8 percent).</t>
  </si>
  <si>
    <t xml:space="preserve">Check the 21-Apr-2011 field sheet. If it reads 23, correct the database.</t>
  </si>
  <si>
    <t xml:space="preserve">Medium</t>
  </si>
  <si>
    <t xml:space="preserve">Access database stores Mocrocks prior-to-start in the wrong column</t>
  </si>
  <si>
    <t xml:space="preserve">Razor_Clam_Ingress.accdb, Cars On, IDs 1-5 (all Mocrocks events)</t>
  </si>
  <si>
    <t xml:space="preserve">For IDs 1, 2 and 3 the workbook prior-to-start values (39, 11, 27) appear in the '3:15 - 3:00' column with 'Prior To Start' left null. Verified against Ingress_form_April_2004.xlsx, Ingress_form_Nov_2006.xls and Ingress_form_November_13_2008.xls. The 'Prior To Start' and '3:30 - 3:15' columns sit last in the table definition, suggesting they were added after the Mocrocks records were keyed.</t>
  </si>
  <si>
    <t xml:space="preserve">Cumulative sums from 3:15-3:00 onward are unaffected, so derived curves are almost unchanged. But any query that reads 'Prior To Start' or that reports the survey window will be wrong for every Mocrocks event.</t>
  </si>
  <si>
    <t xml:space="preserve">Re-key the five Mocrocks records, or add a documented view that remaps them.</t>
  </si>
  <si>
    <t xml:space="preserve">Duplicate prior-to-start in DB-06 inflates the Long Beach 2004 south survey</t>
  </si>
  <si>
    <t xml:space="preserve">Razor_Clam_Ingress.accdb ID = 6; Ingress_form_April_2004.xlsx 'Longbeach - South'</t>
  </si>
  <si>
    <t xml:space="preserve">Database holds 3 cars-on in both 'Prior to start' and '3:15 - 3:00'. The workbook has 3 in prior-to-start only. Database total 85 vs workbook total 82.</t>
  </si>
  <si>
    <t xml:space="preserve">Total cars-on inflated 3.7 percent; every % available value in that survey depressed by the same factor.</t>
  </si>
  <si>
    <t xml:space="preserve">Delete the '3:15 - 3:00' value for ID 6.</t>
  </si>
  <si>
    <t xml:space="preserve">Identical counts filed under two different dates, eight years apart</t>
  </si>
  <si>
    <t xml:space="preserve">lb98s.xlsx (27-MAR-1998, Friday) and 19900511longbeachnorthonly.xlsx (11-MAY-1990, Friday)</t>
  </si>
  <si>
    <t xml:space="preserve">Every cars-on and cars-off value, the 2344 total, the 93 cars left and the -7 discrepancy are identical. Both files carry the tide string '1757 -0.2'. 27-Mar-1998 and 11-May-1990 were both Fridays. Only lb98s.xlsx carries weather, avg catch (7.3) and people-per-car (2.98).</t>
  </si>
  <si>
    <t xml:space="preserve">This is the single largest Long Beach survey on record (2344 cars). Assigning it to the wrong year mis-dates the north-approach effort profile and, if both files are pooled, double-counts it.</t>
  </si>
  <si>
    <t xml:space="preserve">Resolve against tide tables (a -0.2 ft low at 17:57 will fit only one of the two dates) or the original field sheets. Until resolved, use one record only; the inventory marks the 1990 record use_for_pooling = No.</t>
  </si>
  <si>
    <t xml:space="preserve">Inconsistent pooling convention for prior-to-start</t>
  </si>
  <si>
    <t xml:space="preserve">Published Copalis 03-Nov-2010 table vs published Twin Harbors 24-Sep-2013 table</t>
  </si>
  <si>
    <t xml:space="preserve">Copalis 03-Nov-2010 = DB-17 + DB-20, and reproduces exactly only when DB-17's prior-to-start (16 on) is folded into the 3:15-3:00 bin, because DB-17's window started 3:00 before low water while DB-20's started 3:30 before. Twin Harbors 24-Sep-2013 instead sums the priors of DB-16 and DB-15 (68 + 19 = 87) into Prior-to-start, even though those two windows also differ.</t>
  </si>
  <si>
    <t xml:space="preserve">The prior-to-start bin, which anchors the whole cumulative curve, is treated differently on different beaches. Where priors are summed rather than folded, the leading bins of the pooled curve are understated.</t>
  </si>
  <si>
    <t xml:space="preserve">Adopt one rule, document it, and re-derive all four evening tables under it.</t>
  </si>
  <si>
    <t xml:space="preserve">1998 approach sheets under-record prior-to-start</t>
  </si>
  <si>
    <t xml:space="preserve">moc98s.xlsx (MOCLIPS/TRESTLE/ROOSEVELT); th98s.xlsx (five approach sheets)</t>
  </si>
  <si>
    <t xml:space="preserve">Every 15-minute bin sums exactly from the approach sheets to the summary sheet, for cars-on and cars-off alike. Only prior-to-start does not: Mocrocks approaches sum to 112 against a summary of 599 (shortfall 487); Twin Harbors approaches sum to 155 against 581 (shortfall 426). Because of that, cumulative cars-off exceed cumulative cars-on on the Roosevelt, County Line, Midway and North Cove sheets, giving negative cars-on-beach (Roosevelt reaches -180).</t>
  </si>
  <si>
    <t xml:space="preserve">The per-approach sheets cannot be used for per-approach effort curves. The summaries are sound.</t>
  </si>
  <si>
    <t xml:space="preserve">Use the summary sheets only. Inventory marks the approach records use_for_pooling = No.</t>
  </si>
  <si>
    <t xml:space="preserve">1998 summaries divide % available by the wrong denominator</t>
  </si>
  <si>
    <t xml:space="preserve">lb98s.xlsx, th98s.xlsx</t>
  </si>
  <si>
    <t xml:space="preserve">lb98s divides by accumulated cars-on at the 0:45-1:00 row (2333) rather than the window total (2344); th98s divides by 2130 rather than 2133. moc98s is correct (1732).</t>
  </si>
  <si>
    <t xml:space="preserve">% available overstated by 0.47 percent (Long Beach) and 0.14 percent (Twin Harbors) throughout those two curves.</t>
  </si>
  <si>
    <t xml:space="preserve">Recompute from the raw counts, which are in Survey_Counts. The recomputed pct_available column already uses the window total.</t>
  </si>
  <si>
    <t xml:space="preserve">Header tide times inconsistent with the bin labels in the 1998 summaries</t>
  </si>
  <si>
    <t xml:space="preserve">moc98s.xlsx (header 0842), th98s.xlsx (header 0848)</t>
  </si>
  <si>
    <t xml:space="preserve">For moc98s the actual-time column runs 0739 to 1109 with '0924-0939' labelled '0:15-0:00', which places low water at 0939, not 0842. The % available curve peaks at 0839-0854, i.e. one hour before 0939, which is the normal pattern; it would peak exactly at low water under the 0842 header. th98s shows the same 15-minute style offset.</t>
  </si>
  <si>
    <t xml:space="preserve">Only affects interpretation of the actual-time column, not the relative-time bins used for expansion.</t>
  </si>
  <si>
    <t xml:space="preserve">Treat the relative-time bins as authoritative; correct the headers.</t>
  </si>
  <si>
    <t xml:space="preserve">Ingress_Egress_review.xls is misaligned and mislabelled</t>
  </si>
  <si>
    <t xml:space="preserve">Ingress_Egress_review.xls, sheets 'Copalis' and 'Mocrocks'</t>
  </si>
  <si>
    <t xml:space="preserve">'Copalis Historical' is the 23-Apr-2004 daylight survey pasted two bins early (its 3:00-2:45 value sits on the 3:30-3:15 row). 'Copalis 2011 AM' is that same 2004 survey, correctly placed, not a 2011 survey. 'Copalis 2011 PM' is the pooled evening table (717 cars) plus the 2004 daylight survey (374 cars), denominator 1091, so a daylight survey has been pooled into a PM curve. 'Mocrocks 2011 PM' is simply the published 03-Nov-2010 evening table.</t>
  </si>
  <si>
    <t xml:space="preserve">If this sheet was ever used to justify a table revision, the justification is unsound.</t>
  </si>
  <si>
    <t xml:space="preserve">Do not use as a data source. It is retained here only because its 'Mocrocks 2011 AM' column independently corroborates issue #3.</t>
  </si>
  <si>
    <t xml:space="preserve">Long Beach and Twin Harbors have no daylight expansion table</t>
  </si>
  <si>
    <t xml:space="preserve">Master_Tables.xls contains Copalis daylight, Copalis near-dark, Mocrocks daylight, Mocrocks daylight/poor-weather and (spuriously) Kalaloch daylight. There is no Long Beach or Twin Harbors table of any condition, even though six Long Beach and seven Twin Harbors surveys exist, including four daylight surveys at each.</t>
  </si>
  <si>
    <t xml:space="preserve">Daylight openers at those two beaches must be expanded with an evening table or with an undocumented factor.</t>
  </si>
  <si>
    <t xml:space="preserve">Derive daylight tables for Long Beach and Twin Harbors from the surveys in this workbook, or document what is actually used.</t>
  </si>
  <si>
    <t xml:space="preserve">Hand-appended tail values with no survey behind them</t>
  </si>
  <si>
    <t xml:space="preserve">Master_Tables.xls; EGRESS_MASTER.xlsx 'Copalis Table' / 'Mocrocks Table'</t>
  </si>
  <si>
    <t xml:space="preserve">The Copalis daylight table carries 0.015 at 1:15-1:30, one bin past the last bin the 2004 survey recorded. The Mocrocks daylight table carries 0.1548, 0.0953, 0.052 and 0.012 across 1:00-1:15 through 1:45-2:00, four bins past the survey's last recorded bin (0:45-1:00, 0.2051).</t>
  </si>
  <si>
    <t xml:space="preserve">Counts taken more than an hour after low water are expanded using numbers that are not in any survey. The Mocrocks tail also implies effort dropping from 20.5 percent to 1.2 percent in one hour, steeper than any observed survey.</t>
  </si>
  <si>
    <t xml:space="preserve">Identify the source of these five numbers or remove them and truncate the tables at the last surveyed bin.</t>
  </si>
  <si>
    <t xml:space="preserve">Filename dates do not always match the table's own 'Updated on' date</t>
  </si>
  <si>
    <t xml:space="preserve">The table inside says 'Updated on: 2/11/2013'. The identical table is also filed as 20130211Longbeach_Evening_Tides_Cumulative_Ingress.pdf. Separately, all fourteen '*_Cumulative_Ingress.pdf' files are XLSX/zip containers, not PDFs.</t>
  </si>
  <si>
    <t xml:space="preserve">Version confusion. There is no Long Beach evening table dated Sep 2013, contrary to what the filename implies.</t>
  </si>
  <si>
    <t xml:space="preserve">Rename to match the 'Updated on' cell, or drop the date from the filename.</t>
  </si>
  <si>
    <t xml:space="preserve">Pooled tables mix surveys with different window lengths, and do not say so</t>
  </si>
  <si>
    <t xml:space="preserve">Published Long Beach 11-Feb-2013 table; Reconstructed_Surveys</t>
  </si>
  <si>
    <t xml:space="preserve">The Long Beach survey added between the 25-Jan-2011 and 11-Feb-2013 tables recorded no cars on or off after the 0:15-0:00 bin: its counting window ended at low water. It nonetheless contributes 585 cars, 32 percent of the pooled total of 1837, to the denominator of every bin, while supplying no egress observation for any of the eight post-low bins; its 30 unreleased cars are simply carried forward as a constant. Its own curve is otherwise normal, peaking at 84.6 percent in the 2:15-2:00 bin. Twin Harbors, Copalis and Mocrocks carry the same defect at smaller scale (10, 5 and 13 unreleased cars).</t>
  </si>
  <si>
    <t xml:space="preserve">The post-low bins of a pooled table rest on fewer surveys than the pre-low bins, and nothing in the published table records how many. Any beach count that starts late, and therefore draws its correction factor from the post-low bins, is expanded on the thinnest evidence in the table.</t>
  </si>
  <si>
    <t xml:space="preserve">Publish a per-bin count of contributing surveys alongside each pooled table. Then either truncate the table at the last bin every component survey covers, or weight bins by contributing surveys rather than pooling raw counts.</t>
  </si>
  <si>
    <t xml:space="preserve">The scan and the typed workbook disagree on one cell of Mocrocks 25-Apr-2023</t>
  </si>
  <si>
    <t xml:space="preserve">Ingress - Mocrocks - April 25, 2023.xlsx vs 2022-2026-Copalis-Mocrocks.pdf page 4, bin 0:45 - 0:30</t>
  </si>
  <si>
    <t xml:space="preserve">The typed workbook records cars_off = 17; the transcription of the scan reads 11. Pages 1, 2 and 3 of the same scan match their typed workbooks on all 102 values, so the handwriting is otherwise being read correctly. Two independent checks favour 17. With 17, total_cars_off is 188, cars on beach at the last bin is 31, cars left in area is 34, and the sheet's own handwritten discrepancy of 3 is reproduced exactly. With 11 the balance becomes 37 and the sign of the discrepancy reverses. The sampler's margin note reads "I believe the 3 missing cars belong here", which describes cars unaccounted for, that is a balance below the count left, which only 17 produces. The value 11 is also what stands in the cars_on cell of that same row, the classic column slip.</t>
  </si>
  <si>
    <t xml:space="preserve">Total cars off, and therefore every pct_available value from bin 0:45 - 0:30 onward, moves by 6 cars in a 219-car survey.</t>
  </si>
  <si>
    <t xml:space="preserve">The typed value 17 is retained and the survey is unchanged. Confirm against the paper field sheet, then close this.</t>
  </si>
  <si>
    <t xml:space="preserve">Three of the new surveys have a large unexplained car balance</t>
  </si>
  <si>
    <t xml:space="preserve">Pages 5, 8 and 6 of 2022-2026-Copalis-Mocrocks.pdf</t>
  </si>
  <si>
    <t xml:space="preserve">Mocrocks 17-Mar-2024 counts 663 cars on and 445 off, leaving 218 on the beach, but records 303 cars left in the area, a gap of 85. Copalis 15-Mar-2024 has a gap of 20 and Copalis 07-Mar-2024 a gap of 18. For comparison the four 2022/2023 surveys have gaps of 7, 2, 10 and 3.</t>
  </si>
  <si>
    <t xml:space="preserve">The pct_available curve is normalised on total cars on, so a wrong cars-left figure does not distort it. A gap of 85 on 663 cars nevertheless says that 13 percent of the vehicles were never reconciled, which bears on whether that survey should carry equal weight in a pooled table.</t>
  </si>
  <si>
    <t xml:space="preserve">Review the field sheets for pages 5, 6 and 8. Mocrocks 17-Mar-2024 also carries the marginal notes "@1010" and "5 planes @1434", which may explain a break in the count.</t>
  </si>
  <si>
    <t xml:space="preserve">Two of the new surveys sit on the daylight / evening boundary</t>
  </si>
  <si>
    <t xml:space="preserve">Pages 6 and 7: Copalis 07-Mar-2024 and Mocrocks 08-Mar-2024</t>
  </si>
  <si>
    <t xml:space="preserve">Low water falls 116 and 72 minutes BEFORE sunset. The count window, three hours before low water to one hour after, is therefore entirely in daylight, but the dig itself runs to dusk. Every other new survey is unambiguous: five have low water 9 to 76 minutes after sunset, and four are morning tides.</t>
  </si>
  <si>
    <t xml:space="preserve">Both are assigned Daylight by the rule "Evening if low water falls at or after sunset minus 60 minutes". If they belong with the evening surveys instead, the Copalis evening pool gains one survey and the Mocrocks evening pool one.</t>
  </si>
  <si>
    <t xml:space="preserve">Decide the rule explicitly and record it. The condition drives which expansion table a beach-day is corrected with, so this is a management decision, not a data-cleaning one.</t>
  </si>
  <si>
    <t xml:space="preserve">Page 7 records the cars-left count on the discrepancy line</t>
  </si>
  <si>
    <t xml:space="preserve">2022-2026-Copalis-Mocrocks.pdf page 7, Mocrocks 08-Mar-2024</t>
  </si>
  <si>
    <t xml:space="preserve">The count-left line is blank and the number 73 appears on the discrepancy line. The transcription interprets 73 as cars left in the area.</t>
  </si>
  <si>
    <t xml:space="preserve">With 73, the balance is 80 and the implied discrepancy is 7. With 73 read as a discrepancy the survey has no cars-left figure at all.</t>
  </si>
  <si>
    <t xml:space="preserve">Confirm against the paper sheet.</t>
  </si>
  <si>
    <t xml:space="preserve">Page 15 tide time is internally contradictory</t>
  </si>
  <si>
    <t xml:space="preserve">2022-2026-Copalis-Mocrocks.pdf page 15, Mocrocks 03-May-2026</t>
  </si>
  <si>
    <t xml:space="preserve">The tide line reads 8:08 PM, the 24-hour value in parentheses reads 0808, the solar line gives sunrise, and the interval clock times are morning.</t>
  </si>
  <si>
    <t xml:space="preserve">Treated as 08:08 and classified Daylight. If the low water were in fact at 20:08 the survey is an evening survey and the Mocrocks evening pool gains a sixth member.</t>
  </si>
  <si>
    <t xml:space="preserve">Check a 2026 tide table for Mocrocks. This one is settled by arithmetic, not judgement.</t>
  </si>
</sst>
</file>

<file path=xl/styles.xml><?xml version="1.0" encoding="utf-8"?>
<styleSheet xmlns="http://schemas.openxmlformats.org/spreadsheetml/2006/main">
  <numFmts count="6">
    <numFmt numFmtId="164" formatCode="General"/>
    <numFmt numFmtId="165" formatCode="yyyy\-mm\-dd"/>
    <numFmt numFmtId="166" formatCode="0.0%"/>
    <numFmt numFmtId="167" formatCode="0.000000"/>
    <numFmt numFmtId="168" formatCode="0.00%"/>
    <numFmt numFmtId="169" formatCode="0.0000"/>
  </numFmts>
  <fonts count="11">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sz val="10"/>
      <name val="Arial"/>
      <family val="0"/>
      <charset val="1"/>
    </font>
    <font>
      <b val="true"/>
      <sz val="11"/>
      <color rgb="FF1F3864"/>
      <name val="Arial"/>
      <family val="0"/>
      <charset val="1"/>
    </font>
    <font>
      <b val="true"/>
      <sz val="10"/>
      <name val="Arial"/>
      <family val="0"/>
      <charset val="1"/>
    </font>
    <font>
      <b val="true"/>
      <sz val="10"/>
      <color rgb="FFFFFFFF"/>
      <name val="Arial"/>
      <family val="0"/>
      <charset val="1"/>
    </font>
    <font>
      <b val="true"/>
      <sz val="12"/>
      <name val="Arial"/>
      <family val="0"/>
      <charset val="1"/>
    </font>
    <font>
      <i val="true"/>
      <sz val="10"/>
      <name val="Arial"/>
      <family val="0"/>
      <charset val="1"/>
    </font>
  </fonts>
  <fills count="8">
    <fill>
      <patternFill patternType="none"/>
    </fill>
    <fill>
      <patternFill patternType="gray125"/>
    </fill>
    <fill>
      <patternFill patternType="solid">
        <fgColor rgb="FF1F3864"/>
        <bgColor rgb="FF333333"/>
      </patternFill>
    </fill>
    <fill>
      <patternFill patternType="solid">
        <fgColor rgb="FFD9E1F2"/>
        <bgColor rgb="FFE2EFDA"/>
      </patternFill>
    </fill>
    <fill>
      <patternFill patternType="solid">
        <fgColor rgb="FFF8CBAD"/>
        <bgColor rgb="FFFFF2CC"/>
      </patternFill>
    </fill>
    <fill>
      <patternFill patternType="solid">
        <fgColor rgb="FFFFF2CC"/>
        <bgColor rgb="FFE2EFDA"/>
      </patternFill>
    </fill>
    <fill>
      <patternFill patternType="solid">
        <fgColor rgb="FFC6EFCE"/>
        <bgColor rgb="FFE2EFDA"/>
      </patternFill>
    </fill>
    <fill>
      <patternFill patternType="solid">
        <fgColor rgb="FFE2EFDA"/>
        <bgColor rgb="FFD9E1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false" indent="0" shrinkToFit="false"/>
      <protection locked="true" hidden="false"/>
    </xf>
    <xf numFmtId="164" fontId="5" fillId="4" borderId="1" xfId="0" applyFont="true" applyBorder="true" applyAlignment="true" applyProtection="false">
      <alignment horizontal="general" vertical="top" textRotation="0" wrapText="false" indent="0" shrinkToFit="false"/>
      <protection locked="true" hidden="false"/>
    </xf>
    <xf numFmtId="164" fontId="5" fillId="5" borderId="1" xfId="0" applyFont="true" applyBorder="true" applyAlignment="true" applyProtection="false">
      <alignment horizontal="general" vertical="top" textRotation="0" wrapText="false" indent="0" shrinkToFit="false"/>
      <protection locked="true" hidden="false"/>
    </xf>
    <xf numFmtId="165" fontId="5" fillId="0" borderId="1" xfId="0" applyFont="true" applyBorder="true" applyAlignment="true" applyProtection="false">
      <alignment horizontal="general" vertical="top" textRotation="0" wrapText="false" indent="0" shrinkToFit="false"/>
      <protection locked="true" hidden="false"/>
    </xf>
    <xf numFmtId="166" fontId="5" fillId="0" borderId="1" xfId="0" applyFont="true" applyBorder="true" applyAlignment="true" applyProtection="false">
      <alignment horizontal="general" vertical="top" textRotation="0" wrapText="fals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5" fontId="5" fillId="0" borderId="0" xfId="0" applyFont="true" applyBorder="false" applyAlignment="true" applyProtection="false">
      <alignment horizontal="general" vertical="top" textRotation="0" wrapText="false" indent="0" shrinkToFit="false"/>
      <protection locked="true" hidden="false"/>
    </xf>
    <xf numFmtId="167" fontId="5" fillId="0" borderId="0" xfId="0" applyFont="true" applyBorder="false" applyAlignment="true" applyProtection="false">
      <alignment horizontal="general" vertical="top" textRotation="0" wrapText="false" indent="0" shrinkToFit="false"/>
      <protection locked="true" hidden="false"/>
    </xf>
    <xf numFmtId="164" fontId="5" fillId="5" borderId="0" xfId="0" applyFont="true" applyBorder="false" applyAlignment="true" applyProtection="false">
      <alignment horizontal="general" vertical="top" textRotation="0" wrapText="tru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8" fontId="5" fillId="0" borderId="1" xfId="0" applyFont="true" applyBorder="true" applyAlignment="false" applyProtection="false">
      <alignment horizontal="general" vertical="bottom" textRotation="0" wrapText="false" indent="0" shrinkToFit="false"/>
      <protection locked="true" hidden="false"/>
    </xf>
    <xf numFmtId="164" fontId="5" fillId="3" borderId="1" xfId="0" applyFont="true" applyBorder="true" applyAlignment="false" applyProtection="false">
      <alignment horizontal="general" vertical="bottom" textRotation="0" wrapText="false" indent="0" shrinkToFit="false"/>
      <protection locked="true" hidden="false"/>
    </xf>
    <xf numFmtId="164" fontId="5" fillId="5"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center" vertical="bottom" textRotation="0" wrapText="true" indent="0" shrinkToFit="false"/>
      <protection locked="true" hidden="false"/>
    </xf>
    <xf numFmtId="164" fontId="7" fillId="4" borderId="0" xfId="0" applyFont="true" applyBorder="false" applyAlignment="true" applyProtection="false">
      <alignment horizontal="center" vertical="bottom" textRotation="0" wrapText="tru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center" vertical="bottom"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9" fontId="5"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5" fillId="5" borderId="1" xfId="0" applyFont="true" applyBorder="true" applyAlignment="false" applyProtection="false">
      <alignment horizontal="general" vertical="bottom" textRotation="0" wrapText="false" indent="0" shrinkToFit="false"/>
      <protection locked="true" hidden="false"/>
    </xf>
    <xf numFmtId="164" fontId="5" fillId="4" borderId="1" xfId="0" applyFont="true" applyBorder="true" applyAlignment="false" applyProtection="false">
      <alignment horizontal="general" vertical="bottom" textRotation="0" wrapText="false" indent="0" shrinkToFit="false"/>
      <protection locked="true" hidden="false"/>
    </xf>
    <xf numFmtId="164" fontId="5" fillId="6" borderId="1" xfId="0" applyFont="true" applyBorder="true" applyAlignment="true" applyProtection="false">
      <alignment horizontal="general" vertical="top" textRotation="0" wrapText="false" indent="0" shrinkToFit="false"/>
      <protection locked="true" hidden="false"/>
    </xf>
    <xf numFmtId="164" fontId="5" fillId="7" borderId="1"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9E1F2"/>
          <bgColor rgb="FF000000"/>
        </patternFill>
      </fill>
    </dxf>
    <dxf>
      <fill>
        <patternFill patternType="solid">
          <fgColor rgb="FFF8CBAD"/>
          <bgColor rgb="FF000000"/>
        </patternFill>
      </fill>
    </dxf>
    <dxf>
      <fill>
        <patternFill patternType="solid">
          <fgColor rgb="FFFFF2CC"/>
          <bgColor rgb="FF000000"/>
        </patternFill>
      </fill>
    </dxf>
    <dxf>
      <fill>
        <patternFill patternType="solid">
          <fgColor rgb="FFE2EFDA"/>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2EFDA"/>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8.xml.rels><?xml version="1.0" encoding="UTF-8"?>
<Relationships xmlns="http://schemas.openxmlformats.org/package/2006/relationships"><Relationship Id="rId1" Type="http://schemas.openxmlformats.org/officeDocument/2006/relationships/drawing" Target="../drawings/drawing4.xml"/>
</Relationships>
</file>

<file path=xl/worksheets/_rels/sheet10.xml.rels><?xml version="1.0" encoding="UTF-8"?>
<Relationships xmlns="http://schemas.openxmlformats.org/package/2006/relationships"><Relationship Id="rId1" Type="http://schemas.openxmlformats.org/officeDocument/2006/relationships/drawing" Target="../drawings/drawing5.xml"/>
</Relationships>
</file>

<file path=xl/worksheets/_rels/sheet11.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4"/>
  <sheetViews>
    <sheetView showFormulas="false" showGridLines="false" showRowColHeaders="true" showZeros="true" rightToLeft="false" tabSelected="false" showOutlineSymbols="true" defaultGridColor="true" view="normal" topLeftCell="A10" colorId="64" zoomScale="100" zoomScaleNormal="100" zoomScalePageLayoutView="100" workbookViewId="0">
      <selection pane="topLeft" activeCell="A26" activeCellId="0" sqref="A26"/>
    </sheetView>
  </sheetViews>
  <sheetFormatPr defaultColWidth="8.71484375" defaultRowHeight="15" zeroHeight="false" outlineLevelRow="0" outlineLevelCol="0"/>
  <cols>
    <col collapsed="false" customWidth="true" hidden="false" outlineLevel="0" max="1" min="1" style="0" width="3"/>
    <col collapsed="false" customWidth="true" hidden="false" outlineLevel="0" max="2" min="2" style="0" width="122"/>
  </cols>
  <sheetData>
    <row r="1" customFormat="false" ht="17.25" hidden="false" customHeight="true" outlineLevel="0" collapsed="false">
      <c r="B1" s="1" t="s">
        <v>0</v>
      </c>
    </row>
    <row r="2" customFormat="false" ht="39" hidden="false" customHeight="true" outlineLevel="0" collapsed="false">
      <c r="B2" s="2" t="s">
        <v>1</v>
      </c>
    </row>
    <row r="3" customFormat="false" ht="15" hidden="false" customHeight="true" outlineLevel="0" collapsed="false">
      <c r="B3" s="3" t="s">
        <v>2</v>
      </c>
    </row>
    <row r="4" customFormat="false" ht="45.75" hidden="false" customHeight="true" outlineLevel="0" collapsed="false">
      <c r="B4" s="2" t="s">
        <v>3</v>
      </c>
    </row>
    <row r="5" customFormat="false" ht="15" hidden="false" customHeight="true" outlineLevel="0" collapsed="false">
      <c r="B5" s="3" t="s">
        <v>4</v>
      </c>
    </row>
    <row r="6" customFormat="false" ht="30" hidden="false" customHeight="true" outlineLevel="0" collapsed="false">
      <c r="B6" s="2" t="s">
        <v>5</v>
      </c>
    </row>
    <row r="7" customFormat="false" ht="25.5" hidden="false" customHeight="true" outlineLevel="0" collapsed="false">
      <c r="B7" s="2" t="s">
        <v>6</v>
      </c>
    </row>
    <row r="8" customFormat="false" ht="30" hidden="false" customHeight="true" outlineLevel="0" collapsed="false">
      <c r="B8" s="2" t="s">
        <v>7</v>
      </c>
    </row>
    <row r="9" customFormat="false" ht="30" hidden="false" customHeight="true" outlineLevel="0" collapsed="false">
      <c r="B9" s="2" t="s">
        <v>8</v>
      </c>
    </row>
    <row r="10" customFormat="false" ht="30" hidden="false" customHeight="true" outlineLevel="0" collapsed="false">
      <c r="B10" s="2" t="s">
        <v>9</v>
      </c>
    </row>
    <row r="11" customFormat="false" ht="30" hidden="false" customHeight="true" outlineLevel="0" collapsed="false">
      <c r="B11" s="2" t="s">
        <v>10</v>
      </c>
    </row>
    <row r="12" customFormat="false" ht="30" hidden="false" customHeight="true" outlineLevel="0" collapsed="false">
      <c r="B12" s="2" t="s">
        <v>11</v>
      </c>
    </row>
    <row r="13" customFormat="false" ht="30" hidden="false" customHeight="true" outlineLevel="0" collapsed="false">
      <c r="B13" s="2" t="s">
        <v>12</v>
      </c>
    </row>
    <row r="14" customFormat="false" ht="15" hidden="false" customHeight="true" outlineLevel="0" collapsed="false">
      <c r="B14" s="2" t="s">
        <v>13</v>
      </c>
    </row>
    <row r="15" customFormat="false" ht="45.75" hidden="false" customHeight="true" outlineLevel="0" collapsed="false">
      <c r="B15" s="3" t="s">
        <v>14</v>
      </c>
    </row>
    <row r="16" customFormat="false" ht="15" hidden="false" customHeight="true" outlineLevel="0" collapsed="false">
      <c r="B16" s="2" t="s">
        <v>15</v>
      </c>
    </row>
    <row r="17" customFormat="false" ht="30" hidden="false" customHeight="true" outlineLevel="0" collapsed="false">
      <c r="B17" s="3" t="s">
        <v>16</v>
      </c>
    </row>
    <row r="18" customFormat="false" ht="30" hidden="false" customHeight="true" outlineLevel="0" collapsed="false">
      <c r="B18" s="2" t="s">
        <v>17</v>
      </c>
    </row>
    <row r="19" customFormat="false" ht="15" hidden="false" customHeight="true" outlineLevel="0" collapsed="false">
      <c r="B19" s="2" t="s">
        <v>18</v>
      </c>
    </row>
    <row r="20" customFormat="false" ht="45.75" hidden="false" customHeight="true" outlineLevel="0" collapsed="false">
      <c r="B20" s="3" t="s">
        <v>19</v>
      </c>
    </row>
    <row r="21" customFormat="false" ht="15" hidden="false" customHeight="true" outlineLevel="0" collapsed="false">
      <c r="B21" s="2" t="s">
        <v>20</v>
      </c>
    </row>
    <row r="22" customFormat="false" ht="45.75" hidden="false" customHeight="true" outlineLevel="0" collapsed="false">
      <c r="B22" s="3" t="s">
        <v>21</v>
      </c>
    </row>
    <row r="23" customFormat="false" ht="25.5" hidden="false" customHeight="true" outlineLevel="0" collapsed="false">
      <c r="B23" s="2" t="s">
        <v>22</v>
      </c>
    </row>
    <row r="24" customFormat="false" ht="30" hidden="false" customHeight="true" outlineLevel="0" collapsed="false">
      <c r="B24" s="3" t="s">
        <v>23</v>
      </c>
    </row>
    <row r="25" customFormat="false" ht="30" hidden="false" customHeight="true" outlineLevel="0" collapsed="false">
      <c r="B25" s="2" t="s">
        <v>24</v>
      </c>
    </row>
    <row r="26" customFormat="false" ht="25.5" hidden="false" customHeight="true" outlineLevel="0" collapsed="false">
      <c r="B26" s="2" t="s">
        <v>25</v>
      </c>
    </row>
    <row r="27" customFormat="false" ht="25.5" hidden="false" customHeight="true" outlineLevel="0" collapsed="false">
      <c r="B27" s="2" t="s">
        <v>26</v>
      </c>
    </row>
    <row r="28" customFormat="false" ht="15" hidden="false" customHeight="true" outlineLevel="0" collapsed="false">
      <c r="B28" s="2" t="s">
        <v>27</v>
      </c>
    </row>
    <row r="30" customFormat="false" ht="15" hidden="false" customHeight="false" outlineLevel="0" collapsed="false">
      <c r="A30" s="4" t="s">
        <v>28</v>
      </c>
      <c r="B30" s="2"/>
    </row>
    <row r="31" customFormat="false" ht="39" hidden="false" customHeight="true" outlineLevel="0" collapsed="false">
      <c r="A31" s="4"/>
      <c r="B31" s="2" t="s">
        <v>29</v>
      </c>
    </row>
    <row r="32" customFormat="false" ht="39" hidden="false" customHeight="true" outlineLevel="0" collapsed="false">
      <c r="A32" s="4"/>
      <c r="B32" s="2" t="s">
        <v>30</v>
      </c>
    </row>
    <row r="33" customFormat="false" ht="51.75" hidden="false" customHeight="true" outlineLevel="0" collapsed="false">
      <c r="A33" s="4"/>
      <c r="B33" s="2" t="s">
        <v>31</v>
      </c>
    </row>
    <row r="34" customFormat="false" ht="39" hidden="false" customHeight="true" outlineLevel="0" collapsed="false">
      <c r="A34" s="4"/>
      <c r="B34" s="2" t="s">
        <v>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71484375" defaultRowHeight="15" zeroHeight="false" outlineLevelRow="0" outlineLevelCol="0"/>
  <cols>
    <col collapsed="false" customWidth="true" hidden="false" outlineLevel="0" max="1" min="1" style="0" width="56"/>
    <col collapsed="false" customWidth="true" hidden="false" outlineLevel="0" max="2" min="2" style="0" width="18"/>
    <col collapsed="false" customWidth="true" hidden="false" outlineLevel="0" max="3" min="3" style="0" width="20"/>
    <col collapsed="false" customWidth="true" hidden="false" outlineLevel="0" max="4" min="4" style="0" width="16"/>
    <col collapsed="false" customWidth="true" hidden="false" outlineLevel="0" max="5" min="5" style="0" width="14"/>
    <col collapsed="false" customWidth="true" hidden="false" outlineLevel="0" max="6" min="6" style="0" width="90"/>
  </cols>
  <sheetData>
    <row r="1" customFormat="false" ht="30" hidden="false" customHeight="true" outlineLevel="0" collapsed="false">
      <c r="A1" s="5" t="s">
        <v>33</v>
      </c>
      <c r="B1" s="5" t="s">
        <v>34</v>
      </c>
      <c r="C1" s="5" t="s">
        <v>35</v>
      </c>
      <c r="D1" s="5" t="s">
        <v>36</v>
      </c>
      <c r="E1" s="5" t="s">
        <v>37</v>
      </c>
      <c r="F1" s="5" t="s">
        <v>38</v>
      </c>
    </row>
    <row r="2" customFormat="false" ht="23.25" hidden="false" customHeight="true" outlineLevel="0" collapsed="false">
      <c r="A2" s="6" t="s">
        <v>39</v>
      </c>
      <c r="B2" s="6" t="s">
        <v>40</v>
      </c>
      <c r="C2" s="6" t="s">
        <v>41</v>
      </c>
      <c r="D2" s="6" t="s">
        <v>42</v>
      </c>
      <c r="E2" s="6" t="n">
        <v>2490368</v>
      </c>
      <c r="F2" s="7" t="s">
        <v>43</v>
      </c>
    </row>
    <row r="3" customFormat="false" ht="23.25" hidden="false" customHeight="true" outlineLevel="0" collapsed="false">
      <c r="A3" s="6" t="s">
        <v>44</v>
      </c>
      <c r="B3" s="6" t="s">
        <v>45</v>
      </c>
      <c r="C3" s="6" t="s">
        <v>41</v>
      </c>
      <c r="D3" s="6" t="s">
        <v>46</v>
      </c>
      <c r="E3" s="6" t="n">
        <v>47552</v>
      </c>
      <c r="F3" s="7" t="s">
        <v>47</v>
      </c>
    </row>
    <row r="4" customFormat="false" ht="23.25" hidden="false" customHeight="true" outlineLevel="0" collapsed="false">
      <c r="A4" s="6" t="s">
        <v>48</v>
      </c>
      <c r="B4" s="6" t="s">
        <v>45</v>
      </c>
      <c r="C4" s="8" t="s">
        <v>49</v>
      </c>
      <c r="D4" s="6" t="s">
        <v>50</v>
      </c>
      <c r="E4" s="6" t="n">
        <v>53172</v>
      </c>
      <c r="F4" s="7" t="s">
        <v>51</v>
      </c>
    </row>
    <row r="5" customFormat="false" ht="15" hidden="false" customHeight="true" outlineLevel="0" collapsed="false">
      <c r="A5" s="6" t="s">
        <v>52</v>
      </c>
      <c r="B5" s="6" t="s">
        <v>45</v>
      </c>
      <c r="C5" s="6" t="s">
        <v>41</v>
      </c>
      <c r="D5" s="6" t="s">
        <v>53</v>
      </c>
      <c r="E5" s="6" t="n">
        <v>38912</v>
      </c>
      <c r="F5" s="7" t="s">
        <v>54</v>
      </c>
    </row>
    <row r="6" customFormat="false" ht="15" hidden="false" customHeight="true" outlineLevel="0" collapsed="false">
      <c r="A6" s="6" t="s">
        <v>55</v>
      </c>
      <c r="B6" s="6" t="s">
        <v>45</v>
      </c>
      <c r="C6" s="8" t="s">
        <v>49</v>
      </c>
      <c r="D6" s="6" t="s">
        <v>53</v>
      </c>
      <c r="E6" s="6" t="n">
        <v>38912</v>
      </c>
      <c r="F6" s="7" t="s">
        <v>56</v>
      </c>
    </row>
    <row r="7" customFormat="false" ht="15" hidden="false" customHeight="true" outlineLevel="0" collapsed="false">
      <c r="A7" s="6" t="s">
        <v>57</v>
      </c>
      <c r="B7" s="6" t="s">
        <v>45</v>
      </c>
      <c r="C7" s="6" t="s">
        <v>41</v>
      </c>
      <c r="D7" s="6" t="s">
        <v>58</v>
      </c>
      <c r="E7" s="6" t="n">
        <v>59392</v>
      </c>
      <c r="F7" s="7" t="s">
        <v>59</v>
      </c>
    </row>
    <row r="8" customFormat="false" ht="15" hidden="false" customHeight="true" outlineLevel="0" collapsed="false">
      <c r="A8" s="6" t="s">
        <v>60</v>
      </c>
      <c r="B8" s="6" t="s">
        <v>45</v>
      </c>
      <c r="C8" s="8" t="s">
        <v>49</v>
      </c>
      <c r="D8" s="6" t="s">
        <v>61</v>
      </c>
      <c r="E8" s="6" t="n">
        <v>59392</v>
      </c>
      <c r="F8" s="7" t="s">
        <v>62</v>
      </c>
    </row>
    <row r="9" customFormat="false" ht="15" hidden="false" customHeight="true" outlineLevel="0" collapsed="false">
      <c r="A9" s="6" t="s">
        <v>63</v>
      </c>
      <c r="B9" s="6" t="s">
        <v>45</v>
      </c>
      <c r="C9" s="6" t="s">
        <v>41</v>
      </c>
      <c r="D9" s="6" t="s">
        <v>64</v>
      </c>
      <c r="E9" s="6" t="n">
        <v>27388</v>
      </c>
      <c r="F9" s="7" t="s">
        <v>65</v>
      </c>
    </row>
    <row r="10" customFormat="false" ht="15" hidden="false" customHeight="true" outlineLevel="0" collapsed="false">
      <c r="A10" s="6" t="s">
        <v>66</v>
      </c>
      <c r="B10" s="6" t="s">
        <v>45</v>
      </c>
      <c r="C10" s="6" t="s">
        <v>41</v>
      </c>
      <c r="D10" s="6" t="s">
        <v>67</v>
      </c>
      <c r="E10" s="6" t="n">
        <v>24952</v>
      </c>
      <c r="F10" s="7" t="s">
        <v>68</v>
      </c>
    </row>
    <row r="11" customFormat="false" ht="15" hidden="false" customHeight="true" outlineLevel="0" collapsed="false">
      <c r="A11" s="6" t="s">
        <v>69</v>
      </c>
      <c r="B11" s="6" t="s">
        <v>45</v>
      </c>
      <c r="C11" s="6" t="s">
        <v>41</v>
      </c>
      <c r="D11" s="6" t="s">
        <v>70</v>
      </c>
      <c r="E11" s="6" t="n">
        <v>26209</v>
      </c>
      <c r="F11" s="7" t="s">
        <v>71</v>
      </c>
    </row>
    <row r="12" customFormat="false" ht="15" hidden="false" customHeight="true" outlineLevel="0" collapsed="false">
      <c r="A12" s="6" t="s">
        <v>72</v>
      </c>
      <c r="B12" s="6" t="s">
        <v>45</v>
      </c>
      <c r="C12" s="6" t="s">
        <v>41</v>
      </c>
      <c r="D12" s="6" t="s">
        <v>73</v>
      </c>
      <c r="E12" s="6" t="n">
        <v>24969</v>
      </c>
      <c r="F12" s="7" t="s">
        <v>74</v>
      </c>
    </row>
    <row r="13" customFormat="false" ht="15" hidden="false" customHeight="true" outlineLevel="0" collapsed="false">
      <c r="A13" s="6" t="s">
        <v>75</v>
      </c>
      <c r="B13" s="6" t="s">
        <v>76</v>
      </c>
      <c r="C13" s="6" t="s">
        <v>41</v>
      </c>
      <c r="D13" s="6" t="s">
        <v>77</v>
      </c>
      <c r="E13" s="6" t="n">
        <v>11162</v>
      </c>
      <c r="F13" s="7" t="s">
        <v>78</v>
      </c>
    </row>
    <row r="14" customFormat="false" ht="15" hidden="false" customHeight="true" outlineLevel="0" collapsed="false">
      <c r="A14" s="6" t="s">
        <v>79</v>
      </c>
      <c r="B14" s="6" t="s">
        <v>76</v>
      </c>
      <c r="C14" s="6" t="s">
        <v>41</v>
      </c>
      <c r="D14" s="6" t="s">
        <v>80</v>
      </c>
      <c r="E14" s="6" t="n">
        <v>14478</v>
      </c>
      <c r="F14" s="7" t="s">
        <v>81</v>
      </c>
    </row>
    <row r="15" customFormat="false" ht="15" hidden="false" customHeight="true" outlineLevel="0" collapsed="false">
      <c r="A15" s="6" t="s">
        <v>82</v>
      </c>
      <c r="B15" s="6" t="s">
        <v>76</v>
      </c>
      <c r="C15" s="6" t="s">
        <v>41</v>
      </c>
      <c r="D15" s="6" t="s">
        <v>83</v>
      </c>
      <c r="E15" s="6" t="n">
        <v>20112</v>
      </c>
      <c r="F15" s="7" t="s">
        <v>84</v>
      </c>
    </row>
    <row r="16" customFormat="false" ht="23.25" hidden="false" customHeight="true" outlineLevel="0" collapsed="false">
      <c r="A16" s="6" t="s">
        <v>85</v>
      </c>
      <c r="B16" s="6" t="s">
        <v>76</v>
      </c>
      <c r="C16" s="9" t="s">
        <v>86</v>
      </c>
      <c r="D16" s="6" t="s">
        <v>87</v>
      </c>
      <c r="E16" s="6" t="n">
        <v>11005</v>
      </c>
      <c r="F16" s="7" t="s">
        <v>88</v>
      </c>
    </row>
    <row r="17" customFormat="false" ht="15" hidden="false" customHeight="true" outlineLevel="0" collapsed="false">
      <c r="A17" s="6" t="s">
        <v>89</v>
      </c>
      <c r="B17" s="6" t="s">
        <v>90</v>
      </c>
      <c r="C17" s="6" t="s">
        <v>41</v>
      </c>
      <c r="D17" s="6" t="s">
        <v>91</v>
      </c>
      <c r="E17" s="6" t="n">
        <v>154639</v>
      </c>
      <c r="F17" s="7" t="s">
        <v>92</v>
      </c>
    </row>
    <row r="18" customFormat="false" ht="15" hidden="false" customHeight="true" outlineLevel="0" collapsed="false">
      <c r="A18" s="6" t="s">
        <v>93</v>
      </c>
      <c r="B18" s="6" t="s">
        <v>90</v>
      </c>
      <c r="C18" s="8" t="s">
        <v>49</v>
      </c>
      <c r="D18" s="6" t="s">
        <v>94</v>
      </c>
      <c r="E18" s="6" t="n">
        <v>154639</v>
      </c>
      <c r="F18" s="7" t="s">
        <v>95</v>
      </c>
    </row>
    <row r="19" customFormat="false" ht="23.25" hidden="false" customHeight="true" outlineLevel="0" collapsed="false">
      <c r="A19" s="6" t="s">
        <v>96</v>
      </c>
      <c r="B19" s="6" t="s">
        <v>90</v>
      </c>
      <c r="C19" s="6" t="s">
        <v>41</v>
      </c>
      <c r="D19" s="6" t="s">
        <v>97</v>
      </c>
      <c r="E19" s="6" t="n">
        <v>159574</v>
      </c>
      <c r="F19" s="7" t="s">
        <v>98</v>
      </c>
    </row>
    <row r="20" customFormat="false" ht="15" hidden="false" customHeight="true" outlineLevel="0" collapsed="false">
      <c r="A20" s="6" t="s">
        <v>99</v>
      </c>
      <c r="B20" s="6" t="s">
        <v>90</v>
      </c>
      <c r="C20" s="8" t="s">
        <v>49</v>
      </c>
      <c r="D20" s="6" t="s">
        <v>100</v>
      </c>
      <c r="E20" s="6" t="n">
        <v>159574</v>
      </c>
      <c r="F20" s="7" t="s">
        <v>101</v>
      </c>
    </row>
    <row r="21" customFormat="false" ht="15" hidden="false" customHeight="true" outlineLevel="0" collapsed="false">
      <c r="A21" s="6" t="s">
        <v>102</v>
      </c>
      <c r="B21" s="6" t="s">
        <v>90</v>
      </c>
      <c r="C21" s="6" t="s">
        <v>41</v>
      </c>
      <c r="D21" s="6" t="s">
        <v>103</v>
      </c>
      <c r="E21" s="6" t="n">
        <v>152062</v>
      </c>
      <c r="F21" s="7" t="s">
        <v>104</v>
      </c>
    </row>
    <row r="22" customFormat="false" ht="15" hidden="false" customHeight="true" outlineLevel="0" collapsed="false">
      <c r="A22" s="6" t="s">
        <v>105</v>
      </c>
      <c r="B22" s="6" t="s">
        <v>90</v>
      </c>
      <c r="C22" s="8" t="s">
        <v>49</v>
      </c>
      <c r="D22" s="6" t="s">
        <v>106</v>
      </c>
      <c r="E22" s="6" t="n">
        <v>152062</v>
      </c>
      <c r="F22" s="7" t="s">
        <v>107</v>
      </c>
    </row>
    <row r="23" customFormat="false" ht="15" hidden="false" customHeight="true" outlineLevel="0" collapsed="false">
      <c r="A23" s="6" t="s">
        <v>108</v>
      </c>
      <c r="B23" s="6" t="s">
        <v>90</v>
      </c>
      <c r="C23" s="6" t="s">
        <v>41</v>
      </c>
      <c r="D23" s="6" t="s">
        <v>109</v>
      </c>
      <c r="E23" s="6" t="n">
        <v>167564</v>
      </c>
      <c r="F23" s="7" t="s">
        <v>110</v>
      </c>
    </row>
    <row r="24" customFormat="false" ht="15" hidden="false" customHeight="true" outlineLevel="0" collapsed="false">
      <c r="A24" s="6" t="s">
        <v>111</v>
      </c>
      <c r="B24" s="6" t="s">
        <v>90</v>
      </c>
      <c r="C24" s="8" t="s">
        <v>49</v>
      </c>
      <c r="D24" s="6" t="s">
        <v>112</v>
      </c>
      <c r="E24" s="6" t="n">
        <v>167564</v>
      </c>
      <c r="F24" s="7" t="s">
        <v>107</v>
      </c>
    </row>
    <row r="25" customFormat="false" ht="15" hidden="false" customHeight="true" outlineLevel="0" collapsed="false">
      <c r="A25" s="6" t="s">
        <v>113</v>
      </c>
      <c r="B25" s="6" t="s">
        <v>90</v>
      </c>
      <c r="C25" s="6" t="s">
        <v>41</v>
      </c>
      <c r="D25" s="6" t="s">
        <v>114</v>
      </c>
      <c r="E25" s="6" t="n">
        <v>152520</v>
      </c>
      <c r="F25" s="7" t="s">
        <v>115</v>
      </c>
    </row>
    <row r="26" customFormat="false" ht="15" hidden="false" customHeight="true" outlineLevel="0" collapsed="false">
      <c r="A26" s="6" t="s">
        <v>116</v>
      </c>
      <c r="B26" s="6" t="s">
        <v>90</v>
      </c>
      <c r="C26" s="6" t="s">
        <v>41</v>
      </c>
      <c r="D26" s="6" t="s">
        <v>117</v>
      </c>
      <c r="E26" s="6" t="n">
        <v>155889</v>
      </c>
      <c r="F26" s="7" t="s">
        <v>118</v>
      </c>
    </row>
    <row r="27" customFormat="false" ht="15" hidden="false" customHeight="true" outlineLevel="0" collapsed="false">
      <c r="A27" s="6" t="s">
        <v>119</v>
      </c>
      <c r="B27" s="6" t="s">
        <v>90</v>
      </c>
      <c r="C27" s="6" t="s">
        <v>41</v>
      </c>
      <c r="D27" s="6" t="s">
        <v>120</v>
      </c>
      <c r="E27" s="6" t="n">
        <v>161210</v>
      </c>
      <c r="F27" s="7" t="s">
        <v>121</v>
      </c>
    </row>
    <row r="28" customFormat="false" ht="15" hidden="false" customHeight="true" outlineLevel="0" collapsed="false">
      <c r="A28" s="6" t="s">
        <v>122</v>
      </c>
      <c r="B28" s="6" t="s">
        <v>90</v>
      </c>
      <c r="C28" s="8" t="s">
        <v>49</v>
      </c>
      <c r="D28" s="6" t="s">
        <v>123</v>
      </c>
      <c r="E28" s="6" t="n">
        <v>161210</v>
      </c>
      <c r="F28" s="7" t="s">
        <v>107</v>
      </c>
    </row>
    <row r="29" customFormat="false" ht="15" hidden="false" customHeight="true" outlineLevel="0" collapsed="false">
      <c r="A29" s="6" t="s">
        <v>124</v>
      </c>
      <c r="B29" s="6" t="s">
        <v>90</v>
      </c>
      <c r="C29" s="6" t="s">
        <v>41</v>
      </c>
      <c r="D29" s="6" t="s">
        <v>125</v>
      </c>
      <c r="E29" s="6" t="n">
        <v>161768</v>
      </c>
      <c r="F29" s="7" t="s">
        <v>126</v>
      </c>
    </row>
    <row r="30" customFormat="false" ht="15" hidden="false" customHeight="true" outlineLevel="0" collapsed="false">
      <c r="A30" s="6" t="s">
        <v>127</v>
      </c>
      <c r="B30" s="6" t="s">
        <v>90</v>
      </c>
      <c r="C30" s="8" t="s">
        <v>49</v>
      </c>
      <c r="D30" s="6" t="s">
        <v>128</v>
      </c>
      <c r="E30" s="6" t="n">
        <v>161768</v>
      </c>
      <c r="F30" s="7" t="s">
        <v>107</v>
      </c>
    </row>
    <row r="31" customFormat="false" ht="23.25" hidden="false" customHeight="true" outlineLevel="0" collapsed="false">
      <c r="A31" s="6" t="s">
        <v>129</v>
      </c>
      <c r="B31" s="6" t="s">
        <v>130</v>
      </c>
      <c r="C31" s="6" t="s">
        <v>41</v>
      </c>
      <c r="D31" s="6" t="s">
        <v>131</v>
      </c>
      <c r="E31" s="6" t="n">
        <v>133632</v>
      </c>
      <c r="F31" s="7" t="s">
        <v>132</v>
      </c>
    </row>
    <row r="32" customFormat="false" ht="23.25" hidden="false" customHeight="true" outlineLevel="0" collapsed="false">
      <c r="A32" s="6" t="s">
        <v>133</v>
      </c>
      <c r="B32" s="6" t="s">
        <v>134</v>
      </c>
      <c r="C32" s="10" t="s">
        <v>135</v>
      </c>
      <c r="D32" s="6" t="s">
        <v>136</v>
      </c>
      <c r="E32" s="6" t="n">
        <v>14848</v>
      </c>
      <c r="F32" s="7" t="s">
        <v>137</v>
      </c>
    </row>
    <row r="33" customFormat="false" ht="15" hidden="false" customHeight="true" outlineLevel="0" collapsed="false">
      <c r="A33" s="6" t="s">
        <v>138</v>
      </c>
      <c r="B33" s="6" t="s">
        <v>134</v>
      </c>
      <c r="C33" s="8" t="s">
        <v>49</v>
      </c>
      <c r="D33" s="6" t="s">
        <v>139</v>
      </c>
      <c r="E33" s="6" t="n">
        <v>10959</v>
      </c>
      <c r="F33" s="7" t="s">
        <v>140</v>
      </c>
    </row>
    <row r="34" customFormat="false" ht="23.25" hidden="false" customHeight="true" outlineLevel="0" collapsed="false">
      <c r="A34" s="6" t="s">
        <v>141</v>
      </c>
      <c r="B34" s="6" t="s">
        <v>142</v>
      </c>
      <c r="C34" s="9" t="s">
        <v>143</v>
      </c>
      <c r="D34" s="6" t="s">
        <v>144</v>
      </c>
      <c r="E34" s="6" t="n">
        <v>66048</v>
      </c>
      <c r="F34" s="7" t="s">
        <v>145</v>
      </c>
    </row>
    <row r="35" customFormat="false" ht="15" hidden="false" customHeight="true" outlineLevel="0" collapsed="false">
      <c r="A35" s="6" t="s">
        <v>146</v>
      </c>
      <c r="B35" s="6" t="s">
        <v>147</v>
      </c>
      <c r="C35" s="6" t="s">
        <v>148</v>
      </c>
      <c r="D35" s="6" t="s">
        <v>149</v>
      </c>
      <c r="E35" s="6" t="n">
        <v>5133</v>
      </c>
      <c r="F35" s="7" t="s">
        <v>150</v>
      </c>
    </row>
    <row r="36" customFormat="false" ht="15" hidden="false" customHeight="true" outlineLevel="0" collapsed="false">
      <c r="A36" s="6" t="s">
        <v>151</v>
      </c>
      <c r="B36" s="6" t="s">
        <v>152</v>
      </c>
      <c r="C36" s="8" t="s">
        <v>153</v>
      </c>
      <c r="D36" s="6" t="s">
        <v>154</v>
      </c>
      <c r="E36" s="6" t="n">
        <v>14848</v>
      </c>
      <c r="F36" s="7" t="s">
        <v>155</v>
      </c>
    </row>
    <row r="37" customFormat="false" ht="39.75" hidden="false" customHeight="true" outlineLevel="0" collapsed="false">
      <c r="A37" s="6" t="s">
        <v>156</v>
      </c>
      <c r="B37" s="6" t="s">
        <v>157</v>
      </c>
      <c r="C37" s="6" t="s">
        <v>158</v>
      </c>
      <c r="D37" s="6" t="s">
        <v>159</v>
      </c>
      <c r="E37" s="6" t="n">
        <v>10896256</v>
      </c>
      <c r="F37" s="7" t="s">
        <v>160</v>
      </c>
    </row>
    <row r="38" customFormat="false" ht="39.75" hidden="false" customHeight="true" outlineLevel="0" collapsed="false">
      <c r="A38" s="6" t="s">
        <v>161</v>
      </c>
      <c r="B38" s="6" t="s">
        <v>162</v>
      </c>
      <c r="C38" s="6" t="s">
        <v>163</v>
      </c>
      <c r="D38" s="6" t="s">
        <v>164</v>
      </c>
      <c r="E38" s="6" t="n">
        <v>57174</v>
      </c>
      <c r="F38" s="7" t="s">
        <v>165</v>
      </c>
    </row>
  </sheetData>
  <autoFilter ref="A1:F3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5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3" activeCellId="0" sqref="A13"/>
    </sheetView>
  </sheetViews>
  <sheetFormatPr defaultColWidth="8.71484375" defaultRowHeight="15" zeroHeight="false" outlineLevelRow="0" outlineLevelCol="0"/>
  <cols>
    <col collapsed="false" customWidth="true" hidden="false" outlineLevel="0" max="1" min="1" style="0" width="22"/>
    <col collapsed="false" customWidth="true" hidden="false" outlineLevel="0" max="2" min="2" style="0" width="13"/>
    <col collapsed="false" customWidth="true" hidden="false" outlineLevel="0" max="3" min="3" style="0" width="42"/>
    <col collapsed="false" customWidth="true" hidden="false" outlineLevel="0" max="4" min="4" style="0" width="11"/>
    <col collapsed="false" customWidth="true" hidden="false" outlineLevel="0" max="5" min="5" style="0" width="10"/>
    <col collapsed="false" customWidth="true" hidden="false" outlineLevel="0" max="6" min="6" style="0" width="12"/>
    <col collapsed="false" customWidth="true" hidden="false" outlineLevel="0" max="7" min="7" style="0" width="20"/>
    <col collapsed="false" customWidth="true" hidden="false" outlineLevel="0" max="8" min="8" style="0" width="8"/>
    <col collapsed="false" customWidth="true" hidden="false" outlineLevel="0" max="9" min="9" style="0" width="20"/>
    <col collapsed="false" customWidth="true" hidden="false" outlineLevel="0" max="10" min="10" style="0" width="34"/>
    <col collapsed="false" customWidth="true" hidden="false" outlineLevel="0" max="11" min="11" style="0" width="18"/>
    <col collapsed="false" customWidth="true" hidden="false" outlineLevel="0" max="14" min="12" style="0" width="14"/>
    <col collapsed="false" customWidth="true" hidden="false" outlineLevel="0" max="15" min="15" style="0" width="7"/>
    <col collapsed="false" customWidth="true" hidden="false" outlineLevel="0" max="17" min="16" style="0" width="10"/>
    <col collapsed="false" customWidth="true" hidden="false" outlineLevel="0" max="19" min="18" style="0" width="11"/>
    <col collapsed="false" customWidth="true" hidden="false" outlineLevel="0" max="20" min="20" style="0" width="12"/>
    <col collapsed="false" customWidth="true" hidden="false" outlineLevel="0" max="21" min="21" style="0" width="13"/>
    <col collapsed="false" customWidth="true" hidden="false" outlineLevel="0" max="22" min="22" style="0" width="10"/>
    <col collapsed="false" customWidth="true" hidden="false" outlineLevel="0" max="23" min="23" style="0" width="44"/>
    <col collapsed="false" customWidth="true" hidden="false" outlineLevel="0" max="24" min="24" style="0" width="26"/>
    <col collapsed="false" customWidth="true" hidden="false" outlineLevel="0" max="25" min="25" style="0" width="44"/>
    <col collapsed="false" customWidth="true" hidden="false" outlineLevel="0" max="26" min="26" style="0" width="22"/>
    <col collapsed="false" customWidth="true" hidden="false" outlineLevel="0" max="27" min="27" style="0" width="60"/>
    <col collapsed="false" customWidth="true" hidden="false" outlineLevel="0" max="28" min="28" style="0" width="86"/>
  </cols>
  <sheetData>
    <row r="1" customFormat="false" ht="30" hidden="false" customHeight="true" outlineLevel="0" collapsed="false">
      <c r="A1" s="5" t="s">
        <v>166</v>
      </c>
      <c r="B1" s="5" t="s">
        <v>167</v>
      </c>
      <c r="C1" s="5" t="s">
        <v>168</v>
      </c>
      <c r="D1" s="5" t="s">
        <v>169</v>
      </c>
      <c r="E1" s="5" t="s">
        <v>170</v>
      </c>
      <c r="F1" s="5" t="s">
        <v>171</v>
      </c>
      <c r="G1" s="5" t="s">
        <v>172</v>
      </c>
      <c r="H1" s="5" t="s">
        <v>173</v>
      </c>
      <c r="I1" s="5" t="s">
        <v>174</v>
      </c>
      <c r="J1" s="5" t="s">
        <v>175</v>
      </c>
      <c r="K1" s="5" t="s">
        <v>176</v>
      </c>
      <c r="L1" s="5" t="s">
        <v>177</v>
      </c>
      <c r="M1" s="5" t="s">
        <v>178</v>
      </c>
      <c r="N1" s="5" t="s">
        <v>179</v>
      </c>
      <c r="O1" s="5" t="s">
        <v>180</v>
      </c>
      <c r="P1" s="5" t="s">
        <v>181</v>
      </c>
      <c r="Q1" s="5" t="s">
        <v>182</v>
      </c>
      <c r="R1" s="5" t="s">
        <v>183</v>
      </c>
      <c r="S1" s="5" t="s">
        <v>184</v>
      </c>
      <c r="T1" s="5" t="s">
        <v>185</v>
      </c>
      <c r="U1" s="5" t="s">
        <v>186</v>
      </c>
      <c r="V1" s="5" t="s">
        <v>187</v>
      </c>
      <c r="W1" s="5" t="s">
        <v>188</v>
      </c>
      <c r="X1" s="5" t="s">
        <v>189</v>
      </c>
      <c r="Y1" s="5" t="s">
        <v>190</v>
      </c>
      <c r="Z1" s="5" t="s">
        <v>191</v>
      </c>
      <c r="AA1" s="5" t="s">
        <v>192</v>
      </c>
      <c r="AB1" s="5" t="s">
        <v>193</v>
      </c>
    </row>
    <row r="2" customFormat="false" ht="23.25" hidden="false" customHeight="true" outlineLevel="0" collapsed="false">
      <c r="A2" s="6" t="s">
        <v>194</v>
      </c>
      <c r="B2" s="6" t="s">
        <v>195</v>
      </c>
      <c r="C2" s="7" t="s">
        <v>196</v>
      </c>
      <c r="D2" s="11" t="n">
        <v>38100</v>
      </c>
      <c r="E2" s="6" t="s">
        <v>197</v>
      </c>
      <c r="F2" s="6" t="s">
        <v>198</v>
      </c>
      <c r="G2" s="6" t="s">
        <v>199</v>
      </c>
      <c r="H2" s="6" t="n">
        <v>-0.3</v>
      </c>
      <c r="I2" s="6" t="s">
        <v>200</v>
      </c>
      <c r="J2" s="7" t="s">
        <v>201</v>
      </c>
      <c r="K2" s="6" t="s">
        <v>202</v>
      </c>
      <c r="L2" s="6" t="s">
        <v>203</v>
      </c>
      <c r="M2" s="6" t="s">
        <v>204</v>
      </c>
      <c r="N2" s="6" t="s">
        <v>205</v>
      </c>
      <c r="O2" s="6" t="n">
        <v>18</v>
      </c>
      <c r="P2" s="6" t="n">
        <v>374</v>
      </c>
      <c r="Q2" s="6" t="n">
        <v>368</v>
      </c>
      <c r="R2" s="6" t="n">
        <v>12</v>
      </c>
      <c r="S2" s="6" t="n">
        <f aca="false">P2-Q2-R2</f>
        <v>-6</v>
      </c>
      <c r="T2" s="12" t="n">
        <v>0.545454545454545</v>
      </c>
      <c r="U2" s="6" t="s">
        <v>206</v>
      </c>
      <c r="V2" s="8" t="s">
        <v>207</v>
      </c>
      <c r="W2" s="7" t="s">
        <v>208</v>
      </c>
      <c r="X2" s="6" t="s">
        <v>209</v>
      </c>
      <c r="Y2" s="6" t="s">
        <v>39</v>
      </c>
      <c r="Z2" s="6" t="s">
        <v>210</v>
      </c>
      <c r="AA2" s="7"/>
      <c r="AB2" s="7"/>
    </row>
    <row r="3" customFormat="false" ht="15" hidden="false" customHeight="true" outlineLevel="0" collapsed="false">
      <c r="A3" s="6" t="s">
        <v>211</v>
      </c>
      <c r="B3" s="6" t="s">
        <v>195</v>
      </c>
      <c r="C3" s="7" t="s">
        <v>212</v>
      </c>
      <c r="D3" s="11" t="n">
        <v>38100</v>
      </c>
      <c r="E3" s="6" t="s">
        <v>197</v>
      </c>
      <c r="F3" s="6" t="s">
        <v>198</v>
      </c>
      <c r="G3" s="6" t="s">
        <v>199</v>
      </c>
      <c r="H3" s="6" t="n">
        <v>-0.3</v>
      </c>
      <c r="I3" s="6" t="s">
        <v>213</v>
      </c>
      <c r="J3" s="7" t="s">
        <v>214</v>
      </c>
      <c r="K3" s="6" t="s">
        <v>215</v>
      </c>
      <c r="L3" s="6" t="s">
        <v>203</v>
      </c>
      <c r="M3" s="6" t="s">
        <v>204</v>
      </c>
      <c r="N3" s="6" t="s">
        <v>205</v>
      </c>
      <c r="O3" s="6" t="n">
        <v>18</v>
      </c>
      <c r="P3" s="6" t="n">
        <v>374</v>
      </c>
      <c r="Q3" s="6" t="n">
        <v>368</v>
      </c>
      <c r="R3" s="6" t="n">
        <v>12</v>
      </c>
      <c r="S3" s="6" t="n">
        <f aca="false">P3-Q3-R3</f>
        <v>-6</v>
      </c>
      <c r="T3" s="12" t="n">
        <v>0.545454545454545</v>
      </c>
      <c r="U3" s="6" t="s">
        <v>206</v>
      </c>
      <c r="V3" s="6" t="s">
        <v>216</v>
      </c>
      <c r="W3" s="7"/>
      <c r="X3" s="6" t="s">
        <v>45</v>
      </c>
      <c r="Y3" s="6" t="s">
        <v>217</v>
      </c>
      <c r="Z3" s="6" t="s">
        <v>195</v>
      </c>
      <c r="AA3" s="7"/>
      <c r="AB3" s="7"/>
    </row>
    <row r="4" customFormat="false" ht="23.25" hidden="false" customHeight="true" outlineLevel="0" collapsed="false">
      <c r="A4" s="6" t="s">
        <v>218</v>
      </c>
      <c r="B4" s="6" t="s">
        <v>195</v>
      </c>
      <c r="C4" s="7" t="s">
        <v>196</v>
      </c>
      <c r="D4" s="11" t="n">
        <v>39765</v>
      </c>
      <c r="E4" s="6" t="s">
        <v>219</v>
      </c>
      <c r="F4" s="6" t="s">
        <v>220</v>
      </c>
      <c r="G4" s="6" t="s">
        <v>221</v>
      </c>
      <c r="H4" s="6" t="n">
        <v>-1.6</v>
      </c>
      <c r="I4" s="6" t="s">
        <v>222</v>
      </c>
      <c r="J4" s="7" t="s">
        <v>223</v>
      </c>
      <c r="K4" s="6" t="s">
        <v>224</v>
      </c>
      <c r="L4" s="6" t="s">
        <v>225</v>
      </c>
      <c r="M4" s="6" t="s">
        <v>204</v>
      </c>
      <c r="N4" s="6" t="s">
        <v>226</v>
      </c>
      <c r="O4" s="6" t="n">
        <v>17</v>
      </c>
      <c r="P4" s="6" t="n">
        <v>231</v>
      </c>
      <c r="Q4" s="6" t="n">
        <v>223</v>
      </c>
      <c r="R4" s="6" t="n">
        <v>10</v>
      </c>
      <c r="S4" s="6" t="n">
        <f aca="false">P4-Q4-R4</f>
        <v>-2</v>
      </c>
      <c r="T4" s="12" t="n">
        <v>0.350649350649351</v>
      </c>
      <c r="U4" s="6" t="s">
        <v>227</v>
      </c>
      <c r="V4" s="8" t="s">
        <v>207</v>
      </c>
      <c r="W4" s="7" t="s">
        <v>228</v>
      </c>
      <c r="X4" s="6" t="s">
        <v>209</v>
      </c>
      <c r="Y4" s="6" t="s">
        <v>39</v>
      </c>
      <c r="Z4" s="6" t="s">
        <v>229</v>
      </c>
      <c r="AA4" s="7"/>
      <c r="AB4" s="7"/>
    </row>
    <row r="5" customFormat="false" ht="15" hidden="false" customHeight="true" outlineLevel="0" collapsed="false">
      <c r="A5" s="6" t="s">
        <v>230</v>
      </c>
      <c r="B5" s="6" t="s">
        <v>195</v>
      </c>
      <c r="C5" s="7" t="s">
        <v>212</v>
      </c>
      <c r="D5" s="11" t="n">
        <v>39765</v>
      </c>
      <c r="E5" s="6" t="s">
        <v>219</v>
      </c>
      <c r="F5" s="6" t="s">
        <v>220</v>
      </c>
      <c r="G5" s="6" t="s">
        <v>221</v>
      </c>
      <c r="H5" s="6" t="n">
        <v>-1.6</v>
      </c>
      <c r="I5" s="6" t="s">
        <v>231</v>
      </c>
      <c r="J5" s="7" t="s">
        <v>232</v>
      </c>
      <c r="K5" s="6" t="s">
        <v>233</v>
      </c>
      <c r="L5" s="6" t="s">
        <v>225</v>
      </c>
      <c r="M5" s="6" t="s">
        <v>204</v>
      </c>
      <c r="N5" s="6" t="s">
        <v>226</v>
      </c>
      <c r="O5" s="6" t="n">
        <v>17</v>
      </c>
      <c r="P5" s="6" t="n">
        <v>231</v>
      </c>
      <c r="Q5" s="6" t="n">
        <v>223</v>
      </c>
      <c r="R5" s="6" t="n">
        <v>10</v>
      </c>
      <c r="S5" s="6" t="n">
        <f aca="false">P5-Q5-R5</f>
        <v>-2</v>
      </c>
      <c r="T5" s="12" t="n">
        <v>0.350649350649351</v>
      </c>
      <c r="U5" s="6" t="s">
        <v>227</v>
      </c>
      <c r="V5" s="6" t="s">
        <v>216</v>
      </c>
      <c r="W5" s="7"/>
      <c r="X5" s="6" t="s">
        <v>45</v>
      </c>
      <c r="Y5" s="6" t="s">
        <v>234</v>
      </c>
      <c r="Z5" s="6" t="s">
        <v>195</v>
      </c>
      <c r="AA5" s="7"/>
      <c r="AB5" s="7"/>
    </row>
    <row r="6" customFormat="false" ht="15" hidden="false" customHeight="true" outlineLevel="0" collapsed="false">
      <c r="A6" s="6" t="s">
        <v>235</v>
      </c>
      <c r="B6" s="6" t="s">
        <v>195</v>
      </c>
      <c r="C6" s="7" t="s">
        <v>196</v>
      </c>
      <c r="D6" s="11" t="n">
        <v>40459</v>
      </c>
      <c r="E6" s="6" t="s">
        <v>197</v>
      </c>
      <c r="F6" s="6" t="s">
        <v>220</v>
      </c>
      <c r="G6" s="6" t="s">
        <v>236</v>
      </c>
      <c r="H6" s="6" t="n">
        <v>-1.4</v>
      </c>
      <c r="I6" s="6" t="s">
        <v>237</v>
      </c>
      <c r="J6" s="7" t="s">
        <v>238</v>
      </c>
      <c r="K6" s="6" t="s">
        <v>239</v>
      </c>
      <c r="L6" s="6" t="s">
        <v>240</v>
      </c>
      <c r="M6" s="6" t="s">
        <v>204</v>
      </c>
      <c r="N6" s="6" t="s">
        <v>226</v>
      </c>
      <c r="O6" s="6" t="n">
        <v>19</v>
      </c>
      <c r="P6" s="6" t="n">
        <v>486</v>
      </c>
      <c r="Q6" s="6" t="n">
        <v>447</v>
      </c>
      <c r="R6" s="6" t="n">
        <v>57</v>
      </c>
      <c r="S6" s="6" t="n">
        <f aca="false">P6-Q6-R6</f>
        <v>-18</v>
      </c>
      <c r="T6" s="12" t="n">
        <v>0.574074074074074</v>
      </c>
      <c r="U6" s="6" t="s">
        <v>241</v>
      </c>
      <c r="V6" s="6" t="s">
        <v>216</v>
      </c>
      <c r="W6" s="7"/>
      <c r="X6" s="6" t="s">
        <v>209</v>
      </c>
      <c r="Y6" s="6" t="s">
        <v>39</v>
      </c>
      <c r="Z6" s="6" t="s">
        <v>242</v>
      </c>
      <c r="AA6" s="7"/>
      <c r="AB6" s="7"/>
    </row>
    <row r="7" customFormat="false" ht="15" hidden="false" customHeight="true" outlineLevel="0" collapsed="false">
      <c r="A7" s="6" t="s">
        <v>243</v>
      </c>
      <c r="B7" s="6" t="s">
        <v>195</v>
      </c>
      <c r="C7" s="7" t="s">
        <v>196</v>
      </c>
      <c r="D7" s="11" t="n">
        <v>40655</v>
      </c>
      <c r="E7" s="6" t="s">
        <v>197</v>
      </c>
      <c r="F7" s="6" t="s">
        <v>198</v>
      </c>
      <c r="G7" s="6" t="s">
        <v>244</v>
      </c>
      <c r="H7" s="6" t="n">
        <v>-0.8</v>
      </c>
      <c r="I7" s="6" t="s">
        <v>245</v>
      </c>
      <c r="J7" s="7"/>
      <c r="K7" s="6"/>
      <c r="L7" s="6"/>
      <c r="M7" s="6" t="s">
        <v>204</v>
      </c>
      <c r="N7" s="6" t="s">
        <v>226</v>
      </c>
      <c r="O7" s="6" t="n">
        <v>17</v>
      </c>
      <c r="P7" s="6" t="n">
        <v>393</v>
      </c>
      <c r="Q7" s="6" t="n">
        <v>336</v>
      </c>
      <c r="R7" s="6" t="n">
        <v>60</v>
      </c>
      <c r="S7" s="6" t="n">
        <f aca="false">P7-Q7-R7</f>
        <v>-3</v>
      </c>
      <c r="T7" s="12" t="n">
        <v>0.661577608142494</v>
      </c>
      <c r="U7" s="6" t="s">
        <v>246</v>
      </c>
      <c r="V7" s="6" t="s">
        <v>216</v>
      </c>
      <c r="W7" s="7"/>
      <c r="X7" s="6" t="s">
        <v>209</v>
      </c>
      <c r="Y7" s="6" t="s">
        <v>39</v>
      </c>
      <c r="Z7" s="6" t="s">
        <v>247</v>
      </c>
      <c r="AA7" s="7"/>
      <c r="AB7" s="7"/>
    </row>
    <row r="8" customFormat="false" ht="15" hidden="false" customHeight="true" outlineLevel="0" collapsed="false">
      <c r="A8" s="6" t="s">
        <v>248</v>
      </c>
      <c r="B8" s="6" t="s">
        <v>195</v>
      </c>
      <c r="C8" s="7" t="s">
        <v>249</v>
      </c>
      <c r="D8" s="11" t="n">
        <v>44653</v>
      </c>
      <c r="E8" s="6" t="s">
        <v>250</v>
      </c>
      <c r="F8" s="6" t="s">
        <v>198</v>
      </c>
      <c r="G8" s="6" t="s">
        <v>251</v>
      </c>
      <c r="H8" s="6" t="n">
        <v>0</v>
      </c>
      <c r="I8" s="6" t="s">
        <v>252</v>
      </c>
      <c r="J8" s="7" t="s">
        <v>253</v>
      </c>
      <c r="K8" s="6"/>
      <c r="L8" s="6"/>
      <c r="M8" s="6" t="s">
        <v>204</v>
      </c>
      <c r="N8" s="6" t="s">
        <v>226</v>
      </c>
      <c r="O8" s="6" t="n">
        <v>17</v>
      </c>
      <c r="P8" s="6" t="n">
        <v>426</v>
      </c>
      <c r="Q8" s="6" t="n">
        <v>301</v>
      </c>
      <c r="R8" s="6" t="n">
        <v>132</v>
      </c>
      <c r="S8" s="6" t="n">
        <f aca="false">P8-Q8-R8</f>
        <v>-7</v>
      </c>
      <c r="T8" s="12" t="n">
        <v>0.687793427230047</v>
      </c>
      <c r="U8" s="6" t="s">
        <v>254</v>
      </c>
      <c r="V8" s="6" t="s">
        <v>216</v>
      </c>
      <c r="W8" s="7"/>
      <c r="X8" s="6" t="s">
        <v>45</v>
      </c>
      <c r="Y8" s="6" t="s">
        <v>63</v>
      </c>
      <c r="Z8" s="6" t="s">
        <v>255</v>
      </c>
      <c r="AA8" s="7"/>
      <c r="AB8" s="7"/>
    </row>
    <row r="9" customFormat="false" ht="15" hidden="false" customHeight="true" outlineLevel="0" collapsed="false">
      <c r="A9" s="6" t="s">
        <v>256</v>
      </c>
      <c r="B9" s="6" t="s">
        <v>195</v>
      </c>
      <c r="C9" s="7" t="s">
        <v>249</v>
      </c>
      <c r="D9" s="11" t="n">
        <v>45040</v>
      </c>
      <c r="E9" s="6" t="s">
        <v>257</v>
      </c>
      <c r="F9" s="6" t="s">
        <v>198</v>
      </c>
      <c r="G9" s="6" t="s">
        <v>258</v>
      </c>
      <c r="H9" s="6" t="n">
        <v>-0.4</v>
      </c>
      <c r="I9" s="6" t="s">
        <v>259</v>
      </c>
      <c r="J9" s="7" t="s">
        <v>260</v>
      </c>
      <c r="K9" s="6"/>
      <c r="L9" s="6"/>
      <c r="M9" s="6" t="s">
        <v>204</v>
      </c>
      <c r="N9" s="6" t="s">
        <v>226</v>
      </c>
      <c r="O9" s="6" t="n">
        <v>17</v>
      </c>
      <c r="P9" s="6" t="n">
        <v>212</v>
      </c>
      <c r="Q9" s="6" t="n">
        <v>171</v>
      </c>
      <c r="R9" s="6" t="n">
        <v>51</v>
      </c>
      <c r="S9" s="6" t="n">
        <f aca="false">P9-Q9-R9</f>
        <v>-10</v>
      </c>
      <c r="T9" s="12" t="n">
        <v>0.811320754716981</v>
      </c>
      <c r="U9" s="6" t="s">
        <v>254</v>
      </c>
      <c r="V9" s="6" t="s">
        <v>216</v>
      </c>
      <c r="W9" s="7"/>
      <c r="X9" s="6" t="s">
        <v>45</v>
      </c>
      <c r="Y9" s="6" t="s">
        <v>69</v>
      </c>
      <c r="Z9" s="6" t="s">
        <v>255</v>
      </c>
      <c r="AA9" s="7"/>
      <c r="AB9" s="7"/>
    </row>
    <row r="10" customFormat="false" ht="23.25" hidden="false" customHeight="true" outlineLevel="0" collapsed="false">
      <c r="A10" s="6" t="s">
        <v>261</v>
      </c>
      <c r="B10" s="6" t="s">
        <v>262</v>
      </c>
      <c r="C10" s="7" t="s">
        <v>263</v>
      </c>
      <c r="D10" s="11" t="n">
        <v>33004</v>
      </c>
      <c r="E10" s="6" t="s">
        <v>197</v>
      </c>
      <c r="F10" s="6" t="s">
        <v>220</v>
      </c>
      <c r="G10" s="6" t="s">
        <v>264</v>
      </c>
      <c r="H10" s="6" t="n">
        <v>-0.2</v>
      </c>
      <c r="I10" s="6"/>
      <c r="J10" s="7"/>
      <c r="K10" s="6"/>
      <c r="L10" s="6"/>
      <c r="M10" s="6" t="s">
        <v>204</v>
      </c>
      <c r="N10" s="6" t="s">
        <v>265</v>
      </c>
      <c r="O10" s="6" t="n">
        <v>19</v>
      </c>
      <c r="P10" s="6" t="n">
        <v>2344</v>
      </c>
      <c r="Q10" s="6" t="n">
        <v>2258</v>
      </c>
      <c r="R10" s="6" t="n">
        <v>93</v>
      </c>
      <c r="S10" s="6" t="n">
        <f aca="false">P10-Q10-R10</f>
        <v>-7</v>
      </c>
      <c r="T10" s="12" t="n">
        <v>0.766638225255973</v>
      </c>
      <c r="U10" s="6" t="s">
        <v>254</v>
      </c>
      <c r="V10" s="8" t="s">
        <v>207</v>
      </c>
      <c r="W10" s="7" t="s">
        <v>266</v>
      </c>
      <c r="X10" s="6" t="s">
        <v>267</v>
      </c>
      <c r="Y10" s="6" t="s">
        <v>85</v>
      </c>
      <c r="Z10" s="6" t="s">
        <v>268</v>
      </c>
      <c r="AA10" s="7" t="s">
        <v>269</v>
      </c>
      <c r="AB10" s="13" t="s">
        <v>270</v>
      </c>
    </row>
    <row r="11" customFormat="false" ht="34.5" hidden="false" customHeight="true" outlineLevel="0" collapsed="false">
      <c r="A11" s="6" t="s">
        <v>271</v>
      </c>
      <c r="B11" s="6" t="s">
        <v>262</v>
      </c>
      <c r="C11" s="7" t="s">
        <v>263</v>
      </c>
      <c r="D11" s="11" t="n">
        <v>35881</v>
      </c>
      <c r="E11" s="6" t="s">
        <v>197</v>
      </c>
      <c r="F11" s="6" t="s">
        <v>220</v>
      </c>
      <c r="G11" s="6" t="s">
        <v>264</v>
      </c>
      <c r="H11" s="6" t="n">
        <v>-0.2</v>
      </c>
      <c r="I11" s="6"/>
      <c r="J11" s="7" t="s">
        <v>272</v>
      </c>
      <c r="K11" s="6" t="s">
        <v>233</v>
      </c>
      <c r="L11" s="6" t="s">
        <v>273</v>
      </c>
      <c r="M11" s="6" t="s">
        <v>204</v>
      </c>
      <c r="N11" s="6" t="s">
        <v>265</v>
      </c>
      <c r="O11" s="6" t="n">
        <v>19</v>
      </c>
      <c r="P11" s="6" t="n">
        <v>2344</v>
      </c>
      <c r="Q11" s="6" t="n">
        <v>2258</v>
      </c>
      <c r="R11" s="6" t="n">
        <v>93</v>
      </c>
      <c r="S11" s="6" t="n">
        <f aca="false">P11-Q11-R11</f>
        <v>-7</v>
      </c>
      <c r="T11" s="12" t="n">
        <v>0.766638225255973</v>
      </c>
      <c r="U11" s="6" t="s">
        <v>254</v>
      </c>
      <c r="V11" s="6" t="s">
        <v>216</v>
      </c>
      <c r="W11" s="7"/>
      <c r="X11" s="6" t="s">
        <v>267</v>
      </c>
      <c r="Y11" s="6" t="s">
        <v>75</v>
      </c>
      <c r="Z11" s="6" t="s">
        <v>268</v>
      </c>
      <c r="AA11" s="7" t="s">
        <v>274</v>
      </c>
      <c r="AB11" s="13" t="s">
        <v>275</v>
      </c>
    </row>
    <row r="12" customFormat="false" ht="23.25" hidden="false" customHeight="true" outlineLevel="0" collapsed="false">
      <c r="A12" s="6" t="s">
        <v>276</v>
      </c>
      <c r="B12" s="6" t="s">
        <v>262</v>
      </c>
      <c r="C12" s="7" t="s">
        <v>196</v>
      </c>
      <c r="D12" s="11" t="n">
        <v>38099</v>
      </c>
      <c r="E12" s="6" t="s">
        <v>219</v>
      </c>
      <c r="F12" s="6" t="s">
        <v>198</v>
      </c>
      <c r="G12" s="6" t="s">
        <v>277</v>
      </c>
      <c r="H12" s="6" t="n">
        <v>-0.5</v>
      </c>
      <c r="I12" s="6" t="s">
        <v>278</v>
      </c>
      <c r="J12" s="7"/>
      <c r="K12" s="6"/>
      <c r="L12" s="6"/>
      <c r="M12" s="6" t="s">
        <v>204</v>
      </c>
      <c r="N12" s="6" t="s">
        <v>226</v>
      </c>
      <c r="O12" s="6" t="n">
        <v>17</v>
      </c>
      <c r="P12" s="6" t="n">
        <v>929</v>
      </c>
      <c r="Q12" s="6" t="n">
        <v>865</v>
      </c>
      <c r="R12" s="6" t="n">
        <v>62</v>
      </c>
      <c r="S12" s="6" t="n">
        <f aca="false">P12-Q12-R12</f>
        <v>2</v>
      </c>
      <c r="T12" s="12" t="n">
        <v>0.578040904198062</v>
      </c>
      <c r="U12" s="6" t="s">
        <v>279</v>
      </c>
      <c r="V12" s="8" t="s">
        <v>207</v>
      </c>
      <c r="W12" s="7" t="s">
        <v>280</v>
      </c>
      <c r="X12" s="6" t="s">
        <v>209</v>
      </c>
      <c r="Y12" s="6" t="s">
        <v>39</v>
      </c>
      <c r="Z12" s="6" t="s">
        <v>281</v>
      </c>
      <c r="AA12" s="7"/>
      <c r="AB12" s="7"/>
    </row>
    <row r="13" customFormat="false" ht="15" hidden="false" customHeight="true" outlineLevel="0" collapsed="false">
      <c r="A13" s="6" t="s">
        <v>282</v>
      </c>
      <c r="B13" s="6" t="s">
        <v>262</v>
      </c>
      <c r="C13" s="7" t="s">
        <v>283</v>
      </c>
      <c r="D13" s="11" t="n">
        <v>38099</v>
      </c>
      <c r="E13" s="6" t="s">
        <v>219</v>
      </c>
      <c r="F13" s="6" t="s">
        <v>198</v>
      </c>
      <c r="G13" s="6" t="s">
        <v>277</v>
      </c>
      <c r="H13" s="6" t="n">
        <v>-0.5</v>
      </c>
      <c r="I13" s="6" t="s">
        <v>284</v>
      </c>
      <c r="J13" s="7"/>
      <c r="K13" s="6"/>
      <c r="L13" s="6"/>
      <c r="M13" s="6" t="s">
        <v>204</v>
      </c>
      <c r="N13" s="6" t="s">
        <v>226</v>
      </c>
      <c r="O13" s="6" t="n">
        <v>17</v>
      </c>
      <c r="P13" s="6" t="n">
        <v>929</v>
      </c>
      <c r="Q13" s="6" t="n">
        <v>865</v>
      </c>
      <c r="R13" s="6" t="n">
        <v>62</v>
      </c>
      <c r="S13" s="6" t="n">
        <f aca="false">P13-Q13-R13</f>
        <v>2</v>
      </c>
      <c r="T13" s="12" t="n">
        <v>0.578040904198062</v>
      </c>
      <c r="U13" s="6" t="s">
        <v>279</v>
      </c>
      <c r="V13" s="6" t="s">
        <v>216</v>
      </c>
      <c r="W13" s="7"/>
      <c r="X13" s="6" t="s">
        <v>45</v>
      </c>
      <c r="Y13" s="6" t="s">
        <v>217</v>
      </c>
      <c r="Z13" s="6" t="s">
        <v>285</v>
      </c>
      <c r="AA13" s="7"/>
      <c r="AB13" s="7"/>
    </row>
    <row r="14" customFormat="false" ht="23.25" hidden="false" customHeight="true" outlineLevel="0" collapsed="false">
      <c r="A14" s="6" t="s">
        <v>286</v>
      </c>
      <c r="B14" s="6" t="s">
        <v>262</v>
      </c>
      <c r="C14" s="7" t="s">
        <v>196</v>
      </c>
      <c r="D14" s="11" t="n">
        <v>38100</v>
      </c>
      <c r="E14" s="6" t="s">
        <v>197</v>
      </c>
      <c r="F14" s="6" t="s">
        <v>198</v>
      </c>
      <c r="G14" s="6" t="s">
        <v>199</v>
      </c>
      <c r="H14" s="6" t="n">
        <v>-0.3</v>
      </c>
      <c r="I14" s="6" t="s">
        <v>237</v>
      </c>
      <c r="J14" s="7"/>
      <c r="K14" s="6"/>
      <c r="L14" s="6"/>
      <c r="M14" s="6" t="s">
        <v>204</v>
      </c>
      <c r="N14" s="6" t="s">
        <v>265</v>
      </c>
      <c r="O14" s="6" t="n">
        <v>21</v>
      </c>
      <c r="P14" s="6" t="n">
        <v>85</v>
      </c>
      <c r="Q14" s="6" t="n">
        <v>79</v>
      </c>
      <c r="R14" s="6" t="n">
        <v>3</v>
      </c>
      <c r="S14" s="6" t="n">
        <f aca="false">P14-Q14-R14</f>
        <v>3</v>
      </c>
      <c r="T14" s="12" t="n">
        <v>0.376470588235294</v>
      </c>
      <c r="U14" s="6" t="s">
        <v>254</v>
      </c>
      <c r="V14" s="8" t="s">
        <v>207</v>
      </c>
      <c r="W14" s="7" t="s">
        <v>287</v>
      </c>
      <c r="X14" s="6" t="s">
        <v>209</v>
      </c>
      <c r="Y14" s="6" t="s">
        <v>39</v>
      </c>
      <c r="Z14" s="6" t="s">
        <v>288</v>
      </c>
      <c r="AA14" s="7"/>
      <c r="AB14" s="13" t="s">
        <v>289</v>
      </c>
    </row>
    <row r="15" customFormat="false" ht="15" hidden="false" customHeight="true" outlineLevel="0" collapsed="false">
      <c r="A15" s="6" t="s">
        <v>290</v>
      </c>
      <c r="B15" s="6" t="s">
        <v>262</v>
      </c>
      <c r="C15" s="7" t="s">
        <v>291</v>
      </c>
      <c r="D15" s="11" t="n">
        <v>38100</v>
      </c>
      <c r="E15" s="6" t="s">
        <v>197</v>
      </c>
      <c r="F15" s="6" t="s">
        <v>198</v>
      </c>
      <c r="G15" s="6" t="s">
        <v>199</v>
      </c>
      <c r="H15" s="6" t="n">
        <v>-0.3</v>
      </c>
      <c r="I15" s="6" t="s">
        <v>292</v>
      </c>
      <c r="J15" s="7"/>
      <c r="K15" s="6"/>
      <c r="L15" s="6"/>
      <c r="M15" s="6" t="s">
        <v>204</v>
      </c>
      <c r="N15" s="6" t="s">
        <v>265</v>
      </c>
      <c r="O15" s="6" t="n">
        <v>20</v>
      </c>
      <c r="P15" s="6" t="n">
        <v>82</v>
      </c>
      <c r="Q15" s="6" t="n">
        <v>79</v>
      </c>
      <c r="R15" s="6" t="n">
        <v>3</v>
      </c>
      <c r="S15" s="6" t="n">
        <f aca="false">P15-Q15-R15</f>
        <v>0</v>
      </c>
      <c r="T15" s="12" t="n">
        <v>0.353658536585366</v>
      </c>
      <c r="U15" s="6" t="s">
        <v>254</v>
      </c>
      <c r="V15" s="6" t="s">
        <v>216</v>
      </c>
      <c r="W15" s="7"/>
      <c r="X15" s="6" t="s">
        <v>45</v>
      </c>
      <c r="Y15" s="6" t="s">
        <v>217</v>
      </c>
      <c r="Z15" s="6" t="s">
        <v>293</v>
      </c>
      <c r="AA15" s="7"/>
      <c r="AB15" s="7"/>
    </row>
    <row r="16" customFormat="false" ht="15" hidden="false" customHeight="true" outlineLevel="0" collapsed="false">
      <c r="A16" s="6" t="s">
        <v>294</v>
      </c>
      <c r="B16" s="6" t="s">
        <v>262</v>
      </c>
      <c r="C16" s="7" t="s">
        <v>196</v>
      </c>
      <c r="D16" s="11" t="n">
        <v>39823</v>
      </c>
      <c r="E16" s="6" t="s">
        <v>250</v>
      </c>
      <c r="F16" s="6" t="s">
        <v>220</v>
      </c>
      <c r="G16" s="6" t="s">
        <v>295</v>
      </c>
      <c r="H16" s="6" t="n">
        <v>-1.1</v>
      </c>
      <c r="I16" s="6" t="s">
        <v>296</v>
      </c>
      <c r="J16" s="7" t="s">
        <v>297</v>
      </c>
      <c r="K16" s="6" t="s">
        <v>298</v>
      </c>
      <c r="L16" s="6"/>
      <c r="M16" s="6" t="s">
        <v>204</v>
      </c>
      <c r="N16" s="6" t="s">
        <v>205</v>
      </c>
      <c r="O16" s="6" t="n">
        <v>20</v>
      </c>
      <c r="P16" s="6" t="n">
        <v>972</v>
      </c>
      <c r="Q16" s="6" t="n">
        <v>956</v>
      </c>
      <c r="R16" s="6" t="n">
        <v>14</v>
      </c>
      <c r="S16" s="6" t="n">
        <f aca="false">P16-Q16-R16</f>
        <v>2</v>
      </c>
      <c r="T16" s="12" t="n">
        <v>0.747942386831276</v>
      </c>
      <c r="U16" s="6" t="s">
        <v>241</v>
      </c>
      <c r="V16" s="6" t="s">
        <v>216</v>
      </c>
      <c r="W16" s="7"/>
      <c r="X16" s="6" t="s">
        <v>209</v>
      </c>
      <c r="Y16" s="6" t="s">
        <v>39</v>
      </c>
      <c r="Z16" s="6" t="s">
        <v>299</v>
      </c>
      <c r="AA16" s="7"/>
      <c r="AB16" s="7"/>
    </row>
    <row r="17" customFormat="false" ht="15" hidden="false" customHeight="true" outlineLevel="0" collapsed="false">
      <c r="A17" s="6" t="s">
        <v>300</v>
      </c>
      <c r="B17" s="6" t="s">
        <v>262</v>
      </c>
      <c r="C17" s="7" t="s">
        <v>196</v>
      </c>
      <c r="D17" s="11" t="n">
        <v>40564</v>
      </c>
      <c r="E17" s="6" t="s">
        <v>197</v>
      </c>
      <c r="F17" s="6" t="s">
        <v>220</v>
      </c>
      <c r="G17" s="6" t="s">
        <v>301</v>
      </c>
      <c r="H17" s="6" t="n">
        <v>-1.1</v>
      </c>
      <c r="I17" s="6" t="s">
        <v>237</v>
      </c>
      <c r="J17" s="7" t="s">
        <v>302</v>
      </c>
      <c r="K17" s="6" t="s">
        <v>303</v>
      </c>
      <c r="L17" s="6" t="s">
        <v>304</v>
      </c>
      <c r="M17" s="6" t="s">
        <v>204</v>
      </c>
      <c r="N17" s="6" t="s">
        <v>226</v>
      </c>
      <c r="O17" s="6" t="n">
        <v>19</v>
      </c>
      <c r="P17" s="6" t="n">
        <v>280</v>
      </c>
      <c r="Q17" s="6" t="n">
        <v>261</v>
      </c>
      <c r="R17" s="6" t="n">
        <v>25</v>
      </c>
      <c r="S17" s="6" t="n">
        <f aca="false">P17-Q17-R17</f>
        <v>-6</v>
      </c>
      <c r="T17" s="12" t="n">
        <v>0.617857142857143</v>
      </c>
      <c r="U17" s="6" t="s">
        <v>279</v>
      </c>
      <c r="V17" s="6" t="s">
        <v>216</v>
      </c>
      <c r="W17" s="7"/>
      <c r="X17" s="6" t="s">
        <v>209</v>
      </c>
      <c r="Y17" s="6" t="s">
        <v>39</v>
      </c>
      <c r="Z17" s="6" t="s">
        <v>305</v>
      </c>
      <c r="AA17" s="7"/>
      <c r="AB17" s="7"/>
    </row>
    <row r="18" customFormat="false" ht="15" hidden="false" customHeight="true" outlineLevel="0" collapsed="false">
      <c r="A18" s="6" t="s">
        <v>306</v>
      </c>
      <c r="B18" s="6" t="s">
        <v>262</v>
      </c>
      <c r="C18" s="7" t="s">
        <v>196</v>
      </c>
      <c r="D18" s="11" t="n">
        <v>40652</v>
      </c>
      <c r="E18" s="6" t="s">
        <v>307</v>
      </c>
      <c r="F18" s="6" t="s">
        <v>198</v>
      </c>
      <c r="G18" s="6" t="s">
        <v>251</v>
      </c>
      <c r="H18" s="6" t="n">
        <v>-1.8</v>
      </c>
      <c r="I18" s="6" t="s">
        <v>237</v>
      </c>
      <c r="J18" s="7" t="s">
        <v>308</v>
      </c>
      <c r="K18" s="6" t="s">
        <v>309</v>
      </c>
      <c r="L18" s="6" t="s">
        <v>310</v>
      </c>
      <c r="M18" s="6" t="s">
        <v>204</v>
      </c>
      <c r="N18" s="6" t="s">
        <v>226</v>
      </c>
      <c r="O18" s="6" t="n">
        <v>19</v>
      </c>
      <c r="P18" s="6" t="n">
        <v>503</v>
      </c>
      <c r="Q18" s="6" t="n">
        <v>492</v>
      </c>
      <c r="R18" s="6" t="n">
        <v>13</v>
      </c>
      <c r="S18" s="6" t="n">
        <f aca="false">P18-Q18-R18</f>
        <v>-2</v>
      </c>
      <c r="T18" s="12" t="n">
        <v>0.570576540755467</v>
      </c>
      <c r="U18" s="6" t="s">
        <v>206</v>
      </c>
      <c r="V18" s="6" t="s">
        <v>216</v>
      </c>
      <c r="W18" s="7"/>
      <c r="X18" s="6" t="s">
        <v>209</v>
      </c>
      <c r="Y18" s="6" t="s">
        <v>39</v>
      </c>
      <c r="Z18" s="6" t="s">
        <v>311</v>
      </c>
      <c r="AA18" s="7"/>
      <c r="AB18" s="7"/>
    </row>
    <row r="19" customFormat="false" ht="34.5" hidden="false" customHeight="true" outlineLevel="0" collapsed="false">
      <c r="A19" s="6" t="s">
        <v>312</v>
      </c>
      <c r="B19" s="6" t="s">
        <v>313</v>
      </c>
      <c r="C19" s="7" t="s">
        <v>314</v>
      </c>
      <c r="D19" s="11" t="n">
        <v>35886</v>
      </c>
      <c r="E19" s="6" t="s">
        <v>315</v>
      </c>
      <c r="F19" s="6" t="s">
        <v>198</v>
      </c>
      <c r="G19" s="6" t="s">
        <v>316</v>
      </c>
      <c r="H19" s="6" t="n">
        <v>-0.5</v>
      </c>
      <c r="I19" s="6"/>
      <c r="J19" s="7" t="s">
        <v>317</v>
      </c>
      <c r="K19" s="6" t="s">
        <v>318</v>
      </c>
      <c r="L19" s="6" t="s">
        <v>319</v>
      </c>
      <c r="M19" s="6" t="s">
        <v>204</v>
      </c>
      <c r="N19" s="6" t="s">
        <v>205</v>
      </c>
      <c r="O19" s="6" t="n">
        <v>14</v>
      </c>
      <c r="P19" s="6" t="n">
        <v>1732</v>
      </c>
      <c r="Q19" s="6" t="n">
        <v>1417</v>
      </c>
      <c r="R19" s="6" t="n">
        <v>303</v>
      </c>
      <c r="S19" s="6" t="n">
        <f aca="false">P19-Q19-R19</f>
        <v>12</v>
      </c>
      <c r="T19" s="12" t="n">
        <v>0.708429561200924</v>
      </c>
      <c r="U19" s="6" t="s">
        <v>246</v>
      </c>
      <c r="V19" s="6" t="s">
        <v>216</v>
      </c>
      <c r="W19" s="7"/>
      <c r="X19" s="6" t="s">
        <v>267</v>
      </c>
      <c r="Y19" s="6" t="s">
        <v>79</v>
      </c>
      <c r="Z19" s="6" t="s">
        <v>320</v>
      </c>
      <c r="AA19" s="7" t="s">
        <v>321</v>
      </c>
      <c r="AB19" s="13" t="s">
        <v>322</v>
      </c>
    </row>
    <row r="20" customFormat="false" ht="23.25" hidden="false" customHeight="true" outlineLevel="0" collapsed="false">
      <c r="A20" s="6" t="s">
        <v>323</v>
      </c>
      <c r="B20" s="6" t="s">
        <v>313</v>
      </c>
      <c r="C20" s="7" t="s">
        <v>324</v>
      </c>
      <c r="D20" s="11" t="n">
        <v>35886</v>
      </c>
      <c r="E20" s="6" t="s">
        <v>315</v>
      </c>
      <c r="F20" s="6" t="s">
        <v>198</v>
      </c>
      <c r="G20" s="6" t="s">
        <v>325</v>
      </c>
      <c r="H20" s="6" t="n">
        <v>-0.5</v>
      </c>
      <c r="I20" s="6"/>
      <c r="J20" s="7"/>
      <c r="K20" s="6"/>
      <c r="L20" s="6"/>
      <c r="M20" s="6" t="s">
        <v>204</v>
      </c>
      <c r="N20" s="6" t="s">
        <v>326</v>
      </c>
      <c r="O20" s="6" t="n">
        <v>12</v>
      </c>
      <c r="P20" s="6" t="n">
        <v>74</v>
      </c>
      <c r="Q20" s="6" t="n">
        <v>67</v>
      </c>
      <c r="R20" s="6"/>
      <c r="S20" s="6" t="n">
        <f aca="false">P20-Q20-R20</f>
        <v>7</v>
      </c>
      <c r="T20" s="12" t="n">
        <v>0.594594594594595</v>
      </c>
      <c r="U20" s="6" t="s">
        <v>254</v>
      </c>
      <c r="V20" s="8" t="s">
        <v>207</v>
      </c>
      <c r="W20" s="7" t="s">
        <v>327</v>
      </c>
      <c r="X20" s="6" t="s">
        <v>328</v>
      </c>
      <c r="Y20" s="6" t="s">
        <v>79</v>
      </c>
      <c r="Z20" s="6" t="s">
        <v>324</v>
      </c>
      <c r="AA20" s="7" t="s">
        <v>329</v>
      </c>
      <c r="AB20" s="13" t="s">
        <v>330</v>
      </c>
    </row>
    <row r="21" customFormat="false" ht="23.25" hidden="false" customHeight="true" outlineLevel="0" collapsed="false">
      <c r="A21" s="6" t="s">
        <v>331</v>
      </c>
      <c r="B21" s="6" t="s">
        <v>313</v>
      </c>
      <c r="C21" s="7" t="s">
        <v>332</v>
      </c>
      <c r="D21" s="11" t="n">
        <v>35886</v>
      </c>
      <c r="E21" s="6" t="s">
        <v>315</v>
      </c>
      <c r="F21" s="6" t="s">
        <v>198</v>
      </c>
      <c r="G21" s="6" t="s">
        <v>325</v>
      </c>
      <c r="H21" s="6" t="n">
        <v>-0.5</v>
      </c>
      <c r="I21" s="6"/>
      <c r="J21" s="7"/>
      <c r="K21" s="6"/>
      <c r="L21" s="6"/>
      <c r="M21" s="6" t="s">
        <v>204</v>
      </c>
      <c r="N21" s="6" t="s">
        <v>226</v>
      </c>
      <c r="O21" s="6" t="n">
        <v>13</v>
      </c>
      <c r="P21" s="6" t="n">
        <v>909</v>
      </c>
      <c r="Q21" s="6" t="n">
        <v>1089</v>
      </c>
      <c r="R21" s="6"/>
      <c r="S21" s="6" t="n">
        <f aca="false">P21-Q21-R21</f>
        <v>-180</v>
      </c>
      <c r="T21" s="12" t="n">
        <v>0.601760176017602</v>
      </c>
      <c r="U21" s="6" t="s">
        <v>206</v>
      </c>
      <c r="V21" s="8" t="s">
        <v>207</v>
      </c>
      <c r="W21" s="7" t="s">
        <v>327</v>
      </c>
      <c r="X21" s="6" t="s">
        <v>328</v>
      </c>
      <c r="Y21" s="6" t="s">
        <v>79</v>
      </c>
      <c r="Z21" s="6" t="s">
        <v>332</v>
      </c>
      <c r="AA21" s="7" t="s">
        <v>329</v>
      </c>
      <c r="AB21" s="13" t="s">
        <v>330</v>
      </c>
    </row>
    <row r="22" customFormat="false" ht="23.25" hidden="false" customHeight="true" outlineLevel="0" collapsed="false">
      <c r="A22" s="6" t="s">
        <v>333</v>
      </c>
      <c r="B22" s="6" t="s">
        <v>313</v>
      </c>
      <c r="C22" s="7" t="s">
        <v>334</v>
      </c>
      <c r="D22" s="11" t="n">
        <v>35886</v>
      </c>
      <c r="E22" s="6" t="s">
        <v>315</v>
      </c>
      <c r="F22" s="6" t="s">
        <v>198</v>
      </c>
      <c r="G22" s="6" t="s">
        <v>325</v>
      </c>
      <c r="H22" s="6" t="n">
        <v>-0.5</v>
      </c>
      <c r="I22" s="6"/>
      <c r="J22" s="7"/>
      <c r="K22" s="6"/>
      <c r="L22" s="6"/>
      <c r="M22" s="6" t="s">
        <v>204</v>
      </c>
      <c r="N22" s="6" t="s">
        <v>226</v>
      </c>
      <c r="O22" s="6" t="n">
        <v>13</v>
      </c>
      <c r="P22" s="6" t="n">
        <v>262</v>
      </c>
      <c r="Q22" s="6" t="n">
        <v>261</v>
      </c>
      <c r="R22" s="6"/>
      <c r="S22" s="6" t="n">
        <f aca="false">P22-Q22-R22</f>
        <v>1</v>
      </c>
      <c r="T22" s="12" t="n">
        <v>0.583969465648855</v>
      </c>
      <c r="U22" s="6" t="s">
        <v>246</v>
      </c>
      <c r="V22" s="8" t="s">
        <v>207</v>
      </c>
      <c r="W22" s="7" t="s">
        <v>327</v>
      </c>
      <c r="X22" s="6" t="s">
        <v>328</v>
      </c>
      <c r="Y22" s="6" t="s">
        <v>79</v>
      </c>
      <c r="Z22" s="6" t="s">
        <v>334</v>
      </c>
      <c r="AA22" s="7" t="s">
        <v>329</v>
      </c>
      <c r="AB22" s="13" t="s">
        <v>330</v>
      </c>
    </row>
    <row r="23" customFormat="false" ht="23.25" hidden="false" customHeight="true" outlineLevel="0" collapsed="false">
      <c r="A23" s="6" t="s">
        <v>335</v>
      </c>
      <c r="B23" s="6" t="s">
        <v>313</v>
      </c>
      <c r="C23" s="7" t="s">
        <v>196</v>
      </c>
      <c r="D23" s="11" t="n">
        <v>38101</v>
      </c>
      <c r="E23" s="6" t="s">
        <v>250</v>
      </c>
      <c r="F23" s="6" t="s">
        <v>198</v>
      </c>
      <c r="G23" s="6" t="s">
        <v>336</v>
      </c>
      <c r="H23" s="6" t="n">
        <v>0</v>
      </c>
      <c r="I23" s="6"/>
      <c r="J23" s="7" t="s">
        <v>337</v>
      </c>
      <c r="K23" s="6" t="s">
        <v>338</v>
      </c>
      <c r="L23" s="6" t="s">
        <v>339</v>
      </c>
      <c r="M23" s="6" t="s">
        <v>340</v>
      </c>
      <c r="N23" s="6" t="s">
        <v>226</v>
      </c>
      <c r="O23" s="6" t="n">
        <v>17</v>
      </c>
      <c r="P23" s="6" t="n">
        <v>707</v>
      </c>
      <c r="Q23" s="6" t="n">
        <v>562</v>
      </c>
      <c r="R23" s="6" t="n">
        <v>137</v>
      </c>
      <c r="S23" s="6" t="n">
        <f aca="false">P23-Q23-R23</f>
        <v>8</v>
      </c>
      <c r="T23" s="12" t="n">
        <v>0.629420084865629</v>
      </c>
      <c r="U23" s="6" t="s">
        <v>279</v>
      </c>
      <c r="V23" s="8" t="s">
        <v>207</v>
      </c>
      <c r="W23" s="7" t="s">
        <v>341</v>
      </c>
      <c r="X23" s="6" t="s">
        <v>209</v>
      </c>
      <c r="Y23" s="6" t="s">
        <v>39</v>
      </c>
      <c r="Z23" s="6" t="s">
        <v>342</v>
      </c>
      <c r="AA23" s="7" t="s">
        <v>343</v>
      </c>
      <c r="AB23" s="13" t="s">
        <v>344</v>
      </c>
    </row>
    <row r="24" customFormat="false" ht="23.25" hidden="false" customHeight="true" outlineLevel="0" collapsed="false">
      <c r="A24" s="6" t="s">
        <v>345</v>
      </c>
      <c r="B24" s="6" t="s">
        <v>313</v>
      </c>
      <c r="C24" s="7" t="s">
        <v>346</v>
      </c>
      <c r="D24" s="11" t="n">
        <v>38101</v>
      </c>
      <c r="E24" s="6" t="s">
        <v>250</v>
      </c>
      <c r="F24" s="6" t="s">
        <v>198</v>
      </c>
      <c r="G24" s="6" t="s">
        <v>336</v>
      </c>
      <c r="H24" s="6" t="n">
        <v>0</v>
      </c>
      <c r="I24" s="6" t="s">
        <v>347</v>
      </c>
      <c r="J24" s="7" t="s">
        <v>348</v>
      </c>
      <c r="K24" s="6" t="s">
        <v>349</v>
      </c>
      <c r="L24" s="6" t="s">
        <v>350</v>
      </c>
      <c r="M24" s="6" t="s">
        <v>204</v>
      </c>
      <c r="N24" s="6" t="s">
        <v>226</v>
      </c>
      <c r="O24" s="6" t="n">
        <v>17</v>
      </c>
      <c r="P24" s="6" t="n">
        <v>707</v>
      </c>
      <c r="Q24" s="6" t="n">
        <v>562</v>
      </c>
      <c r="R24" s="6" t="n">
        <v>137</v>
      </c>
      <c r="S24" s="6" t="n">
        <f aca="false">P24-Q24-R24</f>
        <v>8</v>
      </c>
      <c r="T24" s="12" t="n">
        <v>0.629420084865629</v>
      </c>
      <c r="U24" s="6" t="s">
        <v>279</v>
      </c>
      <c r="V24" s="6" t="s">
        <v>216</v>
      </c>
      <c r="W24" s="7"/>
      <c r="X24" s="6" t="s">
        <v>45</v>
      </c>
      <c r="Y24" s="6" t="s">
        <v>217</v>
      </c>
      <c r="Z24" s="6" t="s">
        <v>313</v>
      </c>
      <c r="AA24" s="7" t="s">
        <v>351</v>
      </c>
      <c r="AB24" s="7"/>
    </row>
    <row r="25" customFormat="false" ht="23.25" hidden="false" customHeight="true" outlineLevel="0" collapsed="false">
      <c r="A25" s="6" t="s">
        <v>352</v>
      </c>
      <c r="B25" s="6" t="s">
        <v>313</v>
      </c>
      <c r="C25" s="7" t="s">
        <v>196</v>
      </c>
      <c r="D25" s="11" t="n">
        <v>39025</v>
      </c>
      <c r="E25" s="6" t="s">
        <v>250</v>
      </c>
      <c r="F25" s="6" t="s">
        <v>220</v>
      </c>
      <c r="G25" s="6" t="s">
        <v>353</v>
      </c>
      <c r="H25" s="6" t="n">
        <v>-1.1</v>
      </c>
      <c r="I25" s="6"/>
      <c r="J25" s="7" t="s">
        <v>354</v>
      </c>
      <c r="K25" s="6" t="s">
        <v>355</v>
      </c>
      <c r="L25" s="6" t="s">
        <v>225</v>
      </c>
      <c r="M25" s="6" t="s">
        <v>340</v>
      </c>
      <c r="N25" s="6" t="s">
        <v>226</v>
      </c>
      <c r="O25" s="6" t="n">
        <v>17</v>
      </c>
      <c r="P25" s="6" t="n">
        <v>259</v>
      </c>
      <c r="Q25" s="6" t="n">
        <v>251</v>
      </c>
      <c r="R25" s="6" t="n">
        <v>21</v>
      </c>
      <c r="S25" s="6" t="n">
        <f aca="false">P25-Q25-R25</f>
        <v>-13</v>
      </c>
      <c r="T25" s="12" t="n">
        <v>0.714285714285714</v>
      </c>
      <c r="U25" s="6" t="s">
        <v>206</v>
      </c>
      <c r="V25" s="8" t="s">
        <v>207</v>
      </c>
      <c r="W25" s="7" t="s">
        <v>356</v>
      </c>
      <c r="X25" s="6" t="s">
        <v>209</v>
      </c>
      <c r="Y25" s="6" t="s">
        <v>39</v>
      </c>
      <c r="Z25" s="6" t="s">
        <v>357</v>
      </c>
      <c r="AA25" s="7"/>
      <c r="AB25" s="13" t="s">
        <v>358</v>
      </c>
    </row>
    <row r="26" customFormat="false" ht="23.25" hidden="false" customHeight="true" outlineLevel="0" collapsed="false">
      <c r="A26" s="6" t="s">
        <v>359</v>
      </c>
      <c r="B26" s="6" t="s">
        <v>313</v>
      </c>
      <c r="C26" s="7" t="s">
        <v>346</v>
      </c>
      <c r="D26" s="11" t="n">
        <v>39025</v>
      </c>
      <c r="E26" s="6" t="s">
        <v>250</v>
      </c>
      <c r="F26" s="6" t="s">
        <v>220</v>
      </c>
      <c r="G26" s="6" t="s">
        <v>353</v>
      </c>
      <c r="H26" s="6" t="n">
        <v>-1.1</v>
      </c>
      <c r="I26" s="6" t="s">
        <v>360</v>
      </c>
      <c r="J26" s="7" t="s">
        <v>361</v>
      </c>
      <c r="K26" s="6" t="s">
        <v>362</v>
      </c>
      <c r="L26" s="6" t="s">
        <v>225</v>
      </c>
      <c r="M26" s="6" t="s">
        <v>204</v>
      </c>
      <c r="N26" s="6" t="s">
        <v>226</v>
      </c>
      <c r="O26" s="6" t="n">
        <v>17</v>
      </c>
      <c r="P26" s="6" t="n">
        <v>259</v>
      </c>
      <c r="Q26" s="6" t="n">
        <v>251</v>
      </c>
      <c r="R26" s="6" t="n">
        <v>21</v>
      </c>
      <c r="S26" s="6" t="n">
        <f aca="false">P26-Q26-R26</f>
        <v>-13</v>
      </c>
      <c r="T26" s="12" t="n">
        <v>0.714285714285714</v>
      </c>
      <c r="U26" s="6" t="s">
        <v>206</v>
      </c>
      <c r="V26" s="6" t="s">
        <v>216</v>
      </c>
      <c r="W26" s="7"/>
      <c r="X26" s="6" t="s">
        <v>45</v>
      </c>
      <c r="Y26" s="6" t="s">
        <v>363</v>
      </c>
      <c r="Z26" s="6" t="s">
        <v>313</v>
      </c>
      <c r="AA26" s="7" t="s">
        <v>364</v>
      </c>
      <c r="AB26" s="7"/>
    </row>
    <row r="27" customFormat="false" ht="23.25" hidden="false" customHeight="true" outlineLevel="0" collapsed="false">
      <c r="A27" s="6" t="s">
        <v>365</v>
      </c>
      <c r="B27" s="6" t="s">
        <v>313</v>
      </c>
      <c r="C27" s="7" t="s">
        <v>196</v>
      </c>
      <c r="D27" s="11" t="n">
        <v>39765</v>
      </c>
      <c r="E27" s="6" t="s">
        <v>219</v>
      </c>
      <c r="F27" s="6" t="s">
        <v>220</v>
      </c>
      <c r="G27" s="6" t="s">
        <v>221</v>
      </c>
      <c r="H27" s="6" t="n">
        <v>-1.6</v>
      </c>
      <c r="I27" s="6"/>
      <c r="J27" s="7" t="s">
        <v>223</v>
      </c>
      <c r="K27" s="6" t="s">
        <v>224</v>
      </c>
      <c r="L27" s="6" t="s">
        <v>225</v>
      </c>
      <c r="M27" s="6" t="s">
        <v>340</v>
      </c>
      <c r="N27" s="6" t="s">
        <v>366</v>
      </c>
      <c r="O27" s="6" t="n">
        <v>15</v>
      </c>
      <c r="P27" s="6" t="n">
        <v>194</v>
      </c>
      <c r="Q27" s="6" t="n">
        <v>162</v>
      </c>
      <c r="R27" s="6" t="n">
        <v>30</v>
      </c>
      <c r="S27" s="6" t="n">
        <f aca="false">P27-Q27-R27</f>
        <v>2</v>
      </c>
      <c r="T27" s="12" t="n">
        <v>0.582474226804124</v>
      </c>
      <c r="U27" s="6" t="s">
        <v>241</v>
      </c>
      <c r="V27" s="8" t="s">
        <v>207</v>
      </c>
      <c r="W27" s="7" t="s">
        <v>367</v>
      </c>
      <c r="X27" s="6" t="s">
        <v>209</v>
      </c>
      <c r="Y27" s="6" t="s">
        <v>39</v>
      </c>
      <c r="Z27" s="6" t="s">
        <v>368</v>
      </c>
      <c r="AA27" s="7"/>
      <c r="AB27" s="13" t="s">
        <v>369</v>
      </c>
    </row>
    <row r="28" customFormat="false" ht="15" hidden="false" customHeight="true" outlineLevel="0" collapsed="false">
      <c r="A28" s="6" t="s">
        <v>370</v>
      </c>
      <c r="B28" s="6" t="s">
        <v>313</v>
      </c>
      <c r="C28" s="7" t="s">
        <v>371</v>
      </c>
      <c r="D28" s="11" t="n">
        <v>39765</v>
      </c>
      <c r="E28" s="6" t="s">
        <v>219</v>
      </c>
      <c r="F28" s="6" t="s">
        <v>220</v>
      </c>
      <c r="G28" s="6" t="s">
        <v>221</v>
      </c>
      <c r="H28" s="6" t="n">
        <v>-1.6</v>
      </c>
      <c r="I28" s="6" t="s">
        <v>372</v>
      </c>
      <c r="J28" s="7" t="s">
        <v>232</v>
      </c>
      <c r="K28" s="6" t="s">
        <v>233</v>
      </c>
      <c r="L28" s="6" t="s">
        <v>225</v>
      </c>
      <c r="M28" s="6" t="s">
        <v>204</v>
      </c>
      <c r="N28" s="6" t="s">
        <v>366</v>
      </c>
      <c r="O28" s="6" t="n">
        <v>15</v>
      </c>
      <c r="P28" s="6" t="n">
        <v>194</v>
      </c>
      <c r="Q28" s="6" t="n">
        <v>162</v>
      </c>
      <c r="R28" s="6" t="n">
        <v>30</v>
      </c>
      <c r="S28" s="6" t="n">
        <f aca="false">P28-Q28-R28</f>
        <v>2</v>
      </c>
      <c r="T28" s="12" t="n">
        <v>0.582474226804124</v>
      </c>
      <c r="U28" s="6" t="s">
        <v>241</v>
      </c>
      <c r="V28" s="6" t="s">
        <v>216</v>
      </c>
      <c r="W28" s="7"/>
      <c r="X28" s="6" t="s">
        <v>45</v>
      </c>
      <c r="Y28" s="6" t="s">
        <v>234</v>
      </c>
      <c r="Z28" s="6" t="s">
        <v>313</v>
      </c>
      <c r="AA28" s="7"/>
      <c r="AB28" s="7"/>
    </row>
    <row r="29" customFormat="false" ht="23.25" hidden="false" customHeight="true" outlineLevel="0" collapsed="false">
      <c r="A29" s="6" t="s">
        <v>373</v>
      </c>
      <c r="B29" s="6" t="s">
        <v>313</v>
      </c>
      <c r="C29" s="7" t="s">
        <v>196</v>
      </c>
      <c r="D29" s="11" t="n">
        <v>40460</v>
      </c>
      <c r="E29" s="6" t="s">
        <v>250</v>
      </c>
      <c r="F29" s="6" t="s">
        <v>220</v>
      </c>
      <c r="G29" s="6" t="s">
        <v>374</v>
      </c>
      <c r="H29" s="6" t="n">
        <v>-1.5</v>
      </c>
      <c r="I29" s="6"/>
      <c r="J29" s="7" t="s">
        <v>375</v>
      </c>
      <c r="K29" s="6" t="s">
        <v>376</v>
      </c>
      <c r="L29" s="6" t="s">
        <v>225</v>
      </c>
      <c r="M29" s="6" t="s">
        <v>340</v>
      </c>
      <c r="N29" s="6" t="s">
        <v>326</v>
      </c>
      <c r="O29" s="6" t="n">
        <v>16</v>
      </c>
      <c r="P29" s="6" t="n">
        <v>190</v>
      </c>
      <c r="Q29" s="6" t="n">
        <v>177</v>
      </c>
      <c r="R29" s="6" t="n">
        <v>13</v>
      </c>
      <c r="S29" s="6" t="n">
        <f aca="false">P29-Q29-R29</f>
        <v>0</v>
      </c>
      <c r="T29" s="12" t="n">
        <v>0.668421052631579</v>
      </c>
      <c r="U29" s="6" t="s">
        <v>227</v>
      </c>
      <c r="V29" s="6" t="s">
        <v>216</v>
      </c>
      <c r="W29" s="7"/>
      <c r="X29" s="6" t="s">
        <v>209</v>
      </c>
      <c r="Y29" s="6" t="s">
        <v>39</v>
      </c>
      <c r="Z29" s="6" t="s">
        <v>377</v>
      </c>
      <c r="AA29" s="7"/>
      <c r="AB29" s="13" t="s">
        <v>378</v>
      </c>
    </row>
    <row r="30" customFormat="false" ht="23.25" hidden="false" customHeight="true" outlineLevel="0" collapsed="false">
      <c r="A30" s="6" t="s">
        <v>379</v>
      </c>
      <c r="B30" s="6" t="s">
        <v>313</v>
      </c>
      <c r="C30" s="7" t="s">
        <v>196</v>
      </c>
      <c r="D30" s="11" t="n">
        <v>40654</v>
      </c>
      <c r="E30" s="6" t="s">
        <v>219</v>
      </c>
      <c r="F30" s="6" t="s">
        <v>198</v>
      </c>
      <c r="G30" s="6" t="s">
        <v>199</v>
      </c>
      <c r="H30" s="6" t="n">
        <v>-1.4</v>
      </c>
      <c r="I30" s="6"/>
      <c r="J30" s="7"/>
      <c r="K30" s="6"/>
      <c r="L30" s="6"/>
      <c r="M30" s="6" t="s">
        <v>340</v>
      </c>
      <c r="N30" s="6" t="s">
        <v>226</v>
      </c>
      <c r="O30" s="6" t="n">
        <v>17</v>
      </c>
      <c r="P30" s="6" t="n">
        <v>185</v>
      </c>
      <c r="Q30" s="6" t="n">
        <v>173</v>
      </c>
      <c r="R30" s="6" t="n">
        <v>33</v>
      </c>
      <c r="S30" s="6" t="n">
        <f aca="false">P30-Q30-R30</f>
        <v>-21</v>
      </c>
      <c r="T30" s="12" t="n">
        <v>0.648648648648649</v>
      </c>
      <c r="U30" s="6" t="s">
        <v>206</v>
      </c>
      <c r="V30" s="6" t="s">
        <v>216</v>
      </c>
      <c r="W30" s="7"/>
      <c r="X30" s="6" t="s">
        <v>209</v>
      </c>
      <c r="Y30" s="6" t="s">
        <v>39</v>
      </c>
      <c r="Z30" s="6" t="s">
        <v>380</v>
      </c>
      <c r="AA30" s="7"/>
      <c r="AB30" s="13" t="s">
        <v>381</v>
      </c>
    </row>
    <row r="31" customFormat="false" ht="15" hidden="false" customHeight="true" outlineLevel="0" collapsed="false">
      <c r="A31" s="6" t="s">
        <v>382</v>
      </c>
      <c r="B31" s="6" t="s">
        <v>313</v>
      </c>
      <c r="C31" s="7" t="s">
        <v>383</v>
      </c>
      <c r="D31" s="11" t="n">
        <v>44654</v>
      </c>
      <c r="E31" s="6" t="s">
        <v>384</v>
      </c>
      <c r="F31" s="6" t="s">
        <v>198</v>
      </c>
      <c r="G31" s="6" t="s">
        <v>385</v>
      </c>
      <c r="H31" s="6" t="n">
        <v>-0.1</v>
      </c>
      <c r="I31" s="6" t="s">
        <v>386</v>
      </c>
      <c r="J31" s="7" t="s">
        <v>387</v>
      </c>
      <c r="K31" s="6"/>
      <c r="L31" s="6"/>
      <c r="M31" s="6" t="s">
        <v>204</v>
      </c>
      <c r="N31" s="6" t="s">
        <v>226</v>
      </c>
      <c r="O31" s="6" t="n">
        <v>17</v>
      </c>
      <c r="P31" s="6" t="n">
        <v>239</v>
      </c>
      <c r="Q31" s="6" t="n">
        <v>198</v>
      </c>
      <c r="R31" s="6" t="n">
        <v>43</v>
      </c>
      <c r="S31" s="6" t="n">
        <f aca="false">P31-Q31-R31</f>
        <v>-2</v>
      </c>
      <c r="T31" s="12" t="n">
        <v>0.656903765690377</v>
      </c>
      <c r="U31" s="6" t="s">
        <v>254</v>
      </c>
      <c r="V31" s="6" t="s">
        <v>216</v>
      </c>
      <c r="W31" s="7"/>
      <c r="X31" s="6" t="s">
        <v>45</v>
      </c>
      <c r="Y31" s="6" t="s">
        <v>66</v>
      </c>
      <c r="Z31" s="6" t="s">
        <v>255</v>
      </c>
      <c r="AA31" s="7"/>
      <c r="AB31" s="7"/>
    </row>
    <row r="32" customFormat="false" ht="23.25" hidden="false" customHeight="true" outlineLevel="0" collapsed="false">
      <c r="A32" s="6" t="s">
        <v>388</v>
      </c>
      <c r="B32" s="6" t="s">
        <v>313</v>
      </c>
      <c r="C32" s="7" t="s">
        <v>383</v>
      </c>
      <c r="D32" s="11" t="n">
        <v>45041</v>
      </c>
      <c r="E32" s="6" t="s">
        <v>307</v>
      </c>
      <c r="F32" s="6" t="s">
        <v>198</v>
      </c>
      <c r="G32" s="6" t="s">
        <v>389</v>
      </c>
      <c r="H32" s="6" t="n">
        <v>0.1</v>
      </c>
      <c r="I32" s="6" t="s">
        <v>390</v>
      </c>
      <c r="J32" s="7" t="s">
        <v>391</v>
      </c>
      <c r="K32" s="6"/>
      <c r="L32" s="6"/>
      <c r="M32" s="6" t="s">
        <v>204</v>
      </c>
      <c r="N32" s="6" t="s">
        <v>226</v>
      </c>
      <c r="O32" s="6" t="n">
        <v>17</v>
      </c>
      <c r="P32" s="6" t="n">
        <v>219</v>
      </c>
      <c r="Q32" s="6" t="n">
        <v>188</v>
      </c>
      <c r="R32" s="6" t="n">
        <v>34</v>
      </c>
      <c r="S32" s="6" t="n">
        <f aca="false">P32-Q32-R32</f>
        <v>-3</v>
      </c>
      <c r="T32" s="12" t="n">
        <v>0.735159817351598</v>
      </c>
      <c r="U32" s="6" t="s">
        <v>246</v>
      </c>
      <c r="V32" s="6" t="s">
        <v>216</v>
      </c>
      <c r="W32" s="7"/>
      <c r="X32" s="6" t="s">
        <v>45</v>
      </c>
      <c r="Y32" s="6" t="s">
        <v>72</v>
      </c>
      <c r="Z32" s="6" t="s">
        <v>255</v>
      </c>
      <c r="AA32" s="7"/>
      <c r="AB32" s="13" t="s">
        <v>392</v>
      </c>
    </row>
    <row r="33" customFormat="false" ht="23.25" hidden="false" customHeight="true" outlineLevel="0" collapsed="false">
      <c r="A33" s="6" t="s">
        <v>393</v>
      </c>
      <c r="B33" s="6" t="s">
        <v>394</v>
      </c>
      <c r="C33" s="7" t="s">
        <v>395</v>
      </c>
      <c r="D33" s="11" t="n">
        <v>35885</v>
      </c>
      <c r="E33" s="6" t="s">
        <v>307</v>
      </c>
      <c r="F33" s="6" t="s">
        <v>198</v>
      </c>
      <c r="G33" s="6" t="s">
        <v>396</v>
      </c>
      <c r="H33" s="6" t="n">
        <v>-0.9</v>
      </c>
      <c r="I33" s="6"/>
      <c r="J33" s="7" t="s">
        <v>397</v>
      </c>
      <c r="K33" s="6" t="s">
        <v>349</v>
      </c>
      <c r="L33" s="6" t="s">
        <v>319</v>
      </c>
      <c r="M33" s="6" t="s">
        <v>204</v>
      </c>
      <c r="N33" s="6" t="s">
        <v>205</v>
      </c>
      <c r="O33" s="6" t="n">
        <v>14</v>
      </c>
      <c r="P33" s="6" t="n">
        <v>2133</v>
      </c>
      <c r="Q33" s="6" t="n">
        <v>1844</v>
      </c>
      <c r="R33" s="6" t="n">
        <v>288</v>
      </c>
      <c r="S33" s="6" t="n">
        <f aca="false">P33-Q33-R33</f>
        <v>1</v>
      </c>
      <c r="T33" s="12" t="n">
        <v>0.618377871542429</v>
      </c>
      <c r="U33" s="6" t="s">
        <v>206</v>
      </c>
      <c r="V33" s="6" t="s">
        <v>216</v>
      </c>
      <c r="W33" s="7"/>
      <c r="X33" s="6" t="s">
        <v>267</v>
      </c>
      <c r="Y33" s="6" t="s">
        <v>82</v>
      </c>
      <c r="Z33" s="6" t="s">
        <v>320</v>
      </c>
      <c r="AA33" s="7" t="s">
        <v>398</v>
      </c>
      <c r="AB33" s="13" t="s">
        <v>399</v>
      </c>
    </row>
    <row r="34" customFormat="false" ht="23.25" hidden="false" customHeight="true" outlineLevel="0" collapsed="false">
      <c r="A34" s="6" t="s">
        <v>400</v>
      </c>
      <c r="B34" s="6" t="s">
        <v>394</v>
      </c>
      <c r="C34" s="7" t="s">
        <v>401</v>
      </c>
      <c r="D34" s="11" t="n">
        <v>35885</v>
      </c>
      <c r="E34" s="6" t="s">
        <v>307</v>
      </c>
      <c r="F34" s="6" t="s">
        <v>198</v>
      </c>
      <c r="G34" s="6" t="s">
        <v>402</v>
      </c>
      <c r="H34" s="6" t="n">
        <v>-0.9</v>
      </c>
      <c r="I34" s="6"/>
      <c r="J34" s="7"/>
      <c r="K34" s="6"/>
      <c r="L34" s="6"/>
      <c r="M34" s="6" t="s">
        <v>204</v>
      </c>
      <c r="N34" s="6" t="s">
        <v>205</v>
      </c>
      <c r="O34" s="6" t="n">
        <v>14</v>
      </c>
      <c r="P34" s="6" t="n">
        <v>47</v>
      </c>
      <c r="Q34" s="6" t="n">
        <v>36</v>
      </c>
      <c r="R34" s="6"/>
      <c r="S34" s="6" t="n">
        <f aca="false">P34-Q34-R34</f>
        <v>11</v>
      </c>
      <c r="T34" s="12" t="n">
        <v>0.531914893617021</v>
      </c>
      <c r="U34" s="6" t="s">
        <v>403</v>
      </c>
      <c r="V34" s="8" t="s">
        <v>207</v>
      </c>
      <c r="W34" s="7" t="s">
        <v>327</v>
      </c>
      <c r="X34" s="6" t="s">
        <v>328</v>
      </c>
      <c r="Y34" s="6" t="s">
        <v>82</v>
      </c>
      <c r="Z34" s="6" t="s">
        <v>404</v>
      </c>
      <c r="AA34" s="7" t="s">
        <v>329</v>
      </c>
      <c r="AB34" s="13" t="s">
        <v>330</v>
      </c>
    </row>
    <row r="35" customFormat="false" ht="23.25" hidden="false" customHeight="true" outlineLevel="0" collapsed="false">
      <c r="A35" s="6" t="s">
        <v>405</v>
      </c>
      <c r="B35" s="6" t="s">
        <v>394</v>
      </c>
      <c r="C35" s="7" t="s">
        <v>406</v>
      </c>
      <c r="D35" s="11" t="n">
        <v>35885</v>
      </c>
      <c r="E35" s="6" t="s">
        <v>307</v>
      </c>
      <c r="F35" s="6" t="s">
        <v>198</v>
      </c>
      <c r="G35" s="6" t="s">
        <v>402</v>
      </c>
      <c r="H35" s="6" t="n">
        <v>-0.9</v>
      </c>
      <c r="I35" s="6"/>
      <c r="J35" s="7"/>
      <c r="K35" s="6"/>
      <c r="L35" s="6"/>
      <c r="M35" s="6" t="s">
        <v>204</v>
      </c>
      <c r="N35" s="6" t="s">
        <v>205</v>
      </c>
      <c r="O35" s="6" t="n">
        <v>14</v>
      </c>
      <c r="P35" s="6" t="n">
        <v>402</v>
      </c>
      <c r="Q35" s="6" t="n">
        <v>460</v>
      </c>
      <c r="R35" s="6"/>
      <c r="S35" s="6" t="n">
        <f aca="false">P35-Q35-R35</f>
        <v>-58</v>
      </c>
      <c r="T35" s="12" t="n">
        <v>0.671641791044776</v>
      </c>
      <c r="U35" s="6" t="s">
        <v>206</v>
      </c>
      <c r="V35" s="8" t="s">
        <v>207</v>
      </c>
      <c r="W35" s="7" t="s">
        <v>327</v>
      </c>
      <c r="X35" s="6" t="s">
        <v>328</v>
      </c>
      <c r="Y35" s="6" t="s">
        <v>82</v>
      </c>
      <c r="Z35" s="6" t="s">
        <v>407</v>
      </c>
      <c r="AA35" s="7" t="s">
        <v>329</v>
      </c>
      <c r="AB35" s="13" t="s">
        <v>330</v>
      </c>
    </row>
    <row r="36" customFormat="false" ht="23.25" hidden="false" customHeight="true" outlineLevel="0" collapsed="false">
      <c r="A36" s="6" t="s">
        <v>408</v>
      </c>
      <c r="B36" s="6" t="s">
        <v>394</v>
      </c>
      <c r="C36" s="7" t="s">
        <v>409</v>
      </c>
      <c r="D36" s="11" t="n">
        <v>35885</v>
      </c>
      <c r="E36" s="6" t="s">
        <v>307</v>
      </c>
      <c r="F36" s="6" t="s">
        <v>198</v>
      </c>
      <c r="G36" s="6" t="s">
        <v>402</v>
      </c>
      <c r="H36" s="6" t="n">
        <v>-0.9</v>
      </c>
      <c r="I36" s="6"/>
      <c r="J36" s="7"/>
      <c r="K36" s="6"/>
      <c r="L36" s="6"/>
      <c r="M36" s="6" t="s">
        <v>204</v>
      </c>
      <c r="N36" s="6" t="s">
        <v>205</v>
      </c>
      <c r="O36" s="6" t="n">
        <v>14</v>
      </c>
      <c r="P36" s="6" t="n">
        <v>306</v>
      </c>
      <c r="Q36" s="6" t="n">
        <v>264</v>
      </c>
      <c r="R36" s="6"/>
      <c r="S36" s="6" t="n">
        <f aca="false">P36-Q36-R36</f>
        <v>42</v>
      </c>
      <c r="T36" s="12" t="n">
        <v>0.69281045751634</v>
      </c>
      <c r="U36" s="6" t="s">
        <v>254</v>
      </c>
      <c r="V36" s="8" t="s">
        <v>207</v>
      </c>
      <c r="W36" s="7" t="s">
        <v>327</v>
      </c>
      <c r="X36" s="6" t="s">
        <v>328</v>
      </c>
      <c r="Y36" s="6" t="s">
        <v>82</v>
      </c>
      <c r="Z36" s="6" t="s">
        <v>410</v>
      </c>
      <c r="AA36" s="7" t="s">
        <v>329</v>
      </c>
      <c r="AB36" s="13" t="s">
        <v>330</v>
      </c>
    </row>
    <row r="37" customFormat="false" ht="23.25" hidden="false" customHeight="true" outlineLevel="0" collapsed="false">
      <c r="A37" s="6" t="s">
        <v>411</v>
      </c>
      <c r="B37" s="6" t="s">
        <v>394</v>
      </c>
      <c r="C37" s="7" t="s">
        <v>412</v>
      </c>
      <c r="D37" s="11" t="n">
        <v>35885</v>
      </c>
      <c r="E37" s="6" t="s">
        <v>307</v>
      </c>
      <c r="F37" s="6" t="s">
        <v>198</v>
      </c>
      <c r="G37" s="6" t="s">
        <v>402</v>
      </c>
      <c r="H37" s="6" t="n">
        <v>-0.9</v>
      </c>
      <c r="I37" s="6"/>
      <c r="J37" s="7"/>
      <c r="K37" s="6"/>
      <c r="L37" s="6"/>
      <c r="M37" s="6" t="s">
        <v>204</v>
      </c>
      <c r="N37" s="6" t="s">
        <v>205</v>
      </c>
      <c r="O37" s="6" t="n">
        <v>14</v>
      </c>
      <c r="P37" s="6" t="n">
        <v>594</v>
      </c>
      <c r="Q37" s="6" t="n">
        <v>710</v>
      </c>
      <c r="R37" s="6"/>
      <c r="S37" s="6" t="n">
        <f aca="false">P37-Q37-R37</f>
        <v>-116</v>
      </c>
      <c r="T37" s="12" t="n">
        <v>0.464646464646465</v>
      </c>
      <c r="U37" s="6" t="s">
        <v>206</v>
      </c>
      <c r="V37" s="8" t="s">
        <v>207</v>
      </c>
      <c r="W37" s="7" t="s">
        <v>327</v>
      </c>
      <c r="X37" s="6" t="s">
        <v>328</v>
      </c>
      <c r="Y37" s="6" t="s">
        <v>82</v>
      </c>
      <c r="Z37" s="6" t="s">
        <v>413</v>
      </c>
      <c r="AA37" s="7" t="s">
        <v>329</v>
      </c>
      <c r="AB37" s="13" t="s">
        <v>330</v>
      </c>
    </row>
    <row r="38" customFormat="false" ht="23.25" hidden="false" customHeight="true" outlineLevel="0" collapsed="false">
      <c r="A38" s="6" t="s">
        <v>414</v>
      </c>
      <c r="B38" s="6" t="s">
        <v>394</v>
      </c>
      <c r="C38" s="7" t="s">
        <v>415</v>
      </c>
      <c r="D38" s="11" t="n">
        <v>35885</v>
      </c>
      <c r="E38" s="6" t="s">
        <v>307</v>
      </c>
      <c r="F38" s="6" t="s">
        <v>198</v>
      </c>
      <c r="G38" s="6" t="s">
        <v>402</v>
      </c>
      <c r="H38" s="6" t="n">
        <v>-0.9</v>
      </c>
      <c r="I38" s="6"/>
      <c r="J38" s="7"/>
      <c r="K38" s="6"/>
      <c r="L38" s="6"/>
      <c r="M38" s="6" t="s">
        <v>204</v>
      </c>
      <c r="N38" s="6" t="s">
        <v>205</v>
      </c>
      <c r="O38" s="6" t="n">
        <v>14</v>
      </c>
      <c r="P38" s="6" t="n">
        <v>358</v>
      </c>
      <c r="Q38" s="6" t="n">
        <v>372</v>
      </c>
      <c r="R38" s="6"/>
      <c r="S38" s="6" t="n">
        <f aca="false">P38-Q38-R38</f>
        <v>-14</v>
      </c>
      <c r="T38" s="12" t="n">
        <v>0.460893854748603</v>
      </c>
      <c r="U38" s="6" t="s">
        <v>246</v>
      </c>
      <c r="V38" s="8" t="s">
        <v>207</v>
      </c>
      <c r="W38" s="7" t="s">
        <v>327</v>
      </c>
      <c r="X38" s="6" t="s">
        <v>328</v>
      </c>
      <c r="Y38" s="6" t="s">
        <v>82</v>
      </c>
      <c r="Z38" s="6" t="s">
        <v>416</v>
      </c>
      <c r="AA38" s="7" t="s">
        <v>329</v>
      </c>
      <c r="AB38" s="13" t="s">
        <v>330</v>
      </c>
    </row>
    <row r="39" customFormat="false" ht="34.5" hidden="false" customHeight="true" outlineLevel="0" collapsed="false">
      <c r="A39" s="6" t="s">
        <v>417</v>
      </c>
      <c r="B39" s="6" t="s">
        <v>394</v>
      </c>
      <c r="C39" s="7" t="s">
        <v>196</v>
      </c>
      <c r="D39" s="11" t="n">
        <v>38098</v>
      </c>
      <c r="E39" s="6" t="s">
        <v>315</v>
      </c>
      <c r="F39" s="6" t="s">
        <v>198</v>
      </c>
      <c r="G39" s="6" t="s">
        <v>418</v>
      </c>
      <c r="H39" s="6" t="n">
        <v>-0.6</v>
      </c>
      <c r="I39" s="6" t="s">
        <v>237</v>
      </c>
      <c r="J39" s="7"/>
      <c r="K39" s="6"/>
      <c r="L39" s="6"/>
      <c r="M39" s="6" t="s">
        <v>204</v>
      </c>
      <c r="N39" s="6" t="s">
        <v>419</v>
      </c>
      <c r="O39" s="6" t="n">
        <v>21</v>
      </c>
      <c r="P39" s="6" t="n">
        <v>435</v>
      </c>
      <c r="Q39" s="6" t="n">
        <v>413</v>
      </c>
      <c r="R39" s="6" t="n">
        <v>25</v>
      </c>
      <c r="S39" s="6" t="n">
        <f aca="false">P39-Q39-R39</f>
        <v>-3</v>
      </c>
      <c r="T39" s="12" t="n">
        <v>0.622988505747126</v>
      </c>
      <c r="U39" s="6" t="s">
        <v>254</v>
      </c>
      <c r="V39" s="8" t="s">
        <v>207</v>
      </c>
      <c r="W39" s="7" t="s">
        <v>420</v>
      </c>
      <c r="X39" s="6" t="s">
        <v>209</v>
      </c>
      <c r="Y39" s="6" t="s">
        <v>39</v>
      </c>
      <c r="Z39" s="6" t="s">
        <v>421</v>
      </c>
      <c r="AA39" s="7" t="s">
        <v>422</v>
      </c>
      <c r="AB39" s="7"/>
    </row>
    <row r="40" customFormat="false" ht="15" hidden="false" customHeight="true" outlineLevel="0" collapsed="false">
      <c r="A40" s="6" t="s">
        <v>423</v>
      </c>
      <c r="B40" s="6" t="s">
        <v>394</v>
      </c>
      <c r="C40" s="7" t="s">
        <v>424</v>
      </c>
      <c r="D40" s="11" t="n">
        <v>38098</v>
      </c>
      <c r="E40" s="6" t="s">
        <v>315</v>
      </c>
      <c r="F40" s="6" t="s">
        <v>198</v>
      </c>
      <c r="G40" s="6" t="s">
        <v>418</v>
      </c>
      <c r="H40" s="6" t="n">
        <v>-0.6</v>
      </c>
      <c r="I40" s="6" t="s">
        <v>425</v>
      </c>
      <c r="J40" s="7"/>
      <c r="K40" s="6"/>
      <c r="L40" s="6"/>
      <c r="M40" s="6" t="s">
        <v>204</v>
      </c>
      <c r="N40" s="6" t="s">
        <v>419</v>
      </c>
      <c r="O40" s="6" t="n">
        <v>21</v>
      </c>
      <c r="P40" s="6" t="n">
        <v>435</v>
      </c>
      <c r="Q40" s="6" t="n">
        <v>413</v>
      </c>
      <c r="R40" s="6" t="n">
        <v>25</v>
      </c>
      <c r="S40" s="6" t="n">
        <f aca="false">P40-Q40-R40</f>
        <v>-3</v>
      </c>
      <c r="T40" s="12" t="n">
        <v>0.622988505747126</v>
      </c>
      <c r="U40" s="6" t="s">
        <v>254</v>
      </c>
      <c r="V40" s="6" t="s">
        <v>216</v>
      </c>
      <c r="W40" s="7"/>
      <c r="X40" s="6" t="s">
        <v>45</v>
      </c>
      <c r="Y40" s="6" t="s">
        <v>217</v>
      </c>
      <c r="Z40" s="6" t="s">
        <v>394</v>
      </c>
      <c r="AA40" s="7" t="s">
        <v>426</v>
      </c>
      <c r="AB40" s="7"/>
    </row>
    <row r="41" customFormat="false" ht="15" hidden="false" customHeight="true" outlineLevel="0" collapsed="false">
      <c r="A41" s="6" t="s">
        <v>427</v>
      </c>
      <c r="B41" s="6" t="s">
        <v>394</v>
      </c>
      <c r="C41" s="7" t="s">
        <v>196</v>
      </c>
      <c r="D41" s="11" t="n">
        <v>40295</v>
      </c>
      <c r="E41" s="6" t="s">
        <v>307</v>
      </c>
      <c r="F41" s="6" t="s">
        <v>198</v>
      </c>
      <c r="G41" s="6" t="s">
        <v>428</v>
      </c>
      <c r="H41" s="6" t="n">
        <v>-1.4</v>
      </c>
      <c r="I41" s="6" t="s">
        <v>245</v>
      </c>
      <c r="J41" s="7" t="s">
        <v>429</v>
      </c>
      <c r="K41" s="6" t="s">
        <v>430</v>
      </c>
      <c r="L41" s="6" t="s">
        <v>203</v>
      </c>
      <c r="M41" s="6" t="s">
        <v>204</v>
      </c>
      <c r="N41" s="6" t="s">
        <v>226</v>
      </c>
      <c r="O41" s="6" t="n">
        <v>17</v>
      </c>
      <c r="P41" s="6" t="n">
        <v>232</v>
      </c>
      <c r="Q41" s="6" t="n">
        <v>191</v>
      </c>
      <c r="R41" s="6" t="n">
        <v>38</v>
      </c>
      <c r="S41" s="6" t="n">
        <f aca="false">P41-Q41-R41</f>
        <v>3</v>
      </c>
      <c r="T41" s="12" t="n">
        <v>0.487068965517241</v>
      </c>
      <c r="U41" s="6" t="s">
        <v>254</v>
      </c>
      <c r="V41" s="6" t="s">
        <v>216</v>
      </c>
      <c r="W41" s="7"/>
      <c r="X41" s="6" t="s">
        <v>209</v>
      </c>
      <c r="Y41" s="6" t="s">
        <v>39</v>
      </c>
      <c r="Z41" s="6" t="s">
        <v>431</v>
      </c>
      <c r="AA41" s="7"/>
      <c r="AB41" s="7"/>
    </row>
    <row r="42" customFormat="false" ht="15" hidden="false" customHeight="true" outlineLevel="0" collapsed="false">
      <c r="A42" s="6" t="s">
        <v>432</v>
      </c>
      <c r="B42" s="6" t="s">
        <v>394</v>
      </c>
      <c r="C42" s="7" t="s">
        <v>196</v>
      </c>
      <c r="D42" s="11" t="n">
        <v>40565</v>
      </c>
      <c r="E42" s="6" t="s">
        <v>250</v>
      </c>
      <c r="F42" s="6" t="s">
        <v>220</v>
      </c>
      <c r="G42" s="6" t="s">
        <v>433</v>
      </c>
      <c r="H42" s="6" t="n">
        <v>-0.6</v>
      </c>
      <c r="I42" s="6" t="s">
        <v>245</v>
      </c>
      <c r="J42" s="7"/>
      <c r="K42" s="6"/>
      <c r="L42" s="6"/>
      <c r="M42" s="6" t="s">
        <v>204</v>
      </c>
      <c r="N42" s="6" t="s">
        <v>226</v>
      </c>
      <c r="O42" s="6" t="n">
        <v>17</v>
      </c>
      <c r="P42" s="6" t="n">
        <v>245</v>
      </c>
      <c r="Q42" s="6" t="n">
        <v>219</v>
      </c>
      <c r="R42" s="6" t="n">
        <v>25</v>
      </c>
      <c r="S42" s="6" t="n">
        <f aca="false">P42-Q42-R42</f>
        <v>1</v>
      </c>
      <c r="T42" s="12" t="n">
        <v>0.538775510204082</v>
      </c>
      <c r="U42" s="6" t="s">
        <v>246</v>
      </c>
      <c r="V42" s="6" t="s">
        <v>216</v>
      </c>
      <c r="W42" s="7"/>
      <c r="X42" s="6" t="s">
        <v>209</v>
      </c>
      <c r="Y42" s="6" t="s">
        <v>39</v>
      </c>
      <c r="Z42" s="6" t="s">
        <v>434</v>
      </c>
      <c r="AA42" s="7"/>
      <c r="AB42" s="7"/>
    </row>
    <row r="43" customFormat="false" ht="15" hidden="false" customHeight="true" outlineLevel="0" collapsed="false">
      <c r="A43" s="6" t="s">
        <v>435</v>
      </c>
      <c r="B43" s="6" t="s">
        <v>394</v>
      </c>
      <c r="C43" s="7" t="s">
        <v>196</v>
      </c>
      <c r="D43" s="11" t="n">
        <v>40591</v>
      </c>
      <c r="E43" s="6" t="s">
        <v>219</v>
      </c>
      <c r="F43" s="6" t="s">
        <v>220</v>
      </c>
      <c r="G43" s="6" t="s">
        <v>436</v>
      </c>
      <c r="H43" s="6" t="n">
        <v>-0.9</v>
      </c>
      <c r="I43" s="6" t="s">
        <v>237</v>
      </c>
      <c r="J43" s="7"/>
      <c r="K43" s="6"/>
      <c r="L43" s="6"/>
      <c r="M43" s="6" t="s">
        <v>204</v>
      </c>
      <c r="N43" s="6" t="s">
        <v>226</v>
      </c>
      <c r="O43" s="6" t="n">
        <v>18</v>
      </c>
      <c r="P43" s="6" t="n">
        <v>293</v>
      </c>
      <c r="Q43" s="6" t="n">
        <v>279</v>
      </c>
      <c r="R43" s="6" t="n">
        <v>7</v>
      </c>
      <c r="S43" s="6" t="n">
        <f aca="false">P43-Q43-R43</f>
        <v>7</v>
      </c>
      <c r="T43" s="12" t="n">
        <v>0.597269624573379</v>
      </c>
      <c r="U43" s="6" t="s">
        <v>279</v>
      </c>
      <c r="V43" s="6" t="s">
        <v>216</v>
      </c>
      <c r="W43" s="7"/>
      <c r="X43" s="6" t="s">
        <v>209</v>
      </c>
      <c r="Y43" s="6" t="s">
        <v>39</v>
      </c>
      <c r="Z43" s="6" t="s">
        <v>437</v>
      </c>
      <c r="AA43" s="7"/>
      <c r="AB43" s="7"/>
    </row>
    <row r="44" customFormat="false" ht="15" hidden="false" customHeight="true" outlineLevel="0" collapsed="false">
      <c r="A44" s="6" t="s">
        <v>438</v>
      </c>
      <c r="B44" s="6" t="s">
        <v>394</v>
      </c>
      <c r="C44" s="7" t="s">
        <v>196</v>
      </c>
      <c r="D44" s="11" t="n">
        <v>40640</v>
      </c>
      <c r="E44" s="6" t="s">
        <v>219</v>
      </c>
      <c r="F44" s="6" t="s">
        <v>198</v>
      </c>
      <c r="G44" s="6" t="s">
        <v>439</v>
      </c>
      <c r="H44" s="6" t="n">
        <v>0.1</v>
      </c>
      <c r="I44" s="6" t="s">
        <v>440</v>
      </c>
      <c r="J44" s="7" t="s">
        <v>441</v>
      </c>
      <c r="K44" s="6" t="s">
        <v>442</v>
      </c>
      <c r="L44" s="6" t="s">
        <v>304</v>
      </c>
      <c r="M44" s="6" t="s">
        <v>204</v>
      </c>
      <c r="N44" s="6" t="s">
        <v>226</v>
      </c>
      <c r="O44" s="6" t="n">
        <v>17</v>
      </c>
      <c r="P44" s="6" t="n">
        <v>304</v>
      </c>
      <c r="Q44" s="6" t="n">
        <v>224</v>
      </c>
      <c r="R44" s="6" t="n">
        <v>86</v>
      </c>
      <c r="S44" s="6" t="n">
        <f aca="false">P44-Q44-R44</f>
        <v>-6</v>
      </c>
      <c r="T44" s="12" t="n">
        <v>0.598684210526316</v>
      </c>
      <c r="U44" s="6" t="s">
        <v>246</v>
      </c>
      <c r="V44" s="6" t="s">
        <v>216</v>
      </c>
      <c r="W44" s="7"/>
      <c r="X44" s="6" t="s">
        <v>209</v>
      </c>
      <c r="Y44" s="6" t="s">
        <v>39</v>
      </c>
      <c r="Z44" s="6" t="s">
        <v>443</v>
      </c>
      <c r="AA44" s="7"/>
      <c r="AB44" s="7"/>
    </row>
    <row r="45" customFormat="false" ht="15" hidden="false" customHeight="true" outlineLevel="0" collapsed="false">
      <c r="A45" s="6" t="s">
        <v>444</v>
      </c>
      <c r="B45" s="6" t="s">
        <v>394</v>
      </c>
      <c r="C45" s="7" t="s">
        <v>196</v>
      </c>
      <c r="D45" s="11" t="n">
        <v>40653</v>
      </c>
      <c r="E45" s="6" t="s">
        <v>315</v>
      </c>
      <c r="F45" s="6" t="s">
        <v>198</v>
      </c>
      <c r="G45" s="6" t="s">
        <v>445</v>
      </c>
      <c r="H45" s="6" t="n">
        <v>-1.7</v>
      </c>
      <c r="I45" s="6" t="s">
        <v>237</v>
      </c>
      <c r="J45" s="7"/>
      <c r="K45" s="6"/>
      <c r="L45" s="6"/>
      <c r="M45" s="6" t="s">
        <v>204</v>
      </c>
      <c r="N45" s="6" t="s">
        <v>226</v>
      </c>
      <c r="O45" s="6" t="n">
        <v>19</v>
      </c>
      <c r="P45" s="6" t="n">
        <v>393</v>
      </c>
      <c r="Q45" s="6" t="n">
        <v>378</v>
      </c>
      <c r="R45" s="6" t="n">
        <v>17</v>
      </c>
      <c r="S45" s="6" t="n">
        <f aca="false">P45-Q45-R45</f>
        <v>-2</v>
      </c>
      <c r="T45" s="12" t="n">
        <v>0.432569974554707</v>
      </c>
      <c r="U45" s="6" t="s">
        <v>246</v>
      </c>
      <c r="V45" s="6" t="s">
        <v>216</v>
      </c>
      <c r="W45" s="7"/>
      <c r="X45" s="6" t="s">
        <v>209</v>
      </c>
      <c r="Y45" s="6" t="s">
        <v>39</v>
      </c>
      <c r="Z45" s="6" t="s">
        <v>446</v>
      </c>
      <c r="AA45" s="7"/>
      <c r="AB45" s="7"/>
    </row>
    <row r="46" customFormat="false" ht="46.25" hidden="false" customHeight="false" outlineLevel="0" collapsed="false">
      <c r="A46" s="14" t="s">
        <v>447</v>
      </c>
      <c r="B46" s="14" t="s">
        <v>195</v>
      </c>
      <c r="C46" s="14" t="s">
        <v>249</v>
      </c>
      <c r="D46" s="15" t="n">
        <v>45358</v>
      </c>
      <c r="E46" s="14" t="s">
        <v>219</v>
      </c>
      <c r="F46" s="14" t="s">
        <v>198</v>
      </c>
      <c r="G46" s="14" t="s">
        <v>448</v>
      </c>
      <c r="H46" s="14" t="n">
        <v>-0.5</v>
      </c>
      <c r="I46" s="14" t="s">
        <v>449</v>
      </c>
      <c r="J46" s="2" t="s">
        <v>450</v>
      </c>
      <c r="K46" s="14"/>
      <c r="L46" s="14"/>
      <c r="M46" s="14" t="s">
        <v>204</v>
      </c>
      <c r="N46" s="14" t="s">
        <v>226</v>
      </c>
      <c r="O46" s="14" t="n">
        <v>17</v>
      </c>
      <c r="P46" s="14" t="n">
        <v>289</v>
      </c>
      <c r="Q46" s="14" t="n">
        <v>271</v>
      </c>
      <c r="R46" s="14" t="n">
        <v>36</v>
      </c>
      <c r="S46" s="14" t="n">
        <f aca="false">P46-Q46-R46</f>
        <v>-18</v>
      </c>
      <c r="T46" s="16" t="n">
        <v>0.588235294117647</v>
      </c>
      <c r="U46" s="14" t="s">
        <v>206</v>
      </c>
      <c r="V46" s="14" t="s">
        <v>216</v>
      </c>
      <c r="W46" s="14"/>
      <c r="X46" s="14" t="s">
        <v>451</v>
      </c>
      <c r="Y46" s="14" t="s">
        <v>156</v>
      </c>
      <c r="Z46" s="14" t="s">
        <v>452</v>
      </c>
      <c r="AA46" s="2"/>
      <c r="AB46" s="17" t="s">
        <v>453</v>
      </c>
    </row>
    <row r="47" customFormat="false" ht="15" hidden="false" customHeight="false" outlineLevel="0" collapsed="false">
      <c r="A47" s="14" t="s">
        <v>454</v>
      </c>
      <c r="B47" s="14" t="s">
        <v>195</v>
      </c>
      <c r="C47" s="14" t="s">
        <v>249</v>
      </c>
      <c r="D47" s="15" t="n">
        <v>45366</v>
      </c>
      <c r="E47" s="14" t="s">
        <v>197</v>
      </c>
      <c r="F47" s="14" t="s">
        <v>198</v>
      </c>
      <c r="G47" s="14" t="s">
        <v>455</v>
      </c>
      <c r="H47" s="14" t="n">
        <v>0.1</v>
      </c>
      <c r="I47" s="14" t="s">
        <v>456</v>
      </c>
      <c r="J47" s="2" t="s">
        <v>457</v>
      </c>
      <c r="K47" s="14"/>
      <c r="L47" s="14"/>
      <c r="M47" s="14" t="s">
        <v>204</v>
      </c>
      <c r="N47" s="14" t="s">
        <v>226</v>
      </c>
      <c r="O47" s="14" t="n">
        <v>17</v>
      </c>
      <c r="P47" s="14" t="n">
        <v>375</v>
      </c>
      <c r="Q47" s="14" t="n">
        <v>246</v>
      </c>
      <c r="R47" s="14" t="n">
        <v>149</v>
      </c>
      <c r="S47" s="14" t="n">
        <f aca="false">P47-Q47-R47</f>
        <v>-20</v>
      </c>
      <c r="T47" s="16" t="n">
        <v>0.682666666666667</v>
      </c>
      <c r="U47" s="14" t="s">
        <v>254</v>
      </c>
      <c r="V47" s="14" t="s">
        <v>216</v>
      </c>
      <c r="W47" s="14"/>
      <c r="X47" s="14" t="s">
        <v>451</v>
      </c>
      <c r="Y47" s="14" t="s">
        <v>156</v>
      </c>
      <c r="Z47" s="14" t="s">
        <v>458</v>
      </c>
      <c r="AA47" s="2"/>
      <c r="AB47" s="2"/>
    </row>
    <row r="48" customFormat="false" ht="15" hidden="false" customHeight="false" outlineLevel="0" collapsed="false">
      <c r="A48" s="14" t="s">
        <v>459</v>
      </c>
      <c r="B48" s="14" t="s">
        <v>195</v>
      </c>
      <c r="C48" s="14" t="s">
        <v>249</v>
      </c>
      <c r="D48" s="15" t="n">
        <v>45582</v>
      </c>
      <c r="E48" s="14" t="s">
        <v>219</v>
      </c>
      <c r="F48" s="14" t="s">
        <v>220</v>
      </c>
      <c r="G48" s="14" t="s">
        <v>460</v>
      </c>
      <c r="H48" s="14" t="n">
        <v>-1.3</v>
      </c>
      <c r="I48" s="14" t="s">
        <v>461</v>
      </c>
      <c r="J48" s="2" t="s">
        <v>462</v>
      </c>
      <c r="K48" s="14"/>
      <c r="L48" s="14"/>
      <c r="M48" s="14" t="s">
        <v>204</v>
      </c>
      <c r="N48" s="14" t="s">
        <v>463</v>
      </c>
      <c r="O48" s="14" t="n">
        <v>14</v>
      </c>
      <c r="P48" s="14" t="n">
        <v>291</v>
      </c>
      <c r="Q48" s="14" t="n">
        <v>266</v>
      </c>
      <c r="R48" s="14" t="n">
        <v>23</v>
      </c>
      <c r="S48" s="14" t="n">
        <f aca="false">P48-Q48-R48</f>
        <v>2</v>
      </c>
      <c r="T48" s="16" t="n">
        <v>0.673539518900344</v>
      </c>
      <c r="U48" s="14" t="s">
        <v>241</v>
      </c>
      <c r="V48" s="14" t="s">
        <v>216</v>
      </c>
      <c r="W48" s="14"/>
      <c r="X48" s="14" t="s">
        <v>451</v>
      </c>
      <c r="Y48" s="14" t="s">
        <v>156</v>
      </c>
      <c r="Z48" s="14" t="s">
        <v>464</v>
      </c>
      <c r="AA48" s="2" t="s">
        <v>465</v>
      </c>
      <c r="AB48" s="2"/>
    </row>
    <row r="49" customFormat="false" ht="35.05" hidden="false" customHeight="false" outlineLevel="0" collapsed="false">
      <c r="A49" s="14" t="s">
        <v>466</v>
      </c>
      <c r="B49" s="14" t="s">
        <v>195</v>
      </c>
      <c r="C49" s="14" t="s">
        <v>249</v>
      </c>
      <c r="D49" s="15" t="n">
        <v>45730</v>
      </c>
      <c r="E49" s="14" t="s">
        <v>197</v>
      </c>
      <c r="F49" s="14" t="s">
        <v>220</v>
      </c>
      <c r="G49" s="14" t="s">
        <v>467</v>
      </c>
      <c r="H49" s="14" t="n">
        <v>0.4</v>
      </c>
      <c r="I49" s="14" t="s">
        <v>449</v>
      </c>
      <c r="J49" s="2" t="s">
        <v>468</v>
      </c>
      <c r="K49" s="14"/>
      <c r="L49" s="14"/>
      <c r="M49" s="14" t="s">
        <v>204</v>
      </c>
      <c r="N49" s="14" t="s">
        <v>463</v>
      </c>
      <c r="O49" s="14" t="n">
        <v>14</v>
      </c>
      <c r="P49" s="14" t="n">
        <v>59</v>
      </c>
      <c r="Q49" s="14" t="n">
        <v>44</v>
      </c>
      <c r="R49" s="14" t="n">
        <v>19</v>
      </c>
      <c r="S49" s="14" t="n">
        <f aca="false">P49-Q49-R49</f>
        <v>-4</v>
      </c>
      <c r="T49" s="16" t="n">
        <v>0.644067796610169</v>
      </c>
      <c r="U49" s="14" t="s">
        <v>246</v>
      </c>
      <c r="V49" s="14" t="s">
        <v>216</v>
      </c>
      <c r="W49" s="14"/>
      <c r="X49" s="14" t="s">
        <v>451</v>
      </c>
      <c r="Y49" s="14" t="s">
        <v>156</v>
      </c>
      <c r="Z49" s="14" t="s">
        <v>469</v>
      </c>
      <c r="AA49" s="2" t="s">
        <v>470</v>
      </c>
      <c r="AB49" s="2"/>
    </row>
    <row r="50" customFormat="false" ht="23.85" hidden="false" customHeight="false" outlineLevel="0" collapsed="false">
      <c r="A50" s="14" t="s">
        <v>471</v>
      </c>
      <c r="B50" s="14" t="s">
        <v>195</v>
      </c>
      <c r="C50" s="14" t="s">
        <v>249</v>
      </c>
      <c r="D50" s="15" t="n">
        <v>46038</v>
      </c>
      <c r="E50" s="14" t="s">
        <v>197</v>
      </c>
      <c r="F50" s="14" t="s">
        <v>220</v>
      </c>
      <c r="G50" s="14" t="s">
        <v>472</v>
      </c>
      <c r="H50" s="14" t="n">
        <v>0</v>
      </c>
      <c r="I50" s="14" t="s">
        <v>473</v>
      </c>
      <c r="J50" s="2" t="s">
        <v>474</v>
      </c>
      <c r="K50" s="14"/>
      <c r="L50" s="14"/>
      <c r="M50" s="14" t="s">
        <v>204</v>
      </c>
      <c r="N50" s="14" t="s">
        <v>326</v>
      </c>
      <c r="O50" s="14" t="n">
        <v>14</v>
      </c>
      <c r="P50" s="14" t="n">
        <v>186</v>
      </c>
      <c r="Q50" s="14" t="n">
        <v>164</v>
      </c>
      <c r="R50" s="14" t="n">
        <v>28</v>
      </c>
      <c r="S50" s="14" t="n">
        <f aca="false">P50-Q50-R50</f>
        <v>-6</v>
      </c>
      <c r="T50" s="16" t="n">
        <v>0.596774193548387</v>
      </c>
      <c r="U50" s="14" t="s">
        <v>206</v>
      </c>
      <c r="V50" s="14" t="s">
        <v>216</v>
      </c>
      <c r="W50" s="14"/>
      <c r="X50" s="14" t="s">
        <v>451</v>
      </c>
      <c r="Y50" s="14" t="s">
        <v>156</v>
      </c>
      <c r="Z50" s="14" t="s">
        <v>475</v>
      </c>
      <c r="AA50" s="2" t="s">
        <v>476</v>
      </c>
      <c r="AB50" s="2"/>
    </row>
    <row r="51" customFormat="false" ht="35.05" hidden="false" customHeight="false" outlineLevel="0" collapsed="false">
      <c r="A51" s="14" t="s">
        <v>477</v>
      </c>
      <c r="B51" s="14" t="s">
        <v>195</v>
      </c>
      <c r="C51" s="14" t="s">
        <v>249</v>
      </c>
      <c r="D51" s="15" t="n">
        <v>46102</v>
      </c>
      <c r="E51" s="14" t="s">
        <v>250</v>
      </c>
      <c r="F51" s="14" t="s">
        <v>198</v>
      </c>
      <c r="G51" s="14" t="s">
        <v>478</v>
      </c>
      <c r="H51" s="14" t="n">
        <v>0</v>
      </c>
      <c r="I51" s="14" t="s">
        <v>479</v>
      </c>
      <c r="J51" s="2" t="s">
        <v>480</v>
      </c>
      <c r="K51" s="14"/>
      <c r="L51" s="14"/>
      <c r="M51" s="14" t="s">
        <v>204</v>
      </c>
      <c r="N51" s="14" t="s">
        <v>226</v>
      </c>
      <c r="O51" s="14" t="n">
        <v>17</v>
      </c>
      <c r="P51" s="14" t="n">
        <v>368</v>
      </c>
      <c r="Q51" s="14" t="n">
        <v>241</v>
      </c>
      <c r="R51" s="14" t="n">
        <v>129</v>
      </c>
      <c r="S51" s="14" t="n">
        <f aca="false">P51-Q51-R51</f>
        <v>-2</v>
      </c>
      <c r="T51" s="16" t="n">
        <v>0.722826086956522</v>
      </c>
      <c r="U51" s="14" t="s">
        <v>254</v>
      </c>
      <c r="V51" s="14" t="s">
        <v>216</v>
      </c>
      <c r="W51" s="14"/>
      <c r="X51" s="14" t="s">
        <v>451</v>
      </c>
      <c r="Y51" s="14" t="s">
        <v>156</v>
      </c>
      <c r="Z51" s="14" t="s">
        <v>481</v>
      </c>
      <c r="AA51" s="2" t="s">
        <v>482</v>
      </c>
      <c r="AB51" s="2"/>
    </row>
    <row r="52" customFormat="false" ht="35.05" hidden="false" customHeight="false" outlineLevel="0" collapsed="false">
      <c r="A52" s="14" t="s">
        <v>483</v>
      </c>
      <c r="B52" s="14" t="s">
        <v>313</v>
      </c>
      <c r="C52" s="14" t="s">
        <v>383</v>
      </c>
      <c r="D52" s="15" t="n">
        <v>45359</v>
      </c>
      <c r="E52" s="14" t="s">
        <v>197</v>
      </c>
      <c r="F52" s="14" t="s">
        <v>198</v>
      </c>
      <c r="G52" s="14" t="s">
        <v>484</v>
      </c>
      <c r="H52" s="14" t="n">
        <v>-0.8</v>
      </c>
      <c r="I52" s="14" t="s">
        <v>485</v>
      </c>
      <c r="J52" s="2" t="s">
        <v>486</v>
      </c>
      <c r="K52" s="14"/>
      <c r="L52" s="14"/>
      <c r="M52" s="14" t="s">
        <v>204</v>
      </c>
      <c r="N52" s="14" t="s">
        <v>226</v>
      </c>
      <c r="O52" s="14" t="n">
        <v>17</v>
      </c>
      <c r="P52" s="14" t="n">
        <v>307</v>
      </c>
      <c r="Q52" s="14" t="n">
        <v>227</v>
      </c>
      <c r="R52" s="14" t="n">
        <v>73</v>
      </c>
      <c r="S52" s="14" t="n">
        <f aca="false">P52-Q52-R52</f>
        <v>7</v>
      </c>
      <c r="T52" s="16" t="n">
        <v>0.684039087947883</v>
      </c>
      <c r="U52" s="14" t="s">
        <v>254</v>
      </c>
      <c r="V52" s="14" t="s">
        <v>216</v>
      </c>
      <c r="W52" s="14"/>
      <c r="X52" s="14" t="s">
        <v>451</v>
      </c>
      <c r="Y52" s="14" t="s">
        <v>156</v>
      </c>
      <c r="Z52" s="14" t="s">
        <v>487</v>
      </c>
      <c r="AA52" s="2" t="s">
        <v>488</v>
      </c>
      <c r="AB52" s="17" t="s">
        <v>489</v>
      </c>
    </row>
    <row r="53" customFormat="false" ht="23.85" hidden="false" customHeight="false" outlineLevel="0" collapsed="false">
      <c r="A53" s="14" t="s">
        <v>490</v>
      </c>
      <c r="B53" s="14" t="s">
        <v>313</v>
      </c>
      <c r="C53" s="14" t="s">
        <v>383</v>
      </c>
      <c r="D53" s="15" t="n">
        <v>45368</v>
      </c>
      <c r="E53" s="14" t="s">
        <v>384</v>
      </c>
      <c r="F53" s="14" t="s">
        <v>198</v>
      </c>
      <c r="G53" s="14" t="s">
        <v>491</v>
      </c>
      <c r="H53" s="14" t="n">
        <v>0.9</v>
      </c>
      <c r="I53" s="14" t="s">
        <v>449</v>
      </c>
      <c r="J53" s="2" t="s">
        <v>492</v>
      </c>
      <c r="K53" s="14"/>
      <c r="L53" s="14"/>
      <c r="M53" s="14" t="s">
        <v>204</v>
      </c>
      <c r="N53" s="14" t="s">
        <v>226</v>
      </c>
      <c r="O53" s="14" t="n">
        <v>17</v>
      </c>
      <c r="P53" s="14" t="n">
        <v>663</v>
      </c>
      <c r="Q53" s="14" t="n">
        <v>445</v>
      </c>
      <c r="R53" s="14" t="n">
        <v>303</v>
      </c>
      <c r="S53" s="14" t="n">
        <f aca="false">P53-Q53-R53</f>
        <v>-85</v>
      </c>
      <c r="T53" s="16" t="n">
        <v>0.660633484162896</v>
      </c>
      <c r="U53" s="14" t="s">
        <v>403</v>
      </c>
      <c r="V53" s="14" t="s">
        <v>216</v>
      </c>
      <c r="W53" s="14"/>
      <c r="X53" s="14" t="s">
        <v>451</v>
      </c>
      <c r="Y53" s="14" t="s">
        <v>156</v>
      </c>
      <c r="Z53" s="14" t="s">
        <v>493</v>
      </c>
      <c r="AA53" s="2" t="s">
        <v>494</v>
      </c>
      <c r="AB53" s="17" t="s">
        <v>495</v>
      </c>
    </row>
    <row r="54" customFormat="false" ht="15" hidden="false" customHeight="false" outlineLevel="0" collapsed="false">
      <c r="A54" s="14" t="s">
        <v>496</v>
      </c>
      <c r="B54" s="14" t="s">
        <v>313</v>
      </c>
      <c r="C54" s="14" t="s">
        <v>497</v>
      </c>
      <c r="D54" s="15" t="n">
        <v>45597</v>
      </c>
      <c r="E54" s="14" t="s">
        <v>197</v>
      </c>
      <c r="F54" s="14" t="s">
        <v>220</v>
      </c>
      <c r="G54" s="14" t="s">
        <v>498</v>
      </c>
      <c r="H54" s="14" t="n">
        <v>-0.2</v>
      </c>
      <c r="I54" s="14" t="s">
        <v>499</v>
      </c>
      <c r="J54" s="2" t="s">
        <v>500</v>
      </c>
      <c r="K54" s="14"/>
      <c r="L54" s="14"/>
      <c r="M54" s="14" t="s">
        <v>204</v>
      </c>
      <c r="N54" s="14" t="s">
        <v>366</v>
      </c>
      <c r="O54" s="14" t="n">
        <v>15</v>
      </c>
      <c r="P54" s="14" t="n">
        <v>107</v>
      </c>
      <c r="Q54" s="14" t="n">
        <v>91</v>
      </c>
      <c r="R54" s="14" t="n">
        <v>12</v>
      </c>
      <c r="S54" s="14" t="n">
        <f aca="false">P54-Q54-R54</f>
        <v>4</v>
      </c>
      <c r="T54" s="16" t="n">
        <v>0.560747663551402</v>
      </c>
      <c r="U54" s="14" t="s">
        <v>279</v>
      </c>
      <c r="V54" s="14" t="s">
        <v>216</v>
      </c>
      <c r="W54" s="14"/>
      <c r="X54" s="14" t="s">
        <v>451</v>
      </c>
      <c r="Y54" s="14" t="s">
        <v>156</v>
      </c>
      <c r="Z54" s="14" t="s">
        <v>501</v>
      </c>
      <c r="AA54" s="2"/>
      <c r="AB54" s="2"/>
    </row>
    <row r="55" customFormat="false" ht="23.85" hidden="false" customHeight="false" outlineLevel="0" collapsed="false">
      <c r="A55" s="14" t="s">
        <v>502</v>
      </c>
      <c r="B55" s="14" t="s">
        <v>313</v>
      </c>
      <c r="C55" s="14" t="s">
        <v>497</v>
      </c>
      <c r="D55" s="15" t="n">
        <v>45716</v>
      </c>
      <c r="E55" s="14" t="s">
        <v>197</v>
      </c>
      <c r="F55" s="14" t="s">
        <v>220</v>
      </c>
      <c r="G55" s="14" t="s">
        <v>503</v>
      </c>
      <c r="H55" s="14" t="n">
        <v>-0.6</v>
      </c>
      <c r="I55" s="14" t="s">
        <v>504</v>
      </c>
      <c r="J55" s="2" t="s">
        <v>505</v>
      </c>
      <c r="K55" s="14"/>
      <c r="L55" s="14"/>
      <c r="M55" s="14" t="s">
        <v>204</v>
      </c>
      <c r="N55" s="14" t="s">
        <v>226</v>
      </c>
      <c r="O55" s="14" t="n">
        <v>17</v>
      </c>
      <c r="P55" s="14" t="n">
        <v>235</v>
      </c>
      <c r="Q55" s="14" t="n">
        <v>219</v>
      </c>
      <c r="R55" s="14" t="n">
        <v>14</v>
      </c>
      <c r="S55" s="14" t="n">
        <f aca="false">P55-Q55-R55</f>
        <v>2</v>
      </c>
      <c r="T55" s="16" t="n">
        <v>0.672340425531915</v>
      </c>
      <c r="U55" s="14" t="s">
        <v>279</v>
      </c>
      <c r="V55" s="14" t="s">
        <v>216</v>
      </c>
      <c r="W55" s="14"/>
      <c r="X55" s="14" t="s">
        <v>451</v>
      </c>
      <c r="Y55" s="14" t="s">
        <v>156</v>
      </c>
      <c r="Z55" s="14" t="s">
        <v>506</v>
      </c>
      <c r="AA55" s="2"/>
      <c r="AB55" s="2"/>
    </row>
    <row r="56" customFormat="false" ht="23.85" hidden="false" customHeight="false" outlineLevel="0" collapsed="false">
      <c r="A56" s="14" t="s">
        <v>507</v>
      </c>
      <c r="B56" s="14" t="s">
        <v>313</v>
      </c>
      <c r="C56" s="14" t="s">
        <v>497</v>
      </c>
      <c r="D56" s="15" t="n">
        <v>46145</v>
      </c>
      <c r="E56" s="14" t="s">
        <v>384</v>
      </c>
      <c r="F56" s="14" t="s">
        <v>198</v>
      </c>
      <c r="G56" s="14" t="s">
        <v>508</v>
      </c>
      <c r="H56" s="14" t="n">
        <v>-0.8</v>
      </c>
      <c r="I56" s="14" t="s">
        <v>499</v>
      </c>
      <c r="J56" s="2" t="s">
        <v>509</v>
      </c>
      <c r="K56" s="14"/>
      <c r="L56" s="14"/>
      <c r="M56" s="14" t="s">
        <v>204</v>
      </c>
      <c r="N56" s="14" t="s">
        <v>226</v>
      </c>
      <c r="O56" s="14" t="n">
        <v>17</v>
      </c>
      <c r="P56" s="14" t="n">
        <v>327</v>
      </c>
      <c r="Q56" s="14" t="n">
        <v>156</v>
      </c>
      <c r="R56" s="14" t="n">
        <v>176</v>
      </c>
      <c r="S56" s="14" t="n">
        <f aca="false">P56-Q56-R56</f>
        <v>-5</v>
      </c>
      <c r="T56" s="16" t="n">
        <v>0.770642201834862</v>
      </c>
      <c r="U56" s="14" t="s">
        <v>403</v>
      </c>
      <c r="V56" s="14" t="s">
        <v>216</v>
      </c>
      <c r="W56" s="14"/>
      <c r="X56" s="14" t="s">
        <v>451</v>
      </c>
      <c r="Y56" s="14" t="s">
        <v>156</v>
      </c>
      <c r="Z56" s="14" t="s">
        <v>510</v>
      </c>
      <c r="AA56" s="2" t="s">
        <v>511</v>
      </c>
      <c r="AB56" s="17" t="s">
        <v>512</v>
      </c>
    </row>
  </sheetData>
  <autoFilter ref="A1:AB5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9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71484375" defaultRowHeight="15" zeroHeight="false" outlineLevelRow="0" outlineLevelCol="0"/>
  <cols>
    <col collapsed="false" customWidth="true" hidden="false" outlineLevel="0" max="1" min="1" style="0" width="22"/>
    <col collapsed="false" customWidth="true" hidden="false" outlineLevel="0" max="2" min="2" style="0" width="9"/>
    <col collapsed="false" customWidth="true" hidden="false" outlineLevel="0" max="3" min="3" style="0" width="14"/>
    <col collapsed="false" customWidth="true" hidden="false" outlineLevel="0" max="4" min="4" style="0" width="12"/>
    <col collapsed="false" customWidth="true" hidden="false" outlineLevel="0" max="5" min="5" style="0" width="13"/>
    <col collapsed="false" customWidth="true" hidden="false" outlineLevel="0" max="7" min="6" style="0" width="11"/>
    <col collapsed="false" customWidth="true" hidden="false" outlineLevel="0" max="9" min="8" style="0" width="9"/>
    <col collapsed="false" customWidth="true" hidden="false" outlineLevel="0" max="11" min="10" style="0" width="10"/>
    <col collapsed="false" customWidth="true" hidden="false" outlineLevel="0" max="13" min="12" style="0" width="11"/>
    <col collapsed="false" customWidth="true" hidden="false" outlineLevel="0" max="14" min="14" style="0" width="12"/>
    <col collapsed="false" customWidth="true" hidden="false" outlineLevel="0" max="15" min="15" style="0" width="15"/>
    <col collapsed="false" customWidth="true" hidden="false" outlineLevel="0" max="16" min="16" style="0" width="11"/>
    <col collapsed="false" customWidth="true" hidden="false" outlineLevel="0" max="17" min="17" style="0" width="18"/>
  </cols>
  <sheetData>
    <row r="1" customFormat="false" ht="30" hidden="false" customHeight="true" outlineLevel="0" collapsed="false">
      <c r="A1" s="5" t="s">
        <v>166</v>
      </c>
      <c r="B1" s="5" t="s">
        <v>513</v>
      </c>
      <c r="C1" s="5" t="s">
        <v>514</v>
      </c>
      <c r="D1" s="5" t="s">
        <v>515</v>
      </c>
      <c r="E1" s="5" t="s">
        <v>167</v>
      </c>
      <c r="F1" s="5" t="s">
        <v>171</v>
      </c>
      <c r="G1" s="5" t="s">
        <v>169</v>
      </c>
      <c r="H1" s="5" t="s">
        <v>516</v>
      </c>
      <c r="I1" s="5" t="s">
        <v>517</v>
      </c>
      <c r="J1" s="5" t="s">
        <v>518</v>
      </c>
      <c r="K1" s="5" t="s">
        <v>519</v>
      </c>
      <c r="L1" s="5" t="s">
        <v>520</v>
      </c>
      <c r="M1" s="5" t="s">
        <v>181</v>
      </c>
      <c r="N1" s="5" t="s">
        <v>521</v>
      </c>
      <c r="O1" s="5" t="s">
        <v>522</v>
      </c>
      <c r="P1" s="5" t="s">
        <v>523</v>
      </c>
      <c r="Q1" s="5" t="s">
        <v>524</v>
      </c>
    </row>
    <row r="2" customFormat="false" ht="15" hidden="false" customHeight="true" outlineLevel="0" collapsed="false">
      <c r="A2" s="18" t="s">
        <v>194</v>
      </c>
      <c r="B2" s="18" t="n">
        <v>0</v>
      </c>
      <c r="C2" s="18" t="s">
        <v>204</v>
      </c>
      <c r="D2" s="18"/>
      <c r="E2" s="18" t="s">
        <v>195</v>
      </c>
      <c r="F2" s="18" t="s">
        <v>198</v>
      </c>
      <c r="G2" s="19" t="n">
        <v>38100</v>
      </c>
      <c r="H2" s="18" t="n">
        <v>11</v>
      </c>
      <c r="I2" s="18" t="n">
        <v>1</v>
      </c>
      <c r="J2" s="18" t="n">
        <f aca="false">SUMIFS($H$2:$H$1200,$A$2:$A$1200,$A2,$B$2:$B$1200,"&lt;="&amp;$B2)</f>
        <v>11</v>
      </c>
      <c r="K2" s="18" t="n">
        <f aca="false">SUMIFS($I$2:$I$1200,$A$2:$A$1200,$A2,$B$2:$B$1200,"&lt;="&amp;$B2)</f>
        <v>1</v>
      </c>
      <c r="L2" s="18" t="n">
        <f aca="false">J2-K2</f>
        <v>10</v>
      </c>
      <c r="M2" s="18" t="n">
        <f aca="false">SUMIF($A$2:$A$1200,$A2,$H$2:$H$1200)</f>
        <v>374</v>
      </c>
      <c r="N2" s="20" t="n">
        <f aca="false">IF(M2=0,"",L2/M2)</f>
        <v>0.0267379679144385</v>
      </c>
      <c r="O2" s="20"/>
      <c r="P2" s="20" t="str">
        <f aca="false">IF(OR(N2="",O2=""),"",N2-O2)</f>
        <v/>
      </c>
      <c r="Q2" s="18"/>
    </row>
    <row r="3" customFormat="false" ht="15" hidden="false" customHeight="true" outlineLevel="0" collapsed="false">
      <c r="A3" s="18" t="s">
        <v>194</v>
      </c>
      <c r="B3" s="18" t="n">
        <v>3</v>
      </c>
      <c r="C3" s="18" t="s">
        <v>525</v>
      </c>
      <c r="D3" s="18" t="n">
        <v>-180</v>
      </c>
      <c r="E3" s="18" t="s">
        <v>195</v>
      </c>
      <c r="F3" s="18" t="s">
        <v>198</v>
      </c>
      <c r="G3" s="19" t="n">
        <v>38100</v>
      </c>
      <c r="H3" s="18" t="n">
        <v>23</v>
      </c>
      <c r="I3" s="18" t="n">
        <v>0</v>
      </c>
      <c r="J3" s="18" t="n">
        <f aca="false">SUMIFS($H$2:$H$1200,$A$2:$A$1200,$A3,$B$2:$B$1200,"&lt;="&amp;$B3)</f>
        <v>34</v>
      </c>
      <c r="K3" s="18" t="n">
        <f aca="false">SUMIFS($I$2:$I$1200,$A$2:$A$1200,$A3,$B$2:$B$1200,"&lt;="&amp;$B3)</f>
        <v>1</v>
      </c>
      <c r="L3" s="18" t="n">
        <f aca="false">J3-K3</f>
        <v>33</v>
      </c>
      <c r="M3" s="18" t="n">
        <f aca="false">SUMIF($A$2:$A$1200,$A3,$H$2:$H$1200)</f>
        <v>374</v>
      </c>
      <c r="N3" s="20" t="n">
        <f aca="false">IF(M3=0,"",L3/M3)</f>
        <v>0.0882352941176471</v>
      </c>
      <c r="O3" s="20"/>
      <c r="P3" s="20" t="str">
        <f aca="false">IF(OR(N3="",O3=""),"",N3-O3)</f>
        <v/>
      </c>
      <c r="Q3" s="18"/>
    </row>
    <row r="4" customFormat="false" ht="15" hidden="false" customHeight="true" outlineLevel="0" collapsed="false">
      <c r="A4" s="18" t="s">
        <v>194</v>
      </c>
      <c r="B4" s="18" t="n">
        <v>4</v>
      </c>
      <c r="C4" s="18" t="s">
        <v>526</v>
      </c>
      <c r="D4" s="18" t="n">
        <v>-165</v>
      </c>
      <c r="E4" s="18" t="s">
        <v>195</v>
      </c>
      <c r="F4" s="18" t="s">
        <v>198</v>
      </c>
      <c r="G4" s="19" t="n">
        <v>38100</v>
      </c>
      <c r="H4" s="18" t="n">
        <v>25</v>
      </c>
      <c r="I4" s="18" t="n">
        <v>0</v>
      </c>
      <c r="J4" s="18" t="n">
        <f aca="false">SUMIFS($H$2:$H$1200,$A$2:$A$1200,$A4,$B$2:$B$1200,"&lt;="&amp;$B4)</f>
        <v>59</v>
      </c>
      <c r="K4" s="18" t="n">
        <f aca="false">SUMIFS($I$2:$I$1200,$A$2:$A$1200,$A4,$B$2:$B$1200,"&lt;="&amp;$B4)</f>
        <v>1</v>
      </c>
      <c r="L4" s="18" t="n">
        <f aca="false">J4-K4</f>
        <v>58</v>
      </c>
      <c r="M4" s="18" t="n">
        <f aca="false">SUMIF($A$2:$A$1200,$A4,$H$2:$H$1200)</f>
        <v>374</v>
      </c>
      <c r="N4" s="20" t="n">
        <f aca="false">IF(M4=0,"",L4/M4)</f>
        <v>0.155080213903743</v>
      </c>
      <c r="O4" s="20"/>
      <c r="P4" s="20" t="str">
        <f aca="false">IF(OR(N4="",O4=""),"",N4-O4)</f>
        <v/>
      </c>
      <c r="Q4" s="18"/>
    </row>
    <row r="5" customFormat="false" ht="15" hidden="false" customHeight="true" outlineLevel="0" collapsed="false">
      <c r="A5" s="18" t="s">
        <v>194</v>
      </c>
      <c r="B5" s="18" t="n">
        <v>5</v>
      </c>
      <c r="C5" s="18" t="s">
        <v>527</v>
      </c>
      <c r="D5" s="18" t="n">
        <v>-150</v>
      </c>
      <c r="E5" s="18" t="s">
        <v>195</v>
      </c>
      <c r="F5" s="18" t="s">
        <v>198</v>
      </c>
      <c r="G5" s="19" t="n">
        <v>38100</v>
      </c>
      <c r="H5" s="18" t="n">
        <v>39</v>
      </c>
      <c r="I5" s="18" t="n">
        <v>5</v>
      </c>
      <c r="J5" s="18" t="n">
        <f aca="false">SUMIFS($H$2:$H$1200,$A$2:$A$1200,$A5,$B$2:$B$1200,"&lt;="&amp;$B5)</f>
        <v>98</v>
      </c>
      <c r="K5" s="18" t="n">
        <f aca="false">SUMIFS($I$2:$I$1200,$A$2:$A$1200,$A5,$B$2:$B$1200,"&lt;="&amp;$B5)</f>
        <v>6</v>
      </c>
      <c r="L5" s="18" t="n">
        <f aca="false">J5-K5</f>
        <v>92</v>
      </c>
      <c r="M5" s="18" t="n">
        <f aca="false">SUMIF($A$2:$A$1200,$A5,$H$2:$H$1200)</f>
        <v>374</v>
      </c>
      <c r="N5" s="20" t="n">
        <f aca="false">IF(M5=0,"",L5/M5)</f>
        <v>0.245989304812834</v>
      </c>
      <c r="O5" s="20"/>
      <c r="P5" s="20" t="str">
        <f aca="false">IF(OR(N5="",O5=""),"",N5-O5)</f>
        <v/>
      </c>
      <c r="Q5" s="18"/>
    </row>
    <row r="6" customFormat="false" ht="15" hidden="false" customHeight="true" outlineLevel="0" collapsed="false">
      <c r="A6" s="18" t="s">
        <v>194</v>
      </c>
      <c r="B6" s="18" t="n">
        <v>6</v>
      </c>
      <c r="C6" s="18" t="s">
        <v>528</v>
      </c>
      <c r="D6" s="18" t="n">
        <v>-135</v>
      </c>
      <c r="E6" s="18" t="s">
        <v>195</v>
      </c>
      <c r="F6" s="18" t="s">
        <v>198</v>
      </c>
      <c r="G6" s="19" t="n">
        <v>38100</v>
      </c>
      <c r="H6" s="18" t="n">
        <v>38</v>
      </c>
      <c r="I6" s="18" t="n">
        <v>4</v>
      </c>
      <c r="J6" s="18" t="n">
        <f aca="false">SUMIFS($H$2:$H$1200,$A$2:$A$1200,$A6,$B$2:$B$1200,"&lt;="&amp;$B6)</f>
        <v>136</v>
      </c>
      <c r="K6" s="18" t="n">
        <f aca="false">SUMIFS($I$2:$I$1200,$A$2:$A$1200,$A6,$B$2:$B$1200,"&lt;="&amp;$B6)</f>
        <v>10</v>
      </c>
      <c r="L6" s="18" t="n">
        <f aca="false">J6-K6</f>
        <v>126</v>
      </c>
      <c r="M6" s="18" t="n">
        <f aca="false">SUMIF($A$2:$A$1200,$A6,$H$2:$H$1200)</f>
        <v>374</v>
      </c>
      <c r="N6" s="20" t="n">
        <f aca="false">IF(M6=0,"",L6/M6)</f>
        <v>0.336898395721925</v>
      </c>
      <c r="O6" s="20"/>
      <c r="P6" s="20" t="str">
        <f aca="false">IF(OR(N6="",O6=""),"",N6-O6)</f>
        <v/>
      </c>
      <c r="Q6" s="18"/>
    </row>
    <row r="7" customFormat="false" ht="15" hidden="false" customHeight="true" outlineLevel="0" collapsed="false">
      <c r="A7" s="18" t="s">
        <v>194</v>
      </c>
      <c r="B7" s="18" t="n">
        <v>7</v>
      </c>
      <c r="C7" s="18" t="s">
        <v>227</v>
      </c>
      <c r="D7" s="18" t="n">
        <v>-120</v>
      </c>
      <c r="E7" s="18" t="s">
        <v>195</v>
      </c>
      <c r="F7" s="18" t="s">
        <v>198</v>
      </c>
      <c r="G7" s="19" t="n">
        <v>38100</v>
      </c>
      <c r="H7" s="18" t="n">
        <v>24</v>
      </c>
      <c r="I7" s="18" t="n">
        <v>16</v>
      </c>
      <c r="J7" s="18" t="n">
        <f aca="false">SUMIFS($H$2:$H$1200,$A$2:$A$1200,$A7,$B$2:$B$1200,"&lt;="&amp;$B7)</f>
        <v>160</v>
      </c>
      <c r="K7" s="18" t="n">
        <f aca="false">SUMIFS($I$2:$I$1200,$A$2:$A$1200,$A7,$B$2:$B$1200,"&lt;="&amp;$B7)</f>
        <v>26</v>
      </c>
      <c r="L7" s="18" t="n">
        <f aca="false">J7-K7</f>
        <v>134</v>
      </c>
      <c r="M7" s="18" t="n">
        <f aca="false">SUMIF($A$2:$A$1200,$A7,$H$2:$H$1200)</f>
        <v>374</v>
      </c>
      <c r="N7" s="20" t="n">
        <f aca="false">IF(M7=0,"",L7/M7)</f>
        <v>0.358288770053476</v>
      </c>
      <c r="O7" s="20"/>
      <c r="P7" s="20" t="str">
        <f aca="false">IF(OR(N7="",O7=""),"",N7-O7)</f>
        <v/>
      </c>
      <c r="Q7" s="18"/>
    </row>
    <row r="8" customFormat="false" ht="15" hidden="false" customHeight="true" outlineLevel="0" collapsed="false">
      <c r="A8" s="18" t="s">
        <v>194</v>
      </c>
      <c r="B8" s="18" t="n">
        <v>8</v>
      </c>
      <c r="C8" s="18" t="s">
        <v>241</v>
      </c>
      <c r="D8" s="18" t="n">
        <v>-105</v>
      </c>
      <c r="E8" s="18" t="s">
        <v>195</v>
      </c>
      <c r="F8" s="18" t="s">
        <v>198</v>
      </c>
      <c r="G8" s="19" t="n">
        <v>38100</v>
      </c>
      <c r="H8" s="18" t="n">
        <v>51</v>
      </c>
      <c r="I8" s="18" t="n">
        <v>18</v>
      </c>
      <c r="J8" s="18" t="n">
        <f aca="false">SUMIFS($H$2:$H$1200,$A$2:$A$1200,$A8,$B$2:$B$1200,"&lt;="&amp;$B8)</f>
        <v>211</v>
      </c>
      <c r="K8" s="18" t="n">
        <f aca="false">SUMIFS($I$2:$I$1200,$A$2:$A$1200,$A8,$B$2:$B$1200,"&lt;="&amp;$B8)</f>
        <v>44</v>
      </c>
      <c r="L8" s="18" t="n">
        <f aca="false">J8-K8</f>
        <v>167</v>
      </c>
      <c r="M8" s="18" t="n">
        <f aca="false">SUMIF($A$2:$A$1200,$A8,$H$2:$H$1200)</f>
        <v>374</v>
      </c>
      <c r="N8" s="20" t="n">
        <f aca="false">IF(M8=0,"",L8/M8)</f>
        <v>0.446524064171123</v>
      </c>
      <c r="O8" s="20"/>
      <c r="P8" s="20" t="str">
        <f aca="false">IF(OR(N8="",O8=""),"",N8-O8)</f>
        <v/>
      </c>
      <c r="Q8" s="18"/>
    </row>
    <row r="9" customFormat="false" ht="15" hidden="false" customHeight="true" outlineLevel="0" collapsed="false">
      <c r="A9" s="18" t="s">
        <v>194</v>
      </c>
      <c r="B9" s="18" t="n">
        <v>9</v>
      </c>
      <c r="C9" s="18" t="s">
        <v>279</v>
      </c>
      <c r="D9" s="18" t="n">
        <v>-90</v>
      </c>
      <c r="E9" s="18" t="s">
        <v>195</v>
      </c>
      <c r="F9" s="18" t="s">
        <v>198</v>
      </c>
      <c r="G9" s="19" t="n">
        <v>38100</v>
      </c>
      <c r="H9" s="18" t="n">
        <v>49</v>
      </c>
      <c r="I9" s="18" t="n">
        <v>20</v>
      </c>
      <c r="J9" s="18" t="n">
        <f aca="false">SUMIFS($H$2:$H$1200,$A$2:$A$1200,$A9,$B$2:$B$1200,"&lt;="&amp;$B9)</f>
        <v>260</v>
      </c>
      <c r="K9" s="18" t="n">
        <f aca="false">SUMIFS($I$2:$I$1200,$A$2:$A$1200,$A9,$B$2:$B$1200,"&lt;="&amp;$B9)</f>
        <v>64</v>
      </c>
      <c r="L9" s="18" t="n">
        <f aca="false">J9-K9</f>
        <v>196</v>
      </c>
      <c r="M9" s="18" t="n">
        <f aca="false">SUMIF($A$2:$A$1200,$A9,$H$2:$H$1200)</f>
        <v>374</v>
      </c>
      <c r="N9" s="20" t="n">
        <f aca="false">IF(M9=0,"",L9/M9)</f>
        <v>0.524064171122995</v>
      </c>
      <c r="O9" s="20"/>
      <c r="P9" s="20" t="str">
        <f aca="false">IF(OR(N9="",O9=""),"",N9-O9)</f>
        <v/>
      </c>
      <c r="Q9" s="18"/>
    </row>
    <row r="10" customFormat="false" ht="15" hidden="false" customHeight="true" outlineLevel="0" collapsed="false">
      <c r="A10" s="18" t="s">
        <v>194</v>
      </c>
      <c r="B10" s="18" t="n">
        <v>10</v>
      </c>
      <c r="C10" s="18" t="s">
        <v>206</v>
      </c>
      <c r="D10" s="18" t="n">
        <v>-75</v>
      </c>
      <c r="E10" s="18" t="s">
        <v>195</v>
      </c>
      <c r="F10" s="18" t="s">
        <v>198</v>
      </c>
      <c r="G10" s="19" t="n">
        <v>38100</v>
      </c>
      <c r="H10" s="18" t="n">
        <v>36</v>
      </c>
      <c r="I10" s="18" t="n">
        <v>28</v>
      </c>
      <c r="J10" s="18" t="n">
        <f aca="false">SUMIFS($H$2:$H$1200,$A$2:$A$1200,$A10,$B$2:$B$1200,"&lt;="&amp;$B10)</f>
        <v>296</v>
      </c>
      <c r="K10" s="18" t="n">
        <f aca="false">SUMIFS($I$2:$I$1200,$A$2:$A$1200,$A10,$B$2:$B$1200,"&lt;="&amp;$B10)</f>
        <v>92</v>
      </c>
      <c r="L10" s="18" t="n">
        <f aca="false">J10-K10</f>
        <v>204</v>
      </c>
      <c r="M10" s="18" t="n">
        <f aca="false">SUMIF($A$2:$A$1200,$A10,$H$2:$H$1200)</f>
        <v>374</v>
      </c>
      <c r="N10" s="20" t="n">
        <f aca="false">IF(M10=0,"",L10/M10)</f>
        <v>0.545454545454545</v>
      </c>
      <c r="O10" s="20"/>
      <c r="P10" s="20" t="str">
        <f aca="false">IF(OR(N10="",O10=""),"",N10-O10)</f>
        <v/>
      </c>
      <c r="Q10" s="18"/>
    </row>
    <row r="11" customFormat="false" ht="15" hidden="false" customHeight="true" outlineLevel="0" collapsed="false">
      <c r="A11" s="18" t="s">
        <v>194</v>
      </c>
      <c r="B11" s="18" t="n">
        <v>11</v>
      </c>
      <c r="C11" s="18" t="s">
        <v>246</v>
      </c>
      <c r="D11" s="18" t="n">
        <v>-60</v>
      </c>
      <c r="E11" s="18" t="s">
        <v>195</v>
      </c>
      <c r="F11" s="18" t="s">
        <v>198</v>
      </c>
      <c r="G11" s="19" t="n">
        <v>38100</v>
      </c>
      <c r="H11" s="18" t="n">
        <v>21</v>
      </c>
      <c r="I11" s="18" t="n">
        <v>30</v>
      </c>
      <c r="J11" s="18" t="n">
        <f aca="false">SUMIFS($H$2:$H$1200,$A$2:$A$1200,$A11,$B$2:$B$1200,"&lt;="&amp;$B11)</f>
        <v>317</v>
      </c>
      <c r="K11" s="18" t="n">
        <f aca="false">SUMIFS($I$2:$I$1200,$A$2:$A$1200,$A11,$B$2:$B$1200,"&lt;="&amp;$B11)</f>
        <v>122</v>
      </c>
      <c r="L11" s="18" t="n">
        <f aca="false">J11-K11</f>
        <v>195</v>
      </c>
      <c r="M11" s="18" t="n">
        <f aca="false">SUMIF($A$2:$A$1200,$A11,$H$2:$H$1200)</f>
        <v>374</v>
      </c>
      <c r="N11" s="20" t="n">
        <f aca="false">IF(M11=0,"",L11/M11)</f>
        <v>0.521390374331551</v>
      </c>
      <c r="O11" s="20"/>
      <c r="P11" s="20" t="str">
        <f aca="false">IF(OR(N11="",O11=""),"",N11-O11)</f>
        <v/>
      </c>
      <c r="Q11" s="18"/>
    </row>
    <row r="12" customFormat="false" ht="15" hidden="false" customHeight="true" outlineLevel="0" collapsed="false">
      <c r="A12" s="18" t="s">
        <v>194</v>
      </c>
      <c r="B12" s="18" t="n">
        <v>12</v>
      </c>
      <c r="C12" s="18" t="s">
        <v>254</v>
      </c>
      <c r="D12" s="18" t="n">
        <v>-45</v>
      </c>
      <c r="E12" s="18" t="s">
        <v>195</v>
      </c>
      <c r="F12" s="18" t="s">
        <v>198</v>
      </c>
      <c r="G12" s="19" t="n">
        <v>38100</v>
      </c>
      <c r="H12" s="18" t="n">
        <v>20</v>
      </c>
      <c r="I12" s="18" t="n">
        <v>40</v>
      </c>
      <c r="J12" s="18" t="n">
        <f aca="false">SUMIFS($H$2:$H$1200,$A$2:$A$1200,$A12,$B$2:$B$1200,"&lt;="&amp;$B12)</f>
        <v>337</v>
      </c>
      <c r="K12" s="18" t="n">
        <f aca="false">SUMIFS($I$2:$I$1200,$A$2:$A$1200,$A12,$B$2:$B$1200,"&lt;="&amp;$B12)</f>
        <v>162</v>
      </c>
      <c r="L12" s="18" t="n">
        <f aca="false">J12-K12</f>
        <v>175</v>
      </c>
      <c r="M12" s="18" t="n">
        <f aca="false">SUMIF($A$2:$A$1200,$A12,$H$2:$H$1200)</f>
        <v>374</v>
      </c>
      <c r="N12" s="20" t="n">
        <f aca="false">IF(M12=0,"",L12/M12)</f>
        <v>0.467914438502674</v>
      </c>
      <c r="O12" s="20"/>
      <c r="P12" s="20" t="str">
        <f aca="false">IF(OR(N12="",O12=""),"",N12-O12)</f>
        <v/>
      </c>
      <c r="Q12" s="18"/>
    </row>
    <row r="13" customFormat="false" ht="15" hidden="false" customHeight="true" outlineLevel="0" collapsed="false">
      <c r="A13" s="18" t="s">
        <v>194</v>
      </c>
      <c r="B13" s="18" t="n">
        <v>13</v>
      </c>
      <c r="C13" s="18" t="s">
        <v>403</v>
      </c>
      <c r="D13" s="18" t="n">
        <v>-30</v>
      </c>
      <c r="E13" s="18" t="s">
        <v>195</v>
      </c>
      <c r="F13" s="18" t="s">
        <v>198</v>
      </c>
      <c r="G13" s="19" t="n">
        <v>38100</v>
      </c>
      <c r="H13" s="18" t="n">
        <v>11</v>
      </c>
      <c r="I13" s="18" t="n">
        <v>61</v>
      </c>
      <c r="J13" s="18" t="n">
        <f aca="false">SUMIFS($H$2:$H$1200,$A$2:$A$1200,$A13,$B$2:$B$1200,"&lt;="&amp;$B13)</f>
        <v>348</v>
      </c>
      <c r="K13" s="18" t="n">
        <f aca="false">SUMIFS($I$2:$I$1200,$A$2:$A$1200,$A13,$B$2:$B$1200,"&lt;="&amp;$B13)</f>
        <v>223</v>
      </c>
      <c r="L13" s="18" t="n">
        <f aca="false">J13-K13</f>
        <v>125</v>
      </c>
      <c r="M13" s="18" t="n">
        <f aca="false">SUMIF($A$2:$A$1200,$A13,$H$2:$H$1200)</f>
        <v>374</v>
      </c>
      <c r="N13" s="20" t="n">
        <f aca="false">IF(M13=0,"",L13/M13)</f>
        <v>0.334224598930481</v>
      </c>
      <c r="O13" s="20"/>
      <c r="P13" s="20" t="str">
        <f aca="false">IF(OR(N13="",O13=""),"",N13-O13)</f>
        <v/>
      </c>
      <c r="Q13" s="18"/>
    </row>
    <row r="14" customFormat="false" ht="15" hidden="false" customHeight="true" outlineLevel="0" collapsed="false">
      <c r="A14" s="18" t="s">
        <v>194</v>
      </c>
      <c r="B14" s="18" t="n">
        <v>14</v>
      </c>
      <c r="C14" s="18" t="s">
        <v>529</v>
      </c>
      <c r="D14" s="18" t="n">
        <v>-15</v>
      </c>
      <c r="E14" s="18" t="s">
        <v>195</v>
      </c>
      <c r="F14" s="18" t="s">
        <v>198</v>
      </c>
      <c r="G14" s="19" t="n">
        <v>38100</v>
      </c>
      <c r="H14" s="18" t="n">
        <v>8</v>
      </c>
      <c r="I14" s="18" t="n">
        <v>34</v>
      </c>
      <c r="J14" s="18" t="n">
        <f aca="false">SUMIFS($H$2:$H$1200,$A$2:$A$1200,$A14,$B$2:$B$1200,"&lt;="&amp;$B14)</f>
        <v>356</v>
      </c>
      <c r="K14" s="18" t="n">
        <f aca="false">SUMIFS($I$2:$I$1200,$A$2:$A$1200,$A14,$B$2:$B$1200,"&lt;="&amp;$B14)</f>
        <v>257</v>
      </c>
      <c r="L14" s="18" t="n">
        <f aca="false">J14-K14</f>
        <v>99</v>
      </c>
      <c r="M14" s="18" t="n">
        <f aca="false">SUMIF($A$2:$A$1200,$A14,$H$2:$H$1200)</f>
        <v>374</v>
      </c>
      <c r="N14" s="20" t="n">
        <f aca="false">IF(M14=0,"",L14/M14)</f>
        <v>0.264705882352941</v>
      </c>
      <c r="O14" s="20"/>
      <c r="P14" s="20" t="str">
        <f aca="false">IF(OR(N14="",O14=""),"",N14-O14)</f>
        <v/>
      </c>
      <c r="Q14" s="18"/>
    </row>
    <row r="15" customFormat="false" ht="15" hidden="false" customHeight="true" outlineLevel="0" collapsed="false">
      <c r="A15" s="18" t="s">
        <v>194</v>
      </c>
      <c r="B15" s="18" t="n">
        <v>15</v>
      </c>
      <c r="C15" s="18" t="s">
        <v>463</v>
      </c>
      <c r="D15" s="18" t="n">
        <v>0</v>
      </c>
      <c r="E15" s="18" t="s">
        <v>195</v>
      </c>
      <c r="F15" s="18" t="s">
        <v>198</v>
      </c>
      <c r="G15" s="19" t="n">
        <v>38100</v>
      </c>
      <c r="H15" s="18" t="n">
        <v>8</v>
      </c>
      <c r="I15" s="18" t="n">
        <v>29</v>
      </c>
      <c r="J15" s="18" t="n">
        <f aca="false">SUMIFS($H$2:$H$1200,$A$2:$A$1200,$A15,$B$2:$B$1200,"&lt;="&amp;$B15)</f>
        <v>364</v>
      </c>
      <c r="K15" s="18" t="n">
        <f aca="false">SUMIFS($I$2:$I$1200,$A$2:$A$1200,$A15,$B$2:$B$1200,"&lt;="&amp;$B15)</f>
        <v>286</v>
      </c>
      <c r="L15" s="18" t="n">
        <f aca="false">J15-K15</f>
        <v>78</v>
      </c>
      <c r="M15" s="18" t="n">
        <f aca="false">SUMIF($A$2:$A$1200,$A15,$H$2:$H$1200)</f>
        <v>374</v>
      </c>
      <c r="N15" s="20" t="n">
        <f aca="false">IF(M15=0,"",L15/M15)</f>
        <v>0.20855614973262</v>
      </c>
      <c r="O15" s="20"/>
      <c r="P15" s="20" t="str">
        <f aca="false">IF(OR(N15="",O15=""),"",N15-O15)</f>
        <v/>
      </c>
      <c r="Q15" s="18"/>
    </row>
    <row r="16" customFormat="false" ht="15" hidden="false" customHeight="true" outlineLevel="0" collapsed="false">
      <c r="A16" s="18" t="s">
        <v>194</v>
      </c>
      <c r="B16" s="18" t="n">
        <v>16</v>
      </c>
      <c r="C16" s="18" t="s">
        <v>366</v>
      </c>
      <c r="D16" s="18" t="n">
        <v>15</v>
      </c>
      <c r="E16" s="18" t="s">
        <v>195</v>
      </c>
      <c r="F16" s="18" t="s">
        <v>198</v>
      </c>
      <c r="G16" s="19" t="n">
        <v>38100</v>
      </c>
      <c r="H16" s="18" t="n">
        <v>7</v>
      </c>
      <c r="I16" s="18" t="n">
        <v>23</v>
      </c>
      <c r="J16" s="18" t="n">
        <f aca="false">SUMIFS($H$2:$H$1200,$A$2:$A$1200,$A16,$B$2:$B$1200,"&lt;="&amp;$B16)</f>
        <v>371</v>
      </c>
      <c r="K16" s="18" t="n">
        <f aca="false">SUMIFS($I$2:$I$1200,$A$2:$A$1200,$A16,$B$2:$B$1200,"&lt;="&amp;$B16)</f>
        <v>309</v>
      </c>
      <c r="L16" s="18" t="n">
        <f aca="false">J16-K16</f>
        <v>62</v>
      </c>
      <c r="M16" s="18" t="n">
        <f aca="false">SUMIF($A$2:$A$1200,$A16,$H$2:$H$1200)</f>
        <v>374</v>
      </c>
      <c r="N16" s="20" t="n">
        <f aca="false">IF(M16=0,"",L16/M16)</f>
        <v>0.165775401069519</v>
      </c>
      <c r="O16" s="20"/>
      <c r="P16" s="20" t="str">
        <f aca="false">IF(OR(N16="",O16=""),"",N16-O16)</f>
        <v/>
      </c>
      <c r="Q16" s="18"/>
    </row>
    <row r="17" customFormat="false" ht="15" hidden="false" customHeight="true" outlineLevel="0" collapsed="false">
      <c r="A17" s="18" t="s">
        <v>194</v>
      </c>
      <c r="B17" s="18" t="n">
        <v>17</v>
      </c>
      <c r="C17" s="18" t="s">
        <v>326</v>
      </c>
      <c r="D17" s="18" t="n">
        <v>30</v>
      </c>
      <c r="E17" s="18" t="s">
        <v>195</v>
      </c>
      <c r="F17" s="18" t="s">
        <v>198</v>
      </c>
      <c r="G17" s="19" t="n">
        <v>38100</v>
      </c>
      <c r="H17" s="18" t="n">
        <v>1</v>
      </c>
      <c r="I17" s="18" t="n">
        <v>22</v>
      </c>
      <c r="J17" s="18" t="n">
        <f aca="false">SUMIFS($H$2:$H$1200,$A$2:$A$1200,$A17,$B$2:$B$1200,"&lt;="&amp;$B17)</f>
        <v>372</v>
      </c>
      <c r="K17" s="18" t="n">
        <f aca="false">SUMIFS($I$2:$I$1200,$A$2:$A$1200,$A17,$B$2:$B$1200,"&lt;="&amp;$B17)</f>
        <v>331</v>
      </c>
      <c r="L17" s="18" t="n">
        <f aca="false">J17-K17</f>
        <v>41</v>
      </c>
      <c r="M17" s="18" t="n">
        <f aca="false">SUMIF($A$2:$A$1200,$A17,$H$2:$H$1200)</f>
        <v>374</v>
      </c>
      <c r="N17" s="20" t="n">
        <f aca="false">IF(M17=0,"",L17/M17)</f>
        <v>0.109625668449198</v>
      </c>
      <c r="O17" s="20"/>
      <c r="P17" s="20" t="str">
        <f aca="false">IF(OR(N17="",O17=""),"",N17-O17)</f>
        <v/>
      </c>
      <c r="Q17" s="18"/>
    </row>
    <row r="18" customFormat="false" ht="15" hidden="false" customHeight="true" outlineLevel="0" collapsed="false">
      <c r="A18" s="18" t="s">
        <v>194</v>
      </c>
      <c r="B18" s="18" t="n">
        <v>18</v>
      </c>
      <c r="C18" s="18" t="s">
        <v>226</v>
      </c>
      <c r="D18" s="18" t="n">
        <v>45</v>
      </c>
      <c r="E18" s="18" t="s">
        <v>195</v>
      </c>
      <c r="F18" s="18" t="s">
        <v>198</v>
      </c>
      <c r="G18" s="19" t="n">
        <v>38100</v>
      </c>
      <c r="H18" s="18" t="n">
        <v>0</v>
      </c>
      <c r="I18" s="18" t="n">
        <v>21</v>
      </c>
      <c r="J18" s="18" t="n">
        <f aca="false">SUMIFS($H$2:$H$1200,$A$2:$A$1200,$A18,$B$2:$B$1200,"&lt;="&amp;$B18)</f>
        <v>372</v>
      </c>
      <c r="K18" s="18" t="n">
        <f aca="false">SUMIFS($I$2:$I$1200,$A$2:$A$1200,$A18,$B$2:$B$1200,"&lt;="&amp;$B18)</f>
        <v>352</v>
      </c>
      <c r="L18" s="18" t="n">
        <f aca="false">J18-K18</f>
        <v>20</v>
      </c>
      <c r="M18" s="18" t="n">
        <f aca="false">SUMIF($A$2:$A$1200,$A18,$H$2:$H$1200)</f>
        <v>374</v>
      </c>
      <c r="N18" s="20" t="n">
        <f aca="false">IF(M18=0,"",L18/M18)</f>
        <v>0.053475935828877</v>
      </c>
      <c r="O18" s="20"/>
      <c r="P18" s="20" t="str">
        <f aca="false">IF(OR(N18="",O18=""),"",N18-O18)</f>
        <v/>
      </c>
      <c r="Q18" s="18"/>
    </row>
    <row r="19" customFormat="false" ht="15" hidden="false" customHeight="true" outlineLevel="0" collapsed="false">
      <c r="A19" s="18" t="s">
        <v>194</v>
      </c>
      <c r="B19" s="18" t="n">
        <v>19</v>
      </c>
      <c r="C19" s="18" t="s">
        <v>205</v>
      </c>
      <c r="D19" s="18" t="n">
        <v>60</v>
      </c>
      <c r="E19" s="18" t="s">
        <v>195</v>
      </c>
      <c r="F19" s="18" t="s">
        <v>198</v>
      </c>
      <c r="G19" s="19" t="n">
        <v>38100</v>
      </c>
      <c r="H19" s="18" t="n">
        <v>2</v>
      </c>
      <c r="I19" s="18" t="n">
        <v>16</v>
      </c>
      <c r="J19" s="18" t="n">
        <f aca="false">SUMIFS($H$2:$H$1200,$A$2:$A$1200,$A19,$B$2:$B$1200,"&lt;="&amp;$B19)</f>
        <v>374</v>
      </c>
      <c r="K19" s="18" t="n">
        <f aca="false">SUMIFS($I$2:$I$1200,$A$2:$A$1200,$A19,$B$2:$B$1200,"&lt;="&amp;$B19)</f>
        <v>368</v>
      </c>
      <c r="L19" s="18" t="n">
        <f aca="false">J19-K19</f>
        <v>6</v>
      </c>
      <c r="M19" s="18" t="n">
        <f aca="false">SUMIF($A$2:$A$1200,$A19,$H$2:$H$1200)</f>
        <v>374</v>
      </c>
      <c r="N19" s="20" t="n">
        <f aca="false">IF(M19=0,"",L19/M19)</f>
        <v>0.0160427807486631</v>
      </c>
      <c r="O19" s="20"/>
      <c r="P19" s="20" t="str">
        <f aca="false">IF(OR(N19="",O19=""),"",N19-O19)</f>
        <v/>
      </c>
      <c r="Q19" s="18"/>
    </row>
    <row r="20" customFormat="false" ht="15" hidden="false" customHeight="true" outlineLevel="0" collapsed="false">
      <c r="A20" s="18" t="s">
        <v>211</v>
      </c>
      <c r="B20" s="18" t="n">
        <v>0</v>
      </c>
      <c r="C20" s="18" t="s">
        <v>204</v>
      </c>
      <c r="D20" s="18"/>
      <c r="E20" s="18" t="s">
        <v>195</v>
      </c>
      <c r="F20" s="18" t="s">
        <v>198</v>
      </c>
      <c r="G20" s="19" t="n">
        <v>38100</v>
      </c>
      <c r="H20" s="18" t="n">
        <v>11</v>
      </c>
      <c r="I20" s="18" t="n">
        <v>1</v>
      </c>
      <c r="J20" s="18" t="n">
        <f aca="false">SUMIFS($H$2:$H$1200,$A$2:$A$1200,$A20,$B$2:$B$1200,"&lt;="&amp;$B20)</f>
        <v>11</v>
      </c>
      <c r="K20" s="18" t="n">
        <f aca="false">SUMIFS($I$2:$I$1200,$A$2:$A$1200,$A20,$B$2:$B$1200,"&lt;="&amp;$B20)</f>
        <v>1</v>
      </c>
      <c r="L20" s="18" t="n">
        <f aca="false">J20-K20</f>
        <v>10</v>
      </c>
      <c r="M20" s="18" t="n">
        <f aca="false">SUMIF($A$2:$A$1200,$A20,$H$2:$H$1200)</f>
        <v>374</v>
      </c>
      <c r="N20" s="20" t="n">
        <f aca="false">IF(M20=0,"",L20/M20)</f>
        <v>0.0267379679144385</v>
      </c>
      <c r="O20" s="20" t="n">
        <v>0.0267379679144385</v>
      </c>
      <c r="P20" s="20" t="n">
        <f aca="false">IF(OR(N20="",O20=""),"",N20-O20)</f>
        <v>0</v>
      </c>
      <c r="Q20" s="18"/>
    </row>
    <row r="21" customFormat="false" ht="15" hidden="false" customHeight="true" outlineLevel="0" collapsed="false">
      <c r="A21" s="18" t="s">
        <v>211</v>
      </c>
      <c r="B21" s="18" t="n">
        <v>3</v>
      </c>
      <c r="C21" s="18" t="s">
        <v>525</v>
      </c>
      <c r="D21" s="18" t="n">
        <v>-180</v>
      </c>
      <c r="E21" s="18" t="s">
        <v>195</v>
      </c>
      <c r="F21" s="18" t="s">
        <v>198</v>
      </c>
      <c r="G21" s="19" t="n">
        <v>38100</v>
      </c>
      <c r="H21" s="18" t="n">
        <v>23</v>
      </c>
      <c r="I21" s="18" t="n">
        <v>0</v>
      </c>
      <c r="J21" s="18" t="n">
        <f aca="false">SUMIFS($H$2:$H$1200,$A$2:$A$1200,$A21,$B$2:$B$1200,"&lt;="&amp;$B21)</f>
        <v>34</v>
      </c>
      <c r="K21" s="18" t="n">
        <f aca="false">SUMIFS($I$2:$I$1200,$A$2:$A$1200,$A21,$B$2:$B$1200,"&lt;="&amp;$B21)</f>
        <v>1</v>
      </c>
      <c r="L21" s="18" t="n">
        <f aca="false">J21-K21</f>
        <v>33</v>
      </c>
      <c r="M21" s="18" t="n">
        <f aca="false">SUMIF($A$2:$A$1200,$A21,$H$2:$H$1200)</f>
        <v>374</v>
      </c>
      <c r="N21" s="20" t="n">
        <f aca="false">IF(M21=0,"",L21/M21)</f>
        <v>0.0882352941176471</v>
      </c>
      <c r="O21" s="20" t="n">
        <v>0.0882352941176471</v>
      </c>
      <c r="P21" s="20" t="n">
        <f aca="false">IF(OR(N21="",O21=""),"",N21-O21)</f>
        <v>0</v>
      </c>
      <c r="Q21" s="18"/>
    </row>
    <row r="22" customFormat="false" ht="15" hidden="false" customHeight="true" outlineLevel="0" collapsed="false">
      <c r="A22" s="18" t="s">
        <v>211</v>
      </c>
      <c r="B22" s="18" t="n">
        <v>4</v>
      </c>
      <c r="C22" s="18" t="s">
        <v>526</v>
      </c>
      <c r="D22" s="18" t="n">
        <v>-165</v>
      </c>
      <c r="E22" s="18" t="s">
        <v>195</v>
      </c>
      <c r="F22" s="18" t="s">
        <v>198</v>
      </c>
      <c r="G22" s="19" t="n">
        <v>38100</v>
      </c>
      <c r="H22" s="18" t="n">
        <v>25</v>
      </c>
      <c r="I22" s="18" t="n">
        <v>0</v>
      </c>
      <c r="J22" s="18" t="n">
        <f aca="false">SUMIFS($H$2:$H$1200,$A$2:$A$1200,$A22,$B$2:$B$1200,"&lt;="&amp;$B22)</f>
        <v>59</v>
      </c>
      <c r="K22" s="18" t="n">
        <f aca="false">SUMIFS($I$2:$I$1200,$A$2:$A$1200,$A22,$B$2:$B$1200,"&lt;="&amp;$B22)</f>
        <v>1</v>
      </c>
      <c r="L22" s="18" t="n">
        <f aca="false">J22-K22</f>
        <v>58</v>
      </c>
      <c r="M22" s="18" t="n">
        <f aca="false">SUMIF($A$2:$A$1200,$A22,$H$2:$H$1200)</f>
        <v>374</v>
      </c>
      <c r="N22" s="20" t="n">
        <f aca="false">IF(M22=0,"",L22/M22)</f>
        <v>0.155080213903743</v>
      </c>
      <c r="O22" s="20" t="n">
        <v>0.155080213903743</v>
      </c>
      <c r="P22" s="20" t="n">
        <f aca="false">IF(OR(N22="",O22=""),"",N22-O22)</f>
        <v>0</v>
      </c>
      <c r="Q22" s="18"/>
    </row>
    <row r="23" customFormat="false" ht="15" hidden="false" customHeight="true" outlineLevel="0" collapsed="false">
      <c r="A23" s="18" t="s">
        <v>211</v>
      </c>
      <c r="B23" s="18" t="n">
        <v>5</v>
      </c>
      <c r="C23" s="18" t="s">
        <v>527</v>
      </c>
      <c r="D23" s="18" t="n">
        <v>-150</v>
      </c>
      <c r="E23" s="18" t="s">
        <v>195</v>
      </c>
      <c r="F23" s="18" t="s">
        <v>198</v>
      </c>
      <c r="G23" s="19" t="n">
        <v>38100</v>
      </c>
      <c r="H23" s="18" t="n">
        <v>39</v>
      </c>
      <c r="I23" s="18" t="n">
        <v>5</v>
      </c>
      <c r="J23" s="18" t="n">
        <f aca="false">SUMIFS($H$2:$H$1200,$A$2:$A$1200,$A23,$B$2:$B$1200,"&lt;="&amp;$B23)</f>
        <v>98</v>
      </c>
      <c r="K23" s="18" t="n">
        <f aca="false">SUMIFS($I$2:$I$1200,$A$2:$A$1200,$A23,$B$2:$B$1200,"&lt;="&amp;$B23)</f>
        <v>6</v>
      </c>
      <c r="L23" s="18" t="n">
        <f aca="false">J23-K23</f>
        <v>92</v>
      </c>
      <c r="M23" s="18" t="n">
        <f aca="false">SUMIF($A$2:$A$1200,$A23,$H$2:$H$1200)</f>
        <v>374</v>
      </c>
      <c r="N23" s="20" t="n">
        <f aca="false">IF(M23=0,"",L23/M23)</f>
        <v>0.245989304812834</v>
      </c>
      <c r="O23" s="20" t="n">
        <v>0.245989304812834</v>
      </c>
      <c r="P23" s="20" t="n">
        <f aca="false">IF(OR(N23="",O23=""),"",N23-O23)</f>
        <v>0</v>
      </c>
      <c r="Q23" s="18"/>
    </row>
    <row r="24" customFormat="false" ht="15" hidden="false" customHeight="true" outlineLevel="0" collapsed="false">
      <c r="A24" s="18" t="s">
        <v>211</v>
      </c>
      <c r="B24" s="18" t="n">
        <v>6</v>
      </c>
      <c r="C24" s="18" t="s">
        <v>528</v>
      </c>
      <c r="D24" s="18" t="n">
        <v>-135</v>
      </c>
      <c r="E24" s="18" t="s">
        <v>195</v>
      </c>
      <c r="F24" s="18" t="s">
        <v>198</v>
      </c>
      <c r="G24" s="19" t="n">
        <v>38100</v>
      </c>
      <c r="H24" s="18" t="n">
        <v>38</v>
      </c>
      <c r="I24" s="18" t="n">
        <v>4</v>
      </c>
      <c r="J24" s="18" t="n">
        <f aca="false">SUMIFS($H$2:$H$1200,$A$2:$A$1200,$A24,$B$2:$B$1200,"&lt;="&amp;$B24)</f>
        <v>136</v>
      </c>
      <c r="K24" s="18" t="n">
        <f aca="false">SUMIFS($I$2:$I$1200,$A$2:$A$1200,$A24,$B$2:$B$1200,"&lt;="&amp;$B24)</f>
        <v>10</v>
      </c>
      <c r="L24" s="18" t="n">
        <f aca="false">J24-K24</f>
        <v>126</v>
      </c>
      <c r="M24" s="18" t="n">
        <f aca="false">SUMIF($A$2:$A$1200,$A24,$H$2:$H$1200)</f>
        <v>374</v>
      </c>
      <c r="N24" s="20" t="n">
        <f aca="false">IF(M24=0,"",L24/M24)</f>
        <v>0.336898395721925</v>
      </c>
      <c r="O24" s="20" t="n">
        <v>0.336898395721925</v>
      </c>
      <c r="P24" s="20" t="n">
        <f aca="false">IF(OR(N24="",O24=""),"",N24-O24)</f>
        <v>0</v>
      </c>
      <c r="Q24" s="18"/>
    </row>
    <row r="25" customFormat="false" ht="15" hidden="false" customHeight="true" outlineLevel="0" collapsed="false">
      <c r="A25" s="18" t="s">
        <v>211</v>
      </c>
      <c r="B25" s="18" t="n">
        <v>7</v>
      </c>
      <c r="C25" s="18" t="s">
        <v>227</v>
      </c>
      <c r="D25" s="18" t="n">
        <v>-120</v>
      </c>
      <c r="E25" s="18" t="s">
        <v>195</v>
      </c>
      <c r="F25" s="18" t="s">
        <v>198</v>
      </c>
      <c r="G25" s="19" t="n">
        <v>38100</v>
      </c>
      <c r="H25" s="18" t="n">
        <v>24</v>
      </c>
      <c r="I25" s="18" t="n">
        <v>16</v>
      </c>
      <c r="J25" s="18" t="n">
        <f aca="false">SUMIFS($H$2:$H$1200,$A$2:$A$1200,$A25,$B$2:$B$1200,"&lt;="&amp;$B25)</f>
        <v>160</v>
      </c>
      <c r="K25" s="18" t="n">
        <f aca="false">SUMIFS($I$2:$I$1200,$A$2:$A$1200,$A25,$B$2:$B$1200,"&lt;="&amp;$B25)</f>
        <v>26</v>
      </c>
      <c r="L25" s="18" t="n">
        <f aca="false">J25-K25</f>
        <v>134</v>
      </c>
      <c r="M25" s="18" t="n">
        <f aca="false">SUMIF($A$2:$A$1200,$A25,$H$2:$H$1200)</f>
        <v>374</v>
      </c>
      <c r="N25" s="20" t="n">
        <f aca="false">IF(M25=0,"",L25/M25)</f>
        <v>0.358288770053476</v>
      </c>
      <c r="O25" s="20" t="n">
        <v>0.358288770053476</v>
      </c>
      <c r="P25" s="20" t="n">
        <f aca="false">IF(OR(N25="",O25=""),"",N25-O25)</f>
        <v>0</v>
      </c>
      <c r="Q25" s="18"/>
    </row>
    <row r="26" customFormat="false" ht="15" hidden="false" customHeight="true" outlineLevel="0" collapsed="false">
      <c r="A26" s="18" t="s">
        <v>211</v>
      </c>
      <c r="B26" s="18" t="n">
        <v>8</v>
      </c>
      <c r="C26" s="18" t="s">
        <v>241</v>
      </c>
      <c r="D26" s="18" t="n">
        <v>-105</v>
      </c>
      <c r="E26" s="18" t="s">
        <v>195</v>
      </c>
      <c r="F26" s="18" t="s">
        <v>198</v>
      </c>
      <c r="G26" s="19" t="n">
        <v>38100</v>
      </c>
      <c r="H26" s="18" t="n">
        <v>51</v>
      </c>
      <c r="I26" s="18" t="n">
        <v>18</v>
      </c>
      <c r="J26" s="18" t="n">
        <f aca="false">SUMIFS($H$2:$H$1200,$A$2:$A$1200,$A26,$B$2:$B$1200,"&lt;="&amp;$B26)</f>
        <v>211</v>
      </c>
      <c r="K26" s="18" t="n">
        <f aca="false">SUMIFS($I$2:$I$1200,$A$2:$A$1200,$A26,$B$2:$B$1200,"&lt;="&amp;$B26)</f>
        <v>44</v>
      </c>
      <c r="L26" s="18" t="n">
        <f aca="false">J26-K26</f>
        <v>167</v>
      </c>
      <c r="M26" s="18" t="n">
        <f aca="false">SUMIF($A$2:$A$1200,$A26,$H$2:$H$1200)</f>
        <v>374</v>
      </c>
      <c r="N26" s="20" t="n">
        <f aca="false">IF(M26=0,"",L26/M26)</f>
        <v>0.446524064171123</v>
      </c>
      <c r="O26" s="20" t="n">
        <v>0.446524064171123</v>
      </c>
      <c r="P26" s="20" t="n">
        <f aca="false">IF(OR(N26="",O26=""),"",N26-O26)</f>
        <v>0</v>
      </c>
      <c r="Q26" s="18"/>
    </row>
    <row r="27" customFormat="false" ht="15" hidden="false" customHeight="true" outlineLevel="0" collapsed="false">
      <c r="A27" s="18" t="s">
        <v>211</v>
      </c>
      <c r="B27" s="18" t="n">
        <v>9</v>
      </c>
      <c r="C27" s="18" t="s">
        <v>279</v>
      </c>
      <c r="D27" s="18" t="n">
        <v>-90</v>
      </c>
      <c r="E27" s="18" t="s">
        <v>195</v>
      </c>
      <c r="F27" s="18" t="s">
        <v>198</v>
      </c>
      <c r="G27" s="19" t="n">
        <v>38100</v>
      </c>
      <c r="H27" s="18" t="n">
        <v>49</v>
      </c>
      <c r="I27" s="18" t="n">
        <v>20</v>
      </c>
      <c r="J27" s="18" t="n">
        <f aca="false">SUMIFS($H$2:$H$1200,$A$2:$A$1200,$A27,$B$2:$B$1200,"&lt;="&amp;$B27)</f>
        <v>260</v>
      </c>
      <c r="K27" s="18" t="n">
        <f aca="false">SUMIFS($I$2:$I$1200,$A$2:$A$1200,$A27,$B$2:$B$1200,"&lt;="&amp;$B27)</f>
        <v>64</v>
      </c>
      <c r="L27" s="18" t="n">
        <f aca="false">J27-K27</f>
        <v>196</v>
      </c>
      <c r="M27" s="18" t="n">
        <f aca="false">SUMIF($A$2:$A$1200,$A27,$H$2:$H$1200)</f>
        <v>374</v>
      </c>
      <c r="N27" s="20" t="n">
        <f aca="false">IF(M27=0,"",L27/M27)</f>
        <v>0.524064171122995</v>
      </c>
      <c r="O27" s="20" t="n">
        <v>0.524064171122995</v>
      </c>
      <c r="P27" s="20" t="n">
        <f aca="false">IF(OR(N27="",O27=""),"",N27-O27)</f>
        <v>0</v>
      </c>
      <c r="Q27" s="18"/>
    </row>
    <row r="28" customFormat="false" ht="15" hidden="false" customHeight="true" outlineLevel="0" collapsed="false">
      <c r="A28" s="18" t="s">
        <v>211</v>
      </c>
      <c r="B28" s="18" t="n">
        <v>10</v>
      </c>
      <c r="C28" s="18" t="s">
        <v>206</v>
      </c>
      <c r="D28" s="18" t="n">
        <v>-75</v>
      </c>
      <c r="E28" s="18" t="s">
        <v>195</v>
      </c>
      <c r="F28" s="18" t="s">
        <v>198</v>
      </c>
      <c r="G28" s="19" t="n">
        <v>38100</v>
      </c>
      <c r="H28" s="18" t="n">
        <v>36</v>
      </c>
      <c r="I28" s="18" t="n">
        <v>28</v>
      </c>
      <c r="J28" s="18" t="n">
        <f aca="false">SUMIFS($H$2:$H$1200,$A$2:$A$1200,$A28,$B$2:$B$1200,"&lt;="&amp;$B28)</f>
        <v>296</v>
      </c>
      <c r="K28" s="18" t="n">
        <f aca="false">SUMIFS($I$2:$I$1200,$A$2:$A$1200,$A28,$B$2:$B$1200,"&lt;="&amp;$B28)</f>
        <v>92</v>
      </c>
      <c r="L28" s="18" t="n">
        <f aca="false">J28-K28</f>
        <v>204</v>
      </c>
      <c r="M28" s="18" t="n">
        <f aca="false">SUMIF($A$2:$A$1200,$A28,$H$2:$H$1200)</f>
        <v>374</v>
      </c>
      <c r="N28" s="20" t="n">
        <f aca="false">IF(M28=0,"",L28/M28)</f>
        <v>0.545454545454545</v>
      </c>
      <c r="O28" s="20" t="n">
        <v>0.545454545454545</v>
      </c>
      <c r="P28" s="20" t="n">
        <f aca="false">IF(OR(N28="",O28=""),"",N28-O28)</f>
        <v>0</v>
      </c>
      <c r="Q28" s="18"/>
    </row>
    <row r="29" customFormat="false" ht="15" hidden="false" customHeight="true" outlineLevel="0" collapsed="false">
      <c r="A29" s="18" t="s">
        <v>211</v>
      </c>
      <c r="B29" s="18" t="n">
        <v>11</v>
      </c>
      <c r="C29" s="18" t="s">
        <v>246</v>
      </c>
      <c r="D29" s="18" t="n">
        <v>-60</v>
      </c>
      <c r="E29" s="18" t="s">
        <v>195</v>
      </c>
      <c r="F29" s="18" t="s">
        <v>198</v>
      </c>
      <c r="G29" s="19" t="n">
        <v>38100</v>
      </c>
      <c r="H29" s="18" t="n">
        <v>21</v>
      </c>
      <c r="I29" s="18" t="n">
        <v>30</v>
      </c>
      <c r="J29" s="18" t="n">
        <f aca="false">SUMIFS($H$2:$H$1200,$A$2:$A$1200,$A29,$B$2:$B$1200,"&lt;="&amp;$B29)</f>
        <v>317</v>
      </c>
      <c r="K29" s="18" t="n">
        <f aca="false">SUMIFS($I$2:$I$1200,$A$2:$A$1200,$A29,$B$2:$B$1200,"&lt;="&amp;$B29)</f>
        <v>122</v>
      </c>
      <c r="L29" s="18" t="n">
        <f aca="false">J29-K29</f>
        <v>195</v>
      </c>
      <c r="M29" s="18" t="n">
        <f aca="false">SUMIF($A$2:$A$1200,$A29,$H$2:$H$1200)</f>
        <v>374</v>
      </c>
      <c r="N29" s="20" t="n">
        <f aca="false">IF(M29=0,"",L29/M29)</f>
        <v>0.521390374331551</v>
      </c>
      <c r="O29" s="20" t="n">
        <v>0.521390374331551</v>
      </c>
      <c r="P29" s="20" t="n">
        <f aca="false">IF(OR(N29="",O29=""),"",N29-O29)</f>
        <v>0</v>
      </c>
      <c r="Q29" s="18"/>
    </row>
    <row r="30" customFormat="false" ht="15" hidden="false" customHeight="true" outlineLevel="0" collapsed="false">
      <c r="A30" s="18" t="s">
        <v>211</v>
      </c>
      <c r="B30" s="18" t="n">
        <v>12</v>
      </c>
      <c r="C30" s="18" t="s">
        <v>254</v>
      </c>
      <c r="D30" s="18" t="n">
        <v>-45</v>
      </c>
      <c r="E30" s="18" t="s">
        <v>195</v>
      </c>
      <c r="F30" s="18" t="s">
        <v>198</v>
      </c>
      <c r="G30" s="19" t="n">
        <v>38100</v>
      </c>
      <c r="H30" s="18" t="n">
        <v>20</v>
      </c>
      <c r="I30" s="18" t="n">
        <v>40</v>
      </c>
      <c r="J30" s="18" t="n">
        <f aca="false">SUMIFS($H$2:$H$1200,$A$2:$A$1200,$A30,$B$2:$B$1200,"&lt;="&amp;$B30)</f>
        <v>337</v>
      </c>
      <c r="K30" s="18" t="n">
        <f aca="false">SUMIFS($I$2:$I$1200,$A$2:$A$1200,$A30,$B$2:$B$1200,"&lt;="&amp;$B30)</f>
        <v>162</v>
      </c>
      <c r="L30" s="18" t="n">
        <f aca="false">J30-K30</f>
        <v>175</v>
      </c>
      <c r="M30" s="18" t="n">
        <f aca="false">SUMIF($A$2:$A$1200,$A30,$H$2:$H$1200)</f>
        <v>374</v>
      </c>
      <c r="N30" s="20" t="n">
        <f aca="false">IF(M30=0,"",L30/M30)</f>
        <v>0.467914438502674</v>
      </c>
      <c r="O30" s="20" t="n">
        <v>0.467914438502674</v>
      </c>
      <c r="P30" s="20" t="n">
        <f aca="false">IF(OR(N30="",O30=""),"",N30-O30)</f>
        <v>0</v>
      </c>
      <c r="Q30" s="18"/>
    </row>
    <row r="31" customFormat="false" ht="15" hidden="false" customHeight="true" outlineLevel="0" collapsed="false">
      <c r="A31" s="18" t="s">
        <v>211</v>
      </c>
      <c r="B31" s="18" t="n">
        <v>13</v>
      </c>
      <c r="C31" s="18" t="s">
        <v>403</v>
      </c>
      <c r="D31" s="18" t="n">
        <v>-30</v>
      </c>
      <c r="E31" s="18" t="s">
        <v>195</v>
      </c>
      <c r="F31" s="18" t="s">
        <v>198</v>
      </c>
      <c r="G31" s="19" t="n">
        <v>38100</v>
      </c>
      <c r="H31" s="18" t="n">
        <v>11</v>
      </c>
      <c r="I31" s="18" t="n">
        <v>61</v>
      </c>
      <c r="J31" s="18" t="n">
        <f aca="false">SUMIFS($H$2:$H$1200,$A$2:$A$1200,$A31,$B$2:$B$1200,"&lt;="&amp;$B31)</f>
        <v>348</v>
      </c>
      <c r="K31" s="18" t="n">
        <f aca="false">SUMIFS($I$2:$I$1200,$A$2:$A$1200,$A31,$B$2:$B$1200,"&lt;="&amp;$B31)</f>
        <v>223</v>
      </c>
      <c r="L31" s="18" t="n">
        <f aca="false">J31-K31</f>
        <v>125</v>
      </c>
      <c r="M31" s="18" t="n">
        <f aca="false">SUMIF($A$2:$A$1200,$A31,$H$2:$H$1200)</f>
        <v>374</v>
      </c>
      <c r="N31" s="20" t="n">
        <f aca="false">IF(M31=0,"",L31/M31)</f>
        <v>0.334224598930481</v>
      </c>
      <c r="O31" s="20" t="n">
        <v>0.334224598930481</v>
      </c>
      <c r="P31" s="20" t="n">
        <f aca="false">IF(OR(N31="",O31=""),"",N31-O31)</f>
        <v>0</v>
      </c>
      <c r="Q31" s="18"/>
    </row>
    <row r="32" customFormat="false" ht="15" hidden="false" customHeight="true" outlineLevel="0" collapsed="false">
      <c r="A32" s="18" t="s">
        <v>211</v>
      </c>
      <c r="B32" s="18" t="n">
        <v>14</v>
      </c>
      <c r="C32" s="18" t="s">
        <v>529</v>
      </c>
      <c r="D32" s="18" t="n">
        <v>-15</v>
      </c>
      <c r="E32" s="18" t="s">
        <v>195</v>
      </c>
      <c r="F32" s="18" t="s">
        <v>198</v>
      </c>
      <c r="G32" s="19" t="n">
        <v>38100</v>
      </c>
      <c r="H32" s="18" t="n">
        <v>8</v>
      </c>
      <c r="I32" s="18" t="n">
        <v>34</v>
      </c>
      <c r="J32" s="18" t="n">
        <f aca="false">SUMIFS($H$2:$H$1200,$A$2:$A$1200,$A32,$B$2:$B$1200,"&lt;="&amp;$B32)</f>
        <v>356</v>
      </c>
      <c r="K32" s="18" t="n">
        <f aca="false">SUMIFS($I$2:$I$1200,$A$2:$A$1200,$A32,$B$2:$B$1200,"&lt;="&amp;$B32)</f>
        <v>257</v>
      </c>
      <c r="L32" s="18" t="n">
        <f aca="false">J32-K32</f>
        <v>99</v>
      </c>
      <c r="M32" s="18" t="n">
        <f aca="false">SUMIF($A$2:$A$1200,$A32,$H$2:$H$1200)</f>
        <v>374</v>
      </c>
      <c r="N32" s="20" t="n">
        <f aca="false">IF(M32=0,"",L32/M32)</f>
        <v>0.264705882352941</v>
      </c>
      <c r="O32" s="20" t="n">
        <v>0.264705882352941</v>
      </c>
      <c r="P32" s="20" t="n">
        <f aca="false">IF(OR(N32="",O32=""),"",N32-O32)</f>
        <v>0</v>
      </c>
      <c r="Q32" s="18"/>
    </row>
    <row r="33" customFormat="false" ht="15" hidden="false" customHeight="true" outlineLevel="0" collapsed="false">
      <c r="A33" s="18" t="s">
        <v>211</v>
      </c>
      <c r="B33" s="18" t="n">
        <v>15</v>
      </c>
      <c r="C33" s="18" t="s">
        <v>463</v>
      </c>
      <c r="D33" s="18" t="n">
        <v>0</v>
      </c>
      <c r="E33" s="18" t="s">
        <v>195</v>
      </c>
      <c r="F33" s="18" t="s">
        <v>198</v>
      </c>
      <c r="G33" s="19" t="n">
        <v>38100</v>
      </c>
      <c r="H33" s="18" t="n">
        <v>8</v>
      </c>
      <c r="I33" s="18" t="n">
        <v>29</v>
      </c>
      <c r="J33" s="18" t="n">
        <f aca="false">SUMIFS($H$2:$H$1200,$A$2:$A$1200,$A33,$B$2:$B$1200,"&lt;="&amp;$B33)</f>
        <v>364</v>
      </c>
      <c r="K33" s="18" t="n">
        <f aca="false">SUMIFS($I$2:$I$1200,$A$2:$A$1200,$A33,$B$2:$B$1200,"&lt;="&amp;$B33)</f>
        <v>286</v>
      </c>
      <c r="L33" s="18" t="n">
        <f aca="false">J33-K33</f>
        <v>78</v>
      </c>
      <c r="M33" s="18" t="n">
        <f aca="false">SUMIF($A$2:$A$1200,$A33,$H$2:$H$1200)</f>
        <v>374</v>
      </c>
      <c r="N33" s="20" t="n">
        <f aca="false">IF(M33=0,"",L33/M33)</f>
        <v>0.20855614973262</v>
      </c>
      <c r="O33" s="20" t="n">
        <v>0.20855614973262</v>
      </c>
      <c r="P33" s="20" t="n">
        <f aca="false">IF(OR(N33="",O33=""),"",N33-O33)</f>
        <v>0</v>
      </c>
      <c r="Q33" s="18"/>
    </row>
    <row r="34" customFormat="false" ht="15" hidden="false" customHeight="true" outlineLevel="0" collapsed="false">
      <c r="A34" s="18" t="s">
        <v>211</v>
      </c>
      <c r="B34" s="18" t="n">
        <v>16</v>
      </c>
      <c r="C34" s="18" t="s">
        <v>366</v>
      </c>
      <c r="D34" s="18" t="n">
        <v>15</v>
      </c>
      <c r="E34" s="18" t="s">
        <v>195</v>
      </c>
      <c r="F34" s="18" t="s">
        <v>198</v>
      </c>
      <c r="G34" s="19" t="n">
        <v>38100</v>
      </c>
      <c r="H34" s="18" t="n">
        <v>7</v>
      </c>
      <c r="I34" s="18" t="n">
        <v>23</v>
      </c>
      <c r="J34" s="18" t="n">
        <f aca="false">SUMIFS($H$2:$H$1200,$A$2:$A$1200,$A34,$B$2:$B$1200,"&lt;="&amp;$B34)</f>
        <v>371</v>
      </c>
      <c r="K34" s="18" t="n">
        <f aca="false">SUMIFS($I$2:$I$1200,$A$2:$A$1200,$A34,$B$2:$B$1200,"&lt;="&amp;$B34)</f>
        <v>309</v>
      </c>
      <c r="L34" s="18" t="n">
        <f aca="false">J34-K34</f>
        <v>62</v>
      </c>
      <c r="M34" s="18" t="n">
        <f aca="false">SUMIF($A$2:$A$1200,$A34,$H$2:$H$1200)</f>
        <v>374</v>
      </c>
      <c r="N34" s="20" t="n">
        <f aca="false">IF(M34=0,"",L34/M34)</f>
        <v>0.165775401069519</v>
      </c>
      <c r="O34" s="20" t="n">
        <v>0.165775401069519</v>
      </c>
      <c r="P34" s="20" t="n">
        <f aca="false">IF(OR(N34="",O34=""),"",N34-O34)</f>
        <v>0</v>
      </c>
      <c r="Q34" s="18"/>
    </row>
    <row r="35" customFormat="false" ht="15" hidden="false" customHeight="true" outlineLevel="0" collapsed="false">
      <c r="A35" s="18" t="s">
        <v>211</v>
      </c>
      <c r="B35" s="18" t="n">
        <v>17</v>
      </c>
      <c r="C35" s="18" t="s">
        <v>326</v>
      </c>
      <c r="D35" s="18" t="n">
        <v>30</v>
      </c>
      <c r="E35" s="18" t="s">
        <v>195</v>
      </c>
      <c r="F35" s="18" t="s">
        <v>198</v>
      </c>
      <c r="G35" s="19" t="n">
        <v>38100</v>
      </c>
      <c r="H35" s="18" t="n">
        <v>1</v>
      </c>
      <c r="I35" s="18" t="n">
        <v>22</v>
      </c>
      <c r="J35" s="18" t="n">
        <f aca="false">SUMIFS($H$2:$H$1200,$A$2:$A$1200,$A35,$B$2:$B$1200,"&lt;="&amp;$B35)</f>
        <v>372</v>
      </c>
      <c r="K35" s="18" t="n">
        <f aca="false">SUMIFS($I$2:$I$1200,$A$2:$A$1200,$A35,$B$2:$B$1200,"&lt;="&amp;$B35)</f>
        <v>331</v>
      </c>
      <c r="L35" s="18" t="n">
        <f aca="false">J35-K35</f>
        <v>41</v>
      </c>
      <c r="M35" s="18" t="n">
        <f aca="false">SUMIF($A$2:$A$1200,$A35,$H$2:$H$1200)</f>
        <v>374</v>
      </c>
      <c r="N35" s="20" t="n">
        <f aca="false">IF(M35=0,"",L35/M35)</f>
        <v>0.109625668449198</v>
      </c>
      <c r="O35" s="20" t="n">
        <v>0.109625668449198</v>
      </c>
      <c r="P35" s="20" t="n">
        <f aca="false">IF(OR(N35="",O35=""),"",N35-O35)</f>
        <v>0</v>
      </c>
      <c r="Q35" s="18"/>
    </row>
    <row r="36" customFormat="false" ht="15" hidden="false" customHeight="true" outlineLevel="0" collapsed="false">
      <c r="A36" s="18" t="s">
        <v>211</v>
      </c>
      <c r="B36" s="18" t="n">
        <v>18</v>
      </c>
      <c r="C36" s="18" t="s">
        <v>226</v>
      </c>
      <c r="D36" s="18" t="n">
        <v>45</v>
      </c>
      <c r="E36" s="18" t="s">
        <v>195</v>
      </c>
      <c r="F36" s="18" t="s">
        <v>198</v>
      </c>
      <c r="G36" s="19" t="n">
        <v>38100</v>
      </c>
      <c r="H36" s="18" t="n">
        <v>0</v>
      </c>
      <c r="I36" s="18" t="n">
        <v>21</v>
      </c>
      <c r="J36" s="18" t="n">
        <f aca="false">SUMIFS($H$2:$H$1200,$A$2:$A$1200,$A36,$B$2:$B$1200,"&lt;="&amp;$B36)</f>
        <v>372</v>
      </c>
      <c r="K36" s="18" t="n">
        <f aca="false">SUMIFS($I$2:$I$1200,$A$2:$A$1200,$A36,$B$2:$B$1200,"&lt;="&amp;$B36)</f>
        <v>352</v>
      </c>
      <c r="L36" s="18" t="n">
        <f aca="false">J36-K36</f>
        <v>20</v>
      </c>
      <c r="M36" s="18" t="n">
        <f aca="false">SUMIF($A$2:$A$1200,$A36,$H$2:$H$1200)</f>
        <v>374</v>
      </c>
      <c r="N36" s="20" t="n">
        <f aca="false">IF(M36=0,"",L36/M36)</f>
        <v>0.053475935828877</v>
      </c>
      <c r="O36" s="20" t="n">
        <v>0.053475935828877</v>
      </c>
      <c r="P36" s="20" t="n">
        <f aca="false">IF(OR(N36="",O36=""),"",N36-O36)</f>
        <v>0</v>
      </c>
      <c r="Q36" s="18"/>
    </row>
    <row r="37" customFormat="false" ht="15" hidden="false" customHeight="true" outlineLevel="0" collapsed="false">
      <c r="A37" s="18" t="s">
        <v>211</v>
      </c>
      <c r="B37" s="18" t="n">
        <v>19</v>
      </c>
      <c r="C37" s="18" t="s">
        <v>205</v>
      </c>
      <c r="D37" s="18" t="n">
        <v>60</v>
      </c>
      <c r="E37" s="18" t="s">
        <v>195</v>
      </c>
      <c r="F37" s="18" t="s">
        <v>198</v>
      </c>
      <c r="G37" s="19" t="n">
        <v>38100</v>
      </c>
      <c r="H37" s="18" t="n">
        <v>2</v>
      </c>
      <c r="I37" s="18" t="n">
        <v>16</v>
      </c>
      <c r="J37" s="18" t="n">
        <f aca="false">SUMIFS($H$2:$H$1200,$A$2:$A$1200,$A37,$B$2:$B$1200,"&lt;="&amp;$B37)</f>
        <v>374</v>
      </c>
      <c r="K37" s="18" t="n">
        <f aca="false">SUMIFS($I$2:$I$1200,$A$2:$A$1200,$A37,$B$2:$B$1200,"&lt;="&amp;$B37)</f>
        <v>368</v>
      </c>
      <c r="L37" s="18" t="n">
        <f aca="false">J37-K37</f>
        <v>6</v>
      </c>
      <c r="M37" s="18" t="n">
        <f aca="false">SUMIF($A$2:$A$1200,$A37,$H$2:$H$1200)</f>
        <v>374</v>
      </c>
      <c r="N37" s="20" t="n">
        <f aca="false">IF(M37=0,"",L37/M37)</f>
        <v>0.0160427807486631</v>
      </c>
      <c r="O37" s="20" t="n">
        <v>0.0160427807486631</v>
      </c>
      <c r="P37" s="20" t="n">
        <f aca="false">IF(OR(N37="",O37=""),"",N37-O37)</f>
        <v>0</v>
      </c>
      <c r="Q37" s="18"/>
    </row>
    <row r="38" customFormat="false" ht="15" hidden="false" customHeight="true" outlineLevel="0" collapsed="false">
      <c r="A38" s="18" t="s">
        <v>218</v>
      </c>
      <c r="B38" s="18" t="n">
        <v>0</v>
      </c>
      <c r="C38" s="18" t="s">
        <v>204</v>
      </c>
      <c r="D38" s="18"/>
      <c r="E38" s="18" t="s">
        <v>195</v>
      </c>
      <c r="F38" s="18" t="s">
        <v>220</v>
      </c>
      <c r="G38" s="19" t="n">
        <v>39765</v>
      </c>
      <c r="H38" s="18" t="n">
        <v>16</v>
      </c>
      <c r="I38" s="18" t="n">
        <v>0</v>
      </c>
      <c r="J38" s="18" t="n">
        <f aca="false">SUMIFS($H$2:$H$1200,$A$2:$A$1200,$A38,$B$2:$B$1200,"&lt;="&amp;$B38)</f>
        <v>16</v>
      </c>
      <c r="K38" s="18" t="n">
        <f aca="false">SUMIFS($I$2:$I$1200,$A$2:$A$1200,$A38,$B$2:$B$1200,"&lt;="&amp;$B38)</f>
        <v>0</v>
      </c>
      <c r="L38" s="18" t="n">
        <f aca="false">J38-K38</f>
        <v>16</v>
      </c>
      <c r="M38" s="18" t="n">
        <f aca="false">SUMIF($A$2:$A$1200,$A38,$H$2:$H$1200)</f>
        <v>231</v>
      </c>
      <c r="N38" s="20" t="n">
        <f aca="false">IF(M38=0,"",L38/M38)</f>
        <v>0.0692640692640693</v>
      </c>
      <c r="O38" s="20"/>
      <c r="P38" s="20" t="str">
        <f aca="false">IF(OR(N38="",O38=""),"",N38-O38)</f>
        <v/>
      </c>
      <c r="Q38" s="21" t="s">
        <v>530</v>
      </c>
    </row>
    <row r="39" customFormat="false" ht="15" hidden="false" customHeight="true" outlineLevel="0" collapsed="false">
      <c r="A39" s="18" t="s">
        <v>218</v>
      </c>
      <c r="B39" s="18" t="n">
        <v>3</v>
      </c>
      <c r="C39" s="18" t="s">
        <v>525</v>
      </c>
      <c r="D39" s="18" t="n">
        <v>-180</v>
      </c>
      <c r="E39" s="18" t="s">
        <v>195</v>
      </c>
      <c r="F39" s="18" t="s">
        <v>220</v>
      </c>
      <c r="G39" s="19" t="n">
        <v>39765</v>
      </c>
      <c r="H39" s="18" t="n">
        <v>7</v>
      </c>
      <c r="I39" s="18" t="n">
        <v>3</v>
      </c>
      <c r="J39" s="18" t="n">
        <f aca="false">SUMIFS($H$2:$H$1200,$A$2:$A$1200,$A39,$B$2:$B$1200,"&lt;="&amp;$B39)</f>
        <v>23</v>
      </c>
      <c r="K39" s="18" t="n">
        <f aca="false">SUMIFS($I$2:$I$1200,$A$2:$A$1200,$A39,$B$2:$B$1200,"&lt;="&amp;$B39)</f>
        <v>3</v>
      </c>
      <c r="L39" s="18" t="n">
        <f aca="false">J39-K39</f>
        <v>20</v>
      </c>
      <c r="M39" s="18" t="n">
        <f aca="false">SUMIF($A$2:$A$1200,$A39,$H$2:$H$1200)</f>
        <v>231</v>
      </c>
      <c r="N39" s="20" t="n">
        <f aca="false">IF(M39=0,"",L39/M39)</f>
        <v>0.0865800865800866</v>
      </c>
      <c r="O39" s="20"/>
      <c r="P39" s="20" t="str">
        <f aca="false">IF(OR(N39="",O39=""),"",N39-O39)</f>
        <v/>
      </c>
      <c r="Q39" s="18"/>
    </row>
    <row r="40" customFormat="false" ht="15" hidden="false" customHeight="true" outlineLevel="0" collapsed="false">
      <c r="A40" s="18" t="s">
        <v>218</v>
      </c>
      <c r="B40" s="18" t="n">
        <v>4</v>
      </c>
      <c r="C40" s="18" t="s">
        <v>526</v>
      </c>
      <c r="D40" s="18" t="n">
        <v>-165</v>
      </c>
      <c r="E40" s="18" t="s">
        <v>195</v>
      </c>
      <c r="F40" s="18" t="s">
        <v>220</v>
      </c>
      <c r="G40" s="19" t="n">
        <v>39765</v>
      </c>
      <c r="H40" s="18" t="n">
        <v>16</v>
      </c>
      <c r="I40" s="18" t="n">
        <v>2</v>
      </c>
      <c r="J40" s="18" t="n">
        <f aca="false">SUMIFS($H$2:$H$1200,$A$2:$A$1200,$A40,$B$2:$B$1200,"&lt;="&amp;$B40)</f>
        <v>39</v>
      </c>
      <c r="K40" s="18" t="n">
        <f aca="false">SUMIFS($I$2:$I$1200,$A$2:$A$1200,$A40,$B$2:$B$1200,"&lt;="&amp;$B40)</f>
        <v>5</v>
      </c>
      <c r="L40" s="18" t="n">
        <f aca="false">J40-K40</f>
        <v>34</v>
      </c>
      <c r="M40" s="18" t="n">
        <f aca="false">SUMIF($A$2:$A$1200,$A40,$H$2:$H$1200)</f>
        <v>231</v>
      </c>
      <c r="N40" s="20" t="n">
        <f aca="false">IF(M40=0,"",L40/M40)</f>
        <v>0.147186147186147</v>
      </c>
      <c r="O40" s="20"/>
      <c r="P40" s="20" t="str">
        <f aca="false">IF(OR(N40="",O40=""),"",N40-O40)</f>
        <v/>
      </c>
      <c r="Q40" s="18"/>
    </row>
    <row r="41" customFormat="false" ht="15" hidden="false" customHeight="true" outlineLevel="0" collapsed="false">
      <c r="A41" s="18" t="s">
        <v>218</v>
      </c>
      <c r="B41" s="18" t="n">
        <v>5</v>
      </c>
      <c r="C41" s="18" t="s">
        <v>527</v>
      </c>
      <c r="D41" s="18" t="n">
        <v>-150</v>
      </c>
      <c r="E41" s="18" t="s">
        <v>195</v>
      </c>
      <c r="F41" s="18" t="s">
        <v>220</v>
      </c>
      <c r="G41" s="19" t="n">
        <v>39765</v>
      </c>
      <c r="H41" s="18" t="n">
        <v>25</v>
      </c>
      <c r="I41" s="18" t="n">
        <v>0</v>
      </c>
      <c r="J41" s="18" t="n">
        <f aca="false">SUMIFS($H$2:$H$1200,$A$2:$A$1200,$A41,$B$2:$B$1200,"&lt;="&amp;$B41)</f>
        <v>64</v>
      </c>
      <c r="K41" s="18" t="n">
        <f aca="false">SUMIFS($I$2:$I$1200,$A$2:$A$1200,$A41,$B$2:$B$1200,"&lt;="&amp;$B41)</f>
        <v>5</v>
      </c>
      <c r="L41" s="18" t="n">
        <f aca="false">J41-K41</f>
        <v>59</v>
      </c>
      <c r="M41" s="18" t="n">
        <f aca="false">SUMIF($A$2:$A$1200,$A41,$H$2:$H$1200)</f>
        <v>231</v>
      </c>
      <c r="N41" s="20" t="n">
        <f aca="false">IF(M41=0,"",L41/M41)</f>
        <v>0.255411255411255</v>
      </c>
      <c r="O41" s="20"/>
      <c r="P41" s="20" t="str">
        <f aca="false">IF(OR(N41="",O41=""),"",N41-O41)</f>
        <v/>
      </c>
      <c r="Q41" s="18"/>
    </row>
    <row r="42" customFormat="false" ht="15" hidden="false" customHeight="true" outlineLevel="0" collapsed="false">
      <c r="A42" s="18" t="s">
        <v>218</v>
      </c>
      <c r="B42" s="18" t="n">
        <v>6</v>
      </c>
      <c r="C42" s="18" t="s">
        <v>528</v>
      </c>
      <c r="D42" s="18" t="n">
        <v>-135</v>
      </c>
      <c r="E42" s="18" t="s">
        <v>195</v>
      </c>
      <c r="F42" s="18" t="s">
        <v>220</v>
      </c>
      <c r="G42" s="19" t="n">
        <v>39765</v>
      </c>
      <c r="H42" s="18" t="n">
        <v>23</v>
      </c>
      <c r="I42" s="18" t="n">
        <v>7</v>
      </c>
      <c r="J42" s="18" t="n">
        <f aca="false">SUMIFS($H$2:$H$1200,$A$2:$A$1200,$A42,$B$2:$B$1200,"&lt;="&amp;$B42)</f>
        <v>87</v>
      </c>
      <c r="K42" s="18" t="n">
        <f aca="false">SUMIFS($I$2:$I$1200,$A$2:$A$1200,$A42,$B$2:$B$1200,"&lt;="&amp;$B42)</f>
        <v>12</v>
      </c>
      <c r="L42" s="18" t="n">
        <f aca="false">J42-K42</f>
        <v>75</v>
      </c>
      <c r="M42" s="18" t="n">
        <f aca="false">SUMIF($A$2:$A$1200,$A42,$H$2:$H$1200)</f>
        <v>231</v>
      </c>
      <c r="N42" s="20" t="n">
        <f aca="false">IF(M42=0,"",L42/M42)</f>
        <v>0.324675324675325</v>
      </c>
      <c r="O42" s="20"/>
      <c r="P42" s="20" t="str">
        <f aca="false">IF(OR(N42="",O42=""),"",N42-O42)</f>
        <v/>
      </c>
      <c r="Q42" s="18"/>
    </row>
    <row r="43" customFormat="false" ht="15" hidden="false" customHeight="true" outlineLevel="0" collapsed="false">
      <c r="A43" s="18" t="s">
        <v>218</v>
      </c>
      <c r="B43" s="18" t="n">
        <v>7</v>
      </c>
      <c r="C43" s="18" t="s">
        <v>227</v>
      </c>
      <c r="D43" s="18" t="n">
        <v>-120</v>
      </c>
      <c r="E43" s="18" t="s">
        <v>195</v>
      </c>
      <c r="F43" s="18" t="s">
        <v>220</v>
      </c>
      <c r="G43" s="19" t="n">
        <v>39765</v>
      </c>
      <c r="H43" s="18" t="n">
        <v>15</v>
      </c>
      <c r="I43" s="18" t="n">
        <v>9</v>
      </c>
      <c r="J43" s="18" t="n">
        <f aca="false">SUMIFS($H$2:$H$1200,$A$2:$A$1200,$A43,$B$2:$B$1200,"&lt;="&amp;$B43)</f>
        <v>102</v>
      </c>
      <c r="K43" s="18" t="n">
        <f aca="false">SUMIFS($I$2:$I$1200,$A$2:$A$1200,$A43,$B$2:$B$1200,"&lt;="&amp;$B43)</f>
        <v>21</v>
      </c>
      <c r="L43" s="18" t="n">
        <f aca="false">J43-K43</f>
        <v>81</v>
      </c>
      <c r="M43" s="18" t="n">
        <f aca="false">SUMIF($A$2:$A$1200,$A43,$H$2:$H$1200)</f>
        <v>231</v>
      </c>
      <c r="N43" s="20" t="n">
        <f aca="false">IF(M43=0,"",L43/M43)</f>
        <v>0.350649350649351</v>
      </c>
      <c r="O43" s="20"/>
      <c r="P43" s="20" t="str">
        <f aca="false">IF(OR(N43="",O43=""),"",N43-O43)</f>
        <v/>
      </c>
      <c r="Q43" s="18"/>
    </row>
    <row r="44" customFormat="false" ht="15" hidden="false" customHeight="true" outlineLevel="0" collapsed="false">
      <c r="A44" s="18" t="s">
        <v>218</v>
      </c>
      <c r="B44" s="18" t="n">
        <v>8</v>
      </c>
      <c r="C44" s="18" t="s">
        <v>241</v>
      </c>
      <c r="D44" s="18" t="n">
        <v>-105</v>
      </c>
      <c r="E44" s="18" t="s">
        <v>195</v>
      </c>
      <c r="F44" s="18" t="s">
        <v>220</v>
      </c>
      <c r="G44" s="19" t="n">
        <v>39765</v>
      </c>
      <c r="H44" s="18" t="n">
        <v>22</v>
      </c>
      <c r="I44" s="18" t="n">
        <v>25</v>
      </c>
      <c r="J44" s="18" t="n">
        <f aca="false">SUMIFS($H$2:$H$1200,$A$2:$A$1200,$A44,$B$2:$B$1200,"&lt;="&amp;$B44)</f>
        <v>124</v>
      </c>
      <c r="K44" s="18" t="n">
        <f aca="false">SUMIFS($I$2:$I$1200,$A$2:$A$1200,$A44,$B$2:$B$1200,"&lt;="&amp;$B44)</f>
        <v>46</v>
      </c>
      <c r="L44" s="18" t="n">
        <f aca="false">J44-K44</f>
        <v>78</v>
      </c>
      <c r="M44" s="18" t="n">
        <f aca="false">SUMIF($A$2:$A$1200,$A44,$H$2:$H$1200)</f>
        <v>231</v>
      </c>
      <c r="N44" s="20" t="n">
        <f aca="false">IF(M44=0,"",L44/M44)</f>
        <v>0.337662337662338</v>
      </c>
      <c r="O44" s="20"/>
      <c r="P44" s="20" t="str">
        <f aca="false">IF(OR(N44="",O44=""),"",N44-O44)</f>
        <v/>
      </c>
      <c r="Q44" s="18"/>
    </row>
    <row r="45" customFormat="false" ht="15" hidden="false" customHeight="true" outlineLevel="0" collapsed="false">
      <c r="A45" s="18" t="s">
        <v>218</v>
      </c>
      <c r="B45" s="18" t="n">
        <v>9</v>
      </c>
      <c r="C45" s="18" t="s">
        <v>279</v>
      </c>
      <c r="D45" s="18" t="n">
        <v>-90</v>
      </c>
      <c r="E45" s="18" t="s">
        <v>195</v>
      </c>
      <c r="F45" s="18" t="s">
        <v>220</v>
      </c>
      <c r="G45" s="19" t="n">
        <v>39765</v>
      </c>
      <c r="H45" s="18" t="n">
        <v>28</v>
      </c>
      <c r="I45" s="18" t="n">
        <v>25</v>
      </c>
      <c r="J45" s="18" t="n">
        <f aca="false">SUMIFS($H$2:$H$1200,$A$2:$A$1200,$A45,$B$2:$B$1200,"&lt;="&amp;$B45)</f>
        <v>152</v>
      </c>
      <c r="K45" s="18" t="n">
        <f aca="false">SUMIFS($I$2:$I$1200,$A$2:$A$1200,$A45,$B$2:$B$1200,"&lt;="&amp;$B45)</f>
        <v>71</v>
      </c>
      <c r="L45" s="18" t="n">
        <f aca="false">J45-K45</f>
        <v>81</v>
      </c>
      <c r="M45" s="18" t="n">
        <f aca="false">SUMIF($A$2:$A$1200,$A45,$H$2:$H$1200)</f>
        <v>231</v>
      </c>
      <c r="N45" s="20" t="n">
        <f aca="false">IF(M45=0,"",L45/M45)</f>
        <v>0.350649350649351</v>
      </c>
      <c r="O45" s="20"/>
      <c r="P45" s="20" t="str">
        <f aca="false">IF(OR(N45="",O45=""),"",N45-O45)</f>
        <v/>
      </c>
      <c r="Q45" s="18"/>
    </row>
    <row r="46" customFormat="false" ht="15" hidden="false" customHeight="true" outlineLevel="0" collapsed="false">
      <c r="A46" s="18" t="s">
        <v>218</v>
      </c>
      <c r="B46" s="18" t="n">
        <v>10</v>
      </c>
      <c r="C46" s="18" t="s">
        <v>206</v>
      </c>
      <c r="D46" s="18" t="n">
        <v>-75</v>
      </c>
      <c r="E46" s="18" t="s">
        <v>195</v>
      </c>
      <c r="F46" s="18" t="s">
        <v>220</v>
      </c>
      <c r="G46" s="19" t="n">
        <v>39765</v>
      </c>
      <c r="H46" s="18" t="n">
        <v>26</v>
      </c>
      <c r="I46" s="18" t="n">
        <v>26</v>
      </c>
      <c r="J46" s="18" t="n">
        <f aca="false">SUMIFS($H$2:$H$1200,$A$2:$A$1200,$A46,$B$2:$B$1200,"&lt;="&amp;$B46)</f>
        <v>178</v>
      </c>
      <c r="K46" s="18" t="n">
        <f aca="false">SUMIFS($I$2:$I$1200,$A$2:$A$1200,$A46,$B$2:$B$1200,"&lt;="&amp;$B46)</f>
        <v>97</v>
      </c>
      <c r="L46" s="18" t="n">
        <f aca="false">J46-K46</f>
        <v>81</v>
      </c>
      <c r="M46" s="18" t="n">
        <f aca="false">SUMIF($A$2:$A$1200,$A46,$H$2:$H$1200)</f>
        <v>231</v>
      </c>
      <c r="N46" s="20" t="n">
        <f aca="false">IF(M46=0,"",L46/M46)</f>
        <v>0.350649350649351</v>
      </c>
      <c r="O46" s="20"/>
      <c r="P46" s="20" t="str">
        <f aca="false">IF(OR(N46="",O46=""),"",N46-O46)</f>
        <v/>
      </c>
      <c r="Q46" s="18"/>
    </row>
    <row r="47" customFormat="false" ht="15" hidden="false" customHeight="true" outlineLevel="0" collapsed="false">
      <c r="A47" s="18" t="s">
        <v>218</v>
      </c>
      <c r="B47" s="18" t="n">
        <v>11</v>
      </c>
      <c r="C47" s="18" t="s">
        <v>246</v>
      </c>
      <c r="D47" s="18" t="n">
        <v>-60</v>
      </c>
      <c r="E47" s="18" t="s">
        <v>195</v>
      </c>
      <c r="F47" s="18" t="s">
        <v>220</v>
      </c>
      <c r="G47" s="19" t="n">
        <v>39765</v>
      </c>
      <c r="H47" s="18" t="n">
        <v>10</v>
      </c>
      <c r="I47" s="18" t="n">
        <v>23</v>
      </c>
      <c r="J47" s="18" t="n">
        <f aca="false">SUMIFS($H$2:$H$1200,$A$2:$A$1200,$A47,$B$2:$B$1200,"&lt;="&amp;$B47)</f>
        <v>188</v>
      </c>
      <c r="K47" s="18" t="n">
        <f aca="false">SUMIFS($I$2:$I$1200,$A$2:$A$1200,$A47,$B$2:$B$1200,"&lt;="&amp;$B47)</f>
        <v>120</v>
      </c>
      <c r="L47" s="18" t="n">
        <f aca="false">J47-K47</f>
        <v>68</v>
      </c>
      <c r="M47" s="18" t="n">
        <f aca="false">SUMIF($A$2:$A$1200,$A47,$H$2:$H$1200)</f>
        <v>231</v>
      </c>
      <c r="N47" s="20" t="n">
        <f aca="false">IF(M47=0,"",L47/M47)</f>
        <v>0.294372294372294</v>
      </c>
      <c r="O47" s="20"/>
      <c r="P47" s="20" t="str">
        <f aca="false">IF(OR(N47="",O47=""),"",N47-O47)</f>
        <v/>
      </c>
      <c r="Q47" s="18"/>
    </row>
    <row r="48" customFormat="false" ht="15" hidden="false" customHeight="true" outlineLevel="0" collapsed="false">
      <c r="A48" s="18" t="s">
        <v>218</v>
      </c>
      <c r="B48" s="18" t="n">
        <v>12</v>
      </c>
      <c r="C48" s="18" t="s">
        <v>254</v>
      </c>
      <c r="D48" s="18" t="n">
        <v>-45</v>
      </c>
      <c r="E48" s="18" t="s">
        <v>195</v>
      </c>
      <c r="F48" s="18" t="s">
        <v>220</v>
      </c>
      <c r="G48" s="19" t="n">
        <v>39765</v>
      </c>
      <c r="H48" s="18" t="n">
        <v>13</v>
      </c>
      <c r="I48" s="18" t="n">
        <v>19</v>
      </c>
      <c r="J48" s="18" t="n">
        <f aca="false">SUMIFS($H$2:$H$1200,$A$2:$A$1200,$A48,$B$2:$B$1200,"&lt;="&amp;$B48)</f>
        <v>201</v>
      </c>
      <c r="K48" s="18" t="n">
        <f aca="false">SUMIFS($I$2:$I$1200,$A$2:$A$1200,$A48,$B$2:$B$1200,"&lt;="&amp;$B48)</f>
        <v>139</v>
      </c>
      <c r="L48" s="18" t="n">
        <f aca="false">J48-K48</f>
        <v>62</v>
      </c>
      <c r="M48" s="18" t="n">
        <f aca="false">SUMIF($A$2:$A$1200,$A48,$H$2:$H$1200)</f>
        <v>231</v>
      </c>
      <c r="N48" s="20" t="n">
        <f aca="false">IF(M48=0,"",L48/M48)</f>
        <v>0.268398268398268</v>
      </c>
      <c r="O48" s="20"/>
      <c r="P48" s="20" t="str">
        <f aca="false">IF(OR(N48="",O48=""),"",N48-O48)</f>
        <v/>
      </c>
      <c r="Q48" s="18"/>
    </row>
    <row r="49" customFormat="false" ht="15" hidden="false" customHeight="true" outlineLevel="0" collapsed="false">
      <c r="A49" s="18" t="s">
        <v>218</v>
      </c>
      <c r="B49" s="18" t="n">
        <v>13</v>
      </c>
      <c r="C49" s="18" t="s">
        <v>403</v>
      </c>
      <c r="D49" s="18" t="n">
        <v>-30</v>
      </c>
      <c r="E49" s="18" t="s">
        <v>195</v>
      </c>
      <c r="F49" s="18" t="s">
        <v>220</v>
      </c>
      <c r="G49" s="19" t="n">
        <v>39765</v>
      </c>
      <c r="H49" s="18" t="n">
        <v>7</v>
      </c>
      <c r="I49" s="18" t="n">
        <v>16</v>
      </c>
      <c r="J49" s="18" t="n">
        <f aca="false">SUMIFS($H$2:$H$1200,$A$2:$A$1200,$A49,$B$2:$B$1200,"&lt;="&amp;$B49)</f>
        <v>208</v>
      </c>
      <c r="K49" s="18" t="n">
        <f aca="false">SUMIFS($I$2:$I$1200,$A$2:$A$1200,$A49,$B$2:$B$1200,"&lt;="&amp;$B49)</f>
        <v>155</v>
      </c>
      <c r="L49" s="18" t="n">
        <f aca="false">J49-K49</f>
        <v>53</v>
      </c>
      <c r="M49" s="18" t="n">
        <f aca="false">SUMIF($A$2:$A$1200,$A49,$H$2:$H$1200)</f>
        <v>231</v>
      </c>
      <c r="N49" s="20" t="n">
        <f aca="false">IF(M49=0,"",L49/M49)</f>
        <v>0.229437229437229</v>
      </c>
      <c r="O49" s="20"/>
      <c r="P49" s="20" t="str">
        <f aca="false">IF(OR(N49="",O49=""),"",N49-O49)</f>
        <v/>
      </c>
      <c r="Q49" s="18"/>
    </row>
    <row r="50" customFormat="false" ht="15" hidden="false" customHeight="true" outlineLevel="0" collapsed="false">
      <c r="A50" s="18" t="s">
        <v>218</v>
      </c>
      <c r="B50" s="18" t="n">
        <v>14</v>
      </c>
      <c r="C50" s="18" t="s">
        <v>529</v>
      </c>
      <c r="D50" s="18" t="n">
        <v>-15</v>
      </c>
      <c r="E50" s="18" t="s">
        <v>195</v>
      </c>
      <c r="F50" s="18" t="s">
        <v>220</v>
      </c>
      <c r="G50" s="19" t="n">
        <v>39765</v>
      </c>
      <c r="H50" s="18" t="n">
        <v>14</v>
      </c>
      <c r="I50" s="18" t="n">
        <v>24</v>
      </c>
      <c r="J50" s="18" t="n">
        <f aca="false">SUMIFS($H$2:$H$1200,$A$2:$A$1200,$A50,$B$2:$B$1200,"&lt;="&amp;$B50)</f>
        <v>222</v>
      </c>
      <c r="K50" s="18" t="n">
        <f aca="false">SUMIFS($I$2:$I$1200,$A$2:$A$1200,$A50,$B$2:$B$1200,"&lt;="&amp;$B50)</f>
        <v>179</v>
      </c>
      <c r="L50" s="18" t="n">
        <f aca="false">J50-K50</f>
        <v>43</v>
      </c>
      <c r="M50" s="18" t="n">
        <f aca="false">SUMIF($A$2:$A$1200,$A50,$H$2:$H$1200)</f>
        <v>231</v>
      </c>
      <c r="N50" s="20" t="n">
        <f aca="false">IF(M50=0,"",L50/M50)</f>
        <v>0.186147186147186</v>
      </c>
      <c r="O50" s="20"/>
      <c r="P50" s="20" t="str">
        <f aca="false">IF(OR(N50="",O50=""),"",N50-O50)</f>
        <v/>
      </c>
      <c r="Q50" s="18"/>
    </row>
    <row r="51" customFormat="false" ht="15" hidden="false" customHeight="true" outlineLevel="0" collapsed="false">
      <c r="A51" s="18" t="s">
        <v>218</v>
      </c>
      <c r="B51" s="18" t="n">
        <v>15</v>
      </c>
      <c r="C51" s="18" t="s">
        <v>463</v>
      </c>
      <c r="D51" s="18" t="n">
        <v>0</v>
      </c>
      <c r="E51" s="18" t="s">
        <v>195</v>
      </c>
      <c r="F51" s="18" t="s">
        <v>220</v>
      </c>
      <c r="G51" s="19" t="n">
        <v>39765</v>
      </c>
      <c r="H51" s="18" t="n">
        <v>2</v>
      </c>
      <c r="I51" s="18" t="n">
        <v>15</v>
      </c>
      <c r="J51" s="18" t="n">
        <f aca="false">SUMIFS($H$2:$H$1200,$A$2:$A$1200,$A51,$B$2:$B$1200,"&lt;="&amp;$B51)</f>
        <v>224</v>
      </c>
      <c r="K51" s="18" t="n">
        <f aca="false">SUMIFS($I$2:$I$1200,$A$2:$A$1200,$A51,$B$2:$B$1200,"&lt;="&amp;$B51)</f>
        <v>194</v>
      </c>
      <c r="L51" s="18" t="n">
        <f aca="false">J51-K51</f>
        <v>30</v>
      </c>
      <c r="M51" s="18" t="n">
        <f aca="false">SUMIF($A$2:$A$1200,$A51,$H$2:$H$1200)</f>
        <v>231</v>
      </c>
      <c r="N51" s="20" t="n">
        <f aca="false">IF(M51=0,"",L51/M51)</f>
        <v>0.12987012987013</v>
      </c>
      <c r="O51" s="20"/>
      <c r="P51" s="20" t="str">
        <f aca="false">IF(OR(N51="",O51=""),"",N51-O51)</f>
        <v/>
      </c>
      <c r="Q51" s="18"/>
    </row>
    <row r="52" customFormat="false" ht="15" hidden="false" customHeight="true" outlineLevel="0" collapsed="false">
      <c r="A52" s="18" t="s">
        <v>218</v>
      </c>
      <c r="B52" s="18" t="n">
        <v>16</v>
      </c>
      <c r="C52" s="18" t="s">
        <v>366</v>
      </c>
      <c r="D52" s="18" t="n">
        <v>15</v>
      </c>
      <c r="E52" s="18" t="s">
        <v>195</v>
      </c>
      <c r="F52" s="18" t="s">
        <v>220</v>
      </c>
      <c r="G52" s="19" t="n">
        <v>39765</v>
      </c>
      <c r="H52" s="18" t="n">
        <v>4</v>
      </c>
      <c r="I52" s="18" t="n">
        <v>17</v>
      </c>
      <c r="J52" s="18" t="n">
        <f aca="false">SUMIFS($H$2:$H$1200,$A$2:$A$1200,$A52,$B$2:$B$1200,"&lt;="&amp;$B52)</f>
        <v>228</v>
      </c>
      <c r="K52" s="18" t="n">
        <f aca="false">SUMIFS($I$2:$I$1200,$A$2:$A$1200,$A52,$B$2:$B$1200,"&lt;="&amp;$B52)</f>
        <v>211</v>
      </c>
      <c r="L52" s="18" t="n">
        <f aca="false">J52-K52</f>
        <v>17</v>
      </c>
      <c r="M52" s="18" t="n">
        <f aca="false">SUMIF($A$2:$A$1200,$A52,$H$2:$H$1200)</f>
        <v>231</v>
      </c>
      <c r="N52" s="20" t="n">
        <f aca="false">IF(M52=0,"",L52/M52)</f>
        <v>0.0735930735930736</v>
      </c>
      <c r="O52" s="20"/>
      <c r="P52" s="20" t="str">
        <f aca="false">IF(OR(N52="",O52=""),"",N52-O52)</f>
        <v/>
      </c>
      <c r="Q52" s="18"/>
    </row>
    <row r="53" customFormat="false" ht="15" hidden="false" customHeight="true" outlineLevel="0" collapsed="false">
      <c r="A53" s="18" t="s">
        <v>218</v>
      </c>
      <c r="B53" s="18" t="n">
        <v>17</v>
      </c>
      <c r="C53" s="18" t="s">
        <v>326</v>
      </c>
      <c r="D53" s="18" t="n">
        <v>30</v>
      </c>
      <c r="E53" s="18" t="s">
        <v>195</v>
      </c>
      <c r="F53" s="18" t="s">
        <v>220</v>
      </c>
      <c r="G53" s="19" t="n">
        <v>39765</v>
      </c>
      <c r="H53" s="18" t="n">
        <v>2</v>
      </c>
      <c r="I53" s="18" t="n">
        <v>4</v>
      </c>
      <c r="J53" s="18" t="n">
        <f aca="false">SUMIFS($H$2:$H$1200,$A$2:$A$1200,$A53,$B$2:$B$1200,"&lt;="&amp;$B53)</f>
        <v>230</v>
      </c>
      <c r="K53" s="18" t="n">
        <f aca="false">SUMIFS($I$2:$I$1200,$A$2:$A$1200,$A53,$B$2:$B$1200,"&lt;="&amp;$B53)</f>
        <v>215</v>
      </c>
      <c r="L53" s="18" t="n">
        <f aca="false">J53-K53</f>
        <v>15</v>
      </c>
      <c r="M53" s="18" t="n">
        <f aca="false">SUMIF($A$2:$A$1200,$A53,$H$2:$H$1200)</f>
        <v>231</v>
      </c>
      <c r="N53" s="20" t="n">
        <f aca="false">IF(M53=0,"",L53/M53)</f>
        <v>0.0649350649350649</v>
      </c>
      <c r="O53" s="20"/>
      <c r="P53" s="20" t="str">
        <f aca="false">IF(OR(N53="",O53=""),"",N53-O53)</f>
        <v/>
      </c>
      <c r="Q53" s="18"/>
    </row>
    <row r="54" customFormat="false" ht="15" hidden="false" customHeight="true" outlineLevel="0" collapsed="false">
      <c r="A54" s="18" t="s">
        <v>218</v>
      </c>
      <c r="B54" s="18" t="n">
        <v>18</v>
      </c>
      <c r="C54" s="18" t="s">
        <v>226</v>
      </c>
      <c r="D54" s="18" t="n">
        <v>45</v>
      </c>
      <c r="E54" s="18" t="s">
        <v>195</v>
      </c>
      <c r="F54" s="18" t="s">
        <v>220</v>
      </c>
      <c r="G54" s="19" t="n">
        <v>39765</v>
      </c>
      <c r="H54" s="18" t="n">
        <v>1</v>
      </c>
      <c r="I54" s="18" t="n">
        <v>8</v>
      </c>
      <c r="J54" s="18" t="n">
        <f aca="false">SUMIFS($H$2:$H$1200,$A$2:$A$1200,$A54,$B$2:$B$1200,"&lt;="&amp;$B54)</f>
        <v>231</v>
      </c>
      <c r="K54" s="18" t="n">
        <f aca="false">SUMIFS($I$2:$I$1200,$A$2:$A$1200,$A54,$B$2:$B$1200,"&lt;="&amp;$B54)</f>
        <v>223</v>
      </c>
      <c r="L54" s="18" t="n">
        <f aca="false">J54-K54</f>
        <v>8</v>
      </c>
      <c r="M54" s="18" t="n">
        <f aca="false">SUMIF($A$2:$A$1200,$A54,$H$2:$H$1200)</f>
        <v>231</v>
      </c>
      <c r="N54" s="20" t="n">
        <f aca="false">IF(M54=0,"",L54/M54)</f>
        <v>0.0346320346320346</v>
      </c>
      <c r="O54" s="20"/>
      <c r="P54" s="20" t="str">
        <f aca="false">IF(OR(N54="",O54=""),"",N54-O54)</f>
        <v/>
      </c>
      <c r="Q54" s="18"/>
    </row>
    <row r="55" customFormat="false" ht="15" hidden="false" customHeight="true" outlineLevel="0" collapsed="false">
      <c r="A55" s="18" t="s">
        <v>230</v>
      </c>
      <c r="B55" s="18" t="n">
        <v>0</v>
      </c>
      <c r="C55" s="18" t="s">
        <v>204</v>
      </c>
      <c r="D55" s="18"/>
      <c r="E55" s="18" t="s">
        <v>195</v>
      </c>
      <c r="F55" s="18" t="s">
        <v>220</v>
      </c>
      <c r="G55" s="19" t="n">
        <v>39765</v>
      </c>
      <c r="H55" s="18" t="n">
        <v>16</v>
      </c>
      <c r="I55" s="18" t="n">
        <v>0</v>
      </c>
      <c r="J55" s="18" t="n">
        <f aca="false">SUMIFS($H$2:$H$1200,$A$2:$A$1200,$A55,$B$2:$B$1200,"&lt;="&amp;$B55)</f>
        <v>16</v>
      </c>
      <c r="K55" s="18" t="n">
        <f aca="false">SUMIFS($I$2:$I$1200,$A$2:$A$1200,$A55,$B$2:$B$1200,"&lt;="&amp;$B55)</f>
        <v>0</v>
      </c>
      <c r="L55" s="18" t="n">
        <f aca="false">J55-K55</f>
        <v>16</v>
      </c>
      <c r="M55" s="18" t="n">
        <f aca="false">SUMIF($A$2:$A$1200,$A55,$H$2:$H$1200)</f>
        <v>231</v>
      </c>
      <c r="N55" s="20" t="n">
        <f aca="false">IF(M55=0,"",L55/M55)</f>
        <v>0.0692640692640693</v>
      </c>
      <c r="O55" s="20" t="n">
        <v>0.0692640692640693</v>
      </c>
      <c r="P55" s="20" t="n">
        <f aca="false">IF(OR(N55="",O55=""),"",N55-O55)</f>
        <v>0</v>
      </c>
      <c r="Q55" s="21" t="s">
        <v>530</v>
      </c>
    </row>
    <row r="56" customFormat="false" ht="15" hidden="false" customHeight="true" outlineLevel="0" collapsed="false">
      <c r="A56" s="18" t="s">
        <v>230</v>
      </c>
      <c r="B56" s="18" t="n">
        <v>3</v>
      </c>
      <c r="C56" s="18" t="s">
        <v>525</v>
      </c>
      <c r="D56" s="18" t="n">
        <v>-180</v>
      </c>
      <c r="E56" s="18" t="s">
        <v>195</v>
      </c>
      <c r="F56" s="18" t="s">
        <v>220</v>
      </c>
      <c r="G56" s="19" t="n">
        <v>39765</v>
      </c>
      <c r="H56" s="18" t="n">
        <v>7</v>
      </c>
      <c r="I56" s="18" t="n">
        <v>3</v>
      </c>
      <c r="J56" s="18" t="n">
        <f aca="false">SUMIFS($H$2:$H$1200,$A$2:$A$1200,$A56,$B$2:$B$1200,"&lt;="&amp;$B56)</f>
        <v>23</v>
      </c>
      <c r="K56" s="18" t="n">
        <f aca="false">SUMIFS($I$2:$I$1200,$A$2:$A$1200,$A56,$B$2:$B$1200,"&lt;="&amp;$B56)</f>
        <v>3</v>
      </c>
      <c r="L56" s="18" t="n">
        <f aca="false">J56-K56</f>
        <v>20</v>
      </c>
      <c r="M56" s="18" t="n">
        <f aca="false">SUMIF($A$2:$A$1200,$A56,$H$2:$H$1200)</f>
        <v>231</v>
      </c>
      <c r="N56" s="20" t="n">
        <f aca="false">IF(M56=0,"",L56/M56)</f>
        <v>0.0865800865800866</v>
      </c>
      <c r="O56" s="20" t="n">
        <v>0.0865800865800866</v>
      </c>
      <c r="P56" s="20" t="n">
        <f aca="false">IF(OR(N56="",O56=""),"",N56-O56)</f>
        <v>0</v>
      </c>
      <c r="Q56" s="18"/>
    </row>
    <row r="57" customFormat="false" ht="15" hidden="false" customHeight="true" outlineLevel="0" collapsed="false">
      <c r="A57" s="18" t="s">
        <v>230</v>
      </c>
      <c r="B57" s="18" t="n">
        <v>4</v>
      </c>
      <c r="C57" s="18" t="s">
        <v>526</v>
      </c>
      <c r="D57" s="18" t="n">
        <v>-165</v>
      </c>
      <c r="E57" s="18" t="s">
        <v>195</v>
      </c>
      <c r="F57" s="18" t="s">
        <v>220</v>
      </c>
      <c r="G57" s="19" t="n">
        <v>39765</v>
      </c>
      <c r="H57" s="18" t="n">
        <v>16</v>
      </c>
      <c r="I57" s="18" t="n">
        <v>2</v>
      </c>
      <c r="J57" s="18" t="n">
        <f aca="false">SUMIFS($H$2:$H$1200,$A$2:$A$1200,$A57,$B$2:$B$1200,"&lt;="&amp;$B57)</f>
        <v>39</v>
      </c>
      <c r="K57" s="18" t="n">
        <f aca="false">SUMIFS($I$2:$I$1200,$A$2:$A$1200,$A57,$B$2:$B$1200,"&lt;="&amp;$B57)</f>
        <v>5</v>
      </c>
      <c r="L57" s="18" t="n">
        <f aca="false">J57-K57</f>
        <v>34</v>
      </c>
      <c r="M57" s="18" t="n">
        <f aca="false">SUMIF($A$2:$A$1200,$A57,$H$2:$H$1200)</f>
        <v>231</v>
      </c>
      <c r="N57" s="20" t="n">
        <f aca="false">IF(M57=0,"",L57/M57)</f>
        <v>0.147186147186147</v>
      </c>
      <c r="O57" s="20" t="n">
        <v>0.147186147186147</v>
      </c>
      <c r="P57" s="20" t="n">
        <f aca="false">IF(OR(N57="",O57=""),"",N57-O57)</f>
        <v>0</v>
      </c>
      <c r="Q57" s="18"/>
    </row>
    <row r="58" customFormat="false" ht="15" hidden="false" customHeight="true" outlineLevel="0" collapsed="false">
      <c r="A58" s="18" t="s">
        <v>230</v>
      </c>
      <c r="B58" s="18" t="n">
        <v>5</v>
      </c>
      <c r="C58" s="18" t="s">
        <v>527</v>
      </c>
      <c r="D58" s="18" t="n">
        <v>-150</v>
      </c>
      <c r="E58" s="18" t="s">
        <v>195</v>
      </c>
      <c r="F58" s="18" t="s">
        <v>220</v>
      </c>
      <c r="G58" s="19" t="n">
        <v>39765</v>
      </c>
      <c r="H58" s="18" t="n">
        <v>25</v>
      </c>
      <c r="I58" s="18" t="n">
        <v>0</v>
      </c>
      <c r="J58" s="18" t="n">
        <f aca="false">SUMIFS($H$2:$H$1200,$A$2:$A$1200,$A58,$B$2:$B$1200,"&lt;="&amp;$B58)</f>
        <v>64</v>
      </c>
      <c r="K58" s="18" t="n">
        <f aca="false">SUMIFS($I$2:$I$1200,$A$2:$A$1200,$A58,$B$2:$B$1200,"&lt;="&amp;$B58)</f>
        <v>5</v>
      </c>
      <c r="L58" s="18" t="n">
        <f aca="false">J58-K58</f>
        <v>59</v>
      </c>
      <c r="M58" s="18" t="n">
        <f aca="false">SUMIF($A$2:$A$1200,$A58,$H$2:$H$1200)</f>
        <v>231</v>
      </c>
      <c r="N58" s="20" t="n">
        <f aca="false">IF(M58=0,"",L58/M58)</f>
        <v>0.255411255411255</v>
      </c>
      <c r="O58" s="20" t="n">
        <v>0.255411255411255</v>
      </c>
      <c r="P58" s="20" t="n">
        <f aca="false">IF(OR(N58="",O58=""),"",N58-O58)</f>
        <v>0</v>
      </c>
      <c r="Q58" s="18"/>
    </row>
    <row r="59" customFormat="false" ht="15" hidden="false" customHeight="true" outlineLevel="0" collapsed="false">
      <c r="A59" s="18" t="s">
        <v>230</v>
      </c>
      <c r="B59" s="18" t="n">
        <v>6</v>
      </c>
      <c r="C59" s="18" t="s">
        <v>528</v>
      </c>
      <c r="D59" s="18" t="n">
        <v>-135</v>
      </c>
      <c r="E59" s="18" t="s">
        <v>195</v>
      </c>
      <c r="F59" s="18" t="s">
        <v>220</v>
      </c>
      <c r="G59" s="19" t="n">
        <v>39765</v>
      </c>
      <c r="H59" s="18" t="n">
        <v>23</v>
      </c>
      <c r="I59" s="18" t="n">
        <v>7</v>
      </c>
      <c r="J59" s="18" t="n">
        <f aca="false">SUMIFS($H$2:$H$1200,$A$2:$A$1200,$A59,$B$2:$B$1200,"&lt;="&amp;$B59)</f>
        <v>87</v>
      </c>
      <c r="K59" s="18" t="n">
        <f aca="false">SUMIFS($I$2:$I$1200,$A$2:$A$1200,$A59,$B$2:$B$1200,"&lt;="&amp;$B59)</f>
        <v>12</v>
      </c>
      <c r="L59" s="18" t="n">
        <f aca="false">J59-K59</f>
        <v>75</v>
      </c>
      <c r="M59" s="18" t="n">
        <f aca="false">SUMIF($A$2:$A$1200,$A59,$H$2:$H$1200)</f>
        <v>231</v>
      </c>
      <c r="N59" s="20" t="n">
        <f aca="false">IF(M59=0,"",L59/M59)</f>
        <v>0.324675324675325</v>
      </c>
      <c r="O59" s="20" t="n">
        <v>0.324675324675325</v>
      </c>
      <c r="P59" s="20" t="n">
        <f aca="false">IF(OR(N59="",O59=""),"",N59-O59)</f>
        <v>0</v>
      </c>
      <c r="Q59" s="18"/>
    </row>
    <row r="60" customFormat="false" ht="15" hidden="false" customHeight="true" outlineLevel="0" collapsed="false">
      <c r="A60" s="18" t="s">
        <v>230</v>
      </c>
      <c r="B60" s="18" t="n">
        <v>7</v>
      </c>
      <c r="C60" s="18" t="s">
        <v>227</v>
      </c>
      <c r="D60" s="18" t="n">
        <v>-120</v>
      </c>
      <c r="E60" s="18" t="s">
        <v>195</v>
      </c>
      <c r="F60" s="18" t="s">
        <v>220</v>
      </c>
      <c r="G60" s="19" t="n">
        <v>39765</v>
      </c>
      <c r="H60" s="18" t="n">
        <v>15</v>
      </c>
      <c r="I60" s="18" t="n">
        <v>9</v>
      </c>
      <c r="J60" s="18" t="n">
        <f aca="false">SUMIFS($H$2:$H$1200,$A$2:$A$1200,$A60,$B$2:$B$1200,"&lt;="&amp;$B60)</f>
        <v>102</v>
      </c>
      <c r="K60" s="18" t="n">
        <f aca="false">SUMIFS($I$2:$I$1200,$A$2:$A$1200,$A60,$B$2:$B$1200,"&lt;="&amp;$B60)</f>
        <v>21</v>
      </c>
      <c r="L60" s="18" t="n">
        <f aca="false">J60-K60</f>
        <v>81</v>
      </c>
      <c r="M60" s="18" t="n">
        <f aca="false">SUMIF($A$2:$A$1200,$A60,$H$2:$H$1200)</f>
        <v>231</v>
      </c>
      <c r="N60" s="20" t="n">
        <f aca="false">IF(M60=0,"",L60/M60)</f>
        <v>0.350649350649351</v>
      </c>
      <c r="O60" s="20" t="n">
        <v>0.350649350649351</v>
      </c>
      <c r="P60" s="20" t="n">
        <f aca="false">IF(OR(N60="",O60=""),"",N60-O60)</f>
        <v>0</v>
      </c>
      <c r="Q60" s="18"/>
    </row>
    <row r="61" customFormat="false" ht="15" hidden="false" customHeight="true" outlineLevel="0" collapsed="false">
      <c r="A61" s="18" t="s">
        <v>230</v>
      </c>
      <c r="B61" s="18" t="n">
        <v>8</v>
      </c>
      <c r="C61" s="18" t="s">
        <v>241</v>
      </c>
      <c r="D61" s="18" t="n">
        <v>-105</v>
      </c>
      <c r="E61" s="18" t="s">
        <v>195</v>
      </c>
      <c r="F61" s="18" t="s">
        <v>220</v>
      </c>
      <c r="G61" s="19" t="n">
        <v>39765</v>
      </c>
      <c r="H61" s="18" t="n">
        <v>22</v>
      </c>
      <c r="I61" s="18" t="n">
        <v>25</v>
      </c>
      <c r="J61" s="18" t="n">
        <f aca="false">SUMIFS($H$2:$H$1200,$A$2:$A$1200,$A61,$B$2:$B$1200,"&lt;="&amp;$B61)</f>
        <v>124</v>
      </c>
      <c r="K61" s="18" t="n">
        <f aca="false">SUMIFS($I$2:$I$1200,$A$2:$A$1200,$A61,$B$2:$B$1200,"&lt;="&amp;$B61)</f>
        <v>46</v>
      </c>
      <c r="L61" s="18" t="n">
        <f aca="false">J61-K61</f>
        <v>78</v>
      </c>
      <c r="M61" s="18" t="n">
        <f aca="false">SUMIF($A$2:$A$1200,$A61,$H$2:$H$1200)</f>
        <v>231</v>
      </c>
      <c r="N61" s="20" t="n">
        <f aca="false">IF(M61=0,"",L61/M61)</f>
        <v>0.337662337662338</v>
      </c>
      <c r="O61" s="20" t="n">
        <v>0.337662337662338</v>
      </c>
      <c r="P61" s="20" t="n">
        <f aca="false">IF(OR(N61="",O61=""),"",N61-O61)</f>
        <v>0</v>
      </c>
      <c r="Q61" s="18"/>
    </row>
    <row r="62" customFormat="false" ht="15" hidden="false" customHeight="true" outlineLevel="0" collapsed="false">
      <c r="A62" s="18" t="s">
        <v>230</v>
      </c>
      <c r="B62" s="18" t="n">
        <v>9</v>
      </c>
      <c r="C62" s="18" t="s">
        <v>279</v>
      </c>
      <c r="D62" s="18" t="n">
        <v>-90</v>
      </c>
      <c r="E62" s="18" t="s">
        <v>195</v>
      </c>
      <c r="F62" s="18" t="s">
        <v>220</v>
      </c>
      <c r="G62" s="19" t="n">
        <v>39765</v>
      </c>
      <c r="H62" s="18" t="n">
        <v>28</v>
      </c>
      <c r="I62" s="18" t="n">
        <v>25</v>
      </c>
      <c r="J62" s="18" t="n">
        <f aca="false">SUMIFS($H$2:$H$1200,$A$2:$A$1200,$A62,$B$2:$B$1200,"&lt;="&amp;$B62)</f>
        <v>152</v>
      </c>
      <c r="K62" s="18" t="n">
        <f aca="false">SUMIFS($I$2:$I$1200,$A$2:$A$1200,$A62,$B$2:$B$1200,"&lt;="&amp;$B62)</f>
        <v>71</v>
      </c>
      <c r="L62" s="18" t="n">
        <f aca="false">J62-K62</f>
        <v>81</v>
      </c>
      <c r="M62" s="18" t="n">
        <f aca="false">SUMIF($A$2:$A$1200,$A62,$H$2:$H$1200)</f>
        <v>231</v>
      </c>
      <c r="N62" s="20" t="n">
        <f aca="false">IF(M62=0,"",L62/M62)</f>
        <v>0.350649350649351</v>
      </c>
      <c r="O62" s="20" t="n">
        <v>0.350649350649351</v>
      </c>
      <c r="P62" s="20" t="n">
        <f aca="false">IF(OR(N62="",O62=""),"",N62-O62)</f>
        <v>0</v>
      </c>
      <c r="Q62" s="18"/>
    </row>
    <row r="63" customFormat="false" ht="15" hidden="false" customHeight="true" outlineLevel="0" collapsed="false">
      <c r="A63" s="18" t="s">
        <v>230</v>
      </c>
      <c r="B63" s="18" t="n">
        <v>10</v>
      </c>
      <c r="C63" s="18" t="s">
        <v>206</v>
      </c>
      <c r="D63" s="18" t="n">
        <v>-75</v>
      </c>
      <c r="E63" s="18" t="s">
        <v>195</v>
      </c>
      <c r="F63" s="18" t="s">
        <v>220</v>
      </c>
      <c r="G63" s="19" t="n">
        <v>39765</v>
      </c>
      <c r="H63" s="18" t="n">
        <v>26</v>
      </c>
      <c r="I63" s="18" t="n">
        <v>26</v>
      </c>
      <c r="J63" s="18" t="n">
        <f aca="false">SUMIFS($H$2:$H$1200,$A$2:$A$1200,$A63,$B$2:$B$1200,"&lt;="&amp;$B63)</f>
        <v>178</v>
      </c>
      <c r="K63" s="18" t="n">
        <f aca="false">SUMIFS($I$2:$I$1200,$A$2:$A$1200,$A63,$B$2:$B$1200,"&lt;="&amp;$B63)</f>
        <v>97</v>
      </c>
      <c r="L63" s="18" t="n">
        <f aca="false">J63-K63</f>
        <v>81</v>
      </c>
      <c r="M63" s="18" t="n">
        <f aca="false">SUMIF($A$2:$A$1200,$A63,$H$2:$H$1200)</f>
        <v>231</v>
      </c>
      <c r="N63" s="20" t="n">
        <f aca="false">IF(M63=0,"",L63/M63)</f>
        <v>0.350649350649351</v>
      </c>
      <c r="O63" s="20" t="n">
        <v>0.350649350649351</v>
      </c>
      <c r="P63" s="20" t="n">
        <f aca="false">IF(OR(N63="",O63=""),"",N63-O63)</f>
        <v>0</v>
      </c>
      <c r="Q63" s="18"/>
    </row>
    <row r="64" customFormat="false" ht="15" hidden="false" customHeight="true" outlineLevel="0" collapsed="false">
      <c r="A64" s="18" t="s">
        <v>230</v>
      </c>
      <c r="B64" s="18" t="n">
        <v>11</v>
      </c>
      <c r="C64" s="18" t="s">
        <v>246</v>
      </c>
      <c r="D64" s="18" t="n">
        <v>-60</v>
      </c>
      <c r="E64" s="18" t="s">
        <v>195</v>
      </c>
      <c r="F64" s="18" t="s">
        <v>220</v>
      </c>
      <c r="G64" s="19" t="n">
        <v>39765</v>
      </c>
      <c r="H64" s="18" t="n">
        <v>10</v>
      </c>
      <c r="I64" s="18" t="n">
        <v>23</v>
      </c>
      <c r="J64" s="18" t="n">
        <f aca="false">SUMIFS($H$2:$H$1200,$A$2:$A$1200,$A64,$B$2:$B$1200,"&lt;="&amp;$B64)</f>
        <v>188</v>
      </c>
      <c r="K64" s="18" t="n">
        <f aca="false">SUMIFS($I$2:$I$1200,$A$2:$A$1200,$A64,$B$2:$B$1200,"&lt;="&amp;$B64)</f>
        <v>120</v>
      </c>
      <c r="L64" s="18" t="n">
        <f aca="false">J64-K64</f>
        <v>68</v>
      </c>
      <c r="M64" s="18" t="n">
        <f aca="false">SUMIF($A$2:$A$1200,$A64,$H$2:$H$1200)</f>
        <v>231</v>
      </c>
      <c r="N64" s="20" t="n">
        <f aca="false">IF(M64=0,"",L64/M64)</f>
        <v>0.294372294372294</v>
      </c>
      <c r="O64" s="20" t="n">
        <v>0.294372294372294</v>
      </c>
      <c r="P64" s="20" t="n">
        <f aca="false">IF(OR(N64="",O64=""),"",N64-O64)</f>
        <v>0</v>
      </c>
      <c r="Q64" s="18"/>
    </row>
    <row r="65" customFormat="false" ht="15" hidden="false" customHeight="true" outlineLevel="0" collapsed="false">
      <c r="A65" s="18" t="s">
        <v>230</v>
      </c>
      <c r="B65" s="18" t="n">
        <v>12</v>
      </c>
      <c r="C65" s="18" t="s">
        <v>254</v>
      </c>
      <c r="D65" s="18" t="n">
        <v>-45</v>
      </c>
      <c r="E65" s="18" t="s">
        <v>195</v>
      </c>
      <c r="F65" s="18" t="s">
        <v>220</v>
      </c>
      <c r="G65" s="19" t="n">
        <v>39765</v>
      </c>
      <c r="H65" s="18" t="n">
        <v>13</v>
      </c>
      <c r="I65" s="18" t="n">
        <v>19</v>
      </c>
      <c r="J65" s="18" t="n">
        <f aca="false">SUMIFS($H$2:$H$1200,$A$2:$A$1200,$A65,$B$2:$B$1200,"&lt;="&amp;$B65)</f>
        <v>201</v>
      </c>
      <c r="K65" s="18" t="n">
        <f aca="false">SUMIFS($I$2:$I$1200,$A$2:$A$1200,$A65,$B$2:$B$1200,"&lt;="&amp;$B65)</f>
        <v>139</v>
      </c>
      <c r="L65" s="18" t="n">
        <f aca="false">J65-K65</f>
        <v>62</v>
      </c>
      <c r="M65" s="18" t="n">
        <f aca="false">SUMIF($A$2:$A$1200,$A65,$H$2:$H$1200)</f>
        <v>231</v>
      </c>
      <c r="N65" s="20" t="n">
        <f aca="false">IF(M65=0,"",L65/M65)</f>
        <v>0.268398268398268</v>
      </c>
      <c r="O65" s="20" t="n">
        <v>0.268398268398268</v>
      </c>
      <c r="P65" s="20" t="n">
        <f aca="false">IF(OR(N65="",O65=""),"",N65-O65)</f>
        <v>0</v>
      </c>
      <c r="Q65" s="18"/>
    </row>
    <row r="66" customFormat="false" ht="15" hidden="false" customHeight="true" outlineLevel="0" collapsed="false">
      <c r="A66" s="18" t="s">
        <v>230</v>
      </c>
      <c r="B66" s="18" t="n">
        <v>13</v>
      </c>
      <c r="C66" s="18" t="s">
        <v>403</v>
      </c>
      <c r="D66" s="18" t="n">
        <v>-30</v>
      </c>
      <c r="E66" s="18" t="s">
        <v>195</v>
      </c>
      <c r="F66" s="18" t="s">
        <v>220</v>
      </c>
      <c r="G66" s="19" t="n">
        <v>39765</v>
      </c>
      <c r="H66" s="18" t="n">
        <v>7</v>
      </c>
      <c r="I66" s="18" t="n">
        <v>16</v>
      </c>
      <c r="J66" s="18" t="n">
        <f aca="false">SUMIFS($H$2:$H$1200,$A$2:$A$1200,$A66,$B$2:$B$1200,"&lt;="&amp;$B66)</f>
        <v>208</v>
      </c>
      <c r="K66" s="18" t="n">
        <f aca="false">SUMIFS($I$2:$I$1200,$A$2:$A$1200,$A66,$B$2:$B$1200,"&lt;="&amp;$B66)</f>
        <v>155</v>
      </c>
      <c r="L66" s="18" t="n">
        <f aca="false">J66-K66</f>
        <v>53</v>
      </c>
      <c r="M66" s="18" t="n">
        <f aca="false">SUMIF($A$2:$A$1200,$A66,$H$2:$H$1200)</f>
        <v>231</v>
      </c>
      <c r="N66" s="20" t="n">
        <f aca="false">IF(M66=0,"",L66/M66)</f>
        <v>0.229437229437229</v>
      </c>
      <c r="O66" s="20" t="n">
        <v>0.229437229437229</v>
      </c>
      <c r="P66" s="20" t="n">
        <f aca="false">IF(OR(N66="",O66=""),"",N66-O66)</f>
        <v>0</v>
      </c>
      <c r="Q66" s="18"/>
    </row>
    <row r="67" customFormat="false" ht="15" hidden="false" customHeight="true" outlineLevel="0" collapsed="false">
      <c r="A67" s="18" t="s">
        <v>230</v>
      </c>
      <c r="B67" s="18" t="n">
        <v>14</v>
      </c>
      <c r="C67" s="18" t="s">
        <v>529</v>
      </c>
      <c r="D67" s="18" t="n">
        <v>-15</v>
      </c>
      <c r="E67" s="18" t="s">
        <v>195</v>
      </c>
      <c r="F67" s="18" t="s">
        <v>220</v>
      </c>
      <c r="G67" s="19" t="n">
        <v>39765</v>
      </c>
      <c r="H67" s="18" t="n">
        <v>14</v>
      </c>
      <c r="I67" s="18" t="n">
        <v>24</v>
      </c>
      <c r="J67" s="18" t="n">
        <f aca="false">SUMIFS($H$2:$H$1200,$A$2:$A$1200,$A67,$B$2:$B$1200,"&lt;="&amp;$B67)</f>
        <v>222</v>
      </c>
      <c r="K67" s="18" t="n">
        <f aca="false">SUMIFS($I$2:$I$1200,$A$2:$A$1200,$A67,$B$2:$B$1200,"&lt;="&amp;$B67)</f>
        <v>179</v>
      </c>
      <c r="L67" s="18" t="n">
        <f aca="false">J67-K67</f>
        <v>43</v>
      </c>
      <c r="M67" s="18" t="n">
        <f aca="false">SUMIF($A$2:$A$1200,$A67,$H$2:$H$1200)</f>
        <v>231</v>
      </c>
      <c r="N67" s="20" t="n">
        <f aca="false">IF(M67=0,"",L67/M67)</f>
        <v>0.186147186147186</v>
      </c>
      <c r="O67" s="20" t="n">
        <v>0.186147186147186</v>
      </c>
      <c r="P67" s="20" t="n">
        <f aca="false">IF(OR(N67="",O67=""),"",N67-O67)</f>
        <v>0</v>
      </c>
      <c r="Q67" s="18"/>
    </row>
    <row r="68" customFormat="false" ht="15" hidden="false" customHeight="true" outlineLevel="0" collapsed="false">
      <c r="A68" s="18" t="s">
        <v>230</v>
      </c>
      <c r="B68" s="18" t="n">
        <v>15</v>
      </c>
      <c r="C68" s="18" t="s">
        <v>463</v>
      </c>
      <c r="D68" s="18" t="n">
        <v>0</v>
      </c>
      <c r="E68" s="18" t="s">
        <v>195</v>
      </c>
      <c r="F68" s="18" t="s">
        <v>220</v>
      </c>
      <c r="G68" s="19" t="n">
        <v>39765</v>
      </c>
      <c r="H68" s="18" t="n">
        <v>2</v>
      </c>
      <c r="I68" s="18" t="n">
        <v>15</v>
      </c>
      <c r="J68" s="18" t="n">
        <f aca="false">SUMIFS($H$2:$H$1200,$A$2:$A$1200,$A68,$B$2:$B$1200,"&lt;="&amp;$B68)</f>
        <v>224</v>
      </c>
      <c r="K68" s="18" t="n">
        <f aca="false">SUMIFS($I$2:$I$1200,$A$2:$A$1200,$A68,$B$2:$B$1200,"&lt;="&amp;$B68)</f>
        <v>194</v>
      </c>
      <c r="L68" s="18" t="n">
        <f aca="false">J68-K68</f>
        <v>30</v>
      </c>
      <c r="M68" s="18" t="n">
        <f aca="false">SUMIF($A$2:$A$1200,$A68,$H$2:$H$1200)</f>
        <v>231</v>
      </c>
      <c r="N68" s="20" t="n">
        <f aca="false">IF(M68=0,"",L68/M68)</f>
        <v>0.12987012987013</v>
      </c>
      <c r="O68" s="20" t="n">
        <v>0.12987012987013</v>
      </c>
      <c r="P68" s="20" t="n">
        <f aca="false">IF(OR(N68="",O68=""),"",N68-O68)</f>
        <v>0</v>
      </c>
      <c r="Q68" s="18"/>
    </row>
    <row r="69" customFormat="false" ht="15" hidden="false" customHeight="true" outlineLevel="0" collapsed="false">
      <c r="A69" s="18" t="s">
        <v>230</v>
      </c>
      <c r="B69" s="18" t="n">
        <v>16</v>
      </c>
      <c r="C69" s="18" t="s">
        <v>366</v>
      </c>
      <c r="D69" s="18" t="n">
        <v>15</v>
      </c>
      <c r="E69" s="18" t="s">
        <v>195</v>
      </c>
      <c r="F69" s="18" t="s">
        <v>220</v>
      </c>
      <c r="G69" s="19" t="n">
        <v>39765</v>
      </c>
      <c r="H69" s="18" t="n">
        <v>4</v>
      </c>
      <c r="I69" s="18" t="n">
        <v>17</v>
      </c>
      <c r="J69" s="18" t="n">
        <f aca="false">SUMIFS($H$2:$H$1200,$A$2:$A$1200,$A69,$B$2:$B$1200,"&lt;="&amp;$B69)</f>
        <v>228</v>
      </c>
      <c r="K69" s="18" t="n">
        <f aca="false">SUMIFS($I$2:$I$1200,$A$2:$A$1200,$A69,$B$2:$B$1200,"&lt;="&amp;$B69)</f>
        <v>211</v>
      </c>
      <c r="L69" s="18" t="n">
        <f aca="false">J69-K69</f>
        <v>17</v>
      </c>
      <c r="M69" s="18" t="n">
        <f aca="false">SUMIF($A$2:$A$1200,$A69,$H$2:$H$1200)</f>
        <v>231</v>
      </c>
      <c r="N69" s="20" t="n">
        <f aca="false">IF(M69=0,"",L69/M69)</f>
        <v>0.0735930735930736</v>
      </c>
      <c r="O69" s="20" t="n">
        <v>0.0735930735930736</v>
      </c>
      <c r="P69" s="20" t="n">
        <f aca="false">IF(OR(N69="",O69=""),"",N69-O69)</f>
        <v>0</v>
      </c>
      <c r="Q69" s="18"/>
    </row>
    <row r="70" customFormat="false" ht="15" hidden="false" customHeight="true" outlineLevel="0" collapsed="false">
      <c r="A70" s="18" t="s">
        <v>230</v>
      </c>
      <c r="B70" s="18" t="n">
        <v>17</v>
      </c>
      <c r="C70" s="18" t="s">
        <v>326</v>
      </c>
      <c r="D70" s="18" t="n">
        <v>30</v>
      </c>
      <c r="E70" s="18" t="s">
        <v>195</v>
      </c>
      <c r="F70" s="18" t="s">
        <v>220</v>
      </c>
      <c r="G70" s="19" t="n">
        <v>39765</v>
      </c>
      <c r="H70" s="18" t="n">
        <v>2</v>
      </c>
      <c r="I70" s="18" t="n">
        <v>4</v>
      </c>
      <c r="J70" s="18" t="n">
        <f aca="false">SUMIFS($H$2:$H$1200,$A$2:$A$1200,$A70,$B$2:$B$1200,"&lt;="&amp;$B70)</f>
        <v>230</v>
      </c>
      <c r="K70" s="18" t="n">
        <f aca="false">SUMIFS($I$2:$I$1200,$A$2:$A$1200,$A70,$B$2:$B$1200,"&lt;="&amp;$B70)</f>
        <v>215</v>
      </c>
      <c r="L70" s="18" t="n">
        <f aca="false">J70-K70</f>
        <v>15</v>
      </c>
      <c r="M70" s="18" t="n">
        <f aca="false">SUMIF($A$2:$A$1200,$A70,$H$2:$H$1200)</f>
        <v>231</v>
      </c>
      <c r="N70" s="20" t="n">
        <f aca="false">IF(M70=0,"",L70/M70)</f>
        <v>0.0649350649350649</v>
      </c>
      <c r="O70" s="20" t="n">
        <v>0.0649350649350649</v>
      </c>
      <c r="P70" s="20" t="n">
        <f aca="false">IF(OR(N70="",O70=""),"",N70-O70)</f>
        <v>0</v>
      </c>
      <c r="Q70" s="18"/>
    </row>
    <row r="71" customFormat="false" ht="15" hidden="false" customHeight="true" outlineLevel="0" collapsed="false">
      <c r="A71" s="18" t="s">
        <v>230</v>
      </c>
      <c r="B71" s="18" t="n">
        <v>18</v>
      </c>
      <c r="C71" s="18" t="s">
        <v>226</v>
      </c>
      <c r="D71" s="18" t="n">
        <v>45</v>
      </c>
      <c r="E71" s="18" t="s">
        <v>195</v>
      </c>
      <c r="F71" s="18" t="s">
        <v>220</v>
      </c>
      <c r="G71" s="19" t="n">
        <v>39765</v>
      </c>
      <c r="H71" s="18" t="n">
        <v>1</v>
      </c>
      <c r="I71" s="18" t="n">
        <v>8</v>
      </c>
      <c r="J71" s="18" t="n">
        <f aca="false">SUMIFS($H$2:$H$1200,$A$2:$A$1200,$A71,$B$2:$B$1200,"&lt;="&amp;$B71)</f>
        <v>231</v>
      </c>
      <c r="K71" s="18" t="n">
        <f aca="false">SUMIFS($I$2:$I$1200,$A$2:$A$1200,$A71,$B$2:$B$1200,"&lt;="&amp;$B71)</f>
        <v>223</v>
      </c>
      <c r="L71" s="18" t="n">
        <f aca="false">J71-K71</f>
        <v>8</v>
      </c>
      <c r="M71" s="18" t="n">
        <f aca="false">SUMIF($A$2:$A$1200,$A71,$H$2:$H$1200)</f>
        <v>231</v>
      </c>
      <c r="N71" s="20" t="n">
        <f aca="false">IF(M71=0,"",L71/M71)</f>
        <v>0.0346320346320346</v>
      </c>
      <c r="O71" s="20" t="n">
        <v>0.0346320346320346</v>
      </c>
      <c r="P71" s="20" t="n">
        <f aca="false">IF(OR(N71="",O71=""),"",N71-O71)</f>
        <v>0</v>
      </c>
      <c r="Q71" s="18"/>
    </row>
    <row r="72" customFormat="false" ht="15" hidden="false" customHeight="true" outlineLevel="0" collapsed="false">
      <c r="A72" s="18" t="s">
        <v>235</v>
      </c>
      <c r="B72" s="18" t="n">
        <v>0</v>
      </c>
      <c r="C72" s="18" t="s">
        <v>204</v>
      </c>
      <c r="D72" s="18"/>
      <c r="E72" s="18" t="s">
        <v>195</v>
      </c>
      <c r="F72" s="18" t="s">
        <v>220</v>
      </c>
      <c r="G72" s="19" t="n">
        <v>40459</v>
      </c>
      <c r="H72" s="18" t="n">
        <v>25</v>
      </c>
      <c r="I72" s="18" t="n">
        <v>0</v>
      </c>
      <c r="J72" s="18" t="n">
        <f aca="false">SUMIFS($H$2:$H$1200,$A$2:$A$1200,$A72,$B$2:$B$1200,"&lt;="&amp;$B72)</f>
        <v>25</v>
      </c>
      <c r="K72" s="18" t="n">
        <f aca="false">SUMIFS($I$2:$I$1200,$A$2:$A$1200,$A72,$B$2:$B$1200,"&lt;="&amp;$B72)</f>
        <v>0</v>
      </c>
      <c r="L72" s="18" t="n">
        <f aca="false">J72-K72</f>
        <v>25</v>
      </c>
      <c r="M72" s="18" t="n">
        <f aca="false">SUMIF($A$2:$A$1200,$A72,$H$2:$H$1200)</f>
        <v>486</v>
      </c>
      <c r="N72" s="20" t="n">
        <f aca="false">IF(M72=0,"",L72/M72)</f>
        <v>0.051440329218107</v>
      </c>
      <c r="O72" s="20"/>
      <c r="P72" s="20" t="str">
        <f aca="false">IF(OR(N72="",O72=""),"",N72-O72)</f>
        <v/>
      </c>
      <c r="Q72" s="18"/>
    </row>
    <row r="73" customFormat="false" ht="15" hidden="false" customHeight="true" outlineLevel="0" collapsed="false">
      <c r="A73" s="18" t="s">
        <v>235</v>
      </c>
      <c r="B73" s="18" t="n">
        <v>1</v>
      </c>
      <c r="C73" s="18" t="s">
        <v>531</v>
      </c>
      <c r="D73" s="18" t="n">
        <v>-210</v>
      </c>
      <c r="E73" s="18" t="s">
        <v>195</v>
      </c>
      <c r="F73" s="18" t="s">
        <v>220</v>
      </c>
      <c r="G73" s="19" t="n">
        <v>40459</v>
      </c>
      <c r="H73" s="18" t="n">
        <v>12</v>
      </c>
      <c r="I73" s="18" t="n">
        <v>2</v>
      </c>
      <c r="J73" s="18" t="n">
        <f aca="false">SUMIFS($H$2:$H$1200,$A$2:$A$1200,$A73,$B$2:$B$1200,"&lt;="&amp;$B73)</f>
        <v>37</v>
      </c>
      <c r="K73" s="18" t="n">
        <f aca="false">SUMIFS($I$2:$I$1200,$A$2:$A$1200,$A73,$B$2:$B$1200,"&lt;="&amp;$B73)</f>
        <v>2</v>
      </c>
      <c r="L73" s="18" t="n">
        <f aca="false">J73-K73</f>
        <v>35</v>
      </c>
      <c r="M73" s="18" t="n">
        <f aca="false">SUMIF($A$2:$A$1200,$A73,$H$2:$H$1200)</f>
        <v>486</v>
      </c>
      <c r="N73" s="20" t="n">
        <f aca="false">IF(M73=0,"",L73/M73)</f>
        <v>0.0720164609053498</v>
      </c>
      <c r="O73" s="20"/>
      <c r="P73" s="20" t="str">
        <f aca="false">IF(OR(N73="",O73=""),"",N73-O73)</f>
        <v/>
      </c>
      <c r="Q73" s="18"/>
    </row>
    <row r="74" customFormat="false" ht="15" hidden="false" customHeight="true" outlineLevel="0" collapsed="false">
      <c r="A74" s="18" t="s">
        <v>235</v>
      </c>
      <c r="B74" s="18" t="n">
        <v>2</v>
      </c>
      <c r="C74" s="18" t="s">
        <v>340</v>
      </c>
      <c r="D74" s="18" t="n">
        <v>-195</v>
      </c>
      <c r="E74" s="18" t="s">
        <v>195</v>
      </c>
      <c r="F74" s="18" t="s">
        <v>220</v>
      </c>
      <c r="G74" s="19" t="n">
        <v>40459</v>
      </c>
      <c r="H74" s="18" t="n">
        <v>26</v>
      </c>
      <c r="I74" s="18" t="n">
        <v>2</v>
      </c>
      <c r="J74" s="18" t="n">
        <f aca="false">SUMIFS($H$2:$H$1200,$A$2:$A$1200,$A74,$B$2:$B$1200,"&lt;="&amp;$B74)</f>
        <v>63</v>
      </c>
      <c r="K74" s="18" t="n">
        <f aca="false">SUMIFS($I$2:$I$1200,$A$2:$A$1200,$A74,$B$2:$B$1200,"&lt;="&amp;$B74)</f>
        <v>4</v>
      </c>
      <c r="L74" s="18" t="n">
        <f aca="false">J74-K74</f>
        <v>59</v>
      </c>
      <c r="M74" s="18" t="n">
        <f aca="false">SUMIF($A$2:$A$1200,$A74,$H$2:$H$1200)</f>
        <v>486</v>
      </c>
      <c r="N74" s="20" t="n">
        <f aca="false">IF(M74=0,"",L74/M74)</f>
        <v>0.121399176954733</v>
      </c>
      <c r="O74" s="20"/>
      <c r="P74" s="20" t="str">
        <f aca="false">IF(OR(N74="",O74=""),"",N74-O74)</f>
        <v/>
      </c>
      <c r="Q74" s="18"/>
    </row>
    <row r="75" customFormat="false" ht="15" hidden="false" customHeight="true" outlineLevel="0" collapsed="false">
      <c r="A75" s="18" t="s">
        <v>235</v>
      </c>
      <c r="B75" s="18" t="n">
        <v>3</v>
      </c>
      <c r="C75" s="18" t="s">
        <v>525</v>
      </c>
      <c r="D75" s="18" t="n">
        <v>-180</v>
      </c>
      <c r="E75" s="18" t="s">
        <v>195</v>
      </c>
      <c r="F75" s="18" t="s">
        <v>220</v>
      </c>
      <c r="G75" s="19" t="n">
        <v>40459</v>
      </c>
      <c r="H75" s="18" t="n">
        <v>36</v>
      </c>
      <c r="I75" s="18" t="n">
        <v>2</v>
      </c>
      <c r="J75" s="18" t="n">
        <f aca="false">SUMIFS($H$2:$H$1200,$A$2:$A$1200,$A75,$B$2:$B$1200,"&lt;="&amp;$B75)</f>
        <v>99</v>
      </c>
      <c r="K75" s="18" t="n">
        <f aca="false">SUMIFS($I$2:$I$1200,$A$2:$A$1200,$A75,$B$2:$B$1200,"&lt;="&amp;$B75)</f>
        <v>6</v>
      </c>
      <c r="L75" s="18" t="n">
        <f aca="false">J75-K75</f>
        <v>93</v>
      </c>
      <c r="M75" s="18" t="n">
        <f aca="false">SUMIF($A$2:$A$1200,$A75,$H$2:$H$1200)</f>
        <v>486</v>
      </c>
      <c r="N75" s="20" t="n">
        <f aca="false">IF(M75=0,"",L75/M75)</f>
        <v>0.191358024691358</v>
      </c>
      <c r="O75" s="20"/>
      <c r="P75" s="20" t="str">
        <f aca="false">IF(OR(N75="",O75=""),"",N75-O75)</f>
        <v/>
      </c>
      <c r="Q75" s="18"/>
    </row>
    <row r="76" customFormat="false" ht="15" hidden="false" customHeight="true" outlineLevel="0" collapsed="false">
      <c r="A76" s="18" t="s">
        <v>235</v>
      </c>
      <c r="B76" s="18" t="n">
        <v>4</v>
      </c>
      <c r="C76" s="18" t="s">
        <v>526</v>
      </c>
      <c r="D76" s="18" t="n">
        <v>-165</v>
      </c>
      <c r="E76" s="18" t="s">
        <v>195</v>
      </c>
      <c r="F76" s="18" t="s">
        <v>220</v>
      </c>
      <c r="G76" s="19" t="n">
        <v>40459</v>
      </c>
      <c r="H76" s="18" t="n">
        <v>51</v>
      </c>
      <c r="I76" s="18" t="n">
        <v>4</v>
      </c>
      <c r="J76" s="18" t="n">
        <f aca="false">SUMIFS($H$2:$H$1200,$A$2:$A$1200,$A76,$B$2:$B$1200,"&lt;="&amp;$B76)</f>
        <v>150</v>
      </c>
      <c r="K76" s="18" t="n">
        <f aca="false">SUMIFS($I$2:$I$1200,$A$2:$A$1200,$A76,$B$2:$B$1200,"&lt;="&amp;$B76)</f>
        <v>10</v>
      </c>
      <c r="L76" s="18" t="n">
        <f aca="false">J76-K76</f>
        <v>140</v>
      </c>
      <c r="M76" s="18" t="n">
        <f aca="false">SUMIF($A$2:$A$1200,$A76,$H$2:$H$1200)</f>
        <v>486</v>
      </c>
      <c r="N76" s="20" t="n">
        <f aca="false">IF(M76=0,"",L76/M76)</f>
        <v>0.288065843621399</v>
      </c>
      <c r="O76" s="20"/>
      <c r="P76" s="20" t="str">
        <f aca="false">IF(OR(N76="",O76=""),"",N76-O76)</f>
        <v/>
      </c>
      <c r="Q76" s="18"/>
    </row>
    <row r="77" customFormat="false" ht="15" hidden="false" customHeight="true" outlineLevel="0" collapsed="false">
      <c r="A77" s="18" t="s">
        <v>235</v>
      </c>
      <c r="B77" s="18" t="n">
        <v>5</v>
      </c>
      <c r="C77" s="18" t="s">
        <v>527</v>
      </c>
      <c r="D77" s="18" t="n">
        <v>-150</v>
      </c>
      <c r="E77" s="18" t="s">
        <v>195</v>
      </c>
      <c r="F77" s="18" t="s">
        <v>220</v>
      </c>
      <c r="G77" s="19" t="n">
        <v>40459</v>
      </c>
      <c r="H77" s="18" t="n">
        <v>50</v>
      </c>
      <c r="I77" s="18" t="n">
        <v>3</v>
      </c>
      <c r="J77" s="18" t="n">
        <f aca="false">SUMIFS($H$2:$H$1200,$A$2:$A$1200,$A77,$B$2:$B$1200,"&lt;="&amp;$B77)</f>
        <v>200</v>
      </c>
      <c r="K77" s="18" t="n">
        <f aca="false">SUMIFS($I$2:$I$1200,$A$2:$A$1200,$A77,$B$2:$B$1200,"&lt;="&amp;$B77)</f>
        <v>13</v>
      </c>
      <c r="L77" s="18" t="n">
        <f aca="false">J77-K77</f>
        <v>187</v>
      </c>
      <c r="M77" s="18" t="n">
        <f aca="false">SUMIF($A$2:$A$1200,$A77,$H$2:$H$1200)</f>
        <v>486</v>
      </c>
      <c r="N77" s="20" t="n">
        <f aca="false">IF(M77=0,"",L77/M77)</f>
        <v>0.38477366255144</v>
      </c>
      <c r="O77" s="20"/>
      <c r="P77" s="20" t="str">
        <f aca="false">IF(OR(N77="",O77=""),"",N77-O77)</f>
        <v/>
      </c>
      <c r="Q77" s="18"/>
    </row>
    <row r="78" customFormat="false" ht="15" hidden="false" customHeight="true" outlineLevel="0" collapsed="false">
      <c r="A78" s="18" t="s">
        <v>235</v>
      </c>
      <c r="B78" s="18" t="n">
        <v>6</v>
      </c>
      <c r="C78" s="18" t="s">
        <v>528</v>
      </c>
      <c r="D78" s="18" t="n">
        <v>-135</v>
      </c>
      <c r="E78" s="18" t="s">
        <v>195</v>
      </c>
      <c r="F78" s="18" t="s">
        <v>220</v>
      </c>
      <c r="G78" s="19" t="n">
        <v>40459</v>
      </c>
      <c r="H78" s="18" t="n">
        <v>60</v>
      </c>
      <c r="I78" s="18" t="n">
        <v>7</v>
      </c>
      <c r="J78" s="18" t="n">
        <f aca="false">SUMIFS($H$2:$H$1200,$A$2:$A$1200,$A78,$B$2:$B$1200,"&lt;="&amp;$B78)</f>
        <v>260</v>
      </c>
      <c r="K78" s="18" t="n">
        <f aca="false">SUMIFS($I$2:$I$1200,$A$2:$A$1200,$A78,$B$2:$B$1200,"&lt;="&amp;$B78)</f>
        <v>20</v>
      </c>
      <c r="L78" s="18" t="n">
        <f aca="false">J78-K78</f>
        <v>240</v>
      </c>
      <c r="M78" s="18" t="n">
        <f aca="false">SUMIF($A$2:$A$1200,$A78,$H$2:$H$1200)</f>
        <v>486</v>
      </c>
      <c r="N78" s="20" t="n">
        <f aca="false">IF(M78=0,"",L78/M78)</f>
        <v>0.493827160493827</v>
      </c>
      <c r="O78" s="20"/>
      <c r="P78" s="20" t="str">
        <f aca="false">IF(OR(N78="",O78=""),"",N78-O78)</f>
        <v/>
      </c>
      <c r="Q78" s="18"/>
    </row>
    <row r="79" customFormat="false" ht="15" hidden="false" customHeight="true" outlineLevel="0" collapsed="false">
      <c r="A79" s="18" t="s">
        <v>235</v>
      </c>
      <c r="B79" s="18" t="n">
        <v>7</v>
      </c>
      <c r="C79" s="18" t="s">
        <v>227</v>
      </c>
      <c r="D79" s="18" t="n">
        <v>-120</v>
      </c>
      <c r="E79" s="18" t="s">
        <v>195</v>
      </c>
      <c r="F79" s="18" t="s">
        <v>220</v>
      </c>
      <c r="G79" s="19" t="n">
        <v>40459</v>
      </c>
      <c r="H79" s="18" t="n">
        <v>39</v>
      </c>
      <c r="I79" s="18" t="n">
        <v>11</v>
      </c>
      <c r="J79" s="18" t="n">
        <f aca="false">SUMIFS($H$2:$H$1200,$A$2:$A$1200,$A79,$B$2:$B$1200,"&lt;="&amp;$B79)</f>
        <v>299</v>
      </c>
      <c r="K79" s="18" t="n">
        <f aca="false">SUMIFS($I$2:$I$1200,$A$2:$A$1200,$A79,$B$2:$B$1200,"&lt;="&amp;$B79)</f>
        <v>31</v>
      </c>
      <c r="L79" s="18" t="n">
        <f aca="false">J79-K79</f>
        <v>268</v>
      </c>
      <c r="M79" s="18" t="n">
        <f aca="false">SUMIF($A$2:$A$1200,$A79,$H$2:$H$1200)</f>
        <v>486</v>
      </c>
      <c r="N79" s="20" t="n">
        <f aca="false">IF(M79=0,"",L79/M79)</f>
        <v>0.551440329218107</v>
      </c>
      <c r="O79" s="20"/>
      <c r="P79" s="20" t="str">
        <f aca="false">IF(OR(N79="",O79=""),"",N79-O79)</f>
        <v/>
      </c>
      <c r="Q79" s="18"/>
    </row>
    <row r="80" customFormat="false" ht="15" hidden="false" customHeight="true" outlineLevel="0" collapsed="false">
      <c r="A80" s="18" t="s">
        <v>235</v>
      </c>
      <c r="B80" s="18" t="n">
        <v>8</v>
      </c>
      <c r="C80" s="18" t="s">
        <v>241</v>
      </c>
      <c r="D80" s="18" t="n">
        <v>-105</v>
      </c>
      <c r="E80" s="18" t="s">
        <v>195</v>
      </c>
      <c r="F80" s="18" t="s">
        <v>220</v>
      </c>
      <c r="G80" s="19" t="n">
        <v>40459</v>
      </c>
      <c r="H80" s="18" t="n">
        <v>33</v>
      </c>
      <c r="I80" s="18" t="n">
        <v>22</v>
      </c>
      <c r="J80" s="18" t="n">
        <f aca="false">SUMIFS($H$2:$H$1200,$A$2:$A$1200,$A80,$B$2:$B$1200,"&lt;="&amp;$B80)</f>
        <v>332</v>
      </c>
      <c r="K80" s="18" t="n">
        <f aca="false">SUMIFS($I$2:$I$1200,$A$2:$A$1200,$A80,$B$2:$B$1200,"&lt;="&amp;$B80)</f>
        <v>53</v>
      </c>
      <c r="L80" s="18" t="n">
        <f aca="false">J80-K80</f>
        <v>279</v>
      </c>
      <c r="M80" s="18" t="n">
        <f aca="false">SUMIF($A$2:$A$1200,$A80,$H$2:$H$1200)</f>
        <v>486</v>
      </c>
      <c r="N80" s="20" t="n">
        <f aca="false">IF(M80=0,"",L80/M80)</f>
        <v>0.574074074074074</v>
      </c>
      <c r="O80" s="20"/>
      <c r="P80" s="20" t="str">
        <f aca="false">IF(OR(N80="",O80=""),"",N80-O80)</f>
        <v/>
      </c>
      <c r="Q80" s="18"/>
    </row>
    <row r="81" customFormat="false" ht="15" hidden="false" customHeight="true" outlineLevel="0" collapsed="false">
      <c r="A81" s="18" t="s">
        <v>235</v>
      </c>
      <c r="B81" s="18" t="n">
        <v>9</v>
      </c>
      <c r="C81" s="18" t="s">
        <v>279</v>
      </c>
      <c r="D81" s="18" t="n">
        <v>-90</v>
      </c>
      <c r="E81" s="18" t="s">
        <v>195</v>
      </c>
      <c r="F81" s="18" t="s">
        <v>220</v>
      </c>
      <c r="G81" s="19" t="n">
        <v>40459</v>
      </c>
      <c r="H81" s="18" t="n">
        <v>34</v>
      </c>
      <c r="I81" s="18" t="n">
        <v>39</v>
      </c>
      <c r="J81" s="18" t="n">
        <f aca="false">SUMIFS($H$2:$H$1200,$A$2:$A$1200,$A81,$B$2:$B$1200,"&lt;="&amp;$B81)</f>
        <v>366</v>
      </c>
      <c r="K81" s="18" t="n">
        <f aca="false">SUMIFS($I$2:$I$1200,$A$2:$A$1200,$A81,$B$2:$B$1200,"&lt;="&amp;$B81)</f>
        <v>92</v>
      </c>
      <c r="L81" s="18" t="n">
        <f aca="false">J81-K81</f>
        <v>274</v>
      </c>
      <c r="M81" s="18" t="n">
        <f aca="false">SUMIF($A$2:$A$1200,$A81,$H$2:$H$1200)</f>
        <v>486</v>
      </c>
      <c r="N81" s="20" t="n">
        <f aca="false">IF(M81=0,"",L81/M81)</f>
        <v>0.563786008230453</v>
      </c>
      <c r="O81" s="20"/>
      <c r="P81" s="20" t="str">
        <f aca="false">IF(OR(N81="",O81=""),"",N81-O81)</f>
        <v/>
      </c>
      <c r="Q81" s="18"/>
    </row>
    <row r="82" customFormat="false" ht="15" hidden="false" customHeight="true" outlineLevel="0" collapsed="false">
      <c r="A82" s="18" t="s">
        <v>235</v>
      </c>
      <c r="B82" s="18" t="n">
        <v>10</v>
      </c>
      <c r="C82" s="18" t="s">
        <v>206</v>
      </c>
      <c r="D82" s="18" t="n">
        <v>-75</v>
      </c>
      <c r="E82" s="18" t="s">
        <v>195</v>
      </c>
      <c r="F82" s="18" t="s">
        <v>220</v>
      </c>
      <c r="G82" s="19" t="n">
        <v>40459</v>
      </c>
      <c r="H82" s="18" t="n">
        <v>35</v>
      </c>
      <c r="I82" s="18" t="n">
        <v>33</v>
      </c>
      <c r="J82" s="18" t="n">
        <f aca="false">SUMIFS($H$2:$H$1200,$A$2:$A$1200,$A82,$B$2:$B$1200,"&lt;="&amp;$B82)</f>
        <v>401</v>
      </c>
      <c r="K82" s="18" t="n">
        <f aca="false">SUMIFS($I$2:$I$1200,$A$2:$A$1200,$A82,$B$2:$B$1200,"&lt;="&amp;$B82)</f>
        <v>125</v>
      </c>
      <c r="L82" s="18" t="n">
        <f aca="false">J82-K82</f>
        <v>276</v>
      </c>
      <c r="M82" s="18" t="n">
        <f aca="false">SUMIF($A$2:$A$1200,$A82,$H$2:$H$1200)</f>
        <v>486</v>
      </c>
      <c r="N82" s="20" t="n">
        <f aca="false">IF(M82=0,"",L82/M82)</f>
        <v>0.567901234567901</v>
      </c>
      <c r="O82" s="20"/>
      <c r="P82" s="20" t="str">
        <f aca="false">IF(OR(N82="",O82=""),"",N82-O82)</f>
        <v/>
      </c>
      <c r="Q82" s="18"/>
    </row>
    <row r="83" customFormat="false" ht="15" hidden="false" customHeight="true" outlineLevel="0" collapsed="false">
      <c r="A83" s="18" t="s">
        <v>235</v>
      </c>
      <c r="B83" s="18" t="n">
        <v>11</v>
      </c>
      <c r="C83" s="18" t="s">
        <v>246</v>
      </c>
      <c r="D83" s="18" t="n">
        <v>-60</v>
      </c>
      <c r="E83" s="18" t="s">
        <v>195</v>
      </c>
      <c r="F83" s="18" t="s">
        <v>220</v>
      </c>
      <c r="G83" s="19" t="n">
        <v>40459</v>
      </c>
      <c r="H83" s="18" t="n">
        <v>20</v>
      </c>
      <c r="I83" s="18" t="n">
        <v>67</v>
      </c>
      <c r="J83" s="18" t="n">
        <f aca="false">SUMIFS($H$2:$H$1200,$A$2:$A$1200,$A83,$B$2:$B$1200,"&lt;="&amp;$B83)</f>
        <v>421</v>
      </c>
      <c r="K83" s="18" t="n">
        <f aca="false">SUMIFS($I$2:$I$1200,$A$2:$A$1200,$A83,$B$2:$B$1200,"&lt;="&amp;$B83)</f>
        <v>192</v>
      </c>
      <c r="L83" s="18" t="n">
        <f aca="false">J83-K83</f>
        <v>229</v>
      </c>
      <c r="M83" s="18" t="n">
        <f aca="false">SUMIF($A$2:$A$1200,$A83,$H$2:$H$1200)</f>
        <v>486</v>
      </c>
      <c r="N83" s="20" t="n">
        <f aca="false">IF(M83=0,"",L83/M83)</f>
        <v>0.47119341563786</v>
      </c>
      <c r="O83" s="20"/>
      <c r="P83" s="20" t="str">
        <f aca="false">IF(OR(N83="",O83=""),"",N83-O83)</f>
        <v/>
      </c>
      <c r="Q83" s="18"/>
    </row>
    <row r="84" customFormat="false" ht="15" hidden="false" customHeight="true" outlineLevel="0" collapsed="false">
      <c r="A84" s="18" t="s">
        <v>235</v>
      </c>
      <c r="B84" s="18" t="n">
        <v>12</v>
      </c>
      <c r="C84" s="18" t="s">
        <v>254</v>
      </c>
      <c r="D84" s="18" t="n">
        <v>-45</v>
      </c>
      <c r="E84" s="18" t="s">
        <v>195</v>
      </c>
      <c r="F84" s="18" t="s">
        <v>220</v>
      </c>
      <c r="G84" s="19" t="n">
        <v>40459</v>
      </c>
      <c r="H84" s="18" t="n">
        <v>19</v>
      </c>
      <c r="I84" s="18" t="n">
        <v>75</v>
      </c>
      <c r="J84" s="18" t="n">
        <f aca="false">SUMIFS($H$2:$H$1200,$A$2:$A$1200,$A84,$B$2:$B$1200,"&lt;="&amp;$B84)</f>
        <v>440</v>
      </c>
      <c r="K84" s="18" t="n">
        <f aca="false">SUMIFS($I$2:$I$1200,$A$2:$A$1200,$A84,$B$2:$B$1200,"&lt;="&amp;$B84)</f>
        <v>267</v>
      </c>
      <c r="L84" s="18" t="n">
        <f aca="false">J84-K84</f>
        <v>173</v>
      </c>
      <c r="M84" s="18" t="n">
        <f aca="false">SUMIF($A$2:$A$1200,$A84,$H$2:$H$1200)</f>
        <v>486</v>
      </c>
      <c r="N84" s="20" t="n">
        <f aca="false">IF(M84=0,"",L84/M84)</f>
        <v>0.3559670781893</v>
      </c>
      <c r="O84" s="20"/>
      <c r="P84" s="20" t="str">
        <f aca="false">IF(OR(N84="",O84=""),"",N84-O84)</f>
        <v/>
      </c>
      <c r="Q84" s="18"/>
    </row>
    <row r="85" customFormat="false" ht="15" hidden="false" customHeight="true" outlineLevel="0" collapsed="false">
      <c r="A85" s="18" t="s">
        <v>235</v>
      </c>
      <c r="B85" s="18" t="n">
        <v>13</v>
      </c>
      <c r="C85" s="18" t="s">
        <v>403</v>
      </c>
      <c r="D85" s="18" t="n">
        <v>-30</v>
      </c>
      <c r="E85" s="18" t="s">
        <v>195</v>
      </c>
      <c r="F85" s="18" t="s">
        <v>220</v>
      </c>
      <c r="G85" s="19" t="n">
        <v>40459</v>
      </c>
      <c r="H85" s="18" t="n">
        <v>11</v>
      </c>
      <c r="I85" s="18" t="n">
        <v>66</v>
      </c>
      <c r="J85" s="18" t="n">
        <f aca="false">SUMIFS($H$2:$H$1200,$A$2:$A$1200,$A85,$B$2:$B$1200,"&lt;="&amp;$B85)</f>
        <v>451</v>
      </c>
      <c r="K85" s="18" t="n">
        <f aca="false">SUMIFS($I$2:$I$1200,$A$2:$A$1200,$A85,$B$2:$B$1200,"&lt;="&amp;$B85)</f>
        <v>333</v>
      </c>
      <c r="L85" s="18" t="n">
        <f aca="false">J85-K85</f>
        <v>118</v>
      </c>
      <c r="M85" s="18" t="n">
        <f aca="false">SUMIF($A$2:$A$1200,$A85,$H$2:$H$1200)</f>
        <v>486</v>
      </c>
      <c r="N85" s="20" t="n">
        <f aca="false">IF(M85=0,"",L85/M85)</f>
        <v>0.242798353909465</v>
      </c>
      <c r="O85" s="20"/>
      <c r="P85" s="20" t="str">
        <f aca="false">IF(OR(N85="",O85=""),"",N85-O85)</f>
        <v/>
      </c>
      <c r="Q85" s="18"/>
    </row>
    <row r="86" customFormat="false" ht="15" hidden="false" customHeight="true" outlineLevel="0" collapsed="false">
      <c r="A86" s="18" t="s">
        <v>235</v>
      </c>
      <c r="B86" s="18" t="n">
        <v>14</v>
      </c>
      <c r="C86" s="18" t="s">
        <v>529</v>
      </c>
      <c r="D86" s="18" t="n">
        <v>-15</v>
      </c>
      <c r="E86" s="18" t="s">
        <v>195</v>
      </c>
      <c r="F86" s="18" t="s">
        <v>220</v>
      </c>
      <c r="G86" s="19" t="n">
        <v>40459</v>
      </c>
      <c r="H86" s="18" t="n">
        <v>10</v>
      </c>
      <c r="I86" s="18" t="n">
        <v>45</v>
      </c>
      <c r="J86" s="18" t="n">
        <f aca="false">SUMIFS($H$2:$H$1200,$A$2:$A$1200,$A86,$B$2:$B$1200,"&lt;="&amp;$B86)</f>
        <v>461</v>
      </c>
      <c r="K86" s="18" t="n">
        <f aca="false">SUMIFS($I$2:$I$1200,$A$2:$A$1200,$A86,$B$2:$B$1200,"&lt;="&amp;$B86)</f>
        <v>378</v>
      </c>
      <c r="L86" s="18" t="n">
        <f aca="false">J86-K86</f>
        <v>83</v>
      </c>
      <c r="M86" s="18" t="n">
        <f aca="false">SUMIF($A$2:$A$1200,$A86,$H$2:$H$1200)</f>
        <v>486</v>
      </c>
      <c r="N86" s="20" t="n">
        <f aca="false">IF(M86=0,"",L86/M86)</f>
        <v>0.170781893004115</v>
      </c>
      <c r="O86" s="20"/>
      <c r="P86" s="20" t="str">
        <f aca="false">IF(OR(N86="",O86=""),"",N86-O86)</f>
        <v/>
      </c>
      <c r="Q86" s="18"/>
    </row>
    <row r="87" customFormat="false" ht="15" hidden="false" customHeight="true" outlineLevel="0" collapsed="false">
      <c r="A87" s="18" t="s">
        <v>235</v>
      </c>
      <c r="B87" s="18" t="n">
        <v>15</v>
      </c>
      <c r="C87" s="18" t="s">
        <v>463</v>
      </c>
      <c r="D87" s="18" t="n">
        <v>0</v>
      </c>
      <c r="E87" s="18" t="s">
        <v>195</v>
      </c>
      <c r="F87" s="18" t="s">
        <v>220</v>
      </c>
      <c r="G87" s="19" t="n">
        <v>40459</v>
      </c>
      <c r="H87" s="18" t="n">
        <v>8</v>
      </c>
      <c r="I87" s="18" t="n">
        <v>20</v>
      </c>
      <c r="J87" s="18" t="n">
        <f aca="false">SUMIFS($H$2:$H$1200,$A$2:$A$1200,$A87,$B$2:$B$1200,"&lt;="&amp;$B87)</f>
        <v>469</v>
      </c>
      <c r="K87" s="18" t="n">
        <f aca="false">SUMIFS($I$2:$I$1200,$A$2:$A$1200,$A87,$B$2:$B$1200,"&lt;="&amp;$B87)</f>
        <v>398</v>
      </c>
      <c r="L87" s="18" t="n">
        <f aca="false">J87-K87</f>
        <v>71</v>
      </c>
      <c r="M87" s="18" t="n">
        <f aca="false">SUMIF($A$2:$A$1200,$A87,$H$2:$H$1200)</f>
        <v>486</v>
      </c>
      <c r="N87" s="20" t="n">
        <f aca="false">IF(M87=0,"",L87/M87)</f>
        <v>0.146090534979424</v>
      </c>
      <c r="O87" s="20"/>
      <c r="P87" s="20" t="str">
        <f aca="false">IF(OR(N87="",O87=""),"",N87-O87)</f>
        <v/>
      </c>
      <c r="Q87" s="18"/>
    </row>
    <row r="88" customFormat="false" ht="15" hidden="false" customHeight="true" outlineLevel="0" collapsed="false">
      <c r="A88" s="18" t="s">
        <v>235</v>
      </c>
      <c r="B88" s="18" t="n">
        <v>16</v>
      </c>
      <c r="C88" s="18" t="s">
        <v>366</v>
      </c>
      <c r="D88" s="18" t="n">
        <v>15</v>
      </c>
      <c r="E88" s="18" t="s">
        <v>195</v>
      </c>
      <c r="F88" s="18" t="s">
        <v>220</v>
      </c>
      <c r="G88" s="19" t="n">
        <v>40459</v>
      </c>
      <c r="H88" s="18" t="n">
        <v>12</v>
      </c>
      <c r="I88" s="18" t="n">
        <v>15</v>
      </c>
      <c r="J88" s="18" t="n">
        <f aca="false">SUMIFS($H$2:$H$1200,$A$2:$A$1200,$A88,$B$2:$B$1200,"&lt;="&amp;$B88)</f>
        <v>481</v>
      </c>
      <c r="K88" s="18" t="n">
        <f aca="false">SUMIFS($I$2:$I$1200,$A$2:$A$1200,$A88,$B$2:$B$1200,"&lt;="&amp;$B88)</f>
        <v>413</v>
      </c>
      <c r="L88" s="18" t="n">
        <f aca="false">J88-K88</f>
        <v>68</v>
      </c>
      <c r="M88" s="18" t="n">
        <f aca="false">SUMIF($A$2:$A$1200,$A88,$H$2:$H$1200)</f>
        <v>486</v>
      </c>
      <c r="N88" s="20" t="n">
        <f aca="false">IF(M88=0,"",L88/M88)</f>
        <v>0.139917695473251</v>
      </c>
      <c r="O88" s="20"/>
      <c r="P88" s="20" t="str">
        <f aca="false">IF(OR(N88="",O88=""),"",N88-O88)</f>
        <v/>
      </c>
      <c r="Q88" s="18"/>
    </row>
    <row r="89" customFormat="false" ht="15" hidden="false" customHeight="true" outlineLevel="0" collapsed="false">
      <c r="A89" s="18" t="s">
        <v>235</v>
      </c>
      <c r="B89" s="18" t="n">
        <v>17</v>
      </c>
      <c r="C89" s="18" t="s">
        <v>326</v>
      </c>
      <c r="D89" s="18" t="n">
        <v>30</v>
      </c>
      <c r="E89" s="18" t="s">
        <v>195</v>
      </c>
      <c r="F89" s="18" t="s">
        <v>220</v>
      </c>
      <c r="G89" s="19" t="n">
        <v>40459</v>
      </c>
      <c r="H89" s="18" t="n">
        <v>1</v>
      </c>
      <c r="I89" s="18" t="n">
        <v>16</v>
      </c>
      <c r="J89" s="18" t="n">
        <f aca="false">SUMIFS($H$2:$H$1200,$A$2:$A$1200,$A89,$B$2:$B$1200,"&lt;="&amp;$B89)</f>
        <v>482</v>
      </c>
      <c r="K89" s="18" t="n">
        <f aca="false">SUMIFS($I$2:$I$1200,$A$2:$A$1200,$A89,$B$2:$B$1200,"&lt;="&amp;$B89)</f>
        <v>429</v>
      </c>
      <c r="L89" s="18" t="n">
        <f aca="false">J89-K89</f>
        <v>53</v>
      </c>
      <c r="M89" s="18" t="n">
        <f aca="false">SUMIF($A$2:$A$1200,$A89,$H$2:$H$1200)</f>
        <v>486</v>
      </c>
      <c r="N89" s="20" t="n">
        <f aca="false">IF(M89=0,"",L89/M89)</f>
        <v>0.109053497942387</v>
      </c>
      <c r="O89" s="20"/>
      <c r="P89" s="20" t="str">
        <f aca="false">IF(OR(N89="",O89=""),"",N89-O89)</f>
        <v/>
      </c>
      <c r="Q89" s="18"/>
    </row>
    <row r="90" customFormat="false" ht="15" hidden="false" customHeight="true" outlineLevel="0" collapsed="false">
      <c r="A90" s="18" t="s">
        <v>235</v>
      </c>
      <c r="B90" s="18" t="n">
        <v>18</v>
      </c>
      <c r="C90" s="18" t="s">
        <v>226</v>
      </c>
      <c r="D90" s="18" t="n">
        <v>45</v>
      </c>
      <c r="E90" s="18" t="s">
        <v>195</v>
      </c>
      <c r="F90" s="18" t="s">
        <v>220</v>
      </c>
      <c r="G90" s="19" t="n">
        <v>40459</v>
      </c>
      <c r="H90" s="18" t="n">
        <v>4</v>
      </c>
      <c r="I90" s="18" t="n">
        <v>18</v>
      </c>
      <c r="J90" s="18" t="n">
        <f aca="false">SUMIFS($H$2:$H$1200,$A$2:$A$1200,$A90,$B$2:$B$1200,"&lt;="&amp;$B90)</f>
        <v>486</v>
      </c>
      <c r="K90" s="18" t="n">
        <f aca="false">SUMIFS($I$2:$I$1200,$A$2:$A$1200,$A90,$B$2:$B$1200,"&lt;="&amp;$B90)</f>
        <v>447</v>
      </c>
      <c r="L90" s="18" t="n">
        <f aca="false">J90-K90</f>
        <v>39</v>
      </c>
      <c r="M90" s="18" t="n">
        <f aca="false">SUMIF($A$2:$A$1200,$A90,$H$2:$H$1200)</f>
        <v>486</v>
      </c>
      <c r="N90" s="20" t="n">
        <f aca="false">IF(M90=0,"",L90/M90)</f>
        <v>0.0802469135802469</v>
      </c>
      <c r="O90" s="20"/>
      <c r="P90" s="20" t="str">
        <f aca="false">IF(OR(N90="",O90=""),"",N90-O90)</f>
        <v/>
      </c>
      <c r="Q90" s="18"/>
    </row>
    <row r="91" customFormat="false" ht="15" hidden="false" customHeight="true" outlineLevel="0" collapsed="false">
      <c r="A91" s="18" t="s">
        <v>243</v>
      </c>
      <c r="B91" s="18" t="n">
        <v>0</v>
      </c>
      <c r="C91" s="18" t="s">
        <v>204</v>
      </c>
      <c r="D91" s="18"/>
      <c r="E91" s="18" t="s">
        <v>195</v>
      </c>
      <c r="F91" s="18" t="s">
        <v>198</v>
      </c>
      <c r="G91" s="19" t="n">
        <v>40655</v>
      </c>
      <c r="H91" s="18" t="n">
        <v>2</v>
      </c>
      <c r="I91" s="18" t="n">
        <v>0</v>
      </c>
      <c r="J91" s="18" t="n">
        <f aca="false">SUMIFS($H$2:$H$1200,$A$2:$A$1200,$A91,$B$2:$B$1200,"&lt;="&amp;$B91)</f>
        <v>2</v>
      </c>
      <c r="K91" s="18" t="n">
        <f aca="false">SUMIFS($I$2:$I$1200,$A$2:$A$1200,$A91,$B$2:$B$1200,"&lt;="&amp;$B91)</f>
        <v>0</v>
      </c>
      <c r="L91" s="18" t="n">
        <f aca="false">J91-K91</f>
        <v>2</v>
      </c>
      <c r="M91" s="18" t="n">
        <f aca="false">SUMIF($A$2:$A$1200,$A91,$H$2:$H$1200)</f>
        <v>393</v>
      </c>
      <c r="N91" s="20" t="n">
        <f aca="false">IF(M91=0,"",L91/M91)</f>
        <v>0.00508905852417303</v>
      </c>
      <c r="O91" s="20"/>
      <c r="P91" s="20" t="str">
        <f aca="false">IF(OR(N91="",O91=""),"",N91-O91)</f>
        <v/>
      </c>
      <c r="Q91" s="18"/>
    </row>
    <row r="92" customFormat="false" ht="15" hidden="false" customHeight="true" outlineLevel="0" collapsed="false">
      <c r="A92" s="18" t="s">
        <v>243</v>
      </c>
      <c r="B92" s="18" t="n">
        <v>3</v>
      </c>
      <c r="C92" s="18" t="s">
        <v>525</v>
      </c>
      <c r="D92" s="18" t="n">
        <v>-180</v>
      </c>
      <c r="E92" s="18" t="s">
        <v>195</v>
      </c>
      <c r="F92" s="18" t="s">
        <v>198</v>
      </c>
      <c r="G92" s="19" t="n">
        <v>40655</v>
      </c>
      <c r="H92" s="18" t="n">
        <v>3</v>
      </c>
      <c r="I92" s="18" t="n">
        <v>0</v>
      </c>
      <c r="J92" s="18" t="n">
        <f aca="false">SUMIFS($H$2:$H$1200,$A$2:$A$1200,$A92,$B$2:$B$1200,"&lt;="&amp;$B92)</f>
        <v>5</v>
      </c>
      <c r="K92" s="18" t="n">
        <f aca="false">SUMIFS($I$2:$I$1200,$A$2:$A$1200,$A92,$B$2:$B$1200,"&lt;="&amp;$B92)</f>
        <v>0</v>
      </c>
      <c r="L92" s="18" t="n">
        <f aca="false">J92-K92</f>
        <v>5</v>
      </c>
      <c r="M92" s="18" t="n">
        <f aca="false">SUMIF($A$2:$A$1200,$A92,$H$2:$H$1200)</f>
        <v>393</v>
      </c>
      <c r="N92" s="20" t="n">
        <f aca="false">IF(M92=0,"",L92/M92)</f>
        <v>0.0127226463104326</v>
      </c>
      <c r="O92" s="20"/>
      <c r="P92" s="20" t="str">
        <f aca="false">IF(OR(N92="",O92=""),"",N92-O92)</f>
        <v/>
      </c>
      <c r="Q92" s="18"/>
    </row>
    <row r="93" customFormat="false" ht="15" hidden="false" customHeight="true" outlineLevel="0" collapsed="false">
      <c r="A93" s="18" t="s">
        <v>243</v>
      </c>
      <c r="B93" s="18" t="n">
        <v>4</v>
      </c>
      <c r="C93" s="18" t="s">
        <v>526</v>
      </c>
      <c r="D93" s="18" t="n">
        <v>-165</v>
      </c>
      <c r="E93" s="18" t="s">
        <v>195</v>
      </c>
      <c r="F93" s="18" t="s">
        <v>198</v>
      </c>
      <c r="G93" s="19" t="n">
        <v>40655</v>
      </c>
      <c r="H93" s="18" t="n">
        <v>4</v>
      </c>
      <c r="I93" s="18" t="n">
        <v>1</v>
      </c>
      <c r="J93" s="18" t="n">
        <f aca="false">SUMIFS($H$2:$H$1200,$A$2:$A$1200,$A93,$B$2:$B$1200,"&lt;="&amp;$B93)</f>
        <v>9</v>
      </c>
      <c r="K93" s="18" t="n">
        <f aca="false">SUMIFS($I$2:$I$1200,$A$2:$A$1200,$A93,$B$2:$B$1200,"&lt;="&amp;$B93)</f>
        <v>1</v>
      </c>
      <c r="L93" s="18" t="n">
        <f aca="false">J93-K93</f>
        <v>8</v>
      </c>
      <c r="M93" s="18" t="n">
        <f aca="false">SUMIF($A$2:$A$1200,$A93,$H$2:$H$1200)</f>
        <v>393</v>
      </c>
      <c r="N93" s="20" t="n">
        <f aca="false">IF(M93=0,"",L93/M93)</f>
        <v>0.0203562340966921</v>
      </c>
      <c r="O93" s="20"/>
      <c r="P93" s="20" t="str">
        <f aca="false">IF(OR(N93="",O93=""),"",N93-O93)</f>
        <v/>
      </c>
      <c r="Q93" s="18"/>
    </row>
    <row r="94" customFormat="false" ht="15" hidden="false" customHeight="true" outlineLevel="0" collapsed="false">
      <c r="A94" s="18" t="s">
        <v>243</v>
      </c>
      <c r="B94" s="18" t="n">
        <v>5</v>
      </c>
      <c r="C94" s="18" t="s">
        <v>527</v>
      </c>
      <c r="D94" s="18" t="n">
        <v>-150</v>
      </c>
      <c r="E94" s="18" t="s">
        <v>195</v>
      </c>
      <c r="F94" s="18" t="s">
        <v>198</v>
      </c>
      <c r="G94" s="19" t="n">
        <v>40655</v>
      </c>
      <c r="H94" s="18" t="n">
        <v>37</v>
      </c>
      <c r="I94" s="18" t="n">
        <v>4</v>
      </c>
      <c r="J94" s="18" t="n">
        <f aca="false">SUMIFS($H$2:$H$1200,$A$2:$A$1200,$A94,$B$2:$B$1200,"&lt;="&amp;$B94)</f>
        <v>46</v>
      </c>
      <c r="K94" s="18" t="n">
        <f aca="false">SUMIFS($I$2:$I$1200,$A$2:$A$1200,$A94,$B$2:$B$1200,"&lt;="&amp;$B94)</f>
        <v>5</v>
      </c>
      <c r="L94" s="18" t="n">
        <f aca="false">J94-K94</f>
        <v>41</v>
      </c>
      <c r="M94" s="18" t="n">
        <f aca="false">SUMIF($A$2:$A$1200,$A94,$H$2:$H$1200)</f>
        <v>393</v>
      </c>
      <c r="N94" s="20" t="n">
        <f aca="false">IF(M94=0,"",L94/M94)</f>
        <v>0.104325699745547</v>
      </c>
      <c r="O94" s="20"/>
      <c r="P94" s="20" t="str">
        <f aca="false">IF(OR(N94="",O94=""),"",N94-O94)</f>
        <v/>
      </c>
      <c r="Q94" s="18"/>
    </row>
    <row r="95" customFormat="false" ht="15" hidden="false" customHeight="true" outlineLevel="0" collapsed="false">
      <c r="A95" s="18" t="s">
        <v>243</v>
      </c>
      <c r="B95" s="18" t="n">
        <v>6</v>
      </c>
      <c r="C95" s="18" t="s">
        <v>528</v>
      </c>
      <c r="D95" s="18" t="n">
        <v>-135</v>
      </c>
      <c r="E95" s="18" t="s">
        <v>195</v>
      </c>
      <c r="F95" s="18" t="s">
        <v>198</v>
      </c>
      <c r="G95" s="19" t="n">
        <v>40655</v>
      </c>
      <c r="H95" s="18" t="n">
        <v>46</v>
      </c>
      <c r="I95" s="18" t="n">
        <v>4</v>
      </c>
      <c r="J95" s="18" t="n">
        <f aca="false">SUMIFS($H$2:$H$1200,$A$2:$A$1200,$A95,$B$2:$B$1200,"&lt;="&amp;$B95)</f>
        <v>92</v>
      </c>
      <c r="K95" s="18" t="n">
        <f aca="false">SUMIFS($I$2:$I$1200,$A$2:$A$1200,$A95,$B$2:$B$1200,"&lt;="&amp;$B95)</f>
        <v>9</v>
      </c>
      <c r="L95" s="18" t="n">
        <f aca="false">J95-K95</f>
        <v>83</v>
      </c>
      <c r="M95" s="18" t="n">
        <f aca="false">SUMIF($A$2:$A$1200,$A95,$H$2:$H$1200)</f>
        <v>393</v>
      </c>
      <c r="N95" s="20" t="n">
        <f aca="false">IF(M95=0,"",L95/M95)</f>
        <v>0.211195928753181</v>
      </c>
      <c r="O95" s="20"/>
      <c r="P95" s="20" t="str">
        <f aca="false">IF(OR(N95="",O95=""),"",N95-O95)</f>
        <v/>
      </c>
      <c r="Q95" s="18"/>
    </row>
    <row r="96" customFormat="false" ht="15" hidden="false" customHeight="true" outlineLevel="0" collapsed="false">
      <c r="A96" s="18" t="s">
        <v>243</v>
      </c>
      <c r="B96" s="18" t="n">
        <v>7</v>
      </c>
      <c r="C96" s="18" t="s">
        <v>227</v>
      </c>
      <c r="D96" s="18" t="n">
        <v>-120</v>
      </c>
      <c r="E96" s="18" t="s">
        <v>195</v>
      </c>
      <c r="F96" s="18" t="s">
        <v>198</v>
      </c>
      <c r="G96" s="19" t="n">
        <v>40655</v>
      </c>
      <c r="H96" s="18" t="n">
        <v>44</v>
      </c>
      <c r="I96" s="18" t="n">
        <v>4</v>
      </c>
      <c r="J96" s="18" t="n">
        <f aca="false">SUMIFS($H$2:$H$1200,$A$2:$A$1200,$A96,$B$2:$B$1200,"&lt;="&amp;$B96)</f>
        <v>136</v>
      </c>
      <c r="K96" s="18" t="n">
        <f aca="false">SUMIFS($I$2:$I$1200,$A$2:$A$1200,$A96,$B$2:$B$1200,"&lt;="&amp;$B96)</f>
        <v>13</v>
      </c>
      <c r="L96" s="18" t="n">
        <f aca="false">J96-K96</f>
        <v>123</v>
      </c>
      <c r="M96" s="18" t="n">
        <f aca="false">SUMIF($A$2:$A$1200,$A96,$H$2:$H$1200)</f>
        <v>393</v>
      </c>
      <c r="N96" s="20" t="n">
        <f aca="false">IF(M96=0,"",L96/M96)</f>
        <v>0.312977099236641</v>
      </c>
      <c r="O96" s="20"/>
      <c r="P96" s="20" t="str">
        <f aca="false">IF(OR(N96="",O96=""),"",N96-O96)</f>
        <v/>
      </c>
      <c r="Q96" s="18"/>
    </row>
    <row r="97" customFormat="false" ht="15" hidden="false" customHeight="true" outlineLevel="0" collapsed="false">
      <c r="A97" s="18" t="s">
        <v>243</v>
      </c>
      <c r="B97" s="18" t="n">
        <v>8</v>
      </c>
      <c r="C97" s="18" t="s">
        <v>241</v>
      </c>
      <c r="D97" s="18" t="n">
        <v>-105</v>
      </c>
      <c r="E97" s="18" t="s">
        <v>195</v>
      </c>
      <c r="F97" s="18" t="s">
        <v>198</v>
      </c>
      <c r="G97" s="19" t="n">
        <v>40655</v>
      </c>
      <c r="H97" s="18" t="n">
        <v>61</v>
      </c>
      <c r="I97" s="18" t="n">
        <v>11</v>
      </c>
      <c r="J97" s="18" t="n">
        <f aca="false">SUMIFS($H$2:$H$1200,$A$2:$A$1200,$A97,$B$2:$B$1200,"&lt;="&amp;$B97)</f>
        <v>197</v>
      </c>
      <c r="K97" s="18" t="n">
        <f aca="false">SUMIFS($I$2:$I$1200,$A$2:$A$1200,$A97,$B$2:$B$1200,"&lt;="&amp;$B97)</f>
        <v>24</v>
      </c>
      <c r="L97" s="18" t="n">
        <f aca="false">J97-K97</f>
        <v>173</v>
      </c>
      <c r="M97" s="18" t="n">
        <f aca="false">SUMIF($A$2:$A$1200,$A97,$H$2:$H$1200)</f>
        <v>393</v>
      </c>
      <c r="N97" s="20" t="n">
        <f aca="false">IF(M97=0,"",L97/M97)</f>
        <v>0.440203562340967</v>
      </c>
      <c r="O97" s="20"/>
      <c r="P97" s="20" t="str">
        <f aca="false">IF(OR(N97="",O97=""),"",N97-O97)</f>
        <v/>
      </c>
      <c r="Q97" s="18"/>
    </row>
    <row r="98" customFormat="false" ht="15" hidden="false" customHeight="true" outlineLevel="0" collapsed="false">
      <c r="A98" s="18" t="s">
        <v>243</v>
      </c>
      <c r="B98" s="18" t="n">
        <v>9</v>
      </c>
      <c r="C98" s="18" t="s">
        <v>279</v>
      </c>
      <c r="D98" s="18" t="n">
        <v>-90</v>
      </c>
      <c r="E98" s="18" t="s">
        <v>195</v>
      </c>
      <c r="F98" s="18" t="s">
        <v>198</v>
      </c>
      <c r="G98" s="19" t="n">
        <v>40655</v>
      </c>
      <c r="H98" s="18" t="n">
        <v>48</v>
      </c>
      <c r="I98" s="18" t="n">
        <v>9</v>
      </c>
      <c r="J98" s="18" t="n">
        <f aca="false">SUMIFS($H$2:$H$1200,$A$2:$A$1200,$A98,$B$2:$B$1200,"&lt;="&amp;$B98)</f>
        <v>245</v>
      </c>
      <c r="K98" s="18" t="n">
        <f aca="false">SUMIFS($I$2:$I$1200,$A$2:$A$1200,$A98,$B$2:$B$1200,"&lt;="&amp;$B98)</f>
        <v>33</v>
      </c>
      <c r="L98" s="18" t="n">
        <f aca="false">J98-K98</f>
        <v>212</v>
      </c>
      <c r="M98" s="18" t="n">
        <f aca="false">SUMIF($A$2:$A$1200,$A98,$H$2:$H$1200)</f>
        <v>393</v>
      </c>
      <c r="N98" s="20" t="n">
        <f aca="false">IF(M98=0,"",L98/M98)</f>
        <v>0.539440203562341</v>
      </c>
      <c r="O98" s="20"/>
      <c r="P98" s="20" t="str">
        <f aca="false">IF(OR(N98="",O98=""),"",N98-O98)</f>
        <v/>
      </c>
      <c r="Q98" s="18"/>
    </row>
    <row r="99" customFormat="false" ht="15" hidden="false" customHeight="true" outlineLevel="0" collapsed="false">
      <c r="A99" s="18" t="s">
        <v>243</v>
      </c>
      <c r="B99" s="18" t="n">
        <v>10</v>
      </c>
      <c r="C99" s="18" t="s">
        <v>206</v>
      </c>
      <c r="D99" s="18" t="n">
        <v>-75</v>
      </c>
      <c r="E99" s="18" t="s">
        <v>195</v>
      </c>
      <c r="F99" s="18" t="s">
        <v>198</v>
      </c>
      <c r="G99" s="19" t="n">
        <v>40655</v>
      </c>
      <c r="H99" s="18" t="n">
        <v>42</v>
      </c>
      <c r="I99" s="18" t="n">
        <v>19</v>
      </c>
      <c r="J99" s="18" t="n">
        <f aca="false">SUMIFS($H$2:$H$1200,$A$2:$A$1200,$A99,$B$2:$B$1200,"&lt;="&amp;$B99)</f>
        <v>287</v>
      </c>
      <c r="K99" s="18" t="n">
        <f aca="false">SUMIFS($I$2:$I$1200,$A$2:$A$1200,$A99,$B$2:$B$1200,"&lt;="&amp;$B99)</f>
        <v>52</v>
      </c>
      <c r="L99" s="18" t="n">
        <f aca="false">J99-K99</f>
        <v>235</v>
      </c>
      <c r="M99" s="18" t="n">
        <f aca="false">SUMIF($A$2:$A$1200,$A99,$H$2:$H$1200)</f>
        <v>393</v>
      </c>
      <c r="N99" s="20" t="n">
        <f aca="false">IF(M99=0,"",L99/M99)</f>
        <v>0.597964376590331</v>
      </c>
      <c r="O99" s="20"/>
      <c r="P99" s="20" t="str">
        <f aca="false">IF(OR(N99="",O99=""),"",N99-O99)</f>
        <v/>
      </c>
      <c r="Q99" s="18"/>
    </row>
    <row r="100" customFormat="false" ht="15" hidden="false" customHeight="true" outlineLevel="0" collapsed="false">
      <c r="A100" s="18" t="s">
        <v>243</v>
      </c>
      <c r="B100" s="18" t="n">
        <v>11</v>
      </c>
      <c r="C100" s="18" t="s">
        <v>246</v>
      </c>
      <c r="D100" s="18" t="n">
        <v>-60</v>
      </c>
      <c r="E100" s="18" t="s">
        <v>195</v>
      </c>
      <c r="F100" s="18" t="s">
        <v>198</v>
      </c>
      <c r="G100" s="19" t="n">
        <v>40655</v>
      </c>
      <c r="H100" s="18" t="n">
        <v>38</v>
      </c>
      <c r="I100" s="18" t="n">
        <v>13</v>
      </c>
      <c r="J100" s="18" t="n">
        <f aca="false">SUMIFS($H$2:$H$1200,$A$2:$A$1200,$A100,$B$2:$B$1200,"&lt;="&amp;$B100)</f>
        <v>325</v>
      </c>
      <c r="K100" s="18" t="n">
        <f aca="false">SUMIFS($I$2:$I$1200,$A$2:$A$1200,$A100,$B$2:$B$1200,"&lt;="&amp;$B100)</f>
        <v>65</v>
      </c>
      <c r="L100" s="18" t="n">
        <f aca="false">J100-K100</f>
        <v>260</v>
      </c>
      <c r="M100" s="18" t="n">
        <f aca="false">SUMIF($A$2:$A$1200,$A100,$H$2:$H$1200)</f>
        <v>393</v>
      </c>
      <c r="N100" s="20" t="n">
        <f aca="false">IF(M100=0,"",L100/M100)</f>
        <v>0.661577608142494</v>
      </c>
      <c r="O100" s="20"/>
      <c r="P100" s="20" t="str">
        <f aca="false">IF(OR(N100="",O100=""),"",N100-O100)</f>
        <v/>
      </c>
      <c r="Q100" s="18"/>
    </row>
    <row r="101" customFormat="false" ht="15" hidden="false" customHeight="true" outlineLevel="0" collapsed="false">
      <c r="A101" s="18" t="s">
        <v>243</v>
      </c>
      <c r="B101" s="18" t="n">
        <v>12</v>
      </c>
      <c r="C101" s="18" t="s">
        <v>254</v>
      </c>
      <c r="D101" s="18" t="n">
        <v>-45</v>
      </c>
      <c r="E101" s="18" t="s">
        <v>195</v>
      </c>
      <c r="F101" s="18" t="s">
        <v>198</v>
      </c>
      <c r="G101" s="19" t="n">
        <v>40655</v>
      </c>
      <c r="H101" s="18" t="n">
        <v>18</v>
      </c>
      <c r="I101" s="18" t="n">
        <v>50</v>
      </c>
      <c r="J101" s="18" t="n">
        <f aca="false">SUMIFS($H$2:$H$1200,$A$2:$A$1200,$A101,$B$2:$B$1200,"&lt;="&amp;$B101)</f>
        <v>343</v>
      </c>
      <c r="K101" s="18" t="n">
        <f aca="false">SUMIFS($I$2:$I$1200,$A$2:$A$1200,$A101,$B$2:$B$1200,"&lt;="&amp;$B101)</f>
        <v>115</v>
      </c>
      <c r="L101" s="18" t="n">
        <f aca="false">J101-K101</f>
        <v>228</v>
      </c>
      <c r="M101" s="18" t="n">
        <f aca="false">SUMIF($A$2:$A$1200,$A101,$H$2:$H$1200)</f>
        <v>393</v>
      </c>
      <c r="N101" s="20" t="n">
        <f aca="false">IF(M101=0,"",L101/M101)</f>
        <v>0.580152671755725</v>
      </c>
      <c r="O101" s="20"/>
      <c r="P101" s="20" t="str">
        <f aca="false">IF(OR(N101="",O101=""),"",N101-O101)</f>
        <v/>
      </c>
      <c r="Q101" s="18"/>
    </row>
    <row r="102" customFormat="false" ht="15" hidden="false" customHeight="true" outlineLevel="0" collapsed="false">
      <c r="A102" s="18" t="s">
        <v>243</v>
      </c>
      <c r="B102" s="18" t="n">
        <v>13</v>
      </c>
      <c r="C102" s="18" t="s">
        <v>403</v>
      </c>
      <c r="D102" s="18" t="n">
        <v>-30</v>
      </c>
      <c r="E102" s="18" t="s">
        <v>195</v>
      </c>
      <c r="F102" s="18" t="s">
        <v>198</v>
      </c>
      <c r="G102" s="19" t="n">
        <v>40655</v>
      </c>
      <c r="H102" s="18" t="n">
        <v>16</v>
      </c>
      <c r="I102" s="18" t="n">
        <v>41</v>
      </c>
      <c r="J102" s="18" t="n">
        <f aca="false">SUMIFS($H$2:$H$1200,$A$2:$A$1200,$A102,$B$2:$B$1200,"&lt;="&amp;$B102)</f>
        <v>359</v>
      </c>
      <c r="K102" s="18" t="n">
        <f aca="false">SUMIFS($I$2:$I$1200,$A$2:$A$1200,$A102,$B$2:$B$1200,"&lt;="&amp;$B102)</f>
        <v>156</v>
      </c>
      <c r="L102" s="18" t="n">
        <f aca="false">J102-K102</f>
        <v>203</v>
      </c>
      <c r="M102" s="18" t="n">
        <f aca="false">SUMIF($A$2:$A$1200,$A102,$H$2:$H$1200)</f>
        <v>393</v>
      </c>
      <c r="N102" s="20" t="n">
        <f aca="false">IF(M102=0,"",L102/M102)</f>
        <v>0.516539440203562</v>
      </c>
      <c r="O102" s="20"/>
      <c r="P102" s="20" t="str">
        <f aca="false">IF(OR(N102="",O102=""),"",N102-O102)</f>
        <v/>
      </c>
      <c r="Q102" s="18"/>
    </row>
    <row r="103" customFormat="false" ht="15" hidden="false" customHeight="true" outlineLevel="0" collapsed="false">
      <c r="A103" s="18" t="s">
        <v>243</v>
      </c>
      <c r="B103" s="18" t="n">
        <v>14</v>
      </c>
      <c r="C103" s="18" t="s">
        <v>529</v>
      </c>
      <c r="D103" s="18" t="n">
        <v>-15</v>
      </c>
      <c r="E103" s="18" t="s">
        <v>195</v>
      </c>
      <c r="F103" s="18" t="s">
        <v>198</v>
      </c>
      <c r="G103" s="19" t="n">
        <v>40655</v>
      </c>
      <c r="H103" s="18" t="n">
        <v>18</v>
      </c>
      <c r="I103" s="18" t="n">
        <v>46</v>
      </c>
      <c r="J103" s="18" t="n">
        <f aca="false">SUMIFS($H$2:$H$1200,$A$2:$A$1200,$A103,$B$2:$B$1200,"&lt;="&amp;$B103)</f>
        <v>377</v>
      </c>
      <c r="K103" s="18" t="n">
        <f aca="false">SUMIFS($I$2:$I$1200,$A$2:$A$1200,$A103,$B$2:$B$1200,"&lt;="&amp;$B103)</f>
        <v>202</v>
      </c>
      <c r="L103" s="18" t="n">
        <f aca="false">J103-K103</f>
        <v>175</v>
      </c>
      <c r="M103" s="18" t="n">
        <f aca="false">SUMIF($A$2:$A$1200,$A103,$H$2:$H$1200)</f>
        <v>393</v>
      </c>
      <c r="N103" s="20" t="n">
        <f aca="false">IF(M103=0,"",L103/M103)</f>
        <v>0.44529262086514</v>
      </c>
      <c r="O103" s="20"/>
      <c r="P103" s="20" t="str">
        <f aca="false">IF(OR(N103="",O103=""),"",N103-O103)</f>
        <v/>
      </c>
      <c r="Q103" s="18"/>
    </row>
    <row r="104" customFormat="false" ht="15" hidden="false" customHeight="true" outlineLevel="0" collapsed="false">
      <c r="A104" s="18" t="s">
        <v>243</v>
      </c>
      <c r="B104" s="18" t="n">
        <v>15</v>
      </c>
      <c r="C104" s="18" t="s">
        <v>463</v>
      </c>
      <c r="D104" s="18" t="n">
        <v>0</v>
      </c>
      <c r="E104" s="18" t="s">
        <v>195</v>
      </c>
      <c r="F104" s="18" t="s">
        <v>198</v>
      </c>
      <c r="G104" s="19" t="n">
        <v>40655</v>
      </c>
      <c r="H104" s="18" t="n">
        <v>5</v>
      </c>
      <c r="I104" s="18" t="n">
        <v>43</v>
      </c>
      <c r="J104" s="18" t="n">
        <f aca="false">SUMIFS($H$2:$H$1200,$A$2:$A$1200,$A104,$B$2:$B$1200,"&lt;="&amp;$B104)</f>
        <v>382</v>
      </c>
      <c r="K104" s="18" t="n">
        <f aca="false">SUMIFS($I$2:$I$1200,$A$2:$A$1200,$A104,$B$2:$B$1200,"&lt;="&amp;$B104)</f>
        <v>245</v>
      </c>
      <c r="L104" s="18" t="n">
        <f aca="false">J104-K104</f>
        <v>137</v>
      </c>
      <c r="M104" s="18" t="n">
        <f aca="false">SUMIF($A$2:$A$1200,$A104,$H$2:$H$1200)</f>
        <v>393</v>
      </c>
      <c r="N104" s="20" t="n">
        <f aca="false">IF(M104=0,"",L104/M104)</f>
        <v>0.348600508905852</v>
      </c>
      <c r="O104" s="20"/>
      <c r="P104" s="20" t="str">
        <f aca="false">IF(OR(N104="",O104=""),"",N104-O104)</f>
        <v/>
      </c>
      <c r="Q104" s="18"/>
    </row>
    <row r="105" customFormat="false" ht="15" hidden="false" customHeight="true" outlineLevel="0" collapsed="false">
      <c r="A105" s="18" t="s">
        <v>243</v>
      </c>
      <c r="B105" s="18" t="n">
        <v>16</v>
      </c>
      <c r="C105" s="18" t="s">
        <v>366</v>
      </c>
      <c r="D105" s="18" t="n">
        <v>15</v>
      </c>
      <c r="E105" s="18" t="s">
        <v>195</v>
      </c>
      <c r="F105" s="18" t="s">
        <v>198</v>
      </c>
      <c r="G105" s="19" t="n">
        <v>40655</v>
      </c>
      <c r="H105" s="18" t="n">
        <v>2</v>
      </c>
      <c r="I105" s="18" t="n">
        <v>43</v>
      </c>
      <c r="J105" s="18" t="n">
        <f aca="false">SUMIFS($H$2:$H$1200,$A$2:$A$1200,$A105,$B$2:$B$1200,"&lt;="&amp;$B105)</f>
        <v>384</v>
      </c>
      <c r="K105" s="18" t="n">
        <f aca="false">SUMIFS($I$2:$I$1200,$A$2:$A$1200,$A105,$B$2:$B$1200,"&lt;="&amp;$B105)</f>
        <v>288</v>
      </c>
      <c r="L105" s="18" t="n">
        <f aca="false">J105-K105</f>
        <v>96</v>
      </c>
      <c r="M105" s="18" t="n">
        <f aca="false">SUMIF($A$2:$A$1200,$A105,$H$2:$H$1200)</f>
        <v>393</v>
      </c>
      <c r="N105" s="20" t="n">
        <f aca="false">IF(M105=0,"",L105/M105)</f>
        <v>0.244274809160305</v>
      </c>
      <c r="O105" s="20"/>
      <c r="P105" s="20" t="str">
        <f aca="false">IF(OR(N105="",O105=""),"",N105-O105)</f>
        <v/>
      </c>
      <c r="Q105" s="18"/>
    </row>
    <row r="106" customFormat="false" ht="15" hidden="false" customHeight="true" outlineLevel="0" collapsed="false">
      <c r="A106" s="18" t="s">
        <v>243</v>
      </c>
      <c r="B106" s="18" t="n">
        <v>17</v>
      </c>
      <c r="C106" s="18" t="s">
        <v>326</v>
      </c>
      <c r="D106" s="18" t="n">
        <v>30</v>
      </c>
      <c r="E106" s="18" t="s">
        <v>195</v>
      </c>
      <c r="F106" s="18" t="s">
        <v>198</v>
      </c>
      <c r="G106" s="19" t="n">
        <v>40655</v>
      </c>
      <c r="H106" s="18" t="n">
        <v>6</v>
      </c>
      <c r="I106" s="18" t="n">
        <v>27</v>
      </c>
      <c r="J106" s="18" t="n">
        <f aca="false">SUMIFS($H$2:$H$1200,$A$2:$A$1200,$A106,$B$2:$B$1200,"&lt;="&amp;$B106)</f>
        <v>390</v>
      </c>
      <c r="K106" s="18" t="n">
        <f aca="false">SUMIFS($I$2:$I$1200,$A$2:$A$1200,$A106,$B$2:$B$1200,"&lt;="&amp;$B106)</f>
        <v>315</v>
      </c>
      <c r="L106" s="18" t="n">
        <f aca="false">J106-K106</f>
        <v>75</v>
      </c>
      <c r="M106" s="18" t="n">
        <f aca="false">SUMIF($A$2:$A$1200,$A106,$H$2:$H$1200)</f>
        <v>393</v>
      </c>
      <c r="N106" s="20" t="n">
        <f aca="false">IF(M106=0,"",L106/M106)</f>
        <v>0.190839694656489</v>
      </c>
      <c r="O106" s="20"/>
      <c r="P106" s="20" t="str">
        <f aca="false">IF(OR(N106="",O106=""),"",N106-O106)</f>
        <v/>
      </c>
      <c r="Q106" s="18"/>
    </row>
    <row r="107" customFormat="false" ht="15" hidden="false" customHeight="true" outlineLevel="0" collapsed="false">
      <c r="A107" s="18" t="s">
        <v>243</v>
      </c>
      <c r="B107" s="18" t="n">
        <v>18</v>
      </c>
      <c r="C107" s="18" t="s">
        <v>226</v>
      </c>
      <c r="D107" s="18" t="n">
        <v>45</v>
      </c>
      <c r="E107" s="18" t="s">
        <v>195</v>
      </c>
      <c r="F107" s="18" t="s">
        <v>198</v>
      </c>
      <c r="G107" s="19" t="n">
        <v>40655</v>
      </c>
      <c r="H107" s="18" t="n">
        <v>3</v>
      </c>
      <c r="I107" s="18" t="n">
        <v>21</v>
      </c>
      <c r="J107" s="18" t="n">
        <f aca="false">SUMIFS($H$2:$H$1200,$A$2:$A$1200,$A107,$B$2:$B$1200,"&lt;="&amp;$B107)</f>
        <v>393</v>
      </c>
      <c r="K107" s="18" t="n">
        <f aca="false">SUMIFS($I$2:$I$1200,$A$2:$A$1200,$A107,$B$2:$B$1200,"&lt;="&amp;$B107)</f>
        <v>336</v>
      </c>
      <c r="L107" s="18" t="n">
        <f aca="false">J107-K107</f>
        <v>57</v>
      </c>
      <c r="M107" s="18" t="n">
        <f aca="false">SUMIF($A$2:$A$1200,$A107,$H$2:$H$1200)</f>
        <v>393</v>
      </c>
      <c r="N107" s="20" t="n">
        <f aca="false">IF(M107=0,"",L107/M107)</f>
        <v>0.145038167938931</v>
      </c>
      <c r="O107" s="20"/>
      <c r="P107" s="20" t="str">
        <f aca="false">IF(OR(N107="",O107=""),"",N107-O107)</f>
        <v/>
      </c>
      <c r="Q107" s="18"/>
    </row>
    <row r="108" customFormat="false" ht="15" hidden="false" customHeight="true" outlineLevel="0" collapsed="false">
      <c r="A108" s="18" t="s">
        <v>248</v>
      </c>
      <c r="B108" s="18" t="n">
        <v>0</v>
      </c>
      <c r="C108" s="18" t="s">
        <v>204</v>
      </c>
      <c r="D108" s="18"/>
      <c r="E108" s="18" t="s">
        <v>195</v>
      </c>
      <c r="F108" s="18" t="s">
        <v>198</v>
      </c>
      <c r="G108" s="19" t="n">
        <v>44653</v>
      </c>
      <c r="H108" s="18" t="n">
        <v>0</v>
      </c>
      <c r="I108" s="18" t="n">
        <v>0</v>
      </c>
      <c r="J108" s="18" t="n">
        <f aca="false">SUMIFS($H$2:$H$1200,$A$2:$A$1200,$A108,$B$2:$B$1200,"&lt;="&amp;$B108)</f>
        <v>0</v>
      </c>
      <c r="K108" s="18" t="n">
        <f aca="false">SUMIFS($I$2:$I$1200,$A$2:$A$1200,$A108,$B$2:$B$1200,"&lt;="&amp;$B108)</f>
        <v>0</v>
      </c>
      <c r="L108" s="18" t="n">
        <f aca="false">J108-K108</f>
        <v>0</v>
      </c>
      <c r="M108" s="18" t="n">
        <f aca="false">SUMIF($A$2:$A$1200,$A108,$H$2:$H$1200)</f>
        <v>426</v>
      </c>
      <c r="N108" s="20" t="n">
        <f aca="false">IF(M108=0,"",L108/M108)</f>
        <v>0</v>
      </c>
      <c r="O108" s="20" t="n">
        <v>0</v>
      </c>
      <c r="P108" s="20" t="n">
        <f aca="false">IF(OR(N108="",O108=""),"",N108-O108)</f>
        <v>0</v>
      </c>
      <c r="Q108" s="18"/>
    </row>
    <row r="109" customFormat="false" ht="15" hidden="false" customHeight="true" outlineLevel="0" collapsed="false">
      <c r="A109" s="18" t="s">
        <v>248</v>
      </c>
      <c r="B109" s="18" t="n">
        <v>3</v>
      </c>
      <c r="C109" s="18" t="s">
        <v>525</v>
      </c>
      <c r="D109" s="18" t="n">
        <v>-180</v>
      </c>
      <c r="E109" s="18" t="s">
        <v>195</v>
      </c>
      <c r="F109" s="18" t="s">
        <v>198</v>
      </c>
      <c r="G109" s="19" t="n">
        <v>44653</v>
      </c>
      <c r="H109" s="18" t="n">
        <v>3</v>
      </c>
      <c r="I109" s="18" t="n">
        <v>0</v>
      </c>
      <c r="J109" s="18" t="n">
        <f aca="false">SUMIFS($H$2:$H$1200,$A$2:$A$1200,$A109,$B$2:$B$1200,"&lt;="&amp;$B109)</f>
        <v>3</v>
      </c>
      <c r="K109" s="18" t="n">
        <f aca="false">SUMIFS($I$2:$I$1200,$A$2:$A$1200,$A109,$B$2:$B$1200,"&lt;="&amp;$B109)</f>
        <v>0</v>
      </c>
      <c r="L109" s="18" t="n">
        <f aca="false">J109-K109</f>
        <v>3</v>
      </c>
      <c r="M109" s="18" t="n">
        <f aca="false">SUMIF($A$2:$A$1200,$A109,$H$2:$H$1200)</f>
        <v>426</v>
      </c>
      <c r="N109" s="20" t="n">
        <f aca="false">IF(M109=0,"",L109/M109)</f>
        <v>0.00704225352112676</v>
      </c>
      <c r="O109" s="20" t="n">
        <v>0.00704225352112676</v>
      </c>
      <c r="P109" s="20" t="n">
        <f aca="false">IF(OR(N109="",O109=""),"",N109-O109)</f>
        <v>0</v>
      </c>
      <c r="Q109" s="18"/>
    </row>
    <row r="110" customFormat="false" ht="15" hidden="false" customHeight="true" outlineLevel="0" collapsed="false">
      <c r="A110" s="18" t="s">
        <v>248</v>
      </c>
      <c r="B110" s="18" t="n">
        <v>4</v>
      </c>
      <c r="C110" s="18" t="s">
        <v>526</v>
      </c>
      <c r="D110" s="18" t="n">
        <v>-165</v>
      </c>
      <c r="E110" s="18" t="s">
        <v>195</v>
      </c>
      <c r="F110" s="18" t="s">
        <v>198</v>
      </c>
      <c r="G110" s="19" t="n">
        <v>44653</v>
      </c>
      <c r="H110" s="18" t="n">
        <v>4</v>
      </c>
      <c r="I110" s="18" t="n">
        <v>0</v>
      </c>
      <c r="J110" s="18" t="n">
        <f aca="false">SUMIFS($H$2:$H$1200,$A$2:$A$1200,$A110,$B$2:$B$1200,"&lt;="&amp;$B110)</f>
        <v>7</v>
      </c>
      <c r="K110" s="18" t="n">
        <f aca="false">SUMIFS($I$2:$I$1200,$A$2:$A$1200,$A110,$B$2:$B$1200,"&lt;="&amp;$B110)</f>
        <v>0</v>
      </c>
      <c r="L110" s="18" t="n">
        <f aca="false">J110-K110</f>
        <v>7</v>
      </c>
      <c r="M110" s="18" t="n">
        <f aca="false">SUMIF($A$2:$A$1200,$A110,$H$2:$H$1200)</f>
        <v>426</v>
      </c>
      <c r="N110" s="20" t="n">
        <f aca="false">IF(M110=0,"",L110/M110)</f>
        <v>0.0164319248826291</v>
      </c>
      <c r="O110" s="20" t="n">
        <v>0.0164319248826291</v>
      </c>
      <c r="P110" s="20" t="n">
        <f aca="false">IF(OR(N110="",O110=""),"",N110-O110)</f>
        <v>0</v>
      </c>
      <c r="Q110" s="18"/>
    </row>
    <row r="111" customFormat="false" ht="15" hidden="false" customHeight="true" outlineLevel="0" collapsed="false">
      <c r="A111" s="18" t="s">
        <v>248</v>
      </c>
      <c r="B111" s="18" t="n">
        <v>5</v>
      </c>
      <c r="C111" s="18" t="s">
        <v>527</v>
      </c>
      <c r="D111" s="18" t="n">
        <v>-150</v>
      </c>
      <c r="E111" s="18" t="s">
        <v>195</v>
      </c>
      <c r="F111" s="18" t="s">
        <v>198</v>
      </c>
      <c r="G111" s="19" t="n">
        <v>44653</v>
      </c>
      <c r="H111" s="18" t="n">
        <v>15</v>
      </c>
      <c r="I111" s="18" t="n">
        <v>0</v>
      </c>
      <c r="J111" s="18" t="n">
        <f aca="false">SUMIFS($H$2:$H$1200,$A$2:$A$1200,$A111,$B$2:$B$1200,"&lt;="&amp;$B111)</f>
        <v>22</v>
      </c>
      <c r="K111" s="18" t="n">
        <f aca="false">SUMIFS($I$2:$I$1200,$A$2:$A$1200,$A111,$B$2:$B$1200,"&lt;="&amp;$B111)</f>
        <v>0</v>
      </c>
      <c r="L111" s="18" t="n">
        <f aca="false">J111-K111</f>
        <v>22</v>
      </c>
      <c r="M111" s="18" t="n">
        <f aca="false">SUMIF($A$2:$A$1200,$A111,$H$2:$H$1200)</f>
        <v>426</v>
      </c>
      <c r="N111" s="20" t="n">
        <f aca="false">IF(M111=0,"",L111/M111)</f>
        <v>0.0516431924882629</v>
      </c>
      <c r="O111" s="20" t="n">
        <v>0.0516431924882629</v>
      </c>
      <c r="P111" s="20" t="n">
        <f aca="false">IF(OR(N111="",O111=""),"",N111-O111)</f>
        <v>0</v>
      </c>
      <c r="Q111" s="18"/>
    </row>
    <row r="112" customFormat="false" ht="15" hidden="false" customHeight="true" outlineLevel="0" collapsed="false">
      <c r="A112" s="18" t="s">
        <v>248</v>
      </c>
      <c r="B112" s="18" t="n">
        <v>6</v>
      </c>
      <c r="C112" s="18" t="s">
        <v>528</v>
      </c>
      <c r="D112" s="18" t="n">
        <v>-135</v>
      </c>
      <c r="E112" s="18" t="s">
        <v>195</v>
      </c>
      <c r="F112" s="18" t="s">
        <v>198</v>
      </c>
      <c r="G112" s="19" t="n">
        <v>44653</v>
      </c>
      <c r="H112" s="18" t="n">
        <v>10</v>
      </c>
      <c r="I112" s="18" t="n">
        <v>1</v>
      </c>
      <c r="J112" s="18" t="n">
        <f aca="false">SUMIFS($H$2:$H$1200,$A$2:$A$1200,$A112,$B$2:$B$1200,"&lt;="&amp;$B112)</f>
        <v>32</v>
      </c>
      <c r="K112" s="18" t="n">
        <f aca="false">SUMIFS($I$2:$I$1200,$A$2:$A$1200,$A112,$B$2:$B$1200,"&lt;="&amp;$B112)</f>
        <v>1</v>
      </c>
      <c r="L112" s="18" t="n">
        <f aca="false">J112-K112</f>
        <v>31</v>
      </c>
      <c r="M112" s="18" t="n">
        <f aca="false">SUMIF($A$2:$A$1200,$A112,$H$2:$H$1200)</f>
        <v>426</v>
      </c>
      <c r="N112" s="20" t="n">
        <f aca="false">IF(M112=0,"",L112/M112)</f>
        <v>0.0727699530516432</v>
      </c>
      <c r="O112" s="20" t="n">
        <v>0.0727699530516432</v>
      </c>
      <c r="P112" s="20" t="n">
        <f aca="false">IF(OR(N112="",O112=""),"",N112-O112)</f>
        <v>0</v>
      </c>
      <c r="Q112" s="18"/>
    </row>
    <row r="113" customFormat="false" ht="15" hidden="false" customHeight="true" outlineLevel="0" collapsed="false">
      <c r="A113" s="18" t="s">
        <v>248</v>
      </c>
      <c r="B113" s="18" t="n">
        <v>7</v>
      </c>
      <c r="C113" s="18" t="s">
        <v>227</v>
      </c>
      <c r="D113" s="18" t="n">
        <v>-120</v>
      </c>
      <c r="E113" s="18" t="s">
        <v>195</v>
      </c>
      <c r="F113" s="18" t="s">
        <v>198</v>
      </c>
      <c r="G113" s="19" t="n">
        <v>44653</v>
      </c>
      <c r="H113" s="18" t="n">
        <v>26</v>
      </c>
      <c r="I113" s="18" t="n">
        <v>1</v>
      </c>
      <c r="J113" s="18" t="n">
        <f aca="false">SUMIFS($H$2:$H$1200,$A$2:$A$1200,$A113,$B$2:$B$1200,"&lt;="&amp;$B113)</f>
        <v>58</v>
      </c>
      <c r="K113" s="18" t="n">
        <f aca="false">SUMIFS($I$2:$I$1200,$A$2:$A$1200,$A113,$B$2:$B$1200,"&lt;="&amp;$B113)</f>
        <v>2</v>
      </c>
      <c r="L113" s="18" t="n">
        <f aca="false">J113-K113</f>
        <v>56</v>
      </c>
      <c r="M113" s="18" t="n">
        <f aca="false">SUMIF($A$2:$A$1200,$A113,$H$2:$H$1200)</f>
        <v>426</v>
      </c>
      <c r="N113" s="20" t="n">
        <f aca="false">IF(M113=0,"",L113/M113)</f>
        <v>0.131455399061033</v>
      </c>
      <c r="O113" s="20" t="n">
        <v>0.131455399061033</v>
      </c>
      <c r="P113" s="20" t="n">
        <f aca="false">IF(OR(N113="",O113=""),"",N113-O113)</f>
        <v>0</v>
      </c>
      <c r="Q113" s="18"/>
    </row>
    <row r="114" customFormat="false" ht="15" hidden="false" customHeight="true" outlineLevel="0" collapsed="false">
      <c r="A114" s="18" t="s">
        <v>248</v>
      </c>
      <c r="B114" s="18" t="n">
        <v>8</v>
      </c>
      <c r="C114" s="18" t="s">
        <v>241</v>
      </c>
      <c r="D114" s="18" t="n">
        <v>-105</v>
      </c>
      <c r="E114" s="18" t="s">
        <v>195</v>
      </c>
      <c r="F114" s="18" t="s">
        <v>198</v>
      </c>
      <c r="G114" s="19" t="n">
        <v>44653</v>
      </c>
      <c r="H114" s="18" t="n">
        <v>51</v>
      </c>
      <c r="I114" s="18" t="n">
        <v>0</v>
      </c>
      <c r="J114" s="18" t="n">
        <f aca="false">SUMIFS($H$2:$H$1200,$A$2:$A$1200,$A114,$B$2:$B$1200,"&lt;="&amp;$B114)</f>
        <v>109</v>
      </c>
      <c r="K114" s="18" t="n">
        <f aca="false">SUMIFS($I$2:$I$1200,$A$2:$A$1200,$A114,$B$2:$B$1200,"&lt;="&amp;$B114)</f>
        <v>2</v>
      </c>
      <c r="L114" s="18" t="n">
        <f aca="false">J114-K114</f>
        <v>107</v>
      </c>
      <c r="M114" s="18" t="n">
        <f aca="false">SUMIF($A$2:$A$1200,$A114,$H$2:$H$1200)</f>
        <v>426</v>
      </c>
      <c r="N114" s="20" t="n">
        <f aca="false">IF(M114=0,"",L114/M114)</f>
        <v>0.251173708920188</v>
      </c>
      <c r="O114" s="20" t="n">
        <v>0.251173708920188</v>
      </c>
      <c r="P114" s="20" t="n">
        <f aca="false">IF(OR(N114="",O114=""),"",N114-O114)</f>
        <v>0</v>
      </c>
      <c r="Q114" s="18"/>
    </row>
    <row r="115" customFormat="false" ht="15" hidden="false" customHeight="true" outlineLevel="0" collapsed="false">
      <c r="A115" s="18" t="s">
        <v>248</v>
      </c>
      <c r="B115" s="18" t="n">
        <v>9</v>
      </c>
      <c r="C115" s="18" t="s">
        <v>279</v>
      </c>
      <c r="D115" s="18" t="n">
        <v>-90</v>
      </c>
      <c r="E115" s="18" t="s">
        <v>195</v>
      </c>
      <c r="F115" s="18" t="s">
        <v>198</v>
      </c>
      <c r="G115" s="19" t="n">
        <v>44653</v>
      </c>
      <c r="H115" s="18" t="n">
        <v>59</v>
      </c>
      <c r="I115" s="18" t="n">
        <v>3</v>
      </c>
      <c r="J115" s="18" t="n">
        <f aca="false">SUMIFS($H$2:$H$1200,$A$2:$A$1200,$A115,$B$2:$B$1200,"&lt;="&amp;$B115)</f>
        <v>168</v>
      </c>
      <c r="K115" s="18" t="n">
        <f aca="false">SUMIFS($I$2:$I$1200,$A$2:$A$1200,$A115,$B$2:$B$1200,"&lt;="&amp;$B115)</f>
        <v>5</v>
      </c>
      <c r="L115" s="18" t="n">
        <f aca="false">J115-K115</f>
        <v>163</v>
      </c>
      <c r="M115" s="18" t="n">
        <f aca="false">SUMIF($A$2:$A$1200,$A115,$H$2:$H$1200)</f>
        <v>426</v>
      </c>
      <c r="N115" s="20" t="n">
        <f aca="false">IF(M115=0,"",L115/M115)</f>
        <v>0.382629107981221</v>
      </c>
      <c r="O115" s="20" t="n">
        <v>0.382629107981221</v>
      </c>
      <c r="P115" s="20" t="n">
        <f aca="false">IF(OR(N115="",O115=""),"",N115-O115)</f>
        <v>0</v>
      </c>
      <c r="Q115" s="18"/>
    </row>
    <row r="116" customFormat="false" ht="15" hidden="false" customHeight="true" outlineLevel="0" collapsed="false">
      <c r="A116" s="18" t="s">
        <v>248</v>
      </c>
      <c r="B116" s="18" t="n">
        <v>10</v>
      </c>
      <c r="C116" s="18" t="s">
        <v>206</v>
      </c>
      <c r="D116" s="18" t="n">
        <v>-75</v>
      </c>
      <c r="E116" s="18" t="s">
        <v>195</v>
      </c>
      <c r="F116" s="18" t="s">
        <v>198</v>
      </c>
      <c r="G116" s="19" t="n">
        <v>44653</v>
      </c>
      <c r="H116" s="18" t="n">
        <v>74</v>
      </c>
      <c r="I116" s="18" t="n">
        <v>4</v>
      </c>
      <c r="J116" s="18" t="n">
        <f aca="false">SUMIFS($H$2:$H$1200,$A$2:$A$1200,$A116,$B$2:$B$1200,"&lt;="&amp;$B116)</f>
        <v>242</v>
      </c>
      <c r="K116" s="18" t="n">
        <f aca="false">SUMIFS($I$2:$I$1200,$A$2:$A$1200,$A116,$B$2:$B$1200,"&lt;="&amp;$B116)</f>
        <v>9</v>
      </c>
      <c r="L116" s="18" t="n">
        <f aca="false">J116-K116</f>
        <v>233</v>
      </c>
      <c r="M116" s="18" t="n">
        <f aca="false">SUMIF($A$2:$A$1200,$A116,$H$2:$H$1200)</f>
        <v>426</v>
      </c>
      <c r="N116" s="20" t="n">
        <f aca="false">IF(M116=0,"",L116/M116)</f>
        <v>0.546948356807512</v>
      </c>
      <c r="O116" s="20" t="n">
        <v>0.546948356807512</v>
      </c>
      <c r="P116" s="20" t="n">
        <f aca="false">IF(OR(N116="",O116=""),"",N116-O116)</f>
        <v>0</v>
      </c>
      <c r="Q116" s="18"/>
    </row>
    <row r="117" customFormat="false" ht="15" hidden="false" customHeight="true" outlineLevel="0" collapsed="false">
      <c r="A117" s="18" t="s">
        <v>248</v>
      </c>
      <c r="B117" s="18" t="n">
        <v>11</v>
      </c>
      <c r="C117" s="18" t="s">
        <v>246</v>
      </c>
      <c r="D117" s="18" t="n">
        <v>-60</v>
      </c>
      <c r="E117" s="18" t="s">
        <v>195</v>
      </c>
      <c r="F117" s="18" t="s">
        <v>198</v>
      </c>
      <c r="G117" s="19" t="n">
        <v>44653</v>
      </c>
      <c r="H117" s="18" t="n">
        <v>64</v>
      </c>
      <c r="I117" s="18" t="n">
        <v>17</v>
      </c>
      <c r="J117" s="18" t="n">
        <f aca="false">SUMIFS($H$2:$H$1200,$A$2:$A$1200,$A117,$B$2:$B$1200,"&lt;="&amp;$B117)</f>
        <v>306</v>
      </c>
      <c r="K117" s="18" t="n">
        <f aca="false">SUMIFS($I$2:$I$1200,$A$2:$A$1200,$A117,$B$2:$B$1200,"&lt;="&amp;$B117)</f>
        <v>26</v>
      </c>
      <c r="L117" s="18" t="n">
        <f aca="false">J117-K117</f>
        <v>280</v>
      </c>
      <c r="M117" s="18" t="n">
        <f aca="false">SUMIF($A$2:$A$1200,$A117,$H$2:$H$1200)</f>
        <v>426</v>
      </c>
      <c r="N117" s="20" t="n">
        <f aca="false">IF(M117=0,"",L117/M117)</f>
        <v>0.657276995305164</v>
      </c>
      <c r="O117" s="20" t="n">
        <v>0.657276995305164</v>
      </c>
      <c r="P117" s="20" t="n">
        <f aca="false">IF(OR(N117="",O117=""),"",N117-O117)</f>
        <v>0</v>
      </c>
      <c r="Q117" s="18"/>
    </row>
    <row r="118" customFormat="false" ht="15" hidden="false" customHeight="true" outlineLevel="0" collapsed="false">
      <c r="A118" s="18" t="s">
        <v>248</v>
      </c>
      <c r="B118" s="18" t="n">
        <v>12</v>
      </c>
      <c r="C118" s="18" t="s">
        <v>254</v>
      </c>
      <c r="D118" s="18" t="n">
        <v>-45</v>
      </c>
      <c r="E118" s="18" t="s">
        <v>195</v>
      </c>
      <c r="F118" s="18" t="s">
        <v>198</v>
      </c>
      <c r="G118" s="19" t="n">
        <v>44653</v>
      </c>
      <c r="H118" s="18" t="n">
        <v>47</v>
      </c>
      <c r="I118" s="18" t="n">
        <v>34</v>
      </c>
      <c r="J118" s="18" t="n">
        <f aca="false">SUMIFS($H$2:$H$1200,$A$2:$A$1200,$A118,$B$2:$B$1200,"&lt;="&amp;$B118)</f>
        <v>353</v>
      </c>
      <c r="K118" s="18" t="n">
        <f aca="false">SUMIFS($I$2:$I$1200,$A$2:$A$1200,$A118,$B$2:$B$1200,"&lt;="&amp;$B118)</f>
        <v>60</v>
      </c>
      <c r="L118" s="18" t="n">
        <f aca="false">J118-K118</f>
        <v>293</v>
      </c>
      <c r="M118" s="18" t="n">
        <f aca="false">SUMIF($A$2:$A$1200,$A118,$H$2:$H$1200)</f>
        <v>426</v>
      </c>
      <c r="N118" s="20" t="n">
        <f aca="false">IF(M118=0,"",L118/M118)</f>
        <v>0.687793427230047</v>
      </c>
      <c r="O118" s="20" t="n">
        <v>0.687793427230047</v>
      </c>
      <c r="P118" s="20" t="n">
        <f aca="false">IF(OR(N118="",O118=""),"",N118-O118)</f>
        <v>0</v>
      </c>
      <c r="Q118" s="18"/>
    </row>
    <row r="119" customFormat="false" ht="15" hidden="false" customHeight="true" outlineLevel="0" collapsed="false">
      <c r="A119" s="18" t="s">
        <v>248</v>
      </c>
      <c r="B119" s="18" t="n">
        <v>13</v>
      </c>
      <c r="C119" s="18" t="s">
        <v>403</v>
      </c>
      <c r="D119" s="18" t="n">
        <v>-30</v>
      </c>
      <c r="E119" s="18" t="s">
        <v>195</v>
      </c>
      <c r="F119" s="18" t="s">
        <v>198</v>
      </c>
      <c r="G119" s="19" t="n">
        <v>44653</v>
      </c>
      <c r="H119" s="18" t="n">
        <v>18</v>
      </c>
      <c r="I119" s="18" t="n">
        <v>37</v>
      </c>
      <c r="J119" s="18" t="n">
        <f aca="false">SUMIFS($H$2:$H$1200,$A$2:$A$1200,$A119,$B$2:$B$1200,"&lt;="&amp;$B119)</f>
        <v>371</v>
      </c>
      <c r="K119" s="18" t="n">
        <f aca="false">SUMIFS($I$2:$I$1200,$A$2:$A$1200,$A119,$B$2:$B$1200,"&lt;="&amp;$B119)</f>
        <v>97</v>
      </c>
      <c r="L119" s="18" t="n">
        <f aca="false">J119-K119</f>
        <v>274</v>
      </c>
      <c r="M119" s="18" t="n">
        <f aca="false">SUMIF($A$2:$A$1200,$A119,$H$2:$H$1200)</f>
        <v>426</v>
      </c>
      <c r="N119" s="20" t="n">
        <f aca="false">IF(M119=0,"",L119/M119)</f>
        <v>0.643192488262911</v>
      </c>
      <c r="O119" s="20" t="n">
        <v>0.643192488262911</v>
      </c>
      <c r="P119" s="20" t="n">
        <f aca="false">IF(OR(N119="",O119=""),"",N119-O119)</f>
        <v>0</v>
      </c>
      <c r="Q119" s="18"/>
    </row>
    <row r="120" customFormat="false" ht="15" hidden="false" customHeight="true" outlineLevel="0" collapsed="false">
      <c r="A120" s="18" t="s">
        <v>248</v>
      </c>
      <c r="B120" s="18" t="n">
        <v>14</v>
      </c>
      <c r="C120" s="18" t="s">
        <v>529</v>
      </c>
      <c r="D120" s="18" t="n">
        <v>-15</v>
      </c>
      <c r="E120" s="18" t="s">
        <v>195</v>
      </c>
      <c r="F120" s="18" t="s">
        <v>198</v>
      </c>
      <c r="G120" s="19" t="n">
        <v>44653</v>
      </c>
      <c r="H120" s="18" t="n">
        <v>14</v>
      </c>
      <c r="I120" s="18" t="n">
        <v>49</v>
      </c>
      <c r="J120" s="18" t="n">
        <f aca="false">SUMIFS($H$2:$H$1200,$A$2:$A$1200,$A120,$B$2:$B$1200,"&lt;="&amp;$B120)</f>
        <v>385</v>
      </c>
      <c r="K120" s="18" t="n">
        <f aca="false">SUMIFS($I$2:$I$1200,$A$2:$A$1200,$A120,$B$2:$B$1200,"&lt;="&amp;$B120)</f>
        <v>146</v>
      </c>
      <c r="L120" s="18" t="n">
        <f aca="false">J120-K120</f>
        <v>239</v>
      </c>
      <c r="M120" s="18" t="n">
        <f aca="false">SUMIF($A$2:$A$1200,$A120,$H$2:$H$1200)</f>
        <v>426</v>
      </c>
      <c r="N120" s="20" t="n">
        <f aca="false">IF(M120=0,"",L120/M120)</f>
        <v>0.561032863849765</v>
      </c>
      <c r="O120" s="20" t="n">
        <v>0.561032863849765</v>
      </c>
      <c r="P120" s="20" t="n">
        <f aca="false">IF(OR(N120="",O120=""),"",N120-O120)</f>
        <v>0</v>
      </c>
      <c r="Q120" s="18"/>
    </row>
    <row r="121" customFormat="false" ht="15" hidden="false" customHeight="true" outlineLevel="0" collapsed="false">
      <c r="A121" s="18" t="s">
        <v>248</v>
      </c>
      <c r="B121" s="18" t="n">
        <v>15</v>
      </c>
      <c r="C121" s="18" t="s">
        <v>463</v>
      </c>
      <c r="D121" s="18" t="n">
        <v>0</v>
      </c>
      <c r="E121" s="18" t="s">
        <v>195</v>
      </c>
      <c r="F121" s="18" t="s">
        <v>198</v>
      </c>
      <c r="G121" s="19" t="n">
        <v>44653</v>
      </c>
      <c r="H121" s="18" t="n">
        <v>14</v>
      </c>
      <c r="I121" s="18" t="n">
        <v>47</v>
      </c>
      <c r="J121" s="18" t="n">
        <f aca="false">SUMIFS($H$2:$H$1200,$A$2:$A$1200,$A121,$B$2:$B$1200,"&lt;="&amp;$B121)</f>
        <v>399</v>
      </c>
      <c r="K121" s="18" t="n">
        <f aca="false">SUMIFS($I$2:$I$1200,$A$2:$A$1200,$A121,$B$2:$B$1200,"&lt;="&amp;$B121)</f>
        <v>193</v>
      </c>
      <c r="L121" s="18" t="n">
        <f aca="false">J121-K121</f>
        <v>206</v>
      </c>
      <c r="M121" s="18" t="n">
        <f aca="false">SUMIF($A$2:$A$1200,$A121,$H$2:$H$1200)</f>
        <v>426</v>
      </c>
      <c r="N121" s="20" t="n">
        <f aca="false">IF(M121=0,"",L121/M121)</f>
        <v>0.483568075117371</v>
      </c>
      <c r="O121" s="20" t="n">
        <v>0.483568075117371</v>
      </c>
      <c r="P121" s="20" t="n">
        <f aca="false">IF(OR(N121="",O121=""),"",N121-O121)</f>
        <v>0</v>
      </c>
      <c r="Q121" s="18"/>
    </row>
    <row r="122" customFormat="false" ht="15" hidden="false" customHeight="true" outlineLevel="0" collapsed="false">
      <c r="A122" s="18" t="s">
        <v>248</v>
      </c>
      <c r="B122" s="18" t="n">
        <v>16</v>
      </c>
      <c r="C122" s="18" t="s">
        <v>366</v>
      </c>
      <c r="D122" s="18" t="n">
        <v>15</v>
      </c>
      <c r="E122" s="18" t="s">
        <v>195</v>
      </c>
      <c r="F122" s="18" t="s">
        <v>198</v>
      </c>
      <c r="G122" s="19" t="n">
        <v>44653</v>
      </c>
      <c r="H122" s="18" t="n">
        <v>13</v>
      </c>
      <c r="I122" s="18" t="n">
        <v>33</v>
      </c>
      <c r="J122" s="18" t="n">
        <f aca="false">SUMIFS($H$2:$H$1200,$A$2:$A$1200,$A122,$B$2:$B$1200,"&lt;="&amp;$B122)</f>
        <v>412</v>
      </c>
      <c r="K122" s="18" t="n">
        <f aca="false">SUMIFS($I$2:$I$1200,$A$2:$A$1200,$A122,$B$2:$B$1200,"&lt;="&amp;$B122)</f>
        <v>226</v>
      </c>
      <c r="L122" s="18" t="n">
        <f aca="false">J122-K122</f>
        <v>186</v>
      </c>
      <c r="M122" s="18" t="n">
        <f aca="false">SUMIF($A$2:$A$1200,$A122,$H$2:$H$1200)</f>
        <v>426</v>
      </c>
      <c r="N122" s="20" t="n">
        <f aca="false">IF(M122=0,"",L122/M122)</f>
        <v>0.436619718309859</v>
      </c>
      <c r="O122" s="20" t="n">
        <v>0.436619718309859</v>
      </c>
      <c r="P122" s="20" t="n">
        <f aca="false">IF(OR(N122="",O122=""),"",N122-O122)</f>
        <v>0</v>
      </c>
      <c r="Q122" s="18"/>
    </row>
    <row r="123" customFormat="false" ht="15" hidden="false" customHeight="true" outlineLevel="0" collapsed="false">
      <c r="A123" s="18" t="s">
        <v>248</v>
      </c>
      <c r="B123" s="18" t="n">
        <v>17</v>
      </c>
      <c r="C123" s="18" t="s">
        <v>326</v>
      </c>
      <c r="D123" s="18" t="n">
        <v>30</v>
      </c>
      <c r="E123" s="18" t="s">
        <v>195</v>
      </c>
      <c r="F123" s="18" t="s">
        <v>198</v>
      </c>
      <c r="G123" s="19" t="n">
        <v>44653</v>
      </c>
      <c r="H123" s="18" t="n">
        <v>7</v>
      </c>
      <c r="I123" s="18" t="n">
        <v>54</v>
      </c>
      <c r="J123" s="18" t="n">
        <f aca="false">SUMIFS($H$2:$H$1200,$A$2:$A$1200,$A123,$B$2:$B$1200,"&lt;="&amp;$B123)</f>
        <v>419</v>
      </c>
      <c r="K123" s="18" t="n">
        <f aca="false">SUMIFS($I$2:$I$1200,$A$2:$A$1200,$A123,$B$2:$B$1200,"&lt;="&amp;$B123)</f>
        <v>280</v>
      </c>
      <c r="L123" s="18" t="n">
        <f aca="false">J123-K123</f>
        <v>139</v>
      </c>
      <c r="M123" s="18" t="n">
        <f aca="false">SUMIF($A$2:$A$1200,$A123,$H$2:$H$1200)</f>
        <v>426</v>
      </c>
      <c r="N123" s="20" t="n">
        <f aca="false">IF(M123=0,"",L123/M123)</f>
        <v>0.326291079812207</v>
      </c>
      <c r="O123" s="20" t="n">
        <v>0.326291079812207</v>
      </c>
      <c r="P123" s="20" t="n">
        <f aca="false">IF(OR(N123="",O123=""),"",N123-O123)</f>
        <v>0</v>
      </c>
      <c r="Q123" s="18"/>
    </row>
    <row r="124" customFormat="false" ht="15" hidden="false" customHeight="true" outlineLevel="0" collapsed="false">
      <c r="A124" s="18" t="s">
        <v>248</v>
      </c>
      <c r="B124" s="18" t="n">
        <v>18</v>
      </c>
      <c r="C124" s="18" t="s">
        <v>226</v>
      </c>
      <c r="D124" s="18" t="n">
        <v>45</v>
      </c>
      <c r="E124" s="18" t="s">
        <v>195</v>
      </c>
      <c r="F124" s="18" t="s">
        <v>198</v>
      </c>
      <c r="G124" s="19" t="n">
        <v>44653</v>
      </c>
      <c r="H124" s="18" t="n">
        <v>7</v>
      </c>
      <c r="I124" s="18" t="n">
        <v>21</v>
      </c>
      <c r="J124" s="18" t="n">
        <f aca="false">SUMIFS($H$2:$H$1200,$A$2:$A$1200,$A124,$B$2:$B$1200,"&lt;="&amp;$B124)</f>
        <v>426</v>
      </c>
      <c r="K124" s="18" t="n">
        <f aca="false">SUMIFS($I$2:$I$1200,$A$2:$A$1200,$A124,$B$2:$B$1200,"&lt;="&amp;$B124)</f>
        <v>301</v>
      </c>
      <c r="L124" s="18" t="n">
        <f aca="false">J124-K124</f>
        <v>125</v>
      </c>
      <c r="M124" s="18" t="n">
        <f aca="false">SUMIF($A$2:$A$1200,$A124,$H$2:$H$1200)</f>
        <v>426</v>
      </c>
      <c r="N124" s="20" t="n">
        <f aca="false">IF(M124=0,"",L124/M124)</f>
        <v>0.293427230046948</v>
      </c>
      <c r="O124" s="20" t="n">
        <v>0.293427230046948</v>
      </c>
      <c r="P124" s="20" t="n">
        <f aca="false">IF(OR(N124="",O124=""),"",N124-O124)</f>
        <v>0</v>
      </c>
      <c r="Q124" s="18"/>
    </row>
    <row r="125" customFormat="false" ht="15" hidden="false" customHeight="true" outlineLevel="0" collapsed="false">
      <c r="A125" s="18" t="s">
        <v>256</v>
      </c>
      <c r="B125" s="18" t="n">
        <v>0</v>
      </c>
      <c r="C125" s="18" t="s">
        <v>204</v>
      </c>
      <c r="D125" s="18"/>
      <c r="E125" s="18" t="s">
        <v>195</v>
      </c>
      <c r="F125" s="18" t="s">
        <v>198</v>
      </c>
      <c r="G125" s="19" t="n">
        <v>45040</v>
      </c>
      <c r="H125" s="18" t="n">
        <v>3</v>
      </c>
      <c r="I125" s="18" t="n">
        <v>0</v>
      </c>
      <c r="J125" s="18" t="n">
        <f aca="false">SUMIFS($H$2:$H$1200,$A$2:$A$1200,$A125,$B$2:$B$1200,"&lt;="&amp;$B125)</f>
        <v>3</v>
      </c>
      <c r="K125" s="18" t="n">
        <f aca="false">SUMIFS($I$2:$I$1200,$A$2:$A$1200,$A125,$B$2:$B$1200,"&lt;="&amp;$B125)</f>
        <v>0</v>
      </c>
      <c r="L125" s="18" t="n">
        <f aca="false">J125-K125</f>
        <v>3</v>
      </c>
      <c r="M125" s="18" t="n">
        <f aca="false">SUMIF($A$2:$A$1200,$A125,$H$2:$H$1200)</f>
        <v>212</v>
      </c>
      <c r="N125" s="20" t="n">
        <f aca="false">IF(M125=0,"",L125/M125)</f>
        <v>0.0141509433962264</v>
      </c>
      <c r="O125" s="20" t="n">
        <v>0.0141509433962264</v>
      </c>
      <c r="P125" s="20" t="n">
        <f aca="false">IF(OR(N125="",O125=""),"",N125-O125)</f>
        <v>0</v>
      </c>
      <c r="Q125" s="18"/>
    </row>
    <row r="126" customFormat="false" ht="15" hidden="false" customHeight="true" outlineLevel="0" collapsed="false">
      <c r="A126" s="18" t="s">
        <v>256</v>
      </c>
      <c r="B126" s="18" t="n">
        <v>3</v>
      </c>
      <c r="C126" s="18" t="s">
        <v>525</v>
      </c>
      <c r="D126" s="18" t="n">
        <v>-180</v>
      </c>
      <c r="E126" s="18" t="s">
        <v>195</v>
      </c>
      <c r="F126" s="18" t="s">
        <v>198</v>
      </c>
      <c r="G126" s="19" t="n">
        <v>45040</v>
      </c>
      <c r="H126" s="18" t="n">
        <v>5</v>
      </c>
      <c r="I126" s="18" t="n">
        <v>0</v>
      </c>
      <c r="J126" s="18" t="n">
        <f aca="false">SUMIFS($H$2:$H$1200,$A$2:$A$1200,$A126,$B$2:$B$1200,"&lt;="&amp;$B126)</f>
        <v>8</v>
      </c>
      <c r="K126" s="18" t="n">
        <f aca="false">SUMIFS($I$2:$I$1200,$A$2:$A$1200,$A126,$B$2:$B$1200,"&lt;="&amp;$B126)</f>
        <v>0</v>
      </c>
      <c r="L126" s="18" t="n">
        <f aca="false">J126-K126</f>
        <v>8</v>
      </c>
      <c r="M126" s="18" t="n">
        <f aca="false">SUMIF($A$2:$A$1200,$A126,$H$2:$H$1200)</f>
        <v>212</v>
      </c>
      <c r="N126" s="20" t="n">
        <f aca="false">IF(M126=0,"",L126/M126)</f>
        <v>0.0377358490566038</v>
      </c>
      <c r="O126" s="20" t="n">
        <v>0.0377358490566038</v>
      </c>
      <c r="P126" s="20" t="n">
        <f aca="false">IF(OR(N126="",O126=""),"",N126-O126)</f>
        <v>0</v>
      </c>
      <c r="Q126" s="18"/>
    </row>
    <row r="127" customFormat="false" ht="15" hidden="false" customHeight="true" outlineLevel="0" collapsed="false">
      <c r="A127" s="18" t="s">
        <v>256</v>
      </c>
      <c r="B127" s="18" t="n">
        <v>4</v>
      </c>
      <c r="C127" s="18" t="s">
        <v>526</v>
      </c>
      <c r="D127" s="18" t="n">
        <v>-165</v>
      </c>
      <c r="E127" s="18" t="s">
        <v>195</v>
      </c>
      <c r="F127" s="18" t="s">
        <v>198</v>
      </c>
      <c r="G127" s="19" t="n">
        <v>45040</v>
      </c>
      <c r="H127" s="18" t="n">
        <v>4</v>
      </c>
      <c r="I127" s="18" t="n">
        <v>0</v>
      </c>
      <c r="J127" s="18" t="n">
        <f aca="false">SUMIFS($H$2:$H$1200,$A$2:$A$1200,$A127,$B$2:$B$1200,"&lt;="&amp;$B127)</f>
        <v>12</v>
      </c>
      <c r="K127" s="18" t="n">
        <f aca="false">SUMIFS($I$2:$I$1200,$A$2:$A$1200,$A127,$B$2:$B$1200,"&lt;="&amp;$B127)</f>
        <v>0</v>
      </c>
      <c r="L127" s="18" t="n">
        <f aca="false">J127-K127</f>
        <v>12</v>
      </c>
      <c r="M127" s="18" t="n">
        <f aca="false">SUMIF($A$2:$A$1200,$A127,$H$2:$H$1200)</f>
        <v>212</v>
      </c>
      <c r="N127" s="20" t="n">
        <f aca="false">IF(M127=0,"",L127/M127)</f>
        <v>0.0566037735849057</v>
      </c>
      <c r="O127" s="20" t="n">
        <v>0.0566037735849057</v>
      </c>
      <c r="P127" s="20" t="n">
        <f aca="false">IF(OR(N127="",O127=""),"",N127-O127)</f>
        <v>0</v>
      </c>
      <c r="Q127" s="18"/>
    </row>
    <row r="128" customFormat="false" ht="15" hidden="false" customHeight="true" outlineLevel="0" collapsed="false">
      <c r="A128" s="18" t="s">
        <v>256</v>
      </c>
      <c r="B128" s="18" t="n">
        <v>5</v>
      </c>
      <c r="C128" s="18" t="s">
        <v>527</v>
      </c>
      <c r="D128" s="18" t="n">
        <v>-150</v>
      </c>
      <c r="E128" s="18" t="s">
        <v>195</v>
      </c>
      <c r="F128" s="18" t="s">
        <v>198</v>
      </c>
      <c r="G128" s="19" t="n">
        <v>45040</v>
      </c>
      <c r="H128" s="18" t="n">
        <v>6</v>
      </c>
      <c r="I128" s="18" t="n">
        <v>0</v>
      </c>
      <c r="J128" s="18" t="n">
        <f aca="false">SUMIFS($H$2:$H$1200,$A$2:$A$1200,$A128,$B$2:$B$1200,"&lt;="&amp;$B128)</f>
        <v>18</v>
      </c>
      <c r="K128" s="18" t="n">
        <f aca="false">SUMIFS($I$2:$I$1200,$A$2:$A$1200,$A128,$B$2:$B$1200,"&lt;="&amp;$B128)</f>
        <v>0</v>
      </c>
      <c r="L128" s="18" t="n">
        <f aca="false">J128-K128</f>
        <v>18</v>
      </c>
      <c r="M128" s="18" t="n">
        <f aca="false">SUMIF($A$2:$A$1200,$A128,$H$2:$H$1200)</f>
        <v>212</v>
      </c>
      <c r="N128" s="20" t="n">
        <f aca="false">IF(M128=0,"",L128/M128)</f>
        <v>0.0849056603773585</v>
      </c>
      <c r="O128" s="20" t="n">
        <v>0.0849056603773585</v>
      </c>
      <c r="P128" s="20" t="n">
        <f aca="false">IF(OR(N128="",O128=""),"",N128-O128)</f>
        <v>0</v>
      </c>
      <c r="Q128" s="18"/>
    </row>
    <row r="129" customFormat="false" ht="15" hidden="false" customHeight="true" outlineLevel="0" collapsed="false">
      <c r="A129" s="18" t="s">
        <v>256</v>
      </c>
      <c r="B129" s="18" t="n">
        <v>6</v>
      </c>
      <c r="C129" s="18" t="s">
        <v>528</v>
      </c>
      <c r="D129" s="18" t="n">
        <v>-135</v>
      </c>
      <c r="E129" s="18" t="s">
        <v>195</v>
      </c>
      <c r="F129" s="18" t="s">
        <v>198</v>
      </c>
      <c r="G129" s="19" t="n">
        <v>45040</v>
      </c>
      <c r="H129" s="18" t="n">
        <v>22</v>
      </c>
      <c r="I129" s="18" t="n">
        <v>0</v>
      </c>
      <c r="J129" s="18" t="n">
        <f aca="false">SUMIFS($H$2:$H$1200,$A$2:$A$1200,$A129,$B$2:$B$1200,"&lt;="&amp;$B129)</f>
        <v>40</v>
      </c>
      <c r="K129" s="18" t="n">
        <f aca="false">SUMIFS($I$2:$I$1200,$A$2:$A$1200,$A129,$B$2:$B$1200,"&lt;="&amp;$B129)</f>
        <v>0</v>
      </c>
      <c r="L129" s="18" t="n">
        <f aca="false">J129-K129</f>
        <v>40</v>
      </c>
      <c r="M129" s="18" t="n">
        <f aca="false">SUMIF($A$2:$A$1200,$A129,$H$2:$H$1200)</f>
        <v>212</v>
      </c>
      <c r="N129" s="20" t="n">
        <f aca="false">IF(M129=0,"",L129/M129)</f>
        <v>0.188679245283019</v>
      </c>
      <c r="O129" s="20" t="n">
        <v>0.188679245283019</v>
      </c>
      <c r="P129" s="20" t="n">
        <f aca="false">IF(OR(N129="",O129=""),"",N129-O129)</f>
        <v>0</v>
      </c>
      <c r="Q129" s="18"/>
    </row>
    <row r="130" customFormat="false" ht="15" hidden="false" customHeight="true" outlineLevel="0" collapsed="false">
      <c r="A130" s="18" t="s">
        <v>256</v>
      </c>
      <c r="B130" s="18" t="n">
        <v>7</v>
      </c>
      <c r="C130" s="18" t="s">
        <v>227</v>
      </c>
      <c r="D130" s="18" t="n">
        <v>-120</v>
      </c>
      <c r="E130" s="18" t="s">
        <v>195</v>
      </c>
      <c r="F130" s="18" t="s">
        <v>198</v>
      </c>
      <c r="G130" s="19" t="n">
        <v>45040</v>
      </c>
      <c r="H130" s="18" t="n">
        <v>39</v>
      </c>
      <c r="I130" s="18" t="n">
        <v>1</v>
      </c>
      <c r="J130" s="18" t="n">
        <f aca="false">SUMIFS($H$2:$H$1200,$A$2:$A$1200,$A130,$B$2:$B$1200,"&lt;="&amp;$B130)</f>
        <v>79</v>
      </c>
      <c r="K130" s="18" t="n">
        <f aca="false">SUMIFS($I$2:$I$1200,$A$2:$A$1200,$A130,$B$2:$B$1200,"&lt;="&amp;$B130)</f>
        <v>1</v>
      </c>
      <c r="L130" s="18" t="n">
        <f aca="false">J130-K130</f>
        <v>78</v>
      </c>
      <c r="M130" s="18" t="n">
        <f aca="false">SUMIF($A$2:$A$1200,$A130,$H$2:$H$1200)</f>
        <v>212</v>
      </c>
      <c r="N130" s="20" t="n">
        <f aca="false">IF(M130=0,"",L130/M130)</f>
        <v>0.367924528301887</v>
      </c>
      <c r="O130" s="20" t="n">
        <v>0.367924528301887</v>
      </c>
      <c r="P130" s="20" t="n">
        <f aca="false">IF(OR(N130="",O130=""),"",N130-O130)</f>
        <v>0</v>
      </c>
      <c r="Q130" s="18"/>
    </row>
    <row r="131" customFormat="false" ht="15" hidden="false" customHeight="true" outlineLevel="0" collapsed="false">
      <c r="A131" s="18" t="s">
        <v>256</v>
      </c>
      <c r="B131" s="18" t="n">
        <v>8</v>
      </c>
      <c r="C131" s="18" t="s">
        <v>241</v>
      </c>
      <c r="D131" s="18" t="n">
        <v>-105</v>
      </c>
      <c r="E131" s="18" t="s">
        <v>195</v>
      </c>
      <c r="F131" s="18" t="s">
        <v>198</v>
      </c>
      <c r="G131" s="19" t="n">
        <v>45040</v>
      </c>
      <c r="H131" s="18" t="n">
        <v>35</v>
      </c>
      <c r="I131" s="18" t="n">
        <v>0</v>
      </c>
      <c r="J131" s="18" t="n">
        <f aca="false">SUMIFS($H$2:$H$1200,$A$2:$A$1200,$A131,$B$2:$B$1200,"&lt;="&amp;$B131)</f>
        <v>114</v>
      </c>
      <c r="K131" s="18" t="n">
        <f aca="false">SUMIFS($I$2:$I$1200,$A$2:$A$1200,$A131,$B$2:$B$1200,"&lt;="&amp;$B131)</f>
        <v>1</v>
      </c>
      <c r="L131" s="18" t="n">
        <f aca="false">J131-K131</f>
        <v>113</v>
      </c>
      <c r="M131" s="18" t="n">
        <f aca="false">SUMIF($A$2:$A$1200,$A131,$H$2:$H$1200)</f>
        <v>212</v>
      </c>
      <c r="N131" s="20" t="n">
        <f aca="false">IF(M131=0,"",L131/M131)</f>
        <v>0.533018867924528</v>
      </c>
      <c r="O131" s="20" t="n">
        <v>0.533018867924528</v>
      </c>
      <c r="P131" s="20" t="n">
        <f aca="false">IF(OR(N131="",O131=""),"",N131-O131)</f>
        <v>0</v>
      </c>
      <c r="Q131" s="18"/>
    </row>
    <row r="132" customFormat="false" ht="15" hidden="false" customHeight="true" outlineLevel="0" collapsed="false">
      <c r="A132" s="18" t="s">
        <v>256</v>
      </c>
      <c r="B132" s="18" t="n">
        <v>9</v>
      </c>
      <c r="C132" s="18" t="s">
        <v>279</v>
      </c>
      <c r="D132" s="18" t="n">
        <v>-90</v>
      </c>
      <c r="E132" s="18" t="s">
        <v>195</v>
      </c>
      <c r="F132" s="18" t="s">
        <v>198</v>
      </c>
      <c r="G132" s="19" t="n">
        <v>45040</v>
      </c>
      <c r="H132" s="18" t="n">
        <v>25</v>
      </c>
      <c r="I132" s="18" t="n">
        <v>2</v>
      </c>
      <c r="J132" s="18" t="n">
        <f aca="false">SUMIFS($H$2:$H$1200,$A$2:$A$1200,$A132,$B$2:$B$1200,"&lt;="&amp;$B132)</f>
        <v>139</v>
      </c>
      <c r="K132" s="18" t="n">
        <f aca="false">SUMIFS($I$2:$I$1200,$A$2:$A$1200,$A132,$B$2:$B$1200,"&lt;="&amp;$B132)</f>
        <v>3</v>
      </c>
      <c r="L132" s="18" t="n">
        <f aca="false">J132-K132</f>
        <v>136</v>
      </c>
      <c r="M132" s="18" t="n">
        <f aca="false">SUMIF($A$2:$A$1200,$A132,$H$2:$H$1200)</f>
        <v>212</v>
      </c>
      <c r="N132" s="20" t="n">
        <f aca="false">IF(M132=0,"",L132/M132)</f>
        <v>0.641509433962264</v>
      </c>
      <c r="O132" s="20" t="n">
        <v>0.641509433962264</v>
      </c>
      <c r="P132" s="20" t="n">
        <f aca="false">IF(OR(N132="",O132=""),"",N132-O132)</f>
        <v>0</v>
      </c>
      <c r="Q132" s="18"/>
    </row>
    <row r="133" customFormat="false" ht="15" hidden="false" customHeight="true" outlineLevel="0" collapsed="false">
      <c r="A133" s="18" t="s">
        <v>256</v>
      </c>
      <c r="B133" s="18" t="n">
        <v>10</v>
      </c>
      <c r="C133" s="18" t="s">
        <v>206</v>
      </c>
      <c r="D133" s="18" t="n">
        <v>-75</v>
      </c>
      <c r="E133" s="18" t="s">
        <v>195</v>
      </c>
      <c r="F133" s="18" t="s">
        <v>198</v>
      </c>
      <c r="G133" s="19" t="n">
        <v>45040</v>
      </c>
      <c r="H133" s="18" t="n">
        <v>23</v>
      </c>
      <c r="I133" s="18" t="n">
        <v>2</v>
      </c>
      <c r="J133" s="18" t="n">
        <f aca="false">SUMIFS($H$2:$H$1200,$A$2:$A$1200,$A133,$B$2:$B$1200,"&lt;="&amp;$B133)</f>
        <v>162</v>
      </c>
      <c r="K133" s="18" t="n">
        <f aca="false">SUMIFS($I$2:$I$1200,$A$2:$A$1200,$A133,$B$2:$B$1200,"&lt;="&amp;$B133)</f>
        <v>5</v>
      </c>
      <c r="L133" s="18" t="n">
        <f aca="false">J133-K133</f>
        <v>157</v>
      </c>
      <c r="M133" s="18" t="n">
        <f aca="false">SUMIF($A$2:$A$1200,$A133,$H$2:$H$1200)</f>
        <v>212</v>
      </c>
      <c r="N133" s="20" t="n">
        <f aca="false">IF(M133=0,"",L133/M133)</f>
        <v>0.740566037735849</v>
      </c>
      <c r="O133" s="20" t="n">
        <v>0.740566037735849</v>
      </c>
      <c r="P133" s="20" t="n">
        <f aca="false">IF(OR(N133="",O133=""),"",N133-O133)</f>
        <v>0</v>
      </c>
      <c r="Q133" s="18"/>
    </row>
    <row r="134" customFormat="false" ht="15" hidden="false" customHeight="true" outlineLevel="0" collapsed="false">
      <c r="A134" s="18" t="s">
        <v>256</v>
      </c>
      <c r="B134" s="18" t="n">
        <v>11</v>
      </c>
      <c r="C134" s="18" t="s">
        <v>246</v>
      </c>
      <c r="D134" s="18" t="n">
        <v>-60</v>
      </c>
      <c r="E134" s="18" t="s">
        <v>195</v>
      </c>
      <c r="F134" s="18" t="s">
        <v>198</v>
      </c>
      <c r="G134" s="19" t="n">
        <v>45040</v>
      </c>
      <c r="H134" s="18" t="n">
        <v>17</v>
      </c>
      <c r="I134" s="18" t="n">
        <v>6</v>
      </c>
      <c r="J134" s="18" t="n">
        <f aca="false">SUMIFS($H$2:$H$1200,$A$2:$A$1200,$A134,$B$2:$B$1200,"&lt;="&amp;$B134)</f>
        <v>179</v>
      </c>
      <c r="K134" s="18" t="n">
        <f aca="false">SUMIFS($I$2:$I$1200,$A$2:$A$1200,$A134,$B$2:$B$1200,"&lt;="&amp;$B134)</f>
        <v>11</v>
      </c>
      <c r="L134" s="18" t="n">
        <f aca="false">J134-K134</f>
        <v>168</v>
      </c>
      <c r="M134" s="18" t="n">
        <f aca="false">SUMIF($A$2:$A$1200,$A134,$H$2:$H$1200)</f>
        <v>212</v>
      </c>
      <c r="N134" s="20" t="n">
        <f aca="false">IF(M134=0,"",L134/M134)</f>
        <v>0.792452830188679</v>
      </c>
      <c r="O134" s="20" t="n">
        <v>0.792452830188679</v>
      </c>
      <c r="P134" s="20" t="n">
        <f aca="false">IF(OR(N134="",O134=""),"",N134-O134)</f>
        <v>0</v>
      </c>
      <c r="Q134" s="18"/>
    </row>
    <row r="135" customFormat="false" ht="15" hidden="false" customHeight="true" outlineLevel="0" collapsed="false">
      <c r="A135" s="18" t="s">
        <v>256</v>
      </c>
      <c r="B135" s="18" t="n">
        <v>12</v>
      </c>
      <c r="C135" s="18" t="s">
        <v>254</v>
      </c>
      <c r="D135" s="18" t="n">
        <v>-45</v>
      </c>
      <c r="E135" s="18" t="s">
        <v>195</v>
      </c>
      <c r="F135" s="18" t="s">
        <v>198</v>
      </c>
      <c r="G135" s="19" t="n">
        <v>45040</v>
      </c>
      <c r="H135" s="18" t="n">
        <v>15</v>
      </c>
      <c r="I135" s="18" t="n">
        <v>11</v>
      </c>
      <c r="J135" s="18" t="n">
        <f aca="false">SUMIFS($H$2:$H$1200,$A$2:$A$1200,$A135,$B$2:$B$1200,"&lt;="&amp;$B135)</f>
        <v>194</v>
      </c>
      <c r="K135" s="18" t="n">
        <f aca="false">SUMIFS($I$2:$I$1200,$A$2:$A$1200,$A135,$B$2:$B$1200,"&lt;="&amp;$B135)</f>
        <v>22</v>
      </c>
      <c r="L135" s="18" t="n">
        <f aca="false">J135-K135</f>
        <v>172</v>
      </c>
      <c r="M135" s="18" t="n">
        <f aca="false">SUMIF($A$2:$A$1200,$A135,$H$2:$H$1200)</f>
        <v>212</v>
      </c>
      <c r="N135" s="20" t="n">
        <f aca="false">IF(M135=0,"",L135/M135)</f>
        <v>0.811320754716981</v>
      </c>
      <c r="O135" s="20" t="n">
        <v>0.811320754716981</v>
      </c>
      <c r="P135" s="20" t="n">
        <f aca="false">IF(OR(N135="",O135=""),"",N135-O135)</f>
        <v>0</v>
      </c>
      <c r="Q135" s="18"/>
    </row>
    <row r="136" customFormat="false" ht="15" hidden="false" customHeight="true" outlineLevel="0" collapsed="false">
      <c r="A136" s="18" t="s">
        <v>256</v>
      </c>
      <c r="B136" s="18" t="n">
        <v>13</v>
      </c>
      <c r="C136" s="18" t="s">
        <v>403</v>
      </c>
      <c r="D136" s="18" t="n">
        <v>-30</v>
      </c>
      <c r="E136" s="18" t="s">
        <v>195</v>
      </c>
      <c r="F136" s="18" t="s">
        <v>198</v>
      </c>
      <c r="G136" s="19" t="n">
        <v>45040</v>
      </c>
      <c r="H136" s="18" t="n">
        <v>7</v>
      </c>
      <c r="I136" s="18" t="n">
        <v>24</v>
      </c>
      <c r="J136" s="18" t="n">
        <f aca="false">SUMIFS($H$2:$H$1200,$A$2:$A$1200,$A136,$B$2:$B$1200,"&lt;="&amp;$B136)</f>
        <v>201</v>
      </c>
      <c r="K136" s="18" t="n">
        <f aca="false">SUMIFS($I$2:$I$1200,$A$2:$A$1200,$A136,$B$2:$B$1200,"&lt;="&amp;$B136)</f>
        <v>46</v>
      </c>
      <c r="L136" s="18" t="n">
        <f aca="false">J136-K136</f>
        <v>155</v>
      </c>
      <c r="M136" s="18" t="n">
        <f aca="false">SUMIF($A$2:$A$1200,$A136,$H$2:$H$1200)</f>
        <v>212</v>
      </c>
      <c r="N136" s="20" t="n">
        <f aca="false">IF(M136=0,"",L136/M136)</f>
        <v>0.731132075471698</v>
      </c>
      <c r="O136" s="20" t="n">
        <v>0.731132075471698</v>
      </c>
      <c r="P136" s="20" t="n">
        <f aca="false">IF(OR(N136="",O136=""),"",N136-O136)</f>
        <v>0</v>
      </c>
      <c r="Q136" s="18"/>
    </row>
    <row r="137" customFormat="false" ht="15" hidden="false" customHeight="true" outlineLevel="0" collapsed="false">
      <c r="A137" s="18" t="s">
        <v>256</v>
      </c>
      <c r="B137" s="18" t="n">
        <v>14</v>
      </c>
      <c r="C137" s="18" t="s">
        <v>529</v>
      </c>
      <c r="D137" s="18" t="n">
        <v>-15</v>
      </c>
      <c r="E137" s="18" t="s">
        <v>195</v>
      </c>
      <c r="F137" s="18" t="s">
        <v>198</v>
      </c>
      <c r="G137" s="19" t="n">
        <v>45040</v>
      </c>
      <c r="H137" s="18" t="n">
        <v>4</v>
      </c>
      <c r="I137" s="18" t="n">
        <v>27</v>
      </c>
      <c r="J137" s="18" t="n">
        <f aca="false">SUMIFS($H$2:$H$1200,$A$2:$A$1200,$A137,$B$2:$B$1200,"&lt;="&amp;$B137)</f>
        <v>205</v>
      </c>
      <c r="K137" s="18" t="n">
        <f aca="false">SUMIFS($I$2:$I$1200,$A$2:$A$1200,$A137,$B$2:$B$1200,"&lt;="&amp;$B137)</f>
        <v>73</v>
      </c>
      <c r="L137" s="18" t="n">
        <f aca="false">J137-K137</f>
        <v>132</v>
      </c>
      <c r="M137" s="18" t="n">
        <f aca="false">SUMIF($A$2:$A$1200,$A137,$H$2:$H$1200)</f>
        <v>212</v>
      </c>
      <c r="N137" s="20" t="n">
        <f aca="false">IF(M137=0,"",L137/M137)</f>
        <v>0.622641509433962</v>
      </c>
      <c r="O137" s="20" t="n">
        <v>0.622641509433962</v>
      </c>
      <c r="P137" s="20" t="n">
        <f aca="false">IF(OR(N137="",O137=""),"",N137-O137)</f>
        <v>0</v>
      </c>
      <c r="Q137" s="18"/>
    </row>
    <row r="138" customFormat="false" ht="15" hidden="false" customHeight="true" outlineLevel="0" collapsed="false">
      <c r="A138" s="18" t="s">
        <v>256</v>
      </c>
      <c r="B138" s="18" t="n">
        <v>15</v>
      </c>
      <c r="C138" s="18" t="s">
        <v>463</v>
      </c>
      <c r="D138" s="18" t="n">
        <v>0</v>
      </c>
      <c r="E138" s="18" t="s">
        <v>195</v>
      </c>
      <c r="F138" s="18" t="s">
        <v>198</v>
      </c>
      <c r="G138" s="19" t="n">
        <v>45040</v>
      </c>
      <c r="H138" s="18" t="n">
        <v>3</v>
      </c>
      <c r="I138" s="18" t="n">
        <v>28</v>
      </c>
      <c r="J138" s="18" t="n">
        <f aca="false">SUMIFS($H$2:$H$1200,$A$2:$A$1200,$A138,$B$2:$B$1200,"&lt;="&amp;$B138)</f>
        <v>208</v>
      </c>
      <c r="K138" s="18" t="n">
        <f aca="false">SUMIFS($I$2:$I$1200,$A$2:$A$1200,$A138,$B$2:$B$1200,"&lt;="&amp;$B138)</f>
        <v>101</v>
      </c>
      <c r="L138" s="18" t="n">
        <f aca="false">J138-K138</f>
        <v>107</v>
      </c>
      <c r="M138" s="18" t="n">
        <f aca="false">SUMIF($A$2:$A$1200,$A138,$H$2:$H$1200)</f>
        <v>212</v>
      </c>
      <c r="N138" s="20" t="n">
        <f aca="false">IF(M138=0,"",L138/M138)</f>
        <v>0.504716981132076</v>
      </c>
      <c r="O138" s="20" t="n">
        <v>0.504716981132076</v>
      </c>
      <c r="P138" s="20" t="n">
        <f aca="false">IF(OR(N138="",O138=""),"",N138-O138)</f>
        <v>0</v>
      </c>
      <c r="Q138" s="18"/>
    </row>
    <row r="139" customFormat="false" ht="15" hidden="false" customHeight="true" outlineLevel="0" collapsed="false">
      <c r="A139" s="18" t="s">
        <v>256</v>
      </c>
      <c r="B139" s="18" t="n">
        <v>16</v>
      </c>
      <c r="C139" s="18" t="s">
        <v>366</v>
      </c>
      <c r="D139" s="18" t="n">
        <v>15</v>
      </c>
      <c r="E139" s="18" t="s">
        <v>195</v>
      </c>
      <c r="F139" s="18" t="s">
        <v>198</v>
      </c>
      <c r="G139" s="19" t="n">
        <v>45040</v>
      </c>
      <c r="H139" s="18" t="n">
        <v>0</v>
      </c>
      <c r="I139" s="18" t="n">
        <v>26</v>
      </c>
      <c r="J139" s="18" t="n">
        <f aca="false">SUMIFS($H$2:$H$1200,$A$2:$A$1200,$A139,$B$2:$B$1200,"&lt;="&amp;$B139)</f>
        <v>208</v>
      </c>
      <c r="K139" s="18" t="n">
        <f aca="false">SUMIFS($I$2:$I$1200,$A$2:$A$1200,$A139,$B$2:$B$1200,"&lt;="&amp;$B139)</f>
        <v>127</v>
      </c>
      <c r="L139" s="18" t="n">
        <f aca="false">J139-K139</f>
        <v>81</v>
      </c>
      <c r="M139" s="18" t="n">
        <f aca="false">SUMIF($A$2:$A$1200,$A139,$H$2:$H$1200)</f>
        <v>212</v>
      </c>
      <c r="N139" s="20" t="n">
        <f aca="false">IF(M139=0,"",L139/M139)</f>
        <v>0.382075471698113</v>
      </c>
      <c r="O139" s="20" t="n">
        <v>0.382075471698113</v>
      </c>
      <c r="P139" s="20" t="n">
        <f aca="false">IF(OR(N139="",O139=""),"",N139-O139)</f>
        <v>0</v>
      </c>
      <c r="Q139" s="18"/>
    </row>
    <row r="140" customFormat="false" ht="15" hidden="false" customHeight="true" outlineLevel="0" collapsed="false">
      <c r="A140" s="18" t="s">
        <v>256</v>
      </c>
      <c r="B140" s="18" t="n">
        <v>17</v>
      </c>
      <c r="C140" s="18" t="s">
        <v>326</v>
      </c>
      <c r="D140" s="18" t="n">
        <v>30</v>
      </c>
      <c r="E140" s="18" t="s">
        <v>195</v>
      </c>
      <c r="F140" s="18" t="s">
        <v>198</v>
      </c>
      <c r="G140" s="19" t="n">
        <v>45040</v>
      </c>
      <c r="H140" s="18" t="n">
        <v>1</v>
      </c>
      <c r="I140" s="18" t="n">
        <v>22</v>
      </c>
      <c r="J140" s="18" t="n">
        <f aca="false">SUMIFS($H$2:$H$1200,$A$2:$A$1200,$A140,$B$2:$B$1200,"&lt;="&amp;$B140)</f>
        <v>209</v>
      </c>
      <c r="K140" s="18" t="n">
        <f aca="false">SUMIFS($I$2:$I$1200,$A$2:$A$1200,$A140,$B$2:$B$1200,"&lt;="&amp;$B140)</f>
        <v>149</v>
      </c>
      <c r="L140" s="18" t="n">
        <f aca="false">J140-K140</f>
        <v>60</v>
      </c>
      <c r="M140" s="18" t="n">
        <f aca="false">SUMIF($A$2:$A$1200,$A140,$H$2:$H$1200)</f>
        <v>212</v>
      </c>
      <c r="N140" s="20" t="n">
        <f aca="false">IF(M140=0,"",L140/M140)</f>
        <v>0.283018867924528</v>
      </c>
      <c r="O140" s="20" t="n">
        <v>0.283018867924528</v>
      </c>
      <c r="P140" s="20" t="n">
        <f aca="false">IF(OR(N140="",O140=""),"",N140-O140)</f>
        <v>0</v>
      </c>
      <c r="Q140" s="18"/>
    </row>
    <row r="141" customFormat="false" ht="15" hidden="false" customHeight="true" outlineLevel="0" collapsed="false">
      <c r="A141" s="18" t="s">
        <v>256</v>
      </c>
      <c r="B141" s="18" t="n">
        <v>18</v>
      </c>
      <c r="C141" s="18" t="s">
        <v>226</v>
      </c>
      <c r="D141" s="18" t="n">
        <v>45</v>
      </c>
      <c r="E141" s="18" t="s">
        <v>195</v>
      </c>
      <c r="F141" s="18" t="s">
        <v>198</v>
      </c>
      <c r="G141" s="19" t="n">
        <v>45040</v>
      </c>
      <c r="H141" s="18" t="n">
        <v>3</v>
      </c>
      <c r="I141" s="18" t="n">
        <v>22</v>
      </c>
      <c r="J141" s="18" t="n">
        <f aca="false">SUMIFS($H$2:$H$1200,$A$2:$A$1200,$A141,$B$2:$B$1200,"&lt;="&amp;$B141)</f>
        <v>212</v>
      </c>
      <c r="K141" s="18" t="n">
        <f aca="false">SUMIFS($I$2:$I$1200,$A$2:$A$1200,$A141,$B$2:$B$1200,"&lt;="&amp;$B141)</f>
        <v>171</v>
      </c>
      <c r="L141" s="18" t="n">
        <f aca="false">J141-K141</f>
        <v>41</v>
      </c>
      <c r="M141" s="18" t="n">
        <f aca="false">SUMIF($A$2:$A$1200,$A141,$H$2:$H$1200)</f>
        <v>212</v>
      </c>
      <c r="N141" s="20" t="n">
        <f aca="false">IF(M141=0,"",L141/M141)</f>
        <v>0.193396226415094</v>
      </c>
      <c r="O141" s="20" t="n">
        <v>0.193396226415094</v>
      </c>
      <c r="P141" s="20" t="n">
        <f aca="false">IF(OR(N141="",O141=""),"",N141-O141)</f>
        <v>0</v>
      </c>
      <c r="Q141" s="18"/>
    </row>
    <row r="142" customFormat="false" ht="15" hidden="false" customHeight="true" outlineLevel="0" collapsed="false">
      <c r="A142" s="18" t="s">
        <v>261</v>
      </c>
      <c r="B142" s="18" t="n">
        <v>0</v>
      </c>
      <c r="C142" s="18" t="s">
        <v>204</v>
      </c>
      <c r="D142" s="18"/>
      <c r="E142" s="18" t="s">
        <v>262</v>
      </c>
      <c r="F142" s="18" t="s">
        <v>220</v>
      </c>
      <c r="G142" s="19" t="n">
        <v>33004</v>
      </c>
      <c r="H142" s="18" t="n">
        <v>332</v>
      </c>
      <c r="I142" s="18" t="n">
        <v>0</v>
      </c>
      <c r="J142" s="18" t="n">
        <f aca="false">SUMIFS($H$2:$H$1200,$A$2:$A$1200,$A142,$B$2:$B$1200,"&lt;="&amp;$B142)</f>
        <v>332</v>
      </c>
      <c r="K142" s="18" t="n">
        <f aca="false">SUMIFS($I$2:$I$1200,$A$2:$A$1200,$A142,$B$2:$B$1200,"&lt;="&amp;$B142)</f>
        <v>0</v>
      </c>
      <c r="L142" s="18" t="n">
        <f aca="false">J142-K142</f>
        <v>332</v>
      </c>
      <c r="M142" s="18" t="n">
        <f aca="false">SUMIF($A$2:$A$1200,$A142,$H$2:$H$1200)</f>
        <v>2344</v>
      </c>
      <c r="N142" s="20" t="n">
        <f aca="false">IF(M142=0,"",L142/M142)</f>
        <v>0.141638225255973</v>
      </c>
      <c r="O142" s="20" t="n">
        <v>0.142306043720532</v>
      </c>
      <c r="P142" s="20" t="n">
        <f aca="false">IF(OR(N142="",O142=""),"",N142-O142)</f>
        <v>-0.000667818464559294</v>
      </c>
      <c r="Q142" s="18"/>
    </row>
    <row r="143" customFormat="false" ht="15" hidden="false" customHeight="true" outlineLevel="0" collapsed="false">
      <c r="A143" s="18" t="s">
        <v>261</v>
      </c>
      <c r="B143" s="18" t="n">
        <v>4</v>
      </c>
      <c r="C143" s="18" t="s">
        <v>526</v>
      </c>
      <c r="D143" s="18" t="n">
        <v>-165</v>
      </c>
      <c r="E143" s="18" t="s">
        <v>262</v>
      </c>
      <c r="F143" s="18" t="s">
        <v>220</v>
      </c>
      <c r="G143" s="19" t="n">
        <v>33004</v>
      </c>
      <c r="H143" s="18" t="n">
        <v>137</v>
      </c>
      <c r="I143" s="18" t="n">
        <v>6</v>
      </c>
      <c r="J143" s="18" t="n">
        <f aca="false">SUMIFS($H$2:$H$1200,$A$2:$A$1200,$A143,$B$2:$B$1200,"&lt;="&amp;$B143)</f>
        <v>469</v>
      </c>
      <c r="K143" s="18" t="n">
        <f aca="false">SUMIFS($I$2:$I$1200,$A$2:$A$1200,$A143,$B$2:$B$1200,"&lt;="&amp;$B143)</f>
        <v>6</v>
      </c>
      <c r="L143" s="18" t="n">
        <f aca="false">J143-K143</f>
        <v>463</v>
      </c>
      <c r="M143" s="18" t="n">
        <f aca="false">SUMIF($A$2:$A$1200,$A143,$H$2:$H$1200)</f>
        <v>2344</v>
      </c>
      <c r="N143" s="20" t="n">
        <f aca="false">IF(M143=0,"",L143/M143)</f>
        <v>0.197525597269625</v>
      </c>
      <c r="O143" s="20" t="n">
        <v>0.198456922417488</v>
      </c>
      <c r="P143" s="20" t="n">
        <f aca="false">IF(OR(N143="",O143=""),"",N143-O143)</f>
        <v>-0.000931325147863427</v>
      </c>
      <c r="Q143" s="18"/>
    </row>
    <row r="144" customFormat="false" ht="15" hidden="false" customHeight="true" outlineLevel="0" collapsed="false">
      <c r="A144" s="18" t="s">
        <v>261</v>
      </c>
      <c r="B144" s="18" t="n">
        <v>5</v>
      </c>
      <c r="C144" s="18" t="s">
        <v>527</v>
      </c>
      <c r="D144" s="18" t="n">
        <v>-150</v>
      </c>
      <c r="E144" s="18" t="s">
        <v>262</v>
      </c>
      <c r="F144" s="18" t="s">
        <v>220</v>
      </c>
      <c r="G144" s="19" t="n">
        <v>33004</v>
      </c>
      <c r="H144" s="18" t="n">
        <v>257</v>
      </c>
      <c r="I144" s="18" t="n">
        <v>9</v>
      </c>
      <c r="J144" s="18" t="n">
        <f aca="false">SUMIFS($H$2:$H$1200,$A$2:$A$1200,$A144,$B$2:$B$1200,"&lt;="&amp;$B144)</f>
        <v>726</v>
      </c>
      <c r="K144" s="18" t="n">
        <f aca="false">SUMIFS($I$2:$I$1200,$A$2:$A$1200,$A144,$B$2:$B$1200,"&lt;="&amp;$B144)</f>
        <v>15</v>
      </c>
      <c r="L144" s="18" t="n">
        <f aca="false">J144-K144</f>
        <v>711</v>
      </c>
      <c r="M144" s="18" t="n">
        <f aca="false">SUMIF($A$2:$A$1200,$A144,$H$2:$H$1200)</f>
        <v>2344</v>
      </c>
      <c r="N144" s="20" t="n">
        <f aca="false">IF(M144=0,"",L144/M144)</f>
        <v>0.303327645051195</v>
      </c>
      <c r="O144" s="20" t="n">
        <v>0.304757822546078</v>
      </c>
      <c r="P144" s="20" t="n">
        <f aca="false">IF(OR(N144="",O144=""),"",N144-O144)</f>
        <v>-0.0014301774948835</v>
      </c>
      <c r="Q144" s="18"/>
    </row>
    <row r="145" customFormat="false" ht="15" hidden="false" customHeight="true" outlineLevel="0" collapsed="false">
      <c r="A145" s="18" t="s">
        <v>261</v>
      </c>
      <c r="B145" s="18" t="n">
        <v>6</v>
      </c>
      <c r="C145" s="18" t="s">
        <v>528</v>
      </c>
      <c r="D145" s="18" t="n">
        <v>-135</v>
      </c>
      <c r="E145" s="18" t="s">
        <v>262</v>
      </c>
      <c r="F145" s="18" t="s">
        <v>220</v>
      </c>
      <c r="G145" s="19" t="n">
        <v>33004</v>
      </c>
      <c r="H145" s="18" t="n">
        <v>260</v>
      </c>
      <c r="I145" s="18" t="n">
        <v>2</v>
      </c>
      <c r="J145" s="18" t="n">
        <f aca="false">SUMIFS($H$2:$H$1200,$A$2:$A$1200,$A145,$B$2:$B$1200,"&lt;="&amp;$B145)</f>
        <v>986</v>
      </c>
      <c r="K145" s="18" t="n">
        <f aca="false">SUMIFS($I$2:$I$1200,$A$2:$A$1200,$A145,$B$2:$B$1200,"&lt;="&amp;$B145)</f>
        <v>17</v>
      </c>
      <c r="L145" s="18" t="n">
        <f aca="false">J145-K145</f>
        <v>969</v>
      </c>
      <c r="M145" s="18" t="n">
        <f aca="false">SUMIF($A$2:$A$1200,$A145,$H$2:$H$1200)</f>
        <v>2344</v>
      </c>
      <c r="N145" s="20" t="n">
        <f aca="false">IF(M145=0,"",L145/M145)</f>
        <v>0.41339590443686</v>
      </c>
      <c r="O145" s="20" t="n">
        <v>0.415345049292756</v>
      </c>
      <c r="P145" s="20" t="n">
        <f aca="false">IF(OR(N145="",O145=""),"",N145-O145)</f>
        <v>-0.00194914485589592</v>
      </c>
      <c r="Q145" s="18"/>
    </row>
    <row r="146" customFormat="false" ht="15" hidden="false" customHeight="true" outlineLevel="0" collapsed="false">
      <c r="A146" s="18" t="s">
        <v>261</v>
      </c>
      <c r="B146" s="18" t="n">
        <v>7</v>
      </c>
      <c r="C146" s="18" t="s">
        <v>227</v>
      </c>
      <c r="D146" s="18" t="n">
        <v>-120</v>
      </c>
      <c r="E146" s="18" t="s">
        <v>262</v>
      </c>
      <c r="F146" s="18" t="s">
        <v>220</v>
      </c>
      <c r="G146" s="19" t="n">
        <v>33004</v>
      </c>
      <c r="H146" s="18" t="n">
        <v>285</v>
      </c>
      <c r="I146" s="18" t="n">
        <v>10</v>
      </c>
      <c r="J146" s="18" t="n">
        <f aca="false">SUMIFS($H$2:$H$1200,$A$2:$A$1200,$A146,$B$2:$B$1200,"&lt;="&amp;$B146)</f>
        <v>1271</v>
      </c>
      <c r="K146" s="18" t="n">
        <f aca="false">SUMIFS($I$2:$I$1200,$A$2:$A$1200,$A146,$B$2:$B$1200,"&lt;="&amp;$B146)</f>
        <v>27</v>
      </c>
      <c r="L146" s="18" t="n">
        <f aca="false">J146-K146</f>
        <v>1244</v>
      </c>
      <c r="M146" s="18" t="n">
        <f aca="false">SUMIF($A$2:$A$1200,$A146,$H$2:$H$1200)</f>
        <v>2344</v>
      </c>
      <c r="N146" s="20" t="n">
        <f aca="false">IF(M146=0,"",L146/M146)</f>
        <v>0.530716723549488</v>
      </c>
      <c r="O146" s="20" t="n">
        <v>0.533219031290184</v>
      </c>
      <c r="P146" s="20" t="n">
        <f aca="false">IF(OR(N146="",O146=""),"",N146-O146)</f>
        <v>-0.00250230774069593</v>
      </c>
      <c r="Q146" s="18"/>
    </row>
    <row r="147" customFormat="false" ht="15" hidden="false" customHeight="true" outlineLevel="0" collapsed="false">
      <c r="A147" s="18" t="s">
        <v>261</v>
      </c>
      <c r="B147" s="18" t="n">
        <v>8</v>
      </c>
      <c r="C147" s="18" t="s">
        <v>241</v>
      </c>
      <c r="D147" s="18" t="n">
        <v>-105</v>
      </c>
      <c r="E147" s="18" t="s">
        <v>262</v>
      </c>
      <c r="F147" s="18" t="s">
        <v>220</v>
      </c>
      <c r="G147" s="19" t="n">
        <v>33004</v>
      </c>
      <c r="H147" s="18" t="n">
        <v>186</v>
      </c>
      <c r="I147" s="18" t="n">
        <v>31</v>
      </c>
      <c r="J147" s="18" t="n">
        <f aca="false">SUMIFS($H$2:$H$1200,$A$2:$A$1200,$A147,$B$2:$B$1200,"&lt;="&amp;$B147)</f>
        <v>1457</v>
      </c>
      <c r="K147" s="18" t="n">
        <f aca="false">SUMIFS($I$2:$I$1200,$A$2:$A$1200,$A147,$B$2:$B$1200,"&lt;="&amp;$B147)</f>
        <v>58</v>
      </c>
      <c r="L147" s="18" t="n">
        <f aca="false">J147-K147</f>
        <v>1399</v>
      </c>
      <c r="M147" s="18" t="n">
        <f aca="false">SUMIF($A$2:$A$1200,$A147,$H$2:$H$1200)</f>
        <v>2344</v>
      </c>
      <c r="N147" s="20" t="n">
        <f aca="false">IF(M147=0,"",L147/M147)</f>
        <v>0.596843003412969</v>
      </c>
      <c r="O147" s="20" t="n">
        <v>0.599657093870553</v>
      </c>
      <c r="P147" s="20" t="n">
        <f aca="false">IF(OR(N147="",O147=""),"",N147-O147)</f>
        <v>-0.00281409045758374</v>
      </c>
      <c r="Q147" s="18"/>
    </row>
    <row r="148" customFormat="false" ht="15" hidden="false" customHeight="true" outlineLevel="0" collapsed="false">
      <c r="A148" s="18" t="s">
        <v>261</v>
      </c>
      <c r="B148" s="18" t="n">
        <v>9</v>
      </c>
      <c r="C148" s="18" t="s">
        <v>279</v>
      </c>
      <c r="D148" s="18" t="n">
        <v>-90</v>
      </c>
      <c r="E148" s="18" t="s">
        <v>262</v>
      </c>
      <c r="F148" s="18" t="s">
        <v>220</v>
      </c>
      <c r="G148" s="19" t="n">
        <v>33004</v>
      </c>
      <c r="H148" s="18" t="n">
        <v>278</v>
      </c>
      <c r="I148" s="18" t="n">
        <v>69</v>
      </c>
      <c r="J148" s="18" t="n">
        <f aca="false">SUMIFS($H$2:$H$1200,$A$2:$A$1200,$A148,$B$2:$B$1200,"&lt;="&amp;$B148)</f>
        <v>1735</v>
      </c>
      <c r="K148" s="18" t="n">
        <f aca="false">SUMIFS($I$2:$I$1200,$A$2:$A$1200,$A148,$B$2:$B$1200,"&lt;="&amp;$B148)</f>
        <v>127</v>
      </c>
      <c r="L148" s="18" t="n">
        <f aca="false">J148-K148</f>
        <v>1608</v>
      </c>
      <c r="M148" s="18" t="n">
        <f aca="false">SUMIF($A$2:$A$1200,$A148,$H$2:$H$1200)</f>
        <v>2344</v>
      </c>
      <c r="N148" s="20" t="n">
        <f aca="false">IF(M148=0,"",L148/M148)</f>
        <v>0.686006825938567</v>
      </c>
      <c r="O148" s="20" t="n">
        <v>0.689241320188598</v>
      </c>
      <c r="P148" s="20" t="n">
        <f aca="false">IF(OR(N148="",O148=""),"",N148-O148)</f>
        <v>-0.00323449425003142</v>
      </c>
      <c r="Q148" s="18"/>
    </row>
    <row r="149" customFormat="false" ht="15" hidden="false" customHeight="true" outlineLevel="0" collapsed="false">
      <c r="A149" s="18" t="s">
        <v>261</v>
      </c>
      <c r="B149" s="18" t="n">
        <v>10</v>
      </c>
      <c r="C149" s="18" t="s">
        <v>206</v>
      </c>
      <c r="D149" s="18" t="n">
        <v>-75</v>
      </c>
      <c r="E149" s="18" t="s">
        <v>262</v>
      </c>
      <c r="F149" s="18" t="s">
        <v>220</v>
      </c>
      <c r="G149" s="19" t="n">
        <v>33004</v>
      </c>
      <c r="H149" s="18" t="n">
        <v>163</v>
      </c>
      <c r="I149" s="18" t="n">
        <v>60</v>
      </c>
      <c r="J149" s="18" t="n">
        <f aca="false">SUMIFS($H$2:$H$1200,$A$2:$A$1200,$A149,$B$2:$B$1200,"&lt;="&amp;$B149)</f>
        <v>1898</v>
      </c>
      <c r="K149" s="18" t="n">
        <f aca="false">SUMIFS($I$2:$I$1200,$A$2:$A$1200,$A149,$B$2:$B$1200,"&lt;="&amp;$B149)</f>
        <v>187</v>
      </c>
      <c r="L149" s="18" t="n">
        <f aca="false">J149-K149</f>
        <v>1711</v>
      </c>
      <c r="M149" s="18" t="n">
        <f aca="false">SUMIF($A$2:$A$1200,$A149,$H$2:$H$1200)</f>
        <v>2344</v>
      </c>
      <c r="N149" s="20" t="n">
        <f aca="false">IF(M149=0,"",L149/M149)</f>
        <v>0.729948805460751</v>
      </c>
      <c r="O149" s="20" t="n">
        <v>0.733390484354908</v>
      </c>
      <c r="P149" s="20" t="n">
        <f aca="false">IF(OR(N149="",O149=""),"",N149-O149)</f>
        <v>-0.00344167889415714</v>
      </c>
      <c r="Q149" s="18"/>
    </row>
    <row r="150" customFormat="false" ht="15" hidden="false" customHeight="true" outlineLevel="0" collapsed="false">
      <c r="A150" s="18" t="s">
        <v>261</v>
      </c>
      <c r="B150" s="18" t="n">
        <v>11</v>
      </c>
      <c r="C150" s="18" t="s">
        <v>246</v>
      </c>
      <c r="D150" s="18" t="n">
        <v>-60</v>
      </c>
      <c r="E150" s="18" t="s">
        <v>262</v>
      </c>
      <c r="F150" s="18" t="s">
        <v>220</v>
      </c>
      <c r="G150" s="19" t="n">
        <v>33004</v>
      </c>
      <c r="H150" s="18" t="n">
        <v>147</v>
      </c>
      <c r="I150" s="18" t="n">
        <v>65</v>
      </c>
      <c r="J150" s="18" t="n">
        <f aca="false">SUMIFS($H$2:$H$1200,$A$2:$A$1200,$A150,$B$2:$B$1200,"&lt;="&amp;$B150)</f>
        <v>2045</v>
      </c>
      <c r="K150" s="18" t="n">
        <f aca="false">SUMIFS($I$2:$I$1200,$A$2:$A$1200,$A150,$B$2:$B$1200,"&lt;="&amp;$B150)</f>
        <v>252</v>
      </c>
      <c r="L150" s="18" t="n">
        <f aca="false">J150-K150</f>
        <v>1793</v>
      </c>
      <c r="M150" s="18" t="n">
        <f aca="false">SUMIF($A$2:$A$1200,$A150,$H$2:$H$1200)</f>
        <v>2344</v>
      </c>
      <c r="N150" s="20" t="n">
        <f aca="false">IF(M150=0,"",L150/M150)</f>
        <v>0.764931740614334</v>
      </c>
      <c r="O150" s="20" t="n">
        <v>0.768538362623232</v>
      </c>
      <c r="P150" s="20" t="n">
        <f aca="false">IF(OR(N150="",O150=""),"",N150-O150)</f>
        <v>-0.00360662200889761</v>
      </c>
      <c r="Q150" s="18"/>
    </row>
    <row r="151" customFormat="false" ht="15" hidden="false" customHeight="true" outlineLevel="0" collapsed="false">
      <c r="A151" s="18" t="s">
        <v>261</v>
      </c>
      <c r="B151" s="18" t="n">
        <v>12</v>
      </c>
      <c r="C151" s="18" t="s">
        <v>254</v>
      </c>
      <c r="D151" s="18" t="n">
        <v>-45</v>
      </c>
      <c r="E151" s="18" t="s">
        <v>262</v>
      </c>
      <c r="F151" s="18" t="s">
        <v>220</v>
      </c>
      <c r="G151" s="19" t="n">
        <v>33004</v>
      </c>
      <c r="H151" s="18" t="n">
        <v>74</v>
      </c>
      <c r="I151" s="18" t="n">
        <v>70</v>
      </c>
      <c r="J151" s="18" t="n">
        <f aca="false">SUMIFS($H$2:$H$1200,$A$2:$A$1200,$A151,$B$2:$B$1200,"&lt;="&amp;$B151)</f>
        <v>2119</v>
      </c>
      <c r="K151" s="18" t="n">
        <f aca="false">SUMIFS($I$2:$I$1200,$A$2:$A$1200,$A151,$B$2:$B$1200,"&lt;="&amp;$B151)</f>
        <v>322</v>
      </c>
      <c r="L151" s="18" t="n">
        <f aca="false">J151-K151</f>
        <v>1797</v>
      </c>
      <c r="M151" s="18" t="n">
        <f aca="false">SUMIF($A$2:$A$1200,$A151,$H$2:$H$1200)</f>
        <v>2344</v>
      </c>
      <c r="N151" s="20" t="n">
        <f aca="false">IF(M151=0,"",L151/M151)</f>
        <v>0.766638225255973</v>
      </c>
      <c r="O151" s="20" t="n">
        <v>0.770252893270467</v>
      </c>
      <c r="P151" s="20" t="n">
        <f aca="false">IF(OR(N151="",O151=""),"",N151-O151)</f>
        <v>-0.00361466801449428</v>
      </c>
      <c r="Q151" s="18"/>
    </row>
    <row r="152" customFormat="false" ht="15" hidden="false" customHeight="true" outlineLevel="0" collapsed="false">
      <c r="A152" s="18" t="s">
        <v>261</v>
      </c>
      <c r="B152" s="18" t="n">
        <v>13</v>
      </c>
      <c r="C152" s="18" t="s">
        <v>403</v>
      </c>
      <c r="D152" s="18" t="n">
        <v>-30</v>
      </c>
      <c r="E152" s="18" t="s">
        <v>262</v>
      </c>
      <c r="F152" s="18" t="s">
        <v>220</v>
      </c>
      <c r="G152" s="19" t="n">
        <v>33004</v>
      </c>
      <c r="H152" s="18" t="n">
        <v>76</v>
      </c>
      <c r="I152" s="18" t="n">
        <v>103</v>
      </c>
      <c r="J152" s="18" t="n">
        <f aca="false">SUMIFS($H$2:$H$1200,$A$2:$A$1200,$A152,$B$2:$B$1200,"&lt;="&amp;$B152)</f>
        <v>2195</v>
      </c>
      <c r="K152" s="18" t="n">
        <f aca="false">SUMIFS($I$2:$I$1200,$A$2:$A$1200,$A152,$B$2:$B$1200,"&lt;="&amp;$B152)</f>
        <v>425</v>
      </c>
      <c r="L152" s="18" t="n">
        <f aca="false">J152-K152</f>
        <v>1770</v>
      </c>
      <c r="M152" s="18" t="n">
        <f aca="false">SUMIF($A$2:$A$1200,$A152,$H$2:$H$1200)</f>
        <v>2344</v>
      </c>
      <c r="N152" s="20" t="n">
        <f aca="false">IF(M152=0,"",L152/M152)</f>
        <v>0.755119453924915</v>
      </c>
      <c r="O152" s="20" t="n">
        <v>0.758679811401629</v>
      </c>
      <c r="P152" s="20" t="n">
        <f aca="false">IF(OR(N152="",O152=""),"",N152-O152)</f>
        <v>-0.00356035747671435</v>
      </c>
      <c r="Q152" s="18"/>
    </row>
    <row r="153" customFormat="false" ht="15" hidden="false" customHeight="true" outlineLevel="0" collapsed="false">
      <c r="A153" s="18" t="s">
        <v>261</v>
      </c>
      <c r="B153" s="18" t="n">
        <v>14</v>
      </c>
      <c r="C153" s="18" t="s">
        <v>529</v>
      </c>
      <c r="D153" s="18" t="n">
        <v>-15</v>
      </c>
      <c r="E153" s="18" t="s">
        <v>262</v>
      </c>
      <c r="F153" s="18" t="s">
        <v>220</v>
      </c>
      <c r="G153" s="19" t="n">
        <v>33004</v>
      </c>
      <c r="H153" s="18" t="n">
        <v>44</v>
      </c>
      <c r="I153" s="18" t="n">
        <v>149</v>
      </c>
      <c r="J153" s="18" t="n">
        <f aca="false">SUMIFS($H$2:$H$1200,$A$2:$A$1200,$A153,$B$2:$B$1200,"&lt;="&amp;$B153)</f>
        <v>2239</v>
      </c>
      <c r="K153" s="18" t="n">
        <f aca="false">SUMIFS($I$2:$I$1200,$A$2:$A$1200,$A153,$B$2:$B$1200,"&lt;="&amp;$B153)</f>
        <v>574</v>
      </c>
      <c r="L153" s="18" t="n">
        <f aca="false">J153-K153</f>
        <v>1665</v>
      </c>
      <c r="M153" s="18" t="n">
        <f aca="false">SUMIF($A$2:$A$1200,$A153,$H$2:$H$1200)</f>
        <v>2344</v>
      </c>
      <c r="N153" s="20" t="n">
        <f aca="false">IF(M153=0,"",L153/M153)</f>
        <v>0.710324232081911</v>
      </c>
      <c r="O153" s="20" t="n">
        <v>0.713673381911702</v>
      </c>
      <c r="P153" s="20" t="n">
        <f aca="false">IF(OR(N153="",O153=""),"",N153-O153)</f>
        <v>-0.00334914982979073</v>
      </c>
      <c r="Q153" s="18"/>
    </row>
    <row r="154" customFormat="false" ht="15" hidden="false" customHeight="true" outlineLevel="0" collapsed="false">
      <c r="A154" s="18" t="s">
        <v>261</v>
      </c>
      <c r="B154" s="18" t="n">
        <v>15</v>
      </c>
      <c r="C154" s="18" t="s">
        <v>463</v>
      </c>
      <c r="D154" s="18" t="n">
        <v>0</v>
      </c>
      <c r="E154" s="18" t="s">
        <v>262</v>
      </c>
      <c r="F154" s="18" t="s">
        <v>220</v>
      </c>
      <c r="G154" s="19" t="n">
        <v>33004</v>
      </c>
      <c r="H154" s="18" t="n">
        <v>47</v>
      </c>
      <c r="I154" s="18" t="n">
        <v>199</v>
      </c>
      <c r="J154" s="18" t="n">
        <f aca="false">SUMIFS($H$2:$H$1200,$A$2:$A$1200,$A154,$B$2:$B$1200,"&lt;="&amp;$B154)</f>
        <v>2286</v>
      </c>
      <c r="K154" s="18" t="n">
        <f aca="false">SUMIFS($I$2:$I$1200,$A$2:$A$1200,$A154,$B$2:$B$1200,"&lt;="&amp;$B154)</f>
        <v>773</v>
      </c>
      <c r="L154" s="18" t="n">
        <f aca="false">J154-K154</f>
        <v>1513</v>
      </c>
      <c r="M154" s="18" t="n">
        <f aca="false">SUMIF($A$2:$A$1200,$A154,$H$2:$H$1200)</f>
        <v>2344</v>
      </c>
      <c r="N154" s="20" t="n">
        <f aca="false">IF(M154=0,"",L154/M154)</f>
        <v>0.645477815699659</v>
      </c>
      <c r="O154" s="20" t="n">
        <v>0.64852121731676</v>
      </c>
      <c r="P154" s="20" t="n">
        <f aca="false">IF(OR(N154="",O154=""),"",N154-O154)</f>
        <v>-0.00304340161710137</v>
      </c>
      <c r="Q154" s="18"/>
    </row>
    <row r="155" customFormat="false" ht="15" hidden="false" customHeight="true" outlineLevel="0" collapsed="false">
      <c r="A155" s="18" t="s">
        <v>261</v>
      </c>
      <c r="B155" s="18" t="n">
        <v>16</v>
      </c>
      <c r="C155" s="18" t="s">
        <v>366</v>
      </c>
      <c r="D155" s="18" t="n">
        <v>15</v>
      </c>
      <c r="E155" s="18" t="s">
        <v>262</v>
      </c>
      <c r="F155" s="18" t="s">
        <v>220</v>
      </c>
      <c r="G155" s="19" t="n">
        <v>33004</v>
      </c>
      <c r="H155" s="18" t="n">
        <v>28</v>
      </c>
      <c r="I155" s="18" t="n">
        <v>274</v>
      </c>
      <c r="J155" s="18" t="n">
        <f aca="false">SUMIFS($H$2:$H$1200,$A$2:$A$1200,$A155,$B$2:$B$1200,"&lt;="&amp;$B155)</f>
        <v>2314</v>
      </c>
      <c r="K155" s="18" t="n">
        <f aca="false">SUMIFS($I$2:$I$1200,$A$2:$A$1200,$A155,$B$2:$B$1200,"&lt;="&amp;$B155)</f>
        <v>1047</v>
      </c>
      <c r="L155" s="18" t="n">
        <f aca="false">J155-K155</f>
        <v>1267</v>
      </c>
      <c r="M155" s="18" t="n">
        <f aca="false">SUMIF($A$2:$A$1200,$A155,$H$2:$H$1200)</f>
        <v>2344</v>
      </c>
      <c r="N155" s="20" t="n">
        <f aca="false">IF(M155=0,"",L155/M155)</f>
        <v>0.540529010238908</v>
      </c>
      <c r="O155" s="20" t="n">
        <v>0.543077582511787</v>
      </c>
      <c r="P155" s="20" t="n">
        <f aca="false">IF(OR(N155="",O155=""),"",N155-O155)</f>
        <v>-0.00254857227287908</v>
      </c>
      <c r="Q155" s="18"/>
    </row>
    <row r="156" customFormat="false" ht="15" hidden="false" customHeight="true" outlineLevel="0" collapsed="false">
      <c r="A156" s="18" t="s">
        <v>261</v>
      </c>
      <c r="B156" s="18" t="n">
        <v>17</v>
      </c>
      <c r="C156" s="18" t="s">
        <v>326</v>
      </c>
      <c r="D156" s="18" t="n">
        <v>30</v>
      </c>
      <c r="E156" s="18" t="s">
        <v>262</v>
      </c>
      <c r="F156" s="18" t="s">
        <v>220</v>
      </c>
      <c r="G156" s="19" t="n">
        <v>33004</v>
      </c>
      <c r="H156" s="18" t="n">
        <v>12</v>
      </c>
      <c r="I156" s="18" t="n">
        <v>309</v>
      </c>
      <c r="J156" s="18" t="n">
        <f aca="false">SUMIFS($H$2:$H$1200,$A$2:$A$1200,$A156,$B$2:$B$1200,"&lt;="&amp;$B156)</f>
        <v>2326</v>
      </c>
      <c r="K156" s="18" t="n">
        <f aca="false">SUMIFS($I$2:$I$1200,$A$2:$A$1200,$A156,$B$2:$B$1200,"&lt;="&amp;$B156)</f>
        <v>1356</v>
      </c>
      <c r="L156" s="18" t="n">
        <f aca="false">J156-K156</f>
        <v>970</v>
      </c>
      <c r="M156" s="18" t="n">
        <f aca="false">SUMIF($A$2:$A$1200,$A156,$H$2:$H$1200)</f>
        <v>2344</v>
      </c>
      <c r="N156" s="20" t="n">
        <f aca="false">IF(M156=0,"",L156/M156)</f>
        <v>0.41382252559727</v>
      </c>
      <c r="O156" s="20" t="n">
        <v>0.415773681954565</v>
      </c>
      <c r="P156" s="20" t="n">
        <f aca="false">IF(OR(N156="",O156=""),"",N156-O156)</f>
        <v>-0.00195115635729537</v>
      </c>
      <c r="Q156" s="18"/>
    </row>
    <row r="157" customFormat="false" ht="15" hidden="false" customHeight="true" outlineLevel="0" collapsed="false">
      <c r="A157" s="18" t="s">
        <v>261</v>
      </c>
      <c r="B157" s="18" t="n">
        <v>18</v>
      </c>
      <c r="C157" s="18" t="s">
        <v>226</v>
      </c>
      <c r="D157" s="18" t="n">
        <v>45</v>
      </c>
      <c r="E157" s="18" t="s">
        <v>262</v>
      </c>
      <c r="F157" s="18" t="s">
        <v>220</v>
      </c>
      <c r="G157" s="19" t="n">
        <v>33004</v>
      </c>
      <c r="H157" s="18" t="n">
        <v>7</v>
      </c>
      <c r="I157" s="18" t="n">
        <v>331</v>
      </c>
      <c r="J157" s="18" t="n">
        <f aca="false">SUMIFS($H$2:$H$1200,$A$2:$A$1200,$A157,$B$2:$B$1200,"&lt;="&amp;$B157)</f>
        <v>2333</v>
      </c>
      <c r="K157" s="18" t="n">
        <f aca="false">SUMIFS($I$2:$I$1200,$A$2:$A$1200,$A157,$B$2:$B$1200,"&lt;="&amp;$B157)</f>
        <v>1687</v>
      </c>
      <c r="L157" s="18" t="n">
        <f aca="false">J157-K157</f>
        <v>646</v>
      </c>
      <c r="M157" s="18" t="n">
        <f aca="false">SUMIF($A$2:$A$1200,$A157,$H$2:$H$1200)</f>
        <v>2344</v>
      </c>
      <c r="N157" s="20" t="n">
        <f aca="false">IF(M157=0,"",L157/M157)</f>
        <v>0.275597269624573</v>
      </c>
      <c r="O157" s="20" t="n">
        <v>0.276896699528504</v>
      </c>
      <c r="P157" s="20" t="n">
        <f aca="false">IF(OR(N157="",O157=""),"",N157-O157)</f>
        <v>-0.00129942990393062</v>
      </c>
      <c r="Q157" s="18"/>
    </row>
    <row r="158" customFormat="false" ht="15" hidden="false" customHeight="true" outlineLevel="0" collapsed="false">
      <c r="A158" s="18" t="s">
        <v>261</v>
      </c>
      <c r="B158" s="18" t="n">
        <v>19</v>
      </c>
      <c r="C158" s="18" t="s">
        <v>205</v>
      </c>
      <c r="D158" s="18" t="n">
        <v>60</v>
      </c>
      <c r="E158" s="18" t="s">
        <v>262</v>
      </c>
      <c r="F158" s="18" t="s">
        <v>220</v>
      </c>
      <c r="G158" s="19" t="n">
        <v>33004</v>
      </c>
      <c r="H158" s="18" t="n">
        <v>10</v>
      </c>
      <c r="I158" s="18" t="n">
        <v>316</v>
      </c>
      <c r="J158" s="18" t="n">
        <f aca="false">SUMIFS($H$2:$H$1200,$A$2:$A$1200,$A158,$B$2:$B$1200,"&lt;="&amp;$B158)</f>
        <v>2343</v>
      </c>
      <c r="K158" s="18" t="n">
        <f aca="false">SUMIFS($I$2:$I$1200,$A$2:$A$1200,$A158,$B$2:$B$1200,"&lt;="&amp;$B158)</f>
        <v>2003</v>
      </c>
      <c r="L158" s="18" t="n">
        <f aca="false">J158-K158</f>
        <v>340</v>
      </c>
      <c r="M158" s="18" t="n">
        <f aca="false">SUMIF($A$2:$A$1200,$A158,$H$2:$H$1200)</f>
        <v>2344</v>
      </c>
      <c r="N158" s="20" t="n">
        <f aca="false">IF(M158=0,"",L158/M158)</f>
        <v>0.145051194539249</v>
      </c>
      <c r="O158" s="20"/>
      <c r="P158" s="20" t="str">
        <f aca="false">IF(OR(N158="",O158=""),"",N158-O158)</f>
        <v/>
      </c>
      <c r="Q158" s="18"/>
    </row>
    <row r="159" customFormat="false" ht="15" hidden="false" customHeight="true" outlineLevel="0" collapsed="false">
      <c r="A159" s="18" t="s">
        <v>261</v>
      </c>
      <c r="B159" s="18" t="n">
        <v>20</v>
      </c>
      <c r="C159" s="18" t="s">
        <v>532</v>
      </c>
      <c r="D159" s="18" t="n">
        <v>75</v>
      </c>
      <c r="E159" s="18" t="s">
        <v>262</v>
      </c>
      <c r="F159" s="18" t="s">
        <v>220</v>
      </c>
      <c r="G159" s="19" t="n">
        <v>33004</v>
      </c>
      <c r="H159" s="18" t="n">
        <v>1</v>
      </c>
      <c r="I159" s="18" t="n">
        <v>252</v>
      </c>
      <c r="J159" s="18" t="n">
        <f aca="false">SUMIFS($H$2:$H$1200,$A$2:$A$1200,$A159,$B$2:$B$1200,"&lt;="&amp;$B159)</f>
        <v>2344</v>
      </c>
      <c r="K159" s="18" t="n">
        <f aca="false">SUMIFS($I$2:$I$1200,$A$2:$A$1200,$A159,$B$2:$B$1200,"&lt;="&amp;$B159)</f>
        <v>2255</v>
      </c>
      <c r="L159" s="18" t="n">
        <f aca="false">J159-K159</f>
        <v>89</v>
      </c>
      <c r="M159" s="18" t="n">
        <f aca="false">SUMIF($A$2:$A$1200,$A159,$H$2:$H$1200)</f>
        <v>2344</v>
      </c>
      <c r="N159" s="20" t="n">
        <f aca="false">IF(M159=0,"",L159/M159)</f>
        <v>0.0379692832764505</v>
      </c>
      <c r="O159" s="20"/>
      <c r="P159" s="20" t="str">
        <f aca="false">IF(OR(N159="",O159=""),"",N159-O159)</f>
        <v/>
      </c>
      <c r="Q159" s="18"/>
    </row>
    <row r="160" customFormat="false" ht="15" hidden="false" customHeight="true" outlineLevel="0" collapsed="false">
      <c r="A160" s="18" t="s">
        <v>261</v>
      </c>
      <c r="B160" s="18" t="n">
        <v>21</v>
      </c>
      <c r="C160" s="18" t="s">
        <v>265</v>
      </c>
      <c r="D160" s="18" t="n">
        <v>90</v>
      </c>
      <c r="E160" s="18" t="s">
        <v>262</v>
      </c>
      <c r="F160" s="18" t="s">
        <v>220</v>
      </c>
      <c r="G160" s="19" t="n">
        <v>33004</v>
      </c>
      <c r="H160" s="18" t="n">
        <v>0</v>
      </c>
      <c r="I160" s="18" t="n">
        <v>3</v>
      </c>
      <c r="J160" s="18" t="n">
        <f aca="false">SUMIFS($H$2:$H$1200,$A$2:$A$1200,$A160,$B$2:$B$1200,"&lt;="&amp;$B160)</f>
        <v>2344</v>
      </c>
      <c r="K160" s="18" t="n">
        <f aca="false">SUMIFS($I$2:$I$1200,$A$2:$A$1200,$A160,$B$2:$B$1200,"&lt;="&amp;$B160)</f>
        <v>2258</v>
      </c>
      <c r="L160" s="18" t="n">
        <f aca="false">J160-K160</f>
        <v>86</v>
      </c>
      <c r="M160" s="18" t="n">
        <f aca="false">SUMIF($A$2:$A$1200,$A160,$H$2:$H$1200)</f>
        <v>2344</v>
      </c>
      <c r="N160" s="20" t="n">
        <f aca="false">IF(M160=0,"",L160/M160)</f>
        <v>0.0366894197952218</v>
      </c>
      <c r="O160" s="20"/>
      <c r="P160" s="20" t="str">
        <f aca="false">IF(OR(N160="",O160=""),"",N160-O160)</f>
        <v/>
      </c>
      <c r="Q160" s="18"/>
    </row>
    <row r="161" customFormat="false" ht="15" hidden="false" customHeight="true" outlineLevel="0" collapsed="false">
      <c r="A161" s="18" t="s">
        <v>271</v>
      </c>
      <c r="B161" s="18" t="n">
        <v>0</v>
      </c>
      <c r="C161" s="18" t="s">
        <v>204</v>
      </c>
      <c r="D161" s="18"/>
      <c r="E161" s="18" t="s">
        <v>262</v>
      </c>
      <c r="F161" s="18" t="s">
        <v>220</v>
      </c>
      <c r="G161" s="19" t="n">
        <v>35881</v>
      </c>
      <c r="H161" s="18" t="n">
        <v>332</v>
      </c>
      <c r="I161" s="18" t="n">
        <v>0</v>
      </c>
      <c r="J161" s="18" t="n">
        <f aca="false">SUMIFS($H$2:$H$1200,$A$2:$A$1200,$A161,$B$2:$B$1200,"&lt;="&amp;$B161)</f>
        <v>332</v>
      </c>
      <c r="K161" s="18" t="n">
        <f aca="false">SUMIFS($I$2:$I$1200,$A$2:$A$1200,$A161,$B$2:$B$1200,"&lt;="&amp;$B161)</f>
        <v>0</v>
      </c>
      <c r="L161" s="18" t="n">
        <f aca="false">J161-K161</f>
        <v>332</v>
      </c>
      <c r="M161" s="18" t="n">
        <f aca="false">SUMIF($A$2:$A$1200,$A161,$H$2:$H$1200)</f>
        <v>2344</v>
      </c>
      <c r="N161" s="20" t="n">
        <f aca="false">IF(M161=0,"",L161/M161)</f>
        <v>0.141638225255973</v>
      </c>
      <c r="O161" s="20" t="n">
        <v>0.142306043720532</v>
      </c>
      <c r="P161" s="20" t="n">
        <f aca="false">IF(OR(N161="",O161=""),"",N161-O161)</f>
        <v>-0.000667818464559294</v>
      </c>
      <c r="Q161" s="18"/>
    </row>
    <row r="162" customFormat="false" ht="15" hidden="false" customHeight="true" outlineLevel="0" collapsed="false">
      <c r="A162" s="18" t="s">
        <v>271</v>
      </c>
      <c r="B162" s="18" t="n">
        <v>4</v>
      </c>
      <c r="C162" s="18" t="s">
        <v>526</v>
      </c>
      <c r="D162" s="18" t="n">
        <v>-165</v>
      </c>
      <c r="E162" s="18" t="s">
        <v>262</v>
      </c>
      <c r="F162" s="18" t="s">
        <v>220</v>
      </c>
      <c r="G162" s="19" t="n">
        <v>35881</v>
      </c>
      <c r="H162" s="18" t="n">
        <v>137</v>
      </c>
      <c r="I162" s="18" t="n">
        <v>6</v>
      </c>
      <c r="J162" s="18" t="n">
        <f aca="false">SUMIFS($H$2:$H$1200,$A$2:$A$1200,$A162,$B$2:$B$1200,"&lt;="&amp;$B162)</f>
        <v>469</v>
      </c>
      <c r="K162" s="18" t="n">
        <f aca="false">SUMIFS($I$2:$I$1200,$A$2:$A$1200,$A162,$B$2:$B$1200,"&lt;="&amp;$B162)</f>
        <v>6</v>
      </c>
      <c r="L162" s="18" t="n">
        <f aca="false">J162-K162</f>
        <v>463</v>
      </c>
      <c r="M162" s="18" t="n">
        <f aca="false">SUMIF($A$2:$A$1200,$A162,$H$2:$H$1200)</f>
        <v>2344</v>
      </c>
      <c r="N162" s="20" t="n">
        <f aca="false">IF(M162=0,"",L162/M162)</f>
        <v>0.197525597269625</v>
      </c>
      <c r="O162" s="20" t="n">
        <v>0.198456922417488</v>
      </c>
      <c r="P162" s="20" t="n">
        <f aca="false">IF(OR(N162="",O162=""),"",N162-O162)</f>
        <v>-0.000931325147863427</v>
      </c>
      <c r="Q162" s="18"/>
    </row>
    <row r="163" customFormat="false" ht="15" hidden="false" customHeight="true" outlineLevel="0" collapsed="false">
      <c r="A163" s="18" t="s">
        <v>271</v>
      </c>
      <c r="B163" s="18" t="n">
        <v>5</v>
      </c>
      <c r="C163" s="18" t="s">
        <v>527</v>
      </c>
      <c r="D163" s="18" t="n">
        <v>-150</v>
      </c>
      <c r="E163" s="18" t="s">
        <v>262</v>
      </c>
      <c r="F163" s="18" t="s">
        <v>220</v>
      </c>
      <c r="G163" s="19" t="n">
        <v>35881</v>
      </c>
      <c r="H163" s="18" t="n">
        <v>257</v>
      </c>
      <c r="I163" s="18" t="n">
        <v>9</v>
      </c>
      <c r="J163" s="18" t="n">
        <f aca="false">SUMIFS($H$2:$H$1200,$A$2:$A$1200,$A163,$B$2:$B$1200,"&lt;="&amp;$B163)</f>
        <v>726</v>
      </c>
      <c r="K163" s="18" t="n">
        <f aca="false">SUMIFS($I$2:$I$1200,$A$2:$A$1200,$A163,$B$2:$B$1200,"&lt;="&amp;$B163)</f>
        <v>15</v>
      </c>
      <c r="L163" s="18" t="n">
        <f aca="false">J163-K163</f>
        <v>711</v>
      </c>
      <c r="M163" s="18" t="n">
        <f aca="false">SUMIF($A$2:$A$1200,$A163,$H$2:$H$1200)</f>
        <v>2344</v>
      </c>
      <c r="N163" s="20" t="n">
        <f aca="false">IF(M163=0,"",L163/M163)</f>
        <v>0.303327645051195</v>
      </c>
      <c r="O163" s="20" t="n">
        <v>0.304757822546078</v>
      </c>
      <c r="P163" s="20" t="n">
        <f aca="false">IF(OR(N163="",O163=""),"",N163-O163)</f>
        <v>-0.0014301774948835</v>
      </c>
      <c r="Q163" s="18"/>
    </row>
    <row r="164" customFormat="false" ht="15" hidden="false" customHeight="true" outlineLevel="0" collapsed="false">
      <c r="A164" s="18" t="s">
        <v>271</v>
      </c>
      <c r="B164" s="18" t="n">
        <v>6</v>
      </c>
      <c r="C164" s="18" t="s">
        <v>528</v>
      </c>
      <c r="D164" s="18" t="n">
        <v>-135</v>
      </c>
      <c r="E164" s="18" t="s">
        <v>262</v>
      </c>
      <c r="F164" s="18" t="s">
        <v>220</v>
      </c>
      <c r="G164" s="19" t="n">
        <v>35881</v>
      </c>
      <c r="H164" s="18" t="n">
        <v>260</v>
      </c>
      <c r="I164" s="18" t="n">
        <v>2</v>
      </c>
      <c r="J164" s="18" t="n">
        <f aca="false">SUMIFS($H$2:$H$1200,$A$2:$A$1200,$A164,$B$2:$B$1200,"&lt;="&amp;$B164)</f>
        <v>986</v>
      </c>
      <c r="K164" s="18" t="n">
        <f aca="false">SUMIFS($I$2:$I$1200,$A$2:$A$1200,$A164,$B$2:$B$1200,"&lt;="&amp;$B164)</f>
        <v>17</v>
      </c>
      <c r="L164" s="18" t="n">
        <f aca="false">J164-K164</f>
        <v>969</v>
      </c>
      <c r="M164" s="18" t="n">
        <f aca="false">SUMIF($A$2:$A$1200,$A164,$H$2:$H$1200)</f>
        <v>2344</v>
      </c>
      <c r="N164" s="20" t="n">
        <f aca="false">IF(M164=0,"",L164/M164)</f>
        <v>0.41339590443686</v>
      </c>
      <c r="O164" s="20" t="n">
        <v>0.415345049292756</v>
      </c>
      <c r="P164" s="20" t="n">
        <f aca="false">IF(OR(N164="",O164=""),"",N164-O164)</f>
        <v>-0.00194914485589592</v>
      </c>
      <c r="Q164" s="18"/>
    </row>
    <row r="165" customFormat="false" ht="15" hidden="false" customHeight="true" outlineLevel="0" collapsed="false">
      <c r="A165" s="18" t="s">
        <v>271</v>
      </c>
      <c r="B165" s="18" t="n">
        <v>7</v>
      </c>
      <c r="C165" s="18" t="s">
        <v>227</v>
      </c>
      <c r="D165" s="18" t="n">
        <v>-120</v>
      </c>
      <c r="E165" s="18" t="s">
        <v>262</v>
      </c>
      <c r="F165" s="18" t="s">
        <v>220</v>
      </c>
      <c r="G165" s="19" t="n">
        <v>35881</v>
      </c>
      <c r="H165" s="18" t="n">
        <v>285</v>
      </c>
      <c r="I165" s="18" t="n">
        <v>10</v>
      </c>
      <c r="J165" s="18" t="n">
        <f aca="false">SUMIFS($H$2:$H$1200,$A$2:$A$1200,$A165,$B$2:$B$1200,"&lt;="&amp;$B165)</f>
        <v>1271</v>
      </c>
      <c r="K165" s="18" t="n">
        <f aca="false">SUMIFS($I$2:$I$1200,$A$2:$A$1200,$A165,$B$2:$B$1200,"&lt;="&amp;$B165)</f>
        <v>27</v>
      </c>
      <c r="L165" s="18" t="n">
        <f aca="false">J165-K165</f>
        <v>1244</v>
      </c>
      <c r="M165" s="18" t="n">
        <f aca="false">SUMIF($A$2:$A$1200,$A165,$H$2:$H$1200)</f>
        <v>2344</v>
      </c>
      <c r="N165" s="20" t="n">
        <f aca="false">IF(M165=0,"",L165/M165)</f>
        <v>0.530716723549488</v>
      </c>
      <c r="O165" s="20" t="n">
        <v>0.533219031290184</v>
      </c>
      <c r="P165" s="20" t="n">
        <f aca="false">IF(OR(N165="",O165=""),"",N165-O165)</f>
        <v>-0.00250230774069593</v>
      </c>
      <c r="Q165" s="18"/>
    </row>
    <row r="166" customFormat="false" ht="15" hidden="false" customHeight="true" outlineLevel="0" collapsed="false">
      <c r="A166" s="18" t="s">
        <v>271</v>
      </c>
      <c r="B166" s="18" t="n">
        <v>8</v>
      </c>
      <c r="C166" s="18" t="s">
        <v>241</v>
      </c>
      <c r="D166" s="18" t="n">
        <v>-105</v>
      </c>
      <c r="E166" s="18" t="s">
        <v>262</v>
      </c>
      <c r="F166" s="18" t="s">
        <v>220</v>
      </c>
      <c r="G166" s="19" t="n">
        <v>35881</v>
      </c>
      <c r="H166" s="18" t="n">
        <v>186</v>
      </c>
      <c r="I166" s="18" t="n">
        <v>31</v>
      </c>
      <c r="J166" s="18" t="n">
        <f aca="false">SUMIFS($H$2:$H$1200,$A$2:$A$1200,$A166,$B$2:$B$1200,"&lt;="&amp;$B166)</f>
        <v>1457</v>
      </c>
      <c r="K166" s="18" t="n">
        <f aca="false">SUMIFS($I$2:$I$1200,$A$2:$A$1200,$A166,$B$2:$B$1200,"&lt;="&amp;$B166)</f>
        <v>58</v>
      </c>
      <c r="L166" s="18" t="n">
        <f aca="false">J166-K166</f>
        <v>1399</v>
      </c>
      <c r="M166" s="18" t="n">
        <f aca="false">SUMIF($A$2:$A$1200,$A166,$H$2:$H$1200)</f>
        <v>2344</v>
      </c>
      <c r="N166" s="20" t="n">
        <f aca="false">IF(M166=0,"",L166/M166)</f>
        <v>0.596843003412969</v>
      </c>
      <c r="O166" s="20" t="n">
        <v>0.599657093870553</v>
      </c>
      <c r="P166" s="20" t="n">
        <f aca="false">IF(OR(N166="",O166=""),"",N166-O166)</f>
        <v>-0.00281409045758374</v>
      </c>
      <c r="Q166" s="18"/>
    </row>
    <row r="167" customFormat="false" ht="15" hidden="false" customHeight="true" outlineLevel="0" collapsed="false">
      <c r="A167" s="18" t="s">
        <v>271</v>
      </c>
      <c r="B167" s="18" t="n">
        <v>9</v>
      </c>
      <c r="C167" s="18" t="s">
        <v>279</v>
      </c>
      <c r="D167" s="18" t="n">
        <v>-90</v>
      </c>
      <c r="E167" s="18" t="s">
        <v>262</v>
      </c>
      <c r="F167" s="18" t="s">
        <v>220</v>
      </c>
      <c r="G167" s="19" t="n">
        <v>35881</v>
      </c>
      <c r="H167" s="18" t="n">
        <v>278</v>
      </c>
      <c r="I167" s="18" t="n">
        <v>69</v>
      </c>
      <c r="J167" s="18" t="n">
        <f aca="false">SUMIFS($H$2:$H$1200,$A$2:$A$1200,$A167,$B$2:$B$1200,"&lt;="&amp;$B167)</f>
        <v>1735</v>
      </c>
      <c r="K167" s="18" t="n">
        <f aca="false">SUMIFS($I$2:$I$1200,$A$2:$A$1200,$A167,$B$2:$B$1200,"&lt;="&amp;$B167)</f>
        <v>127</v>
      </c>
      <c r="L167" s="18" t="n">
        <f aca="false">J167-K167</f>
        <v>1608</v>
      </c>
      <c r="M167" s="18" t="n">
        <f aca="false">SUMIF($A$2:$A$1200,$A167,$H$2:$H$1200)</f>
        <v>2344</v>
      </c>
      <c r="N167" s="20" t="n">
        <f aca="false">IF(M167=0,"",L167/M167)</f>
        <v>0.686006825938567</v>
      </c>
      <c r="O167" s="20" t="n">
        <v>0.689241320188598</v>
      </c>
      <c r="P167" s="20" t="n">
        <f aca="false">IF(OR(N167="",O167=""),"",N167-O167)</f>
        <v>-0.00323449425003142</v>
      </c>
      <c r="Q167" s="18"/>
    </row>
    <row r="168" customFormat="false" ht="15" hidden="false" customHeight="true" outlineLevel="0" collapsed="false">
      <c r="A168" s="18" t="s">
        <v>271</v>
      </c>
      <c r="B168" s="18" t="n">
        <v>10</v>
      </c>
      <c r="C168" s="18" t="s">
        <v>206</v>
      </c>
      <c r="D168" s="18" t="n">
        <v>-75</v>
      </c>
      <c r="E168" s="18" t="s">
        <v>262</v>
      </c>
      <c r="F168" s="18" t="s">
        <v>220</v>
      </c>
      <c r="G168" s="19" t="n">
        <v>35881</v>
      </c>
      <c r="H168" s="18" t="n">
        <v>163</v>
      </c>
      <c r="I168" s="18" t="n">
        <v>60</v>
      </c>
      <c r="J168" s="18" t="n">
        <f aca="false">SUMIFS($H$2:$H$1200,$A$2:$A$1200,$A168,$B$2:$B$1200,"&lt;="&amp;$B168)</f>
        <v>1898</v>
      </c>
      <c r="K168" s="18" t="n">
        <f aca="false">SUMIFS($I$2:$I$1200,$A$2:$A$1200,$A168,$B$2:$B$1200,"&lt;="&amp;$B168)</f>
        <v>187</v>
      </c>
      <c r="L168" s="18" t="n">
        <f aca="false">J168-K168</f>
        <v>1711</v>
      </c>
      <c r="M168" s="18" t="n">
        <f aca="false">SUMIF($A$2:$A$1200,$A168,$H$2:$H$1200)</f>
        <v>2344</v>
      </c>
      <c r="N168" s="20" t="n">
        <f aca="false">IF(M168=0,"",L168/M168)</f>
        <v>0.729948805460751</v>
      </c>
      <c r="O168" s="20" t="n">
        <v>0.733390484354908</v>
      </c>
      <c r="P168" s="20" t="n">
        <f aca="false">IF(OR(N168="",O168=""),"",N168-O168)</f>
        <v>-0.00344167889415714</v>
      </c>
      <c r="Q168" s="18"/>
    </row>
    <row r="169" customFormat="false" ht="15" hidden="false" customHeight="true" outlineLevel="0" collapsed="false">
      <c r="A169" s="18" t="s">
        <v>271</v>
      </c>
      <c r="B169" s="18" t="n">
        <v>11</v>
      </c>
      <c r="C169" s="18" t="s">
        <v>246</v>
      </c>
      <c r="D169" s="18" t="n">
        <v>-60</v>
      </c>
      <c r="E169" s="18" t="s">
        <v>262</v>
      </c>
      <c r="F169" s="18" t="s">
        <v>220</v>
      </c>
      <c r="G169" s="19" t="n">
        <v>35881</v>
      </c>
      <c r="H169" s="18" t="n">
        <v>147</v>
      </c>
      <c r="I169" s="18" t="n">
        <v>65</v>
      </c>
      <c r="J169" s="18" t="n">
        <f aca="false">SUMIFS($H$2:$H$1200,$A$2:$A$1200,$A169,$B$2:$B$1200,"&lt;="&amp;$B169)</f>
        <v>2045</v>
      </c>
      <c r="K169" s="18" t="n">
        <f aca="false">SUMIFS($I$2:$I$1200,$A$2:$A$1200,$A169,$B$2:$B$1200,"&lt;="&amp;$B169)</f>
        <v>252</v>
      </c>
      <c r="L169" s="18" t="n">
        <f aca="false">J169-K169</f>
        <v>1793</v>
      </c>
      <c r="M169" s="18" t="n">
        <f aca="false">SUMIF($A$2:$A$1200,$A169,$H$2:$H$1200)</f>
        <v>2344</v>
      </c>
      <c r="N169" s="20" t="n">
        <f aca="false">IF(M169=0,"",L169/M169)</f>
        <v>0.764931740614334</v>
      </c>
      <c r="O169" s="20" t="n">
        <v>0.768538362623232</v>
      </c>
      <c r="P169" s="20" t="n">
        <f aca="false">IF(OR(N169="",O169=""),"",N169-O169)</f>
        <v>-0.00360662200889761</v>
      </c>
      <c r="Q169" s="18"/>
    </row>
    <row r="170" customFormat="false" ht="15" hidden="false" customHeight="true" outlineLevel="0" collapsed="false">
      <c r="A170" s="18" t="s">
        <v>271</v>
      </c>
      <c r="B170" s="18" t="n">
        <v>12</v>
      </c>
      <c r="C170" s="18" t="s">
        <v>254</v>
      </c>
      <c r="D170" s="18" t="n">
        <v>-45</v>
      </c>
      <c r="E170" s="18" t="s">
        <v>262</v>
      </c>
      <c r="F170" s="18" t="s">
        <v>220</v>
      </c>
      <c r="G170" s="19" t="n">
        <v>35881</v>
      </c>
      <c r="H170" s="18" t="n">
        <v>74</v>
      </c>
      <c r="I170" s="18" t="n">
        <v>70</v>
      </c>
      <c r="J170" s="18" t="n">
        <f aca="false">SUMIFS($H$2:$H$1200,$A$2:$A$1200,$A170,$B$2:$B$1200,"&lt;="&amp;$B170)</f>
        <v>2119</v>
      </c>
      <c r="K170" s="18" t="n">
        <f aca="false">SUMIFS($I$2:$I$1200,$A$2:$A$1200,$A170,$B$2:$B$1200,"&lt;="&amp;$B170)</f>
        <v>322</v>
      </c>
      <c r="L170" s="18" t="n">
        <f aca="false">J170-K170</f>
        <v>1797</v>
      </c>
      <c r="M170" s="18" t="n">
        <f aca="false">SUMIF($A$2:$A$1200,$A170,$H$2:$H$1200)</f>
        <v>2344</v>
      </c>
      <c r="N170" s="20" t="n">
        <f aca="false">IF(M170=0,"",L170/M170)</f>
        <v>0.766638225255973</v>
      </c>
      <c r="O170" s="20" t="n">
        <v>0.770252893270467</v>
      </c>
      <c r="P170" s="20" t="n">
        <f aca="false">IF(OR(N170="",O170=""),"",N170-O170)</f>
        <v>-0.00361466801449428</v>
      </c>
      <c r="Q170" s="18"/>
    </row>
    <row r="171" customFormat="false" ht="15" hidden="false" customHeight="true" outlineLevel="0" collapsed="false">
      <c r="A171" s="18" t="s">
        <v>271</v>
      </c>
      <c r="B171" s="18" t="n">
        <v>13</v>
      </c>
      <c r="C171" s="18" t="s">
        <v>403</v>
      </c>
      <c r="D171" s="18" t="n">
        <v>-30</v>
      </c>
      <c r="E171" s="18" t="s">
        <v>262</v>
      </c>
      <c r="F171" s="18" t="s">
        <v>220</v>
      </c>
      <c r="G171" s="19" t="n">
        <v>35881</v>
      </c>
      <c r="H171" s="18" t="n">
        <v>76</v>
      </c>
      <c r="I171" s="18" t="n">
        <v>103</v>
      </c>
      <c r="J171" s="18" t="n">
        <f aca="false">SUMIFS($H$2:$H$1200,$A$2:$A$1200,$A171,$B$2:$B$1200,"&lt;="&amp;$B171)</f>
        <v>2195</v>
      </c>
      <c r="K171" s="18" t="n">
        <f aca="false">SUMIFS($I$2:$I$1200,$A$2:$A$1200,$A171,$B$2:$B$1200,"&lt;="&amp;$B171)</f>
        <v>425</v>
      </c>
      <c r="L171" s="18" t="n">
        <f aca="false">J171-K171</f>
        <v>1770</v>
      </c>
      <c r="M171" s="18" t="n">
        <f aca="false">SUMIF($A$2:$A$1200,$A171,$H$2:$H$1200)</f>
        <v>2344</v>
      </c>
      <c r="N171" s="20" t="n">
        <f aca="false">IF(M171=0,"",L171/M171)</f>
        <v>0.755119453924915</v>
      </c>
      <c r="O171" s="20" t="n">
        <v>0.758679811401629</v>
      </c>
      <c r="P171" s="20" t="n">
        <f aca="false">IF(OR(N171="",O171=""),"",N171-O171)</f>
        <v>-0.00356035747671435</v>
      </c>
      <c r="Q171" s="18"/>
    </row>
    <row r="172" customFormat="false" ht="15" hidden="false" customHeight="true" outlineLevel="0" collapsed="false">
      <c r="A172" s="18" t="s">
        <v>271</v>
      </c>
      <c r="B172" s="18" t="n">
        <v>14</v>
      </c>
      <c r="C172" s="18" t="s">
        <v>529</v>
      </c>
      <c r="D172" s="18" t="n">
        <v>-15</v>
      </c>
      <c r="E172" s="18" t="s">
        <v>262</v>
      </c>
      <c r="F172" s="18" t="s">
        <v>220</v>
      </c>
      <c r="G172" s="19" t="n">
        <v>35881</v>
      </c>
      <c r="H172" s="18" t="n">
        <v>44</v>
      </c>
      <c r="I172" s="18" t="n">
        <v>149</v>
      </c>
      <c r="J172" s="18" t="n">
        <f aca="false">SUMIFS($H$2:$H$1200,$A$2:$A$1200,$A172,$B$2:$B$1200,"&lt;="&amp;$B172)</f>
        <v>2239</v>
      </c>
      <c r="K172" s="18" t="n">
        <f aca="false">SUMIFS($I$2:$I$1200,$A$2:$A$1200,$A172,$B$2:$B$1200,"&lt;="&amp;$B172)</f>
        <v>574</v>
      </c>
      <c r="L172" s="18" t="n">
        <f aca="false">J172-K172</f>
        <v>1665</v>
      </c>
      <c r="M172" s="18" t="n">
        <f aca="false">SUMIF($A$2:$A$1200,$A172,$H$2:$H$1200)</f>
        <v>2344</v>
      </c>
      <c r="N172" s="20" t="n">
        <f aca="false">IF(M172=0,"",L172/M172)</f>
        <v>0.710324232081911</v>
      </c>
      <c r="O172" s="20" t="n">
        <v>0.713673381911702</v>
      </c>
      <c r="P172" s="20" t="n">
        <f aca="false">IF(OR(N172="",O172=""),"",N172-O172)</f>
        <v>-0.00334914982979073</v>
      </c>
      <c r="Q172" s="18"/>
    </row>
    <row r="173" customFormat="false" ht="15" hidden="false" customHeight="true" outlineLevel="0" collapsed="false">
      <c r="A173" s="18" t="s">
        <v>271</v>
      </c>
      <c r="B173" s="18" t="n">
        <v>15</v>
      </c>
      <c r="C173" s="18" t="s">
        <v>463</v>
      </c>
      <c r="D173" s="18" t="n">
        <v>0</v>
      </c>
      <c r="E173" s="18" t="s">
        <v>262</v>
      </c>
      <c r="F173" s="18" t="s">
        <v>220</v>
      </c>
      <c r="G173" s="19" t="n">
        <v>35881</v>
      </c>
      <c r="H173" s="18" t="n">
        <v>47</v>
      </c>
      <c r="I173" s="18" t="n">
        <v>199</v>
      </c>
      <c r="J173" s="18" t="n">
        <f aca="false">SUMIFS($H$2:$H$1200,$A$2:$A$1200,$A173,$B$2:$B$1200,"&lt;="&amp;$B173)</f>
        <v>2286</v>
      </c>
      <c r="K173" s="18" t="n">
        <f aca="false">SUMIFS($I$2:$I$1200,$A$2:$A$1200,$A173,$B$2:$B$1200,"&lt;="&amp;$B173)</f>
        <v>773</v>
      </c>
      <c r="L173" s="18" t="n">
        <f aca="false">J173-K173</f>
        <v>1513</v>
      </c>
      <c r="M173" s="18" t="n">
        <f aca="false">SUMIF($A$2:$A$1200,$A173,$H$2:$H$1200)</f>
        <v>2344</v>
      </c>
      <c r="N173" s="20" t="n">
        <f aca="false">IF(M173=0,"",L173/M173)</f>
        <v>0.645477815699659</v>
      </c>
      <c r="O173" s="20" t="n">
        <v>0.64852121731676</v>
      </c>
      <c r="P173" s="20" t="n">
        <f aca="false">IF(OR(N173="",O173=""),"",N173-O173)</f>
        <v>-0.00304340161710137</v>
      </c>
      <c r="Q173" s="18"/>
    </row>
    <row r="174" customFormat="false" ht="15" hidden="false" customHeight="true" outlineLevel="0" collapsed="false">
      <c r="A174" s="18" t="s">
        <v>271</v>
      </c>
      <c r="B174" s="18" t="n">
        <v>16</v>
      </c>
      <c r="C174" s="18" t="s">
        <v>366</v>
      </c>
      <c r="D174" s="18" t="n">
        <v>15</v>
      </c>
      <c r="E174" s="18" t="s">
        <v>262</v>
      </c>
      <c r="F174" s="18" t="s">
        <v>220</v>
      </c>
      <c r="G174" s="19" t="n">
        <v>35881</v>
      </c>
      <c r="H174" s="18" t="n">
        <v>28</v>
      </c>
      <c r="I174" s="18" t="n">
        <v>274</v>
      </c>
      <c r="J174" s="18" t="n">
        <f aca="false">SUMIFS($H$2:$H$1200,$A$2:$A$1200,$A174,$B$2:$B$1200,"&lt;="&amp;$B174)</f>
        <v>2314</v>
      </c>
      <c r="K174" s="18" t="n">
        <f aca="false">SUMIFS($I$2:$I$1200,$A$2:$A$1200,$A174,$B$2:$B$1200,"&lt;="&amp;$B174)</f>
        <v>1047</v>
      </c>
      <c r="L174" s="18" t="n">
        <f aca="false">J174-K174</f>
        <v>1267</v>
      </c>
      <c r="M174" s="18" t="n">
        <f aca="false">SUMIF($A$2:$A$1200,$A174,$H$2:$H$1200)</f>
        <v>2344</v>
      </c>
      <c r="N174" s="20" t="n">
        <f aca="false">IF(M174=0,"",L174/M174)</f>
        <v>0.540529010238908</v>
      </c>
      <c r="O174" s="20" t="n">
        <v>0.543077582511787</v>
      </c>
      <c r="P174" s="20" t="n">
        <f aca="false">IF(OR(N174="",O174=""),"",N174-O174)</f>
        <v>-0.00254857227287908</v>
      </c>
      <c r="Q174" s="18"/>
    </row>
    <row r="175" customFormat="false" ht="15" hidden="false" customHeight="true" outlineLevel="0" collapsed="false">
      <c r="A175" s="18" t="s">
        <v>271</v>
      </c>
      <c r="B175" s="18" t="n">
        <v>17</v>
      </c>
      <c r="C175" s="18" t="s">
        <v>326</v>
      </c>
      <c r="D175" s="18" t="n">
        <v>30</v>
      </c>
      <c r="E175" s="18" t="s">
        <v>262</v>
      </c>
      <c r="F175" s="18" t="s">
        <v>220</v>
      </c>
      <c r="G175" s="19" t="n">
        <v>35881</v>
      </c>
      <c r="H175" s="18" t="n">
        <v>12</v>
      </c>
      <c r="I175" s="18" t="n">
        <v>309</v>
      </c>
      <c r="J175" s="18" t="n">
        <f aca="false">SUMIFS($H$2:$H$1200,$A$2:$A$1200,$A175,$B$2:$B$1200,"&lt;="&amp;$B175)</f>
        <v>2326</v>
      </c>
      <c r="K175" s="18" t="n">
        <f aca="false">SUMIFS($I$2:$I$1200,$A$2:$A$1200,$A175,$B$2:$B$1200,"&lt;="&amp;$B175)</f>
        <v>1356</v>
      </c>
      <c r="L175" s="18" t="n">
        <f aca="false">J175-K175</f>
        <v>970</v>
      </c>
      <c r="M175" s="18" t="n">
        <f aca="false">SUMIF($A$2:$A$1200,$A175,$H$2:$H$1200)</f>
        <v>2344</v>
      </c>
      <c r="N175" s="20" t="n">
        <f aca="false">IF(M175=0,"",L175/M175)</f>
        <v>0.41382252559727</v>
      </c>
      <c r="O175" s="20" t="n">
        <v>0.415773681954565</v>
      </c>
      <c r="P175" s="20" t="n">
        <f aca="false">IF(OR(N175="",O175=""),"",N175-O175)</f>
        <v>-0.00195115635729537</v>
      </c>
      <c r="Q175" s="18"/>
    </row>
    <row r="176" customFormat="false" ht="15" hidden="false" customHeight="true" outlineLevel="0" collapsed="false">
      <c r="A176" s="18" t="s">
        <v>271</v>
      </c>
      <c r="B176" s="18" t="n">
        <v>18</v>
      </c>
      <c r="C176" s="18" t="s">
        <v>226</v>
      </c>
      <c r="D176" s="18" t="n">
        <v>45</v>
      </c>
      <c r="E176" s="18" t="s">
        <v>262</v>
      </c>
      <c r="F176" s="18" t="s">
        <v>220</v>
      </c>
      <c r="G176" s="19" t="n">
        <v>35881</v>
      </c>
      <c r="H176" s="18" t="n">
        <v>7</v>
      </c>
      <c r="I176" s="18" t="n">
        <v>331</v>
      </c>
      <c r="J176" s="18" t="n">
        <f aca="false">SUMIFS($H$2:$H$1200,$A$2:$A$1200,$A176,$B$2:$B$1200,"&lt;="&amp;$B176)</f>
        <v>2333</v>
      </c>
      <c r="K176" s="18" t="n">
        <f aca="false">SUMIFS($I$2:$I$1200,$A$2:$A$1200,$A176,$B$2:$B$1200,"&lt;="&amp;$B176)</f>
        <v>1687</v>
      </c>
      <c r="L176" s="18" t="n">
        <f aca="false">J176-K176</f>
        <v>646</v>
      </c>
      <c r="M176" s="18" t="n">
        <f aca="false">SUMIF($A$2:$A$1200,$A176,$H$2:$H$1200)</f>
        <v>2344</v>
      </c>
      <c r="N176" s="20" t="n">
        <f aca="false">IF(M176=0,"",L176/M176)</f>
        <v>0.275597269624573</v>
      </c>
      <c r="O176" s="20" t="n">
        <v>0.276896699528504</v>
      </c>
      <c r="P176" s="20" t="n">
        <f aca="false">IF(OR(N176="",O176=""),"",N176-O176)</f>
        <v>-0.00129942990393062</v>
      </c>
      <c r="Q176" s="18"/>
    </row>
    <row r="177" customFormat="false" ht="15" hidden="false" customHeight="true" outlineLevel="0" collapsed="false">
      <c r="A177" s="18" t="s">
        <v>271</v>
      </c>
      <c r="B177" s="18" t="n">
        <v>19</v>
      </c>
      <c r="C177" s="18" t="s">
        <v>205</v>
      </c>
      <c r="D177" s="18" t="n">
        <v>60</v>
      </c>
      <c r="E177" s="18" t="s">
        <v>262</v>
      </c>
      <c r="F177" s="18" t="s">
        <v>220</v>
      </c>
      <c r="G177" s="19" t="n">
        <v>35881</v>
      </c>
      <c r="H177" s="18" t="n">
        <v>10</v>
      </c>
      <c r="I177" s="18" t="n">
        <v>316</v>
      </c>
      <c r="J177" s="18" t="n">
        <f aca="false">SUMIFS($H$2:$H$1200,$A$2:$A$1200,$A177,$B$2:$B$1200,"&lt;="&amp;$B177)</f>
        <v>2343</v>
      </c>
      <c r="K177" s="18" t="n">
        <f aca="false">SUMIFS($I$2:$I$1200,$A$2:$A$1200,$A177,$B$2:$B$1200,"&lt;="&amp;$B177)</f>
        <v>2003</v>
      </c>
      <c r="L177" s="18" t="n">
        <f aca="false">J177-K177</f>
        <v>340</v>
      </c>
      <c r="M177" s="18" t="n">
        <f aca="false">SUMIF($A$2:$A$1200,$A177,$H$2:$H$1200)</f>
        <v>2344</v>
      </c>
      <c r="N177" s="20" t="n">
        <f aca="false">IF(M177=0,"",L177/M177)</f>
        <v>0.145051194539249</v>
      </c>
      <c r="O177" s="20" t="n">
        <v>0.145735105015002</v>
      </c>
      <c r="P177" s="20" t="n">
        <f aca="false">IF(OR(N177="",O177=""),"",N177-O177)</f>
        <v>-0.000683910475752864</v>
      </c>
      <c r="Q177" s="18"/>
    </row>
    <row r="178" customFormat="false" ht="15" hidden="false" customHeight="true" outlineLevel="0" collapsed="false">
      <c r="A178" s="18" t="s">
        <v>271</v>
      </c>
      <c r="B178" s="18" t="n">
        <v>20</v>
      </c>
      <c r="C178" s="18" t="s">
        <v>532</v>
      </c>
      <c r="D178" s="18" t="n">
        <v>75</v>
      </c>
      <c r="E178" s="18" t="s">
        <v>262</v>
      </c>
      <c r="F178" s="18" t="s">
        <v>220</v>
      </c>
      <c r="G178" s="19" t="n">
        <v>35881</v>
      </c>
      <c r="H178" s="18" t="n">
        <v>1</v>
      </c>
      <c r="I178" s="18" t="n">
        <v>252</v>
      </c>
      <c r="J178" s="18" t="n">
        <f aca="false">SUMIFS($H$2:$H$1200,$A$2:$A$1200,$A178,$B$2:$B$1200,"&lt;="&amp;$B178)</f>
        <v>2344</v>
      </c>
      <c r="K178" s="18" t="n">
        <f aca="false">SUMIFS($I$2:$I$1200,$A$2:$A$1200,$A178,$B$2:$B$1200,"&lt;="&amp;$B178)</f>
        <v>2255</v>
      </c>
      <c r="L178" s="18" t="n">
        <f aca="false">J178-K178</f>
        <v>89</v>
      </c>
      <c r="M178" s="18" t="n">
        <f aca="false">SUMIF($A$2:$A$1200,$A178,$H$2:$H$1200)</f>
        <v>2344</v>
      </c>
      <c r="N178" s="20" t="n">
        <f aca="false">IF(M178=0,"",L178/M178)</f>
        <v>0.0379692832764505</v>
      </c>
      <c r="O178" s="20" t="n">
        <v>0.0381483069009859</v>
      </c>
      <c r="P178" s="20" t="n">
        <f aca="false">IF(OR(N178="",O178=""),"",N178-O178)</f>
        <v>-0.000179023624535382</v>
      </c>
      <c r="Q178" s="18"/>
    </row>
    <row r="179" customFormat="false" ht="15" hidden="false" customHeight="true" outlineLevel="0" collapsed="false">
      <c r="A179" s="18" t="s">
        <v>271</v>
      </c>
      <c r="B179" s="18" t="n">
        <v>21</v>
      </c>
      <c r="C179" s="18" t="s">
        <v>265</v>
      </c>
      <c r="D179" s="18" t="n">
        <v>90</v>
      </c>
      <c r="E179" s="18" t="s">
        <v>262</v>
      </c>
      <c r="F179" s="18" t="s">
        <v>220</v>
      </c>
      <c r="G179" s="19" t="n">
        <v>35881</v>
      </c>
      <c r="H179" s="18" t="n">
        <v>0</v>
      </c>
      <c r="I179" s="18" t="n">
        <v>3</v>
      </c>
      <c r="J179" s="18" t="n">
        <f aca="false">SUMIFS($H$2:$H$1200,$A$2:$A$1200,$A179,$B$2:$B$1200,"&lt;="&amp;$B179)</f>
        <v>2344</v>
      </c>
      <c r="K179" s="18" t="n">
        <f aca="false">SUMIFS($I$2:$I$1200,$A$2:$A$1200,$A179,$B$2:$B$1200,"&lt;="&amp;$B179)</f>
        <v>2258</v>
      </c>
      <c r="L179" s="18" t="n">
        <f aca="false">J179-K179</f>
        <v>86</v>
      </c>
      <c r="M179" s="18" t="n">
        <f aca="false">SUMIF($A$2:$A$1200,$A179,$H$2:$H$1200)</f>
        <v>2344</v>
      </c>
      <c r="N179" s="20" t="n">
        <f aca="false">IF(M179=0,"",L179/M179)</f>
        <v>0.0366894197952218</v>
      </c>
      <c r="O179" s="20" t="n">
        <v>0.0368624089155594</v>
      </c>
      <c r="P179" s="20" t="n">
        <f aca="false">IF(OR(N179="",O179=""),"",N179-O179)</f>
        <v>-0.000172989120337558</v>
      </c>
      <c r="Q179" s="18"/>
    </row>
    <row r="180" customFormat="false" ht="15" hidden="false" customHeight="true" outlineLevel="0" collapsed="false">
      <c r="A180" s="18" t="s">
        <v>276</v>
      </c>
      <c r="B180" s="18" t="n">
        <v>0</v>
      </c>
      <c r="C180" s="18" t="s">
        <v>204</v>
      </c>
      <c r="D180" s="18"/>
      <c r="E180" s="18" t="s">
        <v>262</v>
      </c>
      <c r="F180" s="18" t="s">
        <v>198</v>
      </c>
      <c r="G180" s="19" t="n">
        <v>38099</v>
      </c>
      <c r="H180" s="18" t="n">
        <v>7</v>
      </c>
      <c r="I180" s="18" t="n">
        <v>0</v>
      </c>
      <c r="J180" s="18" t="n">
        <f aca="false">SUMIFS($H$2:$H$1200,$A$2:$A$1200,$A180,$B$2:$B$1200,"&lt;="&amp;$B180)</f>
        <v>7</v>
      </c>
      <c r="K180" s="18" t="n">
        <f aca="false">SUMIFS($I$2:$I$1200,$A$2:$A$1200,$A180,$B$2:$B$1200,"&lt;="&amp;$B180)</f>
        <v>0</v>
      </c>
      <c r="L180" s="18" t="n">
        <f aca="false">J180-K180</f>
        <v>7</v>
      </c>
      <c r="M180" s="18" t="n">
        <f aca="false">SUMIF($A$2:$A$1200,$A180,$H$2:$H$1200)</f>
        <v>929</v>
      </c>
      <c r="N180" s="20" t="n">
        <f aca="false">IF(M180=0,"",L180/M180)</f>
        <v>0.00753498385360603</v>
      </c>
      <c r="O180" s="20"/>
      <c r="P180" s="20" t="str">
        <f aca="false">IF(OR(N180="",O180=""),"",N180-O180)</f>
        <v/>
      </c>
      <c r="Q180" s="18"/>
    </row>
    <row r="181" customFormat="false" ht="15" hidden="false" customHeight="true" outlineLevel="0" collapsed="false">
      <c r="A181" s="18" t="s">
        <v>276</v>
      </c>
      <c r="B181" s="18" t="n">
        <v>3</v>
      </c>
      <c r="C181" s="18" t="s">
        <v>525</v>
      </c>
      <c r="D181" s="18" t="n">
        <v>-180</v>
      </c>
      <c r="E181" s="18" t="s">
        <v>262</v>
      </c>
      <c r="F181" s="18" t="s">
        <v>198</v>
      </c>
      <c r="G181" s="19" t="n">
        <v>38099</v>
      </c>
      <c r="H181" s="18" t="n">
        <v>17</v>
      </c>
      <c r="I181" s="18" t="n">
        <v>0</v>
      </c>
      <c r="J181" s="18" t="n">
        <f aca="false">SUMIFS($H$2:$H$1200,$A$2:$A$1200,$A181,$B$2:$B$1200,"&lt;="&amp;$B181)</f>
        <v>24</v>
      </c>
      <c r="K181" s="18" t="n">
        <f aca="false">SUMIFS($I$2:$I$1200,$A$2:$A$1200,$A181,$B$2:$B$1200,"&lt;="&amp;$B181)</f>
        <v>0</v>
      </c>
      <c r="L181" s="18" t="n">
        <f aca="false">J181-K181</f>
        <v>24</v>
      </c>
      <c r="M181" s="18" t="n">
        <f aca="false">SUMIF($A$2:$A$1200,$A181,$H$2:$H$1200)</f>
        <v>929</v>
      </c>
      <c r="N181" s="20" t="n">
        <f aca="false">IF(M181=0,"",L181/M181)</f>
        <v>0.0258342303552207</v>
      </c>
      <c r="O181" s="20"/>
      <c r="P181" s="20" t="str">
        <f aca="false">IF(OR(N181="",O181=""),"",N181-O181)</f>
        <v/>
      </c>
      <c r="Q181" s="18"/>
    </row>
    <row r="182" customFormat="false" ht="15" hidden="false" customHeight="true" outlineLevel="0" collapsed="false">
      <c r="A182" s="18" t="s">
        <v>276</v>
      </c>
      <c r="B182" s="18" t="n">
        <v>4</v>
      </c>
      <c r="C182" s="18" t="s">
        <v>526</v>
      </c>
      <c r="D182" s="18" t="n">
        <v>-165</v>
      </c>
      <c r="E182" s="18" t="s">
        <v>262</v>
      </c>
      <c r="F182" s="18" t="s">
        <v>198</v>
      </c>
      <c r="G182" s="19" t="n">
        <v>38099</v>
      </c>
      <c r="H182" s="18" t="n">
        <v>66</v>
      </c>
      <c r="I182" s="18" t="n">
        <v>1</v>
      </c>
      <c r="J182" s="18" t="n">
        <f aca="false">SUMIFS($H$2:$H$1200,$A$2:$A$1200,$A182,$B$2:$B$1200,"&lt;="&amp;$B182)</f>
        <v>90</v>
      </c>
      <c r="K182" s="18" t="n">
        <f aca="false">SUMIFS($I$2:$I$1200,$A$2:$A$1200,$A182,$B$2:$B$1200,"&lt;="&amp;$B182)</f>
        <v>1</v>
      </c>
      <c r="L182" s="18" t="n">
        <f aca="false">J182-K182</f>
        <v>89</v>
      </c>
      <c r="M182" s="18" t="n">
        <f aca="false">SUMIF($A$2:$A$1200,$A182,$H$2:$H$1200)</f>
        <v>929</v>
      </c>
      <c r="N182" s="20" t="n">
        <f aca="false">IF(M182=0,"",L182/M182)</f>
        <v>0.0958019375672767</v>
      </c>
      <c r="O182" s="20"/>
      <c r="P182" s="20" t="str">
        <f aca="false">IF(OR(N182="",O182=""),"",N182-O182)</f>
        <v/>
      </c>
      <c r="Q182" s="18"/>
    </row>
    <row r="183" customFormat="false" ht="15" hidden="false" customHeight="true" outlineLevel="0" collapsed="false">
      <c r="A183" s="18" t="s">
        <v>276</v>
      </c>
      <c r="B183" s="18" t="n">
        <v>5</v>
      </c>
      <c r="C183" s="18" t="s">
        <v>527</v>
      </c>
      <c r="D183" s="18" t="n">
        <v>-150</v>
      </c>
      <c r="E183" s="18" t="s">
        <v>262</v>
      </c>
      <c r="F183" s="18" t="s">
        <v>198</v>
      </c>
      <c r="G183" s="19" t="n">
        <v>38099</v>
      </c>
      <c r="H183" s="18" t="n">
        <v>94</v>
      </c>
      <c r="I183" s="18" t="n">
        <v>0</v>
      </c>
      <c r="J183" s="18" t="n">
        <f aca="false">SUMIFS($H$2:$H$1200,$A$2:$A$1200,$A183,$B$2:$B$1200,"&lt;="&amp;$B183)</f>
        <v>184</v>
      </c>
      <c r="K183" s="18" t="n">
        <f aca="false">SUMIFS($I$2:$I$1200,$A$2:$A$1200,$A183,$B$2:$B$1200,"&lt;="&amp;$B183)</f>
        <v>1</v>
      </c>
      <c r="L183" s="18" t="n">
        <f aca="false">J183-K183</f>
        <v>183</v>
      </c>
      <c r="M183" s="18" t="n">
        <f aca="false">SUMIF($A$2:$A$1200,$A183,$H$2:$H$1200)</f>
        <v>929</v>
      </c>
      <c r="N183" s="20" t="n">
        <f aca="false">IF(M183=0,"",L183/M183)</f>
        <v>0.196986006458558</v>
      </c>
      <c r="O183" s="20"/>
      <c r="P183" s="20" t="str">
        <f aca="false">IF(OR(N183="",O183=""),"",N183-O183)</f>
        <v/>
      </c>
      <c r="Q183" s="18"/>
    </row>
    <row r="184" customFormat="false" ht="15" hidden="false" customHeight="true" outlineLevel="0" collapsed="false">
      <c r="A184" s="18" t="s">
        <v>276</v>
      </c>
      <c r="B184" s="18" t="n">
        <v>6</v>
      </c>
      <c r="C184" s="18" t="s">
        <v>528</v>
      </c>
      <c r="D184" s="18" t="n">
        <v>-135</v>
      </c>
      <c r="E184" s="18" t="s">
        <v>262</v>
      </c>
      <c r="F184" s="18" t="s">
        <v>198</v>
      </c>
      <c r="G184" s="19" t="n">
        <v>38099</v>
      </c>
      <c r="H184" s="18" t="n">
        <v>132</v>
      </c>
      <c r="I184" s="18" t="n">
        <v>8</v>
      </c>
      <c r="J184" s="18" t="n">
        <f aca="false">SUMIFS($H$2:$H$1200,$A$2:$A$1200,$A184,$B$2:$B$1200,"&lt;="&amp;$B184)</f>
        <v>316</v>
      </c>
      <c r="K184" s="18" t="n">
        <f aca="false">SUMIFS($I$2:$I$1200,$A$2:$A$1200,$A184,$B$2:$B$1200,"&lt;="&amp;$B184)</f>
        <v>9</v>
      </c>
      <c r="L184" s="18" t="n">
        <f aca="false">J184-K184</f>
        <v>307</v>
      </c>
      <c r="M184" s="18" t="n">
        <f aca="false">SUMIF($A$2:$A$1200,$A184,$H$2:$H$1200)</f>
        <v>929</v>
      </c>
      <c r="N184" s="20" t="n">
        <f aca="false">IF(M184=0,"",L184/M184)</f>
        <v>0.330462863293864</v>
      </c>
      <c r="O184" s="20"/>
      <c r="P184" s="20" t="str">
        <f aca="false">IF(OR(N184="",O184=""),"",N184-O184)</f>
        <v/>
      </c>
      <c r="Q184" s="18"/>
    </row>
    <row r="185" customFormat="false" ht="15" hidden="false" customHeight="true" outlineLevel="0" collapsed="false">
      <c r="A185" s="18" t="s">
        <v>276</v>
      </c>
      <c r="B185" s="18" t="n">
        <v>7</v>
      </c>
      <c r="C185" s="18" t="s">
        <v>227</v>
      </c>
      <c r="D185" s="18" t="n">
        <v>-120</v>
      </c>
      <c r="E185" s="18" t="s">
        <v>262</v>
      </c>
      <c r="F185" s="18" t="s">
        <v>198</v>
      </c>
      <c r="G185" s="19" t="n">
        <v>38099</v>
      </c>
      <c r="H185" s="18" t="n">
        <v>151</v>
      </c>
      <c r="I185" s="18" t="n">
        <v>28</v>
      </c>
      <c r="J185" s="18" t="n">
        <f aca="false">SUMIFS($H$2:$H$1200,$A$2:$A$1200,$A185,$B$2:$B$1200,"&lt;="&amp;$B185)</f>
        <v>467</v>
      </c>
      <c r="K185" s="18" t="n">
        <f aca="false">SUMIFS($I$2:$I$1200,$A$2:$A$1200,$A185,$B$2:$B$1200,"&lt;="&amp;$B185)</f>
        <v>37</v>
      </c>
      <c r="L185" s="18" t="n">
        <f aca="false">J185-K185</f>
        <v>430</v>
      </c>
      <c r="M185" s="18" t="n">
        <f aca="false">SUMIF($A$2:$A$1200,$A185,$H$2:$H$1200)</f>
        <v>929</v>
      </c>
      <c r="N185" s="20" t="n">
        <f aca="false">IF(M185=0,"",L185/M185)</f>
        <v>0.46286329386437</v>
      </c>
      <c r="O185" s="20"/>
      <c r="P185" s="20" t="str">
        <f aca="false">IF(OR(N185="",O185=""),"",N185-O185)</f>
        <v/>
      </c>
      <c r="Q185" s="18"/>
    </row>
    <row r="186" customFormat="false" ht="15" hidden="false" customHeight="true" outlineLevel="0" collapsed="false">
      <c r="A186" s="18" t="s">
        <v>276</v>
      </c>
      <c r="B186" s="18" t="n">
        <v>8</v>
      </c>
      <c r="C186" s="18" t="s">
        <v>241</v>
      </c>
      <c r="D186" s="18" t="n">
        <v>-105</v>
      </c>
      <c r="E186" s="18" t="s">
        <v>262</v>
      </c>
      <c r="F186" s="18" t="s">
        <v>198</v>
      </c>
      <c r="G186" s="19" t="n">
        <v>38099</v>
      </c>
      <c r="H186" s="18" t="n">
        <v>121</v>
      </c>
      <c r="I186" s="18" t="n">
        <v>32</v>
      </c>
      <c r="J186" s="18" t="n">
        <f aca="false">SUMIFS($H$2:$H$1200,$A$2:$A$1200,$A186,$B$2:$B$1200,"&lt;="&amp;$B186)</f>
        <v>588</v>
      </c>
      <c r="K186" s="18" t="n">
        <f aca="false">SUMIFS($I$2:$I$1200,$A$2:$A$1200,$A186,$B$2:$B$1200,"&lt;="&amp;$B186)</f>
        <v>69</v>
      </c>
      <c r="L186" s="18" t="n">
        <f aca="false">J186-K186</f>
        <v>519</v>
      </c>
      <c r="M186" s="18" t="n">
        <f aca="false">SUMIF($A$2:$A$1200,$A186,$H$2:$H$1200)</f>
        <v>929</v>
      </c>
      <c r="N186" s="20" t="n">
        <f aca="false">IF(M186=0,"",L186/M186)</f>
        <v>0.558665231431647</v>
      </c>
      <c r="O186" s="20"/>
      <c r="P186" s="20" t="str">
        <f aca="false">IF(OR(N186="",O186=""),"",N186-O186)</f>
        <v/>
      </c>
      <c r="Q186" s="18"/>
    </row>
    <row r="187" customFormat="false" ht="15" hidden="false" customHeight="true" outlineLevel="0" collapsed="false">
      <c r="A187" s="18" t="s">
        <v>276</v>
      </c>
      <c r="B187" s="18" t="n">
        <v>9</v>
      </c>
      <c r="C187" s="18" t="s">
        <v>279</v>
      </c>
      <c r="D187" s="18" t="n">
        <v>-90</v>
      </c>
      <c r="E187" s="18" t="s">
        <v>262</v>
      </c>
      <c r="F187" s="18" t="s">
        <v>198</v>
      </c>
      <c r="G187" s="19" t="n">
        <v>38099</v>
      </c>
      <c r="H187" s="18" t="n">
        <v>93</v>
      </c>
      <c r="I187" s="18" t="n">
        <v>75</v>
      </c>
      <c r="J187" s="18" t="n">
        <f aca="false">SUMIFS($H$2:$H$1200,$A$2:$A$1200,$A187,$B$2:$B$1200,"&lt;="&amp;$B187)</f>
        <v>681</v>
      </c>
      <c r="K187" s="18" t="n">
        <f aca="false">SUMIFS($I$2:$I$1200,$A$2:$A$1200,$A187,$B$2:$B$1200,"&lt;="&amp;$B187)</f>
        <v>144</v>
      </c>
      <c r="L187" s="18" t="n">
        <f aca="false">J187-K187</f>
        <v>537</v>
      </c>
      <c r="M187" s="18" t="n">
        <f aca="false">SUMIF($A$2:$A$1200,$A187,$H$2:$H$1200)</f>
        <v>929</v>
      </c>
      <c r="N187" s="20" t="n">
        <f aca="false">IF(M187=0,"",L187/M187)</f>
        <v>0.578040904198062</v>
      </c>
      <c r="O187" s="20"/>
      <c r="P187" s="20" t="str">
        <f aca="false">IF(OR(N187="",O187=""),"",N187-O187)</f>
        <v/>
      </c>
      <c r="Q187" s="18"/>
    </row>
    <row r="188" customFormat="false" ht="15" hidden="false" customHeight="true" outlineLevel="0" collapsed="false">
      <c r="A188" s="18" t="s">
        <v>276</v>
      </c>
      <c r="B188" s="18" t="n">
        <v>10</v>
      </c>
      <c r="C188" s="18" t="s">
        <v>206</v>
      </c>
      <c r="D188" s="18" t="n">
        <v>-75</v>
      </c>
      <c r="E188" s="18" t="s">
        <v>262</v>
      </c>
      <c r="F188" s="18" t="s">
        <v>198</v>
      </c>
      <c r="G188" s="19" t="n">
        <v>38099</v>
      </c>
      <c r="H188" s="18" t="n">
        <v>92</v>
      </c>
      <c r="I188" s="18" t="n">
        <v>93</v>
      </c>
      <c r="J188" s="18" t="n">
        <f aca="false">SUMIFS($H$2:$H$1200,$A$2:$A$1200,$A188,$B$2:$B$1200,"&lt;="&amp;$B188)</f>
        <v>773</v>
      </c>
      <c r="K188" s="18" t="n">
        <f aca="false">SUMIFS($I$2:$I$1200,$A$2:$A$1200,$A188,$B$2:$B$1200,"&lt;="&amp;$B188)</f>
        <v>237</v>
      </c>
      <c r="L188" s="18" t="n">
        <f aca="false">J188-K188</f>
        <v>536</v>
      </c>
      <c r="M188" s="18" t="n">
        <f aca="false">SUMIF($A$2:$A$1200,$A188,$H$2:$H$1200)</f>
        <v>929</v>
      </c>
      <c r="N188" s="20" t="n">
        <f aca="false">IF(M188=0,"",L188/M188)</f>
        <v>0.576964477933262</v>
      </c>
      <c r="O188" s="20"/>
      <c r="P188" s="20" t="str">
        <f aca="false">IF(OR(N188="",O188=""),"",N188-O188)</f>
        <v/>
      </c>
      <c r="Q188" s="18"/>
    </row>
    <row r="189" customFormat="false" ht="15" hidden="false" customHeight="true" outlineLevel="0" collapsed="false">
      <c r="A189" s="18" t="s">
        <v>276</v>
      </c>
      <c r="B189" s="18" t="n">
        <v>11</v>
      </c>
      <c r="C189" s="18" t="s">
        <v>246</v>
      </c>
      <c r="D189" s="18" t="n">
        <v>-60</v>
      </c>
      <c r="E189" s="18" t="s">
        <v>262</v>
      </c>
      <c r="F189" s="18" t="s">
        <v>198</v>
      </c>
      <c r="G189" s="19" t="n">
        <v>38099</v>
      </c>
      <c r="H189" s="18" t="n">
        <v>61</v>
      </c>
      <c r="I189" s="18" t="n">
        <v>121</v>
      </c>
      <c r="J189" s="18" t="n">
        <f aca="false">SUMIFS($H$2:$H$1200,$A$2:$A$1200,$A189,$B$2:$B$1200,"&lt;="&amp;$B189)</f>
        <v>834</v>
      </c>
      <c r="K189" s="18" t="n">
        <f aca="false">SUMIFS($I$2:$I$1200,$A$2:$A$1200,$A189,$B$2:$B$1200,"&lt;="&amp;$B189)</f>
        <v>358</v>
      </c>
      <c r="L189" s="18" t="n">
        <f aca="false">J189-K189</f>
        <v>476</v>
      </c>
      <c r="M189" s="18" t="n">
        <f aca="false">SUMIF($A$2:$A$1200,$A189,$H$2:$H$1200)</f>
        <v>929</v>
      </c>
      <c r="N189" s="20" t="n">
        <f aca="false">IF(M189=0,"",L189/M189)</f>
        <v>0.51237890204521</v>
      </c>
      <c r="O189" s="20"/>
      <c r="P189" s="20" t="str">
        <f aca="false">IF(OR(N189="",O189=""),"",N189-O189)</f>
        <v/>
      </c>
      <c r="Q189" s="18"/>
    </row>
    <row r="190" customFormat="false" ht="15" hidden="false" customHeight="true" outlineLevel="0" collapsed="false">
      <c r="A190" s="18" t="s">
        <v>276</v>
      </c>
      <c r="B190" s="18" t="n">
        <v>12</v>
      </c>
      <c r="C190" s="18" t="s">
        <v>254</v>
      </c>
      <c r="D190" s="18" t="n">
        <v>-45</v>
      </c>
      <c r="E190" s="18" t="s">
        <v>262</v>
      </c>
      <c r="F190" s="18" t="s">
        <v>198</v>
      </c>
      <c r="G190" s="19" t="n">
        <v>38099</v>
      </c>
      <c r="H190" s="18" t="n">
        <v>32</v>
      </c>
      <c r="I190" s="18" t="n">
        <v>119</v>
      </c>
      <c r="J190" s="18" t="n">
        <f aca="false">SUMIFS($H$2:$H$1200,$A$2:$A$1200,$A190,$B$2:$B$1200,"&lt;="&amp;$B190)</f>
        <v>866</v>
      </c>
      <c r="K190" s="18" t="n">
        <f aca="false">SUMIFS($I$2:$I$1200,$A$2:$A$1200,$A190,$B$2:$B$1200,"&lt;="&amp;$B190)</f>
        <v>477</v>
      </c>
      <c r="L190" s="18" t="n">
        <f aca="false">J190-K190</f>
        <v>389</v>
      </c>
      <c r="M190" s="18" t="n">
        <f aca="false">SUMIF($A$2:$A$1200,$A190,$H$2:$H$1200)</f>
        <v>929</v>
      </c>
      <c r="N190" s="20" t="n">
        <f aca="false">IF(M190=0,"",L190/M190)</f>
        <v>0.418729817007535</v>
      </c>
      <c r="O190" s="20"/>
      <c r="P190" s="20" t="str">
        <f aca="false">IF(OR(N190="",O190=""),"",N190-O190)</f>
        <v/>
      </c>
      <c r="Q190" s="18"/>
    </row>
    <row r="191" customFormat="false" ht="15" hidden="false" customHeight="true" outlineLevel="0" collapsed="false">
      <c r="A191" s="18" t="s">
        <v>276</v>
      </c>
      <c r="B191" s="18" t="n">
        <v>13</v>
      </c>
      <c r="C191" s="18" t="s">
        <v>403</v>
      </c>
      <c r="D191" s="18" t="n">
        <v>-30</v>
      </c>
      <c r="E191" s="18" t="s">
        <v>262</v>
      </c>
      <c r="F191" s="18" t="s">
        <v>198</v>
      </c>
      <c r="G191" s="19" t="n">
        <v>38099</v>
      </c>
      <c r="H191" s="18" t="n">
        <v>18</v>
      </c>
      <c r="I191" s="18" t="n">
        <v>120</v>
      </c>
      <c r="J191" s="18" t="n">
        <f aca="false">SUMIFS($H$2:$H$1200,$A$2:$A$1200,$A191,$B$2:$B$1200,"&lt;="&amp;$B191)</f>
        <v>884</v>
      </c>
      <c r="K191" s="18" t="n">
        <f aca="false">SUMIFS($I$2:$I$1200,$A$2:$A$1200,$A191,$B$2:$B$1200,"&lt;="&amp;$B191)</f>
        <v>597</v>
      </c>
      <c r="L191" s="18" t="n">
        <f aca="false">J191-K191</f>
        <v>287</v>
      </c>
      <c r="M191" s="18" t="n">
        <f aca="false">SUMIF($A$2:$A$1200,$A191,$H$2:$H$1200)</f>
        <v>929</v>
      </c>
      <c r="N191" s="20" t="n">
        <f aca="false">IF(M191=0,"",L191/M191)</f>
        <v>0.308934337997847</v>
      </c>
      <c r="O191" s="20"/>
      <c r="P191" s="20" t="str">
        <f aca="false">IF(OR(N191="",O191=""),"",N191-O191)</f>
        <v/>
      </c>
      <c r="Q191" s="18"/>
    </row>
    <row r="192" customFormat="false" ht="15" hidden="false" customHeight="true" outlineLevel="0" collapsed="false">
      <c r="A192" s="18" t="s">
        <v>276</v>
      </c>
      <c r="B192" s="18" t="n">
        <v>14</v>
      </c>
      <c r="C192" s="18" t="s">
        <v>529</v>
      </c>
      <c r="D192" s="18" t="n">
        <v>-15</v>
      </c>
      <c r="E192" s="18" t="s">
        <v>262</v>
      </c>
      <c r="F192" s="18" t="s">
        <v>198</v>
      </c>
      <c r="G192" s="19" t="n">
        <v>38099</v>
      </c>
      <c r="H192" s="18" t="n">
        <v>12</v>
      </c>
      <c r="I192" s="18" t="n">
        <v>77</v>
      </c>
      <c r="J192" s="18" t="n">
        <f aca="false">SUMIFS($H$2:$H$1200,$A$2:$A$1200,$A192,$B$2:$B$1200,"&lt;="&amp;$B192)</f>
        <v>896</v>
      </c>
      <c r="K192" s="18" t="n">
        <f aca="false">SUMIFS($I$2:$I$1200,$A$2:$A$1200,$A192,$B$2:$B$1200,"&lt;="&amp;$B192)</f>
        <v>674</v>
      </c>
      <c r="L192" s="18" t="n">
        <f aca="false">J192-K192</f>
        <v>222</v>
      </c>
      <c r="M192" s="18" t="n">
        <f aca="false">SUMIF($A$2:$A$1200,$A192,$H$2:$H$1200)</f>
        <v>929</v>
      </c>
      <c r="N192" s="20" t="n">
        <f aca="false">IF(M192=0,"",L192/M192)</f>
        <v>0.238966630785791</v>
      </c>
      <c r="O192" s="20"/>
      <c r="P192" s="20" t="str">
        <f aca="false">IF(OR(N192="",O192=""),"",N192-O192)</f>
        <v/>
      </c>
      <c r="Q192" s="18"/>
    </row>
    <row r="193" customFormat="false" ht="15" hidden="false" customHeight="true" outlineLevel="0" collapsed="false">
      <c r="A193" s="18" t="s">
        <v>276</v>
      </c>
      <c r="B193" s="18" t="n">
        <v>15</v>
      </c>
      <c r="C193" s="18" t="s">
        <v>463</v>
      </c>
      <c r="D193" s="18" t="n">
        <v>0</v>
      </c>
      <c r="E193" s="18" t="s">
        <v>262</v>
      </c>
      <c r="F193" s="18" t="s">
        <v>198</v>
      </c>
      <c r="G193" s="19" t="n">
        <v>38099</v>
      </c>
      <c r="H193" s="18" t="n">
        <v>17</v>
      </c>
      <c r="I193" s="18" t="n">
        <v>69</v>
      </c>
      <c r="J193" s="18" t="n">
        <f aca="false">SUMIFS($H$2:$H$1200,$A$2:$A$1200,$A193,$B$2:$B$1200,"&lt;="&amp;$B193)</f>
        <v>913</v>
      </c>
      <c r="K193" s="18" t="n">
        <f aca="false">SUMIFS($I$2:$I$1200,$A$2:$A$1200,$A193,$B$2:$B$1200,"&lt;="&amp;$B193)</f>
        <v>743</v>
      </c>
      <c r="L193" s="18" t="n">
        <f aca="false">J193-K193</f>
        <v>170</v>
      </c>
      <c r="M193" s="18" t="n">
        <f aca="false">SUMIF($A$2:$A$1200,$A193,$H$2:$H$1200)</f>
        <v>929</v>
      </c>
      <c r="N193" s="20" t="n">
        <f aca="false">IF(M193=0,"",L193/M193)</f>
        <v>0.182992465016146</v>
      </c>
      <c r="O193" s="20"/>
      <c r="P193" s="20" t="str">
        <f aca="false">IF(OR(N193="",O193=""),"",N193-O193)</f>
        <v/>
      </c>
      <c r="Q193" s="18"/>
    </row>
    <row r="194" customFormat="false" ht="15" hidden="false" customHeight="true" outlineLevel="0" collapsed="false">
      <c r="A194" s="18" t="s">
        <v>276</v>
      </c>
      <c r="B194" s="18" t="n">
        <v>16</v>
      </c>
      <c r="C194" s="18" t="s">
        <v>366</v>
      </c>
      <c r="D194" s="18" t="n">
        <v>15</v>
      </c>
      <c r="E194" s="18" t="s">
        <v>262</v>
      </c>
      <c r="F194" s="18" t="s">
        <v>198</v>
      </c>
      <c r="G194" s="19" t="n">
        <v>38099</v>
      </c>
      <c r="H194" s="18" t="n">
        <v>5</v>
      </c>
      <c r="I194" s="18" t="n">
        <v>63</v>
      </c>
      <c r="J194" s="18" t="n">
        <f aca="false">SUMIFS($H$2:$H$1200,$A$2:$A$1200,$A194,$B$2:$B$1200,"&lt;="&amp;$B194)</f>
        <v>918</v>
      </c>
      <c r="K194" s="18" t="n">
        <f aca="false">SUMIFS($I$2:$I$1200,$A$2:$A$1200,$A194,$B$2:$B$1200,"&lt;="&amp;$B194)</f>
        <v>806</v>
      </c>
      <c r="L194" s="18" t="n">
        <f aca="false">J194-K194</f>
        <v>112</v>
      </c>
      <c r="M194" s="18" t="n">
        <f aca="false">SUMIF($A$2:$A$1200,$A194,$H$2:$H$1200)</f>
        <v>929</v>
      </c>
      <c r="N194" s="20" t="n">
        <f aca="false">IF(M194=0,"",L194/M194)</f>
        <v>0.120559741657696</v>
      </c>
      <c r="O194" s="20"/>
      <c r="P194" s="20" t="str">
        <f aca="false">IF(OR(N194="",O194=""),"",N194-O194)</f>
        <v/>
      </c>
      <c r="Q194" s="18"/>
    </row>
    <row r="195" customFormat="false" ht="15" hidden="false" customHeight="true" outlineLevel="0" collapsed="false">
      <c r="A195" s="18" t="s">
        <v>276</v>
      </c>
      <c r="B195" s="18" t="n">
        <v>17</v>
      </c>
      <c r="C195" s="18" t="s">
        <v>326</v>
      </c>
      <c r="D195" s="18" t="n">
        <v>30</v>
      </c>
      <c r="E195" s="18" t="s">
        <v>262</v>
      </c>
      <c r="F195" s="18" t="s">
        <v>198</v>
      </c>
      <c r="G195" s="19" t="n">
        <v>38099</v>
      </c>
      <c r="H195" s="18" t="n">
        <v>5</v>
      </c>
      <c r="I195" s="18" t="n">
        <v>36</v>
      </c>
      <c r="J195" s="18" t="n">
        <f aca="false">SUMIFS($H$2:$H$1200,$A$2:$A$1200,$A195,$B$2:$B$1200,"&lt;="&amp;$B195)</f>
        <v>923</v>
      </c>
      <c r="K195" s="18" t="n">
        <f aca="false">SUMIFS($I$2:$I$1200,$A$2:$A$1200,$A195,$B$2:$B$1200,"&lt;="&amp;$B195)</f>
        <v>842</v>
      </c>
      <c r="L195" s="18" t="n">
        <f aca="false">J195-K195</f>
        <v>81</v>
      </c>
      <c r="M195" s="18" t="n">
        <f aca="false">SUMIF($A$2:$A$1200,$A195,$H$2:$H$1200)</f>
        <v>929</v>
      </c>
      <c r="N195" s="20" t="n">
        <f aca="false">IF(M195=0,"",L195/M195)</f>
        <v>0.0871905274488698</v>
      </c>
      <c r="O195" s="20"/>
      <c r="P195" s="20" t="str">
        <f aca="false">IF(OR(N195="",O195=""),"",N195-O195)</f>
        <v/>
      </c>
      <c r="Q195" s="18"/>
    </row>
    <row r="196" customFormat="false" ht="15" hidden="false" customHeight="true" outlineLevel="0" collapsed="false">
      <c r="A196" s="18" t="s">
        <v>276</v>
      </c>
      <c r="B196" s="18" t="n">
        <v>18</v>
      </c>
      <c r="C196" s="18" t="s">
        <v>226</v>
      </c>
      <c r="D196" s="18" t="n">
        <v>45</v>
      </c>
      <c r="E196" s="18" t="s">
        <v>262</v>
      </c>
      <c r="F196" s="18" t="s">
        <v>198</v>
      </c>
      <c r="G196" s="19" t="n">
        <v>38099</v>
      </c>
      <c r="H196" s="18" t="n">
        <v>6</v>
      </c>
      <c r="I196" s="18" t="n">
        <v>23</v>
      </c>
      <c r="J196" s="18" t="n">
        <f aca="false">SUMIFS($H$2:$H$1200,$A$2:$A$1200,$A196,$B$2:$B$1200,"&lt;="&amp;$B196)</f>
        <v>929</v>
      </c>
      <c r="K196" s="18" t="n">
        <f aca="false">SUMIFS($I$2:$I$1200,$A$2:$A$1200,$A196,$B$2:$B$1200,"&lt;="&amp;$B196)</f>
        <v>865</v>
      </c>
      <c r="L196" s="18" t="n">
        <f aca="false">J196-K196</f>
        <v>64</v>
      </c>
      <c r="M196" s="18" t="n">
        <f aca="false">SUMIF($A$2:$A$1200,$A196,$H$2:$H$1200)</f>
        <v>929</v>
      </c>
      <c r="N196" s="20" t="n">
        <f aca="false">IF(M196=0,"",L196/M196)</f>
        <v>0.0688912809472551</v>
      </c>
      <c r="O196" s="20"/>
      <c r="P196" s="20" t="str">
        <f aca="false">IF(OR(N196="",O196=""),"",N196-O196)</f>
        <v/>
      </c>
      <c r="Q196" s="18"/>
    </row>
    <row r="197" customFormat="false" ht="15" hidden="false" customHeight="true" outlineLevel="0" collapsed="false">
      <c r="A197" s="18" t="s">
        <v>282</v>
      </c>
      <c r="B197" s="18" t="n">
        <v>0</v>
      </c>
      <c r="C197" s="18" t="s">
        <v>204</v>
      </c>
      <c r="D197" s="18"/>
      <c r="E197" s="18" t="s">
        <v>262</v>
      </c>
      <c r="F197" s="18" t="s">
        <v>198</v>
      </c>
      <c r="G197" s="19" t="n">
        <v>38099</v>
      </c>
      <c r="H197" s="18" t="n">
        <v>7</v>
      </c>
      <c r="I197" s="18" t="n">
        <v>0</v>
      </c>
      <c r="J197" s="18" t="n">
        <f aca="false">SUMIFS($H$2:$H$1200,$A$2:$A$1200,$A197,$B$2:$B$1200,"&lt;="&amp;$B197)</f>
        <v>7</v>
      </c>
      <c r="K197" s="18" t="n">
        <f aca="false">SUMIFS($I$2:$I$1200,$A$2:$A$1200,$A197,$B$2:$B$1200,"&lt;="&amp;$B197)</f>
        <v>0</v>
      </c>
      <c r="L197" s="18" t="n">
        <f aca="false">J197-K197</f>
        <v>7</v>
      </c>
      <c r="M197" s="18" t="n">
        <f aca="false">SUMIF($A$2:$A$1200,$A197,$H$2:$H$1200)</f>
        <v>929</v>
      </c>
      <c r="N197" s="20" t="n">
        <f aca="false">IF(M197=0,"",L197/M197)</f>
        <v>0.00753498385360603</v>
      </c>
      <c r="O197" s="20" t="n">
        <v>0.00753498385360603</v>
      </c>
      <c r="P197" s="20" t="n">
        <f aca="false">IF(OR(N197="",O197=""),"",N197-O197)</f>
        <v>0</v>
      </c>
      <c r="Q197" s="18"/>
    </row>
    <row r="198" customFormat="false" ht="15" hidden="false" customHeight="true" outlineLevel="0" collapsed="false">
      <c r="A198" s="18" t="s">
        <v>282</v>
      </c>
      <c r="B198" s="18" t="n">
        <v>3</v>
      </c>
      <c r="C198" s="18" t="s">
        <v>525</v>
      </c>
      <c r="D198" s="18" t="n">
        <v>-180</v>
      </c>
      <c r="E198" s="18" t="s">
        <v>262</v>
      </c>
      <c r="F198" s="18" t="s">
        <v>198</v>
      </c>
      <c r="G198" s="19" t="n">
        <v>38099</v>
      </c>
      <c r="H198" s="18" t="n">
        <v>17</v>
      </c>
      <c r="I198" s="18" t="n">
        <v>0</v>
      </c>
      <c r="J198" s="18" t="n">
        <f aca="false">SUMIFS($H$2:$H$1200,$A$2:$A$1200,$A198,$B$2:$B$1200,"&lt;="&amp;$B198)</f>
        <v>24</v>
      </c>
      <c r="K198" s="18" t="n">
        <f aca="false">SUMIFS($I$2:$I$1200,$A$2:$A$1200,$A198,$B$2:$B$1200,"&lt;="&amp;$B198)</f>
        <v>0</v>
      </c>
      <c r="L198" s="18" t="n">
        <f aca="false">J198-K198</f>
        <v>24</v>
      </c>
      <c r="M198" s="18" t="n">
        <f aca="false">SUMIF($A$2:$A$1200,$A198,$H$2:$H$1200)</f>
        <v>929</v>
      </c>
      <c r="N198" s="20" t="n">
        <f aca="false">IF(M198=0,"",L198/M198)</f>
        <v>0.0258342303552207</v>
      </c>
      <c r="O198" s="20" t="n">
        <v>0.0258342303552207</v>
      </c>
      <c r="P198" s="20" t="n">
        <f aca="false">IF(OR(N198="",O198=""),"",N198-O198)</f>
        <v>0</v>
      </c>
      <c r="Q198" s="18"/>
    </row>
    <row r="199" customFormat="false" ht="15" hidden="false" customHeight="true" outlineLevel="0" collapsed="false">
      <c r="A199" s="18" t="s">
        <v>282</v>
      </c>
      <c r="B199" s="18" t="n">
        <v>4</v>
      </c>
      <c r="C199" s="18" t="s">
        <v>526</v>
      </c>
      <c r="D199" s="18" t="n">
        <v>-165</v>
      </c>
      <c r="E199" s="18" t="s">
        <v>262</v>
      </c>
      <c r="F199" s="18" t="s">
        <v>198</v>
      </c>
      <c r="G199" s="19" t="n">
        <v>38099</v>
      </c>
      <c r="H199" s="18" t="n">
        <v>66</v>
      </c>
      <c r="I199" s="18" t="n">
        <v>1</v>
      </c>
      <c r="J199" s="18" t="n">
        <f aca="false">SUMIFS($H$2:$H$1200,$A$2:$A$1200,$A199,$B$2:$B$1200,"&lt;="&amp;$B199)</f>
        <v>90</v>
      </c>
      <c r="K199" s="18" t="n">
        <f aca="false">SUMIFS($I$2:$I$1200,$A$2:$A$1200,$A199,$B$2:$B$1200,"&lt;="&amp;$B199)</f>
        <v>1</v>
      </c>
      <c r="L199" s="18" t="n">
        <f aca="false">J199-K199</f>
        <v>89</v>
      </c>
      <c r="M199" s="18" t="n">
        <f aca="false">SUMIF($A$2:$A$1200,$A199,$H$2:$H$1200)</f>
        <v>929</v>
      </c>
      <c r="N199" s="20" t="n">
        <f aca="false">IF(M199=0,"",L199/M199)</f>
        <v>0.0958019375672767</v>
      </c>
      <c r="O199" s="20" t="n">
        <v>0.0958019375672767</v>
      </c>
      <c r="P199" s="20" t="n">
        <f aca="false">IF(OR(N199="",O199=""),"",N199-O199)</f>
        <v>0</v>
      </c>
      <c r="Q199" s="18"/>
    </row>
    <row r="200" customFormat="false" ht="15" hidden="false" customHeight="true" outlineLevel="0" collapsed="false">
      <c r="A200" s="18" t="s">
        <v>282</v>
      </c>
      <c r="B200" s="18" t="n">
        <v>5</v>
      </c>
      <c r="C200" s="18" t="s">
        <v>527</v>
      </c>
      <c r="D200" s="18" t="n">
        <v>-150</v>
      </c>
      <c r="E200" s="18" t="s">
        <v>262</v>
      </c>
      <c r="F200" s="18" t="s">
        <v>198</v>
      </c>
      <c r="G200" s="19" t="n">
        <v>38099</v>
      </c>
      <c r="H200" s="18" t="n">
        <v>94</v>
      </c>
      <c r="I200" s="18" t="n">
        <v>0</v>
      </c>
      <c r="J200" s="18" t="n">
        <f aca="false">SUMIFS($H$2:$H$1200,$A$2:$A$1200,$A200,$B$2:$B$1200,"&lt;="&amp;$B200)</f>
        <v>184</v>
      </c>
      <c r="K200" s="18" t="n">
        <f aca="false">SUMIFS($I$2:$I$1200,$A$2:$A$1200,$A200,$B$2:$B$1200,"&lt;="&amp;$B200)</f>
        <v>1</v>
      </c>
      <c r="L200" s="18" t="n">
        <f aca="false">J200-K200</f>
        <v>183</v>
      </c>
      <c r="M200" s="18" t="n">
        <f aca="false">SUMIF($A$2:$A$1200,$A200,$H$2:$H$1200)</f>
        <v>929</v>
      </c>
      <c r="N200" s="20" t="n">
        <f aca="false">IF(M200=0,"",L200/M200)</f>
        <v>0.196986006458558</v>
      </c>
      <c r="O200" s="20" t="n">
        <v>0.196986006458558</v>
      </c>
      <c r="P200" s="20" t="n">
        <f aca="false">IF(OR(N200="",O200=""),"",N200-O200)</f>
        <v>0</v>
      </c>
      <c r="Q200" s="18"/>
    </row>
    <row r="201" customFormat="false" ht="15" hidden="false" customHeight="true" outlineLevel="0" collapsed="false">
      <c r="A201" s="18" t="s">
        <v>282</v>
      </c>
      <c r="B201" s="18" t="n">
        <v>6</v>
      </c>
      <c r="C201" s="18" t="s">
        <v>528</v>
      </c>
      <c r="D201" s="18" t="n">
        <v>-135</v>
      </c>
      <c r="E201" s="18" t="s">
        <v>262</v>
      </c>
      <c r="F201" s="18" t="s">
        <v>198</v>
      </c>
      <c r="G201" s="19" t="n">
        <v>38099</v>
      </c>
      <c r="H201" s="18" t="n">
        <v>132</v>
      </c>
      <c r="I201" s="18" t="n">
        <v>8</v>
      </c>
      <c r="J201" s="18" t="n">
        <f aca="false">SUMIFS($H$2:$H$1200,$A$2:$A$1200,$A201,$B$2:$B$1200,"&lt;="&amp;$B201)</f>
        <v>316</v>
      </c>
      <c r="K201" s="18" t="n">
        <f aca="false">SUMIFS($I$2:$I$1200,$A$2:$A$1200,$A201,$B$2:$B$1200,"&lt;="&amp;$B201)</f>
        <v>9</v>
      </c>
      <c r="L201" s="18" t="n">
        <f aca="false">J201-K201</f>
        <v>307</v>
      </c>
      <c r="M201" s="18" t="n">
        <f aca="false">SUMIF($A$2:$A$1200,$A201,$H$2:$H$1200)</f>
        <v>929</v>
      </c>
      <c r="N201" s="20" t="n">
        <f aca="false">IF(M201=0,"",L201/M201)</f>
        <v>0.330462863293864</v>
      </c>
      <c r="O201" s="20" t="n">
        <v>0.330462863293864</v>
      </c>
      <c r="P201" s="20" t="n">
        <f aca="false">IF(OR(N201="",O201=""),"",N201-O201)</f>
        <v>0</v>
      </c>
      <c r="Q201" s="18"/>
    </row>
    <row r="202" customFormat="false" ht="15" hidden="false" customHeight="true" outlineLevel="0" collapsed="false">
      <c r="A202" s="18" t="s">
        <v>282</v>
      </c>
      <c r="B202" s="18" t="n">
        <v>7</v>
      </c>
      <c r="C202" s="18" t="s">
        <v>227</v>
      </c>
      <c r="D202" s="18" t="n">
        <v>-120</v>
      </c>
      <c r="E202" s="18" t="s">
        <v>262</v>
      </c>
      <c r="F202" s="18" t="s">
        <v>198</v>
      </c>
      <c r="G202" s="19" t="n">
        <v>38099</v>
      </c>
      <c r="H202" s="18" t="n">
        <v>151</v>
      </c>
      <c r="I202" s="18" t="n">
        <v>28</v>
      </c>
      <c r="J202" s="18" t="n">
        <f aca="false">SUMIFS($H$2:$H$1200,$A$2:$A$1200,$A202,$B$2:$B$1200,"&lt;="&amp;$B202)</f>
        <v>467</v>
      </c>
      <c r="K202" s="18" t="n">
        <f aca="false">SUMIFS($I$2:$I$1200,$A$2:$A$1200,$A202,$B$2:$B$1200,"&lt;="&amp;$B202)</f>
        <v>37</v>
      </c>
      <c r="L202" s="18" t="n">
        <f aca="false">J202-K202</f>
        <v>430</v>
      </c>
      <c r="M202" s="18" t="n">
        <f aca="false">SUMIF($A$2:$A$1200,$A202,$H$2:$H$1200)</f>
        <v>929</v>
      </c>
      <c r="N202" s="20" t="n">
        <f aca="false">IF(M202=0,"",L202/M202)</f>
        <v>0.46286329386437</v>
      </c>
      <c r="O202" s="20" t="n">
        <v>0.46286329386437</v>
      </c>
      <c r="P202" s="20" t="n">
        <f aca="false">IF(OR(N202="",O202=""),"",N202-O202)</f>
        <v>0</v>
      </c>
      <c r="Q202" s="18"/>
    </row>
    <row r="203" customFormat="false" ht="15" hidden="false" customHeight="true" outlineLevel="0" collapsed="false">
      <c r="A203" s="18" t="s">
        <v>282</v>
      </c>
      <c r="B203" s="18" t="n">
        <v>8</v>
      </c>
      <c r="C203" s="18" t="s">
        <v>241</v>
      </c>
      <c r="D203" s="18" t="n">
        <v>-105</v>
      </c>
      <c r="E203" s="18" t="s">
        <v>262</v>
      </c>
      <c r="F203" s="18" t="s">
        <v>198</v>
      </c>
      <c r="G203" s="19" t="n">
        <v>38099</v>
      </c>
      <c r="H203" s="18" t="n">
        <v>121</v>
      </c>
      <c r="I203" s="18" t="n">
        <v>32</v>
      </c>
      <c r="J203" s="18" t="n">
        <f aca="false">SUMIFS($H$2:$H$1200,$A$2:$A$1200,$A203,$B$2:$B$1200,"&lt;="&amp;$B203)</f>
        <v>588</v>
      </c>
      <c r="K203" s="18" t="n">
        <f aca="false">SUMIFS($I$2:$I$1200,$A$2:$A$1200,$A203,$B$2:$B$1200,"&lt;="&amp;$B203)</f>
        <v>69</v>
      </c>
      <c r="L203" s="18" t="n">
        <f aca="false">J203-K203</f>
        <v>519</v>
      </c>
      <c r="M203" s="18" t="n">
        <f aca="false">SUMIF($A$2:$A$1200,$A203,$H$2:$H$1200)</f>
        <v>929</v>
      </c>
      <c r="N203" s="20" t="n">
        <f aca="false">IF(M203=0,"",L203/M203)</f>
        <v>0.558665231431647</v>
      </c>
      <c r="O203" s="20" t="n">
        <v>0.558665231431647</v>
      </c>
      <c r="P203" s="20" t="n">
        <f aca="false">IF(OR(N203="",O203=""),"",N203-O203)</f>
        <v>0</v>
      </c>
      <c r="Q203" s="18"/>
    </row>
    <row r="204" customFormat="false" ht="15" hidden="false" customHeight="true" outlineLevel="0" collapsed="false">
      <c r="A204" s="18" t="s">
        <v>282</v>
      </c>
      <c r="B204" s="18" t="n">
        <v>9</v>
      </c>
      <c r="C204" s="18" t="s">
        <v>279</v>
      </c>
      <c r="D204" s="18" t="n">
        <v>-90</v>
      </c>
      <c r="E204" s="18" t="s">
        <v>262</v>
      </c>
      <c r="F204" s="18" t="s">
        <v>198</v>
      </c>
      <c r="G204" s="19" t="n">
        <v>38099</v>
      </c>
      <c r="H204" s="18" t="n">
        <v>93</v>
      </c>
      <c r="I204" s="18" t="n">
        <v>75</v>
      </c>
      <c r="J204" s="18" t="n">
        <f aca="false">SUMIFS($H$2:$H$1200,$A$2:$A$1200,$A204,$B$2:$B$1200,"&lt;="&amp;$B204)</f>
        <v>681</v>
      </c>
      <c r="K204" s="18" t="n">
        <f aca="false">SUMIFS($I$2:$I$1200,$A$2:$A$1200,$A204,$B$2:$B$1200,"&lt;="&amp;$B204)</f>
        <v>144</v>
      </c>
      <c r="L204" s="18" t="n">
        <f aca="false">J204-K204</f>
        <v>537</v>
      </c>
      <c r="M204" s="18" t="n">
        <f aca="false">SUMIF($A$2:$A$1200,$A204,$H$2:$H$1200)</f>
        <v>929</v>
      </c>
      <c r="N204" s="20" t="n">
        <f aca="false">IF(M204=0,"",L204/M204)</f>
        <v>0.578040904198062</v>
      </c>
      <c r="O204" s="20" t="n">
        <v>0.578040904198062</v>
      </c>
      <c r="P204" s="20" t="n">
        <f aca="false">IF(OR(N204="",O204=""),"",N204-O204)</f>
        <v>0</v>
      </c>
      <c r="Q204" s="18"/>
    </row>
    <row r="205" customFormat="false" ht="15" hidden="false" customHeight="true" outlineLevel="0" collapsed="false">
      <c r="A205" s="18" t="s">
        <v>282</v>
      </c>
      <c r="B205" s="18" t="n">
        <v>10</v>
      </c>
      <c r="C205" s="18" t="s">
        <v>206</v>
      </c>
      <c r="D205" s="18" t="n">
        <v>-75</v>
      </c>
      <c r="E205" s="18" t="s">
        <v>262</v>
      </c>
      <c r="F205" s="18" t="s">
        <v>198</v>
      </c>
      <c r="G205" s="19" t="n">
        <v>38099</v>
      </c>
      <c r="H205" s="18" t="n">
        <v>92</v>
      </c>
      <c r="I205" s="18" t="n">
        <v>93</v>
      </c>
      <c r="J205" s="18" t="n">
        <f aca="false">SUMIFS($H$2:$H$1200,$A$2:$A$1200,$A205,$B$2:$B$1200,"&lt;="&amp;$B205)</f>
        <v>773</v>
      </c>
      <c r="K205" s="18" t="n">
        <f aca="false">SUMIFS($I$2:$I$1200,$A$2:$A$1200,$A205,$B$2:$B$1200,"&lt;="&amp;$B205)</f>
        <v>237</v>
      </c>
      <c r="L205" s="18" t="n">
        <f aca="false">J205-K205</f>
        <v>536</v>
      </c>
      <c r="M205" s="18" t="n">
        <f aca="false">SUMIF($A$2:$A$1200,$A205,$H$2:$H$1200)</f>
        <v>929</v>
      </c>
      <c r="N205" s="20" t="n">
        <f aca="false">IF(M205=0,"",L205/M205)</f>
        <v>0.576964477933262</v>
      </c>
      <c r="O205" s="20" t="n">
        <v>0.576964477933262</v>
      </c>
      <c r="P205" s="20" t="n">
        <f aca="false">IF(OR(N205="",O205=""),"",N205-O205)</f>
        <v>0</v>
      </c>
      <c r="Q205" s="18"/>
    </row>
    <row r="206" customFormat="false" ht="15" hidden="false" customHeight="true" outlineLevel="0" collapsed="false">
      <c r="A206" s="18" t="s">
        <v>282</v>
      </c>
      <c r="B206" s="18" t="n">
        <v>11</v>
      </c>
      <c r="C206" s="18" t="s">
        <v>246</v>
      </c>
      <c r="D206" s="18" t="n">
        <v>-60</v>
      </c>
      <c r="E206" s="18" t="s">
        <v>262</v>
      </c>
      <c r="F206" s="18" t="s">
        <v>198</v>
      </c>
      <c r="G206" s="19" t="n">
        <v>38099</v>
      </c>
      <c r="H206" s="18" t="n">
        <v>61</v>
      </c>
      <c r="I206" s="18" t="n">
        <v>121</v>
      </c>
      <c r="J206" s="18" t="n">
        <f aca="false">SUMIFS($H$2:$H$1200,$A$2:$A$1200,$A206,$B$2:$B$1200,"&lt;="&amp;$B206)</f>
        <v>834</v>
      </c>
      <c r="K206" s="18" t="n">
        <f aca="false">SUMIFS($I$2:$I$1200,$A$2:$A$1200,$A206,$B$2:$B$1200,"&lt;="&amp;$B206)</f>
        <v>358</v>
      </c>
      <c r="L206" s="18" t="n">
        <f aca="false">J206-K206</f>
        <v>476</v>
      </c>
      <c r="M206" s="18" t="n">
        <f aca="false">SUMIF($A$2:$A$1200,$A206,$H$2:$H$1200)</f>
        <v>929</v>
      </c>
      <c r="N206" s="20" t="n">
        <f aca="false">IF(M206=0,"",L206/M206)</f>
        <v>0.51237890204521</v>
      </c>
      <c r="O206" s="20" t="n">
        <v>0.51237890204521</v>
      </c>
      <c r="P206" s="20" t="n">
        <f aca="false">IF(OR(N206="",O206=""),"",N206-O206)</f>
        <v>0</v>
      </c>
      <c r="Q206" s="18"/>
    </row>
    <row r="207" customFormat="false" ht="15" hidden="false" customHeight="true" outlineLevel="0" collapsed="false">
      <c r="A207" s="18" t="s">
        <v>282</v>
      </c>
      <c r="B207" s="18" t="n">
        <v>12</v>
      </c>
      <c r="C207" s="18" t="s">
        <v>254</v>
      </c>
      <c r="D207" s="18" t="n">
        <v>-45</v>
      </c>
      <c r="E207" s="18" t="s">
        <v>262</v>
      </c>
      <c r="F207" s="18" t="s">
        <v>198</v>
      </c>
      <c r="G207" s="19" t="n">
        <v>38099</v>
      </c>
      <c r="H207" s="18" t="n">
        <v>32</v>
      </c>
      <c r="I207" s="18" t="n">
        <v>119</v>
      </c>
      <c r="J207" s="18" t="n">
        <f aca="false">SUMIFS($H$2:$H$1200,$A$2:$A$1200,$A207,$B$2:$B$1200,"&lt;="&amp;$B207)</f>
        <v>866</v>
      </c>
      <c r="K207" s="18" t="n">
        <f aca="false">SUMIFS($I$2:$I$1200,$A$2:$A$1200,$A207,$B$2:$B$1200,"&lt;="&amp;$B207)</f>
        <v>477</v>
      </c>
      <c r="L207" s="18" t="n">
        <f aca="false">J207-K207</f>
        <v>389</v>
      </c>
      <c r="M207" s="18" t="n">
        <f aca="false">SUMIF($A$2:$A$1200,$A207,$H$2:$H$1200)</f>
        <v>929</v>
      </c>
      <c r="N207" s="20" t="n">
        <f aca="false">IF(M207=0,"",L207/M207)</f>
        <v>0.418729817007535</v>
      </c>
      <c r="O207" s="20" t="n">
        <v>0.418729817007535</v>
      </c>
      <c r="P207" s="20" t="n">
        <f aca="false">IF(OR(N207="",O207=""),"",N207-O207)</f>
        <v>0</v>
      </c>
      <c r="Q207" s="18"/>
    </row>
    <row r="208" customFormat="false" ht="15" hidden="false" customHeight="true" outlineLevel="0" collapsed="false">
      <c r="A208" s="18" t="s">
        <v>282</v>
      </c>
      <c r="B208" s="18" t="n">
        <v>13</v>
      </c>
      <c r="C208" s="18" t="s">
        <v>403</v>
      </c>
      <c r="D208" s="18" t="n">
        <v>-30</v>
      </c>
      <c r="E208" s="18" t="s">
        <v>262</v>
      </c>
      <c r="F208" s="18" t="s">
        <v>198</v>
      </c>
      <c r="G208" s="19" t="n">
        <v>38099</v>
      </c>
      <c r="H208" s="18" t="n">
        <v>18</v>
      </c>
      <c r="I208" s="18" t="n">
        <v>120</v>
      </c>
      <c r="J208" s="18" t="n">
        <f aca="false">SUMIFS($H$2:$H$1200,$A$2:$A$1200,$A208,$B$2:$B$1200,"&lt;="&amp;$B208)</f>
        <v>884</v>
      </c>
      <c r="K208" s="18" t="n">
        <f aca="false">SUMIFS($I$2:$I$1200,$A$2:$A$1200,$A208,$B$2:$B$1200,"&lt;="&amp;$B208)</f>
        <v>597</v>
      </c>
      <c r="L208" s="18" t="n">
        <f aca="false">J208-K208</f>
        <v>287</v>
      </c>
      <c r="M208" s="18" t="n">
        <f aca="false">SUMIF($A$2:$A$1200,$A208,$H$2:$H$1200)</f>
        <v>929</v>
      </c>
      <c r="N208" s="20" t="n">
        <f aca="false">IF(M208=0,"",L208/M208)</f>
        <v>0.308934337997847</v>
      </c>
      <c r="O208" s="20" t="n">
        <v>0.308934337997847</v>
      </c>
      <c r="P208" s="20" t="n">
        <f aca="false">IF(OR(N208="",O208=""),"",N208-O208)</f>
        <v>0</v>
      </c>
      <c r="Q208" s="18"/>
    </row>
    <row r="209" customFormat="false" ht="15" hidden="false" customHeight="true" outlineLevel="0" collapsed="false">
      <c r="A209" s="18" t="s">
        <v>282</v>
      </c>
      <c r="B209" s="18" t="n">
        <v>14</v>
      </c>
      <c r="C209" s="18" t="s">
        <v>529</v>
      </c>
      <c r="D209" s="18" t="n">
        <v>-15</v>
      </c>
      <c r="E209" s="18" t="s">
        <v>262</v>
      </c>
      <c r="F209" s="18" t="s">
        <v>198</v>
      </c>
      <c r="G209" s="19" t="n">
        <v>38099</v>
      </c>
      <c r="H209" s="18" t="n">
        <v>12</v>
      </c>
      <c r="I209" s="18" t="n">
        <v>77</v>
      </c>
      <c r="J209" s="18" t="n">
        <f aca="false">SUMIFS($H$2:$H$1200,$A$2:$A$1200,$A209,$B$2:$B$1200,"&lt;="&amp;$B209)</f>
        <v>896</v>
      </c>
      <c r="K209" s="18" t="n">
        <f aca="false">SUMIFS($I$2:$I$1200,$A$2:$A$1200,$A209,$B$2:$B$1200,"&lt;="&amp;$B209)</f>
        <v>674</v>
      </c>
      <c r="L209" s="18" t="n">
        <f aca="false">J209-K209</f>
        <v>222</v>
      </c>
      <c r="M209" s="18" t="n">
        <f aca="false">SUMIF($A$2:$A$1200,$A209,$H$2:$H$1200)</f>
        <v>929</v>
      </c>
      <c r="N209" s="20" t="n">
        <f aca="false">IF(M209=0,"",L209/M209)</f>
        <v>0.238966630785791</v>
      </c>
      <c r="O209" s="20" t="n">
        <v>0.238966630785791</v>
      </c>
      <c r="P209" s="20" t="n">
        <f aca="false">IF(OR(N209="",O209=""),"",N209-O209)</f>
        <v>0</v>
      </c>
      <c r="Q209" s="18"/>
    </row>
    <row r="210" customFormat="false" ht="15" hidden="false" customHeight="true" outlineLevel="0" collapsed="false">
      <c r="A210" s="18" t="s">
        <v>282</v>
      </c>
      <c r="B210" s="18" t="n">
        <v>15</v>
      </c>
      <c r="C210" s="18" t="s">
        <v>463</v>
      </c>
      <c r="D210" s="18" t="n">
        <v>0</v>
      </c>
      <c r="E210" s="18" t="s">
        <v>262</v>
      </c>
      <c r="F210" s="18" t="s">
        <v>198</v>
      </c>
      <c r="G210" s="19" t="n">
        <v>38099</v>
      </c>
      <c r="H210" s="18" t="n">
        <v>17</v>
      </c>
      <c r="I210" s="18" t="n">
        <v>69</v>
      </c>
      <c r="J210" s="18" t="n">
        <f aca="false">SUMIFS($H$2:$H$1200,$A$2:$A$1200,$A210,$B$2:$B$1200,"&lt;="&amp;$B210)</f>
        <v>913</v>
      </c>
      <c r="K210" s="18" t="n">
        <f aca="false">SUMIFS($I$2:$I$1200,$A$2:$A$1200,$A210,$B$2:$B$1200,"&lt;="&amp;$B210)</f>
        <v>743</v>
      </c>
      <c r="L210" s="18" t="n">
        <f aca="false">J210-K210</f>
        <v>170</v>
      </c>
      <c r="M210" s="18" t="n">
        <f aca="false">SUMIF($A$2:$A$1200,$A210,$H$2:$H$1200)</f>
        <v>929</v>
      </c>
      <c r="N210" s="20" t="n">
        <f aca="false">IF(M210=0,"",L210/M210)</f>
        <v>0.182992465016146</v>
      </c>
      <c r="O210" s="20" t="n">
        <v>0.182992465016146</v>
      </c>
      <c r="P210" s="20" t="n">
        <f aca="false">IF(OR(N210="",O210=""),"",N210-O210)</f>
        <v>0</v>
      </c>
      <c r="Q210" s="18"/>
    </row>
    <row r="211" customFormat="false" ht="15" hidden="false" customHeight="true" outlineLevel="0" collapsed="false">
      <c r="A211" s="18" t="s">
        <v>282</v>
      </c>
      <c r="B211" s="18" t="n">
        <v>16</v>
      </c>
      <c r="C211" s="18" t="s">
        <v>366</v>
      </c>
      <c r="D211" s="18" t="n">
        <v>15</v>
      </c>
      <c r="E211" s="18" t="s">
        <v>262</v>
      </c>
      <c r="F211" s="18" t="s">
        <v>198</v>
      </c>
      <c r="G211" s="19" t="n">
        <v>38099</v>
      </c>
      <c r="H211" s="18" t="n">
        <v>5</v>
      </c>
      <c r="I211" s="18" t="n">
        <v>63</v>
      </c>
      <c r="J211" s="18" t="n">
        <f aca="false">SUMIFS($H$2:$H$1200,$A$2:$A$1200,$A211,$B$2:$B$1200,"&lt;="&amp;$B211)</f>
        <v>918</v>
      </c>
      <c r="K211" s="18" t="n">
        <f aca="false">SUMIFS($I$2:$I$1200,$A$2:$A$1200,$A211,$B$2:$B$1200,"&lt;="&amp;$B211)</f>
        <v>806</v>
      </c>
      <c r="L211" s="18" t="n">
        <f aca="false">J211-K211</f>
        <v>112</v>
      </c>
      <c r="M211" s="18" t="n">
        <f aca="false">SUMIF($A$2:$A$1200,$A211,$H$2:$H$1200)</f>
        <v>929</v>
      </c>
      <c r="N211" s="20" t="n">
        <f aca="false">IF(M211=0,"",L211/M211)</f>
        <v>0.120559741657696</v>
      </c>
      <c r="O211" s="20" t="n">
        <v>0.120559741657697</v>
      </c>
      <c r="P211" s="20" t="n">
        <f aca="false">IF(OR(N211="",O211=""),"",N211-O211)</f>
        <v>-5.55111512312578E-016</v>
      </c>
      <c r="Q211" s="18"/>
    </row>
    <row r="212" customFormat="false" ht="15" hidden="false" customHeight="true" outlineLevel="0" collapsed="false">
      <c r="A212" s="18" t="s">
        <v>282</v>
      </c>
      <c r="B212" s="18" t="n">
        <v>17</v>
      </c>
      <c r="C212" s="18" t="s">
        <v>326</v>
      </c>
      <c r="D212" s="18" t="n">
        <v>30</v>
      </c>
      <c r="E212" s="18" t="s">
        <v>262</v>
      </c>
      <c r="F212" s="18" t="s">
        <v>198</v>
      </c>
      <c r="G212" s="19" t="n">
        <v>38099</v>
      </c>
      <c r="H212" s="18" t="n">
        <v>5</v>
      </c>
      <c r="I212" s="18" t="n">
        <v>36</v>
      </c>
      <c r="J212" s="18" t="n">
        <f aca="false">SUMIFS($H$2:$H$1200,$A$2:$A$1200,$A212,$B$2:$B$1200,"&lt;="&amp;$B212)</f>
        <v>923</v>
      </c>
      <c r="K212" s="18" t="n">
        <f aca="false">SUMIFS($I$2:$I$1200,$A$2:$A$1200,$A212,$B$2:$B$1200,"&lt;="&amp;$B212)</f>
        <v>842</v>
      </c>
      <c r="L212" s="18" t="n">
        <f aca="false">J212-K212</f>
        <v>81</v>
      </c>
      <c r="M212" s="18" t="n">
        <f aca="false">SUMIF($A$2:$A$1200,$A212,$H$2:$H$1200)</f>
        <v>929</v>
      </c>
      <c r="N212" s="20" t="n">
        <f aca="false">IF(M212=0,"",L212/M212)</f>
        <v>0.0871905274488698</v>
      </c>
      <c r="O212" s="20" t="n">
        <v>0.0871905274488698</v>
      </c>
      <c r="P212" s="20" t="n">
        <f aca="false">IF(OR(N212="",O212=""),"",N212-O212)</f>
        <v>0</v>
      </c>
      <c r="Q212" s="18"/>
    </row>
    <row r="213" customFormat="false" ht="15" hidden="false" customHeight="true" outlineLevel="0" collapsed="false">
      <c r="A213" s="18" t="s">
        <v>282</v>
      </c>
      <c r="B213" s="18" t="n">
        <v>18</v>
      </c>
      <c r="C213" s="18" t="s">
        <v>226</v>
      </c>
      <c r="D213" s="18" t="n">
        <v>45</v>
      </c>
      <c r="E213" s="18" t="s">
        <v>262</v>
      </c>
      <c r="F213" s="18" t="s">
        <v>198</v>
      </c>
      <c r="G213" s="19" t="n">
        <v>38099</v>
      </c>
      <c r="H213" s="18" t="n">
        <v>6</v>
      </c>
      <c r="I213" s="18" t="n">
        <v>23</v>
      </c>
      <c r="J213" s="18" t="n">
        <f aca="false">SUMIFS($H$2:$H$1200,$A$2:$A$1200,$A213,$B$2:$B$1200,"&lt;="&amp;$B213)</f>
        <v>929</v>
      </c>
      <c r="K213" s="18" t="n">
        <f aca="false">SUMIFS($I$2:$I$1200,$A$2:$A$1200,$A213,$B$2:$B$1200,"&lt;="&amp;$B213)</f>
        <v>865</v>
      </c>
      <c r="L213" s="18" t="n">
        <f aca="false">J213-K213</f>
        <v>64</v>
      </c>
      <c r="M213" s="18" t="n">
        <f aca="false">SUMIF($A$2:$A$1200,$A213,$H$2:$H$1200)</f>
        <v>929</v>
      </c>
      <c r="N213" s="20" t="n">
        <f aca="false">IF(M213=0,"",L213/M213)</f>
        <v>0.0688912809472551</v>
      </c>
      <c r="O213" s="20" t="n">
        <v>0.0688912809472551</v>
      </c>
      <c r="P213" s="20" t="n">
        <f aca="false">IF(OR(N213="",O213=""),"",N213-O213)</f>
        <v>0</v>
      </c>
      <c r="Q213" s="18"/>
    </row>
    <row r="214" customFormat="false" ht="15" hidden="false" customHeight="true" outlineLevel="0" collapsed="false">
      <c r="A214" s="18" t="s">
        <v>286</v>
      </c>
      <c r="B214" s="18" t="n">
        <v>0</v>
      </c>
      <c r="C214" s="18" t="s">
        <v>204</v>
      </c>
      <c r="D214" s="18"/>
      <c r="E214" s="18" t="s">
        <v>262</v>
      </c>
      <c r="F214" s="18" t="s">
        <v>198</v>
      </c>
      <c r="G214" s="19" t="n">
        <v>38100</v>
      </c>
      <c r="H214" s="18" t="n">
        <v>3</v>
      </c>
      <c r="I214" s="18" t="n">
        <v>0</v>
      </c>
      <c r="J214" s="18" t="n">
        <f aca="false">SUMIFS($H$2:$H$1200,$A$2:$A$1200,$A214,$B$2:$B$1200,"&lt;="&amp;$B214)</f>
        <v>3</v>
      </c>
      <c r="K214" s="18" t="n">
        <f aca="false">SUMIFS($I$2:$I$1200,$A$2:$A$1200,$A214,$B$2:$B$1200,"&lt;="&amp;$B214)</f>
        <v>0</v>
      </c>
      <c r="L214" s="18" t="n">
        <f aca="false">J214-K214</f>
        <v>3</v>
      </c>
      <c r="M214" s="18" t="n">
        <f aca="false">SUMIF($A$2:$A$1200,$A214,$H$2:$H$1200)</f>
        <v>85</v>
      </c>
      <c r="N214" s="20" t="n">
        <f aca="false">IF(M214=0,"",L214/M214)</f>
        <v>0.0352941176470588</v>
      </c>
      <c r="O214" s="20"/>
      <c r="P214" s="20" t="str">
        <f aca="false">IF(OR(N214="",O214=""),"",N214-O214)</f>
        <v/>
      </c>
      <c r="Q214" s="18"/>
    </row>
    <row r="215" customFormat="false" ht="15" hidden="false" customHeight="true" outlineLevel="0" collapsed="false">
      <c r="A215" s="18" t="s">
        <v>286</v>
      </c>
      <c r="B215" s="18" t="n">
        <v>2</v>
      </c>
      <c r="C215" s="18" t="s">
        <v>340</v>
      </c>
      <c r="D215" s="18" t="n">
        <v>-195</v>
      </c>
      <c r="E215" s="18" t="s">
        <v>262</v>
      </c>
      <c r="F215" s="18" t="s">
        <v>198</v>
      </c>
      <c r="G215" s="19" t="n">
        <v>38100</v>
      </c>
      <c r="H215" s="18" t="n">
        <v>3</v>
      </c>
      <c r="I215" s="18" t="n">
        <v>0</v>
      </c>
      <c r="J215" s="18" t="n">
        <f aca="false">SUMIFS($H$2:$H$1200,$A$2:$A$1200,$A215,$B$2:$B$1200,"&lt;="&amp;$B215)</f>
        <v>6</v>
      </c>
      <c r="K215" s="18" t="n">
        <f aca="false">SUMIFS($I$2:$I$1200,$A$2:$A$1200,$A215,$B$2:$B$1200,"&lt;="&amp;$B215)</f>
        <v>0</v>
      </c>
      <c r="L215" s="18" t="n">
        <f aca="false">J215-K215</f>
        <v>6</v>
      </c>
      <c r="M215" s="18" t="n">
        <f aca="false">SUMIF($A$2:$A$1200,$A215,$H$2:$H$1200)</f>
        <v>85</v>
      </c>
      <c r="N215" s="20" t="n">
        <f aca="false">IF(M215=0,"",L215/M215)</f>
        <v>0.0705882352941177</v>
      </c>
      <c r="O215" s="20"/>
      <c r="P215" s="20" t="str">
        <f aca="false">IF(OR(N215="",O215=""),"",N215-O215)</f>
        <v/>
      </c>
      <c r="Q215" s="18"/>
    </row>
    <row r="216" customFormat="false" ht="15" hidden="false" customHeight="true" outlineLevel="0" collapsed="false">
      <c r="A216" s="18" t="s">
        <v>286</v>
      </c>
      <c r="B216" s="18" t="n">
        <v>3</v>
      </c>
      <c r="C216" s="18" t="s">
        <v>525</v>
      </c>
      <c r="D216" s="18" t="n">
        <v>-180</v>
      </c>
      <c r="E216" s="18" t="s">
        <v>262</v>
      </c>
      <c r="F216" s="18" t="s">
        <v>198</v>
      </c>
      <c r="G216" s="19" t="n">
        <v>38100</v>
      </c>
      <c r="H216" s="18" t="n">
        <v>3</v>
      </c>
      <c r="I216" s="18" t="n">
        <v>0</v>
      </c>
      <c r="J216" s="18" t="n">
        <f aca="false">SUMIFS($H$2:$H$1200,$A$2:$A$1200,$A216,$B$2:$B$1200,"&lt;="&amp;$B216)</f>
        <v>9</v>
      </c>
      <c r="K216" s="18" t="n">
        <f aca="false">SUMIFS($I$2:$I$1200,$A$2:$A$1200,$A216,$B$2:$B$1200,"&lt;="&amp;$B216)</f>
        <v>0</v>
      </c>
      <c r="L216" s="18" t="n">
        <f aca="false">J216-K216</f>
        <v>9</v>
      </c>
      <c r="M216" s="18" t="n">
        <f aca="false">SUMIF($A$2:$A$1200,$A216,$H$2:$H$1200)</f>
        <v>85</v>
      </c>
      <c r="N216" s="20" t="n">
        <f aca="false">IF(M216=0,"",L216/M216)</f>
        <v>0.105882352941176</v>
      </c>
      <c r="O216" s="20"/>
      <c r="P216" s="20" t="str">
        <f aca="false">IF(OR(N216="",O216=""),"",N216-O216)</f>
        <v/>
      </c>
      <c r="Q216" s="18"/>
    </row>
    <row r="217" customFormat="false" ht="15" hidden="false" customHeight="true" outlineLevel="0" collapsed="false">
      <c r="A217" s="18" t="s">
        <v>286</v>
      </c>
      <c r="B217" s="18" t="n">
        <v>4</v>
      </c>
      <c r="C217" s="18" t="s">
        <v>526</v>
      </c>
      <c r="D217" s="18" t="n">
        <v>-165</v>
      </c>
      <c r="E217" s="18" t="s">
        <v>262</v>
      </c>
      <c r="F217" s="18" t="s">
        <v>198</v>
      </c>
      <c r="G217" s="19" t="n">
        <v>38100</v>
      </c>
      <c r="H217" s="18" t="n">
        <v>6</v>
      </c>
      <c r="I217" s="18" t="n">
        <v>0</v>
      </c>
      <c r="J217" s="18" t="n">
        <f aca="false">SUMIFS($H$2:$H$1200,$A$2:$A$1200,$A217,$B$2:$B$1200,"&lt;="&amp;$B217)</f>
        <v>15</v>
      </c>
      <c r="K217" s="18" t="n">
        <f aca="false">SUMIFS($I$2:$I$1200,$A$2:$A$1200,$A217,$B$2:$B$1200,"&lt;="&amp;$B217)</f>
        <v>0</v>
      </c>
      <c r="L217" s="18" t="n">
        <f aca="false">J217-K217</f>
        <v>15</v>
      </c>
      <c r="M217" s="18" t="n">
        <f aca="false">SUMIF($A$2:$A$1200,$A217,$H$2:$H$1200)</f>
        <v>85</v>
      </c>
      <c r="N217" s="20" t="n">
        <f aca="false">IF(M217=0,"",L217/M217)</f>
        <v>0.176470588235294</v>
      </c>
      <c r="O217" s="20"/>
      <c r="P217" s="20" t="str">
        <f aca="false">IF(OR(N217="",O217=""),"",N217-O217)</f>
        <v/>
      </c>
      <c r="Q217" s="18"/>
    </row>
    <row r="218" customFormat="false" ht="15" hidden="false" customHeight="true" outlineLevel="0" collapsed="false">
      <c r="A218" s="18" t="s">
        <v>286</v>
      </c>
      <c r="B218" s="18" t="n">
        <v>5</v>
      </c>
      <c r="C218" s="18" t="s">
        <v>527</v>
      </c>
      <c r="D218" s="18" t="n">
        <v>-150</v>
      </c>
      <c r="E218" s="18" t="s">
        <v>262</v>
      </c>
      <c r="F218" s="18" t="s">
        <v>198</v>
      </c>
      <c r="G218" s="19" t="n">
        <v>38100</v>
      </c>
      <c r="H218" s="18" t="n">
        <v>3</v>
      </c>
      <c r="I218" s="18" t="n">
        <v>0</v>
      </c>
      <c r="J218" s="18" t="n">
        <f aca="false">SUMIFS($H$2:$H$1200,$A$2:$A$1200,$A218,$B$2:$B$1200,"&lt;="&amp;$B218)</f>
        <v>18</v>
      </c>
      <c r="K218" s="18" t="n">
        <f aca="false">SUMIFS($I$2:$I$1200,$A$2:$A$1200,$A218,$B$2:$B$1200,"&lt;="&amp;$B218)</f>
        <v>0</v>
      </c>
      <c r="L218" s="18" t="n">
        <f aca="false">J218-K218</f>
        <v>18</v>
      </c>
      <c r="M218" s="18" t="n">
        <f aca="false">SUMIF($A$2:$A$1200,$A218,$H$2:$H$1200)</f>
        <v>85</v>
      </c>
      <c r="N218" s="20" t="n">
        <f aca="false">IF(M218=0,"",L218/M218)</f>
        <v>0.211764705882353</v>
      </c>
      <c r="O218" s="20"/>
      <c r="P218" s="20" t="str">
        <f aca="false">IF(OR(N218="",O218=""),"",N218-O218)</f>
        <v/>
      </c>
      <c r="Q218" s="18"/>
    </row>
    <row r="219" customFormat="false" ht="15" hidden="false" customHeight="true" outlineLevel="0" collapsed="false">
      <c r="A219" s="18" t="s">
        <v>286</v>
      </c>
      <c r="B219" s="18" t="n">
        <v>6</v>
      </c>
      <c r="C219" s="18" t="s">
        <v>528</v>
      </c>
      <c r="D219" s="18" t="n">
        <v>-135</v>
      </c>
      <c r="E219" s="18" t="s">
        <v>262</v>
      </c>
      <c r="F219" s="18" t="s">
        <v>198</v>
      </c>
      <c r="G219" s="19" t="n">
        <v>38100</v>
      </c>
      <c r="H219" s="18" t="n">
        <v>8</v>
      </c>
      <c r="I219" s="18" t="n">
        <v>9</v>
      </c>
      <c r="J219" s="18" t="n">
        <f aca="false">SUMIFS($H$2:$H$1200,$A$2:$A$1200,$A219,$B$2:$B$1200,"&lt;="&amp;$B219)</f>
        <v>26</v>
      </c>
      <c r="K219" s="18" t="n">
        <f aca="false">SUMIFS($I$2:$I$1200,$A$2:$A$1200,$A219,$B$2:$B$1200,"&lt;="&amp;$B219)</f>
        <v>9</v>
      </c>
      <c r="L219" s="18" t="n">
        <f aca="false">J219-K219</f>
        <v>17</v>
      </c>
      <c r="M219" s="18" t="n">
        <f aca="false">SUMIF($A$2:$A$1200,$A219,$H$2:$H$1200)</f>
        <v>85</v>
      </c>
      <c r="N219" s="20" t="n">
        <f aca="false">IF(M219=0,"",L219/M219)</f>
        <v>0.2</v>
      </c>
      <c r="O219" s="20"/>
      <c r="P219" s="20" t="str">
        <f aca="false">IF(OR(N219="",O219=""),"",N219-O219)</f>
        <v/>
      </c>
      <c r="Q219" s="18"/>
    </row>
    <row r="220" customFormat="false" ht="15" hidden="false" customHeight="true" outlineLevel="0" collapsed="false">
      <c r="A220" s="18" t="s">
        <v>286</v>
      </c>
      <c r="B220" s="18" t="n">
        <v>7</v>
      </c>
      <c r="C220" s="18" t="s">
        <v>227</v>
      </c>
      <c r="D220" s="18" t="n">
        <v>-120</v>
      </c>
      <c r="E220" s="18" t="s">
        <v>262</v>
      </c>
      <c r="F220" s="18" t="s">
        <v>198</v>
      </c>
      <c r="G220" s="19" t="n">
        <v>38100</v>
      </c>
      <c r="H220" s="18" t="n">
        <v>1</v>
      </c>
      <c r="I220" s="18" t="n">
        <v>3</v>
      </c>
      <c r="J220" s="18" t="n">
        <f aca="false">SUMIFS($H$2:$H$1200,$A$2:$A$1200,$A220,$B$2:$B$1200,"&lt;="&amp;$B220)</f>
        <v>27</v>
      </c>
      <c r="K220" s="18" t="n">
        <f aca="false">SUMIFS($I$2:$I$1200,$A$2:$A$1200,$A220,$B$2:$B$1200,"&lt;="&amp;$B220)</f>
        <v>12</v>
      </c>
      <c r="L220" s="18" t="n">
        <f aca="false">J220-K220</f>
        <v>15</v>
      </c>
      <c r="M220" s="18" t="n">
        <f aca="false">SUMIF($A$2:$A$1200,$A220,$H$2:$H$1200)</f>
        <v>85</v>
      </c>
      <c r="N220" s="20" t="n">
        <f aca="false">IF(M220=0,"",L220/M220)</f>
        <v>0.176470588235294</v>
      </c>
      <c r="O220" s="20"/>
      <c r="P220" s="20" t="str">
        <f aca="false">IF(OR(N220="",O220=""),"",N220-O220)</f>
        <v/>
      </c>
      <c r="Q220" s="18"/>
    </row>
    <row r="221" customFormat="false" ht="15" hidden="false" customHeight="true" outlineLevel="0" collapsed="false">
      <c r="A221" s="18" t="s">
        <v>286</v>
      </c>
      <c r="B221" s="18" t="n">
        <v>8</v>
      </c>
      <c r="C221" s="18" t="s">
        <v>241</v>
      </c>
      <c r="D221" s="18" t="n">
        <v>-105</v>
      </c>
      <c r="E221" s="18" t="s">
        <v>262</v>
      </c>
      <c r="F221" s="18" t="s">
        <v>198</v>
      </c>
      <c r="G221" s="19" t="n">
        <v>38100</v>
      </c>
      <c r="H221" s="18" t="n">
        <v>3</v>
      </c>
      <c r="I221" s="18" t="n">
        <v>0</v>
      </c>
      <c r="J221" s="18" t="n">
        <f aca="false">SUMIFS($H$2:$H$1200,$A$2:$A$1200,$A221,$B$2:$B$1200,"&lt;="&amp;$B221)</f>
        <v>30</v>
      </c>
      <c r="K221" s="18" t="n">
        <f aca="false">SUMIFS($I$2:$I$1200,$A$2:$A$1200,$A221,$B$2:$B$1200,"&lt;="&amp;$B221)</f>
        <v>12</v>
      </c>
      <c r="L221" s="18" t="n">
        <f aca="false">J221-K221</f>
        <v>18</v>
      </c>
      <c r="M221" s="18" t="n">
        <f aca="false">SUMIF($A$2:$A$1200,$A221,$H$2:$H$1200)</f>
        <v>85</v>
      </c>
      <c r="N221" s="20" t="n">
        <f aca="false">IF(M221=0,"",L221/M221)</f>
        <v>0.211764705882353</v>
      </c>
      <c r="O221" s="20"/>
      <c r="P221" s="20" t="str">
        <f aca="false">IF(OR(N221="",O221=""),"",N221-O221)</f>
        <v/>
      </c>
      <c r="Q221" s="18"/>
    </row>
    <row r="222" customFormat="false" ht="15" hidden="false" customHeight="true" outlineLevel="0" collapsed="false">
      <c r="A222" s="18" t="s">
        <v>286</v>
      </c>
      <c r="B222" s="18" t="n">
        <v>9</v>
      </c>
      <c r="C222" s="18" t="s">
        <v>279</v>
      </c>
      <c r="D222" s="18" t="n">
        <v>-90</v>
      </c>
      <c r="E222" s="18" t="s">
        <v>262</v>
      </c>
      <c r="F222" s="18" t="s">
        <v>198</v>
      </c>
      <c r="G222" s="19" t="n">
        <v>38100</v>
      </c>
      <c r="H222" s="18" t="n">
        <v>11</v>
      </c>
      <c r="I222" s="18" t="n">
        <v>4</v>
      </c>
      <c r="J222" s="18" t="n">
        <f aca="false">SUMIFS($H$2:$H$1200,$A$2:$A$1200,$A222,$B$2:$B$1200,"&lt;="&amp;$B222)</f>
        <v>41</v>
      </c>
      <c r="K222" s="18" t="n">
        <f aca="false">SUMIFS($I$2:$I$1200,$A$2:$A$1200,$A222,$B$2:$B$1200,"&lt;="&amp;$B222)</f>
        <v>16</v>
      </c>
      <c r="L222" s="18" t="n">
        <f aca="false">J222-K222</f>
        <v>25</v>
      </c>
      <c r="M222" s="18" t="n">
        <f aca="false">SUMIF($A$2:$A$1200,$A222,$H$2:$H$1200)</f>
        <v>85</v>
      </c>
      <c r="N222" s="20" t="n">
        <f aca="false">IF(M222=0,"",L222/M222)</f>
        <v>0.294117647058824</v>
      </c>
      <c r="O222" s="20"/>
      <c r="P222" s="20" t="str">
        <f aca="false">IF(OR(N222="",O222=""),"",N222-O222)</f>
        <v/>
      </c>
      <c r="Q222" s="18"/>
    </row>
    <row r="223" customFormat="false" ht="15" hidden="false" customHeight="true" outlineLevel="0" collapsed="false">
      <c r="A223" s="18" t="s">
        <v>286</v>
      </c>
      <c r="B223" s="18" t="n">
        <v>10</v>
      </c>
      <c r="C223" s="18" t="s">
        <v>206</v>
      </c>
      <c r="D223" s="18" t="n">
        <v>-75</v>
      </c>
      <c r="E223" s="18" t="s">
        <v>262</v>
      </c>
      <c r="F223" s="18" t="s">
        <v>198</v>
      </c>
      <c r="G223" s="19" t="n">
        <v>38100</v>
      </c>
      <c r="H223" s="18" t="n">
        <v>6</v>
      </c>
      <c r="I223" s="18" t="n">
        <v>2</v>
      </c>
      <c r="J223" s="18" t="n">
        <f aca="false">SUMIFS($H$2:$H$1200,$A$2:$A$1200,$A223,$B$2:$B$1200,"&lt;="&amp;$B223)</f>
        <v>47</v>
      </c>
      <c r="K223" s="18" t="n">
        <f aca="false">SUMIFS($I$2:$I$1200,$A$2:$A$1200,$A223,$B$2:$B$1200,"&lt;="&amp;$B223)</f>
        <v>18</v>
      </c>
      <c r="L223" s="18" t="n">
        <f aca="false">J223-K223</f>
        <v>29</v>
      </c>
      <c r="M223" s="18" t="n">
        <f aca="false">SUMIF($A$2:$A$1200,$A223,$H$2:$H$1200)</f>
        <v>85</v>
      </c>
      <c r="N223" s="20" t="n">
        <f aca="false">IF(M223=0,"",L223/M223)</f>
        <v>0.341176470588235</v>
      </c>
      <c r="O223" s="20"/>
      <c r="P223" s="20" t="str">
        <f aca="false">IF(OR(N223="",O223=""),"",N223-O223)</f>
        <v/>
      </c>
      <c r="Q223" s="18"/>
    </row>
    <row r="224" customFormat="false" ht="15" hidden="false" customHeight="true" outlineLevel="0" collapsed="false">
      <c r="A224" s="18" t="s">
        <v>286</v>
      </c>
      <c r="B224" s="18" t="n">
        <v>11</v>
      </c>
      <c r="C224" s="18" t="s">
        <v>246</v>
      </c>
      <c r="D224" s="18" t="n">
        <v>-60</v>
      </c>
      <c r="E224" s="18" t="s">
        <v>262</v>
      </c>
      <c r="F224" s="18" t="s">
        <v>198</v>
      </c>
      <c r="G224" s="19" t="n">
        <v>38100</v>
      </c>
      <c r="H224" s="18" t="n">
        <v>5</v>
      </c>
      <c r="I224" s="18" t="n">
        <v>3</v>
      </c>
      <c r="J224" s="18" t="n">
        <f aca="false">SUMIFS($H$2:$H$1200,$A$2:$A$1200,$A224,$B$2:$B$1200,"&lt;="&amp;$B224)</f>
        <v>52</v>
      </c>
      <c r="K224" s="18" t="n">
        <f aca="false">SUMIFS($I$2:$I$1200,$A$2:$A$1200,$A224,$B$2:$B$1200,"&lt;="&amp;$B224)</f>
        <v>21</v>
      </c>
      <c r="L224" s="18" t="n">
        <f aca="false">J224-K224</f>
        <v>31</v>
      </c>
      <c r="M224" s="18" t="n">
        <f aca="false">SUMIF($A$2:$A$1200,$A224,$H$2:$H$1200)</f>
        <v>85</v>
      </c>
      <c r="N224" s="20" t="n">
        <f aca="false">IF(M224=0,"",L224/M224)</f>
        <v>0.364705882352941</v>
      </c>
      <c r="O224" s="20"/>
      <c r="P224" s="20" t="str">
        <f aca="false">IF(OR(N224="",O224=""),"",N224-O224)</f>
        <v/>
      </c>
      <c r="Q224" s="18"/>
    </row>
    <row r="225" customFormat="false" ht="15" hidden="false" customHeight="true" outlineLevel="0" collapsed="false">
      <c r="A225" s="18" t="s">
        <v>286</v>
      </c>
      <c r="B225" s="18" t="n">
        <v>12</v>
      </c>
      <c r="C225" s="18" t="s">
        <v>254</v>
      </c>
      <c r="D225" s="18" t="n">
        <v>-45</v>
      </c>
      <c r="E225" s="18" t="s">
        <v>262</v>
      </c>
      <c r="F225" s="18" t="s">
        <v>198</v>
      </c>
      <c r="G225" s="19" t="n">
        <v>38100</v>
      </c>
      <c r="H225" s="18" t="n">
        <v>6</v>
      </c>
      <c r="I225" s="18" t="n">
        <v>5</v>
      </c>
      <c r="J225" s="18" t="n">
        <f aca="false">SUMIFS($H$2:$H$1200,$A$2:$A$1200,$A225,$B$2:$B$1200,"&lt;="&amp;$B225)</f>
        <v>58</v>
      </c>
      <c r="K225" s="18" t="n">
        <f aca="false">SUMIFS($I$2:$I$1200,$A$2:$A$1200,$A225,$B$2:$B$1200,"&lt;="&amp;$B225)</f>
        <v>26</v>
      </c>
      <c r="L225" s="18" t="n">
        <f aca="false">J225-K225</f>
        <v>32</v>
      </c>
      <c r="M225" s="18" t="n">
        <f aca="false">SUMIF($A$2:$A$1200,$A225,$H$2:$H$1200)</f>
        <v>85</v>
      </c>
      <c r="N225" s="20" t="n">
        <f aca="false">IF(M225=0,"",L225/M225)</f>
        <v>0.376470588235294</v>
      </c>
      <c r="O225" s="20"/>
      <c r="P225" s="20" t="str">
        <f aca="false">IF(OR(N225="",O225=""),"",N225-O225)</f>
        <v/>
      </c>
      <c r="Q225" s="18"/>
    </row>
    <row r="226" customFormat="false" ht="15" hidden="false" customHeight="true" outlineLevel="0" collapsed="false">
      <c r="A226" s="18" t="s">
        <v>286</v>
      </c>
      <c r="B226" s="18" t="n">
        <v>13</v>
      </c>
      <c r="C226" s="18" t="s">
        <v>403</v>
      </c>
      <c r="D226" s="18" t="n">
        <v>-30</v>
      </c>
      <c r="E226" s="18" t="s">
        <v>262</v>
      </c>
      <c r="F226" s="18" t="s">
        <v>198</v>
      </c>
      <c r="G226" s="19" t="n">
        <v>38100</v>
      </c>
      <c r="H226" s="18" t="n">
        <v>4</v>
      </c>
      <c r="I226" s="18" t="n">
        <v>4</v>
      </c>
      <c r="J226" s="18" t="n">
        <f aca="false">SUMIFS($H$2:$H$1200,$A$2:$A$1200,$A226,$B$2:$B$1200,"&lt;="&amp;$B226)</f>
        <v>62</v>
      </c>
      <c r="K226" s="18" t="n">
        <f aca="false">SUMIFS($I$2:$I$1200,$A$2:$A$1200,$A226,$B$2:$B$1200,"&lt;="&amp;$B226)</f>
        <v>30</v>
      </c>
      <c r="L226" s="18" t="n">
        <f aca="false">J226-K226</f>
        <v>32</v>
      </c>
      <c r="M226" s="18" t="n">
        <f aca="false">SUMIF($A$2:$A$1200,$A226,$H$2:$H$1200)</f>
        <v>85</v>
      </c>
      <c r="N226" s="20" t="n">
        <f aca="false">IF(M226=0,"",L226/M226)</f>
        <v>0.376470588235294</v>
      </c>
      <c r="O226" s="20"/>
      <c r="P226" s="20" t="str">
        <f aca="false">IF(OR(N226="",O226=""),"",N226-O226)</f>
        <v/>
      </c>
      <c r="Q226" s="18"/>
    </row>
    <row r="227" customFormat="false" ht="15" hidden="false" customHeight="true" outlineLevel="0" collapsed="false">
      <c r="A227" s="18" t="s">
        <v>286</v>
      </c>
      <c r="B227" s="18" t="n">
        <v>14</v>
      </c>
      <c r="C227" s="18" t="s">
        <v>529</v>
      </c>
      <c r="D227" s="18" t="n">
        <v>-15</v>
      </c>
      <c r="E227" s="18" t="s">
        <v>262</v>
      </c>
      <c r="F227" s="18" t="s">
        <v>198</v>
      </c>
      <c r="G227" s="19" t="n">
        <v>38100</v>
      </c>
      <c r="H227" s="18" t="n">
        <v>0</v>
      </c>
      <c r="I227" s="18" t="n">
        <v>11</v>
      </c>
      <c r="J227" s="18" t="n">
        <f aca="false">SUMIFS($H$2:$H$1200,$A$2:$A$1200,$A227,$B$2:$B$1200,"&lt;="&amp;$B227)</f>
        <v>62</v>
      </c>
      <c r="K227" s="18" t="n">
        <f aca="false">SUMIFS($I$2:$I$1200,$A$2:$A$1200,$A227,$B$2:$B$1200,"&lt;="&amp;$B227)</f>
        <v>41</v>
      </c>
      <c r="L227" s="18" t="n">
        <f aca="false">J227-K227</f>
        <v>21</v>
      </c>
      <c r="M227" s="18" t="n">
        <f aca="false">SUMIF($A$2:$A$1200,$A227,$H$2:$H$1200)</f>
        <v>85</v>
      </c>
      <c r="N227" s="20" t="n">
        <f aca="false">IF(M227=0,"",L227/M227)</f>
        <v>0.247058823529412</v>
      </c>
      <c r="O227" s="20"/>
      <c r="P227" s="20" t="str">
        <f aca="false">IF(OR(N227="",O227=""),"",N227-O227)</f>
        <v/>
      </c>
      <c r="Q227" s="18"/>
    </row>
    <row r="228" customFormat="false" ht="15" hidden="false" customHeight="true" outlineLevel="0" collapsed="false">
      <c r="A228" s="18" t="s">
        <v>286</v>
      </c>
      <c r="B228" s="18" t="n">
        <v>15</v>
      </c>
      <c r="C228" s="18" t="s">
        <v>463</v>
      </c>
      <c r="D228" s="18" t="n">
        <v>0</v>
      </c>
      <c r="E228" s="18" t="s">
        <v>262</v>
      </c>
      <c r="F228" s="18" t="s">
        <v>198</v>
      </c>
      <c r="G228" s="19" t="n">
        <v>38100</v>
      </c>
      <c r="H228" s="18" t="n">
        <v>3</v>
      </c>
      <c r="I228" s="18" t="n">
        <v>6</v>
      </c>
      <c r="J228" s="18" t="n">
        <f aca="false">SUMIFS($H$2:$H$1200,$A$2:$A$1200,$A228,$B$2:$B$1200,"&lt;="&amp;$B228)</f>
        <v>65</v>
      </c>
      <c r="K228" s="18" t="n">
        <f aca="false">SUMIFS($I$2:$I$1200,$A$2:$A$1200,$A228,$B$2:$B$1200,"&lt;="&amp;$B228)</f>
        <v>47</v>
      </c>
      <c r="L228" s="18" t="n">
        <f aca="false">J228-K228</f>
        <v>18</v>
      </c>
      <c r="M228" s="18" t="n">
        <f aca="false">SUMIF($A$2:$A$1200,$A228,$H$2:$H$1200)</f>
        <v>85</v>
      </c>
      <c r="N228" s="20" t="n">
        <f aca="false">IF(M228=0,"",L228/M228)</f>
        <v>0.211764705882353</v>
      </c>
      <c r="O228" s="20"/>
      <c r="P228" s="20" t="str">
        <f aca="false">IF(OR(N228="",O228=""),"",N228-O228)</f>
        <v/>
      </c>
      <c r="Q228" s="18"/>
    </row>
    <row r="229" customFormat="false" ht="15" hidden="false" customHeight="true" outlineLevel="0" collapsed="false">
      <c r="A229" s="18" t="s">
        <v>286</v>
      </c>
      <c r="B229" s="18" t="n">
        <v>16</v>
      </c>
      <c r="C229" s="18" t="s">
        <v>366</v>
      </c>
      <c r="D229" s="18" t="n">
        <v>15</v>
      </c>
      <c r="E229" s="18" t="s">
        <v>262</v>
      </c>
      <c r="F229" s="18" t="s">
        <v>198</v>
      </c>
      <c r="G229" s="19" t="n">
        <v>38100</v>
      </c>
      <c r="H229" s="18" t="n">
        <v>5</v>
      </c>
      <c r="I229" s="18" t="n">
        <v>5</v>
      </c>
      <c r="J229" s="18" t="n">
        <f aca="false">SUMIFS($H$2:$H$1200,$A$2:$A$1200,$A229,$B$2:$B$1200,"&lt;="&amp;$B229)</f>
        <v>70</v>
      </c>
      <c r="K229" s="18" t="n">
        <f aca="false">SUMIFS($I$2:$I$1200,$A$2:$A$1200,$A229,$B$2:$B$1200,"&lt;="&amp;$B229)</f>
        <v>52</v>
      </c>
      <c r="L229" s="18" t="n">
        <f aca="false">J229-K229</f>
        <v>18</v>
      </c>
      <c r="M229" s="18" t="n">
        <f aca="false">SUMIF($A$2:$A$1200,$A229,$H$2:$H$1200)</f>
        <v>85</v>
      </c>
      <c r="N229" s="20" t="n">
        <f aca="false">IF(M229=0,"",L229/M229)</f>
        <v>0.211764705882353</v>
      </c>
      <c r="O229" s="20"/>
      <c r="P229" s="20" t="str">
        <f aca="false">IF(OR(N229="",O229=""),"",N229-O229)</f>
        <v/>
      </c>
      <c r="Q229" s="18"/>
    </row>
    <row r="230" customFormat="false" ht="15" hidden="false" customHeight="true" outlineLevel="0" collapsed="false">
      <c r="A230" s="18" t="s">
        <v>286</v>
      </c>
      <c r="B230" s="18" t="n">
        <v>17</v>
      </c>
      <c r="C230" s="18" t="s">
        <v>326</v>
      </c>
      <c r="D230" s="18" t="n">
        <v>30</v>
      </c>
      <c r="E230" s="18" t="s">
        <v>262</v>
      </c>
      <c r="F230" s="18" t="s">
        <v>198</v>
      </c>
      <c r="G230" s="19" t="n">
        <v>38100</v>
      </c>
      <c r="H230" s="18" t="n">
        <v>3</v>
      </c>
      <c r="I230" s="18" t="n">
        <v>7</v>
      </c>
      <c r="J230" s="18" t="n">
        <f aca="false">SUMIFS($H$2:$H$1200,$A$2:$A$1200,$A230,$B$2:$B$1200,"&lt;="&amp;$B230)</f>
        <v>73</v>
      </c>
      <c r="K230" s="18" t="n">
        <f aca="false">SUMIFS($I$2:$I$1200,$A$2:$A$1200,$A230,$B$2:$B$1200,"&lt;="&amp;$B230)</f>
        <v>59</v>
      </c>
      <c r="L230" s="18" t="n">
        <f aca="false">J230-K230</f>
        <v>14</v>
      </c>
      <c r="M230" s="18" t="n">
        <f aca="false">SUMIF($A$2:$A$1200,$A230,$H$2:$H$1200)</f>
        <v>85</v>
      </c>
      <c r="N230" s="20" t="n">
        <f aca="false">IF(M230=0,"",L230/M230)</f>
        <v>0.164705882352941</v>
      </c>
      <c r="O230" s="20"/>
      <c r="P230" s="20" t="str">
        <f aca="false">IF(OR(N230="",O230=""),"",N230-O230)</f>
        <v/>
      </c>
      <c r="Q230" s="18"/>
    </row>
    <row r="231" customFormat="false" ht="15" hidden="false" customHeight="true" outlineLevel="0" collapsed="false">
      <c r="A231" s="18" t="s">
        <v>286</v>
      </c>
      <c r="B231" s="18" t="n">
        <v>18</v>
      </c>
      <c r="C231" s="18" t="s">
        <v>226</v>
      </c>
      <c r="D231" s="18" t="n">
        <v>45</v>
      </c>
      <c r="E231" s="18" t="s">
        <v>262</v>
      </c>
      <c r="F231" s="18" t="s">
        <v>198</v>
      </c>
      <c r="G231" s="19" t="n">
        <v>38100</v>
      </c>
      <c r="H231" s="18" t="n">
        <v>5</v>
      </c>
      <c r="I231" s="18" t="n">
        <v>4</v>
      </c>
      <c r="J231" s="18" t="n">
        <f aca="false">SUMIFS($H$2:$H$1200,$A$2:$A$1200,$A231,$B$2:$B$1200,"&lt;="&amp;$B231)</f>
        <v>78</v>
      </c>
      <c r="K231" s="18" t="n">
        <f aca="false">SUMIFS($I$2:$I$1200,$A$2:$A$1200,$A231,$B$2:$B$1200,"&lt;="&amp;$B231)</f>
        <v>63</v>
      </c>
      <c r="L231" s="18" t="n">
        <f aca="false">J231-K231</f>
        <v>15</v>
      </c>
      <c r="M231" s="18" t="n">
        <f aca="false">SUMIF($A$2:$A$1200,$A231,$H$2:$H$1200)</f>
        <v>85</v>
      </c>
      <c r="N231" s="20" t="n">
        <f aca="false">IF(M231=0,"",L231/M231)</f>
        <v>0.176470588235294</v>
      </c>
      <c r="O231" s="20"/>
      <c r="P231" s="20" t="str">
        <f aca="false">IF(OR(N231="",O231=""),"",N231-O231)</f>
        <v/>
      </c>
      <c r="Q231" s="18"/>
    </row>
    <row r="232" customFormat="false" ht="15" hidden="false" customHeight="true" outlineLevel="0" collapsed="false">
      <c r="A232" s="18" t="s">
        <v>286</v>
      </c>
      <c r="B232" s="18" t="n">
        <v>19</v>
      </c>
      <c r="C232" s="18" t="s">
        <v>205</v>
      </c>
      <c r="D232" s="18" t="n">
        <v>60</v>
      </c>
      <c r="E232" s="18" t="s">
        <v>262</v>
      </c>
      <c r="F232" s="18" t="s">
        <v>198</v>
      </c>
      <c r="G232" s="19" t="n">
        <v>38100</v>
      </c>
      <c r="H232" s="18" t="n">
        <v>4</v>
      </c>
      <c r="I232" s="18" t="n">
        <v>5</v>
      </c>
      <c r="J232" s="18" t="n">
        <f aca="false">SUMIFS($H$2:$H$1200,$A$2:$A$1200,$A232,$B$2:$B$1200,"&lt;="&amp;$B232)</f>
        <v>82</v>
      </c>
      <c r="K232" s="18" t="n">
        <f aca="false">SUMIFS($I$2:$I$1200,$A$2:$A$1200,$A232,$B$2:$B$1200,"&lt;="&amp;$B232)</f>
        <v>68</v>
      </c>
      <c r="L232" s="18" t="n">
        <f aca="false">J232-K232</f>
        <v>14</v>
      </c>
      <c r="M232" s="18" t="n">
        <f aca="false">SUMIF($A$2:$A$1200,$A232,$H$2:$H$1200)</f>
        <v>85</v>
      </c>
      <c r="N232" s="20" t="n">
        <f aca="false">IF(M232=0,"",L232/M232)</f>
        <v>0.164705882352941</v>
      </c>
      <c r="O232" s="20"/>
      <c r="P232" s="20" t="str">
        <f aca="false">IF(OR(N232="",O232=""),"",N232-O232)</f>
        <v/>
      </c>
      <c r="Q232" s="18"/>
    </row>
    <row r="233" customFormat="false" ht="15" hidden="false" customHeight="true" outlineLevel="0" collapsed="false">
      <c r="A233" s="18" t="s">
        <v>286</v>
      </c>
      <c r="B233" s="18" t="n">
        <v>20</v>
      </c>
      <c r="C233" s="18" t="s">
        <v>532</v>
      </c>
      <c r="D233" s="18" t="n">
        <v>75</v>
      </c>
      <c r="E233" s="18" t="s">
        <v>262</v>
      </c>
      <c r="F233" s="18" t="s">
        <v>198</v>
      </c>
      <c r="G233" s="19" t="n">
        <v>38100</v>
      </c>
      <c r="H233" s="18" t="n">
        <v>1</v>
      </c>
      <c r="I233" s="18" t="n">
        <v>3</v>
      </c>
      <c r="J233" s="18" t="n">
        <f aca="false">SUMIFS($H$2:$H$1200,$A$2:$A$1200,$A233,$B$2:$B$1200,"&lt;="&amp;$B233)</f>
        <v>83</v>
      </c>
      <c r="K233" s="18" t="n">
        <f aca="false">SUMIFS($I$2:$I$1200,$A$2:$A$1200,$A233,$B$2:$B$1200,"&lt;="&amp;$B233)</f>
        <v>71</v>
      </c>
      <c r="L233" s="18" t="n">
        <f aca="false">J233-K233</f>
        <v>12</v>
      </c>
      <c r="M233" s="18" t="n">
        <f aca="false">SUMIF($A$2:$A$1200,$A233,$H$2:$H$1200)</f>
        <v>85</v>
      </c>
      <c r="N233" s="20" t="n">
        <f aca="false">IF(M233=0,"",L233/M233)</f>
        <v>0.141176470588235</v>
      </c>
      <c r="O233" s="20"/>
      <c r="P233" s="20" t="str">
        <f aca="false">IF(OR(N233="",O233=""),"",N233-O233)</f>
        <v/>
      </c>
      <c r="Q233" s="18"/>
    </row>
    <row r="234" customFormat="false" ht="15" hidden="false" customHeight="true" outlineLevel="0" collapsed="false">
      <c r="A234" s="18" t="s">
        <v>286</v>
      </c>
      <c r="B234" s="18" t="n">
        <v>21</v>
      </c>
      <c r="C234" s="18" t="s">
        <v>265</v>
      </c>
      <c r="D234" s="18" t="n">
        <v>90</v>
      </c>
      <c r="E234" s="18" t="s">
        <v>262</v>
      </c>
      <c r="F234" s="18" t="s">
        <v>198</v>
      </c>
      <c r="G234" s="19" t="n">
        <v>38100</v>
      </c>
      <c r="H234" s="18" t="n">
        <v>2</v>
      </c>
      <c r="I234" s="18" t="n">
        <v>8</v>
      </c>
      <c r="J234" s="18" t="n">
        <f aca="false">SUMIFS($H$2:$H$1200,$A$2:$A$1200,$A234,$B$2:$B$1200,"&lt;="&amp;$B234)</f>
        <v>85</v>
      </c>
      <c r="K234" s="18" t="n">
        <f aca="false">SUMIFS($I$2:$I$1200,$A$2:$A$1200,$A234,$B$2:$B$1200,"&lt;="&amp;$B234)</f>
        <v>79</v>
      </c>
      <c r="L234" s="18" t="n">
        <f aca="false">J234-K234</f>
        <v>6</v>
      </c>
      <c r="M234" s="18" t="n">
        <f aca="false">SUMIF($A$2:$A$1200,$A234,$H$2:$H$1200)</f>
        <v>85</v>
      </c>
      <c r="N234" s="20" t="n">
        <f aca="false">IF(M234=0,"",L234/M234)</f>
        <v>0.0705882352941177</v>
      </c>
      <c r="O234" s="20"/>
      <c r="P234" s="20" t="str">
        <f aca="false">IF(OR(N234="",O234=""),"",N234-O234)</f>
        <v/>
      </c>
      <c r="Q234" s="18"/>
    </row>
    <row r="235" customFormat="false" ht="15" hidden="false" customHeight="true" outlineLevel="0" collapsed="false">
      <c r="A235" s="18" t="s">
        <v>290</v>
      </c>
      <c r="B235" s="18" t="n">
        <v>0</v>
      </c>
      <c r="C235" s="18" t="s">
        <v>204</v>
      </c>
      <c r="D235" s="18"/>
      <c r="E235" s="18" t="s">
        <v>262</v>
      </c>
      <c r="F235" s="18" t="s">
        <v>198</v>
      </c>
      <c r="G235" s="19" t="n">
        <v>38100</v>
      </c>
      <c r="H235" s="18" t="n">
        <v>3</v>
      </c>
      <c r="I235" s="18" t="n">
        <v>0</v>
      </c>
      <c r="J235" s="18" t="n">
        <f aca="false">SUMIFS($H$2:$H$1200,$A$2:$A$1200,$A235,$B$2:$B$1200,"&lt;="&amp;$B235)</f>
        <v>3</v>
      </c>
      <c r="K235" s="18" t="n">
        <f aca="false">SUMIFS($I$2:$I$1200,$A$2:$A$1200,$A235,$B$2:$B$1200,"&lt;="&amp;$B235)</f>
        <v>0</v>
      </c>
      <c r="L235" s="18" t="n">
        <f aca="false">J235-K235</f>
        <v>3</v>
      </c>
      <c r="M235" s="18" t="n">
        <f aca="false">SUMIF($A$2:$A$1200,$A235,$H$2:$H$1200)</f>
        <v>82</v>
      </c>
      <c r="N235" s="20" t="n">
        <f aca="false">IF(M235=0,"",L235/M235)</f>
        <v>0.0365853658536585</v>
      </c>
      <c r="O235" s="20" t="n">
        <v>0.0365853658536585</v>
      </c>
      <c r="P235" s="20" t="n">
        <f aca="false">IF(OR(N235="",O235=""),"",N235-O235)</f>
        <v>0</v>
      </c>
      <c r="Q235" s="18"/>
    </row>
    <row r="236" customFormat="false" ht="15" hidden="false" customHeight="true" outlineLevel="0" collapsed="false">
      <c r="A236" s="18" t="s">
        <v>290</v>
      </c>
      <c r="B236" s="18" t="n">
        <v>3</v>
      </c>
      <c r="C236" s="18" t="s">
        <v>525</v>
      </c>
      <c r="D236" s="18" t="n">
        <v>-180</v>
      </c>
      <c r="E236" s="18" t="s">
        <v>262</v>
      </c>
      <c r="F236" s="18" t="s">
        <v>198</v>
      </c>
      <c r="G236" s="19" t="n">
        <v>38100</v>
      </c>
      <c r="H236" s="18" t="n">
        <v>3</v>
      </c>
      <c r="I236" s="18" t="n">
        <v>0</v>
      </c>
      <c r="J236" s="18" t="n">
        <f aca="false">SUMIFS($H$2:$H$1200,$A$2:$A$1200,$A236,$B$2:$B$1200,"&lt;="&amp;$B236)</f>
        <v>6</v>
      </c>
      <c r="K236" s="18" t="n">
        <f aca="false">SUMIFS($I$2:$I$1200,$A$2:$A$1200,$A236,$B$2:$B$1200,"&lt;="&amp;$B236)</f>
        <v>0</v>
      </c>
      <c r="L236" s="18" t="n">
        <f aca="false">J236-K236</f>
        <v>6</v>
      </c>
      <c r="M236" s="18" t="n">
        <f aca="false">SUMIF($A$2:$A$1200,$A236,$H$2:$H$1200)</f>
        <v>82</v>
      </c>
      <c r="N236" s="20" t="n">
        <f aca="false">IF(M236=0,"",L236/M236)</f>
        <v>0.0731707317073171</v>
      </c>
      <c r="O236" s="20" t="n">
        <v>0.0731707317073171</v>
      </c>
      <c r="P236" s="20" t="n">
        <f aca="false">IF(OR(N236="",O236=""),"",N236-O236)</f>
        <v>0</v>
      </c>
      <c r="Q236" s="18"/>
    </row>
    <row r="237" customFormat="false" ht="15" hidden="false" customHeight="true" outlineLevel="0" collapsed="false">
      <c r="A237" s="18" t="s">
        <v>290</v>
      </c>
      <c r="B237" s="18" t="n">
        <v>4</v>
      </c>
      <c r="C237" s="18" t="s">
        <v>526</v>
      </c>
      <c r="D237" s="18" t="n">
        <v>-165</v>
      </c>
      <c r="E237" s="18" t="s">
        <v>262</v>
      </c>
      <c r="F237" s="18" t="s">
        <v>198</v>
      </c>
      <c r="G237" s="19" t="n">
        <v>38100</v>
      </c>
      <c r="H237" s="18" t="n">
        <v>6</v>
      </c>
      <c r="I237" s="18" t="n">
        <v>0</v>
      </c>
      <c r="J237" s="18" t="n">
        <f aca="false">SUMIFS($H$2:$H$1200,$A$2:$A$1200,$A237,$B$2:$B$1200,"&lt;="&amp;$B237)</f>
        <v>12</v>
      </c>
      <c r="K237" s="18" t="n">
        <f aca="false">SUMIFS($I$2:$I$1200,$A$2:$A$1200,$A237,$B$2:$B$1200,"&lt;="&amp;$B237)</f>
        <v>0</v>
      </c>
      <c r="L237" s="18" t="n">
        <f aca="false">J237-K237</f>
        <v>12</v>
      </c>
      <c r="M237" s="18" t="n">
        <f aca="false">SUMIF($A$2:$A$1200,$A237,$H$2:$H$1200)</f>
        <v>82</v>
      </c>
      <c r="N237" s="20" t="n">
        <f aca="false">IF(M237=0,"",L237/M237)</f>
        <v>0.146341463414634</v>
      </c>
      <c r="O237" s="20" t="n">
        <v>0.146341463414634</v>
      </c>
      <c r="P237" s="20" t="n">
        <f aca="false">IF(OR(N237="",O237=""),"",N237-O237)</f>
        <v>0</v>
      </c>
      <c r="Q237" s="18"/>
    </row>
    <row r="238" customFormat="false" ht="15" hidden="false" customHeight="true" outlineLevel="0" collapsed="false">
      <c r="A238" s="18" t="s">
        <v>290</v>
      </c>
      <c r="B238" s="18" t="n">
        <v>5</v>
      </c>
      <c r="C238" s="18" t="s">
        <v>527</v>
      </c>
      <c r="D238" s="18" t="n">
        <v>-150</v>
      </c>
      <c r="E238" s="18" t="s">
        <v>262</v>
      </c>
      <c r="F238" s="18" t="s">
        <v>198</v>
      </c>
      <c r="G238" s="19" t="n">
        <v>38100</v>
      </c>
      <c r="H238" s="18" t="n">
        <v>3</v>
      </c>
      <c r="I238" s="18" t="n">
        <v>0</v>
      </c>
      <c r="J238" s="18" t="n">
        <f aca="false">SUMIFS($H$2:$H$1200,$A$2:$A$1200,$A238,$B$2:$B$1200,"&lt;="&amp;$B238)</f>
        <v>15</v>
      </c>
      <c r="K238" s="18" t="n">
        <f aca="false">SUMIFS($I$2:$I$1200,$A$2:$A$1200,$A238,$B$2:$B$1200,"&lt;="&amp;$B238)</f>
        <v>0</v>
      </c>
      <c r="L238" s="18" t="n">
        <f aca="false">J238-K238</f>
        <v>15</v>
      </c>
      <c r="M238" s="18" t="n">
        <f aca="false">SUMIF($A$2:$A$1200,$A238,$H$2:$H$1200)</f>
        <v>82</v>
      </c>
      <c r="N238" s="20" t="n">
        <f aca="false">IF(M238=0,"",L238/M238)</f>
        <v>0.182926829268293</v>
      </c>
      <c r="O238" s="20" t="n">
        <v>0.182926829268293</v>
      </c>
      <c r="P238" s="20" t="n">
        <f aca="false">IF(OR(N238="",O238=""),"",N238-O238)</f>
        <v>0</v>
      </c>
      <c r="Q238" s="18"/>
    </row>
    <row r="239" customFormat="false" ht="15" hidden="false" customHeight="true" outlineLevel="0" collapsed="false">
      <c r="A239" s="18" t="s">
        <v>290</v>
      </c>
      <c r="B239" s="18" t="n">
        <v>6</v>
      </c>
      <c r="C239" s="18" t="s">
        <v>528</v>
      </c>
      <c r="D239" s="18" t="n">
        <v>-135</v>
      </c>
      <c r="E239" s="18" t="s">
        <v>262</v>
      </c>
      <c r="F239" s="18" t="s">
        <v>198</v>
      </c>
      <c r="G239" s="19" t="n">
        <v>38100</v>
      </c>
      <c r="H239" s="18" t="n">
        <v>8</v>
      </c>
      <c r="I239" s="18" t="n">
        <v>9</v>
      </c>
      <c r="J239" s="18" t="n">
        <f aca="false">SUMIFS($H$2:$H$1200,$A$2:$A$1200,$A239,$B$2:$B$1200,"&lt;="&amp;$B239)</f>
        <v>23</v>
      </c>
      <c r="K239" s="18" t="n">
        <f aca="false">SUMIFS($I$2:$I$1200,$A$2:$A$1200,$A239,$B$2:$B$1200,"&lt;="&amp;$B239)</f>
        <v>9</v>
      </c>
      <c r="L239" s="18" t="n">
        <f aca="false">J239-K239</f>
        <v>14</v>
      </c>
      <c r="M239" s="18" t="n">
        <f aca="false">SUMIF($A$2:$A$1200,$A239,$H$2:$H$1200)</f>
        <v>82</v>
      </c>
      <c r="N239" s="20" t="n">
        <f aca="false">IF(M239=0,"",L239/M239)</f>
        <v>0.170731707317073</v>
      </c>
      <c r="O239" s="20" t="n">
        <v>0.170731707317073</v>
      </c>
      <c r="P239" s="20" t="n">
        <f aca="false">IF(OR(N239="",O239=""),"",N239-O239)</f>
        <v>0</v>
      </c>
      <c r="Q239" s="18"/>
    </row>
    <row r="240" customFormat="false" ht="15" hidden="false" customHeight="true" outlineLevel="0" collapsed="false">
      <c r="A240" s="18" t="s">
        <v>290</v>
      </c>
      <c r="B240" s="18" t="n">
        <v>7</v>
      </c>
      <c r="C240" s="18" t="s">
        <v>227</v>
      </c>
      <c r="D240" s="18" t="n">
        <v>-120</v>
      </c>
      <c r="E240" s="18" t="s">
        <v>262</v>
      </c>
      <c r="F240" s="18" t="s">
        <v>198</v>
      </c>
      <c r="G240" s="19" t="n">
        <v>38100</v>
      </c>
      <c r="H240" s="18" t="n">
        <v>1</v>
      </c>
      <c r="I240" s="18" t="n">
        <v>3</v>
      </c>
      <c r="J240" s="18" t="n">
        <f aca="false">SUMIFS($H$2:$H$1200,$A$2:$A$1200,$A240,$B$2:$B$1200,"&lt;="&amp;$B240)</f>
        <v>24</v>
      </c>
      <c r="K240" s="18" t="n">
        <f aca="false">SUMIFS($I$2:$I$1200,$A$2:$A$1200,$A240,$B$2:$B$1200,"&lt;="&amp;$B240)</f>
        <v>12</v>
      </c>
      <c r="L240" s="18" t="n">
        <f aca="false">J240-K240</f>
        <v>12</v>
      </c>
      <c r="M240" s="18" t="n">
        <f aca="false">SUMIF($A$2:$A$1200,$A240,$H$2:$H$1200)</f>
        <v>82</v>
      </c>
      <c r="N240" s="20" t="n">
        <f aca="false">IF(M240=0,"",L240/M240)</f>
        <v>0.146341463414634</v>
      </c>
      <c r="O240" s="20" t="n">
        <v>0.146341463414634</v>
      </c>
      <c r="P240" s="20" t="n">
        <f aca="false">IF(OR(N240="",O240=""),"",N240-O240)</f>
        <v>0</v>
      </c>
      <c r="Q240" s="18"/>
    </row>
    <row r="241" customFormat="false" ht="15" hidden="false" customHeight="true" outlineLevel="0" collapsed="false">
      <c r="A241" s="18" t="s">
        <v>290</v>
      </c>
      <c r="B241" s="18" t="n">
        <v>8</v>
      </c>
      <c r="C241" s="18" t="s">
        <v>241</v>
      </c>
      <c r="D241" s="18" t="n">
        <v>-105</v>
      </c>
      <c r="E241" s="18" t="s">
        <v>262</v>
      </c>
      <c r="F241" s="18" t="s">
        <v>198</v>
      </c>
      <c r="G241" s="19" t="n">
        <v>38100</v>
      </c>
      <c r="H241" s="18" t="n">
        <v>3</v>
      </c>
      <c r="I241" s="18" t="n">
        <v>0</v>
      </c>
      <c r="J241" s="18" t="n">
        <f aca="false">SUMIFS($H$2:$H$1200,$A$2:$A$1200,$A241,$B$2:$B$1200,"&lt;="&amp;$B241)</f>
        <v>27</v>
      </c>
      <c r="K241" s="18" t="n">
        <f aca="false">SUMIFS($I$2:$I$1200,$A$2:$A$1200,$A241,$B$2:$B$1200,"&lt;="&amp;$B241)</f>
        <v>12</v>
      </c>
      <c r="L241" s="18" t="n">
        <f aca="false">J241-K241</f>
        <v>15</v>
      </c>
      <c r="M241" s="18" t="n">
        <f aca="false">SUMIF($A$2:$A$1200,$A241,$H$2:$H$1200)</f>
        <v>82</v>
      </c>
      <c r="N241" s="20" t="n">
        <f aca="false">IF(M241=0,"",L241/M241)</f>
        <v>0.182926829268293</v>
      </c>
      <c r="O241" s="20" t="n">
        <v>0.182926829268293</v>
      </c>
      <c r="P241" s="20" t="n">
        <f aca="false">IF(OR(N241="",O241=""),"",N241-O241)</f>
        <v>0</v>
      </c>
      <c r="Q241" s="18"/>
    </row>
    <row r="242" customFormat="false" ht="15" hidden="false" customHeight="true" outlineLevel="0" collapsed="false">
      <c r="A242" s="18" t="s">
        <v>290</v>
      </c>
      <c r="B242" s="18" t="n">
        <v>9</v>
      </c>
      <c r="C242" s="18" t="s">
        <v>279</v>
      </c>
      <c r="D242" s="18" t="n">
        <v>-90</v>
      </c>
      <c r="E242" s="18" t="s">
        <v>262</v>
      </c>
      <c r="F242" s="18" t="s">
        <v>198</v>
      </c>
      <c r="G242" s="19" t="n">
        <v>38100</v>
      </c>
      <c r="H242" s="18" t="n">
        <v>11</v>
      </c>
      <c r="I242" s="18" t="n">
        <v>4</v>
      </c>
      <c r="J242" s="18" t="n">
        <f aca="false">SUMIFS($H$2:$H$1200,$A$2:$A$1200,$A242,$B$2:$B$1200,"&lt;="&amp;$B242)</f>
        <v>38</v>
      </c>
      <c r="K242" s="18" t="n">
        <f aca="false">SUMIFS($I$2:$I$1200,$A$2:$A$1200,$A242,$B$2:$B$1200,"&lt;="&amp;$B242)</f>
        <v>16</v>
      </c>
      <c r="L242" s="18" t="n">
        <f aca="false">J242-K242</f>
        <v>22</v>
      </c>
      <c r="M242" s="18" t="n">
        <f aca="false">SUMIF($A$2:$A$1200,$A242,$H$2:$H$1200)</f>
        <v>82</v>
      </c>
      <c r="N242" s="20" t="n">
        <f aca="false">IF(M242=0,"",L242/M242)</f>
        <v>0.268292682926829</v>
      </c>
      <c r="O242" s="20" t="n">
        <v>0.268292682926829</v>
      </c>
      <c r="P242" s="20" t="n">
        <f aca="false">IF(OR(N242="",O242=""),"",N242-O242)</f>
        <v>0</v>
      </c>
      <c r="Q242" s="18"/>
    </row>
    <row r="243" customFormat="false" ht="15" hidden="false" customHeight="true" outlineLevel="0" collapsed="false">
      <c r="A243" s="18" t="s">
        <v>290</v>
      </c>
      <c r="B243" s="18" t="n">
        <v>10</v>
      </c>
      <c r="C243" s="18" t="s">
        <v>206</v>
      </c>
      <c r="D243" s="18" t="n">
        <v>-75</v>
      </c>
      <c r="E243" s="18" t="s">
        <v>262</v>
      </c>
      <c r="F243" s="18" t="s">
        <v>198</v>
      </c>
      <c r="G243" s="19" t="n">
        <v>38100</v>
      </c>
      <c r="H243" s="18" t="n">
        <v>6</v>
      </c>
      <c r="I243" s="18" t="n">
        <v>2</v>
      </c>
      <c r="J243" s="18" t="n">
        <f aca="false">SUMIFS($H$2:$H$1200,$A$2:$A$1200,$A243,$B$2:$B$1200,"&lt;="&amp;$B243)</f>
        <v>44</v>
      </c>
      <c r="K243" s="18" t="n">
        <f aca="false">SUMIFS($I$2:$I$1200,$A$2:$A$1200,$A243,$B$2:$B$1200,"&lt;="&amp;$B243)</f>
        <v>18</v>
      </c>
      <c r="L243" s="18" t="n">
        <f aca="false">J243-K243</f>
        <v>26</v>
      </c>
      <c r="M243" s="18" t="n">
        <f aca="false">SUMIF($A$2:$A$1200,$A243,$H$2:$H$1200)</f>
        <v>82</v>
      </c>
      <c r="N243" s="20" t="n">
        <f aca="false">IF(M243=0,"",L243/M243)</f>
        <v>0.317073170731707</v>
      </c>
      <c r="O243" s="20" t="n">
        <v>0.317073170731707</v>
      </c>
      <c r="P243" s="20" t="n">
        <f aca="false">IF(OR(N243="",O243=""),"",N243-O243)</f>
        <v>0</v>
      </c>
      <c r="Q243" s="18"/>
    </row>
    <row r="244" customFormat="false" ht="15" hidden="false" customHeight="true" outlineLevel="0" collapsed="false">
      <c r="A244" s="18" t="s">
        <v>290</v>
      </c>
      <c r="B244" s="18" t="n">
        <v>11</v>
      </c>
      <c r="C244" s="18" t="s">
        <v>246</v>
      </c>
      <c r="D244" s="18" t="n">
        <v>-60</v>
      </c>
      <c r="E244" s="18" t="s">
        <v>262</v>
      </c>
      <c r="F244" s="18" t="s">
        <v>198</v>
      </c>
      <c r="G244" s="19" t="n">
        <v>38100</v>
      </c>
      <c r="H244" s="18" t="n">
        <v>5</v>
      </c>
      <c r="I244" s="18" t="n">
        <v>3</v>
      </c>
      <c r="J244" s="18" t="n">
        <f aca="false">SUMIFS($H$2:$H$1200,$A$2:$A$1200,$A244,$B$2:$B$1200,"&lt;="&amp;$B244)</f>
        <v>49</v>
      </c>
      <c r="K244" s="18" t="n">
        <f aca="false">SUMIFS($I$2:$I$1200,$A$2:$A$1200,$A244,$B$2:$B$1200,"&lt;="&amp;$B244)</f>
        <v>21</v>
      </c>
      <c r="L244" s="18" t="n">
        <f aca="false">J244-K244</f>
        <v>28</v>
      </c>
      <c r="M244" s="18" t="n">
        <f aca="false">SUMIF($A$2:$A$1200,$A244,$H$2:$H$1200)</f>
        <v>82</v>
      </c>
      <c r="N244" s="20" t="n">
        <f aca="false">IF(M244=0,"",L244/M244)</f>
        <v>0.341463414634146</v>
      </c>
      <c r="O244" s="20" t="n">
        <v>0.341463414634146</v>
      </c>
      <c r="P244" s="20" t="n">
        <f aca="false">IF(OR(N244="",O244=""),"",N244-O244)</f>
        <v>0</v>
      </c>
      <c r="Q244" s="18"/>
    </row>
    <row r="245" customFormat="false" ht="15" hidden="false" customHeight="true" outlineLevel="0" collapsed="false">
      <c r="A245" s="18" t="s">
        <v>290</v>
      </c>
      <c r="B245" s="18" t="n">
        <v>12</v>
      </c>
      <c r="C245" s="18" t="s">
        <v>254</v>
      </c>
      <c r="D245" s="18" t="n">
        <v>-45</v>
      </c>
      <c r="E245" s="18" t="s">
        <v>262</v>
      </c>
      <c r="F245" s="18" t="s">
        <v>198</v>
      </c>
      <c r="G245" s="19" t="n">
        <v>38100</v>
      </c>
      <c r="H245" s="18" t="n">
        <v>6</v>
      </c>
      <c r="I245" s="18" t="n">
        <v>5</v>
      </c>
      <c r="J245" s="18" t="n">
        <f aca="false">SUMIFS($H$2:$H$1200,$A$2:$A$1200,$A245,$B$2:$B$1200,"&lt;="&amp;$B245)</f>
        <v>55</v>
      </c>
      <c r="K245" s="18" t="n">
        <f aca="false">SUMIFS($I$2:$I$1200,$A$2:$A$1200,$A245,$B$2:$B$1200,"&lt;="&amp;$B245)</f>
        <v>26</v>
      </c>
      <c r="L245" s="18" t="n">
        <f aca="false">J245-K245</f>
        <v>29</v>
      </c>
      <c r="M245" s="18" t="n">
        <f aca="false">SUMIF($A$2:$A$1200,$A245,$H$2:$H$1200)</f>
        <v>82</v>
      </c>
      <c r="N245" s="20" t="n">
        <f aca="false">IF(M245=0,"",L245/M245)</f>
        <v>0.353658536585366</v>
      </c>
      <c r="O245" s="20" t="n">
        <v>0.353658536585366</v>
      </c>
      <c r="P245" s="20" t="n">
        <f aca="false">IF(OR(N245="",O245=""),"",N245-O245)</f>
        <v>0</v>
      </c>
      <c r="Q245" s="18"/>
    </row>
    <row r="246" customFormat="false" ht="15" hidden="false" customHeight="true" outlineLevel="0" collapsed="false">
      <c r="A246" s="18" t="s">
        <v>290</v>
      </c>
      <c r="B246" s="18" t="n">
        <v>13</v>
      </c>
      <c r="C246" s="18" t="s">
        <v>403</v>
      </c>
      <c r="D246" s="18" t="n">
        <v>-30</v>
      </c>
      <c r="E246" s="18" t="s">
        <v>262</v>
      </c>
      <c r="F246" s="18" t="s">
        <v>198</v>
      </c>
      <c r="G246" s="19" t="n">
        <v>38100</v>
      </c>
      <c r="H246" s="18" t="n">
        <v>4</v>
      </c>
      <c r="I246" s="18" t="n">
        <v>4</v>
      </c>
      <c r="J246" s="18" t="n">
        <f aca="false">SUMIFS($H$2:$H$1200,$A$2:$A$1200,$A246,$B$2:$B$1200,"&lt;="&amp;$B246)</f>
        <v>59</v>
      </c>
      <c r="K246" s="18" t="n">
        <f aca="false">SUMIFS($I$2:$I$1200,$A$2:$A$1200,$A246,$B$2:$B$1200,"&lt;="&amp;$B246)</f>
        <v>30</v>
      </c>
      <c r="L246" s="18" t="n">
        <f aca="false">J246-K246</f>
        <v>29</v>
      </c>
      <c r="M246" s="18" t="n">
        <f aca="false">SUMIF($A$2:$A$1200,$A246,$H$2:$H$1200)</f>
        <v>82</v>
      </c>
      <c r="N246" s="20" t="n">
        <f aca="false">IF(M246=0,"",L246/M246)</f>
        <v>0.353658536585366</v>
      </c>
      <c r="O246" s="20" t="n">
        <v>0.353658536585366</v>
      </c>
      <c r="P246" s="20" t="n">
        <f aca="false">IF(OR(N246="",O246=""),"",N246-O246)</f>
        <v>0</v>
      </c>
      <c r="Q246" s="18"/>
    </row>
    <row r="247" customFormat="false" ht="15" hidden="false" customHeight="true" outlineLevel="0" collapsed="false">
      <c r="A247" s="18" t="s">
        <v>290</v>
      </c>
      <c r="B247" s="18" t="n">
        <v>14</v>
      </c>
      <c r="C247" s="18" t="s">
        <v>529</v>
      </c>
      <c r="D247" s="18" t="n">
        <v>-15</v>
      </c>
      <c r="E247" s="18" t="s">
        <v>262</v>
      </c>
      <c r="F247" s="18" t="s">
        <v>198</v>
      </c>
      <c r="G247" s="19" t="n">
        <v>38100</v>
      </c>
      <c r="H247" s="18" t="n">
        <v>0</v>
      </c>
      <c r="I247" s="18" t="n">
        <v>11</v>
      </c>
      <c r="J247" s="18" t="n">
        <f aca="false">SUMIFS($H$2:$H$1200,$A$2:$A$1200,$A247,$B$2:$B$1200,"&lt;="&amp;$B247)</f>
        <v>59</v>
      </c>
      <c r="K247" s="18" t="n">
        <f aca="false">SUMIFS($I$2:$I$1200,$A$2:$A$1200,$A247,$B$2:$B$1200,"&lt;="&amp;$B247)</f>
        <v>41</v>
      </c>
      <c r="L247" s="18" t="n">
        <f aca="false">J247-K247</f>
        <v>18</v>
      </c>
      <c r="M247" s="18" t="n">
        <f aca="false">SUMIF($A$2:$A$1200,$A247,$H$2:$H$1200)</f>
        <v>82</v>
      </c>
      <c r="N247" s="20" t="n">
        <f aca="false">IF(M247=0,"",L247/M247)</f>
        <v>0.219512195121951</v>
      </c>
      <c r="O247" s="20" t="n">
        <v>0.219512195121951</v>
      </c>
      <c r="P247" s="20" t="n">
        <f aca="false">IF(OR(N247="",O247=""),"",N247-O247)</f>
        <v>0</v>
      </c>
      <c r="Q247" s="18"/>
    </row>
    <row r="248" customFormat="false" ht="15" hidden="false" customHeight="true" outlineLevel="0" collapsed="false">
      <c r="A248" s="18" t="s">
        <v>290</v>
      </c>
      <c r="B248" s="18" t="n">
        <v>15</v>
      </c>
      <c r="C248" s="18" t="s">
        <v>463</v>
      </c>
      <c r="D248" s="18" t="n">
        <v>0</v>
      </c>
      <c r="E248" s="18" t="s">
        <v>262</v>
      </c>
      <c r="F248" s="18" t="s">
        <v>198</v>
      </c>
      <c r="G248" s="19" t="n">
        <v>38100</v>
      </c>
      <c r="H248" s="18" t="n">
        <v>3</v>
      </c>
      <c r="I248" s="18" t="n">
        <v>6</v>
      </c>
      <c r="J248" s="18" t="n">
        <f aca="false">SUMIFS($H$2:$H$1200,$A$2:$A$1200,$A248,$B$2:$B$1200,"&lt;="&amp;$B248)</f>
        <v>62</v>
      </c>
      <c r="K248" s="18" t="n">
        <f aca="false">SUMIFS($I$2:$I$1200,$A$2:$A$1200,$A248,$B$2:$B$1200,"&lt;="&amp;$B248)</f>
        <v>47</v>
      </c>
      <c r="L248" s="18" t="n">
        <f aca="false">J248-K248</f>
        <v>15</v>
      </c>
      <c r="M248" s="18" t="n">
        <f aca="false">SUMIF($A$2:$A$1200,$A248,$H$2:$H$1200)</f>
        <v>82</v>
      </c>
      <c r="N248" s="20" t="n">
        <f aca="false">IF(M248=0,"",L248/M248)</f>
        <v>0.182926829268293</v>
      </c>
      <c r="O248" s="20" t="n">
        <v>0.182926829268293</v>
      </c>
      <c r="P248" s="20" t="n">
        <f aca="false">IF(OR(N248="",O248=""),"",N248-O248)</f>
        <v>0</v>
      </c>
      <c r="Q248" s="18"/>
    </row>
    <row r="249" customFormat="false" ht="15" hidden="false" customHeight="true" outlineLevel="0" collapsed="false">
      <c r="A249" s="18" t="s">
        <v>290</v>
      </c>
      <c r="B249" s="18" t="n">
        <v>16</v>
      </c>
      <c r="C249" s="18" t="s">
        <v>366</v>
      </c>
      <c r="D249" s="18" t="n">
        <v>15</v>
      </c>
      <c r="E249" s="18" t="s">
        <v>262</v>
      </c>
      <c r="F249" s="18" t="s">
        <v>198</v>
      </c>
      <c r="G249" s="19" t="n">
        <v>38100</v>
      </c>
      <c r="H249" s="18" t="n">
        <v>5</v>
      </c>
      <c r="I249" s="18" t="n">
        <v>5</v>
      </c>
      <c r="J249" s="18" t="n">
        <f aca="false">SUMIFS($H$2:$H$1200,$A$2:$A$1200,$A249,$B$2:$B$1200,"&lt;="&amp;$B249)</f>
        <v>67</v>
      </c>
      <c r="K249" s="18" t="n">
        <f aca="false">SUMIFS($I$2:$I$1200,$A$2:$A$1200,$A249,$B$2:$B$1200,"&lt;="&amp;$B249)</f>
        <v>52</v>
      </c>
      <c r="L249" s="18" t="n">
        <f aca="false">J249-K249</f>
        <v>15</v>
      </c>
      <c r="M249" s="18" t="n">
        <f aca="false">SUMIF($A$2:$A$1200,$A249,$H$2:$H$1200)</f>
        <v>82</v>
      </c>
      <c r="N249" s="20" t="n">
        <f aca="false">IF(M249=0,"",L249/M249)</f>
        <v>0.182926829268293</v>
      </c>
      <c r="O249" s="20" t="n">
        <v>0.182926829268293</v>
      </c>
      <c r="P249" s="20" t="n">
        <f aca="false">IF(OR(N249="",O249=""),"",N249-O249)</f>
        <v>0</v>
      </c>
      <c r="Q249" s="18"/>
    </row>
    <row r="250" customFormat="false" ht="15" hidden="false" customHeight="true" outlineLevel="0" collapsed="false">
      <c r="A250" s="18" t="s">
        <v>290</v>
      </c>
      <c r="B250" s="18" t="n">
        <v>17</v>
      </c>
      <c r="C250" s="18" t="s">
        <v>326</v>
      </c>
      <c r="D250" s="18" t="n">
        <v>30</v>
      </c>
      <c r="E250" s="18" t="s">
        <v>262</v>
      </c>
      <c r="F250" s="18" t="s">
        <v>198</v>
      </c>
      <c r="G250" s="19" t="n">
        <v>38100</v>
      </c>
      <c r="H250" s="18" t="n">
        <v>3</v>
      </c>
      <c r="I250" s="18" t="n">
        <v>7</v>
      </c>
      <c r="J250" s="18" t="n">
        <f aca="false">SUMIFS($H$2:$H$1200,$A$2:$A$1200,$A250,$B$2:$B$1200,"&lt;="&amp;$B250)</f>
        <v>70</v>
      </c>
      <c r="K250" s="18" t="n">
        <f aca="false">SUMIFS($I$2:$I$1200,$A$2:$A$1200,$A250,$B$2:$B$1200,"&lt;="&amp;$B250)</f>
        <v>59</v>
      </c>
      <c r="L250" s="18" t="n">
        <f aca="false">J250-K250</f>
        <v>11</v>
      </c>
      <c r="M250" s="18" t="n">
        <f aca="false">SUMIF($A$2:$A$1200,$A250,$H$2:$H$1200)</f>
        <v>82</v>
      </c>
      <c r="N250" s="20" t="n">
        <f aca="false">IF(M250=0,"",L250/M250)</f>
        <v>0.134146341463415</v>
      </c>
      <c r="O250" s="20" t="n">
        <v>0.134146341463415</v>
      </c>
      <c r="P250" s="20" t="n">
        <f aca="false">IF(OR(N250="",O250=""),"",N250-O250)</f>
        <v>0</v>
      </c>
      <c r="Q250" s="18"/>
    </row>
    <row r="251" customFormat="false" ht="15" hidden="false" customHeight="true" outlineLevel="0" collapsed="false">
      <c r="A251" s="18" t="s">
        <v>290</v>
      </c>
      <c r="B251" s="18" t="n">
        <v>18</v>
      </c>
      <c r="C251" s="18" t="s">
        <v>226</v>
      </c>
      <c r="D251" s="18" t="n">
        <v>45</v>
      </c>
      <c r="E251" s="18" t="s">
        <v>262</v>
      </c>
      <c r="F251" s="18" t="s">
        <v>198</v>
      </c>
      <c r="G251" s="19" t="n">
        <v>38100</v>
      </c>
      <c r="H251" s="18" t="n">
        <v>5</v>
      </c>
      <c r="I251" s="18" t="n">
        <v>4</v>
      </c>
      <c r="J251" s="18" t="n">
        <f aca="false">SUMIFS($H$2:$H$1200,$A$2:$A$1200,$A251,$B$2:$B$1200,"&lt;="&amp;$B251)</f>
        <v>75</v>
      </c>
      <c r="K251" s="18" t="n">
        <f aca="false">SUMIFS($I$2:$I$1200,$A$2:$A$1200,$A251,$B$2:$B$1200,"&lt;="&amp;$B251)</f>
        <v>63</v>
      </c>
      <c r="L251" s="18" t="n">
        <f aca="false">J251-K251</f>
        <v>12</v>
      </c>
      <c r="M251" s="18" t="n">
        <f aca="false">SUMIF($A$2:$A$1200,$A251,$H$2:$H$1200)</f>
        <v>82</v>
      </c>
      <c r="N251" s="20" t="n">
        <f aca="false">IF(M251=0,"",L251/M251)</f>
        <v>0.146341463414634</v>
      </c>
      <c r="O251" s="20" t="n">
        <v>0.146341463414634</v>
      </c>
      <c r="P251" s="20" t="n">
        <f aca="false">IF(OR(N251="",O251=""),"",N251-O251)</f>
        <v>0</v>
      </c>
      <c r="Q251" s="18"/>
    </row>
    <row r="252" customFormat="false" ht="15" hidden="false" customHeight="true" outlineLevel="0" collapsed="false">
      <c r="A252" s="18" t="s">
        <v>290</v>
      </c>
      <c r="B252" s="18" t="n">
        <v>19</v>
      </c>
      <c r="C252" s="18" t="s">
        <v>205</v>
      </c>
      <c r="D252" s="18" t="n">
        <v>60</v>
      </c>
      <c r="E252" s="18" t="s">
        <v>262</v>
      </c>
      <c r="F252" s="18" t="s">
        <v>198</v>
      </c>
      <c r="G252" s="19" t="n">
        <v>38100</v>
      </c>
      <c r="H252" s="18" t="n">
        <v>4</v>
      </c>
      <c r="I252" s="18" t="n">
        <v>5</v>
      </c>
      <c r="J252" s="18" t="n">
        <f aca="false">SUMIFS($H$2:$H$1200,$A$2:$A$1200,$A252,$B$2:$B$1200,"&lt;="&amp;$B252)</f>
        <v>79</v>
      </c>
      <c r="K252" s="18" t="n">
        <f aca="false">SUMIFS($I$2:$I$1200,$A$2:$A$1200,$A252,$B$2:$B$1200,"&lt;="&amp;$B252)</f>
        <v>68</v>
      </c>
      <c r="L252" s="18" t="n">
        <f aca="false">J252-K252</f>
        <v>11</v>
      </c>
      <c r="M252" s="18" t="n">
        <f aca="false">SUMIF($A$2:$A$1200,$A252,$H$2:$H$1200)</f>
        <v>82</v>
      </c>
      <c r="N252" s="20" t="n">
        <f aca="false">IF(M252=0,"",L252/M252)</f>
        <v>0.134146341463415</v>
      </c>
      <c r="O252" s="20" t="n">
        <v>0.134146341463415</v>
      </c>
      <c r="P252" s="20" t="n">
        <f aca="false">IF(OR(N252="",O252=""),"",N252-O252)</f>
        <v>0</v>
      </c>
      <c r="Q252" s="18"/>
    </row>
    <row r="253" customFormat="false" ht="15" hidden="false" customHeight="true" outlineLevel="0" collapsed="false">
      <c r="A253" s="18" t="s">
        <v>290</v>
      </c>
      <c r="B253" s="18" t="n">
        <v>20</v>
      </c>
      <c r="C253" s="18" t="s">
        <v>532</v>
      </c>
      <c r="D253" s="18" t="n">
        <v>75</v>
      </c>
      <c r="E253" s="18" t="s">
        <v>262</v>
      </c>
      <c r="F253" s="18" t="s">
        <v>198</v>
      </c>
      <c r="G253" s="19" t="n">
        <v>38100</v>
      </c>
      <c r="H253" s="18" t="n">
        <v>1</v>
      </c>
      <c r="I253" s="18" t="n">
        <v>3</v>
      </c>
      <c r="J253" s="18" t="n">
        <f aca="false">SUMIFS($H$2:$H$1200,$A$2:$A$1200,$A253,$B$2:$B$1200,"&lt;="&amp;$B253)</f>
        <v>80</v>
      </c>
      <c r="K253" s="18" t="n">
        <f aca="false">SUMIFS($I$2:$I$1200,$A$2:$A$1200,$A253,$B$2:$B$1200,"&lt;="&amp;$B253)</f>
        <v>71</v>
      </c>
      <c r="L253" s="18" t="n">
        <f aca="false">J253-K253</f>
        <v>9</v>
      </c>
      <c r="M253" s="18" t="n">
        <f aca="false">SUMIF($A$2:$A$1200,$A253,$H$2:$H$1200)</f>
        <v>82</v>
      </c>
      <c r="N253" s="20" t="n">
        <f aca="false">IF(M253=0,"",L253/M253)</f>
        <v>0.109756097560976</v>
      </c>
      <c r="O253" s="20" t="n">
        <v>0.109756097560976</v>
      </c>
      <c r="P253" s="20" t="n">
        <f aca="false">IF(OR(N253="",O253=""),"",N253-O253)</f>
        <v>0</v>
      </c>
      <c r="Q253" s="18"/>
    </row>
    <row r="254" customFormat="false" ht="15" hidden="false" customHeight="true" outlineLevel="0" collapsed="false">
      <c r="A254" s="18" t="s">
        <v>290</v>
      </c>
      <c r="B254" s="18" t="n">
        <v>21</v>
      </c>
      <c r="C254" s="18" t="s">
        <v>265</v>
      </c>
      <c r="D254" s="18" t="n">
        <v>90</v>
      </c>
      <c r="E254" s="18" t="s">
        <v>262</v>
      </c>
      <c r="F254" s="18" t="s">
        <v>198</v>
      </c>
      <c r="G254" s="19" t="n">
        <v>38100</v>
      </c>
      <c r="H254" s="18" t="n">
        <v>2</v>
      </c>
      <c r="I254" s="18" t="n">
        <v>8</v>
      </c>
      <c r="J254" s="18" t="n">
        <f aca="false">SUMIFS($H$2:$H$1200,$A$2:$A$1200,$A254,$B$2:$B$1200,"&lt;="&amp;$B254)</f>
        <v>82</v>
      </c>
      <c r="K254" s="18" t="n">
        <f aca="false">SUMIFS($I$2:$I$1200,$A$2:$A$1200,$A254,$B$2:$B$1200,"&lt;="&amp;$B254)</f>
        <v>79</v>
      </c>
      <c r="L254" s="18" t="n">
        <f aca="false">J254-K254</f>
        <v>3</v>
      </c>
      <c r="M254" s="18" t="n">
        <f aca="false">SUMIF($A$2:$A$1200,$A254,$H$2:$H$1200)</f>
        <v>82</v>
      </c>
      <c r="N254" s="20" t="n">
        <f aca="false">IF(M254=0,"",L254/M254)</f>
        <v>0.0365853658536585</v>
      </c>
      <c r="O254" s="20" t="n">
        <v>0.0365853658536585</v>
      </c>
      <c r="P254" s="20" t="n">
        <f aca="false">IF(OR(N254="",O254=""),"",N254-O254)</f>
        <v>0</v>
      </c>
      <c r="Q254" s="18"/>
    </row>
    <row r="255" customFormat="false" ht="15" hidden="false" customHeight="true" outlineLevel="0" collapsed="false">
      <c r="A255" s="18" t="s">
        <v>294</v>
      </c>
      <c r="B255" s="18" t="n">
        <v>0</v>
      </c>
      <c r="C255" s="18" t="s">
        <v>204</v>
      </c>
      <c r="D255" s="18"/>
      <c r="E255" s="18" t="s">
        <v>262</v>
      </c>
      <c r="F255" s="18" t="s">
        <v>220</v>
      </c>
      <c r="G255" s="19" t="n">
        <v>39823</v>
      </c>
      <c r="H255" s="18" t="n">
        <v>61</v>
      </c>
      <c r="I255" s="18" t="n">
        <v>0</v>
      </c>
      <c r="J255" s="18" t="n">
        <f aca="false">SUMIFS($H$2:$H$1200,$A$2:$A$1200,$A255,$B$2:$B$1200,"&lt;="&amp;$B255)</f>
        <v>61</v>
      </c>
      <c r="K255" s="18" t="n">
        <f aca="false">SUMIFS($I$2:$I$1200,$A$2:$A$1200,$A255,$B$2:$B$1200,"&lt;="&amp;$B255)</f>
        <v>0</v>
      </c>
      <c r="L255" s="18" t="n">
        <f aca="false">J255-K255</f>
        <v>61</v>
      </c>
      <c r="M255" s="18" t="n">
        <f aca="false">SUMIF($A$2:$A$1200,$A255,$H$2:$H$1200)</f>
        <v>972</v>
      </c>
      <c r="N255" s="20" t="n">
        <f aca="false">IF(M255=0,"",L255/M255)</f>
        <v>0.0627572016460905</v>
      </c>
      <c r="O255" s="20"/>
      <c r="P255" s="20" t="str">
        <f aca="false">IF(OR(N255="",O255=""),"",N255-O255)</f>
        <v/>
      </c>
      <c r="Q255" s="18"/>
    </row>
    <row r="256" customFormat="false" ht="15" hidden="false" customHeight="true" outlineLevel="0" collapsed="false">
      <c r="A256" s="18" t="s">
        <v>294</v>
      </c>
      <c r="B256" s="18" t="n">
        <v>1</v>
      </c>
      <c r="C256" s="18" t="s">
        <v>531</v>
      </c>
      <c r="D256" s="18" t="n">
        <v>-210</v>
      </c>
      <c r="E256" s="18" t="s">
        <v>262</v>
      </c>
      <c r="F256" s="18" t="s">
        <v>220</v>
      </c>
      <c r="G256" s="19" t="n">
        <v>39823</v>
      </c>
      <c r="H256" s="18" t="n">
        <v>36</v>
      </c>
      <c r="I256" s="18" t="n">
        <v>2</v>
      </c>
      <c r="J256" s="18" t="n">
        <f aca="false">SUMIFS($H$2:$H$1200,$A$2:$A$1200,$A256,$B$2:$B$1200,"&lt;="&amp;$B256)</f>
        <v>97</v>
      </c>
      <c r="K256" s="18" t="n">
        <f aca="false">SUMIFS($I$2:$I$1200,$A$2:$A$1200,$A256,$B$2:$B$1200,"&lt;="&amp;$B256)</f>
        <v>2</v>
      </c>
      <c r="L256" s="18" t="n">
        <f aca="false">J256-K256</f>
        <v>95</v>
      </c>
      <c r="M256" s="18" t="n">
        <f aca="false">SUMIF($A$2:$A$1200,$A256,$H$2:$H$1200)</f>
        <v>972</v>
      </c>
      <c r="N256" s="20" t="n">
        <f aca="false">IF(M256=0,"",L256/M256)</f>
        <v>0.0977366255144033</v>
      </c>
      <c r="O256" s="20"/>
      <c r="P256" s="20" t="str">
        <f aca="false">IF(OR(N256="",O256=""),"",N256-O256)</f>
        <v/>
      </c>
      <c r="Q256" s="18"/>
    </row>
    <row r="257" customFormat="false" ht="15" hidden="false" customHeight="true" outlineLevel="0" collapsed="false">
      <c r="A257" s="18" t="s">
        <v>294</v>
      </c>
      <c r="B257" s="18" t="n">
        <v>2</v>
      </c>
      <c r="C257" s="18" t="s">
        <v>340</v>
      </c>
      <c r="D257" s="18" t="n">
        <v>-195</v>
      </c>
      <c r="E257" s="18" t="s">
        <v>262</v>
      </c>
      <c r="F257" s="18" t="s">
        <v>220</v>
      </c>
      <c r="G257" s="19" t="n">
        <v>39823</v>
      </c>
      <c r="H257" s="18" t="n">
        <v>73</v>
      </c>
      <c r="I257" s="18" t="n">
        <v>4</v>
      </c>
      <c r="J257" s="18" t="n">
        <f aca="false">SUMIFS($H$2:$H$1200,$A$2:$A$1200,$A257,$B$2:$B$1200,"&lt;="&amp;$B257)</f>
        <v>170</v>
      </c>
      <c r="K257" s="18" t="n">
        <f aca="false">SUMIFS($I$2:$I$1200,$A$2:$A$1200,$A257,$B$2:$B$1200,"&lt;="&amp;$B257)</f>
        <v>6</v>
      </c>
      <c r="L257" s="18" t="n">
        <f aca="false">J257-K257</f>
        <v>164</v>
      </c>
      <c r="M257" s="18" t="n">
        <f aca="false">SUMIF($A$2:$A$1200,$A257,$H$2:$H$1200)</f>
        <v>972</v>
      </c>
      <c r="N257" s="20" t="n">
        <f aca="false">IF(M257=0,"",L257/M257)</f>
        <v>0.168724279835391</v>
      </c>
      <c r="O257" s="20"/>
      <c r="P257" s="20" t="str">
        <f aca="false">IF(OR(N257="",O257=""),"",N257-O257)</f>
        <v/>
      </c>
      <c r="Q257" s="18"/>
    </row>
    <row r="258" customFormat="false" ht="15" hidden="false" customHeight="true" outlineLevel="0" collapsed="false">
      <c r="A258" s="18" t="s">
        <v>294</v>
      </c>
      <c r="B258" s="18" t="n">
        <v>3</v>
      </c>
      <c r="C258" s="18" t="s">
        <v>525</v>
      </c>
      <c r="D258" s="18" t="n">
        <v>-180</v>
      </c>
      <c r="E258" s="18" t="s">
        <v>262</v>
      </c>
      <c r="F258" s="18" t="s">
        <v>220</v>
      </c>
      <c r="G258" s="19" t="n">
        <v>39823</v>
      </c>
      <c r="H258" s="18" t="n">
        <v>108</v>
      </c>
      <c r="I258" s="18" t="n">
        <v>1</v>
      </c>
      <c r="J258" s="18" t="n">
        <f aca="false">SUMIFS($H$2:$H$1200,$A$2:$A$1200,$A258,$B$2:$B$1200,"&lt;="&amp;$B258)</f>
        <v>278</v>
      </c>
      <c r="K258" s="18" t="n">
        <f aca="false">SUMIFS($I$2:$I$1200,$A$2:$A$1200,$A258,$B$2:$B$1200,"&lt;="&amp;$B258)</f>
        <v>7</v>
      </c>
      <c r="L258" s="18" t="n">
        <f aca="false">J258-K258</f>
        <v>271</v>
      </c>
      <c r="M258" s="18" t="n">
        <f aca="false">SUMIF($A$2:$A$1200,$A258,$H$2:$H$1200)</f>
        <v>972</v>
      </c>
      <c r="N258" s="20" t="n">
        <f aca="false">IF(M258=0,"",L258/M258)</f>
        <v>0.27880658436214</v>
      </c>
      <c r="O258" s="20"/>
      <c r="P258" s="20" t="str">
        <f aca="false">IF(OR(N258="",O258=""),"",N258-O258)</f>
        <v/>
      </c>
      <c r="Q258" s="18"/>
    </row>
    <row r="259" customFormat="false" ht="15" hidden="false" customHeight="true" outlineLevel="0" collapsed="false">
      <c r="A259" s="18" t="s">
        <v>294</v>
      </c>
      <c r="B259" s="18" t="n">
        <v>4</v>
      </c>
      <c r="C259" s="18" t="s">
        <v>526</v>
      </c>
      <c r="D259" s="18" t="n">
        <v>-165</v>
      </c>
      <c r="E259" s="18" t="s">
        <v>262</v>
      </c>
      <c r="F259" s="18" t="s">
        <v>220</v>
      </c>
      <c r="G259" s="19" t="n">
        <v>39823</v>
      </c>
      <c r="H259" s="18" t="n">
        <v>117</v>
      </c>
      <c r="I259" s="18" t="n">
        <v>3</v>
      </c>
      <c r="J259" s="18" t="n">
        <f aca="false">SUMIFS($H$2:$H$1200,$A$2:$A$1200,$A259,$B$2:$B$1200,"&lt;="&amp;$B259)</f>
        <v>395</v>
      </c>
      <c r="K259" s="18" t="n">
        <f aca="false">SUMIFS($I$2:$I$1200,$A$2:$A$1200,$A259,$B$2:$B$1200,"&lt;="&amp;$B259)</f>
        <v>10</v>
      </c>
      <c r="L259" s="18" t="n">
        <f aca="false">J259-K259</f>
        <v>385</v>
      </c>
      <c r="M259" s="18" t="n">
        <f aca="false">SUMIF($A$2:$A$1200,$A259,$H$2:$H$1200)</f>
        <v>972</v>
      </c>
      <c r="N259" s="20" t="n">
        <f aca="false">IF(M259=0,"",L259/M259)</f>
        <v>0.396090534979424</v>
      </c>
      <c r="O259" s="20"/>
      <c r="P259" s="20" t="str">
        <f aca="false">IF(OR(N259="",O259=""),"",N259-O259)</f>
        <v/>
      </c>
      <c r="Q259" s="18"/>
    </row>
    <row r="260" customFormat="false" ht="15" hidden="false" customHeight="true" outlineLevel="0" collapsed="false">
      <c r="A260" s="18" t="s">
        <v>294</v>
      </c>
      <c r="B260" s="18" t="n">
        <v>5</v>
      </c>
      <c r="C260" s="18" t="s">
        <v>527</v>
      </c>
      <c r="D260" s="18" t="n">
        <v>-150</v>
      </c>
      <c r="E260" s="18" t="s">
        <v>262</v>
      </c>
      <c r="F260" s="18" t="s">
        <v>220</v>
      </c>
      <c r="G260" s="19" t="n">
        <v>39823</v>
      </c>
      <c r="H260" s="18" t="n">
        <v>152</v>
      </c>
      <c r="I260" s="18" t="n">
        <v>17</v>
      </c>
      <c r="J260" s="18" t="n">
        <f aca="false">SUMIFS($H$2:$H$1200,$A$2:$A$1200,$A260,$B$2:$B$1200,"&lt;="&amp;$B260)</f>
        <v>547</v>
      </c>
      <c r="K260" s="18" t="n">
        <f aca="false">SUMIFS($I$2:$I$1200,$A$2:$A$1200,$A260,$B$2:$B$1200,"&lt;="&amp;$B260)</f>
        <v>27</v>
      </c>
      <c r="L260" s="18" t="n">
        <f aca="false">J260-K260</f>
        <v>520</v>
      </c>
      <c r="M260" s="18" t="n">
        <f aca="false">SUMIF($A$2:$A$1200,$A260,$H$2:$H$1200)</f>
        <v>972</v>
      </c>
      <c r="N260" s="20" t="n">
        <f aca="false">IF(M260=0,"",L260/M260)</f>
        <v>0.534979423868313</v>
      </c>
      <c r="O260" s="20"/>
      <c r="P260" s="20" t="str">
        <f aca="false">IF(OR(N260="",O260=""),"",N260-O260)</f>
        <v/>
      </c>
      <c r="Q260" s="18"/>
    </row>
    <row r="261" customFormat="false" ht="15" hidden="false" customHeight="true" outlineLevel="0" collapsed="false">
      <c r="A261" s="18" t="s">
        <v>294</v>
      </c>
      <c r="B261" s="18" t="n">
        <v>6</v>
      </c>
      <c r="C261" s="18" t="s">
        <v>528</v>
      </c>
      <c r="D261" s="18" t="n">
        <v>-135</v>
      </c>
      <c r="E261" s="18" t="s">
        <v>262</v>
      </c>
      <c r="F261" s="18" t="s">
        <v>220</v>
      </c>
      <c r="G261" s="19" t="n">
        <v>39823</v>
      </c>
      <c r="H261" s="18" t="n">
        <v>125</v>
      </c>
      <c r="I261" s="18" t="n">
        <v>13</v>
      </c>
      <c r="J261" s="18" t="n">
        <f aca="false">SUMIFS($H$2:$H$1200,$A$2:$A$1200,$A261,$B$2:$B$1200,"&lt;="&amp;$B261)</f>
        <v>672</v>
      </c>
      <c r="K261" s="18" t="n">
        <f aca="false">SUMIFS($I$2:$I$1200,$A$2:$A$1200,$A261,$B$2:$B$1200,"&lt;="&amp;$B261)</f>
        <v>40</v>
      </c>
      <c r="L261" s="18" t="n">
        <f aca="false">J261-K261</f>
        <v>632</v>
      </c>
      <c r="M261" s="18" t="n">
        <f aca="false">SUMIF($A$2:$A$1200,$A261,$H$2:$H$1200)</f>
        <v>972</v>
      </c>
      <c r="N261" s="20" t="n">
        <f aca="false">IF(M261=0,"",L261/M261)</f>
        <v>0.650205761316873</v>
      </c>
      <c r="O261" s="20"/>
      <c r="P261" s="20" t="str">
        <f aca="false">IF(OR(N261="",O261=""),"",N261-O261)</f>
        <v/>
      </c>
      <c r="Q261" s="18"/>
    </row>
    <row r="262" customFormat="false" ht="15" hidden="false" customHeight="true" outlineLevel="0" collapsed="false">
      <c r="A262" s="18" t="s">
        <v>294</v>
      </c>
      <c r="B262" s="18" t="n">
        <v>7</v>
      </c>
      <c r="C262" s="18" t="s">
        <v>227</v>
      </c>
      <c r="D262" s="18" t="n">
        <v>-120</v>
      </c>
      <c r="E262" s="18" t="s">
        <v>262</v>
      </c>
      <c r="F262" s="18" t="s">
        <v>220</v>
      </c>
      <c r="G262" s="19" t="n">
        <v>39823</v>
      </c>
      <c r="H262" s="18" t="n">
        <v>104</v>
      </c>
      <c r="I262" s="18" t="n">
        <v>30</v>
      </c>
      <c r="J262" s="18" t="n">
        <f aca="false">SUMIFS($H$2:$H$1200,$A$2:$A$1200,$A262,$B$2:$B$1200,"&lt;="&amp;$B262)</f>
        <v>776</v>
      </c>
      <c r="K262" s="18" t="n">
        <f aca="false">SUMIFS($I$2:$I$1200,$A$2:$A$1200,$A262,$B$2:$B$1200,"&lt;="&amp;$B262)</f>
        <v>70</v>
      </c>
      <c r="L262" s="18" t="n">
        <f aca="false">J262-K262</f>
        <v>706</v>
      </c>
      <c r="M262" s="18" t="n">
        <f aca="false">SUMIF($A$2:$A$1200,$A262,$H$2:$H$1200)</f>
        <v>972</v>
      </c>
      <c r="N262" s="20" t="n">
        <f aca="false">IF(M262=0,"",L262/M262)</f>
        <v>0.726337448559671</v>
      </c>
      <c r="O262" s="20"/>
      <c r="P262" s="20" t="str">
        <f aca="false">IF(OR(N262="",O262=""),"",N262-O262)</f>
        <v/>
      </c>
      <c r="Q262" s="18"/>
    </row>
    <row r="263" customFormat="false" ht="15" hidden="false" customHeight="true" outlineLevel="0" collapsed="false">
      <c r="A263" s="18" t="s">
        <v>294</v>
      </c>
      <c r="B263" s="18" t="n">
        <v>8</v>
      </c>
      <c r="C263" s="18" t="s">
        <v>241</v>
      </c>
      <c r="D263" s="18" t="n">
        <v>-105</v>
      </c>
      <c r="E263" s="18" t="s">
        <v>262</v>
      </c>
      <c r="F263" s="18" t="s">
        <v>220</v>
      </c>
      <c r="G263" s="19" t="n">
        <v>39823</v>
      </c>
      <c r="H263" s="18" t="n">
        <v>75</v>
      </c>
      <c r="I263" s="18" t="n">
        <v>54</v>
      </c>
      <c r="J263" s="18" t="n">
        <f aca="false">SUMIFS($H$2:$H$1200,$A$2:$A$1200,$A263,$B$2:$B$1200,"&lt;="&amp;$B263)</f>
        <v>851</v>
      </c>
      <c r="K263" s="18" t="n">
        <f aca="false">SUMIFS($I$2:$I$1200,$A$2:$A$1200,$A263,$B$2:$B$1200,"&lt;="&amp;$B263)</f>
        <v>124</v>
      </c>
      <c r="L263" s="18" t="n">
        <f aca="false">J263-K263</f>
        <v>727</v>
      </c>
      <c r="M263" s="18" t="n">
        <f aca="false">SUMIF($A$2:$A$1200,$A263,$H$2:$H$1200)</f>
        <v>972</v>
      </c>
      <c r="N263" s="20" t="n">
        <f aca="false">IF(M263=0,"",L263/M263)</f>
        <v>0.747942386831276</v>
      </c>
      <c r="O263" s="20"/>
      <c r="P263" s="20" t="str">
        <f aca="false">IF(OR(N263="",O263=""),"",N263-O263)</f>
        <v/>
      </c>
      <c r="Q263" s="18"/>
    </row>
    <row r="264" customFormat="false" ht="15" hidden="false" customHeight="true" outlineLevel="0" collapsed="false">
      <c r="A264" s="18" t="s">
        <v>294</v>
      </c>
      <c r="B264" s="18" t="n">
        <v>9</v>
      </c>
      <c r="C264" s="18" t="s">
        <v>279</v>
      </c>
      <c r="D264" s="18" t="n">
        <v>-90</v>
      </c>
      <c r="E264" s="18" t="s">
        <v>262</v>
      </c>
      <c r="F264" s="18" t="s">
        <v>220</v>
      </c>
      <c r="G264" s="19" t="n">
        <v>39823</v>
      </c>
      <c r="H264" s="18" t="n">
        <v>43</v>
      </c>
      <c r="I264" s="18" t="n">
        <v>59</v>
      </c>
      <c r="J264" s="18" t="n">
        <f aca="false">SUMIFS($H$2:$H$1200,$A$2:$A$1200,$A264,$B$2:$B$1200,"&lt;="&amp;$B264)</f>
        <v>894</v>
      </c>
      <c r="K264" s="18" t="n">
        <f aca="false">SUMIFS($I$2:$I$1200,$A$2:$A$1200,$A264,$B$2:$B$1200,"&lt;="&amp;$B264)</f>
        <v>183</v>
      </c>
      <c r="L264" s="18" t="n">
        <f aca="false">J264-K264</f>
        <v>711</v>
      </c>
      <c r="M264" s="18" t="n">
        <f aca="false">SUMIF($A$2:$A$1200,$A264,$H$2:$H$1200)</f>
        <v>972</v>
      </c>
      <c r="N264" s="20" t="n">
        <f aca="false">IF(M264=0,"",L264/M264)</f>
        <v>0.731481481481482</v>
      </c>
      <c r="O264" s="20"/>
      <c r="P264" s="20" t="str">
        <f aca="false">IF(OR(N264="",O264=""),"",N264-O264)</f>
        <v/>
      </c>
      <c r="Q264" s="18"/>
    </row>
    <row r="265" customFormat="false" ht="15" hidden="false" customHeight="true" outlineLevel="0" collapsed="false">
      <c r="A265" s="18" t="s">
        <v>294</v>
      </c>
      <c r="B265" s="18" t="n">
        <v>10</v>
      </c>
      <c r="C265" s="18" t="s">
        <v>206</v>
      </c>
      <c r="D265" s="18" t="n">
        <v>-75</v>
      </c>
      <c r="E265" s="18" t="s">
        <v>262</v>
      </c>
      <c r="F265" s="18" t="s">
        <v>220</v>
      </c>
      <c r="G265" s="19" t="n">
        <v>39823</v>
      </c>
      <c r="H265" s="18" t="n">
        <v>18</v>
      </c>
      <c r="I265" s="18" t="n">
        <v>81</v>
      </c>
      <c r="J265" s="18" t="n">
        <f aca="false">SUMIFS($H$2:$H$1200,$A$2:$A$1200,$A265,$B$2:$B$1200,"&lt;="&amp;$B265)</f>
        <v>912</v>
      </c>
      <c r="K265" s="18" t="n">
        <f aca="false">SUMIFS($I$2:$I$1200,$A$2:$A$1200,$A265,$B$2:$B$1200,"&lt;="&amp;$B265)</f>
        <v>264</v>
      </c>
      <c r="L265" s="18" t="n">
        <f aca="false">J265-K265</f>
        <v>648</v>
      </c>
      <c r="M265" s="18" t="n">
        <f aca="false">SUMIF($A$2:$A$1200,$A265,$H$2:$H$1200)</f>
        <v>972</v>
      </c>
      <c r="N265" s="20" t="n">
        <f aca="false">IF(M265=0,"",L265/M265)</f>
        <v>0.666666666666667</v>
      </c>
      <c r="O265" s="20"/>
      <c r="P265" s="20" t="str">
        <f aca="false">IF(OR(N265="",O265=""),"",N265-O265)</f>
        <v/>
      </c>
      <c r="Q265" s="18"/>
    </row>
    <row r="266" customFormat="false" ht="15" hidden="false" customHeight="true" outlineLevel="0" collapsed="false">
      <c r="A266" s="18" t="s">
        <v>294</v>
      </c>
      <c r="B266" s="18" t="n">
        <v>11</v>
      </c>
      <c r="C266" s="18" t="s">
        <v>246</v>
      </c>
      <c r="D266" s="18" t="n">
        <v>-60</v>
      </c>
      <c r="E266" s="18" t="s">
        <v>262</v>
      </c>
      <c r="F266" s="18" t="s">
        <v>220</v>
      </c>
      <c r="G266" s="19" t="n">
        <v>39823</v>
      </c>
      <c r="H266" s="18" t="n">
        <v>20</v>
      </c>
      <c r="I266" s="18" t="n">
        <v>123</v>
      </c>
      <c r="J266" s="18" t="n">
        <f aca="false">SUMIFS($H$2:$H$1200,$A$2:$A$1200,$A266,$B$2:$B$1200,"&lt;="&amp;$B266)</f>
        <v>932</v>
      </c>
      <c r="K266" s="18" t="n">
        <f aca="false">SUMIFS($I$2:$I$1200,$A$2:$A$1200,$A266,$B$2:$B$1200,"&lt;="&amp;$B266)</f>
        <v>387</v>
      </c>
      <c r="L266" s="18" t="n">
        <f aca="false">J266-K266</f>
        <v>545</v>
      </c>
      <c r="M266" s="18" t="n">
        <f aca="false">SUMIF($A$2:$A$1200,$A266,$H$2:$H$1200)</f>
        <v>972</v>
      </c>
      <c r="N266" s="20" t="n">
        <f aca="false">IF(M266=0,"",L266/M266)</f>
        <v>0.560699588477366</v>
      </c>
      <c r="O266" s="20"/>
      <c r="P266" s="20" t="str">
        <f aca="false">IF(OR(N266="",O266=""),"",N266-O266)</f>
        <v/>
      </c>
      <c r="Q266" s="18"/>
    </row>
    <row r="267" customFormat="false" ht="15" hidden="false" customHeight="true" outlineLevel="0" collapsed="false">
      <c r="A267" s="18" t="s">
        <v>294</v>
      </c>
      <c r="B267" s="18" t="n">
        <v>12</v>
      </c>
      <c r="C267" s="18" t="s">
        <v>254</v>
      </c>
      <c r="D267" s="18" t="n">
        <v>-45</v>
      </c>
      <c r="E267" s="18" t="s">
        <v>262</v>
      </c>
      <c r="F267" s="18" t="s">
        <v>220</v>
      </c>
      <c r="G267" s="19" t="n">
        <v>39823</v>
      </c>
      <c r="H267" s="18" t="n">
        <v>13</v>
      </c>
      <c r="I267" s="18" t="n">
        <v>144</v>
      </c>
      <c r="J267" s="18" t="n">
        <f aca="false">SUMIFS($H$2:$H$1200,$A$2:$A$1200,$A267,$B$2:$B$1200,"&lt;="&amp;$B267)</f>
        <v>945</v>
      </c>
      <c r="K267" s="18" t="n">
        <f aca="false">SUMIFS($I$2:$I$1200,$A$2:$A$1200,$A267,$B$2:$B$1200,"&lt;="&amp;$B267)</f>
        <v>531</v>
      </c>
      <c r="L267" s="18" t="n">
        <f aca="false">J267-K267</f>
        <v>414</v>
      </c>
      <c r="M267" s="18" t="n">
        <f aca="false">SUMIF($A$2:$A$1200,$A267,$H$2:$H$1200)</f>
        <v>972</v>
      </c>
      <c r="N267" s="20" t="n">
        <f aca="false">IF(M267=0,"",L267/M267)</f>
        <v>0.425925925925926</v>
      </c>
      <c r="O267" s="20"/>
      <c r="P267" s="20" t="str">
        <f aca="false">IF(OR(N267="",O267=""),"",N267-O267)</f>
        <v/>
      </c>
      <c r="Q267" s="18"/>
    </row>
    <row r="268" customFormat="false" ht="15" hidden="false" customHeight="true" outlineLevel="0" collapsed="false">
      <c r="A268" s="18" t="s">
        <v>294</v>
      </c>
      <c r="B268" s="18" t="n">
        <v>13</v>
      </c>
      <c r="C268" s="18" t="s">
        <v>403</v>
      </c>
      <c r="D268" s="18" t="n">
        <v>-30</v>
      </c>
      <c r="E268" s="18" t="s">
        <v>262</v>
      </c>
      <c r="F268" s="18" t="s">
        <v>220</v>
      </c>
      <c r="G268" s="19" t="n">
        <v>39823</v>
      </c>
      <c r="H268" s="18" t="n">
        <v>8</v>
      </c>
      <c r="I268" s="18" t="n">
        <v>156</v>
      </c>
      <c r="J268" s="18" t="n">
        <f aca="false">SUMIFS($H$2:$H$1200,$A$2:$A$1200,$A268,$B$2:$B$1200,"&lt;="&amp;$B268)</f>
        <v>953</v>
      </c>
      <c r="K268" s="18" t="n">
        <f aca="false">SUMIFS($I$2:$I$1200,$A$2:$A$1200,$A268,$B$2:$B$1200,"&lt;="&amp;$B268)</f>
        <v>687</v>
      </c>
      <c r="L268" s="18" t="n">
        <f aca="false">J268-K268</f>
        <v>266</v>
      </c>
      <c r="M268" s="18" t="n">
        <f aca="false">SUMIF($A$2:$A$1200,$A268,$H$2:$H$1200)</f>
        <v>972</v>
      </c>
      <c r="N268" s="20" t="n">
        <f aca="false">IF(M268=0,"",L268/M268)</f>
        <v>0.273662551440329</v>
      </c>
      <c r="O268" s="20"/>
      <c r="P268" s="20" t="str">
        <f aca="false">IF(OR(N268="",O268=""),"",N268-O268)</f>
        <v/>
      </c>
      <c r="Q268" s="18"/>
    </row>
    <row r="269" customFormat="false" ht="15" hidden="false" customHeight="true" outlineLevel="0" collapsed="false">
      <c r="A269" s="18" t="s">
        <v>294</v>
      </c>
      <c r="B269" s="18" t="n">
        <v>14</v>
      </c>
      <c r="C269" s="18" t="s">
        <v>529</v>
      </c>
      <c r="D269" s="18" t="n">
        <v>-15</v>
      </c>
      <c r="E269" s="18" t="s">
        <v>262</v>
      </c>
      <c r="F269" s="18" t="s">
        <v>220</v>
      </c>
      <c r="G269" s="19" t="n">
        <v>39823</v>
      </c>
      <c r="H269" s="18" t="n">
        <v>6</v>
      </c>
      <c r="I269" s="18" t="n">
        <v>92</v>
      </c>
      <c r="J269" s="18" t="n">
        <f aca="false">SUMIFS($H$2:$H$1200,$A$2:$A$1200,$A269,$B$2:$B$1200,"&lt;="&amp;$B269)</f>
        <v>959</v>
      </c>
      <c r="K269" s="18" t="n">
        <f aca="false">SUMIFS($I$2:$I$1200,$A$2:$A$1200,$A269,$B$2:$B$1200,"&lt;="&amp;$B269)</f>
        <v>779</v>
      </c>
      <c r="L269" s="18" t="n">
        <f aca="false">J269-K269</f>
        <v>180</v>
      </c>
      <c r="M269" s="18" t="n">
        <f aca="false">SUMIF($A$2:$A$1200,$A269,$H$2:$H$1200)</f>
        <v>972</v>
      </c>
      <c r="N269" s="20" t="n">
        <f aca="false">IF(M269=0,"",L269/M269)</f>
        <v>0.185185185185185</v>
      </c>
      <c r="O269" s="20"/>
      <c r="P269" s="20" t="str">
        <f aca="false">IF(OR(N269="",O269=""),"",N269-O269)</f>
        <v/>
      </c>
      <c r="Q269" s="18"/>
    </row>
    <row r="270" customFormat="false" ht="15" hidden="false" customHeight="true" outlineLevel="0" collapsed="false">
      <c r="A270" s="18" t="s">
        <v>294</v>
      </c>
      <c r="B270" s="18" t="n">
        <v>15</v>
      </c>
      <c r="C270" s="18" t="s">
        <v>463</v>
      </c>
      <c r="D270" s="18" t="n">
        <v>0</v>
      </c>
      <c r="E270" s="18" t="s">
        <v>262</v>
      </c>
      <c r="F270" s="18" t="s">
        <v>220</v>
      </c>
      <c r="G270" s="19" t="n">
        <v>39823</v>
      </c>
      <c r="H270" s="18" t="n">
        <v>10</v>
      </c>
      <c r="I270" s="18" t="n">
        <v>55</v>
      </c>
      <c r="J270" s="18" t="n">
        <f aca="false">SUMIFS($H$2:$H$1200,$A$2:$A$1200,$A270,$B$2:$B$1200,"&lt;="&amp;$B270)</f>
        <v>969</v>
      </c>
      <c r="K270" s="18" t="n">
        <f aca="false">SUMIFS($I$2:$I$1200,$A$2:$A$1200,$A270,$B$2:$B$1200,"&lt;="&amp;$B270)</f>
        <v>834</v>
      </c>
      <c r="L270" s="18" t="n">
        <f aca="false">J270-K270</f>
        <v>135</v>
      </c>
      <c r="M270" s="18" t="n">
        <f aca="false">SUMIF($A$2:$A$1200,$A270,$H$2:$H$1200)</f>
        <v>972</v>
      </c>
      <c r="N270" s="20" t="n">
        <f aca="false">IF(M270=0,"",L270/M270)</f>
        <v>0.138888888888889</v>
      </c>
      <c r="O270" s="20"/>
      <c r="P270" s="20" t="str">
        <f aca="false">IF(OR(N270="",O270=""),"",N270-O270)</f>
        <v/>
      </c>
      <c r="Q270" s="18"/>
    </row>
    <row r="271" customFormat="false" ht="15" hidden="false" customHeight="true" outlineLevel="0" collapsed="false">
      <c r="A271" s="18" t="s">
        <v>294</v>
      </c>
      <c r="B271" s="18" t="n">
        <v>16</v>
      </c>
      <c r="C271" s="18" t="s">
        <v>366</v>
      </c>
      <c r="D271" s="18" t="n">
        <v>15</v>
      </c>
      <c r="E271" s="18" t="s">
        <v>262</v>
      </c>
      <c r="F271" s="18" t="s">
        <v>220</v>
      </c>
      <c r="G271" s="19" t="n">
        <v>39823</v>
      </c>
      <c r="H271" s="18" t="n">
        <v>0</v>
      </c>
      <c r="I271" s="18" t="n">
        <v>36</v>
      </c>
      <c r="J271" s="18" t="n">
        <f aca="false">SUMIFS($H$2:$H$1200,$A$2:$A$1200,$A271,$B$2:$B$1200,"&lt;="&amp;$B271)</f>
        <v>969</v>
      </c>
      <c r="K271" s="18" t="n">
        <f aca="false">SUMIFS($I$2:$I$1200,$A$2:$A$1200,$A271,$B$2:$B$1200,"&lt;="&amp;$B271)</f>
        <v>870</v>
      </c>
      <c r="L271" s="18" t="n">
        <f aca="false">J271-K271</f>
        <v>99</v>
      </c>
      <c r="M271" s="18" t="n">
        <f aca="false">SUMIF($A$2:$A$1200,$A271,$H$2:$H$1200)</f>
        <v>972</v>
      </c>
      <c r="N271" s="20" t="n">
        <f aca="false">IF(M271=0,"",L271/M271)</f>
        <v>0.101851851851852</v>
      </c>
      <c r="O271" s="20"/>
      <c r="P271" s="20" t="str">
        <f aca="false">IF(OR(N271="",O271=""),"",N271-O271)</f>
        <v/>
      </c>
      <c r="Q271" s="18"/>
    </row>
    <row r="272" customFormat="false" ht="15" hidden="false" customHeight="true" outlineLevel="0" collapsed="false">
      <c r="A272" s="18" t="s">
        <v>294</v>
      </c>
      <c r="B272" s="18" t="n">
        <v>17</v>
      </c>
      <c r="C272" s="18" t="s">
        <v>326</v>
      </c>
      <c r="D272" s="18" t="n">
        <v>30</v>
      </c>
      <c r="E272" s="18" t="s">
        <v>262</v>
      </c>
      <c r="F272" s="18" t="s">
        <v>220</v>
      </c>
      <c r="G272" s="19" t="n">
        <v>39823</v>
      </c>
      <c r="H272" s="18" t="n">
        <v>1</v>
      </c>
      <c r="I272" s="18" t="n">
        <v>45</v>
      </c>
      <c r="J272" s="18" t="n">
        <f aca="false">SUMIFS($H$2:$H$1200,$A$2:$A$1200,$A272,$B$2:$B$1200,"&lt;="&amp;$B272)</f>
        <v>970</v>
      </c>
      <c r="K272" s="18" t="n">
        <f aca="false">SUMIFS($I$2:$I$1200,$A$2:$A$1200,$A272,$B$2:$B$1200,"&lt;="&amp;$B272)</f>
        <v>915</v>
      </c>
      <c r="L272" s="18" t="n">
        <f aca="false">J272-K272</f>
        <v>55</v>
      </c>
      <c r="M272" s="18" t="n">
        <f aca="false">SUMIF($A$2:$A$1200,$A272,$H$2:$H$1200)</f>
        <v>972</v>
      </c>
      <c r="N272" s="20" t="n">
        <f aca="false">IF(M272=0,"",L272/M272)</f>
        <v>0.0565843621399177</v>
      </c>
      <c r="O272" s="20"/>
      <c r="P272" s="20" t="str">
        <f aca="false">IF(OR(N272="",O272=""),"",N272-O272)</f>
        <v/>
      </c>
      <c r="Q272" s="18"/>
    </row>
    <row r="273" customFormat="false" ht="15" hidden="false" customHeight="true" outlineLevel="0" collapsed="false">
      <c r="A273" s="18" t="s">
        <v>294</v>
      </c>
      <c r="B273" s="18" t="n">
        <v>18</v>
      </c>
      <c r="C273" s="18" t="s">
        <v>226</v>
      </c>
      <c r="D273" s="18" t="n">
        <v>45</v>
      </c>
      <c r="E273" s="18" t="s">
        <v>262</v>
      </c>
      <c r="F273" s="18" t="s">
        <v>220</v>
      </c>
      <c r="G273" s="19" t="n">
        <v>39823</v>
      </c>
      <c r="H273" s="18" t="n">
        <v>1</v>
      </c>
      <c r="I273" s="18" t="n">
        <v>23</v>
      </c>
      <c r="J273" s="18" t="n">
        <f aca="false">SUMIFS($H$2:$H$1200,$A$2:$A$1200,$A273,$B$2:$B$1200,"&lt;="&amp;$B273)</f>
        <v>971</v>
      </c>
      <c r="K273" s="18" t="n">
        <f aca="false">SUMIFS($I$2:$I$1200,$A$2:$A$1200,$A273,$B$2:$B$1200,"&lt;="&amp;$B273)</f>
        <v>938</v>
      </c>
      <c r="L273" s="18" t="n">
        <f aca="false">J273-K273</f>
        <v>33</v>
      </c>
      <c r="M273" s="18" t="n">
        <f aca="false">SUMIF($A$2:$A$1200,$A273,$H$2:$H$1200)</f>
        <v>972</v>
      </c>
      <c r="N273" s="20" t="n">
        <f aca="false">IF(M273=0,"",L273/M273)</f>
        <v>0.0339506172839506</v>
      </c>
      <c r="O273" s="20"/>
      <c r="P273" s="20" t="str">
        <f aca="false">IF(OR(N273="",O273=""),"",N273-O273)</f>
        <v/>
      </c>
      <c r="Q273" s="18"/>
    </row>
    <row r="274" customFormat="false" ht="15" hidden="false" customHeight="true" outlineLevel="0" collapsed="false">
      <c r="A274" s="18" t="s">
        <v>294</v>
      </c>
      <c r="B274" s="18" t="n">
        <v>19</v>
      </c>
      <c r="C274" s="18" t="s">
        <v>205</v>
      </c>
      <c r="D274" s="18" t="n">
        <v>60</v>
      </c>
      <c r="E274" s="18" t="s">
        <v>262</v>
      </c>
      <c r="F274" s="18" t="s">
        <v>220</v>
      </c>
      <c r="G274" s="19" t="n">
        <v>39823</v>
      </c>
      <c r="H274" s="18" t="n">
        <v>1</v>
      </c>
      <c r="I274" s="18" t="n">
        <v>18</v>
      </c>
      <c r="J274" s="18" t="n">
        <f aca="false">SUMIFS($H$2:$H$1200,$A$2:$A$1200,$A274,$B$2:$B$1200,"&lt;="&amp;$B274)</f>
        <v>972</v>
      </c>
      <c r="K274" s="18" t="n">
        <f aca="false">SUMIFS($I$2:$I$1200,$A$2:$A$1200,$A274,$B$2:$B$1200,"&lt;="&amp;$B274)</f>
        <v>956</v>
      </c>
      <c r="L274" s="18" t="n">
        <f aca="false">J274-K274</f>
        <v>16</v>
      </c>
      <c r="M274" s="18" t="n">
        <f aca="false">SUMIF($A$2:$A$1200,$A274,$H$2:$H$1200)</f>
        <v>972</v>
      </c>
      <c r="N274" s="20" t="n">
        <f aca="false">IF(M274=0,"",L274/M274)</f>
        <v>0.0164609053497942</v>
      </c>
      <c r="O274" s="20"/>
      <c r="P274" s="20" t="str">
        <f aca="false">IF(OR(N274="",O274=""),"",N274-O274)</f>
        <v/>
      </c>
      <c r="Q274" s="18"/>
    </row>
    <row r="275" customFormat="false" ht="15" hidden="false" customHeight="true" outlineLevel="0" collapsed="false">
      <c r="A275" s="18" t="s">
        <v>300</v>
      </c>
      <c r="B275" s="18" t="n">
        <v>0</v>
      </c>
      <c r="C275" s="18" t="s">
        <v>204</v>
      </c>
      <c r="D275" s="18"/>
      <c r="E275" s="18" t="s">
        <v>262</v>
      </c>
      <c r="F275" s="18" t="s">
        <v>220</v>
      </c>
      <c r="G275" s="19" t="n">
        <v>40564</v>
      </c>
      <c r="H275" s="18" t="n">
        <v>0</v>
      </c>
      <c r="I275" s="18" t="n">
        <v>0</v>
      </c>
      <c r="J275" s="18" t="n">
        <f aca="false">SUMIFS($H$2:$H$1200,$A$2:$A$1200,$A275,$B$2:$B$1200,"&lt;="&amp;$B275)</f>
        <v>0</v>
      </c>
      <c r="K275" s="18" t="n">
        <f aca="false">SUMIFS($I$2:$I$1200,$A$2:$A$1200,$A275,$B$2:$B$1200,"&lt;="&amp;$B275)</f>
        <v>0</v>
      </c>
      <c r="L275" s="18" t="n">
        <f aca="false">J275-K275</f>
        <v>0</v>
      </c>
      <c r="M275" s="18" t="n">
        <f aca="false">SUMIF($A$2:$A$1200,$A275,$H$2:$H$1200)</f>
        <v>280</v>
      </c>
      <c r="N275" s="20" t="n">
        <f aca="false">IF(M275=0,"",L275/M275)</f>
        <v>0</v>
      </c>
      <c r="O275" s="20"/>
      <c r="P275" s="20" t="str">
        <f aca="false">IF(OR(N275="",O275=""),"",N275-O275)</f>
        <v/>
      </c>
      <c r="Q275" s="18"/>
    </row>
    <row r="276" customFormat="false" ht="15" hidden="false" customHeight="true" outlineLevel="0" collapsed="false">
      <c r="A276" s="18" t="s">
        <v>300</v>
      </c>
      <c r="B276" s="18" t="n">
        <v>1</v>
      </c>
      <c r="C276" s="18" t="s">
        <v>531</v>
      </c>
      <c r="D276" s="18" t="n">
        <v>-210</v>
      </c>
      <c r="E276" s="18" t="s">
        <v>262</v>
      </c>
      <c r="F276" s="18" t="s">
        <v>220</v>
      </c>
      <c r="G276" s="19" t="n">
        <v>40564</v>
      </c>
      <c r="H276" s="18" t="n">
        <v>38</v>
      </c>
      <c r="I276" s="18" t="n">
        <v>0</v>
      </c>
      <c r="J276" s="18" t="n">
        <f aca="false">SUMIFS($H$2:$H$1200,$A$2:$A$1200,$A276,$B$2:$B$1200,"&lt;="&amp;$B276)</f>
        <v>38</v>
      </c>
      <c r="K276" s="18" t="n">
        <f aca="false">SUMIFS($I$2:$I$1200,$A$2:$A$1200,$A276,$B$2:$B$1200,"&lt;="&amp;$B276)</f>
        <v>0</v>
      </c>
      <c r="L276" s="18" t="n">
        <f aca="false">J276-K276</f>
        <v>38</v>
      </c>
      <c r="M276" s="18" t="n">
        <f aca="false">SUMIF($A$2:$A$1200,$A276,$H$2:$H$1200)</f>
        <v>280</v>
      </c>
      <c r="N276" s="20" t="n">
        <f aca="false">IF(M276=0,"",L276/M276)</f>
        <v>0.135714285714286</v>
      </c>
      <c r="O276" s="20"/>
      <c r="P276" s="20" t="str">
        <f aca="false">IF(OR(N276="",O276=""),"",N276-O276)</f>
        <v/>
      </c>
      <c r="Q276" s="18"/>
    </row>
    <row r="277" customFormat="false" ht="15" hidden="false" customHeight="true" outlineLevel="0" collapsed="false">
      <c r="A277" s="18" t="s">
        <v>300</v>
      </c>
      <c r="B277" s="18" t="n">
        <v>2</v>
      </c>
      <c r="C277" s="18" t="s">
        <v>340</v>
      </c>
      <c r="D277" s="18" t="n">
        <v>-195</v>
      </c>
      <c r="E277" s="18" t="s">
        <v>262</v>
      </c>
      <c r="F277" s="18" t="s">
        <v>220</v>
      </c>
      <c r="G277" s="19" t="n">
        <v>40564</v>
      </c>
      <c r="H277" s="18" t="n">
        <v>20</v>
      </c>
      <c r="I277" s="18" t="n">
        <v>0</v>
      </c>
      <c r="J277" s="18" t="n">
        <f aca="false">SUMIFS($H$2:$H$1200,$A$2:$A$1200,$A277,$B$2:$B$1200,"&lt;="&amp;$B277)</f>
        <v>58</v>
      </c>
      <c r="K277" s="18" t="n">
        <f aca="false">SUMIFS($I$2:$I$1200,$A$2:$A$1200,$A277,$B$2:$B$1200,"&lt;="&amp;$B277)</f>
        <v>0</v>
      </c>
      <c r="L277" s="18" t="n">
        <f aca="false">J277-K277</f>
        <v>58</v>
      </c>
      <c r="M277" s="18" t="n">
        <f aca="false">SUMIF($A$2:$A$1200,$A277,$H$2:$H$1200)</f>
        <v>280</v>
      </c>
      <c r="N277" s="20" t="n">
        <f aca="false">IF(M277=0,"",L277/M277)</f>
        <v>0.207142857142857</v>
      </c>
      <c r="O277" s="20"/>
      <c r="P277" s="20" t="str">
        <f aca="false">IF(OR(N277="",O277=""),"",N277-O277)</f>
        <v/>
      </c>
      <c r="Q277" s="18"/>
    </row>
    <row r="278" customFormat="false" ht="15" hidden="false" customHeight="true" outlineLevel="0" collapsed="false">
      <c r="A278" s="18" t="s">
        <v>300</v>
      </c>
      <c r="B278" s="18" t="n">
        <v>3</v>
      </c>
      <c r="C278" s="18" t="s">
        <v>525</v>
      </c>
      <c r="D278" s="18" t="n">
        <v>-180</v>
      </c>
      <c r="E278" s="18" t="s">
        <v>262</v>
      </c>
      <c r="F278" s="18" t="s">
        <v>220</v>
      </c>
      <c r="G278" s="19" t="n">
        <v>40564</v>
      </c>
      <c r="H278" s="18" t="n">
        <v>25</v>
      </c>
      <c r="I278" s="18" t="n">
        <v>3</v>
      </c>
      <c r="J278" s="18" t="n">
        <f aca="false">SUMIFS($H$2:$H$1200,$A$2:$A$1200,$A278,$B$2:$B$1200,"&lt;="&amp;$B278)</f>
        <v>83</v>
      </c>
      <c r="K278" s="18" t="n">
        <f aca="false">SUMIFS($I$2:$I$1200,$A$2:$A$1200,$A278,$B$2:$B$1200,"&lt;="&amp;$B278)</f>
        <v>3</v>
      </c>
      <c r="L278" s="18" t="n">
        <f aca="false">J278-K278</f>
        <v>80</v>
      </c>
      <c r="M278" s="18" t="n">
        <f aca="false">SUMIF($A$2:$A$1200,$A278,$H$2:$H$1200)</f>
        <v>280</v>
      </c>
      <c r="N278" s="20" t="n">
        <f aca="false">IF(M278=0,"",L278/M278)</f>
        <v>0.285714285714286</v>
      </c>
      <c r="O278" s="20"/>
      <c r="P278" s="20" t="str">
        <f aca="false">IF(OR(N278="",O278=""),"",N278-O278)</f>
        <v/>
      </c>
      <c r="Q278" s="18"/>
    </row>
    <row r="279" customFormat="false" ht="15" hidden="false" customHeight="true" outlineLevel="0" collapsed="false">
      <c r="A279" s="18" t="s">
        <v>300</v>
      </c>
      <c r="B279" s="18" t="n">
        <v>4</v>
      </c>
      <c r="C279" s="18" t="s">
        <v>526</v>
      </c>
      <c r="D279" s="18" t="n">
        <v>-165</v>
      </c>
      <c r="E279" s="18" t="s">
        <v>262</v>
      </c>
      <c r="F279" s="18" t="s">
        <v>220</v>
      </c>
      <c r="G279" s="19" t="n">
        <v>40564</v>
      </c>
      <c r="H279" s="18" t="n">
        <v>26</v>
      </c>
      <c r="I279" s="18" t="n">
        <v>4</v>
      </c>
      <c r="J279" s="18" t="n">
        <f aca="false">SUMIFS($H$2:$H$1200,$A$2:$A$1200,$A279,$B$2:$B$1200,"&lt;="&amp;$B279)</f>
        <v>109</v>
      </c>
      <c r="K279" s="18" t="n">
        <f aca="false">SUMIFS($I$2:$I$1200,$A$2:$A$1200,$A279,$B$2:$B$1200,"&lt;="&amp;$B279)</f>
        <v>7</v>
      </c>
      <c r="L279" s="18" t="n">
        <f aca="false">J279-K279</f>
        <v>102</v>
      </c>
      <c r="M279" s="18" t="n">
        <f aca="false">SUMIF($A$2:$A$1200,$A279,$H$2:$H$1200)</f>
        <v>280</v>
      </c>
      <c r="N279" s="20" t="n">
        <f aca="false">IF(M279=0,"",L279/M279)</f>
        <v>0.364285714285714</v>
      </c>
      <c r="O279" s="20"/>
      <c r="P279" s="20" t="str">
        <f aca="false">IF(OR(N279="",O279=""),"",N279-O279)</f>
        <v/>
      </c>
      <c r="Q279" s="18"/>
    </row>
    <row r="280" customFormat="false" ht="15" hidden="false" customHeight="true" outlineLevel="0" collapsed="false">
      <c r="A280" s="18" t="s">
        <v>300</v>
      </c>
      <c r="B280" s="18" t="n">
        <v>5</v>
      </c>
      <c r="C280" s="18" t="s">
        <v>527</v>
      </c>
      <c r="D280" s="18" t="n">
        <v>-150</v>
      </c>
      <c r="E280" s="18" t="s">
        <v>262</v>
      </c>
      <c r="F280" s="18" t="s">
        <v>220</v>
      </c>
      <c r="G280" s="19" t="n">
        <v>40564</v>
      </c>
      <c r="H280" s="18" t="n">
        <v>22</v>
      </c>
      <c r="I280" s="18" t="n">
        <v>11</v>
      </c>
      <c r="J280" s="18" t="n">
        <f aca="false">SUMIFS($H$2:$H$1200,$A$2:$A$1200,$A280,$B$2:$B$1200,"&lt;="&amp;$B280)</f>
        <v>131</v>
      </c>
      <c r="K280" s="18" t="n">
        <f aca="false">SUMIFS($I$2:$I$1200,$A$2:$A$1200,$A280,$B$2:$B$1200,"&lt;="&amp;$B280)</f>
        <v>18</v>
      </c>
      <c r="L280" s="18" t="n">
        <f aca="false">J280-K280</f>
        <v>113</v>
      </c>
      <c r="M280" s="18" t="n">
        <f aca="false">SUMIF($A$2:$A$1200,$A280,$H$2:$H$1200)</f>
        <v>280</v>
      </c>
      <c r="N280" s="20" t="n">
        <f aca="false">IF(M280=0,"",L280/M280)</f>
        <v>0.403571428571429</v>
      </c>
      <c r="O280" s="20"/>
      <c r="P280" s="20" t="str">
        <f aca="false">IF(OR(N280="",O280=""),"",N280-O280)</f>
        <v/>
      </c>
      <c r="Q280" s="18"/>
    </row>
    <row r="281" customFormat="false" ht="15" hidden="false" customHeight="true" outlineLevel="0" collapsed="false">
      <c r="A281" s="18" t="s">
        <v>300</v>
      </c>
      <c r="B281" s="18" t="n">
        <v>6</v>
      </c>
      <c r="C281" s="18" t="s">
        <v>528</v>
      </c>
      <c r="D281" s="18" t="n">
        <v>-135</v>
      </c>
      <c r="E281" s="18" t="s">
        <v>262</v>
      </c>
      <c r="F281" s="18" t="s">
        <v>220</v>
      </c>
      <c r="G281" s="19" t="n">
        <v>40564</v>
      </c>
      <c r="H281" s="18" t="n">
        <v>29</v>
      </c>
      <c r="I281" s="18" t="n">
        <v>11</v>
      </c>
      <c r="J281" s="18" t="n">
        <f aca="false">SUMIFS($H$2:$H$1200,$A$2:$A$1200,$A281,$B$2:$B$1200,"&lt;="&amp;$B281)</f>
        <v>160</v>
      </c>
      <c r="K281" s="18" t="n">
        <f aca="false">SUMIFS($I$2:$I$1200,$A$2:$A$1200,$A281,$B$2:$B$1200,"&lt;="&amp;$B281)</f>
        <v>29</v>
      </c>
      <c r="L281" s="18" t="n">
        <f aca="false">J281-K281</f>
        <v>131</v>
      </c>
      <c r="M281" s="18" t="n">
        <f aca="false">SUMIF($A$2:$A$1200,$A281,$H$2:$H$1200)</f>
        <v>280</v>
      </c>
      <c r="N281" s="20" t="n">
        <f aca="false">IF(M281=0,"",L281/M281)</f>
        <v>0.467857142857143</v>
      </c>
      <c r="O281" s="20"/>
      <c r="P281" s="20" t="str">
        <f aca="false">IF(OR(N281="",O281=""),"",N281-O281)</f>
        <v/>
      </c>
      <c r="Q281" s="18"/>
    </row>
    <row r="282" customFormat="false" ht="15" hidden="false" customHeight="true" outlineLevel="0" collapsed="false">
      <c r="A282" s="18" t="s">
        <v>300</v>
      </c>
      <c r="B282" s="18" t="n">
        <v>7</v>
      </c>
      <c r="C282" s="18" t="s">
        <v>227</v>
      </c>
      <c r="D282" s="18" t="n">
        <v>-120</v>
      </c>
      <c r="E282" s="18" t="s">
        <v>262</v>
      </c>
      <c r="F282" s="18" t="s">
        <v>220</v>
      </c>
      <c r="G282" s="19" t="n">
        <v>40564</v>
      </c>
      <c r="H282" s="18" t="n">
        <v>31</v>
      </c>
      <c r="I282" s="18" t="n">
        <v>8</v>
      </c>
      <c r="J282" s="18" t="n">
        <f aca="false">SUMIFS($H$2:$H$1200,$A$2:$A$1200,$A282,$B$2:$B$1200,"&lt;="&amp;$B282)</f>
        <v>191</v>
      </c>
      <c r="K282" s="18" t="n">
        <f aca="false">SUMIFS($I$2:$I$1200,$A$2:$A$1200,$A282,$B$2:$B$1200,"&lt;="&amp;$B282)</f>
        <v>37</v>
      </c>
      <c r="L282" s="18" t="n">
        <f aca="false">J282-K282</f>
        <v>154</v>
      </c>
      <c r="M282" s="18" t="n">
        <f aca="false">SUMIF($A$2:$A$1200,$A282,$H$2:$H$1200)</f>
        <v>280</v>
      </c>
      <c r="N282" s="20" t="n">
        <f aca="false">IF(M282=0,"",L282/M282)</f>
        <v>0.55</v>
      </c>
      <c r="O282" s="20"/>
      <c r="P282" s="20" t="str">
        <f aca="false">IF(OR(N282="",O282=""),"",N282-O282)</f>
        <v/>
      </c>
      <c r="Q282" s="18"/>
    </row>
    <row r="283" customFormat="false" ht="15" hidden="false" customHeight="true" outlineLevel="0" collapsed="false">
      <c r="A283" s="18" t="s">
        <v>300</v>
      </c>
      <c r="B283" s="18" t="n">
        <v>8</v>
      </c>
      <c r="C283" s="18" t="s">
        <v>241</v>
      </c>
      <c r="D283" s="18" t="n">
        <v>-105</v>
      </c>
      <c r="E283" s="18" t="s">
        <v>262</v>
      </c>
      <c r="F283" s="18" t="s">
        <v>220</v>
      </c>
      <c r="G283" s="19" t="n">
        <v>40564</v>
      </c>
      <c r="H283" s="18" t="n">
        <v>25</v>
      </c>
      <c r="I283" s="18" t="n">
        <v>10</v>
      </c>
      <c r="J283" s="18" t="n">
        <f aca="false">SUMIFS($H$2:$H$1200,$A$2:$A$1200,$A283,$B$2:$B$1200,"&lt;="&amp;$B283)</f>
        <v>216</v>
      </c>
      <c r="K283" s="18" t="n">
        <f aca="false">SUMIFS($I$2:$I$1200,$A$2:$A$1200,$A283,$B$2:$B$1200,"&lt;="&amp;$B283)</f>
        <v>47</v>
      </c>
      <c r="L283" s="18" t="n">
        <f aca="false">J283-K283</f>
        <v>169</v>
      </c>
      <c r="M283" s="18" t="n">
        <f aca="false">SUMIF($A$2:$A$1200,$A283,$H$2:$H$1200)</f>
        <v>280</v>
      </c>
      <c r="N283" s="20" t="n">
        <f aca="false">IF(M283=0,"",L283/M283)</f>
        <v>0.603571428571429</v>
      </c>
      <c r="O283" s="20"/>
      <c r="P283" s="20" t="str">
        <f aca="false">IF(OR(N283="",O283=""),"",N283-O283)</f>
        <v/>
      </c>
      <c r="Q283" s="18"/>
    </row>
    <row r="284" customFormat="false" ht="15" hidden="false" customHeight="true" outlineLevel="0" collapsed="false">
      <c r="A284" s="18" t="s">
        <v>300</v>
      </c>
      <c r="B284" s="18" t="n">
        <v>9</v>
      </c>
      <c r="C284" s="18" t="s">
        <v>279</v>
      </c>
      <c r="D284" s="18" t="n">
        <v>-90</v>
      </c>
      <c r="E284" s="18" t="s">
        <v>262</v>
      </c>
      <c r="F284" s="18" t="s">
        <v>220</v>
      </c>
      <c r="G284" s="19" t="n">
        <v>40564</v>
      </c>
      <c r="H284" s="18" t="n">
        <v>18</v>
      </c>
      <c r="I284" s="18" t="n">
        <v>14</v>
      </c>
      <c r="J284" s="18" t="n">
        <f aca="false">SUMIFS($H$2:$H$1200,$A$2:$A$1200,$A284,$B$2:$B$1200,"&lt;="&amp;$B284)</f>
        <v>234</v>
      </c>
      <c r="K284" s="18" t="n">
        <f aca="false">SUMIFS($I$2:$I$1200,$A$2:$A$1200,$A284,$B$2:$B$1200,"&lt;="&amp;$B284)</f>
        <v>61</v>
      </c>
      <c r="L284" s="18" t="n">
        <f aca="false">J284-K284</f>
        <v>173</v>
      </c>
      <c r="M284" s="18" t="n">
        <f aca="false">SUMIF($A$2:$A$1200,$A284,$H$2:$H$1200)</f>
        <v>280</v>
      </c>
      <c r="N284" s="20" t="n">
        <f aca="false">IF(M284=0,"",L284/M284)</f>
        <v>0.617857142857143</v>
      </c>
      <c r="O284" s="20"/>
      <c r="P284" s="20" t="str">
        <f aca="false">IF(OR(N284="",O284=""),"",N284-O284)</f>
        <v/>
      </c>
      <c r="Q284" s="18"/>
    </row>
    <row r="285" customFormat="false" ht="15" hidden="false" customHeight="true" outlineLevel="0" collapsed="false">
      <c r="A285" s="18" t="s">
        <v>300</v>
      </c>
      <c r="B285" s="18" t="n">
        <v>10</v>
      </c>
      <c r="C285" s="18" t="s">
        <v>206</v>
      </c>
      <c r="D285" s="18" t="n">
        <v>-75</v>
      </c>
      <c r="E285" s="18" t="s">
        <v>262</v>
      </c>
      <c r="F285" s="18" t="s">
        <v>220</v>
      </c>
      <c r="G285" s="19" t="n">
        <v>40564</v>
      </c>
      <c r="H285" s="18" t="n">
        <v>10</v>
      </c>
      <c r="I285" s="18" t="n">
        <v>13</v>
      </c>
      <c r="J285" s="18" t="n">
        <f aca="false">SUMIFS($H$2:$H$1200,$A$2:$A$1200,$A285,$B$2:$B$1200,"&lt;="&amp;$B285)</f>
        <v>244</v>
      </c>
      <c r="K285" s="18" t="n">
        <f aca="false">SUMIFS($I$2:$I$1200,$A$2:$A$1200,$A285,$B$2:$B$1200,"&lt;="&amp;$B285)</f>
        <v>74</v>
      </c>
      <c r="L285" s="18" t="n">
        <f aca="false">J285-K285</f>
        <v>170</v>
      </c>
      <c r="M285" s="18" t="n">
        <f aca="false">SUMIF($A$2:$A$1200,$A285,$H$2:$H$1200)</f>
        <v>280</v>
      </c>
      <c r="N285" s="20" t="n">
        <f aca="false">IF(M285=0,"",L285/M285)</f>
        <v>0.607142857142857</v>
      </c>
      <c r="O285" s="20"/>
      <c r="P285" s="20" t="str">
        <f aca="false">IF(OR(N285="",O285=""),"",N285-O285)</f>
        <v/>
      </c>
      <c r="Q285" s="18"/>
    </row>
    <row r="286" customFormat="false" ht="15" hidden="false" customHeight="true" outlineLevel="0" collapsed="false">
      <c r="A286" s="18" t="s">
        <v>300</v>
      </c>
      <c r="B286" s="18" t="n">
        <v>11</v>
      </c>
      <c r="C286" s="18" t="s">
        <v>246</v>
      </c>
      <c r="D286" s="18" t="n">
        <v>-60</v>
      </c>
      <c r="E286" s="18" t="s">
        <v>262</v>
      </c>
      <c r="F286" s="18" t="s">
        <v>220</v>
      </c>
      <c r="G286" s="19" t="n">
        <v>40564</v>
      </c>
      <c r="H286" s="18" t="n">
        <v>16</v>
      </c>
      <c r="I286" s="18" t="n">
        <v>23</v>
      </c>
      <c r="J286" s="18" t="n">
        <f aca="false">SUMIFS($H$2:$H$1200,$A$2:$A$1200,$A286,$B$2:$B$1200,"&lt;="&amp;$B286)</f>
        <v>260</v>
      </c>
      <c r="K286" s="18" t="n">
        <f aca="false">SUMIFS($I$2:$I$1200,$A$2:$A$1200,$A286,$B$2:$B$1200,"&lt;="&amp;$B286)</f>
        <v>97</v>
      </c>
      <c r="L286" s="18" t="n">
        <f aca="false">J286-K286</f>
        <v>163</v>
      </c>
      <c r="M286" s="18" t="n">
        <f aca="false">SUMIF($A$2:$A$1200,$A286,$H$2:$H$1200)</f>
        <v>280</v>
      </c>
      <c r="N286" s="20" t="n">
        <f aca="false">IF(M286=0,"",L286/M286)</f>
        <v>0.582142857142857</v>
      </c>
      <c r="O286" s="20"/>
      <c r="P286" s="20" t="str">
        <f aca="false">IF(OR(N286="",O286=""),"",N286-O286)</f>
        <v/>
      </c>
      <c r="Q286" s="18"/>
    </row>
    <row r="287" customFormat="false" ht="15" hidden="false" customHeight="true" outlineLevel="0" collapsed="false">
      <c r="A287" s="18" t="s">
        <v>300</v>
      </c>
      <c r="B287" s="18" t="n">
        <v>12</v>
      </c>
      <c r="C287" s="18" t="s">
        <v>254</v>
      </c>
      <c r="D287" s="18" t="n">
        <v>-45</v>
      </c>
      <c r="E287" s="18" t="s">
        <v>262</v>
      </c>
      <c r="F287" s="18" t="s">
        <v>220</v>
      </c>
      <c r="G287" s="19" t="n">
        <v>40564</v>
      </c>
      <c r="H287" s="18" t="n">
        <v>7</v>
      </c>
      <c r="I287" s="18" t="n">
        <v>18</v>
      </c>
      <c r="J287" s="18" t="n">
        <f aca="false">SUMIFS($H$2:$H$1200,$A$2:$A$1200,$A287,$B$2:$B$1200,"&lt;="&amp;$B287)</f>
        <v>267</v>
      </c>
      <c r="K287" s="18" t="n">
        <f aca="false">SUMIFS($I$2:$I$1200,$A$2:$A$1200,$A287,$B$2:$B$1200,"&lt;="&amp;$B287)</f>
        <v>115</v>
      </c>
      <c r="L287" s="18" t="n">
        <f aca="false">J287-K287</f>
        <v>152</v>
      </c>
      <c r="M287" s="18" t="n">
        <f aca="false">SUMIF($A$2:$A$1200,$A287,$H$2:$H$1200)</f>
        <v>280</v>
      </c>
      <c r="N287" s="20" t="n">
        <f aca="false">IF(M287=0,"",L287/M287)</f>
        <v>0.542857142857143</v>
      </c>
      <c r="O287" s="20"/>
      <c r="P287" s="20" t="str">
        <f aca="false">IF(OR(N287="",O287=""),"",N287-O287)</f>
        <v/>
      </c>
      <c r="Q287" s="18"/>
    </row>
    <row r="288" customFormat="false" ht="15" hidden="false" customHeight="true" outlineLevel="0" collapsed="false">
      <c r="A288" s="18" t="s">
        <v>300</v>
      </c>
      <c r="B288" s="18" t="n">
        <v>13</v>
      </c>
      <c r="C288" s="18" t="s">
        <v>403</v>
      </c>
      <c r="D288" s="18" t="n">
        <v>-30</v>
      </c>
      <c r="E288" s="18" t="s">
        <v>262</v>
      </c>
      <c r="F288" s="18" t="s">
        <v>220</v>
      </c>
      <c r="G288" s="19" t="n">
        <v>40564</v>
      </c>
      <c r="H288" s="18" t="n">
        <v>3</v>
      </c>
      <c r="I288" s="18" t="n">
        <v>28</v>
      </c>
      <c r="J288" s="18" t="n">
        <f aca="false">SUMIFS($H$2:$H$1200,$A$2:$A$1200,$A288,$B$2:$B$1200,"&lt;="&amp;$B288)</f>
        <v>270</v>
      </c>
      <c r="K288" s="18" t="n">
        <f aca="false">SUMIFS($I$2:$I$1200,$A$2:$A$1200,$A288,$B$2:$B$1200,"&lt;="&amp;$B288)</f>
        <v>143</v>
      </c>
      <c r="L288" s="18" t="n">
        <f aca="false">J288-K288</f>
        <v>127</v>
      </c>
      <c r="M288" s="18" t="n">
        <f aca="false">SUMIF($A$2:$A$1200,$A288,$H$2:$H$1200)</f>
        <v>280</v>
      </c>
      <c r="N288" s="20" t="n">
        <f aca="false">IF(M288=0,"",L288/M288)</f>
        <v>0.453571428571429</v>
      </c>
      <c r="O288" s="20"/>
      <c r="P288" s="20" t="str">
        <f aca="false">IF(OR(N288="",O288=""),"",N288-O288)</f>
        <v/>
      </c>
      <c r="Q288" s="18"/>
    </row>
    <row r="289" customFormat="false" ht="15" hidden="false" customHeight="true" outlineLevel="0" collapsed="false">
      <c r="A289" s="18" t="s">
        <v>300</v>
      </c>
      <c r="B289" s="18" t="n">
        <v>14</v>
      </c>
      <c r="C289" s="18" t="s">
        <v>529</v>
      </c>
      <c r="D289" s="18" t="n">
        <v>-15</v>
      </c>
      <c r="E289" s="18" t="s">
        <v>262</v>
      </c>
      <c r="F289" s="18" t="s">
        <v>220</v>
      </c>
      <c r="G289" s="19" t="n">
        <v>40564</v>
      </c>
      <c r="H289" s="18" t="n">
        <v>2</v>
      </c>
      <c r="I289" s="18" t="n">
        <v>19</v>
      </c>
      <c r="J289" s="18" t="n">
        <f aca="false">SUMIFS($H$2:$H$1200,$A$2:$A$1200,$A289,$B$2:$B$1200,"&lt;="&amp;$B289)</f>
        <v>272</v>
      </c>
      <c r="K289" s="18" t="n">
        <f aca="false">SUMIFS($I$2:$I$1200,$A$2:$A$1200,$A289,$B$2:$B$1200,"&lt;="&amp;$B289)</f>
        <v>162</v>
      </c>
      <c r="L289" s="18" t="n">
        <f aca="false">J289-K289</f>
        <v>110</v>
      </c>
      <c r="M289" s="18" t="n">
        <f aca="false">SUMIF($A$2:$A$1200,$A289,$H$2:$H$1200)</f>
        <v>280</v>
      </c>
      <c r="N289" s="20" t="n">
        <f aca="false">IF(M289=0,"",L289/M289)</f>
        <v>0.392857142857143</v>
      </c>
      <c r="O289" s="20"/>
      <c r="P289" s="20" t="str">
        <f aca="false">IF(OR(N289="",O289=""),"",N289-O289)</f>
        <v/>
      </c>
      <c r="Q289" s="18"/>
    </row>
    <row r="290" customFormat="false" ht="15" hidden="false" customHeight="true" outlineLevel="0" collapsed="false">
      <c r="A290" s="18" t="s">
        <v>300</v>
      </c>
      <c r="B290" s="18" t="n">
        <v>15</v>
      </c>
      <c r="C290" s="18" t="s">
        <v>463</v>
      </c>
      <c r="D290" s="18" t="n">
        <v>0</v>
      </c>
      <c r="E290" s="18" t="s">
        <v>262</v>
      </c>
      <c r="F290" s="18" t="s">
        <v>220</v>
      </c>
      <c r="G290" s="19" t="n">
        <v>40564</v>
      </c>
      <c r="H290" s="18" t="n">
        <v>2</v>
      </c>
      <c r="I290" s="18" t="n">
        <v>32</v>
      </c>
      <c r="J290" s="18" t="n">
        <f aca="false">SUMIFS($H$2:$H$1200,$A$2:$A$1200,$A290,$B$2:$B$1200,"&lt;="&amp;$B290)</f>
        <v>274</v>
      </c>
      <c r="K290" s="18" t="n">
        <f aca="false">SUMIFS($I$2:$I$1200,$A$2:$A$1200,$A290,$B$2:$B$1200,"&lt;="&amp;$B290)</f>
        <v>194</v>
      </c>
      <c r="L290" s="18" t="n">
        <f aca="false">J290-K290</f>
        <v>80</v>
      </c>
      <c r="M290" s="18" t="n">
        <f aca="false">SUMIF($A$2:$A$1200,$A290,$H$2:$H$1200)</f>
        <v>280</v>
      </c>
      <c r="N290" s="20" t="n">
        <f aca="false">IF(M290=0,"",L290/M290)</f>
        <v>0.285714285714286</v>
      </c>
      <c r="O290" s="20"/>
      <c r="P290" s="20" t="str">
        <f aca="false">IF(OR(N290="",O290=""),"",N290-O290)</f>
        <v/>
      </c>
      <c r="Q290" s="18"/>
    </row>
    <row r="291" customFormat="false" ht="15" hidden="false" customHeight="true" outlineLevel="0" collapsed="false">
      <c r="A291" s="18" t="s">
        <v>300</v>
      </c>
      <c r="B291" s="18" t="n">
        <v>16</v>
      </c>
      <c r="C291" s="18" t="s">
        <v>366</v>
      </c>
      <c r="D291" s="18" t="n">
        <v>15</v>
      </c>
      <c r="E291" s="18" t="s">
        <v>262</v>
      </c>
      <c r="F291" s="18" t="s">
        <v>220</v>
      </c>
      <c r="G291" s="19" t="n">
        <v>40564</v>
      </c>
      <c r="H291" s="18" t="n">
        <v>3</v>
      </c>
      <c r="I291" s="18" t="n">
        <v>24</v>
      </c>
      <c r="J291" s="18" t="n">
        <f aca="false">SUMIFS($H$2:$H$1200,$A$2:$A$1200,$A291,$B$2:$B$1200,"&lt;="&amp;$B291)</f>
        <v>277</v>
      </c>
      <c r="K291" s="18" t="n">
        <f aca="false">SUMIFS($I$2:$I$1200,$A$2:$A$1200,$A291,$B$2:$B$1200,"&lt;="&amp;$B291)</f>
        <v>218</v>
      </c>
      <c r="L291" s="18" t="n">
        <f aca="false">J291-K291</f>
        <v>59</v>
      </c>
      <c r="M291" s="18" t="n">
        <f aca="false">SUMIF($A$2:$A$1200,$A291,$H$2:$H$1200)</f>
        <v>280</v>
      </c>
      <c r="N291" s="20" t="n">
        <f aca="false">IF(M291=0,"",L291/M291)</f>
        <v>0.210714285714286</v>
      </c>
      <c r="O291" s="20"/>
      <c r="P291" s="20" t="str">
        <f aca="false">IF(OR(N291="",O291=""),"",N291-O291)</f>
        <v/>
      </c>
      <c r="Q291" s="18"/>
    </row>
    <row r="292" customFormat="false" ht="15" hidden="false" customHeight="true" outlineLevel="0" collapsed="false">
      <c r="A292" s="18" t="s">
        <v>300</v>
      </c>
      <c r="B292" s="18" t="n">
        <v>17</v>
      </c>
      <c r="C292" s="18" t="s">
        <v>326</v>
      </c>
      <c r="D292" s="18" t="n">
        <v>30</v>
      </c>
      <c r="E292" s="18" t="s">
        <v>262</v>
      </c>
      <c r="F292" s="18" t="s">
        <v>220</v>
      </c>
      <c r="G292" s="19" t="n">
        <v>40564</v>
      </c>
      <c r="H292" s="18" t="n">
        <v>2</v>
      </c>
      <c r="I292" s="18" t="n">
        <v>19</v>
      </c>
      <c r="J292" s="18" t="n">
        <f aca="false">SUMIFS($H$2:$H$1200,$A$2:$A$1200,$A292,$B$2:$B$1200,"&lt;="&amp;$B292)</f>
        <v>279</v>
      </c>
      <c r="K292" s="18" t="n">
        <f aca="false">SUMIFS($I$2:$I$1200,$A$2:$A$1200,$A292,$B$2:$B$1200,"&lt;="&amp;$B292)</f>
        <v>237</v>
      </c>
      <c r="L292" s="18" t="n">
        <f aca="false">J292-K292</f>
        <v>42</v>
      </c>
      <c r="M292" s="18" t="n">
        <f aca="false">SUMIF($A$2:$A$1200,$A292,$H$2:$H$1200)</f>
        <v>280</v>
      </c>
      <c r="N292" s="20" t="n">
        <f aca="false">IF(M292=0,"",L292/M292)</f>
        <v>0.15</v>
      </c>
      <c r="O292" s="20"/>
      <c r="P292" s="20" t="str">
        <f aca="false">IF(OR(N292="",O292=""),"",N292-O292)</f>
        <v/>
      </c>
      <c r="Q292" s="18"/>
    </row>
    <row r="293" customFormat="false" ht="15" hidden="false" customHeight="true" outlineLevel="0" collapsed="false">
      <c r="A293" s="18" t="s">
        <v>300</v>
      </c>
      <c r="B293" s="18" t="n">
        <v>18</v>
      </c>
      <c r="C293" s="18" t="s">
        <v>226</v>
      </c>
      <c r="D293" s="18" t="n">
        <v>45</v>
      </c>
      <c r="E293" s="18" t="s">
        <v>262</v>
      </c>
      <c r="F293" s="18" t="s">
        <v>220</v>
      </c>
      <c r="G293" s="19" t="n">
        <v>40564</v>
      </c>
      <c r="H293" s="18" t="n">
        <v>1</v>
      </c>
      <c r="I293" s="18" t="n">
        <v>24</v>
      </c>
      <c r="J293" s="18" t="n">
        <f aca="false">SUMIFS($H$2:$H$1200,$A$2:$A$1200,$A293,$B$2:$B$1200,"&lt;="&amp;$B293)</f>
        <v>280</v>
      </c>
      <c r="K293" s="18" t="n">
        <f aca="false">SUMIFS($I$2:$I$1200,$A$2:$A$1200,$A293,$B$2:$B$1200,"&lt;="&amp;$B293)</f>
        <v>261</v>
      </c>
      <c r="L293" s="18" t="n">
        <f aca="false">J293-K293</f>
        <v>19</v>
      </c>
      <c r="M293" s="18" t="n">
        <f aca="false">SUMIF($A$2:$A$1200,$A293,$H$2:$H$1200)</f>
        <v>280</v>
      </c>
      <c r="N293" s="20" t="n">
        <f aca="false">IF(M293=0,"",L293/M293)</f>
        <v>0.0678571428571429</v>
      </c>
      <c r="O293" s="20"/>
      <c r="P293" s="20" t="str">
        <f aca="false">IF(OR(N293="",O293=""),"",N293-O293)</f>
        <v/>
      </c>
      <c r="Q293" s="18"/>
    </row>
    <row r="294" customFormat="false" ht="15" hidden="false" customHeight="true" outlineLevel="0" collapsed="false">
      <c r="A294" s="18" t="s">
        <v>306</v>
      </c>
      <c r="B294" s="18" t="n">
        <v>0</v>
      </c>
      <c r="C294" s="18" t="s">
        <v>204</v>
      </c>
      <c r="D294" s="18"/>
      <c r="E294" s="18" t="s">
        <v>262</v>
      </c>
      <c r="F294" s="18" t="s">
        <v>198</v>
      </c>
      <c r="G294" s="19" t="n">
        <v>40652</v>
      </c>
      <c r="H294" s="18" t="n">
        <v>0</v>
      </c>
      <c r="I294" s="18" t="n">
        <v>0</v>
      </c>
      <c r="J294" s="18" t="n">
        <f aca="false">SUMIFS($H$2:$H$1200,$A$2:$A$1200,$A294,$B$2:$B$1200,"&lt;="&amp;$B294)</f>
        <v>0</v>
      </c>
      <c r="K294" s="18" t="n">
        <f aca="false">SUMIFS($I$2:$I$1200,$A$2:$A$1200,$A294,$B$2:$B$1200,"&lt;="&amp;$B294)</f>
        <v>0</v>
      </c>
      <c r="L294" s="18" t="n">
        <f aca="false">J294-K294</f>
        <v>0</v>
      </c>
      <c r="M294" s="18" t="n">
        <f aca="false">SUMIF($A$2:$A$1200,$A294,$H$2:$H$1200)</f>
        <v>503</v>
      </c>
      <c r="N294" s="20" t="n">
        <f aca="false">IF(M294=0,"",L294/M294)</f>
        <v>0</v>
      </c>
      <c r="O294" s="20"/>
      <c r="P294" s="20" t="str">
        <f aca="false">IF(OR(N294="",O294=""),"",N294-O294)</f>
        <v/>
      </c>
      <c r="Q294" s="18"/>
    </row>
    <row r="295" customFormat="false" ht="15" hidden="false" customHeight="true" outlineLevel="0" collapsed="false">
      <c r="A295" s="18" t="s">
        <v>306</v>
      </c>
      <c r="B295" s="18" t="n">
        <v>1</v>
      </c>
      <c r="C295" s="18" t="s">
        <v>531</v>
      </c>
      <c r="D295" s="18" t="n">
        <v>-210</v>
      </c>
      <c r="E295" s="18" t="s">
        <v>262</v>
      </c>
      <c r="F295" s="18" t="s">
        <v>198</v>
      </c>
      <c r="G295" s="19" t="n">
        <v>40652</v>
      </c>
      <c r="H295" s="18" t="n">
        <v>0</v>
      </c>
      <c r="I295" s="18" t="n">
        <v>0</v>
      </c>
      <c r="J295" s="18" t="n">
        <f aca="false">SUMIFS($H$2:$H$1200,$A$2:$A$1200,$A295,$B$2:$B$1200,"&lt;="&amp;$B295)</f>
        <v>0</v>
      </c>
      <c r="K295" s="18" t="n">
        <f aca="false">SUMIFS($I$2:$I$1200,$A$2:$A$1200,$A295,$B$2:$B$1200,"&lt;="&amp;$B295)</f>
        <v>0</v>
      </c>
      <c r="L295" s="18" t="n">
        <f aca="false">J295-K295</f>
        <v>0</v>
      </c>
      <c r="M295" s="18" t="n">
        <f aca="false">SUMIF($A$2:$A$1200,$A295,$H$2:$H$1200)</f>
        <v>503</v>
      </c>
      <c r="N295" s="20" t="n">
        <f aca="false">IF(M295=0,"",L295/M295)</f>
        <v>0</v>
      </c>
      <c r="O295" s="20"/>
      <c r="P295" s="20" t="str">
        <f aca="false">IF(OR(N295="",O295=""),"",N295-O295)</f>
        <v/>
      </c>
      <c r="Q295" s="18"/>
    </row>
    <row r="296" customFormat="false" ht="15" hidden="false" customHeight="true" outlineLevel="0" collapsed="false">
      <c r="A296" s="18" t="s">
        <v>306</v>
      </c>
      <c r="B296" s="18" t="n">
        <v>2</v>
      </c>
      <c r="C296" s="18" t="s">
        <v>340</v>
      </c>
      <c r="D296" s="18" t="n">
        <v>-195</v>
      </c>
      <c r="E296" s="18" t="s">
        <v>262</v>
      </c>
      <c r="F296" s="18" t="s">
        <v>198</v>
      </c>
      <c r="G296" s="19" t="n">
        <v>40652</v>
      </c>
      <c r="H296" s="18" t="n">
        <v>0</v>
      </c>
      <c r="I296" s="18" t="n">
        <v>0</v>
      </c>
      <c r="J296" s="18" t="n">
        <f aca="false">SUMIFS($H$2:$H$1200,$A$2:$A$1200,$A296,$B$2:$B$1200,"&lt;="&amp;$B296)</f>
        <v>0</v>
      </c>
      <c r="K296" s="18" t="n">
        <f aca="false">SUMIFS($I$2:$I$1200,$A$2:$A$1200,$A296,$B$2:$B$1200,"&lt;="&amp;$B296)</f>
        <v>0</v>
      </c>
      <c r="L296" s="18" t="n">
        <f aca="false">J296-K296</f>
        <v>0</v>
      </c>
      <c r="M296" s="18" t="n">
        <f aca="false">SUMIF($A$2:$A$1200,$A296,$H$2:$H$1200)</f>
        <v>503</v>
      </c>
      <c r="N296" s="20" t="n">
        <f aca="false">IF(M296=0,"",L296/M296)</f>
        <v>0</v>
      </c>
      <c r="O296" s="20"/>
      <c r="P296" s="20" t="str">
        <f aca="false">IF(OR(N296="",O296=""),"",N296-O296)</f>
        <v/>
      </c>
      <c r="Q296" s="18"/>
    </row>
    <row r="297" customFormat="false" ht="15" hidden="false" customHeight="true" outlineLevel="0" collapsed="false">
      <c r="A297" s="18" t="s">
        <v>306</v>
      </c>
      <c r="B297" s="18" t="n">
        <v>3</v>
      </c>
      <c r="C297" s="18" t="s">
        <v>525</v>
      </c>
      <c r="D297" s="18" t="n">
        <v>-180</v>
      </c>
      <c r="E297" s="18" t="s">
        <v>262</v>
      </c>
      <c r="F297" s="18" t="s">
        <v>198</v>
      </c>
      <c r="G297" s="19" t="n">
        <v>40652</v>
      </c>
      <c r="H297" s="18" t="n">
        <v>0</v>
      </c>
      <c r="I297" s="18" t="n">
        <v>0</v>
      </c>
      <c r="J297" s="18" t="n">
        <f aca="false">SUMIFS($H$2:$H$1200,$A$2:$A$1200,$A297,$B$2:$B$1200,"&lt;="&amp;$B297)</f>
        <v>0</v>
      </c>
      <c r="K297" s="18" t="n">
        <f aca="false">SUMIFS($I$2:$I$1200,$A$2:$A$1200,$A297,$B$2:$B$1200,"&lt;="&amp;$B297)</f>
        <v>0</v>
      </c>
      <c r="L297" s="18" t="n">
        <f aca="false">J297-K297</f>
        <v>0</v>
      </c>
      <c r="M297" s="18" t="n">
        <f aca="false">SUMIF($A$2:$A$1200,$A297,$H$2:$H$1200)</f>
        <v>503</v>
      </c>
      <c r="N297" s="20" t="n">
        <f aca="false">IF(M297=0,"",L297/M297)</f>
        <v>0</v>
      </c>
      <c r="O297" s="20"/>
      <c r="P297" s="20" t="str">
        <f aca="false">IF(OR(N297="",O297=""),"",N297-O297)</f>
        <v/>
      </c>
      <c r="Q297" s="18"/>
    </row>
    <row r="298" customFormat="false" ht="15" hidden="false" customHeight="true" outlineLevel="0" collapsed="false">
      <c r="A298" s="18" t="s">
        <v>306</v>
      </c>
      <c r="B298" s="18" t="n">
        <v>4</v>
      </c>
      <c r="C298" s="18" t="s">
        <v>526</v>
      </c>
      <c r="D298" s="18" t="n">
        <v>-165</v>
      </c>
      <c r="E298" s="18" t="s">
        <v>262</v>
      </c>
      <c r="F298" s="18" t="s">
        <v>198</v>
      </c>
      <c r="G298" s="19" t="n">
        <v>40652</v>
      </c>
      <c r="H298" s="18" t="n">
        <v>7</v>
      </c>
      <c r="I298" s="18" t="n">
        <v>0</v>
      </c>
      <c r="J298" s="18" t="n">
        <f aca="false">SUMIFS($H$2:$H$1200,$A$2:$A$1200,$A298,$B$2:$B$1200,"&lt;="&amp;$B298)</f>
        <v>7</v>
      </c>
      <c r="K298" s="18" t="n">
        <f aca="false">SUMIFS($I$2:$I$1200,$A$2:$A$1200,$A298,$B$2:$B$1200,"&lt;="&amp;$B298)</f>
        <v>0</v>
      </c>
      <c r="L298" s="18" t="n">
        <f aca="false">J298-K298</f>
        <v>7</v>
      </c>
      <c r="M298" s="18" t="n">
        <f aca="false">SUMIF($A$2:$A$1200,$A298,$H$2:$H$1200)</f>
        <v>503</v>
      </c>
      <c r="N298" s="20" t="n">
        <f aca="false">IF(M298=0,"",L298/M298)</f>
        <v>0.0139165009940358</v>
      </c>
      <c r="O298" s="20"/>
      <c r="P298" s="20" t="str">
        <f aca="false">IF(OR(N298="",O298=""),"",N298-O298)</f>
        <v/>
      </c>
      <c r="Q298" s="18"/>
    </row>
    <row r="299" customFormat="false" ht="15" hidden="false" customHeight="true" outlineLevel="0" collapsed="false">
      <c r="A299" s="18" t="s">
        <v>306</v>
      </c>
      <c r="B299" s="18" t="n">
        <v>5</v>
      </c>
      <c r="C299" s="18" t="s">
        <v>527</v>
      </c>
      <c r="D299" s="18" t="n">
        <v>-150</v>
      </c>
      <c r="E299" s="18" t="s">
        <v>262</v>
      </c>
      <c r="F299" s="18" t="s">
        <v>198</v>
      </c>
      <c r="G299" s="19" t="n">
        <v>40652</v>
      </c>
      <c r="H299" s="18" t="n">
        <v>26</v>
      </c>
      <c r="I299" s="18" t="n">
        <v>0</v>
      </c>
      <c r="J299" s="18" t="n">
        <f aca="false">SUMIFS($H$2:$H$1200,$A$2:$A$1200,$A299,$B$2:$B$1200,"&lt;="&amp;$B299)</f>
        <v>33</v>
      </c>
      <c r="K299" s="18" t="n">
        <f aca="false">SUMIFS($I$2:$I$1200,$A$2:$A$1200,$A299,$B$2:$B$1200,"&lt;="&amp;$B299)</f>
        <v>0</v>
      </c>
      <c r="L299" s="18" t="n">
        <f aca="false">J299-K299</f>
        <v>33</v>
      </c>
      <c r="M299" s="18" t="n">
        <f aca="false">SUMIF($A$2:$A$1200,$A299,$H$2:$H$1200)</f>
        <v>503</v>
      </c>
      <c r="N299" s="20" t="n">
        <f aca="false">IF(M299=0,"",L299/M299)</f>
        <v>0.0656063618290259</v>
      </c>
      <c r="O299" s="20"/>
      <c r="P299" s="20" t="str">
        <f aca="false">IF(OR(N299="",O299=""),"",N299-O299)</f>
        <v/>
      </c>
      <c r="Q299" s="18"/>
    </row>
    <row r="300" customFormat="false" ht="15" hidden="false" customHeight="true" outlineLevel="0" collapsed="false">
      <c r="A300" s="18" t="s">
        <v>306</v>
      </c>
      <c r="B300" s="18" t="n">
        <v>6</v>
      </c>
      <c r="C300" s="18" t="s">
        <v>528</v>
      </c>
      <c r="D300" s="18" t="n">
        <v>-135</v>
      </c>
      <c r="E300" s="18" t="s">
        <v>262</v>
      </c>
      <c r="F300" s="18" t="s">
        <v>198</v>
      </c>
      <c r="G300" s="19" t="n">
        <v>40652</v>
      </c>
      <c r="H300" s="18" t="n">
        <v>36</v>
      </c>
      <c r="I300" s="18" t="n">
        <v>0</v>
      </c>
      <c r="J300" s="18" t="n">
        <f aca="false">SUMIFS($H$2:$H$1200,$A$2:$A$1200,$A300,$B$2:$B$1200,"&lt;="&amp;$B300)</f>
        <v>69</v>
      </c>
      <c r="K300" s="18" t="n">
        <f aca="false">SUMIFS($I$2:$I$1200,$A$2:$A$1200,$A300,$B$2:$B$1200,"&lt;="&amp;$B300)</f>
        <v>0</v>
      </c>
      <c r="L300" s="18" t="n">
        <f aca="false">J300-K300</f>
        <v>69</v>
      </c>
      <c r="M300" s="18" t="n">
        <f aca="false">SUMIF($A$2:$A$1200,$A300,$H$2:$H$1200)</f>
        <v>503</v>
      </c>
      <c r="N300" s="20" t="n">
        <f aca="false">IF(M300=0,"",L300/M300)</f>
        <v>0.137176938369781</v>
      </c>
      <c r="O300" s="20"/>
      <c r="P300" s="20" t="str">
        <f aca="false">IF(OR(N300="",O300=""),"",N300-O300)</f>
        <v/>
      </c>
      <c r="Q300" s="18"/>
    </row>
    <row r="301" customFormat="false" ht="15" hidden="false" customHeight="true" outlineLevel="0" collapsed="false">
      <c r="A301" s="18" t="s">
        <v>306</v>
      </c>
      <c r="B301" s="18" t="n">
        <v>7</v>
      </c>
      <c r="C301" s="18" t="s">
        <v>227</v>
      </c>
      <c r="D301" s="18" t="n">
        <v>-120</v>
      </c>
      <c r="E301" s="18" t="s">
        <v>262</v>
      </c>
      <c r="F301" s="18" t="s">
        <v>198</v>
      </c>
      <c r="G301" s="19" t="n">
        <v>40652</v>
      </c>
      <c r="H301" s="18" t="n">
        <v>76</v>
      </c>
      <c r="I301" s="18" t="n">
        <v>0</v>
      </c>
      <c r="J301" s="18" t="n">
        <f aca="false">SUMIFS($H$2:$H$1200,$A$2:$A$1200,$A301,$B$2:$B$1200,"&lt;="&amp;$B301)</f>
        <v>145</v>
      </c>
      <c r="K301" s="18" t="n">
        <f aca="false">SUMIFS($I$2:$I$1200,$A$2:$A$1200,$A301,$B$2:$B$1200,"&lt;="&amp;$B301)</f>
        <v>0</v>
      </c>
      <c r="L301" s="18" t="n">
        <f aca="false">J301-K301</f>
        <v>145</v>
      </c>
      <c r="M301" s="18" t="n">
        <f aca="false">SUMIF($A$2:$A$1200,$A301,$H$2:$H$1200)</f>
        <v>503</v>
      </c>
      <c r="N301" s="20" t="n">
        <f aca="false">IF(M301=0,"",L301/M301)</f>
        <v>0.288270377733598</v>
      </c>
      <c r="O301" s="20"/>
      <c r="P301" s="20" t="str">
        <f aca="false">IF(OR(N301="",O301=""),"",N301-O301)</f>
        <v/>
      </c>
      <c r="Q301" s="18"/>
    </row>
    <row r="302" customFormat="false" ht="15" hidden="false" customHeight="true" outlineLevel="0" collapsed="false">
      <c r="A302" s="18" t="s">
        <v>306</v>
      </c>
      <c r="B302" s="18" t="n">
        <v>8</v>
      </c>
      <c r="C302" s="18" t="s">
        <v>241</v>
      </c>
      <c r="D302" s="18" t="n">
        <v>-105</v>
      </c>
      <c r="E302" s="18" t="s">
        <v>262</v>
      </c>
      <c r="F302" s="18" t="s">
        <v>198</v>
      </c>
      <c r="G302" s="19" t="n">
        <v>40652</v>
      </c>
      <c r="H302" s="18" t="n">
        <v>70</v>
      </c>
      <c r="I302" s="18" t="n">
        <v>7</v>
      </c>
      <c r="J302" s="18" t="n">
        <f aca="false">SUMIFS($H$2:$H$1200,$A$2:$A$1200,$A302,$B$2:$B$1200,"&lt;="&amp;$B302)</f>
        <v>215</v>
      </c>
      <c r="K302" s="18" t="n">
        <f aca="false">SUMIFS($I$2:$I$1200,$A$2:$A$1200,$A302,$B$2:$B$1200,"&lt;="&amp;$B302)</f>
        <v>7</v>
      </c>
      <c r="L302" s="18" t="n">
        <f aca="false">J302-K302</f>
        <v>208</v>
      </c>
      <c r="M302" s="18" t="n">
        <f aca="false">SUMIF($A$2:$A$1200,$A302,$H$2:$H$1200)</f>
        <v>503</v>
      </c>
      <c r="N302" s="20" t="n">
        <f aca="false">IF(M302=0,"",L302/M302)</f>
        <v>0.413518886679921</v>
      </c>
      <c r="O302" s="20"/>
      <c r="P302" s="20" t="str">
        <f aca="false">IF(OR(N302="",O302=""),"",N302-O302)</f>
        <v/>
      </c>
      <c r="Q302" s="18"/>
    </row>
    <row r="303" customFormat="false" ht="15" hidden="false" customHeight="true" outlineLevel="0" collapsed="false">
      <c r="A303" s="18" t="s">
        <v>306</v>
      </c>
      <c r="B303" s="18" t="n">
        <v>9</v>
      </c>
      <c r="C303" s="18" t="s">
        <v>279</v>
      </c>
      <c r="D303" s="18" t="n">
        <v>-90</v>
      </c>
      <c r="E303" s="18" t="s">
        <v>262</v>
      </c>
      <c r="F303" s="18" t="s">
        <v>198</v>
      </c>
      <c r="G303" s="19" t="n">
        <v>40652</v>
      </c>
      <c r="H303" s="18" t="n">
        <v>90</v>
      </c>
      <c r="I303" s="18" t="n">
        <v>34</v>
      </c>
      <c r="J303" s="18" t="n">
        <f aca="false">SUMIFS($H$2:$H$1200,$A$2:$A$1200,$A303,$B$2:$B$1200,"&lt;="&amp;$B303)</f>
        <v>305</v>
      </c>
      <c r="K303" s="18" t="n">
        <f aca="false">SUMIFS($I$2:$I$1200,$A$2:$A$1200,$A303,$B$2:$B$1200,"&lt;="&amp;$B303)</f>
        <v>41</v>
      </c>
      <c r="L303" s="18" t="n">
        <f aca="false">J303-K303</f>
        <v>264</v>
      </c>
      <c r="M303" s="18" t="n">
        <f aca="false">SUMIF($A$2:$A$1200,$A303,$H$2:$H$1200)</f>
        <v>503</v>
      </c>
      <c r="N303" s="20" t="n">
        <f aca="false">IF(M303=0,"",L303/M303)</f>
        <v>0.524850894632207</v>
      </c>
      <c r="O303" s="20"/>
      <c r="P303" s="20" t="str">
        <f aca="false">IF(OR(N303="",O303=""),"",N303-O303)</f>
        <v/>
      </c>
      <c r="Q303" s="18"/>
    </row>
    <row r="304" customFormat="false" ht="15" hidden="false" customHeight="true" outlineLevel="0" collapsed="false">
      <c r="A304" s="18" t="s">
        <v>306</v>
      </c>
      <c r="B304" s="18" t="n">
        <v>10</v>
      </c>
      <c r="C304" s="18" t="s">
        <v>206</v>
      </c>
      <c r="D304" s="18" t="n">
        <v>-75</v>
      </c>
      <c r="E304" s="18" t="s">
        <v>262</v>
      </c>
      <c r="F304" s="18" t="s">
        <v>198</v>
      </c>
      <c r="G304" s="19" t="n">
        <v>40652</v>
      </c>
      <c r="H304" s="18" t="n">
        <v>60</v>
      </c>
      <c r="I304" s="18" t="n">
        <v>37</v>
      </c>
      <c r="J304" s="18" t="n">
        <f aca="false">SUMIFS($H$2:$H$1200,$A$2:$A$1200,$A304,$B$2:$B$1200,"&lt;="&amp;$B304)</f>
        <v>365</v>
      </c>
      <c r="K304" s="18" t="n">
        <f aca="false">SUMIFS($I$2:$I$1200,$A$2:$A$1200,$A304,$B$2:$B$1200,"&lt;="&amp;$B304)</f>
        <v>78</v>
      </c>
      <c r="L304" s="18" t="n">
        <f aca="false">J304-K304</f>
        <v>287</v>
      </c>
      <c r="M304" s="18" t="n">
        <f aca="false">SUMIF($A$2:$A$1200,$A304,$H$2:$H$1200)</f>
        <v>503</v>
      </c>
      <c r="N304" s="20" t="n">
        <f aca="false">IF(M304=0,"",L304/M304)</f>
        <v>0.570576540755467</v>
      </c>
      <c r="O304" s="20"/>
      <c r="P304" s="20" t="str">
        <f aca="false">IF(OR(N304="",O304=""),"",N304-O304)</f>
        <v/>
      </c>
      <c r="Q304" s="18"/>
    </row>
    <row r="305" customFormat="false" ht="15" hidden="false" customHeight="true" outlineLevel="0" collapsed="false">
      <c r="A305" s="18" t="s">
        <v>306</v>
      </c>
      <c r="B305" s="18" t="n">
        <v>11</v>
      </c>
      <c r="C305" s="18" t="s">
        <v>246</v>
      </c>
      <c r="D305" s="18" t="n">
        <v>-60</v>
      </c>
      <c r="E305" s="18" t="s">
        <v>262</v>
      </c>
      <c r="F305" s="18" t="s">
        <v>198</v>
      </c>
      <c r="G305" s="19" t="n">
        <v>40652</v>
      </c>
      <c r="H305" s="18" t="n">
        <v>46</v>
      </c>
      <c r="I305" s="18" t="n">
        <v>60</v>
      </c>
      <c r="J305" s="18" t="n">
        <f aca="false">SUMIFS($H$2:$H$1200,$A$2:$A$1200,$A305,$B$2:$B$1200,"&lt;="&amp;$B305)</f>
        <v>411</v>
      </c>
      <c r="K305" s="18" t="n">
        <f aca="false">SUMIFS($I$2:$I$1200,$A$2:$A$1200,$A305,$B$2:$B$1200,"&lt;="&amp;$B305)</f>
        <v>138</v>
      </c>
      <c r="L305" s="18" t="n">
        <f aca="false">J305-K305</f>
        <v>273</v>
      </c>
      <c r="M305" s="18" t="n">
        <f aca="false">SUMIF($A$2:$A$1200,$A305,$H$2:$H$1200)</f>
        <v>503</v>
      </c>
      <c r="N305" s="20" t="n">
        <f aca="false">IF(M305=0,"",L305/M305)</f>
        <v>0.542743538767396</v>
      </c>
      <c r="O305" s="20"/>
      <c r="P305" s="20" t="str">
        <f aca="false">IF(OR(N305="",O305=""),"",N305-O305)</f>
        <v/>
      </c>
      <c r="Q305" s="18"/>
    </row>
    <row r="306" customFormat="false" ht="15" hidden="false" customHeight="true" outlineLevel="0" collapsed="false">
      <c r="A306" s="18" t="s">
        <v>306</v>
      </c>
      <c r="B306" s="18" t="n">
        <v>12</v>
      </c>
      <c r="C306" s="18" t="s">
        <v>254</v>
      </c>
      <c r="D306" s="18" t="n">
        <v>-45</v>
      </c>
      <c r="E306" s="18" t="s">
        <v>262</v>
      </c>
      <c r="F306" s="18" t="s">
        <v>198</v>
      </c>
      <c r="G306" s="19" t="n">
        <v>40652</v>
      </c>
      <c r="H306" s="18" t="n">
        <v>31</v>
      </c>
      <c r="I306" s="18" t="n">
        <v>100</v>
      </c>
      <c r="J306" s="18" t="n">
        <f aca="false">SUMIFS($H$2:$H$1200,$A$2:$A$1200,$A306,$B$2:$B$1200,"&lt;="&amp;$B306)</f>
        <v>442</v>
      </c>
      <c r="K306" s="18" t="n">
        <f aca="false">SUMIFS($I$2:$I$1200,$A$2:$A$1200,$A306,$B$2:$B$1200,"&lt;="&amp;$B306)</f>
        <v>238</v>
      </c>
      <c r="L306" s="18" t="n">
        <f aca="false">J306-K306</f>
        <v>204</v>
      </c>
      <c r="M306" s="18" t="n">
        <f aca="false">SUMIF($A$2:$A$1200,$A306,$H$2:$H$1200)</f>
        <v>503</v>
      </c>
      <c r="N306" s="20" t="n">
        <f aca="false">IF(M306=0,"",L306/M306)</f>
        <v>0.405566600397614</v>
      </c>
      <c r="O306" s="20"/>
      <c r="P306" s="20" t="str">
        <f aca="false">IF(OR(N306="",O306=""),"",N306-O306)</f>
        <v/>
      </c>
      <c r="Q306" s="18"/>
    </row>
    <row r="307" customFormat="false" ht="15" hidden="false" customHeight="true" outlineLevel="0" collapsed="false">
      <c r="A307" s="18" t="s">
        <v>306</v>
      </c>
      <c r="B307" s="18" t="n">
        <v>13</v>
      </c>
      <c r="C307" s="18" t="s">
        <v>403</v>
      </c>
      <c r="D307" s="18" t="n">
        <v>-30</v>
      </c>
      <c r="E307" s="18" t="s">
        <v>262</v>
      </c>
      <c r="F307" s="18" t="s">
        <v>198</v>
      </c>
      <c r="G307" s="19" t="n">
        <v>40652</v>
      </c>
      <c r="H307" s="18" t="n">
        <v>24</v>
      </c>
      <c r="I307" s="18" t="n">
        <v>67</v>
      </c>
      <c r="J307" s="18" t="n">
        <f aca="false">SUMIFS($H$2:$H$1200,$A$2:$A$1200,$A307,$B$2:$B$1200,"&lt;="&amp;$B307)</f>
        <v>466</v>
      </c>
      <c r="K307" s="18" t="n">
        <f aca="false">SUMIFS($I$2:$I$1200,$A$2:$A$1200,$A307,$B$2:$B$1200,"&lt;="&amp;$B307)</f>
        <v>305</v>
      </c>
      <c r="L307" s="18" t="n">
        <f aca="false">J307-K307</f>
        <v>161</v>
      </c>
      <c r="M307" s="18" t="n">
        <f aca="false">SUMIF($A$2:$A$1200,$A307,$H$2:$H$1200)</f>
        <v>503</v>
      </c>
      <c r="N307" s="20" t="n">
        <f aca="false">IF(M307=0,"",L307/M307)</f>
        <v>0.320079522862823</v>
      </c>
      <c r="O307" s="20"/>
      <c r="P307" s="20" t="str">
        <f aca="false">IF(OR(N307="",O307=""),"",N307-O307)</f>
        <v/>
      </c>
      <c r="Q307" s="18"/>
    </row>
    <row r="308" customFormat="false" ht="15" hidden="false" customHeight="true" outlineLevel="0" collapsed="false">
      <c r="A308" s="18" t="s">
        <v>306</v>
      </c>
      <c r="B308" s="18" t="n">
        <v>14</v>
      </c>
      <c r="C308" s="18" t="s">
        <v>529</v>
      </c>
      <c r="D308" s="18" t="n">
        <v>-15</v>
      </c>
      <c r="E308" s="18" t="s">
        <v>262</v>
      </c>
      <c r="F308" s="18" t="s">
        <v>198</v>
      </c>
      <c r="G308" s="19" t="n">
        <v>40652</v>
      </c>
      <c r="H308" s="18" t="n">
        <v>12</v>
      </c>
      <c r="I308" s="18" t="n">
        <v>52</v>
      </c>
      <c r="J308" s="18" t="n">
        <f aca="false">SUMIFS($H$2:$H$1200,$A$2:$A$1200,$A308,$B$2:$B$1200,"&lt;="&amp;$B308)</f>
        <v>478</v>
      </c>
      <c r="K308" s="18" t="n">
        <f aca="false">SUMIFS($I$2:$I$1200,$A$2:$A$1200,$A308,$B$2:$B$1200,"&lt;="&amp;$B308)</f>
        <v>357</v>
      </c>
      <c r="L308" s="18" t="n">
        <f aca="false">J308-K308</f>
        <v>121</v>
      </c>
      <c r="M308" s="18" t="n">
        <f aca="false">SUMIF($A$2:$A$1200,$A308,$H$2:$H$1200)</f>
        <v>503</v>
      </c>
      <c r="N308" s="20" t="n">
        <f aca="false">IF(M308=0,"",L308/M308)</f>
        <v>0.240556660039761</v>
      </c>
      <c r="O308" s="20"/>
      <c r="P308" s="20" t="str">
        <f aca="false">IF(OR(N308="",O308=""),"",N308-O308)</f>
        <v/>
      </c>
      <c r="Q308" s="18"/>
    </row>
    <row r="309" customFormat="false" ht="15" hidden="false" customHeight="true" outlineLevel="0" collapsed="false">
      <c r="A309" s="18" t="s">
        <v>306</v>
      </c>
      <c r="B309" s="18" t="n">
        <v>15</v>
      </c>
      <c r="C309" s="18" t="s">
        <v>463</v>
      </c>
      <c r="D309" s="18" t="n">
        <v>0</v>
      </c>
      <c r="E309" s="18" t="s">
        <v>262</v>
      </c>
      <c r="F309" s="18" t="s">
        <v>198</v>
      </c>
      <c r="G309" s="19" t="n">
        <v>40652</v>
      </c>
      <c r="H309" s="18" t="n">
        <v>19</v>
      </c>
      <c r="I309" s="18" t="n">
        <v>42</v>
      </c>
      <c r="J309" s="18" t="n">
        <f aca="false">SUMIFS($H$2:$H$1200,$A$2:$A$1200,$A309,$B$2:$B$1200,"&lt;="&amp;$B309)</f>
        <v>497</v>
      </c>
      <c r="K309" s="18" t="n">
        <f aca="false">SUMIFS($I$2:$I$1200,$A$2:$A$1200,$A309,$B$2:$B$1200,"&lt;="&amp;$B309)</f>
        <v>399</v>
      </c>
      <c r="L309" s="18" t="n">
        <f aca="false">J309-K309</f>
        <v>98</v>
      </c>
      <c r="M309" s="18" t="n">
        <f aca="false">SUMIF($A$2:$A$1200,$A309,$H$2:$H$1200)</f>
        <v>503</v>
      </c>
      <c r="N309" s="20" t="n">
        <f aca="false">IF(M309=0,"",L309/M309)</f>
        <v>0.194831013916501</v>
      </c>
      <c r="O309" s="20"/>
      <c r="P309" s="20" t="str">
        <f aca="false">IF(OR(N309="",O309=""),"",N309-O309)</f>
        <v/>
      </c>
      <c r="Q309" s="18"/>
    </row>
    <row r="310" customFormat="false" ht="15" hidden="false" customHeight="true" outlineLevel="0" collapsed="false">
      <c r="A310" s="18" t="s">
        <v>306</v>
      </c>
      <c r="B310" s="18" t="n">
        <v>16</v>
      </c>
      <c r="C310" s="18" t="s">
        <v>366</v>
      </c>
      <c r="D310" s="18" t="n">
        <v>15</v>
      </c>
      <c r="E310" s="18" t="s">
        <v>262</v>
      </c>
      <c r="F310" s="18" t="s">
        <v>198</v>
      </c>
      <c r="G310" s="19" t="n">
        <v>40652</v>
      </c>
      <c r="H310" s="18" t="n">
        <v>2</v>
      </c>
      <c r="I310" s="18" t="n">
        <v>34</v>
      </c>
      <c r="J310" s="18" t="n">
        <f aca="false">SUMIFS($H$2:$H$1200,$A$2:$A$1200,$A310,$B$2:$B$1200,"&lt;="&amp;$B310)</f>
        <v>499</v>
      </c>
      <c r="K310" s="18" t="n">
        <f aca="false">SUMIFS($I$2:$I$1200,$A$2:$A$1200,$A310,$B$2:$B$1200,"&lt;="&amp;$B310)</f>
        <v>433</v>
      </c>
      <c r="L310" s="18" t="n">
        <f aca="false">J310-K310</f>
        <v>66</v>
      </c>
      <c r="M310" s="18" t="n">
        <f aca="false">SUMIF($A$2:$A$1200,$A310,$H$2:$H$1200)</f>
        <v>503</v>
      </c>
      <c r="N310" s="20" t="n">
        <f aca="false">IF(M310=0,"",L310/M310)</f>
        <v>0.131212723658052</v>
      </c>
      <c r="O310" s="20"/>
      <c r="P310" s="20" t="str">
        <f aca="false">IF(OR(N310="",O310=""),"",N310-O310)</f>
        <v/>
      </c>
      <c r="Q310" s="18"/>
    </row>
    <row r="311" customFormat="false" ht="15" hidden="false" customHeight="true" outlineLevel="0" collapsed="false">
      <c r="A311" s="18" t="s">
        <v>306</v>
      </c>
      <c r="B311" s="18" t="n">
        <v>17</v>
      </c>
      <c r="C311" s="18" t="s">
        <v>326</v>
      </c>
      <c r="D311" s="18" t="n">
        <v>30</v>
      </c>
      <c r="E311" s="18" t="s">
        <v>262</v>
      </c>
      <c r="F311" s="18" t="s">
        <v>198</v>
      </c>
      <c r="G311" s="19" t="n">
        <v>40652</v>
      </c>
      <c r="H311" s="18" t="n">
        <v>4</v>
      </c>
      <c r="I311" s="18" t="n">
        <v>42</v>
      </c>
      <c r="J311" s="18" t="n">
        <f aca="false">SUMIFS($H$2:$H$1200,$A$2:$A$1200,$A311,$B$2:$B$1200,"&lt;="&amp;$B311)</f>
        <v>503</v>
      </c>
      <c r="K311" s="18" t="n">
        <f aca="false">SUMIFS($I$2:$I$1200,$A$2:$A$1200,$A311,$B$2:$B$1200,"&lt;="&amp;$B311)</f>
        <v>475</v>
      </c>
      <c r="L311" s="18" t="n">
        <f aca="false">J311-K311</f>
        <v>28</v>
      </c>
      <c r="M311" s="18" t="n">
        <f aca="false">SUMIF($A$2:$A$1200,$A311,$H$2:$H$1200)</f>
        <v>503</v>
      </c>
      <c r="N311" s="20" t="n">
        <f aca="false">IF(M311=0,"",L311/M311)</f>
        <v>0.0556660039761431</v>
      </c>
      <c r="O311" s="20"/>
      <c r="P311" s="20" t="str">
        <f aca="false">IF(OR(N311="",O311=""),"",N311-O311)</f>
        <v/>
      </c>
      <c r="Q311" s="18"/>
    </row>
    <row r="312" customFormat="false" ht="15" hidden="false" customHeight="true" outlineLevel="0" collapsed="false">
      <c r="A312" s="18" t="s">
        <v>306</v>
      </c>
      <c r="B312" s="18" t="n">
        <v>18</v>
      </c>
      <c r="C312" s="18" t="s">
        <v>226</v>
      </c>
      <c r="D312" s="18" t="n">
        <v>45</v>
      </c>
      <c r="E312" s="18" t="s">
        <v>262</v>
      </c>
      <c r="F312" s="18" t="s">
        <v>198</v>
      </c>
      <c r="G312" s="19" t="n">
        <v>40652</v>
      </c>
      <c r="H312" s="18" t="n">
        <v>0</v>
      </c>
      <c r="I312" s="18" t="n">
        <v>17</v>
      </c>
      <c r="J312" s="18" t="n">
        <f aca="false">SUMIFS($H$2:$H$1200,$A$2:$A$1200,$A312,$B$2:$B$1200,"&lt;="&amp;$B312)</f>
        <v>503</v>
      </c>
      <c r="K312" s="18" t="n">
        <f aca="false">SUMIFS($I$2:$I$1200,$A$2:$A$1200,$A312,$B$2:$B$1200,"&lt;="&amp;$B312)</f>
        <v>492</v>
      </c>
      <c r="L312" s="18" t="n">
        <f aca="false">J312-K312</f>
        <v>11</v>
      </c>
      <c r="M312" s="18" t="n">
        <f aca="false">SUMIF($A$2:$A$1200,$A312,$H$2:$H$1200)</f>
        <v>503</v>
      </c>
      <c r="N312" s="20" t="n">
        <f aca="false">IF(M312=0,"",L312/M312)</f>
        <v>0.021868787276342</v>
      </c>
      <c r="O312" s="20"/>
      <c r="P312" s="20" t="str">
        <f aca="false">IF(OR(N312="",O312=""),"",N312-O312)</f>
        <v/>
      </c>
      <c r="Q312" s="18"/>
    </row>
    <row r="313" customFormat="false" ht="15" hidden="false" customHeight="true" outlineLevel="0" collapsed="false">
      <c r="A313" s="18" t="s">
        <v>312</v>
      </c>
      <c r="B313" s="18" t="n">
        <v>0</v>
      </c>
      <c r="C313" s="18" t="s">
        <v>204</v>
      </c>
      <c r="D313" s="18"/>
      <c r="E313" s="18" t="s">
        <v>313</v>
      </c>
      <c r="F313" s="18" t="s">
        <v>198</v>
      </c>
      <c r="G313" s="19" t="n">
        <v>35886</v>
      </c>
      <c r="H313" s="18" t="n">
        <v>599</v>
      </c>
      <c r="I313" s="18" t="n">
        <v>3</v>
      </c>
      <c r="J313" s="18" t="n">
        <f aca="false">SUMIFS($H$2:$H$1200,$A$2:$A$1200,$A313,$B$2:$B$1200,"&lt;="&amp;$B313)</f>
        <v>599</v>
      </c>
      <c r="K313" s="18" t="n">
        <f aca="false">SUMIFS($I$2:$I$1200,$A$2:$A$1200,$A313,$B$2:$B$1200,"&lt;="&amp;$B313)</f>
        <v>3</v>
      </c>
      <c r="L313" s="18" t="n">
        <f aca="false">J313-K313</f>
        <v>596</v>
      </c>
      <c r="M313" s="18" t="n">
        <f aca="false">SUMIF($A$2:$A$1200,$A313,$H$2:$H$1200)</f>
        <v>1732</v>
      </c>
      <c r="N313" s="20" t="n">
        <f aca="false">IF(M313=0,"",L313/M313)</f>
        <v>0.344110854503464</v>
      </c>
      <c r="O313" s="20" t="n">
        <v>0.344110854503464</v>
      </c>
      <c r="P313" s="20" t="n">
        <f aca="false">IF(OR(N313="",O313=""),"",N313-O313)</f>
        <v>0</v>
      </c>
      <c r="Q313" s="18"/>
    </row>
    <row r="314" customFormat="false" ht="15" hidden="false" customHeight="true" outlineLevel="0" collapsed="false">
      <c r="A314" s="18" t="s">
        <v>312</v>
      </c>
      <c r="B314" s="18" t="n">
        <v>7</v>
      </c>
      <c r="C314" s="18" t="s">
        <v>227</v>
      </c>
      <c r="D314" s="18" t="n">
        <v>-120</v>
      </c>
      <c r="E314" s="18" t="s">
        <v>313</v>
      </c>
      <c r="F314" s="18" t="s">
        <v>198</v>
      </c>
      <c r="G314" s="19" t="n">
        <v>35886</v>
      </c>
      <c r="H314" s="18" t="n">
        <v>247</v>
      </c>
      <c r="I314" s="18" t="n">
        <v>6</v>
      </c>
      <c r="J314" s="18" t="n">
        <f aca="false">SUMIFS($H$2:$H$1200,$A$2:$A$1200,$A314,$B$2:$B$1200,"&lt;="&amp;$B314)</f>
        <v>846</v>
      </c>
      <c r="K314" s="18" t="n">
        <f aca="false">SUMIFS($I$2:$I$1200,$A$2:$A$1200,$A314,$B$2:$B$1200,"&lt;="&amp;$B314)</f>
        <v>9</v>
      </c>
      <c r="L314" s="18" t="n">
        <f aca="false">J314-K314</f>
        <v>837</v>
      </c>
      <c r="M314" s="18" t="n">
        <f aca="false">SUMIF($A$2:$A$1200,$A314,$H$2:$H$1200)</f>
        <v>1732</v>
      </c>
      <c r="N314" s="20" t="n">
        <f aca="false">IF(M314=0,"",L314/M314)</f>
        <v>0.483256351039261</v>
      </c>
      <c r="O314" s="20" t="n">
        <v>0.483256351039261</v>
      </c>
      <c r="P314" s="20" t="n">
        <f aca="false">IF(OR(N314="",O314=""),"",N314-O314)</f>
        <v>0</v>
      </c>
      <c r="Q314" s="18"/>
    </row>
    <row r="315" customFormat="false" ht="15" hidden="false" customHeight="true" outlineLevel="0" collapsed="false">
      <c r="A315" s="18" t="s">
        <v>312</v>
      </c>
      <c r="B315" s="18" t="n">
        <v>8</v>
      </c>
      <c r="C315" s="18" t="s">
        <v>241</v>
      </c>
      <c r="D315" s="18" t="n">
        <v>-105</v>
      </c>
      <c r="E315" s="18" t="s">
        <v>313</v>
      </c>
      <c r="F315" s="18" t="s">
        <v>198</v>
      </c>
      <c r="G315" s="19" t="n">
        <v>35886</v>
      </c>
      <c r="H315" s="18" t="n">
        <v>194</v>
      </c>
      <c r="I315" s="18" t="n">
        <v>14</v>
      </c>
      <c r="J315" s="18" t="n">
        <f aca="false">SUMIFS($H$2:$H$1200,$A$2:$A$1200,$A315,$B$2:$B$1200,"&lt;="&amp;$B315)</f>
        <v>1040</v>
      </c>
      <c r="K315" s="18" t="n">
        <f aca="false">SUMIFS($I$2:$I$1200,$A$2:$A$1200,$A315,$B$2:$B$1200,"&lt;="&amp;$B315)</f>
        <v>23</v>
      </c>
      <c r="L315" s="18" t="n">
        <f aca="false">J315-K315</f>
        <v>1017</v>
      </c>
      <c r="M315" s="18" t="n">
        <f aca="false">SUMIF($A$2:$A$1200,$A315,$H$2:$H$1200)</f>
        <v>1732</v>
      </c>
      <c r="N315" s="20" t="n">
        <f aca="false">IF(M315=0,"",L315/M315)</f>
        <v>0.587182448036952</v>
      </c>
      <c r="O315" s="20" t="n">
        <v>0.587182448036952</v>
      </c>
      <c r="P315" s="20" t="n">
        <f aca="false">IF(OR(N315="",O315=""),"",N315-O315)</f>
        <v>0</v>
      </c>
      <c r="Q315" s="18"/>
    </row>
    <row r="316" customFormat="false" ht="15" hidden="false" customHeight="true" outlineLevel="0" collapsed="false">
      <c r="A316" s="18" t="s">
        <v>312</v>
      </c>
      <c r="B316" s="18" t="n">
        <v>9</v>
      </c>
      <c r="C316" s="18" t="s">
        <v>279</v>
      </c>
      <c r="D316" s="18" t="n">
        <v>-90</v>
      </c>
      <c r="E316" s="18" t="s">
        <v>313</v>
      </c>
      <c r="F316" s="18" t="s">
        <v>198</v>
      </c>
      <c r="G316" s="19" t="n">
        <v>35886</v>
      </c>
      <c r="H316" s="18" t="n">
        <v>183</v>
      </c>
      <c r="I316" s="18" t="n">
        <v>40</v>
      </c>
      <c r="J316" s="18" t="n">
        <f aca="false">SUMIFS($H$2:$H$1200,$A$2:$A$1200,$A316,$B$2:$B$1200,"&lt;="&amp;$B316)</f>
        <v>1223</v>
      </c>
      <c r="K316" s="18" t="n">
        <f aca="false">SUMIFS($I$2:$I$1200,$A$2:$A$1200,$A316,$B$2:$B$1200,"&lt;="&amp;$B316)</f>
        <v>63</v>
      </c>
      <c r="L316" s="18" t="n">
        <f aca="false">J316-K316</f>
        <v>1160</v>
      </c>
      <c r="M316" s="18" t="n">
        <f aca="false">SUMIF($A$2:$A$1200,$A316,$H$2:$H$1200)</f>
        <v>1732</v>
      </c>
      <c r="N316" s="20" t="n">
        <f aca="false">IF(M316=0,"",L316/M316)</f>
        <v>0.669745958429561</v>
      </c>
      <c r="O316" s="20" t="n">
        <v>0.669745958429561</v>
      </c>
      <c r="P316" s="20" t="n">
        <f aca="false">IF(OR(N316="",O316=""),"",N316-O316)</f>
        <v>0</v>
      </c>
      <c r="Q316" s="18"/>
    </row>
    <row r="317" customFormat="false" ht="15" hidden="false" customHeight="true" outlineLevel="0" collapsed="false">
      <c r="A317" s="18" t="s">
        <v>312</v>
      </c>
      <c r="B317" s="18" t="n">
        <v>10</v>
      </c>
      <c r="C317" s="18" t="s">
        <v>206</v>
      </c>
      <c r="D317" s="18" t="n">
        <v>-75</v>
      </c>
      <c r="E317" s="18" t="s">
        <v>313</v>
      </c>
      <c r="F317" s="18" t="s">
        <v>198</v>
      </c>
      <c r="G317" s="19" t="n">
        <v>35886</v>
      </c>
      <c r="H317" s="18" t="n">
        <v>157</v>
      </c>
      <c r="I317" s="18" t="n">
        <v>93</v>
      </c>
      <c r="J317" s="18" t="n">
        <f aca="false">SUMIFS($H$2:$H$1200,$A$2:$A$1200,$A317,$B$2:$B$1200,"&lt;="&amp;$B317)</f>
        <v>1380</v>
      </c>
      <c r="K317" s="18" t="n">
        <f aca="false">SUMIFS($I$2:$I$1200,$A$2:$A$1200,$A317,$B$2:$B$1200,"&lt;="&amp;$B317)</f>
        <v>156</v>
      </c>
      <c r="L317" s="18" t="n">
        <f aca="false">J317-K317</f>
        <v>1224</v>
      </c>
      <c r="M317" s="18" t="n">
        <f aca="false">SUMIF($A$2:$A$1200,$A317,$H$2:$H$1200)</f>
        <v>1732</v>
      </c>
      <c r="N317" s="20" t="n">
        <f aca="false">IF(M317=0,"",L317/M317)</f>
        <v>0.706697459584296</v>
      </c>
      <c r="O317" s="20" t="n">
        <v>0.706697459584296</v>
      </c>
      <c r="P317" s="20" t="n">
        <f aca="false">IF(OR(N317="",O317=""),"",N317-O317)</f>
        <v>0</v>
      </c>
      <c r="Q317" s="18"/>
    </row>
    <row r="318" customFormat="false" ht="15" hidden="false" customHeight="true" outlineLevel="0" collapsed="false">
      <c r="A318" s="18" t="s">
        <v>312</v>
      </c>
      <c r="B318" s="18" t="n">
        <v>11</v>
      </c>
      <c r="C318" s="18" t="s">
        <v>246</v>
      </c>
      <c r="D318" s="18" t="n">
        <v>-60</v>
      </c>
      <c r="E318" s="18" t="s">
        <v>313</v>
      </c>
      <c r="F318" s="18" t="s">
        <v>198</v>
      </c>
      <c r="G318" s="19" t="n">
        <v>35886</v>
      </c>
      <c r="H318" s="18" t="n">
        <v>115</v>
      </c>
      <c r="I318" s="18" t="n">
        <v>112</v>
      </c>
      <c r="J318" s="18" t="n">
        <f aca="false">SUMIFS($H$2:$H$1200,$A$2:$A$1200,$A318,$B$2:$B$1200,"&lt;="&amp;$B318)</f>
        <v>1495</v>
      </c>
      <c r="K318" s="18" t="n">
        <f aca="false">SUMIFS($I$2:$I$1200,$A$2:$A$1200,$A318,$B$2:$B$1200,"&lt;="&amp;$B318)</f>
        <v>268</v>
      </c>
      <c r="L318" s="18" t="n">
        <f aca="false">J318-K318</f>
        <v>1227</v>
      </c>
      <c r="M318" s="18" t="n">
        <f aca="false">SUMIF($A$2:$A$1200,$A318,$H$2:$H$1200)</f>
        <v>1732</v>
      </c>
      <c r="N318" s="20" t="n">
        <f aca="false">IF(M318=0,"",L318/M318)</f>
        <v>0.708429561200924</v>
      </c>
      <c r="O318" s="20" t="n">
        <v>0.708429561200924</v>
      </c>
      <c r="P318" s="20" t="n">
        <f aca="false">IF(OR(N318="",O318=""),"",N318-O318)</f>
        <v>0</v>
      </c>
      <c r="Q318" s="18"/>
    </row>
    <row r="319" customFormat="false" ht="15" hidden="false" customHeight="true" outlineLevel="0" collapsed="false">
      <c r="A319" s="18" t="s">
        <v>312</v>
      </c>
      <c r="B319" s="18" t="n">
        <v>12</v>
      </c>
      <c r="C319" s="18" t="s">
        <v>254</v>
      </c>
      <c r="D319" s="18" t="n">
        <v>-45</v>
      </c>
      <c r="E319" s="18" t="s">
        <v>313</v>
      </c>
      <c r="F319" s="18" t="s">
        <v>198</v>
      </c>
      <c r="G319" s="19" t="n">
        <v>35886</v>
      </c>
      <c r="H319" s="18" t="n">
        <v>100</v>
      </c>
      <c r="I319" s="18" t="n">
        <v>202</v>
      </c>
      <c r="J319" s="18" t="n">
        <f aca="false">SUMIFS($H$2:$H$1200,$A$2:$A$1200,$A319,$B$2:$B$1200,"&lt;="&amp;$B319)</f>
        <v>1595</v>
      </c>
      <c r="K319" s="18" t="n">
        <f aca="false">SUMIFS($I$2:$I$1200,$A$2:$A$1200,$A319,$B$2:$B$1200,"&lt;="&amp;$B319)</f>
        <v>470</v>
      </c>
      <c r="L319" s="18" t="n">
        <f aca="false">J319-K319</f>
        <v>1125</v>
      </c>
      <c r="M319" s="18" t="n">
        <f aca="false">SUMIF($A$2:$A$1200,$A319,$H$2:$H$1200)</f>
        <v>1732</v>
      </c>
      <c r="N319" s="20" t="n">
        <f aca="false">IF(M319=0,"",L319/M319)</f>
        <v>0.649538106235566</v>
      </c>
      <c r="O319" s="20" t="n">
        <v>0.649538106235566</v>
      </c>
      <c r="P319" s="20" t="n">
        <f aca="false">IF(OR(N319="",O319=""),"",N319-O319)</f>
        <v>0</v>
      </c>
      <c r="Q319" s="18"/>
    </row>
    <row r="320" customFormat="false" ht="15" hidden="false" customHeight="true" outlineLevel="0" collapsed="false">
      <c r="A320" s="18" t="s">
        <v>312</v>
      </c>
      <c r="B320" s="18" t="n">
        <v>13</v>
      </c>
      <c r="C320" s="18" t="s">
        <v>403</v>
      </c>
      <c r="D320" s="18" t="n">
        <v>-30</v>
      </c>
      <c r="E320" s="18" t="s">
        <v>313</v>
      </c>
      <c r="F320" s="18" t="s">
        <v>198</v>
      </c>
      <c r="G320" s="19" t="n">
        <v>35886</v>
      </c>
      <c r="H320" s="18" t="n">
        <v>51</v>
      </c>
      <c r="I320" s="18" t="n">
        <v>184</v>
      </c>
      <c r="J320" s="18" t="n">
        <f aca="false">SUMIFS($H$2:$H$1200,$A$2:$A$1200,$A320,$B$2:$B$1200,"&lt;="&amp;$B320)</f>
        <v>1646</v>
      </c>
      <c r="K320" s="18" t="n">
        <f aca="false">SUMIFS($I$2:$I$1200,$A$2:$A$1200,$A320,$B$2:$B$1200,"&lt;="&amp;$B320)</f>
        <v>654</v>
      </c>
      <c r="L320" s="18" t="n">
        <f aca="false">J320-K320</f>
        <v>992</v>
      </c>
      <c r="M320" s="18" t="n">
        <f aca="false">SUMIF($A$2:$A$1200,$A320,$H$2:$H$1200)</f>
        <v>1732</v>
      </c>
      <c r="N320" s="20" t="n">
        <f aca="false">IF(M320=0,"",L320/M320)</f>
        <v>0.572748267898383</v>
      </c>
      <c r="O320" s="20" t="n">
        <v>0.572748267898383</v>
      </c>
      <c r="P320" s="20" t="n">
        <f aca="false">IF(OR(N320="",O320=""),"",N320-O320)</f>
        <v>0</v>
      </c>
      <c r="Q320" s="18"/>
    </row>
    <row r="321" customFormat="false" ht="15" hidden="false" customHeight="true" outlineLevel="0" collapsed="false">
      <c r="A321" s="18" t="s">
        <v>312</v>
      </c>
      <c r="B321" s="18" t="n">
        <v>14</v>
      </c>
      <c r="C321" s="18" t="s">
        <v>529</v>
      </c>
      <c r="D321" s="18" t="n">
        <v>-15</v>
      </c>
      <c r="E321" s="18" t="s">
        <v>313</v>
      </c>
      <c r="F321" s="18" t="s">
        <v>198</v>
      </c>
      <c r="G321" s="19" t="n">
        <v>35886</v>
      </c>
      <c r="H321" s="18" t="n">
        <v>35</v>
      </c>
      <c r="I321" s="18" t="n">
        <v>234</v>
      </c>
      <c r="J321" s="18" t="n">
        <f aca="false">SUMIFS($H$2:$H$1200,$A$2:$A$1200,$A321,$B$2:$B$1200,"&lt;="&amp;$B321)</f>
        <v>1681</v>
      </c>
      <c r="K321" s="18" t="n">
        <f aca="false">SUMIFS($I$2:$I$1200,$A$2:$A$1200,$A321,$B$2:$B$1200,"&lt;="&amp;$B321)</f>
        <v>888</v>
      </c>
      <c r="L321" s="18" t="n">
        <f aca="false">J321-K321</f>
        <v>793</v>
      </c>
      <c r="M321" s="18" t="n">
        <f aca="false">SUMIF($A$2:$A$1200,$A321,$H$2:$H$1200)</f>
        <v>1732</v>
      </c>
      <c r="N321" s="20" t="n">
        <f aca="false">IF(M321=0,"",L321/M321)</f>
        <v>0.457852193995381</v>
      </c>
      <c r="O321" s="20" t="n">
        <v>0.457852193995381</v>
      </c>
      <c r="P321" s="20" t="n">
        <f aca="false">IF(OR(N321="",O321=""),"",N321-O321)</f>
        <v>0</v>
      </c>
      <c r="Q321" s="18"/>
    </row>
    <row r="322" customFormat="false" ht="15" hidden="false" customHeight="true" outlineLevel="0" collapsed="false">
      <c r="A322" s="18" t="s">
        <v>312</v>
      </c>
      <c r="B322" s="18" t="n">
        <v>15</v>
      </c>
      <c r="C322" s="18" t="s">
        <v>463</v>
      </c>
      <c r="D322" s="18" t="n">
        <v>0</v>
      </c>
      <c r="E322" s="18" t="s">
        <v>313</v>
      </c>
      <c r="F322" s="18" t="s">
        <v>198</v>
      </c>
      <c r="G322" s="19" t="n">
        <v>35886</v>
      </c>
      <c r="H322" s="18" t="n">
        <v>29</v>
      </c>
      <c r="I322" s="18" t="n">
        <v>186</v>
      </c>
      <c r="J322" s="18" t="n">
        <f aca="false">SUMIFS($H$2:$H$1200,$A$2:$A$1200,$A322,$B$2:$B$1200,"&lt;="&amp;$B322)</f>
        <v>1710</v>
      </c>
      <c r="K322" s="18" t="n">
        <f aca="false">SUMIFS($I$2:$I$1200,$A$2:$A$1200,$A322,$B$2:$B$1200,"&lt;="&amp;$B322)</f>
        <v>1074</v>
      </c>
      <c r="L322" s="18" t="n">
        <f aca="false">J322-K322</f>
        <v>636</v>
      </c>
      <c r="M322" s="18" t="n">
        <f aca="false">SUMIF($A$2:$A$1200,$A322,$H$2:$H$1200)</f>
        <v>1732</v>
      </c>
      <c r="N322" s="20" t="n">
        <f aca="false">IF(M322=0,"",L322/M322)</f>
        <v>0.367205542725173</v>
      </c>
      <c r="O322" s="20" t="n">
        <v>0.367205542725173</v>
      </c>
      <c r="P322" s="20" t="n">
        <f aca="false">IF(OR(N322="",O322=""),"",N322-O322)</f>
        <v>0</v>
      </c>
      <c r="Q322" s="18"/>
    </row>
    <row r="323" customFormat="false" ht="15" hidden="false" customHeight="true" outlineLevel="0" collapsed="false">
      <c r="A323" s="18" t="s">
        <v>312</v>
      </c>
      <c r="B323" s="18" t="n">
        <v>16</v>
      </c>
      <c r="C323" s="18" t="s">
        <v>366</v>
      </c>
      <c r="D323" s="18" t="n">
        <v>15</v>
      </c>
      <c r="E323" s="18" t="s">
        <v>313</v>
      </c>
      <c r="F323" s="18" t="s">
        <v>198</v>
      </c>
      <c r="G323" s="19" t="n">
        <v>35886</v>
      </c>
      <c r="H323" s="18" t="n">
        <v>12</v>
      </c>
      <c r="I323" s="18" t="n">
        <v>159</v>
      </c>
      <c r="J323" s="18" t="n">
        <f aca="false">SUMIFS($H$2:$H$1200,$A$2:$A$1200,$A323,$B$2:$B$1200,"&lt;="&amp;$B323)</f>
        <v>1722</v>
      </c>
      <c r="K323" s="18" t="n">
        <f aca="false">SUMIFS($I$2:$I$1200,$A$2:$A$1200,$A323,$B$2:$B$1200,"&lt;="&amp;$B323)</f>
        <v>1233</v>
      </c>
      <c r="L323" s="18" t="n">
        <f aca="false">J323-K323</f>
        <v>489</v>
      </c>
      <c r="M323" s="18" t="n">
        <f aca="false">SUMIF($A$2:$A$1200,$A323,$H$2:$H$1200)</f>
        <v>1732</v>
      </c>
      <c r="N323" s="20" t="n">
        <f aca="false">IF(M323=0,"",L323/M323)</f>
        <v>0.282332563510393</v>
      </c>
      <c r="O323" s="20" t="n">
        <v>0.282332563510393</v>
      </c>
      <c r="P323" s="20" t="n">
        <f aca="false">IF(OR(N323="",O323=""),"",N323-O323)</f>
        <v>0</v>
      </c>
      <c r="Q323" s="18"/>
    </row>
    <row r="324" customFormat="false" ht="15" hidden="false" customHeight="true" outlineLevel="0" collapsed="false">
      <c r="A324" s="18" t="s">
        <v>312</v>
      </c>
      <c r="B324" s="18" t="n">
        <v>17</v>
      </c>
      <c r="C324" s="18" t="s">
        <v>326</v>
      </c>
      <c r="D324" s="18" t="n">
        <v>30</v>
      </c>
      <c r="E324" s="18" t="s">
        <v>313</v>
      </c>
      <c r="F324" s="18" t="s">
        <v>198</v>
      </c>
      <c r="G324" s="19" t="n">
        <v>35886</v>
      </c>
      <c r="H324" s="18" t="n">
        <v>7</v>
      </c>
      <c r="I324" s="18" t="n">
        <v>154</v>
      </c>
      <c r="J324" s="18" t="n">
        <f aca="false">SUMIFS($H$2:$H$1200,$A$2:$A$1200,$A324,$B$2:$B$1200,"&lt;="&amp;$B324)</f>
        <v>1729</v>
      </c>
      <c r="K324" s="18" t="n">
        <f aca="false">SUMIFS($I$2:$I$1200,$A$2:$A$1200,$A324,$B$2:$B$1200,"&lt;="&amp;$B324)</f>
        <v>1387</v>
      </c>
      <c r="L324" s="18" t="n">
        <f aca="false">J324-K324</f>
        <v>342</v>
      </c>
      <c r="M324" s="18" t="n">
        <f aca="false">SUMIF($A$2:$A$1200,$A324,$H$2:$H$1200)</f>
        <v>1732</v>
      </c>
      <c r="N324" s="20" t="n">
        <f aca="false">IF(M324=0,"",L324/M324)</f>
        <v>0.197459584295612</v>
      </c>
      <c r="O324" s="20" t="n">
        <v>0.197459584295612</v>
      </c>
      <c r="P324" s="20" t="n">
        <f aca="false">IF(OR(N324="",O324=""),"",N324-O324)</f>
        <v>0</v>
      </c>
      <c r="Q324" s="18"/>
    </row>
    <row r="325" customFormat="false" ht="15" hidden="false" customHeight="true" outlineLevel="0" collapsed="false">
      <c r="A325" s="18" t="s">
        <v>312</v>
      </c>
      <c r="B325" s="18" t="n">
        <v>18</v>
      </c>
      <c r="C325" s="18" t="s">
        <v>226</v>
      </c>
      <c r="D325" s="18" t="n">
        <v>45</v>
      </c>
      <c r="E325" s="18" t="s">
        <v>313</v>
      </c>
      <c r="F325" s="18" t="s">
        <v>198</v>
      </c>
      <c r="G325" s="19" t="n">
        <v>35886</v>
      </c>
      <c r="H325" s="18" t="n">
        <v>3</v>
      </c>
      <c r="I325" s="18" t="n">
        <v>30</v>
      </c>
      <c r="J325" s="18" t="n">
        <f aca="false">SUMIFS($H$2:$H$1200,$A$2:$A$1200,$A325,$B$2:$B$1200,"&lt;="&amp;$B325)</f>
        <v>1732</v>
      </c>
      <c r="K325" s="18" t="n">
        <f aca="false">SUMIFS($I$2:$I$1200,$A$2:$A$1200,$A325,$B$2:$B$1200,"&lt;="&amp;$B325)</f>
        <v>1417</v>
      </c>
      <c r="L325" s="18" t="n">
        <f aca="false">J325-K325</f>
        <v>315</v>
      </c>
      <c r="M325" s="18" t="n">
        <f aca="false">SUMIF($A$2:$A$1200,$A325,$H$2:$H$1200)</f>
        <v>1732</v>
      </c>
      <c r="N325" s="20" t="n">
        <f aca="false">IF(M325=0,"",L325/M325)</f>
        <v>0.181870669745958</v>
      </c>
      <c r="O325" s="20" t="n">
        <v>0.181870669745958</v>
      </c>
      <c r="P325" s="20" t="n">
        <f aca="false">IF(OR(N325="",O325=""),"",N325-O325)</f>
        <v>0</v>
      </c>
      <c r="Q325" s="18"/>
    </row>
    <row r="326" customFormat="false" ht="15" hidden="false" customHeight="true" outlineLevel="0" collapsed="false">
      <c r="A326" s="18" t="s">
        <v>312</v>
      </c>
      <c r="B326" s="18" t="n">
        <v>19</v>
      </c>
      <c r="C326" s="18" t="s">
        <v>205</v>
      </c>
      <c r="D326" s="18" t="n">
        <v>60</v>
      </c>
      <c r="E326" s="18" t="s">
        <v>313</v>
      </c>
      <c r="F326" s="18" t="s">
        <v>198</v>
      </c>
      <c r="G326" s="19" t="n">
        <v>35886</v>
      </c>
      <c r="H326" s="18" t="n">
        <v>0</v>
      </c>
      <c r="I326" s="18" t="n">
        <v>0</v>
      </c>
      <c r="J326" s="18" t="n">
        <f aca="false">SUMIFS($H$2:$H$1200,$A$2:$A$1200,$A326,$B$2:$B$1200,"&lt;="&amp;$B326)</f>
        <v>1732</v>
      </c>
      <c r="K326" s="18" t="n">
        <f aca="false">SUMIFS($I$2:$I$1200,$A$2:$A$1200,$A326,$B$2:$B$1200,"&lt;="&amp;$B326)</f>
        <v>1417</v>
      </c>
      <c r="L326" s="18" t="n">
        <f aca="false">J326-K326</f>
        <v>315</v>
      </c>
      <c r="M326" s="18" t="n">
        <f aca="false">SUMIF($A$2:$A$1200,$A326,$H$2:$H$1200)</f>
        <v>1732</v>
      </c>
      <c r="N326" s="20" t="n">
        <f aca="false">IF(M326=0,"",L326/M326)</f>
        <v>0.181870669745958</v>
      </c>
      <c r="O326" s="20" t="n">
        <v>0.181870669745958</v>
      </c>
      <c r="P326" s="20" t="n">
        <f aca="false">IF(OR(N326="",O326=""),"",N326-O326)</f>
        <v>0</v>
      </c>
      <c r="Q326" s="18"/>
    </row>
    <row r="327" customFormat="false" ht="15" hidden="false" customHeight="true" outlineLevel="0" collapsed="false">
      <c r="A327" s="18" t="s">
        <v>323</v>
      </c>
      <c r="B327" s="18" t="n">
        <v>0</v>
      </c>
      <c r="C327" s="18" t="s">
        <v>204</v>
      </c>
      <c r="D327" s="18"/>
      <c r="E327" s="18" t="s">
        <v>313</v>
      </c>
      <c r="F327" s="18" t="s">
        <v>198</v>
      </c>
      <c r="G327" s="19" t="n">
        <v>35886</v>
      </c>
      <c r="H327" s="18" t="n">
        <v>7</v>
      </c>
      <c r="I327" s="18" t="n">
        <v>0</v>
      </c>
      <c r="J327" s="18" t="n">
        <f aca="false">SUMIFS($H$2:$H$1200,$A$2:$A$1200,$A327,$B$2:$B$1200,"&lt;="&amp;$B327)</f>
        <v>7</v>
      </c>
      <c r="K327" s="18" t="n">
        <f aca="false">SUMIFS($I$2:$I$1200,$A$2:$A$1200,$A327,$B$2:$B$1200,"&lt;="&amp;$B327)</f>
        <v>0</v>
      </c>
      <c r="L327" s="18" t="n">
        <f aca="false">J327-K327</f>
        <v>7</v>
      </c>
      <c r="M327" s="18" t="n">
        <f aca="false">SUMIF($A$2:$A$1200,$A327,$H$2:$H$1200)</f>
        <v>74</v>
      </c>
      <c r="N327" s="20" t="n">
        <f aca="false">IF(M327=0,"",L327/M327)</f>
        <v>0.0945945945945946</v>
      </c>
      <c r="O327" s="20" t="n">
        <v>0.0945945945945946</v>
      </c>
      <c r="P327" s="20" t="n">
        <f aca="false">IF(OR(N327="",O327=""),"",N327-O327)</f>
        <v>0</v>
      </c>
      <c r="Q327" s="18"/>
    </row>
    <row r="328" customFormat="false" ht="15" hidden="false" customHeight="true" outlineLevel="0" collapsed="false">
      <c r="A328" s="18" t="s">
        <v>323</v>
      </c>
      <c r="B328" s="18" t="n">
        <v>7</v>
      </c>
      <c r="C328" s="18" t="s">
        <v>227</v>
      </c>
      <c r="D328" s="18" t="n">
        <v>-120</v>
      </c>
      <c r="E328" s="18" t="s">
        <v>313</v>
      </c>
      <c r="F328" s="18" t="s">
        <v>198</v>
      </c>
      <c r="G328" s="19" t="n">
        <v>35886</v>
      </c>
      <c r="H328" s="18" t="n">
        <v>15</v>
      </c>
      <c r="I328" s="18" t="n">
        <v>2</v>
      </c>
      <c r="J328" s="18" t="n">
        <f aca="false">SUMIFS($H$2:$H$1200,$A$2:$A$1200,$A328,$B$2:$B$1200,"&lt;="&amp;$B328)</f>
        <v>22</v>
      </c>
      <c r="K328" s="18" t="n">
        <f aca="false">SUMIFS($I$2:$I$1200,$A$2:$A$1200,$A328,$B$2:$B$1200,"&lt;="&amp;$B328)</f>
        <v>2</v>
      </c>
      <c r="L328" s="18" t="n">
        <f aca="false">J328-K328</f>
        <v>20</v>
      </c>
      <c r="M328" s="18" t="n">
        <f aca="false">SUMIF($A$2:$A$1200,$A328,$H$2:$H$1200)</f>
        <v>74</v>
      </c>
      <c r="N328" s="20" t="n">
        <f aca="false">IF(M328=0,"",L328/M328)</f>
        <v>0.27027027027027</v>
      </c>
      <c r="O328" s="20" t="n">
        <v>0.27027027027027</v>
      </c>
      <c r="P328" s="20" t="n">
        <f aca="false">IF(OR(N328="",O328=""),"",N328-O328)</f>
        <v>0</v>
      </c>
      <c r="Q328" s="18"/>
    </row>
    <row r="329" customFormat="false" ht="15" hidden="false" customHeight="true" outlineLevel="0" collapsed="false">
      <c r="A329" s="18" t="s">
        <v>323</v>
      </c>
      <c r="B329" s="18" t="n">
        <v>8</v>
      </c>
      <c r="C329" s="18" t="s">
        <v>241</v>
      </c>
      <c r="D329" s="18" t="n">
        <v>-105</v>
      </c>
      <c r="E329" s="18" t="s">
        <v>313</v>
      </c>
      <c r="F329" s="18" t="s">
        <v>198</v>
      </c>
      <c r="G329" s="19" t="n">
        <v>35886</v>
      </c>
      <c r="H329" s="18" t="n">
        <v>7</v>
      </c>
      <c r="I329" s="18" t="n">
        <v>3</v>
      </c>
      <c r="J329" s="18" t="n">
        <f aca="false">SUMIFS($H$2:$H$1200,$A$2:$A$1200,$A329,$B$2:$B$1200,"&lt;="&amp;$B329)</f>
        <v>29</v>
      </c>
      <c r="K329" s="18" t="n">
        <f aca="false">SUMIFS($I$2:$I$1200,$A$2:$A$1200,$A329,$B$2:$B$1200,"&lt;="&amp;$B329)</f>
        <v>5</v>
      </c>
      <c r="L329" s="18" t="n">
        <f aca="false">J329-K329</f>
        <v>24</v>
      </c>
      <c r="M329" s="18" t="n">
        <f aca="false">SUMIF($A$2:$A$1200,$A329,$H$2:$H$1200)</f>
        <v>74</v>
      </c>
      <c r="N329" s="20" t="n">
        <f aca="false">IF(M329=0,"",L329/M329)</f>
        <v>0.324324324324324</v>
      </c>
      <c r="O329" s="20" t="n">
        <v>0.324324324324324</v>
      </c>
      <c r="P329" s="20" t="n">
        <f aca="false">IF(OR(N329="",O329=""),"",N329-O329)</f>
        <v>0</v>
      </c>
      <c r="Q329" s="18"/>
    </row>
    <row r="330" customFormat="false" ht="15" hidden="false" customHeight="true" outlineLevel="0" collapsed="false">
      <c r="A330" s="18" t="s">
        <v>323</v>
      </c>
      <c r="B330" s="18" t="n">
        <v>9</v>
      </c>
      <c r="C330" s="18" t="s">
        <v>279</v>
      </c>
      <c r="D330" s="18" t="n">
        <v>-90</v>
      </c>
      <c r="E330" s="18" t="s">
        <v>313</v>
      </c>
      <c r="F330" s="18" t="s">
        <v>198</v>
      </c>
      <c r="G330" s="19" t="n">
        <v>35886</v>
      </c>
      <c r="H330" s="18" t="n">
        <v>7</v>
      </c>
      <c r="I330" s="18" t="n">
        <v>1</v>
      </c>
      <c r="J330" s="18" t="n">
        <f aca="false">SUMIFS($H$2:$H$1200,$A$2:$A$1200,$A330,$B$2:$B$1200,"&lt;="&amp;$B330)</f>
        <v>36</v>
      </c>
      <c r="K330" s="18" t="n">
        <f aca="false">SUMIFS($I$2:$I$1200,$A$2:$A$1200,$A330,$B$2:$B$1200,"&lt;="&amp;$B330)</f>
        <v>6</v>
      </c>
      <c r="L330" s="18" t="n">
        <f aca="false">J330-K330</f>
        <v>30</v>
      </c>
      <c r="M330" s="18" t="n">
        <f aca="false">SUMIF($A$2:$A$1200,$A330,$H$2:$H$1200)</f>
        <v>74</v>
      </c>
      <c r="N330" s="20" t="n">
        <f aca="false">IF(M330=0,"",L330/M330)</f>
        <v>0.405405405405405</v>
      </c>
      <c r="O330" s="20" t="n">
        <v>0.405405405405405</v>
      </c>
      <c r="P330" s="20" t="n">
        <f aca="false">IF(OR(N330="",O330=""),"",N330-O330)</f>
        <v>0</v>
      </c>
      <c r="Q330" s="18"/>
    </row>
    <row r="331" customFormat="false" ht="15" hidden="false" customHeight="true" outlineLevel="0" collapsed="false">
      <c r="A331" s="18" t="s">
        <v>323</v>
      </c>
      <c r="B331" s="18" t="n">
        <v>10</v>
      </c>
      <c r="C331" s="18" t="s">
        <v>206</v>
      </c>
      <c r="D331" s="18" t="n">
        <v>-75</v>
      </c>
      <c r="E331" s="18" t="s">
        <v>313</v>
      </c>
      <c r="F331" s="18" t="s">
        <v>198</v>
      </c>
      <c r="G331" s="19" t="n">
        <v>35886</v>
      </c>
      <c r="H331" s="18" t="n">
        <v>11</v>
      </c>
      <c r="I331" s="18" t="n">
        <v>1</v>
      </c>
      <c r="J331" s="18" t="n">
        <f aca="false">SUMIFS($H$2:$H$1200,$A$2:$A$1200,$A331,$B$2:$B$1200,"&lt;="&amp;$B331)</f>
        <v>47</v>
      </c>
      <c r="K331" s="18" t="n">
        <f aca="false">SUMIFS($I$2:$I$1200,$A$2:$A$1200,$A331,$B$2:$B$1200,"&lt;="&amp;$B331)</f>
        <v>7</v>
      </c>
      <c r="L331" s="18" t="n">
        <f aca="false">J331-K331</f>
        <v>40</v>
      </c>
      <c r="M331" s="18" t="n">
        <f aca="false">SUMIF($A$2:$A$1200,$A331,$H$2:$H$1200)</f>
        <v>74</v>
      </c>
      <c r="N331" s="20" t="n">
        <f aca="false">IF(M331=0,"",L331/M331)</f>
        <v>0.540540540540541</v>
      </c>
      <c r="O331" s="20" t="n">
        <v>0.540540540540541</v>
      </c>
      <c r="P331" s="20" t="n">
        <f aca="false">IF(OR(N331="",O331=""),"",N331-O331)</f>
        <v>0</v>
      </c>
      <c r="Q331" s="18"/>
    </row>
    <row r="332" customFormat="false" ht="15" hidden="false" customHeight="true" outlineLevel="0" collapsed="false">
      <c r="A332" s="18" t="s">
        <v>323</v>
      </c>
      <c r="B332" s="18" t="n">
        <v>11</v>
      </c>
      <c r="C332" s="18" t="s">
        <v>246</v>
      </c>
      <c r="D332" s="18" t="n">
        <v>-60</v>
      </c>
      <c r="E332" s="18" t="s">
        <v>313</v>
      </c>
      <c r="F332" s="18" t="s">
        <v>198</v>
      </c>
      <c r="G332" s="19" t="n">
        <v>35886</v>
      </c>
      <c r="H332" s="18" t="n">
        <v>5</v>
      </c>
      <c r="I332" s="18" t="n">
        <v>4</v>
      </c>
      <c r="J332" s="18" t="n">
        <f aca="false">SUMIFS($H$2:$H$1200,$A$2:$A$1200,$A332,$B$2:$B$1200,"&lt;="&amp;$B332)</f>
        <v>52</v>
      </c>
      <c r="K332" s="18" t="n">
        <f aca="false">SUMIFS($I$2:$I$1200,$A$2:$A$1200,$A332,$B$2:$B$1200,"&lt;="&amp;$B332)</f>
        <v>11</v>
      </c>
      <c r="L332" s="18" t="n">
        <f aca="false">J332-K332</f>
        <v>41</v>
      </c>
      <c r="M332" s="18" t="n">
        <f aca="false">SUMIF($A$2:$A$1200,$A332,$H$2:$H$1200)</f>
        <v>74</v>
      </c>
      <c r="N332" s="20" t="n">
        <f aca="false">IF(M332=0,"",L332/M332)</f>
        <v>0.554054054054054</v>
      </c>
      <c r="O332" s="20" t="n">
        <v>0.554054054054054</v>
      </c>
      <c r="P332" s="20" t="n">
        <f aca="false">IF(OR(N332="",O332=""),"",N332-O332)</f>
        <v>0</v>
      </c>
      <c r="Q332" s="18"/>
    </row>
    <row r="333" customFormat="false" ht="15" hidden="false" customHeight="true" outlineLevel="0" collapsed="false">
      <c r="A333" s="18" t="s">
        <v>323</v>
      </c>
      <c r="B333" s="18" t="n">
        <v>12</v>
      </c>
      <c r="C333" s="18" t="s">
        <v>254</v>
      </c>
      <c r="D333" s="18" t="n">
        <v>-45</v>
      </c>
      <c r="E333" s="18" t="s">
        <v>313</v>
      </c>
      <c r="F333" s="18" t="s">
        <v>198</v>
      </c>
      <c r="G333" s="19" t="n">
        <v>35886</v>
      </c>
      <c r="H333" s="18" t="n">
        <v>9</v>
      </c>
      <c r="I333" s="18" t="n">
        <v>6</v>
      </c>
      <c r="J333" s="18" t="n">
        <f aca="false">SUMIFS($H$2:$H$1200,$A$2:$A$1200,$A333,$B$2:$B$1200,"&lt;="&amp;$B333)</f>
        <v>61</v>
      </c>
      <c r="K333" s="18" t="n">
        <f aca="false">SUMIFS($I$2:$I$1200,$A$2:$A$1200,$A333,$B$2:$B$1200,"&lt;="&amp;$B333)</f>
        <v>17</v>
      </c>
      <c r="L333" s="18" t="n">
        <f aca="false">J333-K333</f>
        <v>44</v>
      </c>
      <c r="M333" s="18" t="n">
        <f aca="false">SUMIF($A$2:$A$1200,$A333,$H$2:$H$1200)</f>
        <v>74</v>
      </c>
      <c r="N333" s="20" t="n">
        <f aca="false">IF(M333=0,"",L333/M333)</f>
        <v>0.594594594594595</v>
      </c>
      <c r="O333" s="20" t="n">
        <v>0.594594594594595</v>
      </c>
      <c r="P333" s="20" t="n">
        <f aca="false">IF(OR(N333="",O333=""),"",N333-O333)</f>
        <v>0</v>
      </c>
      <c r="Q333" s="18"/>
    </row>
    <row r="334" customFormat="false" ht="15" hidden="false" customHeight="true" outlineLevel="0" collapsed="false">
      <c r="A334" s="18" t="s">
        <v>323</v>
      </c>
      <c r="B334" s="18" t="n">
        <v>13</v>
      </c>
      <c r="C334" s="18" t="s">
        <v>403</v>
      </c>
      <c r="D334" s="18" t="n">
        <v>-30</v>
      </c>
      <c r="E334" s="18" t="s">
        <v>313</v>
      </c>
      <c r="F334" s="18" t="s">
        <v>198</v>
      </c>
      <c r="G334" s="19" t="n">
        <v>35886</v>
      </c>
      <c r="H334" s="18" t="n">
        <v>3</v>
      </c>
      <c r="I334" s="18" t="n">
        <v>6</v>
      </c>
      <c r="J334" s="18" t="n">
        <f aca="false">SUMIFS($H$2:$H$1200,$A$2:$A$1200,$A334,$B$2:$B$1200,"&lt;="&amp;$B334)</f>
        <v>64</v>
      </c>
      <c r="K334" s="18" t="n">
        <f aca="false">SUMIFS($I$2:$I$1200,$A$2:$A$1200,$A334,$B$2:$B$1200,"&lt;="&amp;$B334)</f>
        <v>23</v>
      </c>
      <c r="L334" s="18" t="n">
        <f aca="false">J334-K334</f>
        <v>41</v>
      </c>
      <c r="M334" s="18" t="n">
        <f aca="false">SUMIF($A$2:$A$1200,$A334,$H$2:$H$1200)</f>
        <v>74</v>
      </c>
      <c r="N334" s="20" t="n">
        <f aca="false">IF(M334=0,"",L334/M334)</f>
        <v>0.554054054054054</v>
      </c>
      <c r="O334" s="20" t="n">
        <v>0.554054054054054</v>
      </c>
      <c r="P334" s="20" t="n">
        <f aca="false">IF(OR(N334="",O334=""),"",N334-O334)</f>
        <v>0</v>
      </c>
      <c r="Q334" s="18"/>
    </row>
    <row r="335" customFormat="false" ht="15" hidden="false" customHeight="true" outlineLevel="0" collapsed="false">
      <c r="A335" s="18" t="s">
        <v>323</v>
      </c>
      <c r="B335" s="18" t="n">
        <v>14</v>
      </c>
      <c r="C335" s="18" t="s">
        <v>529</v>
      </c>
      <c r="D335" s="18" t="n">
        <v>-15</v>
      </c>
      <c r="E335" s="18" t="s">
        <v>313</v>
      </c>
      <c r="F335" s="18" t="s">
        <v>198</v>
      </c>
      <c r="G335" s="19" t="n">
        <v>35886</v>
      </c>
      <c r="H335" s="18" t="n">
        <v>3</v>
      </c>
      <c r="I335" s="18" t="n">
        <v>12</v>
      </c>
      <c r="J335" s="18" t="n">
        <f aca="false">SUMIFS($H$2:$H$1200,$A$2:$A$1200,$A335,$B$2:$B$1200,"&lt;="&amp;$B335)</f>
        <v>67</v>
      </c>
      <c r="K335" s="18" t="n">
        <f aca="false">SUMIFS($I$2:$I$1200,$A$2:$A$1200,$A335,$B$2:$B$1200,"&lt;="&amp;$B335)</f>
        <v>35</v>
      </c>
      <c r="L335" s="18" t="n">
        <f aca="false">J335-K335</f>
        <v>32</v>
      </c>
      <c r="M335" s="18" t="n">
        <f aca="false">SUMIF($A$2:$A$1200,$A335,$H$2:$H$1200)</f>
        <v>74</v>
      </c>
      <c r="N335" s="20" t="n">
        <f aca="false">IF(M335=0,"",L335/M335)</f>
        <v>0.432432432432432</v>
      </c>
      <c r="O335" s="20" t="n">
        <v>0.432432432432433</v>
      </c>
      <c r="P335" s="20" t="n">
        <f aca="false">IF(OR(N335="",O335=""),"",N335-O335)</f>
        <v>0</v>
      </c>
      <c r="Q335" s="18"/>
    </row>
    <row r="336" customFormat="false" ht="15" hidden="false" customHeight="true" outlineLevel="0" collapsed="false">
      <c r="A336" s="18" t="s">
        <v>323</v>
      </c>
      <c r="B336" s="18" t="n">
        <v>15</v>
      </c>
      <c r="C336" s="18" t="s">
        <v>463</v>
      </c>
      <c r="D336" s="18" t="n">
        <v>0</v>
      </c>
      <c r="E336" s="18" t="s">
        <v>313</v>
      </c>
      <c r="F336" s="18" t="s">
        <v>198</v>
      </c>
      <c r="G336" s="19" t="n">
        <v>35886</v>
      </c>
      <c r="H336" s="18" t="n">
        <v>2</v>
      </c>
      <c r="I336" s="18" t="n">
        <v>11</v>
      </c>
      <c r="J336" s="18" t="n">
        <f aca="false">SUMIFS($H$2:$H$1200,$A$2:$A$1200,$A336,$B$2:$B$1200,"&lt;="&amp;$B336)</f>
        <v>69</v>
      </c>
      <c r="K336" s="18" t="n">
        <f aca="false">SUMIFS($I$2:$I$1200,$A$2:$A$1200,$A336,$B$2:$B$1200,"&lt;="&amp;$B336)</f>
        <v>46</v>
      </c>
      <c r="L336" s="18" t="n">
        <f aca="false">J336-K336</f>
        <v>23</v>
      </c>
      <c r="M336" s="18" t="n">
        <f aca="false">SUMIF($A$2:$A$1200,$A336,$H$2:$H$1200)</f>
        <v>74</v>
      </c>
      <c r="N336" s="20" t="n">
        <f aca="false">IF(M336=0,"",L336/M336)</f>
        <v>0.310810810810811</v>
      </c>
      <c r="O336" s="20" t="n">
        <v>0.310810810810811</v>
      </c>
      <c r="P336" s="20" t="n">
        <f aca="false">IF(OR(N336="",O336=""),"",N336-O336)</f>
        <v>0</v>
      </c>
      <c r="Q336" s="18"/>
    </row>
    <row r="337" customFormat="false" ht="15" hidden="false" customHeight="true" outlineLevel="0" collapsed="false">
      <c r="A337" s="18" t="s">
        <v>323</v>
      </c>
      <c r="B337" s="18" t="n">
        <v>16</v>
      </c>
      <c r="C337" s="18" t="s">
        <v>366</v>
      </c>
      <c r="D337" s="18" t="n">
        <v>15</v>
      </c>
      <c r="E337" s="18" t="s">
        <v>313</v>
      </c>
      <c r="F337" s="18" t="s">
        <v>198</v>
      </c>
      <c r="G337" s="19" t="n">
        <v>35886</v>
      </c>
      <c r="H337" s="18" t="n">
        <v>3</v>
      </c>
      <c r="I337" s="18" t="n">
        <v>9</v>
      </c>
      <c r="J337" s="18" t="n">
        <f aca="false">SUMIFS($H$2:$H$1200,$A$2:$A$1200,$A337,$B$2:$B$1200,"&lt;="&amp;$B337)</f>
        <v>72</v>
      </c>
      <c r="K337" s="18" t="n">
        <f aca="false">SUMIFS($I$2:$I$1200,$A$2:$A$1200,$A337,$B$2:$B$1200,"&lt;="&amp;$B337)</f>
        <v>55</v>
      </c>
      <c r="L337" s="18" t="n">
        <f aca="false">J337-K337</f>
        <v>17</v>
      </c>
      <c r="M337" s="18" t="n">
        <f aca="false">SUMIF($A$2:$A$1200,$A337,$H$2:$H$1200)</f>
        <v>74</v>
      </c>
      <c r="N337" s="20" t="n">
        <f aca="false">IF(M337=0,"",L337/M337)</f>
        <v>0.22972972972973</v>
      </c>
      <c r="O337" s="20" t="n">
        <v>0.22972972972973</v>
      </c>
      <c r="P337" s="20" t="n">
        <f aca="false">IF(OR(N337="",O337=""),"",N337-O337)</f>
        <v>0</v>
      </c>
      <c r="Q337" s="18"/>
    </row>
    <row r="338" customFormat="false" ht="15" hidden="false" customHeight="true" outlineLevel="0" collapsed="false">
      <c r="A338" s="18" t="s">
        <v>323</v>
      </c>
      <c r="B338" s="18" t="n">
        <v>17</v>
      </c>
      <c r="C338" s="18" t="s">
        <v>326</v>
      </c>
      <c r="D338" s="18" t="n">
        <v>30</v>
      </c>
      <c r="E338" s="18" t="s">
        <v>313</v>
      </c>
      <c r="F338" s="18" t="s">
        <v>198</v>
      </c>
      <c r="G338" s="19" t="n">
        <v>35886</v>
      </c>
      <c r="H338" s="18" t="n">
        <v>2</v>
      </c>
      <c r="I338" s="18" t="n">
        <v>12</v>
      </c>
      <c r="J338" s="18" t="n">
        <f aca="false">SUMIFS($H$2:$H$1200,$A$2:$A$1200,$A338,$B$2:$B$1200,"&lt;="&amp;$B338)</f>
        <v>74</v>
      </c>
      <c r="K338" s="18" t="n">
        <f aca="false">SUMIFS($I$2:$I$1200,$A$2:$A$1200,$A338,$B$2:$B$1200,"&lt;="&amp;$B338)</f>
        <v>67</v>
      </c>
      <c r="L338" s="18" t="n">
        <f aca="false">J338-K338</f>
        <v>7</v>
      </c>
      <c r="M338" s="18" t="n">
        <f aca="false">SUMIF($A$2:$A$1200,$A338,$H$2:$H$1200)</f>
        <v>74</v>
      </c>
      <c r="N338" s="20" t="n">
        <f aca="false">IF(M338=0,"",L338/M338)</f>
        <v>0.0945945945945946</v>
      </c>
      <c r="O338" s="20" t="n">
        <v>0.0945945945945946</v>
      </c>
      <c r="P338" s="20" t="n">
        <f aca="false">IF(OR(N338="",O338=""),"",N338-O338)</f>
        <v>0</v>
      </c>
      <c r="Q338" s="18"/>
    </row>
    <row r="339" customFormat="false" ht="15" hidden="false" customHeight="true" outlineLevel="0" collapsed="false">
      <c r="A339" s="18" t="s">
        <v>331</v>
      </c>
      <c r="B339" s="18" t="n">
        <v>0</v>
      </c>
      <c r="C339" s="18" t="s">
        <v>204</v>
      </c>
      <c r="D339" s="18"/>
      <c r="E339" s="18" t="s">
        <v>313</v>
      </c>
      <c r="F339" s="18" t="s">
        <v>198</v>
      </c>
      <c r="G339" s="19" t="n">
        <v>35886</v>
      </c>
      <c r="H339" s="18" t="n">
        <v>75</v>
      </c>
      <c r="I339" s="18" t="n">
        <v>2</v>
      </c>
      <c r="J339" s="18" t="n">
        <f aca="false">SUMIFS($H$2:$H$1200,$A$2:$A$1200,$A339,$B$2:$B$1200,"&lt;="&amp;$B339)</f>
        <v>75</v>
      </c>
      <c r="K339" s="18" t="n">
        <f aca="false">SUMIFS($I$2:$I$1200,$A$2:$A$1200,$A339,$B$2:$B$1200,"&lt;="&amp;$B339)</f>
        <v>2</v>
      </c>
      <c r="L339" s="18" t="n">
        <f aca="false">J339-K339</f>
        <v>73</v>
      </c>
      <c r="M339" s="18" t="n">
        <f aca="false">SUMIF($A$2:$A$1200,$A339,$H$2:$H$1200)</f>
        <v>909</v>
      </c>
      <c r="N339" s="20" t="n">
        <f aca="false">IF(M339=0,"",L339/M339)</f>
        <v>0.0803080308030803</v>
      </c>
      <c r="O339" s="20" t="n">
        <v>0.0803080308030803</v>
      </c>
      <c r="P339" s="20" t="n">
        <f aca="false">IF(OR(N339="",O339=""),"",N339-O339)</f>
        <v>0</v>
      </c>
      <c r="Q339" s="18"/>
    </row>
    <row r="340" customFormat="false" ht="15" hidden="false" customHeight="true" outlineLevel="0" collapsed="false">
      <c r="A340" s="18" t="s">
        <v>331</v>
      </c>
      <c r="B340" s="18" t="n">
        <v>7</v>
      </c>
      <c r="C340" s="18" t="s">
        <v>227</v>
      </c>
      <c r="D340" s="18" t="n">
        <v>-120</v>
      </c>
      <c r="E340" s="18" t="s">
        <v>313</v>
      </c>
      <c r="F340" s="18" t="s">
        <v>198</v>
      </c>
      <c r="G340" s="19" t="n">
        <v>35886</v>
      </c>
      <c r="H340" s="18" t="n">
        <v>178</v>
      </c>
      <c r="I340" s="18" t="n">
        <v>2</v>
      </c>
      <c r="J340" s="18" t="n">
        <f aca="false">SUMIFS($H$2:$H$1200,$A$2:$A$1200,$A340,$B$2:$B$1200,"&lt;="&amp;$B340)</f>
        <v>253</v>
      </c>
      <c r="K340" s="18" t="n">
        <f aca="false">SUMIFS($I$2:$I$1200,$A$2:$A$1200,$A340,$B$2:$B$1200,"&lt;="&amp;$B340)</f>
        <v>4</v>
      </c>
      <c r="L340" s="18" t="n">
        <f aca="false">J340-K340</f>
        <v>249</v>
      </c>
      <c r="M340" s="18" t="n">
        <f aca="false">SUMIF($A$2:$A$1200,$A340,$H$2:$H$1200)</f>
        <v>909</v>
      </c>
      <c r="N340" s="20" t="n">
        <f aca="false">IF(M340=0,"",L340/M340)</f>
        <v>0.273927392739274</v>
      </c>
      <c r="O340" s="20" t="n">
        <v>0.273927392739274</v>
      </c>
      <c r="P340" s="20" t="n">
        <f aca="false">IF(OR(N340="",O340=""),"",N340-O340)</f>
        <v>0</v>
      </c>
      <c r="Q340" s="18"/>
    </row>
    <row r="341" customFormat="false" ht="15" hidden="false" customHeight="true" outlineLevel="0" collapsed="false">
      <c r="A341" s="18" t="s">
        <v>331</v>
      </c>
      <c r="B341" s="18" t="n">
        <v>8</v>
      </c>
      <c r="C341" s="18" t="s">
        <v>241</v>
      </c>
      <c r="D341" s="18" t="n">
        <v>-105</v>
      </c>
      <c r="E341" s="18" t="s">
        <v>313</v>
      </c>
      <c r="F341" s="18" t="s">
        <v>198</v>
      </c>
      <c r="G341" s="19" t="n">
        <v>35886</v>
      </c>
      <c r="H341" s="18" t="n">
        <v>153</v>
      </c>
      <c r="I341" s="18" t="n">
        <v>9</v>
      </c>
      <c r="J341" s="18" t="n">
        <f aca="false">SUMIFS($H$2:$H$1200,$A$2:$A$1200,$A341,$B$2:$B$1200,"&lt;="&amp;$B341)</f>
        <v>406</v>
      </c>
      <c r="K341" s="18" t="n">
        <f aca="false">SUMIFS($I$2:$I$1200,$A$2:$A$1200,$A341,$B$2:$B$1200,"&lt;="&amp;$B341)</f>
        <v>13</v>
      </c>
      <c r="L341" s="18" t="n">
        <f aca="false">J341-K341</f>
        <v>393</v>
      </c>
      <c r="M341" s="18" t="n">
        <f aca="false">SUMIF($A$2:$A$1200,$A341,$H$2:$H$1200)</f>
        <v>909</v>
      </c>
      <c r="N341" s="20" t="n">
        <f aca="false">IF(M341=0,"",L341/M341)</f>
        <v>0.432343234323432</v>
      </c>
      <c r="O341" s="20" t="n">
        <v>0.432343234323432</v>
      </c>
      <c r="P341" s="20" t="n">
        <f aca="false">IF(OR(N341="",O341=""),"",N341-O341)</f>
        <v>0</v>
      </c>
      <c r="Q341" s="18"/>
    </row>
    <row r="342" customFormat="false" ht="15" hidden="false" customHeight="true" outlineLevel="0" collapsed="false">
      <c r="A342" s="18" t="s">
        <v>331</v>
      </c>
      <c r="B342" s="18" t="n">
        <v>9</v>
      </c>
      <c r="C342" s="18" t="s">
        <v>279</v>
      </c>
      <c r="D342" s="18" t="n">
        <v>-90</v>
      </c>
      <c r="E342" s="18" t="s">
        <v>313</v>
      </c>
      <c r="F342" s="18" t="s">
        <v>198</v>
      </c>
      <c r="G342" s="19" t="n">
        <v>35886</v>
      </c>
      <c r="H342" s="18" t="n">
        <v>143</v>
      </c>
      <c r="I342" s="18" t="n">
        <v>30</v>
      </c>
      <c r="J342" s="18" t="n">
        <f aca="false">SUMIFS($H$2:$H$1200,$A$2:$A$1200,$A342,$B$2:$B$1200,"&lt;="&amp;$B342)</f>
        <v>549</v>
      </c>
      <c r="K342" s="18" t="n">
        <f aca="false">SUMIFS($I$2:$I$1200,$A$2:$A$1200,$A342,$B$2:$B$1200,"&lt;="&amp;$B342)</f>
        <v>43</v>
      </c>
      <c r="L342" s="18" t="n">
        <f aca="false">J342-K342</f>
        <v>506</v>
      </c>
      <c r="M342" s="18" t="n">
        <f aca="false">SUMIF($A$2:$A$1200,$A342,$H$2:$H$1200)</f>
        <v>909</v>
      </c>
      <c r="N342" s="20" t="n">
        <f aca="false">IF(M342=0,"",L342/M342)</f>
        <v>0.556655665566557</v>
      </c>
      <c r="O342" s="20" t="n">
        <v>0.556655665566557</v>
      </c>
      <c r="P342" s="20" t="n">
        <f aca="false">IF(OR(N342="",O342=""),"",N342-O342)</f>
        <v>0</v>
      </c>
      <c r="Q342" s="18"/>
    </row>
    <row r="343" customFormat="false" ht="15" hidden="false" customHeight="true" outlineLevel="0" collapsed="false">
      <c r="A343" s="18" t="s">
        <v>331</v>
      </c>
      <c r="B343" s="18" t="n">
        <v>10</v>
      </c>
      <c r="C343" s="18" t="s">
        <v>206</v>
      </c>
      <c r="D343" s="18" t="n">
        <v>-75</v>
      </c>
      <c r="E343" s="18" t="s">
        <v>313</v>
      </c>
      <c r="F343" s="18" t="s">
        <v>198</v>
      </c>
      <c r="G343" s="19" t="n">
        <v>35886</v>
      </c>
      <c r="H343" s="18" t="n">
        <v>121</v>
      </c>
      <c r="I343" s="18" t="n">
        <v>80</v>
      </c>
      <c r="J343" s="18" t="n">
        <f aca="false">SUMIFS($H$2:$H$1200,$A$2:$A$1200,$A343,$B$2:$B$1200,"&lt;="&amp;$B343)</f>
        <v>670</v>
      </c>
      <c r="K343" s="18" t="n">
        <f aca="false">SUMIFS($I$2:$I$1200,$A$2:$A$1200,$A343,$B$2:$B$1200,"&lt;="&amp;$B343)</f>
        <v>123</v>
      </c>
      <c r="L343" s="18" t="n">
        <f aca="false">J343-K343</f>
        <v>547</v>
      </c>
      <c r="M343" s="18" t="n">
        <f aca="false">SUMIF($A$2:$A$1200,$A343,$H$2:$H$1200)</f>
        <v>909</v>
      </c>
      <c r="N343" s="20" t="n">
        <f aca="false">IF(M343=0,"",L343/M343)</f>
        <v>0.601760176017602</v>
      </c>
      <c r="O343" s="20" t="n">
        <v>0.601760176017602</v>
      </c>
      <c r="P343" s="20" t="n">
        <f aca="false">IF(OR(N343="",O343=""),"",N343-O343)</f>
        <v>0</v>
      </c>
      <c r="Q343" s="18"/>
    </row>
    <row r="344" customFormat="false" ht="15" hidden="false" customHeight="true" outlineLevel="0" collapsed="false">
      <c r="A344" s="18" t="s">
        <v>331</v>
      </c>
      <c r="B344" s="18" t="n">
        <v>11</v>
      </c>
      <c r="C344" s="18" t="s">
        <v>246</v>
      </c>
      <c r="D344" s="18" t="n">
        <v>-60</v>
      </c>
      <c r="E344" s="18" t="s">
        <v>313</v>
      </c>
      <c r="F344" s="18" t="s">
        <v>198</v>
      </c>
      <c r="G344" s="19" t="n">
        <v>35886</v>
      </c>
      <c r="H344" s="18" t="n">
        <v>79</v>
      </c>
      <c r="I344" s="18" t="n">
        <v>80</v>
      </c>
      <c r="J344" s="18" t="n">
        <f aca="false">SUMIFS($H$2:$H$1200,$A$2:$A$1200,$A344,$B$2:$B$1200,"&lt;="&amp;$B344)</f>
        <v>749</v>
      </c>
      <c r="K344" s="18" t="n">
        <f aca="false">SUMIFS($I$2:$I$1200,$A$2:$A$1200,$A344,$B$2:$B$1200,"&lt;="&amp;$B344)</f>
        <v>203</v>
      </c>
      <c r="L344" s="18" t="n">
        <f aca="false">J344-K344</f>
        <v>546</v>
      </c>
      <c r="M344" s="18" t="n">
        <f aca="false">SUMIF($A$2:$A$1200,$A344,$H$2:$H$1200)</f>
        <v>909</v>
      </c>
      <c r="N344" s="20" t="n">
        <f aca="false">IF(M344=0,"",L344/M344)</f>
        <v>0.600660066006601</v>
      </c>
      <c r="O344" s="20" t="n">
        <v>0.600660066006601</v>
      </c>
      <c r="P344" s="20" t="n">
        <f aca="false">IF(OR(N344="",O344=""),"",N344-O344)</f>
        <v>0</v>
      </c>
      <c r="Q344" s="18"/>
    </row>
    <row r="345" customFormat="false" ht="15" hidden="false" customHeight="true" outlineLevel="0" collapsed="false">
      <c r="A345" s="18" t="s">
        <v>331</v>
      </c>
      <c r="B345" s="18" t="n">
        <v>12</v>
      </c>
      <c r="C345" s="18" t="s">
        <v>254</v>
      </c>
      <c r="D345" s="18" t="n">
        <v>-45</v>
      </c>
      <c r="E345" s="18" t="s">
        <v>313</v>
      </c>
      <c r="F345" s="18" t="s">
        <v>198</v>
      </c>
      <c r="G345" s="19" t="n">
        <v>35886</v>
      </c>
      <c r="H345" s="18" t="n">
        <v>74</v>
      </c>
      <c r="I345" s="18" t="n">
        <v>163</v>
      </c>
      <c r="J345" s="18" t="n">
        <f aca="false">SUMIFS($H$2:$H$1200,$A$2:$A$1200,$A345,$B$2:$B$1200,"&lt;="&amp;$B345)</f>
        <v>823</v>
      </c>
      <c r="K345" s="18" t="n">
        <f aca="false">SUMIFS($I$2:$I$1200,$A$2:$A$1200,$A345,$B$2:$B$1200,"&lt;="&amp;$B345)</f>
        <v>366</v>
      </c>
      <c r="L345" s="18" t="n">
        <f aca="false">J345-K345</f>
        <v>457</v>
      </c>
      <c r="M345" s="18" t="n">
        <f aca="false">SUMIF($A$2:$A$1200,$A345,$H$2:$H$1200)</f>
        <v>909</v>
      </c>
      <c r="N345" s="20" t="n">
        <f aca="false">IF(M345=0,"",L345/M345)</f>
        <v>0.502750275027503</v>
      </c>
      <c r="O345" s="20" t="n">
        <v>0.502750275027503</v>
      </c>
      <c r="P345" s="20" t="n">
        <f aca="false">IF(OR(N345="",O345=""),"",N345-O345)</f>
        <v>0</v>
      </c>
      <c r="Q345" s="18"/>
    </row>
    <row r="346" customFormat="false" ht="15" hidden="false" customHeight="true" outlineLevel="0" collapsed="false">
      <c r="A346" s="18" t="s">
        <v>331</v>
      </c>
      <c r="B346" s="18" t="n">
        <v>13</v>
      </c>
      <c r="C346" s="18" t="s">
        <v>403</v>
      </c>
      <c r="D346" s="18" t="n">
        <v>-30</v>
      </c>
      <c r="E346" s="18" t="s">
        <v>313</v>
      </c>
      <c r="F346" s="18" t="s">
        <v>198</v>
      </c>
      <c r="G346" s="19" t="n">
        <v>35886</v>
      </c>
      <c r="H346" s="18" t="n">
        <v>33</v>
      </c>
      <c r="I346" s="18" t="n">
        <v>140</v>
      </c>
      <c r="J346" s="18" t="n">
        <f aca="false">SUMIFS($H$2:$H$1200,$A$2:$A$1200,$A346,$B$2:$B$1200,"&lt;="&amp;$B346)</f>
        <v>856</v>
      </c>
      <c r="K346" s="18" t="n">
        <f aca="false">SUMIFS($I$2:$I$1200,$A$2:$A$1200,$A346,$B$2:$B$1200,"&lt;="&amp;$B346)</f>
        <v>506</v>
      </c>
      <c r="L346" s="18" t="n">
        <f aca="false">J346-K346</f>
        <v>350</v>
      </c>
      <c r="M346" s="18" t="n">
        <f aca="false">SUMIF($A$2:$A$1200,$A346,$H$2:$H$1200)</f>
        <v>909</v>
      </c>
      <c r="N346" s="20" t="n">
        <f aca="false">IF(M346=0,"",L346/M346)</f>
        <v>0.385038503850385</v>
      </c>
      <c r="O346" s="20" t="n">
        <v>0.385038503850385</v>
      </c>
      <c r="P346" s="20" t="n">
        <f aca="false">IF(OR(N346="",O346=""),"",N346-O346)</f>
        <v>0</v>
      </c>
      <c r="Q346" s="18"/>
    </row>
    <row r="347" customFormat="false" ht="15" hidden="false" customHeight="true" outlineLevel="0" collapsed="false">
      <c r="A347" s="18" t="s">
        <v>331</v>
      </c>
      <c r="B347" s="18" t="n">
        <v>14</v>
      </c>
      <c r="C347" s="18" t="s">
        <v>529</v>
      </c>
      <c r="D347" s="18" t="n">
        <v>-15</v>
      </c>
      <c r="E347" s="18" t="s">
        <v>313</v>
      </c>
      <c r="F347" s="18" t="s">
        <v>198</v>
      </c>
      <c r="G347" s="19" t="n">
        <v>35886</v>
      </c>
      <c r="H347" s="18" t="n">
        <v>21</v>
      </c>
      <c r="I347" s="18" t="n">
        <v>178</v>
      </c>
      <c r="J347" s="18" t="n">
        <f aca="false">SUMIFS($H$2:$H$1200,$A$2:$A$1200,$A347,$B$2:$B$1200,"&lt;="&amp;$B347)</f>
        <v>877</v>
      </c>
      <c r="K347" s="18" t="n">
        <f aca="false">SUMIFS($I$2:$I$1200,$A$2:$A$1200,$A347,$B$2:$B$1200,"&lt;="&amp;$B347)</f>
        <v>684</v>
      </c>
      <c r="L347" s="18" t="n">
        <f aca="false">J347-K347</f>
        <v>193</v>
      </c>
      <c r="M347" s="18" t="n">
        <f aca="false">SUMIF($A$2:$A$1200,$A347,$H$2:$H$1200)</f>
        <v>909</v>
      </c>
      <c r="N347" s="20" t="n">
        <f aca="false">IF(M347=0,"",L347/M347)</f>
        <v>0.212321232123212</v>
      </c>
      <c r="O347" s="20" t="n">
        <v>0.212321232123212</v>
      </c>
      <c r="P347" s="20" t="n">
        <f aca="false">IF(OR(N347="",O347=""),"",N347-O347)</f>
        <v>0</v>
      </c>
      <c r="Q347" s="18"/>
    </row>
    <row r="348" customFormat="false" ht="15" hidden="false" customHeight="true" outlineLevel="0" collapsed="false">
      <c r="A348" s="18" t="s">
        <v>331</v>
      </c>
      <c r="B348" s="18" t="n">
        <v>15</v>
      </c>
      <c r="C348" s="18" t="s">
        <v>463</v>
      </c>
      <c r="D348" s="18" t="n">
        <v>0</v>
      </c>
      <c r="E348" s="18" t="s">
        <v>313</v>
      </c>
      <c r="F348" s="18" t="s">
        <v>198</v>
      </c>
      <c r="G348" s="19" t="n">
        <v>35886</v>
      </c>
      <c r="H348" s="18" t="n">
        <v>22</v>
      </c>
      <c r="I348" s="18" t="n">
        <v>138</v>
      </c>
      <c r="J348" s="18" t="n">
        <f aca="false">SUMIFS($H$2:$H$1200,$A$2:$A$1200,$A348,$B$2:$B$1200,"&lt;="&amp;$B348)</f>
        <v>899</v>
      </c>
      <c r="K348" s="18" t="n">
        <f aca="false">SUMIFS($I$2:$I$1200,$A$2:$A$1200,$A348,$B$2:$B$1200,"&lt;="&amp;$B348)</f>
        <v>822</v>
      </c>
      <c r="L348" s="18" t="n">
        <f aca="false">J348-K348</f>
        <v>77</v>
      </c>
      <c r="M348" s="18" t="n">
        <f aca="false">SUMIF($A$2:$A$1200,$A348,$H$2:$H$1200)</f>
        <v>909</v>
      </c>
      <c r="N348" s="20" t="n">
        <f aca="false">IF(M348=0,"",L348/M348)</f>
        <v>0.0847084708470847</v>
      </c>
      <c r="O348" s="20" t="n">
        <v>0.0847084708470847</v>
      </c>
      <c r="P348" s="20" t="n">
        <f aca="false">IF(OR(N348="",O348=""),"",N348-O348)</f>
        <v>0</v>
      </c>
      <c r="Q348" s="18"/>
    </row>
    <row r="349" customFormat="false" ht="15" hidden="false" customHeight="true" outlineLevel="0" collapsed="false">
      <c r="A349" s="18" t="s">
        <v>331</v>
      </c>
      <c r="B349" s="18" t="n">
        <v>16</v>
      </c>
      <c r="C349" s="18" t="s">
        <v>366</v>
      </c>
      <c r="D349" s="18" t="n">
        <v>15</v>
      </c>
      <c r="E349" s="18" t="s">
        <v>313</v>
      </c>
      <c r="F349" s="18" t="s">
        <v>198</v>
      </c>
      <c r="G349" s="19" t="n">
        <v>35886</v>
      </c>
      <c r="H349" s="18" t="n">
        <v>3</v>
      </c>
      <c r="I349" s="18" t="n">
        <v>115</v>
      </c>
      <c r="J349" s="18" t="n">
        <f aca="false">SUMIFS($H$2:$H$1200,$A$2:$A$1200,$A349,$B$2:$B$1200,"&lt;="&amp;$B349)</f>
        <v>902</v>
      </c>
      <c r="K349" s="18" t="n">
        <f aca="false">SUMIFS($I$2:$I$1200,$A$2:$A$1200,$A349,$B$2:$B$1200,"&lt;="&amp;$B349)</f>
        <v>937</v>
      </c>
      <c r="L349" s="18" t="n">
        <f aca="false">J349-K349</f>
        <v>-35</v>
      </c>
      <c r="M349" s="18" t="n">
        <f aca="false">SUMIF($A$2:$A$1200,$A349,$H$2:$H$1200)</f>
        <v>909</v>
      </c>
      <c r="N349" s="20" t="n">
        <f aca="false">IF(M349=0,"",L349/M349)</f>
        <v>-0.0385038503850385</v>
      </c>
      <c r="O349" s="20" t="n">
        <v>-0.0385038503850385</v>
      </c>
      <c r="P349" s="20" t="n">
        <f aca="false">IF(OR(N349="",O349=""),"",N349-O349)</f>
        <v>0</v>
      </c>
      <c r="Q349" s="18"/>
    </row>
    <row r="350" customFormat="false" ht="15" hidden="false" customHeight="true" outlineLevel="0" collapsed="false">
      <c r="A350" s="18" t="s">
        <v>331</v>
      </c>
      <c r="B350" s="18" t="n">
        <v>17</v>
      </c>
      <c r="C350" s="18" t="s">
        <v>326</v>
      </c>
      <c r="D350" s="18" t="n">
        <v>30</v>
      </c>
      <c r="E350" s="18" t="s">
        <v>313</v>
      </c>
      <c r="F350" s="18" t="s">
        <v>198</v>
      </c>
      <c r="G350" s="19" t="n">
        <v>35886</v>
      </c>
      <c r="H350" s="18" t="n">
        <v>4</v>
      </c>
      <c r="I350" s="18" t="n">
        <v>122</v>
      </c>
      <c r="J350" s="18" t="n">
        <f aca="false">SUMIFS($H$2:$H$1200,$A$2:$A$1200,$A350,$B$2:$B$1200,"&lt;="&amp;$B350)</f>
        <v>906</v>
      </c>
      <c r="K350" s="18" t="n">
        <f aca="false">SUMIFS($I$2:$I$1200,$A$2:$A$1200,$A350,$B$2:$B$1200,"&lt;="&amp;$B350)</f>
        <v>1059</v>
      </c>
      <c r="L350" s="18" t="n">
        <f aca="false">J350-K350</f>
        <v>-153</v>
      </c>
      <c r="M350" s="18" t="n">
        <f aca="false">SUMIF($A$2:$A$1200,$A350,$H$2:$H$1200)</f>
        <v>909</v>
      </c>
      <c r="N350" s="20" t="n">
        <f aca="false">IF(M350=0,"",L350/M350)</f>
        <v>-0.168316831683168</v>
      </c>
      <c r="O350" s="20" t="n">
        <v>-0.168316831683168</v>
      </c>
      <c r="P350" s="20" t="n">
        <f aca="false">IF(OR(N350="",O350=""),"",N350-O350)</f>
        <v>0</v>
      </c>
      <c r="Q350" s="18"/>
    </row>
    <row r="351" customFormat="false" ht="15" hidden="false" customHeight="true" outlineLevel="0" collapsed="false">
      <c r="A351" s="18" t="s">
        <v>331</v>
      </c>
      <c r="B351" s="18" t="n">
        <v>18</v>
      </c>
      <c r="C351" s="18" t="s">
        <v>226</v>
      </c>
      <c r="D351" s="18" t="n">
        <v>45</v>
      </c>
      <c r="E351" s="18" t="s">
        <v>313</v>
      </c>
      <c r="F351" s="18" t="s">
        <v>198</v>
      </c>
      <c r="G351" s="19" t="n">
        <v>35886</v>
      </c>
      <c r="H351" s="18" t="n">
        <v>3</v>
      </c>
      <c r="I351" s="18" t="n">
        <v>30</v>
      </c>
      <c r="J351" s="18" t="n">
        <f aca="false">SUMIFS($H$2:$H$1200,$A$2:$A$1200,$A351,$B$2:$B$1200,"&lt;="&amp;$B351)</f>
        <v>909</v>
      </c>
      <c r="K351" s="18" t="n">
        <f aca="false">SUMIFS($I$2:$I$1200,$A$2:$A$1200,$A351,$B$2:$B$1200,"&lt;="&amp;$B351)</f>
        <v>1089</v>
      </c>
      <c r="L351" s="18" t="n">
        <f aca="false">J351-K351</f>
        <v>-180</v>
      </c>
      <c r="M351" s="18" t="n">
        <f aca="false">SUMIF($A$2:$A$1200,$A351,$H$2:$H$1200)</f>
        <v>909</v>
      </c>
      <c r="N351" s="20" t="n">
        <f aca="false">IF(M351=0,"",L351/M351)</f>
        <v>-0.198019801980198</v>
      </c>
      <c r="O351" s="20" t="n">
        <v>-0.198019801980198</v>
      </c>
      <c r="P351" s="20" t="n">
        <f aca="false">IF(OR(N351="",O351=""),"",N351-O351)</f>
        <v>0</v>
      </c>
      <c r="Q351" s="18"/>
    </row>
    <row r="352" customFormat="false" ht="15" hidden="false" customHeight="true" outlineLevel="0" collapsed="false">
      <c r="A352" s="18" t="s">
        <v>333</v>
      </c>
      <c r="B352" s="18" t="n">
        <v>0</v>
      </c>
      <c r="C352" s="18" t="s">
        <v>204</v>
      </c>
      <c r="D352" s="18"/>
      <c r="E352" s="18" t="s">
        <v>313</v>
      </c>
      <c r="F352" s="18" t="s">
        <v>198</v>
      </c>
      <c r="G352" s="19" t="n">
        <v>35886</v>
      </c>
      <c r="H352" s="18" t="n">
        <v>30</v>
      </c>
      <c r="I352" s="18" t="n">
        <v>1</v>
      </c>
      <c r="J352" s="18" t="n">
        <f aca="false">SUMIFS($H$2:$H$1200,$A$2:$A$1200,$A352,$B$2:$B$1200,"&lt;="&amp;$B352)</f>
        <v>30</v>
      </c>
      <c r="K352" s="18" t="n">
        <f aca="false">SUMIFS($I$2:$I$1200,$A$2:$A$1200,$A352,$B$2:$B$1200,"&lt;="&amp;$B352)</f>
        <v>1</v>
      </c>
      <c r="L352" s="18" t="n">
        <f aca="false">J352-K352</f>
        <v>29</v>
      </c>
      <c r="M352" s="18" t="n">
        <f aca="false">SUMIF($A$2:$A$1200,$A352,$H$2:$H$1200)</f>
        <v>262</v>
      </c>
      <c r="N352" s="20" t="n">
        <f aca="false">IF(M352=0,"",L352/M352)</f>
        <v>0.110687022900763</v>
      </c>
      <c r="O352" s="20" t="n">
        <v>0.110687022900763</v>
      </c>
      <c r="P352" s="20" t="n">
        <f aca="false">IF(OR(N352="",O352=""),"",N352-O352)</f>
        <v>0</v>
      </c>
      <c r="Q352" s="18"/>
    </row>
    <row r="353" customFormat="false" ht="15" hidden="false" customHeight="true" outlineLevel="0" collapsed="false">
      <c r="A353" s="18" t="s">
        <v>333</v>
      </c>
      <c r="B353" s="18" t="n">
        <v>7</v>
      </c>
      <c r="C353" s="18" t="s">
        <v>227</v>
      </c>
      <c r="D353" s="18" t="n">
        <v>-120</v>
      </c>
      <c r="E353" s="18" t="s">
        <v>313</v>
      </c>
      <c r="F353" s="18" t="s">
        <v>198</v>
      </c>
      <c r="G353" s="19" t="n">
        <v>35886</v>
      </c>
      <c r="H353" s="18" t="n">
        <v>54</v>
      </c>
      <c r="I353" s="18" t="n">
        <v>2</v>
      </c>
      <c r="J353" s="18" t="n">
        <f aca="false">SUMIFS($H$2:$H$1200,$A$2:$A$1200,$A353,$B$2:$B$1200,"&lt;="&amp;$B353)</f>
        <v>84</v>
      </c>
      <c r="K353" s="18" t="n">
        <f aca="false">SUMIFS($I$2:$I$1200,$A$2:$A$1200,$A353,$B$2:$B$1200,"&lt;="&amp;$B353)</f>
        <v>3</v>
      </c>
      <c r="L353" s="18" t="n">
        <f aca="false">J353-K353</f>
        <v>81</v>
      </c>
      <c r="M353" s="18" t="n">
        <f aca="false">SUMIF($A$2:$A$1200,$A353,$H$2:$H$1200)</f>
        <v>262</v>
      </c>
      <c r="N353" s="20" t="n">
        <f aca="false">IF(M353=0,"",L353/M353)</f>
        <v>0.309160305343511</v>
      </c>
      <c r="O353" s="20" t="n">
        <v>0.309160305343512</v>
      </c>
      <c r="P353" s="20" t="n">
        <f aca="false">IF(OR(N353="",O353=""),"",N353-O353)</f>
        <v>0</v>
      </c>
      <c r="Q353" s="18"/>
    </row>
    <row r="354" customFormat="false" ht="15" hidden="false" customHeight="true" outlineLevel="0" collapsed="false">
      <c r="A354" s="18" t="s">
        <v>333</v>
      </c>
      <c r="B354" s="18" t="n">
        <v>8</v>
      </c>
      <c r="C354" s="18" t="s">
        <v>241</v>
      </c>
      <c r="D354" s="18" t="n">
        <v>-105</v>
      </c>
      <c r="E354" s="18" t="s">
        <v>313</v>
      </c>
      <c r="F354" s="18" t="s">
        <v>198</v>
      </c>
      <c r="G354" s="19" t="n">
        <v>35886</v>
      </c>
      <c r="H354" s="18" t="n">
        <v>34</v>
      </c>
      <c r="I354" s="18" t="n">
        <v>2</v>
      </c>
      <c r="J354" s="18" t="n">
        <f aca="false">SUMIFS($H$2:$H$1200,$A$2:$A$1200,$A354,$B$2:$B$1200,"&lt;="&amp;$B354)</f>
        <v>118</v>
      </c>
      <c r="K354" s="18" t="n">
        <f aca="false">SUMIFS($I$2:$I$1200,$A$2:$A$1200,$A354,$B$2:$B$1200,"&lt;="&amp;$B354)</f>
        <v>5</v>
      </c>
      <c r="L354" s="18" t="n">
        <f aca="false">J354-K354</f>
        <v>113</v>
      </c>
      <c r="M354" s="18" t="n">
        <f aca="false">SUMIF($A$2:$A$1200,$A354,$H$2:$H$1200)</f>
        <v>262</v>
      </c>
      <c r="N354" s="20" t="n">
        <f aca="false">IF(M354=0,"",L354/M354)</f>
        <v>0.431297709923664</v>
      </c>
      <c r="O354" s="20" t="n">
        <v>0.431297709923664</v>
      </c>
      <c r="P354" s="20" t="n">
        <f aca="false">IF(OR(N354="",O354=""),"",N354-O354)</f>
        <v>0</v>
      </c>
      <c r="Q354" s="18"/>
    </row>
    <row r="355" customFormat="false" ht="15" hidden="false" customHeight="true" outlineLevel="0" collapsed="false">
      <c r="A355" s="18" t="s">
        <v>333</v>
      </c>
      <c r="B355" s="18" t="n">
        <v>9</v>
      </c>
      <c r="C355" s="18" t="s">
        <v>279</v>
      </c>
      <c r="D355" s="18" t="n">
        <v>-90</v>
      </c>
      <c r="E355" s="18" t="s">
        <v>313</v>
      </c>
      <c r="F355" s="18" t="s">
        <v>198</v>
      </c>
      <c r="G355" s="19" t="n">
        <v>35886</v>
      </c>
      <c r="H355" s="18" t="n">
        <v>33</v>
      </c>
      <c r="I355" s="18" t="n">
        <v>9</v>
      </c>
      <c r="J355" s="18" t="n">
        <f aca="false">SUMIFS($H$2:$H$1200,$A$2:$A$1200,$A355,$B$2:$B$1200,"&lt;="&amp;$B355)</f>
        <v>151</v>
      </c>
      <c r="K355" s="18" t="n">
        <f aca="false">SUMIFS($I$2:$I$1200,$A$2:$A$1200,$A355,$B$2:$B$1200,"&lt;="&amp;$B355)</f>
        <v>14</v>
      </c>
      <c r="L355" s="18" t="n">
        <f aca="false">J355-K355</f>
        <v>137</v>
      </c>
      <c r="M355" s="18" t="n">
        <f aca="false">SUMIF($A$2:$A$1200,$A355,$H$2:$H$1200)</f>
        <v>262</v>
      </c>
      <c r="N355" s="20" t="n">
        <f aca="false">IF(M355=0,"",L355/M355)</f>
        <v>0.522900763358779</v>
      </c>
      <c r="O355" s="20" t="n">
        <v>0.522900763358779</v>
      </c>
      <c r="P355" s="20" t="n">
        <f aca="false">IF(OR(N355="",O355=""),"",N355-O355)</f>
        <v>0</v>
      </c>
      <c r="Q355" s="18"/>
    </row>
    <row r="356" customFormat="false" ht="15" hidden="false" customHeight="true" outlineLevel="0" collapsed="false">
      <c r="A356" s="18" t="s">
        <v>333</v>
      </c>
      <c r="B356" s="18" t="n">
        <v>10</v>
      </c>
      <c r="C356" s="18" t="s">
        <v>206</v>
      </c>
      <c r="D356" s="18" t="n">
        <v>-75</v>
      </c>
      <c r="E356" s="18" t="s">
        <v>313</v>
      </c>
      <c r="F356" s="18" t="s">
        <v>198</v>
      </c>
      <c r="G356" s="19" t="n">
        <v>35886</v>
      </c>
      <c r="H356" s="18" t="n">
        <v>25</v>
      </c>
      <c r="I356" s="18" t="n">
        <v>12</v>
      </c>
      <c r="J356" s="18" t="n">
        <f aca="false">SUMIFS($H$2:$H$1200,$A$2:$A$1200,$A356,$B$2:$B$1200,"&lt;="&amp;$B356)</f>
        <v>176</v>
      </c>
      <c r="K356" s="18" t="n">
        <f aca="false">SUMIFS($I$2:$I$1200,$A$2:$A$1200,$A356,$B$2:$B$1200,"&lt;="&amp;$B356)</f>
        <v>26</v>
      </c>
      <c r="L356" s="18" t="n">
        <f aca="false">J356-K356</f>
        <v>150</v>
      </c>
      <c r="M356" s="18" t="n">
        <f aca="false">SUMIF($A$2:$A$1200,$A356,$H$2:$H$1200)</f>
        <v>262</v>
      </c>
      <c r="N356" s="20" t="n">
        <f aca="false">IF(M356=0,"",L356/M356)</f>
        <v>0.572519083969466</v>
      </c>
      <c r="O356" s="20" t="n">
        <v>0.572519083969466</v>
      </c>
      <c r="P356" s="20" t="n">
        <f aca="false">IF(OR(N356="",O356=""),"",N356-O356)</f>
        <v>0</v>
      </c>
      <c r="Q356" s="18"/>
    </row>
    <row r="357" customFormat="false" ht="15" hidden="false" customHeight="true" outlineLevel="0" collapsed="false">
      <c r="A357" s="18" t="s">
        <v>333</v>
      </c>
      <c r="B357" s="18" t="n">
        <v>11</v>
      </c>
      <c r="C357" s="18" t="s">
        <v>246</v>
      </c>
      <c r="D357" s="18" t="n">
        <v>-60</v>
      </c>
      <c r="E357" s="18" t="s">
        <v>313</v>
      </c>
      <c r="F357" s="18" t="s">
        <v>198</v>
      </c>
      <c r="G357" s="19" t="n">
        <v>35886</v>
      </c>
      <c r="H357" s="18" t="n">
        <v>31</v>
      </c>
      <c r="I357" s="18" t="n">
        <v>28</v>
      </c>
      <c r="J357" s="18" t="n">
        <f aca="false">SUMIFS($H$2:$H$1200,$A$2:$A$1200,$A357,$B$2:$B$1200,"&lt;="&amp;$B357)</f>
        <v>207</v>
      </c>
      <c r="K357" s="18" t="n">
        <f aca="false">SUMIFS($I$2:$I$1200,$A$2:$A$1200,$A357,$B$2:$B$1200,"&lt;="&amp;$B357)</f>
        <v>54</v>
      </c>
      <c r="L357" s="18" t="n">
        <f aca="false">J357-K357</f>
        <v>153</v>
      </c>
      <c r="M357" s="18" t="n">
        <f aca="false">SUMIF($A$2:$A$1200,$A357,$H$2:$H$1200)</f>
        <v>262</v>
      </c>
      <c r="N357" s="20" t="n">
        <f aca="false">IF(M357=0,"",L357/M357)</f>
        <v>0.583969465648855</v>
      </c>
      <c r="O357" s="20" t="n">
        <v>0.583969465648855</v>
      </c>
      <c r="P357" s="20" t="n">
        <f aca="false">IF(OR(N357="",O357=""),"",N357-O357)</f>
        <v>0</v>
      </c>
      <c r="Q357" s="18"/>
    </row>
    <row r="358" customFormat="false" ht="15" hidden="false" customHeight="true" outlineLevel="0" collapsed="false">
      <c r="A358" s="18" t="s">
        <v>333</v>
      </c>
      <c r="B358" s="18" t="n">
        <v>12</v>
      </c>
      <c r="C358" s="18" t="s">
        <v>254</v>
      </c>
      <c r="D358" s="18" t="n">
        <v>-45</v>
      </c>
      <c r="E358" s="18" t="s">
        <v>313</v>
      </c>
      <c r="F358" s="18" t="s">
        <v>198</v>
      </c>
      <c r="G358" s="19" t="n">
        <v>35886</v>
      </c>
      <c r="H358" s="18" t="n">
        <v>17</v>
      </c>
      <c r="I358" s="18" t="n">
        <v>33</v>
      </c>
      <c r="J358" s="18" t="n">
        <f aca="false">SUMIFS($H$2:$H$1200,$A$2:$A$1200,$A358,$B$2:$B$1200,"&lt;="&amp;$B358)</f>
        <v>224</v>
      </c>
      <c r="K358" s="18" t="n">
        <f aca="false">SUMIFS($I$2:$I$1200,$A$2:$A$1200,$A358,$B$2:$B$1200,"&lt;="&amp;$B358)</f>
        <v>87</v>
      </c>
      <c r="L358" s="18" t="n">
        <f aca="false">J358-K358</f>
        <v>137</v>
      </c>
      <c r="M358" s="18" t="n">
        <f aca="false">SUMIF($A$2:$A$1200,$A358,$H$2:$H$1200)</f>
        <v>262</v>
      </c>
      <c r="N358" s="20" t="n">
        <f aca="false">IF(M358=0,"",L358/M358)</f>
        <v>0.522900763358779</v>
      </c>
      <c r="O358" s="20" t="n">
        <v>0.522900763358779</v>
      </c>
      <c r="P358" s="20" t="n">
        <f aca="false">IF(OR(N358="",O358=""),"",N358-O358)</f>
        <v>0</v>
      </c>
      <c r="Q358" s="18"/>
    </row>
    <row r="359" customFormat="false" ht="15" hidden="false" customHeight="true" outlineLevel="0" collapsed="false">
      <c r="A359" s="18" t="s">
        <v>333</v>
      </c>
      <c r="B359" s="18" t="n">
        <v>13</v>
      </c>
      <c r="C359" s="18" t="s">
        <v>403</v>
      </c>
      <c r="D359" s="18" t="n">
        <v>-30</v>
      </c>
      <c r="E359" s="18" t="s">
        <v>313</v>
      </c>
      <c r="F359" s="18" t="s">
        <v>198</v>
      </c>
      <c r="G359" s="19" t="n">
        <v>35886</v>
      </c>
      <c r="H359" s="18" t="n">
        <v>15</v>
      </c>
      <c r="I359" s="18" t="n">
        <v>38</v>
      </c>
      <c r="J359" s="18" t="n">
        <f aca="false">SUMIFS($H$2:$H$1200,$A$2:$A$1200,$A359,$B$2:$B$1200,"&lt;="&amp;$B359)</f>
        <v>239</v>
      </c>
      <c r="K359" s="18" t="n">
        <f aca="false">SUMIFS($I$2:$I$1200,$A$2:$A$1200,$A359,$B$2:$B$1200,"&lt;="&amp;$B359)</f>
        <v>125</v>
      </c>
      <c r="L359" s="18" t="n">
        <f aca="false">J359-K359</f>
        <v>114</v>
      </c>
      <c r="M359" s="18" t="n">
        <f aca="false">SUMIF($A$2:$A$1200,$A359,$H$2:$H$1200)</f>
        <v>262</v>
      </c>
      <c r="N359" s="20" t="n">
        <f aca="false">IF(M359=0,"",L359/M359)</f>
        <v>0.435114503816794</v>
      </c>
      <c r="O359" s="20" t="n">
        <v>0.435114503816794</v>
      </c>
      <c r="P359" s="20" t="n">
        <f aca="false">IF(OR(N359="",O359=""),"",N359-O359)</f>
        <v>0</v>
      </c>
      <c r="Q359" s="18"/>
    </row>
    <row r="360" customFormat="false" ht="15" hidden="false" customHeight="true" outlineLevel="0" collapsed="false">
      <c r="A360" s="18" t="s">
        <v>333</v>
      </c>
      <c r="B360" s="18" t="n">
        <v>14</v>
      </c>
      <c r="C360" s="18" t="s">
        <v>529</v>
      </c>
      <c r="D360" s="18" t="n">
        <v>-15</v>
      </c>
      <c r="E360" s="18" t="s">
        <v>313</v>
      </c>
      <c r="F360" s="18" t="s">
        <v>198</v>
      </c>
      <c r="G360" s="19" t="n">
        <v>35886</v>
      </c>
      <c r="H360" s="18" t="n">
        <v>11</v>
      </c>
      <c r="I360" s="18" t="n">
        <v>44</v>
      </c>
      <c r="J360" s="18" t="n">
        <f aca="false">SUMIFS($H$2:$H$1200,$A$2:$A$1200,$A360,$B$2:$B$1200,"&lt;="&amp;$B360)</f>
        <v>250</v>
      </c>
      <c r="K360" s="18" t="n">
        <f aca="false">SUMIFS($I$2:$I$1200,$A$2:$A$1200,$A360,$B$2:$B$1200,"&lt;="&amp;$B360)</f>
        <v>169</v>
      </c>
      <c r="L360" s="18" t="n">
        <f aca="false">J360-K360</f>
        <v>81</v>
      </c>
      <c r="M360" s="18" t="n">
        <f aca="false">SUMIF($A$2:$A$1200,$A360,$H$2:$H$1200)</f>
        <v>262</v>
      </c>
      <c r="N360" s="20" t="n">
        <f aca="false">IF(M360=0,"",L360/M360)</f>
        <v>0.309160305343511</v>
      </c>
      <c r="O360" s="20" t="n">
        <v>0.309160305343512</v>
      </c>
      <c r="P360" s="20" t="n">
        <f aca="false">IF(OR(N360="",O360=""),"",N360-O360)</f>
        <v>0</v>
      </c>
      <c r="Q360" s="18"/>
    </row>
    <row r="361" customFormat="false" ht="15" hidden="false" customHeight="true" outlineLevel="0" collapsed="false">
      <c r="A361" s="18" t="s">
        <v>333</v>
      </c>
      <c r="B361" s="18" t="n">
        <v>15</v>
      </c>
      <c r="C361" s="18" t="s">
        <v>463</v>
      </c>
      <c r="D361" s="18" t="n">
        <v>0</v>
      </c>
      <c r="E361" s="18" t="s">
        <v>313</v>
      </c>
      <c r="F361" s="18" t="s">
        <v>198</v>
      </c>
      <c r="G361" s="19" t="n">
        <v>35886</v>
      </c>
      <c r="H361" s="18" t="n">
        <v>5</v>
      </c>
      <c r="I361" s="18" t="n">
        <v>37</v>
      </c>
      <c r="J361" s="18" t="n">
        <f aca="false">SUMIFS($H$2:$H$1200,$A$2:$A$1200,$A361,$B$2:$B$1200,"&lt;="&amp;$B361)</f>
        <v>255</v>
      </c>
      <c r="K361" s="18" t="n">
        <f aca="false">SUMIFS($I$2:$I$1200,$A$2:$A$1200,$A361,$B$2:$B$1200,"&lt;="&amp;$B361)</f>
        <v>206</v>
      </c>
      <c r="L361" s="18" t="n">
        <f aca="false">J361-K361</f>
        <v>49</v>
      </c>
      <c r="M361" s="18" t="n">
        <f aca="false">SUMIF($A$2:$A$1200,$A361,$H$2:$H$1200)</f>
        <v>262</v>
      </c>
      <c r="N361" s="20" t="n">
        <f aca="false">IF(M361=0,"",L361/M361)</f>
        <v>0.187022900763359</v>
      </c>
      <c r="O361" s="20" t="n">
        <v>0.187022900763359</v>
      </c>
      <c r="P361" s="20" t="n">
        <f aca="false">IF(OR(N361="",O361=""),"",N361-O361)</f>
        <v>0</v>
      </c>
      <c r="Q361" s="18"/>
    </row>
    <row r="362" customFormat="false" ht="15" hidden="false" customHeight="true" outlineLevel="0" collapsed="false">
      <c r="A362" s="18" t="s">
        <v>333</v>
      </c>
      <c r="B362" s="18" t="n">
        <v>16</v>
      </c>
      <c r="C362" s="18" t="s">
        <v>366</v>
      </c>
      <c r="D362" s="18" t="n">
        <v>15</v>
      </c>
      <c r="E362" s="18" t="s">
        <v>313</v>
      </c>
      <c r="F362" s="18" t="s">
        <v>198</v>
      </c>
      <c r="G362" s="19" t="n">
        <v>35886</v>
      </c>
      <c r="H362" s="18" t="n">
        <v>6</v>
      </c>
      <c r="I362" s="18" t="n">
        <v>35</v>
      </c>
      <c r="J362" s="18" t="n">
        <f aca="false">SUMIFS($H$2:$H$1200,$A$2:$A$1200,$A362,$B$2:$B$1200,"&lt;="&amp;$B362)</f>
        <v>261</v>
      </c>
      <c r="K362" s="18" t="n">
        <f aca="false">SUMIFS($I$2:$I$1200,$A$2:$A$1200,$A362,$B$2:$B$1200,"&lt;="&amp;$B362)</f>
        <v>241</v>
      </c>
      <c r="L362" s="18" t="n">
        <f aca="false">J362-K362</f>
        <v>20</v>
      </c>
      <c r="M362" s="18" t="n">
        <f aca="false">SUMIF($A$2:$A$1200,$A362,$H$2:$H$1200)</f>
        <v>262</v>
      </c>
      <c r="N362" s="20" t="n">
        <f aca="false">IF(M362=0,"",L362/M362)</f>
        <v>0.0763358778625954</v>
      </c>
      <c r="O362" s="20" t="n">
        <v>0.0763358778625954</v>
      </c>
      <c r="P362" s="20" t="n">
        <f aca="false">IF(OR(N362="",O362=""),"",N362-O362)</f>
        <v>0</v>
      </c>
      <c r="Q362" s="18"/>
    </row>
    <row r="363" customFormat="false" ht="15" hidden="false" customHeight="true" outlineLevel="0" collapsed="false">
      <c r="A363" s="18" t="s">
        <v>333</v>
      </c>
      <c r="B363" s="18" t="n">
        <v>17</v>
      </c>
      <c r="C363" s="18" t="s">
        <v>326</v>
      </c>
      <c r="D363" s="18" t="n">
        <v>30</v>
      </c>
      <c r="E363" s="18" t="s">
        <v>313</v>
      </c>
      <c r="F363" s="18" t="s">
        <v>198</v>
      </c>
      <c r="G363" s="19" t="n">
        <v>35886</v>
      </c>
      <c r="H363" s="18" t="n">
        <v>1</v>
      </c>
      <c r="I363" s="18" t="n">
        <v>20</v>
      </c>
      <c r="J363" s="18" t="n">
        <f aca="false">SUMIFS($H$2:$H$1200,$A$2:$A$1200,$A363,$B$2:$B$1200,"&lt;="&amp;$B363)</f>
        <v>262</v>
      </c>
      <c r="K363" s="18" t="n">
        <f aca="false">SUMIFS($I$2:$I$1200,$A$2:$A$1200,$A363,$B$2:$B$1200,"&lt;="&amp;$B363)</f>
        <v>261</v>
      </c>
      <c r="L363" s="18" t="n">
        <f aca="false">J363-K363</f>
        <v>1</v>
      </c>
      <c r="M363" s="18" t="n">
        <f aca="false">SUMIF($A$2:$A$1200,$A363,$H$2:$H$1200)</f>
        <v>262</v>
      </c>
      <c r="N363" s="20" t="n">
        <f aca="false">IF(M363=0,"",L363/M363)</f>
        <v>0.00381679389312977</v>
      </c>
      <c r="O363" s="20" t="n">
        <v>0.00381679389312977</v>
      </c>
      <c r="P363" s="20" t="n">
        <f aca="false">IF(OR(N363="",O363=""),"",N363-O363)</f>
        <v>0</v>
      </c>
      <c r="Q363" s="18"/>
    </row>
    <row r="364" customFormat="false" ht="15" hidden="false" customHeight="true" outlineLevel="0" collapsed="false">
      <c r="A364" s="18" t="s">
        <v>333</v>
      </c>
      <c r="B364" s="18" t="n">
        <v>18</v>
      </c>
      <c r="C364" s="18" t="s">
        <v>226</v>
      </c>
      <c r="D364" s="18" t="n">
        <v>45</v>
      </c>
      <c r="E364" s="18" t="s">
        <v>313</v>
      </c>
      <c r="F364" s="18" t="s">
        <v>198</v>
      </c>
      <c r="G364" s="19" t="n">
        <v>35886</v>
      </c>
      <c r="H364" s="18" t="n">
        <v>0</v>
      </c>
      <c r="I364" s="18" t="n">
        <v>0</v>
      </c>
      <c r="J364" s="18" t="n">
        <f aca="false">SUMIFS($H$2:$H$1200,$A$2:$A$1200,$A364,$B$2:$B$1200,"&lt;="&amp;$B364)</f>
        <v>262</v>
      </c>
      <c r="K364" s="18" t="n">
        <f aca="false">SUMIFS($I$2:$I$1200,$A$2:$A$1200,$A364,$B$2:$B$1200,"&lt;="&amp;$B364)</f>
        <v>261</v>
      </c>
      <c r="L364" s="18" t="n">
        <f aca="false">J364-K364</f>
        <v>1</v>
      </c>
      <c r="M364" s="18" t="n">
        <f aca="false">SUMIF($A$2:$A$1200,$A364,$H$2:$H$1200)</f>
        <v>262</v>
      </c>
      <c r="N364" s="20" t="n">
        <f aca="false">IF(M364=0,"",L364/M364)</f>
        <v>0.00381679389312977</v>
      </c>
      <c r="O364" s="20" t="n">
        <v>0.00381679389312977</v>
      </c>
      <c r="P364" s="20" t="n">
        <f aca="false">IF(OR(N364="",O364=""),"",N364-O364)</f>
        <v>0</v>
      </c>
      <c r="Q364" s="21" t="s">
        <v>530</v>
      </c>
    </row>
    <row r="365" customFormat="false" ht="15" hidden="false" customHeight="true" outlineLevel="0" collapsed="false">
      <c r="A365" s="18" t="s">
        <v>335</v>
      </c>
      <c r="B365" s="18" t="n">
        <v>2</v>
      </c>
      <c r="C365" s="18" t="s">
        <v>340</v>
      </c>
      <c r="D365" s="18" t="n">
        <v>-195</v>
      </c>
      <c r="E365" s="18" t="s">
        <v>313</v>
      </c>
      <c r="F365" s="18" t="s">
        <v>198</v>
      </c>
      <c r="G365" s="19" t="n">
        <v>38101</v>
      </c>
      <c r="H365" s="18" t="n">
        <v>39</v>
      </c>
      <c r="I365" s="18" t="n">
        <v>0</v>
      </c>
      <c r="J365" s="18" t="n">
        <f aca="false">SUMIFS($H$2:$H$1200,$A$2:$A$1200,$A365,$B$2:$B$1200,"&lt;="&amp;$B365)</f>
        <v>39</v>
      </c>
      <c r="K365" s="18" t="n">
        <f aca="false">SUMIFS($I$2:$I$1200,$A$2:$A$1200,$A365,$B$2:$B$1200,"&lt;="&amp;$B365)</f>
        <v>0</v>
      </c>
      <c r="L365" s="18" t="n">
        <f aca="false">J365-K365</f>
        <v>39</v>
      </c>
      <c r="M365" s="18" t="n">
        <f aca="false">SUMIF($A$2:$A$1200,$A365,$H$2:$H$1200)</f>
        <v>707</v>
      </c>
      <c r="N365" s="20" t="n">
        <f aca="false">IF(M365=0,"",L365/M365)</f>
        <v>0.0551626591230552</v>
      </c>
      <c r="O365" s="20"/>
      <c r="P365" s="20" t="str">
        <f aca="false">IF(OR(N365="",O365=""),"",N365-O365)</f>
        <v/>
      </c>
      <c r="Q365" s="18"/>
    </row>
    <row r="366" customFormat="false" ht="15" hidden="false" customHeight="true" outlineLevel="0" collapsed="false">
      <c r="A366" s="18" t="s">
        <v>335</v>
      </c>
      <c r="B366" s="18" t="n">
        <v>3</v>
      </c>
      <c r="C366" s="18" t="s">
        <v>525</v>
      </c>
      <c r="D366" s="18" t="n">
        <v>-180</v>
      </c>
      <c r="E366" s="18" t="s">
        <v>313</v>
      </c>
      <c r="F366" s="18" t="s">
        <v>198</v>
      </c>
      <c r="G366" s="19" t="n">
        <v>38101</v>
      </c>
      <c r="H366" s="18" t="n">
        <v>29</v>
      </c>
      <c r="I366" s="18" t="n">
        <v>2</v>
      </c>
      <c r="J366" s="18" t="n">
        <f aca="false">SUMIFS($H$2:$H$1200,$A$2:$A$1200,$A366,$B$2:$B$1200,"&lt;="&amp;$B366)</f>
        <v>68</v>
      </c>
      <c r="K366" s="18" t="n">
        <f aca="false">SUMIFS($I$2:$I$1200,$A$2:$A$1200,$A366,$B$2:$B$1200,"&lt;="&amp;$B366)</f>
        <v>2</v>
      </c>
      <c r="L366" s="18" t="n">
        <f aca="false">J366-K366</f>
        <v>66</v>
      </c>
      <c r="M366" s="18" t="n">
        <f aca="false">SUMIF($A$2:$A$1200,$A366,$H$2:$H$1200)</f>
        <v>707</v>
      </c>
      <c r="N366" s="20" t="n">
        <f aca="false">IF(M366=0,"",L366/M366)</f>
        <v>0.0933521923620934</v>
      </c>
      <c r="O366" s="20"/>
      <c r="P366" s="20" t="str">
        <f aca="false">IF(OR(N366="",O366=""),"",N366-O366)</f>
        <v/>
      </c>
      <c r="Q366" s="18"/>
    </row>
    <row r="367" customFormat="false" ht="15" hidden="false" customHeight="true" outlineLevel="0" collapsed="false">
      <c r="A367" s="18" t="s">
        <v>335</v>
      </c>
      <c r="B367" s="18" t="n">
        <v>4</v>
      </c>
      <c r="C367" s="18" t="s">
        <v>526</v>
      </c>
      <c r="D367" s="18" t="n">
        <v>-165</v>
      </c>
      <c r="E367" s="18" t="s">
        <v>313</v>
      </c>
      <c r="F367" s="18" t="s">
        <v>198</v>
      </c>
      <c r="G367" s="19" t="n">
        <v>38101</v>
      </c>
      <c r="H367" s="18" t="n">
        <v>47</v>
      </c>
      <c r="I367" s="18" t="n">
        <v>1</v>
      </c>
      <c r="J367" s="18" t="n">
        <f aca="false">SUMIFS($H$2:$H$1200,$A$2:$A$1200,$A367,$B$2:$B$1200,"&lt;="&amp;$B367)</f>
        <v>115</v>
      </c>
      <c r="K367" s="18" t="n">
        <f aca="false">SUMIFS($I$2:$I$1200,$A$2:$A$1200,$A367,$B$2:$B$1200,"&lt;="&amp;$B367)</f>
        <v>3</v>
      </c>
      <c r="L367" s="18" t="n">
        <f aca="false">J367-K367</f>
        <v>112</v>
      </c>
      <c r="M367" s="18" t="n">
        <f aca="false">SUMIF($A$2:$A$1200,$A367,$H$2:$H$1200)</f>
        <v>707</v>
      </c>
      <c r="N367" s="20" t="n">
        <f aca="false">IF(M367=0,"",L367/M367)</f>
        <v>0.158415841584158</v>
      </c>
      <c r="O367" s="20"/>
      <c r="P367" s="20" t="str">
        <f aca="false">IF(OR(N367="",O367=""),"",N367-O367)</f>
        <v/>
      </c>
      <c r="Q367" s="18"/>
    </row>
    <row r="368" customFormat="false" ht="15" hidden="false" customHeight="true" outlineLevel="0" collapsed="false">
      <c r="A368" s="18" t="s">
        <v>335</v>
      </c>
      <c r="B368" s="18" t="n">
        <v>5</v>
      </c>
      <c r="C368" s="18" t="s">
        <v>527</v>
      </c>
      <c r="D368" s="18" t="n">
        <v>-150</v>
      </c>
      <c r="E368" s="18" t="s">
        <v>313</v>
      </c>
      <c r="F368" s="18" t="s">
        <v>198</v>
      </c>
      <c r="G368" s="19" t="n">
        <v>38101</v>
      </c>
      <c r="H368" s="18" t="n">
        <v>78</v>
      </c>
      <c r="I368" s="18" t="n">
        <v>3</v>
      </c>
      <c r="J368" s="18" t="n">
        <f aca="false">SUMIFS($H$2:$H$1200,$A$2:$A$1200,$A368,$B$2:$B$1200,"&lt;="&amp;$B368)</f>
        <v>193</v>
      </c>
      <c r="K368" s="18" t="n">
        <f aca="false">SUMIFS($I$2:$I$1200,$A$2:$A$1200,$A368,$B$2:$B$1200,"&lt;="&amp;$B368)</f>
        <v>6</v>
      </c>
      <c r="L368" s="18" t="n">
        <f aca="false">J368-K368</f>
        <v>187</v>
      </c>
      <c r="M368" s="18" t="n">
        <f aca="false">SUMIF($A$2:$A$1200,$A368,$H$2:$H$1200)</f>
        <v>707</v>
      </c>
      <c r="N368" s="20" t="n">
        <f aca="false">IF(M368=0,"",L368/M368)</f>
        <v>0.264497878359264</v>
      </c>
      <c r="O368" s="20"/>
      <c r="P368" s="20" t="str">
        <f aca="false">IF(OR(N368="",O368=""),"",N368-O368)</f>
        <v/>
      </c>
      <c r="Q368" s="18"/>
    </row>
    <row r="369" customFormat="false" ht="15" hidden="false" customHeight="true" outlineLevel="0" collapsed="false">
      <c r="A369" s="18" t="s">
        <v>335</v>
      </c>
      <c r="B369" s="18" t="n">
        <v>6</v>
      </c>
      <c r="C369" s="18" t="s">
        <v>528</v>
      </c>
      <c r="D369" s="18" t="n">
        <v>-135</v>
      </c>
      <c r="E369" s="18" t="s">
        <v>313</v>
      </c>
      <c r="F369" s="18" t="s">
        <v>198</v>
      </c>
      <c r="G369" s="19" t="n">
        <v>38101</v>
      </c>
      <c r="H369" s="18" t="n">
        <v>100</v>
      </c>
      <c r="I369" s="18" t="n">
        <v>9</v>
      </c>
      <c r="J369" s="18" t="n">
        <f aca="false">SUMIFS($H$2:$H$1200,$A$2:$A$1200,$A369,$B$2:$B$1200,"&lt;="&amp;$B369)</f>
        <v>293</v>
      </c>
      <c r="K369" s="18" t="n">
        <f aca="false">SUMIFS($I$2:$I$1200,$A$2:$A$1200,$A369,$B$2:$B$1200,"&lt;="&amp;$B369)</f>
        <v>15</v>
      </c>
      <c r="L369" s="18" t="n">
        <f aca="false">J369-K369</f>
        <v>278</v>
      </c>
      <c r="M369" s="18" t="n">
        <f aca="false">SUMIF($A$2:$A$1200,$A369,$H$2:$H$1200)</f>
        <v>707</v>
      </c>
      <c r="N369" s="20" t="n">
        <f aca="false">IF(M369=0,"",L369/M369)</f>
        <v>0.393210749646393</v>
      </c>
      <c r="O369" s="20"/>
      <c r="P369" s="20" t="str">
        <f aca="false">IF(OR(N369="",O369=""),"",N369-O369)</f>
        <v/>
      </c>
      <c r="Q369" s="18"/>
    </row>
    <row r="370" customFormat="false" ht="15" hidden="false" customHeight="true" outlineLevel="0" collapsed="false">
      <c r="A370" s="18" t="s">
        <v>335</v>
      </c>
      <c r="B370" s="18" t="n">
        <v>7</v>
      </c>
      <c r="C370" s="18" t="s">
        <v>227</v>
      </c>
      <c r="D370" s="18" t="n">
        <v>-120</v>
      </c>
      <c r="E370" s="18" t="s">
        <v>313</v>
      </c>
      <c r="F370" s="18" t="s">
        <v>198</v>
      </c>
      <c r="G370" s="19" t="n">
        <v>38101</v>
      </c>
      <c r="H370" s="18" t="n">
        <v>90</v>
      </c>
      <c r="I370" s="18" t="n">
        <v>10</v>
      </c>
      <c r="J370" s="18" t="n">
        <f aca="false">SUMIFS($H$2:$H$1200,$A$2:$A$1200,$A370,$B$2:$B$1200,"&lt;="&amp;$B370)</f>
        <v>383</v>
      </c>
      <c r="K370" s="18" t="n">
        <f aca="false">SUMIFS($I$2:$I$1200,$A$2:$A$1200,$A370,$B$2:$B$1200,"&lt;="&amp;$B370)</f>
        <v>25</v>
      </c>
      <c r="L370" s="18" t="n">
        <f aca="false">J370-K370</f>
        <v>358</v>
      </c>
      <c r="M370" s="18" t="n">
        <f aca="false">SUMIF($A$2:$A$1200,$A370,$H$2:$H$1200)</f>
        <v>707</v>
      </c>
      <c r="N370" s="20" t="n">
        <f aca="false">IF(M370=0,"",L370/M370)</f>
        <v>0.506364922206506</v>
      </c>
      <c r="O370" s="20"/>
      <c r="P370" s="20" t="str">
        <f aca="false">IF(OR(N370="",O370=""),"",N370-O370)</f>
        <v/>
      </c>
      <c r="Q370" s="18"/>
    </row>
    <row r="371" customFormat="false" ht="15" hidden="false" customHeight="true" outlineLevel="0" collapsed="false">
      <c r="A371" s="18" t="s">
        <v>335</v>
      </c>
      <c r="B371" s="18" t="n">
        <v>8</v>
      </c>
      <c r="C371" s="18" t="s">
        <v>241</v>
      </c>
      <c r="D371" s="18" t="n">
        <v>-105</v>
      </c>
      <c r="E371" s="18" t="s">
        <v>313</v>
      </c>
      <c r="F371" s="18" t="s">
        <v>198</v>
      </c>
      <c r="G371" s="19" t="n">
        <v>38101</v>
      </c>
      <c r="H371" s="18" t="n">
        <v>78</v>
      </c>
      <c r="I371" s="18" t="n">
        <v>22</v>
      </c>
      <c r="J371" s="18" t="n">
        <f aca="false">SUMIFS($H$2:$H$1200,$A$2:$A$1200,$A371,$B$2:$B$1200,"&lt;="&amp;$B371)</f>
        <v>461</v>
      </c>
      <c r="K371" s="18" t="n">
        <f aca="false">SUMIFS($I$2:$I$1200,$A$2:$A$1200,$A371,$B$2:$B$1200,"&lt;="&amp;$B371)</f>
        <v>47</v>
      </c>
      <c r="L371" s="18" t="n">
        <f aca="false">J371-K371</f>
        <v>414</v>
      </c>
      <c r="M371" s="18" t="n">
        <f aca="false">SUMIF($A$2:$A$1200,$A371,$H$2:$H$1200)</f>
        <v>707</v>
      </c>
      <c r="N371" s="20" t="n">
        <f aca="false">IF(M371=0,"",L371/M371)</f>
        <v>0.585572842998586</v>
      </c>
      <c r="O371" s="20"/>
      <c r="P371" s="20" t="str">
        <f aca="false">IF(OR(N371="",O371=""),"",N371-O371)</f>
        <v/>
      </c>
      <c r="Q371" s="18"/>
    </row>
    <row r="372" customFormat="false" ht="15" hidden="false" customHeight="true" outlineLevel="0" collapsed="false">
      <c r="A372" s="18" t="s">
        <v>335</v>
      </c>
      <c r="B372" s="18" t="n">
        <v>9</v>
      </c>
      <c r="C372" s="18" t="s">
        <v>279</v>
      </c>
      <c r="D372" s="18" t="n">
        <v>-90</v>
      </c>
      <c r="E372" s="18" t="s">
        <v>313</v>
      </c>
      <c r="F372" s="18" t="s">
        <v>198</v>
      </c>
      <c r="G372" s="19" t="n">
        <v>38101</v>
      </c>
      <c r="H372" s="18" t="n">
        <v>71</v>
      </c>
      <c r="I372" s="18" t="n">
        <v>40</v>
      </c>
      <c r="J372" s="18" t="n">
        <f aca="false">SUMIFS($H$2:$H$1200,$A$2:$A$1200,$A372,$B$2:$B$1200,"&lt;="&amp;$B372)</f>
        <v>532</v>
      </c>
      <c r="K372" s="18" t="n">
        <f aca="false">SUMIFS($I$2:$I$1200,$A$2:$A$1200,$A372,$B$2:$B$1200,"&lt;="&amp;$B372)</f>
        <v>87</v>
      </c>
      <c r="L372" s="18" t="n">
        <f aca="false">J372-K372</f>
        <v>445</v>
      </c>
      <c r="M372" s="18" t="n">
        <f aca="false">SUMIF($A$2:$A$1200,$A372,$H$2:$H$1200)</f>
        <v>707</v>
      </c>
      <c r="N372" s="20" t="n">
        <f aca="false">IF(M372=0,"",L372/M372)</f>
        <v>0.629420084865629</v>
      </c>
      <c r="O372" s="20"/>
      <c r="P372" s="20" t="str">
        <f aca="false">IF(OR(N372="",O372=""),"",N372-O372)</f>
        <v/>
      </c>
      <c r="Q372" s="18"/>
    </row>
    <row r="373" customFormat="false" ht="15" hidden="false" customHeight="true" outlineLevel="0" collapsed="false">
      <c r="A373" s="18" t="s">
        <v>335</v>
      </c>
      <c r="B373" s="18" t="n">
        <v>10</v>
      </c>
      <c r="C373" s="18" t="s">
        <v>206</v>
      </c>
      <c r="D373" s="18" t="n">
        <v>-75</v>
      </c>
      <c r="E373" s="18" t="s">
        <v>313</v>
      </c>
      <c r="F373" s="18" t="s">
        <v>198</v>
      </c>
      <c r="G373" s="19" t="n">
        <v>38101</v>
      </c>
      <c r="H373" s="18" t="n">
        <v>46</v>
      </c>
      <c r="I373" s="18" t="n">
        <v>60</v>
      </c>
      <c r="J373" s="18" t="n">
        <f aca="false">SUMIFS($H$2:$H$1200,$A$2:$A$1200,$A373,$B$2:$B$1200,"&lt;="&amp;$B373)</f>
        <v>578</v>
      </c>
      <c r="K373" s="18" t="n">
        <f aca="false">SUMIFS($I$2:$I$1200,$A$2:$A$1200,$A373,$B$2:$B$1200,"&lt;="&amp;$B373)</f>
        <v>147</v>
      </c>
      <c r="L373" s="18" t="n">
        <f aca="false">J373-K373</f>
        <v>431</v>
      </c>
      <c r="M373" s="18" t="n">
        <f aca="false">SUMIF($A$2:$A$1200,$A373,$H$2:$H$1200)</f>
        <v>707</v>
      </c>
      <c r="N373" s="20" t="n">
        <f aca="false">IF(M373=0,"",L373/M373)</f>
        <v>0.60961810466761</v>
      </c>
      <c r="O373" s="20"/>
      <c r="P373" s="20" t="str">
        <f aca="false">IF(OR(N373="",O373=""),"",N373-O373)</f>
        <v/>
      </c>
      <c r="Q373" s="18"/>
    </row>
    <row r="374" customFormat="false" ht="15" hidden="false" customHeight="true" outlineLevel="0" collapsed="false">
      <c r="A374" s="18" t="s">
        <v>335</v>
      </c>
      <c r="B374" s="18" t="n">
        <v>11</v>
      </c>
      <c r="C374" s="18" t="s">
        <v>246</v>
      </c>
      <c r="D374" s="18" t="n">
        <v>-60</v>
      </c>
      <c r="E374" s="18" t="s">
        <v>313</v>
      </c>
      <c r="F374" s="18" t="s">
        <v>198</v>
      </c>
      <c r="G374" s="19" t="n">
        <v>38101</v>
      </c>
      <c r="H374" s="18" t="n">
        <v>35</v>
      </c>
      <c r="I374" s="18" t="n">
        <v>54</v>
      </c>
      <c r="J374" s="18" t="n">
        <f aca="false">SUMIFS($H$2:$H$1200,$A$2:$A$1200,$A374,$B$2:$B$1200,"&lt;="&amp;$B374)</f>
        <v>613</v>
      </c>
      <c r="K374" s="18" t="n">
        <f aca="false">SUMIFS($I$2:$I$1200,$A$2:$A$1200,$A374,$B$2:$B$1200,"&lt;="&amp;$B374)</f>
        <v>201</v>
      </c>
      <c r="L374" s="18" t="n">
        <f aca="false">J374-K374</f>
        <v>412</v>
      </c>
      <c r="M374" s="18" t="n">
        <f aca="false">SUMIF($A$2:$A$1200,$A374,$H$2:$H$1200)</f>
        <v>707</v>
      </c>
      <c r="N374" s="20" t="n">
        <f aca="false">IF(M374=0,"",L374/M374)</f>
        <v>0.582743988684583</v>
      </c>
      <c r="O374" s="20"/>
      <c r="P374" s="20" t="str">
        <f aca="false">IF(OR(N374="",O374=""),"",N374-O374)</f>
        <v/>
      </c>
      <c r="Q374" s="18"/>
    </row>
    <row r="375" customFormat="false" ht="15" hidden="false" customHeight="true" outlineLevel="0" collapsed="false">
      <c r="A375" s="18" t="s">
        <v>335</v>
      </c>
      <c r="B375" s="18" t="n">
        <v>12</v>
      </c>
      <c r="C375" s="18" t="s">
        <v>254</v>
      </c>
      <c r="D375" s="18" t="n">
        <v>-45</v>
      </c>
      <c r="E375" s="18" t="s">
        <v>313</v>
      </c>
      <c r="F375" s="18" t="s">
        <v>198</v>
      </c>
      <c r="G375" s="19" t="n">
        <v>38101</v>
      </c>
      <c r="H375" s="18" t="n">
        <v>28</v>
      </c>
      <c r="I375" s="18" t="n">
        <v>49</v>
      </c>
      <c r="J375" s="18" t="n">
        <f aca="false">SUMIFS($H$2:$H$1200,$A$2:$A$1200,$A375,$B$2:$B$1200,"&lt;="&amp;$B375)</f>
        <v>641</v>
      </c>
      <c r="K375" s="18" t="n">
        <f aca="false">SUMIFS($I$2:$I$1200,$A$2:$A$1200,$A375,$B$2:$B$1200,"&lt;="&amp;$B375)</f>
        <v>250</v>
      </c>
      <c r="L375" s="18" t="n">
        <f aca="false">J375-K375</f>
        <v>391</v>
      </c>
      <c r="M375" s="18" t="n">
        <f aca="false">SUMIF($A$2:$A$1200,$A375,$H$2:$H$1200)</f>
        <v>707</v>
      </c>
      <c r="N375" s="20" t="n">
        <f aca="false">IF(M375=0,"",L375/M375)</f>
        <v>0.553041018387553</v>
      </c>
      <c r="O375" s="20"/>
      <c r="P375" s="20" t="str">
        <f aca="false">IF(OR(N375="",O375=""),"",N375-O375)</f>
        <v/>
      </c>
      <c r="Q375" s="18"/>
    </row>
    <row r="376" customFormat="false" ht="15" hidden="false" customHeight="true" outlineLevel="0" collapsed="false">
      <c r="A376" s="18" t="s">
        <v>335</v>
      </c>
      <c r="B376" s="18" t="n">
        <v>13</v>
      </c>
      <c r="C376" s="18" t="s">
        <v>403</v>
      </c>
      <c r="D376" s="18" t="n">
        <v>-30</v>
      </c>
      <c r="E376" s="18" t="s">
        <v>313</v>
      </c>
      <c r="F376" s="18" t="s">
        <v>198</v>
      </c>
      <c r="G376" s="19" t="n">
        <v>38101</v>
      </c>
      <c r="H376" s="18" t="n">
        <v>12</v>
      </c>
      <c r="I376" s="18" t="n">
        <v>64</v>
      </c>
      <c r="J376" s="18" t="n">
        <f aca="false">SUMIFS($H$2:$H$1200,$A$2:$A$1200,$A376,$B$2:$B$1200,"&lt;="&amp;$B376)</f>
        <v>653</v>
      </c>
      <c r="K376" s="18" t="n">
        <f aca="false">SUMIFS($I$2:$I$1200,$A$2:$A$1200,$A376,$B$2:$B$1200,"&lt;="&amp;$B376)</f>
        <v>314</v>
      </c>
      <c r="L376" s="18" t="n">
        <f aca="false">J376-K376</f>
        <v>339</v>
      </c>
      <c r="M376" s="18" t="n">
        <f aca="false">SUMIF($A$2:$A$1200,$A376,$H$2:$H$1200)</f>
        <v>707</v>
      </c>
      <c r="N376" s="20" t="n">
        <f aca="false">IF(M376=0,"",L376/M376)</f>
        <v>0.47949080622348</v>
      </c>
      <c r="O376" s="20"/>
      <c r="P376" s="20" t="str">
        <f aca="false">IF(OR(N376="",O376=""),"",N376-O376)</f>
        <v/>
      </c>
      <c r="Q376" s="18"/>
    </row>
    <row r="377" customFormat="false" ht="15" hidden="false" customHeight="true" outlineLevel="0" collapsed="false">
      <c r="A377" s="18" t="s">
        <v>335</v>
      </c>
      <c r="B377" s="18" t="n">
        <v>14</v>
      </c>
      <c r="C377" s="18" t="s">
        <v>529</v>
      </c>
      <c r="D377" s="18" t="n">
        <v>-15</v>
      </c>
      <c r="E377" s="18" t="s">
        <v>313</v>
      </c>
      <c r="F377" s="18" t="s">
        <v>198</v>
      </c>
      <c r="G377" s="19" t="n">
        <v>38101</v>
      </c>
      <c r="H377" s="18" t="n">
        <v>12</v>
      </c>
      <c r="I377" s="18" t="n">
        <v>65</v>
      </c>
      <c r="J377" s="18" t="n">
        <f aca="false">SUMIFS($H$2:$H$1200,$A$2:$A$1200,$A377,$B$2:$B$1200,"&lt;="&amp;$B377)</f>
        <v>665</v>
      </c>
      <c r="K377" s="18" t="n">
        <f aca="false">SUMIFS($I$2:$I$1200,$A$2:$A$1200,$A377,$B$2:$B$1200,"&lt;="&amp;$B377)</f>
        <v>379</v>
      </c>
      <c r="L377" s="18" t="n">
        <f aca="false">J377-K377</f>
        <v>286</v>
      </c>
      <c r="M377" s="18" t="n">
        <f aca="false">SUMIF($A$2:$A$1200,$A377,$H$2:$H$1200)</f>
        <v>707</v>
      </c>
      <c r="N377" s="20" t="n">
        <f aca="false">IF(M377=0,"",L377/M377)</f>
        <v>0.404526166902405</v>
      </c>
      <c r="O377" s="20"/>
      <c r="P377" s="20" t="str">
        <f aca="false">IF(OR(N377="",O377=""),"",N377-O377)</f>
        <v/>
      </c>
      <c r="Q377" s="18"/>
    </row>
    <row r="378" customFormat="false" ht="15" hidden="false" customHeight="true" outlineLevel="0" collapsed="false">
      <c r="A378" s="18" t="s">
        <v>335</v>
      </c>
      <c r="B378" s="18" t="n">
        <v>15</v>
      </c>
      <c r="C378" s="18" t="s">
        <v>463</v>
      </c>
      <c r="D378" s="18" t="n">
        <v>0</v>
      </c>
      <c r="E378" s="18" t="s">
        <v>313</v>
      </c>
      <c r="F378" s="18" t="s">
        <v>198</v>
      </c>
      <c r="G378" s="19" t="n">
        <v>38101</v>
      </c>
      <c r="H378" s="18" t="n">
        <v>15</v>
      </c>
      <c r="I378" s="18" t="n">
        <v>63</v>
      </c>
      <c r="J378" s="18" t="n">
        <f aca="false">SUMIFS($H$2:$H$1200,$A$2:$A$1200,$A378,$B$2:$B$1200,"&lt;="&amp;$B378)</f>
        <v>680</v>
      </c>
      <c r="K378" s="18" t="n">
        <f aca="false">SUMIFS($I$2:$I$1200,$A$2:$A$1200,$A378,$B$2:$B$1200,"&lt;="&amp;$B378)</f>
        <v>442</v>
      </c>
      <c r="L378" s="18" t="n">
        <f aca="false">J378-K378</f>
        <v>238</v>
      </c>
      <c r="M378" s="18" t="n">
        <f aca="false">SUMIF($A$2:$A$1200,$A378,$H$2:$H$1200)</f>
        <v>707</v>
      </c>
      <c r="N378" s="20" t="n">
        <f aca="false">IF(M378=0,"",L378/M378)</f>
        <v>0.336633663366337</v>
      </c>
      <c r="O378" s="20"/>
      <c r="P378" s="20" t="str">
        <f aca="false">IF(OR(N378="",O378=""),"",N378-O378)</f>
        <v/>
      </c>
      <c r="Q378" s="18"/>
    </row>
    <row r="379" customFormat="false" ht="15" hidden="false" customHeight="true" outlineLevel="0" collapsed="false">
      <c r="A379" s="18" t="s">
        <v>335</v>
      </c>
      <c r="B379" s="18" t="n">
        <v>16</v>
      </c>
      <c r="C379" s="18" t="s">
        <v>366</v>
      </c>
      <c r="D379" s="18" t="n">
        <v>15</v>
      </c>
      <c r="E379" s="18" t="s">
        <v>313</v>
      </c>
      <c r="F379" s="18" t="s">
        <v>198</v>
      </c>
      <c r="G379" s="19" t="n">
        <v>38101</v>
      </c>
      <c r="H379" s="18" t="n">
        <v>11</v>
      </c>
      <c r="I379" s="18" t="n">
        <v>51</v>
      </c>
      <c r="J379" s="18" t="n">
        <f aca="false">SUMIFS($H$2:$H$1200,$A$2:$A$1200,$A379,$B$2:$B$1200,"&lt;="&amp;$B379)</f>
        <v>691</v>
      </c>
      <c r="K379" s="18" t="n">
        <f aca="false">SUMIFS($I$2:$I$1200,$A$2:$A$1200,$A379,$B$2:$B$1200,"&lt;="&amp;$B379)</f>
        <v>493</v>
      </c>
      <c r="L379" s="18" t="n">
        <f aca="false">J379-K379</f>
        <v>198</v>
      </c>
      <c r="M379" s="18" t="n">
        <f aca="false">SUMIF($A$2:$A$1200,$A379,$H$2:$H$1200)</f>
        <v>707</v>
      </c>
      <c r="N379" s="20" t="n">
        <f aca="false">IF(M379=0,"",L379/M379)</f>
        <v>0.28005657708628</v>
      </c>
      <c r="O379" s="20"/>
      <c r="P379" s="20" t="str">
        <f aca="false">IF(OR(N379="",O379=""),"",N379-O379)</f>
        <v/>
      </c>
      <c r="Q379" s="18"/>
    </row>
    <row r="380" customFormat="false" ht="15" hidden="false" customHeight="true" outlineLevel="0" collapsed="false">
      <c r="A380" s="18" t="s">
        <v>335</v>
      </c>
      <c r="B380" s="18" t="n">
        <v>17</v>
      </c>
      <c r="C380" s="18" t="s">
        <v>326</v>
      </c>
      <c r="D380" s="18" t="n">
        <v>30</v>
      </c>
      <c r="E380" s="18" t="s">
        <v>313</v>
      </c>
      <c r="F380" s="18" t="s">
        <v>198</v>
      </c>
      <c r="G380" s="19" t="n">
        <v>38101</v>
      </c>
      <c r="H380" s="18" t="n">
        <v>10</v>
      </c>
      <c r="I380" s="18" t="n">
        <v>47</v>
      </c>
      <c r="J380" s="18" t="n">
        <f aca="false">SUMIFS($H$2:$H$1200,$A$2:$A$1200,$A380,$B$2:$B$1200,"&lt;="&amp;$B380)</f>
        <v>701</v>
      </c>
      <c r="K380" s="18" t="n">
        <f aca="false">SUMIFS($I$2:$I$1200,$A$2:$A$1200,$A380,$B$2:$B$1200,"&lt;="&amp;$B380)</f>
        <v>540</v>
      </c>
      <c r="L380" s="18" t="n">
        <f aca="false">J380-K380</f>
        <v>161</v>
      </c>
      <c r="M380" s="18" t="n">
        <f aca="false">SUMIF($A$2:$A$1200,$A380,$H$2:$H$1200)</f>
        <v>707</v>
      </c>
      <c r="N380" s="20" t="n">
        <f aca="false">IF(M380=0,"",L380/M380)</f>
        <v>0.227722772277228</v>
      </c>
      <c r="O380" s="20"/>
      <c r="P380" s="20" t="str">
        <f aca="false">IF(OR(N380="",O380=""),"",N380-O380)</f>
        <v/>
      </c>
      <c r="Q380" s="18"/>
    </row>
    <row r="381" customFormat="false" ht="15" hidden="false" customHeight="true" outlineLevel="0" collapsed="false">
      <c r="A381" s="18" t="s">
        <v>335</v>
      </c>
      <c r="B381" s="18" t="n">
        <v>18</v>
      </c>
      <c r="C381" s="18" t="s">
        <v>226</v>
      </c>
      <c r="D381" s="18" t="n">
        <v>45</v>
      </c>
      <c r="E381" s="18" t="s">
        <v>313</v>
      </c>
      <c r="F381" s="18" t="s">
        <v>198</v>
      </c>
      <c r="G381" s="19" t="n">
        <v>38101</v>
      </c>
      <c r="H381" s="18" t="n">
        <v>6</v>
      </c>
      <c r="I381" s="18" t="n">
        <v>22</v>
      </c>
      <c r="J381" s="18" t="n">
        <f aca="false">SUMIFS($H$2:$H$1200,$A$2:$A$1200,$A381,$B$2:$B$1200,"&lt;="&amp;$B381)</f>
        <v>707</v>
      </c>
      <c r="K381" s="18" t="n">
        <f aca="false">SUMIFS($I$2:$I$1200,$A$2:$A$1200,$A381,$B$2:$B$1200,"&lt;="&amp;$B381)</f>
        <v>562</v>
      </c>
      <c r="L381" s="18" t="n">
        <f aca="false">J381-K381</f>
        <v>145</v>
      </c>
      <c r="M381" s="18" t="n">
        <f aca="false">SUMIF($A$2:$A$1200,$A381,$H$2:$H$1200)</f>
        <v>707</v>
      </c>
      <c r="N381" s="20" t="n">
        <f aca="false">IF(M381=0,"",L381/M381)</f>
        <v>0.205091937765205</v>
      </c>
      <c r="O381" s="20"/>
      <c r="P381" s="20" t="str">
        <f aca="false">IF(OR(N381="",O381=""),"",N381-O381)</f>
        <v/>
      </c>
      <c r="Q381" s="18"/>
    </row>
    <row r="382" customFormat="false" ht="15" hidden="false" customHeight="true" outlineLevel="0" collapsed="false">
      <c r="A382" s="18" t="s">
        <v>345</v>
      </c>
      <c r="B382" s="18" t="n">
        <v>0</v>
      </c>
      <c r="C382" s="18" t="s">
        <v>204</v>
      </c>
      <c r="D382" s="18"/>
      <c r="E382" s="18" t="s">
        <v>313</v>
      </c>
      <c r="F382" s="18" t="s">
        <v>198</v>
      </c>
      <c r="G382" s="19" t="n">
        <v>38101</v>
      </c>
      <c r="H382" s="18" t="n">
        <v>39</v>
      </c>
      <c r="I382" s="18" t="n">
        <v>0</v>
      </c>
      <c r="J382" s="18" t="n">
        <f aca="false">SUMIFS($H$2:$H$1200,$A$2:$A$1200,$A382,$B$2:$B$1200,"&lt;="&amp;$B382)</f>
        <v>39</v>
      </c>
      <c r="K382" s="18" t="n">
        <f aca="false">SUMIFS($I$2:$I$1200,$A$2:$A$1200,$A382,$B$2:$B$1200,"&lt;="&amp;$B382)</f>
        <v>0</v>
      </c>
      <c r="L382" s="18" t="n">
        <f aca="false">J382-K382</f>
        <v>39</v>
      </c>
      <c r="M382" s="18" t="n">
        <f aca="false">SUMIF($A$2:$A$1200,$A382,$H$2:$H$1200)</f>
        <v>707</v>
      </c>
      <c r="N382" s="20" t="n">
        <f aca="false">IF(M382=0,"",L382/M382)</f>
        <v>0.0551626591230552</v>
      </c>
      <c r="O382" s="20" t="n">
        <v>0.0551626591230552</v>
      </c>
      <c r="P382" s="20" t="n">
        <f aca="false">IF(OR(N382="",O382=""),"",N382-O382)</f>
        <v>0</v>
      </c>
      <c r="Q382" s="21" t="s">
        <v>530</v>
      </c>
    </row>
    <row r="383" customFormat="false" ht="15" hidden="false" customHeight="true" outlineLevel="0" collapsed="false">
      <c r="A383" s="18" t="s">
        <v>345</v>
      </c>
      <c r="B383" s="18" t="n">
        <v>3</v>
      </c>
      <c r="C383" s="18" t="s">
        <v>525</v>
      </c>
      <c r="D383" s="18" t="n">
        <v>-180</v>
      </c>
      <c r="E383" s="18" t="s">
        <v>313</v>
      </c>
      <c r="F383" s="18" t="s">
        <v>198</v>
      </c>
      <c r="G383" s="19" t="n">
        <v>38101</v>
      </c>
      <c r="H383" s="18" t="n">
        <v>29</v>
      </c>
      <c r="I383" s="18" t="n">
        <v>2</v>
      </c>
      <c r="J383" s="18" t="n">
        <f aca="false">SUMIFS($H$2:$H$1200,$A$2:$A$1200,$A383,$B$2:$B$1200,"&lt;="&amp;$B383)</f>
        <v>68</v>
      </c>
      <c r="K383" s="18" t="n">
        <f aca="false">SUMIFS($I$2:$I$1200,$A$2:$A$1200,$A383,$B$2:$B$1200,"&lt;="&amp;$B383)</f>
        <v>2</v>
      </c>
      <c r="L383" s="18" t="n">
        <f aca="false">J383-K383</f>
        <v>66</v>
      </c>
      <c r="M383" s="18" t="n">
        <f aca="false">SUMIF($A$2:$A$1200,$A383,$H$2:$H$1200)</f>
        <v>707</v>
      </c>
      <c r="N383" s="20" t="n">
        <f aca="false">IF(M383=0,"",L383/M383)</f>
        <v>0.0933521923620934</v>
      </c>
      <c r="O383" s="20" t="n">
        <v>0.0933521923620934</v>
      </c>
      <c r="P383" s="20" t="n">
        <f aca="false">IF(OR(N383="",O383=""),"",N383-O383)</f>
        <v>0</v>
      </c>
      <c r="Q383" s="18"/>
    </row>
    <row r="384" customFormat="false" ht="15" hidden="false" customHeight="true" outlineLevel="0" collapsed="false">
      <c r="A384" s="18" t="s">
        <v>345</v>
      </c>
      <c r="B384" s="18" t="n">
        <v>4</v>
      </c>
      <c r="C384" s="18" t="s">
        <v>526</v>
      </c>
      <c r="D384" s="18" t="n">
        <v>-165</v>
      </c>
      <c r="E384" s="18" t="s">
        <v>313</v>
      </c>
      <c r="F384" s="18" t="s">
        <v>198</v>
      </c>
      <c r="G384" s="19" t="n">
        <v>38101</v>
      </c>
      <c r="H384" s="18" t="n">
        <v>47</v>
      </c>
      <c r="I384" s="18" t="n">
        <v>1</v>
      </c>
      <c r="J384" s="18" t="n">
        <f aca="false">SUMIFS($H$2:$H$1200,$A$2:$A$1200,$A384,$B$2:$B$1200,"&lt;="&amp;$B384)</f>
        <v>115</v>
      </c>
      <c r="K384" s="18" t="n">
        <f aca="false">SUMIFS($I$2:$I$1200,$A$2:$A$1200,$A384,$B$2:$B$1200,"&lt;="&amp;$B384)</f>
        <v>3</v>
      </c>
      <c r="L384" s="18" t="n">
        <f aca="false">J384-K384</f>
        <v>112</v>
      </c>
      <c r="M384" s="18" t="n">
        <f aca="false">SUMIF($A$2:$A$1200,$A384,$H$2:$H$1200)</f>
        <v>707</v>
      </c>
      <c r="N384" s="20" t="n">
        <f aca="false">IF(M384=0,"",L384/M384)</f>
        <v>0.158415841584158</v>
      </c>
      <c r="O384" s="20" t="n">
        <v>0.158415841584158</v>
      </c>
      <c r="P384" s="20" t="n">
        <f aca="false">IF(OR(N384="",O384=""),"",N384-O384)</f>
        <v>0</v>
      </c>
      <c r="Q384" s="18"/>
    </row>
    <row r="385" customFormat="false" ht="15" hidden="false" customHeight="true" outlineLevel="0" collapsed="false">
      <c r="A385" s="18" t="s">
        <v>345</v>
      </c>
      <c r="B385" s="18" t="n">
        <v>5</v>
      </c>
      <c r="C385" s="18" t="s">
        <v>527</v>
      </c>
      <c r="D385" s="18" t="n">
        <v>-150</v>
      </c>
      <c r="E385" s="18" t="s">
        <v>313</v>
      </c>
      <c r="F385" s="18" t="s">
        <v>198</v>
      </c>
      <c r="G385" s="19" t="n">
        <v>38101</v>
      </c>
      <c r="H385" s="18" t="n">
        <v>78</v>
      </c>
      <c r="I385" s="18" t="n">
        <v>3</v>
      </c>
      <c r="J385" s="18" t="n">
        <f aca="false">SUMIFS($H$2:$H$1200,$A$2:$A$1200,$A385,$B$2:$B$1200,"&lt;="&amp;$B385)</f>
        <v>193</v>
      </c>
      <c r="K385" s="18" t="n">
        <f aca="false">SUMIFS($I$2:$I$1200,$A$2:$A$1200,$A385,$B$2:$B$1200,"&lt;="&amp;$B385)</f>
        <v>6</v>
      </c>
      <c r="L385" s="18" t="n">
        <f aca="false">J385-K385</f>
        <v>187</v>
      </c>
      <c r="M385" s="18" t="n">
        <f aca="false">SUMIF($A$2:$A$1200,$A385,$H$2:$H$1200)</f>
        <v>707</v>
      </c>
      <c r="N385" s="20" t="n">
        <f aca="false">IF(M385=0,"",L385/M385)</f>
        <v>0.264497878359264</v>
      </c>
      <c r="O385" s="20" t="n">
        <v>0.264497878359265</v>
      </c>
      <c r="P385" s="20" t="n">
        <f aca="false">IF(OR(N385="",O385=""),"",N385-O385)</f>
        <v>0</v>
      </c>
      <c r="Q385" s="18"/>
    </row>
    <row r="386" customFormat="false" ht="15" hidden="false" customHeight="true" outlineLevel="0" collapsed="false">
      <c r="A386" s="18" t="s">
        <v>345</v>
      </c>
      <c r="B386" s="18" t="n">
        <v>6</v>
      </c>
      <c r="C386" s="18" t="s">
        <v>528</v>
      </c>
      <c r="D386" s="18" t="n">
        <v>-135</v>
      </c>
      <c r="E386" s="18" t="s">
        <v>313</v>
      </c>
      <c r="F386" s="18" t="s">
        <v>198</v>
      </c>
      <c r="G386" s="19" t="n">
        <v>38101</v>
      </c>
      <c r="H386" s="18" t="n">
        <v>100</v>
      </c>
      <c r="I386" s="18" t="n">
        <v>9</v>
      </c>
      <c r="J386" s="18" t="n">
        <f aca="false">SUMIFS($H$2:$H$1200,$A$2:$A$1200,$A386,$B$2:$B$1200,"&lt;="&amp;$B386)</f>
        <v>293</v>
      </c>
      <c r="K386" s="18" t="n">
        <f aca="false">SUMIFS($I$2:$I$1200,$A$2:$A$1200,$A386,$B$2:$B$1200,"&lt;="&amp;$B386)</f>
        <v>15</v>
      </c>
      <c r="L386" s="18" t="n">
        <f aca="false">J386-K386</f>
        <v>278</v>
      </c>
      <c r="M386" s="18" t="n">
        <f aca="false">SUMIF($A$2:$A$1200,$A386,$H$2:$H$1200)</f>
        <v>707</v>
      </c>
      <c r="N386" s="20" t="n">
        <f aca="false">IF(M386=0,"",L386/M386)</f>
        <v>0.393210749646393</v>
      </c>
      <c r="O386" s="20" t="n">
        <v>0.393210749646393</v>
      </c>
      <c r="P386" s="20" t="n">
        <f aca="false">IF(OR(N386="",O386=""),"",N386-O386)</f>
        <v>0</v>
      </c>
      <c r="Q386" s="18"/>
    </row>
    <row r="387" customFormat="false" ht="15" hidden="false" customHeight="true" outlineLevel="0" collapsed="false">
      <c r="A387" s="18" t="s">
        <v>345</v>
      </c>
      <c r="B387" s="18" t="n">
        <v>7</v>
      </c>
      <c r="C387" s="18" t="s">
        <v>227</v>
      </c>
      <c r="D387" s="18" t="n">
        <v>-120</v>
      </c>
      <c r="E387" s="18" t="s">
        <v>313</v>
      </c>
      <c r="F387" s="18" t="s">
        <v>198</v>
      </c>
      <c r="G387" s="19" t="n">
        <v>38101</v>
      </c>
      <c r="H387" s="18" t="n">
        <v>90</v>
      </c>
      <c r="I387" s="18" t="n">
        <v>10</v>
      </c>
      <c r="J387" s="18" t="n">
        <f aca="false">SUMIFS($H$2:$H$1200,$A$2:$A$1200,$A387,$B$2:$B$1200,"&lt;="&amp;$B387)</f>
        <v>383</v>
      </c>
      <c r="K387" s="18" t="n">
        <f aca="false">SUMIFS($I$2:$I$1200,$A$2:$A$1200,$A387,$B$2:$B$1200,"&lt;="&amp;$B387)</f>
        <v>25</v>
      </c>
      <c r="L387" s="18" t="n">
        <f aca="false">J387-K387</f>
        <v>358</v>
      </c>
      <c r="M387" s="18" t="n">
        <f aca="false">SUMIF($A$2:$A$1200,$A387,$H$2:$H$1200)</f>
        <v>707</v>
      </c>
      <c r="N387" s="20" t="n">
        <f aca="false">IF(M387=0,"",L387/M387)</f>
        <v>0.506364922206506</v>
      </c>
      <c r="O387" s="20" t="n">
        <v>0.506364922206506</v>
      </c>
      <c r="P387" s="20" t="n">
        <f aca="false">IF(OR(N387="",O387=""),"",N387-O387)</f>
        <v>0</v>
      </c>
      <c r="Q387" s="18"/>
    </row>
    <row r="388" customFormat="false" ht="15" hidden="false" customHeight="true" outlineLevel="0" collapsed="false">
      <c r="A388" s="18" t="s">
        <v>345</v>
      </c>
      <c r="B388" s="18" t="n">
        <v>8</v>
      </c>
      <c r="C388" s="18" t="s">
        <v>241</v>
      </c>
      <c r="D388" s="18" t="n">
        <v>-105</v>
      </c>
      <c r="E388" s="18" t="s">
        <v>313</v>
      </c>
      <c r="F388" s="18" t="s">
        <v>198</v>
      </c>
      <c r="G388" s="19" t="n">
        <v>38101</v>
      </c>
      <c r="H388" s="18" t="n">
        <v>78</v>
      </c>
      <c r="I388" s="18" t="n">
        <v>22</v>
      </c>
      <c r="J388" s="18" t="n">
        <f aca="false">SUMIFS($H$2:$H$1200,$A$2:$A$1200,$A388,$B$2:$B$1200,"&lt;="&amp;$B388)</f>
        <v>461</v>
      </c>
      <c r="K388" s="18" t="n">
        <f aca="false">SUMIFS($I$2:$I$1200,$A$2:$A$1200,$A388,$B$2:$B$1200,"&lt;="&amp;$B388)</f>
        <v>47</v>
      </c>
      <c r="L388" s="18" t="n">
        <f aca="false">J388-K388</f>
        <v>414</v>
      </c>
      <c r="M388" s="18" t="n">
        <f aca="false">SUMIF($A$2:$A$1200,$A388,$H$2:$H$1200)</f>
        <v>707</v>
      </c>
      <c r="N388" s="20" t="n">
        <f aca="false">IF(M388=0,"",L388/M388)</f>
        <v>0.585572842998586</v>
      </c>
      <c r="O388" s="20" t="n">
        <v>0.585572842998586</v>
      </c>
      <c r="P388" s="20" t="n">
        <f aca="false">IF(OR(N388="",O388=""),"",N388-O388)</f>
        <v>0</v>
      </c>
      <c r="Q388" s="18"/>
    </row>
    <row r="389" customFormat="false" ht="15" hidden="false" customHeight="true" outlineLevel="0" collapsed="false">
      <c r="A389" s="18" t="s">
        <v>345</v>
      </c>
      <c r="B389" s="18" t="n">
        <v>9</v>
      </c>
      <c r="C389" s="18" t="s">
        <v>279</v>
      </c>
      <c r="D389" s="18" t="n">
        <v>-90</v>
      </c>
      <c r="E389" s="18" t="s">
        <v>313</v>
      </c>
      <c r="F389" s="18" t="s">
        <v>198</v>
      </c>
      <c r="G389" s="19" t="n">
        <v>38101</v>
      </c>
      <c r="H389" s="18" t="n">
        <v>71</v>
      </c>
      <c r="I389" s="18" t="n">
        <v>40</v>
      </c>
      <c r="J389" s="18" t="n">
        <f aca="false">SUMIFS($H$2:$H$1200,$A$2:$A$1200,$A389,$B$2:$B$1200,"&lt;="&amp;$B389)</f>
        <v>532</v>
      </c>
      <c r="K389" s="18" t="n">
        <f aca="false">SUMIFS($I$2:$I$1200,$A$2:$A$1200,$A389,$B$2:$B$1200,"&lt;="&amp;$B389)</f>
        <v>87</v>
      </c>
      <c r="L389" s="18" t="n">
        <f aca="false">J389-K389</f>
        <v>445</v>
      </c>
      <c r="M389" s="18" t="n">
        <f aca="false">SUMIF($A$2:$A$1200,$A389,$H$2:$H$1200)</f>
        <v>707</v>
      </c>
      <c r="N389" s="20" t="n">
        <f aca="false">IF(M389=0,"",L389/M389)</f>
        <v>0.629420084865629</v>
      </c>
      <c r="O389" s="20" t="n">
        <v>0.629420084865629</v>
      </c>
      <c r="P389" s="20" t="n">
        <f aca="false">IF(OR(N389="",O389=""),"",N389-O389)</f>
        <v>0</v>
      </c>
      <c r="Q389" s="18"/>
    </row>
    <row r="390" customFormat="false" ht="15" hidden="false" customHeight="true" outlineLevel="0" collapsed="false">
      <c r="A390" s="18" t="s">
        <v>345</v>
      </c>
      <c r="B390" s="18" t="n">
        <v>10</v>
      </c>
      <c r="C390" s="18" t="s">
        <v>206</v>
      </c>
      <c r="D390" s="18" t="n">
        <v>-75</v>
      </c>
      <c r="E390" s="18" t="s">
        <v>313</v>
      </c>
      <c r="F390" s="18" t="s">
        <v>198</v>
      </c>
      <c r="G390" s="19" t="n">
        <v>38101</v>
      </c>
      <c r="H390" s="18" t="n">
        <v>46</v>
      </c>
      <c r="I390" s="18" t="n">
        <v>60</v>
      </c>
      <c r="J390" s="18" t="n">
        <f aca="false">SUMIFS($H$2:$H$1200,$A$2:$A$1200,$A390,$B$2:$B$1200,"&lt;="&amp;$B390)</f>
        <v>578</v>
      </c>
      <c r="K390" s="18" t="n">
        <f aca="false">SUMIFS($I$2:$I$1200,$A$2:$A$1200,$A390,$B$2:$B$1200,"&lt;="&amp;$B390)</f>
        <v>147</v>
      </c>
      <c r="L390" s="18" t="n">
        <f aca="false">J390-K390</f>
        <v>431</v>
      </c>
      <c r="M390" s="18" t="n">
        <f aca="false">SUMIF($A$2:$A$1200,$A390,$H$2:$H$1200)</f>
        <v>707</v>
      </c>
      <c r="N390" s="20" t="n">
        <f aca="false">IF(M390=0,"",L390/M390)</f>
        <v>0.60961810466761</v>
      </c>
      <c r="O390" s="20" t="n">
        <v>0.60961810466761</v>
      </c>
      <c r="P390" s="20" t="n">
        <f aca="false">IF(OR(N390="",O390=""),"",N390-O390)</f>
        <v>0</v>
      </c>
      <c r="Q390" s="18"/>
    </row>
    <row r="391" customFormat="false" ht="15" hidden="false" customHeight="true" outlineLevel="0" collapsed="false">
      <c r="A391" s="18" t="s">
        <v>345</v>
      </c>
      <c r="B391" s="18" t="n">
        <v>11</v>
      </c>
      <c r="C391" s="18" t="s">
        <v>246</v>
      </c>
      <c r="D391" s="18" t="n">
        <v>-60</v>
      </c>
      <c r="E391" s="18" t="s">
        <v>313</v>
      </c>
      <c r="F391" s="18" t="s">
        <v>198</v>
      </c>
      <c r="G391" s="19" t="n">
        <v>38101</v>
      </c>
      <c r="H391" s="18" t="n">
        <v>35</v>
      </c>
      <c r="I391" s="18" t="n">
        <v>54</v>
      </c>
      <c r="J391" s="18" t="n">
        <f aca="false">SUMIFS($H$2:$H$1200,$A$2:$A$1200,$A391,$B$2:$B$1200,"&lt;="&amp;$B391)</f>
        <v>613</v>
      </c>
      <c r="K391" s="18" t="n">
        <f aca="false">SUMIFS($I$2:$I$1200,$A$2:$A$1200,$A391,$B$2:$B$1200,"&lt;="&amp;$B391)</f>
        <v>201</v>
      </c>
      <c r="L391" s="18" t="n">
        <f aca="false">J391-K391</f>
        <v>412</v>
      </c>
      <c r="M391" s="18" t="n">
        <f aca="false">SUMIF($A$2:$A$1200,$A391,$H$2:$H$1200)</f>
        <v>707</v>
      </c>
      <c r="N391" s="20" t="n">
        <f aca="false">IF(M391=0,"",L391/M391)</f>
        <v>0.582743988684583</v>
      </c>
      <c r="O391" s="20" t="n">
        <v>0.582743988684583</v>
      </c>
      <c r="P391" s="20" t="n">
        <f aca="false">IF(OR(N391="",O391=""),"",N391-O391)</f>
        <v>0</v>
      </c>
      <c r="Q391" s="18"/>
    </row>
    <row r="392" customFormat="false" ht="15" hidden="false" customHeight="true" outlineLevel="0" collapsed="false">
      <c r="A392" s="18" t="s">
        <v>345</v>
      </c>
      <c r="B392" s="18" t="n">
        <v>12</v>
      </c>
      <c r="C392" s="18" t="s">
        <v>254</v>
      </c>
      <c r="D392" s="18" t="n">
        <v>-45</v>
      </c>
      <c r="E392" s="18" t="s">
        <v>313</v>
      </c>
      <c r="F392" s="18" t="s">
        <v>198</v>
      </c>
      <c r="G392" s="19" t="n">
        <v>38101</v>
      </c>
      <c r="H392" s="18" t="n">
        <v>28</v>
      </c>
      <c r="I392" s="18" t="n">
        <v>49</v>
      </c>
      <c r="J392" s="18" t="n">
        <f aca="false">SUMIFS($H$2:$H$1200,$A$2:$A$1200,$A392,$B$2:$B$1200,"&lt;="&amp;$B392)</f>
        <v>641</v>
      </c>
      <c r="K392" s="18" t="n">
        <f aca="false">SUMIFS($I$2:$I$1200,$A$2:$A$1200,$A392,$B$2:$B$1200,"&lt;="&amp;$B392)</f>
        <v>250</v>
      </c>
      <c r="L392" s="18" t="n">
        <f aca="false">J392-K392</f>
        <v>391</v>
      </c>
      <c r="M392" s="18" t="n">
        <f aca="false">SUMIF($A$2:$A$1200,$A392,$H$2:$H$1200)</f>
        <v>707</v>
      </c>
      <c r="N392" s="20" t="n">
        <f aca="false">IF(M392=0,"",L392/M392)</f>
        <v>0.553041018387553</v>
      </c>
      <c r="O392" s="20" t="n">
        <v>0.553041018387553</v>
      </c>
      <c r="P392" s="20" t="n">
        <f aca="false">IF(OR(N392="",O392=""),"",N392-O392)</f>
        <v>0</v>
      </c>
      <c r="Q392" s="18"/>
    </row>
    <row r="393" customFormat="false" ht="15" hidden="false" customHeight="true" outlineLevel="0" collapsed="false">
      <c r="A393" s="18" t="s">
        <v>345</v>
      </c>
      <c r="B393" s="18" t="n">
        <v>13</v>
      </c>
      <c r="C393" s="18" t="s">
        <v>403</v>
      </c>
      <c r="D393" s="18" t="n">
        <v>-30</v>
      </c>
      <c r="E393" s="18" t="s">
        <v>313</v>
      </c>
      <c r="F393" s="18" t="s">
        <v>198</v>
      </c>
      <c r="G393" s="19" t="n">
        <v>38101</v>
      </c>
      <c r="H393" s="18" t="n">
        <v>12</v>
      </c>
      <c r="I393" s="18" t="n">
        <v>64</v>
      </c>
      <c r="J393" s="18" t="n">
        <f aca="false">SUMIFS($H$2:$H$1200,$A$2:$A$1200,$A393,$B$2:$B$1200,"&lt;="&amp;$B393)</f>
        <v>653</v>
      </c>
      <c r="K393" s="18" t="n">
        <f aca="false">SUMIFS($I$2:$I$1200,$A$2:$A$1200,$A393,$B$2:$B$1200,"&lt;="&amp;$B393)</f>
        <v>314</v>
      </c>
      <c r="L393" s="18" t="n">
        <f aca="false">J393-K393</f>
        <v>339</v>
      </c>
      <c r="M393" s="18" t="n">
        <f aca="false">SUMIF($A$2:$A$1200,$A393,$H$2:$H$1200)</f>
        <v>707</v>
      </c>
      <c r="N393" s="20" t="n">
        <f aca="false">IF(M393=0,"",L393/M393)</f>
        <v>0.47949080622348</v>
      </c>
      <c r="O393" s="20" t="n">
        <v>0.47949080622348</v>
      </c>
      <c r="P393" s="20" t="n">
        <f aca="false">IF(OR(N393="",O393=""),"",N393-O393)</f>
        <v>0</v>
      </c>
      <c r="Q393" s="18"/>
    </row>
    <row r="394" customFormat="false" ht="15" hidden="false" customHeight="true" outlineLevel="0" collapsed="false">
      <c r="A394" s="18" t="s">
        <v>345</v>
      </c>
      <c r="B394" s="18" t="n">
        <v>14</v>
      </c>
      <c r="C394" s="18" t="s">
        <v>529</v>
      </c>
      <c r="D394" s="18" t="n">
        <v>-15</v>
      </c>
      <c r="E394" s="18" t="s">
        <v>313</v>
      </c>
      <c r="F394" s="18" t="s">
        <v>198</v>
      </c>
      <c r="G394" s="19" t="n">
        <v>38101</v>
      </c>
      <c r="H394" s="18" t="n">
        <v>12</v>
      </c>
      <c r="I394" s="18" t="n">
        <v>65</v>
      </c>
      <c r="J394" s="18" t="n">
        <f aca="false">SUMIFS($H$2:$H$1200,$A$2:$A$1200,$A394,$B$2:$B$1200,"&lt;="&amp;$B394)</f>
        <v>665</v>
      </c>
      <c r="K394" s="18" t="n">
        <f aca="false">SUMIFS($I$2:$I$1200,$A$2:$A$1200,$A394,$B$2:$B$1200,"&lt;="&amp;$B394)</f>
        <v>379</v>
      </c>
      <c r="L394" s="18" t="n">
        <f aca="false">J394-K394</f>
        <v>286</v>
      </c>
      <c r="M394" s="18" t="n">
        <f aca="false">SUMIF($A$2:$A$1200,$A394,$H$2:$H$1200)</f>
        <v>707</v>
      </c>
      <c r="N394" s="20" t="n">
        <f aca="false">IF(M394=0,"",L394/M394)</f>
        <v>0.404526166902405</v>
      </c>
      <c r="O394" s="20" t="n">
        <v>0.404526166902405</v>
      </c>
      <c r="P394" s="20" t="n">
        <f aca="false">IF(OR(N394="",O394=""),"",N394-O394)</f>
        <v>0</v>
      </c>
      <c r="Q394" s="18"/>
    </row>
    <row r="395" customFormat="false" ht="15" hidden="false" customHeight="true" outlineLevel="0" collapsed="false">
      <c r="A395" s="18" t="s">
        <v>345</v>
      </c>
      <c r="B395" s="18" t="n">
        <v>15</v>
      </c>
      <c r="C395" s="18" t="s">
        <v>463</v>
      </c>
      <c r="D395" s="18" t="n">
        <v>0</v>
      </c>
      <c r="E395" s="18" t="s">
        <v>313</v>
      </c>
      <c r="F395" s="18" t="s">
        <v>198</v>
      </c>
      <c r="G395" s="19" t="n">
        <v>38101</v>
      </c>
      <c r="H395" s="18" t="n">
        <v>15</v>
      </c>
      <c r="I395" s="18" t="n">
        <v>63</v>
      </c>
      <c r="J395" s="18" t="n">
        <f aca="false">SUMIFS($H$2:$H$1200,$A$2:$A$1200,$A395,$B$2:$B$1200,"&lt;="&amp;$B395)</f>
        <v>680</v>
      </c>
      <c r="K395" s="18" t="n">
        <f aca="false">SUMIFS($I$2:$I$1200,$A$2:$A$1200,$A395,$B$2:$B$1200,"&lt;="&amp;$B395)</f>
        <v>442</v>
      </c>
      <c r="L395" s="18" t="n">
        <f aca="false">J395-K395</f>
        <v>238</v>
      </c>
      <c r="M395" s="18" t="n">
        <f aca="false">SUMIF($A$2:$A$1200,$A395,$H$2:$H$1200)</f>
        <v>707</v>
      </c>
      <c r="N395" s="20" t="n">
        <f aca="false">IF(M395=0,"",L395/M395)</f>
        <v>0.336633663366337</v>
      </c>
      <c r="O395" s="20" t="n">
        <v>0.336633663366337</v>
      </c>
      <c r="P395" s="20" t="n">
        <f aca="false">IF(OR(N395="",O395=""),"",N395-O395)</f>
        <v>0</v>
      </c>
      <c r="Q395" s="18"/>
    </row>
    <row r="396" customFormat="false" ht="15" hidden="false" customHeight="true" outlineLevel="0" collapsed="false">
      <c r="A396" s="18" t="s">
        <v>345</v>
      </c>
      <c r="B396" s="18" t="n">
        <v>16</v>
      </c>
      <c r="C396" s="18" t="s">
        <v>366</v>
      </c>
      <c r="D396" s="18" t="n">
        <v>15</v>
      </c>
      <c r="E396" s="18" t="s">
        <v>313</v>
      </c>
      <c r="F396" s="18" t="s">
        <v>198</v>
      </c>
      <c r="G396" s="19" t="n">
        <v>38101</v>
      </c>
      <c r="H396" s="18" t="n">
        <v>11</v>
      </c>
      <c r="I396" s="18" t="n">
        <v>51</v>
      </c>
      <c r="J396" s="18" t="n">
        <f aca="false">SUMIFS($H$2:$H$1200,$A$2:$A$1200,$A396,$B$2:$B$1200,"&lt;="&amp;$B396)</f>
        <v>691</v>
      </c>
      <c r="K396" s="18" t="n">
        <f aca="false">SUMIFS($I$2:$I$1200,$A$2:$A$1200,$A396,$B$2:$B$1200,"&lt;="&amp;$B396)</f>
        <v>493</v>
      </c>
      <c r="L396" s="18" t="n">
        <f aca="false">J396-K396</f>
        <v>198</v>
      </c>
      <c r="M396" s="18" t="n">
        <f aca="false">SUMIF($A$2:$A$1200,$A396,$H$2:$H$1200)</f>
        <v>707</v>
      </c>
      <c r="N396" s="20" t="n">
        <f aca="false">IF(M396=0,"",L396/M396)</f>
        <v>0.28005657708628</v>
      </c>
      <c r="O396" s="20" t="n">
        <v>0.28005657708628</v>
      </c>
      <c r="P396" s="20" t="n">
        <f aca="false">IF(OR(N396="",O396=""),"",N396-O396)</f>
        <v>0</v>
      </c>
      <c r="Q396" s="18"/>
    </row>
    <row r="397" customFormat="false" ht="15" hidden="false" customHeight="true" outlineLevel="0" collapsed="false">
      <c r="A397" s="18" t="s">
        <v>345</v>
      </c>
      <c r="B397" s="18" t="n">
        <v>17</v>
      </c>
      <c r="C397" s="18" t="s">
        <v>326</v>
      </c>
      <c r="D397" s="18" t="n">
        <v>30</v>
      </c>
      <c r="E397" s="18" t="s">
        <v>313</v>
      </c>
      <c r="F397" s="18" t="s">
        <v>198</v>
      </c>
      <c r="G397" s="19" t="n">
        <v>38101</v>
      </c>
      <c r="H397" s="18" t="n">
        <v>10</v>
      </c>
      <c r="I397" s="18" t="n">
        <v>47</v>
      </c>
      <c r="J397" s="18" t="n">
        <f aca="false">SUMIFS($H$2:$H$1200,$A$2:$A$1200,$A397,$B$2:$B$1200,"&lt;="&amp;$B397)</f>
        <v>701</v>
      </c>
      <c r="K397" s="18" t="n">
        <f aca="false">SUMIFS($I$2:$I$1200,$A$2:$A$1200,$A397,$B$2:$B$1200,"&lt;="&amp;$B397)</f>
        <v>540</v>
      </c>
      <c r="L397" s="18" t="n">
        <f aca="false">J397-K397</f>
        <v>161</v>
      </c>
      <c r="M397" s="18" t="n">
        <f aca="false">SUMIF($A$2:$A$1200,$A397,$H$2:$H$1200)</f>
        <v>707</v>
      </c>
      <c r="N397" s="20" t="n">
        <f aca="false">IF(M397=0,"",L397/M397)</f>
        <v>0.227722772277228</v>
      </c>
      <c r="O397" s="20" t="n">
        <v>0.227722772277228</v>
      </c>
      <c r="P397" s="20" t="n">
        <f aca="false">IF(OR(N397="",O397=""),"",N397-O397)</f>
        <v>0</v>
      </c>
      <c r="Q397" s="18"/>
    </row>
    <row r="398" customFormat="false" ht="15" hidden="false" customHeight="true" outlineLevel="0" collapsed="false">
      <c r="A398" s="18" t="s">
        <v>345</v>
      </c>
      <c r="B398" s="18" t="n">
        <v>18</v>
      </c>
      <c r="C398" s="18" t="s">
        <v>226</v>
      </c>
      <c r="D398" s="18" t="n">
        <v>45</v>
      </c>
      <c r="E398" s="18" t="s">
        <v>313</v>
      </c>
      <c r="F398" s="18" t="s">
        <v>198</v>
      </c>
      <c r="G398" s="19" t="n">
        <v>38101</v>
      </c>
      <c r="H398" s="18" t="n">
        <v>6</v>
      </c>
      <c r="I398" s="18" t="n">
        <v>22</v>
      </c>
      <c r="J398" s="18" t="n">
        <f aca="false">SUMIFS($H$2:$H$1200,$A$2:$A$1200,$A398,$B$2:$B$1200,"&lt;="&amp;$B398)</f>
        <v>707</v>
      </c>
      <c r="K398" s="18" t="n">
        <f aca="false">SUMIFS($I$2:$I$1200,$A$2:$A$1200,$A398,$B$2:$B$1200,"&lt;="&amp;$B398)</f>
        <v>562</v>
      </c>
      <c r="L398" s="18" t="n">
        <f aca="false">J398-K398</f>
        <v>145</v>
      </c>
      <c r="M398" s="18" t="n">
        <f aca="false">SUMIF($A$2:$A$1200,$A398,$H$2:$H$1200)</f>
        <v>707</v>
      </c>
      <c r="N398" s="20" t="n">
        <f aca="false">IF(M398=0,"",L398/M398)</f>
        <v>0.205091937765205</v>
      </c>
      <c r="O398" s="20" t="n">
        <v>0.205091937765205</v>
      </c>
      <c r="P398" s="20" t="n">
        <f aca="false">IF(OR(N398="",O398=""),"",N398-O398)</f>
        <v>0</v>
      </c>
      <c r="Q398" s="18"/>
    </row>
    <row r="399" customFormat="false" ht="15" hidden="false" customHeight="true" outlineLevel="0" collapsed="false">
      <c r="A399" s="18" t="s">
        <v>352</v>
      </c>
      <c r="B399" s="18" t="n">
        <v>2</v>
      </c>
      <c r="C399" s="18" t="s">
        <v>340</v>
      </c>
      <c r="D399" s="18" t="n">
        <v>-195</v>
      </c>
      <c r="E399" s="18" t="s">
        <v>313</v>
      </c>
      <c r="F399" s="18" t="s">
        <v>220</v>
      </c>
      <c r="G399" s="19" t="n">
        <v>39025</v>
      </c>
      <c r="H399" s="18" t="n">
        <v>11</v>
      </c>
      <c r="I399" s="18" t="n">
        <v>0</v>
      </c>
      <c r="J399" s="18" t="n">
        <f aca="false">SUMIFS($H$2:$H$1200,$A$2:$A$1200,$A399,$B$2:$B$1200,"&lt;="&amp;$B399)</f>
        <v>11</v>
      </c>
      <c r="K399" s="18" t="n">
        <f aca="false">SUMIFS($I$2:$I$1200,$A$2:$A$1200,$A399,$B$2:$B$1200,"&lt;="&amp;$B399)</f>
        <v>0</v>
      </c>
      <c r="L399" s="18" t="n">
        <f aca="false">J399-K399</f>
        <v>11</v>
      </c>
      <c r="M399" s="18" t="n">
        <f aca="false">SUMIF($A$2:$A$1200,$A399,$H$2:$H$1200)</f>
        <v>259</v>
      </c>
      <c r="N399" s="20" t="n">
        <f aca="false">IF(M399=0,"",L399/M399)</f>
        <v>0.0424710424710425</v>
      </c>
      <c r="O399" s="20"/>
      <c r="P399" s="20" t="str">
        <f aca="false">IF(OR(N399="",O399=""),"",N399-O399)</f>
        <v/>
      </c>
      <c r="Q399" s="18"/>
    </row>
    <row r="400" customFormat="false" ht="15" hidden="false" customHeight="true" outlineLevel="0" collapsed="false">
      <c r="A400" s="18" t="s">
        <v>352</v>
      </c>
      <c r="B400" s="18" t="n">
        <v>3</v>
      </c>
      <c r="C400" s="18" t="s">
        <v>525</v>
      </c>
      <c r="D400" s="18" t="n">
        <v>-180</v>
      </c>
      <c r="E400" s="18" t="s">
        <v>313</v>
      </c>
      <c r="F400" s="18" t="s">
        <v>220</v>
      </c>
      <c r="G400" s="19" t="n">
        <v>39025</v>
      </c>
      <c r="H400" s="18" t="n">
        <v>15</v>
      </c>
      <c r="I400" s="18" t="n">
        <v>3</v>
      </c>
      <c r="J400" s="18" t="n">
        <f aca="false">SUMIFS($H$2:$H$1200,$A$2:$A$1200,$A400,$B$2:$B$1200,"&lt;="&amp;$B400)</f>
        <v>26</v>
      </c>
      <c r="K400" s="18" t="n">
        <f aca="false">SUMIFS($I$2:$I$1200,$A$2:$A$1200,$A400,$B$2:$B$1200,"&lt;="&amp;$B400)</f>
        <v>3</v>
      </c>
      <c r="L400" s="18" t="n">
        <f aca="false">J400-K400</f>
        <v>23</v>
      </c>
      <c r="M400" s="18" t="n">
        <f aca="false">SUMIF($A$2:$A$1200,$A400,$H$2:$H$1200)</f>
        <v>259</v>
      </c>
      <c r="N400" s="20" t="n">
        <f aca="false">IF(M400=0,"",L400/M400)</f>
        <v>0.0888030888030888</v>
      </c>
      <c r="O400" s="20"/>
      <c r="P400" s="20" t="str">
        <f aca="false">IF(OR(N400="",O400=""),"",N400-O400)</f>
        <v/>
      </c>
      <c r="Q400" s="18"/>
    </row>
    <row r="401" customFormat="false" ht="15" hidden="false" customHeight="true" outlineLevel="0" collapsed="false">
      <c r="A401" s="18" t="s">
        <v>352</v>
      </c>
      <c r="B401" s="18" t="n">
        <v>4</v>
      </c>
      <c r="C401" s="18" t="s">
        <v>526</v>
      </c>
      <c r="D401" s="18" t="n">
        <v>-165</v>
      </c>
      <c r="E401" s="18" t="s">
        <v>313</v>
      </c>
      <c r="F401" s="18" t="s">
        <v>220</v>
      </c>
      <c r="G401" s="19" t="n">
        <v>39025</v>
      </c>
      <c r="H401" s="18" t="n">
        <v>20</v>
      </c>
      <c r="I401" s="18" t="n">
        <v>1</v>
      </c>
      <c r="J401" s="18" t="n">
        <f aca="false">SUMIFS($H$2:$H$1200,$A$2:$A$1200,$A401,$B$2:$B$1200,"&lt;="&amp;$B401)</f>
        <v>46</v>
      </c>
      <c r="K401" s="18" t="n">
        <f aca="false">SUMIFS($I$2:$I$1200,$A$2:$A$1200,$A401,$B$2:$B$1200,"&lt;="&amp;$B401)</f>
        <v>4</v>
      </c>
      <c r="L401" s="18" t="n">
        <f aca="false">J401-K401</f>
        <v>42</v>
      </c>
      <c r="M401" s="18" t="n">
        <f aca="false">SUMIF($A$2:$A$1200,$A401,$H$2:$H$1200)</f>
        <v>259</v>
      </c>
      <c r="N401" s="20" t="n">
        <f aca="false">IF(M401=0,"",L401/M401)</f>
        <v>0.162162162162162</v>
      </c>
      <c r="O401" s="20"/>
      <c r="P401" s="20" t="str">
        <f aca="false">IF(OR(N401="",O401=""),"",N401-O401)</f>
        <v/>
      </c>
      <c r="Q401" s="18"/>
    </row>
    <row r="402" customFormat="false" ht="15" hidden="false" customHeight="true" outlineLevel="0" collapsed="false">
      <c r="A402" s="18" t="s">
        <v>352</v>
      </c>
      <c r="B402" s="18" t="n">
        <v>5</v>
      </c>
      <c r="C402" s="18" t="s">
        <v>527</v>
      </c>
      <c r="D402" s="18" t="n">
        <v>-150</v>
      </c>
      <c r="E402" s="18" t="s">
        <v>313</v>
      </c>
      <c r="F402" s="18" t="s">
        <v>220</v>
      </c>
      <c r="G402" s="19" t="n">
        <v>39025</v>
      </c>
      <c r="H402" s="18" t="n">
        <v>26</v>
      </c>
      <c r="I402" s="18" t="n">
        <v>0</v>
      </c>
      <c r="J402" s="18" t="n">
        <f aca="false">SUMIFS($H$2:$H$1200,$A$2:$A$1200,$A402,$B$2:$B$1200,"&lt;="&amp;$B402)</f>
        <v>72</v>
      </c>
      <c r="K402" s="18" t="n">
        <f aca="false">SUMIFS($I$2:$I$1200,$A$2:$A$1200,$A402,$B$2:$B$1200,"&lt;="&amp;$B402)</f>
        <v>4</v>
      </c>
      <c r="L402" s="18" t="n">
        <f aca="false">J402-K402</f>
        <v>68</v>
      </c>
      <c r="M402" s="18" t="n">
        <f aca="false">SUMIF($A$2:$A$1200,$A402,$H$2:$H$1200)</f>
        <v>259</v>
      </c>
      <c r="N402" s="20" t="n">
        <f aca="false">IF(M402=0,"",L402/M402)</f>
        <v>0.262548262548263</v>
      </c>
      <c r="O402" s="20"/>
      <c r="P402" s="20" t="str">
        <f aca="false">IF(OR(N402="",O402=""),"",N402-O402)</f>
        <v/>
      </c>
      <c r="Q402" s="18"/>
    </row>
    <row r="403" customFormat="false" ht="15" hidden="false" customHeight="true" outlineLevel="0" collapsed="false">
      <c r="A403" s="18" t="s">
        <v>352</v>
      </c>
      <c r="B403" s="18" t="n">
        <v>6</v>
      </c>
      <c r="C403" s="18" t="s">
        <v>528</v>
      </c>
      <c r="D403" s="18" t="n">
        <v>-135</v>
      </c>
      <c r="E403" s="18" t="s">
        <v>313</v>
      </c>
      <c r="F403" s="18" t="s">
        <v>220</v>
      </c>
      <c r="G403" s="19" t="n">
        <v>39025</v>
      </c>
      <c r="H403" s="18" t="n">
        <v>27</v>
      </c>
      <c r="I403" s="18" t="n">
        <v>2</v>
      </c>
      <c r="J403" s="18" t="n">
        <f aca="false">SUMIFS($H$2:$H$1200,$A$2:$A$1200,$A403,$B$2:$B$1200,"&lt;="&amp;$B403)</f>
        <v>99</v>
      </c>
      <c r="K403" s="18" t="n">
        <f aca="false">SUMIFS($I$2:$I$1200,$A$2:$A$1200,$A403,$B$2:$B$1200,"&lt;="&amp;$B403)</f>
        <v>6</v>
      </c>
      <c r="L403" s="18" t="n">
        <f aca="false">J403-K403</f>
        <v>93</v>
      </c>
      <c r="M403" s="18" t="n">
        <f aca="false">SUMIF($A$2:$A$1200,$A403,$H$2:$H$1200)</f>
        <v>259</v>
      </c>
      <c r="N403" s="20" t="n">
        <f aca="false">IF(M403=0,"",L403/M403)</f>
        <v>0.359073359073359</v>
      </c>
      <c r="O403" s="20"/>
      <c r="P403" s="20" t="str">
        <f aca="false">IF(OR(N403="",O403=""),"",N403-O403)</f>
        <v/>
      </c>
      <c r="Q403" s="18"/>
    </row>
    <row r="404" customFormat="false" ht="15" hidden="false" customHeight="true" outlineLevel="0" collapsed="false">
      <c r="A404" s="18" t="s">
        <v>352</v>
      </c>
      <c r="B404" s="18" t="n">
        <v>7</v>
      </c>
      <c r="C404" s="18" t="s">
        <v>227</v>
      </c>
      <c r="D404" s="18" t="n">
        <v>-120</v>
      </c>
      <c r="E404" s="18" t="s">
        <v>313</v>
      </c>
      <c r="F404" s="18" t="s">
        <v>220</v>
      </c>
      <c r="G404" s="19" t="n">
        <v>39025</v>
      </c>
      <c r="H404" s="18" t="n">
        <v>38</v>
      </c>
      <c r="I404" s="18" t="n">
        <v>0</v>
      </c>
      <c r="J404" s="18" t="n">
        <f aca="false">SUMIFS($H$2:$H$1200,$A$2:$A$1200,$A404,$B$2:$B$1200,"&lt;="&amp;$B404)</f>
        <v>137</v>
      </c>
      <c r="K404" s="18" t="n">
        <f aca="false">SUMIFS($I$2:$I$1200,$A$2:$A$1200,$A404,$B$2:$B$1200,"&lt;="&amp;$B404)</f>
        <v>6</v>
      </c>
      <c r="L404" s="18" t="n">
        <f aca="false">J404-K404</f>
        <v>131</v>
      </c>
      <c r="M404" s="18" t="n">
        <f aca="false">SUMIF($A$2:$A$1200,$A404,$H$2:$H$1200)</f>
        <v>259</v>
      </c>
      <c r="N404" s="20" t="n">
        <f aca="false">IF(M404=0,"",L404/M404)</f>
        <v>0.505791505791506</v>
      </c>
      <c r="O404" s="20"/>
      <c r="P404" s="20" t="str">
        <f aca="false">IF(OR(N404="",O404=""),"",N404-O404)</f>
        <v/>
      </c>
      <c r="Q404" s="18"/>
    </row>
    <row r="405" customFormat="false" ht="15" hidden="false" customHeight="true" outlineLevel="0" collapsed="false">
      <c r="A405" s="18" t="s">
        <v>352</v>
      </c>
      <c r="B405" s="18" t="n">
        <v>8</v>
      </c>
      <c r="C405" s="18" t="s">
        <v>241</v>
      </c>
      <c r="D405" s="18" t="n">
        <v>-105</v>
      </c>
      <c r="E405" s="18" t="s">
        <v>313</v>
      </c>
      <c r="F405" s="18" t="s">
        <v>220</v>
      </c>
      <c r="G405" s="19" t="n">
        <v>39025</v>
      </c>
      <c r="H405" s="18" t="n">
        <v>33</v>
      </c>
      <c r="I405" s="18" t="n">
        <v>2</v>
      </c>
      <c r="J405" s="18" t="n">
        <f aca="false">SUMIFS($H$2:$H$1200,$A$2:$A$1200,$A405,$B$2:$B$1200,"&lt;="&amp;$B405)</f>
        <v>170</v>
      </c>
      <c r="K405" s="18" t="n">
        <f aca="false">SUMIFS($I$2:$I$1200,$A$2:$A$1200,$A405,$B$2:$B$1200,"&lt;="&amp;$B405)</f>
        <v>8</v>
      </c>
      <c r="L405" s="18" t="n">
        <f aca="false">J405-K405</f>
        <v>162</v>
      </c>
      <c r="M405" s="18" t="n">
        <f aca="false">SUMIF($A$2:$A$1200,$A405,$H$2:$H$1200)</f>
        <v>259</v>
      </c>
      <c r="N405" s="20" t="n">
        <f aca="false">IF(M405=0,"",L405/M405)</f>
        <v>0.625482625482626</v>
      </c>
      <c r="O405" s="20"/>
      <c r="P405" s="20" t="str">
        <f aca="false">IF(OR(N405="",O405=""),"",N405-O405)</f>
        <v/>
      </c>
      <c r="Q405" s="18"/>
    </row>
    <row r="406" customFormat="false" ht="15" hidden="false" customHeight="true" outlineLevel="0" collapsed="false">
      <c r="A406" s="18" t="s">
        <v>352</v>
      </c>
      <c r="B406" s="18" t="n">
        <v>9</v>
      </c>
      <c r="C406" s="18" t="s">
        <v>279</v>
      </c>
      <c r="D406" s="18" t="n">
        <v>-90</v>
      </c>
      <c r="E406" s="18" t="s">
        <v>313</v>
      </c>
      <c r="F406" s="18" t="s">
        <v>220</v>
      </c>
      <c r="G406" s="19" t="n">
        <v>39025</v>
      </c>
      <c r="H406" s="18" t="n">
        <v>29</v>
      </c>
      <c r="I406" s="18" t="n">
        <v>10</v>
      </c>
      <c r="J406" s="18" t="n">
        <f aca="false">SUMIFS($H$2:$H$1200,$A$2:$A$1200,$A406,$B$2:$B$1200,"&lt;="&amp;$B406)</f>
        <v>199</v>
      </c>
      <c r="K406" s="18" t="n">
        <f aca="false">SUMIFS($I$2:$I$1200,$A$2:$A$1200,$A406,$B$2:$B$1200,"&lt;="&amp;$B406)</f>
        <v>18</v>
      </c>
      <c r="L406" s="18" t="n">
        <f aca="false">J406-K406</f>
        <v>181</v>
      </c>
      <c r="M406" s="18" t="n">
        <f aca="false">SUMIF($A$2:$A$1200,$A406,$H$2:$H$1200)</f>
        <v>259</v>
      </c>
      <c r="N406" s="20" t="n">
        <f aca="false">IF(M406=0,"",L406/M406)</f>
        <v>0.698841698841699</v>
      </c>
      <c r="O406" s="20"/>
      <c r="P406" s="20" t="str">
        <f aca="false">IF(OR(N406="",O406=""),"",N406-O406)</f>
        <v/>
      </c>
      <c r="Q406" s="18"/>
    </row>
    <row r="407" customFormat="false" ht="15" hidden="false" customHeight="true" outlineLevel="0" collapsed="false">
      <c r="A407" s="18" t="s">
        <v>352</v>
      </c>
      <c r="B407" s="18" t="n">
        <v>10</v>
      </c>
      <c r="C407" s="18" t="s">
        <v>206</v>
      </c>
      <c r="D407" s="18" t="n">
        <v>-75</v>
      </c>
      <c r="E407" s="18" t="s">
        <v>313</v>
      </c>
      <c r="F407" s="18" t="s">
        <v>220</v>
      </c>
      <c r="G407" s="19" t="n">
        <v>39025</v>
      </c>
      <c r="H407" s="18" t="n">
        <v>11</v>
      </c>
      <c r="I407" s="18" t="n">
        <v>7</v>
      </c>
      <c r="J407" s="18" t="n">
        <f aca="false">SUMIFS($H$2:$H$1200,$A$2:$A$1200,$A407,$B$2:$B$1200,"&lt;="&amp;$B407)</f>
        <v>210</v>
      </c>
      <c r="K407" s="18" t="n">
        <f aca="false">SUMIFS($I$2:$I$1200,$A$2:$A$1200,$A407,$B$2:$B$1200,"&lt;="&amp;$B407)</f>
        <v>25</v>
      </c>
      <c r="L407" s="18" t="n">
        <f aca="false">J407-K407</f>
        <v>185</v>
      </c>
      <c r="M407" s="18" t="n">
        <f aca="false">SUMIF($A$2:$A$1200,$A407,$H$2:$H$1200)</f>
        <v>259</v>
      </c>
      <c r="N407" s="20" t="n">
        <f aca="false">IF(M407=0,"",L407/M407)</f>
        <v>0.714285714285714</v>
      </c>
      <c r="O407" s="20"/>
      <c r="P407" s="20" t="str">
        <f aca="false">IF(OR(N407="",O407=""),"",N407-O407)</f>
        <v/>
      </c>
      <c r="Q407" s="18"/>
    </row>
    <row r="408" customFormat="false" ht="15" hidden="false" customHeight="true" outlineLevel="0" collapsed="false">
      <c r="A408" s="18" t="s">
        <v>352</v>
      </c>
      <c r="B408" s="18" t="n">
        <v>11</v>
      </c>
      <c r="C408" s="18" t="s">
        <v>246</v>
      </c>
      <c r="D408" s="18" t="n">
        <v>-60</v>
      </c>
      <c r="E408" s="18" t="s">
        <v>313</v>
      </c>
      <c r="F408" s="18" t="s">
        <v>220</v>
      </c>
      <c r="G408" s="19" t="n">
        <v>39025</v>
      </c>
      <c r="H408" s="18" t="n">
        <v>17</v>
      </c>
      <c r="I408" s="18" t="n">
        <v>34</v>
      </c>
      <c r="J408" s="18" t="n">
        <f aca="false">SUMIFS($H$2:$H$1200,$A$2:$A$1200,$A408,$B$2:$B$1200,"&lt;="&amp;$B408)</f>
        <v>227</v>
      </c>
      <c r="K408" s="18" t="n">
        <f aca="false">SUMIFS($I$2:$I$1200,$A$2:$A$1200,$A408,$B$2:$B$1200,"&lt;="&amp;$B408)</f>
        <v>59</v>
      </c>
      <c r="L408" s="18" t="n">
        <f aca="false">J408-K408</f>
        <v>168</v>
      </c>
      <c r="M408" s="18" t="n">
        <f aca="false">SUMIF($A$2:$A$1200,$A408,$H$2:$H$1200)</f>
        <v>259</v>
      </c>
      <c r="N408" s="20" t="n">
        <f aca="false">IF(M408=0,"",L408/M408)</f>
        <v>0.648648648648649</v>
      </c>
      <c r="O408" s="20"/>
      <c r="P408" s="20" t="str">
        <f aca="false">IF(OR(N408="",O408=""),"",N408-O408)</f>
        <v/>
      </c>
      <c r="Q408" s="18"/>
    </row>
    <row r="409" customFormat="false" ht="15" hidden="false" customHeight="true" outlineLevel="0" collapsed="false">
      <c r="A409" s="18" t="s">
        <v>352</v>
      </c>
      <c r="B409" s="18" t="n">
        <v>12</v>
      </c>
      <c r="C409" s="18" t="s">
        <v>254</v>
      </c>
      <c r="D409" s="18" t="n">
        <v>-45</v>
      </c>
      <c r="E409" s="18" t="s">
        <v>313</v>
      </c>
      <c r="F409" s="18" t="s">
        <v>220</v>
      </c>
      <c r="G409" s="19" t="n">
        <v>39025</v>
      </c>
      <c r="H409" s="18" t="n">
        <v>10</v>
      </c>
      <c r="I409" s="18" t="n">
        <v>41</v>
      </c>
      <c r="J409" s="18" t="n">
        <f aca="false">SUMIFS($H$2:$H$1200,$A$2:$A$1200,$A409,$B$2:$B$1200,"&lt;="&amp;$B409)</f>
        <v>237</v>
      </c>
      <c r="K409" s="18" t="n">
        <f aca="false">SUMIFS($I$2:$I$1200,$A$2:$A$1200,$A409,$B$2:$B$1200,"&lt;="&amp;$B409)</f>
        <v>100</v>
      </c>
      <c r="L409" s="18" t="n">
        <f aca="false">J409-K409</f>
        <v>137</v>
      </c>
      <c r="M409" s="18" t="n">
        <f aca="false">SUMIF($A$2:$A$1200,$A409,$H$2:$H$1200)</f>
        <v>259</v>
      </c>
      <c r="N409" s="20" t="n">
        <f aca="false">IF(M409=0,"",L409/M409)</f>
        <v>0.528957528957529</v>
      </c>
      <c r="O409" s="20"/>
      <c r="P409" s="20" t="str">
        <f aca="false">IF(OR(N409="",O409=""),"",N409-O409)</f>
        <v/>
      </c>
      <c r="Q409" s="18"/>
    </row>
    <row r="410" customFormat="false" ht="15" hidden="false" customHeight="true" outlineLevel="0" collapsed="false">
      <c r="A410" s="18" t="s">
        <v>352</v>
      </c>
      <c r="B410" s="18" t="n">
        <v>13</v>
      </c>
      <c r="C410" s="18" t="s">
        <v>403</v>
      </c>
      <c r="D410" s="18" t="n">
        <v>-30</v>
      </c>
      <c r="E410" s="18" t="s">
        <v>313</v>
      </c>
      <c r="F410" s="18" t="s">
        <v>220</v>
      </c>
      <c r="G410" s="19" t="n">
        <v>39025</v>
      </c>
      <c r="H410" s="18" t="n">
        <v>5</v>
      </c>
      <c r="I410" s="18" t="n">
        <v>46</v>
      </c>
      <c r="J410" s="18" t="n">
        <f aca="false">SUMIFS($H$2:$H$1200,$A$2:$A$1200,$A410,$B$2:$B$1200,"&lt;="&amp;$B410)</f>
        <v>242</v>
      </c>
      <c r="K410" s="18" t="n">
        <f aca="false">SUMIFS($I$2:$I$1200,$A$2:$A$1200,$A410,$B$2:$B$1200,"&lt;="&amp;$B410)</f>
        <v>146</v>
      </c>
      <c r="L410" s="18" t="n">
        <f aca="false">J410-K410</f>
        <v>96</v>
      </c>
      <c r="M410" s="18" t="n">
        <f aca="false">SUMIF($A$2:$A$1200,$A410,$H$2:$H$1200)</f>
        <v>259</v>
      </c>
      <c r="N410" s="20" t="n">
        <f aca="false">IF(M410=0,"",L410/M410)</f>
        <v>0.370656370656371</v>
      </c>
      <c r="O410" s="20"/>
      <c r="P410" s="20" t="str">
        <f aca="false">IF(OR(N410="",O410=""),"",N410-O410)</f>
        <v/>
      </c>
      <c r="Q410" s="18"/>
    </row>
    <row r="411" customFormat="false" ht="15" hidden="false" customHeight="true" outlineLevel="0" collapsed="false">
      <c r="A411" s="18" t="s">
        <v>352</v>
      </c>
      <c r="B411" s="18" t="n">
        <v>14</v>
      </c>
      <c r="C411" s="18" t="s">
        <v>529</v>
      </c>
      <c r="D411" s="18" t="n">
        <v>-15</v>
      </c>
      <c r="E411" s="18" t="s">
        <v>313</v>
      </c>
      <c r="F411" s="18" t="s">
        <v>220</v>
      </c>
      <c r="G411" s="19" t="n">
        <v>39025</v>
      </c>
      <c r="H411" s="18" t="n">
        <v>10</v>
      </c>
      <c r="I411" s="18" t="n">
        <v>33</v>
      </c>
      <c r="J411" s="18" t="n">
        <f aca="false">SUMIFS($H$2:$H$1200,$A$2:$A$1200,$A411,$B$2:$B$1200,"&lt;="&amp;$B411)</f>
        <v>252</v>
      </c>
      <c r="K411" s="18" t="n">
        <f aca="false">SUMIFS($I$2:$I$1200,$A$2:$A$1200,$A411,$B$2:$B$1200,"&lt;="&amp;$B411)</f>
        <v>179</v>
      </c>
      <c r="L411" s="18" t="n">
        <f aca="false">J411-K411</f>
        <v>73</v>
      </c>
      <c r="M411" s="18" t="n">
        <f aca="false">SUMIF($A$2:$A$1200,$A411,$H$2:$H$1200)</f>
        <v>259</v>
      </c>
      <c r="N411" s="20" t="n">
        <f aca="false">IF(M411=0,"",L411/M411)</f>
        <v>0.281853281853282</v>
      </c>
      <c r="O411" s="20"/>
      <c r="P411" s="20" t="str">
        <f aca="false">IF(OR(N411="",O411=""),"",N411-O411)</f>
        <v/>
      </c>
      <c r="Q411" s="18"/>
    </row>
    <row r="412" customFormat="false" ht="15" hidden="false" customHeight="true" outlineLevel="0" collapsed="false">
      <c r="A412" s="18" t="s">
        <v>352</v>
      </c>
      <c r="B412" s="18" t="n">
        <v>15</v>
      </c>
      <c r="C412" s="18" t="s">
        <v>463</v>
      </c>
      <c r="D412" s="18" t="n">
        <v>0</v>
      </c>
      <c r="E412" s="18" t="s">
        <v>313</v>
      </c>
      <c r="F412" s="18" t="s">
        <v>220</v>
      </c>
      <c r="G412" s="19" t="n">
        <v>39025</v>
      </c>
      <c r="H412" s="18" t="n">
        <v>3</v>
      </c>
      <c r="I412" s="18" t="n">
        <v>26</v>
      </c>
      <c r="J412" s="18" t="n">
        <f aca="false">SUMIFS($H$2:$H$1200,$A$2:$A$1200,$A412,$B$2:$B$1200,"&lt;="&amp;$B412)</f>
        <v>255</v>
      </c>
      <c r="K412" s="18" t="n">
        <f aca="false">SUMIFS($I$2:$I$1200,$A$2:$A$1200,$A412,$B$2:$B$1200,"&lt;="&amp;$B412)</f>
        <v>205</v>
      </c>
      <c r="L412" s="18" t="n">
        <f aca="false">J412-K412</f>
        <v>50</v>
      </c>
      <c r="M412" s="18" t="n">
        <f aca="false">SUMIF($A$2:$A$1200,$A412,$H$2:$H$1200)</f>
        <v>259</v>
      </c>
      <c r="N412" s="20" t="n">
        <f aca="false">IF(M412=0,"",L412/M412)</f>
        <v>0.193050193050193</v>
      </c>
      <c r="O412" s="20"/>
      <c r="P412" s="20" t="str">
        <f aca="false">IF(OR(N412="",O412=""),"",N412-O412)</f>
        <v/>
      </c>
      <c r="Q412" s="18"/>
    </row>
    <row r="413" customFormat="false" ht="15" hidden="false" customHeight="true" outlineLevel="0" collapsed="false">
      <c r="A413" s="18" t="s">
        <v>352</v>
      </c>
      <c r="B413" s="18" t="n">
        <v>16</v>
      </c>
      <c r="C413" s="18" t="s">
        <v>366</v>
      </c>
      <c r="D413" s="18" t="n">
        <v>15</v>
      </c>
      <c r="E413" s="18" t="s">
        <v>313</v>
      </c>
      <c r="F413" s="18" t="s">
        <v>220</v>
      </c>
      <c r="G413" s="19" t="n">
        <v>39025</v>
      </c>
      <c r="H413" s="18" t="n">
        <v>2</v>
      </c>
      <c r="I413" s="18" t="n">
        <v>16</v>
      </c>
      <c r="J413" s="18" t="n">
        <f aca="false">SUMIFS($H$2:$H$1200,$A$2:$A$1200,$A413,$B$2:$B$1200,"&lt;="&amp;$B413)</f>
        <v>257</v>
      </c>
      <c r="K413" s="18" t="n">
        <f aca="false">SUMIFS($I$2:$I$1200,$A$2:$A$1200,$A413,$B$2:$B$1200,"&lt;="&amp;$B413)</f>
        <v>221</v>
      </c>
      <c r="L413" s="18" t="n">
        <f aca="false">J413-K413</f>
        <v>36</v>
      </c>
      <c r="M413" s="18" t="n">
        <f aca="false">SUMIF($A$2:$A$1200,$A413,$H$2:$H$1200)</f>
        <v>259</v>
      </c>
      <c r="N413" s="20" t="n">
        <f aca="false">IF(M413=0,"",L413/M413)</f>
        <v>0.138996138996139</v>
      </c>
      <c r="O413" s="20"/>
      <c r="P413" s="20" t="str">
        <f aca="false">IF(OR(N413="",O413=""),"",N413-O413)</f>
        <v/>
      </c>
      <c r="Q413" s="18"/>
    </row>
    <row r="414" customFormat="false" ht="15" hidden="false" customHeight="true" outlineLevel="0" collapsed="false">
      <c r="A414" s="18" t="s">
        <v>352</v>
      </c>
      <c r="B414" s="18" t="n">
        <v>17</v>
      </c>
      <c r="C414" s="18" t="s">
        <v>326</v>
      </c>
      <c r="D414" s="18" t="n">
        <v>30</v>
      </c>
      <c r="E414" s="18" t="s">
        <v>313</v>
      </c>
      <c r="F414" s="18" t="s">
        <v>220</v>
      </c>
      <c r="G414" s="19" t="n">
        <v>39025</v>
      </c>
      <c r="H414" s="18" t="n">
        <v>2</v>
      </c>
      <c r="I414" s="18" t="n">
        <v>14</v>
      </c>
      <c r="J414" s="18" t="n">
        <f aca="false">SUMIFS($H$2:$H$1200,$A$2:$A$1200,$A414,$B$2:$B$1200,"&lt;="&amp;$B414)</f>
        <v>259</v>
      </c>
      <c r="K414" s="18" t="n">
        <f aca="false">SUMIFS($I$2:$I$1200,$A$2:$A$1200,$A414,$B$2:$B$1200,"&lt;="&amp;$B414)</f>
        <v>235</v>
      </c>
      <c r="L414" s="18" t="n">
        <f aca="false">J414-K414</f>
        <v>24</v>
      </c>
      <c r="M414" s="18" t="n">
        <f aca="false">SUMIF($A$2:$A$1200,$A414,$H$2:$H$1200)</f>
        <v>259</v>
      </c>
      <c r="N414" s="20" t="n">
        <f aca="false">IF(M414=0,"",L414/M414)</f>
        <v>0.0926640926640927</v>
      </c>
      <c r="O414" s="20"/>
      <c r="P414" s="20" t="str">
        <f aca="false">IF(OR(N414="",O414=""),"",N414-O414)</f>
        <v/>
      </c>
      <c r="Q414" s="18"/>
    </row>
    <row r="415" customFormat="false" ht="15" hidden="false" customHeight="true" outlineLevel="0" collapsed="false">
      <c r="A415" s="18" t="s">
        <v>352</v>
      </c>
      <c r="B415" s="18" t="n">
        <v>18</v>
      </c>
      <c r="C415" s="18" t="s">
        <v>226</v>
      </c>
      <c r="D415" s="18" t="n">
        <v>45</v>
      </c>
      <c r="E415" s="18" t="s">
        <v>313</v>
      </c>
      <c r="F415" s="18" t="s">
        <v>220</v>
      </c>
      <c r="G415" s="19" t="n">
        <v>39025</v>
      </c>
      <c r="H415" s="18" t="n">
        <v>0</v>
      </c>
      <c r="I415" s="18" t="n">
        <v>16</v>
      </c>
      <c r="J415" s="18" t="n">
        <f aca="false">SUMIFS($H$2:$H$1200,$A$2:$A$1200,$A415,$B$2:$B$1200,"&lt;="&amp;$B415)</f>
        <v>259</v>
      </c>
      <c r="K415" s="18" t="n">
        <f aca="false">SUMIFS($I$2:$I$1200,$A$2:$A$1200,$A415,$B$2:$B$1200,"&lt;="&amp;$B415)</f>
        <v>251</v>
      </c>
      <c r="L415" s="18" t="n">
        <f aca="false">J415-K415</f>
        <v>8</v>
      </c>
      <c r="M415" s="18" t="n">
        <f aca="false">SUMIF($A$2:$A$1200,$A415,$H$2:$H$1200)</f>
        <v>259</v>
      </c>
      <c r="N415" s="20" t="n">
        <f aca="false">IF(M415=0,"",L415/M415)</f>
        <v>0.0308880308880309</v>
      </c>
      <c r="O415" s="20"/>
      <c r="P415" s="20" t="str">
        <f aca="false">IF(OR(N415="",O415=""),"",N415-O415)</f>
        <v/>
      </c>
      <c r="Q415" s="18"/>
    </row>
    <row r="416" customFormat="false" ht="15" hidden="false" customHeight="true" outlineLevel="0" collapsed="false">
      <c r="A416" s="18" t="s">
        <v>359</v>
      </c>
      <c r="B416" s="18" t="n">
        <v>0</v>
      </c>
      <c r="C416" s="18" t="s">
        <v>204</v>
      </c>
      <c r="D416" s="18"/>
      <c r="E416" s="18" t="s">
        <v>313</v>
      </c>
      <c r="F416" s="18" t="s">
        <v>220</v>
      </c>
      <c r="G416" s="19" t="n">
        <v>39025</v>
      </c>
      <c r="H416" s="18" t="n">
        <v>11</v>
      </c>
      <c r="I416" s="18" t="n">
        <v>0</v>
      </c>
      <c r="J416" s="18" t="n">
        <f aca="false">SUMIFS($H$2:$H$1200,$A$2:$A$1200,$A416,$B$2:$B$1200,"&lt;="&amp;$B416)</f>
        <v>11</v>
      </c>
      <c r="K416" s="18" t="n">
        <f aca="false">SUMIFS($I$2:$I$1200,$A$2:$A$1200,$A416,$B$2:$B$1200,"&lt;="&amp;$B416)</f>
        <v>0</v>
      </c>
      <c r="L416" s="18" t="n">
        <f aca="false">J416-K416</f>
        <v>11</v>
      </c>
      <c r="M416" s="18" t="n">
        <f aca="false">SUMIF($A$2:$A$1200,$A416,$H$2:$H$1200)</f>
        <v>259</v>
      </c>
      <c r="N416" s="20" t="n">
        <f aca="false">IF(M416=0,"",L416/M416)</f>
        <v>0.0424710424710425</v>
      </c>
      <c r="O416" s="20" t="n">
        <v>0.0424710424710425</v>
      </c>
      <c r="P416" s="20" t="n">
        <f aca="false">IF(OR(N416="",O416=""),"",N416-O416)</f>
        <v>0</v>
      </c>
      <c r="Q416" s="21" t="s">
        <v>530</v>
      </c>
    </row>
    <row r="417" customFormat="false" ht="15" hidden="false" customHeight="true" outlineLevel="0" collapsed="false">
      <c r="A417" s="18" t="s">
        <v>359</v>
      </c>
      <c r="B417" s="18" t="n">
        <v>3</v>
      </c>
      <c r="C417" s="18" t="s">
        <v>525</v>
      </c>
      <c r="D417" s="18" t="n">
        <v>-180</v>
      </c>
      <c r="E417" s="18" t="s">
        <v>313</v>
      </c>
      <c r="F417" s="18" t="s">
        <v>220</v>
      </c>
      <c r="G417" s="19" t="n">
        <v>39025</v>
      </c>
      <c r="H417" s="18" t="n">
        <v>15</v>
      </c>
      <c r="I417" s="18" t="n">
        <v>3</v>
      </c>
      <c r="J417" s="18" t="n">
        <f aca="false">SUMIFS($H$2:$H$1200,$A$2:$A$1200,$A417,$B$2:$B$1200,"&lt;="&amp;$B417)</f>
        <v>26</v>
      </c>
      <c r="K417" s="18" t="n">
        <f aca="false">SUMIFS($I$2:$I$1200,$A$2:$A$1200,$A417,$B$2:$B$1200,"&lt;="&amp;$B417)</f>
        <v>3</v>
      </c>
      <c r="L417" s="18" t="n">
        <f aca="false">J417-K417</f>
        <v>23</v>
      </c>
      <c r="M417" s="18" t="n">
        <f aca="false">SUMIF($A$2:$A$1200,$A417,$H$2:$H$1200)</f>
        <v>259</v>
      </c>
      <c r="N417" s="20" t="n">
        <f aca="false">IF(M417=0,"",L417/M417)</f>
        <v>0.0888030888030888</v>
      </c>
      <c r="O417" s="20" t="n">
        <v>0.0888030888030888</v>
      </c>
      <c r="P417" s="20" t="n">
        <f aca="false">IF(OR(N417="",O417=""),"",N417-O417)</f>
        <v>0</v>
      </c>
      <c r="Q417" s="18"/>
    </row>
    <row r="418" customFormat="false" ht="15" hidden="false" customHeight="true" outlineLevel="0" collapsed="false">
      <c r="A418" s="18" t="s">
        <v>359</v>
      </c>
      <c r="B418" s="18" t="n">
        <v>4</v>
      </c>
      <c r="C418" s="18" t="s">
        <v>526</v>
      </c>
      <c r="D418" s="18" t="n">
        <v>-165</v>
      </c>
      <c r="E418" s="18" t="s">
        <v>313</v>
      </c>
      <c r="F418" s="18" t="s">
        <v>220</v>
      </c>
      <c r="G418" s="19" t="n">
        <v>39025</v>
      </c>
      <c r="H418" s="18" t="n">
        <v>20</v>
      </c>
      <c r="I418" s="18" t="n">
        <v>1</v>
      </c>
      <c r="J418" s="18" t="n">
        <f aca="false">SUMIFS($H$2:$H$1200,$A$2:$A$1200,$A418,$B$2:$B$1200,"&lt;="&amp;$B418)</f>
        <v>46</v>
      </c>
      <c r="K418" s="18" t="n">
        <f aca="false">SUMIFS($I$2:$I$1200,$A$2:$A$1200,$A418,$B$2:$B$1200,"&lt;="&amp;$B418)</f>
        <v>4</v>
      </c>
      <c r="L418" s="18" t="n">
        <f aca="false">J418-K418</f>
        <v>42</v>
      </c>
      <c r="M418" s="18" t="n">
        <f aca="false">SUMIF($A$2:$A$1200,$A418,$H$2:$H$1200)</f>
        <v>259</v>
      </c>
      <c r="N418" s="20" t="n">
        <f aca="false">IF(M418=0,"",L418/M418)</f>
        <v>0.162162162162162</v>
      </c>
      <c r="O418" s="20" t="n">
        <v>0.162162162162162</v>
      </c>
      <c r="P418" s="20" t="n">
        <f aca="false">IF(OR(N418="",O418=""),"",N418-O418)</f>
        <v>0</v>
      </c>
      <c r="Q418" s="18"/>
    </row>
    <row r="419" customFormat="false" ht="15" hidden="false" customHeight="true" outlineLevel="0" collapsed="false">
      <c r="A419" s="18" t="s">
        <v>359</v>
      </c>
      <c r="B419" s="18" t="n">
        <v>5</v>
      </c>
      <c r="C419" s="18" t="s">
        <v>527</v>
      </c>
      <c r="D419" s="18" t="n">
        <v>-150</v>
      </c>
      <c r="E419" s="18" t="s">
        <v>313</v>
      </c>
      <c r="F419" s="18" t="s">
        <v>220</v>
      </c>
      <c r="G419" s="19" t="n">
        <v>39025</v>
      </c>
      <c r="H419" s="18" t="n">
        <v>26</v>
      </c>
      <c r="I419" s="18" t="n">
        <v>0</v>
      </c>
      <c r="J419" s="18" t="n">
        <f aca="false">SUMIFS($H$2:$H$1200,$A$2:$A$1200,$A419,$B$2:$B$1200,"&lt;="&amp;$B419)</f>
        <v>72</v>
      </c>
      <c r="K419" s="18" t="n">
        <f aca="false">SUMIFS($I$2:$I$1200,$A$2:$A$1200,$A419,$B$2:$B$1200,"&lt;="&amp;$B419)</f>
        <v>4</v>
      </c>
      <c r="L419" s="18" t="n">
        <f aca="false">J419-K419</f>
        <v>68</v>
      </c>
      <c r="M419" s="18" t="n">
        <f aca="false">SUMIF($A$2:$A$1200,$A419,$H$2:$H$1200)</f>
        <v>259</v>
      </c>
      <c r="N419" s="20" t="n">
        <f aca="false">IF(M419=0,"",L419/M419)</f>
        <v>0.262548262548263</v>
      </c>
      <c r="O419" s="20" t="n">
        <v>0.262548262548263</v>
      </c>
      <c r="P419" s="20" t="n">
        <f aca="false">IF(OR(N419="",O419=""),"",N419-O419)</f>
        <v>0</v>
      </c>
      <c r="Q419" s="18"/>
    </row>
    <row r="420" customFormat="false" ht="15" hidden="false" customHeight="true" outlineLevel="0" collapsed="false">
      <c r="A420" s="18" t="s">
        <v>359</v>
      </c>
      <c r="B420" s="18" t="n">
        <v>6</v>
      </c>
      <c r="C420" s="18" t="s">
        <v>528</v>
      </c>
      <c r="D420" s="18" t="n">
        <v>-135</v>
      </c>
      <c r="E420" s="18" t="s">
        <v>313</v>
      </c>
      <c r="F420" s="18" t="s">
        <v>220</v>
      </c>
      <c r="G420" s="19" t="n">
        <v>39025</v>
      </c>
      <c r="H420" s="18" t="n">
        <v>27</v>
      </c>
      <c r="I420" s="18" t="n">
        <v>2</v>
      </c>
      <c r="J420" s="18" t="n">
        <f aca="false">SUMIFS($H$2:$H$1200,$A$2:$A$1200,$A420,$B$2:$B$1200,"&lt;="&amp;$B420)</f>
        <v>99</v>
      </c>
      <c r="K420" s="18" t="n">
        <f aca="false">SUMIFS($I$2:$I$1200,$A$2:$A$1200,$A420,$B$2:$B$1200,"&lt;="&amp;$B420)</f>
        <v>6</v>
      </c>
      <c r="L420" s="18" t="n">
        <f aca="false">J420-K420</f>
        <v>93</v>
      </c>
      <c r="M420" s="18" t="n">
        <f aca="false">SUMIF($A$2:$A$1200,$A420,$H$2:$H$1200)</f>
        <v>259</v>
      </c>
      <c r="N420" s="20" t="n">
        <f aca="false">IF(M420=0,"",L420/M420)</f>
        <v>0.359073359073359</v>
      </c>
      <c r="O420" s="20" t="n">
        <v>0.359073359073359</v>
      </c>
      <c r="P420" s="20" t="n">
        <f aca="false">IF(OR(N420="",O420=""),"",N420-O420)</f>
        <v>0</v>
      </c>
      <c r="Q420" s="18"/>
    </row>
    <row r="421" customFormat="false" ht="15" hidden="false" customHeight="true" outlineLevel="0" collapsed="false">
      <c r="A421" s="18" t="s">
        <v>359</v>
      </c>
      <c r="B421" s="18" t="n">
        <v>7</v>
      </c>
      <c r="C421" s="18" t="s">
        <v>227</v>
      </c>
      <c r="D421" s="18" t="n">
        <v>-120</v>
      </c>
      <c r="E421" s="18" t="s">
        <v>313</v>
      </c>
      <c r="F421" s="18" t="s">
        <v>220</v>
      </c>
      <c r="G421" s="19" t="n">
        <v>39025</v>
      </c>
      <c r="H421" s="18" t="n">
        <v>38</v>
      </c>
      <c r="I421" s="18" t="n">
        <v>0</v>
      </c>
      <c r="J421" s="18" t="n">
        <f aca="false">SUMIFS($H$2:$H$1200,$A$2:$A$1200,$A421,$B$2:$B$1200,"&lt;="&amp;$B421)</f>
        <v>137</v>
      </c>
      <c r="K421" s="18" t="n">
        <f aca="false">SUMIFS($I$2:$I$1200,$A$2:$A$1200,$A421,$B$2:$B$1200,"&lt;="&amp;$B421)</f>
        <v>6</v>
      </c>
      <c r="L421" s="18" t="n">
        <f aca="false">J421-K421</f>
        <v>131</v>
      </c>
      <c r="M421" s="18" t="n">
        <f aca="false">SUMIF($A$2:$A$1200,$A421,$H$2:$H$1200)</f>
        <v>259</v>
      </c>
      <c r="N421" s="20" t="n">
        <f aca="false">IF(M421=0,"",L421/M421)</f>
        <v>0.505791505791506</v>
      </c>
      <c r="O421" s="20" t="n">
        <v>0.505791505791506</v>
      </c>
      <c r="P421" s="20" t="n">
        <f aca="false">IF(OR(N421="",O421=""),"",N421-O421)</f>
        <v>0</v>
      </c>
      <c r="Q421" s="18"/>
    </row>
    <row r="422" customFormat="false" ht="15" hidden="false" customHeight="true" outlineLevel="0" collapsed="false">
      <c r="A422" s="18" t="s">
        <v>359</v>
      </c>
      <c r="B422" s="18" t="n">
        <v>8</v>
      </c>
      <c r="C422" s="18" t="s">
        <v>241</v>
      </c>
      <c r="D422" s="18" t="n">
        <v>-105</v>
      </c>
      <c r="E422" s="18" t="s">
        <v>313</v>
      </c>
      <c r="F422" s="18" t="s">
        <v>220</v>
      </c>
      <c r="G422" s="19" t="n">
        <v>39025</v>
      </c>
      <c r="H422" s="18" t="n">
        <v>33</v>
      </c>
      <c r="I422" s="18" t="n">
        <v>2</v>
      </c>
      <c r="J422" s="18" t="n">
        <f aca="false">SUMIFS($H$2:$H$1200,$A$2:$A$1200,$A422,$B$2:$B$1200,"&lt;="&amp;$B422)</f>
        <v>170</v>
      </c>
      <c r="K422" s="18" t="n">
        <f aca="false">SUMIFS($I$2:$I$1200,$A$2:$A$1200,$A422,$B$2:$B$1200,"&lt;="&amp;$B422)</f>
        <v>8</v>
      </c>
      <c r="L422" s="18" t="n">
        <f aca="false">J422-K422</f>
        <v>162</v>
      </c>
      <c r="M422" s="18" t="n">
        <f aca="false">SUMIF($A$2:$A$1200,$A422,$H$2:$H$1200)</f>
        <v>259</v>
      </c>
      <c r="N422" s="20" t="n">
        <f aca="false">IF(M422=0,"",L422/M422)</f>
        <v>0.625482625482626</v>
      </c>
      <c r="O422" s="20" t="n">
        <v>0.625482625482626</v>
      </c>
      <c r="P422" s="20" t="n">
        <f aca="false">IF(OR(N422="",O422=""),"",N422-O422)</f>
        <v>0</v>
      </c>
      <c r="Q422" s="18"/>
    </row>
    <row r="423" customFormat="false" ht="15" hidden="false" customHeight="true" outlineLevel="0" collapsed="false">
      <c r="A423" s="18" t="s">
        <v>359</v>
      </c>
      <c r="B423" s="18" t="n">
        <v>9</v>
      </c>
      <c r="C423" s="18" t="s">
        <v>279</v>
      </c>
      <c r="D423" s="18" t="n">
        <v>-90</v>
      </c>
      <c r="E423" s="18" t="s">
        <v>313</v>
      </c>
      <c r="F423" s="18" t="s">
        <v>220</v>
      </c>
      <c r="G423" s="19" t="n">
        <v>39025</v>
      </c>
      <c r="H423" s="18" t="n">
        <v>29</v>
      </c>
      <c r="I423" s="18" t="n">
        <v>10</v>
      </c>
      <c r="J423" s="18" t="n">
        <f aca="false">SUMIFS($H$2:$H$1200,$A$2:$A$1200,$A423,$B$2:$B$1200,"&lt;="&amp;$B423)</f>
        <v>199</v>
      </c>
      <c r="K423" s="18" t="n">
        <f aca="false">SUMIFS($I$2:$I$1200,$A$2:$A$1200,$A423,$B$2:$B$1200,"&lt;="&amp;$B423)</f>
        <v>18</v>
      </c>
      <c r="L423" s="18" t="n">
        <f aca="false">J423-K423</f>
        <v>181</v>
      </c>
      <c r="M423" s="18" t="n">
        <f aca="false">SUMIF($A$2:$A$1200,$A423,$H$2:$H$1200)</f>
        <v>259</v>
      </c>
      <c r="N423" s="20" t="n">
        <f aca="false">IF(M423=0,"",L423/M423)</f>
        <v>0.698841698841699</v>
      </c>
      <c r="O423" s="20" t="n">
        <v>0.698841698841699</v>
      </c>
      <c r="P423" s="20" t="n">
        <f aca="false">IF(OR(N423="",O423=""),"",N423-O423)</f>
        <v>0</v>
      </c>
      <c r="Q423" s="18"/>
    </row>
    <row r="424" customFormat="false" ht="15" hidden="false" customHeight="true" outlineLevel="0" collapsed="false">
      <c r="A424" s="18" t="s">
        <v>359</v>
      </c>
      <c r="B424" s="18" t="n">
        <v>10</v>
      </c>
      <c r="C424" s="18" t="s">
        <v>206</v>
      </c>
      <c r="D424" s="18" t="n">
        <v>-75</v>
      </c>
      <c r="E424" s="18" t="s">
        <v>313</v>
      </c>
      <c r="F424" s="18" t="s">
        <v>220</v>
      </c>
      <c r="G424" s="19" t="n">
        <v>39025</v>
      </c>
      <c r="H424" s="18" t="n">
        <v>11</v>
      </c>
      <c r="I424" s="18" t="n">
        <v>7</v>
      </c>
      <c r="J424" s="18" t="n">
        <f aca="false">SUMIFS($H$2:$H$1200,$A$2:$A$1200,$A424,$B$2:$B$1200,"&lt;="&amp;$B424)</f>
        <v>210</v>
      </c>
      <c r="K424" s="18" t="n">
        <f aca="false">SUMIFS($I$2:$I$1200,$A$2:$A$1200,$A424,$B$2:$B$1200,"&lt;="&amp;$B424)</f>
        <v>25</v>
      </c>
      <c r="L424" s="18" t="n">
        <f aca="false">J424-K424</f>
        <v>185</v>
      </c>
      <c r="M424" s="18" t="n">
        <f aca="false">SUMIF($A$2:$A$1200,$A424,$H$2:$H$1200)</f>
        <v>259</v>
      </c>
      <c r="N424" s="20" t="n">
        <f aca="false">IF(M424=0,"",L424/M424)</f>
        <v>0.714285714285714</v>
      </c>
      <c r="O424" s="20" t="n">
        <v>0.714285714285714</v>
      </c>
      <c r="P424" s="20" t="n">
        <f aca="false">IF(OR(N424="",O424=""),"",N424-O424)</f>
        <v>0</v>
      </c>
      <c r="Q424" s="18"/>
    </row>
    <row r="425" customFormat="false" ht="15" hidden="false" customHeight="true" outlineLevel="0" collapsed="false">
      <c r="A425" s="18" t="s">
        <v>359</v>
      </c>
      <c r="B425" s="18" t="n">
        <v>11</v>
      </c>
      <c r="C425" s="18" t="s">
        <v>246</v>
      </c>
      <c r="D425" s="18" t="n">
        <v>-60</v>
      </c>
      <c r="E425" s="18" t="s">
        <v>313</v>
      </c>
      <c r="F425" s="18" t="s">
        <v>220</v>
      </c>
      <c r="G425" s="19" t="n">
        <v>39025</v>
      </c>
      <c r="H425" s="18" t="n">
        <v>17</v>
      </c>
      <c r="I425" s="18" t="n">
        <v>34</v>
      </c>
      <c r="J425" s="18" t="n">
        <f aca="false">SUMIFS($H$2:$H$1200,$A$2:$A$1200,$A425,$B$2:$B$1200,"&lt;="&amp;$B425)</f>
        <v>227</v>
      </c>
      <c r="K425" s="18" t="n">
        <f aca="false">SUMIFS($I$2:$I$1200,$A$2:$A$1200,$A425,$B$2:$B$1200,"&lt;="&amp;$B425)</f>
        <v>59</v>
      </c>
      <c r="L425" s="18" t="n">
        <f aca="false">J425-K425</f>
        <v>168</v>
      </c>
      <c r="M425" s="18" t="n">
        <f aca="false">SUMIF($A$2:$A$1200,$A425,$H$2:$H$1200)</f>
        <v>259</v>
      </c>
      <c r="N425" s="20" t="n">
        <f aca="false">IF(M425=0,"",L425/M425)</f>
        <v>0.648648648648649</v>
      </c>
      <c r="O425" s="20" t="n">
        <v>0.648648648648649</v>
      </c>
      <c r="P425" s="20" t="n">
        <f aca="false">IF(OR(N425="",O425=""),"",N425-O425)</f>
        <v>0</v>
      </c>
      <c r="Q425" s="18"/>
    </row>
    <row r="426" customFormat="false" ht="15" hidden="false" customHeight="true" outlineLevel="0" collapsed="false">
      <c r="A426" s="18" t="s">
        <v>359</v>
      </c>
      <c r="B426" s="18" t="n">
        <v>12</v>
      </c>
      <c r="C426" s="18" t="s">
        <v>254</v>
      </c>
      <c r="D426" s="18" t="n">
        <v>-45</v>
      </c>
      <c r="E426" s="18" t="s">
        <v>313</v>
      </c>
      <c r="F426" s="18" t="s">
        <v>220</v>
      </c>
      <c r="G426" s="19" t="n">
        <v>39025</v>
      </c>
      <c r="H426" s="18" t="n">
        <v>10</v>
      </c>
      <c r="I426" s="18" t="n">
        <v>41</v>
      </c>
      <c r="J426" s="18" t="n">
        <f aca="false">SUMIFS($H$2:$H$1200,$A$2:$A$1200,$A426,$B$2:$B$1200,"&lt;="&amp;$B426)</f>
        <v>237</v>
      </c>
      <c r="K426" s="18" t="n">
        <f aca="false">SUMIFS($I$2:$I$1200,$A$2:$A$1200,$A426,$B$2:$B$1200,"&lt;="&amp;$B426)</f>
        <v>100</v>
      </c>
      <c r="L426" s="18" t="n">
        <f aca="false">J426-K426</f>
        <v>137</v>
      </c>
      <c r="M426" s="18" t="n">
        <f aca="false">SUMIF($A$2:$A$1200,$A426,$H$2:$H$1200)</f>
        <v>259</v>
      </c>
      <c r="N426" s="20" t="n">
        <f aca="false">IF(M426=0,"",L426/M426)</f>
        <v>0.528957528957529</v>
      </c>
      <c r="O426" s="20" t="n">
        <v>0.528957528957529</v>
      </c>
      <c r="P426" s="20" t="n">
        <f aca="false">IF(OR(N426="",O426=""),"",N426-O426)</f>
        <v>0</v>
      </c>
      <c r="Q426" s="18"/>
    </row>
    <row r="427" customFormat="false" ht="15" hidden="false" customHeight="true" outlineLevel="0" collapsed="false">
      <c r="A427" s="18" t="s">
        <v>359</v>
      </c>
      <c r="B427" s="18" t="n">
        <v>13</v>
      </c>
      <c r="C427" s="18" t="s">
        <v>403</v>
      </c>
      <c r="D427" s="18" t="n">
        <v>-30</v>
      </c>
      <c r="E427" s="18" t="s">
        <v>313</v>
      </c>
      <c r="F427" s="18" t="s">
        <v>220</v>
      </c>
      <c r="G427" s="19" t="n">
        <v>39025</v>
      </c>
      <c r="H427" s="18" t="n">
        <v>5</v>
      </c>
      <c r="I427" s="18" t="n">
        <v>46</v>
      </c>
      <c r="J427" s="18" t="n">
        <f aca="false">SUMIFS($H$2:$H$1200,$A$2:$A$1200,$A427,$B$2:$B$1200,"&lt;="&amp;$B427)</f>
        <v>242</v>
      </c>
      <c r="K427" s="18" t="n">
        <f aca="false">SUMIFS($I$2:$I$1200,$A$2:$A$1200,$A427,$B$2:$B$1200,"&lt;="&amp;$B427)</f>
        <v>146</v>
      </c>
      <c r="L427" s="18" t="n">
        <f aca="false">J427-K427</f>
        <v>96</v>
      </c>
      <c r="M427" s="18" t="n">
        <f aca="false">SUMIF($A$2:$A$1200,$A427,$H$2:$H$1200)</f>
        <v>259</v>
      </c>
      <c r="N427" s="20" t="n">
        <f aca="false">IF(M427=0,"",L427/M427)</f>
        <v>0.370656370656371</v>
      </c>
      <c r="O427" s="20" t="n">
        <v>0.370656370656371</v>
      </c>
      <c r="P427" s="20" t="n">
        <f aca="false">IF(OR(N427="",O427=""),"",N427-O427)</f>
        <v>0</v>
      </c>
      <c r="Q427" s="18"/>
    </row>
    <row r="428" customFormat="false" ht="15" hidden="false" customHeight="true" outlineLevel="0" collapsed="false">
      <c r="A428" s="18" t="s">
        <v>359</v>
      </c>
      <c r="B428" s="18" t="n">
        <v>14</v>
      </c>
      <c r="C428" s="18" t="s">
        <v>529</v>
      </c>
      <c r="D428" s="18" t="n">
        <v>-15</v>
      </c>
      <c r="E428" s="18" t="s">
        <v>313</v>
      </c>
      <c r="F428" s="18" t="s">
        <v>220</v>
      </c>
      <c r="G428" s="19" t="n">
        <v>39025</v>
      </c>
      <c r="H428" s="18" t="n">
        <v>10</v>
      </c>
      <c r="I428" s="18" t="n">
        <v>33</v>
      </c>
      <c r="J428" s="18" t="n">
        <f aca="false">SUMIFS($H$2:$H$1200,$A$2:$A$1200,$A428,$B$2:$B$1200,"&lt;="&amp;$B428)</f>
        <v>252</v>
      </c>
      <c r="K428" s="18" t="n">
        <f aca="false">SUMIFS($I$2:$I$1200,$A$2:$A$1200,$A428,$B$2:$B$1200,"&lt;="&amp;$B428)</f>
        <v>179</v>
      </c>
      <c r="L428" s="18" t="n">
        <f aca="false">J428-K428</f>
        <v>73</v>
      </c>
      <c r="M428" s="18" t="n">
        <f aca="false">SUMIF($A$2:$A$1200,$A428,$H$2:$H$1200)</f>
        <v>259</v>
      </c>
      <c r="N428" s="20" t="n">
        <f aca="false">IF(M428=0,"",L428/M428)</f>
        <v>0.281853281853282</v>
      </c>
      <c r="O428" s="20" t="n">
        <v>0.281853281853282</v>
      </c>
      <c r="P428" s="20" t="n">
        <f aca="false">IF(OR(N428="",O428=""),"",N428-O428)</f>
        <v>0</v>
      </c>
      <c r="Q428" s="18"/>
    </row>
    <row r="429" customFormat="false" ht="15" hidden="false" customHeight="true" outlineLevel="0" collapsed="false">
      <c r="A429" s="18" t="s">
        <v>359</v>
      </c>
      <c r="B429" s="18" t="n">
        <v>15</v>
      </c>
      <c r="C429" s="18" t="s">
        <v>463</v>
      </c>
      <c r="D429" s="18" t="n">
        <v>0</v>
      </c>
      <c r="E429" s="18" t="s">
        <v>313</v>
      </c>
      <c r="F429" s="18" t="s">
        <v>220</v>
      </c>
      <c r="G429" s="19" t="n">
        <v>39025</v>
      </c>
      <c r="H429" s="18" t="n">
        <v>3</v>
      </c>
      <c r="I429" s="18" t="n">
        <v>26</v>
      </c>
      <c r="J429" s="18" t="n">
        <f aca="false">SUMIFS($H$2:$H$1200,$A$2:$A$1200,$A429,$B$2:$B$1200,"&lt;="&amp;$B429)</f>
        <v>255</v>
      </c>
      <c r="K429" s="18" t="n">
        <f aca="false">SUMIFS($I$2:$I$1200,$A$2:$A$1200,$A429,$B$2:$B$1200,"&lt;="&amp;$B429)</f>
        <v>205</v>
      </c>
      <c r="L429" s="18" t="n">
        <f aca="false">J429-K429</f>
        <v>50</v>
      </c>
      <c r="M429" s="18" t="n">
        <f aca="false">SUMIF($A$2:$A$1200,$A429,$H$2:$H$1200)</f>
        <v>259</v>
      </c>
      <c r="N429" s="20" t="n">
        <f aca="false">IF(M429=0,"",L429/M429)</f>
        <v>0.193050193050193</v>
      </c>
      <c r="O429" s="20" t="n">
        <v>0.193050193050193</v>
      </c>
      <c r="P429" s="20" t="n">
        <f aca="false">IF(OR(N429="",O429=""),"",N429-O429)</f>
        <v>0</v>
      </c>
      <c r="Q429" s="18"/>
    </row>
    <row r="430" customFormat="false" ht="15" hidden="false" customHeight="true" outlineLevel="0" collapsed="false">
      <c r="A430" s="18" t="s">
        <v>359</v>
      </c>
      <c r="B430" s="18" t="n">
        <v>16</v>
      </c>
      <c r="C430" s="18" t="s">
        <v>366</v>
      </c>
      <c r="D430" s="18" t="n">
        <v>15</v>
      </c>
      <c r="E430" s="18" t="s">
        <v>313</v>
      </c>
      <c r="F430" s="18" t="s">
        <v>220</v>
      </c>
      <c r="G430" s="19" t="n">
        <v>39025</v>
      </c>
      <c r="H430" s="18" t="n">
        <v>2</v>
      </c>
      <c r="I430" s="18" t="n">
        <v>16</v>
      </c>
      <c r="J430" s="18" t="n">
        <f aca="false">SUMIFS($H$2:$H$1200,$A$2:$A$1200,$A430,$B$2:$B$1200,"&lt;="&amp;$B430)</f>
        <v>257</v>
      </c>
      <c r="K430" s="18" t="n">
        <f aca="false">SUMIFS($I$2:$I$1200,$A$2:$A$1200,$A430,$B$2:$B$1200,"&lt;="&amp;$B430)</f>
        <v>221</v>
      </c>
      <c r="L430" s="18" t="n">
        <f aca="false">J430-K430</f>
        <v>36</v>
      </c>
      <c r="M430" s="18" t="n">
        <f aca="false">SUMIF($A$2:$A$1200,$A430,$H$2:$H$1200)</f>
        <v>259</v>
      </c>
      <c r="N430" s="20" t="n">
        <f aca="false">IF(M430=0,"",L430/M430)</f>
        <v>0.138996138996139</v>
      </c>
      <c r="O430" s="20" t="n">
        <v>0.138996138996139</v>
      </c>
      <c r="P430" s="20" t="n">
        <f aca="false">IF(OR(N430="",O430=""),"",N430-O430)</f>
        <v>0</v>
      </c>
      <c r="Q430" s="18"/>
    </row>
    <row r="431" customFormat="false" ht="15" hidden="false" customHeight="true" outlineLevel="0" collapsed="false">
      <c r="A431" s="18" t="s">
        <v>359</v>
      </c>
      <c r="B431" s="18" t="n">
        <v>17</v>
      </c>
      <c r="C431" s="18" t="s">
        <v>326</v>
      </c>
      <c r="D431" s="18" t="n">
        <v>30</v>
      </c>
      <c r="E431" s="18" t="s">
        <v>313</v>
      </c>
      <c r="F431" s="18" t="s">
        <v>220</v>
      </c>
      <c r="G431" s="19" t="n">
        <v>39025</v>
      </c>
      <c r="H431" s="18" t="n">
        <v>2</v>
      </c>
      <c r="I431" s="18" t="n">
        <v>14</v>
      </c>
      <c r="J431" s="18" t="n">
        <f aca="false">SUMIFS($H$2:$H$1200,$A$2:$A$1200,$A431,$B$2:$B$1200,"&lt;="&amp;$B431)</f>
        <v>259</v>
      </c>
      <c r="K431" s="18" t="n">
        <f aca="false">SUMIFS($I$2:$I$1200,$A$2:$A$1200,$A431,$B$2:$B$1200,"&lt;="&amp;$B431)</f>
        <v>235</v>
      </c>
      <c r="L431" s="18" t="n">
        <f aca="false">J431-K431</f>
        <v>24</v>
      </c>
      <c r="M431" s="18" t="n">
        <f aca="false">SUMIF($A$2:$A$1200,$A431,$H$2:$H$1200)</f>
        <v>259</v>
      </c>
      <c r="N431" s="20" t="n">
        <f aca="false">IF(M431=0,"",L431/M431)</f>
        <v>0.0926640926640927</v>
      </c>
      <c r="O431" s="20" t="n">
        <v>0.0926640926640927</v>
      </c>
      <c r="P431" s="20" t="n">
        <f aca="false">IF(OR(N431="",O431=""),"",N431-O431)</f>
        <v>0</v>
      </c>
      <c r="Q431" s="18"/>
    </row>
    <row r="432" customFormat="false" ht="15" hidden="false" customHeight="true" outlineLevel="0" collapsed="false">
      <c r="A432" s="18" t="s">
        <v>359</v>
      </c>
      <c r="B432" s="18" t="n">
        <v>18</v>
      </c>
      <c r="C432" s="18" t="s">
        <v>226</v>
      </c>
      <c r="D432" s="18" t="n">
        <v>45</v>
      </c>
      <c r="E432" s="18" t="s">
        <v>313</v>
      </c>
      <c r="F432" s="18" t="s">
        <v>220</v>
      </c>
      <c r="G432" s="19" t="n">
        <v>39025</v>
      </c>
      <c r="H432" s="18" t="n">
        <v>0</v>
      </c>
      <c r="I432" s="18" t="n">
        <v>16</v>
      </c>
      <c r="J432" s="18" t="n">
        <f aca="false">SUMIFS($H$2:$H$1200,$A$2:$A$1200,$A432,$B$2:$B$1200,"&lt;="&amp;$B432)</f>
        <v>259</v>
      </c>
      <c r="K432" s="18" t="n">
        <f aca="false">SUMIFS($I$2:$I$1200,$A$2:$A$1200,$A432,$B$2:$B$1200,"&lt;="&amp;$B432)</f>
        <v>251</v>
      </c>
      <c r="L432" s="18" t="n">
        <f aca="false">J432-K432</f>
        <v>8</v>
      </c>
      <c r="M432" s="18" t="n">
        <f aca="false">SUMIF($A$2:$A$1200,$A432,$H$2:$H$1200)</f>
        <v>259</v>
      </c>
      <c r="N432" s="20" t="n">
        <f aca="false">IF(M432=0,"",L432/M432)</f>
        <v>0.0308880308880309</v>
      </c>
      <c r="O432" s="20" t="n">
        <v>0.0308880308880309</v>
      </c>
      <c r="P432" s="20" t="n">
        <f aca="false">IF(OR(N432="",O432=""),"",N432-O432)</f>
        <v>0</v>
      </c>
      <c r="Q432" s="18"/>
    </row>
    <row r="433" customFormat="false" ht="15" hidden="false" customHeight="true" outlineLevel="0" collapsed="false">
      <c r="A433" s="18" t="s">
        <v>365</v>
      </c>
      <c r="B433" s="18" t="n">
        <v>2</v>
      </c>
      <c r="C433" s="18" t="s">
        <v>340</v>
      </c>
      <c r="D433" s="18" t="n">
        <v>-195</v>
      </c>
      <c r="E433" s="18" t="s">
        <v>313</v>
      </c>
      <c r="F433" s="18" t="s">
        <v>220</v>
      </c>
      <c r="G433" s="19" t="n">
        <v>39765</v>
      </c>
      <c r="H433" s="18" t="n">
        <v>27</v>
      </c>
      <c r="I433" s="18" t="n">
        <v>0</v>
      </c>
      <c r="J433" s="18" t="n">
        <f aca="false">SUMIFS($H$2:$H$1200,$A$2:$A$1200,$A433,$B$2:$B$1200,"&lt;="&amp;$B433)</f>
        <v>27</v>
      </c>
      <c r="K433" s="18" t="n">
        <f aca="false">SUMIFS($I$2:$I$1200,$A$2:$A$1200,$A433,$B$2:$B$1200,"&lt;="&amp;$B433)</f>
        <v>0</v>
      </c>
      <c r="L433" s="18" t="n">
        <f aca="false">J433-K433</f>
        <v>27</v>
      </c>
      <c r="M433" s="18" t="n">
        <f aca="false">SUMIF($A$2:$A$1200,$A433,$H$2:$H$1200)</f>
        <v>194</v>
      </c>
      <c r="N433" s="20" t="n">
        <f aca="false">IF(M433=0,"",L433/M433)</f>
        <v>0.139175257731959</v>
      </c>
      <c r="O433" s="20"/>
      <c r="P433" s="20" t="str">
        <f aca="false">IF(OR(N433="",O433=""),"",N433-O433)</f>
        <v/>
      </c>
      <c r="Q433" s="18"/>
    </row>
    <row r="434" customFormat="false" ht="15" hidden="false" customHeight="true" outlineLevel="0" collapsed="false">
      <c r="A434" s="18" t="s">
        <v>365</v>
      </c>
      <c r="B434" s="18" t="n">
        <v>3</v>
      </c>
      <c r="C434" s="18" t="s">
        <v>525</v>
      </c>
      <c r="D434" s="18" t="n">
        <v>-180</v>
      </c>
      <c r="E434" s="18" t="s">
        <v>313</v>
      </c>
      <c r="F434" s="18" t="s">
        <v>220</v>
      </c>
      <c r="G434" s="19" t="n">
        <v>39765</v>
      </c>
      <c r="H434" s="18" t="n">
        <v>17</v>
      </c>
      <c r="I434" s="18" t="n">
        <v>1</v>
      </c>
      <c r="J434" s="18" t="n">
        <f aca="false">SUMIFS($H$2:$H$1200,$A$2:$A$1200,$A434,$B$2:$B$1200,"&lt;="&amp;$B434)</f>
        <v>44</v>
      </c>
      <c r="K434" s="18" t="n">
        <f aca="false">SUMIFS($I$2:$I$1200,$A$2:$A$1200,$A434,$B$2:$B$1200,"&lt;="&amp;$B434)</f>
        <v>1</v>
      </c>
      <c r="L434" s="18" t="n">
        <f aca="false">J434-K434</f>
        <v>43</v>
      </c>
      <c r="M434" s="18" t="n">
        <f aca="false">SUMIF($A$2:$A$1200,$A434,$H$2:$H$1200)</f>
        <v>194</v>
      </c>
      <c r="N434" s="20" t="n">
        <f aca="false">IF(M434=0,"",L434/M434)</f>
        <v>0.221649484536082</v>
      </c>
      <c r="O434" s="20"/>
      <c r="P434" s="20" t="str">
        <f aca="false">IF(OR(N434="",O434=""),"",N434-O434)</f>
        <v/>
      </c>
      <c r="Q434" s="18"/>
    </row>
    <row r="435" customFormat="false" ht="15" hidden="false" customHeight="true" outlineLevel="0" collapsed="false">
      <c r="A435" s="18" t="s">
        <v>365</v>
      </c>
      <c r="B435" s="18" t="n">
        <v>4</v>
      </c>
      <c r="C435" s="18" t="s">
        <v>526</v>
      </c>
      <c r="D435" s="18" t="n">
        <v>-165</v>
      </c>
      <c r="E435" s="18" t="s">
        <v>313</v>
      </c>
      <c r="F435" s="18" t="s">
        <v>220</v>
      </c>
      <c r="G435" s="19" t="n">
        <v>39765</v>
      </c>
      <c r="H435" s="18" t="n">
        <v>17</v>
      </c>
      <c r="I435" s="18" t="n">
        <v>1</v>
      </c>
      <c r="J435" s="18" t="n">
        <f aca="false">SUMIFS($H$2:$H$1200,$A$2:$A$1200,$A435,$B$2:$B$1200,"&lt;="&amp;$B435)</f>
        <v>61</v>
      </c>
      <c r="K435" s="18" t="n">
        <f aca="false">SUMIFS($I$2:$I$1200,$A$2:$A$1200,$A435,$B$2:$B$1200,"&lt;="&amp;$B435)</f>
        <v>2</v>
      </c>
      <c r="L435" s="18" t="n">
        <f aca="false">J435-K435</f>
        <v>59</v>
      </c>
      <c r="M435" s="18" t="n">
        <f aca="false">SUMIF($A$2:$A$1200,$A435,$H$2:$H$1200)</f>
        <v>194</v>
      </c>
      <c r="N435" s="20" t="n">
        <f aca="false">IF(M435=0,"",L435/M435)</f>
        <v>0.304123711340206</v>
      </c>
      <c r="O435" s="20"/>
      <c r="P435" s="20" t="str">
        <f aca="false">IF(OR(N435="",O435=""),"",N435-O435)</f>
        <v/>
      </c>
      <c r="Q435" s="18"/>
    </row>
    <row r="436" customFormat="false" ht="15" hidden="false" customHeight="true" outlineLevel="0" collapsed="false">
      <c r="A436" s="18" t="s">
        <v>365</v>
      </c>
      <c r="B436" s="18" t="n">
        <v>5</v>
      </c>
      <c r="C436" s="18" t="s">
        <v>527</v>
      </c>
      <c r="D436" s="18" t="n">
        <v>-150</v>
      </c>
      <c r="E436" s="18" t="s">
        <v>313</v>
      </c>
      <c r="F436" s="18" t="s">
        <v>220</v>
      </c>
      <c r="G436" s="19" t="n">
        <v>39765</v>
      </c>
      <c r="H436" s="18" t="n">
        <v>18</v>
      </c>
      <c r="I436" s="18" t="n">
        <v>0</v>
      </c>
      <c r="J436" s="18" t="n">
        <f aca="false">SUMIFS($H$2:$H$1200,$A$2:$A$1200,$A436,$B$2:$B$1200,"&lt;="&amp;$B436)</f>
        <v>79</v>
      </c>
      <c r="K436" s="18" t="n">
        <f aca="false">SUMIFS($I$2:$I$1200,$A$2:$A$1200,$A436,$B$2:$B$1200,"&lt;="&amp;$B436)</f>
        <v>2</v>
      </c>
      <c r="L436" s="18" t="n">
        <f aca="false">J436-K436</f>
        <v>77</v>
      </c>
      <c r="M436" s="18" t="n">
        <f aca="false">SUMIF($A$2:$A$1200,$A436,$H$2:$H$1200)</f>
        <v>194</v>
      </c>
      <c r="N436" s="20" t="n">
        <f aca="false">IF(M436=0,"",L436/M436)</f>
        <v>0.396907216494845</v>
      </c>
      <c r="O436" s="20"/>
      <c r="P436" s="20" t="str">
        <f aca="false">IF(OR(N436="",O436=""),"",N436-O436)</f>
        <v/>
      </c>
      <c r="Q436" s="18"/>
    </row>
    <row r="437" customFormat="false" ht="15" hidden="false" customHeight="true" outlineLevel="0" collapsed="false">
      <c r="A437" s="18" t="s">
        <v>365</v>
      </c>
      <c r="B437" s="18" t="n">
        <v>6</v>
      </c>
      <c r="C437" s="18" t="s">
        <v>528</v>
      </c>
      <c r="D437" s="18" t="n">
        <v>-135</v>
      </c>
      <c r="E437" s="18" t="s">
        <v>313</v>
      </c>
      <c r="F437" s="18" t="s">
        <v>220</v>
      </c>
      <c r="G437" s="19" t="n">
        <v>39765</v>
      </c>
      <c r="H437" s="18" t="n">
        <v>22</v>
      </c>
      <c r="I437" s="18" t="n">
        <v>2</v>
      </c>
      <c r="J437" s="18" t="n">
        <f aca="false">SUMIFS($H$2:$H$1200,$A$2:$A$1200,$A437,$B$2:$B$1200,"&lt;="&amp;$B437)</f>
        <v>101</v>
      </c>
      <c r="K437" s="18" t="n">
        <f aca="false">SUMIFS($I$2:$I$1200,$A$2:$A$1200,$A437,$B$2:$B$1200,"&lt;="&amp;$B437)</f>
        <v>4</v>
      </c>
      <c r="L437" s="18" t="n">
        <f aca="false">J437-K437</f>
        <v>97</v>
      </c>
      <c r="M437" s="18" t="n">
        <f aca="false">SUMIF($A$2:$A$1200,$A437,$H$2:$H$1200)</f>
        <v>194</v>
      </c>
      <c r="N437" s="20" t="n">
        <f aca="false">IF(M437=0,"",L437/M437)</f>
        <v>0.5</v>
      </c>
      <c r="O437" s="20"/>
      <c r="P437" s="20" t="str">
        <f aca="false">IF(OR(N437="",O437=""),"",N437-O437)</f>
        <v/>
      </c>
      <c r="Q437" s="18"/>
    </row>
    <row r="438" customFormat="false" ht="15" hidden="false" customHeight="true" outlineLevel="0" collapsed="false">
      <c r="A438" s="18" t="s">
        <v>365</v>
      </c>
      <c r="B438" s="18" t="n">
        <v>7</v>
      </c>
      <c r="C438" s="18" t="s">
        <v>227</v>
      </c>
      <c r="D438" s="18" t="n">
        <v>-120</v>
      </c>
      <c r="E438" s="18" t="s">
        <v>313</v>
      </c>
      <c r="F438" s="18" t="s">
        <v>220</v>
      </c>
      <c r="G438" s="19" t="n">
        <v>39765</v>
      </c>
      <c r="H438" s="18" t="n">
        <v>18</v>
      </c>
      <c r="I438" s="18" t="n">
        <v>6</v>
      </c>
      <c r="J438" s="18" t="n">
        <f aca="false">SUMIFS($H$2:$H$1200,$A$2:$A$1200,$A438,$B$2:$B$1200,"&lt;="&amp;$B438)</f>
        <v>119</v>
      </c>
      <c r="K438" s="18" t="n">
        <f aca="false">SUMIFS($I$2:$I$1200,$A$2:$A$1200,$A438,$B$2:$B$1200,"&lt;="&amp;$B438)</f>
        <v>10</v>
      </c>
      <c r="L438" s="18" t="n">
        <f aca="false">J438-K438</f>
        <v>109</v>
      </c>
      <c r="M438" s="18" t="n">
        <f aca="false">SUMIF($A$2:$A$1200,$A438,$H$2:$H$1200)</f>
        <v>194</v>
      </c>
      <c r="N438" s="20" t="n">
        <f aca="false">IF(M438=0,"",L438/M438)</f>
        <v>0.561855670103093</v>
      </c>
      <c r="O438" s="20"/>
      <c r="P438" s="20" t="str">
        <f aca="false">IF(OR(N438="",O438=""),"",N438-O438)</f>
        <v/>
      </c>
      <c r="Q438" s="18"/>
    </row>
    <row r="439" customFormat="false" ht="15" hidden="false" customHeight="true" outlineLevel="0" collapsed="false">
      <c r="A439" s="18" t="s">
        <v>365</v>
      </c>
      <c r="B439" s="18" t="n">
        <v>8</v>
      </c>
      <c r="C439" s="18" t="s">
        <v>241</v>
      </c>
      <c r="D439" s="18" t="n">
        <v>-105</v>
      </c>
      <c r="E439" s="18" t="s">
        <v>313</v>
      </c>
      <c r="F439" s="18" t="s">
        <v>220</v>
      </c>
      <c r="G439" s="19" t="n">
        <v>39765</v>
      </c>
      <c r="H439" s="18" t="n">
        <v>19</v>
      </c>
      <c r="I439" s="18" t="n">
        <v>15</v>
      </c>
      <c r="J439" s="18" t="n">
        <f aca="false">SUMIFS($H$2:$H$1200,$A$2:$A$1200,$A439,$B$2:$B$1200,"&lt;="&amp;$B439)</f>
        <v>138</v>
      </c>
      <c r="K439" s="18" t="n">
        <f aca="false">SUMIFS($I$2:$I$1200,$A$2:$A$1200,$A439,$B$2:$B$1200,"&lt;="&amp;$B439)</f>
        <v>25</v>
      </c>
      <c r="L439" s="18" t="n">
        <f aca="false">J439-K439</f>
        <v>113</v>
      </c>
      <c r="M439" s="18" t="n">
        <f aca="false">SUMIF($A$2:$A$1200,$A439,$H$2:$H$1200)</f>
        <v>194</v>
      </c>
      <c r="N439" s="20" t="n">
        <f aca="false">IF(M439=0,"",L439/M439)</f>
        <v>0.582474226804124</v>
      </c>
      <c r="O439" s="20"/>
      <c r="P439" s="20" t="str">
        <f aca="false">IF(OR(N439="",O439=""),"",N439-O439)</f>
        <v/>
      </c>
      <c r="Q439" s="18"/>
    </row>
    <row r="440" customFormat="false" ht="15" hidden="false" customHeight="true" outlineLevel="0" collapsed="false">
      <c r="A440" s="18" t="s">
        <v>365</v>
      </c>
      <c r="B440" s="18" t="n">
        <v>9</v>
      </c>
      <c r="C440" s="18" t="s">
        <v>279</v>
      </c>
      <c r="D440" s="18" t="n">
        <v>-90</v>
      </c>
      <c r="E440" s="18" t="s">
        <v>313</v>
      </c>
      <c r="F440" s="18" t="s">
        <v>220</v>
      </c>
      <c r="G440" s="19" t="n">
        <v>39765</v>
      </c>
      <c r="H440" s="18" t="n">
        <v>11</v>
      </c>
      <c r="I440" s="18" t="n">
        <v>20</v>
      </c>
      <c r="J440" s="18" t="n">
        <f aca="false">SUMIFS($H$2:$H$1200,$A$2:$A$1200,$A440,$B$2:$B$1200,"&lt;="&amp;$B440)</f>
        <v>149</v>
      </c>
      <c r="K440" s="18" t="n">
        <f aca="false">SUMIFS($I$2:$I$1200,$A$2:$A$1200,$A440,$B$2:$B$1200,"&lt;="&amp;$B440)</f>
        <v>45</v>
      </c>
      <c r="L440" s="18" t="n">
        <f aca="false">J440-K440</f>
        <v>104</v>
      </c>
      <c r="M440" s="18" t="n">
        <f aca="false">SUMIF($A$2:$A$1200,$A440,$H$2:$H$1200)</f>
        <v>194</v>
      </c>
      <c r="N440" s="20" t="n">
        <f aca="false">IF(M440=0,"",L440/M440)</f>
        <v>0.536082474226804</v>
      </c>
      <c r="O440" s="20"/>
      <c r="P440" s="20" t="str">
        <f aca="false">IF(OR(N440="",O440=""),"",N440-O440)</f>
        <v/>
      </c>
      <c r="Q440" s="18"/>
    </row>
    <row r="441" customFormat="false" ht="15" hidden="false" customHeight="true" outlineLevel="0" collapsed="false">
      <c r="A441" s="18" t="s">
        <v>365</v>
      </c>
      <c r="B441" s="18" t="n">
        <v>10</v>
      </c>
      <c r="C441" s="18" t="s">
        <v>206</v>
      </c>
      <c r="D441" s="18" t="n">
        <v>-75</v>
      </c>
      <c r="E441" s="18" t="s">
        <v>313</v>
      </c>
      <c r="F441" s="18" t="s">
        <v>220</v>
      </c>
      <c r="G441" s="19" t="n">
        <v>39765</v>
      </c>
      <c r="H441" s="18" t="n">
        <v>11</v>
      </c>
      <c r="I441" s="18" t="n">
        <v>27</v>
      </c>
      <c r="J441" s="18" t="n">
        <f aca="false">SUMIFS($H$2:$H$1200,$A$2:$A$1200,$A441,$B$2:$B$1200,"&lt;="&amp;$B441)</f>
        <v>160</v>
      </c>
      <c r="K441" s="18" t="n">
        <f aca="false">SUMIFS($I$2:$I$1200,$A$2:$A$1200,$A441,$B$2:$B$1200,"&lt;="&amp;$B441)</f>
        <v>72</v>
      </c>
      <c r="L441" s="18" t="n">
        <f aca="false">J441-K441</f>
        <v>88</v>
      </c>
      <c r="M441" s="18" t="n">
        <f aca="false">SUMIF($A$2:$A$1200,$A441,$H$2:$H$1200)</f>
        <v>194</v>
      </c>
      <c r="N441" s="20" t="n">
        <f aca="false">IF(M441=0,"",L441/M441)</f>
        <v>0.45360824742268</v>
      </c>
      <c r="O441" s="20"/>
      <c r="P441" s="20" t="str">
        <f aca="false">IF(OR(N441="",O441=""),"",N441-O441)</f>
        <v/>
      </c>
      <c r="Q441" s="18"/>
    </row>
    <row r="442" customFormat="false" ht="15" hidden="false" customHeight="true" outlineLevel="0" collapsed="false">
      <c r="A442" s="18" t="s">
        <v>365</v>
      </c>
      <c r="B442" s="18" t="n">
        <v>11</v>
      </c>
      <c r="C442" s="18" t="s">
        <v>246</v>
      </c>
      <c r="D442" s="18" t="n">
        <v>-60</v>
      </c>
      <c r="E442" s="18" t="s">
        <v>313</v>
      </c>
      <c r="F442" s="18" t="s">
        <v>220</v>
      </c>
      <c r="G442" s="19" t="n">
        <v>39765</v>
      </c>
      <c r="H442" s="18" t="n">
        <v>14</v>
      </c>
      <c r="I442" s="18" t="n">
        <v>25</v>
      </c>
      <c r="J442" s="18" t="n">
        <f aca="false">SUMIFS($H$2:$H$1200,$A$2:$A$1200,$A442,$B$2:$B$1200,"&lt;="&amp;$B442)</f>
        <v>174</v>
      </c>
      <c r="K442" s="18" t="n">
        <f aca="false">SUMIFS($I$2:$I$1200,$A$2:$A$1200,$A442,$B$2:$B$1200,"&lt;="&amp;$B442)</f>
        <v>97</v>
      </c>
      <c r="L442" s="18" t="n">
        <f aca="false">J442-K442</f>
        <v>77</v>
      </c>
      <c r="M442" s="18" t="n">
        <f aca="false">SUMIF($A$2:$A$1200,$A442,$H$2:$H$1200)</f>
        <v>194</v>
      </c>
      <c r="N442" s="20" t="n">
        <f aca="false">IF(M442=0,"",L442/M442)</f>
        <v>0.396907216494845</v>
      </c>
      <c r="O442" s="20"/>
      <c r="P442" s="20" t="str">
        <f aca="false">IF(OR(N442="",O442=""),"",N442-O442)</f>
        <v/>
      </c>
      <c r="Q442" s="18"/>
    </row>
    <row r="443" customFormat="false" ht="15" hidden="false" customHeight="true" outlineLevel="0" collapsed="false">
      <c r="A443" s="18" t="s">
        <v>365</v>
      </c>
      <c r="B443" s="18" t="n">
        <v>12</v>
      </c>
      <c r="C443" s="18" t="s">
        <v>254</v>
      </c>
      <c r="D443" s="18" t="n">
        <v>-45</v>
      </c>
      <c r="E443" s="18" t="s">
        <v>313</v>
      </c>
      <c r="F443" s="18" t="s">
        <v>220</v>
      </c>
      <c r="G443" s="19" t="n">
        <v>39765</v>
      </c>
      <c r="H443" s="18" t="n">
        <v>5</v>
      </c>
      <c r="I443" s="18" t="n">
        <v>19</v>
      </c>
      <c r="J443" s="18" t="n">
        <f aca="false">SUMIFS($H$2:$H$1200,$A$2:$A$1200,$A443,$B$2:$B$1200,"&lt;="&amp;$B443)</f>
        <v>179</v>
      </c>
      <c r="K443" s="18" t="n">
        <f aca="false">SUMIFS($I$2:$I$1200,$A$2:$A$1200,$A443,$B$2:$B$1200,"&lt;="&amp;$B443)</f>
        <v>116</v>
      </c>
      <c r="L443" s="18" t="n">
        <f aca="false">J443-K443</f>
        <v>63</v>
      </c>
      <c r="M443" s="18" t="n">
        <f aca="false">SUMIF($A$2:$A$1200,$A443,$H$2:$H$1200)</f>
        <v>194</v>
      </c>
      <c r="N443" s="20" t="n">
        <f aca="false">IF(M443=0,"",L443/M443)</f>
        <v>0.324742268041237</v>
      </c>
      <c r="O443" s="20"/>
      <c r="P443" s="20" t="str">
        <f aca="false">IF(OR(N443="",O443=""),"",N443-O443)</f>
        <v/>
      </c>
      <c r="Q443" s="18"/>
    </row>
    <row r="444" customFormat="false" ht="15" hidden="false" customHeight="true" outlineLevel="0" collapsed="false">
      <c r="A444" s="18" t="s">
        <v>365</v>
      </c>
      <c r="B444" s="18" t="n">
        <v>13</v>
      </c>
      <c r="C444" s="18" t="s">
        <v>403</v>
      </c>
      <c r="D444" s="18" t="n">
        <v>-30</v>
      </c>
      <c r="E444" s="18" t="s">
        <v>313</v>
      </c>
      <c r="F444" s="18" t="s">
        <v>220</v>
      </c>
      <c r="G444" s="19" t="n">
        <v>39765</v>
      </c>
      <c r="H444" s="18" t="n">
        <v>6</v>
      </c>
      <c r="I444" s="18" t="n">
        <v>12</v>
      </c>
      <c r="J444" s="18" t="n">
        <f aca="false">SUMIFS($H$2:$H$1200,$A$2:$A$1200,$A444,$B$2:$B$1200,"&lt;="&amp;$B444)</f>
        <v>185</v>
      </c>
      <c r="K444" s="18" t="n">
        <f aca="false">SUMIFS($I$2:$I$1200,$A$2:$A$1200,$A444,$B$2:$B$1200,"&lt;="&amp;$B444)</f>
        <v>128</v>
      </c>
      <c r="L444" s="18" t="n">
        <f aca="false">J444-K444</f>
        <v>57</v>
      </c>
      <c r="M444" s="18" t="n">
        <f aca="false">SUMIF($A$2:$A$1200,$A444,$H$2:$H$1200)</f>
        <v>194</v>
      </c>
      <c r="N444" s="20" t="n">
        <f aca="false">IF(M444=0,"",L444/M444)</f>
        <v>0.293814432989691</v>
      </c>
      <c r="O444" s="20"/>
      <c r="P444" s="20" t="str">
        <f aca="false">IF(OR(N444="",O444=""),"",N444-O444)</f>
        <v/>
      </c>
      <c r="Q444" s="18"/>
    </row>
    <row r="445" customFormat="false" ht="15" hidden="false" customHeight="true" outlineLevel="0" collapsed="false">
      <c r="A445" s="18" t="s">
        <v>365</v>
      </c>
      <c r="B445" s="18" t="n">
        <v>14</v>
      </c>
      <c r="C445" s="18" t="s">
        <v>529</v>
      </c>
      <c r="D445" s="18" t="n">
        <v>-15</v>
      </c>
      <c r="E445" s="18" t="s">
        <v>313</v>
      </c>
      <c r="F445" s="18" t="s">
        <v>220</v>
      </c>
      <c r="G445" s="19" t="n">
        <v>39765</v>
      </c>
      <c r="H445" s="18" t="n">
        <v>5</v>
      </c>
      <c r="I445" s="18" t="n">
        <v>10</v>
      </c>
      <c r="J445" s="18" t="n">
        <f aca="false">SUMIFS($H$2:$H$1200,$A$2:$A$1200,$A445,$B$2:$B$1200,"&lt;="&amp;$B445)</f>
        <v>190</v>
      </c>
      <c r="K445" s="18" t="n">
        <f aca="false">SUMIFS($I$2:$I$1200,$A$2:$A$1200,$A445,$B$2:$B$1200,"&lt;="&amp;$B445)</f>
        <v>138</v>
      </c>
      <c r="L445" s="18" t="n">
        <f aca="false">J445-K445</f>
        <v>52</v>
      </c>
      <c r="M445" s="18" t="n">
        <f aca="false">SUMIF($A$2:$A$1200,$A445,$H$2:$H$1200)</f>
        <v>194</v>
      </c>
      <c r="N445" s="20" t="n">
        <f aca="false">IF(M445=0,"",L445/M445)</f>
        <v>0.268041237113402</v>
      </c>
      <c r="O445" s="20"/>
      <c r="P445" s="20" t="str">
        <f aca="false">IF(OR(N445="",O445=""),"",N445-O445)</f>
        <v/>
      </c>
      <c r="Q445" s="18"/>
    </row>
    <row r="446" customFormat="false" ht="15" hidden="false" customHeight="true" outlineLevel="0" collapsed="false">
      <c r="A446" s="18" t="s">
        <v>365</v>
      </c>
      <c r="B446" s="18" t="n">
        <v>15</v>
      </c>
      <c r="C446" s="18" t="s">
        <v>463</v>
      </c>
      <c r="D446" s="18" t="n">
        <v>0</v>
      </c>
      <c r="E446" s="18" t="s">
        <v>313</v>
      </c>
      <c r="F446" s="18" t="s">
        <v>220</v>
      </c>
      <c r="G446" s="19" t="n">
        <v>39765</v>
      </c>
      <c r="H446" s="18" t="n">
        <v>3</v>
      </c>
      <c r="I446" s="18" t="n">
        <v>17</v>
      </c>
      <c r="J446" s="18" t="n">
        <f aca="false">SUMIFS($H$2:$H$1200,$A$2:$A$1200,$A446,$B$2:$B$1200,"&lt;="&amp;$B446)</f>
        <v>193</v>
      </c>
      <c r="K446" s="18" t="n">
        <f aca="false">SUMIFS($I$2:$I$1200,$A$2:$A$1200,$A446,$B$2:$B$1200,"&lt;="&amp;$B446)</f>
        <v>155</v>
      </c>
      <c r="L446" s="18" t="n">
        <f aca="false">J446-K446</f>
        <v>38</v>
      </c>
      <c r="M446" s="18" t="n">
        <f aca="false">SUMIF($A$2:$A$1200,$A446,$H$2:$H$1200)</f>
        <v>194</v>
      </c>
      <c r="N446" s="20" t="n">
        <f aca="false">IF(M446=0,"",L446/M446)</f>
        <v>0.195876288659794</v>
      </c>
      <c r="O446" s="20"/>
      <c r="P446" s="20" t="str">
        <f aca="false">IF(OR(N446="",O446=""),"",N446-O446)</f>
        <v/>
      </c>
      <c r="Q446" s="18"/>
    </row>
    <row r="447" customFormat="false" ht="15" hidden="false" customHeight="true" outlineLevel="0" collapsed="false">
      <c r="A447" s="18" t="s">
        <v>365</v>
      </c>
      <c r="B447" s="18" t="n">
        <v>16</v>
      </c>
      <c r="C447" s="18" t="s">
        <v>366</v>
      </c>
      <c r="D447" s="18" t="n">
        <v>15</v>
      </c>
      <c r="E447" s="18" t="s">
        <v>313</v>
      </c>
      <c r="F447" s="18" t="s">
        <v>220</v>
      </c>
      <c r="G447" s="19" t="n">
        <v>39765</v>
      </c>
      <c r="H447" s="18" t="n">
        <v>1</v>
      </c>
      <c r="I447" s="18" t="n">
        <v>7</v>
      </c>
      <c r="J447" s="18" t="n">
        <f aca="false">SUMIFS($H$2:$H$1200,$A$2:$A$1200,$A447,$B$2:$B$1200,"&lt;="&amp;$B447)</f>
        <v>194</v>
      </c>
      <c r="K447" s="18" t="n">
        <f aca="false">SUMIFS($I$2:$I$1200,$A$2:$A$1200,$A447,$B$2:$B$1200,"&lt;="&amp;$B447)</f>
        <v>162</v>
      </c>
      <c r="L447" s="18" t="n">
        <f aca="false">J447-K447</f>
        <v>32</v>
      </c>
      <c r="M447" s="18" t="n">
        <f aca="false">SUMIF($A$2:$A$1200,$A447,$H$2:$H$1200)</f>
        <v>194</v>
      </c>
      <c r="N447" s="20" t="n">
        <f aca="false">IF(M447=0,"",L447/M447)</f>
        <v>0.164948453608247</v>
      </c>
      <c r="O447" s="20"/>
      <c r="P447" s="20" t="str">
        <f aca="false">IF(OR(N447="",O447=""),"",N447-O447)</f>
        <v/>
      </c>
      <c r="Q447" s="18"/>
    </row>
    <row r="448" customFormat="false" ht="15" hidden="false" customHeight="true" outlineLevel="0" collapsed="false">
      <c r="A448" s="18" t="s">
        <v>370</v>
      </c>
      <c r="B448" s="18" t="n">
        <v>0</v>
      </c>
      <c r="C448" s="18" t="s">
        <v>204</v>
      </c>
      <c r="D448" s="18"/>
      <c r="E448" s="18" t="s">
        <v>313</v>
      </c>
      <c r="F448" s="18" t="s">
        <v>220</v>
      </c>
      <c r="G448" s="19" t="n">
        <v>39765</v>
      </c>
      <c r="H448" s="18" t="n">
        <v>27</v>
      </c>
      <c r="I448" s="18" t="n">
        <v>0</v>
      </c>
      <c r="J448" s="18" t="n">
        <f aca="false">SUMIFS($H$2:$H$1200,$A$2:$A$1200,$A448,$B$2:$B$1200,"&lt;="&amp;$B448)</f>
        <v>27</v>
      </c>
      <c r="K448" s="18" t="n">
        <f aca="false">SUMIFS($I$2:$I$1200,$A$2:$A$1200,$A448,$B$2:$B$1200,"&lt;="&amp;$B448)</f>
        <v>0</v>
      </c>
      <c r="L448" s="18" t="n">
        <f aca="false">J448-K448</f>
        <v>27</v>
      </c>
      <c r="M448" s="18" t="n">
        <f aca="false">SUMIF($A$2:$A$1200,$A448,$H$2:$H$1200)</f>
        <v>194</v>
      </c>
      <c r="N448" s="20" t="n">
        <f aca="false">IF(M448=0,"",L448/M448)</f>
        <v>0.139175257731959</v>
      </c>
      <c r="O448" s="20" t="n">
        <v>0.139175257731959</v>
      </c>
      <c r="P448" s="20" t="n">
        <f aca="false">IF(OR(N448="",O448=""),"",N448-O448)</f>
        <v>0</v>
      </c>
      <c r="Q448" s="21" t="s">
        <v>530</v>
      </c>
    </row>
    <row r="449" customFormat="false" ht="15" hidden="false" customHeight="true" outlineLevel="0" collapsed="false">
      <c r="A449" s="18" t="s">
        <v>370</v>
      </c>
      <c r="B449" s="18" t="n">
        <v>3</v>
      </c>
      <c r="C449" s="18" t="s">
        <v>525</v>
      </c>
      <c r="D449" s="18" t="n">
        <v>-180</v>
      </c>
      <c r="E449" s="18" t="s">
        <v>313</v>
      </c>
      <c r="F449" s="18" t="s">
        <v>220</v>
      </c>
      <c r="G449" s="19" t="n">
        <v>39765</v>
      </c>
      <c r="H449" s="18" t="n">
        <v>17</v>
      </c>
      <c r="I449" s="18" t="n">
        <v>1</v>
      </c>
      <c r="J449" s="18" t="n">
        <f aca="false">SUMIFS($H$2:$H$1200,$A$2:$A$1200,$A449,$B$2:$B$1200,"&lt;="&amp;$B449)</f>
        <v>44</v>
      </c>
      <c r="K449" s="18" t="n">
        <f aca="false">SUMIFS($I$2:$I$1200,$A$2:$A$1200,$A449,$B$2:$B$1200,"&lt;="&amp;$B449)</f>
        <v>1</v>
      </c>
      <c r="L449" s="18" t="n">
        <f aca="false">J449-K449</f>
        <v>43</v>
      </c>
      <c r="M449" s="18" t="n">
        <f aca="false">SUMIF($A$2:$A$1200,$A449,$H$2:$H$1200)</f>
        <v>194</v>
      </c>
      <c r="N449" s="20" t="n">
        <f aca="false">IF(M449=0,"",L449/M449)</f>
        <v>0.221649484536082</v>
      </c>
      <c r="O449" s="20" t="n">
        <v>0.221649484536083</v>
      </c>
      <c r="P449" s="20" t="n">
        <f aca="false">IF(OR(N449="",O449=""),"",N449-O449)</f>
        <v>0</v>
      </c>
      <c r="Q449" s="18"/>
    </row>
    <row r="450" customFormat="false" ht="15" hidden="false" customHeight="true" outlineLevel="0" collapsed="false">
      <c r="A450" s="18" t="s">
        <v>370</v>
      </c>
      <c r="B450" s="18" t="n">
        <v>4</v>
      </c>
      <c r="C450" s="18" t="s">
        <v>526</v>
      </c>
      <c r="D450" s="18" t="n">
        <v>-165</v>
      </c>
      <c r="E450" s="18" t="s">
        <v>313</v>
      </c>
      <c r="F450" s="18" t="s">
        <v>220</v>
      </c>
      <c r="G450" s="19" t="n">
        <v>39765</v>
      </c>
      <c r="H450" s="18" t="n">
        <v>17</v>
      </c>
      <c r="I450" s="18" t="n">
        <v>1</v>
      </c>
      <c r="J450" s="18" t="n">
        <f aca="false">SUMIFS($H$2:$H$1200,$A$2:$A$1200,$A450,$B$2:$B$1200,"&lt;="&amp;$B450)</f>
        <v>61</v>
      </c>
      <c r="K450" s="18" t="n">
        <f aca="false">SUMIFS($I$2:$I$1200,$A$2:$A$1200,$A450,$B$2:$B$1200,"&lt;="&amp;$B450)</f>
        <v>2</v>
      </c>
      <c r="L450" s="18" t="n">
        <f aca="false">J450-K450</f>
        <v>59</v>
      </c>
      <c r="M450" s="18" t="n">
        <f aca="false">SUMIF($A$2:$A$1200,$A450,$H$2:$H$1200)</f>
        <v>194</v>
      </c>
      <c r="N450" s="20" t="n">
        <f aca="false">IF(M450=0,"",L450/M450)</f>
        <v>0.304123711340206</v>
      </c>
      <c r="O450" s="20" t="n">
        <v>0.304123711340206</v>
      </c>
      <c r="P450" s="20" t="n">
        <f aca="false">IF(OR(N450="",O450=""),"",N450-O450)</f>
        <v>0</v>
      </c>
      <c r="Q450" s="18"/>
    </row>
    <row r="451" customFormat="false" ht="15" hidden="false" customHeight="true" outlineLevel="0" collapsed="false">
      <c r="A451" s="18" t="s">
        <v>370</v>
      </c>
      <c r="B451" s="18" t="n">
        <v>5</v>
      </c>
      <c r="C451" s="18" t="s">
        <v>527</v>
      </c>
      <c r="D451" s="18" t="n">
        <v>-150</v>
      </c>
      <c r="E451" s="18" t="s">
        <v>313</v>
      </c>
      <c r="F451" s="18" t="s">
        <v>220</v>
      </c>
      <c r="G451" s="19" t="n">
        <v>39765</v>
      </c>
      <c r="H451" s="18" t="n">
        <v>18</v>
      </c>
      <c r="I451" s="18" t="n">
        <v>0</v>
      </c>
      <c r="J451" s="18" t="n">
        <f aca="false">SUMIFS($H$2:$H$1200,$A$2:$A$1200,$A451,$B$2:$B$1200,"&lt;="&amp;$B451)</f>
        <v>79</v>
      </c>
      <c r="K451" s="18" t="n">
        <f aca="false">SUMIFS($I$2:$I$1200,$A$2:$A$1200,$A451,$B$2:$B$1200,"&lt;="&amp;$B451)</f>
        <v>2</v>
      </c>
      <c r="L451" s="18" t="n">
        <f aca="false">J451-K451</f>
        <v>77</v>
      </c>
      <c r="M451" s="18" t="n">
        <f aca="false">SUMIF($A$2:$A$1200,$A451,$H$2:$H$1200)</f>
        <v>194</v>
      </c>
      <c r="N451" s="20" t="n">
        <f aca="false">IF(M451=0,"",L451/M451)</f>
        <v>0.396907216494845</v>
      </c>
      <c r="O451" s="20" t="n">
        <v>0.396907216494845</v>
      </c>
      <c r="P451" s="20" t="n">
        <f aca="false">IF(OR(N451="",O451=""),"",N451-O451)</f>
        <v>0</v>
      </c>
      <c r="Q451" s="18"/>
    </row>
    <row r="452" customFormat="false" ht="15" hidden="false" customHeight="true" outlineLevel="0" collapsed="false">
      <c r="A452" s="18" t="s">
        <v>370</v>
      </c>
      <c r="B452" s="18" t="n">
        <v>6</v>
      </c>
      <c r="C452" s="18" t="s">
        <v>528</v>
      </c>
      <c r="D452" s="18" t="n">
        <v>-135</v>
      </c>
      <c r="E452" s="18" t="s">
        <v>313</v>
      </c>
      <c r="F452" s="18" t="s">
        <v>220</v>
      </c>
      <c r="G452" s="19" t="n">
        <v>39765</v>
      </c>
      <c r="H452" s="18" t="n">
        <v>22</v>
      </c>
      <c r="I452" s="18" t="n">
        <v>2</v>
      </c>
      <c r="J452" s="18" t="n">
        <f aca="false">SUMIFS($H$2:$H$1200,$A$2:$A$1200,$A452,$B$2:$B$1200,"&lt;="&amp;$B452)</f>
        <v>101</v>
      </c>
      <c r="K452" s="18" t="n">
        <f aca="false">SUMIFS($I$2:$I$1200,$A$2:$A$1200,$A452,$B$2:$B$1200,"&lt;="&amp;$B452)</f>
        <v>4</v>
      </c>
      <c r="L452" s="18" t="n">
        <f aca="false">J452-K452</f>
        <v>97</v>
      </c>
      <c r="M452" s="18" t="n">
        <f aca="false">SUMIF($A$2:$A$1200,$A452,$H$2:$H$1200)</f>
        <v>194</v>
      </c>
      <c r="N452" s="20" t="n">
        <f aca="false">IF(M452=0,"",L452/M452)</f>
        <v>0.5</v>
      </c>
      <c r="O452" s="20" t="n">
        <v>0.5</v>
      </c>
      <c r="P452" s="20" t="n">
        <f aca="false">IF(OR(N452="",O452=""),"",N452-O452)</f>
        <v>0</v>
      </c>
      <c r="Q452" s="18"/>
    </row>
    <row r="453" customFormat="false" ht="15" hidden="false" customHeight="true" outlineLevel="0" collapsed="false">
      <c r="A453" s="18" t="s">
        <v>370</v>
      </c>
      <c r="B453" s="18" t="n">
        <v>7</v>
      </c>
      <c r="C453" s="18" t="s">
        <v>227</v>
      </c>
      <c r="D453" s="18" t="n">
        <v>-120</v>
      </c>
      <c r="E453" s="18" t="s">
        <v>313</v>
      </c>
      <c r="F453" s="18" t="s">
        <v>220</v>
      </c>
      <c r="G453" s="19" t="n">
        <v>39765</v>
      </c>
      <c r="H453" s="18" t="n">
        <v>18</v>
      </c>
      <c r="I453" s="18" t="n">
        <v>6</v>
      </c>
      <c r="J453" s="18" t="n">
        <f aca="false">SUMIFS($H$2:$H$1200,$A$2:$A$1200,$A453,$B$2:$B$1200,"&lt;="&amp;$B453)</f>
        <v>119</v>
      </c>
      <c r="K453" s="18" t="n">
        <f aca="false">SUMIFS($I$2:$I$1200,$A$2:$A$1200,$A453,$B$2:$B$1200,"&lt;="&amp;$B453)</f>
        <v>10</v>
      </c>
      <c r="L453" s="18" t="n">
        <f aca="false">J453-K453</f>
        <v>109</v>
      </c>
      <c r="M453" s="18" t="n">
        <f aca="false">SUMIF($A$2:$A$1200,$A453,$H$2:$H$1200)</f>
        <v>194</v>
      </c>
      <c r="N453" s="20" t="n">
        <f aca="false">IF(M453=0,"",L453/M453)</f>
        <v>0.561855670103093</v>
      </c>
      <c r="O453" s="20" t="n">
        <v>0.561855670103093</v>
      </c>
      <c r="P453" s="20" t="n">
        <f aca="false">IF(OR(N453="",O453=""),"",N453-O453)</f>
        <v>0</v>
      </c>
      <c r="Q453" s="18"/>
    </row>
    <row r="454" customFormat="false" ht="15" hidden="false" customHeight="true" outlineLevel="0" collapsed="false">
      <c r="A454" s="18" t="s">
        <v>370</v>
      </c>
      <c r="B454" s="18" t="n">
        <v>8</v>
      </c>
      <c r="C454" s="18" t="s">
        <v>241</v>
      </c>
      <c r="D454" s="18" t="n">
        <v>-105</v>
      </c>
      <c r="E454" s="18" t="s">
        <v>313</v>
      </c>
      <c r="F454" s="18" t="s">
        <v>220</v>
      </c>
      <c r="G454" s="19" t="n">
        <v>39765</v>
      </c>
      <c r="H454" s="18" t="n">
        <v>19</v>
      </c>
      <c r="I454" s="18" t="n">
        <v>15</v>
      </c>
      <c r="J454" s="18" t="n">
        <f aca="false">SUMIFS($H$2:$H$1200,$A$2:$A$1200,$A454,$B$2:$B$1200,"&lt;="&amp;$B454)</f>
        <v>138</v>
      </c>
      <c r="K454" s="18" t="n">
        <f aca="false">SUMIFS($I$2:$I$1200,$A$2:$A$1200,$A454,$B$2:$B$1200,"&lt;="&amp;$B454)</f>
        <v>25</v>
      </c>
      <c r="L454" s="18" t="n">
        <f aca="false">J454-K454</f>
        <v>113</v>
      </c>
      <c r="M454" s="18" t="n">
        <f aca="false">SUMIF($A$2:$A$1200,$A454,$H$2:$H$1200)</f>
        <v>194</v>
      </c>
      <c r="N454" s="20" t="n">
        <f aca="false">IF(M454=0,"",L454/M454)</f>
        <v>0.582474226804124</v>
      </c>
      <c r="O454" s="20" t="n">
        <v>0.582474226804124</v>
      </c>
      <c r="P454" s="20" t="n">
        <f aca="false">IF(OR(N454="",O454=""),"",N454-O454)</f>
        <v>0</v>
      </c>
      <c r="Q454" s="18"/>
    </row>
    <row r="455" customFormat="false" ht="15" hidden="false" customHeight="true" outlineLevel="0" collapsed="false">
      <c r="A455" s="18" t="s">
        <v>370</v>
      </c>
      <c r="B455" s="18" t="n">
        <v>9</v>
      </c>
      <c r="C455" s="18" t="s">
        <v>279</v>
      </c>
      <c r="D455" s="18" t="n">
        <v>-90</v>
      </c>
      <c r="E455" s="18" t="s">
        <v>313</v>
      </c>
      <c r="F455" s="18" t="s">
        <v>220</v>
      </c>
      <c r="G455" s="19" t="n">
        <v>39765</v>
      </c>
      <c r="H455" s="18" t="n">
        <v>11</v>
      </c>
      <c r="I455" s="18" t="n">
        <v>20</v>
      </c>
      <c r="J455" s="18" t="n">
        <f aca="false">SUMIFS($H$2:$H$1200,$A$2:$A$1200,$A455,$B$2:$B$1200,"&lt;="&amp;$B455)</f>
        <v>149</v>
      </c>
      <c r="K455" s="18" t="n">
        <f aca="false">SUMIFS($I$2:$I$1200,$A$2:$A$1200,$A455,$B$2:$B$1200,"&lt;="&amp;$B455)</f>
        <v>45</v>
      </c>
      <c r="L455" s="18" t="n">
        <f aca="false">J455-K455</f>
        <v>104</v>
      </c>
      <c r="M455" s="18" t="n">
        <f aca="false">SUMIF($A$2:$A$1200,$A455,$H$2:$H$1200)</f>
        <v>194</v>
      </c>
      <c r="N455" s="20" t="n">
        <f aca="false">IF(M455=0,"",L455/M455)</f>
        <v>0.536082474226804</v>
      </c>
      <c r="O455" s="20" t="n">
        <v>0.536082474226804</v>
      </c>
      <c r="P455" s="20" t="n">
        <f aca="false">IF(OR(N455="",O455=""),"",N455-O455)</f>
        <v>0</v>
      </c>
      <c r="Q455" s="18"/>
    </row>
    <row r="456" customFormat="false" ht="15" hidden="false" customHeight="true" outlineLevel="0" collapsed="false">
      <c r="A456" s="18" t="s">
        <v>370</v>
      </c>
      <c r="B456" s="18" t="n">
        <v>10</v>
      </c>
      <c r="C456" s="18" t="s">
        <v>206</v>
      </c>
      <c r="D456" s="18" t="n">
        <v>-75</v>
      </c>
      <c r="E456" s="18" t="s">
        <v>313</v>
      </c>
      <c r="F456" s="18" t="s">
        <v>220</v>
      </c>
      <c r="G456" s="19" t="n">
        <v>39765</v>
      </c>
      <c r="H456" s="18" t="n">
        <v>11</v>
      </c>
      <c r="I456" s="18" t="n">
        <v>27</v>
      </c>
      <c r="J456" s="18" t="n">
        <f aca="false">SUMIFS($H$2:$H$1200,$A$2:$A$1200,$A456,$B$2:$B$1200,"&lt;="&amp;$B456)</f>
        <v>160</v>
      </c>
      <c r="K456" s="18" t="n">
        <f aca="false">SUMIFS($I$2:$I$1200,$A$2:$A$1200,$A456,$B$2:$B$1200,"&lt;="&amp;$B456)</f>
        <v>72</v>
      </c>
      <c r="L456" s="18" t="n">
        <f aca="false">J456-K456</f>
        <v>88</v>
      </c>
      <c r="M456" s="18" t="n">
        <f aca="false">SUMIF($A$2:$A$1200,$A456,$H$2:$H$1200)</f>
        <v>194</v>
      </c>
      <c r="N456" s="20" t="n">
        <f aca="false">IF(M456=0,"",L456/M456)</f>
        <v>0.45360824742268</v>
      </c>
      <c r="O456" s="20" t="n">
        <v>0.45360824742268</v>
      </c>
      <c r="P456" s="20" t="n">
        <f aca="false">IF(OR(N456="",O456=""),"",N456-O456)</f>
        <v>0</v>
      </c>
      <c r="Q456" s="18"/>
    </row>
    <row r="457" customFormat="false" ht="15" hidden="false" customHeight="true" outlineLevel="0" collapsed="false">
      <c r="A457" s="18" t="s">
        <v>370</v>
      </c>
      <c r="B457" s="18" t="n">
        <v>11</v>
      </c>
      <c r="C457" s="18" t="s">
        <v>246</v>
      </c>
      <c r="D457" s="18" t="n">
        <v>-60</v>
      </c>
      <c r="E457" s="18" t="s">
        <v>313</v>
      </c>
      <c r="F457" s="18" t="s">
        <v>220</v>
      </c>
      <c r="G457" s="19" t="n">
        <v>39765</v>
      </c>
      <c r="H457" s="18" t="n">
        <v>14</v>
      </c>
      <c r="I457" s="18" t="n">
        <v>25</v>
      </c>
      <c r="J457" s="18" t="n">
        <f aca="false">SUMIFS($H$2:$H$1200,$A$2:$A$1200,$A457,$B$2:$B$1200,"&lt;="&amp;$B457)</f>
        <v>174</v>
      </c>
      <c r="K457" s="18" t="n">
        <f aca="false">SUMIFS($I$2:$I$1200,$A$2:$A$1200,$A457,$B$2:$B$1200,"&lt;="&amp;$B457)</f>
        <v>97</v>
      </c>
      <c r="L457" s="18" t="n">
        <f aca="false">J457-K457</f>
        <v>77</v>
      </c>
      <c r="M457" s="18" t="n">
        <f aca="false">SUMIF($A$2:$A$1200,$A457,$H$2:$H$1200)</f>
        <v>194</v>
      </c>
      <c r="N457" s="20" t="n">
        <f aca="false">IF(M457=0,"",L457/M457)</f>
        <v>0.396907216494845</v>
      </c>
      <c r="O457" s="20" t="n">
        <v>0.396907216494845</v>
      </c>
      <c r="P457" s="20" t="n">
        <f aca="false">IF(OR(N457="",O457=""),"",N457-O457)</f>
        <v>0</v>
      </c>
      <c r="Q457" s="18"/>
    </row>
    <row r="458" customFormat="false" ht="15" hidden="false" customHeight="true" outlineLevel="0" collapsed="false">
      <c r="A458" s="18" t="s">
        <v>370</v>
      </c>
      <c r="B458" s="18" t="n">
        <v>12</v>
      </c>
      <c r="C458" s="18" t="s">
        <v>254</v>
      </c>
      <c r="D458" s="18" t="n">
        <v>-45</v>
      </c>
      <c r="E458" s="18" t="s">
        <v>313</v>
      </c>
      <c r="F458" s="18" t="s">
        <v>220</v>
      </c>
      <c r="G458" s="19" t="n">
        <v>39765</v>
      </c>
      <c r="H458" s="18" t="n">
        <v>5</v>
      </c>
      <c r="I458" s="18" t="n">
        <v>19</v>
      </c>
      <c r="J458" s="18" t="n">
        <f aca="false">SUMIFS($H$2:$H$1200,$A$2:$A$1200,$A458,$B$2:$B$1200,"&lt;="&amp;$B458)</f>
        <v>179</v>
      </c>
      <c r="K458" s="18" t="n">
        <f aca="false">SUMIFS($I$2:$I$1200,$A$2:$A$1200,$A458,$B$2:$B$1200,"&lt;="&amp;$B458)</f>
        <v>116</v>
      </c>
      <c r="L458" s="18" t="n">
        <f aca="false">J458-K458</f>
        <v>63</v>
      </c>
      <c r="M458" s="18" t="n">
        <f aca="false">SUMIF($A$2:$A$1200,$A458,$H$2:$H$1200)</f>
        <v>194</v>
      </c>
      <c r="N458" s="20" t="n">
        <f aca="false">IF(M458=0,"",L458/M458)</f>
        <v>0.324742268041237</v>
      </c>
      <c r="O458" s="20" t="n">
        <v>0.324742268041237</v>
      </c>
      <c r="P458" s="20" t="n">
        <f aca="false">IF(OR(N458="",O458=""),"",N458-O458)</f>
        <v>0</v>
      </c>
      <c r="Q458" s="18"/>
    </row>
    <row r="459" customFormat="false" ht="15" hidden="false" customHeight="true" outlineLevel="0" collapsed="false">
      <c r="A459" s="18" t="s">
        <v>370</v>
      </c>
      <c r="B459" s="18" t="n">
        <v>13</v>
      </c>
      <c r="C459" s="18" t="s">
        <v>403</v>
      </c>
      <c r="D459" s="18" t="n">
        <v>-30</v>
      </c>
      <c r="E459" s="18" t="s">
        <v>313</v>
      </c>
      <c r="F459" s="18" t="s">
        <v>220</v>
      </c>
      <c r="G459" s="19" t="n">
        <v>39765</v>
      </c>
      <c r="H459" s="18" t="n">
        <v>6</v>
      </c>
      <c r="I459" s="18" t="n">
        <v>12</v>
      </c>
      <c r="J459" s="18" t="n">
        <f aca="false">SUMIFS($H$2:$H$1200,$A$2:$A$1200,$A459,$B$2:$B$1200,"&lt;="&amp;$B459)</f>
        <v>185</v>
      </c>
      <c r="K459" s="18" t="n">
        <f aca="false">SUMIFS($I$2:$I$1200,$A$2:$A$1200,$A459,$B$2:$B$1200,"&lt;="&amp;$B459)</f>
        <v>128</v>
      </c>
      <c r="L459" s="18" t="n">
        <f aca="false">J459-K459</f>
        <v>57</v>
      </c>
      <c r="M459" s="18" t="n">
        <f aca="false">SUMIF($A$2:$A$1200,$A459,$H$2:$H$1200)</f>
        <v>194</v>
      </c>
      <c r="N459" s="20" t="n">
        <f aca="false">IF(M459=0,"",L459/M459)</f>
        <v>0.293814432989691</v>
      </c>
      <c r="O459" s="20" t="n">
        <v>0.293814432989691</v>
      </c>
      <c r="P459" s="20" t="n">
        <f aca="false">IF(OR(N459="",O459=""),"",N459-O459)</f>
        <v>0</v>
      </c>
      <c r="Q459" s="18"/>
    </row>
    <row r="460" customFormat="false" ht="15" hidden="false" customHeight="true" outlineLevel="0" collapsed="false">
      <c r="A460" s="18" t="s">
        <v>370</v>
      </c>
      <c r="B460" s="18" t="n">
        <v>14</v>
      </c>
      <c r="C460" s="18" t="s">
        <v>529</v>
      </c>
      <c r="D460" s="18" t="n">
        <v>-15</v>
      </c>
      <c r="E460" s="18" t="s">
        <v>313</v>
      </c>
      <c r="F460" s="18" t="s">
        <v>220</v>
      </c>
      <c r="G460" s="19" t="n">
        <v>39765</v>
      </c>
      <c r="H460" s="18" t="n">
        <v>5</v>
      </c>
      <c r="I460" s="18" t="n">
        <v>10</v>
      </c>
      <c r="J460" s="18" t="n">
        <f aca="false">SUMIFS($H$2:$H$1200,$A$2:$A$1200,$A460,$B$2:$B$1200,"&lt;="&amp;$B460)</f>
        <v>190</v>
      </c>
      <c r="K460" s="18" t="n">
        <f aca="false">SUMIFS($I$2:$I$1200,$A$2:$A$1200,$A460,$B$2:$B$1200,"&lt;="&amp;$B460)</f>
        <v>138</v>
      </c>
      <c r="L460" s="18" t="n">
        <f aca="false">J460-K460</f>
        <v>52</v>
      </c>
      <c r="M460" s="18" t="n">
        <f aca="false">SUMIF($A$2:$A$1200,$A460,$H$2:$H$1200)</f>
        <v>194</v>
      </c>
      <c r="N460" s="20" t="n">
        <f aca="false">IF(M460=0,"",L460/M460)</f>
        <v>0.268041237113402</v>
      </c>
      <c r="O460" s="20" t="n">
        <v>0.268041237113402</v>
      </c>
      <c r="P460" s="20" t="n">
        <f aca="false">IF(OR(N460="",O460=""),"",N460-O460)</f>
        <v>0</v>
      </c>
      <c r="Q460" s="18"/>
    </row>
    <row r="461" customFormat="false" ht="15" hidden="false" customHeight="true" outlineLevel="0" collapsed="false">
      <c r="A461" s="18" t="s">
        <v>370</v>
      </c>
      <c r="B461" s="18" t="n">
        <v>15</v>
      </c>
      <c r="C461" s="18" t="s">
        <v>463</v>
      </c>
      <c r="D461" s="18" t="n">
        <v>0</v>
      </c>
      <c r="E461" s="18" t="s">
        <v>313</v>
      </c>
      <c r="F461" s="18" t="s">
        <v>220</v>
      </c>
      <c r="G461" s="19" t="n">
        <v>39765</v>
      </c>
      <c r="H461" s="18" t="n">
        <v>3</v>
      </c>
      <c r="I461" s="18" t="n">
        <v>17</v>
      </c>
      <c r="J461" s="18" t="n">
        <f aca="false">SUMIFS($H$2:$H$1200,$A$2:$A$1200,$A461,$B$2:$B$1200,"&lt;="&amp;$B461)</f>
        <v>193</v>
      </c>
      <c r="K461" s="18" t="n">
        <f aca="false">SUMIFS($I$2:$I$1200,$A$2:$A$1200,$A461,$B$2:$B$1200,"&lt;="&amp;$B461)</f>
        <v>155</v>
      </c>
      <c r="L461" s="18" t="n">
        <f aca="false">J461-K461</f>
        <v>38</v>
      </c>
      <c r="M461" s="18" t="n">
        <f aca="false">SUMIF($A$2:$A$1200,$A461,$H$2:$H$1200)</f>
        <v>194</v>
      </c>
      <c r="N461" s="20" t="n">
        <f aca="false">IF(M461=0,"",L461/M461)</f>
        <v>0.195876288659794</v>
      </c>
      <c r="O461" s="20" t="n">
        <v>0.195876288659794</v>
      </c>
      <c r="P461" s="20" t="n">
        <f aca="false">IF(OR(N461="",O461=""),"",N461-O461)</f>
        <v>0</v>
      </c>
      <c r="Q461" s="18"/>
    </row>
    <row r="462" customFormat="false" ht="15" hidden="false" customHeight="true" outlineLevel="0" collapsed="false">
      <c r="A462" s="18" t="s">
        <v>370</v>
      </c>
      <c r="B462" s="18" t="n">
        <v>16</v>
      </c>
      <c r="C462" s="18" t="s">
        <v>366</v>
      </c>
      <c r="D462" s="18" t="n">
        <v>15</v>
      </c>
      <c r="E462" s="18" t="s">
        <v>313</v>
      </c>
      <c r="F462" s="18" t="s">
        <v>220</v>
      </c>
      <c r="G462" s="19" t="n">
        <v>39765</v>
      </c>
      <c r="H462" s="18" t="n">
        <v>1</v>
      </c>
      <c r="I462" s="18" t="n">
        <v>7</v>
      </c>
      <c r="J462" s="18" t="n">
        <f aca="false">SUMIFS($H$2:$H$1200,$A$2:$A$1200,$A462,$B$2:$B$1200,"&lt;="&amp;$B462)</f>
        <v>194</v>
      </c>
      <c r="K462" s="18" t="n">
        <f aca="false">SUMIFS($I$2:$I$1200,$A$2:$A$1200,$A462,$B$2:$B$1200,"&lt;="&amp;$B462)</f>
        <v>162</v>
      </c>
      <c r="L462" s="18" t="n">
        <f aca="false">J462-K462</f>
        <v>32</v>
      </c>
      <c r="M462" s="18" t="n">
        <f aca="false">SUMIF($A$2:$A$1200,$A462,$H$2:$H$1200)</f>
        <v>194</v>
      </c>
      <c r="N462" s="20" t="n">
        <f aca="false">IF(M462=0,"",L462/M462)</f>
        <v>0.164948453608247</v>
      </c>
      <c r="O462" s="20" t="n">
        <v>0.164948453608247</v>
      </c>
      <c r="P462" s="20" t="n">
        <f aca="false">IF(OR(N462="",O462=""),"",N462-O462)</f>
        <v>0</v>
      </c>
      <c r="Q462" s="18"/>
    </row>
    <row r="463" customFormat="false" ht="15" hidden="false" customHeight="true" outlineLevel="0" collapsed="false">
      <c r="A463" s="18" t="s">
        <v>373</v>
      </c>
      <c r="B463" s="18" t="n">
        <v>2</v>
      </c>
      <c r="C463" s="18" t="s">
        <v>340</v>
      </c>
      <c r="D463" s="18" t="n">
        <v>-195</v>
      </c>
      <c r="E463" s="18" t="s">
        <v>313</v>
      </c>
      <c r="F463" s="18" t="s">
        <v>220</v>
      </c>
      <c r="G463" s="19" t="n">
        <v>40460</v>
      </c>
      <c r="H463" s="18" t="n">
        <v>55</v>
      </c>
      <c r="I463" s="18" t="n">
        <v>8</v>
      </c>
      <c r="J463" s="18" t="n">
        <f aca="false">SUMIFS($H$2:$H$1200,$A$2:$A$1200,$A463,$B$2:$B$1200,"&lt;="&amp;$B463)</f>
        <v>55</v>
      </c>
      <c r="K463" s="18" t="n">
        <f aca="false">SUMIFS($I$2:$I$1200,$A$2:$A$1200,$A463,$B$2:$B$1200,"&lt;="&amp;$B463)</f>
        <v>8</v>
      </c>
      <c r="L463" s="18" t="n">
        <f aca="false">J463-K463</f>
        <v>47</v>
      </c>
      <c r="M463" s="18" t="n">
        <f aca="false">SUMIF($A$2:$A$1200,$A463,$H$2:$H$1200)</f>
        <v>190</v>
      </c>
      <c r="N463" s="20" t="n">
        <f aca="false">IF(M463=0,"",L463/M463)</f>
        <v>0.247368421052632</v>
      </c>
      <c r="O463" s="20"/>
      <c r="P463" s="20" t="str">
        <f aca="false">IF(OR(N463="",O463=""),"",N463-O463)</f>
        <v/>
      </c>
      <c r="Q463" s="18"/>
    </row>
    <row r="464" customFormat="false" ht="15" hidden="false" customHeight="true" outlineLevel="0" collapsed="false">
      <c r="A464" s="18" t="s">
        <v>373</v>
      </c>
      <c r="B464" s="18" t="n">
        <v>3</v>
      </c>
      <c r="C464" s="18" t="s">
        <v>525</v>
      </c>
      <c r="D464" s="18" t="n">
        <v>-180</v>
      </c>
      <c r="E464" s="18" t="s">
        <v>313</v>
      </c>
      <c r="F464" s="18" t="s">
        <v>220</v>
      </c>
      <c r="G464" s="19" t="n">
        <v>40460</v>
      </c>
      <c r="H464" s="18" t="n">
        <v>23</v>
      </c>
      <c r="I464" s="18" t="n">
        <v>6</v>
      </c>
      <c r="J464" s="18" t="n">
        <f aca="false">SUMIFS($H$2:$H$1200,$A$2:$A$1200,$A464,$B$2:$B$1200,"&lt;="&amp;$B464)</f>
        <v>78</v>
      </c>
      <c r="K464" s="18" t="n">
        <f aca="false">SUMIFS($I$2:$I$1200,$A$2:$A$1200,$A464,$B$2:$B$1200,"&lt;="&amp;$B464)</f>
        <v>14</v>
      </c>
      <c r="L464" s="18" t="n">
        <f aca="false">J464-K464</f>
        <v>64</v>
      </c>
      <c r="M464" s="18" t="n">
        <f aca="false">SUMIF($A$2:$A$1200,$A464,$H$2:$H$1200)</f>
        <v>190</v>
      </c>
      <c r="N464" s="20" t="n">
        <f aca="false">IF(M464=0,"",L464/M464)</f>
        <v>0.336842105263158</v>
      </c>
      <c r="O464" s="20"/>
      <c r="P464" s="20" t="str">
        <f aca="false">IF(OR(N464="",O464=""),"",N464-O464)</f>
        <v/>
      </c>
      <c r="Q464" s="18"/>
    </row>
    <row r="465" customFormat="false" ht="15" hidden="false" customHeight="true" outlineLevel="0" collapsed="false">
      <c r="A465" s="18" t="s">
        <v>373</v>
      </c>
      <c r="B465" s="18" t="n">
        <v>4</v>
      </c>
      <c r="C465" s="18" t="s">
        <v>526</v>
      </c>
      <c r="D465" s="18" t="n">
        <v>-165</v>
      </c>
      <c r="E465" s="18" t="s">
        <v>313</v>
      </c>
      <c r="F465" s="18" t="s">
        <v>220</v>
      </c>
      <c r="G465" s="19" t="n">
        <v>40460</v>
      </c>
      <c r="H465" s="18" t="n">
        <v>32</v>
      </c>
      <c r="I465" s="18" t="n">
        <v>0</v>
      </c>
      <c r="J465" s="18" t="n">
        <f aca="false">SUMIFS($H$2:$H$1200,$A$2:$A$1200,$A465,$B$2:$B$1200,"&lt;="&amp;$B465)</f>
        <v>110</v>
      </c>
      <c r="K465" s="18" t="n">
        <f aca="false">SUMIFS($I$2:$I$1200,$A$2:$A$1200,$A465,$B$2:$B$1200,"&lt;="&amp;$B465)</f>
        <v>14</v>
      </c>
      <c r="L465" s="18" t="n">
        <f aca="false">J465-K465</f>
        <v>96</v>
      </c>
      <c r="M465" s="18" t="n">
        <f aca="false">SUMIF($A$2:$A$1200,$A465,$H$2:$H$1200)</f>
        <v>190</v>
      </c>
      <c r="N465" s="20" t="n">
        <f aca="false">IF(M465=0,"",L465/M465)</f>
        <v>0.505263157894737</v>
      </c>
      <c r="O465" s="20"/>
      <c r="P465" s="20" t="str">
        <f aca="false">IF(OR(N465="",O465=""),"",N465-O465)</f>
        <v/>
      </c>
      <c r="Q465" s="18"/>
    </row>
    <row r="466" customFormat="false" ht="15" hidden="false" customHeight="true" outlineLevel="0" collapsed="false">
      <c r="A466" s="18" t="s">
        <v>373</v>
      </c>
      <c r="B466" s="18" t="n">
        <v>5</v>
      </c>
      <c r="C466" s="18" t="s">
        <v>527</v>
      </c>
      <c r="D466" s="18" t="n">
        <v>-150</v>
      </c>
      <c r="E466" s="18" t="s">
        <v>313</v>
      </c>
      <c r="F466" s="18" t="s">
        <v>220</v>
      </c>
      <c r="G466" s="19" t="n">
        <v>40460</v>
      </c>
      <c r="H466" s="18" t="n">
        <v>20</v>
      </c>
      <c r="I466" s="18" t="n">
        <v>2</v>
      </c>
      <c r="J466" s="18" t="n">
        <f aca="false">SUMIFS($H$2:$H$1200,$A$2:$A$1200,$A466,$B$2:$B$1200,"&lt;="&amp;$B466)</f>
        <v>130</v>
      </c>
      <c r="K466" s="18" t="n">
        <f aca="false">SUMIFS($I$2:$I$1200,$A$2:$A$1200,$A466,$B$2:$B$1200,"&lt;="&amp;$B466)</f>
        <v>16</v>
      </c>
      <c r="L466" s="18" t="n">
        <f aca="false">J466-K466</f>
        <v>114</v>
      </c>
      <c r="M466" s="18" t="n">
        <f aca="false">SUMIF($A$2:$A$1200,$A466,$H$2:$H$1200)</f>
        <v>190</v>
      </c>
      <c r="N466" s="20" t="n">
        <f aca="false">IF(M466=0,"",L466/M466)</f>
        <v>0.6</v>
      </c>
      <c r="O466" s="20"/>
      <c r="P466" s="20" t="str">
        <f aca="false">IF(OR(N466="",O466=""),"",N466-O466)</f>
        <v/>
      </c>
      <c r="Q466" s="18"/>
    </row>
    <row r="467" customFormat="false" ht="15" hidden="false" customHeight="true" outlineLevel="0" collapsed="false">
      <c r="A467" s="18" t="s">
        <v>373</v>
      </c>
      <c r="B467" s="18" t="n">
        <v>6</v>
      </c>
      <c r="C467" s="18" t="s">
        <v>528</v>
      </c>
      <c r="D467" s="18" t="n">
        <v>-135</v>
      </c>
      <c r="E467" s="18" t="s">
        <v>313</v>
      </c>
      <c r="F467" s="18" t="s">
        <v>220</v>
      </c>
      <c r="G467" s="19" t="n">
        <v>40460</v>
      </c>
      <c r="H467" s="18" t="n">
        <v>15</v>
      </c>
      <c r="I467" s="18" t="n">
        <v>4</v>
      </c>
      <c r="J467" s="18" t="n">
        <f aca="false">SUMIFS($H$2:$H$1200,$A$2:$A$1200,$A467,$B$2:$B$1200,"&lt;="&amp;$B467)</f>
        <v>145</v>
      </c>
      <c r="K467" s="18" t="n">
        <f aca="false">SUMIFS($I$2:$I$1200,$A$2:$A$1200,$A467,$B$2:$B$1200,"&lt;="&amp;$B467)</f>
        <v>20</v>
      </c>
      <c r="L467" s="18" t="n">
        <f aca="false">J467-K467</f>
        <v>125</v>
      </c>
      <c r="M467" s="18" t="n">
        <f aca="false">SUMIF($A$2:$A$1200,$A467,$H$2:$H$1200)</f>
        <v>190</v>
      </c>
      <c r="N467" s="20" t="n">
        <f aca="false">IF(M467=0,"",L467/M467)</f>
        <v>0.657894736842105</v>
      </c>
      <c r="O467" s="20"/>
      <c r="P467" s="20" t="str">
        <f aca="false">IF(OR(N467="",O467=""),"",N467-O467)</f>
        <v/>
      </c>
      <c r="Q467" s="18"/>
    </row>
    <row r="468" customFormat="false" ht="15" hidden="false" customHeight="true" outlineLevel="0" collapsed="false">
      <c r="A468" s="18" t="s">
        <v>373</v>
      </c>
      <c r="B468" s="18" t="n">
        <v>7</v>
      </c>
      <c r="C468" s="18" t="s">
        <v>227</v>
      </c>
      <c r="D468" s="18" t="n">
        <v>-120</v>
      </c>
      <c r="E468" s="18" t="s">
        <v>313</v>
      </c>
      <c r="F468" s="18" t="s">
        <v>220</v>
      </c>
      <c r="G468" s="19" t="n">
        <v>40460</v>
      </c>
      <c r="H468" s="18" t="n">
        <v>10</v>
      </c>
      <c r="I468" s="18" t="n">
        <v>8</v>
      </c>
      <c r="J468" s="18" t="n">
        <f aca="false">SUMIFS($H$2:$H$1200,$A$2:$A$1200,$A468,$B$2:$B$1200,"&lt;="&amp;$B468)</f>
        <v>155</v>
      </c>
      <c r="K468" s="18" t="n">
        <f aca="false">SUMIFS($I$2:$I$1200,$A$2:$A$1200,$A468,$B$2:$B$1200,"&lt;="&amp;$B468)</f>
        <v>28</v>
      </c>
      <c r="L468" s="18" t="n">
        <f aca="false">J468-K468</f>
        <v>127</v>
      </c>
      <c r="M468" s="18" t="n">
        <f aca="false">SUMIF($A$2:$A$1200,$A468,$H$2:$H$1200)</f>
        <v>190</v>
      </c>
      <c r="N468" s="20" t="n">
        <f aca="false">IF(M468=0,"",L468/M468)</f>
        <v>0.668421052631579</v>
      </c>
      <c r="O468" s="20"/>
      <c r="P468" s="20" t="str">
        <f aca="false">IF(OR(N468="",O468=""),"",N468-O468)</f>
        <v/>
      </c>
      <c r="Q468" s="18"/>
    </row>
    <row r="469" customFormat="false" ht="15" hidden="false" customHeight="true" outlineLevel="0" collapsed="false">
      <c r="A469" s="18" t="s">
        <v>373</v>
      </c>
      <c r="B469" s="18" t="n">
        <v>8</v>
      </c>
      <c r="C469" s="18" t="s">
        <v>241</v>
      </c>
      <c r="D469" s="18" t="n">
        <v>-105</v>
      </c>
      <c r="E469" s="18" t="s">
        <v>313</v>
      </c>
      <c r="F469" s="18" t="s">
        <v>220</v>
      </c>
      <c r="G469" s="19" t="n">
        <v>40460</v>
      </c>
      <c r="H469" s="18" t="n">
        <v>7</v>
      </c>
      <c r="I469" s="18" t="n">
        <v>13</v>
      </c>
      <c r="J469" s="18" t="n">
        <f aca="false">SUMIFS($H$2:$H$1200,$A$2:$A$1200,$A469,$B$2:$B$1200,"&lt;="&amp;$B469)</f>
        <v>162</v>
      </c>
      <c r="K469" s="18" t="n">
        <f aca="false">SUMIFS($I$2:$I$1200,$A$2:$A$1200,$A469,$B$2:$B$1200,"&lt;="&amp;$B469)</f>
        <v>41</v>
      </c>
      <c r="L469" s="18" t="n">
        <f aca="false">J469-K469</f>
        <v>121</v>
      </c>
      <c r="M469" s="18" t="n">
        <f aca="false">SUMIF($A$2:$A$1200,$A469,$H$2:$H$1200)</f>
        <v>190</v>
      </c>
      <c r="N469" s="20" t="n">
        <f aca="false">IF(M469=0,"",L469/M469)</f>
        <v>0.636842105263158</v>
      </c>
      <c r="O469" s="20"/>
      <c r="P469" s="20" t="str">
        <f aca="false">IF(OR(N469="",O469=""),"",N469-O469)</f>
        <v/>
      </c>
      <c r="Q469" s="18"/>
    </row>
    <row r="470" customFormat="false" ht="15" hidden="false" customHeight="true" outlineLevel="0" collapsed="false">
      <c r="A470" s="18" t="s">
        <v>373</v>
      </c>
      <c r="B470" s="18" t="n">
        <v>9</v>
      </c>
      <c r="C470" s="18" t="s">
        <v>279</v>
      </c>
      <c r="D470" s="18" t="n">
        <v>-90</v>
      </c>
      <c r="E470" s="18" t="s">
        <v>313</v>
      </c>
      <c r="F470" s="18" t="s">
        <v>220</v>
      </c>
      <c r="G470" s="19" t="n">
        <v>40460</v>
      </c>
      <c r="H470" s="18" t="n">
        <v>13</v>
      </c>
      <c r="I470" s="18" t="n">
        <v>18</v>
      </c>
      <c r="J470" s="18" t="n">
        <f aca="false">SUMIFS($H$2:$H$1200,$A$2:$A$1200,$A470,$B$2:$B$1200,"&lt;="&amp;$B470)</f>
        <v>175</v>
      </c>
      <c r="K470" s="18" t="n">
        <f aca="false">SUMIFS($I$2:$I$1200,$A$2:$A$1200,$A470,$B$2:$B$1200,"&lt;="&amp;$B470)</f>
        <v>59</v>
      </c>
      <c r="L470" s="18" t="n">
        <f aca="false">J470-K470</f>
        <v>116</v>
      </c>
      <c r="M470" s="18" t="n">
        <f aca="false">SUMIF($A$2:$A$1200,$A470,$H$2:$H$1200)</f>
        <v>190</v>
      </c>
      <c r="N470" s="20" t="n">
        <f aca="false">IF(M470=0,"",L470/M470)</f>
        <v>0.610526315789474</v>
      </c>
      <c r="O470" s="20"/>
      <c r="P470" s="20" t="str">
        <f aca="false">IF(OR(N470="",O470=""),"",N470-O470)</f>
        <v/>
      </c>
      <c r="Q470" s="18"/>
    </row>
    <row r="471" customFormat="false" ht="15" hidden="false" customHeight="true" outlineLevel="0" collapsed="false">
      <c r="A471" s="18" t="s">
        <v>373</v>
      </c>
      <c r="B471" s="18" t="n">
        <v>10</v>
      </c>
      <c r="C471" s="18" t="s">
        <v>206</v>
      </c>
      <c r="D471" s="18" t="n">
        <v>-75</v>
      </c>
      <c r="E471" s="18" t="s">
        <v>313</v>
      </c>
      <c r="F471" s="18" t="s">
        <v>220</v>
      </c>
      <c r="G471" s="19" t="n">
        <v>40460</v>
      </c>
      <c r="H471" s="18" t="n">
        <v>7</v>
      </c>
      <c r="I471" s="18" t="n">
        <v>25</v>
      </c>
      <c r="J471" s="18" t="n">
        <f aca="false">SUMIFS($H$2:$H$1200,$A$2:$A$1200,$A471,$B$2:$B$1200,"&lt;="&amp;$B471)</f>
        <v>182</v>
      </c>
      <c r="K471" s="18" t="n">
        <f aca="false">SUMIFS($I$2:$I$1200,$A$2:$A$1200,$A471,$B$2:$B$1200,"&lt;="&amp;$B471)</f>
        <v>84</v>
      </c>
      <c r="L471" s="18" t="n">
        <f aca="false">J471-K471</f>
        <v>98</v>
      </c>
      <c r="M471" s="18" t="n">
        <f aca="false">SUMIF($A$2:$A$1200,$A471,$H$2:$H$1200)</f>
        <v>190</v>
      </c>
      <c r="N471" s="20" t="n">
        <f aca="false">IF(M471=0,"",L471/M471)</f>
        <v>0.515789473684211</v>
      </c>
      <c r="O471" s="20"/>
      <c r="P471" s="20" t="str">
        <f aca="false">IF(OR(N471="",O471=""),"",N471-O471)</f>
        <v/>
      </c>
      <c r="Q471" s="18"/>
    </row>
    <row r="472" customFormat="false" ht="15" hidden="false" customHeight="true" outlineLevel="0" collapsed="false">
      <c r="A472" s="18" t="s">
        <v>373</v>
      </c>
      <c r="B472" s="18" t="n">
        <v>11</v>
      </c>
      <c r="C472" s="18" t="s">
        <v>246</v>
      </c>
      <c r="D472" s="18" t="n">
        <v>-60</v>
      </c>
      <c r="E472" s="18" t="s">
        <v>313</v>
      </c>
      <c r="F472" s="18" t="s">
        <v>220</v>
      </c>
      <c r="G472" s="19" t="n">
        <v>40460</v>
      </c>
      <c r="H472" s="18" t="n">
        <v>2</v>
      </c>
      <c r="I472" s="18" t="n">
        <v>17</v>
      </c>
      <c r="J472" s="18" t="n">
        <f aca="false">SUMIFS($H$2:$H$1200,$A$2:$A$1200,$A472,$B$2:$B$1200,"&lt;="&amp;$B472)</f>
        <v>184</v>
      </c>
      <c r="K472" s="18" t="n">
        <f aca="false">SUMIFS($I$2:$I$1200,$A$2:$A$1200,$A472,$B$2:$B$1200,"&lt;="&amp;$B472)</f>
        <v>101</v>
      </c>
      <c r="L472" s="18" t="n">
        <f aca="false">J472-K472</f>
        <v>83</v>
      </c>
      <c r="M472" s="18" t="n">
        <f aca="false">SUMIF($A$2:$A$1200,$A472,$H$2:$H$1200)</f>
        <v>190</v>
      </c>
      <c r="N472" s="20" t="n">
        <f aca="false">IF(M472=0,"",L472/M472)</f>
        <v>0.436842105263158</v>
      </c>
      <c r="O472" s="20"/>
      <c r="P472" s="20" t="str">
        <f aca="false">IF(OR(N472="",O472=""),"",N472-O472)</f>
        <v/>
      </c>
      <c r="Q472" s="18"/>
    </row>
    <row r="473" customFormat="false" ht="15" hidden="false" customHeight="true" outlineLevel="0" collapsed="false">
      <c r="A473" s="18" t="s">
        <v>373</v>
      </c>
      <c r="B473" s="18" t="n">
        <v>12</v>
      </c>
      <c r="C473" s="18" t="s">
        <v>254</v>
      </c>
      <c r="D473" s="18" t="n">
        <v>-45</v>
      </c>
      <c r="E473" s="18" t="s">
        <v>313</v>
      </c>
      <c r="F473" s="18" t="s">
        <v>220</v>
      </c>
      <c r="G473" s="19" t="n">
        <v>40460</v>
      </c>
      <c r="H473" s="18" t="n">
        <v>1</v>
      </c>
      <c r="I473" s="18" t="n">
        <v>15</v>
      </c>
      <c r="J473" s="18" t="n">
        <f aca="false">SUMIFS($H$2:$H$1200,$A$2:$A$1200,$A473,$B$2:$B$1200,"&lt;="&amp;$B473)</f>
        <v>185</v>
      </c>
      <c r="K473" s="18" t="n">
        <f aca="false">SUMIFS($I$2:$I$1200,$A$2:$A$1200,$A473,$B$2:$B$1200,"&lt;="&amp;$B473)</f>
        <v>116</v>
      </c>
      <c r="L473" s="18" t="n">
        <f aca="false">J473-K473</f>
        <v>69</v>
      </c>
      <c r="M473" s="18" t="n">
        <f aca="false">SUMIF($A$2:$A$1200,$A473,$H$2:$H$1200)</f>
        <v>190</v>
      </c>
      <c r="N473" s="20" t="n">
        <f aca="false">IF(M473=0,"",L473/M473)</f>
        <v>0.363157894736842</v>
      </c>
      <c r="O473" s="20"/>
      <c r="P473" s="20" t="str">
        <f aca="false">IF(OR(N473="",O473=""),"",N473-O473)</f>
        <v/>
      </c>
      <c r="Q473" s="18"/>
    </row>
    <row r="474" customFormat="false" ht="15" hidden="false" customHeight="true" outlineLevel="0" collapsed="false">
      <c r="A474" s="18" t="s">
        <v>373</v>
      </c>
      <c r="B474" s="18" t="n">
        <v>13</v>
      </c>
      <c r="C474" s="18" t="s">
        <v>403</v>
      </c>
      <c r="D474" s="18" t="n">
        <v>-30</v>
      </c>
      <c r="E474" s="18" t="s">
        <v>313</v>
      </c>
      <c r="F474" s="18" t="s">
        <v>220</v>
      </c>
      <c r="G474" s="19" t="n">
        <v>40460</v>
      </c>
      <c r="H474" s="18" t="n">
        <v>3</v>
      </c>
      <c r="I474" s="18" t="n">
        <v>18</v>
      </c>
      <c r="J474" s="18" t="n">
        <f aca="false">SUMIFS($H$2:$H$1200,$A$2:$A$1200,$A474,$B$2:$B$1200,"&lt;="&amp;$B474)</f>
        <v>188</v>
      </c>
      <c r="K474" s="18" t="n">
        <f aca="false">SUMIFS($I$2:$I$1200,$A$2:$A$1200,$A474,$B$2:$B$1200,"&lt;="&amp;$B474)</f>
        <v>134</v>
      </c>
      <c r="L474" s="18" t="n">
        <f aca="false">J474-K474</f>
        <v>54</v>
      </c>
      <c r="M474" s="18" t="n">
        <f aca="false">SUMIF($A$2:$A$1200,$A474,$H$2:$H$1200)</f>
        <v>190</v>
      </c>
      <c r="N474" s="20" t="n">
        <f aca="false">IF(M474=0,"",L474/M474)</f>
        <v>0.284210526315789</v>
      </c>
      <c r="O474" s="20"/>
      <c r="P474" s="20" t="str">
        <f aca="false">IF(OR(N474="",O474=""),"",N474-O474)</f>
        <v/>
      </c>
      <c r="Q474" s="18"/>
    </row>
    <row r="475" customFormat="false" ht="15" hidden="false" customHeight="true" outlineLevel="0" collapsed="false">
      <c r="A475" s="18" t="s">
        <v>373</v>
      </c>
      <c r="B475" s="18" t="n">
        <v>14</v>
      </c>
      <c r="C475" s="18" t="s">
        <v>529</v>
      </c>
      <c r="D475" s="18" t="n">
        <v>-15</v>
      </c>
      <c r="E475" s="18" t="s">
        <v>313</v>
      </c>
      <c r="F475" s="18" t="s">
        <v>220</v>
      </c>
      <c r="G475" s="19" t="n">
        <v>40460</v>
      </c>
      <c r="H475" s="18" t="n">
        <v>1</v>
      </c>
      <c r="I475" s="18" t="n">
        <v>21</v>
      </c>
      <c r="J475" s="18" t="n">
        <f aca="false">SUMIFS($H$2:$H$1200,$A$2:$A$1200,$A475,$B$2:$B$1200,"&lt;="&amp;$B475)</f>
        <v>189</v>
      </c>
      <c r="K475" s="18" t="n">
        <f aca="false">SUMIFS($I$2:$I$1200,$A$2:$A$1200,$A475,$B$2:$B$1200,"&lt;="&amp;$B475)</f>
        <v>155</v>
      </c>
      <c r="L475" s="18" t="n">
        <f aca="false">J475-K475</f>
        <v>34</v>
      </c>
      <c r="M475" s="18" t="n">
        <f aca="false">SUMIF($A$2:$A$1200,$A475,$H$2:$H$1200)</f>
        <v>190</v>
      </c>
      <c r="N475" s="20" t="n">
        <f aca="false">IF(M475=0,"",L475/M475)</f>
        <v>0.178947368421053</v>
      </c>
      <c r="O475" s="20"/>
      <c r="P475" s="20" t="str">
        <f aca="false">IF(OR(N475="",O475=""),"",N475-O475)</f>
        <v/>
      </c>
      <c r="Q475" s="18"/>
    </row>
    <row r="476" customFormat="false" ht="15" hidden="false" customHeight="true" outlineLevel="0" collapsed="false">
      <c r="A476" s="18" t="s">
        <v>373</v>
      </c>
      <c r="B476" s="18" t="n">
        <v>15</v>
      </c>
      <c r="C476" s="18" t="s">
        <v>463</v>
      </c>
      <c r="D476" s="18" t="n">
        <v>0</v>
      </c>
      <c r="E476" s="18" t="s">
        <v>313</v>
      </c>
      <c r="F476" s="18" t="s">
        <v>220</v>
      </c>
      <c r="G476" s="19" t="n">
        <v>40460</v>
      </c>
      <c r="H476" s="18" t="n">
        <v>1</v>
      </c>
      <c r="I476" s="18" t="n">
        <v>11</v>
      </c>
      <c r="J476" s="18" t="n">
        <f aca="false">SUMIFS($H$2:$H$1200,$A$2:$A$1200,$A476,$B$2:$B$1200,"&lt;="&amp;$B476)</f>
        <v>190</v>
      </c>
      <c r="K476" s="18" t="n">
        <f aca="false">SUMIFS($I$2:$I$1200,$A$2:$A$1200,$A476,$B$2:$B$1200,"&lt;="&amp;$B476)</f>
        <v>166</v>
      </c>
      <c r="L476" s="18" t="n">
        <f aca="false">J476-K476</f>
        <v>24</v>
      </c>
      <c r="M476" s="18" t="n">
        <f aca="false">SUMIF($A$2:$A$1200,$A476,$H$2:$H$1200)</f>
        <v>190</v>
      </c>
      <c r="N476" s="20" t="n">
        <f aca="false">IF(M476=0,"",L476/M476)</f>
        <v>0.126315789473684</v>
      </c>
      <c r="O476" s="20"/>
      <c r="P476" s="20" t="str">
        <f aca="false">IF(OR(N476="",O476=""),"",N476-O476)</f>
        <v/>
      </c>
      <c r="Q476" s="18"/>
    </row>
    <row r="477" customFormat="false" ht="15" hidden="false" customHeight="true" outlineLevel="0" collapsed="false">
      <c r="A477" s="18" t="s">
        <v>373</v>
      </c>
      <c r="B477" s="18" t="n">
        <v>16</v>
      </c>
      <c r="C477" s="18" t="s">
        <v>366</v>
      </c>
      <c r="D477" s="18" t="n">
        <v>15</v>
      </c>
      <c r="E477" s="18" t="s">
        <v>313</v>
      </c>
      <c r="F477" s="18" t="s">
        <v>220</v>
      </c>
      <c r="G477" s="19" t="n">
        <v>40460</v>
      </c>
      <c r="H477" s="18" t="n">
        <v>0</v>
      </c>
      <c r="I477" s="18" t="n">
        <v>7</v>
      </c>
      <c r="J477" s="18" t="n">
        <f aca="false">SUMIFS($H$2:$H$1200,$A$2:$A$1200,$A477,$B$2:$B$1200,"&lt;="&amp;$B477)</f>
        <v>190</v>
      </c>
      <c r="K477" s="18" t="n">
        <f aca="false">SUMIFS($I$2:$I$1200,$A$2:$A$1200,$A477,$B$2:$B$1200,"&lt;="&amp;$B477)</f>
        <v>173</v>
      </c>
      <c r="L477" s="18" t="n">
        <f aca="false">J477-K477</f>
        <v>17</v>
      </c>
      <c r="M477" s="18" t="n">
        <f aca="false">SUMIF($A$2:$A$1200,$A477,$H$2:$H$1200)</f>
        <v>190</v>
      </c>
      <c r="N477" s="20" t="n">
        <f aca="false">IF(M477=0,"",L477/M477)</f>
        <v>0.0894736842105263</v>
      </c>
      <c r="O477" s="20"/>
      <c r="P477" s="20" t="str">
        <f aca="false">IF(OR(N477="",O477=""),"",N477-O477)</f>
        <v/>
      </c>
      <c r="Q477" s="18"/>
    </row>
    <row r="478" customFormat="false" ht="15" hidden="false" customHeight="true" outlineLevel="0" collapsed="false">
      <c r="A478" s="18" t="s">
        <v>373</v>
      </c>
      <c r="B478" s="18" t="n">
        <v>17</v>
      </c>
      <c r="C478" s="18" t="s">
        <v>326</v>
      </c>
      <c r="D478" s="18" t="n">
        <v>30</v>
      </c>
      <c r="E478" s="18" t="s">
        <v>313</v>
      </c>
      <c r="F478" s="18" t="s">
        <v>220</v>
      </c>
      <c r="G478" s="19" t="n">
        <v>40460</v>
      </c>
      <c r="H478" s="18" t="n">
        <v>0</v>
      </c>
      <c r="I478" s="18" t="n">
        <v>4</v>
      </c>
      <c r="J478" s="18" t="n">
        <f aca="false">SUMIFS($H$2:$H$1200,$A$2:$A$1200,$A478,$B$2:$B$1200,"&lt;="&amp;$B478)</f>
        <v>190</v>
      </c>
      <c r="K478" s="18" t="n">
        <f aca="false">SUMIFS($I$2:$I$1200,$A$2:$A$1200,$A478,$B$2:$B$1200,"&lt;="&amp;$B478)</f>
        <v>177</v>
      </c>
      <c r="L478" s="18" t="n">
        <f aca="false">J478-K478</f>
        <v>13</v>
      </c>
      <c r="M478" s="18" t="n">
        <f aca="false">SUMIF($A$2:$A$1200,$A478,$H$2:$H$1200)</f>
        <v>190</v>
      </c>
      <c r="N478" s="20" t="n">
        <f aca="false">IF(M478=0,"",L478/M478)</f>
        <v>0.068421052631579</v>
      </c>
      <c r="O478" s="20"/>
      <c r="P478" s="20" t="str">
        <f aca="false">IF(OR(N478="",O478=""),"",N478-O478)</f>
        <v/>
      </c>
      <c r="Q478" s="18"/>
    </row>
    <row r="479" customFormat="false" ht="15" hidden="false" customHeight="true" outlineLevel="0" collapsed="false">
      <c r="A479" s="18" t="s">
        <v>379</v>
      </c>
      <c r="B479" s="18" t="n">
        <v>2</v>
      </c>
      <c r="C479" s="18" t="s">
        <v>340</v>
      </c>
      <c r="D479" s="18" t="n">
        <v>-195</v>
      </c>
      <c r="E479" s="18" t="s">
        <v>313</v>
      </c>
      <c r="F479" s="18" t="s">
        <v>198</v>
      </c>
      <c r="G479" s="19" t="n">
        <v>40654</v>
      </c>
      <c r="H479" s="18" t="n">
        <v>6</v>
      </c>
      <c r="I479" s="18" t="n">
        <v>0</v>
      </c>
      <c r="J479" s="18" t="n">
        <f aca="false">SUMIFS($H$2:$H$1200,$A$2:$A$1200,$A479,$B$2:$B$1200,"&lt;="&amp;$B479)</f>
        <v>6</v>
      </c>
      <c r="K479" s="18" t="n">
        <f aca="false">SUMIFS($I$2:$I$1200,$A$2:$A$1200,$A479,$B$2:$B$1200,"&lt;="&amp;$B479)</f>
        <v>0</v>
      </c>
      <c r="L479" s="18" t="n">
        <f aca="false">J479-K479</f>
        <v>6</v>
      </c>
      <c r="M479" s="18" t="n">
        <f aca="false">SUMIF($A$2:$A$1200,$A479,$H$2:$H$1200)</f>
        <v>185</v>
      </c>
      <c r="N479" s="20" t="n">
        <f aca="false">IF(M479=0,"",L479/M479)</f>
        <v>0.0324324324324324</v>
      </c>
      <c r="O479" s="20"/>
      <c r="P479" s="20" t="str">
        <f aca="false">IF(OR(N479="",O479=""),"",N479-O479)</f>
        <v/>
      </c>
      <c r="Q479" s="18"/>
    </row>
    <row r="480" customFormat="false" ht="15" hidden="false" customHeight="true" outlineLevel="0" collapsed="false">
      <c r="A480" s="18" t="s">
        <v>379</v>
      </c>
      <c r="B480" s="18" t="n">
        <v>3</v>
      </c>
      <c r="C480" s="18" t="s">
        <v>525</v>
      </c>
      <c r="D480" s="18" t="n">
        <v>-180</v>
      </c>
      <c r="E480" s="18" t="s">
        <v>313</v>
      </c>
      <c r="F480" s="18" t="s">
        <v>198</v>
      </c>
      <c r="G480" s="19" t="n">
        <v>40654</v>
      </c>
      <c r="H480" s="18" t="n">
        <v>9</v>
      </c>
      <c r="I480" s="18" t="n">
        <v>0</v>
      </c>
      <c r="J480" s="18" t="n">
        <f aca="false">SUMIFS($H$2:$H$1200,$A$2:$A$1200,$A480,$B$2:$B$1200,"&lt;="&amp;$B480)</f>
        <v>15</v>
      </c>
      <c r="K480" s="18" t="n">
        <f aca="false">SUMIFS($I$2:$I$1200,$A$2:$A$1200,$A480,$B$2:$B$1200,"&lt;="&amp;$B480)</f>
        <v>0</v>
      </c>
      <c r="L480" s="18" t="n">
        <f aca="false">J480-K480</f>
        <v>15</v>
      </c>
      <c r="M480" s="18" t="n">
        <f aca="false">SUMIF($A$2:$A$1200,$A480,$H$2:$H$1200)</f>
        <v>185</v>
      </c>
      <c r="N480" s="20" t="n">
        <f aca="false">IF(M480=0,"",L480/M480)</f>
        <v>0.0810810810810811</v>
      </c>
      <c r="O480" s="20"/>
      <c r="P480" s="20" t="str">
        <f aca="false">IF(OR(N480="",O480=""),"",N480-O480)</f>
        <v/>
      </c>
      <c r="Q480" s="18"/>
    </row>
    <row r="481" customFormat="false" ht="15" hidden="false" customHeight="true" outlineLevel="0" collapsed="false">
      <c r="A481" s="18" t="s">
        <v>379</v>
      </c>
      <c r="B481" s="18" t="n">
        <v>4</v>
      </c>
      <c r="C481" s="18" t="s">
        <v>526</v>
      </c>
      <c r="D481" s="18" t="n">
        <v>-165</v>
      </c>
      <c r="E481" s="18" t="s">
        <v>313</v>
      </c>
      <c r="F481" s="18" t="s">
        <v>198</v>
      </c>
      <c r="G481" s="19" t="n">
        <v>40654</v>
      </c>
      <c r="H481" s="18" t="n">
        <v>6</v>
      </c>
      <c r="I481" s="18" t="n">
        <v>1</v>
      </c>
      <c r="J481" s="18" t="n">
        <f aca="false">SUMIFS($H$2:$H$1200,$A$2:$A$1200,$A481,$B$2:$B$1200,"&lt;="&amp;$B481)</f>
        <v>21</v>
      </c>
      <c r="K481" s="18" t="n">
        <f aca="false">SUMIFS($I$2:$I$1200,$A$2:$A$1200,$A481,$B$2:$B$1200,"&lt;="&amp;$B481)</f>
        <v>1</v>
      </c>
      <c r="L481" s="18" t="n">
        <f aca="false">J481-K481</f>
        <v>20</v>
      </c>
      <c r="M481" s="18" t="n">
        <f aca="false">SUMIF($A$2:$A$1200,$A481,$H$2:$H$1200)</f>
        <v>185</v>
      </c>
      <c r="N481" s="20" t="n">
        <f aca="false">IF(M481=0,"",L481/M481)</f>
        <v>0.108108108108108</v>
      </c>
      <c r="O481" s="20"/>
      <c r="P481" s="20" t="str">
        <f aca="false">IF(OR(N481="",O481=""),"",N481-O481)</f>
        <v/>
      </c>
      <c r="Q481" s="18"/>
    </row>
    <row r="482" customFormat="false" ht="15" hidden="false" customHeight="true" outlineLevel="0" collapsed="false">
      <c r="A482" s="18" t="s">
        <v>379</v>
      </c>
      <c r="B482" s="18" t="n">
        <v>5</v>
      </c>
      <c r="C482" s="18" t="s">
        <v>527</v>
      </c>
      <c r="D482" s="18" t="n">
        <v>-150</v>
      </c>
      <c r="E482" s="18" t="s">
        <v>313</v>
      </c>
      <c r="F482" s="18" t="s">
        <v>198</v>
      </c>
      <c r="G482" s="19" t="n">
        <v>40654</v>
      </c>
      <c r="H482" s="18" t="n">
        <v>14</v>
      </c>
      <c r="I482" s="18" t="n">
        <v>0</v>
      </c>
      <c r="J482" s="18" t="n">
        <f aca="false">SUMIFS($H$2:$H$1200,$A$2:$A$1200,$A482,$B$2:$B$1200,"&lt;="&amp;$B482)</f>
        <v>35</v>
      </c>
      <c r="K482" s="18" t="n">
        <f aca="false">SUMIFS($I$2:$I$1200,$A$2:$A$1200,$A482,$B$2:$B$1200,"&lt;="&amp;$B482)</f>
        <v>1</v>
      </c>
      <c r="L482" s="18" t="n">
        <f aca="false">J482-K482</f>
        <v>34</v>
      </c>
      <c r="M482" s="18" t="n">
        <f aca="false">SUMIF($A$2:$A$1200,$A482,$H$2:$H$1200)</f>
        <v>185</v>
      </c>
      <c r="N482" s="20" t="n">
        <f aca="false">IF(M482=0,"",L482/M482)</f>
        <v>0.183783783783784</v>
      </c>
      <c r="O482" s="20"/>
      <c r="P482" s="20" t="str">
        <f aca="false">IF(OR(N482="",O482=""),"",N482-O482)</f>
        <v/>
      </c>
      <c r="Q482" s="18"/>
    </row>
    <row r="483" customFormat="false" ht="15" hidden="false" customHeight="true" outlineLevel="0" collapsed="false">
      <c r="A483" s="18" t="s">
        <v>379</v>
      </c>
      <c r="B483" s="18" t="n">
        <v>6</v>
      </c>
      <c r="C483" s="18" t="s">
        <v>528</v>
      </c>
      <c r="D483" s="18" t="n">
        <v>-135</v>
      </c>
      <c r="E483" s="18" t="s">
        <v>313</v>
      </c>
      <c r="F483" s="18" t="s">
        <v>198</v>
      </c>
      <c r="G483" s="19" t="n">
        <v>40654</v>
      </c>
      <c r="H483" s="18" t="n">
        <v>14</v>
      </c>
      <c r="I483" s="18" t="n">
        <v>3</v>
      </c>
      <c r="J483" s="18" t="n">
        <f aca="false">SUMIFS($H$2:$H$1200,$A$2:$A$1200,$A483,$B$2:$B$1200,"&lt;="&amp;$B483)</f>
        <v>49</v>
      </c>
      <c r="K483" s="18" t="n">
        <f aca="false">SUMIFS($I$2:$I$1200,$A$2:$A$1200,$A483,$B$2:$B$1200,"&lt;="&amp;$B483)</f>
        <v>4</v>
      </c>
      <c r="L483" s="18" t="n">
        <f aca="false">J483-K483</f>
        <v>45</v>
      </c>
      <c r="M483" s="18" t="n">
        <f aca="false">SUMIF($A$2:$A$1200,$A483,$H$2:$H$1200)</f>
        <v>185</v>
      </c>
      <c r="N483" s="20" t="n">
        <f aca="false">IF(M483=0,"",L483/M483)</f>
        <v>0.243243243243243</v>
      </c>
      <c r="O483" s="20"/>
      <c r="P483" s="20" t="str">
        <f aca="false">IF(OR(N483="",O483=""),"",N483-O483)</f>
        <v/>
      </c>
      <c r="Q483" s="18"/>
    </row>
    <row r="484" customFormat="false" ht="15" hidden="false" customHeight="true" outlineLevel="0" collapsed="false">
      <c r="A484" s="18" t="s">
        <v>379</v>
      </c>
      <c r="B484" s="18" t="n">
        <v>7</v>
      </c>
      <c r="C484" s="18" t="s">
        <v>227</v>
      </c>
      <c r="D484" s="18" t="n">
        <v>-120</v>
      </c>
      <c r="E484" s="18" t="s">
        <v>313</v>
      </c>
      <c r="F484" s="18" t="s">
        <v>198</v>
      </c>
      <c r="G484" s="19" t="n">
        <v>40654</v>
      </c>
      <c r="H484" s="18" t="n">
        <v>28</v>
      </c>
      <c r="I484" s="18" t="n">
        <v>3</v>
      </c>
      <c r="J484" s="18" t="n">
        <f aca="false">SUMIFS($H$2:$H$1200,$A$2:$A$1200,$A484,$B$2:$B$1200,"&lt;="&amp;$B484)</f>
        <v>77</v>
      </c>
      <c r="K484" s="18" t="n">
        <f aca="false">SUMIFS($I$2:$I$1200,$A$2:$A$1200,$A484,$B$2:$B$1200,"&lt;="&amp;$B484)</f>
        <v>7</v>
      </c>
      <c r="L484" s="18" t="n">
        <f aca="false">J484-K484</f>
        <v>70</v>
      </c>
      <c r="M484" s="18" t="n">
        <f aca="false">SUMIF($A$2:$A$1200,$A484,$H$2:$H$1200)</f>
        <v>185</v>
      </c>
      <c r="N484" s="20" t="n">
        <f aca="false">IF(M484=0,"",L484/M484)</f>
        <v>0.378378378378378</v>
      </c>
      <c r="O484" s="20"/>
      <c r="P484" s="20" t="str">
        <f aca="false">IF(OR(N484="",O484=""),"",N484-O484)</f>
        <v/>
      </c>
      <c r="Q484" s="18"/>
    </row>
    <row r="485" customFormat="false" ht="15" hidden="false" customHeight="true" outlineLevel="0" collapsed="false">
      <c r="A485" s="18" t="s">
        <v>379</v>
      </c>
      <c r="B485" s="18" t="n">
        <v>8</v>
      </c>
      <c r="C485" s="18" t="s">
        <v>241</v>
      </c>
      <c r="D485" s="18" t="n">
        <v>-105</v>
      </c>
      <c r="E485" s="18" t="s">
        <v>313</v>
      </c>
      <c r="F485" s="18" t="s">
        <v>198</v>
      </c>
      <c r="G485" s="19" t="n">
        <v>40654</v>
      </c>
      <c r="H485" s="18" t="n">
        <v>26</v>
      </c>
      <c r="I485" s="18" t="n">
        <v>5</v>
      </c>
      <c r="J485" s="18" t="n">
        <f aca="false">SUMIFS($H$2:$H$1200,$A$2:$A$1200,$A485,$B$2:$B$1200,"&lt;="&amp;$B485)</f>
        <v>103</v>
      </c>
      <c r="K485" s="18" t="n">
        <f aca="false">SUMIFS($I$2:$I$1200,$A$2:$A$1200,$A485,$B$2:$B$1200,"&lt;="&amp;$B485)</f>
        <v>12</v>
      </c>
      <c r="L485" s="18" t="n">
        <f aca="false">J485-K485</f>
        <v>91</v>
      </c>
      <c r="M485" s="18" t="n">
        <f aca="false">SUMIF($A$2:$A$1200,$A485,$H$2:$H$1200)</f>
        <v>185</v>
      </c>
      <c r="N485" s="20" t="n">
        <f aca="false">IF(M485=0,"",L485/M485)</f>
        <v>0.491891891891892</v>
      </c>
      <c r="O485" s="20"/>
      <c r="P485" s="20" t="str">
        <f aca="false">IF(OR(N485="",O485=""),"",N485-O485)</f>
        <v/>
      </c>
      <c r="Q485" s="18"/>
    </row>
    <row r="486" customFormat="false" ht="15" hidden="false" customHeight="true" outlineLevel="0" collapsed="false">
      <c r="A486" s="18" t="s">
        <v>379</v>
      </c>
      <c r="B486" s="18" t="n">
        <v>9</v>
      </c>
      <c r="C486" s="18" t="s">
        <v>279</v>
      </c>
      <c r="D486" s="18" t="n">
        <v>-90</v>
      </c>
      <c r="E486" s="18" t="s">
        <v>313</v>
      </c>
      <c r="F486" s="18" t="s">
        <v>198</v>
      </c>
      <c r="G486" s="19" t="n">
        <v>40654</v>
      </c>
      <c r="H486" s="18" t="n">
        <v>23</v>
      </c>
      <c r="I486" s="18" t="n">
        <v>6</v>
      </c>
      <c r="J486" s="18" t="n">
        <f aca="false">SUMIFS($H$2:$H$1200,$A$2:$A$1200,$A486,$B$2:$B$1200,"&lt;="&amp;$B486)</f>
        <v>126</v>
      </c>
      <c r="K486" s="18" t="n">
        <f aca="false">SUMIFS($I$2:$I$1200,$A$2:$A$1200,$A486,$B$2:$B$1200,"&lt;="&amp;$B486)</f>
        <v>18</v>
      </c>
      <c r="L486" s="18" t="n">
        <f aca="false">J486-K486</f>
        <v>108</v>
      </c>
      <c r="M486" s="18" t="n">
        <f aca="false">SUMIF($A$2:$A$1200,$A486,$H$2:$H$1200)</f>
        <v>185</v>
      </c>
      <c r="N486" s="20" t="n">
        <f aca="false">IF(M486=0,"",L486/M486)</f>
        <v>0.583783783783784</v>
      </c>
      <c r="O486" s="20"/>
      <c r="P486" s="20" t="str">
        <f aca="false">IF(OR(N486="",O486=""),"",N486-O486)</f>
        <v/>
      </c>
      <c r="Q486" s="18"/>
    </row>
    <row r="487" customFormat="false" ht="15" hidden="false" customHeight="true" outlineLevel="0" collapsed="false">
      <c r="A487" s="18" t="s">
        <v>379</v>
      </c>
      <c r="B487" s="18" t="n">
        <v>10</v>
      </c>
      <c r="C487" s="18" t="s">
        <v>206</v>
      </c>
      <c r="D487" s="18" t="n">
        <v>-75</v>
      </c>
      <c r="E487" s="18" t="s">
        <v>313</v>
      </c>
      <c r="F487" s="18" t="s">
        <v>198</v>
      </c>
      <c r="G487" s="19" t="n">
        <v>40654</v>
      </c>
      <c r="H487" s="18" t="n">
        <v>20</v>
      </c>
      <c r="I487" s="18" t="n">
        <v>8</v>
      </c>
      <c r="J487" s="18" t="n">
        <f aca="false">SUMIFS($H$2:$H$1200,$A$2:$A$1200,$A487,$B$2:$B$1200,"&lt;="&amp;$B487)</f>
        <v>146</v>
      </c>
      <c r="K487" s="18" t="n">
        <f aca="false">SUMIFS($I$2:$I$1200,$A$2:$A$1200,$A487,$B$2:$B$1200,"&lt;="&amp;$B487)</f>
        <v>26</v>
      </c>
      <c r="L487" s="18" t="n">
        <f aca="false">J487-K487</f>
        <v>120</v>
      </c>
      <c r="M487" s="18" t="n">
        <f aca="false">SUMIF($A$2:$A$1200,$A487,$H$2:$H$1200)</f>
        <v>185</v>
      </c>
      <c r="N487" s="20" t="n">
        <f aca="false">IF(M487=0,"",L487/M487)</f>
        <v>0.648648648648649</v>
      </c>
      <c r="O487" s="20"/>
      <c r="P487" s="20" t="str">
        <f aca="false">IF(OR(N487="",O487=""),"",N487-O487)</f>
        <v/>
      </c>
      <c r="Q487" s="18"/>
    </row>
    <row r="488" customFormat="false" ht="15" hidden="false" customHeight="true" outlineLevel="0" collapsed="false">
      <c r="A488" s="18" t="s">
        <v>379</v>
      </c>
      <c r="B488" s="18" t="n">
        <v>11</v>
      </c>
      <c r="C488" s="18" t="s">
        <v>246</v>
      </c>
      <c r="D488" s="18" t="n">
        <v>-60</v>
      </c>
      <c r="E488" s="18" t="s">
        <v>313</v>
      </c>
      <c r="F488" s="18" t="s">
        <v>198</v>
      </c>
      <c r="G488" s="19" t="n">
        <v>40654</v>
      </c>
      <c r="H488" s="18" t="n">
        <v>3</v>
      </c>
      <c r="I488" s="18" t="n">
        <v>16</v>
      </c>
      <c r="J488" s="18" t="n">
        <f aca="false">SUMIFS($H$2:$H$1200,$A$2:$A$1200,$A488,$B$2:$B$1200,"&lt;="&amp;$B488)</f>
        <v>149</v>
      </c>
      <c r="K488" s="18" t="n">
        <f aca="false">SUMIFS($I$2:$I$1200,$A$2:$A$1200,$A488,$B$2:$B$1200,"&lt;="&amp;$B488)</f>
        <v>42</v>
      </c>
      <c r="L488" s="18" t="n">
        <f aca="false">J488-K488</f>
        <v>107</v>
      </c>
      <c r="M488" s="18" t="n">
        <f aca="false">SUMIF($A$2:$A$1200,$A488,$H$2:$H$1200)</f>
        <v>185</v>
      </c>
      <c r="N488" s="20" t="n">
        <f aca="false">IF(M488=0,"",L488/M488)</f>
        <v>0.578378378378378</v>
      </c>
      <c r="O488" s="20"/>
      <c r="P488" s="20" t="str">
        <f aca="false">IF(OR(N488="",O488=""),"",N488-O488)</f>
        <v/>
      </c>
      <c r="Q488" s="18"/>
    </row>
    <row r="489" customFormat="false" ht="15" hidden="false" customHeight="true" outlineLevel="0" collapsed="false">
      <c r="A489" s="18" t="s">
        <v>379</v>
      </c>
      <c r="B489" s="18" t="n">
        <v>12</v>
      </c>
      <c r="C489" s="18" t="s">
        <v>254</v>
      </c>
      <c r="D489" s="18" t="n">
        <v>-45</v>
      </c>
      <c r="E489" s="18" t="s">
        <v>313</v>
      </c>
      <c r="F489" s="18" t="s">
        <v>198</v>
      </c>
      <c r="G489" s="19" t="n">
        <v>40654</v>
      </c>
      <c r="H489" s="18" t="n">
        <v>8</v>
      </c>
      <c r="I489" s="18" t="n">
        <v>15</v>
      </c>
      <c r="J489" s="18" t="n">
        <f aca="false">SUMIFS($H$2:$H$1200,$A$2:$A$1200,$A489,$B$2:$B$1200,"&lt;="&amp;$B489)</f>
        <v>157</v>
      </c>
      <c r="K489" s="18" t="n">
        <f aca="false">SUMIFS($I$2:$I$1200,$A$2:$A$1200,$A489,$B$2:$B$1200,"&lt;="&amp;$B489)</f>
        <v>57</v>
      </c>
      <c r="L489" s="18" t="n">
        <f aca="false">J489-K489</f>
        <v>100</v>
      </c>
      <c r="M489" s="18" t="n">
        <f aca="false">SUMIF($A$2:$A$1200,$A489,$H$2:$H$1200)</f>
        <v>185</v>
      </c>
      <c r="N489" s="20" t="n">
        <f aca="false">IF(M489=0,"",L489/M489)</f>
        <v>0.540540540540541</v>
      </c>
      <c r="O489" s="20"/>
      <c r="P489" s="20" t="str">
        <f aca="false">IF(OR(N489="",O489=""),"",N489-O489)</f>
        <v/>
      </c>
      <c r="Q489" s="18"/>
    </row>
    <row r="490" customFormat="false" ht="15" hidden="false" customHeight="true" outlineLevel="0" collapsed="false">
      <c r="A490" s="18" t="s">
        <v>379</v>
      </c>
      <c r="B490" s="18" t="n">
        <v>13</v>
      </c>
      <c r="C490" s="18" t="s">
        <v>403</v>
      </c>
      <c r="D490" s="18" t="n">
        <v>-30</v>
      </c>
      <c r="E490" s="18" t="s">
        <v>313</v>
      </c>
      <c r="F490" s="18" t="s">
        <v>198</v>
      </c>
      <c r="G490" s="19" t="n">
        <v>40654</v>
      </c>
      <c r="H490" s="18" t="n">
        <v>6</v>
      </c>
      <c r="I490" s="18" t="n">
        <v>13</v>
      </c>
      <c r="J490" s="18" t="n">
        <f aca="false">SUMIFS($H$2:$H$1200,$A$2:$A$1200,$A490,$B$2:$B$1200,"&lt;="&amp;$B490)</f>
        <v>163</v>
      </c>
      <c r="K490" s="18" t="n">
        <f aca="false">SUMIFS($I$2:$I$1200,$A$2:$A$1200,$A490,$B$2:$B$1200,"&lt;="&amp;$B490)</f>
        <v>70</v>
      </c>
      <c r="L490" s="18" t="n">
        <f aca="false">J490-K490</f>
        <v>93</v>
      </c>
      <c r="M490" s="18" t="n">
        <f aca="false">SUMIF($A$2:$A$1200,$A490,$H$2:$H$1200)</f>
        <v>185</v>
      </c>
      <c r="N490" s="20" t="n">
        <f aca="false">IF(M490=0,"",L490/M490)</f>
        <v>0.502702702702703</v>
      </c>
      <c r="O490" s="20"/>
      <c r="P490" s="20" t="str">
        <f aca="false">IF(OR(N490="",O490=""),"",N490-O490)</f>
        <v/>
      </c>
      <c r="Q490" s="18"/>
    </row>
    <row r="491" customFormat="false" ht="15" hidden="false" customHeight="true" outlineLevel="0" collapsed="false">
      <c r="A491" s="18" t="s">
        <v>379</v>
      </c>
      <c r="B491" s="18" t="n">
        <v>14</v>
      </c>
      <c r="C491" s="18" t="s">
        <v>529</v>
      </c>
      <c r="D491" s="18" t="n">
        <v>-15</v>
      </c>
      <c r="E491" s="18" t="s">
        <v>313</v>
      </c>
      <c r="F491" s="18" t="s">
        <v>198</v>
      </c>
      <c r="G491" s="19" t="n">
        <v>40654</v>
      </c>
      <c r="H491" s="18" t="n">
        <v>6</v>
      </c>
      <c r="I491" s="18" t="n">
        <v>25</v>
      </c>
      <c r="J491" s="18" t="n">
        <f aca="false">SUMIFS($H$2:$H$1200,$A$2:$A$1200,$A491,$B$2:$B$1200,"&lt;="&amp;$B491)</f>
        <v>169</v>
      </c>
      <c r="K491" s="18" t="n">
        <f aca="false">SUMIFS($I$2:$I$1200,$A$2:$A$1200,$A491,$B$2:$B$1200,"&lt;="&amp;$B491)</f>
        <v>95</v>
      </c>
      <c r="L491" s="18" t="n">
        <f aca="false">J491-K491</f>
        <v>74</v>
      </c>
      <c r="M491" s="18" t="n">
        <f aca="false">SUMIF($A$2:$A$1200,$A491,$H$2:$H$1200)</f>
        <v>185</v>
      </c>
      <c r="N491" s="20" t="n">
        <f aca="false">IF(M491=0,"",L491/M491)</f>
        <v>0.4</v>
      </c>
      <c r="O491" s="20"/>
      <c r="P491" s="20" t="str">
        <f aca="false">IF(OR(N491="",O491=""),"",N491-O491)</f>
        <v/>
      </c>
      <c r="Q491" s="18"/>
    </row>
    <row r="492" customFormat="false" ht="15" hidden="false" customHeight="true" outlineLevel="0" collapsed="false">
      <c r="A492" s="18" t="s">
        <v>379</v>
      </c>
      <c r="B492" s="18" t="n">
        <v>15</v>
      </c>
      <c r="C492" s="18" t="s">
        <v>463</v>
      </c>
      <c r="D492" s="18" t="n">
        <v>0</v>
      </c>
      <c r="E492" s="18" t="s">
        <v>313</v>
      </c>
      <c r="F492" s="18" t="s">
        <v>198</v>
      </c>
      <c r="G492" s="19" t="n">
        <v>40654</v>
      </c>
      <c r="H492" s="18" t="n">
        <v>5</v>
      </c>
      <c r="I492" s="18" t="n">
        <v>37</v>
      </c>
      <c r="J492" s="18" t="n">
        <f aca="false">SUMIFS($H$2:$H$1200,$A$2:$A$1200,$A492,$B$2:$B$1200,"&lt;="&amp;$B492)</f>
        <v>174</v>
      </c>
      <c r="K492" s="18" t="n">
        <f aca="false">SUMIFS($I$2:$I$1200,$A$2:$A$1200,$A492,$B$2:$B$1200,"&lt;="&amp;$B492)</f>
        <v>132</v>
      </c>
      <c r="L492" s="18" t="n">
        <f aca="false">J492-K492</f>
        <v>42</v>
      </c>
      <c r="M492" s="18" t="n">
        <f aca="false">SUMIF($A$2:$A$1200,$A492,$H$2:$H$1200)</f>
        <v>185</v>
      </c>
      <c r="N492" s="20" t="n">
        <f aca="false">IF(M492=0,"",L492/M492)</f>
        <v>0.227027027027027</v>
      </c>
      <c r="O492" s="20"/>
      <c r="P492" s="20" t="str">
        <f aca="false">IF(OR(N492="",O492=""),"",N492-O492)</f>
        <v/>
      </c>
      <c r="Q492" s="18"/>
    </row>
    <row r="493" customFormat="false" ht="15" hidden="false" customHeight="true" outlineLevel="0" collapsed="false">
      <c r="A493" s="18" t="s">
        <v>379</v>
      </c>
      <c r="B493" s="18" t="n">
        <v>16</v>
      </c>
      <c r="C493" s="18" t="s">
        <v>366</v>
      </c>
      <c r="D493" s="18" t="n">
        <v>15</v>
      </c>
      <c r="E493" s="18" t="s">
        <v>313</v>
      </c>
      <c r="F493" s="18" t="s">
        <v>198</v>
      </c>
      <c r="G493" s="19" t="n">
        <v>40654</v>
      </c>
      <c r="H493" s="18" t="n">
        <v>5</v>
      </c>
      <c r="I493" s="18" t="n">
        <v>21</v>
      </c>
      <c r="J493" s="18" t="n">
        <f aca="false">SUMIFS($H$2:$H$1200,$A$2:$A$1200,$A493,$B$2:$B$1200,"&lt;="&amp;$B493)</f>
        <v>179</v>
      </c>
      <c r="K493" s="18" t="n">
        <f aca="false">SUMIFS($I$2:$I$1200,$A$2:$A$1200,$A493,$B$2:$B$1200,"&lt;="&amp;$B493)</f>
        <v>153</v>
      </c>
      <c r="L493" s="18" t="n">
        <f aca="false">J493-K493</f>
        <v>26</v>
      </c>
      <c r="M493" s="18" t="n">
        <f aca="false">SUMIF($A$2:$A$1200,$A493,$H$2:$H$1200)</f>
        <v>185</v>
      </c>
      <c r="N493" s="20" t="n">
        <f aca="false">IF(M493=0,"",L493/M493)</f>
        <v>0.140540540540541</v>
      </c>
      <c r="O493" s="20"/>
      <c r="P493" s="20" t="str">
        <f aca="false">IF(OR(N493="",O493=""),"",N493-O493)</f>
        <v/>
      </c>
      <c r="Q493" s="18"/>
    </row>
    <row r="494" customFormat="false" ht="15" hidden="false" customHeight="true" outlineLevel="0" collapsed="false">
      <c r="A494" s="18" t="s">
        <v>379</v>
      </c>
      <c r="B494" s="18" t="n">
        <v>17</v>
      </c>
      <c r="C494" s="18" t="s">
        <v>326</v>
      </c>
      <c r="D494" s="18" t="n">
        <v>30</v>
      </c>
      <c r="E494" s="18" t="s">
        <v>313</v>
      </c>
      <c r="F494" s="18" t="s">
        <v>198</v>
      </c>
      <c r="G494" s="19" t="n">
        <v>40654</v>
      </c>
      <c r="H494" s="18" t="n">
        <v>3</v>
      </c>
      <c r="I494" s="18" t="n">
        <v>12</v>
      </c>
      <c r="J494" s="18" t="n">
        <f aca="false">SUMIFS($H$2:$H$1200,$A$2:$A$1200,$A494,$B$2:$B$1200,"&lt;="&amp;$B494)</f>
        <v>182</v>
      </c>
      <c r="K494" s="18" t="n">
        <f aca="false">SUMIFS($I$2:$I$1200,$A$2:$A$1200,$A494,$B$2:$B$1200,"&lt;="&amp;$B494)</f>
        <v>165</v>
      </c>
      <c r="L494" s="18" t="n">
        <f aca="false">J494-K494</f>
        <v>17</v>
      </c>
      <c r="M494" s="18" t="n">
        <f aca="false">SUMIF($A$2:$A$1200,$A494,$H$2:$H$1200)</f>
        <v>185</v>
      </c>
      <c r="N494" s="20" t="n">
        <f aca="false">IF(M494=0,"",L494/M494)</f>
        <v>0.0918918918918919</v>
      </c>
      <c r="O494" s="20"/>
      <c r="P494" s="20" t="str">
        <f aca="false">IF(OR(N494="",O494=""),"",N494-O494)</f>
        <v/>
      </c>
      <c r="Q494" s="18"/>
    </row>
    <row r="495" customFormat="false" ht="15" hidden="false" customHeight="true" outlineLevel="0" collapsed="false">
      <c r="A495" s="18" t="s">
        <v>379</v>
      </c>
      <c r="B495" s="18" t="n">
        <v>18</v>
      </c>
      <c r="C495" s="18" t="s">
        <v>226</v>
      </c>
      <c r="D495" s="18" t="n">
        <v>45</v>
      </c>
      <c r="E495" s="18" t="s">
        <v>313</v>
      </c>
      <c r="F495" s="18" t="s">
        <v>198</v>
      </c>
      <c r="G495" s="19" t="n">
        <v>40654</v>
      </c>
      <c r="H495" s="18" t="n">
        <v>3</v>
      </c>
      <c r="I495" s="18" t="n">
        <v>8</v>
      </c>
      <c r="J495" s="18" t="n">
        <f aca="false">SUMIFS($H$2:$H$1200,$A$2:$A$1200,$A495,$B$2:$B$1200,"&lt;="&amp;$B495)</f>
        <v>185</v>
      </c>
      <c r="K495" s="18" t="n">
        <f aca="false">SUMIFS($I$2:$I$1200,$A$2:$A$1200,$A495,$B$2:$B$1200,"&lt;="&amp;$B495)</f>
        <v>173</v>
      </c>
      <c r="L495" s="18" t="n">
        <f aca="false">J495-K495</f>
        <v>12</v>
      </c>
      <c r="M495" s="18" t="n">
        <f aca="false">SUMIF($A$2:$A$1200,$A495,$H$2:$H$1200)</f>
        <v>185</v>
      </c>
      <c r="N495" s="20" t="n">
        <f aca="false">IF(M495=0,"",L495/M495)</f>
        <v>0.0648648648648649</v>
      </c>
      <c r="O495" s="20"/>
      <c r="P495" s="20" t="str">
        <f aca="false">IF(OR(N495="",O495=""),"",N495-O495)</f>
        <v/>
      </c>
      <c r="Q495" s="18"/>
    </row>
    <row r="496" customFormat="false" ht="15" hidden="false" customHeight="true" outlineLevel="0" collapsed="false">
      <c r="A496" s="18" t="s">
        <v>382</v>
      </c>
      <c r="B496" s="18" t="n">
        <v>0</v>
      </c>
      <c r="C496" s="18" t="s">
        <v>204</v>
      </c>
      <c r="D496" s="18"/>
      <c r="E496" s="18" t="s">
        <v>313</v>
      </c>
      <c r="F496" s="18" t="s">
        <v>198</v>
      </c>
      <c r="G496" s="19" t="n">
        <v>44654</v>
      </c>
      <c r="H496" s="18" t="n">
        <v>2</v>
      </c>
      <c r="I496" s="18" t="n">
        <v>0</v>
      </c>
      <c r="J496" s="18" t="n">
        <f aca="false">SUMIFS($H$2:$H$1200,$A$2:$A$1200,$A496,$B$2:$B$1200,"&lt;="&amp;$B496)</f>
        <v>2</v>
      </c>
      <c r="K496" s="18" t="n">
        <f aca="false">SUMIFS($I$2:$I$1200,$A$2:$A$1200,$A496,$B$2:$B$1200,"&lt;="&amp;$B496)</f>
        <v>0</v>
      </c>
      <c r="L496" s="18" t="n">
        <f aca="false">J496-K496</f>
        <v>2</v>
      </c>
      <c r="M496" s="18" t="n">
        <f aca="false">SUMIF($A$2:$A$1200,$A496,$H$2:$H$1200)</f>
        <v>239</v>
      </c>
      <c r="N496" s="20" t="n">
        <f aca="false">IF(M496=0,"",L496/M496)</f>
        <v>0.00836820083682008</v>
      </c>
      <c r="O496" s="20" t="n">
        <v>0.00836820083682008</v>
      </c>
      <c r="P496" s="20" t="n">
        <f aca="false">IF(OR(N496="",O496=""),"",N496-O496)</f>
        <v>0</v>
      </c>
      <c r="Q496" s="18"/>
    </row>
    <row r="497" customFormat="false" ht="15" hidden="false" customHeight="true" outlineLevel="0" collapsed="false">
      <c r="A497" s="18" t="s">
        <v>382</v>
      </c>
      <c r="B497" s="18" t="n">
        <v>3</v>
      </c>
      <c r="C497" s="18" t="s">
        <v>525</v>
      </c>
      <c r="D497" s="18" t="n">
        <v>-180</v>
      </c>
      <c r="E497" s="18" t="s">
        <v>313</v>
      </c>
      <c r="F497" s="18" t="s">
        <v>198</v>
      </c>
      <c r="G497" s="19" t="n">
        <v>44654</v>
      </c>
      <c r="H497" s="18" t="n">
        <v>0</v>
      </c>
      <c r="I497" s="18" t="n">
        <v>0</v>
      </c>
      <c r="J497" s="18" t="n">
        <f aca="false">SUMIFS($H$2:$H$1200,$A$2:$A$1200,$A497,$B$2:$B$1200,"&lt;="&amp;$B497)</f>
        <v>2</v>
      </c>
      <c r="K497" s="18" t="n">
        <f aca="false">SUMIFS($I$2:$I$1200,$A$2:$A$1200,$A497,$B$2:$B$1200,"&lt;="&amp;$B497)</f>
        <v>0</v>
      </c>
      <c r="L497" s="18" t="n">
        <f aca="false">J497-K497</f>
        <v>2</v>
      </c>
      <c r="M497" s="18" t="n">
        <f aca="false">SUMIF($A$2:$A$1200,$A497,$H$2:$H$1200)</f>
        <v>239</v>
      </c>
      <c r="N497" s="20" t="n">
        <f aca="false">IF(M497=0,"",L497/M497)</f>
        <v>0.00836820083682008</v>
      </c>
      <c r="O497" s="20" t="n">
        <v>0.00836820083682008</v>
      </c>
      <c r="P497" s="20" t="n">
        <f aca="false">IF(OR(N497="",O497=""),"",N497-O497)</f>
        <v>0</v>
      </c>
      <c r="Q497" s="18"/>
    </row>
    <row r="498" customFormat="false" ht="15" hidden="false" customHeight="true" outlineLevel="0" collapsed="false">
      <c r="A498" s="18" t="s">
        <v>382</v>
      </c>
      <c r="B498" s="18" t="n">
        <v>4</v>
      </c>
      <c r="C498" s="18" t="s">
        <v>526</v>
      </c>
      <c r="D498" s="18" t="n">
        <v>-165</v>
      </c>
      <c r="E498" s="18" t="s">
        <v>313</v>
      </c>
      <c r="F498" s="18" t="s">
        <v>198</v>
      </c>
      <c r="G498" s="19" t="n">
        <v>44654</v>
      </c>
      <c r="H498" s="18" t="n">
        <v>1</v>
      </c>
      <c r="I498" s="18" t="n">
        <v>0</v>
      </c>
      <c r="J498" s="18" t="n">
        <f aca="false">SUMIFS($H$2:$H$1200,$A$2:$A$1200,$A498,$B$2:$B$1200,"&lt;="&amp;$B498)</f>
        <v>3</v>
      </c>
      <c r="K498" s="18" t="n">
        <f aca="false">SUMIFS($I$2:$I$1200,$A$2:$A$1200,$A498,$B$2:$B$1200,"&lt;="&amp;$B498)</f>
        <v>0</v>
      </c>
      <c r="L498" s="18" t="n">
        <f aca="false">J498-K498</f>
        <v>3</v>
      </c>
      <c r="M498" s="18" t="n">
        <f aca="false">SUMIF($A$2:$A$1200,$A498,$H$2:$H$1200)</f>
        <v>239</v>
      </c>
      <c r="N498" s="20" t="n">
        <f aca="false">IF(M498=0,"",L498/M498)</f>
        <v>0.0125523012552301</v>
      </c>
      <c r="O498" s="20" t="n">
        <v>0.0125523012552301</v>
      </c>
      <c r="P498" s="20" t="n">
        <f aca="false">IF(OR(N498="",O498=""),"",N498-O498)</f>
        <v>0</v>
      </c>
      <c r="Q498" s="18"/>
    </row>
    <row r="499" customFormat="false" ht="15" hidden="false" customHeight="true" outlineLevel="0" collapsed="false">
      <c r="A499" s="18" t="s">
        <v>382</v>
      </c>
      <c r="B499" s="18" t="n">
        <v>5</v>
      </c>
      <c r="C499" s="18" t="s">
        <v>527</v>
      </c>
      <c r="D499" s="18" t="n">
        <v>-150</v>
      </c>
      <c r="E499" s="18" t="s">
        <v>313</v>
      </c>
      <c r="F499" s="18" t="s">
        <v>198</v>
      </c>
      <c r="G499" s="19" t="n">
        <v>44654</v>
      </c>
      <c r="H499" s="18" t="n">
        <v>6</v>
      </c>
      <c r="I499" s="18" t="n">
        <v>0</v>
      </c>
      <c r="J499" s="18" t="n">
        <f aca="false">SUMIFS($H$2:$H$1200,$A$2:$A$1200,$A499,$B$2:$B$1200,"&lt;="&amp;$B499)</f>
        <v>9</v>
      </c>
      <c r="K499" s="18" t="n">
        <f aca="false">SUMIFS($I$2:$I$1200,$A$2:$A$1200,$A499,$B$2:$B$1200,"&lt;="&amp;$B499)</f>
        <v>0</v>
      </c>
      <c r="L499" s="18" t="n">
        <f aca="false">J499-K499</f>
        <v>9</v>
      </c>
      <c r="M499" s="18" t="n">
        <f aca="false">SUMIF($A$2:$A$1200,$A499,$H$2:$H$1200)</f>
        <v>239</v>
      </c>
      <c r="N499" s="20" t="n">
        <f aca="false">IF(M499=0,"",L499/M499)</f>
        <v>0.0376569037656904</v>
      </c>
      <c r="O499" s="20" t="n">
        <v>0.0376569037656904</v>
      </c>
      <c r="P499" s="20" t="n">
        <f aca="false">IF(OR(N499="",O499=""),"",N499-O499)</f>
        <v>0</v>
      </c>
      <c r="Q499" s="18"/>
    </row>
    <row r="500" customFormat="false" ht="15" hidden="false" customHeight="true" outlineLevel="0" collapsed="false">
      <c r="A500" s="18" t="s">
        <v>382</v>
      </c>
      <c r="B500" s="18" t="n">
        <v>6</v>
      </c>
      <c r="C500" s="18" t="s">
        <v>528</v>
      </c>
      <c r="D500" s="18" t="n">
        <v>-135</v>
      </c>
      <c r="E500" s="18" t="s">
        <v>313</v>
      </c>
      <c r="F500" s="18" t="s">
        <v>198</v>
      </c>
      <c r="G500" s="19" t="n">
        <v>44654</v>
      </c>
      <c r="H500" s="18" t="n">
        <v>15</v>
      </c>
      <c r="I500" s="18" t="n">
        <v>1</v>
      </c>
      <c r="J500" s="18" t="n">
        <f aca="false">SUMIFS($H$2:$H$1200,$A$2:$A$1200,$A500,$B$2:$B$1200,"&lt;="&amp;$B500)</f>
        <v>24</v>
      </c>
      <c r="K500" s="18" t="n">
        <f aca="false">SUMIFS($I$2:$I$1200,$A$2:$A$1200,$A500,$B$2:$B$1200,"&lt;="&amp;$B500)</f>
        <v>1</v>
      </c>
      <c r="L500" s="18" t="n">
        <f aca="false">J500-K500</f>
        <v>23</v>
      </c>
      <c r="M500" s="18" t="n">
        <f aca="false">SUMIF($A$2:$A$1200,$A500,$H$2:$H$1200)</f>
        <v>239</v>
      </c>
      <c r="N500" s="20" t="n">
        <f aca="false">IF(M500=0,"",L500/M500)</f>
        <v>0.096234309623431</v>
      </c>
      <c r="O500" s="20" t="n">
        <v>0.096234309623431</v>
      </c>
      <c r="P500" s="20" t="n">
        <f aca="false">IF(OR(N500="",O500=""),"",N500-O500)</f>
        <v>0</v>
      </c>
      <c r="Q500" s="18"/>
    </row>
    <row r="501" customFormat="false" ht="15" hidden="false" customHeight="true" outlineLevel="0" collapsed="false">
      <c r="A501" s="18" t="s">
        <v>382</v>
      </c>
      <c r="B501" s="18" t="n">
        <v>7</v>
      </c>
      <c r="C501" s="18" t="s">
        <v>227</v>
      </c>
      <c r="D501" s="18" t="n">
        <v>-120</v>
      </c>
      <c r="E501" s="18" t="s">
        <v>313</v>
      </c>
      <c r="F501" s="18" t="s">
        <v>198</v>
      </c>
      <c r="G501" s="19" t="n">
        <v>44654</v>
      </c>
      <c r="H501" s="18" t="n">
        <v>25</v>
      </c>
      <c r="I501" s="18" t="n">
        <v>0</v>
      </c>
      <c r="J501" s="18" t="n">
        <f aca="false">SUMIFS($H$2:$H$1200,$A$2:$A$1200,$A501,$B$2:$B$1200,"&lt;="&amp;$B501)</f>
        <v>49</v>
      </c>
      <c r="K501" s="18" t="n">
        <f aca="false">SUMIFS($I$2:$I$1200,$A$2:$A$1200,$A501,$B$2:$B$1200,"&lt;="&amp;$B501)</f>
        <v>1</v>
      </c>
      <c r="L501" s="18" t="n">
        <f aca="false">J501-K501</f>
        <v>48</v>
      </c>
      <c r="M501" s="18" t="n">
        <f aca="false">SUMIF($A$2:$A$1200,$A501,$H$2:$H$1200)</f>
        <v>239</v>
      </c>
      <c r="N501" s="20" t="n">
        <f aca="false">IF(M501=0,"",L501/M501)</f>
        <v>0.200836820083682</v>
      </c>
      <c r="O501" s="20" t="n">
        <v>0.200836820083682</v>
      </c>
      <c r="P501" s="20" t="n">
        <f aca="false">IF(OR(N501="",O501=""),"",N501-O501)</f>
        <v>0</v>
      </c>
      <c r="Q501" s="18"/>
    </row>
    <row r="502" customFormat="false" ht="15" hidden="false" customHeight="true" outlineLevel="0" collapsed="false">
      <c r="A502" s="18" t="s">
        <v>382</v>
      </c>
      <c r="B502" s="18" t="n">
        <v>8</v>
      </c>
      <c r="C502" s="18" t="s">
        <v>241</v>
      </c>
      <c r="D502" s="18" t="n">
        <v>-105</v>
      </c>
      <c r="E502" s="18" t="s">
        <v>313</v>
      </c>
      <c r="F502" s="18" t="s">
        <v>198</v>
      </c>
      <c r="G502" s="19" t="n">
        <v>44654</v>
      </c>
      <c r="H502" s="18" t="n">
        <v>31</v>
      </c>
      <c r="I502" s="18" t="n">
        <v>0</v>
      </c>
      <c r="J502" s="18" t="n">
        <f aca="false">SUMIFS($H$2:$H$1200,$A$2:$A$1200,$A502,$B$2:$B$1200,"&lt;="&amp;$B502)</f>
        <v>80</v>
      </c>
      <c r="K502" s="18" t="n">
        <f aca="false">SUMIFS($I$2:$I$1200,$A$2:$A$1200,$A502,$B$2:$B$1200,"&lt;="&amp;$B502)</f>
        <v>1</v>
      </c>
      <c r="L502" s="18" t="n">
        <f aca="false">J502-K502</f>
        <v>79</v>
      </c>
      <c r="M502" s="18" t="n">
        <f aca="false">SUMIF($A$2:$A$1200,$A502,$H$2:$H$1200)</f>
        <v>239</v>
      </c>
      <c r="N502" s="20" t="n">
        <f aca="false">IF(M502=0,"",L502/M502)</f>
        <v>0.330543933054393</v>
      </c>
      <c r="O502" s="20" t="n">
        <v>0.330543933054393</v>
      </c>
      <c r="P502" s="20" t="n">
        <f aca="false">IF(OR(N502="",O502=""),"",N502-O502)</f>
        <v>0</v>
      </c>
      <c r="Q502" s="18"/>
    </row>
    <row r="503" customFormat="false" ht="15" hidden="false" customHeight="true" outlineLevel="0" collapsed="false">
      <c r="A503" s="18" t="s">
        <v>382</v>
      </c>
      <c r="B503" s="18" t="n">
        <v>9</v>
      </c>
      <c r="C503" s="18" t="s">
        <v>279</v>
      </c>
      <c r="D503" s="18" t="n">
        <v>-90</v>
      </c>
      <c r="E503" s="18" t="s">
        <v>313</v>
      </c>
      <c r="F503" s="18" t="s">
        <v>198</v>
      </c>
      <c r="G503" s="19" t="n">
        <v>44654</v>
      </c>
      <c r="H503" s="18" t="n">
        <v>38</v>
      </c>
      <c r="I503" s="18" t="n">
        <v>1</v>
      </c>
      <c r="J503" s="18" t="n">
        <f aca="false">SUMIFS($H$2:$H$1200,$A$2:$A$1200,$A503,$B$2:$B$1200,"&lt;="&amp;$B503)</f>
        <v>118</v>
      </c>
      <c r="K503" s="18" t="n">
        <f aca="false">SUMIFS($I$2:$I$1200,$A$2:$A$1200,$A503,$B$2:$B$1200,"&lt;="&amp;$B503)</f>
        <v>2</v>
      </c>
      <c r="L503" s="18" t="n">
        <f aca="false">J503-K503</f>
        <v>116</v>
      </c>
      <c r="M503" s="18" t="n">
        <f aca="false">SUMIF($A$2:$A$1200,$A503,$H$2:$H$1200)</f>
        <v>239</v>
      </c>
      <c r="N503" s="20" t="n">
        <f aca="false">IF(M503=0,"",L503/M503)</f>
        <v>0.485355648535565</v>
      </c>
      <c r="O503" s="20" t="n">
        <v>0.485355648535565</v>
      </c>
      <c r="P503" s="20" t="n">
        <f aca="false">IF(OR(N503="",O503=""),"",N503-O503)</f>
        <v>0</v>
      </c>
      <c r="Q503" s="18"/>
    </row>
    <row r="504" customFormat="false" ht="15" hidden="false" customHeight="true" outlineLevel="0" collapsed="false">
      <c r="A504" s="18" t="s">
        <v>382</v>
      </c>
      <c r="B504" s="18" t="n">
        <v>10</v>
      </c>
      <c r="C504" s="18" t="s">
        <v>206</v>
      </c>
      <c r="D504" s="18" t="n">
        <v>-75</v>
      </c>
      <c r="E504" s="18" t="s">
        <v>313</v>
      </c>
      <c r="F504" s="18" t="s">
        <v>198</v>
      </c>
      <c r="G504" s="19" t="n">
        <v>44654</v>
      </c>
      <c r="H504" s="18" t="n">
        <v>27</v>
      </c>
      <c r="I504" s="18" t="n">
        <v>8</v>
      </c>
      <c r="J504" s="18" t="n">
        <f aca="false">SUMIFS($H$2:$H$1200,$A$2:$A$1200,$A504,$B$2:$B$1200,"&lt;="&amp;$B504)</f>
        <v>145</v>
      </c>
      <c r="K504" s="18" t="n">
        <f aca="false">SUMIFS($I$2:$I$1200,$A$2:$A$1200,$A504,$B$2:$B$1200,"&lt;="&amp;$B504)</f>
        <v>10</v>
      </c>
      <c r="L504" s="18" t="n">
        <f aca="false">J504-K504</f>
        <v>135</v>
      </c>
      <c r="M504" s="18" t="n">
        <f aca="false">SUMIF($A$2:$A$1200,$A504,$H$2:$H$1200)</f>
        <v>239</v>
      </c>
      <c r="N504" s="20" t="n">
        <f aca="false">IF(M504=0,"",L504/M504)</f>
        <v>0.564853556485356</v>
      </c>
      <c r="O504" s="20" t="n">
        <v>0.564853556485356</v>
      </c>
      <c r="P504" s="20" t="n">
        <f aca="false">IF(OR(N504="",O504=""),"",N504-O504)</f>
        <v>0</v>
      </c>
      <c r="Q504" s="18"/>
    </row>
    <row r="505" customFormat="false" ht="15" hidden="false" customHeight="true" outlineLevel="0" collapsed="false">
      <c r="A505" s="18" t="s">
        <v>382</v>
      </c>
      <c r="B505" s="18" t="n">
        <v>11</v>
      </c>
      <c r="C505" s="18" t="s">
        <v>246</v>
      </c>
      <c r="D505" s="18" t="n">
        <v>-60</v>
      </c>
      <c r="E505" s="18" t="s">
        <v>313</v>
      </c>
      <c r="F505" s="18" t="s">
        <v>198</v>
      </c>
      <c r="G505" s="19" t="n">
        <v>44654</v>
      </c>
      <c r="H505" s="18" t="n">
        <v>28</v>
      </c>
      <c r="I505" s="18" t="n">
        <v>10</v>
      </c>
      <c r="J505" s="18" t="n">
        <f aca="false">SUMIFS($H$2:$H$1200,$A$2:$A$1200,$A505,$B$2:$B$1200,"&lt;="&amp;$B505)</f>
        <v>173</v>
      </c>
      <c r="K505" s="18" t="n">
        <f aca="false">SUMIFS($I$2:$I$1200,$A$2:$A$1200,$A505,$B$2:$B$1200,"&lt;="&amp;$B505)</f>
        <v>20</v>
      </c>
      <c r="L505" s="18" t="n">
        <f aca="false">J505-K505</f>
        <v>153</v>
      </c>
      <c r="M505" s="18" t="n">
        <f aca="false">SUMIF($A$2:$A$1200,$A505,$H$2:$H$1200)</f>
        <v>239</v>
      </c>
      <c r="N505" s="20" t="n">
        <f aca="false">IF(M505=0,"",L505/M505)</f>
        <v>0.640167364016736</v>
      </c>
      <c r="O505" s="20" t="n">
        <v>0.640167364016736</v>
      </c>
      <c r="P505" s="20" t="n">
        <f aca="false">IF(OR(N505="",O505=""),"",N505-O505)</f>
        <v>0</v>
      </c>
      <c r="Q505" s="18"/>
    </row>
    <row r="506" customFormat="false" ht="15" hidden="false" customHeight="true" outlineLevel="0" collapsed="false">
      <c r="A506" s="18" t="s">
        <v>382</v>
      </c>
      <c r="B506" s="18" t="n">
        <v>12</v>
      </c>
      <c r="C506" s="18" t="s">
        <v>254</v>
      </c>
      <c r="D506" s="18" t="n">
        <v>-45</v>
      </c>
      <c r="E506" s="18" t="s">
        <v>313</v>
      </c>
      <c r="F506" s="18" t="s">
        <v>198</v>
      </c>
      <c r="G506" s="19" t="n">
        <v>44654</v>
      </c>
      <c r="H506" s="18" t="n">
        <v>23</v>
      </c>
      <c r="I506" s="18" t="n">
        <v>19</v>
      </c>
      <c r="J506" s="18" t="n">
        <f aca="false">SUMIFS($H$2:$H$1200,$A$2:$A$1200,$A506,$B$2:$B$1200,"&lt;="&amp;$B506)</f>
        <v>196</v>
      </c>
      <c r="K506" s="18" t="n">
        <f aca="false">SUMIFS($I$2:$I$1200,$A$2:$A$1200,$A506,$B$2:$B$1200,"&lt;="&amp;$B506)</f>
        <v>39</v>
      </c>
      <c r="L506" s="18" t="n">
        <f aca="false">J506-K506</f>
        <v>157</v>
      </c>
      <c r="M506" s="18" t="n">
        <f aca="false">SUMIF($A$2:$A$1200,$A506,$H$2:$H$1200)</f>
        <v>239</v>
      </c>
      <c r="N506" s="20" t="n">
        <f aca="false">IF(M506=0,"",L506/M506)</f>
        <v>0.656903765690377</v>
      </c>
      <c r="O506" s="20" t="n">
        <v>0.656903765690377</v>
      </c>
      <c r="P506" s="20" t="n">
        <f aca="false">IF(OR(N506="",O506=""),"",N506-O506)</f>
        <v>0</v>
      </c>
      <c r="Q506" s="18"/>
    </row>
    <row r="507" customFormat="false" ht="15" hidden="false" customHeight="true" outlineLevel="0" collapsed="false">
      <c r="A507" s="18" t="s">
        <v>382</v>
      </c>
      <c r="B507" s="18" t="n">
        <v>13</v>
      </c>
      <c r="C507" s="18" t="s">
        <v>403</v>
      </c>
      <c r="D507" s="18" t="n">
        <v>-30</v>
      </c>
      <c r="E507" s="18" t="s">
        <v>313</v>
      </c>
      <c r="F507" s="18" t="s">
        <v>198</v>
      </c>
      <c r="G507" s="19" t="n">
        <v>44654</v>
      </c>
      <c r="H507" s="18" t="n">
        <v>20</v>
      </c>
      <c r="I507" s="18" t="n">
        <v>22</v>
      </c>
      <c r="J507" s="18" t="n">
        <f aca="false">SUMIFS($H$2:$H$1200,$A$2:$A$1200,$A507,$B$2:$B$1200,"&lt;="&amp;$B507)</f>
        <v>216</v>
      </c>
      <c r="K507" s="18" t="n">
        <f aca="false">SUMIFS($I$2:$I$1200,$A$2:$A$1200,$A507,$B$2:$B$1200,"&lt;="&amp;$B507)</f>
        <v>61</v>
      </c>
      <c r="L507" s="18" t="n">
        <f aca="false">J507-K507</f>
        <v>155</v>
      </c>
      <c r="M507" s="18" t="n">
        <f aca="false">SUMIF($A$2:$A$1200,$A507,$H$2:$H$1200)</f>
        <v>239</v>
      </c>
      <c r="N507" s="20" t="n">
        <f aca="false">IF(M507=0,"",L507/M507)</f>
        <v>0.648535564853557</v>
      </c>
      <c r="O507" s="20" t="n">
        <v>0.648535564853557</v>
      </c>
      <c r="P507" s="20" t="n">
        <f aca="false">IF(OR(N507="",O507=""),"",N507-O507)</f>
        <v>0</v>
      </c>
      <c r="Q507" s="18"/>
    </row>
    <row r="508" customFormat="false" ht="15" hidden="false" customHeight="true" outlineLevel="0" collapsed="false">
      <c r="A508" s="18" t="s">
        <v>382</v>
      </c>
      <c r="B508" s="18" t="n">
        <v>14</v>
      </c>
      <c r="C508" s="18" t="s">
        <v>529</v>
      </c>
      <c r="D508" s="18" t="n">
        <v>-15</v>
      </c>
      <c r="E508" s="18" t="s">
        <v>313</v>
      </c>
      <c r="F508" s="18" t="s">
        <v>198</v>
      </c>
      <c r="G508" s="19" t="n">
        <v>44654</v>
      </c>
      <c r="H508" s="18" t="n">
        <v>6</v>
      </c>
      <c r="I508" s="18" t="n">
        <v>17</v>
      </c>
      <c r="J508" s="18" t="n">
        <f aca="false">SUMIFS($H$2:$H$1200,$A$2:$A$1200,$A508,$B$2:$B$1200,"&lt;="&amp;$B508)</f>
        <v>222</v>
      </c>
      <c r="K508" s="18" t="n">
        <f aca="false">SUMIFS($I$2:$I$1200,$A$2:$A$1200,$A508,$B$2:$B$1200,"&lt;="&amp;$B508)</f>
        <v>78</v>
      </c>
      <c r="L508" s="18" t="n">
        <f aca="false">J508-K508</f>
        <v>144</v>
      </c>
      <c r="M508" s="18" t="n">
        <f aca="false">SUMIF($A$2:$A$1200,$A508,$H$2:$H$1200)</f>
        <v>239</v>
      </c>
      <c r="N508" s="20" t="n">
        <f aca="false">IF(M508=0,"",L508/M508)</f>
        <v>0.602510460251046</v>
      </c>
      <c r="O508" s="20" t="n">
        <v>0.602510460251046</v>
      </c>
      <c r="P508" s="20" t="n">
        <f aca="false">IF(OR(N508="",O508=""),"",N508-O508)</f>
        <v>0</v>
      </c>
      <c r="Q508" s="18"/>
    </row>
    <row r="509" customFormat="false" ht="15" hidden="false" customHeight="true" outlineLevel="0" collapsed="false">
      <c r="A509" s="18" t="s">
        <v>382</v>
      </c>
      <c r="B509" s="18" t="n">
        <v>15</v>
      </c>
      <c r="C509" s="18" t="s">
        <v>463</v>
      </c>
      <c r="D509" s="18" t="n">
        <v>0</v>
      </c>
      <c r="E509" s="18" t="s">
        <v>313</v>
      </c>
      <c r="F509" s="18" t="s">
        <v>198</v>
      </c>
      <c r="G509" s="19" t="n">
        <v>44654</v>
      </c>
      <c r="H509" s="18" t="n">
        <v>5</v>
      </c>
      <c r="I509" s="18" t="n">
        <v>34</v>
      </c>
      <c r="J509" s="18" t="n">
        <f aca="false">SUMIFS($H$2:$H$1200,$A$2:$A$1200,$A509,$B$2:$B$1200,"&lt;="&amp;$B509)</f>
        <v>227</v>
      </c>
      <c r="K509" s="18" t="n">
        <f aca="false">SUMIFS($I$2:$I$1200,$A$2:$A$1200,$A509,$B$2:$B$1200,"&lt;="&amp;$B509)</f>
        <v>112</v>
      </c>
      <c r="L509" s="18" t="n">
        <f aca="false">J509-K509</f>
        <v>115</v>
      </c>
      <c r="M509" s="18" t="n">
        <f aca="false">SUMIF($A$2:$A$1200,$A509,$H$2:$H$1200)</f>
        <v>239</v>
      </c>
      <c r="N509" s="20" t="n">
        <f aca="false">IF(M509=0,"",L509/M509)</f>
        <v>0.481171548117155</v>
      </c>
      <c r="O509" s="20" t="n">
        <v>0.481171548117155</v>
      </c>
      <c r="P509" s="20" t="n">
        <f aca="false">IF(OR(N509="",O509=""),"",N509-O509)</f>
        <v>0</v>
      </c>
      <c r="Q509" s="18"/>
    </row>
    <row r="510" customFormat="false" ht="15" hidden="false" customHeight="true" outlineLevel="0" collapsed="false">
      <c r="A510" s="18" t="s">
        <v>382</v>
      </c>
      <c r="B510" s="18" t="n">
        <v>16</v>
      </c>
      <c r="C510" s="18" t="s">
        <v>366</v>
      </c>
      <c r="D510" s="18" t="n">
        <v>15</v>
      </c>
      <c r="E510" s="18" t="s">
        <v>313</v>
      </c>
      <c r="F510" s="18" t="s">
        <v>198</v>
      </c>
      <c r="G510" s="19" t="n">
        <v>44654</v>
      </c>
      <c r="H510" s="18" t="n">
        <v>6</v>
      </c>
      <c r="I510" s="18" t="n">
        <v>44</v>
      </c>
      <c r="J510" s="18" t="n">
        <f aca="false">SUMIFS($H$2:$H$1200,$A$2:$A$1200,$A510,$B$2:$B$1200,"&lt;="&amp;$B510)</f>
        <v>233</v>
      </c>
      <c r="K510" s="18" t="n">
        <f aca="false">SUMIFS($I$2:$I$1200,$A$2:$A$1200,$A510,$B$2:$B$1200,"&lt;="&amp;$B510)</f>
        <v>156</v>
      </c>
      <c r="L510" s="18" t="n">
        <f aca="false">J510-K510</f>
        <v>77</v>
      </c>
      <c r="M510" s="18" t="n">
        <f aca="false">SUMIF($A$2:$A$1200,$A510,$H$2:$H$1200)</f>
        <v>239</v>
      </c>
      <c r="N510" s="20" t="n">
        <f aca="false">IF(M510=0,"",L510/M510)</f>
        <v>0.322175732217573</v>
      </c>
      <c r="O510" s="20" t="n">
        <v>0.322175732217573</v>
      </c>
      <c r="P510" s="20" t="n">
        <f aca="false">IF(OR(N510="",O510=""),"",N510-O510)</f>
        <v>0</v>
      </c>
      <c r="Q510" s="18"/>
    </row>
    <row r="511" customFormat="false" ht="15" hidden="false" customHeight="true" outlineLevel="0" collapsed="false">
      <c r="A511" s="18" t="s">
        <v>382</v>
      </c>
      <c r="B511" s="18" t="n">
        <v>17</v>
      </c>
      <c r="C511" s="18" t="s">
        <v>326</v>
      </c>
      <c r="D511" s="18" t="n">
        <v>30</v>
      </c>
      <c r="E511" s="18" t="s">
        <v>313</v>
      </c>
      <c r="F511" s="18" t="s">
        <v>198</v>
      </c>
      <c r="G511" s="19" t="n">
        <v>44654</v>
      </c>
      <c r="H511" s="18" t="n">
        <v>6</v>
      </c>
      <c r="I511" s="18" t="n">
        <v>21</v>
      </c>
      <c r="J511" s="18" t="n">
        <f aca="false">SUMIFS($H$2:$H$1200,$A$2:$A$1200,$A511,$B$2:$B$1200,"&lt;="&amp;$B511)</f>
        <v>239</v>
      </c>
      <c r="K511" s="18" t="n">
        <f aca="false">SUMIFS($I$2:$I$1200,$A$2:$A$1200,$A511,$B$2:$B$1200,"&lt;="&amp;$B511)</f>
        <v>177</v>
      </c>
      <c r="L511" s="18" t="n">
        <f aca="false">J511-K511</f>
        <v>62</v>
      </c>
      <c r="M511" s="18" t="n">
        <f aca="false">SUMIF($A$2:$A$1200,$A511,$H$2:$H$1200)</f>
        <v>239</v>
      </c>
      <c r="N511" s="20" t="n">
        <f aca="false">IF(M511=0,"",L511/M511)</f>
        <v>0.259414225941423</v>
      </c>
      <c r="O511" s="20" t="n">
        <v>0.259414225941423</v>
      </c>
      <c r="P511" s="20" t="n">
        <f aca="false">IF(OR(N511="",O511=""),"",N511-O511)</f>
        <v>0</v>
      </c>
      <c r="Q511" s="18"/>
    </row>
    <row r="512" customFormat="false" ht="15" hidden="false" customHeight="true" outlineLevel="0" collapsed="false">
      <c r="A512" s="18" t="s">
        <v>382</v>
      </c>
      <c r="B512" s="18" t="n">
        <v>18</v>
      </c>
      <c r="C512" s="18" t="s">
        <v>226</v>
      </c>
      <c r="D512" s="18" t="n">
        <v>45</v>
      </c>
      <c r="E512" s="18" t="s">
        <v>313</v>
      </c>
      <c r="F512" s="18" t="s">
        <v>198</v>
      </c>
      <c r="G512" s="19" t="n">
        <v>44654</v>
      </c>
      <c r="H512" s="18" t="n">
        <v>0</v>
      </c>
      <c r="I512" s="18" t="n">
        <v>21</v>
      </c>
      <c r="J512" s="18" t="n">
        <f aca="false">SUMIFS($H$2:$H$1200,$A$2:$A$1200,$A512,$B$2:$B$1200,"&lt;="&amp;$B512)</f>
        <v>239</v>
      </c>
      <c r="K512" s="18" t="n">
        <f aca="false">SUMIFS($I$2:$I$1200,$A$2:$A$1200,$A512,$B$2:$B$1200,"&lt;="&amp;$B512)</f>
        <v>198</v>
      </c>
      <c r="L512" s="18" t="n">
        <f aca="false">J512-K512</f>
        <v>41</v>
      </c>
      <c r="M512" s="18" t="n">
        <f aca="false">SUMIF($A$2:$A$1200,$A512,$H$2:$H$1200)</f>
        <v>239</v>
      </c>
      <c r="N512" s="20" t="n">
        <f aca="false">IF(M512=0,"",L512/M512)</f>
        <v>0.171548117154812</v>
      </c>
      <c r="O512" s="20" t="n">
        <v>0.171548117154812</v>
      </c>
      <c r="P512" s="20" t="n">
        <f aca="false">IF(OR(N512="",O512=""),"",N512-O512)</f>
        <v>0</v>
      </c>
      <c r="Q512" s="18"/>
    </row>
    <row r="513" customFormat="false" ht="15" hidden="false" customHeight="true" outlineLevel="0" collapsed="false">
      <c r="A513" s="18" t="s">
        <v>388</v>
      </c>
      <c r="B513" s="18" t="n">
        <v>0</v>
      </c>
      <c r="C513" s="18" t="s">
        <v>204</v>
      </c>
      <c r="D513" s="18"/>
      <c r="E513" s="18" t="s">
        <v>313</v>
      </c>
      <c r="F513" s="18" t="s">
        <v>198</v>
      </c>
      <c r="G513" s="19" t="n">
        <v>45041</v>
      </c>
      <c r="H513" s="18" t="n">
        <v>0</v>
      </c>
      <c r="I513" s="18" t="n">
        <v>0</v>
      </c>
      <c r="J513" s="18" t="n">
        <f aca="false">SUMIFS($H$2:$H$1200,$A$2:$A$1200,$A513,$B$2:$B$1200,"&lt;="&amp;$B513)</f>
        <v>0</v>
      </c>
      <c r="K513" s="18" t="n">
        <f aca="false">SUMIFS($I$2:$I$1200,$A$2:$A$1200,$A513,$B$2:$B$1200,"&lt;="&amp;$B513)</f>
        <v>0</v>
      </c>
      <c r="L513" s="18" t="n">
        <f aca="false">J513-K513</f>
        <v>0</v>
      </c>
      <c r="M513" s="18" t="n">
        <f aca="false">SUMIF($A$2:$A$1200,$A513,$H$2:$H$1200)</f>
        <v>219</v>
      </c>
      <c r="N513" s="20" t="n">
        <f aca="false">IF(M513=0,"",L513/M513)</f>
        <v>0</v>
      </c>
      <c r="O513" s="20" t="n">
        <v>0</v>
      </c>
      <c r="P513" s="20" t="n">
        <f aca="false">IF(OR(N513="",O513=""),"",N513-O513)</f>
        <v>0</v>
      </c>
      <c r="Q513" s="18"/>
    </row>
    <row r="514" customFormat="false" ht="15" hidden="false" customHeight="true" outlineLevel="0" collapsed="false">
      <c r="A514" s="18" t="s">
        <v>388</v>
      </c>
      <c r="B514" s="18" t="n">
        <v>3</v>
      </c>
      <c r="C514" s="18" t="s">
        <v>525</v>
      </c>
      <c r="D514" s="18" t="n">
        <v>-180</v>
      </c>
      <c r="E514" s="18" t="s">
        <v>313</v>
      </c>
      <c r="F514" s="18" t="s">
        <v>198</v>
      </c>
      <c r="G514" s="19" t="n">
        <v>45041</v>
      </c>
      <c r="H514" s="18" t="n">
        <v>0</v>
      </c>
      <c r="I514" s="18" t="n">
        <v>0</v>
      </c>
      <c r="J514" s="18" t="n">
        <f aca="false">SUMIFS($H$2:$H$1200,$A$2:$A$1200,$A514,$B$2:$B$1200,"&lt;="&amp;$B514)</f>
        <v>0</v>
      </c>
      <c r="K514" s="18" t="n">
        <f aca="false">SUMIFS($I$2:$I$1200,$A$2:$A$1200,$A514,$B$2:$B$1200,"&lt;="&amp;$B514)</f>
        <v>0</v>
      </c>
      <c r="L514" s="18" t="n">
        <f aca="false">J514-K514</f>
        <v>0</v>
      </c>
      <c r="M514" s="18" t="n">
        <f aca="false">SUMIF($A$2:$A$1200,$A514,$H$2:$H$1200)</f>
        <v>219</v>
      </c>
      <c r="N514" s="20" t="n">
        <f aca="false">IF(M514=0,"",L514/M514)</f>
        <v>0</v>
      </c>
      <c r="O514" s="20" t="n">
        <v>0</v>
      </c>
      <c r="P514" s="20" t="n">
        <f aca="false">IF(OR(N514="",O514=""),"",N514-O514)</f>
        <v>0</v>
      </c>
      <c r="Q514" s="18"/>
    </row>
    <row r="515" customFormat="false" ht="15" hidden="false" customHeight="true" outlineLevel="0" collapsed="false">
      <c r="A515" s="18" t="s">
        <v>388</v>
      </c>
      <c r="B515" s="18" t="n">
        <v>4</v>
      </c>
      <c r="C515" s="18" t="s">
        <v>526</v>
      </c>
      <c r="D515" s="18" t="n">
        <v>-165</v>
      </c>
      <c r="E515" s="18" t="s">
        <v>313</v>
      </c>
      <c r="F515" s="18" t="s">
        <v>198</v>
      </c>
      <c r="G515" s="19" t="n">
        <v>45041</v>
      </c>
      <c r="H515" s="18" t="n">
        <v>0</v>
      </c>
      <c r="I515" s="18" t="n">
        <v>0</v>
      </c>
      <c r="J515" s="18" t="n">
        <f aca="false">SUMIFS($H$2:$H$1200,$A$2:$A$1200,$A515,$B$2:$B$1200,"&lt;="&amp;$B515)</f>
        <v>0</v>
      </c>
      <c r="K515" s="18" t="n">
        <f aca="false">SUMIFS($I$2:$I$1200,$A$2:$A$1200,$A515,$B$2:$B$1200,"&lt;="&amp;$B515)</f>
        <v>0</v>
      </c>
      <c r="L515" s="18" t="n">
        <f aca="false">J515-K515</f>
        <v>0</v>
      </c>
      <c r="M515" s="18" t="n">
        <f aca="false">SUMIF($A$2:$A$1200,$A515,$H$2:$H$1200)</f>
        <v>219</v>
      </c>
      <c r="N515" s="20" t="n">
        <f aca="false">IF(M515=0,"",L515/M515)</f>
        <v>0</v>
      </c>
      <c r="O515" s="20" t="n">
        <v>0</v>
      </c>
      <c r="P515" s="20" t="n">
        <f aca="false">IF(OR(N515="",O515=""),"",N515-O515)</f>
        <v>0</v>
      </c>
      <c r="Q515" s="18"/>
    </row>
    <row r="516" customFormat="false" ht="15" hidden="false" customHeight="true" outlineLevel="0" collapsed="false">
      <c r="A516" s="18" t="s">
        <v>388</v>
      </c>
      <c r="B516" s="18" t="n">
        <v>5</v>
      </c>
      <c r="C516" s="18" t="s">
        <v>527</v>
      </c>
      <c r="D516" s="18" t="n">
        <v>-150</v>
      </c>
      <c r="E516" s="18" t="s">
        <v>313</v>
      </c>
      <c r="F516" s="18" t="s">
        <v>198</v>
      </c>
      <c r="G516" s="19" t="n">
        <v>45041</v>
      </c>
      <c r="H516" s="18" t="n">
        <v>19</v>
      </c>
      <c r="I516" s="18" t="n">
        <v>0</v>
      </c>
      <c r="J516" s="18" t="n">
        <f aca="false">SUMIFS($H$2:$H$1200,$A$2:$A$1200,$A516,$B$2:$B$1200,"&lt;="&amp;$B516)</f>
        <v>19</v>
      </c>
      <c r="K516" s="18" t="n">
        <f aca="false">SUMIFS($I$2:$I$1200,$A$2:$A$1200,$A516,$B$2:$B$1200,"&lt;="&amp;$B516)</f>
        <v>0</v>
      </c>
      <c r="L516" s="18" t="n">
        <f aca="false">J516-K516</f>
        <v>19</v>
      </c>
      <c r="M516" s="18" t="n">
        <f aca="false">SUMIF($A$2:$A$1200,$A516,$H$2:$H$1200)</f>
        <v>219</v>
      </c>
      <c r="N516" s="20" t="n">
        <f aca="false">IF(M516=0,"",L516/M516)</f>
        <v>0.0867579908675799</v>
      </c>
      <c r="O516" s="20" t="n">
        <v>0.0867579908675799</v>
      </c>
      <c r="P516" s="20" t="n">
        <f aca="false">IF(OR(N516="",O516=""),"",N516-O516)</f>
        <v>0</v>
      </c>
      <c r="Q516" s="18"/>
    </row>
    <row r="517" customFormat="false" ht="15" hidden="false" customHeight="true" outlineLevel="0" collapsed="false">
      <c r="A517" s="18" t="s">
        <v>388</v>
      </c>
      <c r="B517" s="18" t="n">
        <v>6</v>
      </c>
      <c r="C517" s="18" t="s">
        <v>528</v>
      </c>
      <c r="D517" s="18" t="n">
        <v>-135</v>
      </c>
      <c r="E517" s="18" t="s">
        <v>313</v>
      </c>
      <c r="F517" s="18" t="s">
        <v>198</v>
      </c>
      <c r="G517" s="19" t="n">
        <v>45041</v>
      </c>
      <c r="H517" s="18" t="n">
        <v>17</v>
      </c>
      <c r="I517" s="18" t="n">
        <v>1</v>
      </c>
      <c r="J517" s="18" t="n">
        <f aca="false">SUMIFS($H$2:$H$1200,$A$2:$A$1200,$A517,$B$2:$B$1200,"&lt;="&amp;$B517)</f>
        <v>36</v>
      </c>
      <c r="K517" s="18" t="n">
        <f aca="false">SUMIFS($I$2:$I$1200,$A$2:$A$1200,$A517,$B$2:$B$1200,"&lt;="&amp;$B517)</f>
        <v>1</v>
      </c>
      <c r="L517" s="18" t="n">
        <f aca="false">J517-K517</f>
        <v>35</v>
      </c>
      <c r="M517" s="18" t="n">
        <f aca="false">SUMIF($A$2:$A$1200,$A517,$H$2:$H$1200)</f>
        <v>219</v>
      </c>
      <c r="N517" s="20" t="n">
        <f aca="false">IF(M517=0,"",L517/M517)</f>
        <v>0.159817351598174</v>
      </c>
      <c r="O517" s="20" t="n">
        <v>0.159817351598174</v>
      </c>
      <c r="P517" s="20" t="n">
        <f aca="false">IF(OR(N517="",O517=""),"",N517-O517)</f>
        <v>0</v>
      </c>
      <c r="Q517" s="18"/>
    </row>
    <row r="518" customFormat="false" ht="15" hidden="false" customHeight="true" outlineLevel="0" collapsed="false">
      <c r="A518" s="18" t="s">
        <v>388</v>
      </c>
      <c r="B518" s="18" t="n">
        <v>7</v>
      </c>
      <c r="C518" s="18" t="s">
        <v>227</v>
      </c>
      <c r="D518" s="18" t="n">
        <v>-120</v>
      </c>
      <c r="E518" s="18" t="s">
        <v>313</v>
      </c>
      <c r="F518" s="18" t="s">
        <v>198</v>
      </c>
      <c r="G518" s="19" t="n">
        <v>45041</v>
      </c>
      <c r="H518" s="18" t="n">
        <v>33</v>
      </c>
      <c r="I518" s="18" t="n">
        <v>0</v>
      </c>
      <c r="J518" s="18" t="n">
        <f aca="false">SUMIFS($H$2:$H$1200,$A$2:$A$1200,$A518,$B$2:$B$1200,"&lt;="&amp;$B518)</f>
        <v>69</v>
      </c>
      <c r="K518" s="18" t="n">
        <f aca="false">SUMIFS($I$2:$I$1200,$A$2:$A$1200,$A518,$B$2:$B$1200,"&lt;="&amp;$B518)</f>
        <v>1</v>
      </c>
      <c r="L518" s="18" t="n">
        <f aca="false">J518-K518</f>
        <v>68</v>
      </c>
      <c r="M518" s="18" t="n">
        <f aca="false">SUMIF($A$2:$A$1200,$A518,$H$2:$H$1200)</f>
        <v>219</v>
      </c>
      <c r="N518" s="20" t="n">
        <f aca="false">IF(M518=0,"",L518/M518)</f>
        <v>0.310502283105023</v>
      </c>
      <c r="O518" s="20" t="n">
        <v>0.310502283105023</v>
      </c>
      <c r="P518" s="20" t="n">
        <f aca="false">IF(OR(N518="",O518=""),"",N518-O518)</f>
        <v>0</v>
      </c>
      <c r="Q518" s="18"/>
    </row>
    <row r="519" customFormat="false" ht="15" hidden="false" customHeight="true" outlineLevel="0" collapsed="false">
      <c r="A519" s="18" t="s">
        <v>388</v>
      </c>
      <c r="B519" s="18" t="n">
        <v>8</v>
      </c>
      <c r="C519" s="18" t="s">
        <v>241</v>
      </c>
      <c r="D519" s="18" t="n">
        <v>-105</v>
      </c>
      <c r="E519" s="18" t="s">
        <v>313</v>
      </c>
      <c r="F519" s="18" t="s">
        <v>198</v>
      </c>
      <c r="G519" s="19" t="n">
        <v>45041</v>
      </c>
      <c r="H519" s="18" t="n">
        <v>34</v>
      </c>
      <c r="I519" s="18" t="n">
        <v>3</v>
      </c>
      <c r="J519" s="18" t="n">
        <f aca="false">SUMIFS($H$2:$H$1200,$A$2:$A$1200,$A519,$B$2:$B$1200,"&lt;="&amp;$B519)</f>
        <v>103</v>
      </c>
      <c r="K519" s="18" t="n">
        <f aca="false">SUMIFS($I$2:$I$1200,$A$2:$A$1200,$A519,$B$2:$B$1200,"&lt;="&amp;$B519)</f>
        <v>4</v>
      </c>
      <c r="L519" s="18" t="n">
        <f aca="false">J519-K519</f>
        <v>99</v>
      </c>
      <c r="M519" s="18" t="n">
        <f aca="false">SUMIF($A$2:$A$1200,$A519,$H$2:$H$1200)</f>
        <v>219</v>
      </c>
      <c r="N519" s="20" t="n">
        <f aca="false">IF(M519=0,"",L519/M519)</f>
        <v>0.452054794520548</v>
      </c>
      <c r="O519" s="20" t="n">
        <v>0.452054794520548</v>
      </c>
      <c r="P519" s="20" t="n">
        <f aca="false">IF(OR(N519="",O519=""),"",N519-O519)</f>
        <v>0</v>
      </c>
      <c r="Q519" s="18"/>
    </row>
    <row r="520" customFormat="false" ht="15" hidden="false" customHeight="true" outlineLevel="0" collapsed="false">
      <c r="A520" s="18" t="s">
        <v>388</v>
      </c>
      <c r="B520" s="18" t="n">
        <v>9</v>
      </c>
      <c r="C520" s="18" t="s">
        <v>279</v>
      </c>
      <c r="D520" s="18" t="n">
        <v>-90</v>
      </c>
      <c r="E520" s="18" t="s">
        <v>313</v>
      </c>
      <c r="F520" s="18" t="s">
        <v>198</v>
      </c>
      <c r="G520" s="19" t="n">
        <v>45041</v>
      </c>
      <c r="H520" s="18" t="n">
        <v>38</v>
      </c>
      <c r="I520" s="18" t="n">
        <v>5</v>
      </c>
      <c r="J520" s="18" t="n">
        <f aca="false">SUMIFS($H$2:$H$1200,$A$2:$A$1200,$A520,$B$2:$B$1200,"&lt;="&amp;$B520)</f>
        <v>141</v>
      </c>
      <c r="K520" s="18" t="n">
        <f aca="false">SUMIFS($I$2:$I$1200,$A$2:$A$1200,$A520,$B$2:$B$1200,"&lt;="&amp;$B520)</f>
        <v>9</v>
      </c>
      <c r="L520" s="18" t="n">
        <f aca="false">J520-K520</f>
        <v>132</v>
      </c>
      <c r="M520" s="18" t="n">
        <f aca="false">SUMIF($A$2:$A$1200,$A520,$H$2:$H$1200)</f>
        <v>219</v>
      </c>
      <c r="N520" s="20" t="n">
        <f aca="false">IF(M520=0,"",L520/M520)</f>
        <v>0.602739726027397</v>
      </c>
      <c r="O520" s="20" t="n">
        <v>0.602739726027397</v>
      </c>
      <c r="P520" s="20" t="n">
        <f aca="false">IF(OR(N520="",O520=""),"",N520-O520)</f>
        <v>0</v>
      </c>
      <c r="Q520" s="18"/>
    </row>
    <row r="521" customFormat="false" ht="15" hidden="false" customHeight="true" outlineLevel="0" collapsed="false">
      <c r="A521" s="18" t="s">
        <v>388</v>
      </c>
      <c r="B521" s="18" t="n">
        <v>10</v>
      </c>
      <c r="C521" s="18" t="s">
        <v>206</v>
      </c>
      <c r="D521" s="18" t="n">
        <v>-75</v>
      </c>
      <c r="E521" s="18" t="s">
        <v>313</v>
      </c>
      <c r="F521" s="18" t="s">
        <v>198</v>
      </c>
      <c r="G521" s="19" t="n">
        <v>45041</v>
      </c>
      <c r="H521" s="18" t="n">
        <v>26</v>
      </c>
      <c r="I521" s="18" t="n">
        <v>5</v>
      </c>
      <c r="J521" s="18" t="n">
        <f aca="false">SUMIFS($H$2:$H$1200,$A$2:$A$1200,$A521,$B$2:$B$1200,"&lt;="&amp;$B521)</f>
        <v>167</v>
      </c>
      <c r="K521" s="18" t="n">
        <f aca="false">SUMIFS($I$2:$I$1200,$A$2:$A$1200,$A521,$B$2:$B$1200,"&lt;="&amp;$B521)</f>
        <v>14</v>
      </c>
      <c r="L521" s="18" t="n">
        <f aca="false">J521-K521</f>
        <v>153</v>
      </c>
      <c r="M521" s="18" t="n">
        <f aca="false">SUMIF($A$2:$A$1200,$A521,$H$2:$H$1200)</f>
        <v>219</v>
      </c>
      <c r="N521" s="20" t="n">
        <f aca="false">IF(M521=0,"",L521/M521)</f>
        <v>0.698630136986301</v>
      </c>
      <c r="O521" s="20" t="n">
        <v>0.698630136986301</v>
      </c>
      <c r="P521" s="20" t="n">
        <f aca="false">IF(OR(N521="",O521=""),"",N521-O521)</f>
        <v>0</v>
      </c>
      <c r="Q521" s="18"/>
    </row>
    <row r="522" customFormat="false" ht="15" hidden="false" customHeight="true" outlineLevel="0" collapsed="false">
      <c r="A522" s="18" t="s">
        <v>388</v>
      </c>
      <c r="B522" s="18" t="n">
        <v>11</v>
      </c>
      <c r="C522" s="18" t="s">
        <v>246</v>
      </c>
      <c r="D522" s="18" t="n">
        <v>-60</v>
      </c>
      <c r="E522" s="18" t="s">
        <v>313</v>
      </c>
      <c r="F522" s="18" t="s">
        <v>198</v>
      </c>
      <c r="G522" s="19" t="n">
        <v>45041</v>
      </c>
      <c r="H522" s="18" t="n">
        <v>23</v>
      </c>
      <c r="I522" s="18" t="n">
        <v>15</v>
      </c>
      <c r="J522" s="18" t="n">
        <f aca="false">SUMIFS($H$2:$H$1200,$A$2:$A$1200,$A522,$B$2:$B$1200,"&lt;="&amp;$B522)</f>
        <v>190</v>
      </c>
      <c r="K522" s="18" t="n">
        <f aca="false">SUMIFS($I$2:$I$1200,$A$2:$A$1200,$A522,$B$2:$B$1200,"&lt;="&amp;$B522)</f>
        <v>29</v>
      </c>
      <c r="L522" s="18" t="n">
        <f aca="false">J522-K522</f>
        <v>161</v>
      </c>
      <c r="M522" s="18" t="n">
        <f aca="false">SUMIF($A$2:$A$1200,$A522,$H$2:$H$1200)</f>
        <v>219</v>
      </c>
      <c r="N522" s="20" t="n">
        <f aca="false">IF(M522=0,"",L522/M522)</f>
        <v>0.735159817351598</v>
      </c>
      <c r="O522" s="20" t="n">
        <v>0.735159817351598</v>
      </c>
      <c r="P522" s="20" t="n">
        <f aca="false">IF(OR(N522="",O522=""),"",N522-O522)</f>
        <v>0</v>
      </c>
      <c r="Q522" s="18"/>
    </row>
    <row r="523" customFormat="false" ht="15" hidden="false" customHeight="true" outlineLevel="0" collapsed="false">
      <c r="A523" s="18" t="s">
        <v>388</v>
      </c>
      <c r="B523" s="18" t="n">
        <v>12</v>
      </c>
      <c r="C523" s="18" t="s">
        <v>254</v>
      </c>
      <c r="D523" s="18" t="n">
        <v>-45</v>
      </c>
      <c r="E523" s="18" t="s">
        <v>313</v>
      </c>
      <c r="F523" s="18" t="s">
        <v>198</v>
      </c>
      <c r="G523" s="19" t="n">
        <v>45041</v>
      </c>
      <c r="H523" s="18" t="n">
        <v>11</v>
      </c>
      <c r="I523" s="18" t="n">
        <v>17</v>
      </c>
      <c r="J523" s="18" t="n">
        <f aca="false">SUMIFS($H$2:$H$1200,$A$2:$A$1200,$A523,$B$2:$B$1200,"&lt;="&amp;$B523)</f>
        <v>201</v>
      </c>
      <c r="K523" s="18" t="n">
        <f aca="false">SUMIFS($I$2:$I$1200,$A$2:$A$1200,$A523,$B$2:$B$1200,"&lt;="&amp;$B523)</f>
        <v>46</v>
      </c>
      <c r="L523" s="18" t="n">
        <f aca="false">J523-K523</f>
        <v>155</v>
      </c>
      <c r="M523" s="18" t="n">
        <f aca="false">SUMIF($A$2:$A$1200,$A523,$H$2:$H$1200)</f>
        <v>219</v>
      </c>
      <c r="N523" s="20" t="n">
        <f aca="false">IF(M523=0,"",L523/M523)</f>
        <v>0.707762557077626</v>
      </c>
      <c r="O523" s="20" t="n">
        <v>0.707762557077626</v>
      </c>
      <c r="P523" s="20" t="n">
        <f aca="false">IF(OR(N523="",O523=""),"",N523-O523)</f>
        <v>0</v>
      </c>
      <c r="Q523" s="18"/>
    </row>
    <row r="524" customFormat="false" ht="15" hidden="false" customHeight="true" outlineLevel="0" collapsed="false">
      <c r="A524" s="18" t="s">
        <v>388</v>
      </c>
      <c r="B524" s="18" t="n">
        <v>13</v>
      </c>
      <c r="C524" s="18" t="s">
        <v>403</v>
      </c>
      <c r="D524" s="18" t="n">
        <v>-30</v>
      </c>
      <c r="E524" s="18" t="s">
        <v>313</v>
      </c>
      <c r="F524" s="18" t="s">
        <v>198</v>
      </c>
      <c r="G524" s="19" t="n">
        <v>45041</v>
      </c>
      <c r="H524" s="18" t="n">
        <v>5</v>
      </c>
      <c r="I524" s="18" t="n">
        <v>25</v>
      </c>
      <c r="J524" s="18" t="n">
        <f aca="false">SUMIFS($H$2:$H$1200,$A$2:$A$1200,$A524,$B$2:$B$1200,"&lt;="&amp;$B524)</f>
        <v>206</v>
      </c>
      <c r="K524" s="18" t="n">
        <f aca="false">SUMIFS($I$2:$I$1200,$A$2:$A$1200,$A524,$B$2:$B$1200,"&lt;="&amp;$B524)</f>
        <v>71</v>
      </c>
      <c r="L524" s="18" t="n">
        <f aca="false">J524-K524</f>
        <v>135</v>
      </c>
      <c r="M524" s="18" t="n">
        <f aca="false">SUMIF($A$2:$A$1200,$A524,$H$2:$H$1200)</f>
        <v>219</v>
      </c>
      <c r="N524" s="20" t="n">
        <f aca="false">IF(M524=0,"",L524/M524)</f>
        <v>0.616438356164384</v>
      </c>
      <c r="O524" s="20" t="n">
        <v>0.616438356164384</v>
      </c>
      <c r="P524" s="20" t="n">
        <f aca="false">IF(OR(N524="",O524=""),"",N524-O524)</f>
        <v>0</v>
      </c>
      <c r="Q524" s="18"/>
    </row>
    <row r="525" customFormat="false" ht="15" hidden="false" customHeight="true" outlineLevel="0" collapsed="false">
      <c r="A525" s="18" t="s">
        <v>388</v>
      </c>
      <c r="B525" s="18" t="n">
        <v>14</v>
      </c>
      <c r="C525" s="18" t="s">
        <v>529</v>
      </c>
      <c r="D525" s="18" t="n">
        <v>-15</v>
      </c>
      <c r="E525" s="18" t="s">
        <v>313</v>
      </c>
      <c r="F525" s="18" t="s">
        <v>198</v>
      </c>
      <c r="G525" s="19" t="n">
        <v>45041</v>
      </c>
      <c r="H525" s="18" t="n">
        <v>3</v>
      </c>
      <c r="I525" s="18" t="n">
        <v>25</v>
      </c>
      <c r="J525" s="18" t="n">
        <f aca="false">SUMIFS($H$2:$H$1200,$A$2:$A$1200,$A525,$B$2:$B$1200,"&lt;="&amp;$B525)</f>
        <v>209</v>
      </c>
      <c r="K525" s="18" t="n">
        <f aca="false">SUMIFS($I$2:$I$1200,$A$2:$A$1200,$A525,$B$2:$B$1200,"&lt;="&amp;$B525)</f>
        <v>96</v>
      </c>
      <c r="L525" s="18" t="n">
        <f aca="false">J525-K525</f>
        <v>113</v>
      </c>
      <c r="M525" s="18" t="n">
        <f aca="false">SUMIF($A$2:$A$1200,$A525,$H$2:$H$1200)</f>
        <v>219</v>
      </c>
      <c r="N525" s="20" t="n">
        <f aca="false">IF(M525=0,"",L525/M525)</f>
        <v>0.515981735159817</v>
      </c>
      <c r="O525" s="20" t="n">
        <v>0.515981735159817</v>
      </c>
      <c r="P525" s="20" t="n">
        <f aca="false">IF(OR(N525="",O525=""),"",N525-O525)</f>
        <v>0</v>
      </c>
      <c r="Q525" s="18"/>
    </row>
    <row r="526" customFormat="false" ht="15" hidden="false" customHeight="true" outlineLevel="0" collapsed="false">
      <c r="A526" s="18" t="s">
        <v>388</v>
      </c>
      <c r="B526" s="18" t="n">
        <v>15</v>
      </c>
      <c r="C526" s="18" t="s">
        <v>463</v>
      </c>
      <c r="D526" s="18" t="n">
        <v>0</v>
      </c>
      <c r="E526" s="18" t="s">
        <v>313</v>
      </c>
      <c r="F526" s="18" t="s">
        <v>198</v>
      </c>
      <c r="G526" s="19" t="n">
        <v>45041</v>
      </c>
      <c r="H526" s="18" t="n">
        <v>2</v>
      </c>
      <c r="I526" s="18" t="n">
        <v>19</v>
      </c>
      <c r="J526" s="18" t="n">
        <f aca="false">SUMIFS($H$2:$H$1200,$A$2:$A$1200,$A526,$B$2:$B$1200,"&lt;="&amp;$B526)</f>
        <v>211</v>
      </c>
      <c r="K526" s="18" t="n">
        <f aca="false">SUMIFS($I$2:$I$1200,$A$2:$A$1200,$A526,$B$2:$B$1200,"&lt;="&amp;$B526)</f>
        <v>115</v>
      </c>
      <c r="L526" s="18" t="n">
        <f aca="false">J526-K526</f>
        <v>96</v>
      </c>
      <c r="M526" s="18" t="n">
        <f aca="false">SUMIF($A$2:$A$1200,$A526,$H$2:$H$1200)</f>
        <v>219</v>
      </c>
      <c r="N526" s="20" t="n">
        <f aca="false">IF(M526=0,"",L526/M526)</f>
        <v>0.438356164383562</v>
      </c>
      <c r="O526" s="20" t="n">
        <v>0.438356164383562</v>
      </c>
      <c r="P526" s="20" t="n">
        <f aca="false">IF(OR(N526="",O526=""),"",N526-O526)</f>
        <v>0</v>
      </c>
      <c r="Q526" s="18"/>
    </row>
    <row r="527" customFormat="false" ht="15" hidden="false" customHeight="true" outlineLevel="0" collapsed="false">
      <c r="A527" s="18" t="s">
        <v>388</v>
      </c>
      <c r="B527" s="18" t="n">
        <v>16</v>
      </c>
      <c r="C527" s="18" t="s">
        <v>366</v>
      </c>
      <c r="D527" s="18" t="n">
        <v>15</v>
      </c>
      <c r="E527" s="18" t="s">
        <v>313</v>
      </c>
      <c r="F527" s="18" t="s">
        <v>198</v>
      </c>
      <c r="G527" s="19" t="n">
        <v>45041</v>
      </c>
      <c r="H527" s="18" t="n">
        <v>4</v>
      </c>
      <c r="I527" s="18" t="n">
        <v>26</v>
      </c>
      <c r="J527" s="18" t="n">
        <f aca="false">SUMIFS($H$2:$H$1200,$A$2:$A$1200,$A527,$B$2:$B$1200,"&lt;="&amp;$B527)</f>
        <v>215</v>
      </c>
      <c r="K527" s="18" t="n">
        <f aca="false">SUMIFS($I$2:$I$1200,$A$2:$A$1200,$A527,$B$2:$B$1200,"&lt;="&amp;$B527)</f>
        <v>141</v>
      </c>
      <c r="L527" s="18" t="n">
        <f aca="false">J527-K527</f>
        <v>74</v>
      </c>
      <c r="M527" s="18" t="n">
        <f aca="false">SUMIF($A$2:$A$1200,$A527,$H$2:$H$1200)</f>
        <v>219</v>
      </c>
      <c r="N527" s="20" t="n">
        <f aca="false">IF(M527=0,"",L527/M527)</f>
        <v>0.337899543378995</v>
      </c>
      <c r="O527" s="20" t="n">
        <v>0.337899543378995</v>
      </c>
      <c r="P527" s="20" t="n">
        <f aca="false">IF(OR(N527="",O527=""),"",N527-O527)</f>
        <v>0</v>
      </c>
      <c r="Q527" s="18"/>
    </row>
    <row r="528" customFormat="false" ht="15" hidden="false" customHeight="true" outlineLevel="0" collapsed="false">
      <c r="A528" s="18" t="s">
        <v>388</v>
      </c>
      <c r="B528" s="18" t="n">
        <v>17</v>
      </c>
      <c r="C528" s="18" t="s">
        <v>326</v>
      </c>
      <c r="D528" s="18" t="n">
        <v>30</v>
      </c>
      <c r="E528" s="18" t="s">
        <v>313</v>
      </c>
      <c r="F528" s="18" t="s">
        <v>198</v>
      </c>
      <c r="G528" s="19" t="n">
        <v>45041</v>
      </c>
      <c r="H528" s="18" t="n">
        <v>2</v>
      </c>
      <c r="I528" s="18" t="n">
        <v>30</v>
      </c>
      <c r="J528" s="18" t="n">
        <f aca="false">SUMIFS($H$2:$H$1200,$A$2:$A$1200,$A528,$B$2:$B$1200,"&lt;="&amp;$B528)</f>
        <v>217</v>
      </c>
      <c r="K528" s="18" t="n">
        <f aca="false">SUMIFS($I$2:$I$1200,$A$2:$A$1200,$A528,$B$2:$B$1200,"&lt;="&amp;$B528)</f>
        <v>171</v>
      </c>
      <c r="L528" s="18" t="n">
        <f aca="false">J528-K528</f>
        <v>46</v>
      </c>
      <c r="M528" s="18" t="n">
        <f aca="false">SUMIF($A$2:$A$1200,$A528,$H$2:$H$1200)</f>
        <v>219</v>
      </c>
      <c r="N528" s="20" t="n">
        <f aca="false">IF(M528=0,"",L528/M528)</f>
        <v>0.210045662100457</v>
      </c>
      <c r="O528" s="20" t="n">
        <v>0.210045662100457</v>
      </c>
      <c r="P528" s="20" t="n">
        <f aca="false">IF(OR(N528="",O528=""),"",N528-O528)</f>
        <v>0</v>
      </c>
      <c r="Q528" s="18"/>
    </row>
    <row r="529" customFormat="false" ht="15" hidden="false" customHeight="true" outlineLevel="0" collapsed="false">
      <c r="A529" s="18" t="s">
        <v>388</v>
      </c>
      <c r="B529" s="18" t="n">
        <v>18</v>
      </c>
      <c r="C529" s="18" t="s">
        <v>226</v>
      </c>
      <c r="D529" s="18" t="n">
        <v>45</v>
      </c>
      <c r="E529" s="18" t="s">
        <v>313</v>
      </c>
      <c r="F529" s="18" t="s">
        <v>198</v>
      </c>
      <c r="G529" s="19" t="n">
        <v>45041</v>
      </c>
      <c r="H529" s="18" t="n">
        <v>2</v>
      </c>
      <c r="I529" s="18" t="n">
        <v>17</v>
      </c>
      <c r="J529" s="18" t="n">
        <f aca="false">SUMIFS($H$2:$H$1200,$A$2:$A$1200,$A529,$B$2:$B$1200,"&lt;="&amp;$B529)</f>
        <v>219</v>
      </c>
      <c r="K529" s="18" t="n">
        <f aca="false">SUMIFS($I$2:$I$1200,$A$2:$A$1200,$A529,$B$2:$B$1200,"&lt;="&amp;$B529)</f>
        <v>188</v>
      </c>
      <c r="L529" s="18" t="n">
        <f aca="false">J529-K529</f>
        <v>31</v>
      </c>
      <c r="M529" s="18" t="n">
        <f aca="false">SUMIF($A$2:$A$1200,$A529,$H$2:$H$1200)</f>
        <v>219</v>
      </c>
      <c r="N529" s="20" t="n">
        <f aca="false">IF(M529=0,"",L529/M529)</f>
        <v>0.141552511415525</v>
      </c>
      <c r="O529" s="20" t="n">
        <v>0.141552511415525</v>
      </c>
      <c r="P529" s="20" t="n">
        <f aca="false">IF(OR(N529="",O529=""),"",N529-O529)</f>
        <v>0</v>
      </c>
      <c r="Q529" s="18"/>
    </row>
    <row r="530" customFormat="false" ht="15" hidden="false" customHeight="true" outlineLevel="0" collapsed="false">
      <c r="A530" s="18" t="s">
        <v>393</v>
      </c>
      <c r="B530" s="18" t="n">
        <v>0</v>
      </c>
      <c r="C530" s="18" t="s">
        <v>204</v>
      </c>
      <c r="D530" s="18"/>
      <c r="E530" s="18" t="s">
        <v>394</v>
      </c>
      <c r="F530" s="18" t="s">
        <v>198</v>
      </c>
      <c r="G530" s="19" t="n">
        <v>35885</v>
      </c>
      <c r="H530" s="18" t="n">
        <v>581</v>
      </c>
      <c r="I530" s="18" t="n">
        <v>21</v>
      </c>
      <c r="J530" s="18" t="n">
        <f aca="false">SUMIFS($H$2:$H$1200,$A$2:$A$1200,$A530,$B$2:$B$1200,"&lt;="&amp;$B530)</f>
        <v>581</v>
      </c>
      <c r="K530" s="18" t="n">
        <f aca="false">SUMIFS($I$2:$I$1200,$A$2:$A$1200,$A530,$B$2:$B$1200,"&lt;="&amp;$B530)</f>
        <v>21</v>
      </c>
      <c r="L530" s="18" t="n">
        <f aca="false">J530-K530</f>
        <v>560</v>
      </c>
      <c r="M530" s="18" t="n">
        <f aca="false">SUMIF($A$2:$A$1200,$A530,$H$2:$H$1200)</f>
        <v>2133</v>
      </c>
      <c r="N530" s="20" t="n">
        <f aca="false">IF(M530=0,"",L530/M530)</f>
        <v>0.262541022034693</v>
      </c>
      <c r="O530" s="20" t="n">
        <v>0.262910798122066</v>
      </c>
      <c r="P530" s="20" t="n">
        <f aca="false">IF(OR(N530="",O530=""),"",N530-O530)</f>
        <v>-0.000369776087373097</v>
      </c>
      <c r="Q530" s="18"/>
    </row>
    <row r="531" customFormat="false" ht="15" hidden="false" customHeight="true" outlineLevel="0" collapsed="false">
      <c r="A531" s="18" t="s">
        <v>393</v>
      </c>
      <c r="B531" s="18" t="n">
        <v>7</v>
      </c>
      <c r="C531" s="18" t="s">
        <v>227</v>
      </c>
      <c r="D531" s="18" t="n">
        <v>-120</v>
      </c>
      <c r="E531" s="18" t="s">
        <v>394</v>
      </c>
      <c r="F531" s="18" t="s">
        <v>198</v>
      </c>
      <c r="G531" s="19" t="n">
        <v>35885</v>
      </c>
      <c r="H531" s="18" t="n">
        <v>296</v>
      </c>
      <c r="I531" s="18" t="n">
        <v>35</v>
      </c>
      <c r="J531" s="18" t="n">
        <f aca="false">SUMIFS($H$2:$H$1200,$A$2:$A$1200,$A531,$B$2:$B$1200,"&lt;="&amp;$B531)</f>
        <v>877</v>
      </c>
      <c r="K531" s="18" t="n">
        <f aca="false">SUMIFS($I$2:$I$1200,$A$2:$A$1200,$A531,$B$2:$B$1200,"&lt;="&amp;$B531)</f>
        <v>56</v>
      </c>
      <c r="L531" s="18" t="n">
        <f aca="false">J531-K531</f>
        <v>821</v>
      </c>
      <c r="M531" s="18" t="n">
        <f aca="false">SUMIF($A$2:$A$1200,$A531,$H$2:$H$1200)</f>
        <v>2133</v>
      </c>
      <c r="N531" s="20" t="n">
        <f aca="false">IF(M531=0,"",L531/M531)</f>
        <v>0.384903891233005</v>
      </c>
      <c r="O531" s="20" t="n">
        <v>0.385446009389671</v>
      </c>
      <c r="P531" s="20" t="n">
        <f aca="false">IF(OR(N531="",O531=""),"",N531-O531)</f>
        <v>-0.000542118156665827</v>
      </c>
      <c r="Q531" s="18"/>
    </row>
    <row r="532" customFormat="false" ht="15" hidden="false" customHeight="true" outlineLevel="0" collapsed="false">
      <c r="A532" s="18" t="s">
        <v>393</v>
      </c>
      <c r="B532" s="18" t="n">
        <v>8</v>
      </c>
      <c r="C532" s="18" t="s">
        <v>241</v>
      </c>
      <c r="D532" s="18" t="n">
        <v>-105</v>
      </c>
      <c r="E532" s="18" t="s">
        <v>394</v>
      </c>
      <c r="F532" s="18" t="s">
        <v>198</v>
      </c>
      <c r="G532" s="19" t="n">
        <v>35885</v>
      </c>
      <c r="H532" s="18" t="n">
        <v>295</v>
      </c>
      <c r="I532" s="18" t="n">
        <v>75</v>
      </c>
      <c r="J532" s="18" t="n">
        <f aca="false">SUMIFS($H$2:$H$1200,$A$2:$A$1200,$A532,$B$2:$B$1200,"&lt;="&amp;$B532)</f>
        <v>1172</v>
      </c>
      <c r="K532" s="18" t="n">
        <f aca="false">SUMIFS($I$2:$I$1200,$A$2:$A$1200,$A532,$B$2:$B$1200,"&lt;="&amp;$B532)</f>
        <v>131</v>
      </c>
      <c r="L532" s="18" t="n">
        <f aca="false">J532-K532</f>
        <v>1041</v>
      </c>
      <c r="M532" s="18" t="n">
        <f aca="false">SUMIF($A$2:$A$1200,$A532,$H$2:$H$1200)</f>
        <v>2133</v>
      </c>
      <c r="N532" s="20" t="n">
        <f aca="false">IF(M532=0,"",L532/M532)</f>
        <v>0.488045007032349</v>
      </c>
      <c r="O532" s="20" t="n">
        <v>0.488732394366197</v>
      </c>
      <c r="P532" s="20" t="n">
        <f aca="false">IF(OR(N532="",O532=""),"",N532-O532)</f>
        <v>-0.000687387333848155</v>
      </c>
      <c r="Q532" s="18"/>
    </row>
    <row r="533" customFormat="false" ht="15" hidden="false" customHeight="true" outlineLevel="0" collapsed="false">
      <c r="A533" s="18" t="s">
        <v>393</v>
      </c>
      <c r="B533" s="18" t="n">
        <v>9</v>
      </c>
      <c r="C533" s="18" t="s">
        <v>279</v>
      </c>
      <c r="D533" s="18" t="n">
        <v>-90</v>
      </c>
      <c r="E533" s="18" t="s">
        <v>394</v>
      </c>
      <c r="F533" s="18" t="s">
        <v>198</v>
      </c>
      <c r="G533" s="19" t="n">
        <v>35885</v>
      </c>
      <c r="H533" s="18" t="n">
        <v>271</v>
      </c>
      <c r="I533" s="18" t="n">
        <v>79</v>
      </c>
      <c r="J533" s="18" t="n">
        <f aca="false">SUMIFS($H$2:$H$1200,$A$2:$A$1200,$A533,$B$2:$B$1200,"&lt;="&amp;$B533)</f>
        <v>1443</v>
      </c>
      <c r="K533" s="18" t="n">
        <f aca="false">SUMIFS($I$2:$I$1200,$A$2:$A$1200,$A533,$B$2:$B$1200,"&lt;="&amp;$B533)</f>
        <v>210</v>
      </c>
      <c r="L533" s="18" t="n">
        <f aca="false">J533-K533</f>
        <v>1233</v>
      </c>
      <c r="M533" s="18" t="n">
        <f aca="false">SUMIF($A$2:$A$1200,$A533,$H$2:$H$1200)</f>
        <v>2133</v>
      </c>
      <c r="N533" s="20" t="n">
        <f aca="false">IF(M533=0,"",L533/M533)</f>
        <v>0.578059071729958</v>
      </c>
      <c r="O533" s="20" t="n">
        <v>0.57887323943662</v>
      </c>
      <c r="P533" s="20" t="n">
        <f aca="false">IF(OR(N533="",O533=""),"",N533-O533)</f>
        <v>-0.000814167706662095</v>
      </c>
      <c r="Q533" s="18"/>
    </row>
    <row r="534" customFormat="false" ht="15" hidden="false" customHeight="true" outlineLevel="0" collapsed="false">
      <c r="A534" s="18" t="s">
        <v>393</v>
      </c>
      <c r="B534" s="18" t="n">
        <v>10</v>
      </c>
      <c r="C534" s="18" t="s">
        <v>206</v>
      </c>
      <c r="D534" s="18" t="n">
        <v>-75</v>
      </c>
      <c r="E534" s="18" t="s">
        <v>394</v>
      </c>
      <c r="F534" s="18" t="s">
        <v>198</v>
      </c>
      <c r="G534" s="19" t="n">
        <v>35885</v>
      </c>
      <c r="H534" s="18" t="n">
        <v>193</v>
      </c>
      <c r="I534" s="18" t="n">
        <v>107</v>
      </c>
      <c r="J534" s="18" t="n">
        <f aca="false">SUMIFS($H$2:$H$1200,$A$2:$A$1200,$A534,$B$2:$B$1200,"&lt;="&amp;$B534)</f>
        <v>1636</v>
      </c>
      <c r="K534" s="18" t="n">
        <f aca="false">SUMIFS($I$2:$I$1200,$A$2:$A$1200,$A534,$B$2:$B$1200,"&lt;="&amp;$B534)</f>
        <v>317</v>
      </c>
      <c r="L534" s="18" t="n">
        <f aca="false">J534-K534</f>
        <v>1319</v>
      </c>
      <c r="M534" s="18" t="n">
        <f aca="false">SUMIF($A$2:$A$1200,$A534,$H$2:$H$1200)</f>
        <v>2133</v>
      </c>
      <c r="N534" s="20" t="n">
        <f aca="false">IF(M534=0,"",L534/M534)</f>
        <v>0.618377871542429</v>
      </c>
      <c r="O534" s="20" t="n">
        <v>0.61924882629108</v>
      </c>
      <c r="P534" s="20" t="n">
        <f aca="false">IF(OR(N534="",O534=""),"",N534-O534)</f>
        <v>-0.000870954748651509</v>
      </c>
      <c r="Q534" s="18"/>
    </row>
    <row r="535" customFormat="false" ht="15" hidden="false" customHeight="true" outlineLevel="0" collapsed="false">
      <c r="A535" s="18" t="s">
        <v>393</v>
      </c>
      <c r="B535" s="18" t="n">
        <v>11</v>
      </c>
      <c r="C535" s="18" t="s">
        <v>246</v>
      </c>
      <c r="D535" s="18" t="n">
        <v>-60</v>
      </c>
      <c r="E535" s="18" t="s">
        <v>394</v>
      </c>
      <c r="F535" s="18" t="s">
        <v>198</v>
      </c>
      <c r="G535" s="19" t="n">
        <v>35885</v>
      </c>
      <c r="H535" s="18" t="n">
        <v>153</v>
      </c>
      <c r="I535" s="18" t="n">
        <v>155</v>
      </c>
      <c r="J535" s="18" t="n">
        <f aca="false">SUMIFS($H$2:$H$1200,$A$2:$A$1200,$A535,$B$2:$B$1200,"&lt;="&amp;$B535)</f>
        <v>1789</v>
      </c>
      <c r="K535" s="18" t="n">
        <f aca="false">SUMIFS($I$2:$I$1200,$A$2:$A$1200,$A535,$B$2:$B$1200,"&lt;="&amp;$B535)</f>
        <v>472</v>
      </c>
      <c r="L535" s="18" t="n">
        <f aca="false">J535-K535</f>
        <v>1317</v>
      </c>
      <c r="M535" s="18" t="n">
        <f aca="false">SUMIF($A$2:$A$1200,$A535,$H$2:$H$1200)</f>
        <v>2133</v>
      </c>
      <c r="N535" s="20" t="n">
        <f aca="false">IF(M535=0,"",L535/M535)</f>
        <v>0.617440225035162</v>
      </c>
      <c r="O535" s="20" t="n">
        <v>0.61830985915493</v>
      </c>
      <c r="P535" s="20" t="n">
        <f aca="false">IF(OR(N535="",O535=""),"",N535-O535)</f>
        <v>-0.000869634119768259</v>
      </c>
      <c r="Q535" s="18"/>
    </row>
    <row r="536" customFormat="false" ht="15" hidden="false" customHeight="true" outlineLevel="0" collapsed="false">
      <c r="A536" s="18" t="s">
        <v>393</v>
      </c>
      <c r="B536" s="18" t="n">
        <v>12</v>
      </c>
      <c r="C536" s="18" t="s">
        <v>254</v>
      </c>
      <c r="D536" s="18" t="n">
        <v>-45</v>
      </c>
      <c r="E536" s="18" t="s">
        <v>394</v>
      </c>
      <c r="F536" s="18" t="s">
        <v>198</v>
      </c>
      <c r="G536" s="19" t="n">
        <v>35885</v>
      </c>
      <c r="H536" s="18" t="n">
        <v>108</v>
      </c>
      <c r="I536" s="18" t="n">
        <v>168</v>
      </c>
      <c r="J536" s="18" t="n">
        <f aca="false">SUMIFS($H$2:$H$1200,$A$2:$A$1200,$A536,$B$2:$B$1200,"&lt;="&amp;$B536)</f>
        <v>1897</v>
      </c>
      <c r="K536" s="18" t="n">
        <f aca="false">SUMIFS($I$2:$I$1200,$A$2:$A$1200,$A536,$B$2:$B$1200,"&lt;="&amp;$B536)</f>
        <v>640</v>
      </c>
      <c r="L536" s="18" t="n">
        <f aca="false">J536-K536</f>
        <v>1257</v>
      </c>
      <c r="M536" s="18" t="n">
        <f aca="false">SUMIF($A$2:$A$1200,$A536,$H$2:$H$1200)</f>
        <v>2133</v>
      </c>
      <c r="N536" s="20" t="n">
        <f aca="false">IF(M536=0,"",L536/M536)</f>
        <v>0.589310829817159</v>
      </c>
      <c r="O536" s="20" t="n">
        <v>0.590140845070423</v>
      </c>
      <c r="P536" s="20" t="n">
        <f aca="false">IF(OR(N536="",O536=""),"",N536-O536)</f>
        <v>-0.000830015253264094</v>
      </c>
      <c r="Q536" s="18"/>
    </row>
    <row r="537" customFormat="false" ht="15" hidden="false" customHeight="true" outlineLevel="0" collapsed="false">
      <c r="A537" s="18" t="s">
        <v>393</v>
      </c>
      <c r="B537" s="18" t="n">
        <v>13</v>
      </c>
      <c r="C537" s="18" t="s">
        <v>403</v>
      </c>
      <c r="D537" s="18" t="n">
        <v>-30</v>
      </c>
      <c r="E537" s="18" t="s">
        <v>394</v>
      </c>
      <c r="F537" s="18" t="s">
        <v>198</v>
      </c>
      <c r="G537" s="19" t="n">
        <v>35885</v>
      </c>
      <c r="H537" s="18" t="n">
        <v>80</v>
      </c>
      <c r="I537" s="18" t="n">
        <v>213</v>
      </c>
      <c r="J537" s="18" t="n">
        <f aca="false">SUMIFS($H$2:$H$1200,$A$2:$A$1200,$A537,$B$2:$B$1200,"&lt;="&amp;$B537)</f>
        <v>1977</v>
      </c>
      <c r="K537" s="18" t="n">
        <f aca="false">SUMIFS($I$2:$I$1200,$A$2:$A$1200,$A537,$B$2:$B$1200,"&lt;="&amp;$B537)</f>
        <v>853</v>
      </c>
      <c r="L537" s="18" t="n">
        <f aca="false">J537-K537</f>
        <v>1124</v>
      </c>
      <c r="M537" s="18" t="n">
        <f aca="false">SUMIF($A$2:$A$1200,$A537,$H$2:$H$1200)</f>
        <v>2133</v>
      </c>
      <c r="N537" s="20" t="n">
        <f aca="false">IF(M537=0,"",L537/M537)</f>
        <v>0.526957337083919</v>
      </c>
      <c r="O537" s="20" t="n">
        <v>0.527699530516432</v>
      </c>
      <c r="P537" s="20" t="n">
        <f aca="false">IF(OR(N537="",O537=""),"",N537-O537)</f>
        <v>-0.000742193432512694</v>
      </c>
      <c r="Q537" s="18"/>
    </row>
    <row r="538" customFormat="false" ht="15" hidden="false" customHeight="true" outlineLevel="0" collapsed="false">
      <c r="A538" s="18" t="s">
        <v>393</v>
      </c>
      <c r="B538" s="18" t="n">
        <v>14</v>
      </c>
      <c r="C538" s="18" t="s">
        <v>529</v>
      </c>
      <c r="D538" s="18" t="n">
        <v>-15</v>
      </c>
      <c r="E538" s="18" t="s">
        <v>394</v>
      </c>
      <c r="F538" s="18" t="s">
        <v>198</v>
      </c>
      <c r="G538" s="19" t="n">
        <v>35885</v>
      </c>
      <c r="H538" s="18" t="n">
        <v>56</v>
      </c>
      <c r="I538" s="18" t="n">
        <v>200</v>
      </c>
      <c r="J538" s="18" t="n">
        <f aca="false">SUMIFS($H$2:$H$1200,$A$2:$A$1200,$A538,$B$2:$B$1200,"&lt;="&amp;$B538)</f>
        <v>2033</v>
      </c>
      <c r="K538" s="18" t="n">
        <f aca="false">SUMIFS($I$2:$I$1200,$A$2:$A$1200,$A538,$B$2:$B$1200,"&lt;="&amp;$B538)</f>
        <v>1053</v>
      </c>
      <c r="L538" s="18" t="n">
        <f aca="false">J538-K538</f>
        <v>980</v>
      </c>
      <c r="M538" s="18" t="n">
        <f aca="false">SUMIF($A$2:$A$1200,$A538,$H$2:$H$1200)</f>
        <v>2133</v>
      </c>
      <c r="N538" s="20" t="n">
        <f aca="false">IF(M538=0,"",L538/M538)</f>
        <v>0.459446788560713</v>
      </c>
      <c r="O538" s="20" t="n">
        <v>0.460093896713615</v>
      </c>
      <c r="P538" s="20" t="n">
        <f aca="false">IF(OR(N538="",O538=""),"",N538-O538)</f>
        <v>-0.000647108152902365</v>
      </c>
      <c r="Q538" s="18"/>
    </row>
    <row r="539" customFormat="false" ht="15" hidden="false" customHeight="true" outlineLevel="0" collapsed="false">
      <c r="A539" s="18" t="s">
        <v>393</v>
      </c>
      <c r="B539" s="18" t="n">
        <v>15</v>
      </c>
      <c r="C539" s="18" t="s">
        <v>463</v>
      </c>
      <c r="D539" s="18" t="n">
        <v>0</v>
      </c>
      <c r="E539" s="18" t="s">
        <v>394</v>
      </c>
      <c r="F539" s="18" t="s">
        <v>198</v>
      </c>
      <c r="G539" s="19" t="n">
        <v>35885</v>
      </c>
      <c r="H539" s="18" t="n">
        <v>36</v>
      </c>
      <c r="I539" s="18" t="n">
        <v>219</v>
      </c>
      <c r="J539" s="18" t="n">
        <f aca="false">SUMIFS($H$2:$H$1200,$A$2:$A$1200,$A539,$B$2:$B$1200,"&lt;="&amp;$B539)</f>
        <v>2069</v>
      </c>
      <c r="K539" s="18" t="n">
        <f aca="false">SUMIFS($I$2:$I$1200,$A$2:$A$1200,$A539,$B$2:$B$1200,"&lt;="&amp;$B539)</f>
        <v>1272</v>
      </c>
      <c r="L539" s="18" t="n">
        <f aca="false">J539-K539</f>
        <v>797</v>
      </c>
      <c r="M539" s="18" t="n">
        <f aca="false">SUMIF($A$2:$A$1200,$A539,$H$2:$H$1200)</f>
        <v>2133</v>
      </c>
      <c r="N539" s="20" t="n">
        <f aca="false">IF(M539=0,"",L539/M539)</f>
        <v>0.373652133145804</v>
      </c>
      <c r="O539" s="20" t="n">
        <v>0.374178403755869</v>
      </c>
      <c r="P539" s="20" t="n">
        <f aca="false">IF(OR(N539="",O539=""),"",N539-O539)</f>
        <v>-0.000526270610064994</v>
      </c>
      <c r="Q539" s="18"/>
    </row>
    <row r="540" customFormat="false" ht="15" hidden="false" customHeight="true" outlineLevel="0" collapsed="false">
      <c r="A540" s="18" t="s">
        <v>393</v>
      </c>
      <c r="B540" s="18" t="n">
        <v>16</v>
      </c>
      <c r="C540" s="18" t="s">
        <v>366</v>
      </c>
      <c r="D540" s="18" t="n">
        <v>15</v>
      </c>
      <c r="E540" s="18" t="s">
        <v>394</v>
      </c>
      <c r="F540" s="18" t="s">
        <v>198</v>
      </c>
      <c r="G540" s="19" t="n">
        <v>35885</v>
      </c>
      <c r="H540" s="18" t="n">
        <v>32</v>
      </c>
      <c r="I540" s="18" t="n">
        <v>205</v>
      </c>
      <c r="J540" s="18" t="n">
        <f aca="false">SUMIFS($H$2:$H$1200,$A$2:$A$1200,$A540,$B$2:$B$1200,"&lt;="&amp;$B540)</f>
        <v>2101</v>
      </c>
      <c r="K540" s="18" t="n">
        <f aca="false">SUMIFS($I$2:$I$1200,$A$2:$A$1200,$A540,$B$2:$B$1200,"&lt;="&amp;$B540)</f>
        <v>1477</v>
      </c>
      <c r="L540" s="18" t="n">
        <f aca="false">J540-K540</f>
        <v>624</v>
      </c>
      <c r="M540" s="18" t="n">
        <f aca="false">SUMIF($A$2:$A$1200,$A540,$H$2:$H$1200)</f>
        <v>2133</v>
      </c>
      <c r="N540" s="20" t="n">
        <f aca="false">IF(M540=0,"",L540/M540)</f>
        <v>0.292545710267229</v>
      </c>
      <c r="O540" s="20" t="n">
        <v>0.292957746478873</v>
      </c>
      <c r="P540" s="20" t="n">
        <f aca="false">IF(OR(N540="",O540=""),"",N540-O540)</f>
        <v>-0.000412036211643763</v>
      </c>
      <c r="Q540" s="18"/>
    </row>
    <row r="541" customFormat="false" ht="15" hidden="false" customHeight="true" outlineLevel="0" collapsed="false">
      <c r="A541" s="18" t="s">
        <v>393</v>
      </c>
      <c r="B541" s="18" t="n">
        <v>17</v>
      </c>
      <c r="C541" s="18" t="s">
        <v>326</v>
      </c>
      <c r="D541" s="18" t="n">
        <v>30</v>
      </c>
      <c r="E541" s="18" t="s">
        <v>394</v>
      </c>
      <c r="F541" s="18" t="s">
        <v>198</v>
      </c>
      <c r="G541" s="19" t="n">
        <v>35885</v>
      </c>
      <c r="H541" s="18" t="n">
        <v>18</v>
      </c>
      <c r="I541" s="18" t="n">
        <v>192</v>
      </c>
      <c r="J541" s="18" t="n">
        <f aca="false">SUMIFS($H$2:$H$1200,$A$2:$A$1200,$A541,$B$2:$B$1200,"&lt;="&amp;$B541)</f>
        <v>2119</v>
      </c>
      <c r="K541" s="18" t="n">
        <f aca="false">SUMIFS($I$2:$I$1200,$A$2:$A$1200,$A541,$B$2:$B$1200,"&lt;="&amp;$B541)</f>
        <v>1669</v>
      </c>
      <c r="L541" s="18" t="n">
        <f aca="false">J541-K541</f>
        <v>450</v>
      </c>
      <c r="M541" s="18" t="n">
        <f aca="false">SUMIF($A$2:$A$1200,$A541,$H$2:$H$1200)</f>
        <v>2133</v>
      </c>
      <c r="N541" s="20" t="n">
        <f aca="false">IF(M541=0,"",L541/M541)</f>
        <v>0.210970464135021</v>
      </c>
      <c r="O541" s="20" t="n">
        <v>0.211267605633803</v>
      </c>
      <c r="P541" s="20" t="n">
        <f aca="false">IF(OR(N541="",O541=""),"",N541-O541)</f>
        <v>-0.000297141498781905</v>
      </c>
      <c r="Q541" s="18"/>
    </row>
    <row r="542" customFormat="false" ht="15" hidden="false" customHeight="true" outlineLevel="0" collapsed="false">
      <c r="A542" s="18" t="s">
        <v>393</v>
      </c>
      <c r="B542" s="18" t="n">
        <v>18</v>
      </c>
      <c r="C542" s="18" t="s">
        <v>226</v>
      </c>
      <c r="D542" s="18" t="n">
        <v>45</v>
      </c>
      <c r="E542" s="18" t="s">
        <v>394</v>
      </c>
      <c r="F542" s="18" t="s">
        <v>198</v>
      </c>
      <c r="G542" s="19" t="n">
        <v>35885</v>
      </c>
      <c r="H542" s="18" t="n">
        <v>11</v>
      </c>
      <c r="I542" s="18" t="n">
        <v>140</v>
      </c>
      <c r="J542" s="18" t="n">
        <f aca="false">SUMIFS($H$2:$H$1200,$A$2:$A$1200,$A542,$B$2:$B$1200,"&lt;="&amp;$B542)</f>
        <v>2130</v>
      </c>
      <c r="K542" s="18" t="n">
        <f aca="false">SUMIFS($I$2:$I$1200,$A$2:$A$1200,$A542,$B$2:$B$1200,"&lt;="&amp;$B542)</f>
        <v>1809</v>
      </c>
      <c r="L542" s="18" t="n">
        <f aca="false">J542-K542</f>
        <v>321</v>
      </c>
      <c r="M542" s="18" t="n">
        <f aca="false">SUMIF($A$2:$A$1200,$A542,$H$2:$H$1200)</f>
        <v>2133</v>
      </c>
      <c r="N542" s="20" t="n">
        <f aca="false">IF(M542=0,"",L542/M542)</f>
        <v>0.150492264416315</v>
      </c>
      <c r="O542" s="20" t="n">
        <v>0.150704225352113</v>
      </c>
      <c r="P542" s="20" t="n">
        <f aca="false">IF(OR(N542="",O542=""),"",N542-O542)</f>
        <v>-0.00021196093579795</v>
      </c>
      <c r="Q542" s="18"/>
    </row>
    <row r="543" customFormat="false" ht="15" hidden="false" customHeight="true" outlineLevel="0" collapsed="false">
      <c r="A543" s="18" t="s">
        <v>393</v>
      </c>
      <c r="B543" s="18" t="n">
        <v>19</v>
      </c>
      <c r="C543" s="18" t="s">
        <v>205</v>
      </c>
      <c r="D543" s="18" t="n">
        <v>60</v>
      </c>
      <c r="E543" s="18" t="s">
        <v>394</v>
      </c>
      <c r="F543" s="18" t="s">
        <v>198</v>
      </c>
      <c r="G543" s="19" t="n">
        <v>35885</v>
      </c>
      <c r="H543" s="18" t="n">
        <v>3</v>
      </c>
      <c r="I543" s="18" t="n">
        <v>35</v>
      </c>
      <c r="J543" s="18" t="n">
        <f aca="false">SUMIFS($H$2:$H$1200,$A$2:$A$1200,$A543,$B$2:$B$1200,"&lt;="&amp;$B543)</f>
        <v>2133</v>
      </c>
      <c r="K543" s="18" t="n">
        <f aca="false">SUMIFS($I$2:$I$1200,$A$2:$A$1200,$A543,$B$2:$B$1200,"&lt;="&amp;$B543)</f>
        <v>1844</v>
      </c>
      <c r="L543" s="18" t="n">
        <f aca="false">J543-K543</f>
        <v>289</v>
      </c>
      <c r="M543" s="18" t="n">
        <f aca="false">SUMIF($A$2:$A$1200,$A543,$H$2:$H$1200)</f>
        <v>2133</v>
      </c>
      <c r="N543" s="20" t="n">
        <f aca="false">IF(M543=0,"",L543/M543)</f>
        <v>0.135489920300047</v>
      </c>
      <c r="O543" s="20" t="n">
        <v>0.135680751173709</v>
      </c>
      <c r="P543" s="20" t="n">
        <f aca="false">IF(OR(N543="",O543=""),"",N543-O543)</f>
        <v>-0.000190830873662118</v>
      </c>
      <c r="Q543" s="18"/>
    </row>
    <row r="544" customFormat="false" ht="15" hidden="false" customHeight="true" outlineLevel="0" collapsed="false">
      <c r="A544" s="18" t="s">
        <v>400</v>
      </c>
      <c r="B544" s="18" t="n">
        <v>0</v>
      </c>
      <c r="C544" s="18" t="s">
        <v>204</v>
      </c>
      <c r="D544" s="18"/>
      <c r="E544" s="18" t="s">
        <v>394</v>
      </c>
      <c r="F544" s="18" t="s">
        <v>198</v>
      </c>
      <c r="G544" s="19" t="n">
        <v>35885</v>
      </c>
      <c r="H544" s="18" t="n">
        <v>0</v>
      </c>
      <c r="I544" s="18" t="n">
        <v>0</v>
      </c>
      <c r="J544" s="18" t="n">
        <f aca="false">SUMIFS($H$2:$H$1200,$A$2:$A$1200,$A544,$B$2:$B$1200,"&lt;="&amp;$B544)</f>
        <v>0</v>
      </c>
      <c r="K544" s="18" t="n">
        <f aca="false">SUMIFS($I$2:$I$1200,$A$2:$A$1200,$A544,$B$2:$B$1200,"&lt;="&amp;$B544)</f>
        <v>0</v>
      </c>
      <c r="L544" s="18" t="n">
        <f aca="false">J544-K544</f>
        <v>0</v>
      </c>
      <c r="M544" s="18" t="n">
        <f aca="false">SUMIF($A$2:$A$1200,$A544,$H$2:$H$1200)</f>
        <v>47</v>
      </c>
      <c r="N544" s="20" t="n">
        <f aca="false">IF(M544=0,"",L544/M544)</f>
        <v>0</v>
      </c>
      <c r="O544" s="20" t="n">
        <v>0</v>
      </c>
      <c r="P544" s="20" t="n">
        <f aca="false">IF(OR(N544="",O544=""),"",N544-O544)</f>
        <v>0</v>
      </c>
      <c r="Q544" s="18"/>
    </row>
    <row r="545" customFormat="false" ht="15" hidden="false" customHeight="true" outlineLevel="0" collapsed="false">
      <c r="A545" s="18" t="s">
        <v>400</v>
      </c>
      <c r="B545" s="18" t="n">
        <v>7</v>
      </c>
      <c r="C545" s="18" t="s">
        <v>227</v>
      </c>
      <c r="D545" s="18" t="n">
        <v>-120</v>
      </c>
      <c r="E545" s="18" t="s">
        <v>394</v>
      </c>
      <c r="F545" s="18" t="s">
        <v>198</v>
      </c>
      <c r="G545" s="19" t="n">
        <v>35885</v>
      </c>
      <c r="H545" s="18" t="n">
        <v>3</v>
      </c>
      <c r="I545" s="18" t="n">
        <v>0</v>
      </c>
      <c r="J545" s="18" t="n">
        <f aca="false">SUMIFS($H$2:$H$1200,$A$2:$A$1200,$A545,$B$2:$B$1200,"&lt;="&amp;$B545)</f>
        <v>3</v>
      </c>
      <c r="K545" s="18" t="n">
        <f aca="false">SUMIFS($I$2:$I$1200,$A$2:$A$1200,$A545,$B$2:$B$1200,"&lt;="&amp;$B545)</f>
        <v>0</v>
      </c>
      <c r="L545" s="18" t="n">
        <f aca="false">J545-K545</f>
        <v>3</v>
      </c>
      <c r="M545" s="18" t="n">
        <f aca="false">SUMIF($A$2:$A$1200,$A545,$H$2:$H$1200)</f>
        <v>47</v>
      </c>
      <c r="N545" s="20" t="n">
        <f aca="false">IF(M545=0,"",L545/M545)</f>
        <v>0.0638297872340426</v>
      </c>
      <c r="O545" s="20" t="n">
        <v>0.0638297872340426</v>
      </c>
      <c r="P545" s="20" t="n">
        <f aca="false">IF(OR(N545="",O545=""),"",N545-O545)</f>
        <v>0</v>
      </c>
      <c r="Q545" s="18"/>
    </row>
    <row r="546" customFormat="false" ht="15" hidden="false" customHeight="true" outlineLevel="0" collapsed="false">
      <c r="A546" s="18" t="s">
        <v>400</v>
      </c>
      <c r="B546" s="18" t="n">
        <v>8</v>
      </c>
      <c r="C546" s="18" t="s">
        <v>241</v>
      </c>
      <c r="D546" s="18" t="n">
        <v>-105</v>
      </c>
      <c r="E546" s="18" t="s">
        <v>394</v>
      </c>
      <c r="F546" s="18" t="s">
        <v>198</v>
      </c>
      <c r="G546" s="19" t="n">
        <v>35885</v>
      </c>
      <c r="H546" s="18" t="n">
        <v>4</v>
      </c>
      <c r="I546" s="18" t="n">
        <v>0</v>
      </c>
      <c r="J546" s="18" t="n">
        <f aca="false">SUMIFS($H$2:$H$1200,$A$2:$A$1200,$A546,$B$2:$B$1200,"&lt;="&amp;$B546)</f>
        <v>7</v>
      </c>
      <c r="K546" s="18" t="n">
        <f aca="false">SUMIFS($I$2:$I$1200,$A$2:$A$1200,$A546,$B$2:$B$1200,"&lt;="&amp;$B546)</f>
        <v>0</v>
      </c>
      <c r="L546" s="18" t="n">
        <f aca="false">J546-K546</f>
        <v>7</v>
      </c>
      <c r="M546" s="18" t="n">
        <f aca="false">SUMIF($A$2:$A$1200,$A546,$H$2:$H$1200)</f>
        <v>47</v>
      </c>
      <c r="N546" s="20" t="n">
        <f aca="false">IF(M546=0,"",L546/M546)</f>
        <v>0.148936170212766</v>
      </c>
      <c r="O546" s="20" t="n">
        <v>0.148936170212766</v>
      </c>
      <c r="P546" s="20" t="n">
        <f aca="false">IF(OR(N546="",O546=""),"",N546-O546)</f>
        <v>0</v>
      </c>
      <c r="Q546" s="18"/>
    </row>
    <row r="547" customFormat="false" ht="15" hidden="false" customHeight="true" outlineLevel="0" collapsed="false">
      <c r="A547" s="18" t="s">
        <v>400</v>
      </c>
      <c r="B547" s="18" t="n">
        <v>9</v>
      </c>
      <c r="C547" s="18" t="s">
        <v>279</v>
      </c>
      <c r="D547" s="18" t="n">
        <v>-90</v>
      </c>
      <c r="E547" s="18" t="s">
        <v>394</v>
      </c>
      <c r="F547" s="18" t="s">
        <v>198</v>
      </c>
      <c r="G547" s="19" t="n">
        <v>35885</v>
      </c>
      <c r="H547" s="18" t="n">
        <v>6</v>
      </c>
      <c r="I547" s="18" t="n">
        <v>2</v>
      </c>
      <c r="J547" s="18" t="n">
        <f aca="false">SUMIFS($H$2:$H$1200,$A$2:$A$1200,$A547,$B$2:$B$1200,"&lt;="&amp;$B547)</f>
        <v>13</v>
      </c>
      <c r="K547" s="18" t="n">
        <f aca="false">SUMIFS($I$2:$I$1200,$A$2:$A$1200,$A547,$B$2:$B$1200,"&lt;="&amp;$B547)</f>
        <v>2</v>
      </c>
      <c r="L547" s="18" t="n">
        <f aca="false">J547-K547</f>
        <v>11</v>
      </c>
      <c r="M547" s="18" t="n">
        <f aca="false">SUMIF($A$2:$A$1200,$A547,$H$2:$H$1200)</f>
        <v>47</v>
      </c>
      <c r="N547" s="20" t="n">
        <f aca="false">IF(M547=0,"",L547/M547)</f>
        <v>0.234042553191489</v>
      </c>
      <c r="O547" s="20" t="n">
        <v>0.234042553191489</v>
      </c>
      <c r="P547" s="20" t="n">
        <f aca="false">IF(OR(N547="",O547=""),"",N547-O547)</f>
        <v>0</v>
      </c>
      <c r="Q547" s="18"/>
    </row>
    <row r="548" customFormat="false" ht="15" hidden="false" customHeight="true" outlineLevel="0" collapsed="false">
      <c r="A548" s="18" t="s">
        <v>400</v>
      </c>
      <c r="B548" s="18" t="n">
        <v>10</v>
      </c>
      <c r="C548" s="18" t="s">
        <v>206</v>
      </c>
      <c r="D548" s="18" t="n">
        <v>-75</v>
      </c>
      <c r="E548" s="18" t="s">
        <v>394</v>
      </c>
      <c r="F548" s="18" t="s">
        <v>198</v>
      </c>
      <c r="G548" s="19" t="n">
        <v>35885</v>
      </c>
      <c r="H548" s="18" t="n">
        <v>10</v>
      </c>
      <c r="I548" s="18" t="n">
        <v>3</v>
      </c>
      <c r="J548" s="18" t="n">
        <f aca="false">SUMIFS($H$2:$H$1200,$A$2:$A$1200,$A548,$B$2:$B$1200,"&lt;="&amp;$B548)</f>
        <v>23</v>
      </c>
      <c r="K548" s="18" t="n">
        <f aca="false">SUMIFS($I$2:$I$1200,$A$2:$A$1200,$A548,$B$2:$B$1200,"&lt;="&amp;$B548)</f>
        <v>5</v>
      </c>
      <c r="L548" s="18" t="n">
        <f aca="false">J548-K548</f>
        <v>18</v>
      </c>
      <c r="M548" s="18" t="n">
        <f aca="false">SUMIF($A$2:$A$1200,$A548,$H$2:$H$1200)</f>
        <v>47</v>
      </c>
      <c r="N548" s="20" t="n">
        <f aca="false">IF(M548=0,"",L548/M548)</f>
        <v>0.382978723404255</v>
      </c>
      <c r="O548" s="20" t="n">
        <v>0.382978723404255</v>
      </c>
      <c r="P548" s="20" t="n">
        <f aca="false">IF(OR(N548="",O548=""),"",N548-O548)</f>
        <v>0</v>
      </c>
      <c r="Q548" s="18"/>
    </row>
    <row r="549" customFormat="false" ht="15" hidden="false" customHeight="true" outlineLevel="0" collapsed="false">
      <c r="A549" s="18" t="s">
        <v>400</v>
      </c>
      <c r="B549" s="18" t="n">
        <v>11</v>
      </c>
      <c r="C549" s="18" t="s">
        <v>246</v>
      </c>
      <c r="D549" s="18" t="n">
        <v>-60</v>
      </c>
      <c r="E549" s="18" t="s">
        <v>394</v>
      </c>
      <c r="F549" s="18" t="s">
        <v>198</v>
      </c>
      <c r="G549" s="19" t="n">
        <v>35885</v>
      </c>
      <c r="H549" s="18" t="n">
        <v>7</v>
      </c>
      <c r="I549" s="18" t="n">
        <v>2</v>
      </c>
      <c r="J549" s="18" t="n">
        <f aca="false">SUMIFS($H$2:$H$1200,$A$2:$A$1200,$A549,$B$2:$B$1200,"&lt;="&amp;$B549)</f>
        <v>30</v>
      </c>
      <c r="K549" s="18" t="n">
        <f aca="false">SUMIFS($I$2:$I$1200,$A$2:$A$1200,$A549,$B$2:$B$1200,"&lt;="&amp;$B549)</f>
        <v>7</v>
      </c>
      <c r="L549" s="18" t="n">
        <f aca="false">J549-K549</f>
        <v>23</v>
      </c>
      <c r="M549" s="18" t="n">
        <f aca="false">SUMIF($A$2:$A$1200,$A549,$H$2:$H$1200)</f>
        <v>47</v>
      </c>
      <c r="N549" s="20" t="n">
        <f aca="false">IF(M549=0,"",L549/M549)</f>
        <v>0.48936170212766</v>
      </c>
      <c r="O549" s="20" t="n">
        <v>0.48936170212766</v>
      </c>
      <c r="P549" s="20" t="n">
        <f aca="false">IF(OR(N549="",O549=""),"",N549-O549)</f>
        <v>0</v>
      </c>
      <c r="Q549" s="18"/>
    </row>
    <row r="550" customFormat="false" ht="15" hidden="false" customHeight="true" outlineLevel="0" collapsed="false">
      <c r="A550" s="18" t="s">
        <v>400</v>
      </c>
      <c r="B550" s="18" t="n">
        <v>12</v>
      </c>
      <c r="C550" s="18" t="s">
        <v>254</v>
      </c>
      <c r="D550" s="18" t="n">
        <v>-45</v>
      </c>
      <c r="E550" s="18" t="s">
        <v>394</v>
      </c>
      <c r="F550" s="18" t="s">
        <v>198</v>
      </c>
      <c r="G550" s="19" t="n">
        <v>35885</v>
      </c>
      <c r="H550" s="18" t="n">
        <v>6</v>
      </c>
      <c r="I550" s="18" t="n">
        <v>5</v>
      </c>
      <c r="J550" s="18" t="n">
        <f aca="false">SUMIFS($H$2:$H$1200,$A$2:$A$1200,$A550,$B$2:$B$1200,"&lt;="&amp;$B550)</f>
        <v>36</v>
      </c>
      <c r="K550" s="18" t="n">
        <f aca="false">SUMIFS($I$2:$I$1200,$A$2:$A$1200,$A550,$B$2:$B$1200,"&lt;="&amp;$B550)</f>
        <v>12</v>
      </c>
      <c r="L550" s="18" t="n">
        <f aca="false">J550-K550</f>
        <v>24</v>
      </c>
      <c r="M550" s="18" t="n">
        <f aca="false">SUMIF($A$2:$A$1200,$A550,$H$2:$H$1200)</f>
        <v>47</v>
      </c>
      <c r="N550" s="20" t="n">
        <f aca="false">IF(M550=0,"",L550/M550)</f>
        <v>0.51063829787234</v>
      </c>
      <c r="O550" s="20" t="n">
        <v>0.51063829787234</v>
      </c>
      <c r="P550" s="20" t="n">
        <f aca="false">IF(OR(N550="",O550=""),"",N550-O550)</f>
        <v>0</v>
      </c>
      <c r="Q550" s="18"/>
    </row>
    <row r="551" customFormat="false" ht="15" hidden="false" customHeight="true" outlineLevel="0" collapsed="false">
      <c r="A551" s="18" t="s">
        <v>400</v>
      </c>
      <c r="B551" s="18" t="n">
        <v>13</v>
      </c>
      <c r="C551" s="18" t="s">
        <v>403</v>
      </c>
      <c r="D551" s="18" t="n">
        <v>-30</v>
      </c>
      <c r="E551" s="18" t="s">
        <v>394</v>
      </c>
      <c r="F551" s="18" t="s">
        <v>198</v>
      </c>
      <c r="G551" s="19" t="n">
        <v>35885</v>
      </c>
      <c r="H551" s="18" t="n">
        <v>5</v>
      </c>
      <c r="I551" s="18" t="n">
        <v>4</v>
      </c>
      <c r="J551" s="18" t="n">
        <f aca="false">SUMIFS($H$2:$H$1200,$A$2:$A$1200,$A551,$B$2:$B$1200,"&lt;="&amp;$B551)</f>
        <v>41</v>
      </c>
      <c r="K551" s="18" t="n">
        <f aca="false">SUMIFS($I$2:$I$1200,$A$2:$A$1200,$A551,$B$2:$B$1200,"&lt;="&amp;$B551)</f>
        <v>16</v>
      </c>
      <c r="L551" s="18" t="n">
        <f aca="false">J551-K551</f>
        <v>25</v>
      </c>
      <c r="M551" s="18" t="n">
        <f aca="false">SUMIF($A$2:$A$1200,$A551,$H$2:$H$1200)</f>
        <v>47</v>
      </c>
      <c r="N551" s="20" t="n">
        <f aca="false">IF(M551=0,"",L551/M551)</f>
        <v>0.531914893617021</v>
      </c>
      <c r="O551" s="20" t="n">
        <v>0.531914893617021</v>
      </c>
      <c r="P551" s="20" t="n">
        <f aca="false">IF(OR(N551="",O551=""),"",N551-O551)</f>
        <v>0</v>
      </c>
      <c r="Q551" s="18"/>
    </row>
    <row r="552" customFormat="false" ht="15" hidden="false" customHeight="true" outlineLevel="0" collapsed="false">
      <c r="A552" s="18" t="s">
        <v>400</v>
      </c>
      <c r="B552" s="18" t="n">
        <v>14</v>
      </c>
      <c r="C552" s="18" t="s">
        <v>529</v>
      </c>
      <c r="D552" s="18" t="n">
        <v>-15</v>
      </c>
      <c r="E552" s="18" t="s">
        <v>394</v>
      </c>
      <c r="F552" s="18" t="s">
        <v>198</v>
      </c>
      <c r="G552" s="19" t="n">
        <v>35885</v>
      </c>
      <c r="H552" s="18" t="n">
        <v>3</v>
      </c>
      <c r="I552" s="18" t="n">
        <v>3</v>
      </c>
      <c r="J552" s="18" t="n">
        <f aca="false">SUMIFS($H$2:$H$1200,$A$2:$A$1200,$A552,$B$2:$B$1200,"&lt;="&amp;$B552)</f>
        <v>44</v>
      </c>
      <c r="K552" s="18" t="n">
        <f aca="false">SUMIFS($I$2:$I$1200,$A$2:$A$1200,$A552,$B$2:$B$1200,"&lt;="&amp;$B552)</f>
        <v>19</v>
      </c>
      <c r="L552" s="18" t="n">
        <f aca="false">J552-K552</f>
        <v>25</v>
      </c>
      <c r="M552" s="18" t="n">
        <f aca="false">SUMIF($A$2:$A$1200,$A552,$H$2:$H$1200)</f>
        <v>47</v>
      </c>
      <c r="N552" s="20" t="n">
        <f aca="false">IF(M552=0,"",L552/M552)</f>
        <v>0.531914893617021</v>
      </c>
      <c r="O552" s="20" t="n">
        <v>0.531914893617021</v>
      </c>
      <c r="P552" s="20" t="n">
        <f aca="false">IF(OR(N552="",O552=""),"",N552-O552)</f>
        <v>0</v>
      </c>
      <c r="Q552" s="18"/>
    </row>
    <row r="553" customFormat="false" ht="15" hidden="false" customHeight="true" outlineLevel="0" collapsed="false">
      <c r="A553" s="18" t="s">
        <v>400</v>
      </c>
      <c r="B553" s="18" t="n">
        <v>15</v>
      </c>
      <c r="C553" s="18" t="s">
        <v>463</v>
      </c>
      <c r="D553" s="18" t="n">
        <v>0</v>
      </c>
      <c r="E553" s="18" t="s">
        <v>394</v>
      </c>
      <c r="F553" s="18" t="s">
        <v>198</v>
      </c>
      <c r="G553" s="19" t="n">
        <v>35885</v>
      </c>
      <c r="H553" s="18" t="n">
        <v>2</v>
      </c>
      <c r="I553" s="18" t="n">
        <v>6</v>
      </c>
      <c r="J553" s="18" t="n">
        <f aca="false">SUMIFS($H$2:$H$1200,$A$2:$A$1200,$A553,$B$2:$B$1200,"&lt;="&amp;$B553)</f>
        <v>46</v>
      </c>
      <c r="K553" s="18" t="n">
        <f aca="false">SUMIFS($I$2:$I$1200,$A$2:$A$1200,$A553,$B$2:$B$1200,"&lt;="&amp;$B553)</f>
        <v>25</v>
      </c>
      <c r="L553" s="18" t="n">
        <f aca="false">J553-K553</f>
        <v>21</v>
      </c>
      <c r="M553" s="18" t="n">
        <f aca="false">SUMIF($A$2:$A$1200,$A553,$H$2:$H$1200)</f>
        <v>47</v>
      </c>
      <c r="N553" s="20" t="n">
        <f aca="false">IF(M553=0,"",L553/M553)</f>
        <v>0.446808510638298</v>
      </c>
      <c r="O553" s="20" t="n">
        <v>0.446808510638298</v>
      </c>
      <c r="P553" s="20" t="n">
        <f aca="false">IF(OR(N553="",O553=""),"",N553-O553)</f>
        <v>0</v>
      </c>
      <c r="Q553" s="18"/>
    </row>
    <row r="554" customFormat="false" ht="15" hidden="false" customHeight="true" outlineLevel="0" collapsed="false">
      <c r="A554" s="18" t="s">
        <v>400</v>
      </c>
      <c r="B554" s="18" t="n">
        <v>16</v>
      </c>
      <c r="C554" s="18" t="s">
        <v>366</v>
      </c>
      <c r="D554" s="18" t="n">
        <v>15</v>
      </c>
      <c r="E554" s="18" t="s">
        <v>394</v>
      </c>
      <c r="F554" s="18" t="s">
        <v>198</v>
      </c>
      <c r="G554" s="19" t="n">
        <v>35885</v>
      </c>
      <c r="H554" s="18" t="n">
        <v>1</v>
      </c>
      <c r="I554" s="18" t="n">
        <v>5</v>
      </c>
      <c r="J554" s="18" t="n">
        <f aca="false">SUMIFS($H$2:$H$1200,$A$2:$A$1200,$A554,$B$2:$B$1200,"&lt;="&amp;$B554)</f>
        <v>47</v>
      </c>
      <c r="K554" s="18" t="n">
        <f aca="false">SUMIFS($I$2:$I$1200,$A$2:$A$1200,$A554,$B$2:$B$1200,"&lt;="&amp;$B554)</f>
        <v>30</v>
      </c>
      <c r="L554" s="18" t="n">
        <f aca="false">J554-K554</f>
        <v>17</v>
      </c>
      <c r="M554" s="18" t="n">
        <f aca="false">SUMIF($A$2:$A$1200,$A554,$H$2:$H$1200)</f>
        <v>47</v>
      </c>
      <c r="N554" s="20" t="n">
        <f aca="false">IF(M554=0,"",L554/M554)</f>
        <v>0.361702127659575</v>
      </c>
      <c r="O554" s="20" t="n">
        <v>0.361702127659575</v>
      </c>
      <c r="P554" s="20" t="n">
        <f aca="false">IF(OR(N554="",O554=""),"",N554-O554)</f>
        <v>0</v>
      </c>
      <c r="Q554" s="18"/>
    </row>
    <row r="555" customFormat="false" ht="15" hidden="false" customHeight="true" outlineLevel="0" collapsed="false">
      <c r="A555" s="18" t="s">
        <v>400</v>
      </c>
      <c r="B555" s="18" t="n">
        <v>17</v>
      </c>
      <c r="C555" s="18" t="s">
        <v>326</v>
      </c>
      <c r="D555" s="18" t="n">
        <v>30</v>
      </c>
      <c r="E555" s="18" t="s">
        <v>394</v>
      </c>
      <c r="F555" s="18" t="s">
        <v>198</v>
      </c>
      <c r="G555" s="19" t="n">
        <v>35885</v>
      </c>
      <c r="H555" s="18" t="n">
        <v>0</v>
      </c>
      <c r="I555" s="18" t="n">
        <v>3</v>
      </c>
      <c r="J555" s="18" t="n">
        <f aca="false">SUMIFS($H$2:$H$1200,$A$2:$A$1200,$A555,$B$2:$B$1200,"&lt;="&amp;$B555)</f>
        <v>47</v>
      </c>
      <c r="K555" s="18" t="n">
        <f aca="false">SUMIFS($I$2:$I$1200,$A$2:$A$1200,$A555,$B$2:$B$1200,"&lt;="&amp;$B555)</f>
        <v>33</v>
      </c>
      <c r="L555" s="18" t="n">
        <f aca="false">J555-K555</f>
        <v>14</v>
      </c>
      <c r="M555" s="18" t="n">
        <f aca="false">SUMIF($A$2:$A$1200,$A555,$H$2:$H$1200)</f>
        <v>47</v>
      </c>
      <c r="N555" s="20" t="n">
        <f aca="false">IF(M555=0,"",L555/M555)</f>
        <v>0.297872340425532</v>
      </c>
      <c r="O555" s="20" t="n">
        <v>0.297872340425532</v>
      </c>
      <c r="P555" s="20" t="n">
        <f aca="false">IF(OR(N555="",O555=""),"",N555-O555)</f>
        <v>0</v>
      </c>
      <c r="Q555" s="18"/>
    </row>
    <row r="556" customFormat="false" ht="15" hidden="false" customHeight="true" outlineLevel="0" collapsed="false">
      <c r="A556" s="18" t="s">
        <v>400</v>
      </c>
      <c r="B556" s="18" t="n">
        <v>18</v>
      </c>
      <c r="C556" s="18" t="s">
        <v>226</v>
      </c>
      <c r="D556" s="18" t="n">
        <v>45</v>
      </c>
      <c r="E556" s="18" t="s">
        <v>394</v>
      </c>
      <c r="F556" s="18" t="s">
        <v>198</v>
      </c>
      <c r="G556" s="19" t="n">
        <v>35885</v>
      </c>
      <c r="H556" s="18" t="n">
        <v>0</v>
      </c>
      <c r="I556" s="18" t="n">
        <v>3</v>
      </c>
      <c r="J556" s="18" t="n">
        <f aca="false">SUMIFS($H$2:$H$1200,$A$2:$A$1200,$A556,$B$2:$B$1200,"&lt;="&amp;$B556)</f>
        <v>47</v>
      </c>
      <c r="K556" s="18" t="n">
        <f aca="false">SUMIFS($I$2:$I$1200,$A$2:$A$1200,$A556,$B$2:$B$1200,"&lt;="&amp;$B556)</f>
        <v>36</v>
      </c>
      <c r="L556" s="18" t="n">
        <f aca="false">J556-K556</f>
        <v>11</v>
      </c>
      <c r="M556" s="18" t="n">
        <f aca="false">SUMIF($A$2:$A$1200,$A556,$H$2:$H$1200)</f>
        <v>47</v>
      </c>
      <c r="N556" s="20" t="n">
        <f aca="false">IF(M556=0,"",L556/M556)</f>
        <v>0.234042553191489</v>
      </c>
      <c r="O556" s="20" t="n">
        <v>0.234042553191489</v>
      </c>
      <c r="P556" s="20" t="n">
        <f aca="false">IF(OR(N556="",O556=""),"",N556-O556)</f>
        <v>0</v>
      </c>
      <c r="Q556" s="18"/>
    </row>
    <row r="557" customFormat="false" ht="15" hidden="false" customHeight="true" outlineLevel="0" collapsed="false">
      <c r="A557" s="18" t="s">
        <v>400</v>
      </c>
      <c r="B557" s="18" t="n">
        <v>19</v>
      </c>
      <c r="C557" s="18" t="s">
        <v>205</v>
      </c>
      <c r="D557" s="18" t="n">
        <v>60</v>
      </c>
      <c r="E557" s="18" t="s">
        <v>394</v>
      </c>
      <c r="F557" s="18" t="s">
        <v>198</v>
      </c>
      <c r="G557" s="19" t="n">
        <v>35885</v>
      </c>
      <c r="H557" s="18" t="n">
        <v>0</v>
      </c>
      <c r="I557" s="18" t="n">
        <v>0</v>
      </c>
      <c r="J557" s="18" t="n">
        <f aca="false">SUMIFS($H$2:$H$1200,$A$2:$A$1200,$A557,$B$2:$B$1200,"&lt;="&amp;$B557)</f>
        <v>47</v>
      </c>
      <c r="K557" s="18" t="n">
        <f aca="false">SUMIFS($I$2:$I$1200,$A$2:$A$1200,$A557,$B$2:$B$1200,"&lt;="&amp;$B557)</f>
        <v>36</v>
      </c>
      <c r="L557" s="18" t="n">
        <f aca="false">J557-K557</f>
        <v>11</v>
      </c>
      <c r="M557" s="18" t="n">
        <f aca="false">SUMIF($A$2:$A$1200,$A557,$H$2:$H$1200)</f>
        <v>47</v>
      </c>
      <c r="N557" s="20" t="n">
        <f aca="false">IF(M557=0,"",L557/M557)</f>
        <v>0.234042553191489</v>
      </c>
      <c r="O557" s="20" t="n">
        <v>0.234042553191489</v>
      </c>
      <c r="P557" s="20" t="n">
        <f aca="false">IF(OR(N557="",O557=""),"",N557-O557)</f>
        <v>0</v>
      </c>
      <c r="Q557" s="18"/>
    </row>
    <row r="558" customFormat="false" ht="15" hidden="false" customHeight="true" outlineLevel="0" collapsed="false">
      <c r="A558" s="18" t="s">
        <v>405</v>
      </c>
      <c r="B558" s="18" t="n">
        <v>0</v>
      </c>
      <c r="C558" s="18" t="s">
        <v>204</v>
      </c>
      <c r="D558" s="18"/>
      <c r="E558" s="18" t="s">
        <v>394</v>
      </c>
      <c r="F558" s="18" t="s">
        <v>198</v>
      </c>
      <c r="G558" s="19" t="n">
        <v>35885</v>
      </c>
      <c r="H558" s="18" t="n">
        <v>34</v>
      </c>
      <c r="I558" s="18" t="n">
        <v>2</v>
      </c>
      <c r="J558" s="18" t="n">
        <f aca="false">SUMIFS($H$2:$H$1200,$A$2:$A$1200,$A558,$B$2:$B$1200,"&lt;="&amp;$B558)</f>
        <v>34</v>
      </c>
      <c r="K558" s="18" t="n">
        <f aca="false">SUMIFS($I$2:$I$1200,$A$2:$A$1200,$A558,$B$2:$B$1200,"&lt;="&amp;$B558)</f>
        <v>2</v>
      </c>
      <c r="L558" s="18" t="n">
        <f aca="false">J558-K558</f>
        <v>32</v>
      </c>
      <c r="M558" s="18" t="n">
        <f aca="false">SUMIF($A$2:$A$1200,$A558,$H$2:$H$1200)</f>
        <v>402</v>
      </c>
      <c r="N558" s="20" t="n">
        <f aca="false">IF(M558=0,"",L558/M558)</f>
        <v>0.0796019900497512</v>
      </c>
      <c r="O558" s="20" t="n">
        <v>0.0796019900497512</v>
      </c>
      <c r="P558" s="20" t="n">
        <f aca="false">IF(OR(N558="",O558=""),"",N558-O558)</f>
        <v>0</v>
      </c>
      <c r="Q558" s="18"/>
    </row>
    <row r="559" customFormat="false" ht="15" hidden="false" customHeight="true" outlineLevel="0" collapsed="false">
      <c r="A559" s="18" t="s">
        <v>405</v>
      </c>
      <c r="B559" s="18" t="n">
        <v>7</v>
      </c>
      <c r="C559" s="18" t="s">
        <v>227</v>
      </c>
      <c r="D559" s="18" t="n">
        <v>-120</v>
      </c>
      <c r="E559" s="18" t="s">
        <v>394</v>
      </c>
      <c r="F559" s="18" t="s">
        <v>198</v>
      </c>
      <c r="G559" s="19" t="n">
        <v>35885</v>
      </c>
      <c r="H559" s="18" t="n">
        <v>65</v>
      </c>
      <c r="I559" s="18" t="n">
        <v>4</v>
      </c>
      <c r="J559" s="18" t="n">
        <f aca="false">SUMIFS($H$2:$H$1200,$A$2:$A$1200,$A559,$B$2:$B$1200,"&lt;="&amp;$B559)</f>
        <v>99</v>
      </c>
      <c r="K559" s="18" t="n">
        <f aca="false">SUMIFS($I$2:$I$1200,$A$2:$A$1200,$A559,$B$2:$B$1200,"&lt;="&amp;$B559)</f>
        <v>6</v>
      </c>
      <c r="L559" s="18" t="n">
        <f aca="false">J559-K559</f>
        <v>93</v>
      </c>
      <c r="M559" s="18" t="n">
        <f aca="false">SUMIF($A$2:$A$1200,$A559,$H$2:$H$1200)</f>
        <v>402</v>
      </c>
      <c r="N559" s="20" t="n">
        <f aca="false">IF(M559=0,"",L559/M559)</f>
        <v>0.23134328358209</v>
      </c>
      <c r="O559" s="20" t="n">
        <v>0.23134328358209</v>
      </c>
      <c r="P559" s="20" t="n">
        <f aca="false">IF(OR(N559="",O559=""),"",N559-O559)</f>
        <v>0</v>
      </c>
      <c r="Q559" s="18"/>
    </row>
    <row r="560" customFormat="false" ht="15" hidden="false" customHeight="true" outlineLevel="0" collapsed="false">
      <c r="A560" s="18" t="s">
        <v>405</v>
      </c>
      <c r="B560" s="18" t="n">
        <v>8</v>
      </c>
      <c r="C560" s="18" t="s">
        <v>241</v>
      </c>
      <c r="D560" s="18" t="n">
        <v>-105</v>
      </c>
      <c r="E560" s="18" t="s">
        <v>394</v>
      </c>
      <c r="F560" s="18" t="s">
        <v>198</v>
      </c>
      <c r="G560" s="19" t="n">
        <v>35885</v>
      </c>
      <c r="H560" s="18" t="n">
        <v>77</v>
      </c>
      <c r="I560" s="18" t="n">
        <v>3</v>
      </c>
      <c r="J560" s="18" t="n">
        <f aca="false">SUMIFS($H$2:$H$1200,$A$2:$A$1200,$A560,$B$2:$B$1200,"&lt;="&amp;$B560)</f>
        <v>176</v>
      </c>
      <c r="K560" s="18" t="n">
        <f aca="false">SUMIFS($I$2:$I$1200,$A$2:$A$1200,$A560,$B$2:$B$1200,"&lt;="&amp;$B560)</f>
        <v>9</v>
      </c>
      <c r="L560" s="18" t="n">
        <f aca="false">J560-K560</f>
        <v>167</v>
      </c>
      <c r="M560" s="18" t="n">
        <f aca="false">SUMIF($A$2:$A$1200,$A560,$H$2:$H$1200)</f>
        <v>402</v>
      </c>
      <c r="N560" s="20" t="n">
        <f aca="false">IF(M560=0,"",L560/M560)</f>
        <v>0.415422885572139</v>
      </c>
      <c r="O560" s="20" t="n">
        <v>0.415422885572139</v>
      </c>
      <c r="P560" s="20" t="n">
        <f aca="false">IF(OR(N560="",O560=""),"",N560-O560)</f>
        <v>0</v>
      </c>
      <c r="Q560" s="18"/>
    </row>
    <row r="561" customFormat="false" ht="15" hidden="false" customHeight="true" outlineLevel="0" collapsed="false">
      <c r="A561" s="18" t="s">
        <v>405</v>
      </c>
      <c r="B561" s="18" t="n">
        <v>9</v>
      </c>
      <c r="C561" s="18" t="s">
        <v>279</v>
      </c>
      <c r="D561" s="18" t="n">
        <v>-90</v>
      </c>
      <c r="E561" s="18" t="s">
        <v>394</v>
      </c>
      <c r="F561" s="18" t="s">
        <v>198</v>
      </c>
      <c r="G561" s="19" t="n">
        <v>35885</v>
      </c>
      <c r="H561" s="18" t="n">
        <v>66</v>
      </c>
      <c r="I561" s="18" t="n">
        <v>9</v>
      </c>
      <c r="J561" s="18" t="n">
        <f aca="false">SUMIFS($H$2:$H$1200,$A$2:$A$1200,$A561,$B$2:$B$1200,"&lt;="&amp;$B561)</f>
        <v>242</v>
      </c>
      <c r="K561" s="18" t="n">
        <f aca="false">SUMIFS($I$2:$I$1200,$A$2:$A$1200,$A561,$B$2:$B$1200,"&lt;="&amp;$B561)</f>
        <v>18</v>
      </c>
      <c r="L561" s="18" t="n">
        <f aca="false">J561-K561</f>
        <v>224</v>
      </c>
      <c r="M561" s="18" t="n">
        <f aca="false">SUMIF($A$2:$A$1200,$A561,$H$2:$H$1200)</f>
        <v>402</v>
      </c>
      <c r="N561" s="20" t="n">
        <f aca="false">IF(M561=0,"",L561/M561)</f>
        <v>0.557213930348259</v>
      </c>
      <c r="O561" s="20" t="n">
        <v>0.557213930348259</v>
      </c>
      <c r="P561" s="20" t="n">
        <f aca="false">IF(OR(N561="",O561=""),"",N561-O561)</f>
        <v>0</v>
      </c>
      <c r="Q561" s="18"/>
    </row>
    <row r="562" customFormat="false" ht="15" hidden="false" customHeight="true" outlineLevel="0" collapsed="false">
      <c r="A562" s="18" t="s">
        <v>405</v>
      </c>
      <c r="B562" s="18" t="n">
        <v>10</v>
      </c>
      <c r="C562" s="18" t="s">
        <v>206</v>
      </c>
      <c r="D562" s="18" t="n">
        <v>-75</v>
      </c>
      <c r="E562" s="18" t="s">
        <v>394</v>
      </c>
      <c r="F562" s="18" t="s">
        <v>198</v>
      </c>
      <c r="G562" s="19" t="n">
        <v>35885</v>
      </c>
      <c r="H562" s="18" t="n">
        <v>60</v>
      </c>
      <c r="I562" s="18" t="n">
        <v>14</v>
      </c>
      <c r="J562" s="18" t="n">
        <f aca="false">SUMIFS($H$2:$H$1200,$A$2:$A$1200,$A562,$B$2:$B$1200,"&lt;="&amp;$B562)</f>
        <v>302</v>
      </c>
      <c r="K562" s="18" t="n">
        <f aca="false">SUMIFS($I$2:$I$1200,$A$2:$A$1200,$A562,$B$2:$B$1200,"&lt;="&amp;$B562)</f>
        <v>32</v>
      </c>
      <c r="L562" s="18" t="n">
        <f aca="false">J562-K562</f>
        <v>270</v>
      </c>
      <c r="M562" s="18" t="n">
        <f aca="false">SUMIF($A$2:$A$1200,$A562,$H$2:$H$1200)</f>
        <v>402</v>
      </c>
      <c r="N562" s="20" t="n">
        <f aca="false">IF(M562=0,"",L562/M562)</f>
        <v>0.671641791044776</v>
      </c>
      <c r="O562" s="20" t="n">
        <v>0.671641791044776</v>
      </c>
      <c r="P562" s="20" t="n">
        <f aca="false">IF(OR(N562="",O562=""),"",N562-O562)</f>
        <v>0</v>
      </c>
      <c r="Q562" s="18"/>
    </row>
    <row r="563" customFormat="false" ht="15" hidden="false" customHeight="true" outlineLevel="0" collapsed="false">
      <c r="A563" s="18" t="s">
        <v>405</v>
      </c>
      <c r="B563" s="18" t="n">
        <v>11</v>
      </c>
      <c r="C563" s="18" t="s">
        <v>246</v>
      </c>
      <c r="D563" s="18" t="n">
        <v>-60</v>
      </c>
      <c r="E563" s="18" t="s">
        <v>394</v>
      </c>
      <c r="F563" s="18" t="s">
        <v>198</v>
      </c>
      <c r="G563" s="19" t="n">
        <v>35885</v>
      </c>
      <c r="H563" s="18" t="n">
        <v>26</v>
      </c>
      <c r="I563" s="18" t="n">
        <v>36</v>
      </c>
      <c r="J563" s="18" t="n">
        <f aca="false">SUMIFS($H$2:$H$1200,$A$2:$A$1200,$A563,$B$2:$B$1200,"&lt;="&amp;$B563)</f>
        <v>328</v>
      </c>
      <c r="K563" s="18" t="n">
        <f aca="false">SUMIFS($I$2:$I$1200,$A$2:$A$1200,$A563,$B$2:$B$1200,"&lt;="&amp;$B563)</f>
        <v>68</v>
      </c>
      <c r="L563" s="18" t="n">
        <f aca="false">J563-K563</f>
        <v>260</v>
      </c>
      <c r="M563" s="18" t="n">
        <f aca="false">SUMIF($A$2:$A$1200,$A563,$H$2:$H$1200)</f>
        <v>402</v>
      </c>
      <c r="N563" s="20" t="n">
        <f aca="false">IF(M563=0,"",L563/M563)</f>
        <v>0.646766169154229</v>
      </c>
      <c r="O563" s="20" t="n">
        <v>0.646766169154229</v>
      </c>
      <c r="P563" s="20" t="n">
        <f aca="false">IF(OR(N563="",O563=""),"",N563-O563)</f>
        <v>0</v>
      </c>
      <c r="Q563" s="18"/>
    </row>
    <row r="564" customFormat="false" ht="15" hidden="false" customHeight="true" outlineLevel="0" collapsed="false">
      <c r="A564" s="18" t="s">
        <v>405</v>
      </c>
      <c r="B564" s="18" t="n">
        <v>12</v>
      </c>
      <c r="C564" s="18" t="s">
        <v>254</v>
      </c>
      <c r="D564" s="18" t="n">
        <v>-45</v>
      </c>
      <c r="E564" s="18" t="s">
        <v>394</v>
      </c>
      <c r="F564" s="18" t="s">
        <v>198</v>
      </c>
      <c r="G564" s="19" t="n">
        <v>35885</v>
      </c>
      <c r="H564" s="18" t="n">
        <v>20</v>
      </c>
      <c r="I564" s="18" t="n">
        <v>43</v>
      </c>
      <c r="J564" s="18" t="n">
        <f aca="false">SUMIFS($H$2:$H$1200,$A$2:$A$1200,$A564,$B$2:$B$1200,"&lt;="&amp;$B564)</f>
        <v>348</v>
      </c>
      <c r="K564" s="18" t="n">
        <f aca="false">SUMIFS($I$2:$I$1200,$A$2:$A$1200,$A564,$B$2:$B$1200,"&lt;="&amp;$B564)</f>
        <v>111</v>
      </c>
      <c r="L564" s="18" t="n">
        <f aca="false">J564-K564</f>
        <v>237</v>
      </c>
      <c r="M564" s="18" t="n">
        <f aca="false">SUMIF($A$2:$A$1200,$A564,$H$2:$H$1200)</f>
        <v>402</v>
      </c>
      <c r="N564" s="20" t="n">
        <f aca="false">IF(M564=0,"",L564/M564)</f>
        <v>0.58955223880597</v>
      </c>
      <c r="O564" s="20" t="n">
        <v>0.58955223880597</v>
      </c>
      <c r="P564" s="20" t="n">
        <f aca="false">IF(OR(N564="",O564=""),"",N564-O564)</f>
        <v>0</v>
      </c>
      <c r="Q564" s="18"/>
    </row>
    <row r="565" customFormat="false" ht="15" hidden="false" customHeight="true" outlineLevel="0" collapsed="false">
      <c r="A565" s="18" t="s">
        <v>405</v>
      </c>
      <c r="B565" s="18" t="n">
        <v>13</v>
      </c>
      <c r="C565" s="18" t="s">
        <v>403</v>
      </c>
      <c r="D565" s="18" t="n">
        <v>-30</v>
      </c>
      <c r="E565" s="18" t="s">
        <v>394</v>
      </c>
      <c r="F565" s="18" t="s">
        <v>198</v>
      </c>
      <c r="G565" s="19" t="n">
        <v>35885</v>
      </c>
      <c r="H565" s="18" t="n">
        <v>20</v>
      </c>
      <c r="I565" s="18" t="n">
        <v>59</v>
      </c>
      <c r="J565" s="18" t="n">
        <f aca="false">SUMIFS($H$2:$H$1200,$A$2:$A$1200,$A565,$B$2:$B$1200,"&lt;="&amp;$B565)</f>
        <v>368</v>
      </c>
      <c r="K565" s="18" t="n">
        <f aca="false">SUMIFS($I$2:$I$1200,$A$2:$A$1200,$A565,$B$2:$B$1200,"&lt;="&amp;$B565)</f>
        <v>170</v>
      </c>
      <c r="L565" s="18" t="n">
        <f aca="false">J565-K565</f>
        <v>198</v>
      </c>
      <c r="M565" s="18" t="n">
        <f aca="false">SUMIF($A$2:$A$1200,$A565,$H$2:$H$1200)</f>
        <v>402</v>
      </c>
      <c r="N565" s="20" t="n">
        <f aca="false">IF(M565=0,"",L565/M565)</f>
        <v>0.492537313432836</v>
      </c>
      <c r="O565" s="20" t="n">
        <v>0.492537313432836</v>
      </c>
      <c r="P565" s="20" t="n">
        <f aca="false">IF(OR(N565="",O565=""),"",N565-O565)</f>
        <v>0</v>
      </c>
      <c r="Q565" s="18"/>
    </row>
    <row r="566" customFormat="false" ht="15" hidden="false" customHeight="true" outlineLevel="0" collapsed="false">
      <c r="A566" s="18" t="s">
        <v>405</v>
      </c>
      <c r="B566" s="18" t="n">
        <v>14</v>
      </c>
      <c r="C566" s="18" t="s">
        <v>529</v>
      </c>
      <c r="D566" s="18" t="n">
        <v>-15</v>
      </c>
      <c r="E566" s="18" t="s">
        <v>394</v>
      </c>
      <c r="F566" s="18" t="s">
        <v>198</v>
      </c>
      <c r="G566" s="19" t="n">
        <v>35885</v>
      </c>
      <c r="H566" s="18" t="n">
        <v>13</v>
      </c>
      <c r="I566" s="18" t="n">
        <v>54</v>
      </c>
      <c r="J566" s="18" t="n">
        <f aca="false">SUMIFS($H$2:$H$1200,$A$2:$A$1200,$A566,$B$2:$B$1200,"&lt;="&amp;$B566)</f>
        <v>381</v>
      </c>
      <c r="K566" s="18" t="n">
        <f aca="false">SUMIFS($I$2:$I$1200,$A$2:$A$1200,$A566,$B$2:$B$1200,"&lt;="&amp;$B566)</f>
        <v>224</v>
      </c>
      <c r="L566" s="18" t="n">
        <f aca="false">J566-K566</f>
        <v>157</v>
      </c>
      <c r="M566" s="18" t="n">
        <f aca="false">SUMIF($A$2:$A$1200,$A566,$H$2:$H$1200)</f>
        <v>402</v>
      </c>
      <c r="N566" s="20" t="n">
        <f aca="false">IF(M566=0,"",L566/M566)</f>
        <v>0.390547263681592</v>
      </c>
      <c r="O566" s="20" t="n">
        <v>0.390547263681592</v>
      </c>
      <c r="P566" s="20" t="n">
        <f aca="false">IF(OR(N566="",O566=""),"",N566-O566)</f>
        <v>0</v>
      </c>
      <c r="Q566" s="18"/>
    </row>
    <row r="567" customFormat="false" ht="15" hidden="false" customHeight="true" outlineLevel="0" collapsed="false">
      <c r="A567" s="18" t="s">
        <v>405</v>
      </c>
      <c r="B567" s="18" t="n">
        <v>15</v>
      </c>
      <c r="C567" s="18" t="s">
        <v>463</v>
      </c>
      <c r="D567" s="18" t="n">
        <v>0</v>
      </c>
      <c r="E567" s="18" t="s">
        <v>394</v>
      </c>
      <c r="F567" s="18" t="s">
        <v>198</v>
      </c>
      <c r="G567" s="19" t="n">
        <v>35885</v>
      </c>
      <c r="H567" s="18" t="n">
        <v>8</v>
      </c>
      <c r="I567" s="18" t="n">
        <v>68</v>
      </c>
      <c r="J567" s="18" t="n">
        <f aca="false">SUMIFS($H$2:$H$1200,$A$2:$A$1200,$A567,$B$2:$B$1200,"&lt;="&amp;$B567)</f>
        <v>389</v>
      </c>
      <c r="K567" s="18" t="n">
        <f aca="false">SUMIFS($I$2:$I$1200,$A$2:$A$1200,$A567,$B$2:$B$1200,"&lt;="&amp;$B567)</f>
        <v>292</v>
      </c>
      <c r="L567" s="18" t="n">
        <f aca="false">J567-K567</f>
        <v>97</v>
      </c>
      <c r="M567" s="18" t="n">
        <f aca="false">SUMIF($A$2:$A$1200,$A567,$H$2:$H$1200)</f>
        <v>402</v>
      </c>
      <c r="N567" s="20" t="n">
        <f aca="false">IF(M567=0,"",L567/M567)</f>
        <v>0.241293532338308</v>
      </c>
      <c r="O567" s="20" t="n">
        <v>0.241293532338309</v>
      </c>
      <c r="P567" s="20" t="n">
        <f aca="false">IF(OR(N567="",O567=""),"",N567-O567)</f>
        <v>0</v>
      </c>
      <c r="Q567" s="18"/>
    </row>
    <row r="568" customFormat="false" ht="15" hidden="false" customHeight="true" outlineLevel="0" collapsed="false">
      <c r="A568" s="18" t="s">
        <v>405</v>
      </c>
      <c r="B568" s="18" t="n">
        <v>16</v>
      </c>
      <c r="C568" s="18" t="s">
        <v>366</v>
      </c>
      <c r="D568" s="18" t="n">
        <v>15</v>
      </c>
      <c r="E568" s="18" t="s">
        <v>394</v>
      </c>
      <c r="F568" s="18" t="s">
        <v>198</v>
      </c>
      <c r="G568" s="19" t="n">
        <v>35885</v>
      </c>
      <c r="H568" s="18" t="n">
        <v>8</v>
      </c>
      <c r="I568" s="18" t="n">
        <v>54</v>
      </c>
      <c r="J568" s="18" t="n">
        <f aca="false">SUMIFS($H$2:$H$1200,$A$2:$A$1200,$A568,$B$2:$B$1200,"&lt;="&amp;$B568)</f>
        <v>397</v>
      </c>
      <c r="K568" s="18" t="n">
        <f aca="false">SUMIFS($I$2:$I$1200,$A$2:$A$1200,$A568,$B$2:$B$1200,"&lt;="&amp;$B568)</f>
        <v>346</v>
      </c>
      <c r="L568" s="18" t="n">
        <f aca="false">J568-K568</f>
        <v>51</v>
      </c>
      <c r="M568" s="18" t="n">
        <f aca="false">SUMIF($A$2:$A$1200,$A568,$H$2:$H$1200)</f>
        <v>402</v>
      </c>
      <c r="N568" s="20" t="n">
        <f aca="false">IF(M568=0,"",L568/M568)</f>
        <v>0.126865671641791</v>
      </c>
      <c r="O568" s="20" t="n">
        <v>0.126865671641791</v>
      </c>
      <c r="P568" s="20" t="n">
        <f aca="false">IF(OR(N568="",O568=""),"",N568-O568)</f>
        <v>0</v>
      </c>
      <c r="Q568" s="18"/>
    </row>
    <row r="569" customFormat="false" ht="15" hidden="false" customHeight="true" outlineLevel="0" collapsed="false">
      <c r="A569" s="18" t="s">
        <v>405</v>
      </c>
      <c r="B569" s="18" t="n">
        <v>17</v>
      </c>
      <c r="C569" s="18" t="s">
        <v>326</v>
      </c>
      <c r="D569" s="18" t="n">
        <v>30</v>
      </c>
      <c r="E569" s="18" t="s">
        <v>394</v>
      </c>
      <c r="F569" s="18" t="s">
        <v>198</v>
      </c>
      <c r="G569" s="19" t="n">
        <v>35885</v>
      </c>
      <c r="H569" s="18" t="n">
        <v>2</v>
      </c>
      <c r="I569" s="18" t="n">
        <v>68</v>
      </c>
      <c r="J569" s="18" t="n">
        <f aca="false">SUMIFS($H$2:$H$1200,$A$2:$A$1200,$A569,$B$2:$B$1200,"&lt;="&amp;$B569)</f>
        <v>399</v>
      </c>
      <c r="K569" s="18" t="n">
        <f aca="false">SUMIFS($I$2:$I$1200,$A$2:$A$1200,$A569,$B$2:$B$1200,"&lt;="&amp;$B569)</f>
        <v>414</v>
      </c>
      <c r="L569" s="18" t="n">
        <f aca="false">J569-K569</f>
        <v>-15</v>
      </c>
      <c r="M569" s="18" t="n">
        <f aca="false">SUMIF($A$2:$A$1200,$A569,$H$2:$H$1200)</f>
        <v>402</v>
      </c>
      <c r="N569" s="20" t="n">
        <f aca="false">IF(M569=0,"",L569/M569)</f>
        <v>-0.0373134328358209</v>
      </c>
      <c r="O569" s="20" t="n">
        <v>-0.0373134328358209</v>
      </c>
      <c r="P569" s="20" t="n">
        <f aca="false">IF(OR(N569="",O569=""),"",N569-O569)</f>
        <v>0</v>
      </c>
      <c r="Q569" s="18"/>
    </row>
    <row r="570" customFormat="false" ht="15" hidden="false" customHeight="true" outlineLevel="0" collapsed="false">
      <c r="A570" s="18" t="s">
        <v>405</v>
      </c>
      <c r="B570" s="18" t="n">
        <v>18</v>
      </c>
      <c r="C570" s="18" t="s">
        <v>226</v>
      </c>
      <c r="D570" s="18" t="n">
        <v>45</v>
      </c>
      <c r="E570" s="18" t="s">
        <v>394</v>
      </c>
      <c r="F570" s="18" t="s">
        <v>198</v>
      </c>
      <c r="G570" s="19" t="n">
        <v>35885</v>
      </c>
      <c r="H570" s="18" t="n">
        <v>3</v>
      </c>
      <c r="I570" s="18" t="n">
        <v>37</v>
      </c>
      <c r="J570" s="18" t="n">
        <f aca="false">SUMIFS($H$2:$H$1200,$A$2:$A$1200,$A570,$B$2:$B$1200,"&lt;="&amp;$B570)</f>
        <v>402</v>
      </c>
      <c r="K570" s="18" t="n">
        <f aca="false">SUMIFS($I$2:$I$1200,$A$2:$A$1200,$A570,$B$2:$B$1200,"&lt;="&amp;$B570)</f>
        <v>451</v>
      </c>
      <c r="L570" s="18" t="n">
        <f aca="false">J570-K570</f>
        <v>-49</v>
      </c>
      <c r="M570" s="18" t="n">
        <f aca="false">SUMIF($A$2:$A$1200,$A570,$H$2:$H$1200)</f>
        <v>402</v>
      </c>
      <c r="N570" s="20" t="n">
        <f aca="false">IF(M570=0,"",L570/M570)</f>
        <v>-0.121890547263682</v>
      </c>
      <c r="O570" s="20" t="n">
        <v>-0.121890547263682</v>
      </c>
      <c r="P570" s="20" t="n">
        <f aca="false">IF(OR(N570="",O570=""),"",N570-O570)</f>
        <v>0</v>
      </c>
      <c r="Q570" s="18"/>
    </row>
    <row r="571" customFormat="false" ht="15" hidden="false" customHeight="true" outlineLevel="0" collapsed="false">
      <c r="A571" s="18" t="s">
        <v>405</v>
      </c>
      <c r="B571" s="18" t="n">
        <v>19</v>
      </c>
      <c r="C571" s="18" t="s">
        <v>205</v>
      </c>
      <c r="D571" s="18" t="n">
        <v>60</v>
      </c>
      <c r="E571" s="18" t="s">
        <v>394</v>
      </c>
      <c r="F571" s="18" t="s">
        <v>198</v>
      </c>
      <c r="G571" s="19" t="n">
        <v>35885</v>
      </c>
      <c r="H571" s="18" t="n">
        <v>0</v>
      </c>
      <c r="I571" s="18" t="n">
        <v>9</v>
      </c>
      <c r="J571" s="18" t="n">
        <f aca="false">SUMIFS($H$2:$H$1200,$A$2:$A$1200,$A571,$B$2:$B$1200,"&lt;="&amp;$B571)</f>
        <v>402</v>
      </c>
      <c r="K571" s="18" t="n">
        <f aca="false">SUMIFS($I$2:$I$1200,$A$2:$A$1200,$A571,$B$2:$B$1200,"&lt;="&amp;$B571)</f>
        <v>460</v>
      </c>
      <c r="L571" s="18" t="n">
        <f aca="false">J571-K571</f>
        <v>-58</v>
      </c>
      <c r="M571" s="18" t="n">
        <f aca="false">SUMIF($A$2:$A$1200,$A571,$H$2:$H$1200)</f>
        <v>402</v>
      </c>
      <c r="N571" s="20" t="n">
        <f aca="false">IF(M571=0,"",L571/M571)</f>
        <v>-0.144278606965174</v>
      </c>
      <c r="O571" s="20" t="n">
        <v>-0.144278606965174</v>
      </c>
      <c r="P571" s="20" t="n">
        <f aca="false">IF(OR(N571="",O571=""),"",N571-O571)</f>
        <v>0</v>
      </c>
      <c r="Q571" s="18"/>
    </row>
    <row r="572" customFormat="false" ht="15" hidden="false" customHeight="true" outlineLevel="0" collapsed="false">
      <c r="A572" s="18" t="s">
        <v>408</v>
      </c>
      <c r="B572" s="18" t="n">
        <v>0</v>
      </c>
      <c r="C572" s="18" t="s">
        <v>204</v>
      </c>
      <c r="D572" s="18"/>
      <c r="E572" s="18" t="s">
        <v>394</v>
      </c>
      <c r="F572" s="18" t="s">
        <v>198</v>
      </c>
      <c r="G572" s="19" t="n">
        <v>35885</v>
      </c>
      <c r="H572" s="18" t="n">
        <v>13</v>
      </c>
      <c r="I572" s="18" t="n">
        <v>0</v>
      </c>
      <c r="J572" s="18" t="n">
        <f aca="false">SUMIFS($H$2:$H$1200,$A$2:$A$1200,$A572,$B$2:$B$1200,"&lt;="&amp;$B572)</f>
        <v>13</v>
      </c>
      <c r="K572" s="18" t="n">
        <f aca="false">SUMIFS($I$2:$I$1200,$A$2:$A$1200,$A572,$B$2:$B$1200,"&lt;="&amp;$B572)</f>
        <v>0</v>
      </c>
      <c r="L572" s="18" t="n">
        <f aca="false">J572-K572</f>
        <v>13</v>
      </c>
      <c r="M572" s="18" t="n">
        <f aca="false">SUMIF($A$2:$A$1200,$A572,$H$2:$H$1200)</f>
        <v>306</v>
      </c>
      <c r="N572" s="20" t="n">
        <f aca="false">IF(M572=0,"",L572/M572)</f>
        <v>0.042483660130719</v>
      </c>
      <c r="O572" s="20" t="n">
        <v>0.042483660130719</v>
      </c>
      <c r="P572" s="20" t="n">
        <f aca="false">IF(OR(N572="",O572=""),"",N572-O572)</f>
        <v>0</v>
      </c>
      <c r="Q572" s="18"/>
    </row>
    <row r="573" customFormat="false" ht="15" hidden="false" customHeight="true" outlineLevel="0" collapsed="false">
      <c r="A573" s="18" t="s">
        <v>408</v>
      </c>
      <c r="B573" s="18" t="n">
        <v>7</v>
      </c>
      <c r="C573" s="18" t="s">
        <v>227</v>
      </c>
      <c r="D573" s="18" t="n">
        <v>-120</v>
      </c>
      <c r="E573" s="18" t="s">
        <v>394</v>
      </c>
      <c r="F573" s="18" t="s">
        <v>198</v>
      </c>
      <c r="G573" s="19" t="n">
        <v>35885</v>
      </c>
      <c r="H573" s="18" t="n">
        <v>46</v>
      </c>
      <c r="I573" s="18" t="n">
        <v>2</v>
      </c>
      <c r="J573" s="18" t="n">
        <f aca="false">SUMIFS($H$2:$H$1200,$A$2:$A$1200,$A573,$B$2:$B$1200,"&lt;="&amp;$B573)</f>
        <v>59</v>
      </c>
      <c r="K573" s="18" t="n">
        <f aca="false">SUMIFS($I$2:$I$1200,$A$2:$A$1200,$A573,$B$2:$B$1200,"&lt;="&amp;$B573)</f>
        <v>2</v>
      </c>
      <c r="L573" s="18" t="n">
        <f aca="false">J573-K573</f>
        <v>57</v>
      </c>
      <c r="M573" s="18" t="n">
        <f aca="false">SUMIF($A$2:$A$1200,$A573,$H$2:$H$1200)</f>
        <v>306</v>
      </c>
      <c r="N573" s="20" t="n">
        <f aca="false">IF(M573=0,"",L573/M573)</f>
        <v>0.186274509803922</v>
      </c>
      <c r="O573" s="20" t="n">
        <v>0.186274509803922</v>
      </c>
      <c r="P573" s="20" t="n">
        <f aca="false">IF(OR(N573="",O573=""),"",N573-O573)</f>
        <v>0</v>
      </c>
      <c r="Q573" s="18"/>
    </row>
    <row r="574" customFormat="false" ht="15" hidden="false" customHeight="true" outlineLevel="0" collapsed="false">
      <c r="A574" s="18" t="s">
        <v>408</v>
      </c>
      <c r="B574" s="18" t="n">
        <v>8</v>
      </c>
      <c r="C574" s="18" t="s">
        <v>241</v>
      </c>
      <c r="D574" s="18" t="n">
        <v>-105</v>
      </c>
      <c r="E574" s="18" t="s">
        <v>394</v>
      </c>
      <c r="F574" s="18" t="s">
        <v>198</v>
      </c>
      <c r="G574" s="19" t="n">
        <v>35885</v>
      </c>
      <c r="H574" s="18" t="n">
        <v>48</v>
      </c>
      <c r="I574" s="18" t="n">
        <v>2</v>
      </c>
      <c r="J574" s="18" t="n">
        <f aca="false">SUMIFS($H$2:$H$1200,$A$2:$A$1200,$A574,$B$2:$B$1200,"&lt;="&amp;$B574)</f>
        <v>107</v>
      </c>
      <c r="K574" s="18" t="n">
        <f aca="false">SUMIFS($I$2:$I$1200,$A$2:$A$1200,$A574,$B$2:$B$1200,"&lt;="&amp;$B574)</f>
        <v>4</v>
      </c>
      <c r="L574" s="18" t="n">
        <f aca="false">J574-K574</f>
        <v>103</v>
      </c>
      <c r="M574" s="18" t="n">
        <f aca="false">SUMIF($A$2:$A$1200,$A574,$H$2:$H$1200)</f>
        <v>306</v>
      </c>
      <c r="N574" s="20" t="n">
        <f aca="false">IF(M574=0,"",L574/M574)</f>
        <v>0.336601307189543</v>
      </c>
      <c r="O574" s="20" t="n">
        <v>0.336601307189543</v>
      </c>
      <c r="P574" s="20" t="n">
        <f aca="false">IF(OR(N574="",O574=""),"",N574-O574)</f>
        <v>0</v>
      </c>
      <c r="Q574" s="18"/>
    </row>
    <row r="575" customFormat="false" ht="15" hidden="false" customHeight="true" outlineLevel="0" collapsed="false">
      <c r="A575" s="18" t="s">
        <v>408</v>
      </c>
      <c r="B575" s="18" t="n">
        <v>9</v>
      </c>
      <c r="C575" s="18" t="s">
        <v>279</v>
      </c>
      <c r="D575" s="18" t="n">
        <v>-90</v>
      </c>
      <c r="E575" s="18" t="s">
        <v>394</v>
      </c>
      <c r="F575" s="18" t="s">
        <v>198</v>
      </c>
      <c r="G575" s="19" t="n">
        <v>35885</v>
      </c>
      <c r="H575" s="18" t="n">
        <v>44</v>
      </c>
      <c r="I575" s="18" t="n">
        <v>1</v>
      </c>
      <c r="J575" s="18" t="n">
        <f aca="false">SUMIFS($H$2:$H$1200,$A$2:$A$1200,$A575,$B$2:$B$1200,"&lt;="&amp;$B575)</f>
        <v>151</v>
      </c>
      <c r="K575" s="18" t="n">
        <f aca="false">SUMIFS($I$2:$I$1200,$A$2:$A$1200,$A575,$B$2:$B$1200,"&lt;="&amp;$B575)</f>
        <v>5</v>
      </c>
      <c r="L575" s="18" t="n">
        <f aca="false">J575-K575</f>
        <v>146</v>
      </c>
      <c r="M575" s="18" t="n">
        <f aca="false">SUMIF($A$2:$A$1200,$A575,$H$2:$H$1200)</f>
        <v>306</v>
      </c>
      <c r="N575" s="20" t="n">
        <f aca="false">IF(M575=0,"",L575/M575)</f>
        <v>0.477124183006536</v>
      </c>
      <c r="O575" s="20" t="n">
        <v>0.477124183006536</v>
      </c>
      <c r="P575" s="20" t="n">
        <f aca="false">IF(OR(N575="",O575=""),"",N575-O575)</f>
        <v>0</v>
      </c>
      <c r="Q575" s="18"/>
    </row>
    <row r="576" customFormat="false" ht="15" hidden="false" customHeight="true" outlineLevel="0" collapsed="false">
      <c r="A576" s="18" t="s">
        <v>408</v>
      </c>
      <c r="B576" s="18" t="n">
        <v>10</v>
      </c>
      <c r="C576" s="18" t="s">
        <v>206</v>
      </c>
      <c r="D576" s="18" t="n">
        <v>-75</v>
      </c>
      <c r="E576" s="18" t="s">
        <v>394</v>
      </c>
      <c r="F576" s="18" t="s">
        <v>198</v>
      </c>
      <c r="G576" s="19" t="n">
        <v>35885</v>
      </c>
      <c r="H576" s="18" t="n">
        <v>40</v>
      </c>
      <c r="I576" s="18" t="n">
        <v>10</v>
      </c>
      <c r="J576" s="18" t="n">
        <f aca="false">SUMIFS($H$2:$H$1200,$A$2:$A$1200,$A576,$B$2:$B$1200,"&lt;="&amp;$B576)</f>
        <v>191</v>
      </c>
      <c r="K576" s="18" t="n">
        <f aca="false">SUMIFS($I$2:$I$1200,$A$2:$A$1200,$A576,$B$2:$B$1200,"&lt;="&amp;$B576)</f>
        <v>15</v>
      </c>
      <c r="L576" s="18" t="n">
        <f aca="false">J576-K576</f>
        <v>176</v>
      </c>
      <c r="M576" s="18" t="n">
        <f aca="false">SUMIF($A$2:$A$1200,$A576,$H$2:$H$1200)</f>
        <v>306</v>
      </c>
      <c r="N576" s="20" t="n">
        <f aca="false">IF(M576=0,"",L576/M576)</f>
        <v>0.57516339869281</v>
      </c>
      <c r="O576" s="20" t="n">
        <v>0.57516339869281</v>
      </c>
      <c r="P576" s="20" t="n">
        <f aca="false">IF(OR(N576="",O576=""),"",N576-O576)</f>
        <v>0</v>
      </c>
      <c r="Q576" s="18"/>
    </row>
    <row r="577" customFormat="false" ht="15" hidden="false" customHeight="true" outlineLevel="0" collapsed="false">
      <c r="A577" s="18" t="s">
        <v>408</v>
      </c>
      <c r="B577" s="18" t="n">
        <v>11</v>
      </c>
      <c r="C577" s="18" t="s">
        <v>246</v>
      </c>
      <c r="D577" s="18" t="n">
        <v>-60</v>
      </c>
      <c r="E577" s="18" t="s">
        <v>394</v>
      </c>
      <c r="F577" s="18" t="s">
        <v>198</v>
      </c>
      <c r="G577" s="19" t="n">
        <v>35885</v>
      </c>
      <c r="H577" s="18" t="n">
        <v>23</v>
      </c>
      <c r="I577" s="18" t="n">
        <v>10</v>
      </c>
      <c r="J577" s="18" t="n">
        <f aca="false">SUMIFS($H$2:$H$1200,$A$2:$A$1200,$A577,$B$2:$B$1200,"&lt;="&amp;$B577)</f>
        <v>214</v>
      </c>
      <c r="K577" s="18" t="n">
        <f aca="false">SUMIFS($I$2:$I$1200,$A$2:$A$1200,$A577,$B$2:$B$1200,"&lt;="&amp;$B577)</f>
        <v>25</v>
      </c>
      <c r="L577" s="18" t="n">
        <f aca="false">J577-K577</f>
        <v>189</v>
      </c>
      <c r="M577" s="18" t="n">
        <f aca="false">SUMIF($A$2:$A$1200,$A577,$H$2:$H$1200)</f>
        <v>306</v>
      </c>
      <c r="N577" s="20" t="n">
        <f aca="false">IF(M577=0,"",L577/M577)</f>
        <v>0.617647058823529</v>
      </c>
      <c r="O577" s="20" t="n">
        <v>0.617647058823529</v>
      </c>
      <c r="P577" s="20" t="n">
        <f aca="false">IF(OR(N577="",O577=""),"",N577-O577)</f>
        <v>0</v>
      </c>
      <c r="Q577" s="18"/>
    </row>
    <row r="578" customFormat="false" ht="15" hidden="false" customHeight="true" outlineLevel="0" collapsed="false">
      <c r="A578" s="18" t="s">
        <v>408</v>
      </c>
      <c r="B578" s="18" t="n">
        <v>12</v>
      </c>
      <c r="C578" s="18" t="s">
        <v>254</v>
      </c>
      <c r="D578" s="18" t="n">
        <v>-45</v>
      </c>
      <c r="E578" s="18" t="s">
        <v>394</v>
      </c>
      <c r="F578" s="18" t="s">
        <v>198</v>
      </c>
      <c r="G578" s="19" t="n">
        <v>35885</v>
      </c>
      <c r="H578" s="18" t="n">
        <v>35</v>
      </c>
      <c r="I578" s="18" t="n">
        <v>12</v>
      </c>
      <c r="J578" s="18" t="n">
        <f aca="false">SUMIFS($H$2:$H$1200,$A$2:$A$1200,$A578,$B$2:$B$1200,"&lt;="&amp;$B578)</f>
        <v>249</v>
      </c>
      <c r="K578" s="18" t="n">
        <f aca="false">SUMIFS($I$2:$I$1200,$A$2:$A$1200,$A578,$B$2:$B$1200,"&lt;="&amp;$B578)</f>
        <v>37</v>
      </c>
      <c r="L578" s="18" t="n">
        <f aca="false">J578-K578</f>
        <v>212</v>
      </c>
      <c r="M578" s="18" t="n">
        <f aca="false">SUMIF($A$2:$A$1200,$A578,$H$2:$H$1200)</f>
        <v>306</v>
      </c>
      <c r="N578" s="20" t="n">
        <f aca="false">IF(M578=0,"",L578/M578)</f>
        <v>0.69281045751634</v>
      </c>
      <c r="O578" s="20" t="n">
        <v>0.69281045751634</v>
      </c>
      <c r="P578" s="20" t="n">
        <f aca="false">IF(OR(N578="",O578=""),"",N578-O578)</f>
        <v>0</v>
      </c>
      <c r="Q578" s="18"/>
    </row>
    <row r="579" customFormat="false" ht="15" hidden="false" customHeight="true" outlineLevel="0" collapsed="false">
      <c r="A579" s="18" t="s">
        <v>408</v>
      </c>
      <c r="B579" s="18" t="n">
        <v>13</v>
      </c>
      <c r="C579" s="18" t="s">
        <v>403</v>
      </c>
      <c r="D579" s="18" t="n">
        <v>-30</v>
      </c>
      <c r="E579" s="18" t="s">
        <v>394</v>
      </c>
      <c r="F579" s="18" t="s">
        <v>198</v>
      </c>
      <c r="G579" s="19" t="n">
        <v>35885</v>
      </c>
      <c r="H579" s="18" t="n">
        <v>18</v>
      </c>
      <c r="I579" s="18" t="n">
        <v>19</v>
      </c>
      <c r="J579" s="18" t="n">
        <f aca="false">SUMIFS($H$2:$H$1200,$A$2:$A$1200,$A579,$B$2:$B$1200,"&lt;="&amp;$B579)</f>
        <v>267</v>
      </c>
      <c r="K579" s="18" t="n">
        <f aca="false">SUMIFS($I$2:$I$1200,$A$2:$A$1200,$A579,$B$2:$B$1200,"&lt;="&amp;$B579)</f>
        <v>56</v>
      </c>
      <c r="L579" s="18" t="n">
        <f aca="false">J579-K579</f>
        <v>211</v>
      </c>
      <c r="M579" s="18" t="n">
        <f aca="false">SUMIF($A$2:$A$1200,$A579,$H$2:$H$1200)</f>
        <v>306</v>
      </c>
      <c r="N579" s="20" t="n">
        <f aca="false">IF(M579=0,"",L579/M579)</f>
        <v>0.689542483660131</v>
      </c>
      <c r="O579" s="20" t="n">
        <v>0.689542483660131</v>
      </c>
      <c r="P579" s="20" t="n">
        <f aca="false">IF(OR(N579="",O579=""),"",N579-O579)</f>
        <v>0</v>
      </c>
      <c r="Q579" s="18"/>
    </row>
    <row r="580" customFormat="false" ht="15" hidden="false" customHeight="true" outlineLevel="0" collapsed="false">
      <c r="A580" s="18" t="s">
        <v>408</v>
      </c>
      <c r="B580" s="18" t="n">
        <v>14</v>
      </c>
      <c r="C580" s="18" t="s">
        <v>529</v>
      </c>
      <c r="D580" s="18" t="n">
        <v>-15</v>
      </c>
      <c r="E580" s="18" t="s">
        <v>394</v>
      </c>
      <c r="F580" s="18" t="s">
        <v>198</v>
      </c>
      <c r="G580" s="19" t="n">
        <v>35885</v>
      </c>
      <c r="H580" s="18" t="n">
        <v>17</v>
      </c>
      <c r="I580" s="18" t="n">
        <v>24</v>
      </c>
      <c r="J580" s="18" t="n">
        <f aca="false">SUMIFS($H$2:$H$1200,$A$2:$A$1200,$A580,$B$2:$B$1200,"&lt;="&amp;$B580)</f>
        <v>284</v>
      </c>
      <c r="K580" s="18" t="n">
        <f aca="false">SUMIFS($I$2:$I$1200,$A$2:$A$1200,$A580,$B$2:$B$1200,"&lt;="&amp;$B580)</f>
        <v>80</v>
      </c>
      <c r="L580" s="18" t="n">
        <f aca="false">J580-K580</f>
        <v>204</v>
      </c>
      <c r="M580" s="18" t="n">
        <f aca="false">SUMIF($A$2:$A$1200,$A580,$H$2:$H$1200)</f>
        <v>306</v>
      </c>
      <c r="N580" s="20" t="n">
        <f aca="false">IF(M580=0,"",L580/M580)</f>
        <v>0.666666666666667</v>
      </c>
      <c r="O580" s="20" t="n">
        <v>0.666666666666667</v>
      </c>
      <c r="P580" s="20" t="n">
        <f aca="false">IF(OR(N580="",O580=""),"",N580-O580)</f>
        <v>0</v>
      </c>
      <c r="Q580" s="18"/>
    </row>
    <row r="581" customFormat="false" ht="15" hidden="false" customHeight="true" outlineLevel="0" collapsed="false">
      <c r="A581" s="18" t="s">
        <v>408</v>
      </c>
      <c r="B581" s="18" t="n">
        <v>15</v>
      </c>
      <c r="C581" s="18" t="s">
        <v>463</v>
      </c>
      <c r="D581" s="18" t="n">
        <v>0</v>
      </c>
      <c r="E581" s="18" t="s">
        <v>394</v>
      </c>
      <c r="F581" s="18" t="s">
        <v>198</v>
      </c>
      <c r="G581" s="19" t="n">
        <v>35885</v>
      </c>
      <c r="H581" s="18" t="n">
        <v>8</v>
      </c>
      <c r="I581" s="18" t="n">
        <v>45</v>
      </c>
      <c r="J581" s="18" t="n">
        <f aca="false">SUMIFS($H$2:$H$1200,$A$2:$A$1200,$A581,$B$2:$B$1200,"&lt;="&amp;$B581)</f>
        <v>292</v>
      </c>
      <c r="K581" s="18" t="n">
        <f aca="false">SUMIFS($I$2:$I$1200,$A$2:$A$1200,$A581,$B$2:$B$1200,"&lt;="&amp;$B581)</f>
        <v>125</v>
      </c>
      <c r="L581" s="18" t="n">
        <f aca="false">J581-K581</f>
        <v>167</v>
      </c>
      <c r="M581" s="18" t="n">
        <f aca="false">SUMIF($A$2:$A$1200,$A581,$H$2:$H$1200)</f>
        <v>306</v>
      </c>
      <c r="N581" s="20" t="n">
        <f aca="false">IF(M581=0,"",L581/M581)</f>
        <v>0.545751633986928</v>
      </c>
      <c r="O581" s="20" t="n">
        <v>0.545751633986928</v>
      </c>
      <c r="P581" s="20" t="n">
        <f aca="false">IF(OR(N581="",O581=""),"",N581-O581)</f>
        <v>0</v>
      </c>
      <c r="Q581" s="18"/>
    </row>
    <row r="582" customFormat="false" ht="15" hidden="false" customHeight="true" outlineLevel="0" collapsed="false">
      <c r="A582" s="18" t="s">
        <v>408</v>
      </c>
      <c r="B582" s="18" t="n">
        <v>16</v>
      </c>
      <c r="C582" s="18" t="s">
        <v>366</v>
      </c>
      <c r="D582" s="18" t="n">
        <v>15</v>
      </c>
      <c r="E582" s="18" t="s">
        <v>394</v>
      </c>
      <c r="F582" s="18" t="s">
        <v>198</v>
      </c>
      <c r="G582" s="19" t="n">
        <v>35885</v>
      </c>
      <c r="H582" s="18" t="n">
        <v>6</v>
      </c>
      <c r="I582" s="18" t="n">
        <v>43</v>
      </c>
      <c r="J582" s="18" t="n">
        <f aca="false">SUMIFS($H$2:$H$1200,$A$2:$A$1200,$A582,$B$2:$B$1200,"&lt;="&amp;$B582)</f>
        <v>298</v>
      </c>
      <c r="K582" s="18" t="n">
        <f aca="false">SUMIFS($I$2:$I$1200,$A$2:$A$1200,$A582,$B$2:$B$1200,"&lt;="&amp;$B582)</f>
        <v>168</v>
      </c>
      <c r="L582" s="18" t="n">
        <f aca="false">J582-K582</f>
        <v>130</v>
      </c>
      <c r="M582" s="18" t="n">
        <f aca="false">SUMIF($A$2:$A$1200,$A582,$H$2:$H$1200)</f>
        <v>306</v>
      </c>
      <c r="N582" s="20" t="n">
        <f aca="false">IF(M582=0,"",L582/M582)</f>
        <v>0.42483660130719</v>
      </c>
      <c r="O582" s="20" t="n">
        <v>0.42483660130719</v>
      </c>
      <c r="P582" s="20" t="n">
        <f aca="false">IF(OR(N582="",O582=""),"",N582-O582)</f>
        <v>0</v>
      </c>
      <c r="Q582" s="18"/>
    </row>
    <row r="583" customFormat="false" ht="15" hidden="false" customHeight="true" outlineLevel="0" collapsed="false">
      <c r="A583" s="18" t="s">
        <v>408</v>
      </c>
      <c r="B583" s="18" t="n">
        <v>17</v>
      </c>
      <c r="C583" s="18" t="s">
        <v>326</v>
      </c>
      <c r="D583" s="18" t="n">
        <v>30</v>
      </c>
      <c r="E583" s="18" t="s">
        <v>394</v>
      </c>
      <c r="F583" s="18" t="s">
        <v>198</v>
      </c>
      <c r="G583" s="19" t="n">
        <v>35885</v>
      </c>
      <c r="H583" s="18" t="n">
        <v>5</v>
      </c>
      <c r="I583" s="18" t="n">
        <v>51</v>
      </c>
      <c r="J583" s="18" t="n">
        <f aca="false">SUMIFS($H$2:$H$1200,$A$2:$A$1200,$A583,$B$2:$B$1200,"&lt;="&amp;$B583)</f>
        <v>303</v>
      </c>
      <c r="K583" s="18" t="n">
        <f aca="false">SUMIFS($I$2:$I$1200,$A$2:$A$1200,$A583,$B$2:$B$1200,"&lt;="&amp;$B583)</f>
        <v>219</v>
      </c>
      <c r="L583" s="18" t="n">
        <f aca="false">J583-K583</f>
        <v>84</v>
      </c>
      <c r="M583" s="18" t="n">
        <f aca="false">SUMIF($A$2:$A$1200,$A583,$H$2:$H$1200)</f>
        <v>306</v>
      </c>
      <c r="N583" s="20" t="n">
        <f aca="false">IF(M583=0,"",L583/M583)</f>
        <v>0.274509803921569</v>
      </c>
      <c r="O583" s="20" t="n">
        <v>0.274509803921569</v>
      </c>
      <c r="P583" s="20" t="n">
        <f aca="false">IF(OR(N583="",O583=""),"",N583-O583)</f>
        <v>0</v>
      </c>
      <c r="Q583" s="18"/>
    </row>
    <row r="584" customFormat="false" ht="15" hidden="false" customHeight="true" outlineLevel="0" collapsed="false">
      <c r="A584" s="18" t="s">
        <v>408</v>
      </c>
      <c r="B584" s="18" t="n">
        <v>18</v>
      </c>
      <c r="C584" s="18" t="s">
        <v>226</v>
      </c>
      <c r="D584" s="18" t="n">
        <v>45</v>
      </c>
      <c r="E584" s="18" t="s">
        <v>394</v>
      </c>
      <c r="F584" s="18" t="s">
        <v>198</v>
      </c>
      <c r="G584" s="19" t="n">
        <v>35885</v>
      </c>
      <c r="H584" s="18" t="n">
        <v>3</v>
      </c>
      <c r="I584" s="18" t="n">
        <v>43</v>
      </c>
      <c r="J584" s="18" t="n">
        <f aca="false">SUMIFS($H$2:$H$1200,$A$2:$A$1200,$A584,$B$2:$B$1200,"&lt;="&amp;$B584)</f>
        <v>306</v>
      </c>
      <c r="K584" s="18" t="n">
        <f aca="false">SUMIFS($I$2:$I$1200,$A$2:$A$1200,$A584,$B$2:$B$1200,"&lt;="&amp;$B584)</f>
        <v>262</v>
      </c>
      <c r="L584" s="18" t="n">
        <f aca="false">J584-K584</f>
        <v>44</v>
      </c>
      <c r="M584" s="18" t="n">
        <f aca="false">SUMIF($A$2:$A$1200,$A584,$H$2:$H$1200)</f>
        <v>306</v>
      </c>
      <c r="N584" s="20" t="n">
        <f aca="false">IF(M584=0,"",L584/M584)</f>
        <v>0.143790849673203</v>
      </c>
      <c r="O584" s="20" t="n">
        <v>0.143790849673203</v>
      </c>
      <c r="P584" s="20" t="n">
        <f aca="false">IF(OR(N584="",O584=""),"",N584-O584)</f>
        <v>0</v>
      </c>
      <c r="Q584" s="18"/>
    </row>
    <row r="585" customFormat="false" ht="15" hidden="false" customHeight="true" outlineLevel="0" collapsed="false">
      <c r="A585" s="18" t="s">
        <v>408</v>
      </c>
      <c r="B585" s="18" t="n">
        <v>19</v>
      </c>
      <c r="C585" s="18" t="s">
        <v>205</v>
      </c>
      <c r="D585" s="18" t="n">
        <v>60</v>
      </c>
      <c r="E585" s="18" t="s">
        <v>394</v>
      </c>
      <c r="F585" s="18" t="s">
        <v>198</v>
      </c>
      <c r="G585" s="19" t="n">
        <v>35885</v>
      </c>
      <c r="H585" s="18" t="n">
        <v>0</v>
      </c>
      <c r="I585" s="18" t="n">
        <v>2</v>
      </c>
      <c r="J585" s="18" t="n">
        <f aca="false">SUMIFS($H$2:$H$1200,$A$2:$A$1200,$A585,$B$2:$B$1200,"&lt;="&amp;$B585)</f>
        <v>306</v>
      </c>
      <c r="K585" s="18" t="n">
        <f aca="false">SUMIFS($I$2:$I$1200,$A$2:$A$1200,$A585,$B$2:$B$1200,"&lt;="&amp;$B585)</f>
        <v>264</v>
      </c>
      <c r="L585" s="18" t="n">
        <f aca="false">J585-K585</f>
        <v>42</v>
      </c>
      <c r="M585" s="18" t="n">
        <f aca="false">SUMIF($A$2:$A$1200,$A585,$H$2:$H$1200)</f>
        <v>306</v>
      </c>
      <c r="N585" s="20" t="n">
        <f aca="false">IF(M585=0,"",L585/M585)</f>
        <v>0.137254901960784</v>
      </c>
      <c r="O585" s="20" t="n">
        <v>0.137254901960784</v>
      </c>
      <c r="P585" s="20" t="n">
        <f aca="false">IF(OR(N585="",O585=""),"",N585-O585)</f>
        <v>0</v>
      </c>
      <c r="Q585" s="18"/>
    </row>
    <row r="586" customFormat="false" ht="15" hidden="false" customHeight="true" outlineLevel="0" collapsed="false">
      <c r="A586" s="18" t="s">
        <v>411</v>
      </c>
      <c r="B586" s="18" t="n">
        <v>0</v>
      </c>
      <c r="C586" s="18" t="s">
        <v>204</v>
      </c>
      <c r="D586" s="18"/>
      <c r="E586" s="18" t="s">
        <v>394</v>
      </c>
      <c r="F586" s="18" t="s">
        <v>198</v>
      </c>
      <c r="G586" s="19" t="n">
        <v>35885</v>
      </c>
      <c r="H586" s="18" t="n">
        <v>68</v>
      </c>
      <c r="I586" s="18" t="n">
        <v>10</v>
      </c>
      <c r="J586" s="18" t="n">
        <f aca="false">SUMIFS($H$2:$H$1200,$A$2:$A$1200,$A586,$B$2:$B$1200,"&lt;="&amp;$B586)</f>
        <v>68</v>
      </c>
      <c r="K586" s="18" t="n">
        <f aca="false">SUMIFS($I$2:$I$1200,$A$2:$A$1200,$A586,$B$2:$B$1200,"&lt;="&amp;$B586)</f>
        <v>10</v>
      </c>
      <c r="L586" s="18" t="n">
        <f aca="false">J586-K586</f>
        <v>58</v>
      </c>
      <c r="M586" s="18" t="n">
        <f aca="false">SUMIF($A$2:$A$1200,$A586,$H$2:$H$1200)</f>
        <v>594</v>
      </c>
      <c r="N586" s="20" t="n">
        <f aca="false">IF(M586=0,"",L586/M586)</f>
        <v>0.0976430976430976</v>
      </c>
      <c r="O586" s="20" t="n">
        <v>0.0981387478849408</v>
      </c>
      <c r="P586" s="20" t="n">
        <f aca="false">IF(OR(N586="",O586=""),"",N586-O586)</f>
        <v>-0.000495650241843157</v>
      </c>
      <c r="Q586" s="18"/>
    </row>
    <row r="587" customFormat="false" ht="15" hidden="false" customHeight="true" outlineLevel="0" collapsed="false">
      <c r="A587" s="18" t="s">
        <v>411</v>
      </c>
      <c r="B587" s="18" t="n">
        <v>7</v>
      </c>
      <c r="C587" s="18" t="s">
        <v>227</v>
      </c>
      <c r="D587" s="18" t="n">
        <v>-120</v>
      </c>
      <c r="E587" s="18" t="s">
        <v>394</v>
      </c>
      <c r="F587" s="18" t="s">
        <v>198</v>
      </c>
      <c r="G587" s="19" t="n">
        <v>35885</v>
      </c>
      <c r="H587" s="18" t="n">
        <v>128</v>
      </c>
      <c r="I587" s="18" t="n">
        <v>19</v>
      </c>
      <c r="J587" s="18" t="n">
        <f aca="false">SUMIFS($H$2:$H$1200,$A$2:$A$1200,$A587,$B$2:$B$1200,"&lt;="&amp;$B587)</f>
        <v>196</v>
      </c>
      <c r="K587" s="18" t="n">
        <f aca="false">SUMIFS($I$2:$I$1200,$A$2:$A$1200,$A587,$B$2:$B$1200,"&lt;="&amp;$B587)</f>
        <v>29</v>
      </c>
      <c r="L587" s="18" t="n">
        <f aca="false">J587-K587</f>
        <v>167</v>
      </c>
      <c r="M587" s="18" t="n">
        <f aca="false">SUMIF($A$2:$A$1200,$A587,$H$2:$H$1200)</f>
        <v>594</v>
      </c>
      <c r="N587" s="20" t="n">
        <f aca="false">IF(M587=0,"",L587/M587)</f>
        <v>0.281144781144781</v>
      </c>
      <c r="O587" s="20" t="n">
        <v>0.282571912013536</v>
      </c>
      <c r="P587" s="20" t="n">
        <f aca="false">IF(OR(N587="",O587=""),"",N587-O587)</f>
        <v>-0.00142713086875484</v>
      </c>
      <c r="Q587" s="18"/>
    </row>
    <row r="588" customFormat="false" ht="15" hidden="false" customHeight="true" outlineLevel="0" collapsed="false">
      <c r="A588" s="18" t="s">
        <v>411</v>
      </c>
      <c r="B588" s="18" t="n">
        <v>8</v>
      </c>
      <c r="C588" s="18" t="s">
        <v>241</v>
      </c>
      <c r="D588" s="18" t="n">
        <v>-105</v>
      </c>
      <c r="E588" s="18" t="s">
        <v>394</v>
      </c>
      <c r="F588" s="18" t="s">
        <v>198</v>
      </c>
      <c r="G588" s="19" t="n">
        <v>35885</v>
      </c>
      <c r="H588" s="18" t="n">
        <v>107</v>
      </c>
      <c r="I588" s="18" t="n">
        <v>54</v>
      </c>
      <c r="J588" s="18" t="n">
        <f aca="false">SUMIFS($H$2:$H$1200,$A$2:$A$1200,$A588,$B$2:$B$1200,"&lt;="&amp;$B588)</f>
        <v>303</v>
      </c>
      <c r="K588" s="18" t="n">
        <f aca="false">SUMIFS($I$2:$I$1200,$A$2:$A$1200,$A588,$B$2:$B$1200,"&lt;="&amp;$B588)</f>
        <v>83</v>
      </c>
      <c r="L588" s="18" t="n">
        <f aca="false">J588-K588</f>
        <v>220</v>
      </c>
      <c r="M588" s="18" t="n">
        <f aca="false">SUMIF($A$2:$A$1200,$A588,$H$2:$H$1200)</f>
        <v>594</v>
      </c>
      <c r="N588" s="20" t="n">
        <f aca="false">IF(M588=0,"",L588/M588)</f>
        <v>0.37037037037037</v>
      </c>
      <c r="O588" s="20" t="n">
        <v>0.372250423011844</v>
      </c>
      <c r="P588" s="20" t="n">
        <f aca="false">IF(OR(N588="",O588=""),"",N588-O588)</f>
        <v>-0.00188005264147367</v>
      </c>
      <c r="Q588" s="18"/>
    </row>
    <row r="589" customFormat="false" ht="15" hidden="false" customHeight="true" outlineLevel="0" collapsed="false">
      <c r="A589" s="18" t="s">
        <v>411</v>
      </c>
      <c r="B589" s="18" t="n">
        <v>9</v>
      </c>
      <c r="C589" s="18" t="s">
        <v>279</v>
      </c>
      <c r="D589" s="18" t="n">
        <v>-90</v>
      </c>
      <c r="E589" s="18" t="s">
        <v>394</v>
      </c>
      <c r="F589" s="18" t="s">
        <v>198</v>
      </c>
      <c r="G589" s="19" t="n">
        <v>35885</v>
      </c>
      <c r="H589" s="18" t="n">
        <v>99</v>
      </c>
      <c r="I589" s="18" t="n">
        <v>47</v>
      </c>
      <c r="J589" s="18" t="n">
        <f aca="false">SUMIFS($H$2:$H$1200,$A$2:$A$1200,$A589,$B$2:$B$1200,"&lt;="&amp;$B589)</f>
        <v>402</v>
      </c>
      <c r="K589" s="18" t="n">
        <f aca="false">SUMIFS($I$2:$I$1200,$A$2:$A$1200,$A589,$B$2:$B$1200,"&lt;="&amp;$B589)</f>
        <v>130</v>
      </c>
      <c r="L589" s="18" t="n">
        <f aca="false">J589-K589</f>
        <v>272</v>
      </c>
      <c r="M589" s="18" t="n">
        <f aca="false">SUMIF($A$2:$A$1200,$A589,$H$2:$H$1200)</f>
        <v>594</v>
      </c>
      <c r="N589" s="20" t="n">
        <f aca="false">IF(M589=0,"",L589/M589)</f>
        <v>0.457912457912458</v>
      </c>
      <c r="O589" s="20" t="n">
        <v>0.460236886632826</v>
      </c>
      <c r="P589" s="20" t="n">
        <f aca="false">IF(OR(N589="",O589=""),"",N589-O589)</f>
        <v>-0.00232442872036809</v>
      </c>
      <c r="Q589" s="18"/>
    </row>
    <row r="590" customFormat="false" ht="15" hidden="false" customHeight="true" outlineLevel="0" collapsed="false">
      <c r="A590" s="18" t="s">
        <v>411</v>
      </c>
      <c r="B590" s="18" t="n">
        <v>10</v>
      </c>
      <c r="C590" s="18" t="s">
        <v>206</v>
      </c>
      <c r="D590" s="18" t="n">
        <v>-75</v>
      </c>
      <c r="E590" s="18" t="s">
        <v>394</v>
      </c>
      <c r="F590" s="18" t="s">
        <v>198</v>
      </c>
      <c r="G590" s="19" t="n">
        <v>35885</v>
      </c>
      <c r="H590" s="18" t="n">
        <v>49</v>
      </c>
      <c r="I590" s="18" t="n">
        <v>45</v>
      </c>
      <c r="J590" s="18" t="n">
        <f aca="false">SUMIFS($H$2:$H$1200,$A$2:$A$1200,$A590,$B$2:$B$1200,"&lt;="&amp;$B590)</f>
        <v>451</v>
      </c>
      <c r="K590" s="18" t="n">
        <f aca="false">SUMIFS($I$2:$I$1200,$A$2:$A$1200,$A590,$B$2:$B$1200,"&lt;="&amp;$B590)</f>
        <v>175</v>
      </c>
      <c r="L590" s="18" t="n">
        <f aca="false">J590-K590</f>
        <v>276</v>
      </c>
      <c r="M590" s="18" t="n">
        <f aca="false">SUMIF($A$2:$A$1200,$A590,$H$2:$H$1200)</f>
        <v>594</v>
      </c>
      <c r="N590" s="20" t="n">
        <f aca="false">IF(M590=0,"",L590/M590)</f>
        <v>0.464646464646465</v>
      </c>
      <c r="O590" s="20" t="n">
        <v>0.467005076142132</v>
      </c>
      <c r="P590" s="20" t="n">
        <f aca="false">IF(OR(N590="",O590=""),"",N590-O590)</f>
        <v>-0.00235861149566735</v>
      </c>
      <c r="Q590" s="18"/>
    </row>
    <row r="591" customFormat="false" ht="15" hidden="false" customHeight="true" outlineLevel="0" collapsed="false">
      <c r="A591" s="18" t="s">
        <v>411</v>
      </c>
      <c r="B591" s="18" t="n">
        <v>11</v>
      </c>
      <c r="C591" s="18" t="s">
        <v>246</v>
      </c>
      <c r="D591" s="18" t="n">
        <v>-60</v>
      </c>
      <c r="E591" s="18" t="s">
        <v>394</v>
      </c>
      <c r="F591" s="18" t="s">
        <v>198</v>
      </c>
      <c r="G591" s="19" t="n">
        <v>35885</v>
      </c>
      <c r="H591" s="18" t="n">
        <v>50</v>
      </c>
      <c r="I591" s="18" t="n">
        <v>70</v>
      </c>
      <c r="J591" s="18" t="n">
        <f aca="false">SUMIFS($H$2:$H$1200,$A$2:$A$1200,$A591,$B$2:$B$1200,"&lt;="&amp;$B591)</f>
        <v>501</v>
      </c>
      <c r="K591" s="18" t="n">
        <f aca="false">SUMIFS($I$2:$I$1200,$A$2:$A$1200,$A591,$B$2:$B$1200,"&lt;="&amp;$B591)</f>
        <v>245</v>
      </c>
      <c r="L591" s="18" t="n">
        <f aca="false">J591-K591</f>
        <v>256</v>
      </c>
      <c r="M591" s="18" t="n">
        <f aca="false">SUMIF($A$2:$A$1200,$A591,$H$2:$H$1200)</f>
        <v>594</v>
      </c>
      <c r="N591" s="20" t="n">
        <f aca="false">IF(M591=0,"",L591/M591)</f>
        <v>0.430976430976431</v>
      </c>
      <c r="O591" s="20" t="n">
        <v>0.433164128595601</v>
      </c>
      <c r="P591" s="20" t="n">
        <f aca="false">IF(OR(N591="",O591=""),"",N591-O591)</f>
        <v>-0.00218769761917004</v>
      </c>
      <c r="Q591" s="18"/>
    </row>
    <row r="592" customFormat="false" ht="15" hidden="false" customHeight="true" outlineLevel="0" collapsed="false">
      <c r="A592" s="18" t="s">
        <v>411</v>
      </c>
      <c r="B592" s="18" t="n">
        <v>12</v>
      </c>
      <c r="C592" s="18" t="s">
        <v>254</v>
      </c>
      <c r="D592" s="18" t="n">
        <v>-45</v>
      </c>
      <c r="E592" s="18" t="s">
        <v>394</v>
      </c>
      <c r="F592" s="18" t="s">
        <v>198</v>
      </c>
      <c r="G592" s="19" t="n">
        <v>35885</v>
      </c>
      <c r="H592" s="18" t="n">
        <v>28</v>
      </c>
      <c r="I592" s="18" t="n">
        <v>72</v>
      </c>
      <c r="J592" s="18" t="n">
        <f aca="false">SUMIFS($H$2:$H$1200,$A$2:$A$1200,$A592,$B$2:$B$1200,"&lt;="&amp;$B592)</f>
        <v>529</v>
      </c>
      <c r="K592" s="18" t="n">
        <f aca="false">SUMIFS($I$2:$I$1200,$A$2:$A$1200,$A592,$B$2:$B$1200,"&lt;="&amp;$B592)</f>
        <v>317</v>
      </c>
      <c r="L592" s="18" t="n">
        <f aca="false">J592-K592</f>
        <v>212</v>
      </c>
      <c r="M592" s="18" t="n">
        <f aca="false">SUMIF($A$2:$A$1200,$A592,$H$2:$H$1200)</f>
        <v>594</v>
      </c>
      <c r="N592" s="20" t="n">
        <f aca="false">IF(M592=0,"",L592/M592)</f>
        <v>0.356902356902357</v>
      </c>
      <c r="O592" s="20" t="n">
        <v>0.358714043993232</v>
      </c>
      <c r="P592" s="20" t="n">
        <f aca="false">IF(OR(N592="",O592=""),"",N592-O592)</f>
        <v>-0.00181168709087509</v>
      </c>
      <c r="Q592" s="18"/>
    </row>
    <row r="593" customFormat="false" ht="15" hidden="false" customHeight="true" outlineLevel="0" collapsed="false">
      <c r="A593" s="18" t="s">
        <v>411</v>
      </c>
      <c r="B593" s="18" t="n">
        <v>13</v>
      </c>
      <c r="C593" s="18" t="s">
        <v>403</v>
      </c>
      <c r="D593" s="18" t="n">
        <v>-30</v>
      </c>
      <c r="E593" s="18" t="s">
        <v>394</v>
      </c>
      <c r="F593" s="18" t="s">
        <v>198</v>
      </c>
      <c r="G593" s="19" t="n">
        <v>35885</v>
      </c>
      <c r="H593" s="18" t="n">
        <v>18</v>
      </c>
      <c r="I593" s="18" t="n">
        <v>82</v>
      </c>
      <c r="J593" s="18" t="n">
        <f aca="false">SUMIFS($H$2:$H$1200,$A$2:$A$1200,$A593,$B$2:$B$1200,"&lt;="&amp;$B593)</f>
        <v>547</v>
      </c>
      <c r="K593" s="18" t="n">
        <f aca="false">SUMIFS($I$2:$I$1200,$A$2:$A$1200,$A593,$B$2:$B$1200,"&lt;="&amp;$B593)</f>
        <v>399</v>
      </c>
      <c r="L593" s="18" t="n">
        <f aca="false">J593-K593</f>
        <v>148</v>
      </c>
      <c r="M593" s="18" t="n">
        <f aca="false">SUMIF($A$2:$A$1200,$A593,$H$2:$H$1200)</f>
        <v>594</v>
      </c>
      <c r="N593" s="20" t="n">
        <f aca="false">IF(M593=0,"",L593/M593)</f>
        <v>0.249158249158249</v>
      </c>
      <c r="O593" s="20" t="n">
        <v>0.250423011844332</v>
      </c>
      <c r="P593" s="20" t="n">
        <f aca="false">IF(OR(N593="",O593=""),"",N593-O593)</f>
        <v>-0.00126476268608286</v>
      </c>
      <c r="Q593" s="18"/>
    </row>
    <row r="594" customFormat="false" ht="15" hidden="false" customHeight="true" outlineLevel="0" collapsed="false">
      <c r="A594" s="18" t="s">
        <v>411</v>
      </c>
      <c r="B594" s="18" t="n">
        <v>14</v>
      </c>
      <c r="C594" s="18" t="s">
        <v>529</v>
      </c>
      <c r="D594" s="18" t="n">
        <v>-15</v>
      </c>
      <c r="E594" s="18" t="s">
        <v>394</v>
      </c>
      <c r="F594" s="18" t="s">
        <v>198</v>
      </c>
      <c r="G594" s="19" t="n">
        <v>35885</v>
      </c>
      <c r="H594" s="18" t="n">
        <v>16</v>
      </c>
      <c r="I594" s="18" t="n">
        <v>83</v>
      </c>
      <c r="J594" s="18" t="n">
        <f aca="false">SUMIFS($H$2:$H$1200,$A$2:$A$1200,$A594,$B$2:$B$1200,"&lt;="&amp;$B594)</f>
        <v>563</v>
      </c>
      <c r="K594" s="18" t="n">
        <f aca="false">SUMIFS($I$2:$I$1200,$A$2:$A$1200,$A594,$B$2:$B$1200,"&lt;="&amp;$B594)</f>
        <v>482</v>
      </c>
      <c r="L594" s="18" t="n">
        <f aca="false">J594-K594</f>
        <v>81</v>
      </c>
      <c r="M594" s="18" t="n">
        <f aca="false">SUMIF($A$2:$A$1200,$A594,$H$2:$H$1200)</f>
        <v>594</v>
      </c>
      <c r="N594" s="20" t="n">
        <f aca="false">IF(M594=0,"",L594/M594)</f>
        <v>0.136363636363636</v>
      </c>
      <c r="O594" s="20" t="n">
        <v>0.137055837563452</v>
      </c>
      <c r="P594" s="20" t="n">
        <f aca="false">IF(OR(N594="",O594=""),"",N594-O594)</f>
        <v>-0.00069220119981564</v>
      </c>
      <c r="Q594" s="18"/>
    </row>
    <row r="595" customFormat="false" ht="15" hidden="false" customHeight="true" outlineLevel="0" collapsed="false">
      <c r="A595" s="18" t="s">
        <v>411</v>
      </c>
      <c r="B595" s="18" t="n">
        <v>15</v>
      </c>
      <c r="C595" s="18" t="s">
        <v>463</v>
      </c>
      <c r="D595" s="18" t="n">
        <v>0</v>
      </c>
      <c r="E595" s="18" t="s">
        <v>394</v>
      </c>
      <c r="F595" s="18" t="s">
        <v>198</v>
      </c>
      <c r="G595" s="19" t="n">
        <v>35885</v>
      </c>
      <c r="H595" s="18" t="n">
        <v>7</v>
      </c>
      <c r="I595" s="18" t="n">
        <v>68</v>
      </c>
      <c r="J595" s="18" t="n">
        <f aca="false">SUMIFS($H$2:$H$1200,$A$2:$A$1200,$A595,$B$2:$B$1200,"&lt;="&amp;$B595)</f>
        <v>570</v>
      </c>
      <c r="K595" s="18" t="n">
        <f aca="false">SUMIFS($I$2:$I$1200,$A$2:$A$1200,$A595,$B$2:$B$1200,"&lt;="&amp;$B595)</f>
        <v>550</v>
      </c>
      <c r="L595" s="18" t="n">
        <f aca="false">J595-K595</f>
        <v>20</v>
      </c>
      <c r="M595" s="18" t="n">
        <f aca="false">SUMIF($A$2:$A$1200,$A595,$H$2:$H$1200)</f>
        <v>594</v>
      </c>
      <c r="N595" s="20" t="n">
        <f aca="false">IF(M595=0,"",L595/M595)</f>
        <v>0.0336700336700337</v>
      </c>
      <c r="O595" s="20" t="n">
        <v>0.0338409475465313</v>
      </c>
      <c r="P595" s="20" t="n">
        <f aca="false">IF(OR(N595="",O595=""),"",N595-O595)</f>
        <v>-0.000170913876497633</v>
      </c>
      <c r="Q595" s="18"/>
    </row>
    <row r="596" customFormat="false" ht="15" hidden="false" customHeight="true" outlineLevel="0" collapsed="false">
      <c r="A596" s="18" t="s">
        <v>411</v>
      </c>
      <c r="B596" s="18" t="n">
        <v>16</v>
      </c>
      <c r="C596" s="18" t="s">
        <v>366</v>
      </c>
      <c r="D596" s="18" t="n">
        <v>15</v>
      </c>
      <c r="E596" s="18" t="s">
        <v>394</v>
      </c>
      <c r="F596" s="18" t="s">
        <v>198</v>
      </c>
      <c r="G596" s="19" t="n">
        <v>35885</v>
      </c>
      <c r="H596" s="18" t="n">
        <v>8</v>
      </c>
      <c r="I596" s="18" t="n">
        <v>64</v>
      </c>
      <c r="J596" s="18" t="n">
        <f aca="false">SUMIFS($H$2:$H$1200,$A$2:$A$1200,$A596,$B$2:$B$1200,"&lt;="&amp;$B596)</f>
        <v>578</v>
      </c>
      <c r="K596" s="18" t="n">
        <f aca="false">SUMIFS($I$2:$I$1200,$A$2:$A$1200,$A596,$B$2:$B$1200,"&lt;="&amp;$B596)</f>
        <v>614</v>
      </c>
      <c r="L596" s="18" t="n">
        <f aca="false">J596-K596</f>
        <v>-36</v>
      </c>
      <c r="M596" s="18" t="n">
        <f aca="false">SUMIF($A$2:$A$1200,$A596,$H$2:$H$1200)</f>
        <v>594</v>
      </c>
      <c r="N596" s="20" t="n">
        <f aca="false">IF(M596=0,"",L596/M596)</f>
        <v>-0.0606060606060606</v>
      </c>
      <c r="O596" s="20" t="n">
        <v>-0.0609137055837564</v>
      </c>
      <c r="P596" s="20" t="n">
        <f aca="false">IF(OR(N596="",O596=""),"",N596-O596)</f>
        <v>0.000307644977695795</v>
      </c>
      <c r="Q596" s="18"/>
    </row>
    <row r="597" customFormat="false" ht="15" hidden="false" customHeight="true" outlineLevel="0" collapsed="false">
      <c r="A597" s="18" t="s">
        <v>411</v>
      </c>
      <c r="B597" s="18" t="n">
        <v>17</v>
      </c>
      <c r="C597" s="18" t="s">
        <v>326</v>
      </c>
      <c r="D597" s="18" t="n">
        <v>30</v>
      </c>
      <c r="E597" s="18" t="s">
        <v>394</v>
      </c>
      <c r="F597" s="18" t="s">
        <v>198</v>
      </c>
      <c r="G597" s="19" t="n">
        <v>35885</v>
      </c>
      <c r="H597" s="18" t="n">
        <v>10</v>
      </c>
      <c r="I597" s="18" t="n">
        <v>43</v>
      </c>
      <c r="J597" s="18" t="n">
        <f aca="false">SUMIFS($H$2:$H$1200,$A$2:$A$1200,$A597,$B$2:$B$1200,"&lt;="&amp;$B597)</f>
        <v>588</v>
      </c>
      <c r="K597" s="18" t="n">
        <f aca="false">SUMIFS($I$2:$I$1200,$A$2:$A$1200,$A597,$B$2:$B$1200,"&lt;="&amp;$B597)</f>
        <v>657</v>
      </c>
      <c r="L597" s="18" t="n">
        <f aca="false">J597-K597</f>
        <v>-69</v>
      </c>
      <c r="M597" s="18" t="n">
        <f aca="false">SUMIF($A$2:$A$1200,$A597,$H$2:$H$1200)</f>
        <v>594</v>
      </c>
      <c r="N597" s="20" t="n">
        <f aca="false">IF(M597=0,"",L597/M597)</f>
        <v>-0.116161616161616</v>
      </c>
      <c r="O597" s="20" t="n">
        <v>-0.116751269035533</v>
      </c>
      <c r="P597" s="20" t="n">
        <f aca="false">IF(OR(N597="",O597=""),"",N597-O597)</f>
        <v>0.000589652873916838</v>
      </c>
      <c r="Q597" s="18"/>
    </row>
    <row r="598" customFormat="false" ht="15" hidden="false" customHeight="true" outlineLevel="0" collapsed="false">
      <c r="A598" s="18" t="s">
        <v>411</v>
      </c>
      <c r="B598" s="18" t="n">
        <v>18</v>
      </c>
      <c r="C598" s="18" t="s">
        <v>226</v>
      </c>
      <c r="D598" s="18" t="n">
        <v>45</v>
      </c>
      <c r="E598" s="18" t="s">
        <v>394</v>
      </c>
      <c r="F598" s="18" t="s">
        <v>198</v>
      </c>
      <c r="G598" s="19" t="n">
        <v>35885</v>
      </c>
      <c r="H598" s="18" t="n">
        <v>3</v>
      </c>
      <c r="I598" s="18" t="n">
        <v>39</v>
      </c>
      <c r="J598" s="18" t="n">
        <f aca="false">SUMIFS($H$2:$H$1200,$A$2:$A$1200,$A598,$B$2:$B$1200,"&lt;="&amp;$B598)</f>
        <v>591</v>
      </c>
      <c r="K598" s="18" t="n">
        <f aca="false">SUMIFS($I$2:$I$1200,$A$2:$A$1200,$A598,$B$2:$B$1200,"&lt;="&amp;$B598)</f>
        <v>696</v>
      </c>
      <c r="L598" s="18" t="n">
        <f aca="false">J598-K598</f>
        <v>-105</v>
      </c>
      <c r="M598" s="18" t="n">
        <f aca="false">SUMIF($A$2:$A$1200,$A598,$H$2:$H$1200)</f>
        <v>594</v>
      </c>
      <c r="N598" s="20" t="n">
        <f aca="false">IF(M598=0,"",L598/M598)</f>
        <v>-0.176767676767677</v>
      </c>
      <c r="O598" s="20" t="n">
        <v>-0.177664974619289</v>
      </c>
      <c r="P598" s="20" t="n">
        <f aca="false">IF(OR(N598="",O598=""),"",N598-O598)</f>
        <v>0.000897297851612244</v>
      </c>
      <c r="Q598" s="18"/>
    </row>
    <row r="599" customFormat="false" ht="15" hidden="false" customHeight="true" outlineLevel="0" collapsed="false">
      <c r="A599" s="18" t="s">
        <v>411</v>
      </c>
      <c r="B599" s="18" t="n">
        <v>19</v>
      </c>
      <c r="C599" s="18" t="s">
        <v>205</v>
      </c>
      <c r="D599" s="18" t="n">
        <v>60</v>
      </c>
      <c r="E599" s="18" t="s">
        <v>394</v>
      </c>
      <c r="F599" s="18" t="s">
        <v>198</v>
      </c>
      <c r="G599" s="19" t="n">
        <v>35885</v>
      </c>
      <c r="H599" s="18" t="n">
        <v>3</v>
      </c>
      <c r="I599" s="18" t="n">
        <v>14</v>
      </c>
      <c r="J599" s="18" t="n">
        <f aca="false">SUMIFS($H$2:$H$1200,$A$2:$A$1200,$A599,$B$2:$B$1200,"&lt;="&amp;$B599)</f>
        <v>594</v>
      </c>
      <c r="K599" s="18" t="n">
        <f aca="false">SUMIFS($I$2:$I$1200,$A$2:$A$1200,$A599,$B$2:$B$1200,"&lt;="&amp;$B599)</f>
        <v>710</v>
      </c>
      <c r="L599" s="18" t="n">
        <f aca="false">J599-K599</f>
        <v>-116</v>
      </c>
      <c r="M599" s="18" t="n">
        <f aca="false">SUMIF($A$2:$A$1200,$A599,$H$2:$H$1200)</f>
        <v>594</v>
      </c>
      <c r="N599" s="20" t="n">
        <f aca="false">IF(M599=0,"",L599/M599)</f>
        <v>-0.195286195286195</v>
      </c>
      <c r="O599" s="20" t="n">
        <v>-0.196277495769882</v>
      </c>
      <c r="P599" s="20" t="n">
        <f aca="false">IF(OR(N599="",O599=""),"",N599-O599)</f>
        <v>0.000991300483686702</v>
      </c>
      <c r="Q599" s="18"/>
    </row>
    <row r="600" customFormat="false" ht="15" hidden="false" customHeight="true" outlineLevel="0" collapsed="false">
      <c r="A600" s="18" t="s">
        <v>414</v>
      </c>
      <c r="B600" s="18" t="n">
        <v>0</v>
      </c>
      <c r="C600" s="18" t="s">
        <v>204</v>
      </c>
      <c r="D600" s="18"/>
      <c r="E600" s="18" t="s">
        <v>394</v>
      </c>
      <c r="F600" s="18" t="s">
        <v>198</v>
      </c>
      <c r="G600" s="19" t="n">
        <v>35885</v>
      </c>
      <c r="H600" s="18" t="n">
        <v>40</v>
      </c>
      <c r="I600" s="18" t="n">
        <v>7</v>
      </c>
      <c r="J600" s="18" t="n">
        <f aca="false">SUMIFS($H$2:$H$1200,$A$2:$A$1200,$A600,$B$2:$B$1200,"&lt;="&amp;$B600)</f>
        <v>40</v>
      </c>
      <c r="K600" s="18" t="n">
        <f aca="false">SUMIFS($I$2:$I$1200,$A$2:$A$1200,$A600,$B$2:$B$1200,"&lt;="&amp;$B600)</f>
        <v>7</v>
      </c>
      <c r="L600" s="18" t="n">
        <f aca="false">J600-K600</f>
        <v>33</v>
      </c>
      <c r="M600" s="18" t="n">
        <f aca="false">SUMIF($A$2:$A$1200,$A600,$H$2:$H$1200)</f>
        <v>358</v>
      </c>
      <c r="N600" s="20" t="n">
        <f aca="false">IF(M600=0,"",L600/M600)</f>
        <v>0.0921787709497207</v>
      </c>
      <c r="O600" s="20" t="n">
        <v>0.0921787709497207</v>
      </c>
      <c r="P600" s="20" t="n">
        <f aca="false">IF(OR(N600="",O600=""),"",N600-O600)</f>
        <v>0</v>
      </c>
      <c r="Q600" s="18"/>
    </row>
    <row r="601" customFormat="false" ht="15" hidden="false" customHeight="true" outlineLevel="0" collapsed="false">
      <c r="A601" s="18" t="s">
        <v>414</v>
      </c>
      <c r="B601" s="18" t="n">
        <v>7</v>
      </c>
      <c r="C601" s="18" t="s">
        <v>227</v>
      </c>
      <c r="D601" s="18" t="n">
        <v>-120</v>
      </c>
      <c r="E601" s="18" t="s">
        <v>394</v>
      </c>
      <c r="F601" s="18" t="s">
        <v>198</v>
      </c>
      <c r="G601" s="19" t="n">
        <v>35885</v>
      </c>
      <c r="H601" s="18" t="n">
        <v>54</v>
      </c>
      <c r="I601" s="18" t="n">
        <v>10</v>
      </c>
      <c r="J601" s="18" t="n">
        <f aca="false">SUMIFS($H$2:$H$1200,$A$2:$A$1200,$A601,$B$2:$B$1200,"&lt;="&amp;$B601)</f>
        <v>94</v>
      </c>
      <c r="K601" s="18" t="n">
        <f aca="false">SUMIFS($I$2:$I$1200,$A$2:$A$1200,$A601,$B$2:$B$1200,"&lt;="&amp;$B601)</f>
        <v>17</v>
      </c>
      <c r="L601" s="18" t="n">
        <f aca="false">J601-K601</f>
        <v>77</v>
      </c>
      <c r="M601" s="18" t="n">
        <f aca="false">SUMIF($A$2:$A$1200,$A601,$H$2:$H$1200)</f>
        <v>358</v>
      </c>
      <c r="N601" s="20" t="n">
        <f aca="false">IF(M601=0,"",L601/M601)</f>
        <v>0.215083798882682</v>
      </c>
      <c r="O601" s="20" t="n">
        <v>0.215083798882682</v>
      </c>
      <c r="P601" s="20" t="n">
        <f aca="false">IF(OR(N601="",O601=""),"",N601-O601)</f>
        <v>0</v>
      </c>
      <c r="Q601" s="18"/>
    </row>
    <row r="602" customFormat="false" ht="15" hidden="false" customHeight="true" outlineLevel="0" collapsed="false">
      <c r="A602" s="18" t="s">
        <v>414</v>
      </c>
      <c r="B602" s="18" t="n">
        <v>8</v>
      </c>
      <c r="C602" s="18" t="s">
        <v>241</v>
      </c>
      <c r="D602" s="18" t="n">
        <v>-105</v>
      </c>
      <c r="E602" s="18" t="s">
        <v>394</v>
      </c>
      <c r="F602" s="18" t="s">
        <v>198</v>
      </c>
      <c r="G602" s="19" t="n">
        <v>35885</v>
      </c>
      <c r="H602" s="18" t="n">
        <v>59</v>
      </c>
      <c r="I602" s="18" t="n">
        <v>16</v>
      </c>
      <c r="J602" s="18" t="n">
        <f aca="false">SUMIFS($H$2:$H$1200,$A$2:$A$1200,$A602,$B$2:$B$1200,"&lt;="&amp;$B602)</f>
        <v>153</v>
      </c>
      <c r="K602" s="18" t="n">
        <f aca="false">SUMIFS($I$2:$I$1200,$A$2:$A$1200,$A602,$B$2:$B$1200,"&lt;="&amp;$B602)</f>
        <v>33</v>
      </c>
      <c r="L602" s="18" t="n">
        <f aca="false">J602-K602</f>
        <v>120</v>
      </c>
      <c r="M602" s="18" t="n">
        <f aca="false">SUMIF($A$2:$A$1200,$A602,$H$2:$H$1200)</f>
        <v>358</v>
      </c>
      <c r="N602" s="20" t="n">
        <f aca="false">IF(M602=0,"",L602/M602)</f>
        <v>0.335195530726257</v>
      </c>
      <c r="O602" s="20" t="n">
        <v>0.335195530726257</v>
      </c>
      <c r="P602" s="20" t="n">
        <f aca="false">IF(OR(N602="",O602=""),"",N602-O602)</f>
        <v>0</v>
      </c>
      <c r="Q602" s="18"/>
    </row>
    <row r="603" customFormat="false" ht="15" hidden="false" customHeight="true" outlineLevel="0" collapsed="false">
      <c r="A603" s="18" t="s">
        <v>414</v>
      </c>
      <c r="B603" s="18" t="n">
        <v>9</v>
      </c>
      <c r="C603" s="18" t="s">
        <v>279</v>
      </c>
      <c r="D603" s="18" t="n">
        <v>-90</v>
      </c>
      <c r="E603" s="18" t="s">
        <v>394</v>
      </c>
      <c r="F603" s="18" t="s">
        <v>198</v>
      </c>
      <c r="G603" s="19" t="n">
        <v>35885</v>
      </c>
      <c r="H603" s="18" t="n">
        <v>56</v>
      </c>
      <c r="I603" s="18" t="n">
        <v>20</v>
      </c>
      <c r="J603" s="18" t="n">
        <f aca="false">SUMIFS($H$2:$H$1200,$A$2:$A$1200,$A603,$B$2:$B$1200,"&lt;="&amp;$B603)</f>
        <v>209</v>
      </c>
      <c r="K603" s="18" t="n">
        <f aca="false">SUMIFS($I$2:$I$1200,$A$2:$A$1200,$A603,$B$2:$B$1200,"&lt;="&amp;$B603)</f>
        <v>53</v>
      </c>
      <c r="L603" s="18" t="n">
        <f aca="false">J603-K603</f>
        <v>156</v>
      </c>
      <c r="M603" s="18" t="n">
        <f aca="false">SUMIF($A$2:$A$1200,$A603,$H$2:$H$1200)</f>
        <v>358</v>
      </c>
      <c r="N603" s="20" t="n">
        <f aca="false">IF(M603=0,"",L603/M603)</f>
        <v>0.435754189944134</v>
      </c>
      <c r="O603" s="20" t="n">
        <v>0.435754189944134</v>
      </c>
      <c r="P603" s="20" t="n">
        <f aca="false">IF(OR(N603="",O603=""),"",N603-O603)</f>
        <v>0</v>
      </c>
      <c r="Q603" s="18"/>
    </row>
    <row r="604" customFormat="false" ht="15" hidden="false" customHeight="true" outlineLevel="0" collapsed="false">
      <c r="A604" s="18" t="s">
        <v>414</v>
      </c>
      <c r="B604" s="18" t="n">
        <v>10</v>
      </c>
      <c r="C604" s="18" t="s">
        <v>206</v>
      </c>
      <c r="D604" s="18" t="n">
        <v>-75</v>
      </c>
      <c r="E604" s="18" t="s">
        <v>394</v>
      </c>
      <c r="F604" s="18" t="s">
        <v>198</v>
      </c>
      <c r="G604" s="19" t="n">
        <v>35885</v>
      </c>
      <c r="H604" s="18" t="n">
        <v>34</v>
      </c>
      <c r="I604" s="18" t="n">
        <v>35</v>
      </c>
      <c r="J604" s="18" t="n">
        <f aca="false">SUMIFS($H$2:$H$1200,$A$2:$A$1200,$A604,$B$2:$B$1200,"&lt;="&amp;$B604)</f>
        <v>243</v>
      </c>
      <c r="K604" s="18" t="n">
        <f aca="false">SUMIFS($I$2:$I$1200,$A$2:$A$1200,$A604,$B$2:$B$1200,"&lt;="&amp;$B604)</f>
        <v>88</v>
      </c>
      <c r="L604" s="18" t="n">
        <f aca="false">J604-K604</f>
        <v>155</v>
      </c>
      <c r="M604" s="18" t="n">
        <f aca="false">SUMIF($A$2:$A$1200,$A604,$H$2:$H$1200)</f>
        <v>358</v>
      </c>
      <c r="N604" s="20" t="n">
        <f aca="false">IF(M604=0,"",L604/M604)</f>
        <v>0.432960893854749</v>
      </c>
      <c r="O604" s="20" t="n">
        <v>0.432960893854749</v>
      </c>
      <c r="P604" s="20" t="n">
        <f aca="false">IF(OR(N604="",O604=""),"",N604-O604)</f>
        <v>0</v>
      </c>
      <c r="Q604" s="18"/>
    </row>
    <row r="605" customFormat="false" ht="15" hidden="false" customHeight="true" outlineLevel="0" collapsed="false">
      <c r="A605" s="18" t="s">
        <v>414</v>
      </c>
      <c r="B605" s="18" t="n">
        <v>11</v>
      </c>
      <c r="C605" s="18" t="s">
        <v>246</v>
      </c>
      <c r="D605" s="18" t="n">
        <v>-60</v>
      </c>
      <c r="E605" s="18" t="s">
        <v>394</v>
      </c>
      <c r="F605" s="18" t="s">
        <v>198</v>
      </c>
      <c r="G605" s="19" t="n">
        <v>35885</v>
      </c>
      <c r="H605" s="18" t="n">
        <v>47</v>
      </c>
      <c r="I605" s="18" t="n">
        <v>37</v>
      </c>
      <c r="J605" s="18" t="n">
        <f aca="false">SUMIFS($H$2:$H$1200,$A$2:$A$1200,$A605,$B$2:$B$1200,"&lt;="&amp;$B605)</f>
        <v>290</v>
      </c>
      <c r="K605" s="18" t="n">
        <f aca="false">SUMIFS($I$2:$I$1200,$A$2:$A$1200,$A605,$B$2:$B$1200,"&lt;="&amp;$B605)</f>
        <v>125</v>
      </c>
      <c r="L605" s="18" t="n">
        <f aca="false">J605-K605</f>
        <v>165</v>
      </c>
      <c r="M605" s="18" t="n">
        <f aca="false">SUMIF($A$2:$A$1200,$A605,$H$2:$H$1200)</f>
        <v>358</v>
      </c>
      <c r="N605" s="20" t="n">
        <f aca="false">IF(M605=0,"",L605/M605)</f>
        <v>0.460893854748603</v>
      </c>
      <c r="O605" s="20" t="n">
        <v>0.460893854748603</v>
      </c>
      <c r="P605" s="20" t="n">
        <f aca="false">IF(OR(N605="",O605=""),"",N605-O605)</f>
        <v>0</v>
      </c>
      <c r="Q605" s="18"/>
    </row>
    <row r="606" customFormat="false" ht="15" hidden="false" customHeight="true" outlineLevel="0" collapsed="false">
      <c r="A606" s="18" t="s">
        <v>414</v>
      </c>
      <c r="B606" s="18" t="n">
        <v>12</v>
      </c>
      <c r="C606" s="18" t="s">
        <v>254</v>
      </c>
      <c r="D606" s="18" t="n">
        <v>-45</v>
      </c>
      <c r="E606" s="18" t="s">
        <v>394</v>
      </c>
      <c r="F606" s="18" t="s">
        <v>198</v>
      </c>
      <c r="G606" s="19" t="n">
        <v>35885</v>
      </c>
      <c r="H606" s="18" t="n">
        <v>19</v>
      </c>
      <c r="I606" s="18" t="n">
        <v>36</v>
      </c>
      <c r="J606" s="18" t="n">
        <f aca="false">SUMIFS($H$2:$H$1200,$A$2:$A$1200,$A606,$B$2:$B$1200,"&lt;="&amp;$B606)</f>
        <v>309</v>
      </c>
      <c r="K606" s="18" t="n">
        <f aca="false">SUMIFS($I$2:$I$1200,$A$2:$A$1200,$A606,$B$2:$B$1200,"&lt;="&amp;$B606)</f>
        <v>161</v>
      </c>
      <c r="L606" s="18" t="n">
        <f aca="false">J606-K606</f>
        <v>148</v>
      </c>
      <c r="M606" s="18" t="n">
        <f aca="false">SUMIF($A$2:$A$1200,$A606,$H$2:$H$1200)</f>
        <v>358</v>
      </c>
      <c r="N606" s="20" t="n">
        <f aca="false">IF(M606=0,"",L606/M606)</f>
        <v>0.41340782122905</v>
      </c>
      <c r="O606" s="20" t="n">
        <v>0.41340782122905</v>
      </c>
      <c r="P606" s="20" t="n">
        <f aca="false">IF(OR(N606="",O606=""),"",N606-O606)</f>
        <v>0</v>
      </c>
      <c r="Q606" s="18"/>
    </row>
    <row r="607" customFormat="false" ht="15" hidden="false" customHeight="true" outlineLevel="0" collapsed="false">
      <c r="A607" s="18" t="s">
        <v>414</v>
      </c>
      <c r="B607" s="18" t="n">
        <v>13</v>
      </c>
      <c r="C607" s="18" t="s">
        <v>403</v>
      </c>
      <c r="D607" s="18" t="n">
        <v>-30</v>
      </c>
      <c r="E607" s="18" t="s">
        <v>394</v>
      </c>
      <c r="F607" s="18" t="s">
        <v>198</v>
      </c>
      <c r="G607" s="19" t="n">
        <v>35885</v>
      </c>
      <c r="H607" s="18" t="n">
        <v>19</v>
      </c>
      <c r="I607" s="18" t="n">
        <v>49</v>
      </c>
      <c r="J607" s="18" t="n">
        <f aca="false">SUMIFS($H$2:$H$1200,$A$2:$A$1200,$A607,$B$2:$B$1200,"&lt;="&amp;$B607)</f>
        <v>328</v>
      </c>
      <c r="K607" s="18" t="n">
        <f aca="false">SUMIFS($I$2:$I$1200,$A$2:$A$1200,$A607,$B$2:$B$1200,"&lt;="&amp;$B607)</f>
        <v>210</v>
      </c>
      <c r="L607" s="18" t="n">
        <f aca="false">J607-K607</f>
        <v>118</v>
      </c>
      <c r="M607" s="18" t="n">
        <f aca="false">SUMIF($A$2:$A$1200,$A607,$H$2:$H$1200)</f>
        <v>358</v>
      </c>
      <c r="N607" s="20" t="n">
        <f aca="false">IF(M607=0,"",L607/M607)</f>
        <v>0.329608938547486</v>
      </c>
      <c r="O607" s="20" t="n">
        <v>0.329608938547486</v>
      </c>
      <c r="P607" s="20" t="n">
        <f aca="false">IF(OR(N607="",O607=""),"",N607-O607)</f>
        <v>0</v>
      </c>
      <c r="Q607" s="18"/>
    </row>
    <row r="608" customFormat="false" ht="15" hidden="false" customHeight="true" outlineLevel="0" collapsed="false">
      <c r="A608" s="18" t="s">
        <v>414</v>
      </c>
      <c r="B608" s="18" t="n">
        <v>14</v>
      </c>
      <c r="C608" s="18" t="s">
        <v>529</v>
      </c>
      <c r="D608" s="18" t="n">
        <v>-15</v>
      </c>
      <c r="E608" s="18" t="s">
        <v>394</v>
      </c>
      <c r="F608" s="18" t="s">
        <v>198</v>
      </c>
      <c r="G608" s="19" t="n">
        <v>35885</v>
      </c>
      <c r="H608" s="18" t="n">
        <v>7</v>
      </c>
      <c r="I608" s="18" t="n">
        <v>36</v>
      </c>
      <c r="J608" s="18" t="n">
        <f aca="false">SUMIFS($H$2:$H$1200,$A$2:$A$1200,$A608,$B$2:$B$1200,"&lt;="&amp;$B608)</f>
        <v>335</v>
      </c>
      <c r="K608" s="18" t="n">
        <f aca="false">SUMIFS($I$2:$I$1200,$A$2:$A$1200,$A608,$B$2:$B$1200,"&lt;="&amp;$B608)</f>
        <v>246</v>
      </c>
      <c r="L608" s="18" t="n">
        <f aca="false">J608-K608</f>
        <v>89</v>
      </c>
      <c r="M608" s="18" t="n">
        <f aca="false">SUMIF($A$2:$A$1200,$A608,$H$2:$H$1200)</f>
        <v>358</v>
      </c>
      <c r="N608" s="20" t="n">
        <f aca="false">IF(M608=0,"",L608/M608)</f>
        <v>0.248603351955307</v>
      </c>
      <c r="O608" s="20" t="n">
        <v>0.248603351955307</v>
      </c>
      <c r="P608" s="20" t="n">
        <f aca="false">IF(OR(N608="",O608=""),"",N608-O608)</f>
        <v>0</v>
      </c>
      <c r="Q608" s="18"/>
    </row>
    <row r="609" customFormat="false" ht="15" hidden="false" customHeight="true" outlineLevel="0" collapsed="false">
      <c r="A609" s="18" t="s">
        <v>414</v>
      </c>
      <c r="B609" s="18" t="n">
        <v>15</v>
      </c>
      <c r="C609" s="18" t="s">
        <v>463</v>
      </c>
      <c r="D609" s="18" t="n">
        <v>0</v>
      </c>
      <c r="E609" s="18" t="s">
        <v>394</v>
      </c>
      <c r="F609" s="18" t="s">
        <v>198</v>
      </c>
      <c r="G609" s="19" t="n">
        <v>35885</v>
      </c>
      <c r="H609" s="18" t="n">
        <v>11</v>
      </c>
      <c r="I609" s="18" t="n">
        <v>32</v>
      </c>
      <c r="J609" s="18" t="n">
        <f aca="false">SUMIFS($H$2:$H$1200,$A$2:$A$1200,$A609,$B$2:$B$1200,"&lt;="&amp;$B609)</f>
        <v>346</v>
      </c>
      <c r="K609" s="18" t="n">
        <f aca="false">SUMIFS($I$2:$I$1200,$A$2:$A$1200,$A609,$B$2:$B$1200,"&lt;="&amp;$B609)</f>
        <v>278</v>
      </c>
      <c r="L609" s="18" t="n">
        <f aca="false">J609-K609</f>
        <v>68</v>
      </c>
      <c r="M609" s="18" t="n">
        <f aca="false">SUMIF($A$2:$A$1200,$A609,$H$2:$H$1200)</f>
        <v>358</v>
      </c>
      <c r="N609" s="20" t="n">
        <f aca="false">IF(M609=0,"",L609/M609)</f>
        <v>0.189944134078212</v>
      </c>
      <c r="O609" s="20" t="n">
        <v>0.189944134078212</v>
      </c>
      <c r="P609" s="20" t="n">
        <f aca="false">IF(OR(N609="",O609=""),"",N609-O609)</f>
        <v>0</v>
      </c>
      <c r="Q609" s="18"/>
    </row>
    <row r="610" customFormat="false" ht="15" hidden="false" customHeight="true" outlineLevel="0" collapsed="false">
      <c r="A610" s="18" t="s">
        <v>414</v>
      </c>
      <c r="B610" s="18" t="n">
        <v>16</v>
      </c>
      <c r="C610" s="18" t="s">
        <v>366</v>
      </c>
      <c r="D610" s="18" t="n">
        <v>15</v>
      </c>
      <c r="E610" s="18" t="s">
        <v>394</v>
      </c>
      <c r="F610" s="18" t="s">
        <v>198</v>
      </c>
      <c r="G610" s="19" t="n">
        <v>35885</v>
      </c>
      <c r="H610" s="18" t="n">
        <v>9</v>
      </c>
      <c r="I610" s="18" t="n">
        <v>39</v>
      </c>
      <c r="J610" s="18" t="n">
        <f aca="false">SUMIFS($H$2:$H$1200,$A$2:$A$1200,$A610,$B$2:$B$1200,"&lt;="&amp;$B610)</f>
        <v>355</v>
      </c>
      <c r="K610" s="18" t="n">
        <f aca="false">SUMIFS($I$2:$I$1200,$A$2:$A$1200,$A610,$B$2:$B$1200,"&lt;="&amp;$B610)</f>
        <v>317</v>
      </c>
      <c r="L610" s="18" t="n">
        <f aca="false">J610-K610</f>
        <v>38</v>
      </c>
      <c r="M610" s="18" t="n">
        <f aca="false">SUMIF($A$2:$A$1200,$A610,$H$2:$H$1200)</f>
        <v>358</v>
      </c>
      <c r="N610" s="20" t="n">
        <f aca="false">IF(M610=0,"",L610/M610)</f>
        <v>0.106145251396648</v>
      </c>
      <c r="O610" s="20" t="n">
        <v>0.106145251396648</v>
      </c>
      <c r="P610" s="20" t="n">
        <f aca="false">IF(OR(N610="",O610=""),"",N610-O610)</f>
        <v>0</v>
      </c>
      <c r="Q610" s="18"/>
    </row>
    <row r="611" customFormat="false" ht="15" hidden="false" customHeight="true" outlineLevel="0" collapsed="false">
      <c r="A611" s="18" t="s">
        <v>414</v>
      </c>
      <c r="B611" s="18" t="n">
        <v>17</v>
      </c>
      <c r="C611" s="18" t="s">
        <v>326</v>
      </c>
      <c r="D611" s="18" t="n">
        <v>30</v>
      </c>
      <c r="E611" s="18" t="s">
        <v>394</v>
      </c>
      <c r="F611" s="18" t="s">
        <v>198</v>
      </c>
      <c r="G611" s="19" t="n">
        <v>35885</v>
      </c>
      <c r="H611" s="18" t="n">
        <v>1</v>
      </c>
      <c r="I611" s="18" t="n">
        <v>27</v>
      </c>
      <c r="J611" s="18" t="n">
        <f aca="false">SUMIFS($H$2:$H$1200,$A$2:$A$1200,$A611,$B$2:$B$1200,"&lt;="&amp;$B611)</f>
        <v>356</v>
      </c>
      <c r="K611" s="18" t="n">
        <f aca="false">SUMIFS($I$2:$I$1200,$A$2:$A$1200,$A611,$B$2:$B$1200,"&lt;="&amp;$B611)</f>
        <v>344</v>
      </c>
      <c r="L611" s="18" t="n">
        <f aca="false">J611-K611</f>
        <v>12</v>
      </c>
      <c r="M611" s="18" t="n">
        <f aca="false">SUMIF($A$2:$A$1200,$A611,$H$2:$H$1200)</f>
        <v>358</v>
      </c>
      <c r="N611" s="20" t="n">
        <f aca="false">IF(M611=0,"",L611/M611)</f>
        <v>0.0335195530726257</v>
      </c>
      <c r="O611" s="20" t="n">
        <v>0.0335195530726257</v>
      </c>
      <c r="P611" s="20" t="n">
        <f aca="false">IF(OR(N611="",O611=""),"",N611-O611)</f>
        <v>0</v>
      </c>
      <c r="Q611" s="18"/>
    </row>
    <row r="612" customFormat="false" ht="15" hidden="false" customHeight="true" outlineLevel="0" collapsed="false">
      <c r="A612" s="18" t="s">
        <v>414</v>
      </c>
      <c r="B612" s="18" t="n">
        <v>18</v>
      </c>
      <c r="C612" s="18" t="s">
        <v>226</v>
      </c>
      <c r="D612" s="18" t="n">
        <v>45</v>
      </c>
      <c r="E612" s="18" t="s">
        <v>394</v>
      </c>
      <c r="F612" s="18" t="s">
        <v>198</v>
      </c>
      <c r="G612" s="19" t="n">
        <v>35885</v>
      </c>
      <c r="H612" s="18" t="n">
        <v>2</v>
      </c>
      <c r="I612" s="18" t="n">
        <v>18</v>
      </c>
      <c r="J612" s="18" t="n">
        <f aca="false">SUMIFS($H$2:$H$1200,$A$2:$A$1200,$A612,$B$2:$B$1200,"&lt;="&amp;$B612)</f>
        <v>358</v>
      </c>
      <c r="K612" s="18" t="n">
        <f aca="false">SUMIFS($I$2:$I$1200,$A$2:$A$1200,$A612,$B$2:$B$1200,"&lt;="&amp;$B612)</f>
        <v>362</v>
      </c>
      <c r="L612" s="18" t="n">
        <f aca="false">J612-K612</f>
        <v>-4</v>
      </c>
      <c r="M612" s="18" t="n">
        <f aca="false">SUMIF($A$2:$A$1200,$A612,$H$2:$H$1200)</f>
        <v>358</v>
      </c>
      <c r="N612" s="20" t="n">
        <f aca="false">IF(M612=0,"",L612/M612)</f>
        <v>-0.0111731843575419</v>
      </c>
      <c r="O612" s="20" t="n">
        <v>-0.0111731843575419</v>
      </c>
      <c r="P612" s="20" t="n">
        <f aca="false">IF(OR(N612="",O612=""),"",N612-O612)</f>
        <v>0</v>
      </c>
      <c r="Q612" s="18"/>
    </row>
    <row r="613" customFormat="false" ht="15" hidden="false" customHeight="true" outlineLevel="0" collapsed="false">
      <c r="A613" s="18" t="s">
        <v>414</v>
      </c>
      <c r="B613" s="18" t="n">
        <v>19</v>
      </c>
      <c r="C613" s="18" t="s">
        <v>205</v>
      </c>
      <c r="D613" s="18" t="n">
        <v>60</v>
      </c>
      <c r="E613" s="18" t="s">
        <v>394</v>
      </c>
      <c r="F613" s="18" t="s">
        <v>198</v>
      </c>
      <c r="G613" s="19" t="n">
        <v>35885</v>
      </c>
      <c r="H613" s="18" t="n">
        <v>0</v>
      </c>
      <c r="I613" s="18" t="n">
        <v>10</v>
      </c>
      <c r="J613" s="18" t="n">
        <f aca="false">SUMIFS($H$2:$H$1200,$A$2:$A$1200,$A613,$B$2:$B$1200,"&lt;="&amp;$B613)</f>
        <v>358</v>
      </c>
      <c r="K613" s="18" t="n">
        <f aca="false">SUMIFS($I$2:$I$1200,$A$2:$A$1200,$A613,$B$2:$B$1200,"&lt;="&amp;$B613)</f>
        <v>372</v>
      </c>
      <c r="L613" s="18" t="n">
        <f aca="false">J613-K613</f>
        <v>-14</v>
      </c>
      <c r="M613" s="18" t="n">
        <f aca="false">SUMIF($A$2:$A$1200,$A613,$H$2:$H$1200)</f>
        <v>358</v>
      </c>
      <c r="N613" s="20" t="n">
        <f aca="false">IF(M613=0,"",L613/M613)</f>
        <v>-0.0391061452513967</v>
      </c>
      <c r="O613" s="20" t="n">
        <v>-0.0391061452513967</v>
      </c>
      <c r="P613" s="20" t="n">
        <f aca="false">IF(OR(N613="",O613=""),"",N613-O613)</f>
        <v>0</v>
      </c>
      <c r="Q613" s="18"/>
    </row>
    <row r="614" customFormat="false" ht="15" hidden="false" customHeight="true" outlineLevel="0" collapsed="false">
      <c r="A614" s="18" t="s">
        <v>417</v>
      </c>
      <c r="B614" s="18" t="n">
        <v>0</v>
      </c>
      <c r="C614" s="18" t="s">
        <v>204</v>
      </c>
      <c r="D614" s="18"/>
      <c r="E614" s="18" t="s">
        <v>394</v>
      </c>
      <c r="F614" s="18" t="s">
        <v>198</v>
      </c>
      <c r="G614" s="19" t="n">
        <v>38098</v>
      </c>
      <c r="H614" s="18" t="n">
        <v>0</v>
      </c>
      <c r="I614" s="18" t="n">
        <v>0</v>
      </c>
      <c r="J614" s="18" t="n">
        <f aca="false">SUMIFS($H$2:$H$1200,$A$2:$A$1200,$A614,$B$2:$B$1200,"&lt;="&amp;$B614)</f>
        <v>0</v>
      </c>
      <c r="K614" s="18" t="n">
        <f aca="false">SUMIFS($I$2:$I$1200,$A$2:$A$1200,$A614,$B$2:$B$1200,"&lt;="&amp;$B614)</f>
        <v>0</v>
      </c>
      <c r="L614" s="18" t="n">
        <f aca="false">J614-K614</f>
        <v>0</v>
      </c>
      <c r="M614" s="18" t="n">
        <f aca="false">SUMIF($A$2:$A$1200,$A614,$H$2:$H$1200)</f>
        <v>435</v>
      </c>
      <c r="N614" s="20" t="n">
        <f aca="false">IF(M614=0,"",L614/M614)</f>
        <v>0</v>
      </c>
      <c r="O614" s="20"/>
      <c r="P614" s="20" t="str">
        <f aca="false">IF(OR(N614="",O614=""),"",N614-O614)</f>
        <v/>
      </c>
      <c r="Q614" s="18"/>
    </row>
    <row r="615" customFormat="false" ht="15" hidden="false" customHeight="true" outlineLevel="0" collapsed="false">
      <c r="A615" s="18" t="s">
        <v>417</v>
      </c>
      <c r="B615" s="18" t="n">
        <v>3</v>
      </c>
      <c r="C615" s="18" t="s">
        <v>525</v>
      </c>
      <c r="D615" s="18" t="n">
        <v>-180</v>
      </c>
      <c r="E615" s="18" t="s">
        <v>394</v>
      </c>
      <c r="F615" s="18" t="s">
        <v>198</v>
      </c>
      <c r="G615" s="19" t="n">
        <v>38098</v>
      </c>
      <c r="H615" s="18" t="n">
        <v>5</v>
      </c>
      <c r="I615" s="18" t="n">
        <v>1</v>
      </c>
      <c r="J615" s="18" t="n">
        <f aca="false">SUMIFS($H$2:$H$1200,$A$2:$A$1200,$A615,$B$2:$B$1200,"&lt;="&amp;$B615)</f>
        <v>5</v>
      </c>
      <c r="K615" s="18" t="n">
        <f aca="false">SUMIFS($I$2:$I$1200,$A$2:$A$1200,$A615,$B$2:$B$1200,"&lt;="&amp;$B615)</f>
        <v>1</v>
      </c>
      <c r="L615" s="18" t="n">
        <f aca="false">J615-K615</f>
        <v>4</v>
      </c>
      <c r="M615" s="18" t="n">
        <f aca="false">SUMIF($A$2:$A$1200,$A615,$H$2:$H$1200)</f>
        <v>435</v>
      </c>
      <c r="N615" s="20" t="n">
        <f aca="false">IF(M615=0,"",L615/M615)</f>
        <v>0.00919540229885058</v>
      </c>
      <c r="O615" s="20"/>
      <c r="P615" s="20" t="str">
        <f aca="false">IF(OR(N615="",O615=""),"",N615-O615)</f>
        <v/>
      </c>
      <c r="Q615" s="18"/>
    </row>
    <row r="616" customFormat="false" ht="15" hidden="false" customHeight="true" outlineLevel="0" collapsed="false">
      <c r="A616" s="18" t="s">
        <v>417</v>
      </c>
      <c r="B616" s="18" t="n">
        <v>4</v>
      </c>
      <c r="C616" s="18" t="s">
        <v>526</v>
      </c>
      <c r="D616" s="18" t="n">
        <v>-165</v>
      </c>
      <c r="E616" s="18" t="s">
        <v>394</v>
      </c>
      <c r="F616" s="18" t="s">
        <v>198</v>
      </c>
      <c r="G616" s="19" t="n">
        <v>38098</v>
      </c>
      <c r="H616" s="18" t="n">
        <v>10</v>
      </c>
      <c r="I616" s="18" t="n">
        <v>0</v>
      </c>
      <c r="J616" s="18" t="n">
        <f aca="false">SUMIFS($H$2:$H$1200,$A$2:$A$1200,$A616,$B$2:$B$1200,"&lt;="&amp;$B616)</f>
        <v>15</v>
      </c>
      <c r="K616" s="18" t="n">
        <f aca="false">SUMIFS($I$2:$I$1200,$A$2:$A$1200,$A616,$B$2:$B$1200,"&lt;="&amp;$B616)</f>
        <v>1</v>
      </c>
      <c r="L616" s="18" t="n">
        <f aca="false">J616-K616</f>
        <v>14</v>
      </c>
      <c r="M616" s="18" t="n">
        <f aca="false">SUMIF($A$2:$A$1200,$A616,$H$2:$H$1200)</f>
        <v>435</v>
      </c>
      <c r="N616" s="20" t="n">
        <f aca="false">IF(M616=0,"",L616/M616)</f>
        <v>0.032183908045977</v>
      </c>
      <c r="O616" s="20"/>
      <c r="P616" s="20" t="str">
        <f aca="false">IF(OR(N616="",O616=""),"",N616-O616)</f>
        <v/>
      </c>
      <c r="Q616" s="18"/>
    </row>
    <row r="617" customFormat="false" ht="15" hidden="false" customHeight="true" outlineLevel="0" collapsed="false">
      <c r="A617" s="18" t="s">
        <v>417</v>
      </c>
      <c r="B617" s="18" t="n">
        <v>5</v>
      </c>
      <c r="C617" s="18" t="s">
        <v>527</v>
      </c>
      <c r="D617" s="18" t="n">
        <v>-150</v>
      </c>
      <c r="E617" s="18" t="s">
        <v>394</v>
      </c>
      <c r="F617" s="18" t="s">
        <v>198</v>
      </c>
      <c r="G617" s="19" t="n">
        <v>38098</v>
      </c>
      <c r="H617" s="18" t="n">
        <v>20</v>
      </c>
      <c r="I617" s="18" t="n">
        <v>4</v>
      </c>
      <c r="J617" s="18" t="n">
        <f aca="false">SUMIFS($H$2:$H$1200,$A$2:$A$1200,$A617,$B$2:$B$1200,"&lt;="&amp;$B617)</f>
        <v>35</v>
      </c>
      <c r="K617" s="18" t="n">
        <f aca="false">SUMIFS($I$2:$I$1200,$A$2:$A$1200,$A617,$B$2:$B$1200,"&lt;="&amp;$B617)</f>
        <v>5</v>
      </c>
      <c r="L617" s="18" t="n">
        <f aca="false">J617-K617</f>
        <v>30</v>
      </c>
      <c r="M617" s="18" t="n">
        <f aca="false">SUMIF($A$2:$A$1200,$A617,$H$2:$H$1200)</f>
        <v>435</v>
      </c>
      <c r="N617" s="20" t="n">
        <f aca="false">IF(M617=0,"",L617/M617)</f>
        <v>0.0689655172413793</v>
      </c>
      <c r="O617" s="20"/>
      <c r="P617" s="20" t="str">
        <f aca="false">IF(OR(N617="",O617=""),"",N617-O617)</f>
        <v/>
      </c>
      <c r="Q617" s="18"/>
    </row>
    <row r="618" customFormat="false" ht="15" hidden="false" customHeight="true" outlineLevel="0" collapsed="false">
      <c r="A618" s="18" t="s">
        <v>417</v>
      </c>
      <c r="B618" s="18" t="n">
        <v>6</v>
      </c>
      <c r="C618" s="18" t="s">
        <v>528</v>
      </c>
      <c r="D618" s="18" t="n">
        <v>-135</v>
      </c>
      <c r="E618" s="18" t="s">
        <v>394</v>
      </c>
      <c r="F618" s="18" t="s">
        <v>198</v>
      </c>
      <c r="G618" s="19" t="n">
        <v>38098</v>
      </c>
      <c r="H618" s="18" t="n">
        <v>23</v>
      </c>
      <c r="I618" s="18" t="n">
        <v>5</v>
      </c>
      <c r="J618" s="18" t="n">
        <f aca="false">SUMIFS($H$2:$H$1200,$A$2:$A$1200,$A618,$B$2:$B$1200,"&lt;="&amp;$B618)</f>
        <v>58</v>
      </c>
      <c r="K618" s="18" t="n">
        <f aca="false">SUMIFS($I$2:$I$1200,$A$2:$A$1200,$A618,$B$2:$B$1200,"&lt;="&amp;$B618)</f>
        <v>10</v>
      </c>
      <c r="L618" s="18" t="n">
        <f aca="false">J618-K618</f>
        <v>48</v>
      </c>
      <c r="M618" s="18" t="n">
        <f aca="false">SUMIF($A$2:$A$1200,$A618,$H$2:$H$1200)</f>
        <v>435</v>
      </c>
      <c r="N618" s="20" t="n">
        <f aca="false">IF(M618=0,"",L618/M618)</f>
        <v>0.110344827586207</v>
      </c>
      <c r="O618" s="20"/>
      <c r="P618" s="20" t="str">
        <f aca="false">IF(OR(N618="",O618=""),"",N618-O618)</f>
        <v/>
      </c>
      <c r="Q618" s="18"/>
    </row>
    <row r="619" customFormat="false" ht="15" hidden="false" customHeight="true" outlineLevel="0" collapsed="false">
      <c r="A619" s="18" t="s">
        <v>417</v>
      </c>
      <c r="B619" s="18" t="n">
        <v>7</v>
      </c>
      <c r="C619" s="18" t="s">
        <v>227</v>
      </c>
      <c r="D619" s="18" t="n">
        <v>-120</v>
      </c>
      <c r="E619" s="18" t="s">
        <v>394</v>
      </c>
      <c r="F619" s="18" t="s">
        <v>198</v>
      </c>
      <c r="G619" s="19" t="n">
        <v>38098</v>
      </c>
      <c r="H619" s="18" t="n">
        <v>54</v>
      </c>
      <c r="I619" s="18" t="n">
        <v>2</v>
      </c>
      <c r="J619" s="18" t="n">
        <f aca="false">SUMIFS($H$2:$H$1200,$A$2:$A$1200,$A619,$B$2:$B$1200,"&lt;="&amp;$B619)</f>
        <v>112</v>
      </c>
      <c r="K619" s="18" t="n">
        <f aca="false">SUMIFS($I$2:$I$1200,$A$2:$A$1200,$A619,$B$2:$B$1200,"&lt;="&amp;$B619)</f>
        <v>12</v>
      </c>
      <c r="L619" s="18" t="n">
        <f aca="false">J619-K619</f>
        <v>100</v>
      </c>
      <c r="M619" s="18" t="n">
        <f aca="false">SUMIF($A$2:$A$1200,$A619,$H$2:$H$1200)</f>
        <v>435</v>
      </c>
      <c r="N619" s="20" t="n">
        <f aca="false">IF(M619=0,"",L619/M619)</f>
        <v>0.229885057471264</v>
      </c>
      <c r="O619" s="20"/>
      <c r="P619" s="20" t="str">
        <f aca="false">IF(OR(N619="",O619=""),"",N619-O619)</f>
        <v/>
      </c>
      <c r="Q619" s="18"/>
    </row>
    <row r="620" customFormat="false" ht="15" hidden="false" customHeight="true" outlineLevel="0" collapsed="false">
      <c r="A620" s="18" t="s">
        <v>417</v>
      </c>
      <c r="B620" s="18" t="n">
        <v>8</v>
      </c>
      <c r="C620" s="18" t="s">
        <v>241</v>
      </c>
      <c r="D620" s="18" t="n">
        <v>-105</v>
      </c>
      <c r="E620" s="18" t="s">
        <v>394</v>
      </c>
      <c r="F620" s="18" t="s">
        <v>198</v>
      </c>
      <c r="G620" s="19" t="n">
        <v>38098</v>
      </c>
      <c r="H620" s="18" t="n">
        <v>69</v>
      </c>
      <c r="I620" s="18" t="n">
        <v>4</v>
      </c>
      <c r="J620" s="18" t="n">
        <f aca="false">SUMIFS($H$2:$H$1200,$A$2:$A$1200,$A620,$B$2:$B$1200,"&lt;="&amp;$B620)</f>
        <v>181</v>
      </c>
      <c r="K620" s="18" t="n">
        <f aca="false">SUMIFS($I$2:$I$1200,$A$2:$A$1200,$A620,$B$2:$B$1200,"&lt;="&amp;$B620)</f>
        <v>16</v>
      </c>
      <c r="L620" s="18" t="n">
        <f aca="false">J620-K620</f>
        <v>165</v>
      </c>
      <c r="M620" s="18" t="n">
        <f aca="false">SUMIF($A$2:$A$1200,$A620,$H$2:$H$1200)</f>
        <v>435</v>
      </c>
      <c r="N620" s="20" t="n">
        <f aca="false">IF(M620=0,"",L620/M620)</f>
        <v>0.379310344827586</v>
      </c>
      <c r="O620" s="20"/>
      <c r="P620" s="20" t="str">
        <f aca="false">IF(OR(N620="",O620=""),"",N620-O620)</f>
        <v/>
      </c>
      <c r="Q620" s="18"/>
    </row>
    <row r="621" customFormat="false" ht="15" hidden="false" customHeight="true" outlineLevel="0" collapsed="false">
      <c r="A621" s="18" t="s">
        <v>417</v>
      </c>
      <c r="B621" s="18" t="n">
        <v>9</v>
      </c>
      <c r="C621" s="18" t="s">
        <v>279</v>
      </c>
      <c r="D621" s="18" t="n">
        <v>-90</v>
      </c>
      <c r="E621" s="18" t="s">
        <v>394</v>
      </c>
      <c r="F621" s="18" t="s">
        <v>198</v>
      </c>
      <c r="G621" s="19" t="n">
        <v>38098</v>
      </c>
      <c r="H621" s="18" t="n">
        <v>53</v>
      </c>
      <c r="I621" s="18" t="n">
        <v>6</v>
      </c>
      <c r="J621" s="18" t="n">
        <f aca="false">SUMIFS($H$2:$H$1200,$A$2:$A$1200,$A621,$B$2:$B$1200,"&lt;="&amp;$B621)</f>
        <v>234</v>
      </c>
      <c r="K621" s="18" t="n">
        <f aca="false">SUMIFS($I$2:$I$1200,$A$2:$A$1200,$A621,$B$2:$B$1200,"&lt;="&amp;$B621)</f>
        <v>22</v>
      </c>
      <c r="L621" s="18" t="n">
        <f aca="false">J621-K621</f>
        <v>212</v>
      </c>
      <c r="M621" s="18" t="n">
        <f aca="false">SUMIF($A$2:$A$1200,$A621,$H$2:$H$1200)</f>
        <v>435</v>
      </c>
      <c r="N621" s="20" t="n">
        <f aca="false">IF(M621=0,"",L621/M621)</f>
        <v>0.48735632183908</v>
      </c>
      <c r="O621" s="20"/>
      <c r="P621" s="20" t="str">
        <f aca="false">IF(OR(N621="",O621=""),"",N621-O621)</f>
        <v/>
      </c>
      <c r="Q621" s="18"/>
    </row>
    <row r="622" customFormat="false" ht="15" hidden="false" customHeight="true" outlineLevel="0" collapsed="false">
      <c r="A622" s="18" t="s">
        <v>417</v>
      </c>
      <c r="B622" s="18" t="n">
        <v>10</v>
      </c>
      <c r="C622" s="18" t="s">
        <v>206</v>
      </c>
      <c r="D622" s="18" t="n">
        <v>-75</v>
      </c>
      <c r="E622" s="18" t="s">
        <v>394</v>
      </c>
      <c r="F622" s="18" t="s">
        <v>198</v>
      </c>
      <c r="G622" s="19" t="n">
        <v>38098</v>
      </c>
      <c r="H622" s="18" t="n">
        <v>61</v>
      </c>
      <c r="I622" s="18" t="n">
        <v>18</v>
      </c>
      <c r="J622" s="18" t="n">
        <f aca="false">SUMIFS($H$2:$H$1200,$A$2:$A$1200,$A622,$B$2:$B$1200,"&lt;="&amp;$B622)</f>
        <v>295</v>
      </c>
      <c r="K622" s="18" t="n">
        <f aca="false">SUMIFS($I$2:$I$1200,$A$2:$A$1200,$A622,$B$2:$B$1200,"&lt;="&amp;$B622)</f>
        <v>40</v>
      </c>
      <c r="L622" s="18" t="n">
        <f aca="false">J622-K622</f>
        <v>255</v>
      </c>
      <c r="M622" s="18" t="n">
        <f aca="false">SUMIF($A$2:$A$1200,$A622,$H$2:$H$1200)</f>
        <v>435</v>
      </c>
      <c r="N622" s="20" t="n">
        <f aca="false">IF(M622=0,"",L622/M622)</f>
        <v>0.586206896551724</v>
      </c>
      <c r="O622" s="20"/>
      <c r="P622" s="20" t="str">
        <f aca="false">IF(OR(N622="",O622=""),"",N622-O622)</f>
        <v/>
      </c>
      <c r="Q622" s="18"/>
    </row>
    <row r="623" customFormat="false" ht="15" hidden="false" customHeight="true" outlineLevel="0" collapsed="false">
      <c r="A623" s="18" t="s">
        <v>417</v>
      </c>
      <c r="B623" s="18" t="n">
        <v>11</v>
      </c>
      <c r="C623" s="18" t="s">
        <v>246</v>
      </c>
      <c r="D623" s="18" t="n">
        <v>-60</v>
      </c>
      <c r="E623" s="18" t="s">
        <v>394</v>
      </c>
      <c r="F623" s="18" t="s">
        <v>198</v>
      </c>
      <c r="G623" s="19" t="n">
        <v>38098</v>
      </c>
      <c r="H623" s="18" t="n">
        <v>27</v>
      </c>
      <c r="I623" s="18" t="n">
        <v>12</v>
      </c>
      <c r="J623" s="18" t="n">
        <f aca="false">SUMIFS($H$2:$H$1200,$A$2:$A$1200,$A623,$B$2:$B$1200,"&lt;="&amp;$B623)</f>
        <v>322</v>
      </c>
      <c r="K623" s="18" t="n">
        <f aca="false">SUMIFS($I$2:$I$1200,$A$2:$A$1200,$A623,$B$2:$B$1200,"&lt;="&amp;$B623)</f>
        <v>52</v>
      </c>
      <c r="L623" s="18" t="n">
        <f aca="false">J623-K623</f>
        <v>270</v>
      </c>
      <c r="M623" s="18" t="n">
        <f aca="false">SUMIF($A$2:$A$1200,$A623,$H$2:$H$1200)</f>
        <v>435</v>
      </c>
      <c r="N623" s="20" t="n">
        <f aca="false">IF(M623=0,"",L623/M623)</f>
        <v>0.620689655172414</v>
      </c>
      <c r="O623" s="20"/>
      <c r="P623" s="20" t="str">
        <f aca="false">IF(OR(N623="",O623=""),"",N623-O623)</f>
        <v/>
      </c>
      <c r="Q623" s="18"/>
    </row>
    <row r="624" customFormat="false" ht="15" hidden="false" customHeight="true" outlineLevel="0" collapsed="false">
      <c r="A624" s="18" t="s">
        <v>417</v>
      </c>
      <c r="B624" s="18" t="n">
        <v>12</v>
      </c>
      <c r="C624" s="18" t="s">
        <v>254</v>
      </c>
      <c r="D624" s="18" t="n">
        <v>-45</v>
      </c>
      <c r="E624" s="18" t="s">
        <v>394</v>
      </c>
      <c r="F624" s="18" t="s">
        <v>198</v>
      </c>
      <c r="G624" s="19" t="n">
        <v>38098</v>
      </c>
      <c r="H624" s="18" t="n">
        <v>27</v>
      </c>
      <c r="I624" s="18" t="n">
        <v>26</v>
      </c>
      <c r="J624" s="18" t="n">
        <f aca="false">SUMIFS($H$2:$H$1200,$A$2:$A$1200,$A624,$B$2:$B$1200,"&lt;="&amp;$B624)</f>
        <v>349</v>
      </c>
      <c r="K624" s="18" t="n">
        <f aca="false">SUMIFS($I$2:$I$1200,$A$2:$A$1200,$A624,$B$2:$B$1200,"&lt;="&amp;$B624)</f>
        <v>78</v>
      </c>
      <c r="L624" s="18" t="n">
        <f aca="false">J624-K624</f>
        <v>271</v>
      </c>
      <c r="M624" s="18" t="n">
        <f aca="false">SUMIF($A$2:$A$1200,$A624,$H$2:$H$1200)</f>
        <v>435</v>
      </c>
      <c r="N624" s="20" t="n">
        <f aca="false">IF(M624=0,"",L624/M624)</f>
        <v>0.622988505747126</v>
      </c>
      <c r="O624" s="20"/>
      <c r="P624" s="20" t="str">
        <f aca="false">IF(OR(N624="",O624=""),"",N624-O624)</f>
        <v/>
      </c>
      <c r="Q624" s="18"/>
    </row>
    <row r="625" customFormat="false" ht="15" hidden="false" customHeight="true" outlineLevel="0" collapsed="false">
      <c r="A625" s="18" t="s">
        <v>417</v>
      </c>
      <c r="B625" s="18" t="n">
        <v>13</v>
      </c>
      <c r="C625" s="18" t="s">
        <v>403</v>
      </c>
      <c r="D625" s="18" t="n">
        <v>-30</v>
      </c>
      <c r="E625" s="18" t="s">
        <v>394</v>
      </c>
      <c r="F625" s="18" t="s">
        <v>198</v>
      </c>
      <c r="G625" s="19" t="n">
        <v>38098</v>
      </c>
      <c r="H625" s="18" t="n">
        <v>21</v>
      </c>
      <c r="I625" s="18" t="n">
        <v>23</v>
      </c>
      <c r="J625" s="18" t="n">
        <f aca="false">SUMIFS($H$2:$H$1200,$A$2:$A$1200,$A625,$B$2:$B$1200,"&lt;="&amp;$B625)</f>
        <v>370</v>
      </c>
      <c r="K625" s="18" t="n">
        <f aca="false">SUMIFS($I$2:$I$1200,$A$2:$A$1200,$A625,$B$2:$B$1200,"&lt;="&amp;$B625)</f>
        <v>101</v>
      </c>
      <c r="L625" s="18" t="n">
        <f aca="false">J625-K625</f>
        <v>269</v>
      </c>
      <c r="M625" s="18" t="n">
        <f aca="false">SUMIF($A$2:$A$1200,$A625,$H$2:$H$1200)</f>
        <v>435</v>
      </c>
      <c r="N625" s="20" t="n">
        <f aca="false">IF(M625=0,"",L625/M625)</f>
        <v>0.618390804597701</v>
      </c>
      <c r="O625" s="20"/>
      <c r="P625" s="20" t="str">
        <f aca="false">IF(OR(N625="",O625=""),"",N625-O625)</f>
        <v/>
      </c>
      <c r="Q625" s="18"/>
    </row>
    <row r="626" customFormat="false" ht="15" hidden="false" customHeight="true" outlineLevel="0" collapsed="false">
      <c r="A626" s="18" t="s">
        <v>417</v>
      </c>
      <c r="B626" s="18" t="n">
        <v>14</v>
      </c>
      <c r="C626" s="18" t="s">
        <v>529</v>
      </c>
      <c r="D626" s="18" t="n">
        <v>-15</v>
      </c>
      <c r="E626" s="18" t="s">
        <v>394</v>
      </c>
      <c r="F626" s="18" t="s">
        <v>198</v>
      </c>
      <c r="G626" s="19" t="n">
        <v>38098</v>
      </c>
      <c r="H626" s="18" t="n">
        <v>14</v>
      </c>
      <c r="I626" s="18" t="n">
        <v>38</v>
      </c>
      <c r="J626" s="18" t="n">
        <f aca="false">SUMIFS($H$2:$H$1200,$A$2:$A$1200,$A626,$B$2:$B$1200,"&lt;="&amp;$B626)</f>
        <v>384</v>
      </c>
      <c r="K626" s="18" t="n">
        <f aca="false">SUMIFS($I$2:$I$1200,$A$2:$A$1200,$A626,$B$2:$B$1200,"&lt;="&amp;$B626)</f>
        <v>139</v>
      </c>
      <c r="L626" s="18" t="n">
        <f aca="false">J626-K626</f>
        <v>245</v>
      </c>
      <c r="M626" s="18" t="n">
        <f aca="false">SUMIF($A$2:$A$1200,$A626,$H$2:$H$1200)</f>
        <v>435</v>
      </c>
      <c r="N626" s="20" t="n">
        <f aca="false">IF(M626=0,"",L626/M626)</f>
        <v>0.563218390804598</v>
      </c>
      <c r="O626" s="20"/>
      <c r="P626" s="20" t="str">
        <f aca="false">IF(OR(N626="",O626=""),"",N626-O626)</f>
        <v/>
      </c>
      <c r="Q626" s="18"/>
    </row>
    <row r="627" customFormat="false" ht="15" hidden="false" customHeight="true" outlineLevel="0" collapsed="false">
      <c r="A627" s="18" t="s">
        <v>417</v>
      </c>
      <c r="B627" s="18" t="n">
        <v>15</v>
      </c>
      <c r="C627" s="18" t="s">
        <v>463</v>
      </c>
      <c r="D627" s="18" t="n">
        <v>0</v>
      </c>
      <c r="E627" s="18" t="s">
        <v>394</v>
      </c>
      <c r="F627" s="18" t="s">
        <v>198</v>
      </c>
      <c r="G627" s="19" t="n">
        <v>38098</v>
      </c>
      <c r="H627" s="18" t="n">
        <v>7</v>
      </c>
      <c r="I627" s="18" t="n">
        <v>47</v>
      </c>
      <c r="J627" s="18" t="n">
        <f aca="false">SUMIFS($H$2:$H$1200,$A$2:$A$1200,$A627,$B$2:$B$1200,"&lt;="&amp;$B627)</f>
        <v>391</v>
      </c>
      <c r="K627" s="18" t="n">
        <f aca="false">SUMIFS($I$2:$I$1200,$A$2:$A$1200,$A627,$B$2:$B$1200,"&lt;="&amp;$B627)</f>
        <v>186</v>
      </c>
      <c r="L627" s="18" t="n">
        <f aca="false">J627-K627</f>
        <v>205</v>
      </c>
      <c r="M627" s="18" t="n">
        <f aca="false">SUMIF($A$2:$A$1200,$A627,$H$2:$H$1200)</f>
        <v>435</v>
      </c>
      <c r="N627" s="20" t="n">
        <f aca="false">IF(M627=0,"",L627/M627)</f>
        <v>0.471264367816092</v>
      </c>
      <c r="O627" s="20"/>
      <c r="P627" s="20" t="str">
        <f aca="false">IF(OR(N627="",O627=""),"",N627-O627)</f>
        <v/>
      </c>
      <c r="Q627" s="18"/>
    </row>
    <row r="628" customFormat="false" ht="15" hidden="false" customHeight="true" outlineLevel="0" collapsed="false">
      <c r="A628" s="18" t="s">
        <v>417</v>
      </c>
      <c r="B628" s="18" t="n">
        <v>16</v>
      </c>
      <c r="C628" s="18" t="s">
        <v>366</v>
      </c>
      <c r="D628" s="18" t="n">
        <v>15</v>
      </c>
      <c r="E628" s="18" t="s">
        <v>394</v>
      </c>
      <c r="F628" s="18" t="s">
        <v>198</v>
      </c>
      <c r="G628" s="19" t="n">
        <v>38098</v>
      </c>
      <c r="H628" s="18" t="n">
        <v>11</v>
      </c>
      <c r="I628" s="18" t="n">
        <v>46</v>
      </c>
      <c r="J628" s="18" t="n">
        <f aca="false">SUMIFS($H$2:$H$1200,$A$2:$A$1200,$A628,$B$2:$B$1200,"&lt;="&amp;$B628)</f>
        <v>402</v>
      </c>
      <c r="K628" s="18" t="n">
        <f aca="false">SUMIFS($I$2:$I$1200,$A$2:$A$1200,$A628,$B$2:$B$1200,"&lt;="&amp;$B628)</f>
        <v>232</v>
      </c>
      <c r="L628" s="18" t="n">
        <f aca="false">J628-K628</f>
        <v>170</v>
      </c>
      <c r="M628" s="18" t="n">
        <f aca="false">SUMIF($A$2:$A$1200,$A628,$H$2:$H$1200)</f>
        <v>435</v>
      </c>
      <c r="N628" s="20" t="n">
        <f aca="false">IF(M628=0,"",L628/M628)</f>
        <v>0.390804597701149</v>
      </c>
      <c r="O628" s="20"/>
      <c r="P628" s="20" t="str">
        <f aca="false">IF(OR(N628="",O628=""),"",N628-O628)</f>
        <v/>
      </c>
      <c r="Q628" s="18"/>
    </row>
    <row r="629" customFormat="false" ht="15" hidden="false" customHeight="true" outlineLevel="0" collapsed="false">
      <c r="A629" s="18" t="s">
        <v>417</v>
      </c>
      <c r="B629" s="18" t="n">
        <v>17</v>
      </c>
      <c r="C629" s="18" t="s">
        <v>326</v>
      </c>
      <c r="D629" s="18" t="n">
        <v>30</v>
      </c>
      <c r="E629" s="18" t="s">
        <v>394</v>
      </c>
      <c r="F629" s="18" t="s">
        <v>198</v>
      </c>
      <c r="G629" s="19" t="n">
        <v>38098</v>
      </c>
      <c r="H629" s="18" t="n">
        <v>6</v>
      </c>
      <c r="I629" s="18" t="n">
        <v>39</v>
      </c>
      <c r="J629" s="18" t="n">
        <f aca="false">SUMIFS($H$2:$H$1200,$A$2:$A$1200,$A629,$B$2:$B$1200,"&lt;="&amp;$B629)</f>
        <v>408</v>
      </c>
      <c r="K629" s="18" t="n">
        <f aca="false">SUMIFS($I$2:$I$1200,$A$2:$A$1200,$A629,$B$2:$B$1200,"&lt;="&amp;$B629)</f>
        <v>271</v>
      </c>
      <c r="L629" s="18" t="n">
        <f aca="false">J629-K629</f>
        <v>137</v>
      </c>
      <c r="M629" s="18" t="n">
        <f aca="false">SUMIF($A$2:$A$1200,$A629,$H$2:$H$1200)</f>
        <v>435</v>
      </c>
      <c r="N629" s="20" t="n">
        <f aca="false">IF(M629=0,"",L629/M629)</f>
        <v>0.314942528735632</v>
      </c>
      <c r="O629" s="20"/>
      <c r="P629" s="20" t="str">
        <f aca="false">IF(OR(N629="",O629=""),"",N629-O629)</f>
        <v/>
      </c>
      <c r="Q629" s="18"/>
    </row>
    <row r="630" customFormat="false" ht="15" hidden="false" customHeight="true" outlineLevel="0" collapsed="false">
      <c r="A630" s="18" t="s">
        <v>417</v>
      </c>
      <c r="B630" s="18" t="n">
        <v>18</v>
      </c>
      <c r="C630" s="18" t="s">
        <v>226</v>
      </c>
      <c r="D630" s="18" t="n">
        <v>45</v>
      </c>
      <c r="E630" s="18" t="s">
        <v>394</v>
      </c>
      <c r="F630" s="18" t="s">
        <v>198</v>
      </c>
      <c r="G630" s="19" t="n">
        <v>38098</v>
      </c>
      <c r="H630" s="18" t="n">
        <v>9</v>
      </c>
      <c r="I630" s="18" t="n">
        <v>40</v>
      </c>
      <c r="J630" s="18" t="n">
        <f aca="false">SUMIFS($H$2:$H$1200,$A$2:$A$1200,$A630,$B$2:$B$1200,"&lt;="&amp;$B630)</f>
        <v>417</v>
      </c>
      <c r="K630" s="18" t="n">
        <f aca="false">SUMIFS($I$2:$I$1200,$A$2:$A$1200,$A630,$B$2:$B$1200,"&lt;="&amp;$B630)</f>
        <v>311</v>
      </c>
      <c r="L630" s="18" t="n">
        <f aca="false">J630-K630</f>
        <v>106</v>
      </c>
      <c r="M630" s="18" t="n">
        <f aca="false">SUMIF($A$2:$A$1200,$A630,$H$2:$H$1200)</f>
        <v>435</v>
      </c>
      <c r="N630" s="20" t="n">
        <f aca="false">IF(M630=0,"",L630/M630)</f>
        <v>0.24367816091954</v>
      </c>
      <c r="O630" s="20"/>
      <c r="P630" s="20" t="str">
        <f aca="false">IF(OR(N630="",O630=""),"",N630-O630)</f>
        <v/>
      </c>
      <c r="Q630" s="18"/>
    </row>
    <row r="631" customFormat="false" ht="15" hidden="false" customHeight="true" outlineLevel="0" collapsed="false">
      <c r="A631" s="18" t="s">
        <v>417</v>
      </c>
      <c r="B631" s="18" t="n">
        <v>19</v>
      </c>
      <c r="C631" s="18" t="s">
        <v>205</v>
      </c>
      <c r="D631" s="18" t="n">
        <v>60</v>
      </c>
      <c r="E631" s="18" t="s">
        <v>394</v>
      </c>
      <c r="F631" s="18" t="s">
        <v>198</v>
      </c>
      <c r="G631" s="19" t="n">
        <v>38098</v>
      </c>
      <c r="H631" s="18" t="n">
        <v>3</v>
      </c>
      <c r="I631" s="18" t="n">
        <v>32</v>
      </c>
      <c r="J631" s="18" t="n">
        <f aca="false">SUMIFS($H$2:$H$1200,$A$2:$A$1200,$A631,$B$2:$B$1200,"&lt;="&amp;$B631)</f>
        <v>420</v>
      </c>
      <c r="K631" s="18" t="n">
        <f aca="false">SUMIFS($I$2:$I$1200,$A$2:$A$1200,$A631,$B$2:$B$1200,"&lt;="&amp;$B631)</f>
        <v>343</v>
      </c>
      <c r="L631" s="18" t="n">
        <f aca="false">J631-K631</f>
        <v>77</v>
      </c>
      <c r="M631" s="18" t="n">
        <f aca="false">SUMIF($A$2:$A$1200,$A631,$H$2:$H$1200)</f>
        <v>435</v>
      </c>
      <c r="N631" s="20" t="n">
        <f aca="false">IF(M631=0,"",L631/M631)</f>
        <v>0.177011494252874</v>
      </c>
      <c r="O631" s="20"/>
      <c r="P631" s="20" t="str">
        <f aca="false">IF(OR(N631="",O631=""),"",N631-O631)</f>
        <v/>
      </c>
      <c r="Q631" s="18"/>
    </row>
    <row r="632" customFormat="false" ht="15" hidden="false" customHeight="true" outlineLevel="0" collapsed="false">
      <c r="A632" s="18" t="s">
        <v>417</v>
      </c>
      <c r="B632" s="18" t="n">
        <v>20</v>
      </c>
      <c r="C632" s="18" t="s">
        <v>532</v>
      </c>
      <c r="D632" s="18" t="n">
        <v>75</v>
      </c>
      <c r="E632" s="18" t="s">
        <v>394</v>
      </c>
      <c r="F632" s="18" t="s">
        <v>198</v>
      </c>
      <c r="G632" s="19" t="n">
        <v>38098</v>
      </c>
      <c r="H632" s="18" t="n">
        <v>5</v>
      </c>
      <c r="I632" s="18" t="n">
        <v>23</v>
      </c>
      <c r="J632" s="18" t="n">
        <f aca="false">SUMIFS($H$2:$H$1200,$A$2:$A$1200,$A632,$B$2:$B$1200,"&lt;="&amp;$B632)</f>
        <v>425</v>
      </c>
      <c r="K632" s="18" t="n">
        <f aca="false">SUMIFS($I$2:$I$1200,$A$2:$A$1200,$A632,$B$2:$B$1200,"&lt;="&amp;$B632)</f>
        <v>366</v>
      </c>
      <c r="L632" s="18" t="n">
        <f aca="false">J632-K632</f>
        <v>59</v>
      </c>
      <c r="M632" s="18" t="n">
        <f aca="false">SUMIF($A$2:$A$1200,$A632,$H$2:$H$1200)</f>
        <v>435</v>
      </c>
      <c r="N632" s="20" t="n">
        <f aca="false">IF(M632=0,"",L632/M632)</f>
        <v>0.135632183908046</v>
      </c>
      <c r="O632" s="20"/>
      <c r="P632" s="20" t="str">
        <f aca="false">IF(OR(N632="",O632=""),"",N632-O632)</f>
        <v/>
      </c>
      <c r="Q632" s="18"/>
    </row>
    <row r="633" customFormat="false" ht="15" hidden="false" customHeight="true" outlineLevel="0" collapsed="false">
      <c r="A633" s="18" t="s">
        <v>417</v>
      </c>
      <c r="B633" s="18" t="n">
        <v>21</v>
      </c>
      <c r="C633" s="18" t="s">
        <v>265</v>
      </c>
      <c r="D633" s="18" t="n">
        <v>90</v>
      </c>
      <c r="E633" s="18" t="s">
        <v>394</v>
      </c>
      <c r="F633" s="18" t="s">
        <v>198</v>
      </c>
      <c r="G633" s="19" t="n">
        <v>38098</v>
      </c>
      <c r="H633" s="18" t="n">
        <v>6</v>
      </c>
      <c r="I633" s="18" t="n">
        <v>31</v>
      </c>
      <c r="J633" s="18" t="n">
        <f aca="false">SUMIFS($H$2:$H$1200,$A$2:$A$1200,$A633,$B$2:$B$1200,"&lt;="&amp;$B633)</f>
        <v>431</v>
      </c>
      <c r="K633" s="18" t="n">
        <f aca="false">SUMIFS($I$2:$I$1200,$A$2:$A$1200,$A633,$B$2:$B$1200,"&lt;="&amp;$B633)</f>
        <v>397</v>
      </c>
      <c r="L633" s="18" t="n">
        <f aca="false">J633-K633</f>
        <v>34</v>
      </c>
      <c r="M633" s="18" t="n">
        <f aca="false">SUMIF($A$2:$A$1200,$A633,$H$2:$H$1200)</f>
        <v>435</v>
      </c>
      <c r="N633" s="20" t="n">
        <f aca="false">IF(M633=0,"",L633/M633)</f>
        <v>0.0781609195402299</v>
      </c>
      <c r="O633" s="20"/>
      <c r="P633" s="20" t="str">
        <f aca="false">IF(OR(N633="",O633=""),"",N633-O633)</f>
        <v/>
      </c>
      <c r="Q633" s="18"/>
    </row>
    <row r="634" customFormat="false" ht="15" hidden="false" customHeight="true" outlineLevel="0" collapsed="false">
      <c r="A634" s="18" t="s">
        <v>417</v>
      </c>
      <c r="B634" s="18" t="n">
        <v>22</v>
      </c>
      <c r="C634" s="18" t="s">
        <v>419</v>
      </c>
      <c r="D634" s="18" t="n">
        <v>105</v>
      </c>
      <c r="E634" s="18" t="s">
        <v>394</v>
      </c>
      <c r="F634" s="18" t="s">
        <v>198</v>
      </c>
      <c r="G634" s="19" t="n">
        <v>38098</v>
      </c>
      <c r="H634" s="18" t="n">
        <v>4</v>
      </c>
      <c r="I634" s="18" t="n">
        <v>16</v>
      </c>
      <c r="J634" s="18" t="n">
        <f aca="false">SUMIFS($H$2:$H$1200,$A$2:$A$1200,$A634,$B$2:$B$1200,"&lt;="&amp;$B634)</f>
        <v>435</v>
      </c>
      <c r="K634" s="18" t="n">
        <f aca="false">SUMIFS($I$2:$I$1200,$A$2:$A$1200,$A634,$B$2:$B$1200,"&lt;="&amp;$B634)</f>
        <v>413</v>
      </c>
      <c r="L634" s="18" t="n">
        <f aca="false">J634-K634</f>
        <v>22</v>
      </c>
      <c r="M634" s="18" t="n">
        <f aca="false">SUMIF($A$2:$A$1200,$A634,$H$2:$H$1200)</f>
        <v>435</v>
      </c>
      <c r="N634" s="20" t="n">
        <f aca="false">IF(M634=0,"",L634/M634)</f>
        <v>0.0505747126436782</v>
      </c>
      <c r="O634" s="20"/>
      <c r="P634" s="20" t="str">
        <f aca="false">IF(OR(N634="",O634=""),"",N634-O634)</f>
        <v/>
      </c>
      <c r="Q634" s="18"/>
    </row>
    <row r="635" customFormat="false" ht="15" hidden="false" customHeight="true" outlineLevel="0" collapsed="false">
      <c r="A635" s="18" t="s">
        <v>423</v>
      </c>
      <c r="B635" s="18" t="n">
        <v>0</v>
      </c>
      <c r="C635" s="18" t="s">
        <v>204</v>
      </c>
      <c r="D635" s="18"/>
      <c r="E635" s="18" t="s">
        <v>394</v>
      </c>
      <c r="F635" s="18" t="s">
        <v>198</v>
      </c>
      <c r="G635" s="19" t="n">
        <v>38098</v>
      </c>
      <c r="H635" s="18" t="n">
        <v>0</v>
      </c>
      <c r="I635" s="18" t="n">
        <v>0</v>
      </c>
      <c r="J635" s="18" t="n">
        <f aca="false">SUMIFS($H$2:$H$1200,$A$2:$A$1200,$A635,$B$2:$B$1200,"&lt;="&amp;$B635)</f>
        <v>0</v>
      </c>
      <c r="K635" s="18" t="n">
        <f aca="false">SUMIFS($I$2:$I$1200,$A$2:$A$1200,$A635,$B$2:$B$1200,"&lt;="&amp;$B635)</f>
        <v>0</v>
      </c>
      <c r="L635" s="18" t="n">
        <f aca="false">J635-K635</f>
        <v>0</v>
      </c>
      <c r="M635" s="18" t="n">
        <f aca="false">SUMIF($A$2:$A$1200,$A635,$H$2:$H$1200)</f>
        <v>435</v>
      </c>
      <c r="N635" s="20" t="n">
        <f aca="false">IF(M635=0,"",L635/M635)</f>
        <v>0</v>
      </c>
      <c r="O635" s="20" t="n">
        <v>0</v>
      </c>
      <c r="P635" s="20" t="n">
        <f aca="false">IF(OR(N635="",O635=""),"",N635-O635)</f>
        <v>0</v>
      </c>
      <c r="Q635" s="18"/>
    </row>
    <row r="636" customFormat="false" ht="15" hidden="false" customHeight="true" outlineLevel="0" collapsed="false">
      <c r="A636" s="18" t="s">
        <v>423</v>
      </c>
      <c r="B636" s="18" t="n">
        <v>3</v>
      </c>
      <c r="C636" s="18" t="s">
        <v>525</v>
      </c>
      <c r="D636" s="18" t="n">
        <v>-180</v>
      </c>
      <c r="E636" s="18" t="s">
        <v>394</v>
      </c>
      <c r="F636" s="18" t="s">
        <v>198</v>
      </c>
      <c r="G636" s="19" t="n">
        <v>38098</v>
      </c>
      <c r="H636" s="18" t="n">
        <v>5</v>
      </c>
      <c r="I636" s="18" t="n">
        <v>1</v>
      </c>
      <c r="J636" s="18" t="n">
        <f aca="false">SUMIFS($H$2:$H$1200,$A$2:$A$1200,$A636,$B$2:$B$1200,"&lt;="&amp;$B636)</f>
        <v>5</v>
      </c>
      <c r="K636" s="18" t="n">
        <f aca="false">SUMIFS($I$2:$I$1200,$A$2:$A$1200,$A636,$B$2:$B$1200,"&lt;="&amp;$B636)</f>
        <v>1</v>
      </c>
      <c r="L636" s="18" t="n">
        <f aca="false">J636-K636</f>
        <v>4</v>
      </c>
      <c r="M636" s="18" t="n">
        <f aca="false">SUMIF($A$2:$A$1200,$A636,$H$2:$H$1200)</f>
        <v>435</v>
      </c>
      <c r="N636" s="20" t="n">
        <f aca="false">IF(M636=0,"",L636/M636)</f>
        <v>0.00919540229885058</v>
      </c>
      <c r="O636" s="20" t="n">
        <v>0.00919540229885058</v>
      </c>
      <c r="P636" s="20" t="n">
        <f aca="false">IF(OR(N636="",O636=""),"",N636-O636)</f>
        <v>0</v>
      </c>
      <c r="Q636" s="18"/>
    </row>
    <row r="637" customFormat="false" ht="15" hidden="false" customHeight="true" outlineLevel="0" collapsed="false">
      <c r="A637" s="18" t="s">
        <v>423</v>
      </c>
      <c r="B637" s="18" t="n">
        <v>4</v>
      </c>
      <c r="C637" s="18" t="s">
        <v>526</v>
      </c>
      <c r="D637" s="18" t="n">
        <v>-165</v>
      </c>
      <c r="E637" s="18" t="s">
        <v>394</v>
      </c>
      <c r="F637" s="18" t="s">
        <v>198</v>
      </c>
      <c r="G637" s="19" t="n">
        <v>38098</v>
      </c>
      <c r="H637" s="18" t="n">
        <v>10</v>
      </c>
      <c r="I637" s="18" t="n">
        <v>0</v>
      </c>
      <c r="J637" s="18" t="n">
        <f aca="false">SUMIFS($H$2:$H$1200,$A$2:$A$1200,$A637,$B$2:$B$1200,"&lt;="&amp;$B637)</f>
        <v>15</v>
      </c>
      <c r="K637" s="18" t="n">
        <f aca="false">SUMIFS($I$2:$I$1200,$A$2:$A$1200,$A637,$B$2:$B$1200,"&lt;="&amp;$B637)</f>
        <v>1</v>
      </c>
      <c r="L637" s="18" t="n">
        <f aca="false">J637-K637</f>
        <v>14</v>
      </c>
      <c r="M637" s="18" t="n">
        <f aca="false">SUMIF($A$2:$A$1200,$A637,$H$2:$H$1200)</f>
        <v>435</v>
      </c>
      <c r="N637" s="20" t="n">
        <f aca="false">IF(M637=0,"",L637/M637)</f>
        <v>0.032183908045977</v>
      </c>
      <c r="O637" s="20" t="n">
        <v>0.032183908045977</v>
      </c>
      <c r="P637" s="20" t="n">
        <f aca="false">IF(OR(N637="",O637=""),"",N637-O637)</f>
        <v>0</v>
      </c>
      <c r="Q637" s="18"/>
    </row>
    <row r="638" customFormat="false" ht="15" hidden="false" customHeight="true" outlineLevel="0" collapsed="false">
      <c r="A638" s="18" t="s">
        <v>423</v>
      </c>
      <c r="B638" s="18" t="n">
        <v>5</v>
      </c>
      <c r="C638" s="18" t="s">
        <v>527</v>
      </c>
      <c r="D638" s="18" t="n">
        <v>-150</v>
      </c>
      <c r="E638" s="18" t="s">
        <v>394</v>
      </c>
      <c r="F638" s="18" t="s">
        <v>198</v>
      </c>
      <c r="G638" s="19" t="n">
        <v>38098</v>
      </c>
      <c r="H638" s="18" t="n">
        <v>20</v>
      </c>
      <c r="I638" s="18" t="n">
        <v>4</v>
      </c>
      <c r="J638" s="18" t="n">
        <f aca="false">SUMIFS($H$2:$H$1200,$A$2:$A$1200,$A638,$B$2:$B$1200,"&lt;="&amp;$B638)</f>
        <v>35</v>
      </c>
      <c r="K638" s="18" t="n">
        <f aca="false">SUMIFS($I$2:$I$1200,$A$2:$A$1200,$A638,$B$2:$B$1200,"&lt;="&amp;$B638)</f>
        <v>5</v>
      </c>
      <c r="L638" s="18" t="n">
        <f aca="false">J638-K638</f>
        <v>30</v>
      </c>
      <c r="M638" s="18" t="n">
        <f aca="false">SUMIF($A$2:$A$1200,$A638,$H$2:$H$1200)</f>
        <v>435</v>
      </c>
      <c r="N638" s="20" t="n">
        <f aca="false">IF(M638=0,"",L638/M638)</f>
        <v>0.0689655172413793</v>
      </c>
      <c r="O638" s="20" t="n">
        <v>0.0689655172413793</v>
      </c>
      <c r="P638" s="20" t="n">
        <f aca="false">IF(OR(N638="",O638=""),"",N638-O638)</f>
        <v>0</v>
      </c>
      <c r="Q638" s="18"/>
    </row>
    <row r="639" customFormat="false" ht="15" hidden="false" customHeight="true" outlineLevel="0" collapsed="false">
      <c r="A639" s="18" t="s">
        <v>423</v>
      </c>
      <c r="B639" s="18" t="n">
        <v>6</v>
      </c>
      <c r="C639" s="18" t="s">
        <v>528</v>
      </c>
      <c r="D639" s="18" t="n">
        <v>-135</v>
      </c>
      <c r="E639" s="18" t="s">
        <v>394</v>
      </c>
      <c r="F639" s="18" t="s">
        <v>198</v>
      </c>
      <c r="G639" s="19" t="n">
        <v>38098</v>
      </c>
      <c r="H639" s="18" t="n">
        <v>23</v>
      </c>
      <c r="I639" s="18" t="n">
        <v>5</v>
      </c>
      <c r="J639" s="18" t="n">
        <f aca="false">SUMIFS($H$2:$H$1200,$A$2:$A$1200,$A639,$B$2:$B$1200,"&lt;="&amp;$B639)</f>
        <v>58</v>
      </c>
      <c r="K639" s="18" t="n">
        <f aca="false">SUMIFS($I$2:$I$1200,$A$2:$A$1200,$A639,$B$2:$B$1200,"&lt;="&amp;$B639)</f>
        <v>10</v>
      </c>
      <c r="L639" s="18" t="n">
        <f aca="false">J639-K639</f>
        <v>48</v>
      </c>
      <c r="M639" s="18" t="n">
        <f aca="false">SUMIF($A$2:$A$1200,$A639,$H$2:$H$1200)</f>
        <v>435</v>
      </c>
      <c r="N639" s="20" t="n">
        <f aca="false">IF(M639=0,"",L639/M639)</f>
        <v>0.110344827586207</v>
      </c>
      <c r="O639" s="20" t="n">
        <v>0.110344827586207</v>
      </c>
      <c r="P639" s="20" t="n">
        <f aca="false">IF(OR(N639="",O639=""),"",N639-O639)</f>
        <v>0</v>
      </c>
      <c r="Q639" s="18"/>
    </row>
    <row r="640" customFormat="false" ht="15" hidden="false" customHeight="true" outlineLevel="0" collapsed="false">
      <c r="A640" s="18" t="s">
        <v>423</v>
      </c>
      <c r="B640" s="18" t="n">
        <v>7</v>
      </c>
      <c r="C640" s="18" t="s">
        <v>227</v>
      </c>
      <c r="D640" s="18" t="n">
        <v>-120</v>
      </c>
      <c r="E640" s="18" t="s">
        <v>394</v>
      </c>
      <c r="F640" s="18" t="s">
        <v>198</v>
      </c>
      <c r="G640" s="19" t="n">
        <v>38098</v>
      </c>
      <c r="H640" s="18" t="n">
        <v>54</v>
      </c>
      <c r="I640" s="18" t="n">
        <v>2</v>
      </c>
      <c r="J640" s="18" t="n">
        <f aca="false">SUMIFS($H$2:$H$1200,$A$2:$A$1200,$A640,$B$2:$B$1200,"&lt;="&amp;$B640)</f>
        <v>112</v>
      </c>
      <c r="K640" s="18" t="n">
        <f aca="false">SUMIFS($I$2:$I$1200,$A$2:$A$1200,$A640,$B$2:$B$1200,"&lt;="&amp;$B640)</f>
        <v>12</v>
      </c>
      <c r="L640" s="18" t="n">
        <f aca="false">J640-K640</f>
        <v>100</v>
      </c>
      <c r="M640" s="18" t="n">
        <f aca="false">SUMIF($A$2:$A$1200,$A640,$H$2:$H$1200)</f>
        <v>435</v>
      </c>
      <c r="N640" s="20" t="n">
        <f aca="false">IF(M640=0,"",L640/M640)</f>
        <v>0.229885057471264</v>
      </c>
      <c r="O640" s="20" t="n">
        <v>0.229885057471264</v>
      </c>
      <c r="P640" s="20" t="n">
        <f aca="false">IF(OR(N640="",O640=""),"",N640-O640)</f>
        <v>0</v>
      </c>
      <c r="Q640" s="18"/>
    </row>
    <row r="641" customFormat="false" ht="15" hidden="false" customHeight="true" outlineLevel="0" collapsed="false">
      <c r="A641" s="18" t="s">
        <v>423</v>
      </c>
      <c r="B641" s="18" t="n">
        <v>8</v>
      </c>
      <c r="C641" s="18" t="s">
        <v>241</v>
      </c>
      <c r="D641" s="18" t="n">
        <v>-105</v>
      </c>
      <c r="E641" s="18" t="s">
        <v>394</v>
      </c>
      <c r="F641" s="18" t="s">
        <v>198</v>
      </c>
      <c r="G641" s="19" t="n">
        <v>38098</v>
      </c>
      <c r="H641" s="18" t="n">
        <v>69</v>
      </c>
      <c r="I641" s="18" t="n">
        <v>4</v>
      </c>
      <c r="J641" s="18" t="n">
        <f aca="false">SUMIFS($H$2:$H$1200,$A$2:$A$1200,$A641,$B$2:$B$1200,"&lt;="&amp;$B641)</f>
        <v>181</v>
      </c>
      <c r="K641" s="18" t="n">
        <f aca="false">SUMIFS($I$2:$I$1200,$A$2:$A$1200,$A641,$B$2:$B$1200,"&lt;="&amp;$B641)</f>
        <v>16</v>
      </c>
      <c r="L641" s="18" t="n">
        <f aca="false">J641-K641</f>
        <v>165</v>
      </c>
      <c r="M641" s="18" t="n">
        <f aca="false">SUMIF($A$2:$A$1200,$A641,$H$2:$H$1200)</f>
        <v>435</v>
      </c>
      <c r="N641" s="20" t="n">
        <f aca="false">IF(M641=0,"",L641/M641)</f>
        <v>0.379310344827586</v>
      </c>
      <c r="O641" s="20" t="n">
        <v>0.379310344827586</v>
      </c>
      <c r="P641" s="20" t="n">
        <f aca="false">IF(OR(N641="",O641=""),"",N641-O641)</f>
        <v>0</v>
      </c>
      <c r="Q641" s="18"/>
    </row>
    <row r="642" customFormat="false" ht="15" hidden="false" customHeight="true" outlineLevel="0" collapsed="false">
      <c r="A642" s="18" t="s">
        <v>423</v>
      </c>
      <c r="B642" s="18" t="n">
        <v>9</v>
      </c>
      <c r="C642" s="18" t="s">
        <v>279</v>
      </c>
      <c r="D642" s="18" t="n">
        <v>-90</v>
      </c>
      <c r="E642" s="18" t="s">
        <v>394</v>
      </c>
      <c r="F642" s="18" t="s">
        <v>198</v>
      </c>
      <c r="G642" s="19" t="n">
        <v>38098</v>
      </c>
      <c r="H642" s="18" t="n">
        <v>53</v>
      </c>
      <c r="I642" s="18" t="n">
        <v>6</v>
      </c>
      <c r="J642" s="18" t="n">
        <f aca="false">SUMIFS($H$2:$H$1200,$A$2:$A$1200,$A642,$B$2:$B$1200,"&lt;="&amp;$B642)</f>
        <v>234</v>
      </c>
      <c r="K642" s="18" t="n">
        <f aca="false">SUMIFS($I$2:$I$1200,$A$2:$A$1200,$A642,$B$2:$B$1200,"&lt;="&amp;$B642)</f>
        <v>22</v>
      </c>
      <c r="L642" s="18" t="n">
        <f aca="false">J642-K642</f>
        <v>212</v>
      </c>
      <c r="M642" s="18" t="n">
        <f aca="false">SUMIF($A$2:$A$1200,$A642,$H$2:$H$1200)</f>
        <v>435</v>
      </c>
      <c r="N642" s="20" t="n">
        <f aca="false">IF(M642=0,"",L642/M642)</f>
        <v>0.48735632183908</v>
      </c>
      <c r="O642" s="20" t="n">
        <v>0.487356321839081</v>
      </c>
      <c r="P642" s="20" t="n">
        <f aca="false">IF(OR(N642="",O642=""),"",N642-O642)</f>
        <v>0</v>
      </c>
      <c r="Q642" s="18"/>
    </row>
    <row r="643" customFormat="false" ht="15" hidden="false" customHeight="true" outlineLevel="0" collapsed="false">
      <c r="A643" s="18" t="s">
        <v>423</v>
      </c>
      <c r="B643" s="18" t="n">
        <v>10</v>
      </c>
      <c r="C643" s="18" t="s">
        <v>206</v>
      </c>
      <c r="D643" s="18" t="n">
        <v>-75</v>
      </c>
      <c r="E643" s="18" t="s">
        <v>394</v>
      </c>
      <c r="F643" s="18" t="s">
        <v>198</v>
      </c>
      <c r="G643" s="19" t="n">
        <v>38098</v>
      </c>
      <c r="H643" s="18" t="n">
        <v>61</v>
      </c>
      <c r="I643" s="18" t="n">
        <v>18</v>
      </c>
      <c r="J643" s="18" t="n">
        <f aca="false">SUMIFS($H$2:$H$1200,$A$2:$A$1200,$A643,$B$2:$B$1200,"&lt;="&amp;$B643)</f>
        <v>295</v>
      </c>
      <c r="K643" s="18" t="n">
        <f aca="false">SUMIFS($I$2:$I$1200,$A$2:$A$1200,$A643,$B$2:$B$1200,"&lt;="&amp;$B643)</f>
        <v>40</v>
      </c>
      <c r="L643" s="18" t="n">
        <f aca="false">J643-K643</f>
        <v>255</v>
      </c>
      <c r="M643" s="18" t="n">
        <f aca="false">SUMIF($A$2:$A$1200,$A643,$H$2:$H$1200)</f>
        <v>435</v>
      </c>
      <c r="N643" s="20" t="n">
        <f aca="false">IF(M643=0,"",L643/M643)</f>
        <v>0.586206896551724</v>
      </c>
      <c r="O643" s="20" t="n">
        <v>0.586206896551724</v>
      </c>
      <c r="P643" s="20" t="n">
        <f aca="false">IF(OR(N643="",O643=""),"",N643-O643)</f>
        <v>0</v>
      </c>
      <c r="Q643" s="18"/>
    </row>
    <row r="644" customFormat="false" ht="15" hidden="false" customHeight="true" outlineLevel="0" collapsed="false">
      <c r="A644" s="18" t="s">
        <v>423</v>
      </c>
      <c r="B644" s="18" t="n">
        <v>11</v>
      </c>
      <c r="C644" s="18" t="s">
        <v>246</v>
      </c>
      <c r="D644" s="18" t="n">
        <v>-60</v>
      </c>
      <c r="E644" s="18" t="s">
        <v>394</v>
      </c>
      <c r="F644" s="18" t="s">
        <v>198</v>
      </c>
      <c r="G644" s="19" t="n">
        <v>38098</v>
      </c>
      <c r="H644" s="18" t="n">
        <v>27</v>
      </c>
      <c r="I644" s="18" t="n">
        <v>12</v>
      </c>
      <c r="J644" s="18" t="n">
        <f aca="false">SUMIFS($H$2:$H$1200,$A$2:$A$1200,$A644,$B$2:$B$1200,"&lt;="&amp;$B644)</f>
        <v>322</v>
      </c>
      <c r="K644" s="18" t="n">
        <f aca="false">SUMIFS($I$2:$I$1200,$A$2:$A$1200,$A644,$B$2:$B$1200,"&lt;="&amp;$B644)</f>
        <v>52</v>
      </c>
      <c r="L644" s="18" t="n">
        <f aca="false">J644-K644</f>
        <v>270</v>
      </c>
      <c r="M644" s="18" t="n">
        <f aca="false">SUMIF($A$2:$A$1200,$A644,$H$2:$H$1200)</f>
        <v>435</v>
      </c>
      <c r="N644" s="20" t="n">
        <f aca="false">IF(M644=0,"",L644/M644)</f>
        <v>0.620689655172414</v>
      </c>
      <c r="O644" s="20" t="n">
        <v>0.620689655172414</v>
      </c>
      <c r="P644" s="20" t="n">
        <f aca="false">IF(OR(N644="",O644=""),"",N644-O644)</f>
        <v>0</v>
      </c>
      <c r="Q644" s="18"/>
    </row>
    <row r="645" customFormat="false" ht="15" hidden="false" customHeight="true" outlineLevel="0" collapsed="false">
      <c r="A645" s="18" t="s">
        <v>423</v>
      </c>
      <c r="B645" s="18" t="n">
        <v>12</v>
      </c>
      <c r="C645" s="18" t="s">
        <v>254</v>
      </c>
      <c r="D645" s="18" t="n">
        <v>-45</v>
      </c>
      <c r="E645" s="18" t="s">
        <v>394</v>
      </c>
      <c r="F645" s="18" t="s">
        <v>198</v>
      </c>
      <c r="G645" s="19" t="n">
        <v>38098</v>
      </c>
      <c r="H645" s="18" t="n">
        <v>27</v>
      </c>
      <c r="I645" s="18" t="n">
        <v>26</v>
      </c>
      <c r="J645" s="18" t="n">
        <f aca="false">SUMIFS($H$2:$H$1200,$A$2:$A$1200,$A645,$B$2:$B$1200,"&lt;="&amp;$B645)</f>
        <v>349</v>
      </c>
      <c r="K645" s="18" t="n">
        <f aca="false">SUMIFS($I$2:$I$1200,$A$2:$A$1200,$A645,$B$2:$B$1200,"&lt;="&amp;$B645)</f>
        <v>78</v>
      </c>
      <c r="L645" s="18" t="n">
        <f aca="false">J645-K645</f>
        <v>271</v>
      </c>
      <c r="M645" s="18" t="n">
        <f aca="false">SUMIF($A$2:$A$1200,$A645,$H$2:$H$1200)</f>
        <v>435</v>
      </c>
      <c r="N645" s="20" t="n">
        <f aca="false">IF(M645=0,"",L645/M645)</f>
        <v>0.622988505747126</v>
      </c>
      <c r="O645" s="20" t="n">
        <v>0.622988505747126</v>
      </c>
      <c r="P645" s="20" t="n">
        <f aca="false">IF(OR(N645="",O645=""),"",N645-O645)</f>
        <v>0</v>
      </c>
      <c r="Q645" s="18"/>
    </row>
    <row r="646" customFormat="false" ht="15" hidden="false" customHeight="true" outlineLevel="0" collapsed="false">
      <c r="A646" s="18" t="s">
        <v>423</v>
      </c>
      <c r="B646" s="18" t="n">
        <v>13</v>
      </c>
      <c r="C646" s="18" t="s">
        <v>403</v>
      </c>
      <c r="D646" s="18" t="n">
        <v>-30</v>
      </c>
      <c r="E646" s="18" t="s">
        <v>394</v>
      </c>
      <c r="F646" s="18" t="s">
        <v>198</v>
      </c>
      <c r="G646" s="19" t="n">
        <v>38098</v>
      </c>
      <c r="H646" s="18" t="n">
        <v>21</v>
      </c>
      <c r="I646" s="18" t="n">
        <v>23</v>
      </c>
      <c r="J646" s="18" t="n">
        <f aca="false">SUMIFS($H$2:$H$1200,$A$2:$A$1200,$A646,$B$2:$B$1200,"&lt;="&amp;$B646)</f>
        <v>370</v>
      </c>
      <c r="K646" s="18" t="n">
        <f aca="false">SUMIFS($I$2:$I$1200,$A$2:$A$1200,$A646,$B$2:$B$1200,"&lt;="&amp;$B646)</f>
        <v>101</v>
      </c>
      <c r="L646" s="18" t="n">
        <f aca="false">J646-K646</f>
        <v>269</v>
      </c>
      <c r="M646" s="18" t="n">
        <f aca="false">SUMIF($A$2:$A$1200,$A646,$H$2:$H$1200)</f>
        <v>435</v>
      </c>
      <c r="N646" s="20" t="n">
        <f aca="false">IF(M646=0,"",L646/M646)</f>
        <v>0.618390804597701</v>
      </c>
      <c r="O646" s="20" t="n">
        <v>0.618390804597701</v>
      </c>
      <c r="P646" s="20" t="n">
        <f aca="false">IF(OR(N646="",O646=""),"",N646-O646)</f>
        <v>0</v>
      </c>
      <c r="Q646" s="18"/>
    </row>
    <row r="647" customFormat="false" ht="15" hidden="false" customHeight="true" outlineLevel="0" collapsed="false">
      <c r="A647" s="18" t="s">
        <v>423</v>
      </c>
      <c r="B647" s="18" t="n">
        <v>14</v>
      </c>
      <c r="C647" s="18" t="s">
        <v>529</v>
      </c>
      <c r="D647" s="18" t="n">
        <v>-15</v>
      </c>
      <c r="E647" s="18" t="s">
        <v>394</v>
      </c>
      <c r="F647" s="18" t="s">
        <v>198</v>
      </c>
      <c r="G647" s="19" t="n">
        <v>38098</v>
      </c>
      <c r="H647" s="18" t="n">
        <v>14</v>
      </c>
      <c r="I647" s="18" t="n">
        <v>38</v>
      </c>
      <c r="J647" s="18" t="n">
        <f aca="false">SUMIFS($H$2:$H$1200,$A$2:$A$1200,$A647,$B$2:$B$1200,"&lt;="&amp;$B647)</f>
        <v>384</v>
      </c>
      <c r="K647" s="18" t="n">
        <f aca="false">SUMIFS($I$2:$I$1200,$A$2:$A$1200,$A647,$B$2:$B$1200,"&lt;="&amp;$B647)</f>
        <v>139</v>
      </c>
      <c r="L647" s="18" t="n">
        <f aca="false">J647-K647</f>
        <v>245</v>
      </c>
      <c r="M647" s="18" t="n">
        <f aca="false">SUMIF($A$2:$A$1200,$A647,$H$2:$H$1200)</f>
        <v>435</v>
      </c>
      <c r="N647" s="20" t="n">
        <f aca="false">IF(M647=0,"",L647/M647)</f>
        <v>0.563218390804598</v>
      </c>
      <c r="O647" s="20" t="n">
        <v>0.563218390804598</v>
      </c>
      <c r="P647" s="20" t="n">
        <f aca="false">IF(OR(N647="",O647=""),"",N647-O647)</f>
        <v>0</v>
      </c>
      <c r="Q647" s="18"/>
    </row>
    <row r="648" customFormat="false" ht="15" hidden="false" customHeight="true" outlineLevel="0" collapsed="false">
      <c r="A648" s="18" t="s">
        <v>423</v>
      </c>
      <c r="B648" s="18" t="n">
        <v>15</v>
      </c>
      <c r="C648" s="18" t="s">
        <v>463</v>
      </c>
      <c r="D648" s="18" t="n">
        <v>0</v>
      </c>
      <c r="E648" s="18" t="s">
        <v>394</v>
      </c>
      <c r="F648" s="18" t="s">
        <v>198</v>
      </c>
      <c r="G648" s="19" t="n">
        <v>38098</v>
      </c>
      <c r="H648" s="18" t="n">
        <v>7</v>
      </c>
      <c r="I648" s="18" t="n">
        <v>47</v>
      </c>
      <c r="J648" s="18" t="n">
        <f aca="false">SUMIFS($H$2:$H$1200,$A$2:$A$1200,$A648,$B$2:$B$1200,"&lt;="&amp;$B648)</f>
        <v>391</v>
      </c>
      <c r="K648" s="18" t="n">
        <f aca="false">SUMIFS($I$2:$I$1200,$A$2:$A$1200,$A648,$B$2:$B$1200,"&lt;="&amp;$B648)</f>
        <v>186</v>
      </c>
      <c r="L648" s="18" t="n">
        <f aca="false">J648-K648</f>
        <v>205</v>
      </c>
      <c r="M648" s="18" t="n">
        <f aca="false">SUMIF($A$2:$A$1200,$A648,$H$2:$H$1200)</f>
        <v>435</v>
      </c>
      <c r="N648" s="20" t="n">
        <f aca="false">IF(M648=0,"",L648/M648)</f>
        <v>0.471264367816092</v>
      </c>
      <c r="O648" s="20" t="n">
        <v>0.471264367816092</v>
      </c>
      <c r="P648" s="20" t="n">
        <f aca="false">IF(OR(N648="",O648=""),"",N648-O648)</f>
        <v>0</v>
      </c>
      <c r="Q648" s="18"/>
    </row>
    <row r="649" customFormat="false" ht="15" hidden="false" customHeight="true" outlineLevel="0" collapsed="false">
      <c r="A649" s="18" t="s">
        <v>423</v>
      </c>
      <c r="B649" s="18" t="n">
        <v>16</v>
      </c>
      <c r="C649" s="18" t="s">
        <v>366</v>
      </c>
      <c r="D649" s="18" t="n">
        <v>15</v>
      </c>
      <c r="E649" s="18" t="s">
        <v>394</v>
      </c>
      <c r="F649" s="18" t="s">
        <v>198</v>
      </c>
      <c r="G649" s="19" t="n">
        <v>38098</v>
      </c>
      <c r="H649" s="18" t="n">
        <v>11</v>
      </c>
      <c r="I649" s="18" t="n">
        <v>46</v>
      </c>
      <c r="J649" s="18" t="n">
        <f aca="false">SUMIFS($H$2:$H$1200,$A$2:$A$1200,$A649,$B$2:$B$1200,"&lt;="&amp;$B649)</f>
        <v>402</v>
      </c>
      <c r="K649" s="18" t="n">
        <f aca="false">SUMIFS($I$2:$I$1200,$A$2:$A$1200,$A649,$B$2:$B$1200,"&lt;="&amp;$B649)</f>
        <v>232</v>
      </c>
      <c r="L649" s="18" t="n">
        <f aca="false">J649-K649</f>
        <v>170</v>
      </c>
      <c r="M649" s="18" t="n">
        <f aca="false">SUMIF($A$2:$A$1200,$A649,$H$2:$H$1200)</f>
        <v>435</v>
      </c>
      <c r="N649" s="20" t="n">
        <f aca="false">IF(M649=0,"",L649/M649)</f>
        <v>0.390804597701149</v>
      </c>
      <c r="O649" s="20" t="n">
        <v>0.390804597701149</v>
      </c>
      <c r="P649" s="20" t="n">
        <f aca="false">IF(OR(N649="",O649=""),"",N649-O649)</f>
        <v>0</v>
      </c>
      <c r="Q649" s="18"/>
    </row>
    <row r="650" customFormat="false" ht="15" hidden="false" customHeight="true" outlineLevel="0" collapsed="false">
      <c r="A650" s="18" t="s">
        <v>423</v>
      </c>
      <c r="B650" s="18" t="n">
        <v>17</v>
      </c>
      <c r="C650" s="18" t="s">
        <v>326</v>
      </c>
      <c r="D650" s="18" t="n">
        <v>30</v>
      </c>
      <c r="E650" s="18" t="s">
        <v>394</v>
      </c>
      <c r="F650" s="18" t="s">
        <v>198</v>
      </c>
      <c r="G650" s="19" t="n">
        <v>38098</v>
      </c>
      <c r="H650" s="18" t="n">
        <v>6</v>
      </c>
      <c r="I650" s="18" t="n">
        <v>39</v>
      </c>
      <c r="J650" s="18" t="n">
        <f aca="false">SUMIFS($H$2:$H$1200,$A$2:$A$1200,$A650,$B$2:$B$1200,"&lt;="&amp;$B650)</f>
        <v>408</v>
      </c>
      <c r="K650" s="18" t="n">
        <f aca="false">SUMIFS($I$2:$I$1200,$A$2:$A$1200,$A650,$B$2:$B$1200,"&lt;="&amp;$B650)</f>
        <v>271</v>
      </c>
      <c r="L650" s="18" t="n">
        <f aca="false">J650-K650</f>
        <v>137</v>
      </c>
      <c r="M650" s="18" t="n">
        <f aca="false">SUMIF($A$2:$A$1200,$A650,$H$2:$H$1200)</f>
        <v>435</v>
      </c>
      <c r="N650" s="20" t="n">
        <f aca="false">IF(M650=0,"",L650/M650)</f>
        <v>0.314942528735632</v>
      </c>
      <c r="O650" s="20" t="n">
        <v>0.314942528735632</v>
      </c>
      <c r="P650" s="20" t="n">
        <f aca="false">IF(OR(N650="",O650=""),"",N650-O650)</f>
        <v>0</v>
      </c>
      <c r="Q650" s="18"/>
    </row>
    <row r="651" customFormat="false" ht="15" hidden="false" customHeight="true" outlineLevel="0" collapsed="false">
      <c r="A651" s="18" t="s">
        <v>423</v>
      </c>
      <c r="B651" s="18" t="n">
        <v>18</v>
      </c>
      <c r="C651" s="18" t="s">
        <v>226</v>
      </c>
      <c r="D651" s="18" t="n">
        <v>45</v>
      </c>
      <c r="E651" s="18" t="s">
        <v>394</v>
      </c>
      <c r="F651" s="18" t="s">
        <v>198</v>
      </c>
      <c r="G651" s="19" t="n">
        <v>38098</v>
      </c>
      <c r="H651" s="18" t="n">
        <v>9</v>
      </c>
      <c r="I651" s="18" t="n">
        <v>40</v>
      </c>
      <c r="J651" s="18" t="n">
        <f aca="false">SUMIFS($H$2:$H$1200,$A$2:$A$1200,$A651,$B$2:$B$1200,"&lt;="&amp;$B651)</f>
        <v>417</v>
      </c>
      <c r="K651" s="18" t="n">
        <f aca="false">SUMIFS($I$2:$I$1200,$A$2:$A$1200,$A651,$B$2:$B$1200,"&lt;="&amp;$B651)</f>
        <v>311</v>
      </c>
      <c r="L651" s="18" t="n">
        <f aca="false">J651-K651</f>
        <v>106</v>
      </c>
      <c r="M651" s="18" t="n">
        <f aca="false">SUMIF($A$2:$A$1200,$A651,$H$2:$H$1200)</f>
        <v>435</v>
      </c>
      <c r="N651" s="20" t="n">
        <f aca="false">IF(M651=0,"",L651/M651)</f>
        <v>0.24367816091954</v>
      </c>
      <c r="O651" s="20" t="n">
        <v>0.24367816091954</v>
      </c>
      <c r="P651" s="20" t="n">
        <f aca="false">IF(OR(N651="",O651=""),"",N651-O651)</f>
        <v>0</v>
      </c>
      <c r="Q651" s="18"/>
    </row>
    <row r="652" customFormat="false" ht="15" hidden="false" customHeight="true" outlineLevel="0" collapsed="false">
      <c r="A652" s="18" t="s">
        <v>423</v>
      </c>
      <c r="B652" s="18" t="n">
        <v>19</v>
      </c>
      <c r="C652" s="18" t="s">
        <v>205</v>
      </c>
      <c r="D652" s="18" t="n">
        <v>60</v>
      </c>
      <c r="E652" s="18" t="s">
        <v>394</v>
      </c>
      <c r="F652" s="18" t="s">
        <v>198</v>
      </c>
      <c r="G652" s="19" t="n">
        <v>38098</v>
      </c>
      <c r="H652" s="18" t="n">
        <v>3</v>
      </c>
      <c r="I652" s="18" t="n">
        <v>32</v>
      </c>
      <c r="J652" s="18" t="n">
        <f aca="false">SUMIFS($H$2:$H$1200,$A$2:$A$1200,$A652,$B$2:$B$1200,"&lt;="&amp;$B652)</f>
        <v>420</v>
      </c>
      <c r="K652" s="18" t="n">
        <f aca="false">SUMIFS($I$2:$I$1200,$A$2:$A$1200,$A652,$B$2:$B$1200,"&lt;="&amp;$B652)</f>
        <v>343</v>
      </c>
      <c r="L652" s="18" t="n">
        <f aca="false">J652-K652</f>
        <v>77</v>
      </c>
      <c r="M652" s="18" t="n">
        <f aca="false">SUMIF($A$2:$A$1200,$A652,$H$2:$H$1200)</f>
        <v>435</v>
      </c>
      <c r="N652" s="20" t="n">
        <f aca="false">IF(M652=0,"",L652/M652)</f>
        <v>0.177011494252874</v>
      </c>
      <c r="O652" s="20" t="n">
        <v>0.177011494252874</v>
      </c>
      <c r="P652" s="20" t="n">
        <f aca="false">IF(OR(N652="",O652=""),"",N652-O652)</f>
        <v>0</v>
      </c>
      <c r="Q652" s="18"/>
    </row>
    <row r="653" customFormat="false" ht="15" hidden="false" customHeight="true" outlineLevel="0" collapsed="false">
      <c r="A653" s="18" t="s">
        <v>423</v>
      </c>
      <c r="B653" s="18" t="n">
        <v>20</v>
      </c>
      <c r="C653" s="18" t="s">
        <v>532</v>
      </c>
      <c r="D653" s="18" t="n">
        <v>75</v>
      </c>
      <c r="E653" s="18" t="s">
        <v>394</v>
      </c>
      <c r="F653" s="18" t="s">
        <v>198</v>
      </c>
      <c r="G653" s="19" t="n">
        <v>38098</v>
      </c>
      <c r="H653" s="18" t="n">
        <v>5</v>
      </c>
      <c r="I653" s="18" t="n">
        <v>23</v>
      </c>
      <c r="J653" s="18" t="n">
        <f aca="false">SUMIFS($H$2:$H$1200,$A$2:$A$1200,$A653,$B$2:$B$1200,"&lt;="&amp;$B653)</f>
        <v>425</v>
      </c>
      <c r="K653" s="18" t="n">
        <f aca="false">SUMIFS($I$2:$I$1200,$A$2:$A$1200,$A653,$B$2:$B$1200,"&lt;="&amp;$B653)</f>
        <v>366</v>
      </c>
      <c r="L653" s="18" t="n">
        <f aca="false">J653-K653</f>
        <v>59</v>
      </c>
      <c r="M653" s="18" t="n">
        <f aca="false">SUMIF($A$2:$A$1200,$A653,$H$2:$H$1200)</f>
        <v>435</v>
      </c>
      <c r="N653" s="20" t="n">
        <f aca="false">IF(M653=0,"",L653/M653)</f>
        <v>0.135632183908046</v>
      </c>
      <c r="O653" s="20" t="n">
        <v>0.135632183908046</v>
      </c>
      <c r="P653" s="20" t="n">
        <f aca="false">IF(OR(N653="",O653=""),"",N653-O653)</f>
        <v>0</v>
      </c>
      <c r="Q653" s="18"/>
    </row>
    <row r="654" customFormat="false" ht="15" hidden="false" customHeight="true" outlineLevel="0" collapsed="false">
      <c r="A654" s="18" t="s">
        <v>423</v>
      </c>
      <c r="B654" s="18" t="n">
        <v>21</v>
      </c>
      <c r="C654" s="18" t="s">
        <v>265</v>
      </c>
      <c r="D654" s="18" t="n">
        <v>90</v>
      </c>
      <c r="E654" s="18" t="s">
        <v>394</v>
      </c>
      <c r="F654" s="18" t="s">
        <v>198</v>
      </c>
      <c r="G654" s="19" t="n">
        <v>38098</v>
      </c>
      <c r="H654" s="18" t="n">
        <v>6</v>
      </c>
      <c r="I654" s="18" t="n">
        <v>31</v>
      </c>
      <c r="J654" s="18" t="n">
        <f aca="false">SUMIFS($H$2:$H$1200,$A$2:$A$1200,$A654,$B$2:$B$1200,"&lt;="&amp;$B654)</f>
        <v>431</v>
      </c>
      <c r="K654" s="18" t="n">
        <f aca="false">SUMIFS($I$2:$I$1200,$A$2:$A$1200,$A654,$B$2:$B$1200,"&lt;="&amp;$B654)</f>
        <v>397</v>
      </c>
      <c r="L654" s="18" t="n">
        <f aca="false">J654-K654</f>
        <v>34</v>
      </c>
      <c r="M654" s="18" t="n">
        <f aca="false">SUMIF($A$2:$A$1200,$A654,$H$2:$H$1200)</f>
        <v>435</v>
      </c>
      <c r="N654" s="20" t="n">
        <f aca="false">IF(M654=0,"",L654/M654)</f>
        <v>0.0781609195402299</v>
      </c>
      <c r="O654" s="20" t="n">
        <v>0.0781609195402299</v>
      </c>
      <c r="P654" s="20" t="n">
        <f aca="false">IF(OR(N654="",O654=""),"",N654-O654)</f>
        <v>0</v>
      </c>
      <c r="Q654" s="18"/>
    </row>
    <row r="655" customFormat="false" ht="15" hidden="false" customHeight="true" outlineLevel="0" collapsed="false">
      <c r="A655" s="18" t="s">
        <v>423</v>
      </c>
      <c r="B655" s="18" t="n">
        <v>22</v>
      </c>
      <c r="C655" s="18" t="s">
        <v>419</v>
      </c>
      <c r="D655" s="18" t="n">
        <v>105</v>
      </c>
      <c r="E655" s="18" t="s">
        <v>394</v>
      </c>
      <c r="F655" s="18" t="s">
        <v>198</v>
      </c>
      <c r="G655" s="19" t="n">
        <v>38098</v>
      </c>
      <c r="H655" s="18" t="n">
        <v>4</v>
      </c>
      <c r="I655" s="18" t="n">
        <v>16</v>
      </c>
      <c r="J655" s="18" t="n">
        <f aca="false">SUMIFS($H$2:$H$1200,$A$2:$A$1200,$A655,$B$2:$B$1200,"&lt;="&amp;$B655)</f>
        <v>435</v>
      </c>
      <c r="K655" s="18" t="n">
        <f aca="false">SUMIFS($I$2:$I$1200,$A$2:$A$1200,$A655,$B$2:$B$1200,"&lt;="&amp;$B655)</f>
        <v>413</v>
      </c>
      <c r="L655" s="18" t="n">
        <f aca="false">J655-K655</f>
        <v>22</v>
      </c>
      <c r="M655" s="18" t="n">
        <f aca="false">SUMIF($A$2:$A$1200,$A655,$H$2:$H$1200)</f>
        <v>435</v>
      </c>
      <c r="N655" s="20" t="n">
        <f aca="false">IF(M655=0,"",L655/M655)</f>
        <v>0.0505747126436782</v>
      </c>
      <c r="O655" s="20" t="n">
        <v>0.0505747126436782</v>
      </c>
      <c r="P655" s="20" t="n">
        <f aca="false">IF(OR(N655="",O655=""),"",N655-O655)</f>
        <v>0</v>
      </c>
      <c r="Q655" s="18"/>
    </row>
    <row r="656" customFormat="false" ht="15" hidden="false" customHeight="true" outlineLevel="0" collapsed="false">
      <c r="A656" s="18" t="s">
        <v>427</v>
      </c>
      <c r="B656" s="18" t="n">
        <v>0</v>
      </c>
      <c r="C656" s="18" t="s">
        <v>204</v>
      </c>
      <c r="D656" s="18"/>
      <c r="E656" s="18" t="s">
        <v>394</v>
      </c>
      <c r="F656" s="18" t="s">
        <v>198</v>
      </c>
      <c r="G656" s="19" t="n">
        <v>40295</v>
      </c>
      <c r="H656" s="18" t="n">
        <v>3</v>
      </c>
      <c r="I656" s="18" t="n">
        <v>0</v>
      </c>
      <c r="J656" s="18" t="n">
        <f aca="false">SUMIFS($H$2:$H$1200,$A$2:$A$1200,$A656,$B$2:$B$1200,"&lt;="&amp;$B656)</f>
        <v>3</v>
      </c>
      <c r="K656" s="18" t="n">
        <f aca="false">SUMIFS($I$2:$I$1200,$A$2:$A$1200,$A656,$B$2:$B$1200,"&lt;="&amp;$B656)</f>
        <v>0</v>
      </c>
      <c r="L656" s="18" t="n">
        <f aca="false">J656-K656</f>
        <v>3</v>
      </c>
      <c r="M656" s="18" t="n">
        <f aca="false">SUMIF($A$2:$A$1200,$A656,$H$2:$H$1200)</f>
        <v>232</v>
      </c>
      <c r="N656" s="20" t="n">
        <f aca="false">IF(M656=0,"",L656/M656)</f>
        <v>0.0129310344827586</v>
      </c>
      <c r="O656" s="20"/>
      <c r="P656" s="20" t="str">
        <f aca="false">IF(OR(N656="",O656=""),"",N656-O656)</f>
        <v/>
      </c>
      <c r="Q656" s="18"/>
    </row>
    <row r="657" customFormat="false" ht="15" hidden="false" customHeight="true" outlineLevel="0" collapsed="false">
      <c r="A657" s="18" t="s">
        <v>427</v>
      </c>
      <c r="B657" s="18" t="n">
        <v>3</v>
      </c>
      <c r="C657" s="18" t="s">
        <v>525</v>
      </c>
      <c r="D657" s="18" t="n">
        <v>-180</v>
      </c>
      <c r="E657" s="18" t="s">
        <v>394</v>
      </c>
      <c r="F657" s="18" t="s">
        <v>198</v>
      </c>
      <c r="G657" s="19" t="n">
        <v>40295</v>
      </c>
      <c r="H657" s="18" t="n">
        <v>0</v>
      </c>
      <c r="I657" s="18" t="n">
        <v>1</v>
      </c>
      <c r="J657" s="18" t="n">
        <f aca="false">SUMIFS($H$2:$H$1200,$A$2:$A$1200,$A657,$B$2:$B$1200,"&lt;="&amp;$B657)</f>
        <v>3</v>
      </c>
      <c r="K657" s="18" t="n">
        <f aca="false">SUMIFS($I$2:$I$1200,$A$2:$A$1200,$A657,$B$2:$B$1200,"&lt;="&amp;$B657)</f>
        <v>1</v>
      </c>
      <c r="L657" s="18" t="n">
        <f aca="false">J657-K657</f>
        <v>2</v>
      </c>
      <c r="M657" s="18" t="n">
        <f aca="false">SUMIF($A$2:$A$1200,$A657,$H$2:$H$1200)</f>
        <v>232</v>
      </c>
      <c r="N657" s="20" t="n">
        <f aca="false">IF(M657=0,"",L657/M657)</f>
        <v>0.00862068965517241</v>
      </c>
      <c r="O657" s="20"/>
      <c r="P657" s="20" t="str">
        <f aca="false">IF(OR(N657="",O657=""),"",N657-O657)</f>
        <v/>
      </c>
      <c r="Q657" s="18"/>
    </row>
    <row r="658" customFormat="false" ht="15" hidden="false" customHeight="true" outlineLevel="0" collapsed="false">
      <c r="A658" s="18" t="s">
        <v>427</v>
      </c>
      <c r="B658" s="18" t="n">
        <v>4</v>
      </c>
      <c r="C658" s="18" t="s">
        <v>526</v>
      </c>
      <c r="D658" s="18" t="n">
        <v>-165</v>
      </c>
      <c r="E658" s="18" t="s">
        <v>394</v>
      </c>
      <c r="F658" s="18" t="s">
        <v>198</v>
      </c>
      <c r="G658" s="19" t="n">
        <v>40295</v>
      </c>
      <c r="H658" s="18" t="n">
        <v>0</v>
      </c>
      <c r="I658" s="18" t="n">
        <v>0</v>
      </c>
      <c r="J658" s="18" t="n">
        <f aca="false">SUMIFS($H$2:$H$1200,$A$2:$A$1200,$A658,$B$2:$B$1200,"&lt;="&amp;$B658)</f>
        <v>3</v>
      </c>
      <c r="K658" s="18" t="n">
        <f aca="false">SUMIFS($I$2:$I$1200,$A$2:$A$1200,$A658,$B$2:$B$1200,"&lt;="&amp;$B658)</f>
        <v>1</v>
      </c>
      <c r="L658" s="18" t="n">
        <f aca="false">J658-K658</f>
        <v>2</v>
      </c>
      <c r="M658" s="18" t="n">
        <f aca="false">SUMIF($A$2:$A$1200,$A658,$H$2:$H$1200)</f>
        <v>232</v>
      </c>
      <c r="N658" s="20" t="n">
        <f aca="false">IF(M658=0,"",L658/M658)</f>
        <v>0.00862068965517241</v>
      </c>
      <c r="O658" s="20"/>
      <c r="P658" s="20" t="str">
        <f aca="false">IF(OR(N658="",O658=""),"",N658-O658)</f>
        <v/>
      </c>
      <c r="Q658" s="18"/>
    </row>
    <row r="659" customFormat="false" ht="15" hidden="false" customHeight="true" outlineLevel="0" collapsed="false">
      <c r="A659" s="18" t="s">
        <v>427</v>
      </c>
      <c r="B659" s="18" t="n">
        <v>5</v>
      </c>
      <c r="C659" s="18" t="s">
        <v>527</v>
      </c>
      <c r="D659" s="18" t="n">
        <v>-150</v>
      </c>
      <c r="E659" s="18" t="s">
        <v>394</v>
      </c>
      <c r="F659" s="18" t="s">
        <v>198</v>
      </c>
      <c r="G659" s="19" t="n">
        <v>40295</v>
      </c>
      <c r="H659" s="18" t="n">
        <v>2</v>
      </c>
      <c r="I659" s="18" t="n">
        <v>0</v>
      </c>
      <c r="J659" s="18" t="n">
        <f aca="false">SUMIFS($H$2:$H$1200,$A$2:$A$1200,$A659,$B$2:$B$1200,"&lt;="&amp;$B659)</f>
        <v>5</v>
      </c>
      <c r="K659" s="18" t="n">
        <f aca="false">SUMIFS($I$2:$I$1200,$A$2:$A$1200,$A659,$B$2:$B$1200,"&lt;="&amp;$B659)</f>
        <v>1</v>
      </c>
      <c r="L659" s="18" t="n">
        <f aca="false">J659-K659</f>
        <v>4</v>
      </c>
      <c r="M659" s="18" t="n">
        <f aca="false">SUMIF($A$2:$A$1200,$A659,$H$2:$H$1200)</f>
        <v>232</v>
      </c>
      <c r="N659" s="20" t="n">
        <f aca="false">IF(M659=0,"",L659/M659)</f>
        <v>0.0172413793103448</v>
      </c>
      <c r="O659" s="20"/>
      <c r="P659" s="20" t="str">
        <f aca="false">IF(OR(N659="",O659=""),"",N659-O659)</f>
        <v/>
      </c>
      <c r="Q659" s="18"/>
    </row>
    <row r="660" customFormat="false" ht="15" hidden="false" customHeight="true" outlineLevel="0" collapsed="false">
      <c r="A660" s="18" t="s">
        <v>427</v>
      </c>
      <c r="B660" s="18" t="n">
        <v>6</v>
      </c>
      <c r="C660" s="18" t="s">
        <v>528</v>
      </c>
      <c r="D660" s="18" t="n">
        <v>-135</v>
      </c>
      <c r="E660" s="18" t="s">
        <v>394</v>
      </c>
      <c r="F660" s="18" t="s">
        <v>198</v>
      </c>
      <c r="G660" s="19" t="n">
        <v>40295</v>
      </c>
      <c r="H660" s="18" t="n">
        <v>4</v>
      </c>
      <c r="I660" s="18" t="n">
        <v>0</v>
      </c>
      <c r="J660" s="18" t="n">
        <f aca="false">SUMIFS($H$2:$H$1200,$A$2:$A$1200,$A660,$B$2:$B$1200,"&lt;="&amp;$B660)</f>
        <v>9</v>
      </c>
      <c r="K660" s="18" t="n">
        <f aca="false">SUMIFS($I$2:$I$1200,$A$2:$A$1200,$A660,$B$2:$B$1200,"&lt;="&amp;$B660)</f>
        <v>1</v>
      </c>
      <c r="L660" s="18" t="n">
        <f aca="false">J660-K660</f>
        <v>8</v>
      </c>
      <c r="M660" s="18" t="n">
        <f aca="false">SUMIF($A$2:$A$1200,$A660,$H$2:$H$1200)</f>
        <v>232</v>
      </c>
      <c r="N660" s="20" t="n">
        <f aca="false">IF(M660=0,"",L660/M660)</f>
        <v>0.0344827586206897</v>
      </c>
      <c r="O660" s="20"/>
      <c r="P660" s="20" t="str">
        <f aca="false">IF(OR(N660="",O660=""),"",N660-O660)</f>
        <v/>
      </c>
      <c r="Q660" s="18"/>
    </row>
    <row r="661" customFormat="false" ht="15" hidden="false" customHeight="true" outlineLevel="0" collapsed="false">
      <c r="A661" s="18" t="s">
        <v>427</v>
      </c>
      <c r="B661" s="18" t="n">
        <v>7</v>
      </c>
      <c r="C661" s="18" t="s">
        <v>227</v>
      </c>
      <c r="D661" s="18" t="n">
        <v>-120</v>
      </c>
      <c r="E661" s="18" t="s">
        <v>394</v>
      </c>
      <c r="F661" s="18" t="s">
        <v>198</v>
      </c>
      <c r="G661" s="19" t="n">
        <v>40295</v>
      </c>
      <c r="H661" s="18" t="n">
        <v>8</v>
      </c>
      <c r="I661" s="18" t="n">
        <v>1</v>
      </c>
      <c r="J661" s="18" t="n">
        <f aca="false">SUMIFS($H$2:$H$1200,$A$2:$A$1200,$A661,$B$2:$B$1200,"&lt;="&amp;$B661)</f>
        <v>17</v>
      </c>
      <c r="K661" s="18" t="n">
        <f aca="false">SUMIFS($I$2:$I$1200,$A$2:$A$1200,$A661,$B$2:$B$1200,"&lt;="&amp;$B661)</f>
        <v>2</v>
      </c>
      <c r="L661" s="18" t="n">
        <f aca="false">J661-K661</f>
        <v>15</v>
      </c>
      <c r="M661" s="18" t="n">
        <f aca="false">SUMIF($A$2:$A$1200,$A661,$H$2:$H$1200)</f>
        <v>232</v>
      </c>
      <c r="N661" s="20" t="n">
        <f aca="false">IF(M661=0,"",L661/M661)</f>
        <v>0.0646551724137931</v>
      </c>
      <c r="O661" s="20"/>
      <c r="P661" s="20" t="str">
        <f aca="false">IF(OR(N661="",O661=""),"",N661-O661)</f>
        <v/>
      </c>
      <c r="Q661" s="18"/>
    </row>
    <row r="662" customFormat="false" ht="15" hidden="false" customHeight="true" outlineLevel="0" collapsed="false">
      <c r="A662" s="18" t="s">
        <v>427</v>
      </c>
      <c r="B662" s="18" t="n">
        <v>8</v>
      </c>
      <c r="C662" s="18" t="s">
        <v>241</v>
      </c>
      <c r="D662" s="18" t="n">
        <v>-105</v>
      </c>
      <c r="E662" s="18" t="s">
        <v>394</v>
      </c>
      <c r="F662" s="18" t="s">
        <v>198</v>
      </c>
      <c r="G662" s="19" t="n">
        <v>40295</v>
      </c>
      <c r="H662" s="18" t="n">
        <v>10</v>
      </c>
      <c r="I662" s="18" t="n">
        <v>0</v>
      </c>
      <c r="J662" s="18" t="n">
        <f aca="false">SUMIFS($H$2:$H$1200,$A$2:$A$1200,$A662,$B$2:$B$1200,"&lt;="&amp;$B662)</f>
        <v>27</v>
      </c>
      <c r="K662" s="18" t="n">
        <f aca="false">SUMIFS($I$2:$I$1200,$A$2:$A$1200,$A662,$B$2:$B$1200,"&lt;="&amp;$B662)</f>
        <v>2</v>
      </c>
      <c r="L662" s="18" t="n">
        <f aca="false">J662-K662</f>
        <v>25</v>
      </c>
      <c r="M662" s="18" t="n">
        <f aca="false">SUMIF($A$2:$A$1200,$A662,$H$2:$H$1200)</f>
        <v>232</v>
      </c>
      <c r="N662" s="20" t="n">
        <f aca="false">IF(M662=0,"",L662/M662)</f>
        <v>0.107758620689655</v>
      </c>
      <c r="O662" s="20"/>
      <c r="P662" s="20" t="str">
        <f aca="false">IF(OR(N662="",O662=""),"",N662-O662)</f>
        <v/>
      </c>
      <c r="Q662" s="18"/>
    </row>
    <row r="663" customFormat="false" ht="15" hidden="false" customHeight="true" outlineLevel="0" collapsed="false">
      <c r="A663" s="18" t="s">
        <v>427</v>
      </c>
      <c r="B663" s="18" t="n">
        <v>9</v>
      </c>
      <c r="C663" s="18" t="s">
        <v>279</v>
      </c>
      <c r="D663" s="18" t="n">
        <v>-90</v>
      </c>
      <c r="E663" s="18" t="s">
        <v>394</v>
      </c>
      <c r="F663" s="18" t="s">
        <v>198</v>
      </c>
      <c r="G663" s="19" t="n">
        <v>40295</v>
      </c>
      <c r="H663" s="18" t="n">
        <v>27</v>
      </c>
      <c r="I663" s="18" t="n">
        <v>0</v>
      </c>
      <c r="J663" s="18" t="n">
        <f aca="false">SUMIFS($H$2:$H$1200,$A$2:$A$1200,$A663,$B$2:$B$1200,"&lt;="&amp;$B663)</f>
        <v>54</v>
      </c>
      <c r="K663" s="18" t="n">
        <f aca="false">SUMIFS($I$2:$I$1200,$A$2:$A$1200,$A663,$B$2:$B$1200,"&lt;="&amp;$B663)</f>
        <v>2</v>
      </c>
      <c r="L663" s="18" t="n">
        <f aca="false">J663-K663</f>
        <v>52</v>
      </c>
      <c r="M663" s="18" t="n">
        <f aca="false">SUMIF($A$2:$A$1200,$A663,$H$2:$H$1200)</f>
        <v>232</v>
      </c>
      <c r="N663" s="20" t="n">
        <f aca="false">IF(M663=0,"",L663/M663)</f>
        <v>0.224137931034483</v>
      </c>
      <c r="O663" s="20"/>
      <c r="P663" s="20" t="str">
        <f aca="false">IF(OR(N663="",O663=""),"",N663-O663)</f>
        <v/>
      </c>
      <c r="Q663" s="18"/>
    </row>
    <row r="664" customFormat="false" ht="15" hidden="false" customHeight="true" outlineLevel="0" collapsed="false">
      <c r="A664" s="18" t="s">
        <v>427</v>
      </c>
      <c r="B664" s="18" t="n">
        <v>10</v>
      </c>
      <c r="C664" s="18" t="s">
        <v>206</v>
      </c>
      <c r="D664" s="18" t="n">
        <v>-75</v>
      </c>
      <c r="E664" s="18" t="s">
        <v>394</v>
      </c>
      <c r="F664" s="18" t="s">
        <v>198</v>
      </c>
      <c r="G664" s="19" t="n">
        <v>40295</v>
      </c>
      <c r="H664" s="18" t="n">
        <v>31</v>
      </c>
      <c r="I664" s="18" t="n">
        <v>3</v>
      </c>
      <c r="J664" s="18" t="n">
        <f aca="false">SUMIFS($H$2:$H$1200,$A$2:$A$1200,$A664,$B$2:$B$1200,"&lt;="&amp;$B664)</f>
        <v>85</v>
      </c>
      <c r="K664" s="18" t="n">
        <f aca="false">SUMIFS($I$2:$I$1200,$A$2:$A$1200,$A664,$B$2:$B$1200,"&lt;="&amp;$B664)</f>
        <v>5</v>
      </c>
      <c r="L664" s="18" t="n">
        <f aca="false">J664-K664</f>
        <v>80</v>
      </c>
      <c r="M664" s="18" t="n">
        <f aca="false">SUMIF($A$2:$A$1200,$A664,$H$2:$H$1200)</f>
        <v>232</v>
      </c>
      <c r="N664" s="20" t="n">
        <f aca="false">IF(M664=0,"",L664/M664)</f>
        <v>0.344827586206897</v>
      </c>
      <c r="O664" s="20"/>
      <c r="P664" s="20" t="str">
        <f aca="false">IF(OR(N664="",O664=""),"",N664-O664)</f>
        <v/>
      </c>
      <c r="Q664" s="18"/>
    </row>
    <row r="665" customFormat="false" ht="15" hidden="false" customHeight="true" outlineLevel="0" collapsed="false">
      <c r="A665" s="18" t="s">
        <v>427</v>
      </c>
      <c r="B665" s="18" t="n">
        <v>11</v>
      </c>
      <c r="C665" s="18" t="s">
        <v>246</v>
      </c>
      <c r="D665" s="18" t="n">
        <v>-60</v>
      </c>
      <c r="E665" s="18" t="s">
        <v>394</v>
      </c>
      <c r="F665" s="18" t="s">
        <v>198</v>
      </c>
      <c r="G665" s="19" t="n">
        <v>40295</v>
      </c>
      <c r="H665" s="18" t="n">
        <v>35</v>
      </c>
      <c r="I665" s="18" t="n">
        <v>9</v>
      </c>
      <c r="J665" s="18" t="n">
        <f aca="false">SUMIFS($H$2:$H$1200,$A$2:$A$1200,$A665,$B$2:$B$1200,"&lt;="&amp;$B665)</f>
        <v>120</v>
      </c>
      <c r="K665" s="18" t="n">
        <f aca="false">SUMIFS($I$2:$I$1200,$A$2:$A$1200,$A665,$B$2:$B$1200,"&lt;="&amp;$B665)</f>
        <v>14</v>
      </c>
      <c r="L665" s="18" t="n">
        <f aca="false">J665-K665</f>
        <v>106</v>
      </c>
      <c r="M665" s="18" t="n">
        <f aca="false">SUMIF($A$2:$A$1200,$A665,$H$2:$H$1200)</f>
        <v>232</v>
      </c>
      <c r="N665" s="20" t="n">
        <f aca="false">IF(M665=0,"",L665/M665)</f>
        <v>0.456896551724138</v>
      </c>
      <c r="O665" s="20"/>
      <c r="P665" s="20" t="str">
        <f aca="false">IF(OR(N665="",O665=""),"",N665-O665)</f>
        <v/>
      </c>
      <c r="Q665" s="18"/>
    </row>
    <row r="666" customFormat="false" ht="15" hidden="false" customHeight="true" outlineLevel="0" collapsed="false">
      <c r="A666" s="18" t="s">
        <v>427</v>
      </c>
      <c r="B666" s="18" t="n">
        <v>12</v>
      </c>
      <c r="C666" s="18" t="s">
        <v>254</v>
      </c>
      <c r="D666" s="18" t="n">
        <v>-45</v>
      </c>
      <c r="E666" s="18" t="s">
        <v>394</v>
      </c>
      <c r="F666" s="18" t="s">
        <v>198</v>
      </c>
      <c r="G666" s="19" t="n">
        <v>40295</v>
      </c>
      <c r="H666" s="18" t="n">
        <v>30</v>
      </c>
      <c r="I666" s="18" t="n">
        <v>23</v>
      </c>
      <c r="J666" s="18" t="n">
        <f aca="false">SUMIFS($H$2:$H$1200,$A$2:$A$1200,$A666,$B$2:$B$1200,"&lt;="&amp;$B666)</f>
        <v>150</v>
      </c>
      <c r="K666" s="18" t="n">
        <f aca="false">SUMIFS($I$2:$I$1200,$A$2:$A$1200,$A666,$B$2:$B$1200,"&lt;="&amp;$B666)</f>
        <v>37</v>
      </c>
      <c r="L666" s="18" t="n">
        <f aca="false">J666-K666</f>
        <v>113</v>
      </c>
      <c r="M666" s="18" t="n">
        <f aca="false">SUMIF($A$2:$A$1200,$A666,$H$2:$H$1200)</f>
        <v>232</v>
      </c>
      <c r="N666" s="20" t="n">
        <f aca="false">IF(M666=0,"",L666/M666)</f>
        <v>0.487068965517241</v>
      </c>
      <c r="O666" s="20"/>
      <c r="P666" s="20" t="str">
        <f aca="false">IF(OR(N666="",O666=""),"",N666-O666)</f>
        <v/>
      </c>
      <c r="Q666" s="18"/>
    </row>
    <row r="667" customFormat="false" ht="15" hidden="false" customHeight="true" outlineLevel="0" collapsed="false">
      <c r="A667" s="18" t="s">
        <v>427</v>
      </c>
      <c r="B667" s="18" t="n">
        <v>13</v>
      </c>
      <c r="C667" s="18" t="s">
        <v>403</v>
      </c>
      <c r="D667" s="18" t="n">
        <v>-30</v>
      </c>
      <c r="E667" s="18" t="s">
        <v>394</v>
      </c>
      <c r="F667" s="18" t="s">
        <v>198</v>
      </c>
      <c r="G667" s="19" t="n">
        <v>40295</v>
      </c>
      <c r="H667" s="18" t="n">
        <v>21</v>
      </c>
      <c r="I667" s="18" t="n">
        <v>29</v>
      </c>
      <c r="J667" s="18" t="n">
        <f aca="false">SUMIFS($H$2:$H$1200,$A$2:$A$1200,$A667,$B$2:$B$1200,"&lt;="&amp;$B667)</f>
        <v>171</v>
      </c>
      <c r="K667" s="18" t="n">
        <f aca="false">SUMIFS($I$2:$I$1200,$A$2:$A$1200,$A667,$B$2:$B$1200,"&lt;="&amp;$B667)</f>
        <v>66</v>
      </c>
      <c r="L667" s="18" t="n">
        <f aca="false">J667-K667</f>
        <v>105</v>
      </c>
      <c r="M667" s="18" t="n">
        <f aca="false">SUMIF($A$2:$A$1200,$A667,$H$2:$H$1200)</f>
        <v>232</v>
      </c>
      <c r="N667" s="20" t="n">
        <f aca="false">IF(M667=0,"",L667/M667)</f>
        <v>0.452586206896552</v>
      </c>
      <c r="O667" s="20"/>
      <c r="P667" s="20" t="str">
        <f aca="false">IF(OR(N667="",O667=""),"",N667-O667)</f>
        <v/>
      </c>
      <c r="Q667" s="18"/>
    </row>
    <row r="668" customFormat="false" ht="15" hidden="false" customHeight="true" outlineLevel="0" collapsed="false">
      <c r="A668" s="18" t="s">
        <v>427</v>
      </c>
      <c r="B668" s="18" t="n">
        <v>14</v>
      </c>
      <c r="C668" s="18" t="s">
        <v>529</v>
      </c>
      <c r="D668" s="18" t="n">
        <v>-15</v>
      </c>
      <c r="E668" s="18" t="s">
        <v>394</v>
      </c>
      <c r="F668" s="18" t="s">
        <v>198</v>
      </c>
      <c r="G668" s="19" t="n">
        <v>40295</v>
      </c>
      <c r="H668" s="18" t="n">
        <v>21</v>
      </c>
      <c r="I668" s="18" t="n">
        <v>33</v>
      </c>
      <c r="J668" s="18" t="n">
        <f aca="false">SUMIFS($H$2:$H$1200,$A$2:$A$1200,$A668,$B$2:$B$1200,"&lt;="&amp;$B668)</f>
        <v>192</v>
      </c>
      <c r="K668" s="18" t="n">
        <f aca="false">SUMIFS($I$2:$I$1200,$A$2:$A$1200,$A668,$B$2:$B$1200,"&lt;="&amp;$B668)</f>
        <v>99</v>
      </c>
      <c r="L668" s="18" t="n">
        <f aca="false">J668-K668</f>
        <v>93</v>
      </c>
      <c r="M668" s="18" t="n">
        <f aca="false">SUMIF($A$2:$A$1200,$A668,$H$2:$H$1200)</f>
        <v>232</v>
      </c>
      <c r="N668" s="20" t="n">
        <f aca="false">IF(M668=0,"",L668/M668)</f>
        <v>0.400862068965517</v>
      </c>
      <c r="O668" s="20"/>
      <c r="P668" s="20" t="str">
        <f aca="false">IF(OR(N668="",O668=""),"",N668-O668)</f>
        <v/>
      </c>
      <c r="Q668" s="18"/>
    </row>
    <row r="669" customFormat="false" ht="15" hidden="false" customHeight="true" outlineLevel="0" collapsed="false">
      <c r="A669" s="18" t="s">
        <v>427</v>
      </c>
      <c r="B669" s="18" t="n">
        <v>15</v>
      </c>
      <c r="C669" s="18" t="s">
        <v>463</v>
      </c>
      <c r="D669" s="18" t="n">
        <v>0</v>
      </c>
      <c r="E669" s="18" t="s">
        <v>394</v>
      </c>
      <c r="F669" s="18" t="s">
        <v>198</v>
      </c>
      <c r="G669" s="19" t="n">
        <v>40295</v>
      </c>
      <c r="H669" s="18" t="n">
        <v>11</v>
      </c>
      <c r="I669" s="18" t="n">
        <v>29</v>
      </c>
      <c r="J669" s="18" t="n">
        <f aca="false">SUMIFS($H$2:$H$1200,$A$2:$A$1200,$A669,$B$2:$B$1200,"&lt;="&amp;$B669)</f>
        <v>203</v>
      </c>
      <c r="K669" s="18" t="n">
        <f aca="false">SUMIFS($I$2:$I$1200,$A$2:$A$1200,$A669,$B$2:$B$1200,"&lt;="&amp;$B669)</f>
        <v>128</v>
      </c>
      <c r="L669" s="18" t="n">
        <f aca="false">J669-K669</f>
        <v>75</v>
      </c>
      <c r="M669" s="18" t="n">
        <f aca="false">SUMIF($A$2:$A$1200,$A669,$H$2:$H$1200)</f>
        <v>232</v>
      </c>
      <c r="N669" s="20" t="n">
        <f aca="false">IF(M669=0,"",L669/M669)</f>
        <v>0.323275862068966</v>
      </c>
      <c r="O669" s="20"/>
      <c r="P669" s="20" t="str">
        <f aca="false">IF(OR(N669="",O669=""),"",N669-O669)</f>
        <v/>
      </c>
      <c r="Q669" s="18"/>
    </row>
    <row r="670" customFormat="false" ht="15" hidden="false" customHeight="true" outlineLevel="0" collapsed="false">
      <c r="A670" s="18" t="s">
        <v>427</v>
      </c>
      <c r="B670" s="18" t="n">
        <v>16</v>
      </c>
      <c r="C670" s="18" t="s">
        <v>366</v>
      </c>
      <c r="D670" s="18" t="n">
        <v>15</v>
      </c>
      <c r="E670" s="18" t="s">
        <v>394</v>
      </c>
      <c r="F670" s="18" t="s">
        <v>198</v>
      </c>
      <c r="G670" s="19" t="n">
        <v>40295</v>
      </c>
      <c r="H670" s="18" t="n">
        <v>7</v>
      </c>
      <c r="I670" s="18" t="n">
        <v>23</v>
      </c>
      <c r="J670" s="18" t="n">
        <f aca="false">SUMIFS($H$2:$H$1200,$A$2:$A$1200,$A670,$B$2:$B$1200,"&lt;="&amp;$B670)</f>
        <v>210</v>
      </c>
      <c r="K670" s="18" t="n">
        <f aca="false">SUMIFS($I$2:$I$1200,$A$2:$A$1200,$A670,$B$2:$B$1200,"&lt;="&amp;$B670)</f>
        <v>151</v>
      </c>
      <c r="L670" s="18" t="n">
        <f aca="false">J670-K670</f>
        <v>59</v>
      </c>
      <c r="M670" s="18" t="n">
        <f aca="false">SUMIF($A$2:$A$1200,$A670,$H$2:$H$1200)</f>
        <v>232</v>
      </c>
      <c r="N670" s="20" t="n">
        <f aca="false">IF(M670=0,"",L670/M670)</f>
        <v>0.254310344827586</v>
      </c>
      <c r="O670" s="20"/>
      <c r="P670" s="20" t="str">
        <f aca="false">IF(OR(N670="",O670=""),"",N670-O670)</f>
        <v/>
      </c>
      <c r="Q670" s="18"/>
    </row>
    <row r="671" customFormat="false" ht="15" hidden="false" customHeight="true" outlineLevel="0" collapsed="false">
      <c r="A671" s="18" t="s">
        <v>427</v>
      </c>
      <c r="B671" s="18" t="n">
        <v>17</v>
      </c>
      <c r="C671" s="18" t="s">
        <v>326</v>
      </c>
      <c r="D671" s="18" t="n">
        <v>30</v>
      </c>
      <c r="E671" s="18" t="s">
        <v>394</v>
      </c>
      <c r="F671" s="18" t="s">
        <v>198</v>
      </c>
      <c r="G671" s="19" t="n">
        <v>40295</v>
      </c>
      <c r="H671" s="18" t="n">
        <v>10</v>
      </c>
      <c r="I671" s="18" t="n">
        <v>19</v>
      </c>
      <c r="J671" s="18" t="n">
        <f aca="false">SUMIFS($H$2:$H$1200,$A$2:$A$1200,$A671,$B$2:$B$1200,"&lt;="&amp;$B671)</f>
        <v>220</v>
      </c>
      <c r="K671" s="18" t="n">
        <f aca="false">SUMIFS($I$2:$I$1200,$A$2:$A$1200,$A671,$B$2:$B$1200,"&lt;="&amp;$B671)</f>
        <v>170</v>
      </c>
      <c r="L671" s="18" t="n">
        <f aca="false">J671-K671</f>
        <v>50</v>
      </c>
      <c r="M671" s="18" t="n">
        <f aca="false">SUMIF($A$2:$A$1200,$A671,$H$2:$H$1200)</f>
        <v>232</v>
      </c>
      <c r="N671" s="20" t="n">
        <f aca="false">IF(M671=0,"",L671/M671)</f>
        <v>0.21551724137931</v>
      </c>
      <c r="O671" s="20"/>
      <c r="P671" s="20" t="str">
        <f aca="false">IF(OR(N671="",O671=""),"",N671-O671)</f>
        <v/>
      </c>
      <c r="Q671" s="18"/>
    </row>
    <row r="672" customFormat="false" ht="15" hidden="false" customHeight="true" outlineLevel="0" collapsed="false">
      <c r="A672" s="18" t="s">
        <v>427</v>
      </c>
      <c r="B672" s="18" t="n">
        <v>18</v>
      </c>
      <c r="C672" s="18" t="s">
        <v>226</v>
      </c>
      <c r="D672" s="18" t="n">
        <v>45</v>
      </c>
      <c r="E672" s="18" t="s">
        <v>394</v>
      </c>
      <c r="F672" s="18" t="s">
        <v>198</v>
      </c>
      <c r="G672" s="19" t="n">
        <v>40295</v>
      </c>
      <c r="H672" s="18" t="n">
        <v>12</v>
      </c>
      <c r="I672" s="18" t="n">
        <v>21</v>
      </c>
      <c r="J672" s="18" t="n">
        <f aca="false">SUMIFS($H$2:$H$1200,$A$2:$A$1200,$A672,$B$2:$B$1200,"&lt;="&amp;$B672)</f>
        <v>232</v>
      </c>
      <c r="K672" s="18" t="n">
        <f aca="false">SUMIFS($I$2:$I$1200,$A$2:$A$1200,$A672,$B$2:$B$1200,"&lt;="&amp;$B672)</f>
        <v>191</v>
      </c>
      <c r="L672" s="18" t="n">
        <f aca="false">J672-K672</f>
        <v>41</v>
      </c>
      <c r="M672" s="18" t="n">
        <f aca="false">SUMIF($A$2:$A$1200,$A672,$H$2:$H$1200)</f>
        <v>232</v>
      </c>
      <c r="N672" s="20" t="n">
        <f aca="false">IF(M672=0,"",L672/M672)</f>
        <v>0.176724137931034</v>
      </c>
      <c r="O672" s="20"/>
      <c r="P672" s="20" t="str">
        <f aca="false">IF(OR(N672="",O672=""),"",N672-O672)</f>
        <v/>
      </c>
      <c r="Q672" s="18"/>
    </row>
    <row r="673" customFormat="false" ht="15" hidden="false" customHeight="true" outlineLevel="0" collapsed="false">
      <c r="A673" s="18" t="s">
        <v>432</v>
      </c>
      <c r="B673" s="18" t="n">
        <v>0</v>
      </c>
      <c r="C673" s="18" t="s">
        <v>204</v>
      </c>
      <c r="D673" s="18"/>
      <c r="E673" s="18" t="s">
        <v>394</v>
      </c>
      <c r="F673" s="18" t="s">
        <v>220</v>
      </c>
      <c r="G673" s="19" t="n">
        <v>40565</v>
      </c>
      <c r="H673" s="18" t="n">
        <v>68</v>
      </c>
      <c r="I673" s="18" t="n">
        <v>18</v>
      </c>
      <c r="J673" s="18" t="n">
        <f aca="false">SUMIFS($H$2:$H$1200,$A$2:$A$1200,$A673,$B$2:$B$1200,"&lt;="&amp;$B673)</f>
        <v>68</v>
      </c>
      <c r="K673" s="18" t="n">
        <f aca="false">SUMIFS($I$2:$I$1200,$A$2:$A$1200,$A673,$B$2:$B$1200,"&lt;="&amp;$B673)</f>
        <v>18</v>
      </c>
      <c r="L673" s="18" t="n">
        <f aca="false">J673-K673</f>
        <v>50</v>
      </c>
      <c r="M673" s="18" t="n">
        <f aca="false">SUMIF($A$2:$A$1200,$A673,$H$2:$H$1200)</f>
        <v>245</v>
      </c>
      <c r="N673" s="20" t="n">
        <f aca="false">IF(M673=0,"",L673/M673)</f>
        <v>0.204081632653061</v>
      </c>
      <c r="O673" s="20"/>
      <c r="P673" s="20" t="str">
        <f aca="false">IF(OR(N673="",O673=""),"",N673-O673)</f>
        <v/>
      </c>
      <c r="Q673" s="18"/>
    </row>
    <row r="674" customFormat="false" ht="15" hidden="false" customHeight="true" outlineLevel="0" collapsed="false">
      <c r="A674" s="18" t="s">
        <v>432</v>
      </c>
      <c r="B674" s="18" t="n">
        <v>3</v>
      </c>
      <c r="C674" s="18" t="s">
        <v>525</v>
      </c>
      <c r="D674" s="18" t="n">
        <v>-180</v>
      </c>
      <c r="E674" s="18" t="s">
        <v>394</v>
      </c>
      <c r="F674" s="18" t="s">
        <v>220</v>
      </c>
      <c r="G674" s="19" t="n">
        <v>40565</v>
      </c>
      <c r="H674" s="18" t="n">
        <v>9</v>
      </c>
      <c r="I674" s="18" t="n">
        <v>3</v>
      </c>
      <c r="J674" s="18" t="n">
        <f aca="false">SUMIFS($H$2:$H$1200,$A$2:$A$1200,$A674,$B$2:$B$1200,"&lt;="&amp;$B674)</f>
        <v>77</v>
      </c>
      <c r="K674" s="18" t="n">
        <f aca="false">SUMIFS($I$2:$I$1200,$A$2:$A$1200,$A674,$B$2:$B$1200,"&lt;="&amp;$B674)</f>
        <v>21</v>
      </c>
      <c r="L674" s="18" t="n">
        <f aca="false">J674-K674</f>
        <v>56</v>
      </c>
      <c r="M674" s="18" t="n">
        <f aca="false">SUMIF($A$2:$A$1200,$A674,$H$2:$H$1200)</f>
        <v>245</v>
      </c>
      <c r="N674" s="20" t="n">
        <f aca="false">IF(M674=0,"",L674/M674)</f>
        <v>0.228571428571429</v>
      </c>
      <c r="O674" s="20"/>
      <c r="P674" s="20" t="str">
        <f aca="false">IF(OR(N674="",O674=""),"",N674-O674)</f>
        <v/>
      </c>
      <c r="Q674" s="18"/>
    </row>
    <row r="675" customFormat="false" ht="15" hidden="false" customHeight="true" outlineLevel="0" collapsed="false">
      <c r="A675" s="18" t="s">
        <v>432</v>
      </c>
      <c r="B675" s="18" t="n">
        <v>4</v>
      </c>
      <c r="C675" s="18" t="s">
        <v>526</v>
      </c>
      <c r="D675" s="18" t="n">
        <v>-165</v>
      </c>
      <c r="E675" s="18" t="s">
        <v>394</v>
      </c>
      <c r="F675" s="18" t="s">
        <v>220</v>
      </c>
      <c r="G675" s="19" t="n">
        <v>40565</v>
      </c>
      <c r="H675" s="18" t="n">
        <v>16</v>
      </c>
      <c r="I675" s="18" t="n">
        <v>8</v>
      </c>
      <c r="J675" s="18" t="n">
        <f aca="false">SUMIFS($H$2:$H$1200,$A$2:$A$1200,$A675,$B$2:$B$1200,"&lt;="&amp;$B675)</f>
        <v>93</v>
      </c>
      <c r="K675" s="18" t="n">
        <f aca="false">SUMIFS($I$2:$I$1200,$A$2:$A$1200,$A675,$B$2:$B$1200,"&lt;="&amp;$B675)</f>
        <v>29</v>
      </c>
      <c r="L675" s="18" t="n">
        <f aca="false">J675-K675</f>
        <v>64</v>
      </c>
      <c r="M675" s="18" t="n">
        <f aca="false">SUMIF($A$2:$A$1200,$A675,$H$2:$H$1200)</f>
        <v>245</v>
      </c>
      <c r="N675" s="20" t="n">
        <f aca="false">IF(M675=0,"",L675/M675)</f>
        <v>0.261224489795918</v>
      </c>
      <c r="O675" s="20"/>
      <c r="P675" s="20" t="str">
        <f aca="false">IF(OR(N675="",O675=""),"",N675-O675)</f>
        <v/>
      </c>
      <c r="Q675" s="18"/>
    </row>
    <row r="676" customFormat="false" ht="15" hidden="false" customHeight="true" outlineLevel="0" collapsed="false">
      <c r="A676" s="18" t="s">
        <v>432</v>
      </c>
      <c r="B676" s="18" t="n">
        <v>5</v>
      </c>
      <c r="C676" s="18" t="s">
        <v>527</v>
      </c>
      <c r="D676" s="18" t="n">
        <v>-150</v>
      </c>
      <c r="E676" s="18" t="s">
        <v>394</v>
      </c>
      <c r="F676" s="18" t="s">
        <v>220</v>
      </c>
      <c r="G676" s="19" t="n">
        <v>40565</v>
      </c>
      <c r="H676" s="18" t="n">
        <v>25</v>
      </c>
      <c r="I676" s="18" t="n">
        <v>8</v>
      </c>
      <c r="J676" s="18" t="n">
        <f aca="false">SUMIFS($H$2:$H$1200,$A$2:$A$1200,$A676,$B$2:$B$1200,"&lt;="&amp;$B676)</f>
        <v>118</v>
      </c>
      <c r="K676" s="18" t="n">
        <f aca="false">SUMIFS($I$2:$I$1200,$A$2:$A$1200,$A676,$B$2:$B$1200,"&lt;="&amp;$B676)</f>
        <v>37</v>
      </c>
      <c r="L676" s="18" t="n">
        <f aca="false">J676-K676</f>
        <v>81</v>
      </c>
      <c r="M676" s="18" t="n">
        <f aca="false">SUMIF($A$2:$A$1200,$A676,$H$2:$H$1200)</f>
        <v>245</v>
      </c>
      <c r="N676" s="20" t="n">
        <f aca="false">IF(M676=0,"",L676/M676)</f>
        <v>0.330612244897959</v>
      </c>
      <c r="O676" s="20"/>
      <c r="P676" s="20" t="str">
        <f aca="false">IF(OR(N676="",O676=""),"",N676-O676)</f>
        <v/>
      </c>
      <c r="Q676" s="18"/>
    </row>
    <row r="677" customFormat="false" ht="15" hidden="false" customHeight="true" outlineLevel="0" collapsed="false">
      <c r="A677" s="18" t="s">
        <v>432</v>
      </c>
      <c r="B677" s="18" t="n">
        <v>6</v>
      </c>
      <c r="C677" s="18" t="s">
        <v>528</v>
      </c>
      <c r="D677" s="18" t="n">
        <v>-135</v>
      </c>
      <c r="E677" s="18" t="s">
        <v>394</v>
      </c>
      <c r="F677" s="18" t="s">
        <v>220</v>
      </c>
      <c r="G677" s="19" t="n">
        <v>40565</v>
      </c>
      <c r="H677" s="18" t="n">
        <v>21</v>
      </c>
      <c r="I677" s="18" t="n">
        <v>5</v>
      </c>
      <c r="J677" s="18" t="n">
        <f aca="false">SUMIFS($H$2:$H$1200,$A$2:$A$1200,$A677,$B$2:$B$1200,"&lt;="&amp;$B677)</f>
        <v>139</v>
      </c>
      <c r="K677" s="18" t="n">
        <f aca="false">SUMIFS($I$2:$I$1200,$A$2:$A$1200,$A677,$B$2:$B$1200,"&lt;="&amp;$B677)</f>
        <v>42</v>
      </c>
      <c r="L677" s="18" t="n">
        <f aca="false">J677-K677</f>
        <v>97</v>
      </c>
      <c r="M677" s="18" t="n">
        <f aca="false">SUMIF($A$2:$A$1200,$A677,$H$2:$H$1200)</f>
        <v>245</v>
      </c>
      <c r="N677" s="20" t="n">
        <f aca="false">IF(M677=0,"",L677/M677)</f>
        <v>0.395918367346939</v>
      </c>
      <c r="O677" s="20"/>
      <c r="P677" s="20" t="str">
        <f aca="false">IF(OR(N677="",O677=""),"",N677-O677)</f>
        <v/>
      </c>
      <c r="Q677" s="18"/>
    </row>
    <row r="678" customFormat="false" ht="15" hidden="false" customHeight="true" outlineLevel="0" collapsed="false">
      <c r="A678" s="18" t="s">
        <v>432</v>
      </c>
      <c r="B678" s="18" t="n">
        <v>7</v>
      </c>
      <c r="C678" s="18" t="s">
        <v>227</v>
      </c>
      <c r="D678" s="18" t="n">
        <v>-120</v>
      </c>
      <c r="E678" s="18" t="s">
        <v>394</v>
      </c>
      <c r="F678" s="18" t="s">
        <v>220</v>
      </c>
      <c r="G678" s="19" t="n">
        <v>40565</v>
      </c>
      <c r="H678" s="18" t="n">
        <v>22</v>
      </c>
      <c r="I678" s="18" t="n">
        <v>5</v>
      </c>
      <c r="J678" s="18" t="n">
        <f aca="false">SUMIFS($H$2:$H$1200,$A$2:$A$1200,$A678,$B$2:$B$1200,"&lt;="&amp;$B678)</f>
        <v>161</v>
      </c>
      <c r="K678" s="18" t="n">
        <f aca="false">SUMIFS($I$2:$I$1200,$A$2:$A$1200,$A678,$B$2:$B$1200,"&lt;="&amp;$B678)</f>
        <v>47</v>
      </c>
      <c r="L678" s="18" t="n">
        <f aca="false">J678-K678</f>
        <v>114</v>
      </c>
      <c r="M678" s="18" t="n">
        <f aca="false">SUMIF($A$2:$A$1200,$A678,$H$2:$H$1200)</f>
        <v>245</v>
      </c>
      <c r="N678" s="20" t="n">
        <f aca="false">IF(M678=0,"",L678/M678)</f>
        <v>0.46530612244898</v>
      </c>
      <c r="O678" s="20"/>
      <c r="P678" s="20" t="str">
        <f aca="false">IF(OR(N678="",O678=""),"",N678-O678)</f>
        <v/>
      </c>
      <c r="Q678" s="18"/>
    </row>
    <row r="679" customFormat="false" ht="15" hidden="false" customHeight="true" outlineLevel="0" collapsed="false">
      <c r="A679" s="18" t="s">
        <v>432</v>
      </c>
      <c r="B679" s="18" t="n">
        <v>8</v>
      </c>
      <c r="C679" s="18" t="s">
        <v>241</v>
      </c>
      <c r="D679" s="18" t="n">
        <v>-105</v>
      </c>
      <c r="E679" s="18" t="s">
        <v>394</v>
      </c>
      <c r="F679" s="18" t="s">
        <v>220</v>
      </c>
      <c r="G679" s="19" t="n">
        <v>40565</v>
      </c>
      <c r="H679" s="18" t="n">
        <v>12</v>
      </c>
      <c r="I679" s="18" t="n">
        <v>15</v>
      </c>
      <c r="J679" s="18" t="n">
        <f aca="false">SUMIFS($H$2:$H$1200,$A$2:$A$1200,$A679,$B$2:$B$1200,"&lt;="&amp;$B679)</f>
        <v>173</v>
      </c>
      <c r="K679" s="18" t="n">
        <f aca="false">SUMIFS($I$2:$I$1200,$A$2:$A$1200,$A679,$B$2:$B$1200,"&lt;="&amp;$B679)</f>
        <v>62</v>
      </c>
      <c r="L679" s="18" t="n">
        <f aca="false">J679-K679</f>
        <v>111</v>
      </c>
      <c r="M679" s="18" t="n">
        <f aca="false">SUMIF($A$2:$A$1200,$A679,$H$2:$H$1200)</f>
        <v>245</v>
      </c>
      <c r="N679" s="20" t="n">
        <f aca="false">IF(M679=0,"",L679/M679)</f>
        <v>0.453061224489796</v>
      </c>
      <c r="O679" s="20"/>
      <c r="P679" s="20" t="str">
        <f aca="false">IF(OR(N679="",O679=""),"",N679-O679)</f>
        <v/>
      </c>
      <c r="Q679" s="18"/>
    </row>
    <row r="680" customFormat="false" ht="15" hidden="false" customHeight="true" outlineLevel="0" collapsed="false">
      <c r="A680" s="18" t="s">
        <v>432</v>
      </c>
      <c r="B680" s="18" t="n">
        <v>9</v>
      </c>
      <c r="C680" s="18" t="s">
        <v>279</v>
      </c>
      <c r="D680" s="18" t="n">
        <v>-90</v>
      </c>
      <c r="E680" s="18" t="s">
        <v>394</v>
      </c>
      <c r="F680" s="18" t="s">
        <v>220</v>
      </c>
      <c r="G680" s="19" t="n">
        <v>40565</v>
      </c>
      <c r="H680" s="18" t="n">
        <v>13</v>
      </c>
      <c r="I680" s="18" t="n">
        <v>7</v>
      </c>
      <c r="J680" s="18" t="n">
        <f aca="false">SUMIFS($H$2:$H$1200,$A$2:$A$1200,$A680,$B$2:$B$1200,"&lt;="&amp;$B680)</f>
        <v>186</v>
      </c>
      <c r="K680" s="18" t="n">
        <f aca="false">SUMIFS($I$2:$I$1200,$A$2:$A$1200,$A680,$B$2:$B$1200,"&lt;="&amp;$B680)</f>
        <v>69</v>
      </c>
      <c r="L680" s="18" t="n">
        <f aca="false">J680-K680</f>
        <v>117</v>
      </c>
      <c r="M680" s="18" t="n">
        <f aca="false">SUMIF($A$2:$A$1200,$A680,$H$2:$H$1200)</f>
        <v>245</v>
      </c>
      <c r="N680" s="20" t="n">
        <f aca="false">IF(M680=0,"",L680/M680)</f>
        <v>0.477551020408163</v>
      </c>
      <c r="O680" s="20"/>
      <c r="P680" s="20" t="str">
        <f aca="false">IF(OR(N680="",O680=""),"",N680-O680)</f>
        <v/>
      </c>
      <c r="Q680" s="18"/>
    </row>
    <row r="681" customFormat="false" ht="15" hidden="false" customHeight="true" outlineLevel="0" collapsed="false">
      <c r="A681" s="18" t="s">
        <v>432</v>
      </c>
      <c r="B681" s="18" t="n">
        <v>10</v>
      </c>
      <c r="C681" s="18" t="s">
        <v>206</v>
      </c>
      <c r="D681" s="18" t="n">
        <v>-75</v>
      </c>
      <c r="E681" s="18" t="s">
        <v>394</v>
      </c>
      <c r="F681" s="18" t="s">
        <v>220</v>
      </c>
      <c r="G681" s="19" t="n">
        <v>40565</v>
      </c>
      <c r="H681" s="18" t="n">
        <v>28</v>
      </c>
      <c r="I681" s="18" t="n">
        <v>16</v>
      </c>
      <c r="J681" s="18" t="n">
        <f aca="false">SUMIFS($H$2:$H$1200,$A$2:$A$1200,$A681,$B$2:$B$1200,"&lt;="&amp;$B681)</f>
        <v>214</v>
      </c>
      <c r="K681" s="18" t="n">
        <f aca="false">SUMIFS($I$2:$I$1200,$A$2:$A$1200,$A681,$B$2:$B$1200,"&lt;="&amp;$B681)</f>
        <v>85</v>
      </c>
      <c r="L681" s="18" t="n">
        <f aca="false">J681-K681</f>
        <v>129</v>
      </c>
      <c r="M681" s="18" t="n">
        <f aca="false">SUMIF($A$2:$A$1200,$A681,$H$2:$H$1200)</f>
        <v>245</v>
      </c>
      <c r="N681" s="20" t="n">
        <f aca="false">IF(M681=0,"",L681/M681)</f>
        <v>0.526530612244898</v>
      </c>
      <c r="O681" s="20"/>
      <c r="P681" s="20" t="str">
        <f aca="false">IF(OR(N681="",O681=""),"",N681-O681)</f>
        <v/>
      </c>
      <c r="Q681" s="18"/>
    </row>
    <row r="682" customFormat="false" ht="15" hidden="false" customHeight="true" outlineLevel="0" collapsed="false">
      <c r="A682" s="18" t="s">
        <v>432</v>
      </c>
      <c r="B682" s="18" t="n">
        <v>11</v>
      </c>
      <c r="C682" s="18" t="s">
        <v>246</v>
      </c>
      <c r="D682" s="18" t="n">
        <v>-60</v>
      </c>
      <c r="E682" s="18" t="s">
        <v>394</v>
      </c>
      <c r="F682" s="18" t="s">
        <v>220</v>
      </c>
      <c r="G682" s="19" t="n">
        <v>40565</v>
      </c>
      <c r="H682" s="18" t="n">
        <v>9</v>
      </c>
      <c r="I682" s="18" t="n">
        <v>6</v>
      </c>
      <c r="J682" s="18" t="n">
        <f aca="false">SUMIFS($H$2:$H$1200,$A$2:$A$1200,$A682,$B$2:$B$1200,"&lt;="&amp;$B682)</f>
        <v>223</v>
      </c>
      <c r="K682" s="18" t="n">
        <f aca="false">SUMIFS($I$2:$I$1200,$A$2:$A$1200,$A682,$B$2:$B$1200,"&lt;="&amp;$B682)</f>
        <v>91</v>
      </c>
      <c r="L682" s="18" t="n">
        <f aca="false">J682-K682</f>
        <v>132</v>
      </c>
      <c r="M682" s="18" t="n">
        <f aca="false">SUMIF($A$2:$A$1200,$A682,$H$2:$H$1200)</f>
        <v>245</v>
      </c>
      <c r="N682" s="20" t="n">
        <f aca="false">IF(M682=0,"",L682/M682)</f>
        <v>0.538775510204082</v>
      </c>
      <c r="O682" s="20"/>
      <c r="P682" s="20" t="str">
        <f aca="false">IF(OR(N682="",O682=""),"",N682-O682)</f>
        <v/>
      </c>
      <c r="Q682" s="18"/>
    </row>
    <row r="683" customFormat="false" ht="15" hidden="false" customHeight="true" outlineLevel="0" collapsed="false">
      <c r="A683" s="18" t="s">
        <v>432</v>
      </c>
      <c r="B683" s="18" t="n">
        <v>12</v>
      </c>
      <c r="C683" s="18" t="s">
        <v>254</v>
      </c>
      <c r="D683" s="18" t="n">
        <v>-45</v>
      </c>
      <c r="E683" s="18" t="s">
        <v>394</v>
      </c>
      <c r="F683" s="18" t="s">
        <v>220</v>
      </c>
      <c r="G683" s="19" t="n">
        <v>40565</v>
      </c>
      <c r="H683" s="18" t="n">
        <v>4</v>
      </c>
      <c r="I683" s="18" t="n">
        <v>18</v>
      </c>
      <c r="J683" s="18" t="n">
        <f aca="false">SUMIFS($H$2:$H$1200,$A$2:$A$1200,$A683,$B$2:$B$1200,"&lt;="&amp;$B683)</f>
        <v>227</v>
      </c>
      <c r="K683" s="18" t="n">
        <f aca="false">SUMIFS($I$2:$I$1200,$A$2:$A$1200,$A683,$B$2:$B$1200,"&lt;="&amp;$B683)</f>
        <v>109</v>
      </c>
      <c r="L683" s="18" t="n">
        <f aca="false">J683-K683</f>
        <v>118</v>
      </c>
      <c r="M683" s="18" t="n">
        <f aca="false">SUMIF($A$2:$A$1200,$A683,$H$2:$H$1200)</f>
        <v>245</v>
      </c>
      <c r="N683" s="20" t="n">
        <f aca="false">IF(M683=0,"",L683/M683)</f>
        <v>0.481632653061225</v>
      </c>
      <c r="O683" s="20"/>
      <c r="P683" s="20" t="str">
        <f aca="false">IF(OR(N683="",O683=""),"",N683-O683)</f>
        <v/>
      </c>
      <c r="Q683" s="18"/>
    </row>
    <row r="684" customFormat="false" ht="15" hidden="false" customHeight="true" outlineLevel="0" collapsed="false">
      <c r="A684" s="18" t="s">
        <v>432</v>
      </c>
      <c r="B684" s="18" t="n">
        <v>13</v>
      </c>
      <c r="C684" s="18" t="s">
        <v>403</v>
      </c>
      <c r="D684" s="18" t="n">
        <v>-30</v>
      </c>
      <c r="E684" s="18" t="s">
        <v>394</v>
      </c>
      <c r="F684" s="18" t="s">
        <v>220</v>
      </c>
      <c r="G684" s="19" t="n">
        <v>40565</v>
      </c>
      <c r="H684" s="18" t="n">
        <v>5</v>
      </c>
      <c r="I684" s="18" t="n">
        <v>28</v>
      </c>
      <c r="J684" s="18" t="n">
        <f aca="false">SUMIFS($H$2:$H$1200,$A$2:$A$1200,$A684,$B$2:$B$1200,"&lt;="&amp;$B684)</f>
        <v>232</v>
      </c>
      <c r="K684" s="18" t="n">
        <f aca="false">SUMIFS($I$2:$I$1200,$A$2:$A$1200,$A684,$B$2:$B$1200,"&lt;="&amp;$B684)</f>
        <v>137</v>
      </c>
      <c r="L684" s="18" t="n">
        <f aca="false">J684-K684</f>
        <v>95</v>
      </c>
      <c r="M684" s="18" t="n">
        <f aca="false">SUMIF($A$2:$A$1200,$A684,$H$2:$H$1200)</f>
        <v>245</v>
      </c>
      <c r="N684" s="20" t="n">
        <f aca="false">IF(M684=0,"",L684/M684)</f>
        <v>0.387755102040816</v>
      </c>
      <c r="O684" s="20"/>
      <c r="P684" s="20" t="str">
        <f aca="false">IF(OR(N684="",O684=""),"",N684-O684)</f>
        <v/>
      </c>
      <c r="Q684" s="18"/>
    </row>
    <row r="685" customFormat="false" ht="15" hidden="false" customHeight="true" outlineLevel="0" collapsed="false">
      <c r="A685" s="18" t="s">
        <v>432</v>
      </c>
      <c r="B685" s="18" t="n">
        <v>14</v>
      </c>
      <c r="C685" s="18" t="s">
        <v>529</v>
      </c>
      <c r="D685" s="18" t="n">
        <v>-15</v>
      </c>
      <c r="E685" s="18" t="s">
        <v>394</v>
      </c>
      <c r="F685" s="18" t="s">
        <v>220</v>
      </c>
      <c r="G685" s="19" t="n">
        <v>40565</v>
      </c>
      <c r="H685" s="18" t="n">
        <v>5</v>
      </c>
      <c r="I685" s="18" t="n">
        <v>29</v>
      </c>
      <c r="J685" s="18" t="n">
        <f aca="false">SUMIFS($H$2:$H$1200,$A$2:$A$1200,$A685,$B$2:$B$1200,"&lt;="&amp;$B685)</f>
        <v>237</v>
      </c>
      <c r="K685" s="18" t="n">
        <f aca="false">SUMIFS($I$2:$I$1200,$A$2:$A$1200,$A685,$B$2:$B$1200,"&lt;="&amp;$B685)</f>
        <v>166</v>
      </c>
      <c r="L685" s="18" t="n">
        <f aca="false">J685-K685</f>
        <v>71</v>
      </c>
      <c r="M685" s="18" t="n">
        <f aca="false">SUMIF($A$2:$A$1200,$A685,$H$2:$H$1200)</f>
        <v>245</v>
      </c>
      <c r="N685" s="20" t="n">
        <f aca="false">IF(M685=0,"",L685/M685)</f>
        <v>0.289795918367347</v>
      </c>
      <c r="O685" s="20"/>
      <c r="P685" s="20" t="str">
        <f aca="false">IF(OR(N685="",O685=""),"",N685-O685)</f>
        <v/>
      </c>
      <c r="Q685" s="18"/>
    </row>
    <row r="686" customFormat="false" ht="15" hidden="false" customHeight="true" outlineLevel="0" collapsed="false">
      <c r="A686" s="18" t="s">
        <v>432</v>
      </c>
      <c r="B686" s="18" t="n">
        <v>15</v>
      </c>
      <c r="C686" s="18" t="s">
        <v>463</v>
      </c>
      <c r="D686" s="18" t="n">
        <v>0</v>
      </c>
      <c r="E686" s="18" t="s">
        <v>394</v>
      </c>
      <c r="F686" s="18" t="s">
        <v>220</v>
      </c>
      <c r="G686" s="19" t="n">
        <v>40565</v>
      </c>
      <c r="H686" s="18" t="n">
        <v>3</v>
      </c>
      <c r="I686" s="18" t="n">
        <v>21</v>
      </c>
      <c r="J686" s="18" t="n">
        <f aca="false">SUMIFS($H$2:$H$1200,$A$2:$A$1200,$A686,$B$2:$B$1200,"&lt;="&amp;$B686)</f>
        <v>240</v>
      </c>
      <c r="K686" s="18" t="n">
        <f aca="false">SUMIFS($I$2:$I$1200,$A$2:$A$1200,$A686,$B$2:$B$1200,"&lt;="&amp;$B686)</f>
        <v>187</v>
      </c>
      <c r="L686" s="18" t="n">
        <f aca="false">J686-K686</f>
        <v>53</v>
      </c>
      <c r="M686" s="18" t="n">
        <f aca="false">SUMIF($A$2:$A$1200,$A686,$H$2:$H$1200)</f>
        <v>245</v>
      </c>
      <c r="N686" s="20" t="n">
        <f aca="false">IF(M686=0,"",L686/M686)</f>
        <v>0.216326530612245</v>
      </c>
      <c r="O686" s="20"/>
      <c r="P686" s="20" t="str">
        <f aca="false">IF(OR(N686="",O686=""),"",N686-O686)</f>
        <v/>
      </c>
      <c r="Q686" s="18"/>
    </row>
    <row r="687" customFormat="false" ht="15" hidden="false" customHeight="true" outlineLevel="0" collapsed="false">
      <c r="A687" s="18" t="s">
        <v>432</v>
      </c>
      <c r="B687" s="18" t="n">
        <v>16</v>
      </c>
      <c r="C687" s="18" t="s">
        <v>366</v>
      </c>
      <c r="D687" s="18" t="n">
        <v>15</v>
      </c>
      <c r="E687" s="18" t="s">
        <v>394</v>
      </c>
      <c r="F687" s="18" t="s">
        <v>220</v>
      </c>
      <c r="G687" s="19" t="n">
        <v>40565</v>
      </c>
      <c r="H687" s="18" t="n">
        <v>2</v>
      </c>
      <c r="I687" s="18" t="n">
        <v>10</v>
      </c>
      <c r="J687" s="18" t="n">
        <f aca="false">SUMIFS($H$2:$H$1200,$A$2:$A$1200,$A687,$B$2:$B$1200,"&lt;="&amp;$B687)</f>
        <v>242</v>
      </c>
      <c r="K687" s="18" t="n">
        <f aca="false">SUMIFS($I$2:$I$1200,$A$2:$A$1200,$A687,$B$2:$B$1200,"&lt;="&amp;$B687)</f>
        <v>197</v>
      </c>
      <c r="L687" s="18" t="n">
        <f aca="false">J687-K687</f>
        <v>45</v>
      </c>
      <c r="M687" s="18" t="n">
        <f aca="false">SUMIF($A$2:$A$1200,$A687,$H$2:$H$1200)</f>
        <v>245</v>
      </c>
      <c r="N687" s="20" t="n">
        <f aca="false">IF(M687=0,"",L687/M687)</f>
        <v>0.183673469387755</v>
      </c>
      <c r="O687" s="20"/>
      <c r="P687" s="20" t="str">
        <f aca="false">IF(OR(N687="",O687=""),"",N687-O687)</f>
        <v/>
      </c>
      <c r="Q687" s="18"/>
    </row>
    <row r="688" customFormat="false" ht="15" hidden="false" customHeight="true" outlineLevel="0" collapsed="false">
      <c r="A688" s="18" t="s">
        <v>432</v>
      </c>
      <c r="B688" s="18" t="n">
        <v>17</v>
      </c>
      <c r="C688" s="18" t="s">
        <v>326</v>
      </c>
      <c r="D688" s="18" t="n">
        <v>30</v>
      </c>
      <c r="E688" s="18" t="s">
        <v>394</v>
      </c>
      <c r="F688" s="18" t="s">
        <v>220</v>
      </c>
      <c r="G688" s="19" t="n">
        <v>40565</v>
      </c>
      <c r="H688" s="18" t="n">
        <v>1</v>
      </c>
      <c r="I688" s="18" t="n">
        <v>15</v>
      </c>
      <c r="J688" s="18" t="n">
        <f aca="false">SUMIFS($H$2:$H$1200,$A$2:$A$1200,$A688,$B$2:$B$1200,"&lt;="&amp;$B688)</f>
        <v>243</v>
      </c>
      <c r="K688" s="18" t="n">
        <f aca="false">SUMIFS($I$2:$I$1200,$A$2:$A$1200,$A688,$B$2:$B$1200,"&lt;="&amp;$B688)</f>
        <v>212</v>
      </c>
      <c r="L688" s="18" t="n">
        <f aca="false">J688-K688</f>
        <v>31</v>
      </c>
      <c r="M688" s="18" t="n">
        <f aca="false">SUMIF($A$2:$A$1200,$A688,$H$2:$H$1200)</f>
        <v>245</v>
      </c>
      <c r="N688" s="20" t="n">
        <f aca="false">IF(M688=0,"",L688/M688)</f>
        <v>0.126530612244898</v>
      </c>
      <c r="O688" s="20"/>
      <c r="P688" s="20" t="str">
        <f aca="false">IF(OR(N688="",O688=""),"",N688-O688)</f>
        <v/>
      </c>
      <c r="Q688" s="18"/>
    </row>
    <row r="689" customFormat="false" ht="15" hidden="false" customHeight="true" outlineLevel="0" collapsed="false">
      <c r="A689" s="18" t="s">
        <v>432</v>
      </c>
      <c r="B689" s="18" t="n">
        <v>18</v>
      </c>
      <c r="C689" s="18" t="s">
        <v>226</v>
      </c>
      <c r="D689" s="18" t="n">
        <v>45</v>
      </c>
      <c r="E689" s="18" t="s">
        <v>394</v>
      </c>
      <c r="F689" s="18" t="s">
        <v>220</v>
      </c>
      <c r="G689" s="19" t="n">
        <v>40565</v>
      </c>
      <c r="H689" s="18" t="n">
        <v>2</v>
      </c>
      <c r="I689" s="18" t="n">
        <v>7</v>
      </c>
      <c r="J689" s="18" t="n">
        <f aca="false">SUMIFS($H$2:$H$1200,$A$2:$A$1200,$A689,$B$2:$B$1200,"&lt;="&amp;$B689)</f>
        <v>245</v>
      </c>
      <c r="K689" s="18" t="n">
        <f aca="false">SUMIFS($I$2:$I$1200,$A$2:$A$1200,$A689,$B$2:$B$1200,"&lt;="&amp;$B689)</f>
        <v>219</v>
      </c>
      <c r="L689" s="18" t="n">
        <f aca="false">J689-K689</f>
        <v>26</v>
      </c>
      <c r="M689" s="18" t="n">
        <f aca="false">SUMIF($A$2:$A$1200,$A689,$H$2:$H$1200)</f>
        <v>245</v>
      </c>
      <c r="N689" s="20" t="n">
        <f aca="false">IF(M689=0,"",L689/M689)</f>
        <v>0.106122448979592</v>
      </c>
      <c r="O689" s="20"/>
      <c r="P689" s="20" t="str">
        <f aca="false">IF(OR(N689="",O689=""),"",N689-O689)</f>
        <v/>
      </c>
      <c r="Q689" s="18"/>
    </row>
    <row r="690" customFormat="false" ht="15" hidden="false" customHeight="true" outlineLevel="0" collapsed="false">
      <c r="A690" s="18" t="s">
        <v>435</v>
      </c>
      <c r="B690" s="18" t="n">
        <v>0</v>
      </c>
      <c r="C690" s="18" t="s">
        <v>204</v>
      </c>
      <c r="D690" s="18"/>
      <c r="E690" s="18" t="s">
        <v>394</v>
      </c>
      <c r="F690" s="18" t="s">
        <v>220</v>
      </c>
      <c r="G690" s="19" t="n">
        <v>40591</v>
      </c>
      <c r="H690" s="18" t="n">
        <v>19</v>
      </c>
      <c r="I690" s="18" t="n">
        <v>1</v>
      </c>
      <c r="J690" s="18" t="n">
        <f aca="false">SUMIFS($H$2:$H$1200,$A$2:$A$1200,$A690,$B$2:$B$1200,"&lt;="&amp;$B690)</f>
        <v>19</v>
      </c>
      <c r="K690" s="18" t="n">
        <f aca="false">SUMIFS($I$2:$I$1200,$A$2:$A$1200,$A690,$B$2:$B$1200,"&lt;="&amp;$B690)</f>
        <v>1</v>
      </c>
      <c r="L690" s="18" t="n">
        <f aca="false">J690-K690</f>
        <v>18</v>
      </c>
      <c r="M690" s="18" t="n">
        <f aca="false">SUMIF($A$2:$A$1200,$A690,$H$2:$H$1200)</f>
        <v>293</v>
      </c>
      <c r="N690" s="20" t="n">
        <f aca="false">IF(M690=0,"",L690/M690)</f>
        <v>0.0614334470989761</v>
      </c>
      <c r="O690" s="20"/>
      <c r="P690" s="20" t="str">
        <f aca="false">IF(OR(N690="",O690=""),"",N690-O690)</f>
        <v/>
      </c>
      <c r="Q690" s="18"/>
    </row>
    <row r="691" customFormat="false" ht="15" hidden="false" customHeight="true" outlineLevel="0" collapsed="false">
      <c r="A691" s="18" t="s">
        <v>435</v>
      </c>
      <c r="B691" s="18" t="n">
        <v>2</v>
      </c>
      <c r="C691" s="18" t="s">
        <v>340</v>
      </c>
      <c r="D691" s="18" t="n">
        <v>-195</v>
      </c>
      <c r="E691" s="18" t="s">
        <v>394</v>
      </c>
      <c r="F691" s="18" t="s">
        <v>220</v>
      </c>
      <c r="G691" s="19" t="n">
        <v>40591</v>
      </c>
      <c r="H691" s="18" t="n">
        <v>12</v>
      </c>
      <c r="I691" s="18" t="n">
        <v>0</v>
      </c>
      <c r="J691" s="18" t="n">
        <f aca="false">SUMIFS($H$2:$H$1200,$A$2:$A$1200,$A691,$B$2:$B$1200,"&lt;="&amp;$B691)</f>
        <v>31</v>
      </c>
      <c r="K691" s="18" t="n">
        <f aca="false">SUMIFS($I$2:$I$1200,$A$2:$A$1200,$A691,$B$2:$B$1200,"&lt;="&amp;$B691)</f>
        <v>1</v>
      </c>
      <c r="L691" s="18" t="n">
        <f aca="false">J691-K691</f>
        <v>30</v>
      </c>
      <c r="M691" s="18" t="n">
        <f aca="false">SUMIF($A$2:$A$1200,$A691,$H$2:$H$1200)</f>
        <v>293</v>
      </c>
      <c r="N691" s="20" t="n">
        <f aca="false">IF(M691=0,"",L691/M691)</f>
        <v>0.102389078498294</v>
      </c>
      <c r="O691" s="20"/>
      <c r="P691" s="20" t="str">
        <f aca="false">IF(OR(N691="",O691=""),"",N691-O691)</f>
        <v/>
      </c>
      <c r="Q691" s="18"/>
    </row>
    <row r="692" customFormat="false" ht="15" hidden="false" customHeight="true" outlineLevel="0" collapsed="false">
      <c r="A692" s="18" t="s">
        <v>435</v>
      </c>
      <c r="B692" s="18" t="n">
        <v>3</v>
      </c>
      <c r="C692" s="18" t="s">
        <v>525</v>
      </c>
      <c r="D692" s="18" t="n">
        <v>-180</v>
      </c>
      <c r="E692" s="18" t="s">
        <v>394</v>
      </c>
      <c r="F692" s="18" t="s">
        <v>220</v>
      </c>
      <c r="G692" s="19" t="n">
        <v>40591</v>
      </c>
      <c r="H692" s="18" t="n">
        <v>27</v>
      </c>
      <c r="I692" s="18" t="n">
        <v>2</v>
      </c>
      <c r="J692" s="18" t="n">
        <f aca="false">SUMIFS($H$2:$H$1200,$A$2:$A$1200,$A692,$B$2:$B$1200,"&lt;="&amp;$B692)</f>
        <v>58</v>
      </c>
      <c r="K692" s="18" t="n">
        <f aca="false">SUMIFS($I$2:$I$1200,$A$2:$A$1200,$A692,$B$2:$B$1200,"&lt;="&amp;$B692)</f>
        <v>3</v>
      </c>
      <c r="L692" s="18" t="n">
        <f aca="false">J692-K692</f>
        <v>55</v>
      </c>
      <c r="M692" s="18" t="n">
        <f aca="false">SUMIF($A$2:$A$1200,$A692,$H$2:$H$1200)</f>
        <v>293</v>
      </c>
      <c r="N692" s="20" t="n">
        <f aca="false">IF(M692=0,"",L692/M692)</f>
        <v>0.187713310580205</v>
      </c>
      <c r="O692" s="20"/>
      <c r="P692" s="20" t="str">
        <f aca="false">IF(OR(N692="",O692=""),"",N692-O692)</f>
        <v/>
      </c>
      <c r="Q692" s="18"/>
    </row>
    <row r="693" customFormat="false" ht="15" hidden="false" customHeight="true" outlineLevel="0" collapsed="false">
      <c r="A693" s="18" t="s">
        <v>435</v>
      </c>
      <c r="B693" s="18" t="n">
        <v>4</v>
      </c>
      <c r="C693" s="18" t="s">
        <v>526</v>
      </c>
      <c r="D693" s="18" t="n">
        <v>-165</v>
      </c>
      <c r="E693" s="18" t="s">
        <v>394</v>
      </c>
      <c r="F693" s="18" t="s">
        <v>220</v>
      </c>
      <c r="G693" s="19" t="n">
        <v>40591</v>
      </c>
      <c r="H693" s="18" t="n">
        <v>27</v>
      </c>
      <c r="I693" s="18" t="n">
        <v>4</v>
      </c>
      <c r="J693" s="18" t="n">
        <f aca="false">SUMIFS($H$2:$H$1200,$A$2:$A$1200,$A693,$B$2:$B$1200,"&lt;="&amp;$B693)</f>
        <v>85</v>
      </c>
      <c r="K693" s="18" t="n">
        <f aca="false">SUMIFS($I$2:$I$1200,$A$2:$A$1200,$A693,$B$2:$B$1200,"&lt;="&amp;$B693)</f>
        <v>7</v>
      </c>
      <c r="L693" s="18" t="n">
        <f aca="false">J693-K693</f>
        <v>78</v>
      </c>
      <c r="M693" s="18" t="n">
        <f aca="false">SUMIF($A$2:$A$1200,$A693,$H$2:$H$1200)</f>
        <v>293</v>
      </c>
      <c r="N693" s="20" t="n">
        <f aca="false">IF(M693=0,"",L693/M693)</f>
        <v>0.266211604095563</v>
      </c>
      <c r="O693" s="20"/>
      <c r="P693" s="20" t="str">
        <f aca="false">IF(OR(N693="",O693=""),"",N693-O693)</f>
        <v/>
      </c>
      <c r="Q693" s="18"/>
    </row>
    <row r="694" customFormat="false" ht="15" hidden="false" customHeight="true" outlineLevel="0" collapsed="false">
      <c r="A694" s="18" t="s">
        <v>435</v>
      </c>
      <c r="B694" s="18" t="n">
        <v>5</v>
      </c>
      <c r="C694" s="18" t="s">
        <v>527</v>
      </c>
      <c r="D694" s="18" t="n">
        <v>-150</v>
      </c>
      <c r="E694" s="18" t="s">
        <v>394</v>
      </c>
      <c r="F694" s="18" t="s">
        <v>220</v>
      </c>
      <c r="G694" s="19" t="n">
        <v>40591</v>
      </c>
      <c r="H694" s="18" t="n">
        <v>31</v>
      </c>
      <c r="I694" s="18" t="n">
        <v>2</v>
      </c>
      <c r="J694" s="18" t="n">
        <f aca="false">SUMIFS($H$2:$H$1200,$A$2:$A$1200,$A694,$B$2:$B$1200,"&lt;="&amp;$B694)</f>
        <v>116</v>
      </c>
      <c r="K694" s="18" t="n">
        <f aca="false">SUMIFS($I$2:$I$1200,$A$2:$A$1200,$A694,$B$2:$B$1200,"&lt;="&amp;$B694)</f>
        <v>9</v>
      </c>
      <c r="L694" s="18" t="n">
        <f aca="false">J694-K694</f>
        <v>107</v>
      </c>
      <c r="M694" s="18" t="n">
        <f aca="false">SUMIF($A$2:$A$1200,$A694,$H$2:$H$1200)</f>
        <v>293</v>
      </c>
      <c r="N694" s="20" t="n">
        <f aca="false">IF(M694=0,"",L694/M694)</f>
        <v>0.36518771331058</v>
      </c>
      <c r="O694" s="20"/>
      <c r="P694" s="20" t="str">
        <f aca="false">IF(OR(N694="",O694=""),"",N694-O694)</f>
        <v/>
      </c>
      <c r="Q694" s="18"/>
    </row>
    <row r="695" customFormat="false" ht="15" hidden="false" customHeight="true" outlineLevel="0" collapsed="false">
      <c r="A695" s="18" t="s">
        <v>435</v>
      </c>
      <c r="B695" s="18" t="n">
        <v>6</v>
      </c>
      <c r="C695" s="18" t="s">
        <v>528</v>
      </c>
      <c r="D695" s="18" t="n">
        <v>-135</v>
      </c>
      <c r="E695" s="18" t="s">
        <v>394</v>
      </c>
      <c r="F695" s="18" t="s">
        <v>220</v>
      </c>
      <c r="G695" s="19" t="n">
        <v>40591</v>
      </c>
      <c r="H695" s="18" t="n">
        <v>26</v>
      </c>
      <c r="I695" s="18" t="n">
        <v>1</v>
      </c>
      <c r="J695" s="18" t="n">
        <f aca="false">SUMIFS($H$2:$H$1200,$A$2:$A$1200,$A695,$B$2:$B$1200,"&lt;="&amp;$B695)</f>
        <v>142</v>
      </c>
      <c r="K695" s="18" t="n">
        <f aca="false">SUMIFS($I$2:$I$1200,$A$2:$A$1200,$A695,$B$2:$B$1200,"&lt;="&amp;$B695)</f>
        <v>10</v>
      </c>
      <c r="L695" s="18" t="n">
        <f aca="false">J695-K695</f>
        <v>132</v>
      </c>
      <c r="M695" s="18" t="n">
        <f aca="false">SUMIF($A$2:$A$1200,$A695,$H$2:$H$1200)</f>
        <v>293</v>
      </c>
      <c r="N695" s="20" t="n">
        <f aca="false">IF(M695=0,"",L695/M695)</f>
        <v>0.450511945392491</v>
      </c>
      <c r="O695" s="20"/>
      <c r="P695" s="20" t="str">
        <f aca="false">IF(OR(N695="",O695=""),"",N695-O695)</f>
        <v/>
      </c>
      <c r="Q695" s="18"/>
    </row>
    <row r="696" customFormat="false" ht="15" hidden="false" customHeight="true" outlineLevel="0" collapsed="false">
      <c r="A696" s="18" t="s">
        <v>435</v>
      </c>
      <c r="B696" s="18" t="n">
        <v>7</v>
      </c>
      <c r="C696" s="18" t="s">
        <v>227</v>
      </c>
      <c r="D696" s="18" t="n">
        <v>-120</v>
      </c>
      <c r="E696" s="18" t="s">
        <v>394</v>
      </c>
      <c r="F696" s="18" t="s">
        <v>220</v>
      </c>
      <c r="G696" s="19" t="n">
        <v>40591</v>
      </c>
      <c r="H696" s="18" t="n">
        <v>24</v>
      </c>
      <c r="I696" s="18" t="n">
        <v>5</v>
      </c>
      <c r="J696" s="18" t="n">
        <f aca="false">SUMIFS($H$2:$H$1200,$A$2:$A$1200,$A696,$B$2:$B$1200,"&lt;="&amp;$B696)</f>
        <v>166</v>
      </c>
      <c r="K696" s="18" t="n">
        <f aca="false">SUMIFS($I$2:$I$1200,$A$2:$A$1200,$A696,$B$2:$B$1200,"&lt;="&amp;$B696)</f>
        <v>15</v>
      </c>
      <c r="L696" s="18" t="n">
        <f aca="false">J696-K696</f>
        <v>151</v>
      </c>
      <c r="M696" s="18" t="n">
        <f aca="false">SUMIF($A$2:$A$1200,$A696,$H$2:$H$1200)</f>
        <v>293</v>
      </c>
      <c r="N696" s="20" t="n">
        <f aca="false">IF(M696=0,"",L696/M696)</f>
        <v>0.515358361774744</v>
      </c>
      <c r="O696" s="20"/>
      <c r="P696" s="20" t="str">
        <f aca="false">IF(OR(N696="",O696=""),"",N696-O696)</f>
        <v/>
      </c>
      <c r="Q696" s="18"/>
    </row>
    <row r="697" customFormat="false" ht="15" hidden="false" customHeight="true" outlineLevel="0" collapsed="false">
      <c r="A697" s="18" t="s">
        <v>435</v>
      </c>
      <c r="B697" s="18" t="n">
        <v>8</v>
      </c>
      <c r="C697" s="18" t="s">
        <v>241</v>
      </c>
      <c r="D697" s="18" t="n">
        <v>-105</v>
      </c>
      <c r="E697" s="18" t="s">
        <v>394</v>
      </c>
      <c r="F697" s="18" t="s">
        <v>220</v>
      </c>
      <c r="G697" s="19" t="n">
        <v>40591</v>
      </c>
      <c r="H697" s="18" t="n">
        <v>24</v>
      </c>
      <c r="I697" s="18" t="n">
        <v>9</v>
      </c>
      <c r="J697" s="18" t="n">
        <f aca="false">SUMIFS($H$2:$H$1200,$A$2:$A$1200,$A697,$B$2:$B$1200,"&lt;="&amp;$B697)</f>
        <v>190</v>
      </c>
      <c r="K697" s="18" t="n">
        <f aca="false">SUMIFS($I$2:$I$1200,$A$2:$A$1200,$A697,$B$2:$B$1200,"&lt;="&amp;$B697)</f>
        <v>24</v>
      </c>
      <c r="L697" s="18" t="n">
        <f aca="false">J697-K697</f>
        <v>166</v>
      </c>
      <c r="M697" s="18" t="n">
        <f aca="false">SUMIF($A$2:$A$1200,$A697,$H$2:$H$1200)</f>
        <v>293</v>
      </c>
      <c r="N697" s="20" t="n">
        <f aca="false">IF(M697=0,"",L697/M697)</f>
        <v>0.566552901023891</v>
      </c>
      <c r="O697" s="20"/>
      <c r="P697" s="20" t="str">
        <f aca="false">IF(OR(N697="",O697=""),"",N697-O697)</f>
        <v/>
      </c>
      <c r="Q697" s="18"/>
    </row>
    <row r="698" customFormat="false" ht="15" hidden="false" customHeight="true" outlineLevel="0" collapsed="false">
      <c r="A698" s="18" t="s">
        <v>435</v>
      </c>
      <c r="B698" s="18" t="n">
        <v>9</v>
      </c>
      <c r="C698" s="18" t="s">
        <v>279</v>
      </c>
      <c r="D698" s="18" t="n">
        <v>-90</v>
      </c>
      <c r="E698" s="18" t="s">
        <v>394</v>
      </c>
      <c r="F698" s="18" t="s">
        <v>220</v>
      </c>
      <c r="G698" s="19" t="n">
        <v>40591</v>
      </c>
      <c r="H698" s="18" t="n">
        <v>21</v>
      </c>
      <c r="I698" s="18" t="n">
        <v>12</v>
      </c>
      <c r="J698" s="18" t="n">
        <f aca="false">SUMIFS($H$2:$H$1200,$A$2:$A$1200,$A698,$B$2:$B$1200,"&lt;="&amp;$B698)</f>
        <v>211</v>
      </c>
      <c r="K698" s="18" t="n">
        <f aca="false">SUMIFS($I$2:$I$1200,$A$2:$A$1200,$A698,$B$2:$B$1200,"&lt;="&amp;$B698)</f>
        <v>36</v>
      </c>
      <c r="L698" s="18" t="n">
        <f aca="false">J698-K698</f>
        <v>175</v>
      </c>
      <c r="M698" s="18" t="n">
        <f aca="false">SUMIF($A$2:$A$1200,$A698,$H$2:$H$1200)</f>
        <v>293</v>
      </c>
      <c r="N698" s="20" t="n">
        <f aca="false">IF(M698=0,"",L698/M698)</f>
        <v>0.597269624573379</v>
      </c>
      <c r="O698" s="20"/>
      <c r="P698" s="20" t="str">
        <f aca="false">IF(OR(N698="",O698=""),"",N698-O698)</f>
        <v/>
      </c>
      <c r="Q698" s="18"/>
    </row>
    <row r="699" customFormat="false" ht="15" hidden="false" customHeight="true" outlineLevel="0" collapsed="false">
      <c r="A699" s="18" t="s">
        <v>435</v>
      </c>
      <c r="B699" s="18" t="n">
        <v>10</v>
      </c>
      <c r="C699" s="18" t="s">
        <v>206</v>
      </c>
      <c r="D699" s="18" t="n">
        <v>-75</v>
      </c>
      <c r="E699" s="18" t="s">
        <v>394</v>
      </c>
      <c r="F699" s="18" t="s">
        <v>220</v>
      </c>
      <c r="G699" s="19" t="n">
        <v>40591</v>
      </c>
      <c r="H699" s="18" t="n">
        <v>15</v>
      </c>
      <c r="I699" s="18" t="n">
        <v>24</v>
      </c>
      <c r="J699" s="18" t="n">
        <f aca="false">SUMIFS($H$2:$H$1200,$A$2:$A$1200,$A699,$B$2:$B$1200,"&lt;="&amp;$B699)</f>
        <v>226</v>
      </c>
      <c r="K699" s="18" t="n">
        <f aca="false">SUMIFS($I$2:$I$1200,$A$2:$A$1200,$A699,$B$2:$B$1200,"&lt;="&amp;$B699)</f>
        <v>60</v>
      </c>
      <c r="L699" s="18" t="n">
        <f aca="false">J699-K699</f>
        <v>166</v>
      </c>
      <c r="M699" s="18" t="n">
        <f aca="false">SUMIF($A$2:$A$1200,$A699,$H$2:$H$1200)</f>
        <v>293</v>
      </c>
      <c r="N699" s="20" t="n">
        <f aca="false">IF(M699=0,"",L699/M699)</f>
        <v>0.566552901023891</v>
      </c>
      <c r="O699" s="20"/>
      <c r="P699" s="20" t="str">
        <f aca="false">IF(OR(N699="",O699=""),"",N699-O699)</f>
        <v/>
      </c>
      <c r="Q699" s="18"/>
    </row>
    <row r="700" customFormat="false" ht="15" hidden="false" customHeight="true" outlineLevel="0" collapsed="false">
      <c r="A700" s="18" t="s">
        <v>435</v>
      </c>
      <c r="B700" s="18" t="n">
        <v>11</v>
      </c>
      <c r="C700" s="18" t="s">
        <v>246</v>
      </c>
      <c r="D700" s="18" t="n">
        <v>-60</v>
      </c>
      <c r="E700" s="18" t="s">
        <v>394</v>
      </c>
      <c r="F700" s="18" t="s">
        <v>220</v>
      </c>
      <c r="G700" s="19" t="n">
        <v>40591</v>
      </c>
      <c r="H700" s="18" t="n">
        <v>23</v>
      </c>
      <c r="I700" s="18" t="n">
        <v>25</v>
      </c>
      <c r="J700" s="18" t="n">
        <f aca="false">SUMIFS($H$2:$H$1200,$A$2:$A$1200,$A700,$B$2:$B$1200,"&lt;="&amp;$B700)</f>
        <v>249</v>
      </c>
      <c r="K700" s="18" t="n">
        <f aca="false">SUMIFS($I$2:$I$1200,$A$2:$A$1200,$A700,$B$2:$B$1200,"&lt;="&amp;$B700)</f>
        <v>85</v>
      </c>
      <c r="L700" s="18" t="n">
        <f aca="false">J700-K700</f>
        <v>164</v>
      </c>
      <c r="M700" s="18" t="n">
        <f aca="false">SUMIF($A$2:$A$1200,$A700,$H$2:$H$1200)</f>
        <v>293</v>
      </c>
      <c r="N700" s="20" t="n">
        <f aca="false">IF(M700=0,"",L700/M700)</f>
        <v>0.559726962457338</v>
      </c>
      <c r="O700" s="20"/>
      <c r="P700" s="20" t="str">
        <f aca="false">IF(OR(N700="",O700=""),"",N700-O700)</f>
        <v/>
      </c>
      <c r="Q700" s="18"/>
    </row>
    <row r="701" customFormat="false" ht="15" hidden="false" customHeight="true" outlineLevel="0" collapsed="false">
      <c r="A701" s="18" t="s">
        <v>435</v>
      </c>
      <c r="B701" s="18" t="n">
        <v>12</v>
      </c>
      <c r="C701" s="18" t="s">
        <v>254</v>
      </c>
      <c r="D701" s="18" t="n">
        <v>-45</v>
      </c>
      <c r="E701" s="18" t="s">
        <v>394</v>
      </c>
      <c r="F701" s="18" t="s">
        <v>220</v>
      </c>
      <c r="G701" s="19" t="n">
        <v>40591</v>
      </c>
      <c r="H701" s="18" t="n">
        <v>10</v>
      </c>
      <c r="I701" s="18" t="n">
        <v>48</v>
      </c>
      <c r="J701" s="18" t="n">
        <f aca="false">SUMIFS($H$2:$H$1200,$A$2:$A$1200,$A701,$B$2:$B$1200,"&lt;="&amp;$B701)</f>
        <v>259</v>
      </c>
      <c r="K701" s="18" t="n">
        <f aca="false">SUMIFS($I$2:$I$1200,$A$2:$A$1200,$A701,$B$2:$B$1200,"&lt;="&amp;$B701)</f>
        <v>133</v>
      </c>
      <c r="L701" s="18" t="n">
        <f aca="false">J701-K701</f>
        <v>126</v>
      </c>
      <c r="M701" s="18" t="n">
        <f aca="false">SUMIF($A$2:$A$1200,$A701,$H$2:$H$1200)</f>
        <v>293</v>
      </c>
      <c r="N701" s="20" t="n">
        <f aca="false">IF(M701=0,"",L701/M701)</f>
        <v>0.430034129692833</v>
      </c>
      <c r="O701" s="20"/>
      <c r="P701" s="20" t="str">
        <f aca="false">IF(OR(N701="",O701=""),"",N701-O701)</f>
        <v/>
      </c>
      <c r="Q701" s="18"/>
    </row>
    <row r="702" customFormat="false" ht="15" hidden="false" customHeight="true" outlineLevel="0" collapsed="false">
      <c r="A702" s="18" t="s">
        <v>435</v>
      </c>
      <c r="B702" s="18" t="n">
        <v>13</v>
      </c>
      <c r="C702" s="18" t="s">
        <v>403</v>
      </c>
      <c r="D702" s="18" t="n">
        <v>-30</v>
      </c>
      <c r="E702" s="18" t="s">
        <v>394</v>
      </c>
      <c r="F702" s="18" t="s">
        <v>220</v>
      </c>
      <c r="G702" s="19" t="n">
        <v>40591</v>
      </c>
      <c r="H702" s="18" t="n">
        <v>18</v>
      </c>
      <c r="I702" s="18" t="n">
        <v>37</v>
      </c>
      <c r="J702" s="18" t="n">
        <f aca="false">SUMIFS($H$2:$H$1200,$A$2:$A$1200,$A702,$B$2:$B$1200,"&lt;="&amp;$B702)</f>
        <v>277</v>
      </c>
      <c r="K702" s="18" t="n">
        <f aca="false">SUMIFS($I$2:$I$1200,$A$2:$A$1200,$A702,$B$2:$B$1200,"&lt;="&amp;$B702)</f>
        <v>170</v>
      </c>
      <c r="L702" s="18" t="n">
        <f aca="false">J702-K702</f>
        <v>107</v>
      </c>
      <c r="M702" s="18" t="n">
        <f aca="false">SUMIF($A$2:$A$1200,$A702,$H$2:$H$1200)</f>
        <v>293</v>
      </c>
      <c r="N702" s="20" t="n">
        <f aca="false">IF(M702=0,"",L702/M702)</f>
        <v>0.36518771331058</v>
      </c>
      <c r="O702" s="20"/>
      <c r="P702" s="20" t="str">
        <f aca="false">IF(OR(N702="",O702=""),"",N702-O702)</f>
        <v/>
      </c>
      <c r="Q702" s="18"/>
    </row>
    <row r="703" customFormat="false" ht="15" hidden="false" customHeight="true" outlineLevel="0" collapsed="false">
      <c r="A703" s="18" t="s">
        <v>435</v>
      </c>
      <c r="B703" s="18" t="n">
        <v>14</v>
      </c>
      <c r="C703" s="18" t="s">
        <v>529</v>
      </c>
      <c r="D703" s="18" t="n">
        <v>-15</v>
      </c>
      <c r="E703" s="18" t="s">
        <v>394</v>
      </c>
      <c r="F703" s="18" t="s">
        <v>220</v>
      </c>
      <c r="G703" s="19" t="n">
        <v>40591</v>
      </c>
      <c r="H703" s="18" t="n">
        <v>9</v>
      </c>
      <c r="I703" s="18" t="n">
        <v>35</v>
      </c>
      <c r="J703" s="18" t="n">
        <f aca="false">SUMIFS($H$2:$H$1200,$A$2:$A$1200,$A703,$B$2:$B$1200,"&lt;="&amp;$B703)</f>
        <v>286</v>
      </c>
      <c r="K703" s="18" t="n">
        <f aca="false">SUMIFS($I$2:$I$1200,$A$2:$A$1200,$A703,$B$2:$B$1200,"&lt;="&amp;$B703)</f>
        <v>205</v>
      </c>
      <c r="L703" s="18" t="n">
        <f aca="false">J703-K703</f>
        <v>81</v>
      </c>
      <c r="M703" s="18" t="n">
        <f aca="false">SUMIF($A$2:$A$1200,$A703,$H$2:$H$1200)</f>
        <v>293</v>
      </c>
      <c r="N703" s="20" t="n">
        <f aca="false">IF(M703=0,"",L703/M703)</f>
        <v>0.276450511945393</v>
      </c>
      <c r="O703" s="20"/>
      <c r="P703" s="20" t="str">
        <f aca="false">IF(OR(N703="",O703=""),"",N703-O703)</f>
        <v/>
      </c>
      <c r="Q703" s="18"/>
    </row>
    <row r="704" customFormat="false" ht="15" hidden="false" customHeight="true" outlineLevel="0" collapsed="false">
      <c r="A704" s="18" t="s">
        <v>435</v>
      </c>
      <c r="B704" s="18" t="n">
        <v>15</v>
      </c>
      <c r="C704" s="18" t="s">
        <v>463</v>
      </c>
      <c r="D704" s="18" t="n">
        <v>0</v>
      </c>
      <c r="E704" s="18" t="s">
        <v>394</v>
      </c>
      <c r="F704" s="18" t="s">
        <v>220</v>
      </c>
      <c r="G704" s="19" t="n">
        <v>40591</v>
      </c>
      <c r="H704" s="18" t="n">
        <v>2</v>
      </c>
      <c r="I704" s="18" t="n">
        <v>27</v>
      </c>
      <c r="J704" s="18" t="n">
        <f aca="false">SUMIFS($H$2:$H$1200,$A$2:$A$1200,$A704,$B$2:$B$1200,"&lt;="&amp;$B704)</f>
        <v>288</v>
      </c>
      <c r="K704" s="18" t="n">
        <f aca="false">SUMIFS($I$2:$I$1200,$A$2:$A$1200,$A704,$B$2:$B$1200,"&lt;="&amp;$B704)</f>
        <v>232</v>
      </c>
      <c r="L704" s="18" t="n">
        <f aca="false">J704-K704</f>
        <v>56</v>
      </c>
      <c r="M704" s="18" t="n">
        <f aca="false">SUMIF($A$2:$A$1200,$A704,$H$2:$H$1200)</f>
        <v>293</v>
      </c>
      <c r="N704" s="20" t="n">
        <f aca="false">IF(M704=0,"",L704/M704)</f>
        <v>0.191126279863481</v>
      </c>
      <c r="O704" s="20"/>
      <c r="P704" s="20" t="str">
        <f aca="false">IF(OR(N704="",O704=""),"",N704-O704)</f>
        <v/>
      </c>
      <c r="Q704" s="18"/>
    </row>
    <row r="705" customFormat="false" ht="15" hidden="false" customHeight="true" outlineLevel="0" collapsed="false">
      <c r="A705" s="18" t="s">
        <v>435</v>
      </c>
      <c r="B705" s="18" t="n">
        <v>16</v>
      </c>
      <c r="C705" s="18" t="s">
        <v>366</v>
      </c>
      <c r="D705" s="18" t="n">
        <v>15</v>
      </c>
      <c r="E705" s="18" t="s">
        <v>394</v>
      </c>
      <c r="F705" s="18" t="s">
        <v>220</v>
      </c>
      <c r="G705" s="19" t="n">
        <v>40591</v>
      </c>
      <c r="H705" s="18" t="n">
        <v>2</v>
      </c>
      <c r="I705" s="18" t="n">
        <v>28</v>
      </c>
      <c r="J705" s="18" t="n">
        <f aca="false">SUMIFS($H$2:$H$1200,$A$2:$A$1200,$A705,$B$2:$B$1200,"&lt;="&amp;$B705)</f>
        <v>290</v>
      </c>
      <c r="K705" s="18" t="n">
        <f aca="false">SUMIFS($I$2:$I$1200,$A$2:$A$1200,$A705,$B$2:$B$1200,"&lt;="&amp;$B705)</f>
        <v>260</v>
      </c>
      <c r="L705" s="18" t="n">
        <f aca="false">J705-K705</f>
        <v>30</v>
      </c>
      <c r="M705" s="18" t="n">
        <f aca="false">SUMIF($A$2:$A$1200,$A705,$H$2:$H$1200)</f>
        <v>293</v>
      </c>
      <c r="N705" s="20" t="n">
        <f aca="false">IF(M705=0,"",L705/M705)</f>
        <v>0.102389078498294</v>
      </c>
      <c r="O705" s="20"/>
      <c r="P705" s="20" t="str">
        <f aca="false">IF(OR(N705="",O705=""),"",N705-O705)</f>
        <v/>
      </c>
      <c r="Q705" s="18"/>
    </row>
    <row r="706" customFormat="false" ht="15" hidden="false" customHeight="true" outlineLevel="0" collapsed="false">
      <c r="A706" s="18" t="s">
        <v>435</v>
      </c>
      <c r="B706" s="18" t="n">
        <v>17</v>
      </c>
      <c r="C706" s="18" t="s">
        <v>326</v>
      </c>
      <c r="D706" s="18" t="n">
        <v>30</v>
      </c>
      <c r="E706" s="18" t="s">
        <v>394</v>
      </c>
      <c r="F706" s="18" t="s">
        <v>220</v>
      </c>
      <c r="G706" s="19" t="n">
        <v>40591</v>
      </c>
      <c r="H706" s="18" t="n">
        <v>1</v>
      </c>
      <c r="I706" s="18" t="n">
        <v>11</v>
      </c>
      <c r="J706" s="18" t="n">
        <f aca="false">SUMIFS($H$2:$H$1200,$A$2:$A$1200,$A706,$B$2:$B$1200,"&lt;="&amp;$B706)</f>
        <v>291</v>
      </c>
      <c r="K706" s="18" t="n">
        <f aca="false">SUMIFS($I$2:$I$1200,$A$2:$A$1200,$A706,$B$2:$B$1200,"&lt;="&amp;$B706)</f>
        <v>271</v>
      </c>
      <c r="L706" s="18" t="n">
        <f aca="false">J706-K706</f>
        <v>20</v>
      </c>
      <c r="M706" s="18" t="n">
        <f aca="false">SUMIF($A$2:$A$1200,$A706,$H$2:$H$1200)</f>
        <v>293</v>
      </c>
      <c r="N706" s="20" t="n">
        <f aca="false">IF(M706=0,"",L706/M706)</f>
        <v>0.068259385665529</v>
      </c>
      <c r="O706" s="20"/>
      <c r="P706" s="20" t="str">
        <f aca="false">IF(OR(N706="",O706=""),"",N706-O706)</f>
        <v/>
      </c>
      <c r="Q706" s="18"/>
    </row>
    <row r="707" customFormat="false" ht="15" hidden="false" customHeight="true" outlineLevel="0" collapsed="false">
      <c r="A707" s="18" t="s">
        <v>435</v>
      </c>
      <c r="B707" s="18" t="n">
        <v>18</v>
      </c>
      <c r="C707" s="18" t="s">
        <v>226</v>
      </c>
      <c r="D707" s="18" t="n">
        <v>45</v>
      </c>
      <c r="E707" s="18" t="s">
        <v>394</v>
      </c>
      <c r="F707" s="18" t="s">
        <v>220</v>
      </c>
      <c r="G707" s="19" t="n">
        <v>40591</v>
      </c>
      <c r="H707" s="18" t="n">
        <v>2</v>
      </c>
      <c r="I707" s="18" t="n">
        <v>8</v>
      </c>
      <c r="J707" s="18" t="n">
        <f aca="false">SUMIFS($H$2:$H$1200,$A$2:$A$1200,$A707,$B$2:$B$1200,"&lt;="&amp;$B707)</f>
        <v>293</v>
      </c>
      <c r="K707" s="18" t="n">
        <f aca="false">SUMIFS($I$2:$I$1200,$A$2:$A$1200,$A707,$B$2:$B$1200,"&lt;="&amp;$B707)</f>
        <v>279</v>
      </c>
      <c r="L707" s="18" t="n">
        <f aca="false">J707-K707</f>
        <v>14</v>
      </c>
      <c r="M707" s="18" t="n">
        <f aca="false">SUMIF($A$2:$A$1200,$A707,$H$2:$H$1200)</f>
        <v>293</v>
      </c>
      <c r="N707" s="20" t="n">
        <f aca="false">IF(M707=0,"",L707/M707)</f>
        <v>0.0477815699658703</v>
      </c>
      <c r="O707" s="20"/>
      <c r="P707" s="20" t="str">
        <f aca="false">IF(OR(N707="",O707=""),"",N707-O707)</f>
        <v/>
      </c>
      <c r="Q707" s="18"/>
    </row>
    <row r="708" customFormat="false" ht="15" hidden="false" customHeight="true" outlineLevel="0" collapsed="false">
      <c r="A708" s="18" t="s">
        <v>438</v>
      </c>
      <c r="B708" s="18" t="n">
        <v>0</v>
      </c>
      <c r="C708" s="18" t="s">
        <v>204</v>
      </c>
      <c r="D708" s="18"/>
      <c r="E708" s="18" t="s">
        <v>394</v>
      </c>
      <c r="F708" s="18" t="s">
        <v>198</v>
      </c>
      <c r="G708" s="19" t="n">
        <v>40640</v>
      </c>
      <c r="H708" s="18" t="n">
        <v>5</v>
      </c>
      <c r="I708" s="18" t="n">
        <v>0</v>
      </c>
      <c r="J708" s="18" t="n">
        <f aca="false">SUMIFS($H$2:$H$1200,$A$2:$A$1200,$A708,$B$2:$B$1200,"&lt;="&amp;$B708)</f>
        <v>5</v>
      </c>
      <c r="K708" s="18" t="n">
        <f aca="false">SUMIFS($I$2:$I$1200,$A$2:$A$1200,$A708,$B$2:$B$1200,"&lt;="&amp;$B708)</f>
        <v>0</v>
      </c>
      <c r="L708" s="18" t="n">
        <f aca="false">J708-K708</f>
        <v>5</v>
      </c>
      <c r="M708" s="18" t="n">
        <f aca="false">SUMIF($A$2:$A$1200,$A708,$H$2:$H$1200)</f>
        <v>304</v>
      </c>
      <c r="N708" s="20" t="n">
        <f aca="false">IF(M708=0,"",L708/M708)</f>
        <v>0.0164473684210526</v>
      </c>
      <c r="O708" s="20"/>
      <c r="P708" s="20" t="str">
        <f aca="false">IF(OR(N708="",O708=""),"",N708-O708)</f>
        <v/>
      </c>
      <c r="Q708" s="18"/>
    </row>
    <row r="709" customFormat="false" ht="15" hidden="false" customHeight="true" outlineLevel="0" collapsed="false">
      <c r="A709" s="18" t="s">
        <v>438</v>
      </c>
      <c r="B709" s="18" t="n">
        <v>3</v>
      </c>
      <c r="C709" s="18" t="s">
        <v>525</v>
      </c>
      <c r="D709" s="18" t="n">
        <v>-180</v>
      </c>
      <c r="E709" s="18" t="s">
        <v>394</v>
      </c>
      <c r="F709" s="18" t="s">
        <v>198</v>
      </c>
      <c r="G709" s="19" t="n">
        <v>40640</v>
      </c>
      <c r="H709" s="18" t="n">
        <v>9</v>
      </c>
      <c r="I709" s="18" t="n">
        <v>0</v>
      </c>
      <c r="J709" s="18" t="n">
        <f aca="false">SUMIFS($H$2:$H$1200,$A$2:$A$1200,$A709,$B$2:$B$1200,"&lt;="&amp;$B709)</f>
        <v>14</v>
      </c>
      <c r="K709" s="18" t="n">
        <f aca="false">SUMIFS($I$2:$I$1200,$A$2:$A$1200,$A709,$B$2:$B$1200,"&lt;="&amp;$B709)</f>
        <v>0</v>
      </c>
      <c r="L709" s="18" t="n">
        <f aca="false">J709-K709</f>
        <v>14</v>
      </c>
      <c r="M709" s="18" t="n">
        <f aca="false">SUMIF($A$2:$A$1200,$A709,$H$2:$H$1200)</f>
        <v>304</v>
      </c>
      <c r="N709" s="20" t="n">
        <f aca="false">IF(M709=0,"",L709/M709)</f>
        <v>0.0460526315789474</v>
      </c>
      <c r="O709" s="20"/>
      <c r="P709" s="20" t="str">
        <f aca="false">IF(OR(N709="",O709=""),"",N709-O709)</f>
        <v/>
      </c>
      <c r="Q709" s="18"/>
    </row>
    <row r="710" customFormat="false" ht="15" hidden="false" customHeight="true" outlineLevel="0" collapsed="false">
      <c r="A710" s="18" t="s">
        <v>438</v>
      </c>
      <c r="B710" s="18" t="n">
        <v>4</v>
      </c>
      <c r="C710" s="18" t="s">
        <v>526</v>
      </c>
      <c r="D710" s="18" t="n">
        <v>-165</v>
      </c>
      <c r="E710" s="18" t="s">
        <v>394</v>
      </c>
      <c r="F710" s="18" t="s">
        <v>198</v>
      </c>
      <c r="G710" s="19" t="n">
        <v>40640</v>
      </c>
      <c r="H710" s="18" t="n">
        <v>10</v>
      </c>
      <c r="I710" s="18" t="n">
        <v>0</v>
      </c>
      <c r="J710" s="18" t="n">
        <f aca="false">SUMIFS($H$2:$H$1200,$A$2:$A$1200,$A710,$B$2:$B$1200,"&lt;="&amp;$B710)</f>
        <v>24</v>
      </c>
      <c r="K710" s="18" t="n">
        <f aca="false">SUMIFS($I$2:$I$1200,$A$2:$A$1200,$A710,$B$2:$B$1200,"&lt;="&amp;$B710)</f>
        <v>0</v>
      </c>
      <c r="L710" s="18" t="n">
        <f aca="false">J710-K710</f>
        <v>24</v>
      </c>
      <c r="M710" s="18" t="n">
        <f aca="false">SUMIF($A$2:$A$1200,$A710,$H$2:$H$1200)</f>
        <v>304</v>
      </c>
      <c r="N710" s="20" t="n">
        <f aca="false">IF(M710=0,"",L710/M710)</f>
        <v>0.0789473684210526</v>
      </c>
      <c r="O710" s="20"/>
      <c r="P710" s="20" t="str">
        <f aca="false">IF(OR(N710="",O710=""),"",N710-O710)</f>
        <v/>
      </c>
      <c r="Q710" s="18"/>
    </row>
    <row r="711" customFormat="false" ht="15" hidden="false" customHeight="true" outlineLevel="0" collapsed="false">
      <c r="A711" s="18" t="s">
        <v>438</v>
      </c>
      <c r="B711" s="18" t="n">
        <v>5</v>
      </c>
      <c r="C711" s="18" t="s">
        <v>527</v>
      </c>
      <c r="D711" s="18" t="n">
        <v>-150</v>
      </c>
      <c r="E711" s="18" t="s">
        <v>394</v>
      </c>
      <c r="F711" s="18" t="s">
        <v>198</v>
      </c>
      <c r="G711" s="19" t="n">
        <v>40640</v>
      </c>
      <c r="H711" s="18" t="n">
        <v>32</v>
      </c>
      <c r="I711" s="18" t="n">
        <v>1</v>
      </c>
      <c r="J711" s="18" t="n">
        <f aca="false">SUMIFS($H$2:$H$1200,$A$2:$A$1200,$A711,$B$2:$B$1200,"&lt;="&amp;$B711)</f>
        <v>56</v>
      </c>
      <c r="K711" s="18" t="n">
        <f aca="false">SUMIFS($I$2:$I$1200,$A$2:$A$1200,$A711,$B$2:$B$1200,"&lt;="&amp;$B711)</f>
        <v>1</v>
      </c>
      <c r="L711" s="18" t="n">
        <f aca="false">J711-K711</f>
        <v>55</v>
      </c>
      <c r="M711" s="18" t="n">
        <f aca="false">SUMIF($A$2:$A$1200,$A711,$H$2:$H$1200)</f>
        <v>304</v>
      </c>
      <c r="N711" s="20" t="n">
        <f aca="false">IF(M711=0,"",L711/M711)</f>
        <v>0.180921052631579</v>
      </c>
      <c r="O711" s="20"/>
      <c r="P711" s="20" t="str">
        <f aca="false">IF(OR(N711="",O711=""),"",N711-O711)</f>
        <v/>
      </c>
      <c r="Q711" s="18"/>
    </row>
    <row r="712" customFormat="false" ht="15" hidden="false" customHeight="true" outlineLevel="0" collapsed="false">
      <c r="A712" s="18" t="s">
        <v>438</v>
      </c>
      <c r="B712" s="18" t="n">
        <v>6</v>
      </c>
      <c r="C712" s="18" t="s">
        <v>528</v>
      </c>
      <c r="D712" s="18" t="n">
        <v>-135</v>
      </c>
      <c r="E712" s="18" t="s">
        <v>394</v>
      </c>
      <c r="F712" s="18" t="s">
        <v>198</v>
      </c>
      <c r="G712" s="19" t="n">
        <v>40640</v>
      </c>
      <c r="H712" s="18" t="n">
        <v>26</v>
      </c>
      <c r="I712" s="18" t="n">
        <v>3</v>
      </c>
      <c r="J712" s="18" t="n">
        <f aca="false">SUMIFS($H$2:$H$1200,$A$2:$A$1200,$A712,$B$2:$B$1200,"&lt;="&amp;$B712)</f>
        <v>82</v>
      </c>
      <c r="K712" s="18" t="n">
        <f aca="false">SUMIFS($I$2:$I$1200,$A$2:$A$1200,$A712,$B$2:$B$1200,"&lt;="&amp;$B712)</f>
        <v>4</v>
      </c>
      <c r="L712" s="18" t="n">
        <f aca="false">J712-K712</f>
        <v>78</v>
      </c>
      <c r="M712" s="18" t="n">
        <f aca="false">SUMIF($A$2:$A$1200,$A712,$H$2:$H$1200)</f>
        <v>304</v>
      </c>
      <c r="N712" s="20" t="n">
        <f aca="false">IF(M712=0,"",L712/M712)</f>
        <v>0.256578947368421</v>
      </c>
      <c r="O712" s="20"/>
      <c r="P712" s="20" t="str">
        <f aca="false">IF(OR(N712="",O712=""),"",N712-O712)</f>
        <v/>
      </c>
      <c r="Q712" s="18"/>
    </row>
    <row r="713" customFormat="false" ht="15" hidden="false" customHeight="true" outlineLevel="0" collapsed="false">
      <c r="A713" s="18" t="s">
        <v>438</v>
      </c>
      <c r="B713" s="18" t="n">
        <v>7</v>
      </c>
      <c r="C713" s="18" t="s">
        <v>227</v>
      </c>
      <c r="D713" s="18" t="n">
        <v>-120</v>
      </c>
      <c r="E713" s="18" t="s">
        <v>394</v>
      </c>
      <c r="F713" s="18" t="s">
        <v>198</v>
      </c>
      <c r="G713" s="19" t="n">
        <v>40640</v>
      </c>
      <c r="H713" s="18" t="n">
        <v>32</v>
      </c>
      <c r="I713" s="18" t="n">
        <v>6</v>
      </c>
      <c r="J713" s="18" t="n">
        <f aca="false">SUMIFS($H$2:$H$1200,$A$2:$A$1200,$A713,$B$2:$B$1200,"&lt;="&amp;$B713)</f>
        <v>114</v>
      </c>
      <c r="K713" s="18" t="n">
        <f aca="false">SUMIFS($I$2:$I$1200,$A$2:$A$1200,$A713,$B$2:$B$1200,"&lt;="&amp;$B713)</f>
        <v>10</v>
      </c>
      <c r="L713" s="18" t="n">
        <f aca="false">J713-K713</f>
        <v>104</v>
      </c>
      <c r="M713" s="18" t="n">
        <f aca="false">SUMIF($A$2:$A$1200,$A713,$H$2:$H$1200)</f>
        <v>304</v>
      </c>
      <c r="N713" s="20" t="n">
        <f aca="false">IF(M713=0,"",L713/M713)</f>
        <v>0.342105263157895</v>
      </c>
      <c r="O713" s="20"/>
      <c r="P713" s="20" t="str">
        <f aca="false">IF(OR(N713="",O713=""),"",N713-O713)</f>
        <v/>
      </c>
      <c r="Q713" s="18"/>
    </row>
    <row r="714" customFormat="false" ht="15" hidden="false" customHeight="true" outlineLevel="0" collapsed="false">
      <c r="A714" s="18" t="s">
        <v>438</v>
      </c>
      <c r="B714" s="18" t="n">
        <v>8</v>
      </c>
      <c r="C714" s="18" t="s">
        <v>241</v>
      </c>
      <c r="D714" s="18" t="n">
        <v>-105</v>
      </c>
      <c r="E714" s="18" t="s">
        <v>394</v>
      </c>
      <c r="F714" s="18" t="s">
        <v>198</v>
      </c>
      <c r="G714" s="19" t="n">
        <v>40640</v>
      </c>
      <c r="H714" s="18" t="n">
        <v>42</v>
      </c>
      <c r="I714" s="18" t="n">
        <v>7</v>
      </c>
      <c r="J714" s="18" t="n">
        <f aca="false">SUMIFS($H$2:$H$1200,$A$2:$A$1200,$A714,$B$2:$B$1200,"&lt;="&amp;$B714)</f>
        <v>156</v>
      </c>
      <c r="K714" s="18" t="n">
        <f aca="false">SUMIFS($I$2:$I$1200,$A$2:$A$1200,$A714,$B$2:$B$1200,"&lt;="&amp;$B714)</f>
        <v>17</v>
      </c>
      <c r="L714" s="18" t="n">
        <f aca="false">J714-K714</f>
        <v>139</v>
      </c>
      <c r="M714" s="18" t="n">
        <f aca="false">SUMIF($A$2:$A$1200,$A714,$H$2:$H$1200)</f>
        <v>304</v>
      </c>
      <c r="N714" s="20" t="n">
        <f aca="false">IF(M714=0,"",L714/M714)</f>
        <v>0.457236842105263</v>
      </c>
      <c r="O714" s="20"/>
      <c r="P714" s="20" t="str">
        <f aca="false">IF(OR(N714="",O714=""),"",N714-O714)</f>
        <v/>
      </c>
      <c r="Q714" s="18"/>
    </row>
    <row r="715" customFormat="false" ht="15" hidden="false" customHeight="true" outlineLevel="0" collapsed="false">
      <c r="A715" s="18" t="s">
        <v>438</v>
      </c>
      <c r="B715" s="18" t="n">
        <v>9</v>
      </c>
      <c r="C715" s="18" t="s">
        <v>279</v>
      </c>
      <c r="D715" s="18" t="n">
        <v>-90</v>
      </c>
      <c r="E715" s="18" t="s">
        <v>394</v>
      </c>
      <c r="F715" s="18" t="s">
        <v>198</v>
      </c>
      <c r="G715" s="19" t="n">
        <v>40640</v>
      </c>
      <c r="H715" s="18" t="n">
        <v>37</v>
      </c>
      <c r="I715" s="18" t="n">
        <v>14</v>
      </c>
      <c r="J715" s="18" t="n">
        <f aca="false">SUMIFS($H$2:$H$1200,$A$2:$A$1200,$A715,$B$2:$B$1200,"&lt;="&amp;$B715)</f>
        <v>193</v>
      </c>
      <c r="K715" s="18" t="n">
        <f aca="false">SUMIFS($I$2:$I$1200,$A$2:$A$1200,$A715,$B$2:$B$1200,"&lt;="&amp;$B715)</f>
        <v>31</v>
      </c>
      <c r="L715" s="18" t="n">
        <f aca="false">J715-K715</f>
        <v>162</v>
      </c>
      <c r="M715" s="18" t="n">
        <f aca="false">SUMIF($A$2:$A$1200,$A715,$H$2:$H$1200)</f>
        <v>304</v>
      </c>
      <c r="N715" s="20" t="n">
        <f aca="false">IF(M715=0,"",L715/M715)</f>
        <v>0.532894736842105</v>
      </c>
      <c r="O715" s="20"/>
      <c r="P715" s="20" t="str">
        <f aca="false">IF(OR(N715="",O715=""),"",N715-O715)</f>
        <v/>
      </c>
      <c r="Q715" s="18"/>
    </row>
    <row r="716" customFormat="false" ht="15" hidden="false" customHeight="true" outlineLevel="0" collapsed="false">
      <c r="A716" s="18" t="s">
        <v>438</v>
      </c>
      <c r="B716" s="18" t="n">
        <v>10</v>
      </c>
      <c r="C716" s="18" t="s">
        <v>206</v>
      </c>
      <c r="D716" s="18" t="n">
        <v>-75</v>
      </c>
      <c r="E716" s="18" t="s">
        <v>394</v>
      </c>
      <c r="F716" s="18" t="s">
        <v>198</v>
      </c>
      <c r="G716" s="19" t="n">
        <v>40640</v>
      </c>
      <c r="H716" s="18" t="n">
        <v>34</v>
      </c>
      <c r="I716" s="18" t="n">
        <v>15</v>
      </c>
      <c r="J716" s="18" t="n">
        <f aca="false">SUMIFS($H$2:$H$1200,$A$2:$A$1200,$A716,$B$2:$B$1200,"&lt;="&amp;$B716)</f>
        <v>227</v>
      </c>
      <c r="K716" s="18" t="n">
        <f aca="false">SUMIFS($I$2:$I$1200,$A$2:$A$1200,$A716,$B$2:$B$1200,"&lt;="&amp;$B716)</f>
        <v>46</v>
      </c>
      <c r="L716" s="18" t="n">
        <f aca="false">J716-K716</f>
        <v>181</v>
      </c>
      <c r="M716" s="18" t="n">
        <f aca="false">SUMIF($A$2:$A$1200,$A716,$H$2:$H$1200)</f>
        <v>304</v>
      </c>
      <c r="N716" s="20" t="n">
        <f aca="false">IF(M716=0,"",L716/M716)</f>
        <v>0.595394736842105</v>
      </c>
      <c r="O716" s="20"/>
      <c r="P716" s="20" t="str">
        <f aca="false">IF(OR(N716="",O716=""),"",N716-O716)</f>
        <v/>
      </c>
      <c r="Q716" s="18"/>
    </row>
    <row r="717" customFormat="false" ht="15" hidden="false" customHeight="true" outlineLevel="0" collapsed="false">
      <c r="A717" s="18" t="s">
        <v>438</v>
      </c>
      <c r="B717" s="18" t="n">
        <v>11</v>
      </c>
      <c r="C717" s="18" t="s">
        <v>246</v>
      </c>
      <c r="D717" s="18" t="n">
        <v>-60</v>
      </c>
      <c r="E717" s="18" t="s">
        <v>394</v>
      </c>
      <c r="F717" s="18" t="s">
        <v>198</v>
      </c>
      <c r="G717" s="19" t="n">
        <v>40640</v>
      </c>
      <c r="H717" s="18" t="n">
        <v>18</v>
      </c>
      <c r="I717" s="18" t="n">
        <v>17</v>
      </c>
      <c r="J717" s="18" t="n">
        <f aca="false">SUMIFS($H$2:$H$1200,$A$2:$A$1200,$A717,$B$2:$B$1200,"&lt;="&amp;$B717)</f>
        <v>245</v>
      </c>
      <c r="K717" s="18" t="n">
        <f aca="false">SUMIFS($I$2:$I$1200,$A$2:$A$1200,$A717,$B$2:$B$1200,"&lt;="&amp;$B717)</f>
        <v>63</v>
      </c>
      <c r="L717" s="18" t="n">
        <f aca="false">J717-K717</f>
        <v>182</v>
      </c>
      <c r="M717" s="18" t="n">
        <f aca="false">SUMIF($A$2:$A$1200,$A717,$H$2:$H$1200)</f>
        <v>304</v>
      </c>
      <c r="N717" s="20" t="n">
        <f aca="false">IF(M717=0,"",L717/M717)</f>
        <v>0.598684210526316</v>
      </c>
      <c r="O717" s="20"/>
      <c r="P717" s="20" t="str">
        <f aca="false">IF(OR(N717="",O717=""),"",N717-O717)</f>
        <v/>
      </c>
      <c r="Q717" s="18"/>
    </row>
    <row r="718" customFormat="false" ht="15" hidden="false" customHeight="true" outlineLevel="0" collapsed="false">
      <c r="A718" s="18" t="s">
        <v>438</v>
      </c>
      <c r="B718" s="18" t="n">
        <v>12</v>
      </c>
      <c r="C718" s="18" t="s">
        <v>254</v>
      </c>
      <c r="D718" s="18" t="n">
        <v>-45</v>
      </c>
      <c r="E718" s="18" t="s">
        <v>394</v>
      </c>
      <c r="F718" s="18" t="s">
        <v>198</v>
      </c>
      <c r="G718" s="19" t="n">
        <v>40640</v>
      </c>
      <c r="H718" s="18" t="n">
        <v>13</v>
      </c>
      <c r="I718" s="18" t="n">
        <v>17</v>
      </c>
      <c r="J718" s="18" t="n">
        <f aca="false">SUMIFS($H$2:$H$1200,$A$2:$A$1200,$A718,$B$2:$B$1200,"&lt;="&amp;$B718)</f>
        <v>258</v>
      </c>
      <c r="K718" s="18" t="n">
        <f aca="false">SUMIFS($I$2:$I$1200,$A$2:$A$1200,$A718,$B$2:$B$1200,"&lt;="&amp;$B718)</f>
        <v>80</v>
      </c>
      <c r="L718" s="18" t="n">
        <f aca="false">J718-K718</f>
        <v>178</v>
      </c>
      <c r="M718" s="18" t="n">
        <f aca="false">SUMIF($A$2:$A$1200,$A718,$H$2:$H$1200)</f>
        <v>304</v>
      </c>
      <c r="N718" s="20" t="n">
        <f aca="false">IF(M718=0,"",L718/M718)</f>
        <v>0.585526315789474</v>
      </c>
      <c r="O718" s="20"/>
      <c r="P718" s="20" t="str">
        <f aca="false">IF(OR(N718="",O718=""),"",N718-O718)</f>
        <v/>
      </c>
      <c r="Q718" s="18"/>
    </row>
    <row r="719" customFormat="false" ht="15" hidden="false" customHeight="true" outlineLevel="0" collapsed="false">
      <c r="A719" s="18" t="s">
        <v>438</v>
      </c>
      <c r="B719" s="18" t="n">
        <v>13</v>
      </c>
      <c r="C719" s="18" t="s">
        <v>403</v>
      </c>
      <c r="D719" s="18" t="n">
        <v>-30</v>
      </c>
      <c r="E719" s="18" t="s">
        <v>394</v>
      </c>
      <c r="F719" s="18" t="s">
        <v>198</v>
      </c>
      <c r="G719" s="19" t="n">
        <v>40640</v>
      </c>
      <c r="H719" s="18" t="n">
        <v>14</v>
      </c>
      <c r="I719" s="18" t="n">
        <v>21</v>
      </c>
      <c r="J719" s="18" t="n">
        <f aca="false">SUMIFS($H$2:$H$1200,$A$2:$A$1200,$A719,$B$2:$B$1200,"&lt;="&amp;$B719)</f>
        <v>272</v>
      </c>
      <c r="K719" s="18" t="n">
        <f aca="false">SUMIFS($I$2:$I$1200,$A$2:$A$1200,$A719,$B$2:$B$1200,"&lt;="&amp;$B719)</f>
        <v>101</v>
      </c>
      <c r="L719" s="18" t="n">
        <f aca="false">J719-K719</f>
        <v>171</v>
      </c>
      <c r="M719" s="18" t="n">
        <f aca="false">SUMIF($A$2:$A$1200,$A719,$H$2:$H$1200)</f>
        <v>304</v>
      </c>
      <c r="N719" s="20" t="n">
        <f aca="false">IF(M719=0,"",L719/M719)</f>
        <v>0.5625</v>
      </c>
      <c r="O719" s="20"/>
      <c r="P719" s="20" t="str">
        <f aca="false">IF(OR(N719="",O719=""),"",N719-O719)</f>
        <v/>
      </c>
      <c r="Q719" s="18"/>
    </row>
    <row r="720" customFormat="false" ht="15" hidden="false" customHeight="true" outlineLevel="0" collapsed="false">
      <c r="A720" s="18" t="s">
        <v>438</v>
      </c>
      <c r="B720" s="18" t="n">
        <v>14</v>
      </c>
      <c r="C720" s="18" t="s">
        <v>529</v>
      </c>
      <c r="D720" s="18" t="n">
        <v>-15</v>
      </c>
      <c r="E720" s="18" t="s">
        <v>394</v>
      </c>
      <c r="F720" s="18" t="s">
        <v>198</v>
      </c>
      <c r="G720" s="19" t="n">
        <v>40640</v>
      </c>
      <c r="H720" s="18" t="n">
        <v>11</v>
      </c>
      <c r="I720" s="18" t="n">
        <v>24</v>
      </c>
      <c r="J720" s="18" t="n">
        <f aca="false">SUMIFS($H$2:$H$1200,$A$2:$A$1200,$A720,$B$2:$B$1200,"&lt;="&amp;$B720)</f>
        <v>283</v>
      </c>
      <c r="K720" s="18" t="n">
        <f aca="false">SUMIFS($I$2:$I$1200,$A$2:$A$1200,$A720,$B$2:$B$1200,"&lt;="&amp;$B720)</f>
        <v>125</v>
      </c>
      <c r="L720" s="18" t="n">
        <f aca="false">J720-K720</f>
        <v>158</v>
      </c>
      <c r="M720" s="18" t="n">
        <f aca="false">SUMIF($A$2:$A$1200,$A720,$H$2:$H$1200)</f>
        <v>304</v>
      </c>
      <c r="N720" s="20" t="n">
        <f aca="false">IF(M720=0,"",L720/M720)</f>
        <v>0.519736842105263</v>
      </c>
      <c r="O720" s="20"/>
      <c r="P720" s="20" t="str">
        <f aca="false">IF(OR(N720="",O720=""),"",N720-O720)</f>
        <v/>
      </c>
      <c r="Q720" s="18"/>
    </row>
    <row r="721" customFormat="false" ht="15" hidden="false" customHeight="true" outlineLevel="0" collapsed="false">
      <c r="A721" s="18" t="s">
        <v>438</v>
      </c>
      <c r="B721" s="18" t="n">
        <v>15</v>
      </c>
      <c r="C721" s="18" t="s">
        <v>463</v>
      </c>
      <c r="D721" s="18" t="n">
        <v>0</v>
      </c>
      <c r="E721" s="18" t="s">
        <v>394</v>
      </c>
      <c r="F721" s="18" t="s">
        <v>198</v>
      </c>
      <c r="G721" s="19" t="n">
        <v>40640</v>
      </c>
      <c r="H721" s="18" t="n">
        <v>8</v>
      </c>
      <c r="I721" s="18" t="n">
        <v>24</v>
      </c>
      <c r="J721" s="18" t="n">
        <f aca="false">SUMIFS($H$2:$H$1200,$A$2:$A$1200,$A721,$B$2:$B$1200,"&lt;="&amp;$B721)</f>
        <v>291</v>
      </c>
      <c r="K721" s="18" t="n">
        <f aca="false">SUMIFS($I$2:$I$1200,$A$2:$A$1200,$A721,$B$2:$B$1200,"&lt;="&amp;$B721)</f>
        <v>149</v>
      </c>
      <c r="L721" s="18" t="n">
        <f aca="false">J721-K721</f>
        <v>142</v>
      </c>
      <c r="M721" s="18" t="n">
        <f aca="false">SUMIF($A$2:$A$1200,$A721,$H$2:$H$1200)</f>
        <v>304</v>
      </c>
      <c r="N721" s="20" t="n">
        <f aca="false">IF(M721=0,"",L721/M721)</f>
        <v>0.467105263157895</v>
      </c>
      <c r="O721" s="20"/>
      <c r="P721" s="20" t="str">
        <f aca="false">IF(OR(N721="",O721=""),"",N721-O721)</f>
        <v/>
      </c>
      <c r="Q721" s="18"/>
    </row>
    <row r="722" customFormat="false" ht="15" hidden="false" customHeight="true" outlineLevel="0" collapsed="false">
      <c r="A722" s="18" t="s">
        <v>438</v>
      </c>
      <c r="B722" s="18" t="n">
        <v>16</v>
      </c>
      <c r="C722" s="18" t="s">
        <v>366</v>
      </c>
      <c r="D722" s="18" t="n">
        <v>15</v>
      </c>
      <c r="E722" s="18" t="s">
        <v>394</v>
      </c>
      <c r="F722" s="18" t="s">
        <v>198</v>
      </c>
      <c r="G722" s="19" t="n">
        <v>40640</v>
      </c>
      <c r="H722" s="18" t="n">
        <v>3</v>
      </c>
      <c r="I722" s="18" t="n">
        <v>29</v>
      </c>
      <c r="J722" s="18" t="n">
        <f aca="false">SUMIFS($H$2:$H$1200,$A$2:$A$1200,$A722,$B$2:$B$1200,"&lt;="&amp;$B722)</f>
        <v>294</v>
      </c>
      <c r="K722" s="18" t="n">
        <f aca="false">SUMIFS($I$2:$I$1200,$A$2:$A$1200,$A722,$B$2:$B$1200,"&lt;="&amp;$B722)</f>
        <v>178</v>
      </c>
      <c r="L722" s="18" t="n">
        <f aca="false">J722-K722</f>
        <v>116</v>
      </c>
      <c r="M722" s="18" t="n">
        <f aca="false">SUMIF($A$2:$A$1200,$A722,$H$2:$H$1200)</f>
        <v>304</v>
      </c>
      <c r="N722" s="20" t="n">
        <f aca="false">IF(M722=0,"",L722/M722)</f>
        <v>0.381578947368421</v>
      </c>
      <c r="O722" s="20"/>
      <c r="P722" s="20" t="str">
        <f aca="false">IF(OR(N722="",O722=""),"",N722-O722)</f>
        <v/>
      </c>
      <c r="Q722" s="18"/>
    </row>
    <row r="723" customFormat="false" ht="15" hidden="false" customHeight="true" outlineLevel="0" collapsed="false">
      <c r="A723" s="18" t="s">
        <v>438</v>
      </c>
      <c r="B723" s="18" t="n">
        <v>17</v>
      </c>
      <c r="C723" s="18" t="s">
        <v>326</v>
      </c>
      <c r="D723" s="18" t="n">
        <v>30</v>
      </c>
      <c r="E723" s="18" t="s">
        <v>394</v>
      </c>
      <c r="F723" s="18" t="s">
        <v>198</v>
      </c>
      <c r="G723" s="19" t="n">
        <v>40640</v>
      </c>
      <c r="H723" s="18" t="n">
        <v>7</v>
      </c>
      <c r="I723" s="18" t="n">
        <v>25</v>
      </c>
      <c r="J723" s="18" t="n">
        <f aca="false">SUMIFS($H$2:$H$1200,$A$2:$A$1200,$A723,$B$2:$B$1200,"&lt;="&amp;$B723)</f>
        <v>301</v>
      </c>
      <c r="K723" s="18" t="n">
        <f aca="false">SUMIFS($I$2:$I$1200,$A$2:$A$1200,$A723,$B$2:$B$1200,"&lt;="&amp;$B723)</f>
        <v>203</v>
      </c>
      <c r="L723" s="18" t="n">
        <f aca="false">J723-K723</f>
        <v>98</v>
      </c>
      <c r="M723" s="18" t="n">
        <f aca="false">SUMIF($A$2:$A$1200,$A723,$H$2:$H$1200)</f>
        <v>304</v>
      </c>
      <c r="N723" s="20" t="n">
        <f aca="false">IF(M723=0,"",L723/M723)</f>
        <v>0.322368421052632</v>
      </c>
      <c r="O723" s="20"/>
      <c r="P723" s="20" t="str">
        <f aca="false">IF(OR(N723="",O723=""),"",N723-O723)</f>
        <v/>
      </c>
      <c r="Q723" s="18"/>
    </row>
    <row r="724" customFormat="false" ht="15" hidden="false" customHeight="true" outlineLevel="0" collapsed="false">
      <c r="A724" s="18" t="s">
        <v>438</v>
      </c>
      <c r="B724" s="18" t="n">
        <v>18</v>
      </c>
      <c r="C724" s="18" t="s">
        <v>226</v>
      </c>
      <c r="D724" s="18" t="n">
        <v>45</v>
      </c>
      <c r="E724" s="18" t="s">
        <v>394</v>
      </c>
      <c r="F724" s="18" t="s">
        <v>198</v>
      </c>
      <c r="G724" s="19" t="n">
        <v>40640</v>
      </c>
      <c r="H724" s="18" t="n">
        <v>3</v>
      </c>
      <c r="I724" s="18" t="n">
        <v>21</v>
      </c>
      <c r="J724" s="18" t="n">
        <f aca="false">SUMIFS($H$2:$H$1200,$A$2:$A$1200,$A724,$B$2:$B$1200,"&lt;="&amp;$B724)</f>
        <v>304</v>
      </c>
      <c r="K724" s="18" t="n">
        <f aca="false">SUMIFS($I$2:$I$1200,$A$2:$A$1200,$A724,$B$2:$B$1200,"&lt;="&amp;$B724)</f>
        <v>224</v>
      </c>
      <c r="L724" s="18" t="n">
        <f aca="false">J724-K724</f>
        <v>80</v>
      </c>
      <c r="M724" s="18" t="n">
        <f aca="false">SUMIF($A$2:$A$1200,$A724,$H$2:$H$1200)</f>
        <v>304</v>
      </c>
      <c r="N724" s="20" t="n">
        <f aca="false">IF(M724=0,"",L724/M724)</f>
        <v>0.263157894736842</v>
      </c>
      <c r="O724" s="20"/>
      <c r="P724" s="20" t="str">
        <f aca="false">IF(OR(N724="",O724=""),"",N724-O724)</f>
        <v/>
      </c>
      <c r="Q724" s="18"/>
    </row>
    <row r="725" customFormat="false" ht="15" hidden="false" customHeight="true" outlineLevel="0" collapsed="false">
      <c r="A725" s="18" t="s">
        <v>444</v>
      </c>
      <c r="B725" s="18" t="n">
        <v>0</v>
      </c>
      <c r="C725" s="18" t="s">
        <v>204</v>
      </c>
      <c r="D725" s="18"/>
      <c r="E725" s="18" t="s">
        <v>394</v>
      </c>
      <c r="F725" s="18" t="s">
        <v>198</v>
      </c>
      <c r="G725" s="19" t="n">
        <v>40653</v>
      </c>
      <c r="H725" s="18" t="n">
        <v>1</v>
      </c>
      <c r="I725" s="18" t="n">
        <v>0</v>
      </c>
      <c r="J725" s="18" t="n">
        <f aca="false">SUMIFS($H$2:$H$1200,$A$2:$A$1200,$A725,$B$2:$B$1200,"&lt;="&amp;$B725)</f>
        <v>1</v>
      </c>
      <c r="K725" s="18" t="n">
        <f aca="false">SUMIFS($I$2:$I$1200,$A$2:$A$1200,$A725,$B$2:$B$1200,"&lt;="&amp;$B725)</f>
        <v>0</v>
      </c>
      <c r="L725" s="18" t="n">
        <f aca="false">J725-K725</f>
        <v>1</v>
      </c>
      <c r="M725" s="18" t="n">
        <f aca="false">SUMIF($A$2:$A$1200,$A725,$H$2:$H$1200)</f>
        <v>393</v>
      </c>
      <c r="N725" s="20" t="n">
        <f aca="false">IF(M725=0,"",L725/M725)</f>
        <v>0.00254452926208651</v>
      </c>
      <c r="O725" s="20"/>
      <c r="P725" s="20" t="str">
        <f aca="false">IF(OR(N725="",O725=""),"",N725-O725)</f>
        <v/>
      </c>
      <c r="Q725" s="18"/>
    </row>
    <row r="726" customFormat="false" ht="15" hidden="false" customHeight="true" outlineLevel="0" collapsed="false">
      <c r="A726" s="18" t="s">
        <v>444</v>
      </c>
      <c r="B726" s="18" t="n">
        <v>1</v>
      </c>
      <c r="C726" s="18" t="s">
        <v>531</v>
      </c>
      <c r="D726" s="18" t="n">
        <v>-210</v>
      </c>
      <c r="E726" s="18" t="s">
        <v>394</v>
      </c>
      <c r="F726" s="18" t="s">
        <v>198</v>
      </c>
      <c r="G726" s="19" t="n">
        <v>40653</v>
      </c>
      <c r="H726" s="18" t="n">
        <v>2</v>
      </c>
      <c r="I726" s="18" t="n">
        <v>0</v>
      </c>
      <c r="J726" s="18" t="n">
        <f aca="false">SUMIFS($H$2:$H$1200,$A$2:$A$1200,$A726,$B$2:$B$1200,"&lt;="&amp;$B726)</f>
        <v>3</v>
      </c>
      <c r="K726" s="18" t="n">
        <f aca="false">SUMIFS($I$2:$I$1200,$A$2:$A$1200,$A726,$B$2:$B$1200,"&lt;="&amp;$B726)</f>
        <v>0</v>
      </c>
      <c r="L726" s="18" t="n">
        <f aca="false">J726-K726</f>
        <v>3</v>
      </c>
      <c r="M726" s="18" t="n">
        <f aca="false">SUMIF($A$2:$A$1200,$A726,$H$2:$H$1200)</f>
        <v>393</v>
      </c>
      <c r="N726" s="20" t="n">
        <f aca="false">IF(M726=0,"",L726/M726)</f>
        <v>0.00763358778625954</v>
      </c>
      <c r="O726" s="20"/>
      <c r="P726" s="20" t="str">
        <f aca="false">IF(OR(N726="",O726=""),"",N726-O726)</f>
        <v/>
      </c>
      <c r="Q726" s="18"/>
    </row>
    <row r="727" customFormat="false" ht="15" hidden="false" customHeight="true" outlineLevel="0" collapsed="false">
      <c r="A727" s="18" t="s">
        <v>444</v>
      </c>
      <c r="B727" s="18" t="n">
        <v>2</v>
      </c>
      <c r="C727" s="18" t="s">
        <v>340</v>
      </c>
      <c r="D727" s="18" t="n">
        <v>-195</v>
      </c>
      <c r="E727" s="18" t="s">
        <v>394</v>
      </c>
      <c r="F727" s="18" t="s">
        <v>198</v>
      </c>
      <c r="G727" s="19" t="n">
        <v>40653</v>
      </c>
      <c r="H727" s="18" t="n">
        <v>2</v>
      </c>
      <c r="I727" s="18" t="n">
        <v>0</v>
      </c>
      <c r="J727" s="18" t="n">
        <f aca="false">SUMIFS($H$2:$H$1200,$A$2:$A$1200,$A727,$B$2:$B$1200,"&lt;="&amp;$B727)</f>
        <v>5</v>
      </c>
      <c r="K727" s="18" t="n">
        <f aca="false">SUMIFS($I$2:$I$1200,$A$2:$A$1200,$A727,$B$2:$B$1200,"&lt;="&amp;$B727)</f>
        <v>0</v>
      </c>
      <c r="L727" s="18" t="n">
        <f aca="false">J727-K727</f>
        <v>5</v>
      </c>
      <c r="M727" s="18" t="n">
        <f aca="false">SUMIF($A$2:$A$1200,$A727,$H$2:$H$1200)</f>
        <v>393</v>
      </c>
      <c r="N727" s="20" t="n">
        <f aca="false">IF(M727=0,"",L727/M727)</f>
        <v>0.0127226463104326</v>
      </c>
      <c r="O727" s="20"/>
      <c r="P727" s="20" t="str">
        <f aca="false">IF(OR(N727="",O727=""),"",N727-O727)</f>
        <v/>
      </c>
      <c r="Q727" s="18"/>
    </row>
    <row r="728" customFormat="false" ht="15" hidden="false" customHeight="true" outlineLevel="0" collapsed="false">
      <c r="A728" s="18" t="s">
        <v>444</v>
      </c>
      <c r="B728" s="18" t="n">
        <v>3</v>
      </c>
      <c r="C728" s="18" t="s">
        <v>525</v>
      </c>
      <c r="D728" s="18" t="n">
        <v>-180</v>
      </c>
      <c r="E728" s="18" t="s">
        <v>394</v>
      </c>
      <c r="F728" s="18" t="s">
        <v>198</v>
      </c>
      <c r="G728" s="19" t="n">
        <v>40653</v>
      </c>
      <c r="H728" s="18" t="n">
        <v>10</v>
      </c>
      <c r="I728" s="18" t="n">
        <v>0</v>
      </c>
      <c r="J728" s="18" t="n">
        <f aca="false">SUMIFS($H$2:$H$1200,$A$2:$A$1200,$A728,$B$2:$B$1200,"&lt;="&amp;$B728)</f>
        <v>15</v>
      </c>
      <c r="K728" s="18" t="n">
        <f aca="false">SUMIFS($I$2:$I$1200,$A$2:$A$1200,$A728,$B$2:$B$1200,"&lt;="&amp;$B728)</f>
        <v>0</v>
      </c>
      <c r="L728" s="18" t="n">
        <f aca="false">J728-K728</f>
        <v>15</v>
      </c>
      <c r="M728" s="18" t="n">
        <f aca="false">SUMIF($A$2:$A$1200,$A728,$H$2:$H$1200)</f>
        <v>393</v>
      </c>
      <c r="N728" s="20" t="n">
        <f aca="false">IF(M728=0,"",L728/M728)</f>
        <v>0.0381679389312977</v>
      </c>
      <c r="O728" s="20"/>
      <c r="P728" s="20" t="str">
        <f aca="false">IF(OR(N728="",O728=""),"",N728-O728)</f>
        <v/>
      </c>
      <c r="Q728" s="18"/>
    </row>
    <row r="729" customFormat="false" ht="15" hidden="false" customHeight="true" outlineLevel="0" collapsed="false">
      <c r="A729" s="18" t="s">
        <v>444</v>
      </c>
      <c r="B729" s="18" t="n">
        <v>4</v>
      </c>
      <c r="C729" s="18" t="s">
        <v>526</v>
      </c>
      <c r="D729" s="18" t="n">
        <v>-165</v>
      </c>
      <c r="E729" s="18" t="s">
        <v>394</v>
      </c>
      <c r="F729" s="18" t="s">
        <v>198</v>
      </c>
      <c r="G729" s="19" t="n">
        <v>40653</v>
      </c>
      <c r="H729" s="18" t="n">
        <v>15</v>
      </c>
      <c r="I729" s="18" t="n">
        <v>1</v>
      </c>
      <c r="J729" s="18" t="n">
        <f aca="false">SUMIFS($H$2:$H$1200,$A$2:$A$1200,$A729,$B$2:$B$1200,"&lt;="&amp;$B729)</f>
        <v>30</v>
      </c>
      <c r="K729" s="18" t="n">
        <f aca="false">SUMIFS($I$2:$I$1200,$A$2:$A$1200,$A729,$B$2:$B$1200,"&lt;="&amp;$B729)</f>
        <v>1</v>
      </c>
      <c r="L729" s="18" t="n">
        <f aca="false">J729-K729</f>
        <v>29</v>
      </c>
      <c r="M729" s="18" t="n">
        <f aca="false">SUMIF($A$2:$A$1200,$A729,$H$2:$H$1200)</f>
        <v>393</v>
      </c>
      <c r="N729" s="20" t="n">
        <f aca="false">IF(M729=0,"",L729/M729)</f>
        <v>0.0737913486005089</v>
      </c>
      <c r="O729" s="20"/>
      <c r="P729" s="20" t="str">
        <f aca="false">IF(OR(N729="",O729=""),"",N729-O729)</f>
        <v/>
      </c>
      <c r="Q729" s="18"/>
    </row>
    <row r="730" customFormat="false" ht="15" hidden="false" customHeight="true" outlineLevel="0" collapsed="false">
      <c r="A730" s="18" t="s">
        <v>444</v>
      </c>
      <c r="B730" s="18" t="n">
        <v>5</v>
      </c>
      <c r="C730" s="18" t="s">
        <v>527</v>
      </c>
      <c r="D730" s="18" t="n">
        <v>-150</v>
      </c>
      <c r="E730" s="18" t="s">
        <v>394</v>
      </c>
      <c r="F730" s="18" t="s">
        <v>198</v>
      </c>
      <c r="G730" s="19" t="n">
        <v>40653</v>
      </c>
      <c r="H730" s="18" t="n">
        <v>25</v>
      </c>
      <c r="I730" s="18" t="n">
        <v>2</v>
      </c>
      <c r="J730" s="18" t="n">
        <f aca="false">SUMIFS($H$2:$H$1200,$A$2:$A$1200,$A730,$B$2:$B$1200,"&lt;="&amp;$B730)</f>
        <v>55</v>
      </c>
      <c r="K730" s="18" t="n">
        <f aca="false">SUMIFS($I$2:$I$1200,$A$2:$A$1200,$A730,$B$2:$B$1200,"&lt;="&amp;$B730)</f>
        <v>3</v>
      </c>
      <c r="L730" s="18" t="n">
        <f aca="false">J730-K730</f>
        <v>52</v>
      </c>
      <c r="M730" s="18" t="n">
        <f aca="false">SUMIF($A$2:$A$1200,$A730,$H$2:$H$1200)</f>
        <v>393</v>
      </c>
      <c r="N730" s="20" t="n">
        <f aca="false">IF(M730=0,"",L730/M730)</f>
        <v>0.132315521628499</v>
      </c>
      <c r="O730" s="20"/>
      <c r="P730" s="20" t="str">
        <f aca="false">IF(OR(N730="",O730=""),"",N730-O730)</f>
        <v/>
      </c>
      <c r="Q730" s="18"/>
    </row>
    <row r="731" customFormat="false" ht="15" hidden="false" customHeight="true" outlineLevel="0" collapsed="false">
      <c r="A731" s="18" t="s">
        <v>444</v>
      </c>
      <c r="B731" s="18" t="n">
        <v>6</v>
      </c>
      <c r="C731" s="18" t="s">
        <v>528</v>
      </c>
      <c r="D731" s="18" t="n">
        <v>-135</v>
      </c>
      <c r="E731" s="18" t="s">
        <v>394</v>
      </c>
      <c r="F731" s="18" t="s">
        <v>198</v>
      </c>
      <c r="G731" s="19" t="n">
        <v>40653</v>
      </c>
      <c r="H731" s="18" t="n">
        <v>38</v>
      </c>
      <c r="I731" s="18" t="n">
        <v>13</v>
      </c>
      <c r="J731" s="18" t="n">
        <f aca="false">SUMIFS($H$2:$H$1200,$A$2:$A$1200,$A731,$B$2:$B$1200,"&lt;="&amp;$B731)</f>
        <v>93</v>
      </c>
      <c r="K731" s="18" t="n">
        <f aca="false">SUMIFS($I$2:$I$1200,$A$2:$A$1200,$A731,$B$2:$B$1200,"&lt;="&amp;$B731)</f>
        <v>16</v>
      </c>
      <c r="L731" s="18" t="n">
        <f aca="false">J731-K731</f>
        <v>77</v>
      </c>
      <c r="M731" s="18" t="n">
        <f aca="false">SUMIF($A$2:$A$1200,$A731,$H$2:$H$1200)</f>
        <v>393</v>
      </c>
      <c r="N731" s="20" t="n">
        <f aca="false">IF(M731=0,"",L731/M731)</f>
        <v>0.195928753180662</v>
      </c>
      <c r="O731" s="20"/>
      <c r="P731" s="20" t="str">
        <f aca="false">IF(OR(N731="",O731=""),"",N731-O731)</f>
        <v/>
      </c>
      <c r="Q731" s="18"/>
    </row>
    <row r="732" customFormat="false" ht="15" hidden="false" customHeight="true" outlineLevel="0" collapsed="false">
      <c r="A732" s="18" t="s">
        <v>444</v>
      </c>
      <c r="B732" s="18" t="n">
        <v>7</v>
      </c>
      <c r="C732" s="18" t="s">
        <v>227</v>
      </c>
      <c r="D732" s="18" t="n">
        <v>-120</v>
      </c>
      <c r="E732" s="18" t="s">
        <v>394</v>
      </c>
      <c r="F732" s="18" t="s">
        <v>198</v>
      </c>
      <c r="G732" s="19" t="n">
        <v>40653</v>
      </c>
      <c r="H732" s="18" t="n">
        <v>39</v>
      </c>
      <c r="I732" s="18" t="n">
        <v>7</v>
      </c>
      <c r="J732" s="18" t="n">
        <f aca="false">SUMIFS($H$2:$H$1200,$A$2:$A$1200,$A732,$B$2:$B$1200,"&lt;="&amp;$B732)</f>
        <v>132</v>
      </c>
      <c r="K732" s="18" t="n">
        <f aca="false">SUMIFS($I$2:$I$1200,$A$2:$A$1200,$A732,$B$2:$B$1200,"&lt;="&amp;$B732)</f>
        <v>23</v>
      </c>
      <c r="L732" s="18" t="n">
        <f aca="false">J732-K732</f>
        <v>109</v>
      </c>
      <c r="M732" s="18" t="n">
        <f aca="false">SUMIF($A$2:$A$1200,$A732,$H$2:$H$1200)</f>
        <v>393</v>
      </c>
      <c r="N732" s="20" t="n">
        <f aca="false">IF(M732=0,"",L732/M732)</f>
        <v>0.27735368956743</v>
      </c>
      <c r="O732" s="20"/>
      <c r="P732" s="20" t="str">
        <f aca="false">IF(OR(N732="",O732=""),"",N732-O732)</f>
        <v/>
      </c>
      <c r="Q732" s="18"/>
    </row>
    <row r="733" customFormat="false" ht="15" hidden="false" customHeight="true" outlineLevel="0" collapsed="false">
      <c r="A733" s="18" t="s">
        <v>444</v>
      </c>
      <c r="B733" s="18" t="n">
        <v>8</v>
      </c>
      <c r="C733" s="18" t="s">
        <v>241</v>
      </c>
      <c r="D733" s="18" t="n">
        <v>-105</v>
      </c>
      <c r="E733" s="18" t="s">
        <v>394</v>
      </c>
      <c r="F733" s="18" t="s">
        <v>198</v>
      </c>
      <c r="G733" s="19" t="n">
        <v>40653</v>
      </c>
      <c r="H733" s="18" t="n">
        <v>58</v>
      </c>
      <c r="I733" s="18" t="n">
        <v>24</v>
      </c>
      <c r="J733" s="18" t="n">
        <f aca="false">SUMIFS($H$2:$H$1200,$A$2:$A$1200,$A733,$B$2:$B$1200,"&lt;="&amp;$B733)</f>
        <v>190</v>
      </c>
      <c r="K733" s="18" t="n">
        <f aca="false">SUMIFS($I$2:$I$1200,$A$2:$A$1200,$A733,$B$2:$B$1200,"&lt;="&amp;$B733)</f>
        <v>47</v>
      </c>
      <c r="L733" s="18" t="n">
        <f aca="false">J733-K733</f>
        <v>143</v>
      </c>
      <c r="M733" s="18" t="n">
        <f aca="false">SUMIF($A$2:$A$1200,$A733,$H$2:$H$1200)</f>
        <v>393</v>
      </c>
      <c r="N733" s="20" t="n">
        <f aca="false">IF(M733=0,"",L733/M733)</f>
        <v>0.363867684478372</v>
      </c>
      <c r="O733" s="20"/>
      <c r="P733" s="20" t="str">
        <f aca="false">IF(OR(N733="",O733=""),"",N733-O733)</f>
        <v/>
      </c>
      <c r="Q733" s="18"/>
    </row>
    <row r="734" customFormat="false" ht="15" hidden="false" customHeight="true" outlineLevel="0" collapsed="false">
      <c r="A734" s="18" t="s">
        <v>444</v>
      </c>
      <c r="B734" s="18" t="n">
        <v>9</v>
      </c>
      <c r="C734" s="18" t="s">
        <v>279</v>
      </c>
      <c r="D734" s="18" t="n">
        <v>-90</v>
      </c>
      <c r="E734" s="18" t="s">
        <v>394</v>
      </c>
      <c r="F734" s="18" t="s">
        <v>198</v>
      </c>
      <c r="G734" s="19" t="n">
        <v>40653</v>
      </c>
      <c r="H734" s="18" t="n">
        <v>50</v>
      </c>
      <c r="I734" s="18" t="n">
        <v>35</v>
      </c>
      <c r="J734" s="18" t="n">
        <f aca="false">SUMIFS($H$2:$H$1200,$A$2:$A$1200,$A734,$B$2:$B$1200,"&lt;="&amp;$B734)</f>
        <v>240</v>
      </c>
      <c r="K734" s="18" t="n">
        <f aca="false">SUMIFS($I$2:$I$1200,$A$2:$A$1200,$A734,$B$2:$B$1200,"&lt;="&amp;$B734)</f>
        <v>82</v>
      </c>
      <c r="L734" s="18" t="n">
        <f aca="false">J734-K734</f>
        <v>158</v>
      </c>
      <c r="M734" s="18" t="n">
        <f aca="false">SUMIF($A$2:$A$1200,$A734,$H$2:$H$1200)</f>
        <v>393</v>
      </c>
      <c r="N734" s="20" t="n">
        <f aca="false">IF(M734=0,"",L734/M734)</f>
        <v>0.402035623409669</v>
      </c>
      <c r="O734" s="20"/>
      <c r="P734" s="20" t="str">
        <f aca="false">IF(OR(N734="",O734=""),"",N734-O734)</f>
        <v/>
      </c>
      <c r="Q734" s="18"/>
    </row>
    <row r="735" customFormat="false" ht="15" hidden="false" customHeight="true" outlineLevel="0" collapsed="false">
      <c r="A735" s="18" t="s">
        <v>444</v>
      </c>
      <c r="B735" s="18" t="n">
        <v>10</v>
      </c>
      <c r="C735" s="18" t="s">
        <v>206</v>
      </c>
      <c r="D735" s="18" t="n">
        <v>-75</v>
      </c>
      <c r="E735" s="18" t="s">
        <v>394</v>
      </c>
      <c r="F735" s="18" t="s">
        <v>198</v>
      </c>
      <c r="G735" s="19" t="n">
        <v>40653</v>
      </c>
      <c r="H735" s="18" t="n">
        <v>40</v>
      </c>
      <c r="I735" s="18" t="n">
        <v>32</v>
      </c>
      <c r="J735" s="18" t="n">
        <f aca="false">SUMIFS($H$2:$H$1200,$A$2:$A$1200,$A735,$B$2:$B$1200,"&lt;="&amp;$B735)</f>
        <v>280</v>
      </c>
      <c r="K735" s="18" t="n">
        <f aca="false">SUMIFS($I$2:$I$1200,$A$2:$A$1200,$A735,$B$2:$B$1200,"&lt;="&amp;$B735)</f>
        <v>114</v>
      </c>
      <c r="L735" s="18" t="n">
        <f aca="false">J735-K735</f>
        <v>166</v>
      </c>
      <c r="M735" s="18" t="n">
        <f aca="false">SUMIF($A$2:$A$1200,$A735,$H$2:$H$1200)</f>
        <v>393</v>
      </c>
      <c r="N735" s="20" t="n">
        <f aca="false">IF(M735=0,"",L735/M735)</f>
        <v>0.422391857506361</v>
      </c>
      <c r="O735" s="20"/>
      <c r="P735" s="20" t="str">
        <f aca="false">IF(OR(N735="",O735=""),"",N735-O735)</f>
        <v/>
      </c>
      <c r="Q735" s="18"/>
    </row>
    <row r="736" customFormat="false" ht="15" hidden="false" customHeight="true" outlineLevel="0" collapsed="false">
      <c r="A736" s="18" t="s">
        <v>444</v>
      </c>
      <c r="B736" s="18" t="n">
        <v>11</v>
      </c>
      <c r="C736" s="18" t="s">
        <v>246</v>
      </c>
      <c r="D736" s="18" t="n">
        <v>-60</v>
      </c>
      <c r="E736" s="18" t="s">
        <v>394</v>
      </c>
      <c r="F736" s="18" t="s">
        <v>198</v>
      </c>
      <c r="G736" s="19" t="n">
        <v>40653</v>
      </c>
      <c r="H736" s="18" t="n">
        <v>45</v>
      </c>
      <c r="I736" s="18" t="n">
        <v>41</v>
      </c>
      <c r="J736" s="18" t="n">
        <f aca="false">SUMIFS($H$2:$H$1200,$A$2:$A$1200,$A736,$B$2:$B$1200,"&lt;="&amp;$B736)</f>
        <v>325</v>
      </c>
      <c r="K736" s="18" t="n">
        <f aca="false">SUMIFS($I$2:$I$1200,$A$2:$A$1200,$A736,$B$2:$B$1200,"&lt;="&amp;$B736)</f>
        <v>155</v>
      </c>
      <c r="L736" s="18" t="n">
        <f aca="false">J736-K736</f>
        <v>170</v>
      </c>
      <c r="M736" s="18" t="n">
        <f aca="false">SUMIF($A$2:$A$1200,$A736,$H$2:$H$1200)</f>
        <v>393</v>
      </c>
      <c r="N736" s="20" t="n">
        <f aca="false">IF(M736=0,"",L736/M736)</f>
        <v>0.432569974554707</v>
      </c>
      <c r="O736" s="20"/>
      <c r="P736" s="20" t="str">
        <f aca="false">IF(OR(N736="",O736=""),"",N736-O736)</f>
        <v/>
      </c>
      <c r="Q736" s="18"/>
    </row>
    <row r="737" customFormat="false" ht="15" hidden="false" customHeight="true" outlineLevel="0" collapsed="false">
      <c r="A737" s="18" t="s">
        <v>444</v>
      </c>
      <c r="B737" s="18" t="n">
        <v>12</v>
      </c>
      <c r="C737" s="18" t="s">
        <v>254</v>
      </c>
      <c r="D737" s="18" t="n">
        <v>-45</v>
      </c>
      <c r="E737" s="18" t="s">
        <v>394</v>
      </c>
      <c r="F737" s="18" t="s">
        <v>198</v>
      </c>
      <c r="G737" s="19" t="n">
        <v>40653</v>
      </c>
      <c r="H737" s="18" t="n">
        <v>24</v>
      </c>
      <c r="I737" s="18" t="n">
        <v>44</v>
      </c>
      <c r="J737" s="18" t="n">
        <f aca="false">SUMIFS($H$2:$H$1200,$A$2:$A$1200,$A737,$B$2:$B$1200,"&lt;="&amp;$B737)</f>
        <v>349</v>
      </c>
      <c r="K737" s="18" t="n">
        <f aca="false">SUMIFS($I$2:$I$1200,$A$2:$A$1200,$A737,$B$2:$B$1200,"&lt;="&amp;$B737)</f>
        <v>199</v>
      </c>
      <c r="L737" s="18" t="n">
        <f aca="false">J737-K737</f>
        <v>150</v>
      </c>
      <c r="M737" s="18" t="n">
        <f aca="false">SUMIF($A$2:$A$1200,$A737,$H$2:$H$1200)</f>
        <v>393</v>
      </c>
      <c r="N737" s="20" t="n">
        <f aca="false">IF(M737=0,"",L737/M737)</f>
        <v>0.381679389312977</v>
      </c>
      <c r="O737" s="20"/>
      <c r="P737" s="20" t="str">
        <f aca="false">IF(OR(N737="",O737=""),"",N737-O737)</f>
        <v/>
      </c>
      <c r="Q737" s="18"/>
    </row>
    <row r="738" customFormat="false" ht="15" hidden="false" customHeight="true" outlineLevel="0" collapsed="false">
      <c r="A738" s="18" t="s">
        <v>444</v>
      </c>
      <c r="B738" s="18" t="n">
        <v>13</v>
      </c>
      <c r="C738" s="18" t="s">
        <v>403</v>
      </c>
      <c r="D738" s="18" t="n">
        <v>-30</v>
      </c>
      <c r="E738" s="18" t="s">
        <v>394</v>
      </c>
      <c r="F738" s="18" t="s">
        <v>198</v>
      </c>
      <c r="G738" s="19" t="n">
        <v>40653</v>
      </c>
      <c r="H738" s="18" t="n">
        <v>18</v>
      </c>
      <c r="I738" s="18" t="n">
        <v>46</v>
      </c>
      <c r="J738" s="18" t="n">
        <f aca="false">SUMIFS($H$2:$H$1200,$A$2:$A$1200,$A738,$B$2:$B$1200,"&lt;="&amp;$B738)</f>
        <v>367</v>
      </c>
      <c r="K738" s="18" t="n">
        <f aca="false">SUMIFS($I$2:$I$1200,$A$2:$A$1200,$A738,$B$2:$B$1200,"&lt;="&amp;$B738)</f>
        <v>245</v>
      </c>
      <c r="L738" s="18" t="n">
        <f aca="false">J738-K738</f>
        <v>122</v>
      </c>
      <c r="M738" s="18" t="n">
        <f aca="false">SUMIF($A$2:$A$1200,$A738,$H$2:$H$1200)</f>
        <v>393</v>
      </c>
      <c r="N738" s="20" t="n">
        <f aca="false">IF(M738=0,"",L738/M738)</f>
        <v>0.310432569974555</v>
      </c>
      <c r="O738" s="20"/>
      <c r="P738" s="20" t="str">
        <f aca="false">IF(OR(N738="",O738=""),"",N738-O738)</f>
        <v/>
      </c>
      <c r="Q738" s="18"/>
    </row>
    <row r="739" customFormat="false" ht="15" hidden="false" customHeight="true" outlineLevel="0" collapsed="false">
      <c r="A739" s="18" t="s">
        <v>444</v>
      </c>
      <c r="B739" s="18" t="n">
        <v>14</v>
      </c>
      <c r="C739" s="18" t="s">
        <v>529</v>
      </c>
      <c r="D739" s="18" t="n">
        <v>-15</v>
      </c>
      <c r="E739" s="18" t="s">
        <v>394</v>
      </c>
      <c r="F739" s="18" t="s">
        <v>198</v>
      </c>
      <c r="G739" s="19" t="n">
        <v>40653</v>
      </c>
      <c r="H739" s="18" t="n">
        <v>10</v>
      </c>
      <c r="I739" s="18" t="n">
        <v>40</v>
      </c>
      <c r="J739" s="18" t="n">
        <f aca="false">SUMIFS($H$2:$H$1200,$A$2:$A$1200,$A739,$B$2:$B$1200,"&lt;="&amp;$B739)</f>
        <v>377</v>
      </c>
      <c r="K739" s="18" t="n">
        <f aca="false">SUMIFS($I$2:$I$1200,$A$2:$A$1200,$A739,$B$2:$B$1200,"&lt;="&amp;$B739)</f>
        <v>285</v>
      </c>
      <c r="L739" s="18" t="n">
        <f aca="false">J739-K739</f>
        <v>92</v>
      </c>
      <c r="M739" s="18" t="n">
        <f aca="false">SUMIF($A$2:$A$1200,$A739,$H$2:$H$1200)</f>
        <v>393</v>
      </c>
      <c r="N739" s="20" t="n">
        <f aca="false">IF(M739=0,"",L739/M739)</f>
        <v>0.234096692111959</v>
      </c>
      <c r="O739" s="20"/>
      <c r="P739" s="20" t="str">
        <f aca="false">IF(OR(N739="",O739=""),"",N739-O739)</f>
        <v/>
      </c>
      <c r="Q739" s="18"/>
    </row>
    <row r="740" customFormat="false" ht="15" hidden="false" customHeight="true" outlineLevel="0" collapsed="false">
      <c r="A740" s="18" t="s">
        <v>444</v>
      </c>
      <c r="B740" s="18" t="n">
        <v>15</v>
      </c>
      <c r="C740" s="18" t="s">
        <v>463</v>
      </c>
      <c r="D740" s="18" t="n">
        <v>0</v>
      </c>
      <c r="E740" s="18" t="s">
        <v>394</v>
      </c>
      <c r="F740" s="18" t="s">
        <v>198</v>
      </c>
      <c r="G740" s="19" t="n">
        <v>40653</v>
      </c>
      <c r="H740" s="18" t="n">
        <v>8</v>
      </c>
      <c r="I740" s="18" t="n">
        <v>36</v>
      </c>
      <c r="J740" s="18" t="n">
        <f aca="false">SUMIFS($H$2:$H$1200,$A$2:$A$1200,$A740,$B$2:$B$1200,"&lt;="&amp;$B740)</f>
        <v>385</v>
      </c>
      <c r="K740" s="18" t="n">
        <f aca="false">SUMIFS($I$2:$I$1200,$A$2:$A$1200,$A740,$B$2:$B$1200,"&lt;="&amp;$B740)</f>
        <v>321</v>
      </c>
      <c r="L740" s="18" t="n">
        <f aca="false">J740-K740</f>
        <v>64</v>
      </c>
      <c r="M740" s="18" t="n">
        <f aca="false">SUMIF($A$2:$A$1200,$A740,$H$2:$H$1200)</f>
        <v>393</v>
      </c>
      <c r="N740" s="20" t="n">
        <f aca="false">IF(M740=0,"",L740/M740)</f>
        <v>0.162849872773537</v>
      </c>
      <c r="O740" s="20"/>
      <c r="P740" s="20" t="str">
        <f aca="false">IF(OR(N740="",O740=""),"",N740-O740)</f>
        <v/>
      </c>
      <c r="Q740" s="18"/>
    </row>
    <row r="741" customFormat="false" ht="15" hidden="false" customHeight="true" outlineLevel="0" collapsed="false">
      <c r="A741" s="18" t="s">
        <v>444</v>
      </c>
      <c r="B741" s="18" t="n">
        <v>16</v>
      </c>
      <c r="C741" s="18" t="s">
        <v>366</v>
      </c>
      <c r="D741" s="18" t="n">
        <v>15</v>
      </c>
      <c r="E741" s="18" t="s">
        <v>394</v>
      </c>
      <c r="F741" s="18" t="s">
        <v>198</v>
      </c>
      <c r="G741" s="19" t="n">
        <v>40653</v>
      </c>
      <c r="H741" s="18" t="n">
        <v>5</v>
      </c>
      <c r="I741" s="18" t="n">
        <v>26</v>
      </c>
      <c r="J741" s="18" t="n">
        <f aca="false">SUMIFS($H$2:$H$1200,$A$2:$A$1200,$A741,$B$2:$B$1200,"&lt;="&amp;$B741)</f>
        <v>390</v>
      </c>
      <c r="K741" s="18" t="n">
        <f aca="false">SUMIFS($I$2:$I$1200,$A$2:$A$1200,$A741,$B$2:$B$1200,"&lt;="&amp;$B741)</f>
        <v>347</v>
      </c>
      <c r="L741" s="18" t="n">
        <f aca="false">J741-K741</f>
        <v>43</v>
      </c>
      <c r="M741" s="18" t="n">
        <f aca="false">SUMIF($A$2:$A$1200,$A741,$H$2:$H$1200)</f>
        <v>393</v>
      </c>
      <c r="N741" s="20" t="n">
        <f aca="false">IF(M741=0,"",L741/M741)</f>
        <v>0.10941475826972</v>
      </c>
      <c r="O741" s="20"/>
      <c r="P741" s="20" t="str">
        <f aca="false">IF(OR(N741="",O741=""),"",N741-O741)</f>
        <v/>
      </c>
      <c r="Q741" s="18"/>
    </row>
    <row r="742" customFormat="false" ht="15" hidden="false" customHeight="true" outlineLevel="0" collapsed="false">
      <c r="A742" s="18" t="s">
        <v>444</v>
      </c>
      <c r="B742" s="18" t="n">
        <v>17</v>
      </c>
      <c r="C742" s="18" t="s">
        <v>326</v>
      </c>
      <c r="D742" s="18" t="n">
        <v>30</v>
      </c>
      <c r="E742" s="18" t="s">
        <v>394</v>
      </c>
      <c r="F742" s="18" t="s">
        <v>198</v>
      </c>
      <c r="G742" s="19" t="n">
        <v>40653</v>
      </c>
      <c r="H742" s="18" t="n">
        <v>2</v>
      </c>
      <c r="I742" s="18" t="n">
        <v>14</v>
      </c>
      <c r="J742" s="18" t="n">
        <f aca="false">SUMIFS($H$2:$H$1200,$A$2:$A$1200,$A742,$B$2:$B$1200,"&lt;="&amp;$B742)</f>
        <v>392</v>
      </c>
      <c r="K742" s="18" t="n">
        <f aca="false">SUMIFS($I$2:$I$1200,$A$2:$A$1200,$A742,$B$2:$B$1200,"&lt;="&amp;$B742)</f>
        <v>361</v>
      </c>
      <c r="L742" s="18" t="n">
        <f aca="false">J742-K742</f>
        <v>31</v>
      </c>
      <c r="M742" s="18" t="n">
        <f aca="false">SUMIF($A$2:$A$1200,$A742,$H$2:$H$1200)</f>
        <v>393</v>
      </c>
      <c r="N742" s="20" t="n">
        <f aca="false">IF(M742=0,"",L742/M742)</f>
        <v>0.0788804071246819</v>
      </c>
      <c r="O742" s="20"/>
      <c r="P742" s="20" t="str">
        <f aca="false">IF(OR(N742="",O742=""),"",N742-O742)</f>
        <v/>
      </c>
      <c r="Q742" s="18"/>
    </row>
    <row r="743" customFormat="false" ht="15" hidden="false" customHeight="true" outlineLevel="0" collapsed="false">
      <c r="A743" s="18" t="s">
        <v>444</v>
      </c>
      <c r="B743" s="18" t="n">
        <v>18</v>
      </c>
      <c r="C743" s="18" t="s">
        <v>226</v>
      </c>
      <c r="D743" s="18" t="n">
        <v>45</v>
      </c>
      <c r="E743" s="18" t="s">
        <v>394</v>
      </c>
      <c r="F743" s="18" t="s">
        <v>198</v>
      </c>
      <c r="G743" s="19" t="n">
        <v>40653</v>
      </c>
      <c r="H743" s="18" t="n">
        <v>1</v>
      </c>
      <c r="I743" s="18" t="n">
        <v>17</v>
      </c>
      <c r="J743" s="18" t="n">
        <f aca="false">SUMIFS($H$2:$H$1200,$A$2:$A$1200,$A743,$B$2:$B$1200,"&lt;="&amp;$B743)</f>
        <v>393</v>
      </c>
      <c r="K743" s="18" t="n">
        <f aca="false">SUMIFS($I$2:$I$1200,$A$2:$A$1200,$A743,$B$2:$B$1200,"&lt;="&amp;$B743)</f>
        <v>378</v>
      </c>
      <c r="L743" s="18" t="n">
        <f aca="false">J743-K743</f>
        <v>15</v>
      </c>
      <c r="M743" s="18" t="n">
        <f aca="false">SUMIF($A$2:$A$1200,$A743,$H$2:$H$1200)</f>
        <v>393</v>
      </c>
      <c r="N743" s="20" t="n">
        <f aca="false">IF(M743=0,"",L743/M743)</f>
        <v>0.0381679389312977</v>
      </c>
      <c r="O743" s="20"/>
      <c r="P743" s="20" t="str">
        <f aca="false">IF(OR(N743="",O743=""),"",N743-O743)</f>
        <v/>
      </c>
      <c r="Q743" s="18"/>
    </row>
    <row r="744" customFormat="false" ht="15" hidden="false" customHeight="false" outlineLevel="0" collapsed="false">
      <c r="A744" s="14" t="s">
        <v>447</v>
      </c>
      <c r="B744" s="14" t="n">
        <v>0</v>
      </c>
      <c r="C744" s="14" t="s">
        <v>204</v>
      </c>
      <c r="D744" s="14"/>
      <c r="E744" s="14" t="s">
        <v>195</v>
      </c>
      <c r="F744" s="14" t="s">
        <v>198</v>
      </c>
      <c r="G744" s="15" t="n">
        <v>45358</v>
      </c>
      <c r="H744" s="14" t="n">
        <v>11</v>
      </c>
      <c r="I744" s="14" t="n">
        <v>2</v>
      </c>
      <c r="J744" s="14" t="n">
        <v>11</v>
      </c>
      <c r="K744" s="14" t="n">
        <v>2</v>
      </c>
      <c r="L744" s="14" t="n">
        <v>9</v>
      </c>
      <c r="M744" s="14" t="n">
        <v>289</v>
      </c>
      <c r="N744" s="16" t="n">
        <v>0.0311418685121107</v>
      </c>
      <c r="O744" s="14"/>
      <c r="P744" s="14"/>
      <c r="Q744" s="22"/>
    </row>
    <row r="745" customFormat="false" ht="15" hidden="false" customHeight="false" outlineLevel="0" collapsed="false">
      <c r="A745" s="14" t="s">
        <v>447</v>
      </c>
      <c r="B745" s="14" t="n">
        <v>3</v>
      </c>
      <c r="C745" s="14" t="s">
        <v>525</v>
      </c>
      <c r="D745" s="14" t="n">
        <v>-180</v>
      </c>
      <c r="E745" s="14" t="s">
        <v>195</v>
      </c>
      <c r="F745" s="14" t="s">
        <v>198</v>
      </c>
      <c r="G745" s="15" t="n">
        <v>45358</v>
      </c>
      <c r="H745" s="14" t="n">
        <v>14</v>
      </c>
      <c r="I745" s="14" t="n">
        <v>3</v>
      </c>
      <c r="J745" s="14" t="n">
        <v>25</v>
      </c>
      <c r="K745" s="14" t="n">
        <v>5</v>
      </c>
      <c r="L745" s="14" t="n">
        <v>20</v>
      </c>
      <c r="M745" s="14" t="n">
        <v>289</v>
      </c>
      <c r="N745" s="16" t="n">
        <v>0.069204152249135</v>
      </c>
      <c r="O745" s="14"/>
      <c r="P745" s="14"/>
      <c r="Q745" s="22"/>
    </row>
    <row r="746" customFormat="false" ht="15" hidden="false" customHeight="false" outlineLevel="0" collapsed="false">
      <c r="A746" s="14" t="s">
        <v>447</v>
      </c>
      <c r="B746" s="14" t="n">
        <v>4</v>
      </c>
      <c r="C746" s="14" t="s">
        <v>526</v>
      </c>
      <c r="D746" s="14" t="n">
        <v>-165</v>
      </c>
      <c r="E746" s="14" t="s">
        <v>195</v>
      </c>
      <c r="F746" s="14" t="s">
        <v>198</v>
      </c>
      <c r="G746" s="15" t="n">
        <v>45358</v>
      </c>
      <c r="H746" s="14" t="n">
        <v>19</v>
      </c>
      <c r="I746" s="14" t="n">
        <v>2</v>
      </c>
      <c r="J746" s="14" t="n">
        <v>44</v>
      </c>
      <c r="K746" s="14" t="n">
        <v>7</v>
      </c>
      <c r="L746" s="14" t="n">
        <v>37</v>
      </c>
      <c r="M746" s="14" t="n">
        <v>289</v>
      </c>
      <c r="N746" s="16" t="n">
        <v>0.1280276816609</v>
      </c>
      <c r="O746" s="14"/>
      <c r="P746" s="14"/>
      <c r="Q746" s="22"/>
    </row>
    <row r="747" customFormat="false" ht="15" hidden="false" customHeight="false" outlineLevel="0" collapsed="false">
      <c r="A747" s="14" t="s">
        <v>447</v>
      </c>
      <c r="B747" s="14" t="n">
        <v>5</v>
      </c>
      <c r="C747" s="14" t="s">
        <v>527</v>
      </c>
      <c r="D747" s="14" t="n">
        <v>-150</v>
      </c>
      <c r="E747" s="14" t="s">
        <v>195</v>
      </c>
      <c r="F747" s="14" t="s">
        <v>198</v>
      </c>
      <c r="G747" s="15" t="n">
        <v>45358</v>
      </c>
      <c r="H747" s="14" t="n">
        <v>26</v>
      </c>
      <c r="I747" s="14" t="n">
        <v>5</v>
      </c>
      <c r="J747" s="14" t="n">
        <v>70</v>
      </c>
      <c r="K747" s="14" t="n">
        <v>12</v>
      </c>
      <c r="L747" s="14" t="n">
        <v>58</v>
      </c>
      <c r="M747" s="14" t="n">
        <v>289</v>
      </c>
      <c r="N747" s="16" t="n">
        <v>0.200692041522491</v>
      </c>
      <c r="O747" s="14"/>
      <c r="P747" s="14"/>
      <c r="Q747" s="22"/>
    </row>
    <row r="748" customFormat="false" ht="15" hidden="false" customHeight="false" outlineLevel="0" collapsed="false">
      <c r="A748" s="14" t="s">
        <v>447</v>
      </c>
      <c r="B748" s="14" t="n">
        <v>6</v>
      </c>
      <c r="C748" s="14" t="s">
        <v>528</v>
      </c>
      <c r="D748" s="14" t="n">
        <v>-135</v>
      </c>
      <c r="E748" s="14" t="s">
        <v>195</v>
      </c>
      <c r="F748" s="14" t="s">
        <v>198</v>
      </c>
      <c r="G748" s="15" t="n">
        <v>45358</v>
      </c>
      <c r="H748" s="14" t="n">
        <v>33</v>
      </c>
      <c r="I748" s="14" t="n">
        <v>3</v>
      </c>
      <c r="J748" s="14" t="n">
        <v>103</v>
      </c>
      <c r="K748" s="14" t="n">
        <v>15</v>
      </c>
      <c r="L748" s="14" t="n">
        <v>88</v>
      </c>
      <c r="M748" s="14" t="n">
        <v>289</v>
      </c>
      <c r="N748" s="16" t="n">
        <v>0.304498269896194</v>
      </c>
      <c r="O748" s="14"/>
      <c r="P748" s="14"/>
      <c r="Q748" s="22"/>
    </row>
    <row r="749" customFormat="false" ht="15" hidden="false" customHeight="false" outlineLevel="0" collapsed="false">
      <c r="A749" s="14" t="s">
        <v>447</v>
      </c>
      <c r="B749" s="14" t="n">
        <v>7</v>
      </c>
      <c r="C749" s="14" t="s">
        <v>227</v>
      </c>
      <c r="D749" s="14" t="n">
        <v>-120</v>
      </c>
      <c r="E749" s="14" t="s">
        <v>195</v>
      </c>
      <c r="F749" s="14" t="s">
        <v>198</v>
      </c>
      <c r="G749" s="15" t="n">
        <v>45358</v>
      </c>
      <c r="H749" s="14" t="n">
        <v>31</v>
      </c>
      <c r="I749" s="14" t="n">
        <v>3</v>
      </c>
      <c r="J749" s="14" t="n">
        <v>134</v>
      </c>
      <c r="K749" s="14" t="n">
        <v>18</v>
      </c>
      <c r="L749" s="14" t="n">
        <v>116</v>
      </c>
      <c r="M749" s="14" t="n">
        <v>289</v>
      </c>
      <c r="N749" s="16" t="n">
        <v>0.401384083044983</v>
      </c>
      <c r="O749" s="14"/>
      <c r="P749" s="14"/>
      <c r="Q749" s="22"/>
    </row>
    <row r="750" customFormat="false" ht="15" hidden="false" customHeight="false" outlineLevel="0" collapsed="false">
      <c r="A750" s="14" t="s">
        <v>447</v>
      </c>
      <c r="B750" s="14" t="n">
        <v>8</v>
      </c>
      <c r="C750" s="14" t="s">
        <v>241</v>
      </c>
      <c r="D750" s="14" t="n">
        <v>-105</v>
      </c>
      <c r="E750" s="14" t="s">
        <v>195</v>
      </c>
      <c r="F750" s="14" t="s">
        <v>198</v>
      </c>
      <c r="G750" s="15" t="n">
        <v>45358</v>
      </c>
      <c r="H750" s="14" t="n">
        <v>30</v>
      </c>
      <c r="I750" s="14" t="n">
        <v>7</v>
      </c>
      <c r="J750" s="14" t="n">
        <v>164</v>
      </c>
      <c r="K750" s="14" t="n">
        <v>25</v>
      </c>
      <c r="L750" s="14" t="n">
        <v>139</v>
      </c>
      <c r="M750" s="14" t="n">
        <v>289</v>
      </c>
      <c r="N750" s="16" t="n">
        <v>0.480968858131488</v>
      </c>
      <c r="O750" s="14"/>
      <c r="P750" s="14"/>
      <c r="Q750" s="22"/>
    </row>
    <row r="751" customFormat="false" ht="15" hidden="false" customHeight="false" outlineLevel="0" collapsed="false">
      <c r="A751" s="14" t="s">
        <v>447</v>
      </c>
      <c r="B751" s="14" t="n">
        <v>9</v>
      </c>
      <c r="C751" s="14" t="s">
        <v>279</v>
      </c>
      <c r="D751" s="14" t="n">
        <v>-90</v>
      </c>
      <c r="E751" s="14" t="s">
        <v>195</v>
      </c>
      <c r="F751" s="14" t="s">
        <v>198</v>
      </c>
      <c r="G751" s="15" t="n">
        <v>45358</v>
      </c>
      <c r="H751" s="14" t="n">
        <v>32</v>
      </c>
      <c r="I751" s="14" t="n">
        <v>8</v>
      </c>
      <c r="J751" s="14" t="n">
        <v>196</v>
      </c>
      <c r="K751" s="14" t="n">
        <v>33</v>
      </c>
      <c r="L751" s="14" t="n">
        <v>163</v>
      </c>
      <c r="M751" s="14" t="n">
        <v>289</v>
      </c>
      <c r="N751" s="16" t="n">
        <v>0.56401384083045</v>
      </c>
      <c r="O751" s="14"/>
      <c r="P751" s="14"/>
      <c r="Q751" s="22"/>
    </row>
    <row r="752" customFormat="false" ht="15" hidden="false" customHeight="false" outlineLevel="0" collapsed="false">
      <c r="A752" s="14" t="s">
        <v>447</v>
      </c>
      <c r="B752" s="14" t="n">
        <v>10</v>
      </c>
      <c r="C752" s="14" t="s">
        <v>206</v>
      </c>
      <c r="D752" s="14" t="n">
        <v>-75</v>
      </c>
      <c r="E752" s="14" t="s">
        <v>195</v>
      </c>
      <c r="F752" s="14" t="s">
        <v>198</v>
      </c>
      <c r="G752" s="15" t="n">
        <v>45358</v>
      </c>
      <c r="H752" s="14" t="n">
        <v>23</v>
      </c>
      <c r="I752" s="14" t="n">
        <v>16</v>
      </c>
      <c r="J752" s="14" t="n">
        <v>219</v>
      </c>
      <c r="K752" s="14" t="n">
        <v>49</v>
      </c>
      <c r="L752" s="14" t="n">
        <v>170</v>
      </c>
      <c r="M752" s="14" t="n">
        <v>289</v>
      </c>
      <c r="N752" s="16" t="n">
        <v>0.588235294117647</v>
      </c>
      <c r="O752" s="14"/>
      <c r="P752" s="14"/>
      <c r="Q752" s="22"/>
    </row>
    <row r="753" customFormat="false" ht="15" hidden="false" customHeight="false" outlineLevel="0" collapsed="false">
      <c r="A753" s="14" t="s">
        <v>447</v>
      </c>
      <c r="B753" s="14" t="n">
        <v>11</v>
      </c>
      <c r="C753" s="14" t="s">
        <v>246</v>
      </c>
      <c r="D753" s="14" t="n">
        <v>-60</v>
      </c>
      <c r="E753" s="14" t="s">
        <v>195</v>
      </c>
      <c r="F753" s="14" t="s">
        <v>198</v>
      </c>
      <c r="G753" s="15" t="n">
        <v>45358</v>
      </c>
      <c r="H753" s="14" t="n">
        <v>16</v>
      </c>
      <c r="I753" s="14" t="n">
        <v>23</v>
      </c>
      <c r="J753" s="14" t="n">
        <v>235</v>
      </c>
      <c r="K753" s="14" t="n">
        <v>72</v>
      </c>
      <c r="L753" s="14" t="n">
        <v>163</v>
      </c>
      <c r="M753" s="14" t="n">
        <v>289</v>
      </c>
      <c r="N753" s="16" t="n">
        <v>0.56401384083045</v>
      </c>
      <c r="O753" s="14"/>
      <c r="P753" s="14"/>
      <c r="Q753" s="22"/>
    </row>
    <row r="754" customFormat="false" ht="15" hidden="false" customHeight="false" outlineLevel="0" collapsed="false">
      <c r="A754" s="14" t="s">
        <v>447</v>
      </c>
      <c r="B754" s="14" t="n">
        <v>12</v>
      </c>
      <c r="C754" s="14" t="s">
        <v>254</v>
      </c>
      <c r="D754" s="14" t="n">
        <v>-45</v>
      </c>
      <c r="E754" s="14" t="s">
        <v>195</v>
      </c>
      <c r="F754" s="14" t="s">
        <v>198</v>
      </c>
      <c r="G754" s="15" t="n">
        <v>45358</v>
      </c>
      <c r="H754" s="14" t="n">
        <v>14</v>
      </c>
      <c r="I754" s="14" t="n">
        <v>46</v>
      </c>
      <c r="J754" s="14" t="n">
        <v>249</v>
      </c>
      <c r="K754" s="14" t="n">
        <v>118</v>
      </c>
      <c r="L754" s="14" t="n">
        <v>131</v>
      </c>
      <c r="M754" s="14" t="n">
        <v>289</v>
      </c>
      <c r="N754" s="16" t="n">
        <v>0.453287197231834</v>
      </c>
      <c r="O754" s="14"/>
      <c r="P754" s="14"/>
      <c r="Q754" s="22"/>
    </row>
    <row r="755" customFormat="false" ht="15" hidden="false" customHeight="false" outlineLevel="0" collapsed="false">
      <c r="A755" s="14" t="s">
        <v>447</v>
      </c>
      <c r="B755" s="14" t="n">
        <v>13</v>
      </c>
      <c r="C755" s="14" t="s">
        <v>403</v>
      </c>
      <c r="D755" s="14" t="n">
        <v>-30</v>
      </c>
      <c r="E755" s="14" t="s">
        <v>195</v>
      </c>
      <c r="F755" s="14" t="s">
        <v>198</v>
      </c>
      <c r="G755" s="15" t="n">
        <v>45358</v>
      </c>
      <c r="H755" s="14" t="n">
        <v>14</v>
      </c>
      <c r="I755" s="14" t="n">
        <v>29</v>
      </c>
      <c r="J755" s="14" t="n">
        <v>263</v>
      </c>
      <c r="K755" s="14" t="n">
        <v>147</v>
      </c>
      <c r="L755" s="14" t="n">
        <v>116</v>
      </c>
      <c r="M755" s="14" t="n">
        <v>289</v>
      </c>
      <c r="N755" s="16" t="n">
        <v>0.401384083044983</v>
      </c>
      <c r="O755" s="14"/>
      <c r="P755" s="14"/>
      <c r="Q755" s="22"/>
    </row>
    <row r="756" customFormat="false" ht="15" hidden="false" customHeight="false" outlineLevel="0" collapsed="false">
      <c r="A756" s="14" t="s">
        <v>447</v>
      </c>
      <c r="B756" s="14" t="n">
        <v>14</v>
      </c>
      <c r="C756" s="14" t="s">
        <v>529</v>
      </c>
      <c r="D756" s="14" t="n">
        <v>-15</v>
      </c>
      <c r="E756" s="14" t="s">
        <v>195</v>
      </c>
      <c r="F756" s="14" t="s">
        <v>198</v>
      </c>
      <c r="G756" s="15" t="n">
        <v>45358</v>
      </c>
      <c r="H756" s="14" t="n">
        <v>10</v>
      </c>
      <c r="I756" s="14" t="n">
        <v>36</v>
      </c>
      <c r="J756" s="14" t="n">
        <v>273</v>
      </c>
      <c r="K756" s="14" t="n">
        <v>183</v>
      </c>
      <c r="L756" s="14" t="n">
        <v>90</v>
      </c>
      <c r="M756" s="14" t="n">
        <v>289</v>
      </c>
      <c r="N756" s="16" t="n">
        <v>0.311418685121107</v>
      </c>
      <c r="O756" s="14"/>
      <c r="P756" s="14"/>
      <c r="Q756" s="22"/>
    </row>
    <row r="757" customFormat="false" ht="15" hidden="false" customHeight="false" outlineLevel="0" collapsed="false">
      <c r="A757" s="14" t="s">
        <v>447</v>
      </c>
      <c r="B757" s="14" t="n">
        <v>15</v>
      </c>
      <c r="C757" s="14" t="s">
        <v>463</v>
      </c>
      <c r="D757" s="14" t="n">
        <v>0</v>
      </c>
      <c r="E757" s="14" t="s">
        <v>195</v>
      </c>
      <c r="F757" s="14" t="s">
        <v>198</v>
      </c>
      <c r="G757" s="15" t="n">
        <v>45358</v>
      </c>
      <c r="H757" s="14" t="n">
        <v>5</v>
      </c>
      <c r="I757" s="14" t="n">
        <v>27</v>
      </c>
      <c r="J757" s="14" t="n">
        <v>278</v>
      </c>
      <c r="K757" s="14" t="n">
        <v>210</v>
      </c>
      <c r="L757" s="14" t="n">
        <v>68</v>
      </c>
      <c r="M757" s="14" t="n">
        <v>289</v>
      </c>
      <c r="N757" s="16" t="n">
        <v>0.235294117647059</v>
      </c>
      <c r="O757" s="14"/>
      <c r="P757" s="14"/>
      <c r="Q757" s="22"/>
    </row>
    <row r="758" customFormat="false" ht="15" hidden="false" customHeight="false" outlineLevel="0" collapsed="false">
      <c r="A758" s="14" t="s">
        <v>447</v>
      </c>
      <c r="B758" s="14" t="n">
        <v>16</v>
      </c>
      <c r="C758" s="14" t="s">
        <v>366</v>
      </c>
      <c r="D758" s="14" t="n">
        <v>15</v>
      </c>
      <c r="E758" s="14" t="s">
        <v>195</v>
      </c>
      <c r="F758" s="14" t="s">
        <v>198</v>
      </c>
      <c r="G758" s="15" t="n">
        <v>45358</v>
      </c>
      <c r="H758" s="14" t="n">
        <v>5</v>
      </c>
      <c r="I758" s="14" t="n">
        <v>21</v>
      </c>
      <c r="J758" s="14" t="n">
        <v>283</v>
      </c>
      <c r="K758" s="14" t="n">
        <v>231</v>
      </c>
      <c r="L758" s="14" t="n">
        <v>52</v>
      </c>
      <c r="M758" s="14" t="n">
        <v>289</v>
      </c>
      <c r="N758" s="16" t="n">
        <v>0.179930795847751</v>
      </c>
      <c r="O758" s="14"/>
      <c r="P758" s="14"/>
      <c r="Q758" s="22"/>
    </row>
    <row r="759" customFormat="false" ht="15" hidden="false" customHeight="false" outlineLevel="0" collapsed="false">
      <c r="A759" s="14" t="s">
        <v>447</v>
      </c>
      <c r="B759" s="14" t="n">
        <v>17</v>
      </c>
      <c r="C759" s="14" t="s">
        <v>326</v>
      </c>
      <c r="D759" s="14" t="n">
        <v>30</v>
      </c>
      <c r="E759" s="14" t="s">
        <v>195</v>
      </c>
      <c r="F759" s="14" t="s">
        <v>198</v>
      </c>
      <c r="G759" s="15" t="n">
        <v>45358</v>
      </c>
      <c r="H759" s="14" t="n">
        <v>6</v>
      </c>
      <c r="I759" s="14" t="n">
        <v>28</v>
      </c>
      <c r="J759" s="14" t="n">
        <v>289</v>
      </c>
      <c r="K759" s="14" t="n">
        <v>259</v>
      </c>
      <c r="L759" s="14" t="n">
        <v>30</v>
      </c>
      <c r="M759" s="14" t="n">
        <v>289</v>
      </c>
      <c r="N759" s="16" t="n">
        <v>0.103806228373702</v>
      </c>
      <c r="O759" s="14"/>
      <c r="P759" s="14"/>
      <c r="Q759" s="22"/>
    </row>
    <row r="760" customFormat="false" ht="15" hidden="false" customHeight="false" outlineLevel="0" collapsed="false">
      <c r="A760" s="14" t="s">
        <v>447</v>
      </c>
      <c r="B760" s="14" t="n">
        <v>18</v>
      </c>
      <c r="C760" s="14" t="s">
        <v>226</v>
      </c>
      <c r="D760" s="14" t="n">
        <v>45</v>
      </c>
      <c r="E760" s="14" t="s">
        <v>195</v>
      </c>
      <c r="F760" s="14" t="s">
        <v>198</v>
      </c>
      <c r="G760" s="15" t="n">
        <v>45358</v>
      </c>
      <c r="H760" s="14" t="n">
        <v>0</v>
      </c>
      <c r="I760" s="14" t="n">
        <v>12</v>
      </c>
      <c r="J760" s="14" t="n">
        <v>289</v>
      </c>
      <c r="K760" s="14" t="n">
        <v>271</v>
      </c>
      <c r="L760" s="14" t="n">
        <v>18</v>
      </c>
      <c r="M760" s="14" t="n">
        <v>289</v>
      </c>
      <c r="N760" s="16" t="n">
        <v>0.0622837370242215</v>
      </c>
      <c r="O760" s="14"/>
      <c r="P760" s="14"/>
      <c r="Q760" s="22"/>
    </row>
    <row r="761" customFormat="false" ht="15" hidden="false" customHeight="false" outlineLevel="0" collapsed="false">
      <c r="A761" s="14" t="s">
        <v>454</v>
      </c>
      <c r="B761" s="14" t="n">
        <v>0</v>
      </c>
      <c r="C761" s="14" t="s">
        <v>204</v>
      </c>
      <c r="D761" s="14"/>
      <c r="E761" s="14" t="s">
        <v>195</v>
      </c>
      <c r="F761" s="14" t="s">
        <v>198</v>
      </c>
      <c r="G761" s="15" t="n">
        <v>45366</v>
      </c>
      <c r="H761" s="14" t="n">
        <v>10</v>
      </c>
      <c r="I761" s="14" t="n">
        <v>0</v>
      </c>
      <c r="J761" s="14" t="n">
        <v>10</v>
      </c>
      <c r="K761" s="14" t="n">
        <v>0</v>
      </c>
      <c r="L761" s="14" t="n">
        <v>10</v>
      </c>
      <c r="M761" s="14" t="n">
        <v>375</v>
      </c>
      <c r="N761" s="16" t="n">
        <v>0.0266666666666667</v>
      </c>
      <c r="O761" s="14"/>
      <c r="P761" s="14"/>
      <c r="Q761" s="22"/>
    </row>
    <row r="762" customFormat="false" ht="15" hidden="false" customHeight="false" outlineLevel="0" collapsed="false">
      <c r="A762" s="14" t="s">
        <v>454</v>
      </c>
      <c r="B762" s="14" t="n">
        <v>3</v>
      </c>
      <c r="C762" s="14" t="s">
        <v>525</v>
      </c>
      <c r="D762" s="14" t="n">
        <v>-180</v>
      </c>
      <c r="E762" s="14" t="s">
        <v>195</v>
      </c>
      <c r="F762" s="14" t="s">
        <v>198</v>
      </c>
      <c r="G762" s="15" t="n">
        <v>45366</v>
      </c>
      <c r="H762" s="14" t="n">
        <v>0</v>
      </c>
      <c r="I762" s="14" t="n">
        <v>0</v>
      </c>
      <c r="J762" s="14" t="n">
        <v>10</v>
      </c>
      <c r="K762" s="14" t="n">
        <v>0</v>
      </c>
      <c r="L762" s="14" t="n">
        <v>10</v>
      </c>
      <c r="M762" s="14" t="n">
        <v>375</v>
      </c>
      <c r="N762" s="16" t="n">
        <v>0.0266666666666667</v>
      </c>
      <c r="O762" s="14"/>
      <c r="P762" s="14"/>
      <c r="Q762" s="22"/>
    </row>
    <row r="763" customFormat="false" ht="15" hidden="false" customHeight="false" outlineLevel="0" collapsed="false">
      <c r="A763" s="14" t="s">
        <v>454</v>
      </c>
      <c r="B763" s="14" t="n">
        <v>4</v>
      </c>
      <c r="C763" s="14" t="s">
        <v>526</v>
      </c>
      <c r="D763" s="14" t="n">
        <v>-165</v>
      </c>
      <c r="E763" s="14" t="s">
        <v>195</v>
      </c>
      <c r="F763" s="14" t="s">
        <v>198</v>
      </c>
      <c r="G763" s="15" t="n">
        <v>45366</v>
      </c>
      <c r="H763" s="14" t="n">
        <v>8</v>
      </c>
      <c r="I763" s="14" t="n">
        <v>0</v>
      </c>
      <c r="J763" s="14" t="n">
        <v>18</v>
      </c>
      <c r="K763" s="14" t="n">
        <v>0</v>
      </c>
      <c r="L763" s="14" t="n">
        <v>18</v>
      </c>
      <c r="M763" s="14" t="n">
        <v>375</v>
      </c>
      <c r="N763" s="16" t="n">
        <v>0.048</v>
      </c>
      <c r="O763" s="14"/>
      <c r="P763" s="14"/>
      <c r="Q763" s="22"/>
    </row>
    <row r="764" customFormat="false" ht="15" hidden="false" customHeight="false" outlineLevel="0" collapsed="false">
      <c r="A764" s="14" t="s">
        <v>454</v>
      </c>
      <c r="B764" s="14" t="n">
        <v>5</v>
      </c>
      <c r="C764" s="14" t="s">
        <v>527</v>
      </c>
      <c r="D764" s="14" t="n">
        <v>-150</v>
      </c>
      <c r="E764" s="14" t="s">
        <v>195</v>
      </c>
      <c r="F764" s="14" t="s">
        <v>198</v>
      </c>
      <c r="G764" s="15" t="n">
        <v>45366</v>
      </c>
      <c r="H764" s="14" t="n">
        <v>12</v>
      </c>
      <c r="I764" s="14" t="n">
        <v>2</v>
      </c>
      <c r="J764" s="14" t="n">
        <v>30</v>
      </c>
      <c r="K764" s="14" t="n">
        <v>2</v>
      </c>
      <c r="L764" s="14" t="n">
        <v>28</v>
      </c>
      <c r="M764" s="14" t="n">
        <v>375</v>
      </c>
      <c r="N764" s="16" t="n">
        <v>0.0746666666666667</v>
      </c>
      <c r="O764" s="14"/>
      <c r="P764" s="14"/>
      <c r="Q764" s="22"/>
    </row>
    <row r="765" customFormat="false" ht="15" hidden="false" customHeight="false" outlineLevel="0" collapsed="false">
      <c r="A765" s="14" t="s">
        <v>454</v>
      </c>
      <c r="B765" s="14" t="n">
        <v>6</v>
      </c>
      <c r="C765" s="14" t="s">
        <v>528</v>
      </c>
      <c r="D765" s="14" t="n">
        <v>-135</v>
      </c>
      <c r="E765" s="14" t="s">
        <v>195</v>
      </c>
      <c r="F765" s="14" t="s">
        <v>198</v>
      </c>
      <c r="G765" s="15" t="n">
        <v>45366</v>
      </c>
      <c r="H765" s="14" t="n">
        <v>35</v>
      </c>
      <c r="I765" s="14" t="n">
        <v>0</v>
      </c>
      <c r="J765" s="14" t="n">
        <v>65</v>
      </c>
      <c r="K765" s="14" t="n">
        <v>2</v>
      </c>
      <c r="L765" s="14" t="n">
        <v>63</v>
      </c>
      <c r="M765" s="14" t="n">
        <v>375</v>
      </c>
      <c r="N765" s="16" t="n">
        <v>0.168</v>
      </c>
      <c r="O765" s="14"/>
      <c r="P765" s="14"/>
      <c r="Q765" s="22"/>
    </row>
    <row r="766" customFormat="false" ht="15" hidden="false" customHeight="false" outlineLevel="0" collapsed="false">
      <c r="A766" s="14" t="s">
        <v>454</v>
      </c>
      <c r="B766" s="14" t="n">
        <v>7</v>
      </c>
      <c r="C766" s="14" t="s">
        <v>227</v>
      </c>
      <c r="D766" s="14" t="n">
        <v>-120</v>
      </c>
      <c r="E766" s="14" t="s">
        <v>195</v>
      </c>
      <c r="F766" s="14" t="s">
        <v>198</v>
      </c>
      <c r="G766" s="15" t="n">
        <v>45366</v>
      </c>
      <c r="H766" s="14" t="n">
        <v>41</v>
      </c>
      <c r="I766" s="14" t="n">
        <v>0</v>
      </c>
      <c r="J766" s="14" t="n">
        <v>106</v>
      </c>
      <c r="K766" s="14" t="n">
        <v>2</v>
      </c>
      <c r="L766" s="14" t="n">
        <v>104</v>
      </c>
      <c r="M766" s="14" t="n">
        <v>375</v>
      </c>
      <c r="N766" s="16" t="n">
        <v>0.277333333333333</v>
      </c>
      <c r="O766" s="14"/>
      <c r="P766" s="14"/>
      <c r="Q766" s="22"/>
    </row>
    <row r="767" customFormat="false" ht="15" hidden="false" customHeight="false" outlineLevel="0" collapsed="false">
      <c r="A767" s="14" t="s">
        <v>454</v>
      </c>
      <c r="B767" s="14" t="n">
        <v>8</v>
      </c>
      <c r="C767" s="14" t="s">
        <v>241</v>
      </c>
      <c r="D767" s="14" t="n">
        <v>-105</v>
      </c>
      <c r="E767" s="14" t="s">
        <v>195</v>
      </c>
      <c r="F767" s="14" t="s">
        <v>198</v>
      </c>
      <c r="G767" s="15" t="n">
        <v>45366</v>
      </c>
      <c r="H767" s="14" t="n">
        <v>45</v>
      </c>
      <c r="I767" s="14" t="n">
        <v>2</v>
      </c>
      <c r="J767" s="14" t="n">
        <v>151</v>
      </c>
      <c r="K767" s="14" t="n">
        <v>4</v>
      </c>
      <c r="L767" s="14" t="n">
        <v>147</v>
      </c>
      <c r="M767" s="14" t="n">
        <v>375</v>
      </c>
      <c r="N767" s="16" t="n">
        <v>0.392</v>
      </c>
      <c r="O767" s="14"/>
      <c r="P767" s="14"/>
      <c r="Q767" s="22"/>
    </row>
    <row r="768" customFormat="false" ht="15" hidden="false" customHeight="false" outlineLevel="0" collapsed="false">
      <c r="A768" s="14" t="s">
        <v>454</v>
      </c>
      <c r="B768" s="14" t="n">
        <v>9</v>
      </c>
      <c r="C768" s="14" t="s">
        <v>279</v>
      </c>
      <c r="D768" s="14" t="n">
        <v>-90</v>
      </c>
      <c r="E768" s="14" t="s">
        <v>195</v>
      </c>
      <c r="F768" s="14" t="s">
        <v>198</v>
      </c>
      <c r="G768" s="15" t="n">
        <v>45366</v>
      </c>
      <c r="H768" s="14" t="n">
        <v>53</v>
      </c>
      <c r="I768" s="14" t="n">
        <v>3</v>
      </c>
      <c r="J768" s="14" t="n">
        <v>204</v>
      </c>
      <c r="K768" s="14" t="n">
        <v>7</v>
      </c>
      <c r="L768" s="14" t="n">
        <v>197</v>
      </c>
      <c r="M768" s="14" t="n">
        <v>375</v>
      </c>
      <c r="N768" s="16" t="n">
        <v>0.525333333333333</v>
      </c>
      <c r="O768" s="14"/>
      <c r="P768" s="14"/>
      <c r="Q768" s="22"/>
    </row>
    <row r="769" customFormat="false" ht="15" hidden="false" customHeight="false" outlineLevel="0" collapsed="false">
      <c r="A769" s="14" t="s">
        <v>454</v>
      </c>
      <c r="B769" s="14" t="n">
        <v>10</v>
      </c>
      <c r="C769" s="14" t="s">
        <v>206</v>
      </c>
      <c r="D769" s="14" t="n">
        <v>-75</v>
      </c>
      <c r="E769" s="14" t="s">
        <v>195</v>
      </c>
      <c r="F769" s="14" t="s">
        <v>198</v>
      </c>
      <c r="G769" s="15" t="n">
        <v>45366</v>
      </c>
      <c r="H769" s="14" t="n">
        <v>39</v>
      </c>
      <c r="I769" s="14" t="n">
        <v>9</v>
      </c>
      <c r="J769" s="14" t="n">
        <v>243</v>
      </c>
      <c r="K769" s="14" t="n">
        <v>16</v>
      </c>
      <c r="L769" s="14" t="n">
        <v>227</v>
      </c>
      <c r="M769" s="14" t="n">
        <v>375</v>
      </c>
      <c r="N769" s="16" t="n">
        <v>0.605333333333333</v>
      </c>
      <c r="O769" s="14"/>
      <c r="P769" s="14"/>
      <c r="Q769" s="22"/>
    </row>
    <row r="770" customFormat="false" ht="15" hidden="false" customHeight="false" outlineLevel="0" collapsed="false">
      <c r="A770" s="14" t="s">
        <v>454</v>
      </c>
      <c r="B770" s="14" t="n">
        <v>11</v>
      </c>
      <c r="C770" s="14" t="s">
        <v>246</v>
      </c>
      <c r="D770" s="14" t="n">
        <v>-60</v>
      </c>
      <c r="E770" s="14" t="s">
        <v>195</v>
      </c>
      <c r="F770" s="14" t="s">
        <v>198</v>
      </c>
      <c r="G770" s="15" t="n">
        <v>45366</v>
      </c>
      <c r="H770" s="14" t="n">
        <v>34</v>
      </c>
      <c r="I770" s="14" t="n">
        <v>14</v>
      </c>
      <c r="J770" s="14" t="n">
        <v>277</v>
      </c>
      <c r="K770" s="14" t="n">
        <v>30</v>
      </c>
      <c r="L770" s="14" t="n">
        <v>247</v>
      </c>
      <c r="M770" s="14" t="n">
        <v>375</v>
      </c>
      <c r="N770" s="16" t="n">
        <v>0.658666666666667</v>
      </c>
      <c r="O770" s="14"/>
      <c r="P770" s="14"/>
      <c r="Q770" s="22"/>
    </row>
    <row r="771" customFormat="false" ht="15" hidden="false" customHeight="false" outlineLevel="0" collapsed="false">
      <c r="A771" s="14" t="s">
        <v>454</v>
      </c>
      <c r="B771" s="14" t="n">
        <v>12</v>
      </c>
      <c r="C771" s="14" t="s">
        <v>254</v>
      </c>
      <c r="D771" s="14" t="n">
        <v>-45</v>
      </c>
      <c r="E771" s="14" t="s">
        <v>195</v>
      </c>
      <c r="F771" s="14" t="s">
        <v>198</v>
      </c>
      <c r="G771" s="15" t="n">
        <v>45366</v>
      </c>
      <c r="H771" s="14" t="n">
        <v>32</v>
      </c>
      <c r="I771" s="14" t="n">
        <v>23</v>
      </c>
      <c r="J771" s="14" t="n">
        <v>309</v>
      </c>
      <c r="K771" s="14" t="n">
        <v>53</v>
      </c>
      <c r="L771" s="14" t="n">
        <v>256</v>
      </c>
      <c r="M771" s="14" t="n">
        <v>375</v>
      </c>
      <c r="N771" s="16" t="n">
        <v>0.682666666666667</v>
      </c>
      <c r="O771" s="14"/>
      <c r="P771" s="14"/>
      <c r="Q771" s="22"/>
    </row>
    <row r="772" customFormat="false" ht="15" hidden="false" customHeight="false" outlineLevel="0" collapsed="false">
      <c r="A772" s="14" t="s">
        <v>454</v>
      </c>
      <c r="B772" s="14" t="n">
        <v>13</v>
      </c>
      <c r="C772" s="14" t="s">
        <v>403</v>
      </c>
      <c r="D772" s="14" t="n">
        <v>-30</v>
      </c>
      <c r="E772" s="14" t="s">
        <v>195</v>
      </c>
      <c r="F772" s="14" t="s">
        <v>198</v>
      </c>
      <c r="G772" s="15" t="n">
        <v>45366</v>
      </c>
      <c r="H772" s="14" t="n">
        <v>17</v>
      </c>
      <c r="I772" s="14" t="n">
        <v>27</v>
      </c>
      <c r="J772" s="14" t="n">
        <v>326</v>
      </c>
      <c r="K772" s="14" t="n">
        <v>80</v>
      </c>
      <c r="L772" s="14" t="n">
        <v>246</v>
      </c>
      <c r="M772" s="14" t="n">
        <v>375</v>
      </c>
      <c r="N772" s="16" t="n">
        <v>0.656</v>
      </c>
      <c r="O772" s="14"/>
      <c r="P772" s="14"/>
      <c r="Q772" s="22"/>
    </row>
    <row r="773" customFormat="false" ht="15" hidden="false" customHeight="false" outlineLevel="0" collapsed="false">
      <c r="A773" s="14" t="s">
        <v>454</v>
      </c>
      <c r="B773" s="14" t="n">
        <v>14</v>
      </c>
      <c r="C773" s="14" t="s">
        <v>529</v>
      </c>
      <c r="D773" s="14" t="n">
        <v>-15</v>
      </c>
      <c r="E773" s="14" t="s">
        <v>195</v>
      </c>
      <c r="F773" s="14" t="s">
        <v>198</v>
      </c>
      <c r="G773" s="15" t="n">
        <v>45366</v>
      </c>
      <c r="H773" s="14" t="n">
        <v>15</v>
      </c>
      <c r="I773" s="14" t="n">
        <v>28</v>
      </c>
      <c r="J773" s="14" t="n">
        <v>341</v>
      </c>
      <c r="K773" s="14" t="n">
        <v>108</v>
      </c>
      <c r="L773" s="14" t="n">
        <v>233</v>
      </c>
      <c r="M773" s="14" t="n">
        <v>375</v>
      </c>
      <c r="N773" s="16" t="n">
        <v>0.621333333333333</v>
      </c>
      <c r="O773" s="14"/>
      <c r="P773" s="14"/>
      <c r="Q773" s="22"/>
    </row>
    <row r="774" customFormat="false" ht="15" hidden="false" customHeight="false" outlineLevel="0" collapsed="false">
      <c r="A774" s="14" t="s">
        <v>454</v>
      </c>
      <c r="B774" s="14" t="n">
        <v>15</v>
      </c>
      <c r="C774" s="14" t="s">
        <v>463</v>
      </c>
      <c r="D774" s="14" t="n">
        <v>0</v>
      </c>
      <c r="E774" s="14" t="s">
        <v>195</v>
      </c>
      <c r="F774" s="14" t="s">
        <v>198</v>
      </c>
      <c r="G774" s="15" t="n">
        <v>45366</v>
      </c>
      <c r="H774" s="14" t="n">
        <v>8</v>
      </c>
      <c r="I774" s="14" t="n">
        <v>33</v>
      </c>
      <c r="J774" s="14" t="n">
        <v>349</v>
      </c>
      <c r="K774" s="14" t="n">
        <v>141</v>
      </c>
      <c r="L774" s="14" t="n">
        <v>208</v>
      </c>
      <c r="M774" s="14" t="n">
        <v>375</v>
      </c>
      <c r="N774" s="16" t="n">
        <v>0.554666666666667</v>
      </c>
      <c r="O774" s="14"/>
      <c r="P774" s="14"/>
      <c r="Q774" s="22"/>
    </row>
    <row r="775" customFormat="false" ht="15" hidden="false" customHeight="false" outlineLevel="0" collapsed="false">
      <c r="A775" s="14" t="s">
        <v>454</v>
      </c>
      <c r="B775" s="14" t="n">
        <v>16</v>
      </c>
      <c r="C775" s="14" t="s">
        <v>366</v>
      </c>
      <c r="D775" s="14" t="n">
        <v>15</v>
      </c>
      <c r="E775" s="14" t="s">
        <v>195</v>
      </c>
      <c r="F775" s="14" t="s">
        <v>198</v>
      </c>
      <c r="G775" s="15" t="n">
        <v>45366</v>
      </c>
      <c r="H775" s="14" t="n">
        <v>9</v>
      </c>
      <c r="I775" s="14" t="n">
        <v>42</v>
      </c>
      <c r="J775" s="14" t="n">
        <v>358</v>
      </c>
      <c r="K775" s="14" t="n">
        <v>183</v>
      </c>
      <c r="L775" s="14" t="n">
        <v>175</v>
      </c>
      <c r="M775" s="14" t="n">
        <v>375</v>
      </c>
      <c r="N775" s="16" t="n">
        <v>0.466666666666667</v>
      </c>
      <c r="O775" s="14"/>
      <c r="P775" s="14"/>
      <c r="Q775" s="22"/>
    </row>
    <row r="776" customFormat="false" ht="15" hidden="false" customHeight="false" outlineLevel="0" collapsed="false">
      <c r="A776" s="14" t="s">
        <v>454</v>
      </c>
      <c r="B776" s="14" t="n">
        <v>17</v>
      </c>
      <c r="C776" s="14" t="s">
        <v>326</v>
      </c>
      <c r="D776" s="14" t="n">
        <v>30</v>
      </c>
      <c r="E776" s="14" t="s">
        <v>195</v>
      </c>
      <c r="F776" s="14" t="s">
        <v>198</v>
      </c>
      <c r="G776" s="15" t="n">
        <v>45366</v>
      </c>
      <c r="H776" s="14" t="n">
        <v>6</v>
      </c>
      <c r="I776" s="14" t="n">
        <v>36</v>
      </c>
      <c r="J776" s="14" t="n">
        <v>364</v>
      </c>
      <c r="K776" s="14" t="n">
        <v>219</v>
      </c>
      <c r="L776" s="14" t="n">
        <v>145</v>
      </c>
      <c r="M776" s="14" t="n">
        <v>375</v>
      </c>
      <c r="N776" s="16" t="n">
        <v>0.386666666666667</v>
      </c>
      <c r="O776" s="14"/>
      <c r="P776" s="14"/>
      <c r="Q776" s="22"/>
    </row>
    <row r="777" customFormat="false" ht="15" hidden="false" customHeight="false" outlineLevel="0" collapsed="false">
      <c r="A777" s="14" t="s">
        <v>454</v>
      </c>
      <c r="B777" s="14" t="n">
        <v>18</v>
      </c>
      <c r="C777" s="14" t="s">
        <v>226</v>
      </c>
      <c r="D777" s="14" t="n">
        <v>45</v>
      </c>
      <c r="E777" s="14" t="s">
        <v>195</v>
      </c>
      <c r="F777" s="14" t="s">
        <v>198</v>
      </c>
      <c r="G777" s="15" t="n">
        <v>45366</v>
      </c>
      <c r="H777" s="14" t="n">
        <v>11</v>
      </c>
      <c r="I777" s="14" t="n">
        <v>27</v>
      </c>
      <c r="J777" s="14" t="n">
        <v>375</v>
      </c>
      <c r="K777" s="14" t="n">
        <v>246</v>
      </c>
      <c r="L777" s="14" t="n">
        <v>129</v>
      </c>
      <c r="M777" s="14" t="n">
        <v>375</v>
      </c>
      <c r="N777" s="16" t="n">
        <v>0.344</v>
      </c>
      <c r="O777" s="14"/>
      <c r="P777" s="14"/>
      <c r="Q777" s="22"/>
    </row>
    <row r="778" customFormat="false" ht="15" hidden="false" customHeight="false" outlineLevel="0" collapsed="false">
      <c r="A778" s="14" t="s">
        <v>459</v>
      </c>
      <c r="B778" s="14" t="n">
        <v>0</v>
      </c>
      <c r="C778" s="14" t="s">
        <v>204</v>
      </c>
      <c r="D778" s="14"/>
      <c r="E778" s="14" t="s">
        <v>195</v>
      </c>
      <c r="F778" s="14" t="s">
        <v>220</v>
      </c>
      <c r="G778" s="15" t="n">
        <v>45582</v>
      </c>
      <c r="H778" s="14" t="n">
        <v>45</v>
      </c>
      <c r="I778" s="14" t="n">
        <v>1</v>
      </c>
      <c r="J778" s="14" t="n">
        <v>45</v>
      </c>
      <c r="K778" s="14" t="n">
        <v>1</v>
      </c>
      <c r="L778" s="14" t="n">
        <v>44</v>
      </c>
      <c r="M778" s="14" t="n">
        <v>291</v>
      </c>
      <c r="N778" s="16" t="n">
        <v>0.151202749140894</v>
      </c>
      <c r="O778" s="14"/>
      <c r="P778" s="14"/>
      <c r="Q778" s="22"/>
    </row>
    <row r="779" customFormat="false" ht="15" hidden="false" customHeight="false" outlineLevel="0" collapsed="false">
      <c r="A779" s="14" t="s">
        <v>459</v>
      </c>
      <c r="B779" s="14" t="n">
        <v>3</v>
      </c>
      <c r="C779" s="14" t="s">
        <v>525</v>
      </c>
      <c r="D779" s="14" t="n">
        <v>-180</v>
      </c>
      <c r="E779" s="14" t="s">
        <v>195</v>
      </c>
      <c r="F779" s="14" t="s">
        <v>220</v>
      </c>
      <c r="G779" s="15" t="n">
        <v>45582</v>
      </c>
      <c r="H779" s="14" t="n">
        <v>13</v>
      </c>
      <c r="I779" s="14" t="n">
        <v>1</v>
      </c>
      <c r="J779" s="14" t="n">
        <v>58</v>
      </c>
      <c r="K779" s="14" t="n">
        <v>2</v>
      </c>
      <c r="L779" s="14" t="n">
        <v>56</v>
      </c>
      <c r="M779" s="14" t="n">
        <v>291</v>
      </c>
      <c r="N779" s="16" t="n">
        <v>0.192439862542955</v>
      </c>
      <c r="O779" s="14"/>
      <c r="P779" s="14"/>
      <c r="Q779" s="22"/>
    </row>
    <row r="780" customFormat="false" ht="15" hidden="false" customHeight="false" outlineLevel="0" collapsed="false">
      <c r="A780" s="14" t="s">
        <v>459</v>
      </c>
      <c r="B780" s="14" t="n">
        <v>4</v>
      </c>
      <c r="C780" s="14" t="s">
        <v>526</v>
      </c>
      <c r="D780" s="14" t="n">
        <v>-165</v>
      </c>
      <c r="E780" s="14" t="s">
        <v>195</v>
      </c>
      <c r="F780" s="14" t="s">
        <v>220</v>
      </c>
      <c r="G780" s="15" t="n">
        <v>45582</v>
      </c>
      <c r="H780" s="14" t="n">
        <v>25</v>
      </c>
      <c r="I780" s="14" t="n">
        <v>0</v>
      </c>
      <c r="J780" s="14" t="n">
        <v>83</v>
      </c>
      <c r="K780" s="14" t="n">
        <v>2</v>
      </c>
      <c r="L780" s="14" t="n">
        <v>81</v>
      </c>
      <c r="M780" s="14" t="n">
        <v>291</v>
      </c>
      <c r="N780" s="16" t="n">
        <v>0.278350515463918</v>
      </c>
      <c r="O780" s="14"/>
      <c r="P780" s="14"/>
      <c r="Q780" s="22"/>
    </row>
    <row r="781" customFormat="false" ht="15" hidden="false" customHeight="false" outlineLevel="0" collapsed="false">
      <c r="A781" s="14" t="s">
        <v>459</v>
      </c>
      <c r="B781" s="14" t="n">
        <v>5</v>
      </c>
      <c r="C781" s="14" t="s">
        <v>527</v>
      </c>
      <c r="D781" s="14" t="n">
        <v>-150</v>
      </c>
      <c r="E781" s="14" t="s">
        <v>195</v>
      </c>
      <c r="F781" s="14" t="s">
        <v>220</v>
      </c>
      <c r="G781" s="15" t="n">
        <v>45582</v>
      </c>
      <c r="H781" s="14" t="n">
        <v>35</v>
      </c>
      <c r="I781" s="14" t="n">
        <v>2</v>
      </c>
      <c r="J781" s="14" t="n">
        <v>118</v>
      </c>
      <c r="K781" s="14" t="n">
        <v>4</v>
      </c>
      <c r="L781" s="14" t="n">
        <v>114</v>
      </c>
      <c r="M781" s="14" t="n">
        <v>291</v>
      </c>
      <c r="N781" s="16" t="n">
        <v>0.391752577319588</v>
      </c>
      <c r="O781" s="14"/>
      <c r="P781" s="14"/>
      <c r="Q781" s="22"/>
    </row>
    <row r="782" customFormat="false" ht="15" hidden="false" customHeight="false" outlineLevel="0" collapsed="false">
      <c r="A782" s="14" t="s">
        <v>459</v>
      </c>
      <c r="B782" s="14" t="n">
        <v>6</v>
      </c>
      <c r="C782" s="14" t="s">
        <v>528</v>
      </c>
      <c r="D782" s="14" t="n">
        <v>-135</v>
      </c>
      <c r="E782" s="14" t="s">
        <v>195</v>
      </c>
      <c r="F782" s="14" t="s">
        <v>220</v>
      </c>
      <c r="G782" s="15" t="n">
        <v>45582</v>
      </c>
      <c r="H782" s="14" t="n">
        <v>45</v>
      </c>
      <c r="I782" s="14" t="n">
        <v>3</v>
      </c>
      <c r="J782" s="14" t="n">
        <v>163</v>
      </c>
      <c r="K782" s="14" t="n">
        <v>7</v>
      </c>
      <c r="L782" s="14" t="n">
        <v>156</v>
      </c>
      <c r="M782" s="14" t="n">
        <v>291</v>
      </c>
      <c r="N782" s="16" t="n">
        <v>0.536082474226804</v>
      </c>
      <c r="O782" s="14"/>
      <c r="P782" s="14"/>
      <c r="Q782" s="22"/>
    </row>
    <row r="783" customFormat="false" ht="15" hidden="false" customHeight="false" outlineLevel="0" collapsed="false">
      <c r="A783" s="14" t="s">
        <v>459</v>
      </c>
      <c r="B783" s="14" t="n">
        <v>7</v>
      </c>
      <c r="C783" s="14" t="s">
        <v>227</v>
      </c>
      <c r="D783" s="14" t="n">
        <v>-120</v>
      </c>
      <c r="E783" s="14" t="s">
        <v>195</v>
      </c>
      <c r="F783" s="14" t="s">
        <v>220</v>
      </c>
      <c r="G783" s="15" t="n">
        <v>45582</v>
      </c>
      <c r="H783" s="14" t="n">
        <v>32</v>
      </c>
      <c r="I783" s="14" t="n">
        <v>3</v>
      </c>
      <c r="J783" s="14" t="n">
        <v>195</v>
      </c>
      <c r="K783" s="14" t="n">
        <v>10</v>
      </c>
      <c r="L783" s="14" t="n">
        <v>185</v>
      </c>
      <c r="M783" s="14" t="n">
        <v>291</v>
      </c>
      <c r="N783" s="16" t="n">
        <v>0.63573883161512</v>
      </c>
      <c r="O783" s="14"/>
      <c r="P783" s="14"/>
      <c r="Q783" s="22"/>
    </row>
    <row r="784" customFormat="false" ht="15" hidden="false" customHeight="false" outlineLevel="0" collapsed="false">
      <c r="A784" s="14" t="s">
        <v>459</v>
      </c>
      <c r="B784" s="14" t="n">
        <v>8</v>
      </c>
      <c r="C784" s="14" t="s">
        <v>241</v>
      </c>
      <c r="D784" s="14" t="n">
        <v>-105</v>
      </c>
      <c r="E784" s="14" t="s">
        <v>195</v>
      </c>
      <c r="F784" s="14" t="s">
        <v>220</v>
      </c>
      <c r="G784" s="15" t="n">
        <v>45582</v>
      </c>
      <c r="H784" s="14" t="n">
        <v>30</v>
      </c>
      <c r="I784" s="14" t="n">
        <v>19</v>
      </c>
      <c r="J784" s="14" t="n">
        <v>225</v>
      </c>
      <c r="K784" s="14" t="n">
        <v>29</v>
      </c>
      <c r="L784" s="14" t="n">
        <v>196</v>
      </c>
      <c r="M784" s="14" t="n">
        <v>291</v>
      </c>
      <c r="N784" s="16" t="n">
        <v>0.673539518900344</v>
      </c>
      <c r="O784" s="14"/>
      <c r="P784" s="14"/>
      <c r="Q784" s="22"/>
    </row>
    <row r="785" customFormat="false" ht="15" hidden="false" customHeight="false" outlineLevel="0" collapsed="false">
      <c r="A785" s="14" t="s">
        <v>459</v>
      </c>
      <c r="B785" s="14" t="n">
        <v>9</v>
      </c>
      <c r="C785" s="14" t="s">
        <v>279</v>
      </c>
      <c r="D785" s="14" t="n">
        <v>-90</v>
      </c>
      <c r="E785" s="14" t="s">
        <v>195</v>
      </c>
      <c r="F785" s="14" t="s">
        <v>220</v>
      </c>
      <c r="G785" s="15" t="n">
        <v>45582</v>
      </c>
      <c r="H785" s="14" t="n">
        <v>24</v>
      </c>
      <c r="I785" s="14" t="n">
        <v>35</v>
      </c>
      <c r="J785" s="14" t="n">
        <v>249</v>
      </c>
      <c r="K785" s="14" t="n">
        <v>64</v>
      </c>
      <c r="L785" s="14" t="n">
        <v>185</v>
      </c>
      <c r="M785" s="14" t="n">
        <v>291</v>
      </c>
      <c r="N785" s="16" t="n">
        <v>0.63573883161512</v>
      </c>
      <c r="O785" s="14"/>
      <c r="P785" s="14"/>
      <c r="Q785" s="22"/>
    </row>
    <row r="786" customFormat="false" ht="15" hidden="false" customHeight="false" outlineLevel="0" collapsed="false">
      <c r="A786" s="14" t="s">
        <v>459</v>
      </c>
      <c r="B786" s="14" t="n">
        <v>10</v>
      </c>
      <c r="C786" s="14" t="s">
        <v>206</v>
      </c>
      <c r="D786" s="14" t="n">
        <v>-75</v>
      </c>
      <c r="E786" s="14" t="s">
        <v>195</v>
      </c>
      <c r="F786" s="14" t="s">
        <v>220</v>
      </c>
      <c r="G786" s="15" t="n">
        <v>45582</v>
      </c>
      <c r="H786" s="14" t="n">
        <v>15</v>
      </c>
      <c r="I786" s="14" t="n">
        <v>26</v>
      </c>
      <c r="J786" s="14" t="n">
        <v>264</v>
      </c>
      <c r="K786" s="14" t="n">
        <v>90</v>
      </c>
      <c r="L786" s="14" t="n">
        <v>174</v>
      </c>
      <c r="M786" s="14" t="n">
        <v>291</v>
      </c>
      <c r="N786" s="16" t="n">
        <v>0.597938144329897</v>
      </c>
      <c r="O786" s="14"/>
      <c r="P786" s="14"/>
      <c r="Q786" s="22"/>
    </row>
    <row r="787" customFormat="false" ht="15" hidden="false" customHeight="false" outlineLevel="0" collapsed="false">
      <c r="A787" s="14" t="s">
        <v>459</v>
      </c>
      <c r="B787" s="14" t="n">
        <v>11</v>
      </c>
      <c r="C787" s="14" t="s">
        <v>246</v>
      </c>
      <c r="D787" s="14" t="n">
        <v>-60</v>
      </c>
      <c r="E787" s="14" t="s">
        <v>195</v>
      </c>
      <c r="F787" s="14" t="s">
        <v>220</v>
      </c>
      <c r="G787" s="15" t="n">
        <v>45582</v>
      </c>
      <c r="H787" s="14" t="n">
        <v>6</v>
      </c>
      <c r="I787" s="14" t="n">
        <v>58</v>
      </c>
      <c r="J787" s="14" t="n">
        <v>270</v>
      </c>
      <c r="K787" s="14" t="n">
        <v>148</v>
      </c>
      <c r="L787" s="14" t="n">
        <v>122</v>
      </c>
      <c r="M787" s="14" t="n">
        <v>291</v>
      </c>
      <c r="N787" s="16" t="n">
        <v>0.419243986254296</v>
      </c>
      <c r="O787" s="14"/>
      <c r="P787" s="14"/>
      <c r="Q787" s="22"/>
    </row>
    <row r="788" customFormat="false" ht="15" hidden="false" customHeight="false" outlineLevel="0" collapsed="false">
      <c r="A788" s="14" t="s">
        <v>459</v>
      </c>
      <c r="B788" s="14" t="n">
        <v>12</v>
      </c>
      <c r="C788" s="14" t="s">
        <v>254</v>
      </c>
      <c r="D788" s="14" t="n">
        <v>-45</v>
      </c>
      <c r="E788" s="14" t="s">
        <v>195</v>
      </c>
      <c r="F788" s="14" t="s">
        <v>220</v>
      </c>
      <c r="G788" s="15" t="n">
        <v>45582</v>
      </c>
      <c r="H788" s="14" t="n">
        <v>15</v>
      </c>
      <c r="I788" s="14" t="n">
        <v>44</v>
      </c>
      <c r="J788" s="14" t="n">
        <v>285</v>
      </c>
      <c r="K788" s="14" t="n">
        <v>192</v>
      </c>
      <c r="L788" s="14" t="n">
        <v>93</v>
      </c>
      <c r="M788" s="14" t="n">
        <v>291</v>
      </c>
      <c r="N788" s="16" t="n">
        <v>0.319587628865979</v>
      </c>
      <c r="O788" s="14"/>
      <c r="P788" s="14"/>
      <c r="Q788" s="22"/>
    </row>
    <row r="789" customFormat="false" ht="15" hidden="false" customHeight="false" outlineLevel="0" collapsed="false">
      <c r="A789" s="14" t="s">
        <v>459</v>
      </c>
      <c r="B789" s="14" t="n">
        <v>13</v>
      </c>
      <c r="C789" s="14" t="s">
        <v>403</v>
      </c>
      <c r="D789" s="14" t="n">
        <v>-30</v>
      </c>
      <c r="E789" s="14" t="s">
        <v>195</v>
      </c>
      <c r="F789" s="14" t="s">
        <v>220</v>
      </c>
      <c r="G789" s="15" t="n">
        <v>45582</v>
      </c>
      <c r="H789" s="14" t="n">
        <v>2</v>
      </c>
      <c r="I789" s="14" t="n">
        <v>34</v>
      </c>
      <c r="J789" s="14" t="n">
        <v>287</v>
      </c>
      <c r="K789" s="14" t="n">
        <v>226</v>
      </c>
      <c r="L789" s="14" t="n">
        <v>61</v>
      </c>
      <c r="M789" s="14" t="n">
        <v>291</v>
      </c>
      <c r="N789" s="16" t="n">
        <v>0.209621993127148</v>
      </c>
      <c r="O789" s="14"/>
      <c r="P789" s="14"/>
      <c r="Q789" s="22"/>
    </row>
    <row r="790" customFormat="false" ht="15" hidden="false" customHeight="false" outlineLevel="0" collapsed="false">
      <c r="A790" s="14" t="s">
        <v>459</v>
      </c>
      <c r="B790" s="14" t="n">
        <v>14</v>
      </c>
      <c r="C790" s="14" t="s">
        <v>529</v>
      </c>
      <c r="D790" s="14" t="n">
        <v>-15</v>
      </c>
      <c r="E790" s="14" t="s">
        <v>195</v>
      </c>
      <c r="F790" s="14" t="s">
        <v>220</v>
      </c>
      <c r="G790" s="15" t="n">
        <v>45582</v>
      </c>
      <c r="H790" s="14" t="n">
        <v>2</v>
      </c>
      <c r="I790" s="14" t="n">
        <v>25</v>
      </c>
      <c r="J790" s="14" t="n">
        <v>289</v>
      </c>
      <c r="K790" s="14" t="n">
        <v>251</v>
      </c>
      <c r="L790" s="14" t="n">
        <v>38</v>
      </c>
      <c r="M790" s="14" t="n">
        <v>291</v>
      </c>
      <c r="N790" s="16" t="n">
        <v>0.130584192439863</v>
      </c>
      <c r="O790" s="14"/>
      <c r="P790" s="14"/>
      <c r="Q790" s="22"/>
    </row>
    <row r="791" customFormat="false" ht="15" hidden="false" customHeight="false" outlineLevel="0" collapsed="false">
      <c r="A791" s="14" t="s">
        <v>459</v>
      </c>
      <c r="B791" s="14" t="n">
        <v>15</v>
      </c>
      <c r="C791" s="14" t="s">
        <v>463</v>
      </c>
      <c r="D791" s="14" t="n">
        <v>0</v>
      </c>
      <c r="E791" s="14" t="s">
        <v>195</v>
      </c>
      <c r="F791" s="14" t="s">
        <v>220</v>
      </c>
      <c r="G791" s="15" t="n">
        <v>45582</v>
      </c>
      <c r="H791" s="14" t="n">
        <v>2</v>
      </c>
      <c r="I791" s="14" t="n">
        <v>15</v>
      </c>
      <c r="J791" s="14" t="n">
        <v>291</v>
      </c>
      <c r="K791" s="14" t="n">
        <v>266</v>
      </c>
      <c r="L791" s="14" t="n">
        <v>25</v>
      </c>
      <c r="M791" s="14" t="n">
        <v>291</v>
      </c>
      <c r="N791" s="16" t="n">
        <v>0.0859106529209622</v>
      </c>
      <c r="O791" s="14"/>
      <c r="P791" s="14"/>
      <c r="Q791" s="22"/>
    </row>
    <row r="792" customFormat="false" ht="15" hidden="false" customHeight="false" outlineLevel="0" collapsed="false">
      <c r="A792" s="14" t="s">
        <v>459</v>
      </c>
      <c r="B792" s="14" t="n">
        <v>16</v>
      </c>
      <c r="C792" s="14" t="s">
        <v>366</v>
      </c>
      <c r="D792" s="14" t="n">
        <v>15</v>
      </c>
      <c r="E792" s="14" t="s">
        <v>195</v>
      </c>
      <c r="F792" s="14" t="s">
        <v>220</v>
      </c>
      <c r="G792" s="15" t="n">
        <v>45582</v>
      </c>
      <c r="H792" s="14"/>
      <c r="I792" s="14"/>
      <c r="J792" s="14"/>
      <c r="K792" s="14"/>
      <c r="L792" s="14"/>
      <c r="M792" s="14" t="n">
        <v>291</v>
      </c>
      <c r="N792" s="16"/>
      <c r="O792" s="14"/>
      <c r="P792" s="14"/>
      <c r="Q792" s="22" t="s">
        <v>533</v>
      </c>
    </row>
    <row r="793" customFormat="false" ht="15" hidden="false" customHeight="false" outlineLevel="0" collapsed="false">
      <c r="A793" s="14" t="s">
        <v>459</v>
      </c>
      <c r="B793" s="14" t="n">
        <v>17</v>
      </c>
      <c r="C793" s="14" t="s">
        <v>326</v>
      </c>
      <c r="D793" s="14" t="n">
        <v>30</v>
      </c>
      <c r="E793" s="14" t="s">
        <v>195</v>
      </c>
      <c r="F793" s="14" t="s">
        <v>220</v>
      </c>
      <c r="G793" s="15" t="n">
        <v>45582</v>
      </c>
      <c r="H793" s="14"/>
      <c r="I793" s="14"/>
      <c r="J793" s="14"/>
      <c r="K793" s="14"/>
      <c r="L793" s="14"/>
      <c r="M793" s="14" t="n">
        <v>291</v>
      </c>
      <c r="N793" s="16"/>
      <c r="O793" s="14"/>
      <c r="P793" s="14"/>
      <c r="Q793" s="22" t="s">
        <v>533</v>
      </c>
    </row>
    <row r="794" customFormat="false" ht="15" hidden="false" customHeight="false" outlineLevel="0" collapsed="false">
      <c r="A794" s="14" t="s">
        <v>459</v>
      </c>
      <c r="B794" s="14" t="n">
        <v>18</v>
      </c>
      <c r="C794" s="14" t="s">
        <v>226</v>
      </c>
      <c r="D794" s="14" t="n">
        <v>45</v>
      </c>
      <c r="E794" s="14" t="s">
        <v>195</v>
      </c>
      <c r="F794" s="14" t="s">
        <v>220</v>
      </c>
      <c r="G794" s="15" t="n">
        <v>45582</v>
      </c>
      <c r="H794" s="14"/>
      <c r="I794" s="14"/>
      <c r="J794" s="14"/>
      <c r="K794" s="14"/>
      <c r="L794" s="14"/>
      <c r="M794" s="14" t="n">
        <v>291</v>
      </c>
      <c r="N794" s="16"/>
      <c r="O794" s="14"/>
      <c r="P794" s="14"/>
      <c r="Q794" s="22" t="s">
        <v>533</v>
      </c>
    </row>
    <row r="795" customFormat="false" ht="15" hidden="false" customHeight="false" outlineLevel="0" collapsed="false">
      <c r="A795" s="14" t="s">
        <v>466</v>
      </c>
      <c r="B795" s="14" t="n">
        <v>0</v>
      </c>
      <c r="C795" s="14" t="s">
        <v>204</v>
      </c>
      <c r="D795" s="14"/>
      <c r="E795" s="14" t="s">
        <v>195</v>
      </c>
      <c r="F795" s="14" t="s">
        <v>220</v>
      </c>
      <c r="G795" s="15" t="n">
        <v>45730</v>
      </c>
      <c r="H795" s="14" t="n">
        <v>15</v>
      </c>
      <c r="I795" s="14" t="n">
        <v>1</v>
      </c>
      <c r="J795" s="14" t="n">
        <v>15</v>
      </c>
      <c r="K795" s="14" t="n">
        <v>1</v>
      </c>
      <c r="L795" s="14" t="n">
        <v>14</v>
      </c>
      <c r="M795" s="14" t="n">
        <v>59</v>
      </c>
      <c r="N795" s="16" t="n">
        <v>0.23728813559322</v>
      </c>
      <c r="O795" s="14"/>
      <c r="P795" s="14"/>
      <c r="Q795" s="22"/>
    </row>
    <row r="796" customFormat="false" ht="15" hidden="false" customHeight="false" outlineLevel="0" collapsed="false">
      <c r="A796" s="14" t="s">
        <v>466</v>
      </c>
      <c r="B796" s="14" t="n">
        <v>3</v>
      </c>
      <c r="C796" s="14" t="s">
        <v>525</v>
      </c>
      <c r="D796" s="14" t="n">
        <v>-180</v>
      </c>
      <c r="E796" s="14" t="s">
        <v>195</v>
      </c>
      <c r="F796" s="14" t="s">
        <v>220</v>
      </c>
      <c r="G796" s="15" t="n">
        <v>45730</v>
      </c>
      <c r="H796" s="14" t="n">
        <v>2</v>
      </c>
      <c r="I796" s="14" t="n">
        <v>2</v>
      </c>
      <c r="J796" s="14" t="n">
        <v>17</v>
      </c>
      <c r="K796" s="14" t="n">
        <v>3</v>
      </c>
      <c r="L796" s="14" t="n">
        <v>14</v>
      </c>
      <c r="M796" s="14" t="n">
        <v>59</v>
      </c>
      <c r="N796" s="16" t="n">
        <v>0.23728813559322</v>
      </c>
      <c r="O796" s="14"/>
      <c r="P796" s="14"/>
      <c r="Q796" s="22"/>
    </row>
    <row r="797" customFormat="false" ht="15" hidden="false" customHeight="false" outlineLevel="0" collapsed="false">
      <c r="A797" s="14" t="s">
        <v>466</v>
      </c>
      <c r="B797" s="14" t="n">
        <v>4</v>
      </c>
      <c r="C797" s="14" t="s">
        <v>526</v>
      </c>
      <c r="D797" s="14" t="n">
        <v>-165</v>
      </c>
      <c r="E797" s="14" t="s">
        <v>195</v>
      </c>
      <c r="F797" s="14" t="s">
        <v>220</v>
      </c>
      <c r="G797" s="15" t="n">
        <v>45730</v>
      </c>
      <c r="H797" s="14" t="n">
        <v>0</v>
      </c>
      <c r="I797" s="14" t="n">
        <v>2</v>
      </c>
      <c r="J797" s="14" t="n">
        <v>17</v>
      </c>
      <c r="K797" s="14" t="n">
        <v>5</v>
      </c>
      <c r="L797" s="14" t="n">
        <v>12</v>
      </c>
      <c r="M797" s="14" t="n">
        <v>59</v>
      </c>
      <c r="N797" s="16" t="n">
        <v>0.203389830508475</v>
      </c>
      <c r="O797" s="14"/>
      <c r="P797" s="14"/>
      <c r="Q797" s="22"/>
    </row>
    <row r="798" customFormat="false" ht="15" hidden="false" customHeight="false" outlineLevel="0" collapsed="false">
      <c r="A798" s="14" t="s">
        <v>466</v>
      </c>
      <c r="B798" s="14" t="n">
        <v>5</v>
      </c>
      <c r="C798" s="14" t="s">
        <v>527</v>
      </c>
      <c r="D798" s="14" t="n">
        <v>-150</v>
      </c>
      <c r="E798" s="14" t="s">
        <v>195</v>
      </c>
      <c r="F798" s="14" t="s">
        <v>220</v>
      </c>
      <c r="G798" s="15" t="n">
        <v>45730</v>
      </c>
      <c r="H798" s="14" t="n">
        <v>2</v>
      </c>
      <c r="I798" s="14" t="n">
        <v>0</v>
      </c>
      <c r="J798" s="14" t="n">
        <v>19</v>
      </c>
      <c r="K798" s="14" t="n">
        <v>5</v>
      </c>
      <c r="L798" s="14" t="n">
        <v>14</v>
      </c>
      <c r="M798" s="14" t="n">
        <v>59</v>
      </c>
      <c r="N798" s="16" t="n">
        <v>0.23728813559322</v>
      </c>
      <c r="O798" s="14"/>
      <c r="P798" s="14"/>
      <c r="Q798" s="22"/>
    </row>
    <row r="799" customFormat="false" ht="15" hidden="false" customHeight="false" outlineLevel="0" collapsed="false">
      <c r="A799" s="14" t="s">
        <v>466</v>
      </c>
      <c r="B799" s="14" t="n">
        <v>6</v>
      </c>
      <c r="C799" s="14" t="s">
        <v>528</v>
      </c>
      <c r="D799" s="14" t="n">
        <v>-135</v>
      </c>
      <c r="E799" s="14" t="s">
        <v>195</v>
      </c>
      <c r="F799" s="14" t="s">
        <v>220</v>
      </c>
      <c r="G799" s="15" t="n">
        <v>45730</v>
      </c>
      <c r="H799" s="14" t="n">
        <v>6</v>
      </c>
      <c r="I799" s="14" t="n">
        <v>2</v>
      </c>
      <c r="J799" s="14" t="n">
        <v>25</v>
      </c>
      <c r="K799" s="14" t="n">
        <v>7</v>
      </c>
      <c r="L799" s="14" t="n">
        <v>18</v>
      </c>
      <c r="M799" s="14" t="n">
        <v>59</v>
      </c>
      <c r="N799" s="16" t="n">
        <v>0.305084745762712</v>
      </c>
      <c r="O799" s="14"/>
      <c r="P799" s="14"/>
      <c r="Q799" s="22"/>
    </row>
    <row r="800" customFormat="false" ht="15" hidden="false" customHeight="false" outlineLevel="0" collapsed="false">
      <c r="A800" s="14" t="s">
        <v>466</v>
      </c>
      <c r="B800" s="14" t="n">
        <v>7</v>
      </c>
      <c r="C800" s="14" t="s">
        <v>227</v>
      </c>
      <c r="D800" s="14" t="n">
        <v>-120</v>
      </c>
      <c r="E800" s="14" t="s">
        <v>195</v>
      </c>
      <c r="F800" s="14" t="s">
        <v>220</v>
      </c>
      <c r="G800" s="15" t="n">
        <v>45730</v>
      </c>
      <c r="H800" s="14" t="n">
        <v>6</v>
      </c>
      <c r="I800" s="14" t="n">
        <v>3</v>
      </c>
      <c r="J800" s="14" t="n">
        <v>31</v>
      </c>
      <c r="K800" s="14" t="n">
        <v>10</v>
      </c>
      <c r="L800" s="14" t="n">
        <v>21</v>
      </c>
      <c r="M800" s="14" t="n">
        <v>59</v>
      </c>
      <c r="N800" s="16" t="n">
        <v>0.355932203389831</v>
      </c>
      <c r="O800" s="14"/>
      <c r="P800" s="14"/>
      <c r="Q800" s="22"/>
    </row>
    <row r="801" customFormat="false" ht="15" hidden="false" customHeight="false" outlineLevel="0" collapsed="false">
      <c r="A801" s="14" t="s">
        <v>466</v>
      </c>
      <c r="B801" s="14" t="n">
        <v>8</v>
      </c>
      <c r="C801" s="14" t="s">
        <v>241</v>
      </c>
      <c r="D801" s="14" t="n">
        <v>-105</v>
      </c>
      <c r="E801" s="14" t="s">
        <v>195</v>
      </c>
      <c r="F801" s="14" t="s">
        <v>220</v>
      </c>
      <c r="G801" s="15" t="n">
        <v>45730</v>
      </c>
      <c r="H801" s="14" t="n">
        <v>7</v>
      </c>
      <c r="I801" s="14" t="n">
        <v>1</v>
      </c>
      <c r="J801" s="14" t="n">
        <v>38</v>
      </c>
      <c r="K801" s="14" t="n">
        <v>11</v>
      </c>
      <c r="L801" s="14" t="n">
        <v>27</v>
      </c>
      <c r="M801" s="14" t="n">
        <v>59</v>
      </c>
      <c r="N801" s="16" t="n">
        <v>0.457627118644068</v>
      </c>
      <c r="O801" s="14"/>
      <c r="P801" s="14"/>
      <c r="Q801" s="22"/>
    </row>
    <row r="802" customFormat="false" ht="15" hidden="false" customHeight="false" outlineLevel="0" collapsed="false">
      <c r="A802" s="14" t="s">
        <v>466</v>
      </c>
      <c r="B802" s="14" t="n">
        <v>9</v>
      </c>
      <c r="C802" s="14" t="s">
        <v>279</v>
      </c>
      <c r="D802" s="14" t="n">
        <v>-90</v>
      </c>
      <c r="E802" s="14" t="s">
        <v>195</v>
      </c>
      <c r="F802" s="14" t="s">
        <v>220</v>
      </c>
      <c r="G802" s="15" t="n">
        <v>45730</v>
      </c>
      <c r="H802" s="14" t="n">
        <v>3</v>
      </c>
      <c r="I802" s="14" t="n">
        <v>1</v>
      </c>
      <c r="J802" s="14" t="n">
        <v>41</v>
      </c>
      <c r="K802" s="14" t="n">
        <v>12</v>
      </c>
      <c r="L802" s="14" t="n">
        <v>29</v>
      </c>
      <c r="M802" s="14" t="n">
        <v>59</v>
      </c>
      <c r="N802" s="16" t="n">
        <v>0.491525423728814</v>
      </c>
      <c r="O802" s="14"/>
      <c r="P802" s="14"/>
      <c r="Q802" s="22"/>
    </row>
    <row r="803" customFormat="false" ht="15" hidden="false" customHeight="false" outlineLevel="0" collapsed="false">
      <c r="A803" s="14" t="s">
        <v>466</v>
      </c>
      <c r="B803" s="14" t="n">
        <v>10</v>
      </c>
      <c r="C803" s="14" t="s">
        <v>206</v>
      </c>
      <c r="D803" s="14" t="n">
        <v>-75</v>
      </c>
      <c r="E803" s="14" t="s">
        <v>195</v>
      </c>
      <c r="F803" s="14" t="s">
        <v>220</v>
      </c>
      <c r="G803" s="15" t="n">
        <v>45730</v>
      </c>
      <c r="H803" s="14" t="n">
        <v>6</v>
      </c>
      <c r="I803" s="14" t="n">
        <v>0</v>
      </c>
      <c r="J803" s="14" t="n">
        <v>47</v>
      </c>
      <c r="K803" s="14" t="n">
        <v>12</v>
      </c>
      <c r="L803" s="14" t="n">
        <v>35</v>
      </c>
      <c r="M803" s="14" t="n">
        <v>59</v>
      </c>
      <c r="N803" s="16" t="n">
        <v>0.593220338983051</v>
      </c>
      <c r="O803" s="14"/>
      <c r="P803" s="14"/>
      <c r="Q803" s="22"/>
    </row>
    <row r="804" customFormat="false" ht="15" hidden="false" customHeight="false" outlineLevel="0" collapsed="false">
      <c r="A804" s="14" t="s">
        <v>466</v>
      </c>
      <c r="B804" s="14" t="n">
        <v>11</v>
      </c>
      <c r="C804" s="14" t="s">
        <v>246</v>
      </c>
      <c r="D804" s="14" t="n">
        <v>-60</v>
      </c>
      <c r="E804" s="14" t="s">
        <v>195</v>
      </c>
      <c r="F804" s="14" t="s">
        <v>220</v>
      </c>
      <c r="G804" s="15" t="n">
        <v>45730</v>
      </c>
      <c r="H804" s="14" t="n">
        <v>7</v>
      </c>
      <c r="I804" s="14" t="n">
        <v>4</v>
      </c>
      <c r="J804" s="14" t="n">
        <v>54</v>
      </c>
      <c r="K804" s="14" t="n">
        <v>16</v>
      </c>
      <c r="L804" s="14" t="n">
        <v>38</v>
      </c>
      <c r="M804" s="14" t="n">
        <v>59</v>
      </c>
      <c r="N804" s="16" t="n">
        <v>0.644067796610169</v>
      </c>
      <c r="O804" s="14"/>
      <c r="P804" s="14"/>
      <c r="Q804" s="22"/>
    </row>
    <row r="805" customFormat="false" ht="15" hidden="false" customHeight="false" outlineLevel="0" collapsed="false">
      <c r="A805" s="14" t="s">
        <v>466</v>
      </c>
      <c r="B805" s="14" t="n">
        <v>12</v>
      </c>
      <c r="C805" s="14" t="s">
        <v>254</v>
      </c>
      <c r="D805" s="14" t="n">
        <v>-45</v>
      </c>
      <c r="E805" s="14" t="s">
        <v>195</v>
      </c>
      <c r="F805" s="14" t="s">
        <v>220</v>
      </c>
      <c r="G805" s="15" t="n">
        <v>45730</v>
      </c>
      <c r="H805" s="14" t="n">
        <v>1</v>
      </c>
      <c r="I805" s="14" t="n">
        <v>4</v>
      </c>
      <c r="J805" s="14" t="n">
        <v>55</v>
      </c>
      <c r="K805" s="14" t="n">
        <v>20</v>
      </c>
      <c r="L805" s="14" t="n">
        <v>35</v>
      </c>
      <c r="M805" s="14" t="n">
        <v>59</v>
      </c>
      <c r="N805" s="16" t="n">
        <v>0.593220338983051</v>
      </c>
      <c r="O805" s="14"/>
      <c r="P805" s="14"/>
      <c r="Q805" s="22"/>
    </row>
    <row r="806" customFormat="false" ht="15" hidden="false" customHeight="false" outlineLevel="0" collapsed="false">
      <c r="A806" s="14" t="s">
        <v>466</v>
      </c>
      <c r="B806" s="14" t="n">
        <v>13</v>
      </c>
      <c r="C806" s="14" t="s">
        <v>403</v>
      </c>
      <c r="D806" s="14" t="n">
        <v>-30</v>
      </c>
      <c r="E806" s="14" t="s">
        <v>195</v>
      </c>
      <c r="F806" s="14" t="s">
        <v>220</v>
      </c>
      <c r="G806" s="15" t="n">
        <v>45730</v>
      </c>
      <c r="H806" s="14" t="n">
        <v>4</v>
      </c>
      <c r="I806" s="14" t="n">
        <v>5</v>
      </c>
      <c r="J806" s="14" t="n">
        <v>59</v>
      </c>
      <c r="K806" s="14" t="n">
        <v>25</v>
      </c>
      <c r="L806" s="14" t="n">
        <v>34</v>
      </c>
      <c r="M806" s="14" t="n">
        <v>59</v>
      </c>
      <c r="N806" s="16" t="n">
        <v>0.576271186440678</v>
      </c>
      <c r="O806" s="14"/>
      <c r="P806" s="14"/>
      <c r="Q806" s="22"/>
    </row>
    <row r="807" customFormat="false" ht="15" hidden="false" customHeight="false" outlineLevel="0" collapsed="false">
      <c r="A807" s="14" t="s">
        <v>466</v>
      </c>
      <c r="B807" s="14" t="n">
        <v>14</v>
      </c>
      <c r="C807" s="14" t="s">
        <v>529</v>
      </c>
      <c r="D807" s="14" t="n">
        <v>-15</v>
      </c>
      <c r="E807" s="14" t="s">
        <v>195</v>
      </c>
      <c r="F807" s="14" t="s">
        <v>220</v>
      </c>
      <c r="G807" s="15" t="n">
        <v>45730</v>
      </c>
      <c r="H807" s="14" t="n">
        <v>0</v>
      </c>
      <c r="I807" s="14" t="n">
        <v>6</v>
      </c>
      <c r="J807" s="14" t="n">
        <v>59</v>
      </c>
      <c r="K807" s="14" t="n">
        <v>31</v>
      </c>
      <c r="L807" s="14" t="n">
        <v>28</v>
      </c>
      <c r="M807" s="14" t="n">
        <v>59</v>
      </c>
      <c r="N807" s="16" t="n">
        <v>0.474576271186441</v>
      </c>
      <c r="O807" s="14"/>
      <c r="P807" s="14"/>
      <c r="Q807" s="22"/>
    </row>
    <row r="808" customFormat="false" ht="15" hidden="false" customHeight="false" outlineLevel="0" collapsed="false">
      <c r="A808" s="14" t="s">
        <v>466</v>
      </c>
      <c r="B808" s="14" t="n">
        <v>15</v>
      </c>
      <c r="C808" s="14" t="s">
        <v>463</v>
      </c>
      <c r="D808" s="14" t="n">
        <v>0</v>
      </c>
      <c r="E808" s="14" t="s">
        <v>195</v>
      </c>
      <c r="F808" s="14" t="s">
        <v>220</v>
      </c>
      <c r="G808" s="15" t="n">
        <v>45730</v>
      </c>
      <c r="H808" s="14" t="n">
        <v>0</v>
      </c>
      <c r="I808" s="14" t="n">
        <v>13</v>
      </c>
      <c r="J808" s="14" t="n">
        <v>59</v>
      </c>
      <c r="K808" s="14" t="n">
        <v>44</v>
      </c>
      <c r="L808" s="14" t="n">
        <v>15</v>
      </c>
      <c r="M808" s="14" t="n">
        <v>59</v>
      </c>
      <c r="N808" s="16" t="n">
        <v>0.254237288135593</v>
      </c>
      <c r="O808" s="14"/>
      <c r="P808" s="14"/>
      <c r="Q808" s="22"/>
    </row>
    <row r="809" customFormat="false" ht="15" hidden="false" customHeight="false" outlineLevel="0" collapsed="false">
      <c r="A809" s="14" t="s">
        <v>466</v>
      </c>
      <c r="B809" s="14" t="n">
        <v>16</v>
      </c>
      <c r="C809" s="14" t="s">
        <v>366</v>
      </c>
      <c r="D809" s="14" t="n">
        <v>15</v>
      </c>
      <c r="E809" s="14" t="s">
        <v>195</v>
      </c>
      <c r="F809" s="14" t="s">
        <v>220</v>
      </c>
      <c r="G809" s="15" t="n">
        <v>45730</v>
      </c>
      <c r="H809" s="14"/>
      <c r="I809" s="14"/>
      <c r="J809" s="14"/>
      <c r="K809" s="14"/>
      <c r="L809" s="14"/>
      <c r="M809" s="14" t="n">
        <v>59</v>
      </c>
      <c r="N809" s="16"/>
      <c r="O809" s="14"/>
      <c r="P809" s="14"/>
      <c r="Q809" s="22" t="s">
        <v>533</v>
      </c>
    </row>
    <row r="810" customFormat="false" ht="15" hidden="false" customHeight="false" outlineLevel="0" collapsed="false">
      <c r="A810" s="14" t="s">
        <v>466</v>
      </c>
      <c r="B810" s="14" t="n">
        <v>17</v>
      </c>
      <c r="C810" s="14" t="s">
        <v>326</v>
      </c>
      <c r="D810" s="14" t="n">
        <v>30</v>
      </c>
      <c r="E810" s="14" t="s">
        <v>195</v>
      </c>
      <c r="F810" s="14" t="s">
        <v>220</v>
      </c>
      <c r="G810" s="15" t="n">
        <v>45730</v>
      </c>
      <c r="H810" s="14"/>
      <c r="I810" s="14"/>
      <c r="J810" s="14"/>
      <c r="K810" s="14"/>
      <c r="L810" s="14"/>
      <c r="M810" s="14" t="n">
        <v>59</v>
      </c>
      <c r="N810" s="16"/>
      <c r="O810" s="14"/>
      <c r="P810" s="14"/>
      <c r="Q810" s="22" t="s">
        <v>533</v>
      </c>
    </row>
    <row r="811" customFormat="false" ht="15" hidden="false" customHeight="false" outlineLevel="0" collapsed="false">
      <c r="A811" s="14" t="s">
        <v>466</v>
      </c>
      <c r="B811" s="14" t="n">
        <v>18</v>
      </c>
      <c r="C811" s="14" t="s">
        <v>226</v>
      </c>
      <c r="D811" s="14" t="n">
        <v>45</v>
      </c>
      <c r="E811" s="14" t="s">
        <v>195</v>
      </c>
      <c r="F811" s="14" t="s">
        <v>220</v>
      </c>
      <c r="G811" s="15" t="n">
        <v>45730</v>
      </c>
      <c r="H811" s="14"/>
      <c r="I811" s="14"/>
      <c r="J811" s="14"/>
      <c r="K811" s="14"/>
      <c r="L811" s="14"/>
      <c r="M811" s="14" t="n">
        <v>59</v>
      </c>
      <c r="N811" s="16"/>
      <c r="O811" s="14"/>
      <c r="P811" s="14"/>
      <c r="Q811" s="22" t="s">
        <v>533</v>
      </c>
    </row>
    <row r="812" customFormat="false" ht="15" hidden="false" customHeight="false" outlineLevel="0" collapsed="false">
      <c r="A812" s="14" t="s">
        <v>471</v>
      </c>
      <c r="B812" s="14" t="n">
        <v>0</v>
      </c>
      <c r="C812" s="14" t="s">
        <v>204</v>
      </c>
      <c r="D812" s="14"/>
      <c r="E812" s="14" t="s">
        <v>195</v>
      </c>
      <c r="F812" s="14" t="s">
        <v>220</v>
      </c>
      <c r="G812" s="15" t="n">
        <v>46038</v>
      </c>
      <c r="H812" s="14" t="n">
        <v>31</v>
      </c>
      <c r="I812" s="14" t="n">
        <v>0</v>
      </c>
      <c r="J812" s="14" t="n">
        <v>31</v>
      </c>
      <c r="K812" s="14" t="n">
        <v>0</v>
      </c>
      <c r="L812" s="14" t="n">
        <v>31</v>
      </c>
      <c r="M812" s="14" t="n">
        <v>186</v>
      </c>
      <c r="N812" s="16" t="n">
        <v>0.166666666666667</v>
      </c>
      <c r="O812" s="14"/>
      <c r="P812" s="14"/>
      <c r="Q812" s="22"/>
    </row>
    <row r="813" customFormat="false" ht="15" hidden="false" customHeight="false" outlineLevel="0" collapsed="false">
      <c r="A813" s="14" t="s">
        <v>471</v>
      </c>
      <c r="B813" s="14" t="n">
        <v>3</v>
      </c>
      <c r="C813" s="14" t="s">
        <v>525</v>
      </c>
      <c r="D813" s="14" t="n">
        <v>-180</v>
      </c>
      <c r="E813" s="14" t="s">
        <v>195</v>
      </c>
      <c r="F813" s="14" t="s">
        <v>220</v>
      </c>
      <c r="G813" s="15" t="n">
        <v>46038</v>
      </c>
      <c r="H813" s="14"/>
      <c r="I813" s="14"/>
      <c r="J813" s="14"/>
      <c r="K813" s="14"/>
      <c r="L813" s="14"/>
      <c r="M813" s="14" t="n">
        <v>186</v>
      </c>
      <c r="N813" s="16"/>
      <c r="O813" s="14"/>
      <c r="P813" s="14"/>
      <c r="Q813" s="22" t="s">
        <v>534</v>
      </c>
    </row>
    <row r="814" customFormat="false" ht="15" hidden="false" customHeight="false" outlineLevel="0" collapsed="false">
      <c r="A814" s="14" t="s">
        <v>471</v>
      </c>
      <c r="B814" s="14" t="n">
        <v>4</v>
      </c>
      <c r="C814" s="14" t="s">
        <v>526</v>
      </c>
      <c r="D814" s="14" t="n">
        <v>-165</v>
      </c>
      <c r="E814" s="14" t="s">
        <v>195</v>
      </c>
      <c r="F814" s="14" t="s">
        <v>220</v>
      </c>
      <c r="G814" s="15" t="n">
        <v>46038</v>
      </c>
      <c r="H814" s="14"/>
      <c r="I814" s="14"/>
      <c r="J814" s="14"/>
      <c r="K814" s="14"/>
      <c r="L814" s="14"/>
      <c r="M814" s="14" t="n">
        <v>186</v>
      </c>
      <c r="N814" s="16"/>
      <c r="O814" s="14"/>
      <c r="P814" s="14"/>
      <c r="Q814" s="22" t="s">
        <v>534</v>
      </c>
    </row>
    <row r="815" customFormat="false" ht="15" hidden="false" customHeight="false" outlineLevel="0" collapsed="false">
      <c r="A815" s="14" t="s">
        <v>471</v>
      </c>
      <c r="B815" s="14" t="n">
        <v>5</v>
      </c>
      <c r="C815" s="14" t="s">
        <v>527</v>
      </c>
      <c r="D815" s="14" t="n">
        <v>-150</v>
      </c>
      <c r="E815" s="14" t="s">
        <v>195</v>
      </c>
      <c r="F815" s="14" t="s">
        <v>220</v>
      </c>
      <c r="G815" s="15" t="n">
        <v>46038</v>
      </c>
      <c r="H815" s="14" t="n">
        <v>12</v>
      </c>
      <c r="I815" s="14" t="n">
        <v>0</v>
      </c>
      <c r="J815" s="14" t="n">
        <v>43</v>
      </c>
      <c r="K815" s="14" t="n">
        <v>0</v>
      </c>
      <c r="L815" s="14" t="n">
        <v>43</v>
      </c>
      <c r="M815" s="14" t="n">
        <v>186</v>
      </c>
      <c r="N815" s="16" t="n">
        <v>0.231182795698925</v>
      </c>
      <c r="O815" s="14"/>
      <c r="P815" s="14"/>
      <c r="Q815" s="22"/>
    </row>
    <row r="816" customFormat="false" ht="15" hidden="false" customHeight="false" outlineLevel="0" collapsed="false">
      <c r="A816" s="14" t="s">
        <v>471</v>
      </c>
      <c r="B816" s="14" t="n">
        <v>6</v>
      </c>
      <c r="C816" s="14" t="s">
        <v>528</v>
      </c>
      <c r="D816" s="14" t="n">
        <v>-135</v>
      </c>
      <c r="E816" s="14" t="s">
        <v>195</v>
      </c>
      <c r="F816" s="14" t="s">
        <v>220</v>
      </c>
      <c r="G816" s="15" t="n">
        <v>46038</v>
      </c>
      <c r="H816" s="14" t="n">
        <v>22</v>
      </c>
      <c r="I816" s="14" t="n">
        <v>1</v>
      </c>
      <c r="J816" s="14" t="n">
        <v>65</v>
      </c>
      <c r="K816" s="14" t="n">
        <v>1</v>
      </c>
      <c r="L816" s="14" t="n">
        <v>64</v>
      </c>
      <c r="M816" s="14" t="n">
        <v>186</v>
      </c>
      <c r="N816" s="16" t="n">
        <v>0.344086021505376</v>
      </c>
      <c r="O816" s="14"/>
      <c r="P816" s="14"/>
      <c r="Q816" s="22"/>
    </row>
    <row r="817" customFormat="false" ht="15" hidden="false" customHeight="false" outlineLevel="0" collapsed="false">
      <c r="A817" s="14" t="s">
        <v>471</v>
      </c>
      <c r="B817" s="14" t="n">
        <v>7</v>
      </c>
      <c r="C817" s="14" t="s">
        <v>227</v>
      </c>
      <c r="D817" s="14" t="n">
        <v>-120</v>
      </c>
      <c r="E817" s="14" t="s">
        <v>195</v>
      </c>
      <c r="F817" s="14" t="s">
        <v>220</v>
      </c>
      <c r="G817" s="15" t="n">
        <v>46038</v>
      </c>
      <c r="H817" s="14" t="n">
        <v>22</v>
      </c>
      <c r="I817" s="14" t="n">
        <v>2</v>
      </c>
      <c r="J817" s="14" t="n">
        <v>87</v>
      </c>
      <c r="K817" s="14" t="n">
        <v>3</v>
      </c>
      <c r="L817" s="14" t="n">
        <v>84</v>
      </c>
      <c r="M817" s="14" t="n">
        <v>186</v>
      </c>
      <c r="N817" s="16" t="n">
        <v>0.451612903225806</v>
      </c>
      <c r="O817" s="14"/>
      <c r="P817" s="14"/>
      <c r="Q817" s="22"/>
    </row>
    <row r="818" customFormat="false" ht="15" hidden="false" customHeight="false" outlineLevel="0" collapsed="false">
      <c r="A818" s="14" t="s">
        <v>471</v>
      </c>
      <c r="B818" s="14" t="n">
        <v>8</v>
      </c>
      <c r="C818" s="14" t="s">
        <v>241</v>
      </c>
      <c r="D818" s="14" t="n">
        <v>-105</v>
      </c>
      <c r="E818" s="14" t="s">
        <v>195</v>
      </c>
      <c r="F818" s="14" t="s">
        <v>220</v>
      </c>
      <c r="G818" s="15" t="n">
        <v>46038</v>
      </c>
      <c r="H818" s="14" t="n">
        <v>19</v>
      </c>
      <c r="I818" s="14" t="n">
        <v>8</v>
      </c>
      <c r="J818" s="14" t="n">
        <v>106</v>
      </c>
      <c r="K818" s="14" t="n">
        <v>11</v>
      </c>
      <c r="L818" s="14" t="n">
        <v>95</v>
      </c>
      <c r="M818" s="14" t="n">
        <v>186</v>
      </c>
      <c r="N818" s="16" t="n">
        <v>0.510752688172043</v>
      </c>
      <c r="O818" s="14"/>
      <c r="P818" s="14"/>
      <c r="Q818" s="22"/>
    </row>
    <row r="819" customFormat="false" ht="15" hidden="false" customHeight="false" outlineLevel="0" collapsed="false">
      <c r="A819" s="14" t="s">
        <v>471</v>
      </c>
      <c r="B819" s="14" t="n">
        <v>9</v>
      </c>
      <c r="C819" s="14" t="s">
        <v>279</v>
      </c>
      <c r="D819" s="14" t="n">
        <v>-90</v>
      </c>
      <c r="E819" s="14" t="s">
        <v>195</v>
      </c>
      <c r="F819" s="14" t="s">
        <v>220</v>
      </c>
      <c r="G819" s="15" t="n">
        <v>46038</v>
      </c>
      <c r="H819" s="14" t="n">
        <v>23</v>
      </c>
      <c r="I819" s="14" t="n">
        <v>11</v>
      </c>
      <c r="J819" s="14" t="n">
        <v>129</v>
      </c>
      <c r="K819" s="14" t="n">
        <v>22</v>
      </c>
      <c r="L819" s="14" t="n">
        <v>107</v>
      </c>
      <c r="M819" s="14" t="n">
        <v>186</v>
      </c>
      <c r="N819" s="16" t="n">
        <v>0.575268817204301</v>
      </c>
      <c r="O819" s="14"/>
      <c r="P819" s="14"/>
      <c r="Q819" s="22"/>
    </row>
    <row r="820" customFormat="false" ht="15" hidden="false" customHeight="false" outlineLevel="0" collapsed="false">
      <c r="A820" s="14" t="s">
        <v>471</v>
      </c>
      <c r="B820" s="14" t="n">
        <v>10</v>
      </c>
      <c r="C820" s="14" t="s">
        <v>206</v>
      </c>
      <c r="D820" s="14" t="n">
        <v>-75</v>
      </c>
      <c r="E820" s="14" t="s">
        <v>195</v>
      </c>
      <c r="F820" s="14" t="s">
        <v>220</v>
      </c>
      <c r="G820" s="15" t="n">
        <v>46038</v>
      </c>
      <c r="H820" s="14" t="n">
        <v>14</v>
      </c>
      <c r="I820" s="14" t="n">
        <v>10</v>
      </c>
      <c r="J820" s="14" t="n">
        <v>143</v>
      </c>
      <c r="K820" s="14" t="n">
        <v>32</v>
      </c>
      <c r="L820" s="14" t="n">
        <v>111</v>
      </c>
      <c r="M820" s="14" t="n">
        <v>186</v>
      </c>
      <c r="N820" s="16" t="n">
        <v>0.596774193548387</v>
      </c>
      <c r="O820" s="14"/>
      <c r="P820" s="14"/>
      <c r="Q820" s="22"/>
    </row>
    <row r="821" customFormat="false" ht="15" hidden="false" customHeight="false" outlineLevel="0" collapsed="false">
      <c r="A821" s="14" t="s">
        <v>471</v>
      </c>
      <c r="B821" s="14" t="n">
        <v>11</v>
      </c>
      <c r="C821" s="14" t="s">
        <v>246</v>
      </c>
      <c r="D821" s="14" t="n">
        <v>-60</v>
      </c>
      <c r="E821" s="14" t="s">
        <v>195</v>
      </c>
      <c r="F821" s="14" t="s">
        <v>220</v>
      </c>
      <c r="G821" s="15" t="n">
        <v>46038</v>
      </c>
      <c r="H821" s="14" t="n">
        <v>15</v>
      </c>
      <c r="I821" s="14" t="n">
        <v>16</v>
      </c>
      <c r="J821" s="14" t="n">
        <v>158</v>
      </c>
      <c r="K821" s="14" t="n">
        <v>48</v>
      </c>
      <c r="L821" s="14" t="n">
        <v>110</v>
      </c>
      <c r="M821" s="14" t="n">
        <v>186</v>
      </c>
      <c r="N821" s="16" t="n">
        <v>0.591397849462366</v>
      </c>
      <c r="O821" s="14"/>
      <c r="P821" s="14"/>
      <c r="Q821" s="22"/>
    </row>
    <row r="822" customFormat="false" ht="15" hidden="false" customHeight="false" outlineLevel="0" collapsed="false">
      <c r="A822" s="14" t="s">
        <v>471</v>
      </c>
      <c r="B822" s="14" t="n">
        <v>12</v>
      </c>
      <c r="C822" s="14" t="s">
        <v>254</v>
      </c>
      <c r="D822" s="14" t="n">
        <v>-45</v>
      </c>
      <c r="E822" s="14" t="s">
        <v>195</v>
      </c>
      <c r="F822" s="14" t="s">
        <v>220</v>
      </c>
      <c r="G822" s="15" t="n">
        <v>46038</v>
      </c>
      <c r="H822" s="14" t="n">
        <v>10</v>
      </c>
      <c r="I822" s="14" t="n">
        <v>16</v>
      </c>
      <c r="J822" s="14" t="n">
        <v>168</v>
      </c>
      <c r="K822" s="14" t="n">
        <v>64</v>
      </c>
      <c r="L822" s="14" t="n">
        <v>104</v>
      </c>
      <c r="M822" s="14" t="n">
        <v>186</v>
      </c>
      <c r="N822" s="16" t="n">
        <v>0.559139784946237</v>
      </c>
      <c r="O822" s="14"/>
      <c r="P822" s="14"/>
      <c r="Q822" s="22"/>
    </row>
    <row r="823" customFormat="false" ht="15" hidden="false" customHeight="false" outlineLevel="0" collapsed="false">
      <c r="A823" s="14" t="s">
        <v>471</v>
      </c>
      <c r="B823" s="14" t="n">
        <v>13</v>
      </c>
      <c r="C823" s="14" t="s">
        <v>403</v>
      </c>
      <c r="D823" s="14" t="n">
        <v>-30</v>
      </c>
      <c r="E823" s="14" t="s">
        <v>195</v>
      </c>
      <c r="F823" s="14" t="s">
        <v>220</v>
      </c>
      <c r="G823" s="15" t="n">
        <v>46038</v>
      </c>
      <c r="H823" s="14" t="n">
        <v>9</v>
      </c>
      <c r="I823" s="14" t="n">
        <v>26</v>
      </c>
      <c r="J823" s="14" t="n">
        <v>177</v>
      </c>
      <c r="K823" s="14" t="n">
        <v>90</v>
      </c>
      <c r="L823" s="14" t="n">
        <v>87</v>
      </c>
      <c r="M823" s="14" t="n">
        <v>186</v>
      </c>
      <c r="N823" s="16" t="n">
        <v>0.467741935483871</v>
      </c>
      <c r="O823" s="14"/>
      <c r="P823" s="14"/>
      <c r="Q823" s="22"/>
    </row>
    <row r="824" customFormat="false" ht="15" hidden="false" customHeight="false" outlineLevel="0" collapsed="false">
      <c r="A824" s="14" t="s">
        <v>471</v>
      </c>
      <c r="B824" s="14" t="n">
        <v>14</v>
      </c>
      <c r="C824" s="14" t="s">
        <v>529</v>
      </c>
      <c r="D824" s="14" t="n">
        <v>-15</v>
      </c>
      <c r="E824" s="14" t="s">
        <v>195</v>
      </c>
      <c r="F824" s="14" t="s">
        <v>220</v>
      </c>
      <c r="G824" s="15" t="n">
        <v>46038</v>
      </c>
      <c r="H824" s="14" t="n">
        <v>4</v>
      </c>
      <c r="I824" s="14" t="n">
        <v>21</v>
      </c>
      <c r="J824" s="14" t="n">
        <v>181</v>
      </c>
      <c r="K824" s="14" t="n">
        <v>111</v>
      </c>
      <c r="L824" s="14" t="n">
        <v>70</v>
      </c>
      <c r="M824" s="14" t="n">
        <v>186</v>
      </c>
      <c r="N824" s="16" t="n">
        <v>0.376344086021505</v>
      </c>
      <c r="O824" s="14"/>
      <c r="P824" s="14"/>
      <c r="Q824" s="22"/>
    </row>
    <row r="825" customFormat="false" ht="15" hidden="false" customHeight="false" outlineLevel="0" collapsed="false">
      <c r="A825" s="14" t="s">
        <v>471</v>
      </c>
      <c r="B825" s="14" t="n">
        <v>15</v>
      </c>
      <c r="C825" s="14" t="s">
        <v>463</v>
      </c>
      <c r="D825" s="14" t="n">
        <v>0</v>
      </c>
      <c r="E825" s="14" t="s">
        <v>195</v>
      </c>
      <c r="F825" s="14" t="s">
        <v>220</v>
      </c>
      <c r="G825" s="15" t="n">
        <v>46038</v>
      </c>
      <c r="H825" s="14" t="n">
        <v>2</v>
      </c>
      <c r="I825" s="14" t="n">
        <v>22</v>
      </c>
      <c r="J825" s="14" t="n">
        <v>183</v>
      </c>
      <c r="K825" s="14" t="n">
        <v>133</v>
      </c>
      <c r="L825" s="14" t="n">
        <v>50</v>
      </c>
      <c r="M825" s="14" t="n">
        <v>186</v>
      </c>
      <c r="N825" s="16" t="n">
        <v>0.268817204301075</v>
      </c>
      <c r="O825" s="14"/>
      <c r="P825" s="14"/>
      <c r="Q825" s="22"/>
    </row>
    <row r="826" customFormat="false" ht="15" hidden="false" customHeight="false" outlineLevel="0" collapsed="false">
      <c r="A826" s="14" t="s">
        <v>471</v>
      </c>
      <c r="B826" s="14" t="n">
        <v>16</v>
      </c>
      <c r="C826" s="14" t="s">
        <v>366</v>
      </c>
      <c r="D826" s="14" t="n">
        <v>15</v>
      </c>
      <c r="E826" s="14" t="s">
        <v>195</v>
      </c>
      <c r="F826" s="14" t="s">
        <v>220</v>
      </c>
      <c r="G826" s="15" t="n">
        <v>46038</v>
      </c>
      <c r="H826" s="14" t="n">
        <v>1</v>
      </c>
      <c r="I826" s="14" t="n">
        <v>21</v>
      </c>
      <c r="J826" s="14" t="n">
        <v>184</v>
      </c>
      <c r="K826" s="14" t="n">
        <v>154</v>
      </c>
      <c r="L826" s="14" t="n">
        <v>30</v>
      </c>
      <c r="M826" s="14" t="n">
        <v>186</v>
      </c>
      <c r="N826" s="16" t="n">
        <v>0.161290322580645</v>
      </c>
      <c r="O826" s="14"/>
      <c r="P826" s="14"/>
      <c r="Q826" s="22"/>
    </row>
    <row r="827" customFormat="false" ht="15" hidden="false" customHeight="false" outlineLevel="0" collapsed="false">
      <c r="A827" s="14" t="s">
        <v>471</v>
      </c>
      <c r="B827" s="14" t="n">
        <v>17</v>
      </c>
      <c r="C827" s="14" t="s">
        <v>326</v>
      </c>
      <c r="D827" s="14" t="n">
        <v>30</v>
      </c>
      <c r="E827" s="14" t="s">
        <v>195</v>
      </c>
      <c r="F827" s="14" t="s">
        <v>220</v>
      </c>
      <c r="G827" s="15" t="n">
        <v>46038</v>
      </c>
      <c r="H827" s="14" t="n">
        <v>2</v>
      </c>
      <c r="I827" s="14" t="n">
        <v>10</v>
      </c>
      <c r="J827" s="14" t="n">
        <v>186</v>
      </c>
      <c r="K827" s="14" t="n">
        <v>164</v>
      </c>
      <c r="L827" s="14" t="n">
        <v>22</v>
      </c>
      <c r="M827" s="14" t="n">
        <v>186</v>
      </c>
      <c r="N827" s="16" t="n">
        <v>0.118279569892473</v>
      </c>
      <c r="O827" s="14"/>
      <c r="P827" s="14"/>
      <c r="Q827" s="22"/>
    </row>
    <row r="828" customFormat="false" ht="15" hidden="false" customHeight="false" outlineLevel="0" collapsed="false">
      <c r="A828" s="14" t="s">
        <v>471</v>
      </c>
      <c r="B828" s="14" t="n">
        <v>18</v>
      </c>
      <c r="C828" s="14" t="s">
        <v>226</v>
      </c>
      <c r="D828" s="14" t="n">
        <v>45</v>
      </c>
      <c r="E828" s="14" t="s">
        <v>195</v>
      </c>
      <c r="F828" s="14" t="s">
        <v>220</v>
      </c>
      <c r="G828" s="15" t="n">
        <v>46038</v>
      </c>
      <c r="H828" s="14"/>
      <c r="I828" s="14"/>
      <c r="J828" s="14"/>
      <c r="K828" s="14"/>
      <c r="L828" s="14"/>
      <c r="M828" s="14" t="n">
        <v>186</v>
      </c>
      <c r="N828" s="16"/>
      <c r="O828" s="14"/>
      <c r="P828" s="14"/>
      <c r="Q828" s="22" t="s">
        <v>534</v>
      </c>
    </row>
    <row r="829" customFormat="false" ht="15" hidden="false" customHeight="false" outlineLevel="0" collapsed="false">
      <c r="A829" s="14" t="s">
        <v>477</v>
      </c>
      <c r="B829" s="14" t="n">
        <v>0</v>
      </c>
      <c r="C829" s="14" t="s">
        <v>204</v>
      </c>
      <c r="D829" s="14"/>
      <c r="E829" s="14" t="s">
        <v>195</v>
      </c>
      <c r="F829" s="14" t="s">
        <v>198</v>
      </c>
      <c r="G829" s="15" t="n">
        <v>46102</v>
      </c>
      <c r="H829" s="14" t="n">
        <v>0</v>
      </c>
      <c r="I829" s="14" t="n">
        <v>0</v>
      </c>
      <c r="J829" s="14" t="n">
        <v>0</v>
      </c>
      <c r="K829" s="14" t="n">
        <v>0</v>
      </c>
      <c r="L829" s="14" t="n">
        <v>0</v>
      </c>
      <c r="M829" s="14" t="n">
        <v>368</v>
      </c>
      <c r="N829" s="16" t="n">
        <v>0</v>
      </c>
      <c r="O829" s="14"/>
      <c r="P829" s="14"/>
      <c r="Q829" s="22"/>
    </row>
    <row r="830" customFormat="false" ht="15" hidden="false" customHeight="false" outlineLevel="0" collapsed="false">
      <c r="A830" s="14" t="s">
        <v>477</v>
      </c>
      <c r="B830" s="14" t="n">
        <v>3</v>
      </c>
      <c r="C830" s="14" t="s">
        <v>525</v>
      </c>
      <c r="D830" s="14" t="n">
        <v>-180</v>
      </c>
      <c r="E830" s="14" t="s">
        <v>195</v>
      </c>
      <c r="F830" s="14" t="s">
        <v>198</v>
      </c>
      <c r="G830" s="15" t="n">
        <v>46102</v>
      </c>
      <c r="H830" s="14" t="n">
        <v>0</v>
      </c>
      <c r="I830" s="14" t="n">
        <v>0</v>
      </c>
      <c r="J830" s="14" t="n">
        <v>0</v>
      </c>
      <c r="K830" s="14" t="n">
        <v>0</v>
      </c>
      <c r="L830" s="14" t="n">
        <v>0</v>
      </c>
      <c r="M830" s="14" t="n">
        <v>368</v>
      </c>
      <c r="N830" s="16" t="n">
        <v>0</v>
      </c>
      <c r="O830" s="14"/>
      <c r="P830" s="14"/>
      <c r="Q830" s="22"/>
    </row>
    <row r="831" customFormat="false" ht="15" hidden="false" customHeight="false" outlineLevel="0" collapsed="false">
      <c r="A831" s="14" t="s">
        <v>477</v>
      </c>
      <c r="B831" s="14" t="n">
        <v>4</v>
      </c>
      <c r="C831" s="14" t="s">
        <v>526</v>
      </c>
      <c r="D831" s="14" t="n">
        <v>-165</v>
      </c>
      <c r="E831" s="14" t="s">
        <v>195</v>
      </c>
      <c r="F831" s="14" t="s">
        <v>198</v>
      </c>
      <c r="G831" s="15" t="n">
        <v>46102</v>
      </c>
      <c r="H831" s="14" t="n">
        <v>1</v>
      </c>
      <c r="I831" s="14" t="n">
        <v>1</v>
      </c>
      <c r="J831" s="14" t="n">
        <v>1</v>
      </c>
      <c r="K831" s="14" t="n">
        <v>1</v>
      </c>
      <c r="L831" s="14" t="n">
        <v>0</v>
      </c>
      <c r="M831" s="14" t="n">
        <v>368</v>
      </c>
      <c r="N831" s="16" t="n">
        <v>0</v>
      </c>
      <c r="O831" s="14"/>
      <c r="P831" s="14"/>
      <c r="Q831" s="22"/>
    </row>
    <row r="832" customFormat="false" ht="15" hidden="false" customHeight="false" outlineLevel="0" collapsed="false">
      <c r="A832" s="14" t="s">
        <v>477</v>
      </c>
      <c r="B832" s="14" t="n">
        <v>5</v>
      </c>
      <c r="C832" s="14" t="s">
        <v>527</v>
      </c>
      <c r="D832" s="14" t="n">
        <v>-150</v>
      </c>
      <c r="E832" s="14" t="s">
        <v>195</v>
      </c>
      <c r="F832" s="14" t="s">
        <v>198</v>
      </c>
      <c r="G832" s="15" t="n">
        <v>46102</v>
      </c>
      <c r="H832" s="14" t="n">
        <v>2</v>
      </c>
      <c r="I832" s="14" t="n">
        <v>0</v>
      </c>
      <c r="J832" s="14" t="n">
        <v>3</v>
      </c>
      <c r="K832" s="14" t="n">
        <v>1</v>
      </c>
      <c r="L832" s="14" t="n">
        <v>2</v>
      </c>
      <c r="M832" s="14" t="n">
        <v>368</v>
      </c>
      <c r="N832" s="16" t="n">
        <v>0.00543478260869565</v>
      </c>
      <c r="O832" s="14"/>
      <c r="P832" s="14"/>
      <c r="Q832" s="22"/>
    </row>
    <row r="833" customFormat="false" ht="15" hidden="false" customHeight="false" outlineLevel="0" collapsed="false">
      <c r="A833" s="14" t="s">
        <v>477</v>
      </c>
      <c r="B833" s="14" t="n">
        <v>6</v>
      </c>
      <c r="C833" s="14" t="s">
        <v>528</v>
      </c>
      <c r="D833" s="14" t="n">
        <v>-135</v>
      </c>
      <c r="E833" s="14" t="s">
        <v>195</v>
      </c>
      <c r="F833" s="14" t="s">
        <v>198</v>
      </c>
      <c r="G833" s="15" t="n">
        <v>46102</v>
      </c>
      <c r="H833" s="14" t="n">
        <v>18</v>
      </c>
      <c r="I833" s="14" t="n">
        <v>0</v>
      </c>
      <c r="J833" s="14" t="n">
        <v>21</v>
      </c>
      <c r="K833" s="14" t="n">
        <v>1</v>
      </c>
      <c r="L833" s="14" t="n">
        <v>20</v>
      </c>
      <c r="M833" s="14" t="n">
        <v>368</v>
      </c>
      <c r="N833" s="16" t="n">
        <v>0.0543478260869565</v>
      </c>
      <c r="O833" s="14"/>
      <c r="P833" s="14"/>
      <c r="Q833" s="22"/>
    </row>
    <row r="834" customFormat="false" ht="15" hidden="false" customHeight="false" outlineLevel="0" collapsed="false">
      <c r="A834" s="14" t="s">
        <v>477</v>
      </c>
      <c r="B834" s="14" t="n">
        <v>7</v>
      </c>
      <c r="C834" s="14" t="s">
        <v>227</v>
      </c>
      <c r="D834" s="14" t="n">
        <v>-120</v>
      </c>
      <c r="E834" s="14" t="s">
        <v>195</v>
      </c>
      <c r="F834" s="14" t="s">
        <v>198</v>
      </c>
      <c r="G834" s="15" t="n">
        <v>46102</v>
      </c>
      <c r="H834" s="14" t="n">
        <v>37</v>
      </c>
      <c r="I834" s="14" t="n">
        <v>2</v>
      </c>
      <c r="J834" s="14" t="n">
        <v>58</v>
      </c>
      <c r="K834" s="14" t="n">
        <v>3</v>
      </c>
      <c r="L834" s="14" t="n">
        <v>55</v>
      </c>
      <c r="M834" s="14" t="n">
        <v>368</v>
      </c>
      <c r="N834" s="16" t="n">
        <v>0.14945652173913</v>
      </c>
      <c r="O834" s="14"/>
      <c r="P834" s="14"/>
      <c r="Q834" s="22"/>
    </row>
    <row r="835" customFormat="false" ht="15" hidden="false" customHeight="false" outlineLevel="0" collapsed="false">
      <c r="A835" s="14" t="s">
        <v>477</v>
      </c>
      <c r="B835" s="14" t="n">
        <v>8</v>
      </c>
      <c r="C835" s="14" t="s">
        <v>241</v>
      </c>
      <c r="D835" s="14" t="n">
        <v>-105</v>
      </c>
      <c r="E835" s="14" t="s">
        <v>195</v>
      </c>
      <c r="F835" s="14" t="s">
        <v>198</v>
      </c>
      <c r="G835" s="15" t="n">
        <v>46102</v>
      </c>
      <c r="H835" s="14" t="n">
        <v>55</v>
      </c>
      <c r="I835" s="14" t="n">
        <v>2</v>
      </c>
      <c r="J835" s="14" t="n">
        <v>113</v>
      </c>
      <c r="K835" s="14" t="n">
        <v>5</v>
      </c>
      <c r="L835" s="14" t="n">
        <v>108</v>
      </c>
      <c r="M835" s="14" t="n">
        <v>368</v>
      </c>
      <c r="N835" s="16" t="n">
        <v>0.293478260869565</v>
      </c>
      <c r="O835" s="14"/>
      <c r="P835" s="14"/>
      <c r="Q835" s="22"/>
    </row>
    <row r="836" customFormat="false" ht="15" hidden="false" customHeight="false" outlineLevel="0" collapsed="false">
      <c r="A836" s="14" t="s">
        <v>477</v>
      </c>
      <c r="B836" s="14" t="n">
        <v>9</v>
      </c>
      <c r="C836" s="14" t="s">
        <v>279</v>
      </c>
      <c r="D836" s="14" t="n">
        <v>-90</v>
      </c>
      <c r="E836" s="14" t="s">
        <v>195</v>
      </c>
      <c r="F836" s="14" t="s">
        <v>198</v>
      </c>
      <c r="G836" s="15" t="n">
        <v>46102</v>
      </c>
      <c r="H836" s="14" t="n">
        <v>76</v>
      </c>
      <c r="I836" s="14" t="n">
        <v>2</v>
      </c>
      <c r="J836" s="14" t="n">
        <v>189</v>
      </c>
      <c r="K836" s="14" t="n">
        <v>7</v>
      </c>
      <c r="L836" s="14" t="n">
        <v>182</v>
      </c>
      <c r="M836" s="14" t="n">
        <v>368</v>
      </c>
      <c r="N836" s="16" t="n">
        <v>0.494565217391304</v>
      </c>
      <c r="O836" s="14"/>
      <c r="P836" s="14"/>
      <c r="Q836" s="22"/>
    </row>
    <row r="837" customFormat="false" ht="15" hidden="false" customHeight="false" outlineLevel="0" collapsed="false">
      <c r="A837" s="14" t="s">
        <v>477</v>
      </c>
      <c r="B837" s="14" t="n">
        <v>10</v>
      </c>
      <c r="C837" s="14" t="s">
        <v>206</v>
      </c>
      <c r="D837" s="14" t="n">
        <v>-75</v>
      </c>
      <c r="E837" s="14" t="s">
        <v>195</v>
      </c>
      <c r="F837" s="14" t="s">
        <v>198</v>
      </c>
      <c r="G837" s="15" t="n">
        <v>46102</v>
      </c>
      <c r="H837" s="14" t="n">
        <v>61</v>
      </c>
      <c r="I837" s="14" t="n">
        <v>3</v>
      </c>
      <c r="J837" s="14" t="n">
        <v>250</v>
      </c>
      <c r="K837" s="14" t="n">
        <v>10</v>
      </c>
      <c r="L837" s="14" t="n">
        <v>240</v>
      </c>
      <c r="M837" s="14" t="n">
        <v>368</v>
      </c>
      <c r="N837" s="16" t="n">
        <v>0.652173913043478</v>
      </c>
      <c r="O837" s="14"/>
      <c r="P837" s="14"/>
      <c r="Q837" s="22"/>
    </row>
    <row r="838" customFormat="false" ht="15" hidden="false" customHeight="false" outlineLevel="0" collapsed="false">
      <c r="A838" s="14" t="s">
        <v>477</v>
      </c>
      <c r="B838" s="14" t="n">
        <v>11</v>
      </c>
      <c r="C838" s="14" t="s">
        <v>246</v>
      </c>
      <c r="D838" s="14" t="n">
        <v>-60</v>
      </c>
      <c r="E838" s="14" t="s">
        <v>195</v>
      </c>
      <c r="F838" s="14" t="s">
        <v>198</v>
      </c>
      <c r="G838" s="15" t="n">
        <v>46102</v>
      </c>
      <c r="H838" s="14" t="n">
        <v>30</v>
      </c>
      <c r="I838" s="14" t="n">
        <v>12</v>
      </c>
      <c r="J838" s="14" t="n">
        <v>280</v>
      </c>
      <c r="K838" s="14" t="n">
        <v>22</v>
      </c>
      <c r="L838" s="14" t="n">
        <v>258</v>
      </c>
      <c r="M838" s="14" t="n">
        <v>368</v>
      </c>
      <c r="N838" s="16" t="n">
        <v>0.701086956521739</v>
      </c>
      <c r="O838" s="14"/>
      <c r="P838" s="14"/>
      <c r="Q838" s="22"/>
    </row>
    <row r="839" customFormat="false" ht="15" hidden="false" customHeight="false" outlineLevel="0" collapsed="false">
      <c r="A839" s="14" t="s">
        <v>477</v>
      </c>
      <c r="B839" s="14" t="n">
        <v>12</v>
      </c>
      <c r="C839" s="14" t="s">
        <v>254</v>
      </c>
      <c r="D839" s="14" t="n">
        <v>-45</v>
      </c>
      <c r="E839" s="14" t="s">
        <v>195</v>
      </c>
      <c r="F839" s="14" t="s">
        <v>198</v>
      </c>
      <c r="G839" s="15" t="n">
        <v>46102</v>
      </c>
      <c r="H839" s="14" t="n">
        <v>24</v>
      </c>
      <c r="I839" s="14" t="n">
        <v>16</v>
      </c>
      <c r="J839" s="14" t="n">
        <v>304</v>
      </c>
      <c r="K839" s="14" t="n">
        <v>38</v>
      </c>
      <c r="L839" s="14" t="n">
        <v>266</v>
      </c>
      <c r="M839" s="14" t="n">
        <v>368</v>
      </c>
      <c r="N839" s="16" t="n">
        <v>0.722826086956522</v>
      </c>
      <c r="O839" s="14"/>
      <c r="P839" s="14"/>
      <c r="Q839" s="22"/>
    </row>
    <row r="840" customFormat="false" ht="15" hidden="false" customHeight="false" outlineLevel="0" collapsed="false">
      <c r="A840" s="14" t="s">
        <v>477</v>
      </c>
      <c r="B840" s="14" t="n">
        <v>13</v>
      </c>
      <c r="C840" s="14" t="s">
        <v>403</v>
      </c>
      <c r="D840" s="14" t="n">
        <v>-30</v>
      </c>
      <c r="E840" s="14" t="s">
        <v>195</v>
      </c>
      <c r="F840" s="14" t="s">
        <v>198</v>
      </c>
      <c r="G840" s="15" t="n">
        <v>46102</v>
      </c>
      <c r="H840" s="14" t="n">
        <v>21</v>
      </c>
      <c r="I840" s="14" t="n">
        <v>29</v>
      </c>
      <c r="J840" s="14" t="n">
        <v>325</v>
      </c>
      <c r="K840" s="14" t="n">
        <v>67</v>
      </c>
      <c r="L840" s="14" t="n">
        <v>258</v>
      </c>
      <c r="M840" s="14" t="n">
        <v>368</v>
      </c>
      <c r="N840" s="16" t="n">
        <v>0.701086956521739</v>
      </c>
      <c r="O840" s="14"/>
      <c r="P840" s="14"/>
      <c r="Q840" s="22"/>
    </row>
    <row r="841" customFormat="false" ht="15" hidden="false" customHeight="false" outlineLevel="0" collapsed="false">
      <c r="A841" s="14" t="s">
        <v>477</v>
      </c>
      <c r="B841" s="14" t="n">
        <v>14</v>
      </c>
      <c r="C841" s="14" t="s">
        <v>529</v>
      </c>
      <c r="D841" s="14" t="n">
        <v>-15</v>
      </c>
      <c r="E841" s="14" t="s">
        <v>195</v>
      </c>
      <c r="F841" s="14" t="s">
        <v>198</v>
      </c>
      <c r="G841" s="15" t="n">
        <v>46102</v>
      </c>
      <c r="H841" s="14" t="n">
        <v>17</v>
      </c>
      <c r="I841" s="14" t="n">
        <v>51</v>
      </c>
      <c r="J841" s="14" t="n">
        <v>342</v>
      </c>
      <c r="K841" s="14" t="n">
        <v>118</v>
      </c>
      <c r="L841" s="14" t="n">
        <v>224</v>
      </c>
      <c r="M841" s="14" t="n">
        <v>368</v>
      </c>
      <c r="N841" s="16" t="n">
        <v>0.608695652173913</v>
      </c>
      <c r="O841" s="14"/>
      <c r="P841" s="14"/>
      <c r="Q841" s="22"/>
    </row>
    <row r="842" customFormat="false" ht="15" hidden="false" customHeight="false" outlineLevel="0" collapsed="false">
      <c r="A842" s="14" t="s">
        <v>477</v>
      </c>
      <c r="B842" s="14" t="n">
        <v>15</v>
      </c>
      <c r="C842" s="14" t="s">
        <v>463</v>
      </c>
      <c r="D842" s="14" t="n">
        <v>0</v>
      </c>
      <c r="E842" s="14" t="s">
        <v>195</v>
      </c>
      <c r="F842" s="14" t="s">
        <v>198</v>
      </c>
      <c r="G842" s="15" t="n">
        <v>46102</v>
      </c>
      <c r="H842" s="14" t="n">
        <v>5</v>
      </c>
      <c r="I842" s="14" t="n">
        <v>39</v>
      </c>
      <c r="J842" s="14" t="n">
        <v>347</v>
      </c>
      <c r="K842" s="14" t="n">
        <v>157</v>
      </c>
      <c r="L842" s="14" t="n">
        <v>190</v>
      </c>
      <c r="M842" s="14" t="n">
        <v>368</v>
      </c>
      <c r="N842" s="16" t="n">
        <v>0.516304347826087</v>
      </c>
      <c r="O842" s="14"/>
      <c r="P842" s="14"/>
      <c r="Q842" s="22"/>
    </row>
    <row r="843" customFormat="false" ht="15" hidden="false" customHeight="false" outlineLevel="0" collapsed="false">
      <c r="A843" s="14" t="s">
        <v>477</v>
      </c>
      <c r="B843" s="14" t="n">
        <v>16</v>
      </c>
      <c r="C843" s="14" t="s">
        <v>366</v>
      </c>
      <c r="D843" s="14" t="n">
        <v>15</v>
      </c>
      <c r="E843" s="14" t="s">
        <v>195</v>
      </c>
      <c r="F843" s="14" t="s">
        <v>198</v>
      </c>
      <c r="G843" s="15" t="n">
        <v>46102</v>
      </c>
      <c r="H843" s="14" t="n">
        <v>5</v>
      </c>
      <c r="I843" s="14" t="n">
        <v>30</v>
      </c>
      <c r="J843" s="14" t="n">
        <v>352</v>
      </c>
      <c r="K843" s="14" t="n">
        <v>187</v>
      </c>
      <c r="L843" s="14" t="n">
        <v>165</v>
      </c>
      <c r="M843" s="14" t="n">
        <v>368</v>
      </c>
      <c r="N843" s="16" t="n">
        <v>0.448369565217391</v>
      </c>
      <c r="O843" s="14"/>
      <c r="P843" s="14"/>
      <c r="Q843" s="22"/>
    </row>
    <row r="844" customFormat="false" ht="15" hidden="false" customHeight="false" outlineLevel="0" collapsed="false">
      <c r="A844" s="14" t="s">
        <v>477</v>
      </c>
      <c r="B844" s="14" t="n">
        <v>17</v>
      </c>
      <c r="C844" s="14" t="s">
        <v>326</v>
      </c>
      <c r="D844" s="14" t="n">
        <v>30</v>
      </c>
      <c r="E844" s="14" t="s">
        <v>195</v>
      </c>
      <c r="F844" s="14" t="s">
        <v>198</v>
      </c>
      <c r="G844" s="15" t="n">
        <v>46102</v>
      </c>
      <c r="H844" s="14" t="n">
        <v>9</v>
      </c>
      <c r="I844" s="14" t="n">
        <v>27</v>
      </c>
      <c r="J844" s="14" t="n">
        <v>361</v>
      </c>
      <c r="K844" s="14" t="n">
        <v>214</v>
      </c>
      <c r="L844" s="14" t="n">
        <v>147</v>
      </c>
      <c r="M844" s="14" t="n">
        <v>368</v>
      </c>
      <c r="N844" s="16" t="n">
        <v>0.39945652173913</v>
      </c>
      <c r="O844" s="14"/>
      <c r="P844" s="14"/>
      <c r="Q844" s="22"/>
    </row>
    <row r="845" customFormat="false" ht="15" hidden="false" customHeight="false" outlineLevel="0" collapsed="false">
      <c r="A845" s="14" t="s">
        <v>477</v>
      </c>
      <c r="B845" s="14" t="n">
        <v>18</v>
      </c>
      <c r="C845" s="14" t="s">
        <v>226</v>
      </c>
      <c r="D845" s="14" t="n">
        <v>45</v>
      </c>
      <c r="E845" s="14" t="s">
        <v>195</v>
      </c>
      <c r="F845" s="14" t="s">
        <v>198</v>
      </c>
      <c r="G845" s="15" t="n">
        <v>46102</v>
      </c>
      <c r="H845" s="14" t="n">
        <v>7</v>
      </c>
      <c r="I845" s="14" t="n">
        <v>27</v>
      </c>
      <c r="J845" s="14" t="n">
        <v>368</v>
      </c>
      <c r="K845" s="14" t="n">
        <v>241</v>
      </c>
      <c r="L845" s="14" t="n">
        <v>127</v>
      </c>
      <c r="M845" s="14" t="n">
        <v>368</v>
      </c>
      <c r="N845" s="16" t="n">
        <v>0.345108695652174</v>
      </c>
      <c r="O845" s="14"/>
      <c r="P845" s="14"/>
      <c r="Q845" s="22"/>
    </row>
    <row r="846" customFormat="false" ht="15" hidden="false" customHeight="false" outlineLevel="0" collapsed="false">
      <c r="A846" s="14" t="s">
        <v>483</v>
      </c>
      <c r="B846" s="14" t="n">
        <v>0</v>
      </c>
      <c r="C846" s="14" t="s">
        <v>204</v>
      </c>
      <c r="D846" s="14"/>
      <c r="E846" s="14" t="s">
        <v>313</v>
      </c>
      <c r="F846" s="14" t="s">
        <v>198</v>
      </c>
      <c r="G846" s="15" t="n">
        <v>45359</v>
      </c>
      <c r="H846" s="14" t="n">
        <v>17</v>
      </c>
      <c r="I846" s="14" t="n">
        <v>0</v>
      </c>
      <c r="J846" s="14" t="n">
        <v>17</v>
      </c>
      <c r="K846" s="14" t="n">
        <v>0</v>
      </c>
      <c r="L846" s="14" t="n">
        <v>17</v>
      </c>
      <c r="M846" s="14" t="n">
        <v>307</v>
      </c>
      <c r="N846" s="16" t="n">
        <v>0.0553745928338762</v>
      </c>
      <c r="O846" s="14"/>
      <c r="P846" s="14"/>
      <c r="Q846" s="22"/>
    </row>
    <row r="847" customFormat="false" ht="15" hidden="false" customHeight="false" outlineLevel="0" collapsed="false">
      <c r="A847" s="14" t="s">
        <v>483</v>
      </c>
      <c r="B847" s="14" t="n">
        <v>3</v>
      </c>
      <c r="C847" s="14" t="s">
        <v>525</v>
      </c>
      <c r="D847" s="14" t="n">
        <v>-180</v>
      </c>
      <c r="E847" s="14" t="s">
        <v>313</v>
      </c>
      <c r="F847" s="14" t="s">
        <v>198</v>
      </c>
      <c r="G847" s="15" t="n">
        <v>45359</v>
      </c>
      <c r="H847" s="14" t="n">
        <v>6</v>
      </c>
      <c r="I847" s="14" t="n">
        <v>1</v>
      </c>
      <c r="J847" s="14" t="n">
        <v>23</v>
      </c>
      <c r="K847" s="14" t="n">
        <v>1</v>
      </c>
      <c r="L847" s="14" t="n">
        <v>22</v>
      </c>
      <c r="M847" s="14" t="n">
        <v>307</v>
      </c>
      <c r="N847" s="16" t="n">
        <v>0.0716612377850163</v>
      </c>
      <c r="O847" s="14"/>
      <c r="P847" s="14"/>
      <c r="Q847" s="22"/>
    </row>
    <row r="848" customFormat="false" ht="15" hidden="false" customHeight="false" outlineLevel="0" collapsed="false">
      <c r="A848" s="14" t="s">
        <v>483</v>
      </c>
      <c r="B848" s="14" t="n">
        <v>4</v>
      </c>
      <c r="C848" s="14" t="s">
        <v>526</v>
      </c>
      <c r="D848" s="14" t="n">
        <v>-165</v>
      </c>
      <c r="E848" s="14" t="s">
        <v>313</v>
      </c>
      <c r="F848" s="14" t="s">
        <v>198</v>
      </c>
      <c r="G848" s="15" t="n">
        <v>45359</v>
      </c>
      <c r="H848" s="14" t="n">
        <v>17</v>
      </c>
      <c r="I848" s="14" t="n">
        <v>2</v>
      </c>
      <c r="J848" s="14" t="n">
        <v>40</v>
      </c>
      <c r="K848" s="14" t="n">
        <v>3</v>
      </c>
      <c r="L848" s="14" t="n">
        <v>37</v>
      </c>
      <c r="M848" s="14" t="n">
        <v>307</v>
      </c>
      <c r="N848" s="16" t="n">
        <v>0.120521172638437</v>
      </c>
      <c r="O848" s="14"/>
      <c r="P848" s="14"/>
      <c r="Q848" s="22"/>
    </row>
    <row r="849" customFormat="false" ht="15" hidden="false" customHeight="false" outlineLevel="0" collapsed="false">
      <c r="A849" s="14" t="s">
        <v>483</v>
      </c>
      <c r="B849" s="14" t="n">
        <v>5</v>
      </c>
      <c r="C849" s="14" t="s">
        <v>527</v>
      </c>
      <c r="D849" s="14" t="n">
        <v>-150</v>
      </c>
      <c r="E849" s="14" t="s">
        <v>313</v>
      </c>
      <c r="F849" s="14" t="s">
        <v>198</v>
      </c>
      <c r="G849" s="15" t="n">
        <v>45359</v>
      </c>
      <c r="H849" s="14" t="n">
        <v>23</v>
      </c>
      <c r="I849" s="14" t="n">
        <v>1</v>
      </c>
      <c r="J849" s="14" t="n">
        <v>63</v>
      </c>
      <c r="K849" s="14" t="n">
        <v>4</v>
      </c>
      <c r="L849" s="14" t="n">
        <v>59</v>
      </c>
      <c r="M849" s="14" t="n">
        <v>307</v>
      </c>
      <c r="N849" s="16" t="n">
        <v>0.192182410423453</v>
      </c>
      <c r="O849" s="14"/>
      <c r="P849" s="14"/>
      <c r="Q849" s="22"/>
    </row>
    <row r="850" customFormat="false" ht="15" hidden="false" customHeight="false" outlineLevel="0" collapsed="false">
      <c r="A850" s="14" t="s">
        <v>483</v>
      </c>
      <c r="B850" s="14" t="n">
        <v>6</v>
      </c>
      <c r="C850" s="14" t="s">
        <v>528</v>
      </c>
      <c r="D850" s="14" t="n">
        <v>-135</v>
      </c>
      <c r="E850" s="14" t="s">
        <v>313</v>
      </c>
      <c r="F850" s="14" t="s">
        <v>198</v>
      </c>
      <c r="G850" s="15" t="n">
        <v>45359</v>
      </c>
      <c r="H850" s="14" t="n">
        <v>26</v>
      </c>
      <c r="I850" s="14" t="n">
        <v>0</v>
      </c>
      <c r="J850" s="14" t="n">
        <v>89</v>
      </c>
      <c r="K850" s="14" t="n">
        <v>4</v>
      </c>
      <c r="L850" s="14" t="n">
        <v>85</v>
      </c>
      <c r="M850" s="14" t="n">
        <v>307</v>
      </c>
      <c r="N850" s="16" t="n">
        <v>0.276872964169381</v>
      </c>
      <c r="O850" s="14"/>
      <c r="P850" s="14"/>
      <c r="Q850" s="22"/>
    </row>
    <row r="851" customFormat="false" ht="15" hidden="false" customHeight="false" outlineLevel="0" collapsed="false">
      <c r="A851" s="14" t="s">
        <v>483</v>
      </c>
      <c r="B851" s="14" t="n">
        <v>7</v>
      </c>
      <c r="C851" s="14" t="s">
        <v>227</v>
      </c>
      <c r="D851" s="14" t="n">
        <v>-120</v>
      </c>
      <c r="E851" s="14" t="s">
        <v>313</v>
      </c>
      <c r="F851" s="14" t="s">
        <v>198</v>
      </c>
      <c r="G851" s="15" t="n">
        <v>45359</v>
      </c>
      <c r="H851" s="14" t="n">
        <v>29</v>
      </c>
      <c r="I851" s="14" t="n">
        <v>4</v>
      </c>
      <c r="J851" s="14" t="n">
        <v>118</v>
      </c>
      <c r="K851" s="14" t="n">
        <v>8</v>
      </c>
      <c r="L851" s="14" t="n">
        <v>110</v>
      </c>
      <c r="M851" s="14" t="n">
        <v>307</v>
      </c>
      <c r="N851" s="16" t="n">
        <v>0.358306188925081</v>
      </c>
      <c r="O851" s="14"/>
      <c r="P851" s="14"/>
      <c r="Q851" s="22"/>
    </row>
    <row r="852" customFormat="false" ht="15" hidden="false" customHeight="false" outlineLevel="0" collapsed="false">
      <c r="A852" s="14" t="s">
        <v>483</v>
      </c>
      <c r="B852" s="14" t="n">
        <v>8</v>
      </c>
      <c r="C852" s="14" t="s">
        <v>241</v>
      </c>
      <c r="D852" s="14" t="n">
        <v>-105</v>
      </c>
      <c r="E852" s="14" t="s">
        <v>313</v>
      </c>
      <c r="F852" s="14" t="s">
        <v>198</v>
      </c>
      <c r="G852" s="15" t="n">
        <v>45359</v>
      </c>
      <c r="H852" s="14" t="n">
        <v>34</v>
      </c>
      <c r="I852" s="14" t="n">
        <v>2</v>
      </c>
      <c r="J852" s="14" t="n">
        <v>152</v>
      </c>
      <c r="K852" s="14" t="n">
        <v>10</v>
      </c>
      <c r="L852" s="14" t="n">
        <v>142</v>
      </c>
      <c r="M852" s="14" t="n">
        <v>307</v>
      </c>
      <c r="N852" s="16" t="n">
        <v>0.462540716612378</v>
      </c>
      <c r="O852" s="14"/>
      <c r="P852" s="14"/>
      <c r="Q852" s="22"/>
    </row>
    <row r="853" customFormat="false" ht="15" hidden="false" customHeight="false" outlineLevel="0" collapsed="false">
      <c r="A853" s="14" t="s">
        <v>483</v>
      </c>
      <c r="B853" s="14" t="n">
        <v>9</v>
      </c>
      <c r="C853" s="14" t="s">
        <v>279</v>
      </c>
      <c r="D853" s="14" t="n">
        <v>-90</v>
      </c>
      <c r="E853" s="14" t="s">
        <v>313</v>
      </c>
      <c r="F853" s="14" t="s">
        <v>198</v>
      </c>
      <c r="G853" s="15" t="n">
        <v>45359</v>
      </c>
      <c r="H853" s="14" t="n">
        <v>38</v>
      </c>
      <c r="I853" s="14" t="n">
        <v>2</v>
      </c>
      <c r="J853" s="14" t="n">
        <v>190</v>
      </c>
      <c r="K853" s="14" t="n">
        <v>12</v>
      </c>
      <c r="L853" s="14" t="n">
        <v>178</v>
      </c>
      <c r="M853" s="14" t="n">
        <v>307</v>
      </c>
      <c r="N853" s="16" t="n">
        <v>0.579804560260586</v>
      </c>
      <c r="O853" s="14"/>
      <c r="P853" s="14"/>
      <c r="Q853" s="22"/>
    </row>
    <row r="854" customFormat="false" ht="15" hidden="false" customHeight="false" outlineLevel="0" collapsed="false">
      <c r="A854" s="14" t="s">
        <v>483</v>
      </c>
      <c r="B854" s="14" t="n">
        <v>10</v>
      </c>
      <c r="C854" s="14" t="s">
        <v>206</v>
      </c>
      <c r="D854" s="14" t="n">
        <v>-75</v>
      </c>
      <c r="E854" s="14" t="s">
        <v>313</v>
      </c>
      <c r="F854" s="14" t="s">
        <v>198</v>
      </c>
      <c r="G854" s="15" t="n">
        <v>45359</v>
      </c>
      <c r="H854" s="14" t="n">
        <v>27</v>
      </c>
      <c r="I854" s="14" t="n">
        <v>12</v>
      </c>
      <c r="J854" s="14" t="n">
        <v>217</v>
      </c>
      <c r="K854" s="14" t="n">
        <v>24</v>
      </c>
      <c r="L854" s="14" t="n">
        <v>193</v>
      </c>
      <c r="M854" s="14" t="n">
        <v>307</v>
      </c>
      <c r="N854" s="16" t="n">
        <v>0.628664495114007</v>
      </c>
      <c r="O854" s="14"/>
      <c r="P854" s="14"/>
      <c r="Q854" s="22"/>
    </row>
    <row r="855" customFormat="false" ht="15" hidden="false" customHeight="false" outlineLevel="0" collapsed="false">
      <c r="A855" s="14" t="s">
        <v>483</v>
      </c>
      <c r="B855" s="14" t="n">
        <v>11</v>
      </c>
      <c r="C855" s="14" t="s">
        <v>246</v>
      </c>
      <c r="D855" s="14" t="n">
        <v>-60</v>
      </c>
      <c r="E855" s="14" t="s">
        <v>313</v>
      </c>
      <c r="F855" s="14" t="s">
        <v>198</v>
      </c>
      <c r="G855" s="15" t="n">
        <v>45359</v>
      </c>
      <c r="H855" s="14" t="n">
        <v>23</v>
      </c>
      <c r="I855" s="14" t="n">
        <v>7</v>
      </c>
      <c r="J855" s="14" t="n">
        <v>240</v>
      </c>
      <c r="K855" s="14" t="n">
        <v>31</v>
      </c>
      <c r="L855" s="14" t="n">
        <v>209</v>
      </c>
      <c r="M855" s="14" t="n">
        <v>307</v>
      </c>
      <c r="N855" s="16" t="n">
        <v>0.680781758957655</v>
      </c>
      <c r="O855" s="14"/>
      <c r="P855" s="14"/>
      <c r="Q855" s="22"/>
    </row>
    <row r="856" customFormat="false" ht="15" hidden="false" customHeight="false" outlineLevel="0" collapsed="false">
      <c r="A856" s="14" t="s">
        <v>483</v>
      </c>
      <c r="B856" s="14" t="n">
        <v>12</v>
      </c>
      <c r="C856" s="14" t="s">
        <v>254</v>
      </c>
      <c r="D856" s="14" t="n">
        <v>-45</v>
      </c>
      <c r="E856" s="14" t="s">
        <v>313</v>
      </c>
      <c r="F856" s="14" t="s">
        <v>198</v>
      </c>
      <c r="G856" s="15" t="n">
        <v>45359</v>
      </c>
      <c r="H856" s="14" t="n">
        <v>29</v>
      </c>
      <c r="I856" s="14" t="n">
        <v>28</v>
      </c>
      <c r="J856" s="14" t="n">
        <v>269</v>
      </c>
      <c r="K856" s="14" t="n">
        <v>59</v>
      </c>
      <c r="L856" s="14" t="n">
        <v>210</v>
      </c>
      <c r="M856" s="14" t="n">
        <v>307</v>
      </c>
      <c r="N856" s="16" t="n">
        <v>0.684039087947883</v>
      </c>
      <c r="O856" s="14"/>
      <c r="P856" s="14"/>
      <c r="Q856" s="22"/>
    </row>
    <row r="857" customFormat="false" ht="15" hidden="false" customHeight="false" outlineLevel="0" collapsed="false">
      <c r="A857" s="14" t="s">
        <v>483</v>
      </c>
      <c r="B857" s="14" t="n">
        <v>13</v>
      </c>
      <c r="C857" s="14" t="s">
        <v>403</v>
      </c>
      <c r="D857" s="14" t="n">
        <v>-30</v>
      </c>
      <c r="E857" s="14" t="s">
        <v>313</v>
      </c>
      <c r="F857" s="14" t="s">
        <v>198</v>
      </c>
      <c r="G857" s="15" t="n">
        <v>45359</v>
      </c>
      <c r="H857" s="14" t="n">
        <v>10</v>
      </c>
      <c r="I857" s="14" t="n">
        <v>23</v>
      </c>
      <c r="J857" s="14" t="n">
        <v>279</v>
      </c>
      <c r="K857" s="14" t="n">
        <v>82</v>
      </c>
      <c r="L857" s="14" t="n">
        <v>197</v>
      </c>
      <c r="M857" s="14" t="n">
        <v>307</v>
      </c>
      <c r="N857" s="16" t="n">
        <v>0.641693811074919</v>
      </c>
      <c r="O857" s="14"/>
      <c r="P857" s="14"/>
      <c r="Q857" s="22"/>
    </row>
    <row r="858" customFormat="false" ht="15" hidden="false" customHeight="false" outlineLevel="0" collapsed="false">
      <c r="A858" s="14" t="s">
        <v>483</v>
      </c>
      <c r="B858" s="14" t="n">
        <v>14</v>
      </c>
      <c r="C858" s="14" t="s">
        <v>529</v>
      </c>
      <c r="D858" s="14" t="n">
        <v>-15</v>
      </c>
      <c r="E858" s="14" t="s">
        <v>313</v>
      </c>
      <c r="F858" s="14" t="s">
        <v>198</v>
      </c>
      <c r="G858" s="15" t="n">
        <v>45359</v>
      </c>
      <c r="H858" s="14" t="n">
        <v>11</v>
      </c>
      <c r="I858" s="14" t="n">
        <v>28</v>
      </c>
      <c r="J858" s="14" t="n">
        <v>290</v>
      </c>
      <c r="K858" s="14" t="n">
        <v>110</v>
      </c>
      <c r="L858" s="14" t="n">
        <v>180</v>
      </c>
      <c r="M858" s="14" t="n">
        <v>307</v>
      </c>
      <c r="N858" s="16" t="n">
        <v>0.586319218241042</v>
      </c>
      <c r="O858" s="14"/>
      <c r="P858" s="14"/>
      <c r="Q858" s="22"/>
    </row>
    <row r="859" customFormat="false" ht="15" hidden="false" customHeight="false" outlineLevel="0" collapsed="false">
      <c r="A859" s="14" t="s">
        <v>483</v>
      </c>
      <c r="B859" s="14" t="n">
        <v>15</v>
      </c>
      <c r="C859" s="14" t="s">
        <v>463</v>
      </c>
      <c r="D859" s="14" t="n">
        <v>0</v>
      </c>
      <c r="E859" s="14" t="s">
        <v>313</v>
      </c>
      <c r="F859" s="14" t="s">
        <v>198</v>
      </c>
      <c r="G859" s="15" t="n">
        <v>45359</v>
      </c>
      <c r="H859" s="14" t="n">
        <v>7</v>
      </c>
      <c r="I859" s="14" t="n">
        <v>29</v>
      </c>
      <c r="J859" s="14" t="n">
        <v>297</v>
      </c>
      <c r="K859" s="14" t="n">
        <v>139</v>
      </c>
      <c r="L859" s="14" t="n">
        <v>158</v>
      </c>
      <c r="M859" s="14" t="n">
        <v>307</v>
      </c>
      <c r="N859" s="16" t="n">
        <v>0.514657980456026</v>
      </c>
      <c r="O859" s="14"/>
      <c r="P859" s="14"/>
      <c r="Q859" s="22"/>
    </row>
    <row r="860" customFormat="false" ht="15" hidden="false" customHeight="false" outlineLevel="0" collapsed="false">
      <c r="A860" s="14" t="s">
        <v>483</v>
      </c>
      <c r="B860" s="14" t="n">
        <v>16</v>
      </c>
      <c r="C860" s="14" t="s">
        <v>366</v>
      </c>
      <c r="D860" s="14" t="n">
        <v>15</v>
      </c>
      <c r="E860" s="14" t="s">
        <v>313</v>
      </c>
      <c r="F860" s="14" t="s">
        <v>198</v>
      </c>
      <c r="G860" s="15" t="n">
        <v>45359</v>
      </c>
      <c r="H860" s="14" t="n">
        <v>8</v>
      </c>
      <c r="I860" s="14" t="n">
        <v>43</v>
      </c>
      <c r="J860" s="14" t="n">
        <v>305</v>
      </c>
      <c r="K860" s="14" t="n">
        <v>182</v>
      </c>
      <c r="L860" s="14" t="n">
        <v>123</v>
      </c>
      <c r="M860" s="14" t="n">
        <v>307</v>
      </c>
      <c r="N860" s="16" t="n">
        <v>0.400651465798046</v>
      </c>
      <c r="O860" s="14"/>
      <c r="P860" s="14"/>
      <c r="Q860" s="22"/>
    </row>
    <row r="861" customFormat="false" ht="15" hidden="false" customHeight="false" outlineLevel="0" collapsed="false">
      <c r="A861" s="14" t="s">
        <v>483</v>
      </c>
      <c r="B861" s="14" t="n">
        <v>17</v>
      </c>
      <c r="C861" s="14" t="s">
        <v>326</v>
      </c>
      <c r="D861" s="14" t="n">
        <v>30</v>
      </c>
      <c r="E861" s="14" t="s">
        <v>313</v>
      </c>
      <c r="F861" s="14" t="s">
        <v>198</v>
      </c>
      <c r="G861" s="15" t="n">
        <v>45359</v>
      </c>
      <c r="H861" s="14" t="n">
        <v>2</v>
      </c>
      <c r="I861" s="14" t="n">
        <v>45</v>
      </c>
      <c r="J861" s="14" t="n">
        <v>307</v>
      </c>
      <c r="K861" s="14" t="n">
        <v>227</v>
      </c>
      <c r="L861" s="14" t="n">
        <v>80</v>
      </c>
      <c r="M861" s="14" t="n">
        <v>307</v>
      </c>
      <c r="N861" s="16" t="n">
        <v>0.260586319218241</v>
      </c>
      <c r="O861" s="14"/>
      <c r="P861" s="14"/>
      <c r="Q861" s="22"/>
    </row>
    <row r="862" customFormat="false" ht="15" hidden="false" customHeight="false" outlineLevel="0" collapsed="false">
      <c r="A862" s="14" t="s">
        <v>483</v>
      </c>
      <c r="B862" s="14" t="n">
        <v>18</v>
      </c>
      <c r="C862" s="14" t="s">
        <v>226</v>
      </c>
      <c r="D862" s="14" t="n">
        <v>45</v>
      </c>
      <c r="E862" s="14" t="s">
        <v>313</v>
      </c>
      <c r="F862" s="14" t="s">
        <v>198</v>
      </c>
      <c r="G862" s="15" t="n">
        <v>45359</v>
      </c>
      <c r="H862" s="14" t="n">
        <v>0</v>
      </c>
      <c r="I862" s="14" t="n">
        <v>0</v>
      </c>
      <c r="J862" s="14" t="n">
        <v>307</v>
      </c>
      <c r="K862" s="14" t="n">
        <v>227</v>
      </c>
      <c r="L862" s="14" t="n">
        <v>80</v>
      </c>
      <c r="M862" s="14" t="n">
        <v>307</v>
      </c>
      <c r="N862" s="16" t="n">
        <v>0.260586319218241</v>
      </c>
      <c r="O862" s="14"/>
      <c r="P862" s="14"/>
      <c r="Q862" s="22"/>
    </row>
    <row r="863" customFormat="false" ht="15" hidden="false" customHeight="false" outlineLevel="0" collapsed="false">
      <c r="A863" s="14" t="s">
        <v>490</v>
      </c>
      <c r="B863" s="14" t="n">
        <v>0</v>
      </c>
      <c r="C863" s="14" t="s">
        <v>204</v>
      </c>
      <c r="D863" s="14"/>
      <c r="E863" s="14" t="s">
        <v>313</v>
      </c>
      <c r="F863" s="14" t="s">
        <v>198</v>
      </c>
      <c r="G863" s="15" t="n">
        <v>45368</v>
      </c>
      <c r="H863" s="14" t="n">
        <v>76</v>
      </c>
      <c r="I863" s="14" t="n">
        <v>0</v>
      </c>
      <c r="J863" s="14" t="n">
        <v>76</v>
      </c>
      <c r="K863" s="14" t="n">
        <v>0</v>
      </c>
      <c r="L863" s="14" t="n">
        <v>76</v>
      </c>
      <c r="M863" s="14" t="n">
        <v>663</v>
      </c>
      <c r="N863" s="16" t="n">
        <v>0.114630467571644</v>
      </c>
      <c r="O863" s="14"/>
      <c r="P863" s="14"/>
      <c r="Q863" s="22"/>
    </row>
    <row r="864" customFormat="false" ht="15" hidden="false" customHeight="false" outlineLevel="0" collapsed="false">
      <c r="A864" s="14" t="s">
        <v>490</v>
      </c>
      <c r="B864" s="14" t="n">
        <v>3</v>
      </c>
      <c r="C864" s="14" t="s">
        <v>525</v>
      </c>
      <c r="D864" s="14" t="n">
        <v>-180</v>
      </c>
      <c r="E864" s="14" t="s">
        <v>313</v>
      </c>
      <c r="F864" s="14" t="s">
        <v>198</v>
      </c>
      <c r="G864" s="15" t="n">
        <v>45368</v>
      </c>
      <c r="H864" s="14" t="n">
        <v>17</v>
      </c>
      <c r="I864" s="14" t="n">
        <v>2</v>
      </c>
      <c r="J864" s="14" t="n">
        <v>93</v>
      </c>
      <c r="K864" s="14" t="n">
        <v>2</v>
      </c>
      <c r="L864" s="14" t="n">
        <v>91</v>
      </c>
      <c r="M864" s="14" t="n">
        <v>663</v>
      </c>
      <c r="N864" s="16" t="n">
        <v>0.137254901960784</v>
      </c>
      <c r="O864" s="14"/>
      <c r="P864" s="14"/>
      <c r="Q864" s="22"/>
    </row>
    <row r="865" customFormat="false" ht="15" hidden="false" customHeight="false" outlineLevel="0" collapsed="false">
      <c r="A865" s="14" t="s">
        <v>490</v>
      </c>
      <c r="B865" s="14" t="n">
        <v>4</v>
      </c>
      <c r="C865" s="14" t="s">
        <v>526</v>
      </c>
      <c r="D865" s="14" t="n">
        <v>-165</v>
      </c>
      <c r="E865" s="14" t="s">
        <v>313</v>
      </c>
      <c r="F865" s="14" t="s">
        <v>198</v>
      </c>
      <c r="G865" s="15" t="n">
        <v>45368</v>
      </c>
      <c r="H865" s="14" t="n">
        <v>33</v>
      </c>
      <c r="I865" s="14" t="n">
        <v>7</v>
      </c>
      <c r="J865" s="14" t="n">
        <v>126</v>
      </c>
      <c r="K865" s="14" t="n">
        <v>9</v>
      </c>
      <c r="L865" s="14" t="n">
        <v>117</v>
      </c>
      <c r="M865" s="14" t="n">
        <v>663</v>
      </c>
      <c r="N865" s="16" t="n">
        <v>0.176470588235294</v>
      </c>
      <c r="O865" s="14"/>
      <c r="P865" s="14"/>
      <c r="Q865" s="22"/>
    </row>
    <row r="866" customFormat="false" ht="15" hidden="false" customHeight="false" outlineLevel="0" collapsed="false">
      <c r="A866" s="14" t="s">
        <v>490</v>
      </c>
      <c r="B866" s="14" t="n">
        <v>5</v>
      </c>
      <c r="C866" s="14" t="s">
        <v>527</v>
      </c>
      <c r="D866" s="14" t="n">
        <v>-150</v>
      </c>
      <c r="E866" s="14" t="s">
        <v>313</v>
      </c>
      <c r="F866" s="14" t="s">
        <v>198</v>
      </c>
      <c r="G866" s="15" t="n">
        <v>45368</v>
      </c>
      <c r="H866" s="14" t="n">
        <v>57</v>
      </c>
      <c r="I866" s="14" t="n">
        <v>7</v>
      </c>
      <c r="J866" s="14" t="n">
        <v>183</v>
      </c>
      <c r="K866" s="14" t="n">
        <v>16</v>
      </c>
      <c r="L866" s="14" t="n">
        <v>167</v>
      </c>
      <c r="M866" s="14" t="n">
        <v>663</v>
      </c>
      <c r="N866" s="16" t="n">
        <v>0.251885369532428</v>
      </c>
      <c r="O866" s="14"/>
      <c r="P866" s="14"/>
      <c r="Q866" s="22"/>
    </row>
    <row r="867" customFormat="false" ht="15" hidden="false" customHeight="false" outlineLevel="0" collapsed="false">
      <c r="A867" s="14" t="s">
        <v>490</v>
      </c>
      <c r="B867" s="14" t="n">
        <v>6</v>
      </c>
      <c r="C867" s="14" t="s">
        <v>528</v>
      </c>
      <c r="D867" s="14" t="n">
        <v>-135</v>
      </c>
      <c r="E867" s="14" t="s">
        <v>313</v>
      </c>
      <c r="F867" s="14" t="s">
        <v>198</v>
      </c>
      <c r="G867" s="15" t="n">
        <v>45368</v>
      </c>
      <c r="H867" s="14" t="n">
        <v>38</v>
      </c>
      <c r="I867" s="14" t="n">
        <v>16</v>
      </c>
      <c r="J867" s="14" t="n">
        <v>221</v>
      </c>
      <c r="K867" s="14" t="n">
        <v>32</v>
      </c>
      <c r="L867" s="14" t="n">
        <v>189</v>
      </c>
      <c r="M867" s="14" t="n">
        <v>663</v>
      </c>
      <c r="N867" s="16" t="n">
        <v>0.285067873303167</v>
      </c>
      <c r="O867" s="14"/>
      <c r="P867" s="14"/>
      <c r="Q867" s="22"/>
    </row>
    <row r="868" customFormat="false" ht="15" hidden="false" customHeight="false" outlineLevel="0" collapsed="false">
      <c r="A868" s="14" t="s">
        <v>490</v>
      </c>
      <c r="B868" s="14" t="n">
        <v>7</v>
      </c>
      <c r="C868" s="14" t="s">
        <v>227</v>
      </c>
      <c r="D868" s="14" t="n">
        <v>-120</v>
      </c>
      <c r="E868" s="14" t="s">
        <v>313</v>
      </c>
      <c r="F868" s="14" t="s">
        <v>198</v>
      </c>
      <c r="G868" s="15" t="n">
        <v>45368</v>
      </c>
      <c r="H868" s="14" t="n">
        <v>65</v>
      </c>
      <c r="I868" s="14" t="n">
        <v>11</v>
      </c>
      <c r="J868" s="14" t="n">
        <v>286</v>
      </c>
      <c r="K868" s="14" t="n">
        <v>43</v>
      </c>
      <c r="L868" s="14" t="n">
        <v>243</v>
      </c>
      <c r="M868" s="14" t="n">
        <v>663</v>
      </c>
      <c r="N868" s="16" t="n">
        <v>0.366515837104072</v>
      </c>
      <c r="O868" s="14"/>
      <c r="P868" s="14"/>
      <c r="Q868" s="22"/>
    </row>
    <row r="869" customFormat="false" ht="15" hidden="false" customHeight="false" outlineLevel="0" collapsed="false">
      <c r="A869" s="14" t="s">
        <v>490</v>
      </c>
      <c r="B869" s="14" t="n">
        <v>8</v>
      </c>
      <c r="C869" s="14" t="s">
        <v>241</v>
      </c>
      <c r="D869" s="14" t="n">
        <v>-105</v>
      </c>
      <c r="E869" s="14" t="s">
        <v>313</v>
      </c>
      <c r="F869" s="14" t="s">
        <v>198</v>
      </c>
      <c r="G869" s="15" t="n">
        <v>45368</v>
      </c>
      <c r="H869" s="14" t="n">
        <v>54</v>
      </c>
      <c r="I869" s="14" t="n">
        <v>9</v>
      </c>
      <c r="J869" s="14" t="n">
        <v>340</v>
      </c>
      <c r="K869" s="14" t="n">
        <v>52</v>
      </c>
      <c r="L869" s="14" t="n">
        <v>288</v>
      </c>
      <c r="M869" s="14" t="n">
        <v>663</v>
      </c>
      <c r="N869" s="16" t="n">
        <v>0.434389140271493</v>
      </c>
      <c r="O869" s="14"/>
      <c r="P869" s="14"/>
      <c r="Q869" s="22"/>
    </row>
    <row r="870" customFormat="false" ht="15" hidden="false" customHeight="false" outlineLevel="0" collapsed="false">
      <c r="A870" s="14" t="s">
        <v>490</v>
      </c>
      <c r="B870" s="14" t="n">
        <v>9</v>
      </c>
      <c r="C870" s="14" t="s">
        <v>279</v>
      </c>
      <c r="D870" s="14" t="n">
        <v>-90</v>
      </c>
      <c r="E870" s="14" t="s">
        <v>313</v>
      </c>
      <c r="F870" s="14" t="s">
        <v>198</v>
      </c>
      <c r="G870" s="15" t="n">
        <v>45368</v>
      </c>
      <c r="H870" s="14" t="n">
        <v>71</v>
      </c>
      <c r="I870" s="14" t="n">
        <v>26</v>
      </c>
      <c r="J870" s="14" t="n">
        <v>411</v>
      </c>
      <c r="K870" s="14" t="n">
        <v>78</v>
      </c>
      <c r="L870" s="14" t="n">
        <v>333</v>
      </c>
      <c r="M870" s="14" t="n">
        <v>663</v>
      </c>
      <c r="N870" s="16" t="n">
        <v>0.502262443438914</v>
      </c>
      <c r="O870" s="14"/>
      <c r="P870" s="14"/>
      <c r="Q870" s="22"/>
    </row>
    <row r="871" customFormat="false" ht="15" hidden="false" customHeight="false" outlineLevel="0" collapsed="false">
      <c r="A871" s="14" t="s">
        <v>490</v>
      </c>
      <c r="B871" s="14" t="n">
        <v>10</v>
      </c>
      <c r="C871" s="14" t="s">
        <v>206</v>
      </c>
      <c r="D871" s="14" t="n">
        <v>-75</v>
      </c>
      <c r="E871" s="14" t="s">
        <v>313</v>
      </c>
      <c r="F871" s="14" t="s">
        <v>198</v>
      </c>
      <c r="G871" s="15" t="n">
        <v>45368</v>
      </c>
      <c r="H871" s="14" t="n">
        <v>52</v>
      </c>
      <c r="I871" s="14" t="n">
        <v>15</v>
      </c>
      <c r="J871" s="14" t="n">
        <v>463</v>
      </c>
      <c r="K871" s="14" t="n">
        <v>93</v>
      </c>
      <c r="L871" s="14" t="n">
        <v>370</v>
      </c>
      <c r="M871" s="14" t="n">
        <v>663</v>
      </c>
      <c r="N871" s="16" t="n">
        <v>0.558069381598793</v>
      </c>
      <c r="O871" s="14"/>
      <c r="P871" s="14"/>
      <c r="Q871" s="22"/>
    </row>
    <row r="872" customFormat="false" ht="15" hidden="false" customHeight="false" outlineLevel="0" collapsed="false">
      <c r="A872" s="14" t="s">
        <v>490</v>
      </c>
      <c r="B872" s="14" t="n">
        <v>11</v>
      </c>
      <c r="C872" s="14" t="s">
        <v>246</v>
      </c>
      <c r="D872" s="14" t="n">
        <v>-60</v>
      </c>
      <c r="E872" s="14" t="s">
        <v>313</v>
      </c>
      <c r="F872" s="14" t="s">
        <v>198</v>
      </c>
      <c r="G872" s="15" t="n">
        <v>45368</v>
      </c>
      <c r="H872" s="14" t="n">
        <v>63</v>
      </c>
      <c r="I872" s="14" t="n">
        <v>22</v>
      </c>
      <c r="J872" s="14" t="n">
        <v>526</v>
      </c>
      <c r="K872" s="14" t="n">
        <v>115</v>
      </c>
      <c r="L872" s="14" t="n">
        <v>411</v>
      </c>
      <c r="M872" s="14" t="n">
        <v>663</v>
      </c>
      <c r="N872" s="16" t="n">
        <v>0.619909502262444</v>
      </c>
      <c r="O872" s="14"/>
      <c r="P872" s="14"/>
      <c r="Q872" s="22"/>
    </row>
    <row r="873" customFormat="false" ht="15" hidden="false" customHeight="false" outlineLevel="0" collapsed="false">
      <c r="A873" s="14" t="s">
        <v>490</v>
      </c>
      <c r="B873" s="14" t="n">
        <v>12</v>
      </c>
      <c r="C873" s="14" t="s">
        <v>254</v>
      </c>
      <c r="D873" s="14" t="n">
        <v>-45</v>
      </c>
      <c r="E873" s="14" t="s">
        <v>313</v>
      </c>
      <c r="F873" s="14" t="s">
        <v>198</v>
      </c>
      <c r="G873" s="15" t="n">
        <v>45368</v>
      </c>
      <c r="H873" s="14" t="n">
        <v>34</v>
      </c>
      <c r="I873" s="14" t="n">
        <v>18</v>
      </c>
      <c r="J873" s="14" t="n">
        <v>560</v>
      </c>
      <c r="K873" s="14" t="n">
        <v>133</v>
      </c>
      <c r="L873" s="14" t="n">
        <v>427</v>
      </c>
      <c r="M873" s="14" t="n">
        <v>663</v>
      </c>
      <c r="N873" s="16" t="n">
        <v>0.644042232277526</v>
      </c>
      <c r="O873" s="14"/>
      <c r="P873" s="14"/>
      <c r="Q873" s="22"/>
    </row>
    <row r="874" customFormat="false" ht="15" hidden="false" customHeight="false" outlineLevel="0" collapsed="false">
      <c r="A874" s="14" t="s">
        <v>490</v>
      </c>
      <c r="B874" s="14" t="n">
        <v>13</v>
      </c>
      <c r="C874" s="14" t="s">
        <v>403</v>
      </c>
      <c r="D874" s="14" t="n">
        <v>-30</v>
      </c>
      <c r="E874" s="14" t="s">
        <v>313</v>
      </c>
      <c r="F874" s="14" t="s">
        <v>198</v>
      </c>
      <c r="G874" s="15" t="n">
        <v>45368</v>
      </c>
      <c r="H874" s="14" t="n">
        <v>38</v>
      </c>
      <c r="I874" s="14" t="n">
        <v>27</v>
      </c>
      <c r="J874" s="14" t="n">
        <v>598</v>
      </c>
      <c r="K874" s="14" t="n">
        <v>160</v>
      </c>
      <c r="L874" s="14" t="n">
        <v>438</v>
      </c>
      <c r="M874" s="14" t="n">
        <v>663</v>
      </c>
      <c r="N874" s="16" t="n">
        <v>0.660633484162896</v>
      </c>
      <c r="O874" s="14"/>
      <c r="P874" s="14"/>
      <c r="Q874" s="22"/>
    </row>
    <row r="875" customFormat="false" ht="15" hidden="false" customHeight="false" outlineLevel="0" collapsed="false">
      <c r="A875" s="14" t="s">
        <v>490</v>
      </c>
      <c r="B875" s="14" t="n">
        <v>14</v>
      </c>
      <c r="C875" s="14" t="s">
        <v>529</v>
      </c>
      <c r="D875" s="14" t="n">
        <v>-15</v>
      </c>
      <c r="E875" s="14" t="s">
        <v>313</v>
      </c>
      <c r="F875" s="14" t="s">
        <v>198</v>
      </c>
      <c r="G875" s="15" t="n">
        <v>45368</v>
      </c>
      <c r="H875" s="14" t="n">
        <v>14</v>
      </c>
      <c r="I875" s="14" t="n">
        <v>62</v>
      </c>
      <c r="J875" s="14" t="n">
        <v>612</v>
      </c>
      <c r="K875" s="14" t="n">
        <v>222</v>
      </c>
      <c r="L875" s="14" t="n">
        <v>390</v>
      </c>
      <c r="M875" s="14" t="n">
        <v>663</v>
      </c>
      <c r="N875" s="16" t="n">
        <v>0.588235294117647</v>
      </c>
      <c r="O875" s="14"/>
      <c r="P875" s="14"/>
      <c r="Q875" s="22"/>
    </row>
    <row r="876" customFormat="false" ht="15" hidden="false" customHeight="false" outlineLevel="0" collapsed="false">
      <c r="A876" s="14" t="s">
        <v>490</v>
      </c>
      <c r="B876" s="14" t="n">
        <v>15</v>
      </c>
      <c r="C876" s="14" t="s">
        <v>463</v>
      </c>
      <c r="D876" s="14" t="n">
        <v>0</v>
      </c>
      <c r="E876" s="14" t="s">
        <v>313</v>
      </c>
      <c r="F876" s="14" t="s">
        <v>198</v>
      </c>
      <c r="G876" s="15" t="n">
        <v>45368</v>
      </c>
      <c r="H876" s="14" t="n">
        <v>17</v>
      </c>
      <c r="I876" s="14" t="n">
        <v>40</v>
      </c>
      <c r="J876" s="14" t="n">
        <v>629</v>
      </c>
      <c r="K876" s="14" t="n">
        <v>262</v>
      </c>
      <c r="L876" s="14" t="n">
        <v>367</v>
      </c>
      <c r="M876" s="14" t="n">
        <v>663</v>
      </c>
      <c r="N876" s="16" t="n">
        <v>0.553544494720965</v>
      </c>
      <c r="O876" s="14"/>
      <c r="P876" s="14"/>
      <c r="Q876" s="22"/>
    </row>
    <row r="877" customFormat="false" ht="15" hidden="false" customHeight="false" outlineLevel="0" collapsed="false">
      <c r="A877" s="14" t="s">
        <v>490</v>
      </c>
      <c r="B877" s="14" t="n">
        <v>16</v>
      </c>
      <c r="C877" s="14" t="s">
        <v>366</v>
      </c>
      <c r="D877" s="14" t="n">
        <v>15</v>
      </c>
      <c r="E877" s="14" t="s">
        <v>313</v>
      </c>
      <c r="F877" s="14" t="s">
        <v>198</v>
      </c>
      <c r="G877" s="15" t="n">
        <v>45368</v>
      </c>
      <c r="H877" s="14" t="n">
        <v>12</v>
      </c>
      <c r="I877" s="14" t="n">
        <v>72</v>
      </c>
      <c r="J877" s="14" t="n">
        <v>641</v>
      </c>
      <c r="K877" s="14" t="n">
        <v>334</v>
      </c>
      <c r="L877" s="14" t="n">
        <v>307</v>
      </c>
      <c r="M877" s="14" t="n">
        <v>663</v>
      </c>
      <c r="N877" s="16" t="n">
        <v>0.463046757164404</v>
      </c>
      <c r="O877" s="14"/>
      <c r="P877" s="14"/>
      <c r="Q877" s="22"/>
    </row>
    <row r="878" customFormat="false" ht="15" hidden="false" customHeight="false" outlineLevel="0" collapsed="false">
      <c r="A878" s="14" t="s">
        <v>490</v>
      </c>
      <c r="B878" s="14" t="n">
        <v>17</v>
      </c>
      <c r="C878" s="14" t="s">
        <v>326</v>
      </c>
      <c r="D878" s="14" t="n">
        <v>30</v>
      </c>
      <c r="E878" s="14" t="s">
        <v>313</v>
      </c>
      <c r="F878" s="14" t="s">
        <v>198</v>
      </c>
      <c r="G878" s="15" t="n">
        <v>45368</v>
      </c>
      <c r="H878" s="14" t="n">
        <v>11</v>
      </c>
      <c r="I878" s="14" t="n">
        <v>52</v>
      </c>
      <c r="J878" s="14" t="n">
        <v>652</v>
      </c>
      <c r="K878" s="14" t="n">
        <v>386</v>
      </c>
      <c r="L878" s="14" t="n">
        <v>266</v>
      </c>
      <c r="M878" s="14" t="n">
        <v>663</v>
      </c>
      <c r="N878" s="16" t="n">
        <v>0.401206636500754</v>
      </c>
      <c r="O878" s="14"/>
      <c r="P878" s="14"/>
      <c r="Q878" s="22"/>
    </row>
    <row r="879" customFormat="false" ht="15" hidden="false" customHeight="false" outlineLevel="0" collapsed="false">
      <c r="A879" s="14" t="s">
        <v>490</v>
      </c>
      <c r="B879" s="14" t="n">
        <v>18</v>
      </c>
      <c r="C879" s="14" t="s">
        <v>226</v>
      </c>
      <c r="D879" s="14" t="n">
        <v>45</v>
      </c>
      <c r="E879" s="14" t="s">
        <v>313</v>
      </c>
      <c r="F879" s="14" t="s">
        <v>198</v>
      </c>
      <c r="G879" s="15" t="n">
        <v>45368</v>
      </c>
      <c r="H879" s="14" t="n">
        <v>11</v>
      </c>
      <c r="I879" s="14" t="n">
        <v>59</v>
      </c>
      <c r="J879" s="14" t="n">
        <v>663</v>
      </c>
      <c r="K879" s="14" t="n">
        <v>445</v>
      </c>
      <c r="L879" s="14" t="n">
        <v>218</v>
      </c>
      <c r="M879" s="14" t="n">
        <v>663</v>
      </c>
      <c r="N879" s="16" t="n">
        <v>0.328808446455505</v>
      </c>
      <c r="O879" s="14"/>
      <c r="P879" s="14"/>
      <c r="Q879" s="22"/>
    </row>
    <row r="880" customFormat="false" ht="15" hidden="false" customHeight="false" outlineLevel="0" collapsed="false">
      <c r="A880" s="14" t="s">
        <v>496</v>
      </c>
      <c r="B880" s="14" t="n">
        <v>0</v>
      </c>
      <c r="C880" s="14" t="s">
        <v>204</v>
      </c>
      <c r="D880" s="14"/>
      <c r="E880" s="14" t="s">
        <v>313</v>
      </c>
      <c r="F880" s="14" t="s">
        <v>220</v>
      </c>
      <c r="G880" s="15" t="n">
        <v>45597</v>
      </c>
      <c r="H880" s="14" t="n">
        <v>10</v>
      </c>
      <c r="I880" s="14" t="n">
        <v>0</v>
      </c>
      <c r="J880" s="14" t="n">
        <v>10</v>
      </c>
      <c r="K880" s="14" t="n">
        <v>0</v>
      </c>
      <c r="L880" s="14" t="n">
        <v>10</v>
      </c>
      <c r="M880" s="14" t="n">
        <v>107</v>
      </c>
      <c r="N880" s="16" t="n">
        <v>0.0934579439252336</v>
      </c>
      <c r="O880" s="14"/>
      <c r="P880" s="14"/>
      <c r="Q880" s="22"/>
    </row>
    <row r="881" customFormat="false" ht="15" hidden="false" customHeight="false" outlineLevel="0" collapsed="false">
      <c r="A881" s="14" t="s">
        <v>496</v>
      </c>
      <c r="B881" s="14" t="n">
        <v>3</v>
      </c>
      <c r="C881" s="14" t="s">
        <v>525</v>
      </c>
      <c r="D881" s="14" t="n">
        <v>-180</v>
      </c>
      <c r="E881" s="14" t="s">
        <v>313</v>
      </c>
      <c r="F881" s="14" t="s">
        <v>220</v>
      </c>
      <c r="G881" s="15" t="n">
        <v>45597</v>
      </c>
      <c r="H881" s="14" t="n">
        <v>4</v>
      </c>
      <c r="I881" s="14" t="n">
        <v>0</v>
      </c>
      <c r="J881" s="14" t="n">
        <v>14</v>
      </c>
      <c r="K881" s="14" t="n">
        <v>0</v>
      </c>
      <c r="L881" s="14" t="n">
        <v>14</v>
      </c>
      <c r="M881" s="14" t="n">
        <v>107</v>
      </c>
      <c r="N881" s="16" t="n">
        <v>0.130841121495327</v>
      </c>
      <c r="O881" s="14"/>
      <c r="P881" s="14"/>
      <c r="Q881" s="22"/>
    </row>
    <row r="882" customFormat="false" ht="15" hidden="false" customHeight="false" outlineLevel="0" collapsed="false">
      <c r="A882" s="14" t="s">
        <v>496</v>
      </c>
      <c r="B882" s="14" t="n">
        <v>4</v>
      </c>
      <c r="C882" s="14" t="s">
        <v>526</v>
      </c>
      <c r="D882" s="14" t="n">
        <v>-165</v>
      </c>
      <c r="E882" s="14" t="s">
        <v>313</v>
      </c>
      <c r="F882" s="14" t="s">
        <v>220</v>
      </c>
      <c r="G882" s="15" t="n">
        <v>45597</v>
      </c>
      <c r="H882" s="14" t="n">
        <v>4</v>
      </c>
      <c r="I882" s="14" t="n">
        <v>0</v>
      </c>
      <c r="J882" s="14" t="n">
        <v>18</v>
      </c>
      <c r="K882" s="14" t="n">
        <v>0</v>
      </c>
      <c r="L882" s="14" t="n">
        <v>18</v>
      </c>
      <c r="M882" s="14" t="n">
        <v>107</v>
      </c>
      <c r="N882" s="16" t="n">
        <v>0.168224299065421</v>
      </c>
      <c r="O882" s="14"/>
      <c r="P882" s="14"/>
      <c r="Q882" s="22"/>
    </row>
    <row r="883" customFormat="false" ht="15" hidden="false" customHeight="false" outlineLevel="0" collapsed="false">
      <c r="A883" s="14" t="s">
        <v>496</v>
      </c>
      <c r="B883" s="14" t="n">
        <v>5</v>
      </c>
      <c r="C883" s="14" t="s">
        <v>527</v>
      </c>
      <c r="D883" s="14" t="n">
        <v>-150</v>
      </c>
      <c r="E883" s="14" t="s">
        <v>313</v>
      </c>
      <c r="F883" s="14" t="s">
        <v>220</v>
      </c>
      <c r="G883" s="15" t="n">
        <v>45597</v>
      </c>
      <c r="H883" s="14" t="n">
        <v>10</v>
      </c>
      <c r="I883" s="14" t="n">
        <v>3</v>
      </c>
      <c r="J883" s="14" t="n">
        <v>28</v>
      </c>
      <c r="K883" s="14" t="n">
        <v>3</v>
      </c>
      <c r="L883" s="14" t="n">
        <v>25</v>
      </c>
      <c r="M883" s="14" t="n">
        <v>107</v>
      </c>
      <c r="N883" s="16" t="n">
        <v>0.233644859813084</v>
      </c>
      <c r="O883" s="14"/>
      <c r="P883" s="14"/>
      <c r="Q883" s="22"/>
    </row>
    <row r="884" customFormat="false" ht="15" hidden="false" customHeight="false" outlineLevel="0" collapsed="false">
      <c r="A884" s="14" t="s">
        <v>496</v>
      </c>
      <c r="B884" s="14" t="n">
        <v>6</v>
      </c>
      <c r="C884" s="14" t="s">
        <v>528</v>
      </c>
      <c r="D884" s="14" t="n">
        <v>-135</v>
      </c>
      <c r="E884" s="14" t="s">
        <v>313</v>
      </c>
      <c r="F884" s="14" t="s">
        <v>220</v>
      </c>
      <c r="G884" s="15" t="n">
        <v>45597</v>
      </c>
      <c r="H884" s="14" t="n">
        <v>8</v>
      </c>
      <c r="I884" s="14" t="n">
        <v>0</v>
      </c>
      <c r="J884" s="14" t="n">
        <v>36</v>
      </c>
      <c r="K884" s="14" t="n">
        <v>3</v>
      </c>
      <c r="L884" s="14" t="n">
        <v>33</v>
      </c>
      <c r="M884" s="14" t="n">
        <v>107</v>
      </c>
      <c r="N884" s="16" t="n">
        <v>0.308411214953271</v>
      </c>
      <c r="O884" s="14"/>
      <c r="P884" s="14"/>
      <c r="Q884" s="22"/>
    </row>
    <row r="885" customFormat="false" ht="15" hidden="false" customHeight="false" outlineLevel="0" collapsed="false">
      <c r="A885" s="14" t="s">
        <v>496</v>
      </c>
      <c r="B885" s="14" t="n">
        <v>7</v>
      </c>
      <c r="C885" s="14" t="s">
        <v>227</v>
      </c>
      <c r="D885" s="14" t="n">
        <v>-120</v>
      </c>
      <c r="E885" s="14" t="s">
        <v>313</v>
      </c>
      <c r="F885" s="14" t="s">
        <v>220</v>
      </c>
      <c r="G885" s="15" t="n">
        <v>45597</v>
      </c>
      <c r="H885" s="14" t="n">
        <v>11</v>
      </c>
      <c r="I885" s="14" t="n">
        <v>1</v>
      </c>
      <c r="J885" s="14" t="n">
        <v>47</v>
      </c>
      <c r="K885" s="14" t="n">
        <v>4</v>
      </c>
      <c r="L885" s="14" t="n">
        <v>43</v>
      </c>
      <c r="M885" s="14" t="n">
        <v>107</v>
      </c>
      <c r="N885" s="16" t="n">
        <v>0.401869158878505</v>
      </c>
      <c r="O885" s="14"/>
      <c r="P885" s="14"/>
      <c r="Q885" s="22"/>
    </row>
    <row r="886" customFormat="false" ht="15" hidden="false" customHeight="false" outlineLevel="0" collapsed="false">
      <c r="A886" s="14" t="s">
        <v>496</v>
      </c>
      <c r="B886" s="14" t="n">
        <v>8</v>
      </c>
      <c r="C886" s="14" t="s">
        <v>241</v>
      </c>
      <c r="D886" s="14" t="n">
        <v>-105</v>
      </c>
      <c r="E886" s="14" t="s">
        <v>313</v>
      </c>
      <c r="F886" s="14" t="s">
        <v>220</v>
      </c>
      <c r="G886" s="15" t="n">
        <v>45597</v>
      </c>
      <c r="H886" s="14" t="n">
        <v>13</v>
      </c>
      <c r="I886" s="14" t="n">
        <v>3</v>
      </c>
      <c r="J886" s="14" t="n">
        <v>60</v>
      </c>
      <c r="K886" s="14" t="n">
        <v>7</v>
      </c>
      <c r="L886" s="14" t="n">
        <v>53</v>
      </c>
      <c r="M886" s="14" t="n">
        <v>107</v>
      </c>
      <c r="N886" s="16" t="n">
        <v>0.495327102803738</v>
      </c>
      <c r="O886" s="14"/>
      <c r="P886" s="14"/>
      <c r="Q886" s="22"/>
    </row>
    <row r="887" customFormat="false" ht="15" hidden="false" customHeight="false" outlineLevel="0" collapsed="false">
      <c r="A887" s="14" t="s">
        <v>496</v>
      </c>
      <c r="B887" s="14" t="n">
        <v>9</v>
      </c>
      <c r="C887" s="14" t="s">
        <v>279</v>
      </c>
      <c r="D887" s="14" t="n">
        <v>-90</v>
      </c>
      <c r="E887" s="14" t="s">
        <v>313</v>
      </c>
      <c r="F887" s="14" t="s">
        <v>220</v>
      </c>
      <c r="G887" s="15" t="n">
        <v>45597</v>
      </c>
      <c r="H887" s="14" t="n">
        <v>13</v>
      </c>
      <c r="I887" s="14" t="n">
        <v>6</v>
      </c>
      <c r="J887" s="14" t="n">
        <v>73</v>
      </c>
      <c r="K887" s="14" t="n">
        <v>13</v>
      </c>
      <c r="L887" s="14" t="n">
        <v>60</v>
      </c>
      <c r="M887" s="14" t="n">
        <v>107</v>
      </c>
      <c r="N887" s="16" t="n">
        <v>0.560747663551402</v>
      </c>
      <c r="O887" s="14"/>
      <c r="P887" s="14"/>
      <c r="Q887" s="22"/>
    </row>
    <row r="888" customFormat="false" ht="15" hidden="false" customHeight="false" outlineLevel="0" collapsed="false">
      <c r="A888" s="14" t="s">
        <v>496</v>
      </c>
      <c r="B888" s="14" t="n">
        <v>10</v>
      </c>
      <c r="C888" s="14" t="s">
        <v>206</v>
      </c>
      <c r="D888" s="14" t="n">
        <v>-75</v>
      </c>
      <c r="E888" s="14" t="s">
        <v>313</v>
      </c>
      <c r="F888" s="14" t="s">
        <v>220</v>
      </c>
      <c r="G888" s="15" t="n">
        <v>45597</v>
      </c>
      <c r="H888" s="14" t="n">
        <v>12</v>
      </c>
      <c r="I888" s="14" t="n">
        <v>12</v>
      </c>
      <c r="J888" s="14" t="n">
        <v>85</v>
      </c>
      <c r="K888" s="14" t="n">
        <v>25</v>
      </c>
      <c r="L888" s="14" t="n">
        <v>60</v>
      </c>
      <c r="M888" s="14" t="n">
        <v>107</v>
      </c>
      <c r="N888" s="16" t="n">
        <v>0.560747663551402</v>
      </c>
      <c r="O888" s="14"/>
      <c r="P888" s="14"/>
      <c r="Q888" s="22"/>
    </row>
    <row r="889" customFormat="false" ht="15" hidden="false" customHeight="false" outlineLevel="0" collapsed="false">
      <c r="A889" s="14" t="s">
        <v>496</v>
      </c>
      <c r="B889" s="14" t="n">
        <v>11</v>
      </c>
      <c r="C889" s="14" t="s">
        <v>246</v>
      </c>
      <c r="D889" s="14" t="n">
        <v>-60</v>
      </c>
      <c r="E889" s="14" t="s">
        <v>313</v>
      </c>
      <c r="F889" s="14" t="s">
        <v>220</v>
      </c>
      <c r="G889" s="15" t="n">
        <v>45597</v>
      </c>
      <c r="H889" s="14" t="n">
        <v>7</v>
      </c>
      <c r="I889" s="14" t="n">
        <v>15</v>
      </c>
      <c r="J889" s="14" t="n">
        <v>92</v>
      </c>
      <c r="K889" s="14" t="n">
        <v>40</v>
      </c>
      <c r="L889" s="14" t="n">
        <v>52</v>
      </c>
      <c r="M889" s="14" t="n">
        <v>107</v>
      </c>
      <c r="N889" s="16" t="n">
        <v>0.485981308411215</v>
      </c>
      <c r="O889" s="14"/>
      <c r="P889" s="14"/>
      <c r="Q889" s="22"/>
    </row>
    <row r="890" customFormat="false" ht="15" hidden="false" customHeight="false" outlineLevel="0" collapsed="false">
      <c r="A890" s="14" t="s">
        <v>496</v>
      </c>
      <c r="B890" s="14" t="n">
        <v>12</v>
      </c>
      <c r="C890" s="14" t="s">
        <v>254</v>
      </c>
      <c r="D890" s="14" t="n">
        <v>-45</v>
      </c>
      <c r="E890" s="14" t="s">
        <v>313</v>
      </c>
      <c r="F890" s="14" t="s">
        <v>220</v>
      </c>
      <c r="G890" s="15" t="n">
        <v>45597</v>
      </c>
      <c r="H890" s="14" t="n">
        <v>5</v>
      </c>
      <c r="I890" s="14" t="n">
        <v>15</v>
      </c>
      <c r="J890" s="14" t="n">
        <v>97</v>
      </c>
      <c r="K890" s="14" t="n">
        <v>55</v>
      </c>
      <c r="L890" s="14" t="n">
        <v>42</v>
      </c>
      <c r="M890" s="14" t="n">
        <v>107</v>
      </c>
      <c r="N890" s="16" t="n">
        <v>0.392523364485981</v>
      </c>
      <c r="O890" s="14"/>
      <c r="P890" s="14"/>
      <c r="Q890" s="22"/>
    </row>
    <row r="891" customFormat="false" ht="15" hidden="false" customHeight="false" outlineLevel="0" collapsed="false">
      <c r="A891" s="14" t="s">
        <v>496</v>
      </c>
      <c r="B891" s="14" t="n">
        <v>13</v>
      </c>
      <c r="C891" s="14" t="s">
        <v>403</v>
      </c>
      <c r="D891" s="14" t="n">
        <v>-30</v>
      </c>
      <c r="E891" s="14" t="s">
        <v>313</v>
      </c>
      <c r="F891" s="14" t="s">
        <v>220</v>
      </c>
      <c r="G891" s="15" t="n">
        <v>45597</v>
      </c>
      <c r="H891" s="14" t="n">
        <v>3</v>
      </c>
      <c r="I891" s="14" t="n">
        <v>11</v>
      </c>
      <c r="J891" s="14" t="n">
        <v>100</v>
      </c>
      <c r="K891" s="14" t="n">
        <v>66</v>
      </c>
      <c r="L891" s="14" t="n">
        <v>34</v>
      </c>
      <c r="M891" s="14" t="n">
        <v>107</v>
      </c>
      <c r="N891" s="16" t="n">
        <v>0.317757009345794</v>
      </c>
      <c r="O891" s="14"/>
      <c r="P891" s="14"/>
      <c r="Q891" s="22"/>
    </row>
    <row r="892" customFormat="false" ht="15" hidden="false" customHeight="false" outlineLevel="0" collapsed="false">
      <c r="A892" s="14" t="s">
        <v>496</v>
      </c>
      <c r="B892" s="14" t="n">
        <v>14</v>
      </c>
      <c r="C892" s="14" t="s">
        <v>529</v>
      </c>
      <c r="D892" s="14" t="n">
        <v>-15</v>
      </c>
      <c r="E892" s="14" t="s">
        <v>313</v>
      </c>
      <c r="F892" s="14" t="s">
        <v>220</v>
      </c>
      <c r="G892" s="15" t="n">
        <v>45597</v>
      </c>
      <c r="H892" s="14" t="n">
        <v>1</v>
      </c>
      <c r="I892" s="14" t="n">
        <v>11</v>
      </c>
      <c r="J892" s="14" t="n">
        <v>101</v>
      </c>
      <c r="K892" s="14" t="n">
        <v>77</v>
      </c>
      <c r="L892" s="14" t="n">
        <v>24</v>
      </c>
      <c r="M892" s="14" t="n">
        <v>107</v>
      </c>
      <c r="N892" s="16" t="n">
        <v>0.224299065420561</v>
      </c>
      <c r="O892" s="14"/>
      <c r="P892" s="14"/>
      <c r="Q892" s="22"/>
    </row>
    <row r="893" customFormat="false" ht="15" hidden="false" customHeight="false" outlineLevel="0" collapsed="false">
      <c r="A893" s="14" t="s">
        <v>496</v>
      </c>
      <c r="B893" s="14" t="n">
        <v>15</v>
      </c>
      <c r="C893" s="14" t="s">
        <v>463</v>
      </c>
      <c r="D893" s="14" t="n">
        <v>0</v>
      </c>
      <c r="E893" s="14" t="s">
        <v>313</v>
      </c>
      <c r="F893" s="14" t="s">
        <v>220</v>
      </c>
      <c r="G893" s="15" t="n">
        <v>45597</v>
      </c>
      <c r="H893" s="14" t="n">
        <v>4</v>
      </c>
      <c r="I893" s="14" t="n">
        <v>11</v>
      </c>
      <c r="J893" s="14" t="n">
        <v>105</v>
      </c>
      <c r="K893" s="14" t="n">
        <v>88</v>
      </c>
      <c r="L893" s="14" t="n">
        <v>17</v>
      </c>
      <c r="M893" s="14" t="n">
        <v>107</v>
      </c>
      <c r="N893" s="16" t="n">
        <v>0.158878504672897</v>
      </c>
      <c r="O893" s="14"/>
      <c r="P893" s="14"/>
      <c r="Q893" s="22"/>
    </row>
    <row r="894" customFormat="false" ht="15" hidden="false" customHeight="false" outlineLevel="0" collapsed="false">
      <c r="A894" s="14" t="s">
        <v>496</v>
      </c>
      <c r="B894" s="14" t="n">
        <v>16</v>
      </c>
      <c r="C894" s="14" t="s">
        <v>366</v>
      </c>
      <c r="D894" s="14" t="n">
        <v>15</v>
      </c>
      <c r="E894" s="14" t="s">
        <v>313</v>
      </c>
      <c r="F894" s="14" t="s">
        <v>220</v>
      </c>
      <c r="G894" s="15" t="n">
        <v>45597</v>
      </c>
      <c r="H894" s="14" t="n">
        <v>2</v>
      </c>
      <c r="I894" s="14" t="n">
        <v>3</v>
      </c>
      <c r="J894" s="14" t="n">
        <v>107</v>
      </c>
      <c r="K894" s="14" t="n">
        <v>91</v>
      </c>
      <c r="L894" s="14" t="n">
        <v>16</v>
      </c>
      <c r="M894" s="14" t="n">
        <v>107</v>
      </c>
      <c r="N894" s="16" t="n">
        <v>0.149532710280374</v>
      </c>
      <c r="O894" s="14"/>
      <c r="P894" s="14"/>
      <c r="Q894" s="22"/>
    </row>
    <row r="895" customFormat="false" ht="15" hidden="false" customHeight="false" outlineLevel="0" collapsed="false">
      <c r="A895" s="14" t="s">
        <v>496</v>
      </c>
      <c r="B895" s="14" t="n">
        <v>17</v>
      </c>
      <c r="C895" s="14" t="s">
        <v>326</v>
      </c>
      <c r="D895" s="14" t="n">
        <v>30</v>
      </c>
      <c r="E895" s="14" t="s">
        <v>313</v>
      </c>
      <c r="F895" s="14" t="s">
        <v>220</v>
      </c>
      <c r="G895" s="15" t="n">
        <v>45597</v>
      </c>
      <c r="H895" s="14"/>
      <c r="I895" s="14"/>
      <c r="J895" s="14"/>
      <c r="K895" s="14"/>
      <c r="L895" s="14"/>
      <c r="M895" s="14" t="n">
        <v>107</v>
      </c>
      <c r="N895" s="16"/>
      <c r="O895" s="14"/>
      <c r="P895" s="14"/>
      <c r="Q895" s="22" t="s">
        <v>533</v>
      </c>
    </row>
    <row r="896" customFormat="false" ht="15" hidden="false" customHeight="false" outlineLevel="0" collapsed="false">
      <c r="A896" s="14" t="s">
        <v>496</v>
      </c>
      <c r="B896" s="14" t="n">
        <v>18</v>
      </c>
      <c r="C896" s="14" t="s">
        <v>226</v>
      </c>
      <c r="D896" s="14" t="n">
        <v>45</v>
      </c>
      <c r="E896" s="14" t="s">
        <v>313</v>
      </c>
      <c r="F896" s="14" t="s">
        <v>220</v>
      </c>
      <c r="G896" s="15" t="n">
        <v>45597</v>
      </c>
      <c r="H896" s="14"/>
      <c r="I896" s="14"/>
      <c r="J896" s="14"/>
      <c r="K896" s="14"/>
      <c r="L896" s="14"/>
      <c r="M896" s="14" t="n">
        <v>107</v>
      </c>
      <c r="N896" s="16"/>
      <c r="O896" s="14"/>
      <c r="P896" s="14"/>
      <c r="Q896" s="22" t="s">
        <v>533</v>
      </c>
    </row>
    <row r="897" customFormat="false" ht="15" hidden="false" customHeight="false" outlineLevel="0" collapsed="false">
      <c r="A897" s="14" t="s">
        <v>502</v>
      </c>
      <c r="B897" s="14" t="n">
        <v>0</v>
      </c>
      <c r="C897" s="14" t="s">
        <v>204</v>
      </c>
      <c r="D897" s="14"/>
      <c r="E897" s="14" t="s">
        <v>313</v>
      </c>
      <c r="F897" s="14" t="s">
        <v>220</v>
      </c>
      <c r="G897" s="15" t="n">
        <v>45716</v>
      </c>
      <c r="H897" s="14" t="n">
        <v>20</v>
      </c>
      <c r="I897" s="14" t="n">
        <v>0</v>
      </c>
      <c r="J897" s="14" t="n">
        <v>20</v>
      </c>
      <c r="K897" s="14" t="n">
        <v>0</v>
      </c>
      <c r="L897" s="14" t="n">
        <v>20</v>
      </c>
      <c r="M897" s="14" t="n">
        <v>235</v>
      </c>
      <c r="N897" s="16" t="n">
        <v>0.0851063829787234</v>
      </c>
      <c r="O897" s="14"/>
      <c r="P897" s="14"/>
      <c r="Q897" s="22"/>
    </row>
    <row r="898" customFormat="false" ht="15" hidden="false" customHeight="false" outlineLevel="0" collapsed="false">
      <c r="A898" s="14" t="s">
        <v>502</v>
      </c>
      <c r="B898" s="14" t="n">
        <v>3</v>
      </c>
      <c r="C898" s="14" t="s">
        <v>525</v>
      </c>
      <c r="D898" s="14" t="n">
        <v>-180</v>
      </c>
      <c r="E898" s="14" t="s">
        <v>313</v>
      </c>
      <c r="F898" s="14" t="s">
        <v>220</v>
      </c>
      <c r="G898" s="15" t="n">
        <v>45716</v>
      </c>
      <c r="H898" s="14" t="n">
        <v>20</v>
      </c>
      <c r="I898" s="14" t="n">
        <v>0</v>
      </c>
      <c r="J898" s="14" t="n">
        <v>40</v>
      </c>
      <c r="K898" s="14" t="n">
        <v>0</v>
      </c>
      <c r="L898" s="14" t="n">
        <v>40</v>
      </c>
      <c r="M898" s="14" t="n">
        <v>235</v>
      </c>
      <c r="N898" s="16" t="n">
        <v>0.170212765957447</v>
      </c>
      <c r="O898" s="14"/>
      <c r="P898" s="14"/>
      <c r="Q898" s="22"/>
    </row>
    <row r="899" customFormat="false" ht="15" hidden="false" customHeight="false" outlineLevel="0" collapsed="false">
      <c r="A899" s="14" t="s">
        <v>502</v>
      </c>
      <c r="B899" s="14" t="n">
        <v>4</v>
      </c>
      <c r="C899" s="14" t="s">
        <v>526</v>
      </c>
      <c r="D899" s="14" t="n">
        <v>-165</v>
      </c>
      <c r="E899" s="14" t="s">
        <v>313</v>
      </c>
      <c r="F899" s="14" t="s">
        <v>220</v>
      </c>
      <c r="G899" s="15" t="n">
        <v>45716</v>
      </c>
      <c r="H899" s="14" t="n">
        <v>23</v>
      </c>
      <c r="I899" s="14" t="n">
        <v>1</v>
      </c>
      <c r="J899" s="14" t="n">
        <v>63</v>
      </c>
      <c r="K899" s="14" t="n">
        <v>1</v>
      </c>
      <c r="L899" s="14" t="n">
        <v>62</v>
      </c>
      <c r="M899" s="14" t="n">
        <v>235</v>
      </c>
      <c r="N899" s="16" t="n">
        <v>0.263829787234043</v>
      </c>
      <c r="O899" s="14"/>
      <c r="P899" s="14"/>
      <c r="Q899" s="22"/>
    </row>
    <row r="900" customFormat="false" ht="15" hidden="false" customHeight="false" outlineLevel="0" collapsed="false">
      <c r="A900" s="14" t="s">
        <v>502</v>
      </c>
      <c r="B900" s="14" t="n">
        <v>5</v>
      </c>
      <c r="C900" s="14" t="s">
        <v>527</v>
      </c>
      <c r="D900" s="14" t="n">
        <v>-150</v>
      </c>
      <c r="E900" s="14" t="s">
        <v>313</v>
      </c>
      <c r="F900" s="14" t="s">
        <v>220</v>
      </c>
      <c r="G900" s="15" t="n">
        <v>45716</v>
      </c>
      <c r="H900" s="14" t="n">
        <v>29</v>
      </c>
      <c r="I900" s="14" t="n">
        <v>1</v>
      </c>
      <c r="J900" s="14" t="n">
        <v>92</v>
      </c>
      <c r="K900" s="14" t="n">
        <v>2</v>
      </c>
      <c r="L900" s="14" t="n">
        <v>90</v>
      </c>
      <c r="M900" s="14" t="n">
        <v>235</v>
      </c>
      <c r="N900" s="16" t="n">
        <v>0.382978723404255</v>
      </c>
      <c r="O900" s="14"/>
      <c r="P900" s="14"/>
      <c r="Q900" s="22"/>
    </row>
    <row r="901" customFormat="false" ht="15" hidden="false" customHeight="false" outlineLevel="0" collapsed="false">
      <c r="A901" s="14" t="s">
        <v>502</v>
      </c>
      <c r="B901" s="14" t="n">
        <v>6</v>
      </c>
      <c r="C901" s="14" t="s">
        <v>528</v>
      </c>
      <c r="D901" s="14" t="n">
        <v>-135</v>
      </c>
      <c r="E901" s="14" t="s">
        <v>313</v>
      </c>
      <c r="F901" s="14" t="s">
        <v>220</v>
      </c>
      <c r="G901" s="15" t="n">
        <v>45716</v>
      </c>
      <c r="H901" s="14" t="n">
        <v>25</v>
      </c>
      <c r="I901" s="14" t="n">
        <v>3</v>
      </c>
      <c r="J901" s="14" t="n">
        <v>117</v>
      </c>
      <c r="K901" s="14" t="n">
        <v>5</v>
      </c>
      <c r="L901" s="14" t="n">
        <v>112</v>
      </c>
      <c r="M901" s="14" t="n">
        <v>235</v>
      </c>
      <c r="N901" s="16" t="n">
        <v>0.476595744680851</v>
      </c>
      <c r="O901" s="14"/>
      <c r="P901" s="14"/>
      <c r="Q901" s="22"/>
    </row>
    <row r="902" customFormat="false" ht="15" hidden="false" customHeight="false" outlineLevel="0" collapsed="false">
      <c r="A902" s="14" t="s">
        <v>502</v>
      </c>
      <c r="B902" s="14" t="n">
        <v>7</v>
      </c>
      <c r="C902" s="14" t="s">
        <v>227</v>
      </c>
      <c r="D902" s="14" t="n">
        <v>-120</v>
      </c>
      <c r="E902" s="14" t="s">
        <v>313</v>
      </c>
      <c r="F902" s="14" t="s">
        <v>220</v>
      </c>
      <c r="G902" s="15" t="n">
        <v>45716</v>
      </c>
      <c r="H902" s="14" t="n">
        <v>16</v>
      </c>
      <c r="I902" s="14" t="n">
        <v>3</v>
      </c>
      <c r="J902" s="14" t="n">
        <v>133</v>
      </c>
      <c r="K902" s="14" t="n">
        <v>8</v>
      </c>
      <c r="L902" s="14" t="n">
        <v>125</v>
      </c>
      <c r="M902" s="14" t="n">
        <v>235</v>
      </c>
      <c r="N902" s="16" t="n">
        <v>0.531914893617021</v>
      </c>
      <c r="O902" s="14"/>
      <c r="P902" s="14"/>
      <c r="Q902" s="22"/>
    </row>
    <row r="903" customFormat="false" ht="15" hidden="false" customHeight="false" outlineLevel="0" collapsed="false">
      <c r="A903" s="14" t="s">
        <v>502</v>
      </c>
      <c r="B903" s="14" t="n">
        <v>8</v>
      </c>
      <c r="C903" s="14" t="s">
        <v>241</v>
      </c>
      <c r="D903" s="14" t="n">
        <v>-105</v>
      </c>
      <c r="E903" s="14" t="s">
        <v>313</v>
      </c>
      <c r="F903" s="14" t="s">
        <v>220</v>
      </c>
      <c r="G903" s="15" t="n">
        <v>45716</v>
      </c>
      <c r="H903" s="14" t="n">
        <v>25</v>
      </c>
      <c r="I903" s="14" t="n">
        <v>10</v>
      </c>
      <c r="J903" s="14" t="n">
        <v>158</v>
      </c>
      <c r="K903" s="14" t="n">
        <v>18</v>
      </c>
      <c r="L903" s="14" t="n">
        <v>140</v>
      </c>
      <c r="M903" s="14" t="n">
        <v>235</v>
      </c>
      <c r="N903" s="16" t="n">
        <v>0.595744680851064</v>
      </c>
      <c r="O903" s="14"/>
      <c r="P903" s="14"/>
      <c r="Q903" s="22"/>
    </row>
    <row r="904" customFormat="false" ht="15" hidden="false" customHeight="false" outlineLevel="0" collapsed="false">
      <c r="A904" s="14" t="s">
        <v>502</v>
      </c>
      <c r="B904" s="14" t="n">
        <v>9</v>
      </c>
      <c r="C904" s="14" t="s">
        <v>279</v>
      </c>
      <c r="D904" s="14" t="n">
        <v>-90</v>
      </c>
      <c r="E904" s="14" t="s">
        <v>313</v>
      </c>
      <c r="F904" s="14" t="s">
        <v>220</v>
      </c>
      <c r="G904" s="15" t="n">
        <v>45716</v>
      </c>
      <c r="H904" s="14" t="n">
        <v>27</v>
      </c>
      <c r="I904" s="14" t="n">
        <v>9</v>
      </c>
      <c r="J904" s="14" t="n">
        <v>185</v>
      </c>
      <c r="K904" s="14" t="n">
        <v>27</v>
      </c>
      <c r="L904" s="14" t="n">
        <v>158</v>
      </c>
      <c r="M904" s="14" t="n">
        <v>235</v>
      </c>
      <c r="N904" s="16" t="n">
        <v>0.672340425531915</v>
      </c>
      <c r="O904" s="14"/>
      <c r="P904" s="14"/>
      <c r="Q904" s="22"/>
    </row>
    <row r="905" customFormat="false" ht="15" hidden="false" customHeight="false" outlineLevel="0" collapsed="false">
      <c r="A905" s="14" t="s">
        <v>502</v>
      </c>
      <c r="B905" s="14" t="n">
        <v>10</v>
      </c>
      <c r="C905" s="14" t="s">
        <v>206</v>
      </c>
      <c r="D905" s="14" t="n">
        <v>-75</v>
      </c>
      <c r="E905" s="14" t="s">
        <v>313</v>
      </c>
      <c r="F905" s="14" t="s">
        <v>220</v>
      </c>
      <c r="G905" s="15" t="n">
        <v>45716</v>
      </c>
      <c r="H905" s="14" t="n">
        <v>14</v>
      </c>
      <c r="I905" s="14" t="n">
        <v>24</v>
      </c>
      <c r="J905" s="14" t="n">
        <v>199</v>
      </c>
      <c r="K905" s="14" t="n">
        <v>51</v>
      </c>
      <c r="L905" s="14" t="n">
        <v>148</v>
      </c>
      <c r="M905" s="14" t="n">
        <v>235</v>
      </c>
      <c r="N905" s="16" t="n">
        <v>0.629787234042553</v>
      </c>
      <c r="O905" s="14"/>
      <c r="P905" s="14"/>
      <c r="Q905" s="22"/>
    </row>
    <row r="906" customFormat="false" ht="15" hidden="false" customHeight="false" outlineLevel="0" collapsed="false">
      <c r="A906" s="14" t="s">
        <v>502</v>
      </c>
      <c r="B906" s="14" t="n">
        <v>11</v>
      </c>
      <c r="C906" s="14" t="s">
        <v>246</v>
      </c>
      <c r="D906" s="14" t="n">
        <v>-60</v>
      </c>
      <c r="E906" s="14" t="s">
        <v>313</v>
      </c>
      <c r="F906" s="14" t="s">
        <v>220</v>
      </c>
      <c r="G906" s="15" t="n">
        <v>45716</v>
      </c>
      <c r="H906" s="14" t="n">
        <v>15</v>
      </c>
      <c r="I906" s="14" t="n">
        <v>22</v>
      </c>
      <c r="J906" s="14" t="n">
        <v>214</v>
      </c>
      <c r="K906" s="14" t="n">
        <v>73</v>
      </c>
      <c r="L906" s="14" t="n">
        <v>141</v>
      </c>
      <c r="M906" s="14" t="n">
        <v>235</v>
      </c>
      <c r="N906" s="16" t="n">
        <v>0.6</v>
      </c>
      <c r="O906" s="14"/>
      <c r="P906" s="14"/>
      <c r="Q906" s="22"/>
    </row>
    <row r="907" customFormat="false" ht="15" hidden="false" customHeight="false" outlineLevel="0" collapsed="false">
      <c r="A907" s="14" t="s">
        <v>502</v>
      </c>
      <c r="B907" s="14" t="n">
        <v>12</v>
      </c>
      <c r="C907" s="14" t="s">
        <v>254</v>
      </c>
      <c r="D907" s="14" t="n">
        <v>-45</v>
      </c>
      <c r="E907" s="14" t="s">
        <v>313</v>
      </c>
      <c r="F907" s="14" t="s">
        <v>220</v>
      </c>
      <c r="G907" s="15" t="n">
        <v>45716</v>
      </c>
      <c r="H907" s="14" t="n">
        <v>7</v>
      </c>
      <c r="I907" s="14" t="n">
        <v>36</v>
      </c>
      <c r="J907" s="14" t="n">
        <v>221</v>
      </c>
      <c r="K907" s="14" t="n">
        <v>109</v>
      </c>
      <c r="L907" s="14" t="n">
        <v>112</v>
      </c>
      <c r="M907" s="14" t="n">
        <v>235</v>
      </c>
      <c r="N907" s="16" t="n">
        <v>0.476595744680851</v>
      </c>
      <c r="O907" s="14"/>
      <c r="P907" s="14"/>
      <c r="Q907" s="22"/>
    </row>
    <row r="908" customFormat="false" ht="15" hidden="false" customHeight="false" outlineLevel="0" collapsed="false">
      <c r="A908" s="14" t="s">
        <v>502</v>
      </c>
      <c r="B908" s="14" t="n">
        <v>13</v>
      </c>
      <c r="C908" s="14" t="s">
        <v>403</v>
      </c>
      <c r="D908" s="14" t="n">
        <v>-30</v>
      </c>
      <c r="E908" s="14" t="s">
        <v>313</v>
      </c>
      <c r="F908" s="14" t="s">
        <v>220</v>
      </c>
      <c r="G908" s="15" t="n">
        <v>45716</v>
      </c>
      <c r="H908" s="14" t="n">
        <v>6</v>
      </c>
      <c r="I908" s="14" t="n">
        <v>41</v>
      </c>
      <c r="J908" s="14" t="n">
        <v>227</v>
      </c>
      <c r="K908" s="14" t="n">
        <v>150</v>
      </c>
      <c r="L908" s="14" t="n">
        <v>77</v>
      </c>
      <c r="M908" s="14" t="n">
        <v>235</v>
      </c>
      <c r="N908" s="16" t="n">
        <v>0.327659574468085</v>
      </c>
      <c r="O908" s="14"/>
      <c r="P908" s="14"/>
      <c r="Q908" s="22"/>
    </row>
    <row r="909" customFormat="false" ht="15" hidden="false" customHeight="false" outlineLevel="0" collapsed="false">
      <c r="A909" s="14" t="s">
        <v>502</v>
      </c>
      <c r="B909" s="14" t="n">
        <v>14</v>
      </c>
      <c r="C909" s="14" t="s">
        <v>529</v>
      </c>
      <c r="D909" s="14" t="n">
        <v>-15</v>
      </c>
      <c r="E909" s="14" t="s">
        <v>313</v>
      </c>
      <c r="F909" s="14" t="s">
        <v>220</v>
      </c>
      <c r="G909" s="15" t="n">
        <v>45716</v>
      </c>
      <c r="H909" s="14" t="n">
        <v>4</v>
      </c>
      <c r="I909" s="14" t="n">
        <v>20</v>
      </c>
      <c r="J909" s="14" t="n">
        <v>231</v>
      </c>
      <c r="K909" s="14" t="n">
        <v>170</v>
      </c>
      <c r="L909" s="14" t="n">
        <v>61</v>
      </c>
      <c r="M909" s="14" t="n">
        <v>235</v>
      </c>
      <c r="N909" s="16" t="n">
        <v>0.259574468085106</v>
      </c>
      <c r="O909" s="14"/>
      <c r="P909" s="14"/>
      <c r="Q909" s="22"/>
    </row>
    <row r="910" customFormat="false" ht="15" hidden="false" customHeight="false" outlineLevel="0" collapsed="false">
      <c r="A910" s="14" t="s">
        <v>502</v>
      </c>
      <c r="B910" s="14" t="n">
        <v>15</v>
      </c>
      <c r="C910" s="14" t="s">
        <v>463</v>
      </c>
      <c r="D910" s="14" t="n">
        <v>0</v>
      </c>
      <c r="E910" s="14" t="s">
        <v>313</v>
      </c>
      <c r="F910" s="14" t="s">
        <v>220</v>
      </c>
      <c r="G910" s="15" t="n">
        <v>45716</v>
      </c>
      <c r="H910" s="14" t="n">
        <v>2</v>
      </c>
      <c r="I910" s="14" t="n">
        <v>26</v>
      </c>
      <c r="J910" s="14" t="n">
        <v>233</v>
      </c>
      <c r="K910" s="14" t="n">
        <v>196</v>
      </c>
      <c r="L910" s="14" t="n">
        <v>37</v>
      </c>
      <c r="M910" s="14" t="n">
        <v>235</v>
      </c>
      <c r="N910" s="16" t="n">
        <v>0.157446808510638</v>
      </c>
      <c r="O910" s="14"/>
      <c r="P910" s="14"/>
      <c r="Q910" s="22"/>
    </row>
    <row r="911" customFormat="false" ht="15" hidden="false" customHeight="false" outlineLevel="0" collapsed="false">
      <c r="A911" s="14" t="s">
        <v>502</v>
      </c>
      <c r="B911" s="14" t="n">
        <v>16</v>
      </c>
      <c r="C911" s="14" t="s">
        <v>366</v>
      </c>
      <c r="D911" s="14" t="n">
        <v>15</v>
      </c>
      <c r="E911" s="14" t="s">
        <v>313</v>
      </c>
      <c r="F911" s="14" t="s">
        <v>220</v>
      </c>
      <c r="G911" s="15" t="n">
        <v>45716</v>
      </c>
      <c r="H911" s="14" t="n">
        <v>1</v>
      </c>
      <c r="I911" s="14" t="n">
        <v>12</v>
      </c>
      <c r="J911" s="14" t="n">
        <v>234</v>
      </c>
      <c r="K911" s="14" t="n">
        <v>208</v>
      </c>
      <c r="L911" s="14" t="n">
        <v>26</v>
      </c>
      <c r="M911" s="14" t="n">
        <v>235</v>
      </c>
      <c r="N911" s="16" t="n">
        <v>0.11063829787234</v>
      </c>
      <c r="O911" s="14"/>
      <c r="P911" s="14"/>
      <c r="Q911" s="22"/>
    </row>
    <row r="912" customFormat="false" ht="15" hidden="false" customHeight="false" outlineLevel="0" collapsed="false">
      <c r="A912" s="14" t="s">
        <v>502</v>
      </c>
      <c r="B912" s="14" t="n">
        <v>17</v>
      </c>
      <c r="C912" s="14" t="s">
        <v>326</v>
      </c>
      <c r="D912" s="14" t="n">
        <v>30</v>
      </c>
      <c r="E912" s="14" t="s">
        <v>313</v>
      </c>
      <c r="F912" s="14" t="s">
        <v>220</v>
      </c>
      <c r="G912" s="15" t="n">
        <v>45716</v>
      </c>
      <c r="H912" s="14" t="n">
        <v>1</v>
      </c>
      <c r="I912" s="14" t="n">
        <v>6</v>
      </c>
      <c r="J912" s="14" t="n">
        <v>235</v>
      </c>
      <c r="K912" s="14" t="n">
        <v>214</v>
      </c>
      <c r="L912" s="14" t="n">
        <v>21</v>
      </c>
      <c r="M912" s="14" t="n">
        <v>235</v>
      </c>
      <c r="N912" s="16" t="n">
        <v>0.0893617021276596</v>
      </c>
      <c r="O912" s="14"/>
      <c r="P912" s="14"/>
      <c r="Q912" s="22"/>
    </row>
    <row r="913" customFormat="false" ht="15" hidden="false" customHeight="false" outlineLevel="0" collapsed="false">
      <c r="A913" s="14" t="s">
        <v>502</v>
      </c>
      <c r="B913" s="14" t="n">
        <v>18</v>
      </c>
      <c r="C913" s="14" t="s">
        <v>226</v>
      </c>
      <c r="D913" s="14" t="n">
        <v>45</v>
      </c>
      <c r="E913" s="14" t="s">
        <v>313</v>
      </c>
      <c r="F913" s="14" t="s">
        <v>220</v>
      </c>
      <c r="G913" s="15" t="n">
        <v>45716</v>
      </c>
      <c r="H913" s="14" t="n">
        <v>0</v>
      </c>
      <c r="I913" s="14" t="n">
        <v>5</v>
      </c>
      <c r="J913" s="14" t="n">
        <v>235</v>
      </c>
      <c r="K913" s="14" t="n">
        <v>219</v>
      </c>
      <c r="L913" s="14" t="n">
        <v>16</v>
      </c>
      <c r="M913" s="14" t="n">
        <v>235</v>
      </c>
      <c r="N913" s="16" t="n">
        <v>0.0680851063829787</v>
      </c>
      <c r="O913" s="14"/>
      <c r="P913" s="14"/>
      <c r="Q913" s="22"/>
    </row>
    <row r="914" customFormat="false" ht="15" hidden="false" customHeight="false" outlineLevel="0" collapsed="false">
      <c r="A914" s="14" t="s">
        <v>507</v>
      </c>
      <c r="B914" s="14" t="n">
        <v>0</v>
      </c>
      <c r="C914" s="14" t="s">
        <v>204</v>
      </c>
      <c r="D914" s="14"/>
      <c r="E914" s="14" t="s">
        <v>313</v>
      </c>
      <c r="F914" s="14" t="s">
        <v>198</v>
      </c>
      <c r="G914" s="15" t="n">
        <v>46145</v>
      </c>
      <c r="H914" s="14" t="n">
        <v>2</v>
      </c>
      <c r="I914" s="14" t="n">
        <v>0</v>
      </c>
      <c r="J914" s="14" t="n">
        <v>2</v>
      </c>
      <c r="K914" s="14" t="n">
        <v>0</v>
      </c>
      <c r="L914" s="14" t="n">
        <v>2</v>
      </c>
      <c r="M914" s="14" t="n">
        <v>327</v>
      </c>
      <c r="N914" s="16" t="n">
        <v>0.00611620795107034</v>
      </c>
      <c r="O914" s="14"/>
      <c r="P914" s="14"/>
      <c r="Q914" s="22"/>
    </row>
    <row r="915" customFormat="false" ht="15" hidden="false" customHeight="false" outlineLevel="0" collapsed="false">
      <c r="A915" s="14" t="s">
        <v>507</v>
      </c>
      <c r="B915" s="14" t="n">
        <v>3</v>
      </c>
      <c r="C915" s="14" t="s">
        <v>525</v>
      </c>
      <c r="D915" s="14" t="n">
        <v>-180</v>
      </c>
      <c r="E915" s="14" t="s">
        <v>313</v>
      </c>
      <c r="F915" s="14" t="s">
        <v>198</v>
      </c>
      <c r="G915" s="15" t="n">
        <v>46145</v>
      </c>
      <c r="H915" s="14" t="n">
        <v>2</v>
      </c>
      <c r="I915" s="14" t="n">
        <v>0</v>
      </c>
      <c r="J915" s="14" t="n">
        <v>4</v>
      </c>
      <c r="K915" s="14" t="n">
        <v>0</v>
      </c>
      <c r="L915" s="14" t="n">
        <v>4</v>
      </c>
      <c r="M915" s="14" t="n">
        <v>327</v>
      </c>
      <c r="N915" s="16" t="n">
        <v>0.0122324159021407</v>
      </c>
      <c r="O915" s="14"/>
      <c r="P915" s="14"/>
      <c r="Q915" s="22"/>
    </row>
    <row r="916" customFormat="false" ht="15" hidden="false" customHeight="false" outlineLevel="0" collapsed="false">
      <c r="A916" s="14" t="s">
        <v>507</v>
      </c>
      <c r="B916" s="14" t="n">
        <v>4</v>
      </c>
      <c r="C916" s="14" t="s">
        <v>526</v>
      </c>
      <c r="D916" s="14" t="n">
        <v>-165</v>
      </c>
      <c r="E916" s="14" t="s">
        <v>313</v>
      </c>
      <c r="F916" s="14" t="s">
        <v>198</v>
      </c>
      <c r="G916" s="15" t="n">
        <v>46145</v>
      </c>
      <c r="H916" s="14" t="n">
        <v>5</v>
      </c>
      <c r="I916" s="14" t="n">
        <v>0</v>
      </c>
      <c r="J916" s="14" t="n">
        <v>9</v>
      </c>
      <c r="K916" s="14" t="n">
        <v>0</v>
      </c>
      <c r="L916" s="14" t="n">
        <v>9</v>
      </c>
      <c r="M916" s="14" t="n">
        <v>327</v>
      </c>
      <c r="N916" s="16" t="n">
        <v>0.0275229357798165</v>
      </c>
      <c r="O916" s="14"/>
      <c r="P916" s="14"/>
      <c r="Q916" s="22"/>
    </row>
    <row r="917" customFormat="false" ht="15" hidden="false" customHeight="false" outlineLevel="0" collapsed="false">
      <c r="A917" s="14" t="s">
        <v>507</v>
      </c>
      <c r="B917" s="14" t="n">
        <v>5</v>
      </c>
      <c r="C917" s="14" t="s">
        <v>527</v>
      </c>
      <c r="D917" s="14" t="n">
        <v>-150</v>
      </c>
      <c r="E917" s="14" t="s">
        <v>313</v>
      </c>
      <c r="F917" s="14" t="s">
        <v>198</v>
      </c>
      <c r="G917" s="15" t="n">
        <v>46145</v>
      </c>
      <c r="H917" s="14" t="n">
        <v>10</v>
      </c>
      <c r="I917" s="14" t="n">
        <v>0</v>
      </c>
      <c r="J917" s="14" t="n">
        <v>19</v>
      </c>
      <c r="K917" s="14" t="n">
        <v>0</v>
      </c>
      <c r="L917" s="14" t="n">
        <v>19</v>
      </c>
      <c r="M917" s="14" t="n">
        <v>327</v>
      </c>
      <c r="N917" s="16" t="n">
        <v>0.0581039755351682</v>
      </c>
      <c r="O917" s="14"/>
      <c r="P917" s="14"/>
      <c r="Q917" s="22"/>
    </row>
    <row r="918" customFormat="false" ht="15" hidden="false" customHeight="false" outlineLevel="0" collapsed="false">
      <c r="A918" s="14" t="s">
        <v>507</v>
      </c>
      <c r="B918" s="14" t="n">
        <v>6</v>
      </c>
      <c r="C918" s="14" t="s">
        <v>528</v>
      </c>
      <c r="D918" s="14" t="n">
        <v>-135</v>
      </c>
      <c r="E918" s="14" t="s">
        <v>313</v>
      </c>
      <c r="F918" s="14" t="s">
        <v>198</v>
      </c>
      <c r="G918" s="15" t="n">
        <v>46145</v>
      </c>
      <c r="H918" s="14" t="n">
        <v>20</v>
      </c>
      <c r="I918" s="14" t="n">
        <v>0</v>
      </c>
      <c r="J918" s="14" t="n">
        <v>39</v>
      </c>
      <c r="K918" s="14" t="n">
        <v>0</v>
      </c>
      <c r="L918" s="14" t="n">
        <v>39</v>
      </c>
      <c r="M918" s="14" t="n">
        <v>327</v>
      </c>
      <c r="N918" s="16" t="n">
        <v>0.119266055045872</v>
      </c>
      <c r="O918" s="14"/>
      <c r="P918" s="14"/>
      <c r="Q918" s="22"/>
    </row>
    <row r="919" customFormat="false" ht="15" hidden="false" customHeight="false" outlineLevel="0" collapsed="false">
      <c r="A919" s="14" t="s">
        <v>507</v>
      </c>
      <c r="B919" s="14" t="n">
        <v>7</v>
      </c>
      <c r="C919" s="14" t="s">
        <v>227</v>
      </c>
      <c r="D919" s="14" t="n">
        <v>-120</v>
      </c>
      <c r="E919" s="14" t="s">
        <v>313</v>
      </c>
      <c r="F919" s="14" t="s">
        <v>198</v>
      </c>
      <c r="G919" s="15" t="n">
        <v>46145</v>
      </c>
      <c r="H919" s="14" t="n">
        <v>39</v>
      </c>
      <c r="I919" s="14" t="n">
        <v>0</v>
      </c>
      <c r="J919" s="14" t="n">
        <v>78</v>
      </c>
      <c r="K919" s="14" t="n">
        <v>0</v>
      </c>
      <c r="L919" s="14" t="n">
        <v>78</v>
      </c>
      <c r="M919" s="14" t="n">
        <v>327</v>
      </c>
      <c r="N919" s="16" t="n">
        <v>0.238532110091743</v>
      </c>
      <c r="O919" s="14"/>
      <c r="P919" s="14"/>
      <c r="Q919" s="22"/>
    </row>
    <row r="920" customFormat="false" ht="15" hidden="false" customHeight="false" outlineLevel="0" collapsed="false">
      <c r="A920" s="14" t="s">
        <v>507</v>
      </c>
      <c r="B920" s="14" t="n">
        <v>8</v>
      </c>
      <c r="C920" s="14" t="s">
        <v>241</v>
      </c>
      <c r="D920" s="14" t="n">
        <v>-105</v>
      </c>
      <c r="E920" s="14" t="s">
        <v>313</v>
      </c>
      <c r="F920" s="14" t="s">
        <v>198</v>
      </c>
      <c r="G920" s="15" t="n">
        <v>46145</v>
      </c>
      <c r="H920" s="14" t="n">
        <v>43</v>
      </c>
      <c r="I920" s="14" t="n">
        <v>0</v>
      </c>
      <c r="J920" s="14" t="n">
        <v>121</v>
      </c>
      <c r="K920" s="14" t="n">
        <v>0</v>
      </c>
      <c r="L920" s="14" t="n">
        <v>121</v>
      </c>
      <c r="M920" s="14" t="n">
        <v>327</v>
      </c>
      <c r="N920" s="16" t="n">
        <v>0.370030581039755</v>
      </c>
      <c r="O920" s="14"/>
      <c r="P920" s="14"/>
      <c r="Q920" s="22"/>
    </row>
    <row r="921" customFormat="false" ht="15" hidden="false" customHeight="false" outlineLevel="0" collapsed="false">
      <c r="A921" s="14" t="s">
        <v>507</v>
      </c>
      <c r="B921" s="14" t="n">
        <v>9</v>
      </c>
      <c r="C921" s="14" t="s">
        <v>279</v>
      </c>
      <c r="D921" s="14" t="n">
        <v>-90</v>
      </c>
      <c r="E921" s="14" t="s">
        <v>313</v>
      </c>
      <c r="F921" s="14" t="s">
        <v>198</v>
      </c>
      <c r="G921" s="15" t="n">
        <v>46145</v>
      </c>
      <c r="H921" s="14" t="n">
        <v>30</v>
      </c>
      <c r="I921" s="14" t="n">
        <v>6</v>
      </c>
      <c r="J921" s="14" t="n">
        <v>151</v>
      </c>
      <c r="K921" s="14" t="n">
        <v>6</v>
      </c>
      <c r="L921" s="14" t="n">
        <v>145</v>
      </c>
      <c r="M921" s="14" t="n">
        <v>327</v>
      </c>
      <c r="N921" s="16" t="n">
        <v>0.443425076452599</v>
      </c>
      <c r="O921" s="14"/>
      <c r="P921" s="14"/>
      <c r="Q921" s="22"/>
    </row>
    <row r="922" customFormat="false" ht="15" hidden="false" customHeight="false" outlineLevel="0" collapsed="false">
      <c r="A922" s="14" t="s">
        <v>507</v>
      </c>
      <c r="B922" s="14" t="n">
        <v>10</v>
      </c>
      <c r="C922" s="14" t="s">
        <v>206</v>
      </c>
      <c r="D922" s="14" t="n">
        <v>-75</v>
      </c>
      <c r="E922" s="14" t="s">
        <v>313</v>
      </c>
      <c r="F922" s="14" t="s">
        <v>198</v>
      </c>
      <c r="G922" s="15" t="n">
        <v>46145</v>
      </c>
      <c r="H922" s="14" t="n">
        <v>37</v>
      </c>
      <c r="I922" s="14" t="n">
        <v>3</v>
      </c>
      <c r="J922" s="14" t="n">
        <v>188</v>
      </c>
      <c r="K922" s="14" t="n">
        <v>9</v>
      </c>
      <c r="L922" s="14" t="n">
        <v>179</v>
      </c>
      <c r="M922" s="14" t="n">
        <v>327</v>
      </c>
      <c r="N922" s="16" t="n">
        <v>0.547400611620795</v>
      </c>
      <c r="O922" s="14"/>
      <c r="P922" s="14"/>
      <c r="Q922" s="22"/>
    </row>
    <row r="923" customFormat="false" ht="15" hidden="false" customHeight="false" outlineLevel="0" collapsed="false">
      <c r="A923" s="14" t="s">
        <v>507</v>
      </c>
      <c r="B923" s="14" t="n">
        <v>11</v>
      </c>
      <c r="C923" s="14" t="s">
        <v>246</v>
      </c>
      <c r="D923" s="14" t="n">
        <v>-60</v>
      </c>
      <c r="E923" s="14" t="s">
        <v>313</v>
      </c>
      <c r="F923" s="14" t="s">
        <v>198</v>
      </c>
      <c r="G923" s="15" t="n">
        <v>46145</v>
      </c>
      <c r="H923" s="14" t="n">
        <v>31</v>
      </c>
      <c r="I923" s="14" t="n">
        <v>6</v>
      </c>
      <c r="J923" s="14" t="n">
        <v>219</v>
      </c>
      <c r="K923" s="14" t="n">
        <v>15</v>
      </c>
      <c r="L923" s="14" t="n">
        <v>204</v>
      </c>
      <c r="M923" s="14" t="n">
        <v>327</v>
      </c>
      <c r="N923" s="16" t="n">
        <v>0.623853211009174</v>
      </c>
      <c r="O923" s="14"/>
      <c r="P923" s="14"/>
      <c r="Q923" s="22"/>
    </row>
    <row r="924" customFormat="false" ht="15" hidden="false" customHeight="false" outlineLevel="0" collapsed="false">
      <c r="A924" s="14" t="s">
        <v>507</v>
      </c>
      <c r="B924" s="14" t="n">
        <v>12</v>
      </c>
      <c r="C924" s="14" t="s">
        <v>254</v>
      </c>
      <c r="D924" s="14" t="n">
        <v>-45</v>
      </c>
      <c r="E924" s="14" t="s">
        <v>313</v>
      </c>
      <c r="F924" s="14" t="s">
        <v>198</v>
      </c>
      <c r="G924" s="15" t="n">
        <v>46145</v>
      </c>
      <c r="H924" s="14" t="n">
        <v>43</v>
      </c>
      <c r="I924" s="14" t="n">
        <v>9</v>
      </c>
      <c r="J924" s="14" t="n">
        <v>262</v>
      </c>
      <c r="K924" s="14" t="n">
        <v>24</v>
      </c>
      <c r="L924" s="14" t="n">
        <v>238</v>
      </c>
      <c r="M924" s="14" t="n">
        <v>327</v>
      </c>
      <c r="N924" s="16" t="n">
        <v>0.72782874617737</v>
      </c>
      <c r="O924" s="14"/>
      <c r="P924" s="14"/>
      <c r="Q924" s="22"/>
    </row>
    <row r="925" customFormat="false" ht="15" hidden="false" customHeight="false" outlineLevel="0" collapsed="false">
      <c r="A925" s="14" t="s">
        <v>507</v>
      </c>
      <c r="B925" s="14" t="n">
        <v>13</v>
      </c>
      <c r="C925" s="14" t="s">
        <v>403</v>
      </c>
      <c r="D925" s="14" t="n">
        <v>-30</v>
      </c>
      <c r="E925" s="14" t="s">
        <v>313</v>
      </c>
      <c r="F925" s="14" t="s">
        <v>198</v>
      </c>
      <c r="G925" s="15" t="n">
        <v>46145</v>
      </c>
      <c r="H925" s="14" t="n">
        <v>34</v>
      </c>
      <c r="I925" s="14" t="n">
        <v>20</v>
      </c>
      <c r="J925" s="14" t="n">
        <v>296</v>
      </c>
      <c r="K925" s="14" t="n">
        <v>44</v>
      </c>
      <c r="L925" s="14" t="n">
        <v>252</v>
      </c>
      <c r="M925" s="14" t="n">
        <v>327</v>
      </c>
      <c r="N925" s="16" t="n">
        <v>0.770642201834862</v>
      </c>
      <c r="O925" s="14"/>
      <c r="P925" s="14"/>
      <c r="Q925" s="22"/>
    </row>
    <row r="926" customFormat="false" ht="15" hidden="false" customHeight="false" outlineLevel="0" collapsed="false">
      <c r="A926" s="14" t="s">
        <v>507</v>
      </c>
      <c r="B926" s="14" t="n">
        <v>14</v>
      </c>
      <c r="C926" s="14" t="s">
        <v>529</v>
      </c>
      <c r="D926" s="14" t="n">
        <v>-15</v>
      </c>
      <c r="E926" s="14" t="s">
        <v>313</v>
      </c>
      <c r="F926" s="14" t="s">
        <v>198</v>
      </c>
      <c r="G926" s="15" t="n">
        <v>46145</v>
      </c>
      <c r="H926" s="14" t="n">
        <v>10</v>
      </c>
      <c r="I926" s="14" t="n">
        <v>17</v>
      </c>
      <c r="J926" s="14" t="n">
        <v>306</v>
      </c>
      <c r="K926" s="14" t="n">
        <v>61</v>
      </c>
      <c r="L926" s="14" t="n">
        <v>245</v>
      </c>
      <c r="M926" s="14" t="n">
        <v>327</v>
      </c>
      <c r="N926" s="16" t="n">
        <v>0.749235474006116</v>
      </c>
      <c r="O926" s="14"/>
      <c r="P926" s="14"/>
      <c r="Q926" s="22"/>
    </row>
    <row r="927" customFormat="false" ht="15" hidden="false" customHeight="false" outlineLevel="0" collapsed="false">
      <c r="A927" s="14" t="s">
        <v>507</v>
      </c>
      <c r="B927" s="14" t="n">
        <v>15</v>
      </c>
      <c r="C927" s="14" t="s">
        <v>463</v>
      </c>
      <c r="D927" s="14" t="n">
        <v>0</v>
      </c>
      <c r="E927" s="14" t="s">
        <v>313</v>
      </c>
      <c r="F927" s="14" t="s">
        <v>198</v>
      </c>
      <c r="G927" s="15" t="n">
        <v>46145</v>
      </c>
      <c r="H927" s="14" t="n">
        <v>2</v>
      </c>
      <c r="I927" s="14" t="n">
        <v>28</v>
      </c>
      <c r="J927" s="14" t="n">
        <v>308</v>
      </c>
      <c r="K927" s="14" t="n">
        <v>89</v>
      </c>
      <c r="L927" s="14" t="n">
        <v>219</v>
      </c>
      <c r="M927" s="14" t="n">
        <v>327</v>
      </c>
      <c r="N927" s="16" t="n">
        <v>0.669724770642202</v>
      </c>
      <c r="O927" s="14"/>
      <c r="P927" s="14"/>
      <c r="Q927" s="22"/>
    </row>
    <row r="928" customFormat="false" ht="15" hidden="false" customHeight="false" outlineLevel="0" collapsed="false">
      <c r="A928" s="14" t="s">
        <v>507</v>
      </c>
      <c r="B928" s="14" t="n">
        <v>16</v>
      </c>
      <c r="C928" s="14" t="s">
        <v>366</v>
      </c>
      <c r="D928" s="14" t="n">
        <v>15</v>
      </c>
      <c r="E928" s="14" t="s">
        <v>313</v>
      </c>
      <c r="F928" s="14" t="s">
        <v>198</v>
      </c>
      <c r="G928" s="15" t="n">
        <v>46145</v>
      </c>
      <c r="H928" s="14" t="n">
        <v>10</v>
      </c>
      <c r="I928" s="14" t="n">
        <v>30</v>
      </c>
      <c r="J928" s="14" t="n">
        <v>318</v>
      </c>
      <c r="K928" s="14" t="n">
        <v>119</v>
      </c>
      <c r="L928" s="14" t="n">
        <v>199</v>
      </c>
      <c r="M928" s="14" t="n">
        <v>327</v>
      </c>
      <c r="N928" s="16" t="n">
        <v>0.608562691131499</v>
      </c>
      <c r="O928" s="14"/>
      <c r="P928" s="14"/>
      <c r="Q928" s="22"/>
    </row>
    <row r="929" customFormat="false" ht="15" hidden="false" customHeight="false" outlineLevel="0" collapsed="false">
      <c r="A929" s="14" t="s">
        <v>507</v>
      </c>
      <c r="B929" s="14" t="n">
        <v>17</v>
      </c>
      <c r="C929" s="14" t="s">
        <v>326</v>
      </c>
      <c r="D929" s="14" t="n">
        <v>30</v>
      </c>
      <c r="E929" s="14" t="s">
        <v>313</v>
      </c>
      <c r="F929" s="14" t="s">
        <v>198</v>
      </c>
      <c r="G929" s="15" t="n">
        <v>46145</v>
      </c>
      <c r="H929" s="14" t="n">
        <v>9</v>
      </c>
      <c r="I929" s="14" t="n">
        <v>17</v>
      </c>
      <c r="J929" s="14" t="n">
        <v>327</v>
      </c>
      <c r="K929" s="14" t="n">
        <v>136</v>
      </c>
      <c r="L929" s="14" t="n">
        <v>191</v>
      </c>
      <c r="M929" s="14" t="n">
        <v>327</v>
      </c>
      <c r="N929" s="16" t="n">
        <v>0.584097859327217</v>
      </c>
      <c r="O929" s="14"/>
      <c r="P929" s="14"/>
      <c r="Q929" s="22"/>
    </row>
    <row r="930" customFormat="false" ht="15" hidden="false" customHeight="false" outlineLevel="0" collapsed="false">
      <c r="A930" s="14" t="s">
        <v>507</v>
      </c>
      <c r="B930" s="14" t="n">
        <v>18</v>
      </c>
      <c r="C930" s="14" t="s">
        <v>226</v>
      </c>
      <c r="D930" s="14" t="n">
        <v>45</v>
      </c>
      <c r="E930" s="14" t="s">
        <v>313</v>
      </c>
      <c r="F930" s="14" t="s">
        <v>198</v>
      </c>
      <c r="G930" s="15" t="n">
        <v>46145</v>
      </c>
      <c r="H930" s="14" t="n">
        <v>0</v>
      </c>
      <c r="I930" s="14" t="n">
        <v>20</v>
      </c>
      <c r="J930" s="14" t="n">
        <v>327</v>
      </c>
      <c r="K930" s="14" t="n">
        <v>156</v>
      </c>
      <c r="L930" s="14" t="n">
        <v>171</v>
      </c>
      <c r="M930" s="14" t="n">
        <v>327</v>
      </c>
      <c r="N930" s="16" t="n">
        <v>0.522935779816514</v>
      </c>
      <c r="O930" s="14"/>
      <c r="P930" s="14"/>
      <c r="Q930" s="22"/>
    </row>
  </sheetData>
  <autoFilter ref="A1:Q93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F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4"/>
    <col collapsed="false" customWidth="true" hidden="false" outlineLevel="0" max="3" min="3" style="0" width="12"/>
    <col collapsed="false" customWidth="true" hidden="false" outlineLevel="0" max="58" min="4" style="0" width="13"/>
  </cols>
  <sheetData>
    <row r="1" customFormat="false" ht="15" hidden="false" customHeight="false" outlineLevel="0" collapsed="false">
      <c r="D1" s="23" t="s">
        <v>195</v>
      </c>
      <c r="E1" s="23" t="s">
        <v>195</v>
      </c>
      <c r="F1" s="23" t="s">
        <v>195</v>
      </c>
      <c r="G1" s="23" t="s">
        <v>195</v>
      </c>
      <c r="H1" s="23" t="s">
        <v>195</v>
      </c>
      <c r="I1" s="23" t="s">
        <v>195</v>
      </c>
      <c r="J1" s="23" t="s">
        <v>195</v>
      </c>
      <c r="K1" s="23" t="s">
        <v>195</v>
      </c>
      <c r="L1" s="23" t="s">
        <v>195</v>
      </c>
      <c r="M1" s="23" t="s">
        <v>195</v>
      </c>
      <c r="N1" s="23" t="s">
        <v>195</v>
      </c>
      <c r="O1" s="23" t="s">
        <v>195</v>
      </c>
      <c r="P1" s="23" t="s">
        <v>195</v>
      </c>
      <c r="Q1" s="23" t="s">
        <v>195</v>
      </c>
      <c r="R1" s="23" t="s">
        <v>262</v>
      </c>
      <c r="S1" s="23" t="s">
        <v>262</v>
      </c>
      <c r="T1" s="23" t="s">
        <v>262</v>
      </c>
      <c r="U1" s="23" t="s">
        <v>262</v>
      </c>
      <c r="V1" s="23" t="s">
        <v>262</v>
      </c>
      <c r="W1" s="23" t="s">
        <v>262</v>
      </c>
      <c r="X1" s="23" t="s">
        <v>262</v>
      </c>
      <c r="Y1" s="23" t="s">
        <v>262</v>
      </c>
      <c r="Z1" s="23" t="s">
        <v>262</v>
      </c>
      <c r="AA1" s="23" t="s">
        <v>313</v>
      </c>
      <c r="AB1" s="23" t="s">
        <v>313</v>
      </c>
      <c r="AC1" s="23" t="s">
        <v>313</v>
      </c>
      <c r="AD1" s="23" t="s">
        <v>313</v>
      </c>
      <c r="AE1" s="23" t="s">
        <v>313</v>
      </c>
      <c r="AF1" s="23" t="s">
        <v>313</v>
      </c>
      <c r="AG1" s="23" t="s">
        <v>313</v>
      </c>
      <c r="AH1" s="23" t="s">
        <v>313</v>
      </c>
      <c r="AI1" s="23" t="s">
        <v>313</v>
      </c>
      <c r="AJ1" s="23" t="s">
        <v>313</v>
      </c>
      <c r="AK1" s="23" t="s">
        <v>313</v>
      </c>
      <c r="AL1" s="23" t="s">
        <v>313</v>
      </c>
      <c r="AM1" s="23" t="s">
        <v>313</v>
      </c>
      <c r="AN1" s="23" t="s">
        <v>313</v>
      </c>
      <c r="AO1" s="23" t="s">
        <v>313</v>
      </c>
      <c r="AP1" s="23" t="s">
        <v>313</v>
      </c>
      <c r="AQ1" s="23" t="s">
        <v>313</v>
      </c>
      <c r="AR1" s="23" t="s">
        <v>313</v>
      </c>
      <c r="AS1" s="23" t="s">
        <v>313</v>
      </c>
      <c r="AT1" s="23" t="s">
        <v>394</v>
      </c>
      <c r="AU1" s="23" t="s">
        <v>394</v>
      </c>
      <c r="AV1" s="23" t="s">
        <v>394</v>
      </c>
      <c r="AW1" s="23" t="s">
        <v>394</v>
      </c>
      <c r="AX1" s="23" t="s">
        <v>394</v>
      </c>
      <c r="AY1" s="23" t="s">
        <v>394</v>
      </c>
      <c r="AZ1" s="23" t="s">
        <v>394</v>
      </c>
      <c r="BA1" s="23" t="s">
        <v>394</v>
      </c>
      <c r="BB1" s="23" t="s">
        <v>394</v>
      </c>
      <c r="BC1" s="23" t="s">
        <v>394</v>
      </c>
      <c r="BD1" s="23" t="s">
        <v>394</v>
      </c>
      <c r="BE1" s="23" t="s">
        <v>394</v>
      </c>
      <c r="BF1" s="23" t="s">
        <v>394</v>
      </c>
    </row>
    <row r="2" customFormat="false" ht="23.85" hidden="false" customHeight="false" outlineLevel="0" collapsed="false">
      <c r="D2" s="24" t="s">
        <v>535</v>
      </c>
      <c r="E2" s="23" t="s">
        <v>536</v>
      </c>
      <c r="F2" s="24" t="s">
        <v>537</v>
      </c>
      <c r="G2" s="23" t="s">
        <v>538</v>
      </c>
      <c r="H2" s="23" t="s">
        <v>539</v>
      </c>
      <c r="I2" s="23" t="s">
        <v>540</v>
      </c>
      <c r="J2" s="23" t="s">
        <v>541</v>
      </c>
      <c r="K2" s="23" t="s">
        <v>542</v>
      </c>
      <c r="L2" s="23" t="s">
        <v>543</v>
      </c>
      <c r="M2" s="23" t="s">
        <v>544</v>
      </c>
      <c r="N2" s="23" t="s">
        <v>545</v>
      </c>
      <c r="O2" s="23" t="s">
        <v>546</v>
      </c>
      <c r="P2" s="23" t="s">
        <v>547</v>
      </c>
      <c r="Q2" s="23" t="s">
        <v>548</v>
      </c>
      <c r="R2" s="24" t="s">
        <v>549</v>
      </c>
      <c r="S2" s="23" t="s">
        <v>550</v>
      </c>
      <c r="T2" s="24" t="s">
        <v>551</v>
      </c>
      <c r="U2" s="23" t="s">
        <v>552</v>
      </c>
      <c r="V2" s="24" t="s">
        <v>535</v>
      </c>
      <c r="W2" s="23" t="s">
        <v>536</v>
      </c>
      <c r="X2" s="23" t="s">
        <v>553</v>
      </c>
      <c r="Y2" s="23" t="s">
        <v>554</v>
      </c>
      <c r="Z2" s="23" t="s">
        <v>555</v>
      </c>
      <c r="AA2" s="23" t="s">
        <v>556</v>
      </c>
      <c r="AB2" s="24" t="s">
        <v>557</v>
      </c>
      <c r="AC2" s="24" t="s">
        <v>557</v>
      </c>
      <c r="AD2" s="24" t="s">
        <v>557</v>
      </c>
      <c r="AE2" s="24" t="s">
        <v>558</v>
      </c>
      <c r="AF2" s="23" t="s">
        <v>559</v>
      </c>
      <c r="AG2" s="24" t="s">
        <v>560</v>
      </c>
      <c r="AH2" s="23" t="s">
        <v>561</v>
      </c>
      <c r="AI2" s="24" t="s">
        <v>537</v>
      </c>
      <c r="AJ2" s="23" t="s">
        <v>538</v>
      </c>
      <c r="AK2" s="23" t="s">
        <v>562</v>
      </c>
      <c r="AL2" s="23" t="s">
        <v>563</v>
      </c>
      <c r="AM2" s="23" t="s">
        <v>564</v>
      </c>
      <c r="AN2" s="23" t="s">
        <v>565</v>
      </c>
      <c r="AO2" s="23" t="s">
        <v>566</v>
      </c>
      <c r="AP2" s="23" t="s">
        <v>567</v>
      </c>
      <c r="AQ2" s="23" t="s">
        <v>568</v>
      </c>
      <c r="AR2" s="23" t="s">
        <v>569</v>
      </c>
      <c r="AS2" s="23" t="s">
        <v>570</v>
      </c>
      <c r="AT2" s="23" t="s">
        <v>571</v>
      </c>
      <c r="AU2" s="24" t="s">
        <v>572</v>
      </c>
      <c r="AV2" s="24" t="s">
        <v>572</v>
      </c>
      <c r="AW2" s="24" t="s">
        <v>572</v>
      </c>
      <c r="AX2" s="24" t="s">
        <v>572</v>
      </c>
      <c r="AY2" s="24" t="s">
        <v>572</v>
      </c>
      <c r="AZ2" s="24" t="s">
        <v>573</v>
      </c>
      <c r="BA2" s="23" t="s">
        <v>574</v>
      </c>
      <c r="BB2" s="23" t="s">
        <v>575</v>
      </c>
      <c r="BC2" s="23" t="s">
        <v>576</v>
      </c>
      <c r="BD2" s="23" t="s">
        <v>577</v>
      </c>
      <c r="BE2" s="23" t="s">
        <v>578</v>
      </c>
      <c r="BF2" s="23" t="s">
        <v>579</v>
      </c>
    </row>
    <row r="3" customFormat="false" ht="46.25" hidden="false" customHeight="false" outlineLevel="0" collapsed="false">
      <c r="A3" s="25" t="s">
        <v>513</v>
      </c>
      <c r="B3" s="25" t="s">
        <v>514</v>
      </c>
      <c r="C3" s="25" t="s">
        <v>515</v>
      </c>
      <c r="D3" s="26" t="s">
        <v>194</v>
      </c>
      <c r="E3" s="26" t="s">
        <v>211</v>
      </c>
      <c r="F3" s="26" t="s">
        <v>218</v>
      </c>
      <c r="G3" s="26" t="s">
        <v>230</v>
      </c>
      <c r="H3" s="26" t="s">
        <v>235</v>
      </c>
      <c r="I3" s="26" t="s">
        <v>243</v>
      </c>
      <c r="J3" s="26" t="s">
        <v>248</v>
      </c>
      <c r="K3" s="26" t="s">
        <v>256</v>
      </c>
      <c r="L3" s="26" t="s">
        <v>447</v>
      </c>
      <c r="M3" s="26" t="s">
        <v>454</v>
      </c>
      <c r="N3" s="26" t="s">
        <v>459</v>
      </c>
      <c r="O3" s="26" t="s">
        <v>466</v>
      </c>
      <c r="P3" s="26" t="s">
        <v>471</v>
      </c>
      <c r="Q3" s="26" t="s">
        <v>477</v>
      </c>
      <c r="R3" s="26" t="s">
        <v>261</v>
      </c>
      <c r="S3" s="26" t="s">
        <v>271</v>
      </c>
      <c r="T3" s="26" t="s">
        <v>276</v>
      </c>
      <c r="U3" s="26" t="s">
        <v>282</v>
      </c>
      <c r="V3" s="26" t="s">
        <v>286</v>
      </c>
      <c r="W3" s="26" t="s">
        <v>290</v>
      </c>
      <c r="X3" s="26" t="s">
        <v>294</v>
      </c>
      <c r="Y3" s="26" t="s">
        <v>300</v>
      </c>
      <c r="Z3" s="26" t="s">
        <v>306</v>
      </c>
      <c r="AA3" s="26" t="s">
        <v>312</v>
      </c>
      <c r="AB3" s="26" t="s">
        <v>323</v>
      </c>
      <c r="AC3" s="26" t="s">
        <v>331</v>
      </c>
      <c r="AD3" s="26" t="s">
        <v>333</v>
      </c>
      <c r="AE3" s="26" t="s">
        <v>335</v>
      </c>
      <c r="AF3" s="26" t="s">
        <v>345</v>
      </c>
      <c r="AG3" s="26" t="s">
        <v>352</v>
      </c>
      <c r="AH3" s="26" t="s">
        <v>359</v>
      </c>
      <c r="AI3" s="26" t="s">
        <v>365</v>
      </c>
      <c r="AJ3" s="26" t="s">
        <v>370</v>
      </c>
      <c r="AK3" s="26" t="s">
        <v>373</v>
      </c>
      <c r="AL3" s="26" t="s">
        <v>379</v>
      </c>
      <c r="AM3" s="26" t="s">
        <v>382</v>
      </c>
      <c r="AN3" s="26" t="s">
        <v>388</v>
      </c>
      <c r="AO3" s="26" t="s">
        <v>483</v>
      </c>
      <c r="AP3" s="26" t="s">
        <v>490</v>
      </c>
      <c r="AQ3" s="26" t="s">
        <v>496</v>
      </c>
      <c r="AR3" s="26" t="s">
        <v>502</v>
      </c>
      <c r="AS3" s="26" t="s">
        <v>507</v>
      </c>
      <c r="AT3" s="26" t="s">
        <v>393</v>
      </c>
      <c r="AU3" s="26" t="s">
        <v>400</v>
      </c>
      <c r="AV3" s="26" t="s">
        <v>405</v>
      </c>
      <c r="AW3" s="26" t="s">
        <v>408</v>
      </c>
      <c r="AX3" s="26" t="s">
        <v>411</v>
      </c>
      <c r="AY3" s="26" t="s">
        <v>414</v>
      </c>
      <c r="AZ3" s="26" t="s">
        <v>417</v>
      </c>
      <c r="BA3" s="26" t="s">
        <v>423</v>
      </c>
      <c r="BB3" s="26" t="s">
        <v>427</v>
      </c>
      <c r="BC3" s="26" t="s">
        <v>432</v>
      </c>
      <c r="BD3" s="26" t="s">
        <v>435</v>
      </c>
      <c r="BE3" s="26" t="s">
        <v>438</v>
      </c>
      <c r="BF3" s="26" t="s">
        <v>444</v>
      </c>
    </row>
    <row r="4" customFormat="false" ht="15" hidden="false" customHeight="false" outlineLevel="0" collapsed="false">
      <c r="A4" s="27" t="n">
        <v>0</v>
      </c>
      <c r="B4" s="27" t="s">
        <v>204</v>
      </c>
      <c r="C4" s="27"/>
      <c r="D4" s="28" t="n">
        <f aca="false">IFERROR(INDEX(Survey_Counts!$N$2:$N$930,MATCH(1,INDEX((Survey_Counts!$A$2:$A$930=D$3)*(Survey_Counts!$B$2:$B$930=$A4),0),0)),"")</f>
        <v>0.0267379679144385</v>
      </c>
      <c r="E4" s="28" t="n">
        <f aca="false">IFERROR(INDEX(Survey_Counts!$N$2:$N$930,MATCH(1,INDEX((Survey_Counts!$A$2:$A$930=E$3)*(Survey_Counts!$B$2:$B$930=$A4),0),0)),"")</f>
        <v>0.0267379679144385</v>
      </c>
      <c r="F4" s="28" t="n">
        <f aca="false">IFERROR(INDEX(Survey_Counts!$N$2:$N$930,MATCH(1,INDEX((Survey_Counts!$A$2:$A$930=F$3)*(Survey_Counts!$B$2:$B$930=$A4),0),0)),"")</f>
        <v>0.0692640692640693</v>
      </c>
      <c r="G4" s="28" t="n">
        <f aca="false">IFERROR(INDEX(Survey_Counts!$N$2:$N$930,MATCH(1,INDEX((Survey_Counts!$A$2:$A$930=G$3)*(Survey_Counts!$B$2:$B$930=$A4),0),0)),"")</f>
        <v>0.0692640692640693</v>
      </c>
      <c r="H4" s="28" t="n">
        <f aca="false">IFERROR(INDEX(Survey_Counts!$N$2:$N$930,MATCH(1,INDEX((Survey_Counts!$A$2:$A$930=H$3)*(Survey_Counts!$B$2:$B$930=$A4),0),0)),"")</f>
        <v>0.051440329218107</v>
      </c>
      <c r="I4" s="28" t="n">
        <f aca="false">IFERROR(INDEX(Survey_Counts!$N$2:$N$930,MATCH(1,INDEX((Survey_Counts!$A$2:$A$930=I$3)*(Survey_Counts!$B$2:$B$930=$A4),0),0)),"")</f>
        <v>0.00508905852417303</v>
      </c>
      <c r="J4" s="28" t="n">
        <f aca="false">IFERROR(INDEX(Survey_Counts!$N$2:$N$930,MATCH(1,INDEX((Survey_Counts!$A$2:$A$930=J$3)*(Survey_Counts!$B$2:$B$930=$A4),0),0)),"")</f>
        <v>0</v>
      </c>
      <c r="K4" s="28" t="n">
        <f aca="false">IFERROR(INDEX(Survey_Counts!$N$2:$N$930,MATCH(1,INDEX((Survey_Counts!$A$2:$A$930=K$3)*(Survey_Counts!$B$2:$B$930=$A4),0),0)),"")</f>
        <v>0.0141509433962264</v>
      </c>
      <c r="L4" s="28" t="n">
        <f aca="false">IFERROR(INDEX(Survey_Counts!$N$2:$N$930,MATCH(1,INDEX((Survey_Counts!$A$2:$A$930=L$3)*(Survey_Counts!$B$2:$B$930=$A4),0),0)),"")</f>
        <v>0.0311418685121107</v>
      </c>
      <c r="M4" s="28" t="n">
        <f aca="false">IFERROR(INDEX(Survey_Counts!$N$2:$N$930,MATCH(1,INDEX((Survey_Counts!$A$2:$A$930=M$3)*(Survey_Counts!$B$2:$B$930=$A4),0),0)),"")</f>
        <v>0.0266666666666667</v>
      </c>
      <c r="N4" s="28" t="n">
        <f aca="false">IFERROR(INDEX(Survey_Counts!$N$2:$N$930,MATCH(1,INDEX((Survey_Counts!$A$2:$A$930=N$3)*(Survey_Counts!$B$2:$B$930=$A4),0),0)),"")</f>
        <v>0.151202749140894</v>
      </c>
      <c r="O4" s="28" t="n">
        <f aca="false">IFERROR(INDEX(Survey_Counts!$N$2:$N$930,MATCH(1,INDEX((Survey_Counts!$A$2:$A$930=O$3)*(Survey_Counts!$B$2:$B$930=$A4),0),0)),"")</f>
        <v>0.23728813559322</v>
      </c>
      <c r="P4" s="28" t="n">
        <f aca="false">IFERROR(INDEX(Survey_Counts!$N$2:$N$930,MATCH(1,INDEX((Survey_Counts!$A$2:$A$930=P$3)*(Survey_Counts!$B$2:$B$930=$A4),0),0)),"")</f>
        <v>0.166666666666667</v>
      </c>
      <c r="Q4" s="28" t="n">
        <f aca="false">IFERROR(INDEX(Survey_Counts!$N$2:$N$930,MATCH(1,INDEX((Survey_Counts!$A$2:$A$930=Q$3)*(Survey_Counts!$B$2:$B$930=$A4),0),0)),"")</f>
        <v>0</v>
      </c>
      <c r="R4" s="28" t="n">
        <f aca="false">IFERROR(INDEX(Survey_Counts!$N$2:$N$930,MATCH(1,INDEX((Survey_Counts!$A$2:$A$930=R$3)*(Survey_Counts!$B$2:$B$930=$A4),0),0)),"")</f>
        <v>0.141638225255973</v>
      </c>
      <c r="S4" s="28" t="n">
        <f aca="false">IFERROR(INDEX(Survey_Counts!$N$2:$N$930,MATCH(1,INDEX((Survey_Counts!$A$2:$A$930=S$3)*(Survey_Counts!$B$2:$B$930=$A4),0),0)),"")</f>
        <v>0.141638225255973</v>
      </c>
      <c r="T4" s="28" t="n">
        <f aca="false">IFERROR(INDEX(Survey_Counts!$N$2:$N$930,MATCH(1,INDEX((Survey_Counts!$A$2:$A$930=T$3)*(Survey_Counts!$B$2:$B$930=$A4),0),0)),"")</f>
        <v>0.00753498385360603</v>
      </c>
      <c r="U4" s="28" t="n">
        <f aca="false">IFERROR(INDEX(Survey_Counts!$N$2:$N$930,MATCH(1,INDEX((Survey_Counts!$A$2:$A$930=U$3)*(Survey_Counts!$B$2:$B$930=$A4),0),0)),"")</f>
        <v>0.00753498385360603</v>
      </c>
      <c r="V4" s="28" t="n">
        <f aca="false">IFERROR(INDEX(Survey_Counts!$N$2:$N$930,MATCH(1,INDEX((Survey_Counts!$A$2:$A$930=V$3)*(Survey_Counts!$B$2:$B$930=$A4),0),0)),"")</f>
        <v>0.0352941176470588</v>
      </c>
      <c r="W4" s="28" t="n">
        <f aca="false">IFERROR(INDEX(Survey_Counts!$N$2:$N$930,MATCH(1,INDEX((Survey_Counts!$A$2:$A$930=W$3)*(Survey_Counts!$B$2:$B$930=$A4),0),0)),"")</f>
        <v>0.0365853658536585</v>
      </c>
      <c r="X4" s="28" t="n">
        <f aca="false">IFERROR(INDEX(Survey_Counts!$N$2:$N$930,MATCH(1,INDEX((Survey_Counts!$A$2:$A$930=X$3)*(Survey_Counts!$B$2:$B$930=$A4),0),0)),"")</f>
        <v>0.0627572016460905</v>
      </c>
      <c r="Y4" s="28" t="n">
        <f aca="false">IFERROR(INDEX(Survey_Counts!$N$2:$N$930,MATCH(1,INDEX((Survey_Counts!$A$2:$A$930=Y$3)*(Survey_Counts!$B$2:$B$930=$A4),0),0)),"")</f>
        <v>0</v>
      </c>
      <c r="Z4" s="28" t="n">
        <f aca="false">IFERROR(INDEX(Survey_Counts!$N$2:$N$930,MATCH(1,INDEX((Survey_Counts!$A$2:$A$930=Z$3)*(Survey_Counts!$B$2:$B$930=$A4),0),0)),"")</f>
        <v>0</v>
      </c>
      <c r="AA4" s="28" t="n">
        <f aca="false">IFERROR(INDEX(Survey_Counts!$N$2:$N$930,MATCH(1,INDEX((Survey_Counts!$A$2:$A$930=AA$3)*(Survey_Counts!$B$2:$B$930=$A4),0),0)),"")</f>
        <v>0.344110854503464</v>
      </c>
      <c r="AB4" s="28" t="n">
        <f aca="false">IFERROR(INDEX(Survey_Counts!$N$2:$N$930,MATCH(1,INDEX((Survey_Counts!$A$2:$A$930=AB$3)*(Survey_Counts!$B$2:$B$930=$A4),0),0)),"")</f>
        <v>0.0945945945945946</v>
      </c>
      <c r="AC4" s="28" t="n">
        <f aca="false">IFERROR(INDEX(Survey_Counts!$N$2:$N$930,MATCH(1,INDEX((Survey_Counts!$A$2:$A$930=AC$3)*(Survey_Counts!$B$2:$B$930=$A4),0),0)),"")</f>
        <v>0.0803080308030803</v>
      </c>
      <c r="AD4" s="28" t="n">
        <f aca="false">IFERROR(INDEX(Survey_Counts!$N$2:$N$930,MATCH(1,INDEX((Survey_Counts!$A$2:$A$930=AD$3)*(Survey_Counts!$B$2:$B$930=$A4),0),0)),"")</f>
        <v>0.110687022900763</v>
      </c>
      <c r="AE4" s="28" t="str">
        <f aca="false">IFERROR(INDEX(Survey_Counts!$N$2:$N$930,MATCH(1,INDEX((Survey_Counts!$A$2:$A$930=AE$3)*(Survey_Counts!$B$2:$B$930=$A4),0),0)),"")</f>
        <v/>
      </c>
      <c r="AF4" s="28" t="n">
        <f aca="false">IFERROR(INDEX(Survey_Counts!$N$2:$N$930,MATCH(1,INDEX((Survey_Counts!$A$2:$A$930=AF$3)*(Survey_Counts!$B$2:$B$930=$A4),0),0)),"")</f>
        <v>0.0551626591230552</v>
      </c>
      <c r="AG4" s="28" t="str">
        <f aca="false">IFERROR(INDEX(Survey_Counts!$N$2:$N$930,MATCH(1,INDEX((Survey_Counts!$A$2:$A$930=AG$3)*(Survey_Counts!$B$2:$B$930=$A4),0),0)),"")</f>
        <v/>
      </c>
      <c r="AH4" s="28" t="n">
        <f aca="false">IFERROR(INDEX(Survey_Counts!$N$2:$N$930,MATCH(1,INDEX((Survey_Counts!$A$2:$A$930=AH$3)*(Survey_Counts!$B$2:$B$930=$A4),0),0)),"")</f>
        <v>0.0424710424710425</v>
      </c>
      <c r="AI4" s="28" t="str">
        <f aca="false">IFERROR(INDEX(Survey_Counts!$N$2:$N$930,MATCH(1,INDEX((Survey_Counts!$A$2:$A$930=AI$3)*(Survey_Counts!$B$2:$B$930=$A4),0),0)),"")</f>
        <v/>
      </c>
      <c r="AJ4" s="28" t="n">
        <f aca="false">IFERROR(INDEX(Survey_Counts!$N$2:$N$930,MATCH(1,INDEX((Survey_Counts!$A$2:$A$930=AJ$3)*(Survey_Counts!$B$2:$B$930=$A4),0),0)),"")</f>
        <v>0.139175257731959</v>
      </c>
      <c r="AK4" s="28" t="str">
        <f aca="false">IFERROR(INDEX(Survey_Counts!$N$2:$N$930,MATCH(1,INDEX((Survey_Counts!$A$2:$A$930=AK$3)*(Survey_Counts!$B$2:$B$930=$A4),0),0)),"")</f>
        <v/>
      </c>
      <c r="AL4" s="28" t="str">
        <f aca="false">IFERROR(INDEX(Survey_Counts!$N$2:$N$930,MATCH(1,INDEX((Survey_Counts!$A$2:$A$930=AL$3)*(Survey_Counts!$B$2:$B$930=$A4),0),0)),"")</f>
        <v/>
      </c>
      <c r="AM4" s="28" t="n">
        <f aca="false">IFERROR(INDEX(Survey_Counts!$N$2:$N$930,MATCH(1,INDEX((Survey_Counts!$A$2:$A$930=AM$3)*(Survey_Counts!$B$2:$B$930=$A4),0),0)),"")</f>
        <v>0.00836820083682008</v>
      </c>
      <c r="AN4" s="28" t="n">
        <f aca="false">IFERROR(INDEX(Survey_Counts!$N$2:$N$930,MATCH(1,INDEX((Survey_Counts!$A$2:$A$930=AN$3)*(Survey_Counts!$B$2:$B$930=$A4),0),0)),"")</f>
        <v>0</v>
      </c>
      <c r="AO4" s="28" t="n">
        <f aca="false">IFERROR(INDEX(Survey_Counts!$N$2:$N$930,MATCH(1,INDEX((Survey_Counts!$A$2:$A$930=AO$3)*(Survey_Counts!$B$2:$B$930=$A4),0),0)),"")</f>
        <v>0.0553745928338762</v>
      </c>
      <c r="AP4" s="28" t="n">
        <f aca="false">IFERROR(INDEX(Survey_Counts!$N$2:$N$930,MATCH(1,INDEX((Survey_Counts!$A$2:$A$930=AP$3)*(Survey_Counts!$B$2:$B$930=$A4),0),0)),"")</f>
        <v>0.114630467571644</v>
      </c>
      <c r="AQ4" s="28" t="n">
        <f aca="false">IFERROR(INDEX(Survey_Counts!$N$2:$N$930,MATCH(1,INDEX((Survey_Counts!$A$2:$A$930=AQ$3)*(Survey_Counts!$B$2:$B$930=$A4),0),0)),"")</f>
        <v>0.0934579439252336</v>
      </c>
      <c r="AR4" s="28" t="n">
        <f aca="false">IFERROR(INDEX(Survey_Counts!$N$2:$N$930,MATCH(1,INDEX((Survey_Counts!$A$2:$A$930=AR$3)*(Survey_Counts!$B$2:$B$930=$A4),0),0)),"")</f>
        <v>0.0851063829787234</v>
      </c>
      <c r="AS4" s="28" t="n">
        <f aca="false">IFERROR(INDEX(Survey_Counts!$N$2:$N$930,MATCH(1,INDEX((Survey_Counts!$A$2:$A$930=AS$3)*(Survey_Counts!$B$2:$B$930=$A4),0),0)),"")</f>
        <v>0.00611620795107034</v>
      </c>
      <c r="AT4" s="28" t="n">
        <f aca="false">IFERROR(INDEX(Survey_Counts!$N$2:$N$930,MATCH(1,INDEX((Survey_Counts!$A$2:$A$930=AT$3)*(Survey_Counts!$B$2:$B$930=$A4),0),0)),"")</f>
        <v>0.262541022034693</v>
      </c>
      <c r="AU4" s="28" t="n">
        <f aca="false">IFERROR(INDEX(Survey_Counts!$N$2:$N$930,MATCH(1,INDEX((Survey_Counts!$A$2:$A$930=AU$3)*(Survey_Counts!$B$2:$B$930=$A4),0),0)),"")</f>
        <v>0</v>
      </c>
      <c r="AV4" s="28" t="n">
        <f aca="false">IFERROR(INDEX(Survey_Counts!$N$2:$N$930,MATCH(1,INDEX((Survey_Counts!$A$2:$A$930=AV$3)*(Survey_Counts!$B$2:$B$930=$A4),0),0)),"")</f>
        <v>0.0796019900497512</v>
      </c>
      <c r="AW4" s="28" t="n">
        <f aca="false">IFERROR(INDEX(Survey_Counts!$N$2:$N$930,MATCH(1,INDEX((Survey_Counts!$A$2:$A$930=AW$3)*(Survey_Counts!$B$2:$B$930=$A4),0),0)),"")</f>
        <v>0.042483660130719</v>
      </c>
      <c r="AX4" s="28" t="n">
        <f aca="false">IFERROR(INDEX(Survey_Counts!$N$2:$N$930,MATCH(1,INDEX((Survey_Counts!$A$2:$A$930=AX$3)*(Survey_Counts!$B$2:$B$930=$A4),0),0)),"")</f>
        <v>0.0976430976430976</v>
      </c>
      <c r="AY4" s="28" t="n">
        <f aca="false">IFERROR(INDEX(Survey_Counts!$N$2:$N$930,MATCH(1,INDEX((Survey_Counts!$A$2:$A$930=AY$3)*(Survey_Counts!$B$2:$B$930=$A4),0),0)),"")</f>
        <v>0.0921787709497207</v>
      </c>
      <c r="AZ4" s="28" t="n">
        <f aca="false">IFERROR(INDEX(Survey_Counts!$N$2:$N$930,MATCH(1,INDEX((Survey_Counts!$A$2:$A$930=AZ$3)*(Survey_Counts!$B$2:$B$930=$A4),0),0)),"")</f>
        <v>0</v>
      </c>
      <c r="BA4" s="28" t="n">
        <f aca="false">IFERROR(INDEX(Survey_Counts!$N$2:$N$930,MATCH(1,INDEX((Survey_Counts!$A$2:$A$930=BA$3)*(Survey_Counts!$B$2:$B$930=$A4),0),0)),"")</f>
        <v>0</v>
      </c>
      <c r="BB4" s="28" t="n">
        <f aca="false">IFERROR(INDEX(Survey_Counts!$N$2:$N$930,MATCH(1,INDEX((Survey_Counts!$A$2:$A$930=BB$3)*(Survey_Counts!$B$2:$B$930=$A4),0),0)),"")</f>
        <v>0.0129310344827586</v>
      </c>
      <c r="BC4" s="28" t="n">
        <f aca="false">IFERROR(INDEX(Survey_Counts!$N$2:$N$930,MATCH(1,INDEX((Survey_Counts!$A$2:$A$930=BC$3)*(Survey_Counts!$B$2:$B$930=$A4),0),0)),"")</f>
        <v>0.204081632653061</v>
      </c>
      <c r="BD4" s="28" t="n">
        <f aca="false">IFERROR(INDEX(Survey_Counts!$N$2:$N$930,MATCH(1,INDEX((Survey_Counts!$A$2:$A$930=BD$3)*(Survey_Counts!$B$2:$B$930=$A4),0),0)),"")</f>
        <v>0.0614334470989761</v>
      </c>
      <c r="BE4" s="28" t="n">
        <f aca="false">IFERROR(INDEX(Survey_Counts!$N$2:$N$930,MATCH(1,INDEX((Survey_Counts!$A$2:$A$930=BE$3)*(Survey_Counts!$B$2:$B$930=$A4),0),0)),"")</f>
        <v>0.0164473684210526</v>
      </c>
      <c r="BF4" s="28" t="n">
        <f aca="false">IFERROR(INDEX(Survey_Counts!$N$2:$N$930,MATCH(1,INDEX((Survey_Counts!$A$2:$A$930=BF$3)*(Survey_Counts!$B$2:$B$930=$A4),0),0)),"")</f>
        <v>0.00254452926208651</v>
      </c>
    </row>
    <row r="5" customFormat="false" ht="15" hidden="false" customHeight="false" outlineLevel="0" collapsed="false">
      <c r="A5" s="27" t="n">
        <v>1</v>
      </c>
      <c r="B5" s="27" t="s">
        <v>531</v>
      </c>
      <c r="C5" s="27" t="n">
        <v>-210</v>
      </c>
      <c r="D5" s="28" t="str">
        <f aca="false">IFERROR(INDEX(Survey_Counts!$N$2:$N$930,MATCH(1,INDEX((Survey_Counts!$A$2:$A$930=D$3)*(Survey_Counts!$B$2:$B$930=$A5),0),0)),"")</f>
        <v/>
      </c>
      <c r="E5" s="28" t="str">
        <f aca="false">IFERROR(INDEX(Survey_Counts!$N$2:$N$930,MATCH(1,INDEX((Survey_Counts!$A$2:$A$930=E$3)*(Survey_Counts!$B$2:$B$930=$A5),0),0)),"")</f>
        <v/>
      </c>
      <c r="F5" s="28" t="str">
        <f aca="false">IFERROR(INDEX(Survey_Counts!$N$2:$N$930,MATCH(1,INDEX((Survey_Counts!$A$2:$A$930=F$3)*(Survey_Counts!$B$2:$B$930=$A5),0),0)),"")</f>
        <v/>
      </c>
      <c r="G5" s="28" t="str">
        <f aca="false">IFERROR(INDEX(Survey_Counts!$N$2:$N$930,MATCH(1,INDEX((Survey_Counts!$A$2:$A$930=G$3)*(Survey_Counts!$B$2:$B$930=$A5),0),0)),"")</f>
        <v/>
      </c>
      <c r="H5" s="28" t="n">
        <f aca="false">IFERROR(INDEX(Survey_Counts!$N$2:$N$930,MATCH(1,INDEX((Survey_Counts!$A$2:$A$930=H$3)*(Survey_Counts!$B$2:$B$930=$A5),0),0)),"")</f>
        <v>0.0720164609053498</v>
      </c>
      <c r="I5" s="28" t="str">
        <f aca="false">IFERROR(INDEX(Survey_Counts!$N$2:$N$930,MATCH(1,INDEX((Survey_Counts!$A$2:$A$930=I$3)*(Survey_Counts!$B$2:$B$930=$A5),0),0)),"")</f>
        <v/>
      </c>
      <c r="J5" s="28" t="str">
        <f aca="false">IFERROR(INDEX(Survey_Counts!$N$2:$N$930,MATCH(1,INDEX((Survey_Counts!$A$2:$A$930=J$3)*(Survey_Counts!$B$2:$B$930=$A5),0),0)),"")</f>
        <v/>
      </c>
      <c r="K5" s="28" t="str">
        <f aca="false">IFERROR(INDEX(Survey_Counts!$N$2:$N$930,MATCH(1,INDEX((Survey_Counts!$A$2:$A$930=K$3)*(Survey_Counts!$B$2:$B$930=$A5),0),0)),"")</f>
        <v/>
      </c>
      <c r="L5" s="28" t="str">
        <f aca="false">IFERROR(INDEX(Survey_Counts!$N$2:$N$930,MATCH(1,INDEX((Survey_Counts!$A$2:$A$930=L$3)*(Survey_Counts!$B$2:$B$930=$A5),0),0)),"")</f>
        <v/>
      </c>
      <c r="M5" s="28" t="str">
        <f aca="false">IFERROR(INDEX(Survey_Counts!$N$2:$N$930,MATCH(1,INDEX((Survey_Counts!$A$2:$A$930=M$3)*(Survey_Counts!$B$2:$B$930=$A5),0),0)),"")</f>
        <v/>
      </c>
      <c r="N5" s="28" t="str">
        <f aca="false">IFERROR(INDEX(Survey_Counts!$N$2:$N$930,MATCH(1,INDEX((Survey_Counts!$A$2:$A$930=N$3)*(Survey_Counts!$B$2:$B$930=$A5),0),0)),"")</f>
        <v/>
      </c>
      <c r="O5" s="28" t="str">
        <f aca="false">IFERROR(INDEX(Survey_Counts!$N$2:$N$930,MATCH(1,INDEX((Survey_Counts!$A$2:$A$930=O$3)*(Survey_Counts!$B$2:$B$930=$A5),0),0)),"")</f>
        <v/>
      </c>
      <c r="P5" s="28" t="str">
        <f aca="false">IFERROR(INDEX(Survey_Counts!$N$2:$N$930,MATCH(1,INDEX((Survey_Counts!$A$2:$A$930=P$3)*(Survey_Counts!$B$2:$B$930=$A5),0),0)),"")</f>
        <v/>
      </c>
      <c r="Q5" s="28" t="str">
        <f aca="false">IFERROR(INDEX(Survey_Counts!$N$2:$N$930,MATCH(1,INDEX((Survey_Counts!$A$2:$A$930=Q$3)*(Survey_Counts!$B$2:$B$930=$A5),0),0)),"")</f>
        <v/>
      </c>
      <c r="R5" s="28" t="str">
        <f aca="false">IFERROR(INDEX(Survey_Counts!$N$2:$N$930,MATCH(1,INDEX((Survey_Counts!$A$2:$A$930=R$3)*(Survey_Counts!$B$2:$B$930=$A5),0),0)),"")</f>
        <v/>
      </c>
      <c r="S5" s="28" t="str">
        <f aca="false">IFERROR(INDEX(Survey_Counts!$N$2:$N$930,MATCH(1,INDEX((Survey_Counts!$A$2:$A$930=S$3)*(Survey_Counts!$B$2:$B$930=$A5),0),0)),"")</f>
        <v/>
      </c>
      <c r="T5" s="28" t="str">
        <f aca="false">IFERROR(INDEX(Survey_Counts!$N$2:$N$930,MATCH(1,INDEX((Survey_Counts!$A$2:$A$930=T$3)*(Survey_Counts!$B$2:$B$930=$A5),0),0)),"")</f>
        <v/>
      </c>
      <c r="U5" s="28" t="str">
        <f aca="false">IFERROR(INDEX(Survey_Counts!$N$2:$N$930,MATCH(1,INDEX((Survey_Counts!$A$2:$A$930=U$3)*(Survey_Counts!$B$2:$B$930=$A5),0),0)),"")</f>
        <v/>
      </c>
      <c r="V5" s="28" t="str">
        <f aca="false">IFERROR(INDEX(Survey_Counts!$N$2:$N$930,MATCH(1,INDEX((Survey_Counts!$A$2:$A$930=V$3)*(Survey_Counts!$B$2:$B$930=$A5),0),0)),"")</f>
        <v/>
      </c>
      <c r="W5" s="28" t="str">
        <f aca="false">IFERROR(INDEX(Survey_Counts!$N$2:$N$930,MATCH(1,INDEX((Survey_Counts!$A$2:$A$930=W$3)*(Survey_Counts!$B$2:$B$930=$A5),0),0)),"")</f>
        <v/>
      </c>
      <c r="X5" s="28" t="n">
        <f aca="false">IFERROR(INDEX(Survey_Counts!$N$2:$N$930,MATCH(1,INDEX((Survey_Counts!$A$2:$A$930=X$3)*(Survey_Counts!$B$2:$B$930=$A5),0),0)),"")</f>
        <v>0.0977366255144033</v>
      </c>
      <c r="Y5" s="28" t="n">
        <f aca="false">IFERROR(INDEX(Survey_Counts!$N$2:$N$930,MATCH(1,INDEX((Survey_Counts!$A$2:$A$930=Y$3)*(Survey_Counts!$B$2:$B$930=$A5),0),0)),"")</f>
        <v>0.135714285714286</v>
      </c>
      <c r="Z5" s="28" t="n">
        <f aca="false">IFERROR(INDEX(Survey_Counts!$N$2:$N$930,MATCH(1,INDEX((Survey_Counts!$A$2:$A$930=Z$3)*(Survey_Counts!$B$2:$B$930=$A5),0),0)),"")</f>
        <v>0</v>
      </c>
      <c r="AA5" s="28" t="str">
        <f aca="false">IFERROR(INDEX(Survey_Counts!$N$2:$N$930,MATCH(1,INDEX((Survey_Counts!$A$2:$A$930=AA$3)*(Survey_Counts!$B$2:$B$930=$A5),0),0)),"")</f>
        <v/>
      </c>
      <c r="AB5" s="28" t="str">
        <f aca="false">IFERROR(INDEX(Survey_Counts!$N$2:$N$930,MATCH(1,INDEX((Survey_Counts!$A$2:$A$930=AB$3)*(Survey_Counts!$B$2:$B$930=$A5),0),0)),"")</f>
        <v/>
      </c>
      <c r="AC5" s="28" t="str">
        <f aca="false">IFERROR(INDEX(Survey_Counts!$N$2:$N$930,MATCH(1,INDEX((Survey_Counts!$A$2:$A$930=AC$3)*(Survey_Counts!$B$2:$B$930=$A5),0),0)),"")</f>
        <v/>
      </c>
      <c r="AD5" s="28" t="str">
        <f aca="false">IFERROR(INDEX(Survey_Counts!$N$2:$N$930,MATCH(1,INDEX((Survey_Counts!$A$2:$A$930=AD$3)*(Survey_Counts!$B$2:$B$930=$A5),0),0)),"")</f>
        <v/>
      </c>
      <c r="AE5" s="28" t="str">
        <f aca="false">IFERROR(INDEX(Survey_Counts!$N$2:$N$930,MATCH(1,INDEX((Survey_Counts!$A$2:$A$930=AE$3)*(Survey_Counts!$B$2:$B$930=$A5),0),0)),"")</f>
        <v/>
      </c>
      <c r="AF5" s="28" t="str">
        <f aca="false">IFERROR(INDEX(Survey_Counts!$N$2:$N$930,MATCH(1,INDEX((Survey_Counts!$A$2:$A$930=AF$3)*(Survey_Counts!$B$2:$B$930=$A5),0),0)),"")</f>
        <v/>
      </c>
      <c r="AG5" s="28" t="str">
        <f aca="false">IFERROR(INDEX(Survey_Counts!$N$2:$N$930,MATCH(1,INDEX((Survey_Counts!$A$2:$A$930=AG$3)*(Survey_Counts!$B$2:$B$930=$A5),0),0)),"")</f>
        <v/>
      </c>
      <c r="AH5" s="28" t="str">
        <f aca="false">IFERROR(INDEX(Survey_Counts!$N$2:$N$930,MATCH(1,INDEX((Survey_Counts!$A$2:$A$930=AH$3)*(Survey_Counts!$B$2:$B$930=$A5),0),0)),"")</f>
        <v/>
      </c>
      <c r="AI5" s="28" t="str">
        <f aca="false">IFERROR(INDEX(Survey_Counts!$N$2:$N$930,MATCH(1,INDEX((Survey_Counts!$A$2:$A$930=AI$3)*(Survey_Counts!$B$2:$B$930=$A5),0),0)),"")</f>
        <v/>
      </c>
      <c r="AJ5" s="28" t="str">
        <f aca="false">IFERROR(INDEX(Survey_Counts!$N$2:$N$930,MATCH(1,INDEX((Survey_Counts!$A$2:$A$930=AJ$3)*(Survey_Counts!$B$2:$B$930=$A5),0),0)),"")</f>
        <v/>
      </c>
      <c r="AK5" s="28" t="str">
        <f aca="false">IFERROR(INDEX(Survey_Counts!$N$2:$N$930,MATCH(1,INDEX((Survey_Counts!$A$2:$A$930=AK$3)*(Survey_Counts!$B$2:$B$930=$A5),0),0)),"")</f>
        <v/>
      </c>
      <c r="AL5" s="28" t="str">
        <f aca="false">IFERROR(INDEX(Survey_Counts!$N$2:$N$930,MATCH(1,INDEX((Survey_Counts!$A$2:$A$930=AL$3)*(Survey_Counts!$B$2:$B$930=$A5),0),0)),"")</f>
        <v/>
      </c>
      <c r="AM5" s="28" t="str">
        <f aca="false">IFERROR(INDEX(Survey_Counts!$N$2:$N$930,MATCH(1,INDEX((Survey_Counts!$A$2:$A$930=AM$3)*(Survey_Counts!$B$2:$B$930=$A5),0),0)),"")</f>
        <v/>
      </c>
      <c r="AN5" s="28" t="str">
        <f aca="false">IFERROR(INDEX(Survey_Counts!$N$2:$N$930,MATCH(1,INDEX((Survey_Counts!$A$2:$A$930=AN$3)*(Survey_Counts!$B$2:$B$930=$A5),0),0)),"")</f>
        <v/>
      </c>
      <c r="AO5" s="28" t="str">
        <f aca="false">IFERROR(INDEX(Survey_Counts!$N$2:$N$930,MATCH(1,INDEX((Survey_Counts!$A$2:$A$930=AO$3)*(Survey_Counts!$B$2:$B$930=$A5),0),0)),"")</f>
        <v/>
      </c>
      <c r="AP5" s="28" t="str">
        <f aca="false">IFERROR(INDEX(Survey_Counts!$N$2:$N$930,MATCH(1,INDEX((Survey_Counts!$A$2:$A$930=AP$3)*(Survey_Counts!$B$2:$B$930=$A5),0),0)),"")</f>
        <v/>
      </c>
      <c r="AQ5" s="28" t="str">
        <f aca="false">IFERROR(INDEX(Survey_Counts!$N$2:$N$930,MATCH(1,INDEX((Survey_Counts!$A$2:$A$930=AQ$3)*(Survey_Counts!$B$2:$B$930=$A5),0),0)),"")</f>
        <v/>
      </c>
      <c r="AR5" s="28" t="str">
        <f aca="false">IFERROR(INDEX(Survey_Counts!$N$2:$N$930,MATCH(1,INDEX((Survey_Counts!$A$2:$A$930=AR$3)*(Survey_Counts!$B$2:$B$930=$A5),0),0)),"")</f>
        <v/>
      </c>
      <c r="AS5" s="28" t="str">
        <f aca="false">IFERROR(INDEX(Survey_Counts!$N$2:$N$930,MATCH(1,INDEX((Survey_Counts!$A$2:$A$930=AS$3)*(Survey_Counts!$B$2:$B$930=$A5),0),0)),"")</f>
        <v/>
      </c>
      <c r="AT5" s="28" t="str">
        <f aca="false">IFERROR(INDEX(Survey_Counts!$N$2:$N$930,MATCH(1,INDEX((Survey_Counts!$A$2:$A$930=AT$3)*(Survey_Counts!$B$2:$B$930=$A5),0),0)),"")</f>
        <v/>
      </c>
      <c r="AU5" s="28" t="str">
        <f aca="false">IFERROR(INDEX(Survey_Counts!$N$2:$N$930,MATCH(1,INDEX((Survey_Counts!$A$2:$A$930=AU$3)*(Survey_Counts!$B$2:$B$930=$A5),0),0)),"")</f>
        <v/>
      </c>
      <c r="AV5" s="28" t="str">
        <f aca="false">IFERROR(INDEX(Survey_Counts!$N$2:$N$930,MATCH(1,INDEX((Survey_Counts!$A$2:$A$930=AV$3)*(Survey_Counts!$B$2:$B$930=$A5),0),0)),"")</f>
        <v/>
      </c>
      <c r="AW5" s="28" t="str">
        <f aca="false">IFERROR(INDEX(Survey_Counts!$N$2:$N$930,MATCH(1,INDEX((Survey_Counts!$A$2:$A$930=AW$3)*(Survey_Counts!$B$2:$B$930=$A5),0),0)),"")</f>
        <v/>
      </c>
      <c r="AX5" s="28" t="str">
        <f aca="false">IFERROR(INDEX(Survey_Counts!$N$2:$N$930,MATCH(1,INDEX((Survey_Counts!$A$2:$A$930=AX$3)*(Survey_Counts!$B$2:$B$930=$A5),0),0)),"")</f>
        <v/>
      </c>
      <c r="AY5" s="28" t="str">
        <f aca="false">IFERROR(INDEX(Survey_Counts!$N$2:$N$930,MATCH(1,INDEX((Survey_Counts!$A$2:$A$930=AY$3)*(Survey_Counts!$B$2:$B$930=$A5),0),0)),"")</f>
        <v/>
      </c>
      <c r="AZ5" s="28" t="str">
        <f aca="false">IFERROR(INDEX(Survey_Counts!$N$2:$N$930,MATCH(1,INDEX((Survey_Counts!$A$2:$A$930=AZ$3)*(Survey_Counts!$B$2:$B$930=$A5),0),0)),"")</f>
        <v/>
      </c>
      <c r="BA5" s="28" t="str">
        <f aca="false">IFERROR(INDEX(Survey_Counts!$N$2:$N$930,MATCH(1,INDEX((Survey_Counts!$A$2:$A$930=BA$3)*(Survey_Counts!$B$2:$B$930=$A5),0),0)),"")</f>
        <v/>
      </c>
      <c r="BB5" s="28" t="str">
        <f aca="false">IFERROR(INDEX(Survey_Counts!$N$2:$N$930,MATCH(1,INDEX((Survey_Counts!$A$2:$A$930=BB$3)*(Survey_Counts!$B$2:$B$930=$A5),0),0)),"")</f>
        <v/>
      </c>
      <c r="BC5" s="28" t="str">
        <f aca="false">IFERROR(INDEX(Survey_Counts!$N$2:$N$930,MATCH(1,INDEX((Survey_Counts!$A$2:$A$930=BC$3)*(Survey_Counts!$B$2:$B$930=$A5),0),0)),"")</f>
        <v/>
      </c>
      <c r="BD5" s="28" t="str">
        <f aca="false">IFERROR(INDEX(Survey_Counts!$N$2:$N$930,MATCH(1,INDEX((Survey_Counts!$A$2:$A$930=BD$3)*(Survey_Counts!$B$2:$B$930=$A5),0),0)),"")</f>
        <v/>
      </c>
      <c r="BE5" s="28" t="str">
        <f aca="false">IFERROR(INDEX(Survey_Counts!$N$2:$N$930,MATCH(1,INDEX((Survey_Counts!$A$2:$A$930=BE$3)*(Survey_Counts!$B$2:$B$930=$A5),0),0)),"")</f>
        <v/>
      </c>
      <c r="BF5" s="28" t="n">
        <f aca="false">IFERROR(INDEX(Survey_Counts!$N$2:$N$930,MATCH(1,INDEX((Survey_Counts!$A$2:$A$930=BF$3)*(Survey_Counts!$B$2:$B$930=$A5),0),0)),"")</f>
        <v>0.00763358778625954</v>
      </c>
    </row>
    <row r="6" customFormat="false" ht="15" hidden="false" customHeight="false" outlineLevel="0" collapsed="false">
      <c r="A6" s="27" t="n">
        <v>2</v>
      </c>
      <c r="B6" s="27" t="s">
        <v>340</v>
      </c>
      <c r="C6" s="27" t="n">
        <v>-195</v>
      </c>
      <c r="D6" s="28" t="str">
        <f aca="false">IFERROR(INDEX(Survey_Counts!$N$2:$N$930,MATCH(1,INDEX((Survey_Counts!$A$2:$A$930=D$3)*(Survey_Counts!$B$2:$B$930=$A6),0),0)),"")</f>
        <v/>
      </c>
      <c r="E6" s="28" t="str">
        <f aca="false">IFERROR(INDEX(Survey_Counts!$N$2:$N$930,MATCH(1,INDEX((Survey_Counts!$A$2:$A$930=E$3)*(Survey_Counts!$B$2:$B$930=$A6),0),0)),"")</f>
        <v/>
      </c>
      <c r="F6" s="28" t="str">
        <f aca="false">IFERROR(INDEX(Survey_Counts!$N$2:$N$930,MATCH(1,INDEX((Survey_Counts!$A$2:$A$930=F$3)*(Survey_Counts!$B$2:$B$930=$A6),0),0)),"")</f>
        <v/>
      </c>
      <c r="G6" s="28" t="str">
        <f aca="false">IFERROR(INDEX(Survey_Counts!$N$2:$N$930,MATCH(1,INDEX((Survey_Counts!$A$2:$A$930=G$3)*(Survey_Counts!$B$2:$B$930=$A6),0),0)),"")</f>
        <v/>
      </c>
      <c r="H6" s="28" t="n">
        <f aca="false">IFERROR(INDEX(Survey_Counts!$N$2:$N$930,MATCH(1,INDEX((Survey_Counts!$A$2:$A$930=H$3)*(Survey_Counts!$B$2:$B$930=$A6),0),0)),"")</f>
        <v>0.121399176954733</v>
      </c>
      <c r="I6" s="28" t="str">
        <f aca="false">IFERROR(INDEX(Survey_Counts!$N$2:$N$930,MATCH(1,INDEX((Survey_Counts!$A$2:$A$930=I$3)*(Survey_Counts!$B$2:$B$930=$A6),0),0)),"")</f>
        <v/>
      </c>
      <c r="J6" s="28" t="str">
        <f aca="false">IFERROR(INDEX(Survey_Counts!$N$2:$N$930,MATCH(1,INDEX((Survey_Counts!$A$2:$A$930=J$3)*(Survey_Counts!$B$2:$B$930=$A6),0),0)),"")</f>
        <v/>
      </c>
      <c r="K6" s="28" t="str">
        <f aca="false">IFERROR(INDEX(Survey_Counts!$N$2:$N$930,MATCH(1,INDEX((Survey_Counts!$A$2:$A$930=K$3)*(Survey_Counts!$B$2:$B$930=$A6),0),0)),"")</f>
        <v/>
      </c>
      <c r="L6" s="28" t="str">
        <f aca="false">IFERROR(INDEX(Survey_Counts!$N$2:$N$930,MATCH(1,INDEX((Survey_Counts!$A$2:$A$930=L$3)*(Survey_Counts!$B$2:$B$930=$A6),0),0)),"")</f>
        <v/>
      </c>
      <c r="M6" s="28" t="str">
        <f aca="false">IFERROR(INDEX(Survey_Counts!$N$2:$N$930,MATCH(1,INDEX((Survey_Counts!$A$2:$A$930=M$3)*(Survey_Counts!$B$2:$B$930=$A6),0),0)),"")</f>
        <v/>
      </c>
      <c r="N6" s="28" t="str">
        <f aca="false">IFERROR(INDEX(Survey_Counts!$N$2:$N$930,MATCH(1,INDEX((Survey_Counts!$A$2:$A$930=N$3)*(Survey_Counts!$B$2:$B$930=$A6),0),0)),"")</f>
        <v/>
      </c>
      <c r="O6" s="28" t="str">
        <f aca="false">IFERROR(INDEX(Survey_Counts!$N$2:$N$930,MATCH(1,INDEX((Survey_Counts!$A$2:$A$930=O$3)*(Survey_Counts!$B$2:$B$930=$A6),0),0)),"")</f>
        <v/>
      </c>
      <c r="P6" s="28" t="str">
        <f aca="false">IFERROR(INDEX(Survey_Counts!$N$2:$N$930,MATCH(1,INDEX((Survey_Counts!$A$2:$A$930=P$3)*(Survey_Counts!$B$2:$B$930=$A6),0),0)),"")</f>
        <v/>
      </c>
      <c r="Q6" s="28" t="str">
        <f aca="false">IFERROR(INDEX(Survey_Counts!$N$2:$N$930,MATCH(1,INDEX((Survey_Counts!$A$2:$A$930=Q$3)*(Survey_Counts!$B$2:$B$930=$A6),0),0)),"")</f>
        <v/>
      </c>
      <c r="R6" s="28" t="str">
        <f aca="false">IFERROR(INDEX(Survey_Counts!$N$2:$N$930,MATCH(1,INDEX((Survey_Counts!$A$2:$A$930=R$3)*(Survey_Counts!$B$2:$B$930=$A6),0),0)),"")</f>
        <v/>
      </c>
      <c r="S6" s="28" t="str">
        <f aca="false">IFERROR(INDEX(Survey_Counts!$N$2:$N$930,MATCH(1,INDEX((Survey_Counts!$A$2:$A$930=S$3)*(Survey_Counts!$B$2:$B$930=$A6),0),0)),"")</f>
        <v/>
      </c>
      <c r="T6" s="28" t="str">
        <f aca="false">IFERROR(INDEX(Survey_Counts!$N$2:$N$930,MATCH(1,INDEX((Survey_Counts!$A$2:$A$930=T$3)*(Survey_Counts!$B$2:$B$930=$A6),0),0)),"")</f>
        <v/>
      </c>
      <c r="U6" s="28" t="str">
        <f aca="false">IFERROR(INDEX(Survey_Counts!$N$2:$N$930,MATCH(1,INDEX((Survey_Counts!$A$2:$A$930=U$3)*(Survey_Counts!$B$2:$B$930=$A6),0),0)),"")</f>
        <v/>
      </c>
      <c r="V6" s="28" t="n">
        <f aca="false">IFERROR(INDEX(Survey_Counts!$N$2:$N$930,MATCH(1,INDEX((Survey_Counts!$A$2:$A$930=V$3)*(Survey_Counts!$B$2:$B$930=$A6),0),0)),"")</f>
        <v>0.0705882352941177</v>
      </c>
      <c r="W6" s="28" t="str">
        <f aca="false">IFERROR(INDEX(Survey_Counts!$N$2:$N$930,MATCH(1,INDEX((Survey_Counts!$A$2:$A$930=W$3)*(Survey_Counts!$B$2:$B$930=$A6),0),0)),"")</f>
        <v/>
      </c>
      <c r="X6" s="28" t="n">
        <f aca="false">IFERROR(INDEX(Survey_Counts!$N$2:$N$930,MATCH(1,INDEX((Survey_Counts!$A$2:$A$930=X$3)*(Survey_Counts!$B$2:$B$930=$A6),0),0)),"")</f>
        <v>0.168724279835391</v>
      </c>
      <c r="Y6" s="28" t="n">
        <f aca="false">IFERROR(INDEX(Survey_Counts!$N$2:$N$930,MATCH(1,INDEX((Survey_Counts!$A$2:$A$930=Y$3)*(Survey_Counts!$B$2:$B$930=$A6),0),0)),"")</f>
        <v>0.207142857142857</v>
      </c>
      <c r="Z6" s="28" t="n">
        <f aca="false">IFERROR(INDEX(Survey_Counts!$N$2:$N$930,MATCH(1,INDEX((Survey_Counts!$A$2:$A$930=Z$3)*(Survey_Counts!$B$2:$B$930=$A6),0),0)),"")</f>
        <v>0</v>
      </c>
      <c r="AA6" s="28" t="str">
        <f aca="false">IFERROR(INDEX(Survey_Counts!$N$2:$N$930,MATCH(1,INDEX((Survey_Counts!$A$2:$A$930=AA$3)*(Survey_Counts!$B$2:$B$930=$A6),0),0)),"")</f>
        <v/>
      </c>
      <c r="AB6" s="28" t="str">
        <f aca="false">IFERROR(INDEX(Survey_Counts!$N$2:$N$930,MATCH(1,INDEX((Survey_Counts!$A$2:$A$930=AB$3)*(Survey_Counts!$B$2:$B$930=$A6),0),0)),"")</f>
        <v/>
      </c>
      <c r="AC6" s="28" t="str">
        <f aca="false">IFERROR(INDEX(Survey_Counts!$N$2:$N$930,MATCH(1,INDEX((Survey_Counts!$A$2:$A$930=AC$3)*(Survey_Counts!$B$2:$B$930=$A6),0),0)),"")</f>
        <v/>
      </c>
      <c r="AD6" s="28" t="str">
        <f aca="false">IFERROR(INDEX(Survey_Counts!$N$2:$N$930,MATCH(1,INDEX((Survey_Counts!$A$2:$A$930=AD$3)*(Survey_Counts!$B$2:$B$930=$A6),0),0)),"")</f>
        <v/>
      </c>
      <c r="AE6" s="28" t="n">
        <f aca="false">IFERROR(INDEX(Survey_Counts!$N$2:$N$930,MATCH(1,INDEX((Survey_Counts!$A$2:$A$930=AE$3)*(Survey_Counts!$B$2:$B$930=$A6),0),0)),"")</f>
        <v>0.0551626591230552</v>
      </c>
      <c r="AF6" s="28" t="str">
        <f aca="false">IFERROR(INDEX(Survey_Counts!$N$2:$N$930,MATCH(1,INDEX((Survey_Counts!$A$2:$A$930=AF$3)*(Survey_Counts!$B$2:$B$930=$A6),0),0)),"")</f>
        <v/>
      </c>
      <c r="AG6" s="28" t="n">
        <f aca="false">IFERROR(INDEX(Survey_Counts!$N$2:$N$930,MATCH(1,INDEX((Survey_Counts!$A$2:$A$930=AG$3)*(Survey_Counts!$B$2:$B$930=$A6),0),0)),"")</f>
        <v>0.0424710424710425</v>
      </c>
      <c r="AH6" s="28" t="str">
        <f aca="false">IFERROR(INDEX(Survey_Counts!$N$2:$N$930,MATCH(1,INDEX((Survey_Counts!$A$2:$A$930=AH$3)*(Survey_Counts!$B$2:$B$930=$A6),0),0)),"")</f>
        <v/>
      </c>
      <c r="AI6" s="28" t="n">
        <f aca="false">IFERROR(INDEX(Survey_Counts!$N$2:$N$930,MATCH(1,INDEX((Survey_Counts!$A$2:$A$930=AI$3)*(Survey_Counts!$B$2:$B$930=$A6),0),0)),"")</f>
        <v>0.139175257731959</v>
      </c>
      <c r="AJ6" s="28" t="str">
        <f aca="false">IFERROR(INDEX(Survey_Counts!$N$2:$N$930,MATCH(1,INDEX((Survey_Counts!$A$2:$A$930=AJ$3)*(Survey_Counts!$B$2:$B$930=$A6),0),0)),"")</f>
        <v/>
      </c>
      <c r="AK6" s="28" t="n">
        <f aca="false">IFERROR(INDEX(Survey_Counts!$N$2:$N$930,MATCH(1,INDEX((Survey_Counts!$A$2:$A$930=AK$3)*(Survey_Counts!$B$2:$B$930=$A6),0),0)),"")</f>
        <v>0.247368421052632</v>
      </c>
      <c r="AL6" s="28" t="n">
        <f aca="false">IFERROR(INDEX(Survey_Counts!$N$2:$N$930,MATCH(1,INDEX((Survey_Counts!$A$2:$A$930=AL$3)*(Survey_Counts!$B$2:$B$930=$A6),0),0)),"")</f>
        <v>0.0324324324324324</v>
      </c>
      <c r="AM6" s="28" t="str">
        <f aca="false">IFERROR(INDEX(Survey_Counts!$N$2:$N$930,MATCH(1,INDEX((Survey_Counts!$A$2:$A$930=AM$3)*(Survey_Counts!$B$2:$B$930=$A6),0),0)),"")</f>
        <v/>
      </c>
      <c r="AN6" s="28" t="str">
        <f aca="false">IFERROR(INDEX(Survey_Counts!$N$2:$N$930,MATCH(1,INDEX((Survey_Counts!$A$2:$A$930=AN$3)*(Survey_Counts!$B$2:$B$930=$A6),0),0)),"")</f>
        <v/>
      </c>
      <c r="AO6" s="28" t="str">
        <f aca="false">IFERROR(INDEX(Survey_Counts!$N$2:$N$930,MATCH(1,INDEX((Survey_Counts!$A$2:$A$930=AO$3)*(Survey_Counts!$B$2:$B$930=$A6),0),0)),"")</f>
        <v/>
      </c>
      <c r="AP6" s="28" t="str">
        <f aca="false">IFERROR(INDEX(Survey_Counts!$N$2:$N$930,MATCH(1,INDEX((Survey_Counts!$A$2:$A$930=AP$3)*(Survey_Counts!$B$2:$B$930=$A6),0),0)),"")</f>
        <v/>
      </c>
      <c r="AQ6" s="28" t="str">
        <f aca="false">IFERROR(INDEX(Survey_Counts!$N$2:$N$930,MATCH(1,INDEX((Survey_Counts!$A$2:$A$930=AQ$3)*(Survey_Counts!$B$2:$B$930=$A6),0),0)),"")</f>
        <v/>
      </c>
      <c r="AR6" s="28" t="str">
        <f aca="false">IFERROR(INDEX(Survey_Counts!$N$2:$N$930,MATCH(1,INDEX((Survey_Counts!$A$2:$A$930=AR$3)*(Survey_Counts!$B$2:$B$930=$A6),0),0)),"")</f>
        <v/>
      </c>
      <c r="AS6" s="28" t="str">
        <f aca="false">IFERROR(INDEX(Survey_Counts!$N$2:$N$930,MATCH(1,INDEX((Survey_Counts!$A$2:$A$930=AS$3)*(Survey_Counts!$B$2:$B$930=$A6),0),0)),"")</f>
        <v/>
      </c>
      <c r="AT6" s="28" t="str">
        <f aca="false">IFERROR(INDEX(Survey_Counts!$N$2:$N$930,MATCH(1,INDEX((Survey_Counts!$A$2:$A$930=AT$3)*(Survey_Counts!$B$2:$B$930=$A6),0),0)),"")</f>
        <v/>
      </c>
      <c r="AU6" s="28" t="str">
        <f aca="false">IFERROR(INDEX(Survey_Counts!$N$2:$N$930,MATCH(1,INDEX((Survey_Counts!$A$2:$A$930=AU$3)*(Survey_Counts!$B$2:$B$930=$A6),0),0)),"")</f>
        <v/>
      </c>
      <c r="AV6" s="28" t="str">
        <f aca="false">IFERROR(INDEX(Survey_Counts!$N$2:$N$930,MATCH(1,INDEX((Survey_Counts!$A$2:$A$930=AV$3)*(Survey_Counts!$B$2:$B$930=$A6),0),0)),"")</f>
        <v/>
      </c>
      <c r="AW6" s="28" t="str">
        <f aca="false">IFERROR(INDEX(Survey_Counts!$N$2:$N$930,MATCH(1,INDEX((Survey_Counts!$A$2:$A$930=AW$3)*(Survey_Counts!$B$2:$B$930=$A6),0),0)),"")</f>
        <v/>
      </c>
      <c r="AX6" s="28" t="str">
        <f aca="false">IFERROR(INDEX(Survey_Counts!$N$2:$N$930,MATCH(1,INDEX((Survey_Counts!$A$2:$A$930=AX$3)*(Survey_Counts!$B$2:$B$930=$A6),0),0)),"")</f>
        <v/>
      </c>
      <c r="AY6" s="28" t="str">
        <f aca="false">IFERROR(INDEX(Survey_Counts!$N$2:$N$930,MATCH(1,INDEX((Survey_Counts!$A$2:$A$930=AY$3)*(Survey_Counts!$B$2:$B$930=$A6),0),0)),"")</f>
        <v/>
      </c>
      <c r="AZ6" s="28" t="str">
        <f aca="false">IFERROR(INDEX(Survey_Counts!$N$2:$N$930,MATCH(1,INDEX((Survey_Counts!$A$2:$A$930=AZ$3)*(Survey_Counts!$B$2:$B$930=$A6),0),0)),"")</f>
        <v/>
      </c>
      <c r="BA6" s="28" t="str">
        <f aca="false">IFERROR(INDEX(Survey_Counts!$N$2:$N$930,MATCH(1,INDEX((Survey_Counts!$A$2:$A$930=BA$3)*(Survey_Counts!$B$2:$B$930=$A6),0),0)),"")</f>
        <v/>
      </c>
      <c r="BB6" s="28" t="str">
        <f aca="false">IFERROR(INDEX(Survey_Counts!$N$2:$N$930,MATCH(1,INDEX((Survey_Counts!$A$2:$A$930=BB$3)*(Survey_Counts!$B$2:$B$930=$A6),0),0)),"")</f>
        <v/>
      </c>
      <c r="BC6" s="28" t="str">
        <f aca="false">IFERROR(INDEX(Survey_Counts!$N$2:$N$930,MATCH(1,INDEX((Survey_Counts!$A$2:$A$930=BC$3)*(Survey_Counts!$B$2:$B$930=$A6),0),0)),"")</f>
        <v/>
      </c>
      <c r="BD6" s="28" t="n">
        <f aca="false">IFERROR(INDEX(Survey_Counts!$N$2:$N$930,MATCH(1,INDEX((Survey_Counts!$A$2:$A$930=BD$3)*(Survey_Counts!$B$2:$B$930=$A6),0),0)),"")</f>
        <v>0.102389078498294</v>
      </c>
      <c r="BE6" s="28" t="str">
        <f aca="false">IFERROR(INDEX(Survey_Counts!$N$2:$N$930,MATCH(1,INDEX((Survey_Counts!$A$2:$A$930=BE$3)*(Survey_Counts!$B$2:$B$930=$A6),0),0)),"")</f>
        <v/>
      </c>
      <c r="BF6" s="28" t="n">
        <f aca="false">IFERROR(INDEX(Survey_Counts!$N$2:$N$930,MATCH(1,INDEX((Survey_Counts!$A$2:$A$930=BF$3)*(Survey_Counts!$B$2:$B$930=$A6),0),0)),"")</f>
        <v>0.0127226463104326</v>
      </c>
    </row>
    <row r="7" customFormat="false" ht="15" hidden="false" customHeight="false" outlineLevel="0" collapsed="false">
      <c r="A7" s="27" t="n">
        <v>3</v>
      </c>
      <c r="B7" s="27" t="s">
        <v>525</v>
      </c>
      <c r="C7" s="27" t="n">
        <v>-180</v>
      </c>
      <c r="D7" s="28" t="n">
        <f aca="false">IFERROR(INDEX(Survey_Counts!$N$2:$N$930,MATCH(1,INDEX((Survey_Counts!$A$2:$A$930=D$3)*(Survey_Counts!$B$2:$B$930=$A7),0),0)),"")</f>
        <v>0.0882352941176471</v>
      </c>
      <c r="E7" s="28" t="n">
        <f aca="false">IFERROR(INDEX(Survey_Counts!$N$2:$N$930,MATCH(1,INDEX((Survey_Counts!$A$2:$A$930=E$3)*(Survey_Counts!$B$2:$B$930=$A7),0),0)),"")</f>
        <v>0.0882352941176471</v>
      </c>
      <c r="F7" s="28" t="n">
        <f aca="false">IFERROR(INDEX(Survey_Counts!$N$2:$N$930,MATCH(1,INDEX((Survey_Counts!$A$2:$A$930=F$3)*(Survey_Counts!$B$2:$B$930=$A7),0),0)),"")</f>
        <v>0.0865800865800866</v>
      </c>
      <c r="G7" s="28" t="n">
        <f aca="false">IFERROR(INDEX(Survey_Counts!$N$2:$N$930,MATCH(1,INDEX((Survey_Counts!$A$2:$A$930=G$3)*(Survey_Counts!$B$2:$B$930=$A7),0),0)),"")</f>
        <v>0.0865800865800866</v>
      </c>
      <c r="H7" s="28" t="n">
        <f aca="false">IFERROR(INDEX(Survey_Counts!$N$2:$N$930,MATCH(1,INDEX((Survey_Counts!$A$2:$A$930=H$3)*(Survey_Counts!$B$2:$B$930=$A7),0),0)),"")</f>
        <v>0.191358024691358</v>
      </c>
      <c r="I7" s="28" t="n">
        <f aca="false">IFERROR(INDEX(Survey_Counts!$N$2:$N$930,MATCH(1,INDEX((Survey_Counts!$A$2:$A$930=I$3)*(Survey_Counts!$B$2:$B$930=$A7),0),0)),"")</f>
        <v>0.0127226463104326</v>
      </c>
      <c r="J7" s="28" t="n">
        <f aca="false">IFERROR(INDEX(Survey_Counts!$N$2:$N$930,MATCH(1,INDEX((Survey_Counts!$A$2:$A$930=J$3)*(Survey_Counts!$B$2:$B$930=$A7),0),0)),"")</f>
        <v>0.00704225352112676</v>
      </c>
      <c r="K7" s="28" t="n">
        <f aca="false">IFERROR(INDEX(Survey_Counts!$N$2:$N$930,MATCH(1,INDEX((Survey_Counts!$A$2:$A$930=K$3)*(Survey_Counts!$B$2:$B$930=$A7),0),0)),"")</f>
        <v>0.0377358490566038</v>
      </c>
      <c r="L7" s="28" t="n">
        <f aca="false">IFERROR(INDEX(Survey_Counts!$N$2:$N$930,MATCH(1,INDEX((Survey_Counts!$A$2:$A$930=L$3)*(Survey_Counts!$B$2:$B$930=$A7),0),0)),"")</f>
        <v>0.069204152249135</v>
      </c>
      <c r="M7" s="28" t="n">
        <f aca="false">IFERROR(INDEX(Survey_Counts!$N$2:$N$930,MATCH(1,INDEX((Survey_Counts!$A$2:$A$930=M$3)*(Survey_Counts!$B$2:$B$930=$A7),0),0)),"")</f>
        <v>0.0266666666666667</v>
      </c>
      <c r="N7" s="28" t="n">
        <f aca="false">IFERROR(INDEX(Survey_Counts!$N$2:$N$930,MATCH(1,INDEX((Survey_Counts!$A$2:$A$930=N$3)*(Survey_Counts!$B$2:$B$930=$A7),0),0)),"")</f>
        <v>0.192439862542955</v>
      </c>
      <c r="O7" s="28" t="n">
        <f aca="false">IFERROR(INDEX(Survey_Counts!$N$2:$N$930,MATCH(1,INDEX((Survey_Counts!$A$2:$A$930=O$3)*(Survey_Counts!$B$2:$B$930=$A7),0),0)),"")</f>
        <v>0.23728813559322</v>
      </c>
      <c r="P7" s="28" t="n">
        <f aca="false">IFERROR(INDEX(Survey_Counts!$N$2:$N$930,MATCH(1,INDEX((Survey_Counts!$A$2:$A$930=P$3)*(Survey_Counts!$B$2:$B$930=$A7),0),0)),"")</f>
        <v>0</v>
      </c>
      <c r="Q7" s="28" t="n">
        <f aca="false">IFERROR(INDEX(Survey_Counts!$N$2:$N$930,MATCH(1,INDEX((Survey_Counts!$A$2:$A$930=Q$3)*(Survey_Counts!$B$2:$B$930=$A7),0),0)),"")</f>
        <v>0</v>
      </c>
      <c r="R7" s="28" t="str">
        <f aca="false">IFERROR(INDEX(Survey_Counts!$N$2:$N$930,MATCH(1,INDEX((Survey_Counts!$A$2:$A$930=R$3)*(Survey_Counts!$B$2:$B$930=$A7),0),0)),"")</f>
        <v/>
      </c>
      <c r="S7" s="28" t="str">
        <f aca="false">IFERROR(INDEX(Survey_Counts!$N$2:$N$930,MATCH(1,INDEX((Survey_Counts!$A$2:$A$930=S$3)*(Survey_Counts!$B$2:$B$930=$A7),0),0)),"")</f>
        <v/>
      </c>
      <c r="T7" s="28" t="n">
        <f aca="false">IFERROR(INDEX(Survey_Counts!$N$2:$N$930,MATCH(1,INDEX((Survey_Counts!$A$2:$A$930=T$3)*(Survey_Counts!$B$2:$B$930=$A7),0),0)),"")</f>
        <v>0.0258342303552207</v>
      </c>
      <c r="U7" s="28" t="n">
        <f aca="false">IFERROR(INDEX(Survey_Counts!$N$2:$N$930,MATCH(1,INDEX((Survey_Counts!$A$2:$A$930=U$3)*(Survey_Counts!$B$2:$B$930=$A7),0),0)),"")</f>
        <v>0.0258342303552207</v>
      </c>
      <c r="V7" s="28" t="n">
        <f aca="false">IFERROR(INDEX(Survey_Counts!$N$2:$N$930,MATCH(1,INDEX((Survey_Counts!$A$2:$A$930=V$3)*(Survey_Counts!$B$2:$B$930=$A7),0),0)),"")</f>
        <v>0.105882352941176</v>
      </c>
      <c r="W7" s="28" t="n">
        <f aca="false">IFERROR(INDEX(Survey_Counts!$N$2:$N$930,MATCH(1,INDEX((Survey_Counts!$A$2:$A$930=W$3)*(Survey_Counts!$B$2:$B$930=$A7),0),0)),"")</f>
        <v>0.0731707317073171</v>
      </c>
      <c r="X7" s="28" t="n">
        <f aca="false">IFERROR(INDEX(Survey_Counts!$N$2:$N$930,MATCH(1,INDEX((Survey_Counts!$A$2:$A$930=X$3)*(Survey_Counts!$B$2:$B$930=$A7),0),0)),"")</f>
        <v>0.27880658436214</v>
      </c>
      <c r="Y7" s="28" t="n">
        <f aca="false">IFERROR(INDEX(Survey_Counts!$N$2:$N$930,MATCH(1,INDEX((Survey_Counts!$A$2:$A$930=Y$3)*(Survey_Counts!$B$2:$B$930=$A7),0),0)),"")</f>
        <v>0.285714285714286</v>
      </c>
      <c r="Z7" s="28" t="n">
        <f aca="false">IFERROR(INDEX(Survey_Counts!$N$2:$N$930,MATCH(1,INDEX((Survey_Counts!$A$2:$A$930=Z$3)*(Survey_Counts!$B$2:$B$930=$A7),0),0)),"")</f>
        <v>0</v>
      </c>
      <c r="AA7" s="28" t="str">
        <f aca="false">IFERROR(INDEX(Survey_Counts!$N$2:$N$930,MATCH(1,INDEX((Survey_Counts!$A$2:$A$930=AA$3)*(Survey_Counts!$B$2:$B$930=$A7),0),0)),"")</f>
        <v/>
      </c>
      <c r="AB7" s="28" t="str">
        <f aca="false">IFERROR(INDEX(Survey_Counts!$N$2:$N$930,MATCH(1,INDEX((Survey_Counts!$A$2:$A$930=AB$3)*(Survey_Counts!$B$2:$B$930=$A7),0),0)),"")</f>
        <v/>
      </c>
      <c r="AC7" s="28" t="str">
        <f aca="false">IFERROR(INDEX(Survey_Counts!$N$2:$N$930,MATCH(1,INDEX((Survey_Counts!$A$2:$A$930=AC$3)*(Survey_Counts!$B$2:$B$930=$A7),0),0)),"")</f>
        <v/>
      </c>
      <c r="AD7" s="28" t="str">
        <f aca="false">IFERROR(INDEX(Survey_Counts!$N$2:$N$930,MATCH(1,INDEX((Survey_Counts!$A$2:$A$930=AD$3)*(Survey_Counts!$B$2:$B$930=$A7),0),0)),"")</f>
        <v/>
      </c>
      <c r="AE7" s="28" t="n">
        <f aca="false">IFERROR(INDEX(Survey_Counts!$N$2:$N$930,MATCH(1,INDEX((Survey_Counts!$A$2:$A$930=AE$3)*(Survey_Counts!$B$2:$B$930=$A7),0),0)),"")</f>
        <v>0.0933521923620934</v>
      </c>
      <c r="AF7" s="28" t="n">
        <f aca="false">IFERROR(INDEX(Survey_Counts!$N$2:$N$930,MATCH(1,INDEX((Survey_Counts!$A$2:$A$930=AF$3)*(Survey_Counts!$B$2:$B$930=$A7),0),0)),"")</f>
        <v>0.0933521923620934</v>
      </c>
      <c r="AG7" s="28" t="n">
        <f aca="false">IFERROR(INDEX(Survey_Counts!$N$2:$N$930,MATCH(1,INDEX((Survey_Counts!$A$2:$A$930=AG$3)*(Survey_Counts!$B$2:$B$930=$A7),0),0)),"")</f>
        <v>0.0888030888030888</v>
      </c>
      <c r="AH7" s="28" t="n">
        <f aca="false">IFERROR(INDEX(Survey_Counts!$N$2:$N$930,MATCH(1,INDEX((Survey_Counts!$A$2:$A$930=AH$3)*(Survey_Counts!$B$2:$B$930=$A7),0),0)),"")</f>
        <v>0.0888030888030888</v>
      </c>
      <c r="AI7" s="28" t="n">
        <f aca="false">IFERROR(INDEX(Survey_Counts!$N$2:$N$930,MATCH(1,INDEX((Survey_Counts!$A$2:$A$930=AI$3)*(Survey_Counts!$B$2:$B$930=$A7),0),0)),"")</f>
        <v>0.221649484536082</v>
      </c>
      <c r="AJ7" s="28" t="n">
        <f aca="false">IFERROR(INDEX(Survey_Counts!$N$2:$N$930,MATCH(1,INDEX((Survey_Counts!$A$2:$A$930=AJ$3)*(Survey_Counts!$B$2:$B$930=$A7),0),0)),"")</f>
        <v>0.221649484536082</v>
      </c>
      <c r="AK7" s="28" t="n">
        <f aca="false">IFERROR(INDEX(Survey_Counts!$N$2:$N$930,MATCH(1,INDEX((Survey_Counts!$A$2:$A$930=AK$3)*(Survey_Counts!$B$2:$B$930=$A7),0),0)),"")</f>
        <v>0.336842105263158</v>
      </c>
      <c r="AL7" s="28" t="n">
        <f aca="false">IFERROR(INDEX(Survey_Counts!$N$2:$N$930,MATCH(1,INDEX((Survey_Counts!$A$2:$A$930=AL$3)*(Survey_Counts!$B$2:$B$930=$A7),0),0)),"")</f>
        <v>0.0810810810810811</v>
      </c>
      <c r="AM7" s="28" t="n">
        <f aca="false">IFERROR(INDEX(Survey_Counts!$N$2:$N$930,MATCH(1,INDEX((Survey_Counts!$A$2:$A$930=AM$3)*(Survey_Counts!$B$2:$B$930=$A7),0),0)),"")</f>
        <v>0.00836820083682008</v>
      </c>
      <c r="AN7" s="28" t="n">
        <f aca="false">IFERROR(INDEX(Survey_Counts!$N$2:$N$930,MATCH(1,INDEX((Survey_Counts!$A$2:$A$930=AN$3)*(Survey_Counts!$B$2:$B$930=$A7),0),0)),"")</f>
        <v>0</v>
      </c>
      <c r="AO7" s="28" t="n">
        <f aca="false">IFERROR(INDEX(Survey_Counts!$N$2:$N$930,MATCH(1,INDEX((Survey_Counts!$A$2:$A$930=AO$3)*(Survey_Counts!$B$2:$B$930=$A7),0),0)),"")</f>
        <v>0.0716612377850163</v>
      </c>
      <c r="AP7" s="28" t="n">
        <f aca="false">IFERROR(INDEX(Survey_Counts!$N$2:$N$930,MATCH(1,INDEX((Survey_Counts!$A$2:$A$930=AP$3)*(Survey_Counts!$B$2:$B$930=$A7),0),0)),"")</f>
        <v>0.137254901960784</v>
      </c>
      <c r="AQ7" s="28" t="n">
        <f aca="false">IFERROR(INDEX(Survey_Counts!$N$2:$N$930,MATCH(1,INDEX((Survey_Counts!$A$2:$A$930=AQ$3)*(Survey_Counts!$B$2:$B$930=$A7),0),0)),"")</f>
        <v>0.130841121495327</v>
      </c>
      <c r="AR7" s="28" t="n">
        <f aca="false">IFERROR(INDEX(Survey_Counts!$N$2:$N$930,MATCH(1,INDEX((Survey_Counts!$A$2:$A$930=AR$3)*(Survey_Counts!$B$2:$B$930=$A7),0),0)),"")</f>
        <v>0.170212765957447</v>
      </c>
      <c r="AS7" s="28" t="n">
        <f aca="false">IFERROR(INDEX(Survey_Counts!$N$2:$N$930,MATCH(1,INDEX((Survey_Counts!$A$2:$A$930=AS$3)*(Survey_Counts!$B$2:$B$930=$A7),0),0)),"")</f>
        <v>0.0122324159021407</v>
      </c>
      <c r="AT7" s="28" t="str">
        <f aca="false">IFERROR(INDEX(Survey_Counts!$N$2:$N$930,MATCH(1,INDEX((Survey_Counts!$A$2:$A$930=AT$3)*(Survey_Counts!$B$2:$B$930=$A7),0),0)),"")</f>
        <v/>
      </c>
      <c r="AU7" s="28" t="str">
        <f aca="false">IFERROR(INDEX(Survey_Counts!$N$2:$N$930,MATCH(1,INDEX((Survey_Counts!$A$2:$A$930=AU$3)*(Survey_Counts!$B$2:$B$930=$A7),0),0)),"")</f>
        <v/>
      </c>
      <c r="AV7" s="28" t="str">
        <f aca="false">IFERROR(INDEX(Survey_Counts!$N$2:$N$930,MATCH(1,INDEX((Survey_Counts!$A$2:$A$930=AV$3)*(Survey_Counts!$B$2:$B$930=$A7),0),0)),"")</f>
        <v/>
      </c>
      <c r="AW7" s="28" t="str">
        <f aca="false">IFERROR(INDEX(Survey_Counts!$N$2:$N$930,MATCH(1,INDEX((Survey_Counts!$A$2:$A$930=AW$3)*(Survey_Counts!$B$2:$B$930=$A7),0),0)),"")</f>
        <v/>
      </c>
      <c r="AX7" s="28" t="str">
        <f aca="false">IFERROR(INDEX(Survey_Counts!$N$2:$N$930,MATCH(1,INDEX((Survey_Counts!$A$2:$A$930=AX$3)*(Survey_Counts!$B$2:$B$930=$A7),0),0)),"")</f>
        <v/>
      </c>
      <c r="AY7" s="28" t="str">
        <f aca="false">IFERROR(INDEX(Survey_Counts!$N$2:$N$930,MATCH(1,INDEX((Survey_Counts!$A$2:$A$930=AY$3)*(Survey_Counts!$B$2:$B$930=$A7),0),0)),"")</f>
        <v/>
      </c>
      <c r="AZ7" s="28" t="n">
        <f aca="false">IFERROR(INDEX(Survey_Counts!$N$2:$N$930,MATCH(1,INDEX((Survey_Counts!$A$2:$A$930=AZ$3)*(Survey_Counts!$B$2:$B$930=$A7),0),0)),"")</f>
        <v>0.00919540229885058</v>
      </c>
      <c r="BA7" s="28" t="n">
        <f aca="false">IFERROR(INDEX(Survey_Counts!$N$2:$N$930,MATCH(1,INDEX((Survey_Counts!$A$2:$A$930=BA$3)*(Survey_Counts!$B$2:$B$930=$A7),0),0)),"")</f>
        <v>0.00919540229885058</v>
      </c>
      <c r="BB7" s="28" t="n">
        <f aca="false">IFERROR(INDEX(Survey_Counts!$N$2:$N$930,MATCH(1,INDEX((Survey_Counts!$A$2:$A$930=BB$3)*(Survey_Counts!$B$2:$B$930=$A7),0),0)),"")</f>
        <v>0.00862068965517241</v>
      </c>
      <c r="BC7" s="28" t="n">
        <f aca="false">IFERROR(INDEX(Survey_Counts!$N$2:$N$930,MATCH(1,INDEX((Survey_Counts!$A$2:$A$930=BC$3)*(Survey_Counts!$B$2:$B$930=$A7),0),0)),"")</f>
        <v>0.228571428571429</v>
      </c>
      <c r="BD7" s="28" t="n">
        <f aca="false">IFERROR(INDEX(Survey_Counts!$N$2:$N$930,MATCH(1,INDEX((Survey_Counts!$A$2:$A$930=BD$3)*(Survey_Counts!$B$2:$B$930=$A7),0),0)),"")</f>
        <v>0.187713310580205</v>
      </c>
      <c r="BE7" s="28" t="n">
        <f aca="false">IFERROR(INDEX(Survey_Counts!$N$2:$N$930,MATCH(1,INDEX((Survey_Counts!$A$2:$A$930=BE$3)*(Survey_Counts!$B$2:$B$930=$A7),0),0)),"")</f>
        <v>0.0460526315789474</v>
      </c>
      <c r="BF7" s="28" t="n">
        <f aca="false">IFERROR(INDEX(Survey_Counts!$N$2:$N$930,MATCH(1,INDEX((Survey_Counts!$A$2:$A$930=BF$3)*(Survey_Counts!$B$2:$B$930=$A7),0),0)),"")</f>
        <v>0.0381679389312977</v>
      </c>
    </row>
    <row r="8" customFormat="false" ht="15" hidden="false" customHeight="false" outlineLevel="0" collapsed="false">
      <c r="A8" s="27" t="n">
        <v>4</v>
      </c>
      <c r="B8" s="27" t="s">
        <v>526</v>
      </c>
      <c r="C8" s="27" t="n">
        <v>-165</v>
      </c>
      <c r="D8" s="28" t="n">
        <f aca="false">IFERROR(INDEX(Survey_Counts!$N$2:$N$930,MATCH(1,INDEX((Survey_Counts!$A$2:$A$930=D$3)*(Survey_Counts!$B$2:$B$930=$A8),0),0)),"")</f>
        <v>0.155080213903743</v>
      </c>
      <c r="E8" s="28" t="n">
        <f aca="false">IFERROR(INDEX(Survey_Counts!$N$2:$N$930,MATCH(1,INDEX((Survey_Counts!$A$2:$A$930=E$3)*(Survey_Counts!$B$2:$B$930=$A8),0),0)),"")</f>
        <v>0.155080213903743</v>
      </c>
      <c r="F8" s="28" t="n">
        <f aca="false">IFERROR(INDEX(Survey_Counts!$N$2:$N$930,MATCH(1,INDEX((Survey_Counts!$A$2:$A$930=F$3)*(Survey_Counts!$B$2:$B$930=$A8),0),0)),"")</f>
        <v>0.147186147186147</v>
      </c>
      <c r="G8" s="28" t="n">
        <f aca="false">IFERROR(INDEX(Survey_Counts!$N$2:$N$930,MATCH(1,INDEX((Survey_Counts!$A$2:$A$930=G$3)*(Survey_Counts!$B$2:$B$930=$A8),0),0)),"")</f>
        <v>0.147186147186147</v>
      </c>
      <c r="H8" s="28" t="n">
        <f aca="false">IFERROR(INDEX(Survey_Counts!$N$2:$N$930,MATCH(1,INDEX((Survey_Counts!$A$2:$A$930=H$3)*(Survey_Counts!$B$2:$B$930=$A8),0),0)),"")</f>
        <v>0.288065843621399</v>
      </c>
      <c r="I8" s="28" t="n">
        <f aca="false">IFERROR(INDEX(Survey_Counts!$N$2:$N$930,MATCH(1,INDEX((Survey_Counts!$A$2:$A$930=I$3)*(Survey_Counts!$B$2:$B$930=$A8),0),0)),"")</f>
        <v>0.0203562340966921</v>
      </c>
      <c r="J8" s="28" t="n">
        <f aca="false">IFERROR(INDEX(Survey_Counts!$N$2:$N$930,MATCH(1,INDEX((Survey_Counts!$A$2:$A$930=J$3)*(Survey_Counts!$B$2:$B$930=$A8),0),0)),"")</f>
        <v>0.0164319248826291</v>
      </c>
      <c r="K8" s="28" t="n">
        <f aca="false">IFERROR(INDEX(Survey_Counts!$N$2:$N$930,MATCH(1,INDEX((Survey_Counts!$A$2:$A$930=K$3)*(Survey_Counts!$B$2:$B$930=$A8),0),0)),"")</f>
        <v>0.0566037735849057</v>
      </c>
      <c r="L8" s="28" t="n">
        <f aca="false">IFERROR(INDEX(Survey_Counts!$N$2:$N$930,MATCH(1,INDEX((Survey_Counts!$A$2:$A$930=L$3)*(Survey_Counts!$B$2:$B$930=$A8),0),0)),"")</f>
        <v>0.1280276816609</v>
      </c>
      <c r="M8" s="28" t="n">
        <f aca="false">IFERROR(INDEX(Survey_Counts!$N$2:$N$930,MATCH(1,INDEX((Survey_Counts!$A$2:$A$930=M$3)*(Survey_Counts!$B$2:$B$930=$A8),0),0)),"")</f>
        <v>0.048</v>
      </c>
      <c r="N8" s="28" t="n">
        <f aca="false">IFERROR(INDEX(Survey_Counts!$N$2:$N$930,MATCH(1,INDEX((Survey_Counts!$A$2:$A$930=N$3)*(Survey_Counts!$B$2:$B$930=$A8),0),0)),"")</f>
        <v>0.278350515463918</v>
      </c>
      <c r="O8" s="28" t="n">
        <f aca="false">IFERROR(INDEX(Survey_Counts!$N$2:$N$930,MATCH(1,INDEX((Survey_Counts!$A$2:$A$930=O$3)*(Survey_Counts!$B$2:$B$930=$A8),0),0)),"")</f>
        <v>0.203389830508475</v>
      </c>
      <c r="P8" s="28" t="n">
        <f aca="false">IFERROR(INDEX(Survey_Counts!$N$2:$N$930,MATCH(1,INDEX((Survey_Counts!$A$2:$A$930=P$3)*(Survey_Counts!$B$2:$B$930=$A8),0),0)),"")</f>
        <v>0</v>
      </c>
      <c r="Q8" s="28" t="n">
        <f aca="false">IFERROR(INDEX(Survey_Counts!$N$2:$N$930,MATCH(1,INDEX((Survey_Counts!$A$2:$A$930=Q$3)*(Survey_Counts!$B$2:$B$930=$A8),0),0)),"")</f>
        <v>0</v>
      </c>
      <c r="R8" s="28" t="n">
        <f aca="false">IFERROR(INDEX(Survey_Counts!$N$2:$N$930,MATCH(1,INDEX((Survey_Counts!$A$2:$A$930=R$3)*(Survey_Counts!$B$2:$B$930=$A8),0),0)),"")</f>
        <v>0.197525597269625</v>
      </c>
      <c r="S8" s="28" t="n">
        <f aca="false">IFERROR(INDEX(Survey_Counts!$N$2:$N$930,MATCH(1,INDEX((Survey_Counts!$A$2:$A$930=S$3)*(Survey_Counts!$B$2:$B$930=$A8),0),0)),"")</f>
        <v>0.197525597269625</v>
      </c>
      <c r="T8" s="28" t="n">
        <f aca="false">IFERROR(INDEX(Survey_Counts!$N$2:$N$930,MATCH(1,INDEX((Survey_Counts!$A$2:$A$930=T$3)*(Survey_Counts!$B$2:$B$930=$A8),0),0)),"")</f>
        <v>0.0958019375672767</v>
      </c>
      <c r="U8" s="28" t="n">
        <f aca="false">IFERROR(INDEX(Survey_Counts!$N$2:$N$930,MATCH(1,INDEX((Survey_Counts!$A$2:$A$930=U$3)*(Survey_Counts!$B$2:$B$930=$A8),0),0)),"")</f>
        <v>0.0958019375672767</v>
      </c>
      <c r="V8" s="28" t="n">
        <f aca="false">IFERROR(INDEX(Survey_Counts!$N$2:$N$930,MATCH(1,INDEX((Survey_Counts!$A$2:$A$930=V$3)*(Survey_Counts!$B$2:$B$930=$A8),0),0)),"")</f>
        <v>0.176470588235294</v>
      </c>
      <c r="W8" s="28" t="n">
        <f aca="false">IFERROR(INDEX(Survey_Counts!$N$2:$N$930,MATCH(1,INDEX((Survey_Counts!$A$2:$A$930=W$3)*(Survey_Counts!$B$2:$B$930=$A8),0),0)),"")</f>
        <v>0.146341463414634</v>
      </c>
      <c r="X8" s="28" t="n">
        <f aca="false">IFERROR(INDEX(Survey_Counts!$N$2:$N$930,MATCH(1,INDEX((Survey_Counts!$A$2:$A$930=X$3)*(Survey_Counts!$B$2:$B$930=$A8),0),0)),"")</f>
        <v>0.396090534979424</v>
      </c>
      <c r="Y8" s="28" t="n">
        <f aca="false">IFERROR(INDEX(Survey_Counts!$N$2:$N$930,MATCH(1,INDEX((Survey_Counts!$A$2:$A$930=Y$3)*(Survey_Counts!$B$2:$B$930=$A8),0),0)),"")</f>
        <v>0.364285714285714</v>
      </c>
      <c r="Z8" s="28" t="n">
        <f aca="false">IFERROR(INDEX(Survey_Counts!$N$2:$N$930,MATCH(1,INDEX((Survey_Counts!$A$2:$A$930=Z$3)*(Survey_Counts!$B$2:$B$930=$A8),0),0)),"")</f>
        <v>0.0139165009940358</v>
      </c>
      <c r="AA8" s="28" t="str">
        <f aca="false">IFERROR(INDEX(Survey_Counts!$N$2:$N$930,MATCH(1,INDEX((Survey_Counts!$A$2:$A$930=AA$3)*(Survey_Counts!$B$2:$B$930=$A8),0),0)),"")</f>
        <v/>
      </c>
      <c r="AB8" s="28" t="str">
        <f aca="false">IFERROR(INDEX(Survey_Counts!$N$2:$N$930,MATCH(1,INDEX((Survey_Counts!$A$2:$A$930=AB$3)*(Survey_Counts!$B$2:$B$930=$A8),0),0)),"")</f>
        <v/>
      </c>
      <c r="AC8" s="28" t="str">
        <f aca="false">IFERROR(INDEX(Survey_Counts!$N$2:$N$930,MATCH(1,INDEX((Survey_Counts!$A$2:$A$930=AC$3)*(Survey_Counts!$B$2:$B$930=$A8),0),0)),"")</f>
        <v/>
      </c>
      <c r="AD8" s="28" t="str">
        <f aca="false">IFERROR(INDEX(Survey_Counts!$N$2:$N$930,MATCH(1,INDEX((Survey_Counts!$A$2:$A$930=AD$3)*(Survey_Counts!$B$2:$B$930=$A8),0),0)),"")</f>
        <v/>
      </c>
      <c r="AE8" s="28" t="n">
        <f aca="false">IFERROR(INDEX(Survey_Counts!$N$2:$N$930,MATCH(1,INDEX((Survey_Counts!$A$2:$A$930=AE$3)*(Survey_Counts!$B$2:$B$930=$A8),0),0)),"")</f>
        <v>0.158415841584158</v>
      </c>
      <c r="AF8" s="28" t="n">
        <f aca="false">IFERROR(INDEX(Survey_Counts!$N$2:$N$930,MATCH(1,INDEX((Survey_Counts!$A$2:$A$930=AF$3)*(Survey_Counts!$B$2:$B$930=$A8),0),0)),"")</f>
        <v>0.158415841584158</v>
      </c>
      <c r="AG8" s="28" t="n">
        <f aca="false">IFERROR(INDEX(Survey_Counts!$N$2:$N$930,MATCH(1,INDEX((Survey_Counts!$A$2:$A$930=AG$3)*(Survey_Counts!$B$2:$B$930=$A8),0),0)),"")</f>
        <v>0.162162162162162</v>
      </c>
      <c r="AH8" s="28" t="n">
        <f aca="false">IFERROR(INDEX(Survey_Counts!$N$2:$N$930,MATCH(1,INDEX((Survey_Counts!$A$2:$A$930=AH$3)*(Survey_Counts!$B$2:$B$930=$A8),0),0)),"")</f>
        <v>0.162162162162162</v>
      </c>
      <c r="AI8" s="28" t="n">
        <f aca="false">IFERROR(INDEX(Survey_Counts!$N$2:$N$930,MATCH(1,INDEX((Survey_Counts!$A$2:$A$930=AI$3)*(Survey_Counts!$B$2:$B$930=$A8),0),0)),"")</f>
        <v>0.304123711340206</v>
      </c>
      <c r="AJ8" s="28" t="n">
        <f aca="false">IFERROR(INDEX(Survey_Counts!$N$2:$N$930,MATCH(1,INDEX((Survey_Counts!$A$2:$A$930=AJ$3)*(Survey_Counts!$B$2:$B$930=$A8),0),0)),"")</f>
        <v>0.304123711340206</v>
      </c>
      <c r="AK8" s="28" t="n">
        <f aca="false">IFERROR(INDEX(Survey_Counts!$N$2:$N$930,MATCH(1,INDEX((Survey_Counts!$A$2:$A$930=AK$3)*(Survey_Counts!$B$2:$B$930=$A8),0),0)),"")</f>
        <v>0.505263157894737</v>
      </c>
      <c r="AL8" s="28" t="n">
        <f aca="false">IFERROR(INDEX(Survey_Counts!$N$2:$N$930,MATCH(1,INDEX((Survey_Counts!$A$2:$A$930=AL$3)*(Survey_Counts!$B$2:$B$930=$A8),0),0)),"")</f>
        <v>0.108108108108108</v>
      </c>
      <c r="AM8" s="28" t="n">
        <f aca="false">IFERROR(INDEX(Survey_Counts!$N$2:$N$930,MATCH(1,INDEX((Survey_Counts!$A$2:$A$930=AM$3)*(Survey_Counts!$B$2:$B$930=$A8),0),0)),"")</f>
        <v>0.0125523012552301</v>
      </c>
      <c r="AN8" s="28" t="n">
        <f aca="false">IFERROR(INDEX(Survey_Counts!$N$2:$N$930,MATCH(1,INDEX((Survey_Counts!$A$2:$A$930=AN$3)*(Survey_Counts!$B$2:$B$930=$A8),0),0)),"")</f>
        <v>0</v>
      </c>
      <c r="AO8" s="28" t="n">
        <f aca="false">IFERROR(INDEX(Survey_Counts!$N$2:$N$930,MATCH(1,INDEX((Survey_Counts!$A$2:$A$930=AO$3)*(Survey_Counts!$B$2:$B$930=$A8),0),0)),"")</f>
        <v>0.120521172638437</v>
      </c>
      <c r="AP8" s="28" t="n">
        <f aca="false">IFERROR(INDEX(Survey_Counts!$N$2:$N$930,MATCH(1,INDEX((Survey_Counts!$A$2:$A$930=AP$3)*(Survey_Counts!$B$2:$B$930=$A8),0),0)),"")</f>
        <v>0.176470588235294</v>
      </c>
      <c r="AQ8" s="28" t="n">
        <f aca="false">IFERROR(INDEX(Survey_Counts!$N$2:$N$930,MATCH(1,INDEX((Survey_Counts!$A$2:$A$930=AQ$3)*(Survey_Counts!$B$2:$B$930=$A8),0),0)),"")</f>
        <v>0.168224299065421</v>
      </c>
      <c r="AR8" s="28" t="n">
        <f aca="false">IFERROR(INDEX(Survey_Counts!$N$2:$N$930,MATCH(1,INDEX((Survey_Counts!$A$2:$A$930=AR$3)*(Survey_Counts!$B$2:$B$930=$A8),0),0)),"")</f>
        <v>0.263829787234043</v>
      </c>
      <c r="AS8" s="28" t="n">
        <f aca="false">IFERROR(INDEX(Survey_Counts!$N$2:$N$930,MATCH(1,INDEX((Survey_Counts!$A$2:$A$930=AS$3)*(Survey_Counts!$B$2:$B$930=$A8),0),0)),"")</f>
        <v>0.0275229357798165</v>
      </c>
      <c r="AT8" s="28" t="str">
        <f aca="false">IFERROR(INDEX(Survey_Counts!$N$2:$N$930,MATCH(1,INDEX((Survey_Counts!$A$2:$A$930=AT$3)*(Survey_Counts!$B$2:$B$930=$A8),0),0)),"")</f>
        <v/>
      </c>
      <c r="AU8" s="28" t="str">
        <f aca="false">IFERROR(INDEX(Survey_Counts!$N$2:$N$930,MATCH(1,INDEX((Survey_Counts!$A$2:$A$930=AU$3)*(Survey_Counts!$B$2:$B$930=$A8),0),0)),"")</f>
        <v/>
      </c>
      <c r="AV8" s="28" t="str">
        <f aca="false">IFERROR(INDEX(Survey_Counts!$N$2:$N$930,MATCH(1,INDEX((Survey_Counts!$A$2:$A$930=AV$3)*(Survey_Counts!$B$2:$B$930=$A8),0),0)),"")</f>
        <v/>
      </c>
      <c r="AW8" s="28" t="str">
        <f aca="false">IFERROR(INDEX(Survey_Counts!$N$2:$N$930,MATCH(1,INDEX((Survey_Counts!$A$2:$A$930=AW$3)*(Survey_Counts!$B$2:$B$930=$A8),0),0)),"")</f>
        <v/>
      </c>
      <c r="AX8" s="28" t="str">
        <f aca="false">IFERROR(INDEX(Survey_Counts!$N$2:$N$930,MATCH(1,INDEX((Survey_Counts!$A$2:$A$930=AX$3)*(Survey_Counts!$B$2:$B$930=$A8),0),0)),"")</f>
        <v/>
      </c>
      <c r="AY8" s="28" t="str">
        <f aca="false">IFERROR(INDEX(Survey_Counts!$N$2:$N$930,MATCH(1,INDEX((Survey_Counts!$A$2:$A$930=AY$3)*(Survey_Counts!$B$2:$B$930=$A8),0),0)),"")</f>
        <v/>
      </c>
      <c r="AZ8" s="28" t="n">
        <f aca="false">IFERROR(INDEX(Survey_Counts!$N$2:$N$930,MATCH(1,INDEX((Survey_Counts!$A$2:$A$930=AZ$3)*(Survey_Counts!$B$2:$B$930=$A8),0),0)),"")</f>
        <v>0.032183908045977</v>
      </c>
      <c r="BA8" s="28" t="n">
        <f aca="false">IFERROR(INDEX(Survey_Counts!$N$2:$N$930,MATCH(1,INDEX((Survey_Counts!$A$2:$A$930=BA$3)*(Survey_Counts!$B$2:$B$930=$A8),0),0)),"")</f>
        <v>0.032183908045977</v>
      </c>
      <c r="BB8" s="28" t="n">
        <f aca="false">IFERROR(INDEX(Survey_Counts!$N$2:$N$930,MATCH(1,INDEX((Survey_Counts!$A$2:$A$930=BB$3)*(Survey_Counts!$B$2:$B$930=$A8),0),0)),"")</f>
        <v>0.00862068965517241</v>
      </c>
      <c r="BC8" s="28" t="n">
        <f aca="false">IFERROR(INDEX(Survey_Counts!$N$2:$N$930,MATCH(1,INDEX((Survey_Counts!$A$2:$A$930=BC$3)*(Survey_Counts!$B$2:$B$930=$A8),0),0)),"")</f>
        <v>0.261224489795918</v>
      </c>
      <c r="BD8" s="28" t="n">
        <f aca="false">IFERROR(INDEX(Survey_Counts!$N$2:$N$930,MATCH(1,INDEX((Survey_Counts!$A$2:$A$930=BD$3)*(Survey_Counts!$B$2:$B$930=$A8),0),0)),"")</f>
        <v>0.266211604095563</v>
      </c>
      <c r="BE8" s="28" t="n">
        <f aca="false">IFERROR(INDEX(Survey_Counts!$N$2:$N$930,MATCH(1,INDEX((Survey_Counts!$A$2:$A$930=BE$3)*(Survey_Counts!$B$2:$B$930=$A8),0),0)),"")</f>
        <v>0.0789473684210526</v>
      </c>
      <c r="BF8" s="28" t="n">
        <f aca="false">IFERROR(INDEX(Survey_Counts!$N$2:$N$930,MATCH(1,INDEX((Survey_Counts!$A$2:$A$930=BF$3)*(Survey_Counts!$B$2:$B$930=$A8),0),0)),"")</f>
        <v>0.0737913486005089</v>
      </c>
    </row>
    <row r="9" customFormat="false" ht="15" hidden="false" customHeight="false" outlineLevel="0" collapsed="false">
      <c r="A9" s="27" t="n">
        <v>5</v>
      </c>
      <c r="B9" s="27" t="s">
        <v>527</v>
      </c>
      <c r="C9" s="27" t="n">
        <v>-150</v>
      </c>
      <c r="D9" s="28" t="n">
        <f aca="false">IFERROR(INDEX(Survey_Counts!$N$2:$N$930,MATCH(1,INDEX((Survey_Counts!$A$2:$A$930=D$3)*(Survey_Counts!$B$2:$B$930=$A9),0),0)),"")</f>
        <v>0.245989304812834</v>
      </c>
      <c r="E9" s="28" t="n">
        <f aca="false">IFERROR(INDEX(Survey_Counts!$N$2:$N$930,MATCH(1,INDEX((Survey_Counts!$A$2:$A$930=E$3)*(Survey_Counts!$B$2:$B$930=$A9),0),0)),"")</f>
        <v>0.245989304812834</v>
      </c>
      <c r="F9" s="28" t="n">
        <f aca="false">IFERROR(INDEX(Survey_Counts!$N$2:$N$930,MATCH(1,INDEX((Survey_Counts!$A$2:$A$930=F$3)*(Survey_Counts!$B$2:$B$930=$A9),0),0)),"")</f>
        <v>0.255411255411255</v>
      </c>
      <c r="G9" s="28" t="n">
        <f aca="false">IFERROR(INDEX(Survey_Counts!$N$2:$N$930,MATCH(1,INDEX((Survey_Counts!$A$2:$A$930=G$3)*(Survey_Counts!$B$2:$B$930=$A9),0),0)),"")</f>
        <v>0.255411255411255</v>
      </c>
      <c r="H9" s="28" t="n">
        <f aca="false">IFERROR(INDEX(Survey_Counts!$N$2:$N$930,MATCH(1,INDEX((Survey_Counts!$A$2:$A$930=H$3)*(Survey_Counts!$B$2:$B$930=$A9),0),0)),"")</f>
        <v>0.38477366255144</v>
      </c>
      <c r="I9" s="28" t="n">
        <f aca="false">IFERROR(INDEX(Survey_Counts!$N$2:$N$930,MATCH(1,INDEX((Survey_Counts!$A$2:$A$930=I$3)*(Survey_Counts!$B$2:$B$930=$A9),0),0)),"")</f>
        <v>0.104325699745547</v>
      </c>
      <c r="J9" s="28" t="n">
        <f aca="false">IFERROR(INDEX(Survey_Counts!$N$2:$N$930,MATCH(1,INDEX((Survey_Counts!$A$2:$A$930=J$3)*(Survey_Counts!$B$2:$B$930=$A9),0),0)),"")</f>
        <v>0.0516431924882629</v>
      </c>
      <c r="K9" s="28" t="n">
        <f aca="false">IFERROR(INDEX(Survey_Counts!$N$2:$N$930,MATCH(1,INDEX((Survey_Counts!$A$2:$A$930=K$3)*(Survey_Counts!$B$2:$B$930=$A9),0),0)),"")</f>
        <v>0.0849056603773585</v>
      </c>
      <c r="L9" s="28" t="n">
        <f aca="false">IFERROR(INDEX(Survey_Counts!$N$2:$N$930,MATCH(1,INDEX((Survey_Counts!$A$2:$A$930=L$3)*(Survey_Counts!$B$2:$B$930=$A9),0),0)),"")</f>
        <v>0.200692041522491</v>
      </c>
      <c r="M9" s="28" t="n">
        <f aca="false">IFERROR(INDEX(Survey_Counts!$N$2:$N$930,MATCH(1,INDEX((Survey_Counts!$A$2:$A$930=M$3)*(Survey_Counts!$B$2:$B$930=$A9),0),0)),"")</f>
        <v>0.0746666666666667</v>
      </c>
      <c r="N9" s="28" t="n">
        <f aca="false">IFERROR(INDEX(Survey_Counts!$N$2:$N$930,MATCH(1,INDEX((Survey_Counts!$A$2:$A$930=N$3)*(Survey_Counts!$B$2:$B$930=$A9),0),0)),"")</f>
        <v>0.391752577319588</v>
      </c>
      <c r="O9" s="28" t="n">
        <f aca="false">IFERROR(INDEX(Survey_Counts!$N$2:$N$930,MATCH(1,INDEX((Survey_Counts!$A$2:$A$930=O$3)*(Survey_Counts!$B$2:$B$930=$A9),0),0)),"")</f>
        <v>0.23728813559322</v>
      </c>
      <c r="P9" s="28" t="n">
        <f aca="false">IFERROR(INDEX(Survey_Counts!$N$2:$N$930,MATCH(1,INDEX((Survey_Counts!$A$2:$A$930=P$3)*(Survey_Counts!$B$2:$B$930=$A9),0),0)),"")</f>
        <v>0.231182795698925</v>
      </c>
      <c r="Q9" s="28" t="n">
        <f aca="false">IFERROR(INDEX(Survey_Counts!$N$2:$N$930,MATCH(1,INDEX((Survey_Counts!$A$2:$A$930=Q$3)*(Survey_Counts!$B$2:$B$930=$A9),0),0)),"")</f>
        <v>0.00543478260869565</v>
      </c>
      <c r="R9" s="28" t="n">
        <f aca="false">IFERROR(INDEX(Survey_Counts!$N$2:$N$930,MATCH(1,INDEX((Survey_Counts!$A$2:$A$930=R$3)*(Survey_Counts!$B$2:$B$930=$A9),0),0)),"")</f>
        <v>0.303327645051195</v>
      </c>
      <c r="S9" s="28" t="n">
        <f aca="false">IFERROR(INDEX(Survey_Counts!$N$2:$N$930,MATCH(1,INDEX((Survey_Counts!$A$2:$A$930=S$3)*(Survey_Counts!$B$2:$B$930=$A9),0),0)),"")</f>
        <v>0.303327645051195</v>
      </c>
      <c r="T9" s="28" t="n">
        <f aca="false">IFERROR(INDEX(Survey_Counts!$N$2:$N$930,MATCH(1,INDEX((Survey_Counts!$A$2:$A$930=T$3)*(Survey_Counts!$B$2:$B$930=$A9),0),0)),"")</f>
        <v>0.196986006458558</v>
      </c>
      <c r="U9" s="28" t="n">
        <f aca="false">IFERROR(INDEX(Survey_Counts!$N$2:$N$930,MATCH(1,INDEX((Survey_Counts!$A$2:$A$930=U$3)*(Survey_Counts!$B$2:$B$930=$A9),0),0)),"")</f>
        <v>0.196986006458558</v>
      </c>
      <c r="V9" s="28" t="n">
        <f aca="false">IFERROR(INDEX(Survey_Counts!$N$2:$N$930,MATCH(1,INDEX((Survey_Counts!$A$2:$A$930=V$3)*(Survey_Counts!$B$2:$B$930=$A9),0),0)),"")</f>
        <v>0.211764705882353</v>
      </c>
      <c r="W9" s="28" t="n">
        <f aca="false">IFERROR(INDEX(Survey_Counts!$N$2:$N$930,MATCH(1,INDEX((Survey_Counts!$A$2:$A$930=W$3)*(Survey_Counts!$B$2:$B$930=$A9),0),0)),"")</f>
        <v>0.182926829268293</v>
      </c>
      <c r="X9" s="28" t="n">
        <f aca="false">IFERROR(INDEX(Survey_Counts!$N$2:$N$930,MATCH(1,INDEX((Survey_Counts!$A$2:$A$930=X$3)*(Survey_Counts!$B$2:$B$930=$A9),0),0)),"")</f>
        <v>0.534979423868313</v>
      </c>
      <c r="Y9" s="28" t="n">
        <f aca="false">IFERROR(INDEX(Survey_Counts!$N$2:$N$930,MATCH(1,INDEX((Survey_Counts!$A$2:$A$930=Y$3)*(Survey_Counts!$B$2:$B$930=$A9),0),0)),"")</f>
        <v>0.403571428571429</v>
      </c>
      <c r="Z9" s="28" t="n">
        <f aca="false">IFERROR(INDEX(Survey_Counts!$N$2:$N$930,MATCH(1,INDEX((Survey_Counts!$A$2:$A$930=Z$3)*(Survey_Counts!$B$2:$B$930=$A9),0),0)),"")</f>
        <v>0.0656063618290259</v>
      </c>
      <c r="AA9" s="28" t="str">
        <f aca="false">IFERROR(INDEX(Survey_Counts!$N$2:$N$930,MATCH(1,INDEX((Survey_Counts!$A$2:$A$930=AA$3)*(Survey_Counts!$B$2:$B$930=$A9),0),0)),"")</f>
        <v/>
      </c>
      <c r="AB9" s="28" t="str">
        <f aca="false">IFERROR(INDEX(Survey_Counts!$N$2:$N$930,MATCH(1,INDEX((Survey_Counts!$A$2:$A$930=AB$3)*(Survey_Counts!$B$2:$B$930=$A9),0),0)),"")</f>
        <v/>
      </c>
      <c r="AC9" s="28" t="str">
        <f aca="false">IFERROR(INDEX(Survey_Counts!$N$2:$N$930,MATCH(1,INDEX((Survey_Counts!$A$2:$A$930=AC$3)*(Survey_Counts!$B$2:$B$930=$A9),0),0)),"")</f>
        <v/>
      </c>
      <c r="AD9" s="28" t="str">
        <f aca="false">IFERROR(INDEX(Survey_Counts!$N$2:$N$930,MATCH(1,INDEX((Survey_Counts!$A$2:$A$930=AD$3)*(Survey_Counts!$B$2:$B$930=$A9),0),0)),"")</f>
        <v/>
      </c>
      <c r="AE9" s="28" t="n">
        <f aca="false">IFERROR(INDEX(Survey_Counts!$N$2:$N$930,MATCH(1,INDEX((Survey_Counts!$A$2:$A$930=AE$3)*(Survey_Counts!$B$2:$B$930=$A9),0),0)),"")</f>
        <v>0.264497878359264</v>
      </c>
      <c r="AF9" s="28" t="n">
        <f aca="false">IFERROR(INDEX(Survey_Counts!$N$2:$N$930,MATCH(1,INDEX((Survey_Counts!$A$2:$A$930=AF$3)*(Survey_Counts!$B$2:$B$930=$A9),0),0)),"")</f>
        <v>0.264497878359264</v>
      </c>
      <c r="AG9" s="28" t="n">
        <f aca="false">IFERROR(INDEX(Survey_Counts!$N$2:$N$930,MATCH(1,INDEX((Survey_Counts!$A$2:$A$930=AG$3)*(Survey_Counts!$B$2:$B$930=$A9),0),0)),"")</f>
        <v>0.262548262548263</v>
      </c>
      <c r="AH9" s="28" t="n">
        <f aca="false">IFERROR(INDEX(Survey_Counts!$N$2:$N$930,MATCH(1,INDEX((Survey_Counts!$A$2:$A$930=AH$3)*(Survey_Counts!$B$2:$B$930=$A9),0),0)),"")</f>
        <v>0.262548262548263</v>
      </c>
      <c r="AI9" s="28" t="n">
        <f aca="false">IFERROR(INDEX(Survey_Counts!$N$2:$N$930,MATCH(1,INDEX((Survey_Counts!$A$2:$A$930=AI$3)*(Survey_Counts!$B$2:$B$930=$A9),0),0)),"")</f>
        <v>0.396907216494845</v>
      </c>
      <c r="AJ9" s="28" t="n">
        <f aca="false">IFERROR(INDEX(Survey_Counts!$N$2:$N$930,MATCH(1,INDEX((Survey_Counts!$A$2:$A$930=AJ$3)*(Survey_Counts!$B$2:$B$930=$A9),0),0)),"")</f>
        <v>0.396907216494845</v>
      </c>
      <c r="AK9" s="28" t="n">
        <f aca="false">IFERROR(INDEX(Survey_Counts!$N$2:$N$930,MATCH(1,INDEX((Survey_Counts!$A$2:$A$930=AK$3)*(Survey_Counts!$B$2:$B$930=$A9),0),0)),"")</f>
        <v>0.6</v>
      </c>
      <c r="AL9" s="28" t="n">
        <f aca="false">IFERROR(INDEX(Survey_Counts!$N$2:$N$930,MATCH(1,INDEX((Survey_Counts!$A$2:$A$930=AL$3)*(Survey_Counts!$B$2:$B$930=$A9),0),0)),"")</f>
        <v>0.183783783783784</v>
      </c>
      <c r="AM9" s="28" t="n">
        <f aca="false">IFERROR(INDEX(Survey_Counts!$N$2:$N$930,MATCH(1,INDEX((Survey_Counts!$A$2:$A$930=AM$3)*(Survey_Counts!$B$2:$B$930=$A9),0),0)),"")</f>
        <v>0.0376569037656904</v>
      </c>
      <c r="AN9" s="28" t="n">
        <f aca="false">IFERROR(INDEX(Survey_Counts!$N$2:$N$930,MATCH(1,INDEX((Survey_Counts!$A$2:$A$930=AN$3)*(Survey_Counts!$B$2:$B$930=$A9),0),0)),"")</f>
        <v>0.0867579908675799</v>
      </c>
      <c r="AO9" s="28" t="n">
        <f aca="false">IFERROR(INDEX(Survey_Counts!$N$2:$N$930,MATCH(1,INDEX((Survey_Counts!$A$2:$A$930=AO$3)*(Survey_Counts!$B$2:$B$930=$A9),0),0)),"")</f>
        <v>0.192182410423453</v>
      </c>
      <c r="AP9" s="28" t="n">
        <f aca="false">IFERROR(INDEX(Survey_Counts!$N$2:$N$930,MATCH(1,INDEX((Survey_Counts!$A$2:$A$930=AP$3)*(Survey_Counts!$B$2:$B$930=$A9),0),0)),"")</f>
        <v>0.251885369532428</v>
      </c>
      <c r="AQ9" s="28" t="n">
        <f aca="false">IFERROR(INDEX(Survey_Counts!$N$2:$N$930,MATCH(1,INDEX((Survey_Counts!$A$2:$A$930=AQ$3)*(Survey_Counts!$B$2:$B$930=$A9),0),0)),"")</f>
        <v>0.233644859813084</v>
      </c>
      <c r="AR9" s="28" t="n">
        <f aca="false">IFERROR(INDEX(Survey_Counts!$N$2:$N$930,MATCH(1,INDEX((Survey_Counts!$A$2:$A$930=AR$3)*(Survey_Counts!$B$2:$B$930=$A9),0),0)),"")</f>
        <v>0.382978723404255</v>
      </c>
      <c r="AS9" s="28" t="n">
        <f aca="false">IFERROR(INDEX(Survey_Counts!$N$2:$N$930,MATCH(1,INDEX((Survey_Counts!$A$2:$A$930=AS$3)*(Survey_Counts!$B$2:$B$930=$A9),0),0)),"")</f>
        <v>0.0581039755351682</v>
      </c>
      <c r="AT9" s="28" t="str">
        <f aca="false">IFERROR(INDEX(Survey_Counts!$N$2:$N$930,MATCH(1,INDEX((Survey_Counts!$A$2:$A$930=AT$3)*(Survey_Counts!$B$2:$B$930=$A9),0),0)),"")</f>
        <v/>
      </c>
      <c r="AU9" s="28" t="str">
        <f aca="false">IFERROR(INDEX(Survey_Counts!$N$2:$N$930,MATCH(1,INDEX((Survey_Counts!$A$2:$A$930=AU$3)*(Survey_Counts!$B$2:$B$930=$A9),0),0)),"")</f>
        <v/>
      </c>
      <c r="AV9" s="28" t="str">
        <f aca="false">IFERROR(INDEX(Survey_Counts!$N$2:$N$930,MATCH(1,INDEX((Survey_Counts!$A$2:$A$930=AV$3)*(Survey_Counts!$B$2:$B$930=$A9),0),0)),"")</f>
        <v/>
      </c>
      <c r="AW9" s="28" t="str">
        <f aca="false">IFERROR(INDEX(Survey_Counts!$N$2:$N$930,MATCH(1,INDEX((Survey_Counts!$A$2:$A$930=AW$3)*(Survey_Counts!$B$2:$B$930=$A9),0),0)),"")</f>
        <v/>
      </c>
      <c r="AX9" s="28" t="str">
        <f aca="false">IFERROR(INDEX(Survey_Counts!$N$2:$N$930,MATCH(1,INDEX((Survey_Counts!$A$2:$A$930=AX$3)*(Survey_Counts!$B$2:$B$930=$A9),0),0)),"")</f>
        <v/>
      </c>
      <c r="AY9" s="28" t="str">
        <f aca="false">IFERROR(INDEX(Survey_Counts!$N$2:$N$930,MATCH(1,INDEX((Survey_Counts!$A$2:$A$930=AY$3)*(Survey_Counts!$B$2:$B$930=$A9),0),0)),"")</f>
        <v/>
      </c>
      <c r="AZ9" s="28" t="n">
        <f aca="false">IFERROR(INDEX(Survey_Counts!$N$2:$N$930,MATCH(1,INDEX((Survey_Counts!$A$2:$A$930=AZ$3)*(Survey_Counts!$B$2:$B$930=$A9),0),0)),"")</f>
        <v>0.0689655172413793</v>
      </c>
      <c r="BA9" s="28" t="n">
        <f aca="false">IFERROR(INDEX(Survey_Counts!$N$2:$N$930,MATCH(1,INDEX((Survey_Counts!$A$2:$A$930=BA$3)*(Survey_Counts!$B$2:$B$930=$A9),0),0)),"")</f>
        <v>0.0689655172413793</v>
      </c>
      <c r="BB9" s="28" t="n">
        <f aca="false">IFERROR(INDEX(Survey_Counts!$N$2:$N$930,MATCH(1,INDEX((Survey_Counts!$A$2:$A$930=BB$3)*(Survey_Counts!$B$2:$B$930=$A9),0),0)),"")</f>
        <v>0.0172413793103448</v>
      </c>
      <c r="BC9" s="28" t="n">
        <f aca="false">IFERROR(INDEX(Survey_Counts!$N$2:$N$930,MATCH(1,INDEX((Survey_Counts!$A$2:$A$930=BC$3)*(Survey_Counts!$B$2:$B$930=$A9),0),0)),"")</f>
        <v>0.330612244897959</v>
      </c>
      <c r="BD9" s="28" t="n">
        <f aca="false">IFERROR(INDEX(Survey_Counts!$N$2:$N$930,MATCH(1,INDEX((Survey_Counts!$A$2:$A$930=BD$3)*(Survey_Counts!$B$2:$B$930=$A9),0),0)),"")</f>
        <v>0.36518771331058</v>
      </c>
      <c r="BE9" s="28" t="n">
        <f aca="false">IFERROR(INDEX(Survey_Counts!$N$2:$N$930,MATCH(1,INDEX((Survey_Counts!$A$2:$A$930=BE$3)*(Survey_Counts!$B$2:$B$930=$A9),0),0)),"")</f>
        <v>0.180921052631579</v>
      </c>
      <c r="BF9" s="28" t="n">
        <f aca="false">IFERROR(INDEX(Survey_Counts!$N$2:$N$930,MATCH(1,INDEX((Survey_Counts!$A$2:$A$930=BF$3)*(Survey_Counts!$B$2:$B$930=$A9),0),0)),"")</f>
        <v>0.132315521628499</v>
      </c>
    </row>
    <row r="10" customFormat="false" ht="15" hidden="false" customHeight="false" outlineLevel="0" collapsed="false">
      <c r="A10" s="27" t="n">
        <v>6</v>
      </c>
      <c r="B10" s="27" t="s">
        <v>528</v>
      </c>
      <c r="C10" s="27" t="n">
        <v>-135</v>
      </c>
      <c r="D10" s="28" t="n">
        <f aca="false">IFERROR(INDEX(Survey_Counts!$N$2:$N$930,MATCH(1,INDEX((Survey_Counts!$A$2:$A$930=D$3)*(Survey_Counts!$B$2:$B$930=$A10),0),0)),"")</f>
        <v>0.336898395721925</v>
      </c>
      <c r="E10" s="28" t="n">
        <f aca="false">IFERROR(INDEX(Survey_Counts!$N$2:$N$930,MATCH(1,INDEX((Survey_Counts!$A$2:$A$930=E$3)*(Survey_Counts!$B$2:$B$930=$A10),0),0)),"")</f>
        <v>0.336898395721925</v>
      </c>
      <c r="F10" s="28" t="n">
        <f aca="false">IFERROR(INDEX(Survey_Counts!$N$2:$N$930,MATCH(1,INDEX((Survey_Counts!$A$2:$A$930=F$3)*(Survey_Counts!$B$2:$B$930=$A10),0),0)),"")</f>
        <v>0.324675324675325</v>
      </c>
      <c r="G10" s="28" t="n">
        <f aca="false">IFERROR(INDEX(Survey_Counts!$N$2:$N$930,MATCH(1,INDEX((Survey_Counts!$A$2:$A$930=G$3)*(Survey_Counts!$B$2:$B$930=$A10),0),0)),"")</f>
        <v>0.324675324675325</v>
      </c>
      <c r="H10" s="28" t="n">
        <f aca="false">IFERROR(INDEX(Survey_Counts!$N$2:$N$930,MATCH(1,INDEX((Survey_Counts!$A$2:$A$930=H$3)*(Survey_Counts!$B$2:$B$930=$A10),0),0)),"")</f>
        <v>0.493827160493827</v>
      </c>
      <c r="I10" s="28" t="n">
        <f aca="false">IFERROR(INDEX(Survey_Counts!$N$2:$N$930,MATCH(1,INDEX((Survey_Counts!$A$2:$A$930=I$3)*(Survey_Counts!$B$2:$B$930=$A10),0),0)),"")</f>
        <v>0.211195928753181</v>
      </c>
      <c r="J10" s="28" t="n">
        <f aca="false">IFERROR(INDEX(Survey_Counts!$N$2:$N$930,MATCH(1,INDEX((Survey_Counts!$A$2:$A$930=J$3)*(Survey_Counts!$B$2:$B$930=$A10),0),0)),"")</f>
        <v>0.0727699530516432</v>
      </c>
      <c r="K10" s="28" t="n">
        <f aca="false">IFERROR(INDEX(Survey_Counts!$N$2:$N$930,MATCH(1,INDEX((Survey_Counts!$A$2:$A$930=K$3)*(Survey_Counts!$B$2:$B$930=$A10),0),0)),"")</f>
        <v>0.188679245283019</v>
      </c>
      <c r="L10" s="28" t="n">
        <f aca="false">IFERROR(INDEX(Survey_Counts!$N$2:$N$930,MATCH(1,INDEX((Survey_Counts!$A$2:$A$930=L$3)*(Survey_Counts!$B$2:$B$930=$A10),0),0)),"")</f>
        <v>0.304498269896194</v>
      </c>
      <c r="M10" s="28" t="n">
        <f aca="false">IFERROR(INDEX(Survey_Counts!$N$2:$N$930,MATCH(1,INDEX((Survey_Counts!$A$2:$A$930=M$3)*(Survey_Counts!$B$2:$B$930=$A10),0),0)),"")</f>
        <v>0.168</v>
      </c>
      <c r="N10" s="28" t="n">
        <f aca="false">IFERROR(INDEX(Survey_Counts!$N$2:$N$930,MATCH(1,INDEX((Survey_Counts!$A$2:$A$930=N$3)*(Survey_Counts!$B$2:$B$930=$A10),0),0)),"")</f>
        <v>0.536082474226804</v>
      </c>
      <c r="O10" s="28" t="n">
        <f aca="false">IFERROR(INDEX(Survey_Counts!$N$2:$N$930,MATCH(1,INDEX((Survey_Counts!$A$2:$A$930=O$3)*(Survey_Counts!$B$2:$B$930=$A10),0),0)),"")</f>
        <v>0.305084745762712</v>
      </c>
      <c r="P10" s="28" t="n">
        <f aca="false">IFERROR(INDEX(Survey_Counts!$N$2:$N$930,MATCH(1,INDEX((Survey_Counts!$A$2:$A$930=P$3)*(Survey_Counts!$B$2:$B$930=$A10),0),0)),"")</f>
        <v>0.344086021505376</v>
      </c>
      <c r="Q10" s="28" t="n">
        <f aca="false">IFERROR(INDEX(Survey_Counts!$N$2:$N$930,MATCH(1,INDEX((Survey_Counts!$A$2:$A$930=Q$3)*(Survey_Counts!$B$2:$B$930=$A10),0),0)),"")</f>
        <v>0.0543478260869565</v>
      </c>
      <c r="R10" s="28" t="n">
        <f aca="false">IFERROR(INDEX(Survey_Counts!$N$2:$N$930,MATCH(1,INDEX((Survey_Counts!$A$2:$A$930=R$3)*(Survey_Counts!$B$2:$B$930=$A10),0),0)),"")</f>
        <v>0.41339590443686</v>
      </c>
      <c r="S10" s="28" t="n">
        <f aca="false">IFERROR(INDEX(Survey_Counts!$N$2:$N$930,MATCH(1,INDEX((Survey_Counts!$A$2:$A$930=S$3)*(Survey_Counts!$B$2:$B$930=$A10),0),0)),"")</f>
        <v>0.41339590443686</v>
      </c>
      <c r="T10" s="28" t="n">
        <f aca="false">IFERROR(INDEX(Survey_Counts!$N$2:$N$930,MATCH(1,INDEX((Survey_Counts!$A$2:$A$930=T$3)*(Survey_Counts!$B$2:$B$930=$A10),0),0)),"")</f>
        <v>0.330462863293864</v>
      </c>
      <c r="U10" s="28" t="n">
        <f aca="false">IFERROR(INDEX(Survey_Counts!$N$2:$N$930,MATCH(1,INDEX((Survey_Counts!$A$2:$A$930=U$3)*(Survey_Counts!$B$2:$B$930=$A10),0),0)),"")</f>
        <v>0.330462863293864</v>
      </c>
      <c r="V10" s="28" t="n">
        <f aca="false">IFERROR(INDEX(Survey_Counts!$N$2:$N$930,MATCH(1,INDEX((Survey_Counts!$A$2:$A$930=V$3)*(Survey_Counts!$B$2:$B$930=$A10),0),0)),"")</f>
        <v>0.2</v>
      </c>
      <c r="W10" s="28" t="n">
        <f aca="false">IFERROR(INDEX(Survey_Counts!$N$2:$N$930,MATCH(1,INDEX((Survey_Counts!$A$2:$A$930=W$3)*(Survey_Counts!$B$2:$B$930=$A10),0),0)),"")</f>
        <v>0.170731707317073</v>
      </c>
      <c r="X10" s="28" t="n">
        <f aca="false">IFERROR(INDEX(Survey_Counts!$N$2:$N$930,MATCH(1,INDEX((Survey_Counts!$A$2:$A$930=X$3)*(Survey_Counts!$B$2:$B$930=$A10),0),0)),"")</f>
        <v>0.650205761316873</v>
      </c>
      <c r="Y10" s="28" t="n">
        <f aca="false">IFERROR(INDEX(Survey_Counts!$N$2:$N$930,MATCH(1,INDEX((Survey_Counts!$A$2:$A$930=Y$3)*(Survey_Counts!$B$2:$B$930=$A10),0),0)),"")</f>
        <v>0.467857142857143</v>
      </c>
      <c r="Z10" s="28" t="n">
        <f aca="false">IFERROR(INDEX(Survey_Counts!$N$2:$N$930,MATCH(1,INDEX((Survey_Counts!$A$2:$A$930=Z$3)*(Survey_Counts!$B$2:$B$930=$A10),0),0)),"")</f>
        <v>0.137176938369781</v>
      </c>
      <c r="AA10" s="28" t="str">
        <f aca="false">IFERROR(INDEX(Survey_Counts!$N$2:$N$930,MATCH(1,INDEX((Survey_Counts!$A$2:$A$930=AA$3)*(Survey_Counts!$B$2:$B$930=$A10),0),0)),"")</f>
        <v/>
      </c>
      <c r="AB10" s="28" t="str">
        <f aca="false">IFERROR(INDEX(Survey_Counts!$N$2:$N$930,MATCH(1,INDEX((Survey_Counts!$A$2:$A$930=AB$3)*(Survey_Counts!$B$2:$B$930=$A10),0),0)),"")</f>
        <v/>
      </c>
      <c r="AC10" s="28" t="str">
        <f aca="false">IFERROR(INDEX(Survey_Counts!$N$2:$N$930,MATCH(1,INDEX((Survey_Counts!$A$2:$A$930=AC$3)*(Survey_Counts!$B$2:$B$930=$A10),0),0)),"")</f>
        <v/>
      </c>
      <c r="AD10" s="28" t="str">
        <f aca="false">IFERROR(INDEX(Survey_Counts!$N$2:$N$930,MATCH(1,INDEX((Survey_Counts!$A$2:$A$930=AD$3)*(Survey_Counts!$B$2:$B$930=$A10),0),0)),"")</f>
        <v/>
      </c>
      <c r="AE10" s="28" t="n">
        <f aca="false">IFERROR(INDEX(Survey_Counts!$N$2:$N$930,MATCH(1,INDEX((Survey_Counts!$A$2:$A$930=AE$3)*(Survey_Counts!$B$2:$B$930=$A10),0),0)),"")</f>
        <v>0.393210749646393</v>
      </c>
      <c r="AF10" s="28" t="n">
        <f aca="false">IFERROR(INDEX(Survey_Counts!$N$2:$N$930,MATCH(1,INDEX((Survey_Counts!$A$2:$A$930=AF$3)*(Survey_Counts!$B$2:$B$930=$A10),0),0)),"")</f>
        <v>0.393210749646393</v>
      </c>
      <c r="AG10" s="28" t="n">
        <f aca="false">IFERROR(INDEX(Survey_Counts!$N$2:$N$930,MATCH(1,INDEX((Survey_Counts!$A$2:$A$930=AG$3)*(Survey_Counts!$B$2:$B$930=$A10),0),0)),"")</f>
        <v>0.359073359073359</v>
      </c>
      <c r="AH10" s="28" t="n">
        <f aca="false">IFERROR(INDEX(Survey_Counts!$N$2:$N$930,MATCH(1,INDEX((Survey_Counts!$A$2:$A$930=AH$3)*(Survey_Counts!$B$2:$B$930=$A10),0),0)),"")</f>
        <v>0.359073359073359</v>
      </c>
      <c r="AI10" s="28" t="n">
        <f aca="false">IFERROR(INDEX(Survey_Counts!$N$2:$N$930,MATCH(1,INDEX((Survey_Counts!$A$2:$A$930=AI$3)*(Survey_Counts!$B$2:$B$930=$A10),0),0)),"")</f>
        <v>0.5</v>
      </c>
      <c r="AJ10" s="28" t="n">
        <f aca="false">IFERROR(INDEX(Survey_Counts!$N$2:$N$930,MATCH(1,INDEX((Survey_Counts!$A$2:$A$930=AJ$3)*(Survey_Counts!$B$2:$B$930=$A10),0),0)),"")</f>
        <v>0.5</v>
      </c>
      <c r="AK10" s="28" t="n">
        <f aca="false">IFERROR(INDEX(Survey_Counts!$N$2:$N$930,MATCH(1,INDEX((Survey_Counts!$A$2:$A$930=AK$3)*(Survey_Counts!$B$2:$B$930=$A10),0),0)),"")</f>
        <v>0.657894736842105</v>
      </c>
      <c r="AL10" s="28" t="n">
        <f aca="false">IFERROR(INDEX(Survey_Counts!$N$2:$N$930,MATCH(1,INDEX((Survey_Counts!$A$2:$A$930=AL$3)*(Survey_Counts!$B$2:$B$930=$A10),0),0)),"")</f>
        <v>0.243243243243243</v>
      </c>
      <c r="AM10" s="28" t="n">
        <f aca="false">IFERROR(INDEX(Survey_Counts!$N$2:$N$930,MATCH(1,INDEX((Survey_Counts!$A$2:$A$930=AM$3)*(Survey_Counts!$B$2:$B$930=$A10),0),0)),"")</f>
        <v>0.096234309623431</v>
      </c>
      <c r="AN10" s="28" t="n">
        <f aca="false">IFERROR(INDEX(Survey_Counts!$N$2:$N$930,MATCH(1,INDEX((Survey_Counts!$A$2:$A$930=AN$3)*(Survey_Counts!$B$2:$B$930=$A10),0),0)),"")</f>
        <v>0.159817351598174</v>
      </c>
      <c r="AO10" s="28" t="n">
        <f aca="false">IFERROR(INDEX(Survey_Counts!$N$2:$N$930,MATCH(1,INDEX((Survey_Counts!$A$2:$A$930=AO$3)*(Survey_Counts!$B$2:$B$930=$A10),0),0)),"")</f>
        <v>0.276872964169381</v>
      </c>
      <c r="AP10" s="28" t="n">
        <f aca="false">IFERROR(INDEX(Survey_Counts!$N$2:$N$930,MATCH(1,INDEX((Survey_Counts!$A$2:$A$930=AP$3)*(Survey_Counts!$B$2:$B$930=$A10),0),0)),"")</f>
        <v>0.285067873303167</v>
      </c>
      <c r="AQ10" s="28" t="n">
        <f aca="false">IFERROR(INDEX(Survey_Counts!$N$2:$N$930,MATCH(1,INDEX((Survey_Counts!$A$2:$A$930=AQ$3)*(Survey_Counts!$B$2:$B$930=$A10),0),0)),"")</f>
        <v>0.308411214953271</v>
      </c>
      <c r="AR10" s="28" t="n">
        <f aca="false">IFERROR(INDEX(Survey_Counts!$N$2:$N$930,MATCH(1,INDEX((Survey_Counts!$A$2:$A$930=AR$3)*(Survey_Counts!$B$2:$B$930=$A10),0),0)),"")</f>
        <v>0.476595744680851</v>
      </c>
      <c r="AS10" s="28" t="n">
        <f aca="false">IFERROR(INDEX(Survey_Counts!$N$2:$N$930,MATCH(1,INDEX((Survey_Counts!$A$2:$A$930=AS$3)*(Survey_Counts!$B$2:$B$930=$A10),0),0)),"")</f>
        <v>0.119266055045872</v>
      </c>
      <c r="AT10" s="28" t="str">
        <f aca="false">IFERROR(INDEX(Survey_Counts!$N$2:$N$930,MATCH(1,INDEX((Survey_Counts!$A$2:$A$930=AT$3)*(Survey_Counts!$B$2:$B$930=$A10),0),0)),"")</f>
        <v/>
      </c>
      <c r="AU10" s="28" t="str">
        <f aca="false">IFERROR(INDEX(Survey_Counts!$N$2:$N$930,MATCH(1,INDEX((Survey_Counts!$A$2:$A$930=AU$3)*(Survey_Counts!$B$2:$B$930=$A10),0),0)),"")</f>
        <v/>
      </c>
      <c r="AV10" s="28" t="str">
        <f aca="false">IFERROR(INDEX(Survey_Counts!$N$2:$N$930,MATCH(1,INDEX((Survey_Counts!$A$2:$A$930=AV$3)*(Survey_Counts!$B$2:$B$930=$A10),0),0)),"")</f>
        <v/>
      </c>
      <c r="AW10" s="28" t="str">
        <f aca="false">IFERROR(INDEX(Survey_Counts!$N$2:$N$930,MATCH(1,INDEX((Survey_Counts!$A$2:$A$930=AW$3)*(Survey_Counts!$B$2:$B$930=$A10),0),0)),"")</f>
        <v/>
      </c>
      <c r="AX10" s="28" t="str">
        <f aca="false">IFERROR(INDEX(Survey_Counts!$N$2:$N$930,MATCH(1,INDEX((Survey_Counts!$A$2:$A$930=AX$3)*(Survey_Counts!$B$2:$B$930=$A10),0),0)),"")</f>
        <v/>
      </c>
      <c r="AY10" s="28" t="str">
        <f aca="false">IFERROR(INDEX(Survey_Counts!$N$2:$N$930,MATCH(1,INDEX((Survey_Counts!$A$2:$A$930=AY$3)*(Survey_Counts!$B$2:$B$930=$A10),0),0)),"")</f>
        <v/>
      </c>
      <c r="AZ10" s="28" t="n">
        <f aca="false">IFERROR(INDEX(Survey_Counts!$N$2:$N$930,MATCH(1,INDEX((Survey_Counts!$A$2:$A$930=AZ$3)*(Survey_Counts!$B$2:$B$930=$A10),0),0)),"")</f>
        <v>0.110344827586207</v>
      </c>
      <c r="BA10" s="28" t="n">
        <f aca="false">IFERROR(INDEX(Survey_Counts!$N$2:$N$930,MATCH(1,INDEX((Survey_Counts!$A$2:$A$930=BA$3)*(Survey_Counts!$B$2:$B$930=$A10),0),0)),"")</f>
        <v>0.110344827586207</v>
      </c>
      <c r="BB10" s="28" t="n">
        <f aca="false">IFERROR(INDEX(Survey_Counts!$N$2:$N$930,MATCH(1,INDEX((Survey_Counts!$A$2:$A$930=BB$3)*(Survey_Counts!$B$2:$B$930=$A10),0),0)),"")</f>
        <v>0.0344827586206897</v>
      </c>
      <c r="BC10" s="28" t="n">
        <f aca="false">IFERROR(INDEX(Survey_Counts!$N$2:$N$930,MATCH(1,INDEX((Survey_Counts!$A$2:$A$930=BC$3)*(Survey_Counts!$B$2:$B$930=$A10),0),0)),"")</f>
        <v>0.395918367346939</v>
      </c>
      <c r="BD10" s="28" t="n">
        <f aca="false">IFERROR(INDEX(Survey_Counts!$N$2:$N$930,MATCH(1,INDEX((Survey_Counts!$A$2:$A$930=BD$3)*(Survey_Counts!$B$2:$B$930=$A10),0),0)),"")</f>
        <v>0.450511945392491</v>
      </c>
      <c r="BE10" s="28" t="n">
        <f aca="false">IFERROR(INDEX(Survey_Counts!$N$2:$N$930,MATCH(1,INDEX((Survey_Counts!$A$2:$A$930=BE$3)*(Survey_Counts!$B$2:$B$930=$A10),0),0)),"")</f>
        <v>0.256578947368421</v>
      </c>
      <c r="BF10" s="28" t="n">
        <f aca="false">IFERROR(INDEX(Survey_Counts!$N$2:$N$930,MATCH(1,INDEX((Survey_Counts!$A$2:$A$930=BF$3)*(Survey_Counts!$B$2:$B$930=$A10),0),0)),"")</f>
        <v>0.195928753180662</v>
      </c>
    </row>
    <row r="11" customFormat="false" ht="15" hidden="false" customHeight="false" outlineLevel="0" collapsed="false">
      <c r="A11" s="27" t="n">
        <v>7</v>
      </c>
      <c r="B11" s="27" t="s">
        <v>227</v>
      </c>
      <c r="C11" s="27" t="n">
        <v>-120</v>
      </c>
      <c r="D11" s="28" t="n">
        <f aca="false">IFERROR(INDEX(Survey_Counts!$N$2:$N$930,MATCH(1,INDEX((Survey_Counts!$A$2:$A$930=D$3)*(Survey_Counts!$B$2:$B$930=$A11),0),0)),"")</f>
        <v>0.358288770053476</v>
      </c>
      <c r="E11" s="28" t="n">
        <f aca="false">IFERROR(INDEX(Survey_Counts!$N$2:$N$930,MATCH(1,INDEX((Survey_Counts!$A$2:$A$930=E$3)*(Survey_Counts!$B$2:$B$930=$A11),0),0)),"")</f>
        <v>0.358288770053476</v>
      </c>
      <c r="F11" s="28" t="n">
        <f aca="false">IFERROR(INDEX(Survey_Counts!$N$2:$N$930,MATCH(1,INDEX((Survey_Counts!$A$2:$A$930=F$3)*(Survey_Counts!$B$2:$B$930=$A11),0),0)),"")</f>
        <v>0.350649350649351</v>
      </c>
      <c r="G11" s="28" t="n">
        <f aca="false">IFERROR(INDEX(Survey_Counts!$N$2:$N$930,MATCH(1,INDEX((Survey_Counts!$A$2:$A$930=G$3)*(Survey_Counts!$B$2:$B$930=$A11),0),0)),"")</f>
        <v>0.350649350649351</v>
      </c>
      <c r="H11" s="28" t="n">
        <f aca="false">IFERROR(INDEX(Survey_Counts!$N$2:$N$930,MATCH(1,INDEX((Survey_Counts!$A$2:$A$930=H$3)*(Survey_Counts!$B$2:$B$930=$A11),0),0)),"")</f>
        <v>0.551440329218107</v>
      </c>
      <c r="I11" s="28" t="n">
        <f aca="false">IFERROR(INDEX(Survey_Counts!$N$2:$N$930,MATCH(1,INDEX((Survey_Counts!$A$2:$A$930=I$3)*(Survey_Counts!$B$2:$B$930=$A11),0),0)),"")</f>
        <v>0.312977099236641</v>
      </c>
      <c r="J11" s="28" t="n">
        <f aca="false">IFERROR(INDEX(Survey_Counts!$N$2:$N$930,MATCH(1,INDEX((Survey_Counts!$A$2:$A$930=J$3)*(Survey_Counts!$B$2:$B$930=$A11),0),0)),"")</f>
        <v>0.131455399061033</v>
      </c>
      <c r="K11" s="28" t="n">
        <f aca="false">IFERROR(INDEX(Survey_Counts!$N$2:$N$930,MATCH(1,INDEX((Survey_Counts!$A$2:$A$930=K$3)*(Survey_Counts!$B$2:$B$930=$A11),0),0)),"")</f>
        <v>0.367924528301887</v>
      </c>
      <c r="L11" s="28" t="n">
        <f aca="false">IFERROR(INDEX(Survey_Counts!$N$2:$N$930,MATCH(1,INDEX((Survey_Counts!$A$2:$A$930=L$3)*(Survey_Counts!$B$2:$B$930=$A11),0),0)),"")</f>
        <v>0.401384083044983</v>
      </c>
      <c r="M11" s="28" t="n">
        <f aca="false">IFERROR(INDEX(Survey_Counts!$N$2:$N$930,MATCH(1,INDEX((Survey_Counts!$A$2:$A$930=M$3)*(Survey_Counts!$B$2:$B$930=$A11),0),0)),"")</f>
        <v>0.277333333333333</v>
      </c>
      <c r="N11" s="28" t="n">
        <f aca="false">IFERROR(INDEX(Survey_Counts!$N$2:$N$930,MATCH(1,INDEX((Survey_Counts!$A$2:$A$930=N$3)*(Survey_Counts!$B$2:$B$930=$A11),0),0)),"")</f>
        <v>0.63573883161512</v>
      </c>
      <c r="O11" s="28" t="n">
        <f aca="false">IFERROR(INDEX(Survey_Counts!$N$2:$N$930,MATCH(1,INDEX((Survey_Counts!$A$2:$A$930=O$3)*(Survey_Counts!$B$2:$B$930=$A11),0),0)),"")</f>
        <v>0.355932203389831</v>
      </c>
      <c r="P11" s="28" t="n">
        <f aca="false">IFERROR(INDEX(Survey_Counts!$N$2:$N$930,MATCH(1,INDEX((Survey_Counts!$A$2:$A$930=P$3)*(Survey_Counts!$B$2:$B$930=$A11),0),0)),"")</f>
        <v>0.451612903225806</v>
      </c>
      <c r="Q11" s="28" t="n">
        <f aca="false">IFERROR(INDEX(Survey_Counts!$N$2:$N$930,MATCH(1,INDEX((Survey_Counts!$A$2:$A$930=Q$3)*(Survey_Counts!$B$2:$B$930=$A11),0),0)),"")</f>
        <v>0.14945652173913</v>
      </c>
      <c r="R11" s="28" t="n">
        <f aca="false">IFERROR(INDEX(Survey_Counts!$N$2:$N$930,MATCH(1,INDEX((Survey_Counts!$A$2:$A$930=R$3)*(Survey_Counts!$B$2:$B$930=$A11),0),0)),"")</f>
        <v>0.530716723549488</v>
      </c>
      <c r="S11" s="28" t="n">
        <f aca="false">IFERROR(INDEX(Survey_Counts!$N$2:$N$930,MATCH(1,INDEX((Survey_Counts!$A$2:$A$930=S$3)*(Survey_Counts!$B$2:$B$930=$A11),0),0)),"")</f>
        <v>0.530716723549488</v>
      </c>
      <c r="T11" s="28" t="n">
        <f aca="false">IFERROR(INDEX(Survey_Counts!$N$2:$N$930,MATCH(1,INDEX((Survey_Counts!$A$2:$A$930=T$3)*(Survey_Counts!$B$2:$B$930=$A11),0),0)),"")</f>
        <v>0.46286329386437</v>
      </c>
      <c r="U11" s="28" t="n">
        <f aca="false">IFERROR(INDEX(Survey_Counts!$N$2:$N$930,MATCH(1,INDEX((Survey_Counts!$A$2:$A$930=U$3)*(Survey_Counts!$B$2:$B$930=$A11),0),0)),"")</f>
        <v>0.46286329386437</v>
      </c>
      <c r="V11" s="28" t="n">
        <f aca="false">IFERROR(INDEX(Survey_Counts!$N$2:$N$930,MATCH(1,INDEX((Survey_Counts!$A$2:$A$930=V$3)*(Survey_Counts!$B$2:$B$930=$A11),0),0)),"")</f>
        <v>0.176470588235294</v>
      </c>
      <c r="W11" s="28" t="n">
        <f aca="false">IFERROR(INDEX(Survey_Counts!$N$2:$N$930,MATCH(1,INDEX((Survey_Counts!$A$2:$A$930=W$3)*(Survey_Counts!$B$2:$B$930=$A11),0),0)),"")</f>
        <v>0.146341463414634</v>
      </c>
      <c r="X11" s="28" t="n">
        <f aca="false">IFERROR(INDEX(Survey_Counts!$N$2:$N$930,MATCH(1,INDEX((Survey_Counts!$A$2:$A$930=X$3)*(Survey_Counts!$B$2:$B$930=$A11),0),0)),"")</f>
        <v>0.726337448559671</v>
      </c>
      <c r="Y11" s="28" t="n">
        <f aca="false">IFERROR(INDEX(Survey_Counts!$N$2:$N$930,MATCH(1,INDEX((Survey_Counts!$A$2:$A$930=Y$3)*(Survey_Counts!$B$2:$B$930=$A11),0),0)),"")</f>
        <v>0.55</v>
      </c>
      <c r="Z11" s="28" t="n">
        <f aca="false">IFERROR(INDEX(Survey_Counts!$N$2:$N$930,MATCH(1,INDEX((Survey_Counts!$A$2:$A$930=Z$3)*(Survey_Counts!$B$2:$B$930=$A11),0),0)),"")</f>
        <v>0.288270377733598</v>
      </c>
      <c r="AA11" s="28" t="n">
        <f aca="false">IFERROR(INDEX(Survey_Counts!$N$2:$N$930,MATCH(1,INDEX((Survey_Counts!$A$2:$A$930=AA$3)*(Survey_Counts!$B$2:$B$930=$A11),0),0)),"")</f>
        <v>0.483256351039261</v>
      </c>
      <c r="AB11" s="28" t="n">
        <f aca="false">IFERROR(INDEX(Survey_Counts!$N$2:$N$930,MATCH(1,INDEX((Survey_Counts!$A$2:$A$930=AB$3)*(Survey_Counts!$B$2:$B$930=$A11),0),0)),"")</f>
        <v>0.27027027027027</v>
      </c>
      <c r="AC11" s="28" t="n">
        <f aca="false">IFERROR(INDEX(Survey_Counts!$N$2:$N$930,MATCH(1,INDEX((Survey_Counts!$A$2:$A$930=AC$3)*(Survey_Counts!$B$2:$B$930=$A11),0),0)),"")</f>
        <v>0.273927392739274</v>
      </c>
      <c r="AD11" s="28" t="n">
        <f aca="false">IFERROR(INDEX(Survey_Counts!$N$2:$N$930,MATCH(1,INDEX((Survey_Counts!$A$2:$A$930=AD$3)*(Survey_Counts!$B$2:$B$930=$A11),0),0)),"")</f>
        <v>0.309160305343511</v>
      </c>
      <c r="AE11" s="28" t="n">
        <f aca="false">IFERROR(INDEX(Survey_Counts!$N$2:$N$930,MATCH(1,INDEX((Survey_Counts!$A$2:$A$930=AE$3)*(Survey_Counts!$B$2:$B$930=$A11),0),0)),"")</f>
        <v>0.506364922206506</v>
      </c>
      <c r="AF11" s="28" t="n">
        <f aca="false">IFERROR(INDEX(Survey_Counts!$N$2:$N$930,MATCH(1,INDEX((Survey_Counts!$A$2:$A$930=AF$3)*(Survey_Counts!$B$2:$B$930=$A11),0),0)),"")</f>
        <v>0.506364922206506</v>
      </c>
      <c r="AG11" s="28" t="n">
        <f aca="false">IFERROR(INDEX(Survey_Counts!$N$2:$N$930,MATCH(1,INDEX((Survey_Counts!$A$2:$A$930=AG$3)*(Survey_Counts!$B$2:$B$930=$A11),0),0)),"")</f>
        <v>0.505791505791506</v>
      </c>
      <c r="AH11" s="28" t="n">
        <f aca="false">IFERROR(INDEX(Survey_Counts!$N$2:$N$930,MATCH(1,INDEX((Survey_Counts!$A$2:$A$930=AH$3)*(Survey_Counts!$B$2:$B$930=$A11),0),0)),"")</f>
        <v>0.505791505791506</v>
      </c>
      <c r="AI11" s="28" t="n">
        <f aca="false">IFERROR(INDEX(Survey_Counts!$N$2:$N$930,MATCH(1,INDEX((Survey_Counts!$A$2:$A$930=AI$3)*(Survey_Counts!$B$2:$B$930=$A11),0),0)),"")</f>
        <v>0.561855670103093</v>
      </c>
      <c r="AJ11" s="28" t="n">
        <f aca="false">IFERROR(INDEX(Survey_Counts!$N$2:$N$930,MATCH(1,INDEX((Survey_Counts!$A$2:$A$930=AJ$3)*(Survey_Counts!$B$2:$B$930=$A11),0),0)),"")</f>
        <v>0.561855670103093</v>
      </c>
      <c r="AK11" s="28" t="n">
        <f aca="false">IFERROR(INDEX(Survey_Counts!$N$2:$N$930,MATCH(1,INDEX((Survey_Counts!$A$2:$A$930=AK$3)*(Survey_Counts!$B$2:$B$930=$A11),0),0)),"")</f>
        <v>0.668421052631579</v>
      </c>
      <c r="AL11" s="28" t="n">
        <f aca="false">IFERROR(INDEX(Survey_Counts!$N$2:$N$930,MATCH(1,INDEX((Survey_Counts!$A$2:$A$930=AL$3)*(Survey_Counts!$B$2:$B$930=$A11),0),0)),"")</f>
        <v>0.378378378378378</v>
      </c>
      <c r="AM11" s="28" t="n">
        <f aca="false">IFERROR(INDEX(Survey_Counts!$N$2:$N$930,MATCH(1,INDEX((Survey_Counts!$A$2:$A$930=AM$3)*(Survey_Counts!$B$2:$B$930=$A11),0),0)),"")</f>
        <v>0.200836820083682</v>
      </c>
      <c r="AN11" s="28" t="n">
        <f aca="false">IFERROR(INDEX(Survey_Counts!$N$2:$N$930,MATCH(1,INDEX((Survey_Counts!$A$2:$A$930=AN$3)*(Survey_Counts!$B$2:$B$930=$A11),0),0)),"")</f>
        <v>0.310502283105023</v>
      </c>
      <c r="AO11" s="28" t="n">
        <f aca="false">IFERROR(INDEX(Survey_Counts!$N$2:$N$930,MATCH(1,INDEX((Survey_Counts!$A$2:$A$930=AO$3)*(Survey_Counts!$B$2:$B$930=$A11),0),0)),"")</f>
        <v>0.358306188925081</v>
      </c>
      <c r="AP11" s="28" t="n">
        <f aca="false">IFERROR(INDEX(Survey_Counts!$N$2:$N$930,MATCH(1,INDEX((Survey_Counts!$A$2:$A$930=AP$3)*(Survey_Counts!$B$2:$B$930=$A11),0),0)),"")</f>
        <v>0.366515837104072</v>
      </c>
      <c r="AQ11" s="28" t="n">
        <f aca="false">IFERROR(INDEX(Survey_Counts!$N$2:$N$930,MATCH(1,INDEX((Survey_Counts!$A$2:$A$930=AQ$3)*(Survey_Counts!$B$2:$B$930=$A11),0),0)),"")</f>
        <v>0.401869158878505</v>
      </c>
      <c r="AR11" s="28" t="n">
        <f aca="false">IFERROR(INDEX(Survey_Counts!$N$2:$N$930,MATCH(1,INDEX((Survey_Counts!$A$2:$A$930=AR$3)*(Survey_Counts!$B$2:$B$930=$A11),0),0)),"")</f>
        <v>0.531914893617021</v>
      </c>
      <c r="AS11" s="28" t="n">
        <f aca="false">IFERROR(INDEX(Survey_Counts!$N$2:$N$930,MATCH(1,INDEX((Survey_Counts!$A$2:$A$930=AS$3)*(Survey_Counts!$B$2:$B$930=$A11),0),0)),"")</f>
        <v>0.238532110091743</v>
      </c>
      <c r="AT11" s="28" t="n">
        <f aca="false">IFERROR(INDEX(Survey_Counts!$N$2:$N$930,MATCH(1,INDEX((Survey_Counts!$A$2:$A$930=AT$3)*(Survey_Counts!$B$2:$B$930=$A11),0),0)),"")</f>
        <v>0.384903891233005</v>
      </c>
      <c r="AU11" s="28" t="n">
        <f aca="false">IFERROR(INDEX(Survey_Counts!$N$2:$N$930,MATCH(1,INDEX((Survey_Counts!$A$2:$A$930=AU$3)*(Survey_Counts!$B$2:$B$930=$A11),0),0)),"")</f>
        <v>0.0638297872340426</v>
      </c>
      <c r="AV11" s="28" t="n">
        <f aca="false">IFERROR(INDEX(Survey_Counts!$N$2:$N$930,MATCH(1,INDEX((Survey_Counts!$A$2:$A$930=AV$3)*(Survey_Counts!$B$2:$B$930=$A11),0),0)),"")</f>
        <v>0.23134328358209</v>
      </c>
      <c r="AW11" s="28" t="n">
        <f aca="false">IFERROR(INDEX(Survey_Counts!$N$2:$N$930,MATCH(1,INDEX((Survey_Counts!$A$2:$A$930=AW$3)*(Survey_Counts!$B$2:$B$930=$A11),0),0)),"")</f>
        <v>0.186274509803922</v>
      </c>
      <c r="AX11" s="28" t="n">
        <f aca="false">IFERROR(INDEX(Survey_Counts!$N$2:$N$930,MATCH(1,INDEX((Survey_Counts!$A$2:$A$930=AX$3)*(Survey_Counts!$B$2:$B$930=$A11),0),0)),"")</f>
        <v>0.281144781144781</v>
      </c>
      <c r="AY11" s="28" t="n">
        <f aca="false">IFERROR(INDEX(Survey_Counts!$N$2:$N$930,MATCH(1,INDEX((Survey_Counts!$A$2:$A$930=AY$3)*(Survey_Counts!$B$2:$B$930=$A11),0),0)),"")</f>
        <v>0.215083798882682</v>
      </c>
      <c r="AZ11" s="28" t="n">
        <f aca="false">IFERROR(INDEX(Survey_Counts!$N$2:$N$930,MATCH(1,INDEX((Survey_Counts!$A$2:$A$930=AZ$3)*(Survey_Counts!$B$2:$B$930=$A11),0),0)),"")</f>
        <v>0.229885057471264</v>
      </c>
      <c r="BA11" s="28" t="n">
        <f aca="false">IFERROR(INDEX(Survey_Counts!$N$2:$N$930,MATCH(1,INDEX((Survey_Counts!$A$2:$A$930=BA$3)*(Survey_Counts!$B$2:$B$930=$A11),0),0)),"")</f>
        <v>0.229885057471264</v>
      </c>
      <c r="BB11" s="28" t="n">
        <f aca="false">IFERROR(INDEX(Survey_Counts!$N$2:$N$930,MATCH(1,INDEX((Survey_Counts!$A$2:$A$930=BB$3)*(Survey_Counts!$B$2:$B$930=$A11),0),0)),"")</f>
        <v>0.0646551724137931</v>
      </c>
      <c r="BC11" s="28" t="n">
        <f aca="false">IFERROR(INDEX(Survey_Counts!$N$2:$N$930,MATCH(1,INDEX((Survey_Counts!$A$2:$A$930=BC$3)*(Survey_Counts!$B$2:$B$930=$A11),0),0)),"")</f>
        <v>0.46530612244898</v>
      </c>
      <c r="BD11" s="28" t="n">
        <f aca="false">IFERROR(INDEX(Survey_Counts!$N$2:$N$930,MATCH(1,INDEX((Survey_Counts!$A$2:$A$930=BD$3)*(Survey_Counts!$B$2:$B$930=$A11),0),0)),"")</f>
        <v>0.515358361774744</v>
      </c>
      <c r="BE11" s="28" t="n">
        <f aca="false">IFERROR(INDEX(Survey_Counts!$N$2:$N$930,MATCH(1,INDEX((Survey_Counts!$A$2:$A$930=BE$3)*(Survey_Counts!$B$2:$B$930=$A11),0),0)),"")</f>
        <v>0.342105263157895</v>
      </c>
      <c r="BF11" s="28" t="n">
        <f aca="false">IFERROR(INDEX(Survey_Counts!$N$2:$N$930,MATCH(1,INDEX((Survey_Counts!$A$2:$A$930=BF$3)*(Survey_Counts!$B$2:$B$930=$A11),0),0)),"")</f>
        <v>0.27735368956743</v>
      </c>
    </row>
    <row r="12" customFormat="false" ht="15" hidden="false" customHeight="false" outlineLevel="0" collapsed="false">
      <c r="A12" s="27" t="n">
        <v>8</v>
      </c>
      <c r="B12" s="27" t="s">
        <v>241</v>
      </c>
      <c r="C12" s="27" t="n">
        <v>-105</v>
      </c>
      <c r="D12" s="28" t="n">
        <f aca="false">IFERROR(INDEX(Survey_Counts!$N$2:$N$930,MATCH(1,INDEX((Survey_Counts!$A$2:$A$930=D$3)*(Survey_Counts!$B$2:$B$930=$A12),0),0)),"")</f>
        <v>0.446524064171123</v>
      </c>
      <c r="E12" s="28" t="n">
        <f aca="false">IFERROR(INDEX(Survey_Counts!$N$2:$N$930,MATCH(1,INDEX((Survey_Counts!$A$2:$A$930=E$3)*(Survey_Counts!$B$2:$B$930=$A12),0),0)),"")</f>
        <v>0.446524064171123</v>
      </c>
      <c r="F12" s="28" t="n">
        <f aca="false">IFERROR(INDEX(Survey_Counts!$N$2:$N$930,MATCH(1,INDEX((Survey_Counts!$A$2:$A$930=F$3)*(Survey_Counts!$B$2:$B$930=$A12),0),0)),"")</f>
        <v>0.337662337662338</v>
      </c>
      <c r="G12" s="28" t="n">
        <f aca="false">IFERROR(INDEX(Survey_Counts!$N$2:$N$930,MATCH(1,INDEX((Survey_Counts!$A$2:$A$930=G$3)*(Survey_Counts!$B$2:$B$930=$A12),0),0)),"")</f>
        <v>0.337662337662338</v>
      </c>
      <c r="H12" s="28" t="n">
        <f aca="false">IFERROR(INDEX(Survey_Counts!$N$2:$N$930,MATCH(1,INDEX((Survey_Counts!$A$2:$A$930=H$3)*(Survey_Counts!$B$2:$B$930=$A12),0),0)),"")</f>
        <v>0.574074074074074</v>
      </c>
      <c r="I12" s="28" t="n">
        <f aca="false">IFERROR(INDEX(Survey_Counts!$N$2:$N$930,MATCH(1,INDEX((Survey_Counts!$A$2:$A$930=I$3)*(Survey_Counts!$B$2:$B$930=$A12),0),0)),"")</f>
        <v>0.440203562340967</v>
      </c>
      <c r="J12" s="28" t="n">
        <f aca="false">IFERROR(INDEX(Survey_Counts!$N$2:$N$930,MATCH(1,INDEX((Survey_Counts!$A$2:$A$930=J$3)*(Survey_Counts!$B$2:$B$930=$A12),0),0)),"")</f>
        <v>0.251173708920188</v>
      </c>
      <c r="K12" s="28" t="n">
        <f aca="false">IFERROR(INDEX(Survey_Counts!$N$2:$N$930,MATCH(1,INDEX((Survey_Counts!$A$2:$A$930=K$3)*(Survey_Counts!$B$2:$B$930=$A12),0),0)),"")</f>
        <v>0.533018867924528</v>
      </c>
      <c r="L12" s="28" t="n">
        <f aca="false">IFERROR(INDEX(Survey_Counts!$N$2:$N$930,MATCH(1,INDEX((Survey_Counts!$A$2:$A$930=L$3)*(Survey_Counts!$B$2:$B$930=$A12),0),0)),"")</f>
        <v>0.480968858131488</v>
      </c>
      <c r="M12" s="28" t="n">
        <f aca="false">IFERROR(INDEX(Survey_Counts!$N$2:$N$930,MATCH(1,INDEX((Survey_Counts!$A$2:$A$930=M$3)*(Survey_Counts!$B$2:$B$930=$A12),0),0)),"")</f>
        <v>0.392</v>
      </c>
      <c r="N12" s="28" t="n">
        <f aca="false">IFERROR(INDEX(Survey_Counts!$N$2:$N$930,MATCH(1,INDEX((Survey_Counts!$A$2:$A$930=N$3)*(Survey_Counts!$B$2:$B$930=$A12),0),0)),"")</f>
        <v>0.673539518900344</v>
      </c>
      <c r="O12" s="28" t="n">
        <f aca="false">IFERROR(INDEX(Survey_Counts!$N$2:$N$930,MATCH(1,INDEX((Survey_Counts!$A$2:$A$930=O$3)*(Survey_Counts!$B$2:$B$930=$A12),0),0)),"")</f>
        <v>0.457627118644068</v>
      </c>
      <c r="P12" s="28" t="n">
        <f aca="false">IFERROR(INDEX(Survey_Counts!$N$2:$N$930,MATCH(1,INDEX((Survey_Counts!$A$2:$A$930=P$3)*(Survey_Counts!$B$2:$B$930=$A12),0),0)),"")</f>
        <v>0.510752688172043</v>
      </c>
      <c r="Q12" s="28" t="n">
        <f aca="false">IFERROR(INDEX(Survey_Counts!$N$2:$N$930,MATCH(1,INDEX((Survey_Counts!$A$2:$A$930=Q$3)*(Survey_Counts!$B$2:$B$930=$A12),0),0)),"")</f>
        <v>0.293478260869565</v>
      </c>
      <c r="R12" s="28" t="n">
        <f aca="false">IFERROR(INDEX(Survey_Counts!$N$2:$N$930,MATCH(1,INDEX((Survey_Counts!$A$2:$A$930=R$3)*(Survey_Counts!$B$2:$B$930=$A12),0),0)),"")</f>
        <v>0.596843003412969</v>
      </c>
      <c r="S12" s="28" t="n">
        <f aca="false">IFERROR(INDEX(Survey_Counts!$N$2:$N$930,MATCH(1,INDEX((Survey_Counts!$A$2:$A$930=S$3)*(Survey_Counts!$B$2:$B$930=$A12),0),0)),"")</f>
        <v>0.596843003412969</v>
      </c>
      <c r="T12" s="28" t="n">
        <f aca="false">IFERROR(INDEX(Survey_Counts!$N$2:$N$930,MATCH(1,INDEX((Survey_Counts!$A$2:$A$930=T$3)*(Survey_Counts!$B$2:$B$930=$A12),0),0)),"")</f>
        <v>0.558665231431647</v>
      </c>
      <c r="U12" s="28" t="n">
        <f aca="false">IFERROR(INDEX(Survey_Counts!$N$2:$N$930,MATCH(1,INDEX((Survey_Counts!$A$2:$A$930=U$3)*(Survey_Counts!$B$2:$B$930=$A12),0),0)),"")</f>
        <v>0.558665231431647</v>
      </c>
      <c r="V12" s="28" t="n">
        <f aca="false">IFERROR(INDEX(Survey_Counts!$N$2:$N$930,MATCH(1,INDEX((Survey_Counts!$A$2:$A$930=V$3)*(Survey_Counts!$B$2:$B$930=$A12),0),0)),"")</f>
        <v>0.211764705882353</v>
      </c>
      <c r="W12" s="28" t="n">
        <f aca="false">IFERROR(INDEX(Survey_Counts!$N$2:$N$930,MATCH(1,INDEX((Survey_Counts!$A$2:$A$930=W$3)*(Survey_Counts!$B$2:$B$930=$A12),0),0)),"")</f>
        <v>0.182926829268293</v>
      </c>
      <c r="X12" s="28" t="n">
        <f aca="false">IFERROR(INDEX(Survey_Counts!$N$2:$N$930,MATCH(1,INDEX((Survey_Counts!$A$2:$A$930=X$3)*(Survey_Counts!$B$2:$B$930=$A12),0),0)),"")</f>
        <v>0.747942386831276</v>
      </c>
      <c r="Y12" s="28" t="n">
        <f aca="false">IFERROR(INDEX(Survey_Counts!$N$2:$N$930,MATCH(1,INDEX((Survey_Counts!$A$2:$A$930=Y$3)*(Survey_Counts!$B$2:$B$930=$A12),0),0)),"")</f>
        <v>0.603571428571429</v>
      </c>
      <c r="Z12" s="28" t="n">
        <f aca="false">IFERROR(INDEX(Survey_Counts!$N$2:$N$930,MATCH(1,INDEX((Survey_Counts!$A$2:$A$930=Z$3)*(Survey_Counts!$B$2:$B$930=$A12),0),0)),"")</f>
        <v>0.413518886679921</v>
      </c>
      <c r="AA12" s="28" t="n">
        <f aca="false">IFERROR(INDEX(Survey_Counts!$N$2:$N$930,MATCH(1,INDEX((Survey_Counts!$A$2:$A$930=AA$3)*(Survey_Counts!$B$2:$B$930=$A12),0),0)),"")</f>
        <v>0.587182448036952</v>
      </c>
      <c r="AB12" s="28" t="n">
        <f aca="false">IFERROR(INDEX(Survey_Counts!$N$2:$N$930,MATCH(1,INDEX((Survey_Counts!$A$2:$A$930=AB$3)*(Survey_Counts!$B$2:$B$930=$A12),0),0)),"")</f>
        <v>0.324324324324324</v>
      </c>
      <c r="AC12" s="28" t="n">
        <f aca="false">IFERROR(INDEX(Survey_Counts!$N$2:$N$930,MATCH(1,INDEX((Survey_Counts!$A$2:$A$930=AC$3)*(Survey_Counts!$B$2:$B$930=$A12),0),0)),"")</f>
        <v>0.432343234323432</v>
      </c>
      <c r="AD12" s="28" t="n">
        <f aca="false">IFERROR(INDEX(Survey_Counts!$N$2:$N$930,MATCH(1,INDEX((Survey_Counts!$A$2:$A$930=AD$3)*(Survey_Counts!$B$2:$B$930=$A12),0),0)),"")</f>
        <v>0.431297709923664</v>
      </c>
      <c r="AE12" s="28" t="n">
        <f aca="false">IFERROR(INDEX(Survey_Counts!$N$2:$N$930,MATCH(1,INDEX((Survey_Counts!$A$2:$A$930=AE$3)*(Survey_Counts!$B$2:$B$930=$A12),0),0)),"")</f>
        <v>0.585572842998586</v>
      </c>
      <c r="AF12" s="28" t="n">
        <f aca="false">IFERROR(INDEX(Survey_Counts!$N$2:$N$930,MATCH(1,INDEX((Survey_Counts!$A$2:$A$930=AF$3)*(Survey_Counts!$B$2:$B$930=$A12),0),0)),"")</f>
        <v>0.585572842998586</v>
      </c>
      <c r="AG12" s="28" t="n">
        <f aca="false">IFERROR(INDEX(Survey_Counts!$N$2:$N$930,MATCH(1,INDEX((Survey_Counts!$A$2:$A$930=AG$3)*(Survey_Counts!$B$2:$B$930=$A12),0),0)),"")</f>
        <v>0.625482625482626</v>
      </c>
      <c r="AH12" s="28" t="n">
        <f aca="false">IFERROR(INDEX(Survey_Counts!$N$2:$N$930,MATCH(1,INDEX((Survey_Counts!$A$2:$A$930=AH$3)*(Survey_Counts!$B$2:$B$930=$A12),0),0)),"")</f>
        <v>0.625482625482626</v>
      </c>
      <c r="AI12" s="28" t="n">
        <f aca="false">IFERROR(INDEX(Survey_Counts!$N$2:$N$930,MATCH(1,INDEX((Survey_Counts!$A$2:$A$930=AI$3)*(Survey_Counts!$B$2:$B$930=$A12),0),0)),"")</f>
        <v>0.582474226804124</v>
      </c>
      <c r="AJ12" s="28" t="n">
        <f aca="false">IFERROR(INDEX(Survey_Counts!$N$2:$N$930,MATCH(1,INDEX((Survey_Counts!$A$2:$A$930=AJ$3)*(Survey_Counts!$B$2:$B$930=$A12),0),0)),"")</f>
        <v>0.582474226804124</v>
      </c>
      <c r="AK12" s="28" t="n">
        <f aca="false">IFERROR(INDEX(Survey_Counts!$N$2:$N$930,MATCH(1,INDEX((Survey_Counts!$A$2:$A$930=AK$3)*(Survey_Counts!$B$2:$B$930=$A12),0),0)),"")</f>
        <v>0.636842105263158</v>
      </c>
      <c r="AL12" s="28" t="n">
        <f aca="false">IFERROR(INDEX(Survey_Counts!$N$2:$N$930,MATCH(1,INDEX((Survey_Counts!$A$2:$A$930=AL$3)*(Survey_Counts!$B$2:$B$930=$A12),0),0)),"")</f>
        <v>0.491891891891892</v>
      </c>
      <c r="AM12" s="28" t="n">
        <f aca="false">IFERROR(INDEX(Survey_Counts!$N$2:$N$930,MATCH(1,INDEX((Survey_Counts!$A$2:$A$930=AM$3)*(Survey_Counts!$B$2:$B$930=$A12),0),0)),"")</f>
        <v>0.330543933054393</v>
      </c>
      <c r="AN12" s="28" t="n">
        <f aca="false">IFERROR(INDEX(Survey_Counts!$N$2:$N$930,MATCH(1,INDEX((Survey_Counts!$A$2:$A$930=AN$3)*(Survey_Counts!$B$2:$B$930=$A12),0),0)),"")</f>
        <v>0.452054794520548</v>
      </c>
      <c r="AO12" s="28" t="n">
        <f aca="false">IFERROR(INDEX(Survey_Counts!$N$2:$N$930,MATCH(1,INDEX((Survey_Counts!$A$2:$A$930=AO$3)*(Survey_Counts!$B$2:$B$930=$A12),0),0)),"")</f>
        <v>0.462540716612378</v>
      </c>
      <c r="AP12" s="28" t="n">
        <f aca="false">IFERROR(INDEX(Survey_Counts!$N$2:$N$930,MATCH(1,INDEX((Survey_Counts!$A$2:$A$930=AP$3)*(Survey_Counts!$B$2:$B$930=$A12),0),0)),"")</f>
        <v>0.434389140271493</v>
      </c>
      <c r="AQ12" s="28" t="n">
        <f aca="false">IFERROR(INDEX(Survey_Counts!$N$2:$N$930,MATCH(1,INDEX((Survey_Counts!$A$2:$A$930=AQ$3)*(Survey_Counts!$B$2:$B$930=$A12),0),0)),"")</f>
        <v>0.495327102803738</v>
      </c>
      <c r="AR12" s="28" t="n">
        <f aca="false">IFERROR(INDEX(Survey_Counts!$N$2:$N$930,MATCH(1,INDEX((Survey_Counts!$A$2:$A$930=AR$3)*(Survey_Counts!$B$2:$B$930=$A12),0),0)),"")</f>
        <v>0.595744680851064</v>
      </c>
      <c r="AS12" s="28" t="n">
        <f aca="false">IFERROR(INDEX(Survey_Counts!$N$2:$N$930,MATCH(1,INDEX((Survey_Counts!$A$2:$A$930=AS$3)*(Survey_Counts!$B$2:$B$930=$A12),0),0)),"")</f>
        <v>0.370030581039755</v>
      </c>
      <c r="AT12" s="28" t="n">
        <f aca="false">IFERROR(INDEX(Survey_Counts!$N$2:$N$930,MATCH(1,INDEX((Survey_Counts!$A$2:$A$930=AT$3)*(Survey_Counts!$B$2:$B$930=$A12),0),0)),"")</f>
        <v>0.488045007032349</v>
      </c>
      <c r="AU12" s="28" t="n">
        <f aca="false">IFERROR(INDEX(Survey_Counts!$N$2:$N$930,MATCH(1,INDEX((Survey_Counts!$A$2:$A$930=AU$3)*(Survey_Counts!$B$2:$B$930=$A12),0),0)),"")</f>
        <v>0.148936170212766</v>
      </c>
      <c r="AV12" s="28" t="n">
        <f aca="false">IFERROR(INDEX(Survey_Counts!$N$2:$N$930,MATCH(1,INDEX((Survey_Counts!$A$2:$A$930=AV$3)*(Survey_Counts!$B$2:$B$930=$A12),0),0)),"")</f>
        <v>0.415422885572139</v>
      </c>
      <c r="AW12" s="28" t="n">
        <f aca="false">IFERROR(INDEX(Survey_Counts!$N$2:$N$930,MATCH(1,INDEX((Survey_Counts!$A$2:$A$930=AW$3)*(Survey_Counts!$B$2:$B$930=$A12),0),0)),"")</f>
        <v>0.336601307189543</v>
      </c>
      <c r="AX12" s="28" t="n">
        <f aca="false">IFERROR(INDEX(Survey_Counts!$N$2:$N$930,MATCH(1,INDEX((Survey_Counts!$A$2:$A$930=AX$3)*(Survey_Counts!$B$2:$B$930=$A12),0),0)),"")</f>
        <v>0.37037037037037</v>
      </c>
      <c r="AY12" s="28" t="n">
        <f aca="false">IFERROR(INDEX(Survey_Counts!$N$2:$N$930,MATCH(1,INDEX((Survey_Counts!$A$2:$A$930=AY$3)*(Survey_Counts!$B$2:$B$930=$A12),0),0)),"")</f>
        <v>0.335195530726257</v>
      </c>
      <c r="AZ12" s="28" t="n">
        <f aca="false">IFERROR(INDEX(Survey_Counts!$N$2:$N$930,MATCH(1,INDEX((Survey_Counts!$A$2:$A$930=AZ$3)*(Survey_Counts!$B$2:$B$930=$A12),0),0)),"")</f>
        <v>0.379310344827586</v>
      </c>
      <c r="BA12" s="28" t="n">
        <f aca="false">IFERROR(INDEX(Survey_Counts!$N$2:$N$930,MATCH(1,INDEX((Survey_Counts!$A$2:$A$930=BA$3)*(Survey_Counts!$B$2:$B$930=$A12),0),0)),"")</f>
        <v>0.379310344827586</v>
      </c>
      <c r="BB12" s="28" t="n">
        <f aca="false">IFERROR(INDEX(Survey_Counts!$N$2:$N$930,MATCH(1,INDEX((Survey_Counts!$A$2:$A$930=BB$3)*(Survey_Counts!$B$2:$B$930=$A12),0),0)),"")</f>
        <v>0.107758620689655</v>
      </c>
      <c r="BC12" s="28" t="n">
        <f aca="false">IFERROR(INDEX(Survey_Counts!$N$2:$N$930,MATCH(1,INDEX((Survey_Counts!$A$2:$A$930=BC$3)*(Survey_Counts!$B$2:$B$930=$A12),0),0)),"")</f>
        <v>0.453061224489796</v>
      </c>
      <c r="BD12" s="28" t="n">
        <f aca="false">IFERROR(INDEX(Survey_Counts!$N$2:$N$930,MATCH(1,INDEX((Survey_Counts!$A$2:$A$930=BD$3)*(Survey_Counts!$B$2:$B$930=$A12),0),0)),"")</f>
        <v>0.566552901023891</v>
      </c>
      <c r="BE12" s="28" t="n">
        <f aca="false">IFERROR(INDEX(Survey_Counts!$N$2:$N$930,MATCH(1,INDEX((Survey_Counts!$A$2:$A$930=BE$3)*(Survey_Counts!$B$2:$B$930=$A12),0),0)),"")</f>
        <v>0.457236842105263</v>
      </c>
      <c r="BF12" s="28" t="n">
        <f aca="false">IFERROR(INDEX(Survey_Counts!$N$2:$N$930,MATCH(1,INDEX((Survey_Counts!$A$2:$A$930=BF$3)*(Survey_Counts!$B$2:$B$930=$A12),0),0)),"")</f>
        <v>0.363867684478372</v>
      </c>
    </row>
    <row r="13" customFormat="false" ht="15" hidden="false" customHeight="false" outlineLevel="0" collapsed="false">
      <c r="A13" s="27" t="n">
        <v>9</v>
      </c>
      <c r="B13" s="27" t="s">
        <v>279</v>
      </c>
      <c r="C13" s="27" t="n">
        <v>-90</v>
      </c>
      <c r="D13" s="28" t="n">
        <f aca="false">IFERROR(INDEX(Survey_Counts!$N$2:$N$930,MATCH(1,INDEX((Survey_Counts!$A$2:$A$930=D$3)*(Survey_Counts!$B$2:$B$930=$A13),0),0)),"")</f>
        <v>0.524064171122995</v>
      </c>
      <c r="E13" s="28" t="n">
        <f aca="false">IFERROR(INDEX(Survey_Counts!$N$2:$N$930,MATCH(1,INDEX((Survey_Counts!$A$2:$A$930=E$3)*(Survey_Counts!$B$2:$B$930=$A13),0),0)),"")</f>
        <v>0.524064171122995</v>
      </c>
      <c r="F13" s="28" t="n">
        <f aca="false">IFERROR(INDEX(Survey_Counts!$N$2:$N$930,MATCH(1,INDEX((Survey_Counts!$A$2:$A$930=F$3)*(Survey_Counts!$B$2:$B$930=$A13),0),0)),"")</f>
        <v>0.350649350649351</v>
      </c>
      <c r="G13" s="28" t="n">
        <f aca="false">IFERROR(INDEX(Survey_Counts!$N$2:$N$930,MATCH(1,INDEX((Survey_Counts!$A$2:$A$930=G$3)*(Survey_Counts!$B$2:$B$930=$A13),0),0)),"")</f>
        <v>0.350649350649351</v>
      </c>
      <c r="H13" s="28" t="n">
        <f aca="false">IFERROR(INDEX(Survey_Counts!$N$2:$N$930,MATCH(1,INDEX((Survey_Counts!$A$2:$A$930=H$3)*(Survey_Counts!$B$2:$B$930=$A13),0),0)),"")</f>
        <v>0.563786008230453</v>
      </c>
      <c r="I13" s="28" t="n">
        <f aca="false">IFERROR(INDEX(Survey_Counts!$N$2:$N$930,MATCH(1,INDEX((Survey_Counts!$A$2:$A$930=I$3)*(Survey_Counts!$B$2:$B$930=$A13),0),0)),"")</f>
        <v>0.539440203562341</v>
      </c>
      <c r="J13" s="28" t="n">
        <f aca="false">IFERROR(INDEX(Survey_Counts!$N$2:$N$930,MATCH(1,INDEX((Survey_Counts!$A$2:$A$930=J$3)*(Survey_Counts!$B$2:$B$930=$A13),0),0)),"")</f>
        <v>0.382629107981221</v>
      </c>
      <c r="K13" s="28" t="n">
        <f aca="false">IFERROR(INDEX(Survey_Counts!$N$2:$N$930,MATCH(1,INDEX((Survey_Counts!$A$2:$A$930=K$3)*(Survey_Counts!$B$2:$B$930=$A13),0),0)),"")</f>
        <v>0.641509433962264</v>
      </c>
      <c r="L13" s="28" t="n">
        <f aca="false">IFERROR(INDEX(Survey_Counts!$N$2:$N$930,MATCH(1,INDEX((Survey_Counts!$A$2:$A$930=L$3)*(Survey_Counts!$B$2:$B$930=$A13),0),0)),"")</f>
        <v>0.56401384083045</v>
      </c>
      <c r="M13" s="28" t="n">
        <f aca="false">IFERROR(INDEX(Survey_Counts!$N$2:$N$930,MATCH(1,INDEX((Survey_Counts!$A$2:$A$930=M$3)*(Survey_Counts!$B$2:$B$930=$A13),0),0)),"")</f>
        <v>0.525333333333333</v>
      </c>
      <c r="N13" s="28" t="n">
        <f aca="false">IFERROR(INDEX(Survey_Counts!$N$2:$N$930,MATCH(1,INDEX((Survey_Counts!$A$2:$A$930=N$3)*(Survey_Counts!$B$2:$B$930=$A13),0),0)),"")</f>
        <v>0.63573883161512</v>
      </c>
      <c r="O13" s="28" t="n">
        <f aca="false">IFERROR(INDEX(Survey_Counts!$N$2:$N$930,MATCH(1,INDEX((Survey_Counts!$A$2:$A$930=O$3)*(Survey_Counts!$B$2:$B$930=$A13),0),0)),"")</f>
        <v>0.491525423728814</v>
      </c>
      <c r="P13" s="28" t="n">
        <f aca="false">IFERROR(INDEX(Survey_Counts!$N$2:$N$930,MATCH(1,INDEX((Survey_Counts!$A$2:$A$930=P$3)*(Survey_Counts!$B$2:$B$930=$A13),0),0)),"")</f>
        <v>0.575268817204301</v>
      </c>
      <c r="Q13" s="28" t="n">
        <f aca="false">IFERROR(INDEX(Survey_Counts!$N$2:$N$930,MATCH(1,INDEX((Survey_Counts!$A$2:$A$930=Q$3)*(Survey_Counts!$B$2:$B$930=$A13),0),0)),"")</f>
        <v>0.494565217391304</v>
      </c>
      <c r="R13" s="28" t="n">
        <f aca="false">IFERROR(INDEX(Survey_Counts!$N$2:$N$930,MATCH(1,INDEX((Survey_Counts!$A$2:$A$930=R$3)*(Survey_Counts!$B$2:$B$930=$A13),0),0)),"")</f>
        <v>0.686006825938567</v>
      </c>
      <c r="S13" s="28" t="n">
        <f aca="false">IFERROR(INDEX(Survey_Counts!$N$2:$N$930,MATCH(1,INDEX((Survey_Counts!$A$2:$A$930=S$3)*(Survey_Counts!$B$2:$B$930=$A13),0),0)),"")</f>
        <v>0.686006825938567</v>
      </c>
      <c r="T13" s="28" t="n">
        <f aca="false">IFERROR(INDEX(Survey_Counts!$N$2:$N$930,MATCH(1,INDEX((Survey_Counts!$A$2:$A$930=T$3)*(Survey_Counts!$B$2:$B$930=$A13),0),0)),"")</f>
        <v>0.578040904198062</v>
      </c>
      <c r="U13" s="28" t="n">
        <f aca="false">IFERROR(INDEX(Survey_Counts!$N$2:$N$930,MATCH(1,INDEX((Survey_Counts!$A$2:$A$930=U$3)*(Survey_Counts!$B$2:$B$930=$A13),0),0)),"")</f>
        <v>0.578040904198062</v>
      </c>
      <c r="V13" s="28" t="n">
        <f aca="false">IFERROR(INDEX(Survey_Counts!$N$2:$N$930,MATCH(1,INDEX((Survey_Counts!$A$2:$A$930=V$3)*(Survey_Counts!$B$2:$B$930=$A13),0),0)),"")</f>
        <v>0.294117647058824</v>
      </c>
      <c r="W13" s="28" t="n">
        <f aca="false">IFERROR(INDEX(Survey_Counts!$N$2:$N$930,MATCH(1,INDEX((Survey_Counts!$A$2:$A$930=W$3)*(Survey_Counts!$B$2:$B$930=$A13),0),0)),"")</f>
        <v>0.268292682926829</v>
      </c>
      <c r="X13" s="28" t="n">
        <f aca="false">IFERROR(INDEX(Survey_Counts!$N$2:$N$930,MATCH(1,INDEX((Survey_Counts!$A$2:$A$930=X$3)*(Survey_Counts!$B$2:$B$930=$A13),0),0)),"")</f>
        <v>0.731481481481482</v>
      </c>
      <c r="Y13" s="28" t="n">
        <f aca="false">IFERROR(INDEX(Survey_Counts!$N$2:$N$930,MATCH(1,INDEX((Survey_Counts!$A$2:$A$930=Y$3)*(Survey_Counts!$B$2:$B$930=$A13),0),0)),"")</f>
        <v>0.617857142857143</v>
      </c>
      <c r="Z13" s="28" t="n">
        <f aca="false">IFERROR(INDEX(Survey_Counts!$N$2:$N$930,MATCH(1,INDEX((Survey_Counts!$A$2:$A$930=Z$3)*(Survey_Counts!$B$2:$B$930=$A13),0),0)),"")</f>
        <v>0.524850894632207</v>
      </c>
      <c r="AA13" s="28" t="n">
        <f aca="false">IFERROR(INDEX(Survey_Counts!$N$2:$N$930,MATCH(1,INDEX((Survey_Counts!$A$2:$A$930=AA$3)*(Survey_Counts!$B$2:$B$930=$A13),0),0)),"")</f>
        <v>0.669745958429561</v>
      </c>
      <c r="AB13" s="28" t="n">
        <f aca="false">IFERROR(INDEX(Survey_Counts!$N$2:$N$930,MATCH(1,INDEX((Survey_Counts!$A$2:$A$930=AB$3)*(Survey_Counts!$B$2:$B$930=$A13),0),0)),"")</f>
        <v>0.405405405405405</v>
      </c>
      <c r="AC13" s="28" t="n">
        <f aca="false">IFERROR(INDEX(Survey_Counts!$N$2:$N$930,MATCH(1,INDEX((Survey_Counts!$A$2:$A$930=AC$3)*(Survey_Counts!$B$2:$B$930=$A13),0),0)),"")</f>
        <v>0.556655665566557</v>
      </c>
      <c r="AD13" s="28" t="n">
        <f aca="false">IFERROR(INDEX(Survey_Counts!$N$2:$N$930,MATCH(1,INDEX((Survey_Counts!$A$2:$A$930=AD$3)*(Survey_Counts!$B$2:$B$930=$A13),0),0)),"")</f>
        <v>0.522900763358779</v>
      </c>
      <c r="AE13" s="28" t="n">
        <f aca="false">IFERROR(INDEX(Survey_Counts!$N$2:$N$930,MATCH(1,INDEX((Survey_Counts!$A$2:$A$930=AE$3)*(Survey_Counts!$B$2:$B$930=$A13),0),0)),"")</f>
        <v>0.629420084865629</v>
      </c>
      <c r="AF13" s="28" t="n">
        <f aca="false">IFERROR(INDEX(Survey_Counts!$N$2:$N$930,MATCH(1,INDEX((Survey_Counts!$A$2:$A$930=AF$3)*(Survey_Counts!$B$2:$B$930=$A13),0),0)),"")</f>
        <v>0.629420084865629</v>
      </c>
      <c r="AG13" s="28" t="n">
        <f aca="false">IFERROR(INDEX(Survey_Counts!$N$2:$N$930,MATCH(1,INDEX((Survey_Counts!$A$2:$A$930=AG$3)*(Survey_Counts!$B$2:$B$930=$A13),0),0)),"")</f>
        <v>0.698841698841699</v>
      </c>
      <c r="AH13" s="28" t="n">
        <f aca="false">IFERROR(INDEX(Survey_Counts!$N$2:$N$930,MATCH(1,INDEX((Survey_Counts!$A$2:$A$930=AH$3)*(Survey_Counts!$B$2:$B$930=$A13),0),0)),"")</f>
        <v>0.698841698841699</v>
      </c>
      <c r="AI13" s="28" t="n">
        <f aca="false">IFERROR(INDEX(Survey_Counts!$N$2:$N$930,MATCH(1,INDEX((Survey_Counts!$A$2:$A$930=AI$3)*(Survey_Counts!$B$2:$B$930=$A13),0),0)),"")</f>
        <v>0.536082474226804</v>
      </c>
      <c r="AJ13" s="28" t="n">
        <f aca="false">IFERROR(INDEX(Survey_Counts!$N$2:$N$930,MATCH(1,INDEX((Survey_Counts!$A$2:$A$930=AJ$3)*(Survey_Counts!$B$2:$B$930=$A13),0),0)),"")</f>
        <v>0.536082474226804</v>
      </c>
      <c r="AK13" s="28" t="n">
        <f aca="false">IFERROR(INDEX(Survey_Counts!$N$2:$N$930,MATCH(1,INDEX((Survey_Counts!$A$2:$A$930=AK$3)*(Survey_Counts!$B$2:$B$930=$A13),0),0)),"")</f>
        <v>0.610526315789474</v>
      </c>
      <c r="AL13" s="28" t="n">
        <f aca="false">IFERROR(INDEX(Survey_Counts!$N$2:$N$930,MATCH(1,INDEX((Survey_Counts!$A$2:$A$930=AL$3)*(Survey_Counts!$B$2:$B$930=$A13),0),0)),"")</f>
        <v>0.583783783783784</v>
      </c>
      <c r="AM13" s="28" t="n">
        <f aca="false">IFERROR(INDEX(Survey_Counts!$N$2:$N$930,MATCH(1,INDEX((Survey_Counts!$A$2:$A$930=AM$3)*(Survey_Counts!$B$2:$B$930=$A13),0),0)),"")</f>
        <v>0.485355648535565</v>
      </c>
      <c r="AN13" s="28" t="n">
        <f aca="false">IFERROR(INDEX(Survey_Counts!$N$2:$N$930,MATCH(1,INDEX((Survey_Counts!$A$2:$A$930=AN$3)*(Survey_Counts!$B$2:$B$930=$A13),0),0)),"")</f>
        <v>0.602739726027397</v>
      </c>
      <c r="AO13" s="28" t="n">
        <f aca="false">IFERROR(INDEX(Survey_Counts!$N$2:$N$930,MATCH(1,INDEX((Survey_Counts!$A$2:$A$930=AO$3)*(Survey_Counts!$B$2:$B$930=$A13),0),0)),"")</f>
        <v>0.579804560260586</v>
      </c>
      <c r="AP13" s="28" t="n">
        <f aca="false">IFERROR(INDEX(Survey_Counts!$N$2:$N$930,MATCH(1,INDEX((Survey_Counts!$A$2:$A$930=AP$3)*(Survey_Counts!$B$2:$B$930=$A13),0),0)),"")</f>
        <v>0.502262443438914</v>
      </c>
      <c r="AQ13" s="28" t="n">
        <f aca="false">IFERROR(INDEX(Survey_Counts!$N$2:$N$930,MATCH(1,INDEX((Survey_Counts!$A$2:$A$930=AQ$3)*(Survey_Counts!$B$2:$B$930=$A13),0),0)),"")</f>
        <v>0.560747663551402</v>
      </c>
      <c r="AR13" s="28" t="n">
        <f aca="false">IFERROR(INDEX(Survey_Counts!$N$2:$N$930,MATCH(1,INDEX((Survey_Counts!$A$2:$A$930=AR$3)*(Survey_Counts!$B$2:$B$930=$A13),0),0)),"")</f>
        <v>0.672340425531915</v>
      </c>
      <c r="AS13" s="28" t="n">
        <f aca="false">IFERROR(INDEX(Survey_Counts!$N$2:$N$930,MATCH(1,INDEX((Survey_Counts!$A$2:$A$930=AS$3)*(Survey_Counts!$B$2:$B$930=$A13),0),0)),"")</f>
        <v>0.443425076452599</v>
      </c>
      <c r="AT13" s="28" t="n">
        <f aca="false">IFERROR(INDEX(Survey_Counts!$N$2:$N$930,MATCH(1,INDEX((Survey_Counts!$A$2:$A$930=AT$3)*(Survey_Counts!$B$2:$B$930=$A13),0),0)),"")</f>
        <v>0.578059071729958</v>
      </c>
      <c r="AU13" s="28" t="n">
        <f aca="false">IFERROR(INDEX(Survey_Counts!$N$2:$N$930,MATCH(1,INDEX((Survey_Counts!$A$2:$A$930=AU$3)*(Survey_Counts!$B$2:$B$930=$A13),0),0)),"")</f>
        <v>0.234042553191489</v>
      </c>
      <c r="AV13" s="28" t="n">
        <f aca="false">IFERROR(INDEX(Survey_Counts!$N$2:$N$930,MATCH(1,INDEX((Survey_Counts!$A$2:$A$930=AV$3)*(Survey_Counts!$B$2:$B$930=$A13),0),0)),"")</f>
        <v>0.557213930348259</v>
      </c>
      <c r="AW13" s="28" t="n">
        <f aca="false">IFERROR(INDEX(Survey_Counts!$N$2:$N$930,MATCH(1,INDEX((Survey_Counts!$A$2:$A$930=AW$3)*(Survey_Counts!$B$2:$B$930=$A13),0),0)),"")</f>
        <v>0.477124183006536</v>
      </c>
      <c r="AX13" s="28" t="n">
        <f aca="false">IFERROR(INDEX(Survey_Counts!$N$2:$N$930,MATCH(1,INDEX((Survey_Counts!$A$2:$A$930=AX$3)*(Survey_Counts!$B$2:$B$930=$A13),0),0)),"")</f>
        <v>0.457912457912458</v>
      </c>
      <c r="AY13" s="28" t="n">
        <f aca="false">IFERROR(INDEX(Survey_Counts!$N$2:$N$930,MATCH(1,INDEX((Survey_Counts!$A$2:$A$930=AY$3)*(Survey_Counts!$B$2:$B$930=$A13),0),0)),"")</f>
        <v>0.435754189944134</v>
      </c>
      <c r="AZ13" s="28" t="n">
        <f aca="false">IFERROR(INDEX(Survey_Counts!$N$2:$N$930,MATCH(1,INDEX((Survey_Counts!$A$2:$A$930=AZ$3)*(Survey_Counts!$B$2:$B$930=$A13),0),0)),"")</f>
        <v>0.48735632183908</v>
      </c>
      <c r="BA13" s="28" t="n">
        <f aca="false">IFERROR(INDEX(Survey_Counts!$N$2:$N$930,MATCH(1,INDEX((Survey_Counts!$A$2:$A$930=BA$3)*(Survey_Counts!$B$2:$B$930=$A13),0),0)),"")</f>
        <v>0.48735632183908</v>
      </c>
      <c r="BB13" s="28" t="n">
        <f aca="false">IFERROR(INDEX(Survey_Counts!$N$2:$N$930,MATCH(1,INDEX((Survey_Counts!$A$2:$A$930=BB$3)*(Survey_Counts!$B$2:$B$930=$A13),0),0)),"")</f>
        <v>0.224137931034483</v>
      </c>
      <c r="BC13" s="28" t="n">
        <f aca="false">IFERROR(INDEX(Survey_Counts!$N$2:$N$930,MATCH(1,INDEX((Survey_Counts!$A$2:$A$930=BC$3)*(Survey_Counts!$B$2:$B$930=$A13),0),0)),"")</f>
        <v>0.477551020408163</v>
      </c>
      <c r="BD13" s="28" t="n">
        <f aca="false">IFERROR(INDEX(Survey_Counts!$N$2:$N$930,MATCH(1,INDEX((Survey_Counts!$A$2:$A$930=BD$3)*(Survey_Counts!$B$2:$B$930=$A13),0),0)),"")</f>
        <v>0.597269624573379</v>
      </c>
      <c r="BE13" s="28" t="n">
        <f aca="false">IFERROR(INDEX(Survey_Counts!$N$2:$N$930,MATCH(1,INDEX((Survey_Counts!$A$2:$A$930=BE$3)*(Survey_Counts!$B$2:$B$930=$A13),0),0)),"")</f>
        <v>0.532894736842105</v>
      </c>
      <c r="BF13" s="28" t="n">
        <f aca="false">IFERROR(INDEX(Survey_Counts!$N$2:$N$930,MATCH(1,INDEX((Survey_Counts!$A$2:$A$930=BF$3)*(Survey_Counts!$B$2:$B$930=$A13),0),0)),"")</f>
        <v>0.402035623409669</v>
      </c>
    </row>
    <row r="14" customFormat="false" ht="15" hidden="false" customHeight="false" outlineLevel="0" collapsed="false">
      <c r="A14" s="27" t="n">
        <v>10</v>
      </c>
      <c r="B14" s="27" t="s">
        <v>206</v>
      </c>
      <c r="C14" s="27" t="n">
        <v>-75</v>
      </c>
      <c r="D14" s="28" t="n">
        <f aca="false">IFERROR(INDEX(Survey_Counts!$N$2:$N$930,MATCH(1,INDEX((Survey_Counts!$A$2:$A$930=D$3)*(Survey_Counts!$B$2:$B$930=$A14),0),0)),"")</f>
        <v>0.545454545454545</v>
      </c>
      <c r="E14" s="28" t="n">
        <f aca="false">IFERROR(INDEX(Survey_Counts!$N$2:$N$930,MATCH(1,INDEX((Survey_Counts!$A$2:$A$930=E$3)*(Survey_Counts!$B$2:$B$930=$A14),0),0)),"")</f>
        <v>0.545454545454545</v>
      </c>
      <c r="F14" s="28" t="n">
        <f aca="false">IFERROR(INDEX(Survey_Counts!$N$2:$N$930,MATCH(1,INDEX((Survey_Counts!$A$2:$A$930=F$3)*(Survey_Counts!$B$2:$B$930=$A14),0),0)),"")</f>
        <v>0.350649350649351</v>
      </c>
      <c r="G14" s="28" t="n">
        <f aca="false">IFERROR(INDEX(Survey_Counts!$N$2:$N$930,MATCH(1,INDEX((Survey_Counts!$A$2:$A$930=G$3)*(Survey_Counts!$B$2:$B$930=$A14),0),0)),"")</f>
        <v>0.350649350649351</v>
      </c>
      <c r="H14" s="28" t="n">
        <f aca="false">IFERROR(INDEX(Survey_Counts!$N$2:$N$930,MATCH(1,INDEX((Survey_Counts!$A$2:$A$930=H$3)*(Survey_Counts!$B$2:$B$930=$A14),0),0)),"")</f>
        <v>0.567901234567901</v>
      </c>
      <c r="I14" s="28" t="n">
        <f aca="false">IFERROR(INDEX(Survey_Counts!$N$2:$N$930,MATCH(1,INDEX((Survey_Counts!$A$2:$A$930=I$3)*(Survey_Counts!$B$2:$B$930=$A14),0),0)),"")</f>
        <v>0.597964376590331</v>
      </c>
      <c r="J14" s="28" t="n">
        <f aca="false">IFERROR(INDEX(Survey_Counts!$N$2:$N$930,MATCH(1,INDEX((Survey_Counts!$A$2:$A$930=J$3)*(Survey_Counts!$B$2:$B$930=$A14),0),0)),"")</f>
        <v>0.546948356807512</v>
      </c>
      <c r="K14" s="28" t="n">
        <f aca="false">IFERROR(INDEX(Survey_Counts!$N$2:$N$930,MATCH(1,INDEX((Survey_Counts!$A$2:$A$930=K$3)*(Survey_Counts!$B$2:$B$930=$A14),0),0)),"")</f>
        <v>0.740566037735849</v>
      </c>
      <c r="L14" s="28" t="n">
        <f aca="false">IFERROR(INDEX(Survey_Counts!$N$2:$N$930,MATCH(1,INDEX((Survey_Counts!$A$2:$A$930=L$3)*(Survey_Counts!$B$2:$B$930=$A14),0),0)),"")</f>
        <v>0.588235294117647</v>
      </c>
      <c r="M14" s="28" t="n">
        <f aca="false">IFERROR(INDEX(Survey_Counts!$N$2:$N$930,MATCH(1,INDEX((Survey_Counts!$A$2:$A$930=M$3)*(Survey_Counts!$B$2:$B$930=$A14),0),0)),"")</f>
        <v>0.605333333333333</v>
      </c>
      <c r="N14" s="28" t="n">
        <f aca="false">IFERROR(INDEX(Survey_Counts!$N$2:$N$930,MATCH(1,INDEX((Survey_Counts!$A$2:$A$930=N$3)*(Survey_Counts!$B$2:$B$930=$A14),0),0)),"")</f>
        <v>0.597938144329897</v>
      </c>
      <c r="O14" s="28" t="n">
        <f aca="false">IFERROR(INDEX(Survey_Counts!$N$2:$N$930,MATCH(1,INDEX((Survey_Counts!$A$2:$A$930=O$3)*(Survey_Counts!$B$2:$B$930=$A14),0),0)),"")</f>
        <v>0.593220338983051</v>
      </c>
      <c r="P14" s="28" t="n">
        <f aca="false">IFERROR(INDEX(Survey_Counts!$N$2:$N$930,MATCH(1,INDEX((Survey_Counts!$A$2:$A$930=P$3)*(Survey_Counts!$B$2:$B$930=$A14),0),0)),"")</f>
        <v>0.596774193548387</v>
      </c>
      <c r="Q14" s="28" t="n">
        <f aca="false">IFERROR(INDEX(Survey_Counts!$N$2:$N$930,MATCH(1,INDEX((Survey_Counts!$A$2:$A$930=Q$3)*(Survey_Counts!$B$2:$B$930=$A14),0),0)),"")</f>
        <v>0.652173913043478</v>
      </c>
      <c r="R14" s="28" t="n">
        <f aca="false">IFERROR(INDEX(Survey_Counts!$N$2:$N$930,MATCH(1,INDEX((Survey_Counts!$A$2:$A$930=R$3)*(Survey_Counts!$B$2:$B$930=$A14),0),0)),"")</f>
        <v>0.729948805460751</v>
      </c>
      <c r="S14" s="28" t="n">
        <f aca="false">IFERROR(INDEX(Survey_Counts!$N$2:$N$930,MATCH(1,INDEX((Survey_Counts!$A$2:$A$930=S$3)*(Survey_Counts!$B$2:$B$930=$A14),0),0)),"")</f>
        <v>0.729948805460751</v>
      </c>
      <c r="T14" s="28" t="n">
        <f aca="false">IFERROR(INDEX(Survey_Counts!$N$2:$N$930,MATCH(1,INDEX((Survey_Counts!$A$2:$A$930=T$3)*(Survey_Counts!$B$2:$B$930=$A14),0),0)),"")</f>
        <v>0.576964477933262</v>
      </c>
      <c r="U14" s="28" t="n">
        <f aca="false">IFERROR(INDEX(Survey_Counts!$N$2:$N$930,MATCH(1,INDEX((Survey_Counts!$A$2:$A$930=U$3)*(Survey_Counts!$B$2:$B$930=$A14),0),0)),"")</f>
        <v>0.576964477933262</v>
      </c>
      <c r="V14" s="28" t="n">
        <f aca="false">IFERROR(INDEX(Survey_Counts!$N$2:$N$930,MATCH(1,INDEX((Survey_Counts!$A$2:$A$930=V$3)*(Survey_Counts!$B$2:$B$930=$A14),0),0)),"")</f>
        <v>0.341176470588235</v>
      </c>
      <c r="W14" s="28" t="n">
        <f aca="false">IFERROR(INDEX(Survey_Counts!$N$2:$N$930,MATCH(1,INDEX((Survey_Counts!$A$2:$A$930=W$3)*(Survey_Counts!$B$2:$B$930=$A14),0),0)),"")</f>
        <v>0.317073170731707</v>
      </c>
      <c r="X14" s="28" t="n">
        <f aca="false">IFERROR(INDEX(Survey_Counts!$N$2:$N$930,MATCH(1,INDEX((Survey_Counts!$A$2:$A$930=X$3)*(Survey_Counts!$B$2:$B$930=$A14),0),0)),"")</f>
        <v>0.666666666666667</v>
      </c>
      <c r="Y14" s="28" t="n">
        <f aca="false">IFERROR(INDEX(Survey_Counts!$N$2:$N$930,MATCH(1,INDEX((Survey_Counts!$A$2:$A$930=Y$3)*(Survey_Counts!$B$2:$B$930=$A14),0),0)),"")</f>
        <v>0.607142857142857</v>
      </c>
      <c r="Z14" s="28" t="n">
        <f aca="false">IFERROR(INDEX(Survey_Counts!$N$2:$N$930,MATCH(1,INDEX((Survey_Counts!$A$2:$A$930=Z$3)*(Survey_Counts!$B$2:$B$930=$A14),0),0)),"")</f>
        <v>0.570576540755467</v>
      </c>
      <c r="AA14" s="28" t="n">
        <f aca="false">IFERROR(INDEX(Survey_Counts!$N$2:$N$930,MATCH(1,INDEX((Survey_Counts!$A$2:$A$930=AA$3)*(Survey_Counts!$B$2:$B$930=$A14),0),0)),"")</f>
        <v>0.706697459584296</v>
      </c>
      <c r="AB14" s="28" t="n">
        <f aca="false">IFERROR(INDEX(Survey_Counts!$N$2:$N$930,MATCH(1,INDEX((Survey_Counts!$A$2:$A$930=AB$3)*(Survey_Counts!$B$2:$B$930=$A14),0),0)),"")</f>
        <v>0.540540540540541</v>
      </c>
      <c r="AC14" s="28" t="n">
        <f aca="false">IFERROR(INDEX(Survey_Counts!$N$2:$N$930,MATCH(1,INDEX((Survey_Counts!$A$2:$A$930=AC$3)*(Survey_Counts!$B$2:$B$930=$A14),0),0)),"")</f>
        <v>0.601760176017602</v>
      </c>
      <c r="AD14" s="28" t="n">
        <f aca="false">IFERROR(INDEX(Survey_Counts!$N$2:$N$930,MATCH(1,INDEX((Survey_Counts!$A$2:$A$930=AD$3)*(Survey_Counts!$B$2:$B$930=$A14),0),0)),"")</f>
        <v>0.572519083969466</v>
      </c>
      <c r="AE14" s="28" t="n">
        <f aca="false">IFERROR(INDEX(Survey_Counts!$N$2:$N$930,MATCH(1,INDEX((Survey_Counts!$A$2:$A$930=AE$3)*(Survey_Counts!$B$2:$B$930=$A14),0),0)),"")</f>
        <v>0.60961810466761</v>
      </c>
      <c r="AF14" s="28" t="n">
        <f aca="false">IFERROR(INDEX(Survey_Counts!$N$2:$N$930,MATCH(1,INDEX((Survey_Counts!$A$2:$A$930=AF$3)*(Survey_Counts!$B$2:$B$930=$A14),0),0)),"")</f>
        <v>0.60961810466761</v>
      </c>
      <c r="AG14" s="28" t="n">
        <f aca="false">IFERROR(INDEX(Survey_Counts!$N$2:$N$930,MATCH(1,INDEX((Survey_Counts!$A$2:$A$930=AG$3)*(Survey_Counts!$B$2:$B$930=$A14),0),0)),"")</f>
        <v>0.714285714285714</v>
      </c>
      <c r="AH14" s="28" t="n">
        <f aca="false">IFERROR(INDEX(Survey_Counts!$N$2:$N$930,MATCH(1,INDEX((Survey_Counts!$A$2:$A$930=AH$3)*(Survey_Counts!$B$2:$B$930=$A14),0),0)),"")</f>
        <v>0.714285714285714</v>
      </c>
      <c r="AI14" s="28" t="n">
        <f aca="false">IFERROR(INDEX(Survey_Counts!$N$2:$N$930,MATCH(1,INDEX((Survey_Counts!$A$2:$A$930=AI$3)*(Survey_Counts!$B$2:$B$930=$A14),0),0)),"")</f>
        <v>0.45360824742268</v>
      </c>
      <c r="AJ14" s="28" t="n">
        <f aca="false">IFERROR(INDEX(Survey_Counts!$N$2:$N$930,MATCH(1,INDEX((Survey_Counts!$A$2:$A$930=AJ$3)*(Survey_Counts!$B$2:$B$930=$A14),0),0)),"")</f>
        <v>0.45360824742268</v>
      </c>
      <c r="AK14" s="28" t="n">
        <f aca="false">IFERROR(INDEX(Survey_Counts!$N$2:$N$930,MATCH(1,INDEX((Survey_Counts!$A$2:$A$930=AK$3)*(Survey_Counts!$B$2:$B$930=$A14),0),0)),"")</f>
        <v>0.515789473684211</v>
      </c>
      <c r="AL14" s="28" t="n">
        <f aca="false">IFERROR(INDEX(Survey_Counts!$N$2:$N$930,MATCH(1,INDEX((Survey_Counts!$A$2:$A$930=AL$3)*(Survey_Counts!$B$2:$B$930=$A14),0),0)),"")</f>
        <v>0.648648648648649</v>
      </c>
      <c r="AM14" s="28" t="n">
        <f aca="false">IFERROR(INDEX(Survey_Counts!$N$2:$N$930,MATCH(1,INDEX((Survey_Counts!$A$2:$A$930=AM$3)*(Survey_Counts!$B$2:$B$930=$A14),0),0)),"")</f>
        <v>0.564853556485356</v>
      </c>
      <c r="AN14" s="28" t="n">
        <f aca="false">IFERROR(INDEX(Survey_Counts!$N$2:$N$930,MATCH(1,INDEX((Survey_Counts!$A$2:$A$930=AN$3)*(Survey_Counts!$B$2:$B$930=$A14),0),0)),"")</f>
        <v>0.698630136986301</v>
      </c>
      <c r="AO14" s="28" t="n">
        <f aca="false">IFERROR(INDEX(Survey_Counts!$N$2:$N$930,MATCH(1,INDEX((Survey_Counts!$A$2:$A$930=AO$3)*(Survey_Counts!$B$2:$B$930=$A14),0),0)),"")</f>
        <v>0.628664495114007</v>
      </c>
      <c r="AP14" s="28" t="n">
        <f aca="false">IFERROR(INDEX(Survey_Counts!$N$2:$N$930,MATCH(1,INDEX((Survey_Counts!$A$2:$A$930=AP$3)*(Survey_Counts!$B$2:$B$930=$A14),0),0)),"")</f>
        <v>0.558069381598793</v>
      </c>
      <c r="AQ14" s="28" t="n">
        <f aca="false">IFERROR(INDEX(Survey_Counts!$N$2:$N$930,MATCH(1,INDEX((Survey_Counts!$A$2:$A$930=AQ$3)*(Survey_Counts!$B$2:$B$930=$A14),0),0)),"")</f>
        <v>0.560747663551402</v>
      </c>
      <c r="AR14" s="28" t="n">
        <f aca="false">IFERROR(INDEX(Survey_Counts!$N$2:$N$930,MATCH(1,INDEX((Survey_Counts!$A$2:$A$930=AR$3)*(Survey_Counts!$B$2:$B$930=$A14),0),0)),"")</f>
        <v>0.629787234042553</v>
      </c>
      <c r="AS14" s="28" t="n">
        <f aca="false">IFERROR(INDEX(Survey_Counts!$N$2:$N$930,MATCH(1,INDEX((Survey_Counts!$A$2:$A$930=AS$3)*(Survey_Counts!$B$2:$B$930=$A14),0),0)),"")</f>
        <v>0.547400611620795</v>
      </c>
      <c r="AT14" s="28" t="n">
        <f aca="false">IFERROR(INDEX(Survey_Counts!$N$2:$N$930,MATCH(1,INDEX((Survey_Counts!$A$2:$A$930=AT$3)*(Survey_Counts!$B$2:$B$930=$A14),0),0)),"")</f>
        <v>0.618377871542429</v>
      </c>
      <c r="AU14" s="28" t="n">
        <f aca="false">IFERROR(INDEX(Survey_Counts!$N$2:$N$930,MATCH(1,INDEX((Survey_Counts!$A$2:$A$930=AU$3)*(Survey_Counts!$B$2:$B$930=$A14),0),0)),"")</f>
        <v>0.382978723404255</v>
      </c>
      <c r="AV14" s="28" t="n">
        <f aca="false">IFERROR(INDEX(Survey_Counts!$N$2:$N$930,MATCH(1,INDEX((Survey_Counts!$A$2:$A$930=AV$3)*(Survey_Counts!$B$2:$B$930=$A14),0),0)),"")</f>
        <v>0.671641791044776</v>
      </c>
      <c r="AW14" s="28" t="n">
        <f aca="false">IFERROR(INDEX(Survey_Counts!$N$2:$N$930,MATCH(1,INDEX((Survey_Counts!$A$2:$A$930=AW$3)*(Survey_Counts!$B$2:$B$930=$A14),0),0)),"")</f>
        <v>0.57516339869281</v>
      </c>
      <c r="AX14" s="28" t="n">
        <f aca="false">IFERROR(INDEX(Survey_Counts!$N$2:$N$930,MATCH(1,INDEX((Survey_Counts!$A$2:$A$930=AX$3)*(Survey_Counts!$B$2:$B$930=$A14),0),0)),"")</f>
        <v>0.464646464646465</v>
      </c>
      <c r="AY14" s="28" t="n">
        <f aca="false">IFERROR(INDEX(Survey_Counts!$N$2:$N$930,MATCH(1,INDEX((Survey_Counts!$A$2:$A$930=AY$3)*(Survey_Counts!$B$2:$B$930=$A14),0),0)),"")</f>
        <v>0.432960893854749</v>
      </c>
      <c r="AZ14" s="28" t="n">
        <f aca="false">IFERROR(INDEX(Survey_Counts!$N$2:$N$930,MATCH(1,INDEX((Survey_Counts!$A$2:$A$930=AZ$3)*(Survey_Counts!$B$2:$B$930=$A14),0),0)),"")</f>
        <v>0.586206896551724</v>
      </c>
      <c r="BA14" s="28" t="n">
        <f aca="false">IFERROR(INDEX(Survey_Counts!$N$2:$N$930,MATCH(1,INDEX((Survey_Counts!$A$2:$A$930=BA$3)*(Survey_Counts!$B$2:$B$930=$A14),0),0)),"")</f>
        <v>0.586206896551724</v>
      </c>
      <c r="BB14" s="28" t="n">
        <f aca="false">IFERROR(INDEX(Survey_Counts!$N$2:$N$930,MATCH(1,INDEX((Survey_Counts!$A$2:$A$930=BB$3)*(Survey_Counts!$B$2:$B$930=$A14),0),0)),"")</f>
        <v>0.344827586206897</v>
      </c>
      <c r="BC14" s="28" t="n">
        <f aca="false">IFERROR(INDEX(Survey_Counts!$N$2:$N$930,MATCH(1,INDEX((Survey_Counts!$A$2:$A$930=BC$3)*(Survey_Counts!$B$2:$B$930=$A14),0),0)),"")</f>
        <v>0.526530612244898</v>
      </c>
      <c r="BD14" s="28" t="n">
        <f aca="false">IFERROR(INDEX(Survey_Counts!$N$2:$N$930,MATCH(1,INDEX((Survey_Counts!$A$2:$A$930=BD$3)*(Survey_Counts!$B$2:$B$930=$A14),0),0)),"")</f>
        <v>0.566552901023891</v>
      </c>
      <c r="BE14" s="28" t="n">
        <f aca="false">IFERROR(INDEX(Survey_Counts!$N$2:$N$930,MATCH(1,INDEX((Survey_Counts!$A$2:$A$930=BE$3)*(Survey_Counts!$B$2:$B$930=$A14),0),0)),"")</f>
        <v>0.595394736842105</v>
      </c>
      <c r="BF14" s="28" t="n">
        <f aca="false">IFERROR(INDEX(Survey_Counts!$N$2:$N$930,MATCH(1,INDEX((Survey_Counts!$A$2:$A$930=BF$3)*(Survey_Counts!$B$2:$B$930=$A14),0),0)),"")</f>
        <v>0.422391857506361</v>
      </c>
    </row>
    <row r="15" customFormat="false" ht="15" hidden="false" customHeight="false" outlineLevel="0" collapsed="false">
      <c r="A15" s="27" t="n">
        <v>11</v>
      </c>
      <c r="B15" s="27" t="s">
        <v>246</v>
      </c>
      <c r="C15" s="27" t="n">
        <v>-60</v>
      </c>
      <c r="D15" s="28" t="n">
        <f aca="false">IFERROR(INDEX(Survey_Counts!$N$2:$N$930,MATCH(1,INDEX((Survey_Counts!$A$2:$A$930=D$3)*(Survey_Counts!$B$2:$B$930=$A15),0),0)),"")</f>
        <v>0.521390374331551</v>
      </c>
      <c r="E15" s="28" t="n">
        <f aca="false">IFERROR(INDEX(Survey_Counts!$N$2:$N$930,MATCH(1,INDEX((Survey_Counts!$A$2:$A$930=E$3)*(Survey_Counts!$B$2:$B$930=$A15),0),0)),"")</f>
        <v>0.521390374331551</v>
      </c>
      <c r="F15" s="28" t="n">
        <f aca="false">IFERROR(INDEX(Survey_Counts!$N$2:$N$930,MATCH(1,INDEX((Survey_Counts!$A$2:$A$930=F$3)*(Survey_Counts!$B$2:$B$930=$A15),0),0)),"")</f>
        <v>0.294372294372294</v>
      </c>
      <c r="G15" s="28" t="n">
        <f aca="false">IFERROR(INDEX(Survey_Counts!$N$2:$N$930,MATCH(1,INDEX((Survey_Counts!$A$2:$A$930=G$3)*(Survey_Counts!$B$2:$B$930=$A15),0),0)),"")</f>
        <v>0.294372294372294</v>
      </c>
      <c r="H15" s="28" t="n">
        <f aca="false">IFERROR(INDEX(Survey_Counts!$N$2:$N$930,MATCH(1,INDEX((Survey_Counts!$A$2:$A$930=H$3)*(Survey_Counts!$B$2:$B$930=$A15),0),0)),"")</f>
        <v>0.47119341563786</v>
      </c>
      <c r="I15" s="28" t="n">
        <f aca="false">IFERROR(INDEX(Survey_Counts!$N$2:$N$930,MATCH(1,INDEX((Survey_Counts!$A$2:$A$930=I$3)*(Survey_Counts!$B$2:$B$930=$A15),0),0)),"")</f>
        <v>0.661577608142494</v>
      </c>
      <c r="J15" s="28" t="n">
        <f aca="false">IFERROR(INDEX(Survey_Counts!$N$2:$N$930,MATCH(1,INDEX((Survey_Counts!$A$2:$A$930=J$3)*(Survey_Counts!$B$2:$B$930=$A15),0),0)),"")</f>
        <v>0.657276995305164</v>
      </c>
      <c r="K15" s="28" t="n">
        <f aca="false">IFERROR(INDEX(Survey_Counts!$N$2:$N$930,MATCH(1,INDEX((Survey_Counts!$A$2:$A$930=K$3)*(Survey_Counts!$B$2:$B$930=$A15),0),0)),"")</f>
        <v>0.792452830188679</v>
      </c>
      <c r="L15" s="28" t="n">
        <f aca="false">IFERROR(INDEX(Survey_Counts!$N$2:$N$930,MATCH(1,INDEX((Survey_Counts!$A$2:$A$930=L$3)*(Survey_Counts!$B$2:$B$930=$A15),0),0)),"")</f>
        <v>0.56401384083045</v>
      </c>
      <c r="M15" s="28" t="n">
        <f aca="false">IFERROR(INDEX(Survey_Counts!$N$2:$N$930,MATCH(1,INDEX((Survey_Counts!$A$2:$A$930=M$3)*(Survey_Counts!$B$2:$B$930=$A15),0),0)),"")</f>
        <v>0.658666666666667</v>
      </c>
      <c r="N15" s="28" t="n">
        <f aca="false">IFERROR(INDEX(Survey_Counts!$N$2:$N$930,MATCH(1,INDEX((Survey_Counts!$A$2:$A$930=N$3)*(Survey_Counts!$B$2:$B$930=$A15),0),0)),"")</f>
        <v>0.419243986254296</v>
      </c>
      <c r="O15" s="28" t="n">
        <f aca="false">IFERROR(INDEX(Survey_Counts!$N$2:$N$930,MATCH(1,INDEX((Survey_Counts!$A$2:$A$930=O$3)*(Survey_Counts!$B$2:$B$930=$A15),0),0)),"")</f>
        <v>0.644067796610169</v>
      </c>
      <c r="P15" s="28" t="n">
        <f aca="false">IFERROR(INDEX(Survey_Counts!$N$2:$N$930,MATCH(1,INDEX((Survey_Counts!$A$2:$A$930=P$3)*(Survey_Counts!$B$2:$B$930=$A15),0),0)),"")</f>
        <v>0.591397849462366</v>
      </c>
      <c r="Q15" s="28" t="n">
        <f aca="false">IFERROR(INDEX(Survey_Counts!$N$2:$N$930,MATCH(1,INDEX((Survey_Counts!$A$2:$A$930=Q$3)*(Survey_Counts!$B$2:$B$930=$A15),0),0)),"")</f>
        <v>0.701086956521739</v>
      </c>
      <c r="R15" s="28" t="n">
        <f aca="false">IFERROR(INDEX(Survey_Counts!$N$2:$N$930,MATCH(1,INDEX((Survey_Counts!$A$2:$A$930=R$3)*(Survey_Counts!$B$2:$B$930=$A15),0),0)),"")</f>
        <v>0.764931740614334</v>
      </c>
      <c r="S15" s="28" t="n">
        <f aca="false">IFERROR(INDEX(Survey_Counts!$N$2:$N$930,MATCH(1,INDEX((Survey_Counts!$A$2:$A$930=S$3)*(Survey_Counts!$B$2:$B$930=$A15),0),0)),"")</f>
        <v>0.764931740614334</v>
      </c>
      <c r="T15" s="28" t="n">
        <f aca="false">IFERROR(INDEX(Survey_Counts!$N$2:$N$930,MATCH(1,INDEX((Survey_Counts!$A$2:$A$930=T$3)*(Survey_Counts!$B$2:$B$930=$A15),0),0)),"")</f>
        <v>0.51237890204521</v>
      </c>
      <c r="U15" s="28" t="n">
        <f aca="false">IFERROR(INDEX(Survey_Counts!$N$2:$N$930,MATCH(1,INDEX((Survey_Counts!$A$2:$A$930=U$3)*(Survey_Counts!$B$2:$B$930=$A15),0),0)),"")</f>
        <v>0.51237890204521</v>
      </c>
      <c r="V15" s="28" t="n">
        <f aca="false">IFERROR(INDEX(Survey_Counts!$N$2:$N$930,MATCH(1,INDEX((Survey_Counts!$A$2:$A$930=V$3)*(Survey_Counts!$B$2:$B$930=$A15),0),0)),"")</f>
        <v>0.364705882352941</v>
      </c>
      <c r="W15" s="28" t="n">
        <f aca="false">IFERROR(INDEX(Survey_Counts!$N$2:$N$930,MATCH(1,INDEX((Survey_Counts!$A$2:$A$930=W$3)*(Survey_Counts!$B$2:$B$930=$A15),0),0)),"")</f>
        <v>0.341463414634146</v>
      </c>
      <c r="X15" s="28" t="n">
        <f aca="false">IFERROR(INDEX(Survey_Counts!$N$2:$N$930,MATCH(1,INDEX((Survey_Counts!$A$2:$A$930=X$3)*(Survey_Counts!$B$2:$B$930=$A15),0),0)),"")</f>
        <v>0.560699588477366</v>
      </c>
      <c r="Y15" s="28" t="n">
        <f aca="false">IFERROR(INDEX(Survey_Counts!$N$2:$N$930,MATCH(1,INDEX((Survey_Counts!$A$2:$A$930=Y$3)*(Survey_Counts!$B$2:$B$930=$A15),0),0)),"")</f>
        <v>0.582142857142857</v>
      </c>
      <c r="Z15" s="28" t="n">
        <f aca="false">IFERROR(INDEX(Survey_Counts!$N$2:$N$930,MATCH(1,INDEX((Survey_Counts!$A$2:$A$930=Z$3)*(Survey_Counts!$B$2:$B$930=$A15),0),0)),"")</f>
        <v>0.542743538767396</v>
      </c>
      <c r="AA15" s="28" t="n">
        <f aca="false">IFERROR(INDEX(Survey_Counts!$N$2:$N$930,MATCH(1,INDEX((Survey_Counts!$A$2:$A$930=AA$3)*(Survey_Counts!$B$2:$B$930=$A15),0),0)),"")</f>
        <v>0.708429561200924</v>
      </c>
      <c r="AB15" s="28" t="n">
        <f aca="false">IFERROR(INDEX(Survey_Counts!$N$2:$N$930,MATCH(1,INDEX((Survey_Counts!$A$2:$A$930=AB$3)*(Survey_Counts!$B$2:$B$930=$A15),0),0)),"")</f>
        <v>0.554054054054054</v>
      </c>
      <c r="AC15" s="28" t="n">
        <f aca="false">IFERROR(INDEX(Survey_Counts!$N$2:$N$930,MATCH(1,INDEX((Survey_Counts!$A$2:$A$930=AC$3)*(Survey_Counts!$B$2:$B$930=$A15),0),0)),"")</f>
        <v>0.600660066006601</v>
      </c>
      <c r="AD15" s="28" t="n">
        <f aca="false">IFERROR(INDEX(Survey_Counts!$N$2:$N$930,MATCH(1,INDEX((Survey_Counts!$A$2:$A$930=AD$3)*(Survey_Counts!$B$2:$B$930=$A15),0),0)),"")</f>
        <v>0.583969465648855</v>
      </c>
      <c r="AE15" s="28" t="n">
        <f aca="false">IFERROR(INDEX(Survey_Counts!$N$2:$N$930,MATCH(1,INDEX((Survey_Counts!$A$2:$A$930=AE$3)*(Survey_Counts!$B$2:$B$930=$A15),0),0)),"")</f>
        <v>0.582743988684583</v>
      </c>
      <c r="AF15" s="28" t="n">
        <f aca="false">IFERROR(INDEX(Survey_Counts!$N$2:$N$930,MATCH(1,INDEX((Survey_Counts!$A$2:$A$930=AF$3)*(Survey_Counts!$B$2:$B$930=$A15),0),0)),"")</f>
        <v>0.582743988684583</v>
      </c>
      <c r="AG15" s="28" t="n">
        <f aca="false">IFERROR(INDEX(Survey_Counts!$N$2:$N$930,MATCH(1,INDEX((Survey_Counts!$A$2:$A$930=AG$3)*(Survey_Counts!$B$2:$B$930=$A15),0),0)),"")</f>
        <v>0.648648648648649</v>
      </c>
      <c r="AH15" s="28" t="n">
        <f aca="false">IFERROR(INDEX(Survey_Counts!$N$2:$N$930,MATCH(1,INDEX((Survey_Counts!$A$2:$A$930=AH$3)*(Survey_Counts!$B$2:$B$930=$A15),0),0)),"")</f>
        <v>0.648648648648649</v>
      </c>
      <c r="AI15" s="28" t="n">
        <f aca="false">IFERROR(INDEX(Survey_Counts!$N$2:$N$930,MATCH(1,INDEX((Survey_Counts!$A$2:$A$930=AI$3)*(Survey_Counts!$B$2:$B$930=$A15),0),0)),"")</f>
        <v>0.396907216494845</v>
      </c>
      <c r="AJ15" s="28" t="n">
        <f aca="false">IFERROR(INDEX(Survey_Counts!$N$2:$N$930,MATCH(1,INDEX((Survey_Counts!$A$2:$A$930=AJ$3)*(Survey_Counts!$B$2:$B$930=$A15),0),0)),"")</f>
        <v>0.396907216494845</v>
      </c>
      <c r="AK15" s="28" t="n">
        <f aca="false">IFERROR(INDEX(Survey_Counts!$N$2:$N$930,MATCH(1,INDEX((Survey_Counts!$A$2:$A$930=AK$3)*(Survey_Counts!$B$2:$B$930=$A15),0),0)),"")</f>
        <v>0.436842105263158</v>
      </c>
      <c r="AL15" s="28" t="n">
        <f aca="false">IFERROR(INDEX(Survey_Counts!$N$2:$N$930,MATCH(1,INDEX((Survey_Counts!$A$2:$A$930=AL$3)*(Survey_Counts!$B$2:$B$930=$A15),0),0)),"")</f>
        <v>0.578378378378378</v>
      </c>
      <c r="AM15" s="28" t="n">
        <f aca="false">IFERROR(INDEX(Survey_Counts!$N$2:$N$930,MATCH(1,INDEX((Survey_Counts!$A$2:$A$930=AM$3)*(Survey_Counts!$B$2:$B$930=$A15),0),0)),"")</f>
        <v>0.640167364016736</v>
      </c>
      <c r="AN15" s="28" t="n">
        <f aca="false">IFERROR(INDEX(Survey_Counts!$N$2:$N$930,MATCH(1,INDEX((Survey_Counts!$A$2:$A$930=AN$3)*(Survey_Counts!$B$2:$B$930=$A15),0),0)),"")</f>
        <v>0.735159817351598</v>
      </c>
      <c r="AO15" s="28" t="n">
        <f aca="false">IFERROR(INDEX(Survey_Counts!$N$2:$N$930,MATCH(1,INDEX((Survey_Counts!$A$2:$A$930=AO$3)*(Survey_Counts!$B$2:$B$930=$A15),0),0)),"")</f>
        <v>0.680781758957655</v>
      </c>
      <c r="AP15" s="28" t="n">
        <f aca="false">IFERROR(INDEX(Survey_Counts!$N$2:$N$930,MATCH(1,INDEX((Survey_Counts!$A$2:$A$930=AP$3)*(Survey_Counts!$B$2:$B$930=$A15),0),0)),"")</f>
        <v>0.619909502262444</v>
      </c>
      <c r="AQ15" s="28" t="n">
        <f aca="false">IFERROR(INDEX(Survey_Counts!$N$2:$N$930,MATCH(1,INDEX((Survey_Counts!$A$2:$A$930=AQ$3)*(Survey_Counts!$B$2:$B$930=$A15),0),0)),"")</f>
        <v>0.485981308411215</v>
      </c>
      <c r="AR15" s="28" t="n">
        <f aca="false">IFERROR(INDEX(Survey_Counts!$N$2:$N$930,MATCH(1,INDEX((Survey_Counts!$A$2:$A$930=AR$3)*(Survey_Counts!$B$2:$B$930=$A15),0),0)),"")</f>
        <v>0.6</v>
      </c>
      <c r="AS15" s="28" t="n">
        <f aca="false">IFERROR(INDEX(Survey_Counts!$N$2:$N$930,MATCH(1,INDEX((Survey_Counts!$A$2:$A$930=AS$3)*(Survey_Counts!$B$2:$B$930=$A15),0),0)),"")</f>
        <v>0.623853211009174</v>
      </c>
      <c r="AT15" s="28" t="n">
        <f aca="false">IFERROR(INDEX(Survey_Counts!$N$2:$N$930,MATCH(1,INDEX((Survey_Counts!$A$2:$A$930=AT$3)*(Survey_Counts!$B$2:$B$930=$A15),0),0)),"")</f>
        <v>0.617440225035162</v>
      </c>
      <c r="AU15" s="28" t="n">
        <f aca="false">IFERROR(INDEX(Survey_Counts!$N$2:$N$930,MATCH(1,INDEX((Survey_Counts!$A$2:$A$930=AU$3)*(Survey_Counts!$B$2:$B$930=$A15),0),0)),"")</f>
        <v>0.48936170212766</v>
      </c>
      <c r="AV15" s="28" t="n">
        <f aca="false">IFERROR(INDEX(Survey_Counts!$N$2:$N$930,MATCH(1,INDEX((Survey_Counts!$A$2:$A$930=AV$3)*(Survey_Counts!$B$2:$B$930=$A15),0),0)),"")</f>
        <v>0.646766169154229</v>
      </c>
      <c r="AW15" s="28" t="n">
        <f aca="false">IFERROR(INDEX(Survey_Counts!$N$2:$N$930,MATCH(1,INDEX((Survey_Counts!$A$2:$A$930=AW$3)*(Survey_Counts!$B$2:$B$930=$A15),0),0)),"")</f>
        <v>0.617647058823529</v>
      </c>
      <c r="AX15" s="28" t="n">
        <f aca="false">IFERROR(INDEX(Survey_Counts!$N$2:$N$930,MATCH(1,INDEX((Survey_Counts!$A$2:$A$930=AX$3)*(Survey_Counts!$B$2:$B$930=$A15),0),0)),"")</f>
        <v>0.430976430976431</v>
      </c>
      <c r="AY15" s="28" t="n">
        <f aca="false">IFERROR(INDEX(Survey_Counts!$N$2:$N$930,MATCH(1,INDEX((Survey_Counts!$A$2:$A$930=AY$3)*(Survey_Counts!$B$2:$B$930=$A15),0),0)),"")</f>
        <v>0.460893854748603</v>
      </c>
      <c r="AZ15" s="28" t="n">
        <f aca="false">IFERROR(INDEX(Survey_Counts!$N$2:$N$930,MATCH(1,INDEX((Survey_Counts!$A$2:$A$930=AZ$3)*(Survey_Counts!$B$2:$B$930=$A15),0),0)),"")</f>
        <v>0.620689655172414</v>
      </c>
      <c r="BA15" s="28" t="n">
        <f aca="false">IFERROR(INDEX(Survey_Counts!$N$2:$N$930,MATCH(1,INDEX((Survey_Counts!$A$2:$A$930=BA$3)*(Survey_Counts!$B$2:$B$930=$A15),0),0)),"")</f>
        <v>0.620689655172414</v>
      </c>
      <c r="BB15" s="28" t="n">
        <f aca="false">IFERROR(INDEX(Survey_Counts!$N$2:$N$930,MATCH(1,INDEX((Survey_Counts!$A$2:$A$930=BB$3)*(Survey_Counts!$B$2:$B$930=$A15),0),0)),"")</f>
        <v>0.456896551724138</v>
      </c>
      <c r="BC15" s="28" t="n">
        <f aca="false">IFERROR(INDEX(Survey_Counts!$N$2:$N$930,MATCH(1,INDEX((Survey_Counts!$A$2:$A$930=BC$3)*(Survey_Counts!$B$2:$B$930=$A15),0),0)),"")</f>
        <v>0.538775510204082</v>
      </c>
      <c r="BD15" s="28" t="n">
        <f aca="false">IFERROR(INDEX(Survey_Counts!$N$2:$N$930,MATCH(1,INDEX((Survey_Counts!$A$2:$A$930=BD$3)*(Survey_Counts!$B$2:$B$930=$A15),0),0)),"")</f>
        <v>0.559726962457338</v>
      </c>
      <c r="BE15" s="28" t="n">
        <f aca="false">IFERROR(INDEX(Survey_Counts!$N$2:$N$930,MATCH(1,INDEX((Survey_Counts!$A$2:$A$930=BE$3)*(Survey_Counts!$B$2:$B$930=$A15),0),0)),"")</f>
        <v>0.598684210526316</v>
      </c>
      <c r="BF15" s="28" t="n">
        <f aca="false">IFERROR(INDEX(Survey_Counts!$N$2:$N$930,MATCH(1,INDEX((Survey_Counts!$A$2:$A$930=BF$3)*(Survey_Counts!$B$2:$B$930=$A15),0),0)),"")</f>
        <v>0.432569974554707</v>
      </c>
    </row>
    <row r="16" customFormat="false" ht="15" hidden="false" customHeight="false" outlineLevel="0" collapsed="false">
      <c r="A16" s="27" t="n">
        <v>12</v>
      </c>
      <c r="B16" s="27" t="s">
        <v>254</v>
      </c>
      <c r="C16" s="27" t="n">
        <v>-45</v>
      </c>
      <c r="D16" s="28" t="n">
        <f aca="false">IFERROR(INDEX(Survey_Counts!$N$2:$N$930,MATCH(1,INDEX((Survey_Counts!$A$2:$A$930=D$3)*(Survey_Counts!$B$2:$B$930=$A16),0),0)),"")</f>
        <v>0.467914438502674</v>
      </c>
      <c r="E16" s="28" t="n">
        <f aca="false">IFERROR(INDEX(Survey_Counts!$N$2:$N$930,MATCH(1,INDEX((Survey_Counts!$A$2:$A$930=E$3)*(Survey_Counts!$B$2:$B$930=$A16),0),0)),"")</f>
        <v>0.467914438502674</v>
      </c>
      <c r="F16" s="28" t="n">
        <f aca="false">IFERROR(INDEX(Survey_Counts!$N$2:$N$930,MATCH(1,INDEX((Survey_Counts!$A$2:$A$930=F$3)*(Survey_Counts!$B$2:$B$930=$A16),0),0)),"")</f>
        <v>0.268398268398268</v>
      </c>
      <c r="G16" s="28" t="n">
        <f aca="false">IFERROR(INDEX(Survey_Counts!$N$2:$N$930,MATCH(1,INDEX((Survey_Counts!$A$2:$A$930=G$3)*(Survey_Counts!$B$2:$B$930=$A16),0),0)),"")</f>
        <v>0.268398268398268</v>
      </c>
      <c r="H16" s="28" t="n">
        <f aca="false">IFERROR(INDEX(Survey_Counts!$N$2:$N$930,MATCH(1,INDEX((Survey_Counts!$A$2:$A$930=H$3)*(Survey_Counts!$B$2:$B$930=$A16),0),0)),"")</f>
        <v>0.3559670781893</v>
      </c>
      <c r="I16" s="28" t="n">
        <f aca="false">IFERROR(INDEX(Survey_Counts!$N$2:$N$930,MATCH(1,INDEX((Survey_Counts!$A$2:$A$930=I$3)*(Survey_Counts!$B$2:$B$930=$A16),0),0)),"")</f>
        <v>0.580152671755725</v>
      </c>
      <c r="J16" s="28" t="n">
        <f aca="false">IFERROR(INDEX(Survey_Counts!$N$2:$N$930,MATCH(1,INDEX((Survey_Counts!$A$2:$A$930=J$3)*(Survey_Counts!$B$2:$B$930=$A16),0),0)),"")</f>
        <v>0.687793427230047</v>
      </c>
      <c r="K16" s="28" t="n">
        <f aca="false">IFERROR(INDEX(Survey_Counts!$N$2:$N$930,MATCH(1,INDEX((Survey_Counts!$A$2:$A$930=K$3)*(Survey_Counts!$B$2:$B$930=$A16),0),0)),"")</f>
        <v>0.811320754716981</v>
      </c>
      <c r="L16" s="28" t="n">
        <f aca="false">IFERROR(INDEX(Survey_Counts!$N$2:$N$930,MATCH(1,INDEX((Survey_Counts!$A$2:$A$930=L$3)*(Survey_Counts!$B$2:$B$930=$A16),0),0)),"")</f>
        <v>0.453287197231834</v>
      </c>
      <c r="M16" s="28" t="n">
        <f aca="false">IFERROR(INDEX(Survey_Counts!$N$2:$N$930,MATCH(1,INDEX((Survey_Counts!$A$2:$A$930=M$3)*(Survey_Counts!$B$2:$B$930=$A16),0),0)),"")</f>
        <v>0.682666666666667</v>
      </c>
      <c r="N16" s="28" t="n">
        <f aca="false">IFERROR(INDEX(Survey_Counts!$N$2:$N$930,MATCH(1,INDEX((Survey_Counts!$A$2:$A$930=N$3)*(Survey_Counts!$B$2:$B$930=$A16),0),0)),"")</f>
        <v>0.319587628865979</v>
      </c>
      <c r="O16" s="28" t="n">
        <f aca="false">IFERROR(INDEX(Survey_Counts!$N$2:$N$930,MATCH(1,INDEX((Survey_Counts!$A$2:$A$930=O$3)*(Survey_Counts!$B$2:$B$930=$A16),0),0)),"")</f>
        <v>0.593220338983051</v>
      </c>
      <c r="P16" s="28" t="n">
        <f aca="false">IFERROR(INDEX(Survey_Counts!$N$2:$N$930,MATCH(1,INDEX((Survey_Counts!$A$2:$A$930=P$3)*(Survey_Counts!$B$2:$B$930=$A16),0),0)),"")</f>
        <v>0.559139784946237</v>
      </c>
      <c r="Q16" s="28" t="n">
        <f aca="false">IFERROR(INDEX(Survey_Counts!$N$2:$N$930,MATCH(1,INDEX((Survey_Counts!$A$2:$A$930=Q$3)*(Survey_Counts!$B$2:$B$930=$A16),0),0)),"")</f>
        <v>0.722826086956522</v>
      </c>
      <c r="R16" s="28" t="n">
        <f aca="false">IFERROR(INDEX(Survey_Counts!$N$2:$N$930,MATCH(1,INDEX((Survey_Counts!$A$2:$A$930=R$3)*(Survey_Counts!$B$2:$B$930=$A16),0),0)),"")</f>
        <v>0.766638225255973</v>
      </c>
      <c r="S16" s="28" t="n">
        <f aca="false">IFERROR(INDEX(Survey_Counts!$N$2:$N$930,MATCH(1,INDEX((Survey_Counts!$A$2:$A$930=S$3)*(Survey_Counts!$B$2:$B$930=$A16),0),0)),"")</f>
        <v>0.766638225255973</v>
      </c>
      <c r="T16" s="28" t="n">
        <f aca="false">IFERROR(INDEX(Survey_Counts!$N$2:$N$930,MATCH(1,INDEX((Survey_Counts!$A$2:$A$930=T$3)*(Survey_Counts!$B$2:$B$930=$A16),0),0)),"")</f>
        <v>0.418729817007535</v>
      </c>
      <c r="U16" s="28" t="n">
        <f aca="false">IFERROR(INDEX(Survey_Counts!$N$2:$N$930,MATCH(1,INDEX((Survey_Counts!$A$2:$A$930=U$3)*(Survey_Counts!$B$2:$B$930=$A16),0),0)),"")</f>
        <v>0.418729817007535</v>
      </c>
      <c r="V16" s="28" t="n">
        <f aca="false">IFERROR(INDEX(Survey_Counts!$N$2:$N$930,MATCH(1,INDEX((Survey_Counts!$A$2:$A$930=V$3)*(Survey_Counts!$B$2:$B$930=$A16),0),0)),"")</f>
        <v>0.376470588235294</v>
      </c>
      <c r="W16" s="28" t="n">
        <f aca="false">IFERROR(INDEX(Survey_Counts!$N$2:$N$930,MATCH(1,INDEX((Survey_Counts!$A$2:$A$930=W$3)*(Survey_Counts!$B$2:$B$930=$A16),0),0)),"")</f>
        <v>0.353658536585366</v>
      </c>
      <c r="X16" s="28" t="n">
        <f aca="false">IFERROR(INDEX(Survey_Counts!$N$2:$N$930,MATCH(1,INDEX((Survey_Counts!$A$2:$A$930=X$3)*(Survey_Counts!$B$2:$B$930=$A16),0),0)),"")</f>
        <v>0.425925925925926</v>
      </c>
      <c r="Y16" s="28" t="n">
        <f aca="false">IFERROR(INDEX(Survey_Counts!$N$2:$N$930,MATCH(1,INDEX((Survey_Counts!$A$2:$A$930=Y$3)*(Survey_Counts!$B$2:$B$930=$A16),0),0)),"")</f>
        <v>0.542857142857143</v>
      </c>
      <c r="Z16" s="28" t="n">
        <f aca="false">IFERROR(INDEX(Survey_Counts!$N$2:$N$930,MATCH(1,INDEX((Survey_Counts!$A$2:$A$930=Z$3)*(Survey_Counts!$B$2:$B$930=$A16),0),0)),"")</f>
        <v>0.405566600397614</v>
      </c>
      <c r="AA16" s="28" t="n">
        <f aca="false">IFERROR(INDEX(Survey_Counts!$N$2:$N$930,MATCH(1,INDEX((Survey_Counts!$A$2:$A$930=AA$3)*(Survey_Counts!$B$2:$B$930=$A16),0),0)),"")</f>
        <v>0.649538106235566</v>
      </c>
      <c r="AB16" s="28" t="n">
        <f aca="false">IFERROR(INDEX(Survey_Counts!$N$2:$N$930,MATCH(1,INDEX((Survey_Counts!$A$2:$A$930=AB$3)*(Survey_Counts!$B$2:$B$930=$A16),0),0)),"")</f>
        <v>0.594594594594595</v>
      </c>
      <c r="AC16" s="28" t="n">
        <f aca="false">IFERROR(INDEX(Survey_Counts!$N$2:$N$930,MATCH(1,INDEX((Survey_Counts!$A$2:$A$930=AC$3)*(Survey_Counts!$B$2:$B$930=$A16),0),0)),"")</f>
        <v>0.502750275027503</v>
      </c>
      <c r="AD16" s="28" t="n">
        <f aca="false">IFERROR(INDEX(Survey_Counts!$N$2:$N$930,MATCH(1,INDEX((Survey_Counts!$A$2:$A$930=AD$3)*(Survey_Counts!$B$2:$B$930=$A16),0),0)),"")</f>
        <v>0.522900763358779</v>
      </c>
      <c r="AE16" s="28" t="n">
        <f aca="false">IFERROR(INDEX(Survey_Counts!$N$2:$N$930,MATCH(1,INDEX((Survey_Counts!$A$2:$A$930=AE$3)*(Survey_Counts!$B$2:$B$930=$A16),0),0)),"")</f>
        <v>0.553041018387553</v>
      </c>
      <c r="AF16" s="28" t="n">
        <f aca="false">IFERROR(INDEX(Survey_Counts!$N$2:$N$930,MATCH(1,INDEX((Survey_Counts!$A$2:$A$930=AF$3)*(Survey_Counts!$B$2:$B$930=$A16),0),0)),"")</f>
        <v>0.553041018387553</v>
      </c>
      <c r="AG16" s="28" t="n">
        <f aca="false">IFERROR(INDEX(Survey_Counts!$N$2:$N$930,MATCH(1,INDEX((Survey_Counts!$A$2:$A$930=AG$3)*(Survey_Counts!$B$2:$B$930=$A16),0),0)),"")</f>
        <v>0.528957528957529</v>
      </c>
      <c r="AH16" s="28" t="n">
        <f aca="false">IFERROR(INDEX(Survey_Counts!$N$2:$N$930,MATCH(1,INDEX((Survey_Counts!$A$2:$A$930=AH$3)*(Survey_Counts!$B$2:$B$930=$A16),0),0)),"")</f>
        <v>0.528957528957529</v>
      </c>
      <c r="AI16" s="28" t="n">
        <f aca="false">IFERROR(INDEX(Survey_Counts!$N$2:$N$930,MATCH(1,INDEX((Survey_Counts!$A$2:$A$930=AI$3)*(Survey_Counts!$B$2:$B$930=$A16),0),0)),"")</f>
        <v>0.324742268041237</v>
      </c>
      <c r="AJ16" s="28" t="n">
        <f aca="false">IFERROR(INDEX(Survey_Counts!$N$2:$N$930,MATCH(1,INDEX((Survey_Counts!$A$2:$A$930=AJ$3)*(Survey_Counts!$B$2:$B$930=$A16),0),0)),"")</f>
        <v>0.324742268041237</v>
      </c>
      <c r="AK16" s="28" t="n">
        <f aca="false">IFERROR(INDEX(Survey_Counts!$N$2:$N$930,MATCH(1,INDEX((Survey_Counts!$A$2:$A$930=AK$3)*(Survey_Counts!$B$2:$B$930=$A16),0),0)),"")</f>
        <v>0.363157894736842</v>
      </c>
      <c r="AL16" s="28" t="n">
        <f aca="false">IFERROR(INDEX(Survey_Counts!$N$2:$N$930,MATCH(1,INDEX((Survey_Counts!$A$2:$A$930=AL$3)*(Survey_Counts!$B$2:$B$930=$A16),0),0)),"")</f>
        <v>0.540540540540541</v>
      </c>
      <c r="AM16" s="28" t="n">
        <f aca="false">IFERROR(INDEX(Survey_Counts!$N$2:$N$930,MATCH(1,INDEX((Survey_Counts!$A$2:$A$930=AM$3)*(Survey_Counts!$B$2:$B$930=$A16),0),0)),"")</f>
        <v>0.656903765690377</v>
      </c>
      <c r="AN16" s="28" t="n">
        <f aca="false">IFERROR(INDEX(Survey_Counts!$N$2:$N$930,MATCH(1,INDEX((Survey_Counts!$A$2:$A$930=AN$3)*(Survey_Counts!$B$2:$B$930=$A16),0),0)),"")</f>
        <v>0.707762557077626</v>
      </c>
      <c r="AO16" s="28" t="n">
        <f aca="false">IFERROR(INDEX(Survey_Counts!$N$2:$N$930,MATCH(1,INDEX((Survey_Counts!$A$2:$A$930=AO$3)*(Survey_Counts!$B$2:$B$930=$A16),0),0)),"")</f>
        <v>0.684039087947883</v>
      </c>
      <c r="AP16" s="28" t="n">
        <f aca="false">IFERROR(INDEX(Survey_Counts!$N$2:$N$930,MATCH(1,INDEX((Survey_Counts!$A$2:$A$930=AP$3)*(Survey_Counts!$B$2:$B$930=$A16),0),0)),"")</f>
        <v>0.644042232277526</v>
      </c>
      <c r="AQ16" s="28" t="n">
        <f aca="false">IFERROR(INDEX(Survey_Counts!$N$2:$N$930,MATCH(1,INDEX((Survey_Counts!$A$2:$A$930=AQ$3)*(Survey_Counts!$B$2:$B$930=$A16),0),0)),"")</f>
        <v>0.392523364485981</v>
      </c>
      <c r="AR16" s="28" t="n">
        <f aca="false">IFERROR(INDEX(Survey_Counts!$N$2:$N$930,MATCH(1,INDEX((Survey_Counts!$A$2:$A$930=AR$3)*(Survey_Counts!$B$2:$B$930=$A16),0),0)),"")</f>
        <v>0.476595744680851</v>
      </c>
      <c r="AS16" s="28" t="n">
        <f aca="false">IFERROR(INDEX(Survey_Counts!$N$2:$N$930,MATCH(1,INDEX((Survey_Counts!$A$2:$A$930=AS$3)*(Survey_Counts!$B$2:$B$930=$A16),0),0)),"")</f>
        <v>0.72782874617737</v>
      </c>
      <c r="AT16" s="28" t="n">
        <f aca="false">IFERROR(INDEX(Survey_Counts!$N$2:$N$930,MATCH(1,INDEX((Survey_Counts!$A$2:$A$930=AT$3)*(Survey_Counts!$B$2:$B$930=$A16),0),0)),"")</f>
        <v>0.589310829817159</v>
      </c>
      <c r="AU16" s="28" t="n">
        <f aca="false">IFERROR(INDEX(Survey_Counts!$N$2:$N$930,MATCH(1,INDEX((Survey_Counts!$A$2:$A$930=AU$3)*(Survey_Counts!$B$2:$B$930=$A16),0),0)),"")</f>
        <v>0.51063829787234</v>
      </c>
      <c r="AV16" s="28" t="n">
        <f aca="false">IFERROR(INDEX(Survey_Counts!$N$2:$N$930,MATCH(1,INDEX((Survey_Counts!$A$2:$A$930=AV$3)*(Survey_Counts!$B$2:$B$930=$A16),0),0)),"")</f>
        <v>0.58955223880597</v>
      </c>
      <c r="AW16" s="28" t="n">
        <f aca="false">IFERROR(INDEX(Survey_Counts!$N$2:$N$930,MATCH(1,INDEX((Survey_Counts!$A$2:$A$930=AW$3)*(Survey_Counts!$B$2:$B$930=$A16),0),0)),"")</f>
        <v>0.69281045751634</v>
      </c>
      <c r="AX16" s="28" t="n">
        <f aca="false">IFERROR(INDEX(Survey_Counts!$N$2:$N$930,MATCH(1,INDEX((Survey_Counts!$A$2:$A$930=AX$3)*(Survey_Counts!$B$2:$B$930=$A16),0),0)),"")</f>
        <v>0.356902356902357</v>
      </c>
      <c r="AY16" s="28" t="n">
        <f aca="false">IFERROR(INDEX(Survey_Counts!$N$2:$N$930,MATCH(1,INDEX((Survey_Counts!$A$2:$A$930=AY$3)*(Survey_Counts!$B$2:$B$930=$A16),0),0)),"")</f>
        <v>0.41340782122905</v>
      </c>
      <c r="AZ16" s="28" t="n">
        <f aca="false">IFERROR(INDEX(Survey_Counts!$N$2:$N$930,MATCH(1,INDEX((Survey_Counts!$A$2:$A$930=AZ$3)*(Survey_Counts!$B$2:$B$930=$A16),0),0)),"")</f>
        <v>0.622988505747126</v>
      </c>
      <c r="BA16" s="28" t="n">
        <f aca="false">IFERROR(INDEX(Survey_Counts!$N$2:$N$930,MATCH(1,INDEX((Survey_Counts!$A$2:$A$930=BA$3)*(Survey_Counts!$B$2:$B$930=$A16),0),0)),"")</f>
        <v>0.622988505747126</v>
      </c>
      <c r="BB16" s="28" t="n">
        <f aca="false">IFERROR(INDEX(Survey_Counts!$N$2:$N$930,MATCH(1,INDEX((Survey_Counts!$A$2:$A$930=BB$3)*(Survey_Counts!$B$2:$B$930=$A16),0),0)),"")</f>
        <v>0.487068965517241</v>
      </c>
      <c r="BC16" s="28" t="n">
        <f aca="false">IFERROR(INDEX(Survey_Counts!$N$2:$N$930,MATCH(1,INDEX((Survey_Counts!$A$2:$A$930=BC$3)*(Survey_Counts!$B$2:$B$930=$A16),0),0)),"")</f>
        <v>0.481632653061225</v>
      </c>
      <c r="BD16" s="28" t="n">
        <f aca="false">IFERROR(INDEX(Survey_Counts!$N$2:$N$930,MATCH(1,INDEX((Survey_Counts!$A$2:$A$930=BD$3)*(Survey_Counts!$B$2:$B$930=$A16),0),0)),"")</f>
        <v>0.430034129692833</v>
      </c>
      <c r="BE16" s="28" t="n">
        <f aca="false">IFERROR(INDEX(Survey_Counts!$N$2:$N$930,MATCH(1,INDEX((Survey_Counts!$A$2:$A$930=BE$3)*(Survey_Counts!$B$2:$B$930=$A16),0),0)),"")</f>
        <v>0.585526315789474</v>
      </c>
      <c r="BF16" s="28" t="n">
        <f aca="false">IFERROR(INDEX(Survey_Counts!$N$2:$N$930,MATCH(1,INDEX((Survey_Counts!$A$2:$A$930=BF$3)*(Survey_Counts!$B$2:$B$930=$A16),0),0)),"")</f>
        <v>0.381679389312977</v>
      </c>
    </row>
    <row r="17" customFormat="false" ht="15" hidden="false" customHeight="false" outlineLevel="0" collapsed="false">
      <c r="A17" s="27" t="n">
        <v>13</v>
      </c>
      <c r="B17" s="27" t="s">
        <v>403</v>
      </c>
      <c r="C17" s="27" t="n">
        <v>-30</v>
      </c>
      <c r="D17" s="28" t="n">
        <f aca="false">IFERROR(INDEX(Survey_Counts!$N$2:$N$930,MATCH(1,INDEX((Survey_Counts!$A$2:$A$930=D$3)*(Survey_Counts!$B$2:$B$930=$A17),0),0)),"")</f>
        <v>0.334224598930481</v>
      </c>
      <c r="E17" s="28" t="n">
        <f aca="false">IFERROR(INDEX(Survey_Counts!$N$2:$N$930,MATCH(1,INDEX((Survey_Counts!$A$2:$A$930=E$3)*(Survey_Counts!$B$2:$B$930=$A17),0),0)),"")</f>
        <v>0.334224598930481</v>
      </c>
      <c r="F17" s="28" t="n">
        <f aca="false">IFERROR(INDEX(Survey_Counts!$N$2:$N$930,MATCH(1,INDEX((Survey_Counts!$A$2:$A$930=F$3)*(Survey_Counts!$B$2:$B$930=$A17),0),0)),"")</f>
        <v>0.229437229437229</v>
      </c>
      <c r="G17" s="28" t="n">
        <f aca="false">IFERROR(INDEX(Survey_Counts!$N$2:$N$930,MATCH(1,INDEX((Survey_Counts!$A$2:$A$930=G$3)*(Survey_Counts!$B$2:$B$930=$A17),0),0)),"")</f>
        <v>0.229437229437229</v>
      </c>
      <c r="H17" s="28" t="n">
        <f aca="false">IFERROR(INDEX(Survey_Counts!$N$2:$N$930,MATCH(1,INDEX((Survey_Counts!$A$2:$A$930=H$3)*(Survey_Counts!$B$2:$B$930=$A17),0),0)),"")</f>
        <v>0.242798353909465</v>
      </c>
      <c r="I17" s="28" t="n">
        <f aca="false">IFERROR(INDEX(Survey_Counts!$N$2:$N$930,MATCH(1,INDEX((Survey_Counts!$A$2:$A$930=I$3)*(Survey_Counts!$B$2:$B$930=$A17),0),0)),"")</f>
        <v>0.516539440203562</v>
      </c>
      <c r="J17" s="28" t="n">
        <f aca="false">IFERROR(INDEX(Survey_Counts!$N$2:$N$930,MATCH(1,INDEX((Survey_Counts!$A$2:$A$930=J$3)*(Survey_Counts!$B$2:$B$930=$A17),0),0)),"")</f>
        <v>0.643192488262911</v>
      </c>
      <c r="K17" s="28" t="n">
        <f aca="false">IFERROR(INDEX(Survey_Counts!$N$2:$N$930,MATCH(1,INDEX((Survey_Counts!$A$2:$A$930=K$3)*(Survey_Counts!$B$2:$B$930=$A17),0),0)),"")</f>
        <v>0.731132075471698</v>
      </c>
      <c r="L17" s="28" t="n">
        <f aca="false">IFERROR(INDEX(Survey_Counts!$N$2:$N$930,MATCH(1,INDEX((Survey_Counts!$A$2:$A$930=L$3)*(Survey_Counts!$B$2:$B$930=$A17),0),0)),"")</f>
        <v>0.401384083044983</v>
      </c>
      <c r="M17" s="28" t="n">
        <f aca="false">IFERROR(INDEX(Survey_Counts!$N$2:$N$930,MATCH(1,INDEX((Survey_Counts!$A$2:$A$930=M$3)*(Survey_Counts!$B$2:$B$930=$A17),0),0)),"")</f>
        <v>0.656</v>
      </c>
      <c r="N17" s="28" t="n">
        <f aca="false">IFERROR(INDEX(Survey_Counts!$N$2:$N$930,MATCH(1,INDEX((Survey_Counts!$A$2:$A$930=N$3)*(Survey_Counts!$B$2:$B$930=$A17),0),0)),"")</f>
        <v>0.209621993127148</v>
      </c>
      <c r="O17" s="28" t="n">
        <f aca="false">IFERROR(INDEX(Survey_Counts!$N$2:$N$930,MATCH(1,INDEX((Survey_Counts!$A$2:$A$930=O$3)*(Survey_Counts!$B$2:$B$930=$A17),0),0)),"")</f>
        <v>0.576271186440678</v>
      </c>
      <c r="P17" s="28" t="n">
        <f aca="false">IFERROR(INDEX(Survey_Counts!$N$2:$N$930,MATCH(1,INDEX((Survey_Counts!$A$2:$A$930=P$3)*(Survey_Counts!$B$2:$B$930=$A17),0),0)),"")</f>
        <v>0.467741935483871</v>
      </c>
      <c r="Q17" s="28" t="n">
        <f aca="false">IFERROR(INDEX(Survey_Counts!$N$2:$N$930,MATCH(1,INDEX((Survey_Counts!$A$2:$A$930=Q$3)*(Survey_Counts!$B$2:$B$930=$A17),0),0)),"")</f>
        <v>0.701086956521739</v>
      </c>
      <c r="R17" s="28" t="n">
        <f aca="false">IFERROR(INDEX(Survey_Counts!$N$2:$N$930,MATCH(1,INDEX((Survey_Counts!$A$2:$A$930=R$3)*(Survey_Counts!$B$2:$B$930=$A17),0),0)),"")</f>
        <v>0.755119453924915</v>
      </c>
      <c r="S17" s="28" t="n">
        <f aca="false">IFERROR(INDEX(Survey_Counts!$N$2:$N$930,MATCH(1,INDEX((Survey_Counts!$A$2:$A$930=S$3)*(Survey_Counts!$B$2:$B$930=$A17),0),0)),"")</f>
        <v>0.755119453924915</v>
      </c>
      <c r="T17" s="28" t="n">
        <f aca="false">IFERROR(INDEX(Survey_Counts!$N$2:$N$930,MATCH(1,INDEX((Survey_Counts!$A$2:$A$930=T$3)*(Survey_Counts!$B$2:$B$930=$A17),0),0)),"")</f>
        <v>0.308934337997847</v>
      </c>
      <c r="U17" s="28" t="n">
        <f aca="false">IFERROR(INDEX(Survey_Counts!$N$2:$N$930,MATCH(1,INDEX((Survey_Counts!$A$2:$A$930=U$3)*(Survey_Counts!$B$2:$B$930=$A17),0),0)),"")</f>
        <v>0.308934337997847</v>
      </c>
      <c r="V17" s="28" t="n">
        <f aca="false">IFERROR(INDEX(Survey_Counts!$N$2:$N$930,MATCH(1,INDEX((Survey_Counts!$A$2:$A$930=V$3)*(Survey_Counts!$B$2:$B$930=$A17),0),0)),"")</f>
        <v>0.376470588235294</v>
      </c>
      <c r="W17" s="28" t="n">
        <f aca="false">IFERROR(INDEX(Survey_Counts!$N$2:$N$930,MATCH(1,INDEX((Survey_Counts!$A$2:$A$930=W$3)*(Survey_Counts!$B$2:$B$930=$A17),0),0)),"")</f>
        <v>0.353658536585366</v>
      </c>
      <c r="X17" s="28" t="n">
        <f aca="false">IFERROR(INDEX(Survey_Counts!$N$2:$N$930,MATCH(1,INDEX((Survey_Counts!$A$2:$A$930=X$3)*(Survey_Counts!$B$2:$B$930=$A17),0),0)),"")</f>
        <v>0.273662551440329</v>
      </c>
      <c r="Y17" s="28" t="n">
        <f aca="false">IFERROR(INDEX(Survey_Counts!$N$2:$N$930,MATCH(1,INDEX((Survey_Counts!$A$2:$A$930=Y$3)*(Survey_Counts!$B$2:$B$930=$A17),0),0)),"")</f>
        <v>0.453571428571429</v>
      </c>
      <c r="Z17" s="28" t="n">
        <f aca="false">IFERROR(INDEX(Survey_Counts!$N$2:$N$930,MATCH(1,INDEX((Survey_Counts!$A$2:$A$930=Z$3)*(Survey_Counts!$B$2:$B$930=$A17),0),0)),"")</f>
        <v>0.320079522862823</v>
      </c>
      <c r="AA17" s="28" t="n">
        <f aca="false">IFERROR(INDEX(Survey_Counts!$N$2:$N$930,MATCH(1,INDEX((Survey_Counts!$A$2:$A$930=AA$3)*(Survey_Counts!$B$2:$B$930=$A17),0),0)),"")</f>
        <v>0.572748267898383</v>
      </c>
      <c r="AB17" s="28" t="n">
        <f aca="false">IFERROR(INDEX(Survey_Counts!$N$2:$N$930,MATCH(1,INDEX((Survey_Counts!$A$2:$A$930=AB$3)*(Survey_Counts!$B$2:$B$930=$A17),0),0)),"")</f>
        <v>0.554054054054054</v>
      </c>
      <c r="AC17" s="28" t="n">
        <f aca="false">IFERROR(INDEX(Survey_Counts!$N$2:$N$930,MATCH(1,INDEX((Survey_Counts!$A$2:$A$930=AC$3)*(Survey_Counts!$B$2:$B$930=$A17),0),0)),"")</f>
        <v>0.385038503850385</v>
      </c>
      <c r="AD17" s="28" t="n">
        <f aca="false">IFERROR(INDEX(Survey_Counts!$N$2:$N$930,MATCH(1,INDEX((Survey_Counts!$A$2:$A$930=AD$3)*(Survey_Counts!$B$2:$B$930=$A17),0),0)),"")</f>
        <v>0.435114503816794</v>
      </c>
      <c r="AE17" s="28" t="n">
        <f aca="false">IFERROR(INDEX(Survey_Counts!$N$2:$N$930,MATCH(1,INDEX((Survey_Counts!$A$2:$A$930=AE$3)*(Survey_Counts!$B$2:$B$930=$A17),0),0)),"")</f>
        <v>0.47949080622348</v>
      </c>
      <c r="AF17" s="28" t="n">
        <f aca="false">IFERROR(INDEX(Survey_Counts!$N$2:$N$930,MATCH(1,INDEX((Survey_Counts!$A$2:$A$930=AF$3)*(Survey_Counts!$B$2:$B$930=$A17),0),0)),"")</f>
        <v>0.47949080622348</v>
      </c>
      <c r="AG17" s="28" t="n">
        <f aca="false">IFERROR(INDEX(Survey_Counts!$N$2:$N$930,MATCH(1,INDEX((Survey_Counts!$A$2:$A$930=AG$3)*(Survey_Counts!$B$2:$B$930=$A17),0),0)),"")</f>
        <v>0.370656370656371</v>
      </c>
      <c r="AH17" s="28" t="n">
        <f aca="false">IFERROR(INDEX(Survey_Counts!$N$2:$N$930,MATCH(1,INDEX((Survey_Counts!$A$2:$A$930=AH$3)*(Survey_Counts!$B$2:$B$930=$A17),0),0)),"")</f>
        <v>0.370656370656371</v>
      </c>
      <c r="AI17" s="28" t="n">
        <f aca="false">IFERROR(INDEX(Survey_Counts!$N$2:$N$930,MATCH(1,INDEX((Survey_Counts!$A$2:$A$930=AI$3)*(Survey_Counts!$B$2:$B$930=$A17),0),0)),"")</f>
        <v>0.293814432989691</v>
      </c>
      <c r="AJ17" s="28" t="n">
        <f aca="false">IFERROR(INDEX(Survey_Counts!$N$2:$N$930,MATCH(1,INDEX((Survey_Counts!$A$2:$A$930=AJ$3)*(Survey_Counts!$B$2:$B$930=$A17),0),0)),"")</f>
        <v>0.293814432989691</v>
      </c>
      <c r="AK17" s="28" t="n">
        <f aca="false">IFERROR(INDEX(Survey_Counts!$N$2:$N$930,MATCH(1,INDEX((Survey_Counts!$A$2:$A$930=AK$3)*(Survey_Counts!$B$2:$B$930=$A17),0),0)),"")</f>
        <v>0.284210526315789</v>
      </c>
      <c r="AL17" s="28" t="n">
        <f aca="false">IFERROR(INDEX(Survey_Counts!$N$2:$N$930,MATCH(1,INDEX((Survey_Counts!$A$2:$A$930=AL$3)*(Survey_Counts!$B$2:$B$930=$A17),0),0)),"")</f>
        <v>0.502702702702703</v>
      </c>
      <c r="AM17" s="28" t="n">
        <f aca="false">IFERROR(INDEX(Survey_Counts!$N$2:$N$930,MATCH(1,INDEX((Survey_Counts!$A$2:$A$930=AM$3)*(Survey_Counts!$B$2:$B$930=$A17),0),0)),"")</f>
        <v>0.648535564853557</v>
      </c>
      <c r="AN17" s="28" t="n">
        <f aca="false">IFERROR(INDEX(Survey_Counts!$N$2:$N$930,MATCH(1,INDEX((Survey_Counts!$A$2:$A$930=AN$3)*(Survey_Counts!$B$2:$B$930=$A17),0),0)),"")</f>
        <v>0.616438356164384</v>
      </c>
      <c r="AO17" s="28" t="n">
        <f aca="false">IFERROR(INDEX(Survey_Counts!$N$2:$N$930,MATCH(1,INDEX((Survey_Counts!$A$2:$A$930=AO$3)*(Survey_Counts!$B$2:$B$930=$A17),0),0)),"")</f>
        <v>0.641693811074919</v>
      </c>
      <c r="AP17" s="28" t="n">
        <f aca="false">IFERROR(INDEX(Survey_Counts!$N$2:$N$930,MATCH(1,INDEX((Survey_Counts!$A$2:$A$930=AP$3)*(Survey_Counts!$B$2:$B$930=$A17),0),0)),"")</f>
        <v>0.660633484162896</v>
      </c>
      <c r="AQ17" s="28" t="n">
        <f aca="false">IFERROR(INDEX(Survey_Counts!$N$2:$N$930,MATCH(1,INDEX((Survey_Counts!$A$2:$A$930=AQ$3)*(Survey_Counts!$B$2:$B$930=$A17),0),0)),"")</f>
        <v>0.317757009345794</v>
      </c>
      <c r="AR17" s="28" t="n">
        <f aca="false">IFERROR(INDEX(Survey_Counts!$N$2:$N$930,MATCH(1,INDEX((Survey_Counts!$A$2:$A$930=AR$3)*(Survey_Counts!$B$2:$B$930=$A17),0),0)),"")</f>
        <v>0.327659574468085</v>
      </c>
      <c r="AS17" s="28" t="n">
        <f aca="false">IFERROR(INDEX(Survey_Counts!$N$2:$N$930,MATCH(1,INDEX((Survey_Counts!$A$2:$A$930=AS$3)*(Survey_Counts!$B$2:$B$930=$A17),0),0)),"")</f>
        <v>0.770642201834862</v>
      </c>
      <c r="AT17" s="28" t="n">
        <f aca="false">IFERROR(INDEX(Survey_Counts!$N$2:$N$930,MATCH(1,INDEX((Survey_Counts!$A$2:$A$930=AT$3)*(Survey_Counts!$B$2:$B$930=$A17),0),0)),"")</f>
        <v>0.526957337083919</v>
      </c>
      <c r="AU17" s="28" t="n">
        <f aca="false">IFERROR(INDEX(Survey_Counts!$N$2:$N$930,MATCH(1,INDEX((Survey_Counts!$A$2:$A$930=AU$3)*(Survey_Counts!$B$2:$B$930=$A17),0),0)),"")</f>
        <v>0.531914893617021</v>
      </c>
      <c r="AV17" s="28" t="n">
        <f aca="false">IFERROR(INDEX(Survey_Counts!$N$2:$N$930,MATCH(1,INDEX((Survey_Counts!$A$2:$A$930=AV$3)*(Survey_Counts!$B$2:$B$930=$A17),0),0)),"")</f>
        <v>0.492537313432836</v>
      </c>
      <c r="AW17" s="28" t="n">
        <f aca="false">IFERROR(INDEX(Survey_Counts!$N$2:$N$930,MATCH(1,INDEX((Survey_Counts!$A$2:$A$930=AW$3)*(Survey_Counts!$B$2:$B$930=$A17),0),0)),"")</f>
        <v>0.689542483660131</v>
      </c>
      <c r="AX17" s="28" t="n">
        <f aca="false">IFERROR(INDEX(Survey_Counts!$N$2:$N$930,MATCH(1,INDEX((Survey_Counts!$A$2:$A$930=AX$3)*(Survey_Counts!$B$2:$B$930=$A17),0),0)),"")</f>
        <v>0.249158249158249</v>
      </c>
      <c r="AY17" s="28" t="n">
        <f aca="false">IFERROR(INDEX(Survey_Counts!$N$2:$N$930,MATCH(1,INDEX((Survey_Counts!$A$2:$A$930=AY$3)*(Survey_Counts!$B$2:$B$930=$A17),0),0)),"")</f>
        <v>0.329608938547486</v>
      </c>
      <c r="AZ17" s="28" t="n">
        <f aca="false">IFERROR(INDEX(Survey_Counts!$N$2:$N$930,MATCH(1,INDEX((Survey_Counts!$A$2:$A$930=AZ$3)*(Survey_Counts!$B$2:$B$930=$A17),0),0)),"")</f>
        <v>0.618390804597701</v>
      </c>
      <c r="BA17" s="28" t="n">
        <f aca="false">IFERROR(INDEX(Survey_Counts!$N$2:$N$930,MATCH(1,INDEX((Survey_Counts!$A$2:$A$930=BA$3)*(Survey_Counts!$B$2:$B$930=$A17),0),0)),"")</f>
        <v>0.618390804597701</v>
      </c>
      <c r="BB17" s="28" t="n">
        <f aca="false">IFERROR(INDEX(Survey_Counts!$N$2:$N$930,MATCH(1,INDEX((Survey_Counts!$A$2:$A$930=BB$3)*(Survey_Counts!$B$2:$B$930=$A17),0),0)),"")</f>
        <v>0.452586206896552</v>
      </c>
      <c r="BC17" s="28" t="n">
        <f aca="false">IFERROR(INDEX(Survey_Counts!$N$2:$N$930,MATCH(1,INDEX((Survey_Counts!$A$2:$A$930=BC$3)*(Survey_Counts!$B$2:$B$930=$A17),0),0)),"")</f>
        <v>0.387755102040816</v>
      </c>
      <c r="BD17" s="28" t="n">
        <f aca="false">IFERROR(INDEX(Survey_Counts!$N$2:$N$930,MATCH(1,INDEX((Survey_Counts!$A$2:$A$930=BD$3)*(Survey_Counts!$B$2:$B$930=$A17),0),0)),"")</f>
        <v>0.36518771331058</v>
      </c>
      <c r="BE17" s="28" t="n">
        <f aca="false">IFERROR(INDEX(Survey_Counts!$N$2:$N$930,MATCH(1,INDEX((Survey_Counts!$A$2:$A$930=BE$3)*(Survey_Counts!$B$2:$B$930=$A17),0),0)),"")</f>
        <v>0.5625</v>
      </c>
      <c r="BF17" s="28" t="n">
        <f aca="false">IFERROR(INDEX(Survey_Counts!$N$2:$N$930,MATCH(1,INDEX((Survey_Counts!$A$2:$A$930=BF$3)*(Survey_Counts!$B$2:$B$930=$A17),0),0)),"")</f>
        <v>0.310432569974555</v>
      </c>
    </row>
    <row r="18" customFormat="false" ht="15" hidden="false" customHeight="false" outlineLevel="0" collapsed="false">
      <c r="A18" s="27" t="n">
        <v>14</v>
      </c>
      <c r="B18" s="27" t="s">
        <v>529</v>
      </c>
      <c r="C18" s="27" t="n">
        <v>-15</v>
      </c>
      <c r="D18" s="28" t="n">
        <f aca="false">IFERROR(INDEX(Survey_Counts!$N$2:$N$930,MATCH(1,INDEX((Survey_Counts!$A$2:$A$930=D$3)*(Survey_Counts!$B$2:$B$930=$A18),0),0)),"")</f>
        <v>0.264705882352941</v>
      </c>
      <c r="E18" s="28" t="n">
        <f aca="false">IFERROR(INDEX(Survey_Counts!$N$2:$N$930,MATCH(1,INDEX((Survey_Counts!$A$2:$A$930=E$3)*(Survey_Counts!$B$2:$B$930=$A18),0),0)),"")</f>
        <v>0.264705882352941</v>
      </c>
      <c r="F18" s="28" t="n">
        <f aca="false">IFERROR(INDEX(Survey_Counts!$N$2:$N$930,MATCH(1,INDEX((Survey_Counts!$A$2:$A$930=F$3)*(Survey_Counts!$B$2:$B$930=$A18),0),0)),"")</f>
        <v>0.186147186147186</v>
      </c>
      <c r="G18" s="28" t="n">
        <f aca="false">IFERROR(INDEX(Survey_Counts!$N$2:$N$930,MATCH(1,INDEX((Survey_Counts!$A$2:$A$930=G$3)*(Survey_Counts!$B$2:$B$930=$A18),0),0)),"")</f>
        <v>0.186147186147186</v>
      </c>
      <c r="H18" s="28" t="n">
        <f aca="false">IFERROR(INDEX(Survey_Counts!$N$2:$N$930,MATCH(1,INDEX((Survey_Counts!$A$2:$A$930=H$3)*(Survey_Counts!$B$2:$B$930=$A18),0),0)),"")</f>
        <v>0.170781893004115</v>
      </c>
      <c r="I18" s="28" t="n">
        <f aca="false">IFERROR(INDEX(Survey_Counts!$N$2:$N$930,MATCH(1,INDEX((Survey_Counts!$A$2:$A$930=I$3)*(Survey_Counts!$B$2:$B$930=$A18),0),0)),"")</f>
        <v>0.44529262086514</v>
      </c>
      <c r="J18" s="28" t="n">
        <f aca="false">IFERROR(INDEX(Survey_Counts!$N$2:$N$930,MATCH(1,INDEX((Survey_Counts!$A$2:$A$930=J$3)*(Survey_Counts!$B$2:$B$930=$A18),0),0)),"")</f>
        <v>0.561032863849765</v>
      </c>
      <c r="K18" s="28" t="n">
        <f aca="false">IFERROR(INDEX(Survey_Counts!$N$2:$N$930,MATCH(1,INDEX((Survey_Counts!$A$2:$A$930=K$3)*(Survey_Counts!$B$2:$B$930=$A18),0),0)),"")</f>
        <v>0.622641509433962</v>
      </c>
      <c r="L18" s="28" t="n">
        <f aca="false">IFERROR(INDEX(Survey_Counts!$N$2:$N$930,MATCH(1,INDEX((Survey_Counts!$A$2:$A$930=L$3)*(Survey_Counts!$B$2:$B$930=$A18),0),0)),"")</f>
        <v>0.311418685121107</v>
      </c>
      <c r="M18" s="28" t="n">
        <f aca="false">IFERROR(INDEX(Survey_Counts!$N$2:$N$930,MATCH(1,INDEX((Survey_Counts!$A$2:$A$930=M$3)*(Survey_Counts!$B$2:$B$930=$A18),0),0)),"")</f>
        <v>0.621333333333333</v>
      </c>
      <c r="N18" s="28" t="n">
        <f aca="false">IFERROR(INDEX(Survey_Counts!$N$2:$N$930,MATCH(1,INDEX((Survey_Counts!$A$2:$A$930=N$3)*(Survey_Counts!$B$2:$B$930=$A18),0),0)),"")</f>
        <v>0.130584192439863</v>
      </c>
      <c r="O18" s="28" t="n">
        <f aca="false">IFERROR(INDEX(Survey_Counts!$N$2:$N$930,MATCH(1,INDEX((Survey_Counts!$A$2:$A$930=O$3)*(Survey_Counts!$B$2:$B$930=$A18),0),0)),"")</f>
        <v>0.474576271186441</v>
      </c>
      <c r="P18" s="28" t="n">
        <f aca="false">IFERROR(INDEX(Survey_Counts!$N$2:$N$930,MATCH(1,INDEX((Survey_Counts!$A$2:$A$930=P$3)*(Survey_Counts!$B$2:$B$930=$A18),0),0)),"")</f>
        <v>0.376344086021505</v>
      </c>
      <c r="Q18" s="28" t="n">
        <f aca="false">IFERROR(INDEX(Survey_Counts!$N$2:$N$930,MATCH(1,INDEX((Survey_Counts!$A$2:$A$930=Q$3)*(Survey_Counts!$B$2:$B$930=$A18),0),0)),"")</f>
        <v>0.608695652173913</v>
      </c>
      <c r="R18" s="28" t="n">
        <f aca="false">IFERROR(INDEX(Survey_Counts!$N$2:$N$930,MATCH(1,INDEX((Survey_Counts!$A$2:$A$930=R$3)*(Survey_Counts!$B$2:$B$930=$A18),0),0)),"")</f>
        <v>0.710324232081911</v>
      </c>
      <c r="S18" s="28" t="n">
        <f aca="false">IFERROR(INDEX(Survey_Counts!$N$2:$N$930,MATCH(1,INDEX((Survey_Counts!$A$2:$A$930=S$3)*(Survey_Counts!$B$2:$B$930=$A18),0),0)),"")</f>
        <v>0.710324232081911</v>
      </c>
      <c r="T18" s="28" t="n">
        <f aca="false">IFERROR(INDEX(Survey_Counts!$N$2:$N$930,MATCH(1,INDEX((Survey_Counts!$A$2:$A$930=T$3)*(Survey_Counts!$B$2:$B$930=$A18),0),0)),"")</f>
        <v>0.238966630785791</v>
      </c>
      <c r="U18" s="28" t="n">
        <f aca="false">IFERROR(INDEX(Survey_Counts!$N$2:$N$930,MATCH(1,INDEX((Survey_Counts!$A$2:$A$930=U$3)*(Survey_Counts!$B$2:$B$930=$A18),0),0)),"")</f>
        <v>0.238966630785791</v>
      </c>
      <c r="V18" s="28" t="n">
        <f aca="false">IFERROR(INDEX(Survey_Counts!$N$2:$N$930,MATCH(1,INDEX((Survey_Counts!$A$2:$A$930=V$3)*(Survey_Counts!$B$2:$B$930=$A18),0),0)),"")</f>
        <v>0.247058823529412</v>
      </c>
      <c r="W18" s="28" t="n">
        <f aca="false">IFERROR(INDEX(Survey_Counts!$N$2:$N$930,MATCH(1,INDEX((Survey_Counts!$A$2:$A$930=W$3)*(Survey_Counts!$B$2:$B$930=$A18),0),0)),"")</f>
        <v>0.219512195121951</v>
      </c>
      <c r="X18" s="28" t="n">
        <f aca="false">IFERROR(INDEX(Survey_Counts!$N$2:$N$930,MATCH(1,INDEX((Survey_Counts!$A$2:$A$930=X$3)*(Survey_Counts!$B$2:$B$930=$A18),0),0)),"")</f>
        <v>0.185185185185185</v>
      </c>
      <c r="Y18" s="28" t="n">
        <f aca="false">IFERROR(INDEX(Survey_Counts!$N$2:$N$930,MATCH(1,INDEX((Survey_Counts!$A$2:$A$930=Y$3)*(Survey_Counts!$B$2:$B$930=$A18),0),0)),"")</f>
        <v>0.392857142857143</v>
      </c>
      <c r="Z18" s="28" t="n">
        <f aca="false">IFERROR(INDEX(Survey_Counts!$N$2:$N$930,MATCH(1,INDEX((Survey_Counts!$A$2:$A$930=Z$3)*(Survey_Counts!$B$2:$B$930=$A18),0),0)),"")</f>
        <v>0.240556660039761</v>
      </c>
      <c r="AA18" s="28" t="n">
        <f aca="false">IFERROR(INDEX(Survey_Counts!$N$2:$N$930,MATCH(1,INDEX((Survey_Counts!$A$2:$A$930=AA$3)*(Survey_Counts!$B$2:$B$930=$A18),0),0)),"")</f>
        <v>0.457852193995381</v>
      </c>
      <c r="AB18" s="28" t="n">
        <f aca="false">IFERROR(INDEX(Survey_Counts!$N$2:$N$930,MATCH(1,INDEX((Survey_Counts!$A$2:$A$930=AB$3)*(Survey_Counts!$B$2:$B$930=$A18),0),0)),"")</f>
        <v>0.432432432432432</v>
      </c>
      <c r="AC18" s="28" t="n">
        <f aca="false">IFERROR(INDEX(Survey_Counts!$N$2:$N$930,MATCH(1,INDEX((Survey_Counts!$A$2:$A$930=AC$3)*(Survey_Counts!$B$2:$B$930=$A18),0),0)),"")</f>
        <v>0.212321232123212</v>
      </c>
      <c r="AD18" s="28" t="n">
        <f aca="false">IFERROR(INDEX(Survey_Counts!$N$2:$N$930,MATCH(1,INDEX((Survey_Counts!$A$2:$A$930=AD$3)*(Survey_Counts!$B$2:$B$930=$A18),0),0)),"")</f>
        <v>0.309160305343511</v>
      </c>
      <c r="AE18" s="28" t="n">
        <f aca="false">IFERROR(INDEX(Survey_Counts!$N$2:$N$930,MATCH(1,INDEX((Survey_Counts!$A$2:$A$930=AE$3)*(Survey_Counts!$B$2:$B$930=$A18),0),0)),"")</f>
        <v>0.404526166902405</v>
      </c>
      <c r="AF18" s="28" t="n">
        <f aca="false">IFERROR(INDEX(Survey_Counts!$N$2:$N$930,MATCH(1,INDEX((Survey_Counts!$A$2:$A$930=AF$3)*(Survey_Counts!$B$2:$B$930=$A18),0),0)),"")</f>
        <v>0.404526166902405</v>
      </c>
      <c r="AG18" s="28" t="n">
        <f aca="false">IFERROR(INDEX(Survey_Counts!$N$2:$N$930,MATCH(1,INDEX((Survey_Counts!$A$2:$A$930=AG$3)*(Survey_Counts!$B$2:$B$930=$A18),0),0)),"")</f>
        <v>0.281853281853282</v>
      </c>
      <c r="AH18" s="28" t="n">
        <f aca="false">IFERROR(INDEX(Survey_Counts!$N$2:$N$930,MATCH(1,INDEX((Survey_Counts!$A$2:$A$930=AH$3)*(Survey_Counts!$B$2:$B$930=$A18),0),0)),"")</f>
        <v>0.281853281853282</v>
      </c>
      <c r="AI18" s="28" t="n">
        <f aca="false">IFERROR(INDEX(Survey_Counts!$N$2:$N$930,MATCH(1,INDEX((Survey_Counts!$A$2:$A$930=AI$3)*(Survey_Counts!$B$2:$B$930=$A18),0),0)),"")</f>
        <v>0.268041237113402</v>
      </c>
      <c r="AJ18" s="28" t="n">
        <f aca="false">IFERROR(INDEX(Survey_Counts!$N$2:$N$930,MATCH(1,INDEX((Survey_Counts!$A$2:$A$930=AJ$3)*(Survey_Counts!$B$2:$B$930=$A18),0),0)),"")</f>
        <v>0.268041237113402</v>
      </c>
      <c r="AK18" s="28" t="n">
        <f aca="false">IFERROR(INDEX(Survey_Counts!$N$2:$N$930,MATCH(1,INDEX((Survey_Counts!$A$2:$A$930=AK$3)*(Survey_Counts!$B$2:$B$930=$A18),0),0)),"")</f>
        <v>0.178947368421053</v>
      </c>
      <c r="AL18" s="28" t="n">
        <f aca="false">IFERROR(INDEX(Survey_Counts!$N$2:$N$930,MATCH(1,INDEX((Survey_Counts!$A$2:$A$930=AL$3)*(Survey_Counts!$B$2:$B$930=$A18),0),0)),"")</f>
        <v>0.4</v>
      </c>
      <c r="AM18" s="28" t="n">
        <f aca="false">IFERROR(INDEX(Survey_Counts!$N$2:$N$930,MATCH(1,INDEX((Survey_Counts!$A$2:$A$930=AM$3)*(Survey_Counts!$B$2:$B$930=$A18),0),0)),"")</f>
        <v>0.602510460251046</v>
      </c>
      <c r="AN18" s="28" t="n">
        <f aca="false">IFERROR(INDEX(Survey_Counts!$N$2:$N$930,MATCH(1,INDEX((Survey_Counts!$A$2:$A$930=AN$3)*(Survey_Counts!$B$2:$B$930=$A18),0),0)),"")</f>
        <v>0.515981735159817</v>
      </c>
      <c r="AO18" s="28" t="n">
        <f aca="false">IFERROR(INDEX(Survey_Counts!$N$2:$N$930,MATCH(1,INDEX((Survey_Counts!$A$2:$A$930=AO$3)*(Survey_Counts!$B$2:$B$930=$A18),0),0)),"")</f>
        <v>0.586319218241042</v>
      </c>
      <c r="AP18" s="28" t="n">
        <f aca="false">IFERROR(INDEX(Survey_Counts!$N$2:$N$930,MATCH(1,INDEX((Survey_Counts!$A$2:$A$930=AP$3)*(Survey_Counts!$B$2:$B$930=$A18),0),0)),"")</f>
        <v>0.588235294117647</v>
      </c>
      <c r="AQ18" s="28" t="n">
        <f aca="false">IFERROR(INDEX(Survey_Counts!$N$2:$N$930,MATCH(1,INDEX((Survey_Counts!$A$2:$A$930=AQ$3)*(Survey_Counts!$B$2:$B$930=$A18),0),0)),"")</f>
        <v>0.224299065420561</v>
      </c>
      <c r="AR18" s="28" t="n">
        <f aca="false">IFERROR(INDEX(Survey_Counts!$N$2:$N$930,MATCH(1,INDEX((Survey_Counts!$A$2:$A$930=AR$3)*(Survey_Counts!$B$2:$B$930=$A18),0),0)),"")</f>
        <v>0.259574468085106</v>
      </c>
      <c r="AS18" s="28" t="n">
        <f aca="false">IFERROR(INDEX(Survey_Counts!$N$2:$N$930,MATCH(1,INDEX((Survey_Counts!$A$2:$A$930=AS$3)*(Survey_Counts!$B$2:$B$930=$A18),0),0)),"")</f>
        <v>0.749235474006116</v>
      </c>
      <c r="AT18" s="28" t="n">
        <f aca="false">IFERROR(INDEX(Survey_Counts!$N$2:$N$930,MATCH(1,INDEX((Survey_Counts!$A$2:$A$930=AT$3)*(Survey_Counts!$B$2:$B$930=$A18),0),0)),"")</f>
        <v>0.459446788560713</v>
      </c>
      <c r="AU18" s="28" t="n">
        <f aca="false">IFERROR(INDEX(Survey_Counts!$N$2:$N$930,MATCH(1,INDEX((Survey_Counts!$A$2:$A$930=AU$3)*(Survey_Counts!$B$2:$B$930=$A18),0),0)),"")</f>
        <v>0.531914893617021</v>
      </c>
      <c r="AV18" s="28" t="n">
        <f aca="false">IFERROR(INDEX(Survey_Counts!$N$2:$N$930,MATCH(1,INDEX((Survey_Counts!$A$2:$A$930=AV$3)*(Survey_Counts!$B$2:$B$930=$A18),0),0)),"")</f>
        <v>0.390547263681592</v>
      </c>
      <c r="AW18" s="28" t="n">
        <f aca="false">IFERROR(INDEX(Survey_Counts!$N$2:$N$930,MATCH(1,INDEX((Survey_Counts!$A$2:$A$930=AW$3)*(Survey_Counts!$B$2:$B$930=$A18),0),0)),"")</f>
        <v>0.666666666666667</v>
      </c>
      <c r="AX18" s="28" t="n">
        <f aca="false">IFERROR(INDEX(Survey_Counts!$N$2:$N$930,MATCH(1,INDEX((Survey_Counts!$A$2:$A$930=AX$3)*(Survey_Counts!$B$2:$B$930=$A18),0),0)),"")</f>
        <v>0.136363636363636</v>
      </c>
      <c r="AY18" s="28" t="n">
        <f aca="false">IFERROR(INDEX(Survey_Counts!$N$2:$N$930,MATCH(1,INDEX((Survey_Counts!$A$2:$A$930=AY$3)*(Survey_Counts!$B$2:$B$930=$A18),0),0)),"")</f>
        <v>0.248603351955307</v>
      </c>
      <c r="AZ18" s="28" t="n">
        <f aca="false">IFERROR(INDEX(Survey_Counts!$N$2:$N$930,MATCH(1,INDEX((Survey_Counts!$A$2:$A$930=AZ$3)*(Survey_Counts!$B$2:$B$930=$A18),0),0)),"")</f>
        <v>0.563218390804598</v>
      </c>
      <c r="BA18" s="28" t="n">
        <f aca="false">IFERROR(INDEX(Survey_Counts!$N$2:$N$930,MATCH(1,INDEX((Survey_Counts!$A$2:$A$930=BA$3)*(Survey_Counts!$B$2:$B$930=$A18),0),0)),"")</f>
        <v>0.563218390804598</v>
      </c>
      <c r="BB18" s="28" t="n">
        <f aca="false">IFERROR(INDEX(Survey_Counts!$N$2:$N$930,MATCH(1,INDEX((Survey_Counts!$A$2:$A$930=BB$3)*(Survey_Counts!$B$2:$B$930=$A18),0),0)),"")</f>
        <v>0.400862068965517</v>
      </c>
      <c r="BC18" s="28" t="n">
        <f aca="false">IFERROR(INDEX(Survey_Counts!$N$2:$N$930,MATCH(1,INDEX((Survey_Counts!$A$2:$A$930=BC$3)*(Survey_Counts!$B$2:$B$930=$A18),0),0)),"")</f>
        <v>0.289795918367347</v>
      </c>
      <c r="BD18" s="28" t="n">
        <f aca="false">IFERROR(INDEX(Survey_Counts!$N$2:$N$930,MATCH(1,INDEX((Survey_Counts!$A$2:$A$930=BD$3)*(Survey_Counts!$B$2:$B$930=$A18),0),0)),"")</f>
        <v>0.276450511945393</v>
      </c>
      <c r="BE18" s="28" t="n">
        <f aca="false">IFERROR(INDEX(Survey_Counts!$N$2:$N$930,MATCH(1,INDEX((Survey_Counts!$A$2:$A$930=BE$3)*(Survey_Counts!$B$2:$B$930=$A18),0),0)),"")</f>
        <v>0.519736842105263</v>
      </c>
      <c r="BF18" s="28" t="n">
        <f aca="false">IFERROR(INDEX(Survey_Counts!$N$2:$N$930,MATCH(1,INDEX((Survey_Counts!$A$2:$A$930=BF$3)*(Survey_Counts!$B$2:$B$930=$A18),0),0)),"")</f>
        <v>0.234096692111959</v>
      </c>
    </row>
    <row r="19" customFormat="false" ht="15" hidden="false" customHeight="false" outlineLevel="0" collapsed="false">
      <c r="A19" s="27" t="n">
        <v>15</v>
      </c>
      <c r="B19" s="27" t="s">
        <v>463</v>
      </c>
      <c r="C19" s="27" t="n">
        <v>0</v>
      </c>
      <c r="D19" s="28" t="n">
        <f aca="false">IFERROR(INDEX(Survey_Counts!$N$2:$N$930,MATCH(1,INDEX((Survey_Counts!$A$2:$A$930=D$3)*(Survey_Counts!$B$2:$B$930=$A19),0),0)),"")</f>
        <v>0.20855614973262</v>
      </c>
      <c r="E19" s="28" t="n">
        <f aca="false">IFERROR(INDEX(Survey_Counts!$N$2:$N$930,MATCH(1,INDEX((Survey_Counts!$A$2:$A$930=E$3)*(Survey_Counts!$B$2:$B$930=$A19),0),0)),"")</f>
        <v>0.20855614973262</v>
      </c>
      <c r="F19" s="28" t="n">
        <f aca="false">IFERROR(INDEX(Survey_Counts!$N$2:$N$930,MATCH(1,INDEX((Survey_Counts!$A$2:$A$930=F$3)*(Survey_Counts!$B$2:$B$930=$A19),0),0)),"")</f>
        <v>0.12987012987013</v>
      </c>
      <c r="G19" s="28" t="n">
        <f aca="false">IFERROR(INDEX(Survey_Counts!$N$2:$N$930,MATCH(1,INDEX((Survey_Counts!$A$2:$A$930=G$3)*(Survey_Counts!$B$2:$B$930=$A19),0),0)),"")</f>
        <v>0.12987012987013</v>
      </c>
      <c r="H19" s="28" t="n">
        <f aca="false">IFERROR(INDEX(Survey_Counts!$N$2:$N$930,MATCH(1,INDEX((Survey_Counts!$A$2:$A$930=H$3)*(Survey_Counts!$B$2:$B$930=$A19),0),0)),"")</f>
        <v>0.146090534979424</v>
      </c>
      <c r="I19" s="28" t="n">
        <f aca="false">IFERROR(INDEX(Survey_Counts!$N$2:$N$930,MATCH(1,INDEX((Survey_Counts!$A$2:$A$930=I$3)*(Survey_Counts!$B$2:$B$930=$A19),0),0)),"")</f>
        <v>0.348600508905852</v>
      </c>
      <c r="J19" s="28" t="n">
        <f aca="false">IFERROR(INDEX(Survey_Counts!$N$2:$N$930,MATCH(1,INDEX((Survey_Counts!$A$2:$A$930=J$3)*(Survey_Counts!$B$2:$B$930=$A19),0),0)),"")</f>
        <v>0.483568075117371</v>
      </c>
      <c r="K19" s="28" t="n">
        <f aca="false">IFERROR(INDEX(Survey_Counts!$N$2:$N$930,MATCH(1,INDEX((Survey_Counts!$A$2:$A$930=K$3)*(Survey_Counts!$B$2:$B$930=$A19),0),0)),"")</f>
        <v>0.504716981132076</v>
      </c>
      <c r="L19" s="28" t="n">
        <f aca="false">IFERROR(INDEX(Survey_Counts!$N$2:$N$930,MATCH(1,INDEX((Survey_Counts!$A$2:$A$930=L$3)*(Survey_Counts!$B$2:$B$930=$A19),0),0)),"")</f>
        <v>0.235294117647059</v>
      </c>
      <c r="M19" s="28" t="n">
        <f aca="false">IFERROR(INDEX(Survey_Counts!$N$2:$N$930,MATCH(1,INDEX((Survey_Counts!$A$2:$A$930=M$3)*(Survey_Counts!$B$2:$B$930=$A19),0),0)),"")</f>
        <v>0.554666666666667</v>
      </c>
      <c r="N19" s="28" t="n">
        <f aca="false">IFERROR(INDEX(Survey_Counts!$N$2:$N$930,MATCH(1,INDEX((Survey_Counts!$A$2:$A$930=N$3)*(Survey_Counts!$B$2:$B$930=$A19),0),0)),"")</f>
        <v>0.0859106529209622</v>
      </c>
      <c r="O19" s="28" t="n">
        <f aca="false">IFERROR(INDEX(Survey_Counts!$N$2:$N$930,MATCH(1,INDEX((Survey_Counts!$A$2:$A$930=O$3)*(Survey_Counts!$B$2:$B$930=$A19),0),0)),"")</f>
        <v>0.254237288135593</v>
      </c>
      <c r="P19" s="28" t="n">
        <f aca="false">IFERROR(INDEX(Survey_Counts!$N$2:$N$930,MATCH(1,INDEX((Survey_Counts!$A$2:$A$930=P$3)*(Survey_Counts!$B$2:$B$930=$A19),0),0)),"")</f>
        <v>0.268817204301075</v>
      </c>
      <c r="Q19" s="28" t="n">
        <f aca="false">IFERROR(INDEX(Survey_Counts!$N$2:$N$930,MATCH(1,INDEX((Survey_Counts!$A$2:$A$930=Q$3)*(Survey_Counts!$B$2:$B$930=$A19),0),0)),"")</f>
        <v>0.516304347826087</v>
      </c>
      <c r="R19" s="28" t="n">
        <f aca="false">IFERROR(INDEX(Survey_Counts!$N$2:$N$930,MATCH(1,INDEX((Survey_Counts!$A$2:$A$930=R$3)*(Survey_Counts!$B$2:$B$930=$A19),0),0)),"")</f>
        <v>0.645477815699659</v>
      </c>
      <c r="S19" s="28" t="n">
        <f aca="false">IFERROR(INDEX(Survey_Counts!$N$2:$N$930,MATCH(1,INDEX((Survey_Counts!$A$2:$A$930=S$3)*(Survey_Counts!$B$2:$B$930=$A19),0),0)),"")</f>
        <v>0.645477815699659</v>
      </c>
      <c r="T19" s="28" t="n">
        <f aca="false">IFERROR(INDEX(Survey_Counts!$N$2:$N$930,MATCH(1,INDEX((Survey_Counts!$A$2:$A$930=T$3)*(Survey_Counts!$B$2:$B$930=$A19),0),0)),"")</f>
        <v>0.182992465016146</v>
      </c>
      <c r="U19" s="28" t="n">
        <f aca="false">IFERROR(INDEX(Survey_Counts!$N$2:$N$930,MATCH(1,INDEX((Survey_Counts!$A$2:$A$930=U$3)*(Survey_Counts!$B$2:$B$930=$A19),0),0)),"")</f>
        <v>0.182992465016146</v>
      </c>
      <c r="V19" s="28" t="n">
        <f aca="false">IFERROR(INDEX(Survey_Counts!$N$2:$N$930,MATCH(1,INDEX((Survey_Counts!$A$2:$A$930=V$3)*(Survey_Counts!$B$2:$B$930=$A19),0),0)),"")</f>
        <v>0.211764705882353</v>
      </c>
      <c r="W19" s="28" t="n">
        <f aca="false">IFERROR(INDEX(Survey_Counts!$N$2:$N$930,MATCH(1,INDEX((Survey_Counts!$A$2:$A$930=W$3)*(Survey_Counts!$B$2:$B$930=$A19),0),0)),"")</f>
        <v>0.182926829268293</v>
      </c>
      <c r="X19" s="28" t="n">
        <f aca="false">IFERROR(INDEX(Survey_Counts!$N$2:$N$930,MATCH(1,INDEX((Survey_Counts!$A$2:$A$930=X$3)*(Survey_Counts!$B$2:$B$930=$A19),0),0)),"")</f>
        <v>0.138888888888889</v>
      </c>
      <c r="Y19" s="28" t="n">
        <f aca="false">IFERROR(INDEX(Survey_Counts!$N$2:$N$930,MATCH(1,INDEX((Survey_Counts!$A$2:$A$930=Y$3)*(Survey_Counts!$B$2:$B$930=$A19),0),0)),"")</f>
        <v>0.285714285714286</v>
      </c>
      <c r="Z19" s="28" t="n">
        <f aca="false">IFERROR(INDEX(Survey_Counts!$N$2:$N$930,MATCH(1,INDEX((Survey_Counts!$A$2:$A$930=Z$3)*(Survey_Counts!$B$2:$B$930=$A19),0),0)),"")</f>
        <v>0.194831013916501</v>
      </c>
      <c r="AA19" s="28" t="n">
        <f aca="false">IFERROR(INDEX(Survey_Counts!$N$2:$N$930,MATCH(1,INDEX((Survey_Counts!$A$2:$A$930=AA$3)*(Survey_Counts!$B$2:$B$930=$A19),0),0)),"")</f>
        <v>0.367205542725173</v>
      </c>
      <c r="AB19" s="28" t="n">
        <f aca="false">IFERROR(INDEX(Survey_Counts!$N$2:$N$930,MATCH(1,INDEX((Survey_Counts!$A$2:$A$930=AB$3)*(Survey_Counts!$B$2:$B$930=$A19),0),0)),"")</f>
        <v>0.310810810810811</v>
      </c>
      <c r="AC19" s="28" t="n">
        <f aca="false">IFERROR(INDEX(Survey_Counts!$N$2:$N$930,MATCH(1,INDEX((Survey_Counts!$A$2:$A$930=AC$3)*(Survey_Counts!$B$2:$B$930=$A19),0),0)),"")</f>
        <v>0.0847084708470847</v>
      </c>
      <c r="AD19" s="28" t="n">
        <f aca="false">IFERROR(INDEX(Survey_Counts!$N$2:$N$930,MATCH(1,INDEX((Survey_Counts!$A$2:$A$930=AD$3)*(Survey_Counts!$B$2:$B$930=$A19),0),0)),"")</f>
        <v>0.187022900763359</v>
      </c>
      <c r="AE19" s="28" t="n">
        <f aca="false">IFERROR(INDEX(Survey_Counts!$N$2:$N$930,MATCH(1,INDEX((Survey_Counts!$A$2:$A$930=AE$3)*(Survey_Counts!$B$2:$B$930=$A19),0),0)),"")</f>
        <v>0.336633663366337</v>
      </c>
      <c r="AF19" s="28" t="n">
        <f aca="false">IFERROR(INDEX(Survey_Counts!$N$2:$N$930,MATCH(1,INDEX((Survey_Counts!$A$2:$A$930=AF$3)*(Survey_Counts!$B$2:$B$930=$A19),0),0)),"")</f>
        <v>0.336633663366337</v>
      </c>
      <c r="AG19" s="28" t="n">
        <f aca="false">IFERROR(INDEX(Survey_Counts!$N$2:$N$930,MATCH(1,INDEX((Survey_Counts!$A$2:$A$930=AG$3)*(Survey_Counts!$B$2:$B$930=$A19),0),0)),"")</f>
        <v>0.193050193050193</v>
      </c>
      <c r="AH19" s="28" t="n">
        <f aca="false">IFERROR(INDEX(Survey_Counts!$N$2:$N$930,MATCH(1,INDEX((Survey_Counts!$A$2:$A$930=AH$3)*(Survey_Counts!$B$2:$B$930=$A19),0),0)),"")</f>
        <v>0.193050193050193</v>
      </c>
      <c r="AI19" s="28" t="n">
        <f aca="false">IFERROR(INDEX(Survey_Counts!$N$2:$N$930,MATCH(1,INDEX((Survey_Counts!$A$2:$A$930=AI$3)*(Survey_Counts!$B$2:$B$930=$A19),0),0)),"")</f>
        <v>0.195876288659794</v>
      </c>
      <c r="AJ19" s="28" t="n">
        <f aca="false">IFERROR(INDEX(Survey_Counts!$N$2:$N$930,MATCH(1,INDEX((Survey_Counts!$A$2:$A$930=AJ$3)*(Survey_Counts!$B$2:$B$930=$A19),0),0)),"")</f>
        <v>0.195876288659794</v>
      </c>
      <c r="AK19" s="28" t="n">
        <f aca="false">IFERROR(INDEX(Survey_Counts!$N$2:$N$930,MATCH(1,INDEX((Survey_Counts!$A$2:$A$930=AK$3)*(Survey_Counts!$B$2:$B$930=$A19),0),0)),"")</f>
        <v>0.126315789473684</v>
      </c>
      <c r="AL19" s="28" t="n">
        <f aca="false">IFERROR(INDEX(Survey_Counts!$N$2:$N$930,MATCH(1,INDEX((Survey_Counts!$A$2:$A$930=AL$3)*(Survey_Counts!$B$2:$B$930=$A19),0),0)),"")</f>
        <v>0.227027027027027</v>
      </c>
      <c r="AM19" s="28" t="n">
        <f aca="false">IFERROR(INDEX(Survey_Counts!$N$2:$N$930,MATCH(1,INDEX((Survey_Counts!$A$2:$A$930=AM$3)*(Survey_Counts!$B$2:$B$930=$A19),0),0)),"")</f>
        <v>0.481171548117155</v>
      </c>
      <c r="AN19" s="28" t="n">
        <f aca="false">IFERROR(INDEX(Survey_Counts!$N$2:$N$930,MATCH(1,INDEX((Survey_Counts!$A$2:$A$930=AN$3)*(Survey_Counts!$B$2:$B$930=$A19),0),0)),"")</f>
        <v>0.438356164383562</v>
      </c>
      <c r="AO19" s="28" t="n">
        <f aca="false">IFERROR(INDEX(Survey_Counts!$N$2:$N$930,MATCH(1,INDEX((Survey_Counts!$A$2:$A$930=AO$3)*(Survey_Counts!$B$2:$B$930=$A19),0),0)),"")</f>
        <v>0.514657980456026</v>
      </c>
      <c r="AP19" s="28" t="n">
        <f aca="false">IFERROR(INDEX(Survey_Counts!$N$2:$N$930,MATCH(1,INDEX((Survey_Counts!$A$2:$A$930=AP$3)*(Survey_Counts!$B$2:$B$930=$A19),0),0)),"")</f>
        <v>0.553544494720965</v>
      </c>
      <c r="AQ19" s="28" t="n">
        <f aca="false">IFERROR(INDEX(Survey_Counts!$N$2:$N$930,MATCH(1,INDEX((Survey_Counts!$A$2:$A$930=AQ$3)*(Survey_Counts!$B$2:$B$930=$A19),0),0)),"")</f>
        <v>0.158878504672897</v>
      </c>
      <c r="AR19" s="28" t="n">
        <f aca="false">IFERROR(INDEX(Survey_Counts!$N$2:$N$930,MATCH(1,INDEX((Survey_Counts!$A$2:$A$930=AR$3)*(Survey_Counts!$B$2:$B$930=$A19),0),0)),"")</f>
        <v>0.157446808510638</v>
      </c>
      <c r="AS19" s="28" t="n">
        <f aca="false">IFERROR(INDEX(Survey_Counts!$N$2:$N$930,MATCH(1,INDEX((Survey_Counts!$A$2:$A$930=AS$3)*(Survey_Counts!$B$2:$B$930=$A19),0),0)),"")</f>
        <v>0.669724770642202</v>
      </c>
      <c r="AT19" s="28" t="n">
        <f aca="false">IFERROR(INDEX(Survey_Counts!$N$2:$N$930,MATCH(1,INDEX((Survey_Counts!$A$2:$A$930=AT$3)*(Survey_Counts!$B$2:$B$930=$A19),0),0)),"")</f>
        <v>0.373652133145804</v>
      </c>
      <c r="AU19" s="28" t="n">
        <f aca="false">IFERROR(INDEX(Survey_Counts!$N$2:$N$930,MATCH(1,INDEX((Survey_Counts!$A$2:$A$930=AU$3)*(Survey_Counts!$B$2:$B$930=$A19),0),0)),"")</f>
        <v>0.446808510638298</v>
      </c>
      <c r="AV19" s="28" t="n">
        <f aca="false">IFERROR(INDEX(Survey_Counts!$N$2:$N$930,MATCH(1,INDEX((Survey_Counts!$A$2:$A$930=AV$3)*(Survey_Counts!$B$2:$B$930=$A19),0),0)),"")</f>
        <v>0.241293532338308</v>
      </c>
      <c r="AW19" s="28" t="n">
        <f aca="false">IFERROR(INDEX(Survey_Counts!$N$2:$N$930,MATCH(1,INDEX((Survey_Counts!$A$2:$A$930=AW$3)*(Survey_Counts!$B$2:$B$930=$A19),0),0)),"")</f>
        <v>0.545751633986928</v>
      </c>
      <c r="AX19" s="28" t="n">
        <f aca="false">IFERROR(INDEX(Survey_Counts!$N$2:$N$930,MATCH(1,INDEX((Survey_Counts!$A$2:$A$930=AX$3)*(Survey_Counts!$B$2:$B$930=$A19),0),0)),"")</f>
        <v>0.0336700336700337</v>
      </c>
      <c r="AY19" s="28" t="n">
        <f aca="false">IFERROR(INDEX(Survey_Counts!$N$2:$N$930,MATCH(1,INDEX((Survey_Counts!$A$2:$A$930=AY$3)*(Survey_Counts!$B$2:$B$930=$A19),0),0)),"")</f>
        <v>0.189944134078212</v>
      </c>
      <c r="AZ19" s="28" t="n">
        <f aca="false">IFERROR(INDEX(Survey_Counts!$N$2:$N$930,MATCH(1,INDEX((Survey_Counts!$A$2:$A$930=AZ$3)*(Survey_Counts!$B$2:$B$930=$A19),0),0)),"")</f>
        <v>0.471264367816092</v>
      </c>
      <c r="BA19" s="28" t="n">
        <f aca="false">IFERROR(INDEX(Survey_Counts!$N$2:$N$930,MATCH(1,INDEX((Survey_Counts!$A$2:$A$930=BA$3)*(Survey_Counts!$B$2:$B$930=$A19),0),0)),"")</f>
        <v>0.471264367816092</v>
      </c>
      <c r="BB19" s="28" t="n">
        <f aca="false">IFERROR(INDEX(Survey_Counts!$N$2:$N$930,MATCH(1,INDEX((Survey_Counts!$A$2:$A$930=BB$3)*(Survey_Counts!$B$2:$B$930=$A19),0),0)),"")</f>
        <v>0.323275862068966</v>
      </c>
      <c r="BC19" s="28" t="n">
        <f aca="false">IFERROR(INDEX(Survey_Counts!$N$2:$N$930,MATCH(1,INDEX((Survey_Counts!$A$2:$A$930=BC$3)*(Survey_Counts!$B$2:$B$930=$A19),0),0)),"")</f>
        <v>0.216326530612245</v>
      </c>
      <c r="BD19" s="28" t="n">
        <f aca="false">IFERROR(INDEX(Survey_Counts!$N$2:$N$930,MATCH(1,INDEX((Survey_Counts!$A$2:$A$930=BD$3)*(Survey_Counts!$B$2:$B$930=$A19),0),0)),"")</f>
        <v>0.191126279863481</v>
      </c>
      <c r="BE19" s="28" t="n">
        <f aca="false">IFERROR(INDEX(Survey_Counts!$N$2:$N$930,MATCH(1,INDEX((Survey_Counts!$A$2:$A$930=BE$3)*(Survey_Counts!$B$2:$B$930=$A19),0),0)),"")</f>
        <v>0.467105263157895</v>
      </c>
      <c r="BF19" s="28" t="n">
        <f aca="false">IFERROR(INDEX(Survey_Counts!$N$2:$N$930,MATCH(1,INDEX((Survey_Counts!$A$2:$A$930=BF$3)*(Survey_Counts!$B$2:$B$930=$A19),0),0)),"")</f>
        <v>0.162849872773537</v>
      </c>
    </row>
    <row r="20" customFormat="false" ht="15" hidden="false" customHeight="false" outlineLevel="0" collapsed="false">
      <c r="A20" s="27" t="n">
        <v>16</v>
      </c>
      <c r="B20" s="27" t="s">
        <v>366</v>
      </c>
      <c r="C20" s="27" t="n">
        <v>15</v>
      </c>
      <c r="D20" s="28" t="n">
        <f aca="false">IFERROR(INDEX(Survey_Counts!$N$2:$N$930,MATCH(1,INDEX((Survey_Counts!$A$2:$A$930=D$3)*(Survey_Counts!$B$2:$B$930=$A20),0),0)),"")</f>
        <v>0.165775401069519</v>
      </c>
      <c r="E20" s="28" t="n">
        <f aca="false">IFERROR(INDEX(Survey_Counts!$N$2:$N$930,MATCH(1,INDEX((Survey_Counts!$A$2:$A$930=E$3)*(Survey_Counts!$B$2:$B$930=$A20),0),0)),"")</f>
        <v>0.165775401069519</v>
      </c>
      <c r="F20" s="28" t="n">
        <f aca="false">IFERROR(INDEX(Survey_Counts!$N$2:$N$930,MATCH(1,INDEX((Survey_Counts!$A$2:$A$930=F$3)*(Survey_Counts!$B$2:$B$930=$A20),0),0)),"")</f>
        <v>0.0735930735930736</v>
      </c>
      <c r="G20" s="28" t="n">
        <f aca="false">IFERROR(INDEX(Survey_Counts!$N$2:$N$930,MATCH(1,INDEX((Survey_Counts!$A$2:$A$930=G$3)*(Survey_Counts!$B$2:$B$930=$A20),0),0)),"")</f>
        <v>0.0735930735930736</v>
      </c>
      <c r="H20" s="28" t="n">
        <f aca="false">IFERROR(INDEX(Survey_Counts!$N$2:$N$930,MATCH(1,INDEX((Survey_Counts!$A$2:$A$930=H$3)*(Survey_Counts!$B$2:$B$930=$A20),0),0)),"")</f>
        <v>0.139917695473251</v>
      </c>
      <c r="I20" s="28" t="n">
        <f aca="false">IFERROR(INDEX(Survey_Counts!$N$2:$N$930,MATCH(1,INDEX((Survey_Counts!$A$2:$A$930=I$3)*(Survey_Counts!$B$2:$B$930=$A20),0),0)),"")</f>
        <v>0.244274809160305</v>
      </c>
      <c r="J20" s="28" t="n">
        <f aca="false">IFERROR(INDEX(Survey_Counts!$N$2:$N$930,MATCH(1,INDEX((Survey_Counts!$A$2:$A$930=J$3)*(Survey_Counts!$B$2:$B$930=$A20),0),0)),"")</f>
        <v>0.436619718309859</v>
      </c>
      <c r="K20" s="28" t="n">
        <f aca="false">IFERROR(INDEX(Survey_Counts!$N$2:$N$930,MATCH(1,INDEX((Survey_Counts!$A$2:$A$930=K$3)*(Survey_Counts!$B$2:$B$930=$A20),0),0)),"")</f>
        <v>0.382075471698113</v>
      </c>
      <c r="L20" s="28" t="n">
        <f aca="false">IFERROR(INDEX(Survey_Counts!$N$2:$N$930,MATCH(1,INDEX((Survey_Counts!$A$2:$A$930=L$3)*(Survey_Counts!$B$2:$B$930=$A20),0),0)),"")</f>
        <v>0.179930795847751</v>
      </c>
      <c r="M20" s="28" t="n">
        <f aca="false">IFERROR(INDEX(Survey_Counts!$N$2:$N$930,MATCH(1,INDEX((Survey_Counts!$A$2:$A$930=M$3)*(Survey_Counts!$B$2:$B$930=$A20),0),0)),"")</f>
        <v>0.466666666666667</v>
      </c>
      <c r="N20" s="28" t="n">
        <f aca="false">IFERROR(INDEX(Survey_Counts!$N$2:$N$930,MATCH(1,INDEX((Survey_Counts!$A$2:$A$930=N$3)*(Survey_Counts!$B$2:$B$930=$A20),0),0)),"")</f>
        <v>0</v>
      </c>
      <c r="O20" s="28" t="n">
        <f aca="false">IFERROR(INDEX(Survey_Counts!$N$2:$N$930,MATCH(1,INDEX((Survey_Counts!$A$2:$A$930=O$3)*(Survey_Counts!$B$2:$B$930=$A20),0),0)),"")</f>
        <v>0</v>
      </c>
      <c r="P20" s="28" t="n">
        <f aca="false">IFERROR(INDEX(Survey_Counts!$N$2:$N$930,MATCH(1,INDEX((Survey_Counts!$A$2:$A$930=P$3)*(Survey_Counts!$B$2:$B$930=$A20),0),0)),"")</f>
        <v>0.161290322580645</v>
      </c>
      <c r="Q20" s="28" t="n">
        <f aca="false">IFERROR(INDEX(Survey_Counts!$N$2:$N$930,MATCH(1,INDEX((Survey_Counts!$A$2:$A$930=Q$3)*(Survey_Counts!$B$2:$B$930=$A20),0),0)),"")</f>
        <v>0.448369565217391</v>
      </c>
      <c r="R20" s="28" t="n">
        <f aca="false">IFERROR(INDEX(Survey_Counts!$N$2:$N$930,MATCH(1,INDEX((Survey_Counts!$A$2:$A$930=R$3)*(Survey_Counts!$B$2:$B$930=$A20),0),0)),"")</f>
        <v>0.540529010238908</v>
      </c>
      <c r="S20" s="28" t="n">
        <f aca="false">IFERROR(INDEX(Survey_Counts!$N$2:$N$930,MATCH(1,INDEX((Survey_Counts!$A$2:$A$930=S$3)*(Survey_Counts!$B$2:$B$930=$A20),0),0)),"")</f>
        <v>0.540529010238908</v>
      </c>
      <c r="T20" s="28" t="n">
        <f aca="false">IFERROR(INDEX(Survey_Counts!$N$2:$N$930,MATCH(1,INDEX((Survey_Counts!$A$2:$A$930=T$3)*(Survey_Counts!$B$2:$B$930=$A20),0),0)),"")</f>
        <v>0.120559741657696</v>
      </c>
      <c r="U20" s="28" t="n">
        <f aca="false">IFERROR(INDEX(Survey_Counts!$N$2:$N$930,MATCH(1,INDEX((Survey_Counts!$A$2:$A$930=U$3)*(Survey_Counts!$B$2:$B$930=$A20),0),0)),"")</f>
        <v>0.120559741657696</v>
      </c>
      <c r="V20" s="28" t="n">
        <f aca="false">IFERROR(INDEX(Survey_Counts!$N$2:$N$930,MATCH(1,INDEX((Survey_Counts!$A$2:$A$930=V$3)*(Survey_Counts!$B$2:$B$930=$A20),0),0)),"")</f>
        <v>0.211764705882353</v>
      </c>
      <c r="W20" s="28" t="n">
        <f aca="false">IFERROR(INDEX(Survey_Counts!$N$2:$N$930,MATCH(1,INDEX((Survey_Counts!$A$2:$A$930=W$3)*(Survey_Counts!$B$2:$B$930=$A20),0),0)),"")</f>
        <v>0.182926829268293</v>
      </c>
      <c r="X20" s="28" t="n">
        <f aca="false">IFERROR(INDEX(Survey_Counts!$N$2:$N$930,MATCH(1,INDEX((Survey_Counts!$A$2:$A$930=X$3)*(Survey_Counts!$B$2:$B$930=$A20),0),0)),"")</f>
        <v>0.101851851851852</v>
      </c>
      <c r="Y20" s="28" t="n">
        <f aca="false">IFERROR(INDEX(Survey_Counts!$N$2:$N$930,MATCH(1,INDEX((Survey_Counts!$A$2:$A$930=Y$3)*(Survey_Counts!$B$2:$B$930=$A20),0),0)),"")</f>
        <v>0.210714285714286</v>
      </c>
      <c r="Z20" s="28" t="n">
        <f aca="false">IFERROR(INDEX(Survey_Counts!$N$2:$N$930,MATCH(1,INDEX((Survey_Counts!$A$2:$A$930=Z$3)*(Survey_Counts!$B$2:$B$930=$A20),0),0)),"")</f>
        <v>0.131212723658052</v>
      </c>
      <c r="AA20" s="28" t="n">
        <f aca="false">IFERROR(INDEX(Survey_Counts!$N$2:$N$930,MATCH(1,INDEX((Survey_Counts!$A$2:$A$930=AA$3)*(Survey_Counts!$B$2:$B$930=$A20),0),0)),"")</f>
        <v>0.282332563510393</v>
      </c>
      <c r="AB20" s="28" t="n">
        <f aca="false">IFERROR(INDEX(Survey_Counts!$N$2:$N$930,MATCH(1,INDEX((Survey_Counts!$A$2:$A$930=AB$3)*(Survey_Counts!$B$2:$B$930=$A20),0),0)),"")</f>
        <v>0.22972972972973</v>
      </c>
      <c r="AC20" s="28" t="n">
        <f aca="false">IFERROR(INDEX(Survey_Counts!$N$2:$N$930,MATCH(1,INDEX((Survey_Counts!$A$2:$A$930=AC$3)*(Survey_Counts!$B$2:$B$930=$A20),0),0)),"")</f>
        <v>-0.0385038503850385</v>
      </c>
      <c r="AD20" s="28" t="n">
        <f aca="false">IFERROR(INDEX(Survey_Counts!$N$2:$N$930,MATCH(1,INDEX((Survey_Counts!$A$2:$A$930=AD$3)*(Survey_Counts!$B$2:$B$930=$A20),0),0)),"")</f>
        <v>0.0763358778625954</v>
      </c>
      <c r="AE20" s="28" t="n">
        <f aca="false">IFERROR(INDEX(Survey_Counts!$N$2:$N$930,MATCH(1,INDEX((Survey_Counts!$A$2:$A$930=AE$3)*(Survey_Counts!$B$2:$B$930=$A20),0),0)),"")</f>
        <v>0.28005657708628</v>
      </c>
      <c r="AF20" s="28" t="n">
        <f aca="false">IFERROR(INDEX(Survey_Counts!$N$2:$N$930,MATCH(1,INDEX((Survey_Counts!$A$2:$A$930=AF$3)*(Survey_Counts!$B$2:$B$930=$A20),0),0)),"")</f>
        <v>0.28005657708628</v>
      </c>
      <c r="AG20" s="28" t="n">
        <f aca="false">IFERROR(INDEX(Survey_Counts!$N$2:$N$930,MATCH(1,INDEX((Survey_Counts!$A$2:$A$930=AG$3)*(Survey_Counts!$B$2:$B$930=$A20),0),0)),"")</f>
        <v>0.138996138996139</v>
      </c>
      <c r="AH20" s="28" t="n">
        <f aca="false">IFERROR(INDEX(Survey_Counts!$N$2:$N$930,MATCH(1,INDEX((Survey_Counts!$A$2:$A$930=AH$3)*(Survey_Counts!$B$2:$B$930=$A20),0),0)),"")</f>
        <v>0.138996138996139</v>
      </c>
      <c r="AI20" s="28" t="n">
        <f aca="false">IFERROR(INDEX(Survey_Counts!$N$2:$N$930,MATCH(1,INDEX((Survey_Counts!$A$2:$A$930=AI$3)*(Survey_Counts!$B$2:$B$930=$A20),0),0)),"")</f>
        <v>0.164948453608247</v>
      </c>
      <c r="AJ20" s="28" t="n">
        <f aca="false">IFERROR(INDEX(Survey_Counts!$N$2:$N$930,MATCH(1,INDEX((Survey_Counts!$A$2:$A$930=AJ$3)*(Survey_Counts!$B$2:$B$930=$A20),0),0)),"")</f>
        <v>0.164948453608247</v>
      </c>
      <c r="AK20" s="28" t="n">
        <f aca="false">IFERROR(INDEX(Survey_Counts!$N$2:$N$930,MATCH(1,INDEX((Survey_Counts!$A$2:$A$930=AK$3)*(Survey_Counts!$B$2:$B$930=$A20),0),0)),"")</f>
        <v>0.0894736842105263</v>
      </c>
      <c r="AL20" s="28" t="n">
        <f aca="false">IFERROR(INDEX(Survey_Counts!$N$2:$N$930,MATCH(1,INDEX((Survey_Counts!$A$2:$A$930=AL$3)*(Survey_Counts!$B$2:$B$930=$A20),0),0)),"")</f>
        <v>0.140540540540541</v>
      </c>
      <c r="AM20" s="28" t="n">
        <f aca="false">IFERROR(INDEX(Survey_Counts!$N$2:$N$930,MATCH(1,INDEX((Survey_Counts!$A$2:$A$930=AM$3)*(Survey_Counts!$B$2:$B$930=$A20),0),0)),"")</f>
        <v>0.322175732217573</v>
      </c>
      <c r="AN20" s="28" t="n">
        <f aca="false">IFERROR(INDEX(Survey_Counts!$N$2:$N$930,MATCH(1,INDEX((Survey_Counts!$A$2:$A$930=AN$3)*(Survey_Counts!$B$2:$B$930=$A20),0),0)),"")</f>
        <v>0.337899543378995</v>
      </c>
      <c r="AO20" s="28" t="n">
        <f aca="false">IFERROR(INDEX(Survey_Counts!$N$2:$N$930,MATCH(1,INDEX((Survey_Counts!$A$2:$A$930=AO$3)*(Survey_Counts!$B$2:$B$930=$A20),0),0)),"")</f>
        <v>0.400651465798046</v>
      </c>
      <c r="AP20" s="28" t="n">
        <f aca="false">IFERROR(INDEX(Survey_Counts!$N$2:$N$930,MATCH(1,INDEX((Survey_Counts!$A$2:$A$930=AP$3)*(Survey_Counts!$B$2:$B$930=$A20),0),0)),"")</f>
        <v>0.463046757164404</v>
      </c>
      <c r="AQ20" s="28" t="n">
        <f aca="false">IFERROR(INDEX(Survey_Counts!$N$2:$N$930,MATCH(1,INDEX((Survey_Counts!$A$2:$A$930=AQ$3)*(Survey_Counts!$B$2:$B$930=$A20),0),0)),"")</f>
        <v>0.149532710280374</v>
      </c>
      <c r="AR20" s="28" t="n">
        <f aca="false">IFERROR(INDEX(Survey_Counts!$N$2:$N$930,MATCH(1,INDEX((Survey_Counts!$A$2:$A$930=AR$3)*(Survey_Counts!$B$2:$B$930=$A20),0),0)),"")</f>
        <v>0.11063829787234</v>
      </c>
      <c r="AS20" s="28" t="n">
        <f aca="false">IFERROR(INDEX(Survey_Counts!$N$2:$N$930,MATCH(1,INDEX((Survey_Counts!$A$2:$A$930=AS$3)*(Survey_Counts!$B$2:$B$930=$A20),0),0)),"")</f>
        <v>0.608562691131499</v>
      </c>
      <c r="AT20" s="28" t="n">
        <f aca="false">IFERROR(INDEX(Survey_Counts!$N$2:$N$930,MATCH(1,INDEX((Survey_Counts!$A$2:$A$930=AT$3)*(Survey_Counts!$B$2:$B$930=$A20),0),0)),"")</f>
        <v>0.292545710267229</v>
      </c>
      <c r="AU20" s="28" t="n">
        <f aca="false">IFERROR(INDEX(Survey_Counts!$N$2:$N$930,MATCH(1,INDEX((Survey_Counts!$A$2:$A$930=AU$3)*(Survey_Counts!$B$2:$B$930=$A20),0),0)),"")</f>
        <v>0.361702127659575</v>
      </c>
      <c r="AV20" s="28" t="n">
        <f aca="false">IFERROR(INDEX(Survey_Counts!$N$2:$N$930,MATCH(1,INDEX((Survey_Counts!$A$2:$A$930=AV$3)*(Survey_Counts!$B$2:$B$930=$A20),0),0)),"")</f>
        <v>0.126865671641791</v>
      </c>
      <c r="AW20" s="28" t="n">
        <f aca="false">IFERROR(INDEX(Survey_Counts!$N$2:$N$930,MATCH(1,INDEX((Survey_Counts!$A$2:$A$930=AW$3)*(Survey_Counts!$B$2:$B$930=$A20),0),0)),"")</f>
        <v>0.42483660130719</v>
      </c>
      <c r="AX20" s="28" t="n">
        <f aca="false">IFERROR(INDEX(Survey_Counts!$N$2:$N$930,MATCH(1,INDEX((Survey_Counts!$A$2:$A$930=AX$3)*(Survey_Counts!$B$2:$B$930=$A20),0),0)),"")</f>
        <v>-0.0606060606060606</v>
      </c>
      <c r="AY20" s="28" t="n">
        <f aca="false">IFERROR(INDEX(Survey_Counts!$N$2:$N$930,MATCH(1,INDEX((Survey_Counts!$A$2:$A$930=AY$3)*(Survey_Counts!$B$2:$B$930=$A20),0),0)),"")</f>
        <v>0.106145251396648</v>
      </c>
      <c r="AZ20" s="28" t="n">
        <f aca="false">IFERROR(INDEX(Survey_Counts!$N$2:$N$930,MATCH(1,INDEX((Survey_Counts!$A$2:$A$930=AZ$3)*(Survey_Counts!$B$2:$B$930=$A20),0),0)),"")</f>
        <v>0.390804597701149</v>
      </c>
      <c r="BA20" s="28" t="n">
        <f aca="false">IFERROR(INDEX(Survey_Counts!$N$2:$N$930,MATCH(1,INDEX((Survey_Counts!$A$2:$A$930=BA$3)*(Survey_Counts!$B$2:$B$930=$A20),0),0)),"")</f>
        <v>0.390804597701149</v>
      </c>
      <c r="BB20" s="28" t="n">
        <f aca="false">IFERROR(INDEX(Survey_Counts!$N$2:$N$930,MATCH(1,INDEX((Survey_Counts!$A$2:$A$930=BB$3)*(Survey_Counts!$B$2:$B$930=$A20),0),0)),"")</f>
        <v>0.254310344827586</v>
      </c>
      <c r="BC20" s="28" t="n">
        <f aca="false">IFERROR(INDEX(Survey_Counts!$N$2:$N$930,MATCH(1,INDEX((Survey_Counts!$A$2:$A$930=BC$3)*(Survey_Counts!$B$2:$B$930=$A20),0),0)),"")</f>
        <v>0.183673469387755</v>
      </c>
      <c r="BD20" s="28" t="n">
        <f aca="false">IFERROR(INDEX(Survey_Counts!$N$2:$N$930,MATCH(1,INDEX((Survey_Counts!$A$2:$A$930=BD$3)*(Survey_Counts!$B$2:$B$930=$A20),0),0)),"")</f>
        <v>0.102389078498294</v>
      </c>
      <c r="BE20" s="28" t="n">
        <f aca="false">IFERROR(INDEX(Survey_Counts!$N$2:$N$930,MATCH(1,INDEX((Survey_Counts!$A$2:$A$930=BE$3)*(Survey_Counts!$B$2:$B$930=$A20),0),0)),"")</f>
        <v>0.381578947368421</v>
      </c>
      <c r="BF20" s="28" t="n">
        <f aca="false">IFERROR(INDEX(Survey_Counts!$N$2:$N$930,MATCH(1,INDEX((Survey_Counts!$A$2:$A$930=BF$3)*(Survey_Counts!$B$2:$B$930=$A20),0),0)),"")</f>
        <v>0.10941475826972</v>
      </c>
    </row>
    <row r="21" customFormat="false" ht="15" hidden="false" customHeight="false" outlineLevel="0" collapsed="false">
      <c r="A21" s="27" t="n">
        <v>17</v>
      </c>
      <c r="B21" s="27" t="s">
        <v>326</v>
      </c>
      <c r="C21" s="27" t="n">
        <v>30</v>
      </c>
      <c r="D21" s="28" t="n">
        <f aca="false">IFERROR(INDEX(Survey_Counts!$N$2:$N$930,MATCH(1,INDEX((Survey_Counts!$A$2:$A$930=D$3)*(Survey_Counts!$B$2:$B$930=$A21),0),0)),"")</f>
        <v>0.109625668449198</v>
      </c>
      <c r="E21" s="28" t="n">
        <f aca="false">IFERROR(INDEX(Survey_Counts!$N$2:$N$930,MATCH(1,INDEX((Survey_Counts!$A$2:$A$930=E$3)*(Survey_Counts!$B$2:$B$930=$A21),0),0)),"")</f>
        <v>0.109625668449198</v>
      </c>
      <c r="F21" s="28" t="n">
        <f aca="false">IFERROR(INDEX(Survey_Counts!$N$2:$N$930,MATCH(1,INDEX((Survey_Counts!$A$2:$A$930=F$3)*(Survey_Counts!$B$2:$B$930=$A21),0),0)),"")</f>
        <v>0.0649350649350649</v>
      </c>
      <c r="G21" s="28" t="n">
        <f aca="false">IFERROR(INDEX(Survey_Counts!$N$2:$N$930,MATCH(1,INDEX((Survey_Counts!$A$2:$A$930=G$3)*(Survey_Counts!$B$2:$B$930=$A21),0),0)),"")</f>
        <v>0.0649350649350649</v>
      </c>
      <c r="H21" s="28" t="n">
        <f aca="false">IFERROR(INDEX(Survey_Counts!$N$2:$N$930,MATCH(1,INDEX((Survey_Counts!$A$2:$A$930=H$3)*(Survey_Counts!$B$2:$B$930=$A21),0),0)),"")</f>
        <v>0.109053497942387</v>
      </c>
      <c r="I21" s="28" t="n">
        <f aca="false">IFERROR(INDEX(Survey_Counts!$N$2:$N$930,MATCH(1,INDEX((Survey_Counts!$A$2:$A$930=I$3)*(Survey_Counts!$B$2:$B$930=$A21),0),0)),"")</f>
        <v>0.190839694656489</v>
      </c>
      <c r="J21" s="28" t="n">
        <f aca="false">IFERROR(INDEX(Survey_Counts!$N$2:$N$930,MATCH(1,INDEX((Survey_Counts!$A$2:$A$930=J$3)*(Survey_Counts!$B$2:$B$930=$A21),0),0)),"")</f>
        <v>0.326291079812207</v>
      </c>
      <c r="K21" s="28" t="n">
        <f aca="false">IFERROR(INDEX(Survey_Counts!$N$2:$N$930,MATCH(1,INDEX((Survey_Counts!$A$2:$A$930=K$3)*(Survey_Counts!$B$2:$B$930=$A21),0),0)),"")</f>
        <v>0.283018867924528</v>
      </c>
      <c r="L21" s="28" t="n">
        <f aca="false">IFERROR(INDEX(Survey_Counts!$N$2:$N$930,MATCH(1,INDEX((Survey_Counts!$A$2:$A$930=L$3)*(Survey_Counts!$B$2:$B$930=$A21),0),0)),"")</f>
        <v>0.103806228373702</v>
      </c>
      <c r="M21" s="28" t="n">
        <f aca="false">IFERROR(INDEX(Survey_Counts!$N$2:$N$930,MATCH(1,INDEX((Survey_Counts!$A$2:$A$930=M$3)*(Survey_Counts!$B$2:$B$930=$A21),0),0)),"")</f>
        <v>0.386666666666667</v>
      </c>
      <c r="N21" s="28" t="n">
        <f aca="false">IFERROR(INDEX(Survey_Counts!$N$2:$N$930,MATCH(1,INDEX((Survey_Counts!$A$2:$A$930=N$3)*(Survey_Counts!$B$2:$B$930=$A21),0),0)),"")</f>
        <v>0</v>
      </c>
      <c r="O21" s="28" t="n">
        <f aca="false">IFERROR(INDEX(Survey_Counts!$N$2:$N$930,MATCH(1,INDEX((Survey_Counts!$A$2:$A$930=O$3)*(Survey_Counts!$B$2:$B$930=$A21),0),0)),"")</f>
        <v>0</v>
      </c>
      <c r="P21" s="28" t="n">
        <f aca="false">IFERROR(INDEX(Survey_Counts!$N$2:$N$930,MATCH(1,INDEX((Survey_Counts!$A$2:$A$930=P$3)*(Survey_Counts!$B$2:$B$930=$A21),0),0)),"")</f>
        <v>0.118279569892473</v>
      </c>
      <c r="Q21" s="28" t="n">
        <f aca="false">IFERROR(INDEX(Survey_Counts!$N$2:$N$930,MATCH(1,INDEX((Survey_Counts!$A$2:$A$930=Q$3)*(Survey_Counts!$B$2:$B$930=$A21),0),0)),"")</f>
        <v>0.39945652173913</v>
      </c>
      <c r="R21" s="28" t="n">
        <f aca="false">IFERROR(INDEX(Survey_Counts!$N$2:$N$930,MATCH(1,INDEX((Survey_Counts!$A$2:$A$930=R$3)*(Survey_Counts!$B$2:$B$930=$A21),0),0)),"")</f>
        <v>0.41382252559727</v>
      </c>
      <c r="S21" s="28" t="n">
        <f aca="false">IFERROR(INDEX(Survey_Counts!$N$2:$N$930,MATCH(1,INDEX((Survey_Counts!$A$2:$A$930=S$3)*(Survey_Counts!$B$2:$B$930=$A21),0),0)),"")</f>
        <v>0.41382252559727</v>
      </c>
      <c r="T21" s="28" t="n">
        <f aca="false">IFERROR(INDEX(Survey_Counts!$N$2:$N$930,MATCH(1,INDEX((Survey_Counts!$A$2:$A$930=T$3)*(Survey_Counts!$B$2:$B$930=$A21),0),0)),"")</f>
        <v>0.0871905274488698</v>
      </c>
      <c r="U21" s="28" t="n">
        <f aca="false">IFERROR(INDEX(Survey_Counts!$N$2:$N$930,MATCH(1,INDEX((Survey_Counts!$A$2:$A$930=U$3)*(Survey_Counts!$B$2:$B$930=$A21),0),0)),"")</f>
        <v>0.0871905274488698</v>
      </c>
      <c r="V21" s="28" t="n">
        <f aca="false">IFERROR(INDEX(Survey_Counts!$N$2:$N$930,MATCH(1,INDEX((Survey_Counts!$A$2:$A$930=V$3)*(Survey_Counts!$B$2:$B$930=$A21),0),0)),"")</f>
        <v>0.164705882352941</v>
      </c>
      <c r="W21" s="28" t="n">
        <f aca="false">IFERROR(INDEX(Survey_Counts!$N$2:$N$930,MATCH(1,INDEX((Survey_Counts!$A$2:$A$930=W$3)*(Survey_Counts!$B$2:$B$930=$A21),0),0)),"")</f>
        <v>0.134146341463415</v>
      </c>
      <c r="X21" s="28" t="n">
        <f aca="false">IFERROR(INDEX(Survey_Counts!$N$2:$N$930,MATCH(1,INDEX((Survey_Counts!$A$2:$A$930=X$3)*(Survey_Counts!$B$2:$B$930=$A21),0),0)),"")</f>
        <v>0.0565843621399177</v>
      </c>
      <c r="Y21" s="28" t="n">
        <f aca="false">IFERROR(INDEX(Survey_Counts!$N$2:$N$930,MATCH(1,INDEX((Survey_Counts!$A$2:$A$930=Y$3)*(Survey_Counts!$B$2:$B$930=$A21),0),0)),"")</f>
        <v>0.15</v>
      </c>
      <c r="Z21" s="28" t="n">
        <f aca="false">IFERROR(INDEX(Survey_Counts!$N$2:$N$930,MATCH(1,INDEX((Survey_Counts!$A$2:$A$930=Z$3)*(Survey_Counts!$B$2:$B$930=$A21),0),0)),"")</f>
        <v>0.0556660039761431</v>
      </c>
      <c r="AA21" s="28" t="n">
        <f aca="false">IFERROR(INDEX(Survey_Counts!$N$2:$N$930,MATCH(1,INDEX((Survey_Counts!$A$2:$A$930=AA$3)*(Survey_Counts!$B$2:$B$930=$A21),0),0)),"")</f>
        <v>0.197459584295612</v>
      </c>
      <c r="AB21" s="28" t="n">
        <f aca="false">IFERROR(INDEX(Survey_Counts!$N$2:$N$930,MATCH(1,INDEX((Survey_Counts!$A$2:$A$930=AB$3)*(Survey_Counts!$B$2:$B$930=$A21),0),0)),"")</f>
        <v>0.0945945945945946</v>
      </c>
      <c r="AC21" s="28" t="n">
        <f aca="false">IFERROR(INDEX(Survey_Counts!$N$2:$N$930,MATCH(1,INDEX((Survey_Counts!$A$2:$A$930=AC$3)*(Survey_Counts!$B$2:$B$930=$A21),0),0)),"")</f>
        <v>-0.168316831683168</v>
      </c>
      <c r="AD21" s="28" t="n">
        <f aca="false">IFERROR(INDEX(Survey_Counts!$N$2:$N$930,MATCH(1,INDEX((Survey_Counts!$A$2:$A$930=AD$3)*(Survey_Counts!$B$2:$B$930=$A21),0),0)),"")</f>
        <v>0.00381679389312977</v>
      </c>
      <c r="AE21" s="28" t="n">
        <f aca="false">IFERROR(INDEX(Survey_Counts!$N$2:$N$930,MATCH(1,INDEX((Survey_Counts!$A$2:$A$930=AE$3)*(Survey_Counts!$B$2:$B$930=$A21),0),0)),"")</f>
        <v>0.227722772277228</v>
      </c>
      <c r="AF21" s="28" t="n">
        <f aca="false">IFERROR(INDEX(Survey_Counts!$N$2:$N$930,MATCH(1,INDEX((Survey_Counts!$A$2:$A$930=AF$3)*(Survey_Counts!$B$2:$B$930=$A21),0),0)),"")</f>
        <v>0.227722772277228</v>
      </c>
      <c r="AG21" s="28" t="n">
        <f aca="false">IFERROR(INDEX(Survey_Counts!$N$2:$N$930,MATCH(1,INDEX((Survey_Counts!$A$2:$A$930=AG$3)*(Survey_Counts!$B$2:$B$930=$A21),0),0)),"")</f>
        <v>0.0926640926640927</v>
      </c>
      <c r="AH21" s="28" t="n">
        <f aca="false">IFERROR(INDEX(Survey_Counts!$N$2:$N$930,MATCH(1,INDEX((Survey_Counts!$A$2:$A$930=AH$3)*(Survey_Counts!$B$2:$B$930=$A21),0),0)),"")</f>
        <v>0.0926640926640927</v>
      </c>
      <c r="AI21" s="28" t="str">
        <f aca="false">IFERROR(INDEX(Survey_Counts!$N$2:$N$930,MATCH(1,INDEX((Survey_Counts!$A$2:$A$930=AI$3)*(Survey_Counts!$B$2:$B$930=$A21),0),0)),"")</f>
        <v/>
      </c>
      <c r="AJ21" s="28" t="str">
        <f aca="false">IFERROR(INDEX(Survey_Counts!$N$2:$N$930,MATCH(1,INDEX((Survey_Counts!$A$2:$A$930=AJ$3)*(Survey_Counts!$B$2:$B$930=$A21),0),0)),"")</f>
        <v/>
      </c>
      <c r="AK21" s="28" t="n">
        <f aca="false">IFERROR(INDEX(Survey_Counts!$N$2:$N$930,MATCH(1,INDEX((Survey_Counts!$A$2:$A$930=AK$3)*(Survey_Counts!$B$2:$B$930=$A21),0),0)),"")</f>
        <v>0.068421052631579</v>
      </c>
      <c r="AL21" s="28" t="n">
        <f aca="false">IFERROR(INDEX(Survey_Counts!$N$2:$N$930,MATCH(1,INDEX((Survey_Counts!$A$2:$A$930=AL$3)*(Survey_Counts!$B$2:$B$930=$A21),0),0)),"")</f>
        <v>0.0918918918918919</v>
      </c>
      <c r="AM21" s="28" t="n">
        <f aca="false">IFERROR(INDEX(Survey_Counts!$N$2:$N$930,MATCH(1,INDEX((Survey_Counts!$A$2:$A$930=AM$3)*(Survey_Counts!$B$2:$B$930=$A21),0),0)),"")</f>
        <v>0.259414225941423</v>
      </c>
      <c r="AN21" s="28" t="n">
        <f aca="false">IFERROR(INDEX(Survey_Counts!$N$2:$N$930,MATCH(1,INDEX((Survey_Counts!$A$2:$A$930=AN$3)*(Survey_Counts!$B$2:$B$930=$A21),0),0)),"")</f>
        <v>0.210045662100457</v>
      </c>
      <c r="AO21" s="28" t="n">
        <f aca="false">IFERROR(INDEX(Survey_Counts!$N$2:$N$930,MATCH(1,INDEX((Survey_Counts!$A$2:$A$930=AO$3)*(Survey_Counts!$B$2:$B$930=$A21),0),0)),"")</f>
        <v>0.260586319218241</v>
      </c>
      <c r="AP21" s="28" t="n">
        <f aca="false">IFERROR(INDEX(Survey_Counts!$N$2:$N$930,MATCH(1,INDEX((Survey_Counts!$A$2:$A$930=AP$3)*(Survey_Counts!$B$2:$B$930=$A21),0),0)),"")</f>
        <v>0.401206636500754</v>
      </c>
      <c r="AQ21" s="28" t="n">
        <f aca="false">IFERROR(INDEX(Survey_Counts!$N$2:$N$930,MATCH(1,INDEX((Survey_Counts!$A$2:$A$930=AQ$3)*(Survey_Counts!$B$2:$B$930=$A21),0),0)),"")</f>
        <v>0</v>
      </c>
      <c r="AR21" s="28" t="n">
        <f aca="false">IFERROR(INDEX(Survey_Counts!$N$2:$N$930,MATCH(1,INDEX((Survey_Counts!$A$2:$A$930=AR$3)*(Survey_Counts!$B$2:$B$930=$A21),0),0)),"")</f>
        <v>0.0893617021276596</v>
      </c>
      <c r="AS21" s="28" t="n">
        <f aca="false">IFERROR(INDEX(Survey_Counts!$N$2:$N$930,MATCH(1,INDEX((Survey_Counts!$A$2:$A$930=AS$3)*(Survey_Counts!$B$2:$B$930=$A21),0),0)),"")</f>
        <v>0.584097859327217</v>
      </c>
      <c r="AT21" s="28" t="n">
        <f aca="false">IFERROR(INDEX(Survey_Counts!$N$2:$N$930,MATCH(1,INDEX((Survey_Counts!$A$2:$A$930=AT$3)*(Survey_Counts!$B$2:$B$930=$A21),0),0)),"")</f>
        <v>0.210970464135021</v>
      </c>
      <c r="AU21" s="28" t="n">
        <f aca="false">IFERROR(INDEX(Survey_Counts!$N$2:$N$930,MATCH(1,INDEX((Survey_Counts!$A$2:$A$930=AU$3)*(Survey_Counts!$B$2:$B$930=$A21),0),0)),"")</f>
        <v>0.297872340425532</v>
      </c>
      <c r="AV21" s="28" t="n">
        <f aca="false">IFERROR(INDEX(Survey_Counts!$N$2:$N$930,MATCH(1,INDEX((Survey_Counts!$A$2:$A$930=AV$3)*(Survey_Counts!$B$2:$B$930=$A21),0),0)),"")</f>
        <v>-0.0373134328358209</v>
      </c>
      <c r="AW21" s="28" t="n">
        <f aca="false">IFERROR(INDEX(Survey_Counts!$N$2:$N$930,MATCH(1,INDEX((Survey_Counts!$A$2:$A$930=AW$3)*(Survey_Counts!$B$2:$B$930=$A21),0),0)),"")</f>
        <v>0.274509803921569</v>
      </c>
      <c r="AX21" s="28" t="n">
        <f aca="false">IFERROR(INDEX(Survey_Counts!$N$2:$N$930,MATCH(1,INDEX((Survey_Counts!$A$2:$A$930=AX$3)*(Survey_Counts!$B$2:$B$930=$A21),0),0)),"")</f>
        <v>-0.116161616161616</v>
      </c>
      <c r="AY21" s="28" t="n">
        <f aca="false">IFERROR(INDEX(Survey_Counts!$N$2:$N$930,MATCH(1,INDEX((Survey_Counts!$A$2:$A$930=AY$3)*(Survey_Counts!$B$2:$B$930=$A21),0),0)),"")</f>
        <v>0.0335195530726257</v>
      </c>
      <c r="AZ21" s="28" t="n">
        <f aca="false">IFERROR(INDEX(Survey_Counts!$N$2:$N$930,MATCH(1,INDEX((Survey_Counts!$A$2:$A$930=AZ$3)*(Survey_Counts!$B$2:$B$930=$A21),0),0)),"")</f>
        <v>0.314942528735632</v>
      </c>
      <c r="BA21" s="28" t="n">
        <f aca="false">IFERROR(INDEX(Survey_Counts!$N$2:$N$930,MATCH(1,INDEX((Survey_Counts!$A$2:$A$930=BA$3)*(Survey_Counts!$B$2:$B$930=$A21),0),0)),"")</f>
        <v>0.314942528735632</v>
      </c>
      <c r="BB21" s="28" t="n">
        <f aca="false">IFERROR(INDEX(Survey_Counts!$N$2:$N$930,MATCH(1,INDEX((Survey_Counts!$A$2:$A$930=BB$3)*(Survey_Counts!$B$2:$B$930=$A21),0),0)),"")</f>
        <v>0.21551724137931</v>
      </c>
      <c r="BC21" s="28" t="n">
        <f aca="false">IFERROR(INDEX(Survey_Counts!$N$2:$N$930,MATCH(1,INDEX((Survey_Counts!$A$2:$A$930=BC$3)*(Survey_Counts!$B$2:$B$930=$A21),0),0)),"")</f>
        <v>0.126530612244898</v>
      </c>
      <c r="BD21" s="28" t="n">
        <f aca="false">IFERROR(INDEX(Survey_Counts!$N$2:$N$930,MATCH(1,INDEX((Survey_Counts!$A$2:$A$930=BD$3)*(Survey_Counts!$B$2:$B$930=$A21),0),0)),"")</f>
        <v>0.068259385665529</v>
      </c>
      <c r="BE21" s="28" t="n">
        <f aca="false">IFERROR(INDEX(Survey_Counts!$N$2:$N$930,MATCH(1,INDEX((Survey_Counts!$A$2:$A$930=BE$3)*(Survey_Counts!$B$2:$B$930=$A21),0),0)),"")</f>
        <v>0.322368421052632</v>
      </c>
      <c r="BF21" s="28" t="n">
        <f aca="false">IFERROR(INDEX(Survey_Counts!$N$2:$N$930,MATCH(1,INDEX((Survey_Counts!$A$2:$A$930=BF$3)*(Survey_Counts!$B$2:$B$930=$A21),0),0)),"")</f>
        <v>0.0788804071246819</v>
      </c>
    </row>
    <row r="22" customFormat="false" ht="15" hidden="false" customHeight="false" outlineLevel="0" collapsed="false">
      <c r="A22" s="27" t="n">
        <v>18</v>
      </c>
      <c r="B22" s="27" t="s">
        <v>226</v>
      </c>
      <c r="C22" s="27" t="n">
        <v>45</v>
      </c>
      <c r="D22" s="28" t="n">
        <f aca="false">IFERROR(INDEX(Survey_Counts!$N$2:$N$930,MATCH(1,INDEX((Survey_Counts!$A$2:$A$930=D$3)*(Survey_Counts!$B$2:$B$930=$A22),0),0)),"")</f>
        <v>0.053475935828877</v>
      </c>
      <c r="E22" s="28" t="n">
        <f aca="false">IFERROR(INDEX(Survey_Counts!$N$2:$N$930,MATCH(1,INDEX((Survey_Counts!$A$2:$A$930=E$3)*(Survey_Counts!$B$2:$B$930=$A22),0),0)),"")</f>
        <v>0.053475935828877</v>
      </c>
      <c r="F22" s="28" t="n">
        <f aca="false">IFERROR(INDEX(Survey_Counts!$N$2:$N$930,MATCH(1,INDEX((Survey_Counts!$A$2:$A$930=F$3)*(Survey_Counts!$B$2:$B$930=$A22),0),0)),"")</f>
        <v>0.0346320346320346</v>
      </c>
      <c r="G22" s="28" t="n">
        <f aca="false">IFERROR(INDEX(Survey_Counts!$N$2:$N$930,MATCH(1,INDEX((Survey_Counts!$A$2:$A$930=G$3)*(Survey_Counts!$B$2:$B$930=$A22),0),0)),"")</f>
        <v>0.0346320346320346</v>
      </c>
      <c r="H22" s="28" t="n">
        <f aca="false">IFERROR(INDEX(Survey_Counts!$N$2:$N$930,MATCH(1,INDEX((Survey_Counts!$A$2:$A$930=H$3)*(Survey_Counts!$B$2:$B$930=$A22),0),0)),"")</f>
        <v>0.0802469135802469</v>
      </c>
      <c r="I22" s="28" t="n">
        <f aca="false">IFERROR(INDEX(Survey_Counts!$N$2:$N$930,MATCH(1,INDEX((Survey_Counts!$A$2:$A$930=I$3)*(Survey_Counts!$B$2:$B$930=$A22),0),0)),"")</f>
        <v>0.145038167938931</v>
      </c>
      <c r="J22" s="28" t="n">
        <f aca="false">IFERROR(INDEX(Survey_Counts!$N$2:$N$930,MATCH(1,INDEX((Survey_Counts!$A$2:$A$930=J$3)*(Survey_Counts!$B$2:$B$930=$A22),0),0)),"")</f>
        <v>0.293427230046948</v>
      </c>
      <c r="K22" s="28" t="n">
        <f aca="false">IFERROR(INDEX(Survey_Counts!$N$2:$N$930,MATCH(1,INDEX((Survey_Counts!$A$2:$A$930=K$3)*(Survey_Counts!$B$2:$B$930=$A22),0),0)),"")</f>
        <v>0.193396226415094</v>
      </c>
      <c r="L22" s="28" t="n">
        <f aca="false">IFERROR(INDEX(Survey_Counts!$N$2:$N$930,MATCH(1,INDEX((Survey_Counts!$A$2:$A$930=L$3)*(Survey_Counts!$B$2:$B$930=$A22),0),0)),"")</f>
        <v>0.0622837370242215</v>
      </c>
      <c r="M22" s="28" t="n">
        <f aca="false">IFERROR(INDEX(Survey_Counts!$N$2:$N$930,MATCH(1,INDEX((Survey_Counts!$A$2:$A$930=M$3)*(Survey_Counts!$B$2:$B$930=$A22),0),0)),"")</f>
        <v>0.344</v>
      </c>
      <c r="N22" s="28" t="n">
        <f aca="false">IFERROR(INDEX(Survey_Counts!$N$2:$N$930,MATCH(1,INDEX((Survey_Counts!$A$2:$A$930=N$3)*(Survey_Counts!$B$2:$B$930=$A22),0),0)),"")</f>
        <v>0</v>
      </c>
      <c r="O22" s="28" t="n">
        <f aca="false">IFERROR(INDEX(Survey_Counts!$N$2:$N$930,MATCH(1,INDEX((Survey_Counts!$A$2:$A$930=O$3)*(Survey_Counts!$B$2:$B$930=$A22),0),0)),"")</f>
        <v>0</v>
      </c>
      <c r="P22" s="28" t="n">
        <f aca="false">IFERROR(INDEX(Survey_Counts!$N$2:$N$930,MATCH(1,INDEX((Survey_Counts!$A$2:$A$930=P$3)*(Survey_Counts!$B$2:$B$930=$A22),0),0)),"")</f>
        <v>0</v>
      </c>
      <c r="Q22" s="28" t="n">
        <f aca="false">IFERROR(INDEX(Survey_Counts!$N$2:$N$930,MATCH(1,INDEX((Survey_Counts!$A$2:$A$930=Q$3)*(Survey_Counts!$B$2:$B$930=$A22),0),0)),"")</f>
        <v>0.345108695652174</v>
      </c>
      <c r="R22" s="28" t="n">
        <f aca="false">IFERROR(INDEX(Survey_Counts!$N$2:$N$930,MATCH(1,INDEX((Survey_Counts!$A$2:$A$930=R$3)*(Survey_Counts!$B$2:$B$930=$A22),0),0)),"")</f>
        <v>0.275597269624573</v>
      </c>
      <c r="S22" s="28" t="n">
        <f aca="false">IFERROR(INDEX(Survey_Counts!$N$2:$N$930,MATCH(1,INDEX((Survey_Counts!$A$2:$A$930=S$3)*(Survey_Counts!$B$2:$B$930=$A22),0),0)),"")</f>
        <v>0.275597269624573</v>
      </c>
      <c r="T22" s="28" t="n">
        <f aca="false">IFERROR(INDEX(Survey_Counts!$N$2:$N$930,MATCH(1,INDEX((Survey_Counts!$A$2:$A$930=T$3)*(Survey_Counts!$B$2:$B$930=$A22),0),0)),"")</f>
        <v>0.0688912809472551</v>
      </c>
      <c r="U22" s="28" t="n">
        <f aca="false">IFERROR(INDEX(Survey_Counts!$N$2:$N$930,MATCH(1,INDEX((Survey_Counts!$A$2:$A$930=U$3)*(Survey_Counts!$B$2:$B$930=$A22),0),0)),"")</f>
        <v>0.0688912809472551</v>
      </c>
      <c r="V22" s="28" t="n">
        <f aca="false">IFERROR(INDEX(Survey_Counts!$N$2:$N$930,MATCH(1,INDEX((Survey_Counts!$A$2:$A$930=V$3)*(Survey_Counts!$B$2:$B$930=$A22),0),0)),"")</f>
        <v>0.176470588235294</v>
      </c>
      <c r="W22" s="28" t="n">
        <f aca="false">IFERROR(INDEX(Survey_Counts!$N$2:$N$930,MATCH(1,INDEX((Survey_Counts!$A$2:$A$930=W$3)*(Survey_Counts!$B$2:$B$930=$A22),0),0)),"")</f>
        <v>0.146341463414634</v>
      </c>
      <c r="X22" s="28" t="n">
        <f aca="false">IFERROR(INDEX(Survey_Counts!$N$2:$N$930,MATCH(1,INDEX((Survey_Counts!$A$2:$A$930=X$3)*(Survey_Counts!$B$2:$B$930=$A22),0),0)),"")</f>
        <v>0.0339506172839506</v>
      </c>
      <c r="Y22" s="28" t="n">
        <f aca="false">IFERROR(INDEX(Survey_Counts!$N$2:$N$930,MATCH(1,INDEX((Survey_Counts!$A$2:$A$930=Y$3)*(Survey_Counts!$B$2:$B$930=$A22),0),0)),"")</f>
        <v>0.0678571428571429</v>
      </c>
      <c r="Z22" s="28" t="n">
        <f aca="false">IFERROR(INDEX(Survey_Counts!$N$2:$N$930,MATCH(1,INDEX((Survey_Counts!$A$2:$A$930=Z$3)*(Survey_Counts!$B$2:$B$930=$A22),0),0)),"")</f>
        <v>0.021868787276342</v>
      </c>
      <c r="AA22" s="28" t="n">
        <f aca="false">IFERROR(INDEX(Survey_Counts!$N$2:$N$930,MATCH(1,INDEX((Survey_Counts!$A$2:$A$930=AA$3)*(Survey_Counts!$B$2:$B$930=$A22),0),0)),"")</f>
        <v>0.181870669745958</v>
      </c>
      <c r="AB22" s="28" t="str">
        <f aca="false">IFERROR(INDEX(Survey_Counts!$N$2:$N$930,MATCH(1,INDEX((Survey_Counts!$A$2:$A$930=AB$3)*(Survey_Counts!$B$2:$B$930=$A22),0),0)),"")</f>
        <v/>
      </c>
      <c r="AC22" s="28" t="n">
        <f aca="false">IFERROR(INDEX(Survey_Counts!$N$2:$N$930,MATCH(1,INDEX((Survey_Counts!$A$2:$A$930=AC$3)*(Survey_Counts!$B$2:$B$930=$A22),0),0)),"")</f>
        <v>-0.198019801980198</v>
      </c>
      <c r="AD22" s="28" t="n">
        <f aca="false">IFERROR(INDEX(Survey_Counts!$N$2:$N$930,MATCH(1,INDEX((Survey_Counts!$A$2:$A$930=AD$3)*(Survey_Counts!$B$2:$B$930=$A22),0),0)),"")</f>
        <v>0.00381679389312977</v>
      </c>
      <c r="AE22" s="28" t="n">
        <f aca="false">IFERROR(INDEX(Survey_Counts!$N$2:$N$930,MATCH(1,INDEX((Survey_Counts!$A$2:$A$930=AE$3)*(Survey_Counts!$B$2:$B$930=$A22),0),0)),"")</f>
        <v>0.205091937765205</v>
      </c>
      <c r="AF22" s="28" t="n">
        <f aca="false">IFERROR(INDEX(Survey_Counts!$N$2:$N$930,MATCH(1,INDEX((Survey_Counts!$A$2:$A$930=AF$3)*(Survey_Counts!$B$2:$B$930=$A22),0),0)),"")</f>
        <v>0.205091937765205</v>
      </c>
      <c r="AG22" s="28" t="n">
        <f aca="false">IFERROR(INDEX(Survey_Counts!$N$2:$N$930,MATCH(1,INDEX((Survey_Counts!$A$2:$A$930=AG$3)*(Survey_Counts!$B$2:$B$930=$A22),0),0)),"")</f>
        <v>0.0308880308880309</v>
      </c>
      <c r="AH22" s="28" t="n">
        <f aca="false">IFERROR(INDEX(Survey_Counts!$N$2:$N$930,MATCH(1,INDEX((Survey_Counts!$A$2:$A$930=AH$3)*(Survey_Counts!$B$2:$B$930=$A22),0),0)),"")</f>
        <v>0.0308880308880309</v>
      </c>
      <c r="AI22" s="28" t="str">
        <f aca="false">IFERROR(INDEX(Survey_Counts!$N$2:$N$930,MATCH(1,INDEX((Survey_Counts!$A$2:$A$930=AI$3)*(Survey_Counts!$B$2:$B$930=$A22),0),0)),"")</f>
        <v/>
      </c>
      <c r="AJ22" s="28" t="str">
        <f aca="false">IFERROR(INDEX(Survey_Counts!$N$2:$N$930,MATCH(1,INDEX((Survey_Counts!$A$2:$A$930=AJ$3)*(Survey_Counts!$B$2:$B$930=$A22),0),0)),"")</f>
        <v/>
      </c>
      <c r="AK22" s="28" t="str">
        <f aca="false">IFERROR(INDEX(Survey_Counts!$N$2:$N$930,MATCH(1,INDEX((Survey_Counts!$A$2:$A$930=AK$3)*(Survey_Counts!$B$2:$B$930=$A22),0),0)),"")</f>
        <v/>
      </c>
      <c r="AL22" s="28" t="n">
        <f aca="false">IFERROR(INDEX(Survey_Counts!$N$2:$N$930,MATCH(1,INDEX((Survey_Counts!$A$2:$A$930=AL$3)*(Survey_Counts!$B$2:$B$930=$A22),0),0)),"")</f>
        <v>0.0648648648648649</v>
      </c>
      <c r="AM22" s="28" t="n">
        <f aca="false">IFERROR(INDEX(Survey_Counts!$N$2:$N$930,MATCH(1,INDEX((Survey_Counts!$A$2:$A$930=AM$3)*(Survey_Counts!$B$2:$B$930=$A22),0),0)),"")</f>
        <v>0.171548117154812</v>
      </c>
      <c r="AN22" s="28" t="n">
        <f aca="false">IFERROR(INDEX(Survey_Counts!$N$2:$N$930,MATCH(1,INDEX((Survey_Counts!$A$2:$A$930=AN$3)*(Survey_Counts!$B$2:$B$930=$A22),0),0)),"")</f>
        <v>0.141552511415525</v>
      </c>
      <c r="AO22" s="28" t="n">
        <f aca="false">IFERROR(INDEX(Survey_Counts!$N$2:$N$930,MATCH(1,INDEX((Survey_Counts!$A$2:$A$930=AO$3)*(Survey_Counts!$B$2:$B$930=$A22),0),0)),"")</f>
        <v>0.260586319218241</v>
      </c>
      <c r="AP22" s="28" t="n">
        <f aca="false">IFERROR(INDEX(Survey_Counts!$N$2:$N$930,MATCH(1,INDEX((Survey_Counts!$A$2:$A$930=AP$3)*(Survey_Counts!$B$2:$B$930=$A22),0),0)),"")</f>
        <v>0.328808446455505</v>
      </c>
      <c r="AQ22" s="28" t="n">
        <f aca="false">IFERROR(INDEX(Survey_Counts!$N$2:$N$930,MATCH(1,INDEX((Survey_Counts!$A$2:$A$930=AQ$3)*(Survey_Counts!$B$2:$B$930=$A22),0),0)),"")</f>
        <v>0</v>
      </c>
      <c r="AR22" s="28" t="n">
        <f aca="false">IFERROR(INDEX(Survey_Counts!$N$2:$N$930,MATCH(1,INDEX((Survey_Counts!$A$2:$A$930=AR$3)*(Survey_Counts!$B$2:$B$930=$A22),0),0)),"")</f>
        <v>0.0680851063829787</v>
      </c>
      <c r="AS22" s="28" t="n">
        <f aca="false">IFERROR(INDEX(Survey_Counts!$N$2:$N$930,MATCH(1,INDEX((Survey_Counts!$A$2:$A$930=AS$3)*(Survey_Counts!$B$2:$B$930=$A22),0),0)),"")</f>
        <v>0.522935779816514</v>
      </c>
      <c r="AT22" s="28" t="n">
        <f aca="false">IFERROR(INDEX(Survey_Counts!$N$2:$N$930,MATCH(1,INDEX((Survey_Counts!$A$2:$A$930=AT$3)*(Survey_Counts!$B$2:$B$930=$A22),0),0)),"")</f>
        <v>0.150492264416315</v>
      </c>
      <c r="AU22" s="28" t="n">
        <f aca="false">IFERROR(INDEX(Survey_Counts!$N$2:$N$930,MATCH(1,INDEX((Survey_Counts!$A$2:$A$930=AU$3)*(Survey_Counts!$B$2:$B$930=$A22),0),0)),"")</f>
        <v>0.234042553191489</v>
      </c>
      <c r="AV22" s="28" t="n">
        <f aca="false">IFERROR(INDEX(Survey_Counts!$N$2:$N$930,MATCH(1,INDEX((Survey_Counts!$A$2:$A$930=AV$3)*(Survey_Counts!$B$2:$B$930=$A22),0),0)),"")</f>
        <v>-0.121890547263682</v>
      </c>
      <c r="AW22" s="28" t="n">
        <f aca="false">IFERROR(INDEX(Survey_Counts!$N$2:$N$930,MATCH(1,INDEX((Survey_Counts!$A$2:$A$930=AW$3)*(Survey_Counts!$B$2:$B$930=$A22),0),0)),"")</f>
        <v>0.143790849673203</v>
      </c>
      <c r="AX22" s="28" t="n">
        <f aca="false">IFERROR(INDEX(Survey_Counts!$N$2:$N$930,MATCH(1,INDEX((Survey_Counts!$A$2:$A$930=AX$3)*(Survey_Counts!$B$2:$B$930=$A22),0),0)),"")</f>
        <v>-0.176767676767677</v>
      </c>
      <c r="AY22" s="28" t="n">
        <f aca="false">IFERROR(INDEX(Survey_Counts!$N$2:$N$930,MATCH(1,INDEX((Survey_Counts!$A$2:$A$930=AY$3)*(Survey_Counts!$B$2:$B$930=$A22),0),0)),"")</f>
        <v>-0.0111731843575419</v>
      </c>
      <c r="AZ22" s="28" t="n">
        <f aca="false">IFERROR(INDEX(Survey_Counts!$N$2:$N$930,MATCH(1,INDEX((Survey_Counts!$A$2:$A$930=AZ$3)*(Survey_Counts!$B$2:$B$930=$A22),0),0)),"")</f>
        <v>0.24367816091954</v>
      </c>
      <c r="BA22" s="28" t="n">
        <f aca="false">IFERROR(INDEX(Survey_Counts!$N$2:$N$930,MATCH(1,INDEX((Survey_Counts!$A$2:$A$930=BA$3)*(Survey_Counts!$B$2:$B$930=$A22),0),0)),"")</f>
        <v>0.24367816091954</v>
      </c>
      <c r="BB22" s="28" t="n">
        <f aca="false">IFERROR(INDEX(Survey_Counts!$N$2:$N$930,MATCH(1,INDEX((Survey_Counts!$A$2:$A$930=BB$3)*(Survey_Counts!$B$2:$B$930=$A22),0),0)),"")</f>
        <v>0.176724137931034</v>
      </c>
      <c r="BC22" s="28" t="n">
        <f aca="false">IFERROR(INDEX(Survey_Counts!$N$2:$N$930,MATCH(1,INDEX((Survey_Counts!$A$2:$A$930=BC$3)*(Survey_Counts!$B$2:$B$930=$A22),0),0)),"")</f>
        <v>0.106122448979592</v>
      </c>
      <c r="BD22" s="28" t="n">
        <f aca="false">IFERROR(INDEX(Survey_Counts!$N$2:$N$930,MATCH(1,INDEX((Survey_Counts!$A$2:$A$930=BD$3)*(Survey_Counts!$B$2:$B$930=$A22),0),0)),"")</f>
        <v>0.0477815699658703</v>
      </c>
      <c r="BE22" s="28" t="n">
        <f aca="false">IFERROR(INDEX(Survey_Counts!$N$2:$N$930,MATCH(1,INDEX((Survey_Counts!$A$2:$A$930=BE$3)*(Survey_Counts!$B$2:$B$930=$A22),0),0)),"")</f>
        <v>0.263157894736842</v>
      </c>
      <c r="BF22" s="28" t="n">
        <f aca="false">IFERROR(INDEX(Survey_Counts!$N$2:$N$930,MATCH(1,INDEX((Survey_Counts!$A$2:$A$930=BF$3)*(Survey_Counts!$B$2:$B$930=$A22),0),0)),"")</f>
        <v>0.0381679389312977</v>
      </c>
    </row>
    <row r="23" customFormat="false" ht="15" hidden="false" customHeight="false" outlineLevel="0" collapsed="false">
      <c r="A23" s="27" t="n">
        <v>19</v>
      </c>
      <c r="B23" s="27" t="s">
        <v>205</v>
      </c>
      <c r="C23" s="27" t="n">
        <v>60</v>
      </c>
      <c r="D23" s="28" t="n">
        <f aca="false">IFERROR(INDEX(Survey_Counts!$N$2:$N$930,MATCH(1,INDEX((Survey_Counts!$A$2:$A$930=D$3)*(Survey_Counts!$B$2:$B$930=$A23),0),0)),"")</f>
        <v>0.0160427807486631</v>
      </c>
      <c r="E23" s="28" t="n">
        <f aca="false">IFERROR(INDEX(Survey_Counts!$N$2:$N$930,MATCH(1,INDEX((Survey_Counts!$A$2:$A$930=E$3)*(Survey_Counts!$B$2:$B$930=$A23),0),0)),"")</f>
        <v>0.0160427807486631</v>
      </c>
      <c r="F23" s="28" t="str">
        <f aca="false">IFERROR(INDEX(Survey_Counts!$N$2:$N$930,MATCH(1,INDEX((Survey_Counts!$A$2:$A$930=F$3)*(Survey_Counts!$B$2:$B$930=$A23),0),0)),"")</f>
        <v/>
      </c>
      <c r="G23" s="28" t="str">
        <f aca="false">IFERROR(INDEX(Survey_Counts!$N$2:$N$930,MATCH(1,INDEX((Survey_Counts!$A$2:$A$930=G$3)*(Survey_Counts!$B$2:$B$930=$A23),0),0)),"")</f>
        <v/>
      </c>
      <c r="H23" s="28" t="str">
        <f aca="false">IFERROR(INDEX(Survey_Counts!$N$2:$N$930,MATCH(1,INDEX((Survey_Counts!$A$2:$A$930=H$3)*(Survey_Counts!$B$2:$B$930=$A23),0),0)),"")</f>
        <v/>
      </c>
      <c r="I23" s="28" t="str">
        <f aca="false">IFERROR(INDEX(Survey_Counts!$N$2:$N$930,MATCH(1,INDEX((Survey_Counts!$A$2:$A$930=I$3)*(Survey_Counts!$B$2:$B$930=$A23),0),0)),"")</f>
        <v/>
      </c>
      <c r="J23" s="28" t="str">
        <f aca="false">IFERROR(INDEX(Survey_Counts!$N$2:$N$930,MATCH(1,INDEX((Survey_Counts!$A$2:$A$930=J$3)*(Survey_Counts!$B$2:$B$930=$A23),0),0)),"")</f>
        <v/>
      </c>
      <c r="K23" s="28" t="str">
        <f aca="false">IFERROR(INDEX(Survey_Counts!$N$2:$N$930,MATCH(1,INDEX((Survey_Counts!$A$2:$A$930=K$3)*(Survey_Counts!$B$2:$B$930=$A23),0),0)),"")</f>
        <v/>
      </c>
      <c r="L23" s="28" t="str">
        <f aca="false">IFERROR(INDEX(Survey_Counts!$N$2:$N$930,MATCH(1,INDEX((Survey_Counts!$A$2:$A$930=L$3)*(Survey_Counts!$B$2:$B$930=$A23),0),0)),"")</f>
        <v/>
      </c>
      <c r="M23" s="28" t="str">
        <f aca="false">IFERROR(INDEX(Survey_Counts!$N$2:$N$930,MATCH(1,INDEX((Survey_Counts!$A$2:$A$930=M$3)*(Survey_Counts!$B$2:$B$930=$A23),0),0)),"")</f>
        <v/>
      </c>
      <c r="N23" s="28" t="str">
        <f aca="false">IFERROR(INDEX(Survey_Counts!$N$2:$N$930,MATCH(1,INDEX((Survey_Counts!$A$2:$A$930=N$3)*(Survey_Counts!$B$2:$B$930=$A23),0),0)),"")</f>
        <v/>
      </c>
      <c r="O23" s="28" t="str">
        <f aca="false">IFERROR(INDEX(Survey_Counts!$N$2:$N$930,MATCH(1,INDEX((Survey_Counts!$A$2:$A$930=O$3)*(Survey_Counts!$B$2:$B$930=$A23),0),0)),"")</f>
        <v/>
      </c>
      <c r="P23" s="28" t="str">
        <f aca="false">IFERROR(INDEX(Survey_Counts!$N$2:$N$930,MATCH(1,INDEX((Survey_Counts!$A$2:$A$930=P$3)*(Survey_Counts!$B$2:$B$930=$A23),0),0)),"")</f>
        <v/>
      </c>
      <c r="Q23" s="28" t="str">
        <f aca="false">IFERROR(INDEX(Survey_Counts!$N$2:$N$930,MATCH(1,INDEX((Survey_Counts!$A$2:$A$930=Q$3)*(Survey_Counts!$B$2:$B$930=$A23),0),0)),"")</f>
        <v/>
      </c>
      <c r="R23" s="28" t="n">
        <f aca="false">IFERROR(INDEX(Survey_Counts!$N$2:$N$930,MATCH(1,INDEX((Survey_Counts!$A$2:$A$930=R$3)*(Survey_Counts!$B$2:$B$930=$A23),0),0)),"")</f>
        <v>0.145051194539249</v>
      </c>
      <c r="S23" s="28" t="n">
        <f aca="false">IFERROR(INDEX(Survey_Counts!$N$2:$N$930,MATCH(1,INDEX((Survey_Counts!$A$2:$A$930=S$3)*(Survey_Counts!$B$2:$B$930=$A23),0),0)),"")</f>
        <v>0.145051194539249</v>
      </c>
      <c r="T23" s="28" t="str">
        <f aca="false">IFERROR(INDEX(Survey_Counts!$N$2:$N$930,MATCH(1,INDEX((Survey_Counts!$A$2:$A$930=T$3)*(Survey_Counts!$B$2:$B$930=$A23),0),0)),"")</f>
        <v/>
      </c>
      <c r="U23" s="28" t="str">
        <f aca="false">IFERROR(INDEX(Survey_Counts!$N$2:$N$930,MATCH(1,INDEX((Survey_Counts!$A$2:$A$930=U$3)*(Survey_Counts!$B$2:$B$930=$A23),0),0)),"")</f>
        <v/>
      </c>
      <c r="V23" s="28" t="n">
        <f aca="false">IFERROR(INDEX(Survey_Counts!$N$2:$N$930,MATCH(1,INDEX((Survey_Counts!$A$2:$A$930=V$3)*(Survey_Counts!$B$2:$B$930=$A23),0),0)),"")</f>
        <v>0.164705882352941</v>
      </c>
      <c r="W23" s="28" t="n">
        <f aca="false">IFERROR(INDEX(Survey_Counts!$N$2:$N$930,MATCH(1,INDEX((Survey_Counts!$A$2:$A$930=W$3)*(Survey_Counts!$B$2:$B$930=$A23),0),0)),"")</f>
        <v>0.134146341463415</v>
      </c>
      <c r="X23" s="28" t="n">
        <f aca="false">IFERROR(INDEX(Survey_Counts!$N$2:$N$930,MATCH(1,INDEX((Survey_Counts!$A$2:$A$930=X$3)*(Survey_Counts!$B$2:$B$930=$A23),0),0)),"")</f>
        <v>0.0164609053497942</v>
      </c>
      <c r="Y23" s="28" t="str">
        <f aca="false">IFERROR(INDEX(Survey_Counts!$N$2:$N$930,MATCH(1,INDEX((Survey_Counts!$A$2:$A$930=Y$3)*(Survey_Counts!$B$2:$B$930=$A23),0),0)),"")</f>
        <v/>
      </c>
      <c r="Z23" s="28" t="str">
        <f aca="false">IFERROR(INDEX(Survey_Counts!$N$2:$N$930,MATCH(1,INDEX((Survey_Counts!$A$2:$A$930=Z$3)*(Survey_Counts!$B$2:$B$930=$A23),0),0)),"")</f>
        <v/>
      </c>
      <c r="AA23" s="28" t="n">
        <f aca="false">IFERROR(INDEX(Survey_Counts!$N$2:$N$930,MATCH(1,INDEX((Survey_Counts!$A$2:$A$930=AA$3)*(Survey_Counts!$B$2:$B$930=$A23),0),0)),"")</f>
        <v>0.181870669745958</v>
      </c>
      <c r="AB23" s="28" t="str">
        <f aca="false">IFERROR(INDEX(Survey_Counts!$N$2:$N$930,MATCH(1,INDEX((Survey_Counts!$A$2:$A$930=AB$3)*(Survey_Counts!$B$2:$B$930=$A23),0),0)),"")</f>
        <v/>
      </c>
      <c r="AC23" s="28" t="str">
        <f aca="false">IFERROR(INDEX(Survey_Counts!$N$2:$N$930,MATCH(1,INDEX((Survey_Counts!$A$2:$A$930=AC$3)*(Survey_Counts!$B$2:$B$930=$A23),0),0)),"")</f>
        <v/>
      </c>
      <c r="AD23" s="28" t="str">
        <f aca="false">IFERROR(INDEX(Survey_Counts!$N$2:$N$930,MATCH(1,INDEX((Survey_Counts!$A$2:$A$930=AD$3)*(Survey_Counts!$B$2:$B$930=$A23),0),0)),"")</f>
        <v/>
      </c>
      <c r="AE23" s="28" t="str">
        <f aca="false">IFERROR(INDEX(Survey_Counts!$N$2:$N$930,MATCH(1,INDEX((Survey_Counts!$A$2:$A$930=AE$3)*(Survey_Counts!$B$2:$B$930=$A23),0),0)),"")</f>
        <v/>
      </c>
      <c r="AF23" s="28" t="str">
        <f aca="false">IFERROR(INDEX(Survey_Counts!$N$2:$N$930,MATCH(1,INDEX((Survey_Counts!$A$2:$A$930=AF$3)*(Survey_Counts!$B$2:$B$930=$A23),0),0)),"")</f>
        <v/>
      </c>
      <c r="AG23" s="28" t="str">
        <f aca="false">IFERROR(INDEX(Survey_Counts!$N$2:$N$930,MATCH(1,INDEX((Survey_Counts!$A$2:$A$930=AG$3)*(Survey_Counts!$B$2:$B$930=$A23),0),0)),"")</f>
        <v/>
      </c>
      <c r="AH23" s="28" t="str">
        <f aca="false">IFERROR(INDEX(Survey_Counts!$N$2:$N$930,MATCH(1,INDEX((Survey_Counts!$A$2:$A$930=AH$3)*(Survey_Counts!$B$2:$B$930=$A23),0),0)),"")</f>
        <v/>
      </c>
      <c r="AI23" s="28" t="str">
        <f aca="false">IFERROR(INDEX(Survey_Counts!$N$2:$N$930,MATCH(1,INDEX((Survey_Counts!$A$2:$A$930=AI$3)*(Survey_Counts!$B$2:$B$930=$A23),0),0)),"")</f>
        <v/>
      </c>
      <c r="AJ23" s="28" t="str">
        <f aca="false">IFERROR(INDEX(Survey_Counts!$N$2:$N$930,MATCH(1,INDEX((Survey_Counts!$A$2:$A$930=AJ$3)*(Survey_Counts!$B$2:$B$930=$A23),0),0)),"")</f>
        <v/>
      </c>
      <c r="AK23" s="28" t="str">
        <f aca="false">IFERROR(INDEX(Survey_Counts!$N$2:$N$930,MATCH(1,INDEX((Survey_Counts!$A$2:$A$930=AK$3)*(Survey_Counts!$B$2:$B$930=$A23),0),0)),"")</f>
        <v/>
      </c>
      <c r="AL23" s="28" t="str">
        <f aca="false">IFERROR(INDEX(Survey_Counts!$N$2:$N$930,MATCH(1,INDEX((Survey_Counts!$A$2:$A$930=AL$3)*(Survey_Counts!$B$2:$B$930=$A23),0),0)),"")</f>
        <v/>
      </c>
      <c r="AM23" s="28" t="str">
        <f aca="false">IFERROR(INDEX(Survey_Counts!$N$2:$N$930,MATCH(1,INDEX((Survey_Counts!$A$2:$A$930=AM$3)*(Survey_Counts!$B$2:$B$930=$A23),0),0)),"")</f>
        <v/>
      </c>
      <c r="AN23" s="28" t="str">
        <f aca="false">IFERROR(INDEX(Survey_Counts!$N$2:$N$930,MATCH(1,INDEX((Survey_Counts!$A$2:$A$930=AN$3)*(Survey_Counts!$B$2:$B$930=$A23),0),0)),"")</f>
        <v/>
      </c>
      <c r="AO23" s="28" t="str">
        <f aca="false">IFERROR(INDEX(Survey_Counts!$N$2:$N$930,MATCH(1,INDEX((Survey_Counts!$A$2:$A$930=AO$3)*(Survey_Counts!$B$2:$B$930=$A23),0),0)),"")</f>
        <v/>
      </c>
      <c r="AP23" s="28" t="str">
        <f aca="false">IFERROR(INDEX(Survey_Counts!$N$2:$N$930,MATCH(1,INDEX((Survey_Counts!$A$2:$A$930=AP$3)*(Survey_Counts!$B$2:$B$930=$A23),0),0)),"")</f>
        <v/>
      </c>
      <c r="AQ23" s="28" t="str">
        <f aca="false">IFERROR(INDEX(Survey_Counts!$N$2:$N$930,MATCH(1,INDEX((Survey_Counts!$A$2:$A$930=AQ$3)*(Survey_Counts!$B$2:$B$930=$A23),0),0)),"")</f>
        <v/>
      </c>
      <c r="AR23" s="28" t="str">
        <f aca="false">IFERROR(INDEX(Survey_Counts!$N$2:$N$930,MATCH(1,INDEX((Survey_Counts!$A$2:$A$930=AR$3)*(Survey_Counts!$B$2:$B$930=$A23),0),0)),"")</f>
        <v/>
      </c>
      <c r="AS23" s="28" t="str">
        <f aca="false">IFERROR(INDEX(Survey_Counts!$N$2:$N$930,MATCH(1,INDEX((Survey_Counts!$A$2:$A$930=AS$3)*(Survey_Counts!$B$2:$B$930=$A23),0),0)),"")</f>
        <v/>
      </c>
      <c r="AT23" s="28" t="n">
        <f aca="false">IFERROR(INDEX(Survey_Counts!$N$2:$N$930,MATCH(1,INDEX((Survey_Counts!$A$2:$A$930=AT$3)*(Survey_Counts!$B$2:$B$930=$A23),0),0)),"")</f>
        <v>0.135489920300047</v>
      </c>
      <c r="AU23" s="28" t="n">
        <f aca="false">IFERROR(INDEX(Survey_Counts!$N$2:$N$930,MATCH(1,INDEX((Survey_Counts!$A$2:$A$930=AU$3)*(Survey_Counts!$B$2:$B$930=$A23),0),0)),"")</f>
        <v>0.234042553191489</v>
      </c>
      <c r="AV23" s="28" t="n">
        <f aca="false">IFERROR(INDEX(Survey_Counts!$N$2:$N$930,MATCH(1,INDEX((Survey_Counts!$A$2:$A$930=AV$3)*(Survey_Counts!$B$2:$B$930=$A23),0),0)),"")</f>
        <v>-0.144278606965174</v>
      </c>
      <c r="AW23" s="28" t="n">
        <f aca="false">IFERROR(INDEX(Survey_Counts!$N$2:$N$930,MATCH(1,INDEX((Survey_Counts!$A$2:$A$930=AW$3)*(Survey_Counts!$B$2:$B$930=$A23),0),0)),"")</f>
        <v>0.137254901960784</v>
      </c>
      <c r="AX23" s="28" t="n">
        <f aca="false">IFERROR(INDEX(Survey_Counts!$N$2:$N$930,MATCH(1,INDEX((Survey_Counts!$A$2:$A$930=AX$3)*(Survey_Counts!$B$2:$B$930=$A23),0),0)),"")</f>
        <v>-0.195286195286195</v>
      </c>
      <c r="AY23" s="28" t="n">
        <f aca="false">IFERROR(INDEX(Survey_Counts!$N$2:$N$930,MATCH(1,INDEX((Survey_Counts!$A$2:$A$930=AY$3)*(Survey_Counts!$B$2:$B$930=$A23),0),0)),"")</f>
        <v>-0.0391061452513967</v>
      </c>
      <c r="AZ23" s="28" t="n">
        <f aca="false">IFERROR(INDEX(Survey_Counts!$N$2:$N$930,MATCH(1,INDEX((Survey_Counts!$A$2:$A$930=AZ$3)*(Survey_Counts!$B$2:$B$930=$A23),0),0)),"")</f>
        <v>0.177011494252874</v>
      </c>
      <c r="BA23" s="28" t="n">
        <f aca="false">IFERROR(INDEX(Survey_Counts!$N$2:$N$930,MATCH(1,INDEX((Survey_Counts!$A$2:$A$930=BA$3)*(Survey_Counts!$B$2:$B$930=$A23),0),0)),"")</f>
        <v>0.177011494252874</v>
      </c>
      <c r="BB23" s="28" t="str">
        <f aca="false">IFERROR(INDEX(Survey_Counts!$N$2:$N$930,MATCH(1,INDEX((Survey_Counts!$A$2:$A$930=BB$3)*(Survey_Counts!$B$2:$B$930=$A23),0),0)),"")</f>
        <v/>
      </c>
      <c r="BC23" s="28" t="str">
        <f aca="false">IFERROR(INDEX(Survey_Counts!$N$2:$N$930,MATCH(1,INDEX((Survey_Counts!$A$2:$A$930=BC$3)*(Survey_Counts!$B$2:$B$930=$A23),0),0)),"")</f>
        <v/>
      </c>
      <c r="BD23" s="28" t="str">
        <f aca="false">IFERROR(INDEX(Survey_Counts!$N$2:$N$930,MATCH(1,INDEX((Survey_Counts!$A$2:$A$930=BD$3)*(Survey_Counts!$B$2:$B$930=$A23),0),0)),"")</f>
        <v/>
      </c>
      <c r="BE23" s="28" t="str">
        <f aca="false">IFERROR(INDEX(Survey_Counts!$N$2:$N$930,MATCH(1,INDEX((Survey_Counts!$A$2:$A$930=BE$3)*(Survey_Counts!$B$2:$B$930=$A23),0),0)),"")</f>
        <v/>
      </c>
      <c r="BF23" s="28" t="str">
        <f aca="false">IFERROR(INDEX(Survey_Counts!$N$2:$N$930,MATCH(1,INDEX((Survey_Counts!$A$2:$A$930=BF$3)*(Survey_Counts!$B$2:$B$930=$A23),0),0)),"")</f>
        <v/>
      </c>
    </row>
    <row r="24" customFormat="false" ht="15" hidden="false" customHeight="false" outlineLevel="0" collapsed="false">
      <c r="A24" s="27" t="n">
        <v>20</v>
      </c>
      <c r="B24" s="27" t="s">
        <v>532</v>
      </c>
      <c r="C24" s="27" t="n">
        <v>75</v>
      </c>
      <c r="D24" s="28" t="str">
        <f aca="false">IFERROR(INDEX(Survey_Counts!$N$2:$N$930,MATCH(1,INDEX((Survey_Counts!$A$2:$A$930=D$3)*(Survey_Counts!$B$2:$B$930=$A24),0),0)),"")</f>
        <v/>
      </c>
      <c r="E24" s="28" t="str">
        <f aca="false">IFERROR(INDEX(Survey_Counts!$N$2:$N$930,MATCH(1,INDEX((Survey_Counts!$A$2:$A$930=E$3)*(Survey_Counts!$B$2:$B$930=$A24),0),0)),"")</f>
        <v/>
      </c>
      <c r="F24" s="28" t="str">
        <f aca="false">IFERROR(INDEX(Survey_Counts!$N$2:$N$930,MATCH(1,INDEX((Survey_Counts!$A$2:$A$930=F$3)*(Survey_Counts!$B$2:$B$930=$A24),0),0)),"")</f>
        <v/>
      </c>
      <c r="G24" s="28" t="str">
        <f aca="false">IFERROR(INDEX(Survey_Counts!$N$2:$N$930,MATCH(1,INDEX((Survey_Counts!$A$2:$A$930=G$3)*(Survey_Counts!$B$2:$B$930=$A24),0),0)),"")</f>
        <v/>
      </c>
      <c r="H24" s="28" t="str">
        <f aca="false">IFERROR(INDEX(Survey_Counts!$N$2:$N$930,MATCH(1,INDEX((Survey_Counts!$A$2:$A$930=H$3)*(Survey_Counts!$B$2:$B$930=$A24),0),0)),"")</f>
        <v/>
      </c>
      <c r="I24" s="28" t="str">
        <f aca="false">IFERROR(INDEX(Survey_Counts!$N$2:$N$930,MATCH(1,INDEX((Survey_Counts!$A$2:$A$930=I$3)*(Survey_Counts!$B$2:$B$930=$A24),0),0)),"")</f>
        <v/>
      </c>
      <c r="J24" s="28" t="str">
        <f aca="false">IFERROR(INDEX(Survey_Counts!$N$2:$N$930,MATCH(1,INDEX((Survey_Counts!$A$2:$A$930=J$3)*(Survey_Counts!$B$2:$B$930=$A24),0),0)),"")</f>
        <v/>
      </c>
      <c r="K24" s="28" t="str">
        <f aca="false">IFERROR(INDEX(Survey_Counts!$N$2:$N$930,MATCH(1,INDEX((Survey_Counts!$A$2:$A$930=K$3)*(Survey_Counts!$B$2:$B$930=$A24),0),0)),"")</f>
        <v/>
      </c>
      <c r="L24" s="28" t="str">
        <f aca="false">IFERROR(INDEX(Survey_Counts!$N$2:$N$930,MATCH(1,INDEX((Survey_Counts!$A$2:$A$930=L$3)*(Survey_Counts!$B$2:$B$930=$A24),0),0)),"")</f>
        <v/>
      </c>
      <c r="M24" s="28" t="str">
        <f aca="false">IFERROR(INDEX(Survey_Counts!$N$2:$N$930,MATCH(1,INDEX((Survey_Counts!$A$2:$A$930=M$3)*(Survey_Counts!$B$2:$B$930=$A24),0),0)),"")</f>
        <v/>
      </c>
      <c r="N24" s="28" t="str">
        <f aca="false">IFERROR(INDEX(Survey_Counts!$N$2:$N$930,MATCH(1,INDEX((Survey_Counts!$A$2:$A$930=N$3)*(Survey_Counts!$B$2:$B$930=$A24),0),0)),"")</f>
        <v/>
      </c>
      <c r="O24" s="28" t="str">
        <f aca="false">IFERROR(INDEX(Survey_Counts!$N$2:$N$930,MATCH(1,INDEX((Survey_Counts!$A$2:$A$930=O$3)*(Survey_Counts!$B$2:$B$930=$A24),0),0)),"")</f>
        <v/>
      </c>
      <c r="P24" s="28" t="str">
        <f aca="false">IFERROR(INDEX(Survey_Counts!$N$2:$N$930,MATCH(1,INDEX((Survey_Counts!$A$2:$A$930=P$3)*(Survey_Counts!$B$2:$B$930=$A24),0),0)),"")</f>
        <v/>
      </c>
      <c r="Q24" s="28" t="str">
        <f aca="false">IFERROR(INDEX(Survey_Counts!$N$2:$N$930,MATCH(1,INDEX((Survey_Counts!$A$2:$A$930=Q$3)*(Survey_Counts!$B$2:$B$930=$A24),0),0)),"")</f>
        <v/>
      </c>
      <c r="R24" s="28" t="n">
        <f aca="false">IFERROR(INDEX(Survey_Counts!$N$2:$N$930,MATCH(1,INDEX((Survey_Counts!$A$2:$A$930=R$3)*(Survey_Counts!$B$2:$B$930=$A24),0),0)),"")</f>
        <v>0.0379692832764505</v>
      </c>
      <c r="S24" s="28" t="n">
        <f aca="false">IFERROR(INDEX(Survey_Counts!$N$2:$N$930,MATCH(1,INDEX((Survey_Counts!$A$2:$A$930=S$3)*(Survey_Counts!$B$2:$B$930=$A24),0),0)),"")</f>
        <v>0.0379692832764505</v>
      </c>
      <c r="T24" s="28" t="str">
        <f aca="false">IFERROR(INDEX(Survey_Counts!$N$2:$N$930,MATCH(1,INDEX((Survey_Counts!$A$2:$A$930=T$3)*(Survey_Counts!$B$2:$B$930=$A24),0),0)),"")</f>
        <v/>
      </c>
      <c r="U24" s="28" t="str">
        <f aca="false">IFERROR(INDEX(Survey_Counts!$N$2:$N$930,MATCH(1,INDEX((Survey_Counts!$A$2:$A$930=U$3)*(Survey_Counts!$B$2:$B$930=$A24),0),0)),"")</f>
        <v/>
      </c>
      <c r="V24" s="28" t="n">
        <f aca="false">IFERROR(INDEX(Survey_Counts!$N$2:$N$930,MATCH(1,INDEX((Survey_Counts!$A$2:$A$930=V$3)*(Survey_Counts!$B$2:$B$930=$A24),0),0)),"")</f>
        <v>0.141176470588235</v>
      </c>
      <c r="W24" s="28" t="n">
        <f aca="false">IFERROR(INDEX(Survey_Counts!$N$2:$N$930,MATCH(1,INDEX((Survey_Counts!$A$2:$A$930=W$3)*(Survey_Counts!$B$2:$B$930=$A24),0),0)),"")</f>
        <v>0.109756097560976</v>
      </c>
      <c r="X24" s="28" t="str">
        <f aca="false">IFERROR(INDEX(Survey_Counts!$N$2:$N$930,MATCH(1,INDEX((Survey_Counts!$A$2:$A$930=X$3)*(Survey_Counts!$B$2:$B$930=$A24),0),0)),"")</f>
        <v/>
      </c>
      <c r="Y24" s="28" t="str">
        <f aca="false">IFERROR(INDEX(Survey_Counts!$N$2:$N$930,MATCH(1,INDEX((Survey_Counts!$A$2:$A$930=Y$3)*(Survey_Counts!$B$2:$B$930=$A24),0),0)),"")</f>
        <v/>
      </c>
      <c r="Z24" s="28" t="str">
        <f aca="false">IFERROR(INDEX(Survey_Counts!$N$2:$N$930,MATCH(1,INDEX((Survey_Counts!$A$2:$A$930=Z$3)*(Survey_Counts!$B$2:$B$930=$A24),0),0)),"")</f>
        <v/>
      </c>
      <c r="AA24" s="28" t="str">
        <f aca="false">IFERROR(INDEX(Survey_Counts!$N$2:$N$930,MATCH(1,INDEX((Survey_Counts!$A$2:$A$930=AA$3)*(Survey_Counts!$B$2:$B$930=$A24),0),0)),"")</f>
        <v/>
      </c>
      <c r="AB24" s="28" t="str">
        <f aca="false">IFERROR(INDEX(Survey_Counts!$N$2:$N$930,MATCH(1,INDEX((Survey_Counts!$A$2:$A$930=AB$3)*(Survey_Counts!$B$2:$B$930=$A24),0),0)),"")</f>
        <v/>
      </c>
      <c r="AC24" s="28" t="str">
        <f aca="false">IFERROR(INDEX(Survey_Counts!$N$2:$N$930,MATCH(1,INDEX((Survey_Counts!$A$2:$A$930=AC$3)*(Survey_Counts!$B$2:$B$930=$A24),0),0)),"")</f>
        <v/>
      </c>
      <c r="AD24" s="28" t="str">
        <f aca="false">IFERROR(INDEX(Survey_Counts!$N$2:$N$930,MATCH(1,INDEX((Survey_Counts!$A$2:$A$930=AD$3)*(Survey_Counts!$B$2:$B$930=$A24),0),0)),"")</f>
        <v/>
      </c>
      <c r="AE24" s="28" t="str">
        <f aca="false">IFERROR(INDEX(Survey_Counts!$N$2:$N$930,MATCH(1,INDEX((Survey_Counts!$A$2:$A$930=AE$3)*(Survey_Counts!$B$2:$B$930=$A24),0),0)),"")</f>
        <v/>
      </c>
      <c r="AF24" s="28" t="str">
        <f aca="false">IFERROR(INDEX(Survey_Counts!$N$2:$N$930,MATCH(1,INDEX((Survey_Counts!$A$2:$A$930=AF$3)*(Survey_Counts!$B$2:$B$930=$A24),0),0)),"")</f>
        <v/>
      </c>
      <c r="AG24" s="28" t="str">
        <f aca="false">IFERROR(INDEX(Survey_Counts!$N$2:$N$930,MATCH(1,INDEX((Survey_Counts!$A$2:$A$930=AG$3)*(Survey_Counts!$B$2:$B$930=$A24),0),0)),"")</f>
        <v/>
      </c>
      <c r="AH24" s="28" t="str">
        <f aca="false">IFERROR(INDEX(Survey_Counts!$N$2:$N$930,MATCH(1,INDEX((Survey_Counts!$A$2:$A$930=AH$3)*(Survey_Counts!$B$2:$B$930=$A24),0),0)),"")</f>
        <v/>
      </c>
      <c r="AI24" s="28" t="str">
        <f aca="false">IFERROR(INDEX(Survey_Counts!$N$2:$N$930,MATCH(1,INDEX((Survey_Counts!$A$2:$A$930=AI$3)*(Survey_Counts!$B$2:$B$930=$A24),0),0)),"")</f>
        <v/>
      </c>
      <c r="AJ24" s="28" t="str">
        <f aca="false">IFERROR(INDEX(Survey_Counts!$N$2:$N$930,MATCH(1,INDEX((Survey_Counts!$A$2:$A$930=AJ$3)*(Survey_Counts!$B$2:$B$930=$A24),0),0)),"")</f>
        <v/>
      </c>
      <c r="AK24" s="28" t="str">
        <f aca="false">IFERROR(INDEX(Survey_Counts!$N$2:$N$930,MATCH(1,INDEX((Survey_Counts!$A$2:$A$930=AK$3)*(Survey_Counts!$B$2:$B$930=$A24),0),0)),"")</f>
        <v/>
      </c>
      <c r="AL24" s="28" t="str">
        <f aca="false">IFERROR(INDEX(Survey_Counts!$N$2:$N$930,MATCH(1,INDEX((Survey_Counts!$A$2:$A$930=AL$3)*(Survey_Counts!$B$2:$B$930=$A24),0),0)),"")</f>
        <v/>
      </c>
      <c r="AM24" s="28" t="str">
        <f aca="false">IFERROR(INDEX(Survey_Counts!$N$2:$N$930,MATCH(1,INDEX((Survey_Counts!$A$2:$A$930=AM$3)*(Survey_Counts!$B$2:$B$930=$A24),0),0)),"")</f>
        <v/>
      </c>
      <c r="AN24" s="28" t="str">
        <f aca="false">IFERROR(INDEX(Survey_Counts!$N$2:$N$930,MATCH(1,INDEX((Survey_Counts!$A$2:$A$930=AN$3)*(Survey_Counts!$B$2:$B$930=$A24),0),0)),"")</f>
        <v/>
      </c>
      <c r="AO24" s="28" t="str">
        <f aca="false">IFERROR(INDEX(Survey_Counts!$N$2:$N$930,MATCH(1,INDEX((Survey_Counts!$A$2:$A$930=AO$3)*(Survey_Counts!$B$2:$B$930=$A24),0),0)),"")</f>
        <v/>
      </c>
      <c r="AP24" s="28" t="str">
        <f aca="false">IFERROR(INDEX(Survey_Counts!$N$2:$N$930,MATCH(1,INDEX((Survey_Counts!$A$2:$A$930=AP$3)*(Survey_Counts!$B$2:$B$930=$A24),0),0)),"")</f>
        <v/>
      </c>
      <c r="AQ24" s="28" t="str">
        <f aca="false">IFERROR(INDEX(Survey_Counts!$N$2:$N$930,MATCH(1,INDEX((Survey_Counts!$A$2:$A$930=AQ$3)*(Survey_Counts!$B$2:$B$930=$A24),0),0)),"")</f>
        <v/>
      </c>
      <c r="AR24" s="28" t="str">
        <f aca="false">IFERROR(INDEX(Survey_Counts!$N$2:$N$930,MATCH(1,INDEX((Survey_Counts!$A$2:$A$930=AR$3)*(Survey_Counts!$B$2:$B$930=$A24),0),0)),"")</f>
        <v/>
      </c>
      <c r="AS24" s="28" t="str">
        <f aca="false">IFERROR(INDEX(Survey_Counts!$N$2:$N$930,MATCH(1,INDEX((Survey_Counts!$A$2:$A$930=AS$3)*(Survey_Counts!$B$2:$B$930=$A24),0),0)),"")</f>
        <v/>
      </c>
      <c r="AT24" s="28" t="str">
        <f aca="false">IFERROR(INDEX(Survey_Counts!$N$2:$N$930,MATCH(1,INDEX((Survey_Counts!$A$2:$A$930=AT$3)*(Survey_Counts!$B$2:$B$930=$A24),0),0)),"")</f>
        <v/>
      </c>
      <c r="AU24" s="28" t="str">
        <f aca="false">IFERROR(INDEX(Survey_Counts!$N$2:$N$930,MATCH(1,INDEX((Survey_Counts!$A$2:$A$930=AU$3)*(Survey_Counts!$B$2:$B$930=$A24),0),0)),"")</f>
        <v/>
      </c>
      <c r="AV24" s="28" t="str">
        <f aca="false">IFERROR(INDEX(Survey_Counts!$N$2:$N$930,MATCH(1,INDEX((Survey_Counts!$A$2:$A$930=AV$3)*(Survey_Counts!$B$2:$B$930=$A24),0),0)),"")</f>
        <v/>
      </c>
      <c r="AW24" s="28" t="str">
        <f aca="false">IFERROR(INDEX(Survey_Counts!$N$2:$N$930,MATCH(1,INDEX((Survey_Counts!$A$2:$A$930=AW$3)*(Survey_Counts!$B$2:$B$930=$A24),0),0)),"")</f>
        <v/>
      </c>
      <c r="AX24" s="28" t="str">
        <f aca="false">IFERROR(INDEX(Survey_Counts!$N$2:$N$930,MATCH(1,INDEX((Survey_Counts!$A$2:$A$930=AX$3)*(Survey_Counts!$B$2:$B$930=$A24),0),0)),"")</f>
        <v/>
      </c>
      <c r="AY24" s="28" t="str">
        <f aca="false">IFERROR(INDEX(Survey_Counts!$N$2:$N$930,MATCH(1,INDEX((Survey_Counts!$A$2:$A$930=AY$3)*(Survey_Counts!$B$2:$B$930=$A24),0),0)),"")</f>
        <v/>
      </c>
      <c r="AZ24" s="28" t="n">
        <f aca="false">IFERROR(INDEX(Survey_Counts!$N$2:$N$930,MATCH(1,INDEX((Survey_Counts!$A$2:$A$930=AZ$3)*(Survey_Counts!$B$2:$B$930=$A24),0),0)),"")</f>
        <v>0.135632183908046</v>
      </c>
      <c r="BA24" s="28" t="n">
        <f aca="false">IFERROR(INDEX(Survey_Counts!$N$2:$N$930,MATCH(1,INDEX((Survey_Counts!$A$2:$A$930=BA$3)*(Survey_Counts!$B$2:$B$930=$A24),0),0)),"")</f>
        <v>0.135632183908046</v>
      </c>
      <c r="BB24" s="28" t="str">
        <f aca="false">IFERROR(INDEX(Survey_Counts!$N$2:$N$930,MATCH(1,INDEX((Survey_Counts!$A$2:$A$930=BB$3)*(Survey_Counts!$B$2:$B$930=$A24),0),0)),"")</f>
        <v/>
      </c>
      <c r="BC24" s="28" t="str">
        <f aca="false">IFERROR(INDEX(Survey_Counts!$N$2:$N$930,MATCH(1,INDEX((Survey_Counts!$A$2:$A$930=BC$3)*(Survey_Counts!$B$2:$B$930=$A24),0),0)),"")</f>
        <v/>
      </c>
      <c r="BD24" s="28" t="str">
        <f aca="false">IFERROR(INDEX(Survey_Counts!$N$2:$N$930,MATCH(1,INDEX((Survey_Counts!$A$2:$A$930=BD$3)*(Survey_Counts!$B$2:$B$930=$A24),0),0)),"")</f>
        <v/>
      </c>
      <c r="BE24" s="28" t="str">
        <f aca="false">IFERROR(INDEX(Survey_Counts!$N$2:$N$930,MATCH(1,INDEX((Survey_Counts!$A$2:$A$930=BE$3)*(Survey_Counts!$B$2:$B$930=$A24),0),0)),"")</f>
        <v/>
      </c>
      <c r="BF24" s="28" t="str">
        <f aca="false">IFERROR(INDEX(Survey_Counts!$N$2:$N$930,MATCH(1,INDEX((Survey_Counts!$A$2:$A$930=BF$3)*(Survey_Counts!$B$2:$B$930=$A24),0),0)),"")</f>
        <v/>
      </c>
    </row>
    <row r="25" customFormat="false" ht="15" hidden="false" customHeight="false" outlineLevel="0" collapsed="false">
      <c r="A25" s="27" t="n">
        <v>21</v>
      </c>
      <c r="B25" s="27" t="s">
        <v>265</v>
      </c>
      <c r="C25" s="27" t="n">
        <v>90</v>
      </c>
      <c r="D25" s="28" t="str">
        <f aca="false">IFERROR(INDEX(Survey_Counts!$N$2:$N$930,MATCH(1,INDEX((Survey_Counts!$A$2:$A$930=D$3)*(Survey_Counts!$B$2:$B$930=$A25),0),0)),"")</f>
        <v/>
      </c>
      <c r="E25" s="28" t="str">
        <f aca="false">IFERROR(INDEX(Survey_Counts!$N$2:$N$930,MATCH(1,INDEX((Survey_Counts!$A$2:$A$930=E$3)*(Survey_Counts!$B$2:$B$930=$A25),0),0)),"")</f>
        <v/>
      </c>
      <c r="F25" s="28" t="str">
        <f aca="false">IFERROR(INDEX(Survey_Counts!$N$2:$N$930,MATCH(1,INDEX((Survey_Counts!$A$2:$A$930=F$3)*(Survey_Counts!$B$2:$B$930=$A25),0),0)),"")</f>
        <v/>
      </c>
      <c r="G25" s="28" t="str">
        <f aca="false">IFERROR(INDEX(Survey_Counts!$N$2:$N$930,MATCH(1,INDEX((Survey_Counts!$A$2:$A$930=G$3)*(Survey_Counts!$B$2:$B$930=$A25),0),0)),"")</f>
        <v/>
      </c>
      <c r="H25" s="28" t="str">
        <f aca="false">IFERROR(INDEX(Survey_Counts!$N$2:$N$930,MATCH(1,INDEX((Survey_Counts!$A$2:$A$930=H$3)*(Survey_Counts!$B$2:$B$930=$A25),0),0)),"")</f>
        <v/>
      </c>
      <c r="I25" s="28" t="str">
        <f aca="false">IFERROR(INDEX(Survey_Counts!$N$2:$N$930,MATCH(1,INDEX((Survey_Counts!$A$2:$A$930=I$3)*(Survey_Counts!$B$2:$B$930=$A25),0),0)),"")</f>
        <v/>
      </c>
      <c r="J25" s="28" t="str">
        <f aca="false">IFERROR(INDEX(Survey_Counts!$N$2:$N$930,MATCH(1,INDEX((Survey_Counts!$A$2:$A$930=J$3)*(Survey_Counts!$B$2:$B$930=$A25),0),0)),"")</f>
        <v/>
      </c>
      <c r="K25" s="28" t="str">
        <f aca="false">IFERROR(INDEX(Survey_Counts!$N$2:$N$930,MATCH(1,INDEX((Survey_Counts!$A$2:$A$930=K$3)*(Survey_Counts!$B$2:$B$930=$A25),0),0)),"")</f>
        <v/>
      </c>
      <c r="L25" s="28" t="str">
        <f aca="false">IFERROR(INDEX(Survey_Counts!$N$2:$N$930,MATCH(1,INDEX((Survey_Counts!$A$2:$A$930=L$3)*(Survey_Counts!$B$2:$B$930=$A25),0),0)),"")</f>
        <v/>
      </c>
      <c r="M25" s="28" t="str">
        <f aca="false">IFERROR(INDEX(Survey_Counts!$N$2:$N$930,MATCH(1,INDEX((Survey_Counts!$A$2:$A$930=M$3)*(Survey_Counts!$B$2:$B$930=$A25),0),0)),"")</f>
        <v/>
      </c>
      <c r="N25" s="28" t="str">
        <f aca="false">IFERROR(INDEX(Survey_Counts!$N$2:$N$930,MATCH(1,INDEX((Survey_Counts!$A$2:$A$930=N$3)*(Survey_Counts!$B$2:$B$930=$A25),0),0)),"")</f>
        <v/>
      </c>
      <c r="O25" s="28" t="str">
        <f aca="false">IFERROR(INDEX(Survey_Counts!$N$2:$N$930,MATCH(1,INDEX((Survey_Counts!$A$2:$A$930=O$3)*(Survey_Counts!$B$2:$B$930=$A25),0),0)),"")</f>
        <v/>
      </c>
      <c r="P25" s="28" t="str">
        <f aca="false">IFERROR(INDEX(Survey_Counts!$N$2:$N$930,MATCH(1,INDEX((Survey_Counts!$A$2:$A$930=P$3)*(Survey_Counts!$B$2:$B$930=$A25),0),0)),"")</f>
        <v/>
      </c>
      <c r="Q25" s="28" t="str">
        <f aca="false">IFERROR(INDEX(Survey_Counts!$N$2:$N$930,MATCH(1,INDEX((Survey_Counts!$A$2:$A$930=Q$3)*(Survey_Counts!$B$2:$B$930=$A25),0),0)),"")</f>
        <v/>
      </c>
      <c r="R25" s="28" t="n">
        <f aca="false">IFERROR(INDEX(Survey_Counts!$N$2:$N$930,MATCH(1,INDEX((Survey_Counts!$A$2:$A$930=R$3)*(Survey_Counts!$B$2:$B$930=$A25),0),0)),"")</f>
        <v>0.0366894197952218</v>
      </c>
      <c r="S25" s="28" t="n">
        <f aca="false">IFERROR(INDEX(Survey_Counts!$N$2:$N$930,MATCH(1,INDEX((Survey_Counts!$A$2:$A$930=S$3)*(Survey_Counts!$B$2:$B$930=$A25),0),0)),"")</f>
        <v>0.0366894197952218</v>
      </c>
      <c r="T25" s="28" t="str">
        <f aca="false">IFERROR(INDEX(Survey_Counts!$N$2:$N$930,MATCH(1,INDEX((Survey_Counts!$A$2:$A$930=T$3)*(Survey_Counts!$B$2:$B$930=$A25),0),0)),"")</f>
        <v/>
      </c>
      <c r="U25" s="28" t="str">
        <f aca="false">IFERROR(INDEX(Survey_Counts!$N$2:$N$930,MATCH(1,INDEX((Survey_Counts!$A$2:$A$930=U$3)*(Survey_Counts!$B$2:$B$930=$A25),0),0)),"")</f>
        <v/>
      </c>
      <c r="V25" s="28" t="n">
        <f aca="false">IFERROR(INDEX(Survey_Counts!$N$2:$N$930,MATCH(1,INDEX((Survey_Counts!$A$2:$A$930=V$3)*(Survey_Counts!$B$2:$B$930=$A25),0),0)),"")</f>
        <v>0.0705882352941177</v>
      </c>
      <c r="W25" s="28" t="n">
        <f aca="false">IFERROR(INDEX(Survey_Counts!$N$2:$N$930,MATCH(1,INDEX((Survey_Counts!$A$2:$A$930=W$3)*(Survey_Counts!$B$2:$B$930=$A25),0),0)),"")</f>
        <v>0.0365853658536585</v>
      </c>
      <c r="X25" s="28" t="str">
        <f aca="false">IFERROR(INDEX(Survey_Counts!$N$2:$N$930,MATCH(1,INDEX((Survey_Counts!$A$2:$A$930=X$3)*(Survey_Counts!$B$2:$B$930=$A25),0),0)),"")</f>
        <v/>
      </c>
      <c r="Y25" s="28" t="str">
        <f aca="false">IFERROR(INDEX(Survey_Counts!$N$2:$N$930,MATCH(1,INDEX((Survey_Counts!$A$2:$A$930=Y$3)*(Survey_Counts!$B$2:$B$930=$A25),0),0)),"")</f>
        <v/>
      </c>
      <c r="Z25" s="28" t="str">
        <f aca="false">IFERROR(INDEX(Survey_Counts!$N$2:$N$930,MATCH(1,INDEX((Survey_Counts!$A$2:$A$930=Z$3)*(Survey_Counts!$B$2:$B$930=$A25),0),0)),"")</f>
        <v/>
      </c>
      <c r="AA25" s="28" t="str">
        <f aca="false">IFERROR(INDEX(Survey_Counts!$N$2:$N$930,MATCH(1,INDEX((Survey_Counts!$A$2:$A$930=AA$3)*(Survey_Counts!$B$2:$B$930=$A25),0),0)),"")</f>
        <v/>
      </c>
      <c r="AB25" s="28" t="str">
        <f aca="false">IFERROR(INDEX(Survey_Counts!$N$2:$N$930,MATCH(1,INDEX((Survey_Counts!$A$2:$A$930=AB$3)*(Survey_Counts!$B$2:$B$930=$A25),0),0)),"")</f>
        <v/>
      </c>
      <c r="AC25" s="28" t="str">
        <f aca="false">IFERROR(INDEX(Survey_Counts!$N$2:$N$930,MATCH(1,INDEX((Survey_Counts!$A$2:$A$930=AC$3)*(Survey_Counts!$B$2:$B$930=$A25),0),0)),"")</f>
        <v/>
      </c>
      <c r="AD25" s="28" t="str">
        <f aca="false">IFERROR(INDEX(Survey_Counts!$N$2:$N$930,MATCH(1,INDEX((Survey_Counts!$A$2:$A$930=AD$3)*(Survey_Counts!$B$2:$B$930=$A25),0),0)),"")</f>
        <v/>
      </c>
      <c r="AE25" s="28" t="str">
        <f aca="false">IFERROR(INDEX(Survey_Counts!$N$2:$N$930,MATCH(1,INDEX((Survey_Counts!$A$2:$A$930=AE$3)*(Survey_Counts!$B$2:$B$930=$A25),0),0)),"")</f>
        <v/>
      </c>
      <c r="AF25" s="28" t="str">
        <f aca="false">IFERROR(INDEX(Survey_Counts!$N$2:$N$930,MATCH(1,INDEX((Survey_Counts!$A$2:$A$930=AF$3)*(Survey_Counts!$B$2:$B$930=$A25),0),0)),"")</f>
        <v/>
      </c>
      <c r="AG25" s="28" t="str">
        <f aca="false">IFERROR(INDEX(Survey_Counts!$N$2:$N$930,MATCH(1,INDEX((Survey_Counts!$A$2:$A$930=AG$3)*(Survey_Counts!$B$2:$B$930=$A25),0),0)),"")</f>
        <v/>
      </c>
      <c r="AH25" s="28" t="str">
        <f aca="false">IFERROR(INDEX(Survey_Counts!$N$2:$N$930,MATCH(1,INDEX((Survey_Counts!$A$2:$A$930=AH$3)*(Survey_Counts!$B$2:$B$930=$A25),0),0)),"")</f>
        <v/>
      </c>
      <c r="AI25" s="28" t="str">
        <f aca="false">IFERROR(INDEX(Survey_Counts!$N$2:$N$930,MATCH(1,INDEX((Survey_Counts!$A$2:$A$930=AI$3)*(Survey_Counts!$B$2:$B$930=$A25),0),0)),"")</f>
        <v/>
      </c>
      <c r="AJ25" s="28" t="str">
        <f aca="false">IFERROR(INDEX(Survey_Counts!$N$2:$N$930,MATCH(1,INDEX((Survey_Counts!$A$2:$A$930=AJ$3)*(Survey_Counts!$B$2:$B$930=$A25),0),0)),"")</f>
        <v/>
      </c>
      <c r="AK25" s="28" t="str">
        <f aca="false">IFERROR(INDEX(Survey_Counts!$N$2:$N$930,MATCH(1,INDEX((Survey_Counts!$A$2:$A$930=AK$3)*(Survey_Counts!$B$2:$B$930=$A25),0),0)),"")</f>
        <v/>
      </c>
      <c r="AL25" s="28" t="str">
        <f aca="false">IFERROR(INDEX(Survey_Counts!$N$2:$N$930,MATCH(1,INDEX((Survey_Counts!$A$2:$A$930=AL$3)*(Survey_Counts!$B$2:$B$930=$A25),0),0)),"")</f>
        <v/>
      </c>
      <c r="AM25" s="28" t="str">
        <f aca="false">IFERROR(INDEX(Survey_Counts!$N$2:$N$930,MATCH(1,INDEX((Survey_Counts!$A$2:$A$930=AM$3)*(Survey_Counts!$B$2:$B$930=$A25),0),0)),"")</f>
        <v/>
      </c>
      <c r="AN25" s="28" t="str">
        <f aca="false">IFERROR(INDEX(Survey_Counts!$N$2:$N$930,MATCH(1,INDEX((Survey_Counts!$A$2:$A$930=AN$3)*(Survey_Counts!$B$2:$B$930=$A25),0),0)),"")</f>
        <v/>
      </c>
      <c r="AO25" s="28" t="str">
        <f aca="false">IFERROR(INDEX(Survey_Counts!$N$2:$N$930,MATCH(1,INDEX((Survey_Counts!$A$2:$A$930=AO$3)*(Survey_Counts!$B$2:$B$930=$A25),0),0)),"")</f>
        <v/>
      </c>
      <c r="AP25" s="28" t="str">
        <f aca="false">IFERROR(INDEX(Survey_Counts!$N$2:$N$930,MATCH(1,INDEX((Survey_Counts!$A$2:$A$930=AP$3)*(Survey_Counts!$B$2:$B$930=$A25),0),0)),"")</f>
        <v/>
      </c>
      <c r="AQ25" s="28" t="str">
        <f aca="false">IFERROR(INDEX(Survey_Counts!$N$2:$N$930,MATCH(1,INDEX((Survey_Counts!$A$2:$A$930=AQ$3)*(Survey_Counts!$B$2:$B$930=$A25),0),0)),"")</f>
        <v/>
      </c>
      <c r="AR25" s="28" t="str">
        <f aca="false">IFERROR(INDEX(Survey_Counts!$N$2:$N$930,MATCH(1,INDEX((Survey_Counts!$A$2:$A$930=AR$3)*(Survey_Counts!$B$2:$B$930=$A25),0),0)),"")</f>
        <v/>
      </c>
      <c r="AS25" s="28" t="str">
        <f aca="false">IFERROR(INDEX(Survey_Counts!$N$2:$N$930,MATCH(1,INDEX((Survey_Counts!$A$2:$A$930=AS$3)*(Survey_Counts!$B$2:$B$930=$A25),0),0)),"")</f>
        <v/>
      </c>
      <c r="AT25" s="28" t="str">
        <f aca="false">IFERROR(INDEX(Survey_Counts!$N$2:$N$930,MATCH(1,INDEX((Survey_Counts!$A$2:$A$930=AT$3)*(Survey_Counts!$B$2:$B$930=$A25),0),0)),"")</f>
        <v/>
      </c>
      <c r="AU25" s="28" t="str">
        <f aca="false">IFERROR(INDEX(Survey_Counts!$N$2:$N$930,MATCH(1,INDEX((Survey_Counts!$A$2:$A$930=AU$3)*(Survey_Counts!$B$2:$B$930=$A25),0),0)),"")</f>
        <v/>
      </c>
      <c r="AV25" s="28" t="str">
        <f aca="false">IFERROR(INDEX(Survey_Counts!$N$2:$N$930,MATCH(1,INDEX((Survey_Counts!$A$2:$A$930=AV$3)*(Survey_Counts!$B$2:$B$930=$A25),0),0)),"")</f>
        <v/>
      </c>
      <c r="AW25" s="28" t="str">
        <f aca="false">IFERROR(INDEX(Survey_Counts!$N$2:$N$930,MATCH(1,INDEX((Survey_Counts!$A$2:$A$930=AW$3)*(Survey_Counts!$B$2:$B$930=$A25),0),0)),"")</f>
        <v/>
      </c>
      <c r="AX25" s="28" t="str">
        <f aca="false">IFERROR(INDEX(Survey_Counts!$N$2:$N$930,MATCH(1,INDEX((Survey_Counts!$A$2:$A$930=AX$3)*(Survey_Counts!$B$2:$B$930=$A25),0),0)),"")</f>
        <v/>
      </c>
      <c r="AY25" s="28" t="str">
        <f aca="false">IFERROR(INDEX(Survey_Counts!$N$2:$N$930,MATCH(1,INDEX((Survey_Counts!$A$2:$A$930=AY$3)*(Survey_Counts!$B$2:$B$930=$A25),0),0)),"")</f>
        <v/>
      </c>
      <c r="AZ25" s="28" t="n">
        <f aca="false">IFERROR(INDEX(Survey_Counts!$N$2:$N$930,MATCH(1,INDEX((Survey_Counts!$A$2:$A$930=AZ$3)*(Survey_Counts!$B$2:$B$930=$A25),0),0)),"")</f>
        <v>0.0781609195402299</v>
      </c>
      <c r="BA25" s="28" t="n">
        <f aca="false">IFERROR(INDEX(Survey_Counts!$N$2:$N$930,MATCH(1,INDEX((Survey_Counts!$A$2:$A$930=BA$3)*(Survey_Counts!$B$2:$B$930=$A25),0),0)),"")</f>
        <v>0.0781609195402299</v>
      </c>
      <c r="BB25" s="28" t="str">
        <f aca="false">IFERROR(INDEX(Survey_Counts!$N$2:$N$930,MATCH(1,INDEX((Survey_Counts!$A$2:$A$930=BB$3)*(Survey_Counts!$B$2:$B$930=$A25),0),0)),"")</f>
        <v/>
      </c>
      <c r="BC25" s="28" t="str">
        <f aca="false">IFERROR(INDEX(Survey_Counts!$N$2:$N$930,MATCH(1,INDEX((Survey_Counts!$A$2:$A$930=BC$3)*(Survey_Counts!$B$2:$B$930=$A25),0),0)),"")</f>
        <v/>
      </c>
      <c r="BD25" s="28" t="str">
        <f aca="false">IFERROR(INDEX(Survey_Counts!$N$2:$N$930,MATCH(1,INDEX((Survey_Counts!$A$2:$A$930=BD$3)*(Survey_Counts!$B$2:$B$930=$A25),0),0)),"")</f>
        <v/>
      </c>
      <c r="BE25" s="28" t="str">
        <f aca="false">IFERROR(INDEX(Survey_Counts!$N$2:$N$930,MATCH(1,INDEX((Survey_Counts!$A$2:$A$930=BE$3)*(Survey_Counts!$B$2:$B$930=$A25),0),0)),"")</f>
        <v/>
      </c>
      <c r="BF25" s="28" t="str">
        <f aca="false">IFERROR(INDEX(Survey_Counts!$N$2:$N$930,MATCH(1,INDEX((Survey_Counts!$A$2:$A$930=BF$3)*(Survey_Counts!$B$2:$B$930=$A25),0),0)),"")</f>
        <v/>
      </c>
    </row>
    <row r="26" customFormat="false" ht="15" hidden="false" customHeight="false" outlineLevel="0" collapsed="false">
      <c r="A26" s="27" t="n">
        <v>22</v>
      </c>
      <c r="B26" s="27" t="s">
        <v>419</v>
      </c>
      <c r="C26" s="27" t="n">
        <v>105</v>
      </c>
      <c r="D26" s="28" t="str">
        <f aca="false">IFERROR(INDEX(Survey_Counts!$N$2:$N$930,MATCH(1,INDEX((Survey_Counts!$A$2:$A$930=D$3)*(Survey_Counts!$B$2:$B$930=$A26),0),0)),"")</f>
        <v/>
      </c>
      <c r="E26" s="28" t="str">
        <f aca="false">IFERROR(INDEX(Survey_Counts!$N$2:$N$930,MATCH(1,INDEX((Survey_Counts!$A$2:$A$930=E$3)*(Survey_Counts!$B$2:$B$930=$A26),0),0)),"")</f>
        <v/>
      </c>
      <c r="F26" s="28" t="str">
        <f aca="false">IFERROR(INDEX(Survey_Counts!$N$2:$N$930,MATCH(1,INDEX((Survey_Counts!$A$2:$A$930=F$3)*(Survey_Counts!$B$2:$B$930=$A26),0),0)),"")</f>
        <v/>
      </c>
      <c r="G26" s="28" t="str">
        <f aca="false">IFERROR(INDEX(Survey_Counts!$N$2:$N$930,MATCH(1,INDEX((Survey_Counts!$A$2:$A$930=G$3)*(Survey_Counts!$B$2:$B$930=$A26),0),0)),"")</f>
        <v/>
      </c>
      <c r="H26" s="28" t="str">
        <f aca="false">IFERROR(INDEX(Survey_Counts!$N$2:$N$930,MATCH(1,INDEX((Survey_Counts!$A$2:$A$930=H$3)*(Survey_Counts!$B$2:$B$930=$A26),0),0)),"")</f>
        <v/>
      </c>
      <c r="I26" s="28" t="str">
        <f aca="false">IFERROR(INDEX(Survey_Counts!$N$2:$N$930,MATCH(1,INDEX((Survey_Counts!$A$2:$A$930=I$3)*(Survey_Counts!$B$2:$B$930=$A26),0),0)),"")</f>
        <v/>
      </c>
      <c r="J26" s="28" t="str">
        <f aca="false">IFERROR(INDEX(Survey_Counts!$N$2:$N$930,MATCH(1,INDEX((Survey_Counts!$A$2:$A$930=J$3)*(Survey_Counts!$B$2:$B$930=$A26),0),0)),"")</f>
        <v/>
      </c>
      <c r="K26" s="28" t="str">
        <f aca="false">IFERROR(INDEX(Survey_Counts!$N$2:$N$930,MATCH(1,INDEX((Survey_Counts!$A$2:$A$930=K$3)*(Survey_Counts!$B$2:$B$930=$A26),0),0)),"")</f>
        <v/>
      </c>
      <c r="L26" s="28" t="str">
        <f aca="false">IFERROR(INDEX(Survey_Counts!$N$2:$N$930,MATCH(1,INDEX((Survey_Counts!$A$2:$A$930=L$3)*(Survey_Counts!$B$2:$B$930=$A26),0),0)),"")</f>
        <v/>
      </c>
      <c r="M26" s="28" t="str">
        <f aca="false">IFERROR(INDEX(Survey_Counts!$N$2:$N$930,MATCH(1,INDEX((Survey_Counts!$A$2:$A$930=M$3)*(Survey_Counts!$B$2:$B$930=$A26),0),0)),"")</f>
        <v/>
      </c>
      <c r="N26" s="28" t="str">
        <f aca="false">IFERROR(INDEX(Survey_Counts!$N$2:$N$930,MATCH(1,INDEX((Survey_Counts!$A$2:$A$930=N$3)*(Survey_Counts!$B$2:$B$930=$A26),0),0)),"")</f>
        <v/>
      </c>
      <c r="O26" s="28" t="str">
        <f aca="false">IFERROR(INDEX(Survey_Counts!$N$2:$N$930,MATCH(1,INDEX((Survey_Counts!$A$2:$A$930=O$3)*(Survey_Counts!$B$2:$B$930=$A26),0),0)),"")</f>
        <v/>
      </c>
      <c r="P26" s="28" t="str">
        <f aca="false">IFERROR(INDEX(Survey_Counts!$N$2:$N$930,MATCH(1,INDEX((Survey_Counts!$A$2:$A$930=P$3)*(Survey_Counts!$B$2:$B$930=$A26),0),0)),"")</f>
        <v/>
      </c>
      <c r="Q26" s="28" t="str">
        <f aca="false">IFERROR(INDEX(Survey_Counts!$N$2:$N$930,MATCH(1,INDEX((Survey_Counts!$A$2:$A$930=Q$3)*(Survey_Counts!$B$2:$B$930=$A26),0),0)),"")</f>
        <v/>
      </c>
      <c r="R26" s="28" t="str">
        <f aca="false">IFERROR(INDEX(Survey_Counts!$N$2:$N$930,MATCH(1,INDEX((Survey_Counts!$A$2:$A$930=R$3)*(Survey_Counts!$B$2:$B$930=$A26),0),0)),"")</f>
        <v/>
      </c>
      <c r="S26" s="28" t="str">
        <f aca="false">IFERROR(INDEX(Survey_Counts!$N$2:$N$930,MATCH(1,INDEX((Survey_Counts!$A$2:$A$930=S$3)*(Survey_Counts!$B$2:$B$930=$A26),0),0)),"")</f>
        <v/>
      </c>
      <c r="T26" s="28" t="str">
        <f aca="false">IFERROR(INDEX(Survey_Counts!$N$2:$N$930,MATCH(1,INDEX((Survey_Counts!$A$2:$A$930=T$3)*(Survey_Counts!$B$2:$B$930=$A26),0),0)),"")</f>
        <v/>
      </c>
      <c r="U26" s="28" t="str">
        <f aca="false">IFERROR(INDEX(Survey_Counts!$N$2:$N$930,MATCH(1,INDEX((Survey_Counts!$A$2:$A$930=U$3)*(Survey_Counts!$B$2:$B$930=$A26),0),0)),"")</f>
        <v/>
      </c>
      <c r="V26" s="28" t="str">
        <f aca="false">IFERROR(INDEX(Survey_Counts!$N$2:$N$930,MATCH(1,INDEX((Survey_Counts!$A$2:$A$930=V$3)*(Survey_Counts!$B$2:$B$930=$A26),0),0)),"")</f>
        <v/>
      </c>
      <c r="W26" s="28" t="str">
        <f aca="false">IFERROR(INDEX(Survey_Counts!$N$2:$N$930,MATCH(1,INDEX((Survey_Counts!$A$2:$A$930=W$3)*(Survey_Counts!$B$2:$B$930=$A26),0),0)),"")</f>
        <v/>
      </c>
      <c r="X26" s="28" t="str">
        <f aca="false">IFERROR(INDEX(Survey_Counts!$N$2:$N$930,MATCH(1,INDEX((Survey_Counts!$A$2:$A$930=X$3)*(Survey_Counts!$B$2:$B$930=$A26),0),0)),"")</f>
        <v/>
      </c>
      <c r="Y26" s="28" t="str">
        <f aca="false">IFERROR(INDEX(Survey_Counts!$N$2:$N$930,MATCH(1,INDEX((Survey_Counts!$A$2:$A$930=Y$3)*(Survey_Counts!$B$2:$B$930=$A26),0),0)),"")</f>
        <v/>
      </c>
      <c r="Z26" s="28" t="str">
        <f aca="false">IFERROR(INDEX(Survey_Counts!$N$2:$N$930,MATCH(1,INDEX((Survey_Counts!$A$2:$A$930=Z$3)*(Survey_Counts!$B$2:$B$930=$A26),0),0)),"")</f>
        <v/>
      </c>
      <c r="AA26" s="28" t="str">
        <f aca="false">IFERROR(INDEX(Survey_Counts!$N$2:$N$930,MATCH(1,INDEX((Survey_Counts!$A$2:$A$930=AA$3)*(Survey_Counts!$B$2:$B$930=$A26),0),0)),"")</f>
        <v/>
      </c>
      <c r="AB26" s="28" t="str">
        <f aca="false">IFERROR(INDEX(Survey_Counts!$N$2:$N$930,MATCH(1,INDEX((Survey_Counts!$A$2:$A$930=AB$3)*(Survey_Counts!$B$2:$B$930=$A26),0),0)),"")</f>
        <v/>
      </c>
      <c r="AC26" s="28" t="str">
        <f aca="false">IFERROR(INDEX(Survey_Counts!$N$2:$N$930,MATCH(1,INDEX((Survey_Counts!$A$2:$A$930=AC$3)*(Survey_Counts!$B$2:$B$930=$A26),0),0)),"")</f>
        <v/>
      </c>
      <c r="AD26" s="28" t="str">
        <f aca="false">IFERROR(INDEX(Survey_Counts!$N$2:$N$930,MATCH(1,INDEX((Survey_Counts!$A$2:$A$930=AD$3)*(Survey_Counts!$B$2:$B$930=$A26),0),0)),"")</f>
        <v/>
      </c>
      <c r="AE26" s="28" t="str">
        <f aca="false">IFERROR(INDEX(Survey_Counts!$N$2:$N$930,MATCH(1,INDEX((Survey_Counts!$A$2:$A$930=AE$3)*(Survey_Counts!$B$2:$B$930=$A26),0),0)),"")</f>
        <v/>
      </c>
      <c r="AF26" s="28" t="str">
        <f aca="false">IFERROR(INDEX(Survey_Counts!$N$2:$N$930,MATCH(1,INDEX((Survey_Counts!$A$2:$A$930=AF$3)*(Survey_Counts!$B$2:$B$930=$A26),0),0)),"")</f>
        <v/>
      </c>
      <c r="AG26" s="28" t="str">
        <f aca="false">IFERROR(INDEX(Survey_Counts!$N$2:$N$930,MATCH(1,INDEX((Survey_Counts!$A$2:$A$930=AG$3)*(Survey_Counts!$B$2:$B$930=$A26),0),0)),"")</f>
        <v/>
      </c>
      <c r="AH26" s="28" t="str">
        <f aca="false">IFERROR(INDEX(Survey_Counts!$N$2:$N$930,MATCH(1,INDEX((Survey_Counts!$A$2:$A$930=AH$3)*(Survey_Counts!$B$2:$B$930=$A26),0),0)),"")</f>
        <v/>
      </c>
      <c r="AI26" s="28" t="str">
        <f aca="false">IFERROR(INDEX(Survey_Counts!$N$2:$N$930,MATCH(1,INDEX((Survey_Counts!$A$2:$A$930=AI$3)*(Survey_Counts!$B$2:$B$930=$A26),0),0)),"")</f>
        <v/>
      </c>
      <c r="AJ26" s="28" t="str">
        <f aca="false">IFERROR(INDEX(Survey_Counts!$N$2:$N$930,MATCH(1,INDEX((Survey_Counts!$A$2:$A$930=AJ$3)*(Survey_Counts!$B$2:$B$930=$A26),0),0)),"")</f>
        <v/>
      </c>
      <c r="AK26" s="28" t="str">
        <f aca="false">IFERROR(INDEX(Survey_Counts!$N$2:$N$930,MATCH(1,INDEX((Survey_Counts!$A$2:$A$930=AK$3)*(Survey_Counts!$B$2:$B$930=$A26),0),0)),"")</f>
        <v/>
      </c>
      <c r="AL26" s="28" t="str">
        <f aca="false">IFERROR(INDEX(Survey_Counts!$N$2:$N$930,MATCH(1,INDEX((Survey_Counts!$A$2:$A$930=AL$3)*(Survey_Counts!$B$2:$B$930=$A26),0),0)),"")</f>
        <v/>
      </c>
      <c r="AM26" s="28" t="str">
        <f aca="false">IFERROR(INDEX(Survey_Counts!$N$2:$N$930,MATCH(1,INDEX((Survey_Counts!$A$2:$A$930=AM$3)*(Survey_Counts!$B$2:$B$930=$A26),0),0)),"")</f>
        <v/>
      </c>
      <c r="AN26" s="28" t="str">
        <f aca="false">IFERROR(INDEX(Survey_Counts!$N$2:$N$930,MATCH(1,INDEX((Survey_Counts!$A$2:$A$930=AN$3)*(Survey_Counts!$B$2:$B$930=$A26),0),0)),"")</f>
        <v/>
      </c>
      <c r="AO26" s="28" t="str">
        <f aca="false">IFERROR(INDEX(Survey_Counts!$N$2:$N$930,MATCH(1,INDEX((Survey_Counts!$A$2:$A$930=AO$3)*(Survey_Counts!$B$2:$B$930=$A26),0),0)),"")</f>
        <v/>
      </c>
      <c r="AP26" s="28" t="str">
        <f aca="false">IFERROR(INDEX(Survey_Counts!$N$2:$N$930,MATCH(1,INDEX((Survey_Counts!$A$2:$A$930=AP$3)*(Survey_Counts!$B$2:$B$930=$A26),0),0)),"")</f>
        <v/>
      </c>
      <c r="AQ26" s="28" t="str">
        <f aca="false">IFERROR(INDEX(Survey_Counts!$N$2:$N$930,MATCH(1,INDEX((Survey_Counts!$A$2:$A$930=AQ$3)*(Survey_Counts!$B$2:$B$930=$A26),0),0)),"")</f>
        <v/>
      </c>
      <c r="AR26" s="28" t="str">
        <f aca="false">IFERROR(INDEX(Survey_Counts!$N$2:$N$930,MATCH(1,INDEX((Survey_Counts!$A$2:$A$930=AR$3)*(Survey_Counts!$B$2:$B$930=$A26),0),0)),"")</f>
        <v/>
      </c>
      <c r="AS26" s="28" t="str">
        <f aca="false">IFERROR(INDEX(Survey_Counts!$N$2:$N$930,MATCH(1,INDEX((Survey_Counts!$A$2:$A$930=AS$3)*(Survey_Counts!$B$2:$B$930=$A26),0),0)),"")</f>
        <v/>
      </c>
      <c r="AT26" s="28" t="str">
        <f aca="false">IFERROR(INDEX(Survey_Counts!$N$2:$N$930,MATCH(1,INDEX((Survey_Counts!$A$2:$A$930=AT$3)*(Survey_Counts!$B$2:$B$930=$A26),0),0)),"")</f>
        <v/>
      </c>
      <c r="AU26" s="28" t="str">
        <f aca="false">IFERROR(INDEX(Survey_Counts!$N$2:$N$930,MATCH(1,INDEX((Survey_Counts!$A$2:$A$930=AU$3)*(Survey_Counts!$B$2:$B$930=$A26),0),0)),"")</f>
        <v/>
      </c>
      <c r="AV26" s="28" t="str">
        <f aca="false">IFERROR(INDEX(Survey_Counts!$N$2:$N$930,MATCH(1,INDEX((Survey_Counts!$A$2:$A$930=AV$3)*(Survey_Counts!$B$2:$B$930=$A26),0),0)),"")</f>
        <v/>
      </c>
      <c r="AW26" s="28" t="str">
        <f aca="false">IFERROR(INDEX(Survey_Counts!$N$2:$N$930,MATCH(1,INDEX((Survey_Counts!$A$2:$A$930=AW$3)*(Survey_Counts!$B$2:$B$930=$A26),0),0)),"")</f>
        <v/>
      </c>
      <c r="AX26" s="28" t="str">
        <f aca="false">IFERROR(INDEX(Survey_Counts!$N$2:$N$930,MATCH(1,INDEX((Survey_Counts!$A$2:$A$930=AX$3)*(Survey_Counts!$B$2:$B$930=$A26),0),0)),"")</f>
        <v/>
      </c>
      <c r="AY26" s="28" t="str">
        <f aca="false">IFERROR(INDEX(Survey_Counts!$N$2:$N$930,MATCH(1,INDEX((Survey_Counts!$A$2:$A$930=AY$3)*(Survey_Counts!$B$2:$B$930=$A26),0),0)),"")</f>
        <v/>
      </c>
      <c r="AZ26" s="28" t="n">
        <f aca="false">IFERROR(INDEX(Survey_Counts!$N$2:$N$930,MATCH(1,INDEX((Survey_Counts!$A$2:$A$930=AZ$3)*(Survey_Counts!$B$2:$B$930=$A26),0),0)),"")</f>
        <v>0.0505747126436782</v>
      </c>
      <c r="BA26" s="28" t="n">
        <f aca="false">IFERROR(INDEX(Survey_Counts!$N$2:$N$930,MATCH(1,INDEX((Survey_Counts!$A$2:$A$930=BA$3)*(Survey_Counts!$B$2:$B$930=$A26),0),0)),"")</f>
        <v>0.0505747126436782</v>
      </c>
      <c r="BB26" s="28" t="str">
        <f aca="false">IFERROR(INDEX(Survey_Counts!$N$2:$N$930,MATCH(1,INDEX((Survey_Counts!$A$2:$A$930=BB$3)*(Survey_Counts!$B$2:$B$930=$A26),0),0)),"")</f>
        <v/>
      </c>
      <c r="BC26" s="28" t="str">
        <f aca="false">IFERROR(INDEX(Survey_Counts!$N$2:$N$930,MATCH(1,INDEX((Survey_Counts!$A$2:$A$930=BC$3)*(Survey_Counts!$B$2:$B$930=$A26),0),0)),"")</f>
        <v/>
      </c>
      <c r="BD26" s="28" t="str">
        <f aca="false">IFERROR(INDEX(Survey_Counts!$N$2:$N$930,MATCH(1,INDEX((Survey_Counts!$A$2:$A$930=BD$3)*(Survey_Counts!$B$2:$B$930=$A26),0),0)),"")</f>
        <v/>
      </c>
      <c r="BE26" s="28" t="str">
        <f aca="false">IFERROR(INDEX(Survey_Counts!$N$2:$N$930,MATCH(1,INDEX((Survey_Counts!$A$2:$A$930=BE$3)*(Survey_Counts!$B$2:$B$930=$A26),0),0)),"")</f>
        <v/>
      </c>
      <c r="BF26" s="28" t="str">
        <f aca="false">IFERROR(INDEX(Survey_Counts!$N$2:$N$930,MATCH(1,INDEX((Survey_Counts!$A$2:$A$930=BF$3)*(Survey_Counts!$B$2:$B$930=$A26),0),0)),"")</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P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0" width="16"/>
    <col collapsed="false" customWidth="true" hidden="false" outlineLevel="0" max="14" min="3" style="0" width="7"/>
  </cols>
  <sheetData>
    <row r="1" customFormat="false" ht="15" hidden="false" customHeight="false" outlineLevel="0" collapsed="false">
      <c r="B1" s="29" t="s">
        <v>580</v>
      </c>
    </row>
    <row r="2" customFormat="false" ht="15" hidden="false" customHeight="false" outlineLevel="0" collapsed="false">
      <c r="B2" s="30" t="s">
        <v>581</v>
      </c>
    </row>
    <row r="4" customFormat="false" ht="15" hidden="false" customHeight="false" outlineLevel="0" collapsed="false">
      <c r="B4" s="4" t="s">
        <v>582</v>
      </c>
    </row>
    <row r="5" customFormat="false" ht="15" hidden="false" customHeight="false" outlineLevel="0" collapsed="false">
      <c r="B5" s="25" t="s">
        <v>167</v>
      </c>
      <c r="C5" s="25" t="s">
        <v>583</v>
      </c>
      <c r="D5" s="25" t="s">
        <v>584</v>
      </c>
      <c r="E5" s="25" t="s">
        <v>585</v>
      </c>
      <c r="F5" s="25" t="s">
        <v>586</v>
      </c>
      <c r="G5" s="25" t="s">
        <v>587</v>
      </c>
      <c r="H5" s="25" t="s">
        <v>588</v>
      </c>
      <c r="I5" s="25" t="s">
        <v>589</v>
      </c>
      <c r="J5" s="25" t="s">
        <v>590</v>
      </c>
      <c r="K5" s="25" t="s">
        <v>591</v>
      </c>
      <c r="L5" s="25" t="s">
        <v>592</v>
      </c>
      <c r="M5" s="25" t="s">
        <v>593</v>
      </c>
      <c r="N5" s="25" t="s">
        <v>594</v>
      </c>
      <c r="O5" s="25" t="s">
        <v>595</v>
      </c>
      <c r="P5" s="25" t="s">
        <v>596</v>
      </c>
    </row>
    <row r="6" customFormat="false" ht="15" hidden="false" customHeight="false" outlineLevel="0" collapsed="false">
      <c r="B6" s="27" t="s">
        <v>262</v>
      </c>
      <c r="C6" s="27" t="n">
        <f aca="false">COUNTIFS(Survey_Inventory!$B$2:$B$56,$B6,Survey_Inventory!$V$2:$V$56,"Yes",Survey_Inventory!$D$2:$D$56,"&gt;="&amp;DATE(1998,1,1),Survey_Inventory!$D$2:$D$56,"&lt;="&amp;DATE(1998,12,31))</f>
        <v>1</v>
      </c>
      <c r="D6" s="27" t="n">
        <f aca="false">COUNTIFS(Survey_Inventory!$B$2:$B$56,$B6,Survey_Inventory!$V$2:$V$56,"Yes",Survey_Inventory!$D$2:$D$56,"&gt;="&amp;DATE(2004,1,1),Survey_Inventory!$D$2:$D$56,"&lt;="&amp;DATE(2004,12,31))</f>
        <v>2</v>
      </c>
      <c r="E6" s="27" t="n">
        <f aca="false">COUNTIFS(Survey_Inventory!$B$2:$B$56,$B6,Survey_Inventory!$V$2:$V$56,"Yes",Survey_Inventory!$D$2:$D$56,"&gt;="&amp;DATE(2006,1,1),Survey_Inventory!$D$2:$D$56,"&lt;="&amp;DATE(2006,12,31))</f>
        <v>0</v>
      </c>
      <c r="F6" s="27" t="n">
        <f aca="false">COUNTIFS(Survey_Inventory!$B$2:$B$56,$B6,Survey_Inventory!$V$2:$V$56,"Yes",Survey_Inventory!$D$2:$D$56,"&gt;="&amp;DATE(2008,1,1),Survey_Inventory!$D$2:$D$56,"&lt;="&amp;DATE(2008,12,31))</f>
        <v>0</v>
      </c>
      <c r="G6" s="27" t="n">
        <f aca="false">COUNTIFS(Survey_Inventory!$B$2:$B$56,$B6,Survey_Inventory!$V$2:$V$56,"Yes",Survey_Inventory!$D$2:$D$56,"&gt;="&amp;DATE(2009,1,1),Survey_Inventory!$D$2:$D$56,"&lt;="&amp;DATE(2009,12,31))</f>
        <v>1</v>
      </c>
      <c r="H6" s="27" t="n">
        <f aca="false">COUNTIFS(Survey_Inventory!$B$2:$B$56,$B6,Survey_Inventory!$V$2:$V$56,"Yes",Survey_Inventory!$D$2:$D$56,"&gt;="&amp;DATE(2010,1,1),Survey_Inventory!$D$2:$D$56,"&lt;="&amp;DATE(2010,12,31))</f>
        <v>0</v>
      </c>
      <c r="I6" s="27" t="n">
        <f aca="false">COUNTIFS(Survey_Inventory!$B$2:$B$56,$B6,Survey_Inventory!$V$2:$V$56,"Yes",Survey_Inventory!$D$2:$D$56,"&gt;="&amp;DATE(2011,1,1),Survey_Inventory!$D$2:$D$56,"&lt;="&amp;DATE(2011,12,31))</f>
        <v>2</v>
      </c>
      <c r="J6" s="27" t="n">
        <f aca="false">COUNTIFS(Survey_Inventory!$B$2:$B$56,$B6,Survey_Inventory!$V$2:$V$56,"Yes",Survey_Inventory!$D$2:$D$56,"&gt;="&amp;DATE(2022,1,1),Survey_Inventory!$D$2:$D$56,"&lt;="&amp;DATE(2022,12,31))</f>
        <v>0</v>
      </c>
      <c r="K6" s="27" t="n">
        <f aca="false">COUNTIFS(Survey_Inventory!$B$2:$B$56,$B6,Survey_Inventory!$V$2:$V$56,"Yes",Survey_Inventory!$D$2:$D$56,"&gt;="&amp;DATE(2023,1,1),Survey_Inventory!$D$2:$D$56,"&lt;="&amp;DATE(2023,12,31))</f>
        <v>0</v>
      </c>
      <c r="L6" s="27" t="n">
        <f aca="false">COUNTIFS(Survey_Inventory!$B$2:$B$56,$B6,Survey_Inventory!$V$2:$V$56,"Yes",Survey_Inventory!$D$2:$D$56,"&gt;="&amp;DATE(2024,1,1),Survey_Inventory!$D$2:$D$56,"&lt;="&amp;DATE(2024,12,31))</f>
        <v>0</v>
      </c>
      <c r="M6" s="27" t="n">
        <f aca="false">COUNTIFS(Survey_Inventory!$B$2:$B$56,$B6,Survey_Inventory!$V$2:$V$56,"Yes",Survey_Inventory!$D$2:$D$56,"&gt;="&amp;DATE(2025,1,1),Survey_Inventory!$D$2:$D$56,"&lt;="&amp;DATE(2025,12,31))</f>
        <v>0</v>
      </c>
      <c r="N6" s="27" t="n">
        <f aca="false">COUNTIFS(Survey_Inventory!$B$2:$B$56,$B6,Survey_Inventory!$V$2:$V$56,"Yes",Survey_Inventory!$D$2:$D$56,"&gt;="&amp;DATE(2026,1,1),Survey_Inventory!$D$2:$D$56,"&lt;="&amp;DATE(2026,12,31))</f>
        <v>0</v>
      </c>
      <c r="O6" s="27" t="n">
        <f aca="false">COUNTIFS(Survey_Inventory!$B$2:$B$56,$B6,Survey_Inventory!$V$2:$V$56,"Yes",Survey_Inventory!$D$2:$D$56,"&gt;="&amp;DATE(2012,1,1),Survey_Inventory!$D$2:$D$56,"&lt;="&amp;DATE(2021,12,31))</f>
        <v>0</v>
      </c>
      <c r="P6" s="4" t="n">
        <f aca="false">SUM(C6:O6)</f>
        <v>6</v>
      </c>
    </row>
    <row r="7" customFormat="false" ht="15" hidden="false" customHeight="false" outlineLevel="0" collapsed="false">
      <c r="B7" s="27" t="s">
        <v>394</v>
      </c>
      <c r="C7" s="27" t="n">
        <f aca="false">COUNTIFS(Survey_Inventory!$B$2:$B$56,$B7,Survey_Inventory!$V$2:$V$56,"Yes",Survey_Inventory!$D$2:$D$56,"&gt;="&amp;DATE(1998,1,1),Survey_Inventory!$D$2:$D$56,"&lt;="&amp;DATE(1998,12,31))</f>
        <v>1</v>
      </c>
      <c r="D7" s="27" t="n">
        <f aca="false">COUNTIFS(Survey_Inventory!$B$2:$B$56,$B7,Survey_Inventory!$V$2:$V$56,"Yes",Survey_Inventory!$D$2:$D$56,"&gt;="&amp;DATE(2004,1,1),Survey_Inventory!$D$2:$D$56,"&lt;="&amp;DATE(2004,12,31))</f>
        <v>1</v>
      </c>
      <c r="E7" s="27" t="n">
        <f aca="false">COUNTIFS(Survey_Inventory!$B$2:$B$56,$B7,Survey_Inventory!$V$2:$V$56,"Yes",Survey_Inventory!$D$2:$D$56,"&gt;="&amp;DATE(2006,1,1),Survey_Inventory!$D$2:$D$56,"&lt;="&amp;DATE(2006,12,31))</f>
        <v>0</v>
      </c>
      <c r="F7" s="27" t="n">
        <f aca="false">COUNTIFS(Survey_Inventory!$B$2:$B$56,$B7,Survey_Inventory!$V$2:$V$56,"Yes",Survey_Inventory!$D$2:$D$56,"&gt;="&amp;DATE(2008,1,1),Survey_Inventory!$D$2:$D$56,"&lt;="&amp;DATE(2008,12,31))</f>
        <v>0</v>
      </c>
      <c r="G7" s="27" t="n">
        <f aca="false">COUNTIFS(Survey_Inventory!$B$2:$B$56,$B7,Survey_Inventory!$V$2:$V$56,"Yes",Survey_Inventory!$D$2:$D$56,"&gt;="&amp;DATE(2009,1,1),Survey_Inventory!$D$2:$D$56,"&lt;="&amp;DATE(2009,12,31))</f>
        <v>0</v>
      </c>
      <c r="H7" s="27" t="n">
        <f aca="false">COUNTIFS(Survey_Inventory!$B$2:$B$56,$B7,Survey_Inventory!$V$2:$V$56,"Yes",Survey_Inventory!$D$2:$D$56,"&gt;="&amp;DATE(2010,1,1),Survey_Inventory!$D$2:$D$56,"&lt;="&amp;DATE(2010,12,31))</f>
        <v>1</v>
      </c>
      <c r="I7" s="27" t="n">
        <f aca="false">COUNTIFS(Survey_Inventory!$B$2:$B$56,$B7,Survey_Inventory!$V$2:$V$56,"Yes",Survey_Inventory!$D$2:$D$56,"&gt;="&amp;DATE(2011,1,1),Survey_Inventory!$D$2:$D$56,"&lt;="&amp;DATE(2011,12,31))</f>
        <v>4</v>
      </c>
      <c r="J7" s="27" t="n">
        <f aca="false">COUNTIFS(Survey_Inventory!$B$2:$B$56,$B7,Survey_Inventory!$V$2:$V$56,"Yes",Survey_Inventory!$D$2:$D$56,"&gt;="&amp;DATE(2022,1,1),Survey_Inventory!$D$2:$D$56,"&lt;="&amp;DATE(2022,12,31))</f>
        <v>0</v>
      </c>
      <c r="K7" s="27" t="n">
        <f aca="false">COUNTIFS(Survey_Inventory!$B$2:$B$56,$B7,Survey_Inventory!$V$2:$V$56,"Yes",Survey_Inventory!$D$2:$D$56,"&gt;="&amp;DATE(2023,1,1),Survey_Inventory!$D$2:$D$56,"&lt;="&amp;DATE(2023,12,31))</f>
        <v>0</v>
      </c>
      <c r="L7" s="27" t="n">
        <f aca="false">COUNTIFS(Survey_Inventory!$B$2:$B$56,$B7,Survey_Inventory!$V$2:$V$56,"Yes",Survey_Inventory!$D$2:$D$56,"&gt;="&amp;DATE(2024,1,1),Survey_Inventory!$D$2:$D$56,"&lt;="&amp;DATE(2024,12,31))</f>
        <v>0</v>
      </c>
      <c r="M7" s="27" t="n">
        <f aca="false">COUNTIFS(Survey_Inventory!$B$2:$B$56,$B7,Survey_Inventory!$V$2:$V$56,"Yes",Survey_Inventory!$D$2:$D$56,"&gt;="&amp;DATE(2025,1,1),Survey_Inventory!$D$2:$D$56,"&lt;="&amp;DATE(2025,12,31))</f>
        <v>0</v>
      </c>
      <c r="N7" s="27" t="n">
        <f aca="false">COUNTIFS(Survey_Inventory!$B$2:$B$56,$B7,Survey_Inventory!$V$2:$V$56,"Yes",Survey_Inventory!$D$2:$D$56,"&gt;="&amp;DATE(2026,1,1),Survey_Inventory!$D$2:$D$56,"&lt;="&amp;DATE(2026,12,31))</f>
        <v>0</v>
      </c>
      <c r="O7" s="27" t="n">
        <f aca="false">COUNTIFS(Survey_Inventory!$B$2:$B$56,$B7,Survey_Inventory!$V$2:$V$56,"Yes",Survey_Inventory!$D$2:$D$56,"&gt;="&amp;DATE(2012,1,1),Survey_Inventory!$D$2:$D$56,"&lt;="&amp;DATE(2021,12,31))</f>
        <v>0</v>
      </c>
      <c r="P7" s="4" t="n">
        <f aca="false">SUM(C7:O7)</f>
        <v>7</v>
      </c>
    </row>
    <row r="8" customFormat="false" ht="15" hidden="false" customHeight="false" outlineLevel="0" collapsed="false">
      <c r="B8" s="27" t="s">
        <v>195</v>
      </c>
      <c r="C8" s="27" t="n">
        <f aca="false">COUNTIFS(Survey_Inventory!$B$2:$B$56,$B8,Survey_Inventory!$V$2:$V$56,"Yes",Survey_Inventory!$D$2:$D$56,"&gt;="&amp;DATE(1998,1,1),Survey_Inventory!$D$2:$D$56,"&lt;="&amp;DATE(1998,12,31))</f>
        <v>0</v>
      </c>
      <c r="D8" s="27" t="n">
        <f aca="false">COUNTIFS(Survey_Inventory!$B$2:$B$56,$B8,Survey_Inventory!$V$2:$V$56,"Yes",Survey_Inventory!$D$2:$D$56,"&gt;="&amp;DATE(2004,1,1),Survey_Inventory!$D$2:$D$56,"&lt;="&amp;DATE(2004,12,31))</f>
        <v>1</v>
      </c>
      <c r="E8" s="27" t="n">
        <f aca="false">COUNTIFS(Survey_Inventory!$B$2:$B$56,$B8,Survey_Inventory!$V$2:$V$56,"Yes",Survey_Inventory!$D$2:$D$56,"&gt;="&amp;DATE(2006,1,1),Survey_Inventory!$D$2:$D$56,"&lt;="&amp;DATE(2006,12,31))</f>
        <v>0</v>
      </c>
      <c r="F8" s="27" t="n">
        <f aca="false">COUNTIFS(Survey_Inventory!$B$2:$B$56,$B8,Survey_Inventory!$V$2:$V$56,"Yes",Survey_Inventory!$D$2:$D$56,"&gt;="&amp;DATE(2008,1,1),Survey_Inventory!$D$2:$D$56,"&lt;="&amp;DATE(2008,12,31))</f>
        <v>1</v>
      </c>
      <c r="G8" s="27" t="n">
        <f aca="false">COUNTIFS(Survey_Inventory!$B$2:$B$56,$B8,Survey_Inventory!$V$2:$V$56,"Yes",Survey_Inventory!$D$2:$D$56,"&gt;="&amp;DATE(2009,1,1),Survey_Inventory!$D$2:$D$56,"&lt;="&amp;DATE(2009,12,31))</f>
        <v>0</v>
      </c>
      <c r="H8" s="27" t="n">
        <f aca="false">COUNTIFS(Survey_Inventory!$B$2:$B$56,$B8,Survey_Inventory!$V$2:$V$56,"Yes",Survey_Inventory!$D$2:$D$56,"&gt;="&amp;DATE(2010,1,1),Survey_Inventory!$D$2:$D$56,"&lt;="&amp;DATE(2010,12,31))</f>
        <v>1</v>
      </c>
      <c r="I8" s="27" t="n">
        <f aca="false">COUNTIFS(Survey_Inventory!$B$2:$B$56,$B8,Survey_Inventory!$V$2:$V$56,"Yes",Survey_Inventory!$D$2:$D$56,"&gt;="&amp;DATE(2011,1,1),Survey_Inventory!$D$2:$D$56,"&lt;="&amp;DATE(2011,12,31))</f>
        <v>1</v>
      </c>
      <c r="J8" s="27" t="n">
        <f aca="false">COUNTIFS(Survey_Inventory!$B$2:$B$56,$B8,Survey_Inventory!$V$2:$V$56,"Yes",Survey_Inventory!$D$2:$D$56,"&gt;="&amp;DATE(2022,1,1),Survey_Inventory!$D$2:$D$56,"&lt;="&amp;DATE(2022,12,31))</f>
        <v>1</v>
      </c>
      <c r="K8" s="27" t="n">
        <f aca="false">COUNTIFS(Survey_Inventory!$B$2:$B$56,$B8,Survey_Inventory!$V$2:$V$56,"Yes",Survey_Inventory!$D$2:$D$56,"&gt;="&amp;DATE(2023,1,1),Survey_Inventory!$D$2:$D$56,"&lt;="&amp;DATE(2023,12,31))</f>
        <v>1</v>
      </c>
      <c r="L8" s="27" t="n">
        <f aca="false">COUNTIFS(Survey_Inventory!$B$2:$B$56,$B8,Survey_Inventory!$V$2:$V$56,"Yes",Survey_Inventory!$D$2:$D$56,"&gt;="&amp;DATE(2024,1,1),Survey_Inventory!$D$2:$D$56,"&lt;="&amp;DATE(2024,12,31))</f>
        <v>3</v>
      </c>
      <c r="M8" s="27" t="n">
        <f aca="false">COUNTIFS(Survey_Inventory!$B$2:$B$56,$B8,Survey_Inventory!$V$2:$V$56,"Yes",Survey_Inventory!$D$2:$D$56,"&gt;="&amp;DATE(2025,1,1),Survey_Inventory!$D$2:$D$56,"&lt;="&amp;DATE(2025,12,31))</f>
        <v>1</v>
      </c>
      <c r="N8" s="27" t="n">
        <f aca="false">COUNTIFS(Survey_Inventory!$B$2:$B$56,$B8,Survey_Inventory!$V$2:$V$56,"Yes",Survey_Inventory!$D$2:$D$56,"&gt;="&amp;DATE(2026,1,1),Survey_Inventory!$D$2:$D$56,"&lt;="&amp;DATE(2026,12,31))</f>
        <v>2</v>
      </c>
      <c r="O8" s="27" t="n">
        <f aca="false">COUNTIFS(Survey_Inventory!$B$2:$B$56,$B8,Survey_Inventory!$V$2:$V$56,"Yes",Survey_Inventory!$D$2:$D$56,"&gt;="&amp;DATE(2012,1,1),Survey_Inventory!$D$2:$D$56,"&lt;="&amp;DATE(2021,12,31))</f>
        <v>0</v>
      </c>
      <c r="P8" s="4" t="n">
        <f aca="false">SUM(C8:O8)</f>
        <v>12</v>
      </c>
    </row>
    <row r="9" customFormat="false" ht="15" hidden="false" customHeight="false" outlineLevel="0" collapsed="false">
      <c r="B9" s="27" t="s">
        <v>313</v>
      </c>
      <c r="C9" s="27" t="n">
        <f aca="false">COUNTIFS(Survey_Inventory!$B$2:$B$56,$B9,Survey_Inventory!$V$2:$V$56,"Yes",Survey_Inventory!$D$2:$D$56,"&gt;="&amp;DATE(1998,1,1),Survey_Inventory!$D$2:$D$56,"&lt;="&amp;DATE(1998,12,31))</f>
        <v>1</v>
      </c>
      <c r="D9" s="27" t="n">
        <f aca="false">COUNTIFS(Survey_Inventory!$B$2:$B$56,$B9,Survey_Inventory!$V$2:$V$56,"Yes",Survey_Inventory!$D$2:$D$56,"&gt;="&amp;DATE(2004,1,1),Survey_Inventory!$D$2:$D$56,"&lt;="&amp;DATE(2004,12,31))</f>
        <v>1</v>
      </c>
      <c r="E9" s="27" t="n">
        <f aca="false">COUNTIFS(Survey_Inventory!$B$2:$B$56,$B9,Survey_Inventory!$V$2:$V$56,"Yes",Survey_Inventory!$D$2:$D$56,"&gt;="&amp;DATE(2006,1,1),Survey_Inventory!$D$2:$D$56,"&lt;="&amp;DATE(2006,12,31))</f>
        <v>1</v>
      </c>
      <c r="F9" s="27" t="n">
        <f aca="false">COUNTIFS(Survey_Inventory!$B$2:$B$56,$B9,Survey_Inventory!$V$2:$V$56,"Yes",Survey_Inventory!$D$2:$D$56,"&gt;="&amp;DATE(2008,1,1),Survey_Inventory!$D$2:$D$56,"&lt;="&amp;DATE(2008,12,31))</f>
        <v>1</v>
      </c>
      <c r="G9" s="27" t="n">
        <f aca="false">COUNTIFS(Survey_Inventory!$B$2:$B$56,$B9,Survey_Inventory!$V$2:$V$56,"Yes",Survey_Inventory!$D$2:$D$56,"&gt;="&amp;DATE(2009,1,1),Survey_Inventory!$D$2:$D$56,"&lt;="&amp;DATE(2009,12,31))</f>
        <v>0</v>
      </c>
      <c r="H9" s="27" t="n">
        <f aca="false">COUNTIFS(Survey_Inventory!$B$2:$B$56,$B9,Survey_Inventory!$V$2:$V$56,"Yes",Survey_Inventory!$D$2:$D$56,"&gt;="&amp;DATE(2010,1,1),Survey_Inventory!$D$2:$D$56,"&lt;="&amp;DATE(2010,12,31))</f>
        <v>1</v>
      </c>
      <c r="I9" s="27" t="n">
        <f aca="false">COUNTIFS(Survey_Inventory!$B$2:$B$56,$B9,Survey_Inventory!$V$2:$V$56,"Yes",Survey_Inventory!$D$2:$D$56,"&gt;="&amp;DATE(2011,1,1),Survey_Inventory!$D$2:$D$56,"&lt;="&amp;DATE(2011,12,31))</f>
        <v>1</v>
      </c>
      <c r="J9" s="27" t="n">
        <f aca="false">COUNTIFS(Survey_Inventory!$B$2:$B$56,$B9,Survey_Inventory!$V$2:$V$56,"Yes",Survey_Inventory!$D$2:$D$56,"&gt;="&amp;DATE(2022,1,1),Survey_Inventory!$D$2:$D$56,"&lt;="&amp;DATE(2022,12,31))</f>
        <v>1</v>
      </c>
      <c r="K9" s="27" t="n">
        <f aca="false">COUNTIFS(Survey_Inventory!$B$2:$B$56,$B9,Survey_Inventory!$V$2:$V$56,"Yes",Survey_Inventory!$D$2:$D$56,"&gt;="&amp;DATE(2023,1,1),Survey_Inventory!$D$2:$D$56,"&lt;="&amp;DATE(2023,12,31))</f>
        <v>1</v>
      </c>
      <c r="L9" s="27" t="n">
        <f aca="false">COUNTIFS(Survey_Inventory!$B$2:$B$56,$B9,Survey_Inventory!$V$2:$V$56,"Yes",Survey_Inventory!$D$2:$D$56,"&gt;="&amp;DATE(2024,1,1),Survey_Inventory!$D$2:$D$56,"&lt;="&amp;DATE(2024,12,31))</f>
        <v>3</v>
      </c>
      <c r="M9" s="27" t="n">
        <f aca="false">COUNTIFS(Survey_Inventory!$B$2:$B$56,$B9,Survey_Inventory!$V$2:$V$56,"Yes",Survey_Inventory!$D$2:$D$56,"&gt;="&amp;DATE(2025,1,1),Survey_Inventory!$D$2:$D$56,"&lt;="&amp;DATE(2025,12,31))</f>
        <v>1</v>
      </c>
      <c r="N9" s="27" t="n">
        <f aca="false">COUNTIFS(Survey_Inventory!$B$2:$B$56,$B9,Survey_Inventory!$V$2:$V$56,"Yes",Survey_Inventory!$D$2:$D$56,"&gt;="&amp;DATE(2026,1,1),Survey_Inventory!$D$2:$D$56,"&lt;="&amp;DATE(2026,12,31))</f>
        <v>1</v>
      </c>
      <c r="O9" s="27" t="n">
        <f aca="false">COUNTIFS(Survey_Inventory!$B$2:$B$56,$B9,Survey_Inventory!$V$2:$V$56,"Yes",Survey_Inventory!$D$2:$D$56,"&gt;="&amp;DATE(2012,1,1),Survey_Inventory!$D$2:$D$56,"&lt;="&amp;DATE(2021,12,31))</f>
        <v>0</v>
      </c>
      <c r="P9" s="4" t="n">
        <f aca="false">SUM(C9:O9)</f>
        <v>13</v>
      </c>
    </row>
    <row r="10" customFormat="false" ht="15" hidden="false" customHeight="false" outlineLevel="0" collapsed="false">
      <c r="B10" s="27" t="s">
        <v>597</v>
      </c>
      <c r="C10" s="27" t="n">
        <f aca="false">COUNTIFS(Survey_Inventory!$B$2:$B$56,$B10,Survey_Inventory!$V$2:$V$56,"Yes",Survey_Inventory!$D$2:$D$56,"&gt;="&amp;DATE(1998,1,1),Survey_Inventory!$D$2:$D$56,"&lt;="&amp;DATE(1998,12,31))</f>
        <v>0</v>
      </c>
      <c r="D10" s="27" t="n">
        <f aca="false">COUNTIFS(Survey_Inventory!$B$2:$B$56,$B10,Survey_Inventory!$V$2:$V$56,"Yes",Survey_Inventory!$D$2:$D$56,"&gt;="&amp;DATE(2004,1,1),Survey_Inventory!$D$2:$D$56,"&lt;="&amp;DATE(2004,12,31))</f>
        <v>0</v>
      </c>
      <c r="E10" s="27" t="n">
        <f aca="false">COUNTIFS(Survey_Inventory!$B$2:$B$56,$B10,Survey_Inventory!$V$2:$V$56,"Yes",Survey_Inventory!$D$2:$D$56,"&gt;="&amp;DATE(2006,1,1),Survey_Inventory!$D$2:$D$56,"&lt;="&amp;DATE(2006,12,31))</f>
        <v>0</v>
      </c>
      <c r="F10" s="27" t="n">
        <f aca="false">COUNTIFS(Survey_Inventory!$B$2:$B$56,$B10,Survey_Inventory!$V$2:$V$56,"Yes",Survey_Inventory!$D$2:$D$56,"&gt;="&amp;DATE(2008,1,1),Survey_Inventory!$D$2:$D$56,"&lt;="&amp;DATE(2008,12,31))</f>
        <v>0</v>
      </c>
      <c r="G10" s="27" t="n">
        <f aca="false">COUNTIFS(Survey_Inventory!$B$2:$B$56,$B10,Survey_Inventory!$V$2:$V$56,"Yes",Survey_Inventory!$D$2:$D$56,"&gt;="&amp;DATE(2009,1,1),Survey_Inventory!$D$2:$D$56,"&lt;="&amp;DATE(2009,12,31))</f>
        <v>0</v>
      </c>
      <c r="H10" s="27" t="n">
        <f aca="false">COUNTIFS(Survey_Inventory!$B$2:$B$56,$B10,Survey_Inventory!$V$2:$V$56,"Yes",Survey_Inventory!$D$2:$D$56,"&gt;="&amp;DATE(2010,1,1),Survey_Inventory!$D$2:$D$56,"&lt;="&amp;DATE(2010,12,31))</f>
        <v>0</v>
      </c>
      <c r="I10" s="27" t="n">
        <f aca="false">COUNTIFS(Survey_Inventory!$B$2:$B$56,$B10,Survey_Inventory!$V$2:$V$56,"Yes",Survey_Inventory!$D$2:$D$56,"&gt;="&amp;DATE(2011,1,1),Survey_Inventory!$D$2:$D$56,"&lt;="&amp;DATE(2011,12,31))</f>
        <v>0</v>
      </c>
      <c r="J10" s="27" t="n">
        <f aca="false">COUNTIFS(Survey_Inventory!$B$2:$B$56,$B10,Survey_Inventory!$V$2:$V$56,"Yes",Survey_Inventory!$D$2:$D$56,"&gt;="&amp;DATE(2022,1,1),Survey_Inventory!$D$2:$D$56,"&lt;="&amp;DATE(2022,12,31))</f>
        <v>0</v>
      </c>
      <c r="K10" s="27" t="n">
        <f aca="false">COUNTIFS(Survey_Inventory!$B$2:$B$56,$B10,Survey_Inventory!$V$2:$V$56,"Yes",Survey_Inventory!$D$2:$D$56,"&gt;="&amp;DATE(2023,1,1),Survey_Inventory!$D$2:$D$56,"&lt;="&amp;DATE(2023,12,31))</f>
        <v>0</v>
      </c>
      <c r="L10" s="27" t="n">
        <f aca="false">COUNTIFS(Survey_Inventory!$B$2:$B$56,$B10,Survey_Inventory!$V$2:$V$56,"Yes",Survey_Inventory!$D$2:$D$56,"&gt;="&amp;DATE(2024,1,1),Survey_Inventory!$D$2:$D$56,"&lt;="&amp;DATE(2024,12,31))</f>
        <v>0</v>
      </c>
      <c r="M10" s="27" t="n">
        <f aca="false">COUNTIFS(Survey_Inventory!$B$2:$B$56,$B10,Survey_Inventory!$V$2:$V$56,"Yes",Survey_Inventory!$D$2:$D$56,"&gt;="&amp;DATE(2025,1,1),Survey_Inventory!$D$2:$D$56,"&lt;="&amp;DATE(2025,12,31))</f>
        <v>0</v>
      </c>
      <c r="N10" s="27" t="n">
        <f aca="false">COUNTIFS(Survey_Inventory!$B$2:$B$56,$B10,Survey_Inventory!$V$2:$V$56,"Yes",Survey_Inventory!$D$2:$D$56,"&gt;="&amp;DATE(2026,1,1),Survey_Inventory!$D$2:$D$56,"&lt;="&amp;DATE(2026,12,31))</f>
        <v>0</v>
      </c>
      <c r="O10" s="27" t="n">
        <f aca="false">COUNTIFS(Survey_Inventory!$B$2:$B$56,$B10,Survey_Inventory!$V$2:$V$56,"Yes",Survey_Inventory!$D$2:$D$56,"&gt;="&amp;DATE(2012,1,1),Survey_Inventory!$D$2:$D$56,"&lt;="&amp;DATE(2021,12,31))</f>
        <v>0</v>
      </c>
      <c r="P10" s="4" t="n">
        <f aca="false">SUM(C10:O10)</f>
        <v>0</v>
      </c>
    </row>
    <row r="12" customFormat="false" ht="15" hidden="false" customHeight="false" outlineLevel="0" collapsed="false">
      <c r="B12" s="4" t="s">
        <v>598</v>
      </c>
    </row>
    <row r="13" customFormat="false" ht="15" hidden="false" customHeight="false" outlineLevel="0" collapsed="false">
      <c r="B13" s="25" t="s">
        <v>167</v>
      </c>
      <c r="C13" s="25" t="s">
        <v>198</v>
      </c>
      <c r="D13" s="25" t="s">
        <v>220</v>
      </c>
      <c r="E13" s="25" t="s">
        <v>596</v>
      </c>
    </row>
    <row r="14" customFormat="false" ht="15" hidden="false" customHeight="false" outlineLevel="0" collapsed="false">
      <c r="B14" s="27" t="s">
        <v>262</v>
      </c>
      <c r="C14" s="27" t="n">
        <f aca="false">COUNTIFS(Survey_Inventory!$B$2:$B$56,$B14,Survey_Inventory!$V$2:$V$56,"Yes",Survey_Inventory!$F$2:$F$56,"Daylight")</f>
        <v>3</v>
      </c>
      <c r="D14" s="27" t="n">
        <f aca="false">COUNTIFS(Survey_Inventory!$B$2:$B$56,$B14,Survey_Inventory!$V$2:$V$56,"Yes",Survey_Inventory!$F$2:$F$56,"Evening")</f>
        <v>3</v>
      </c>
      <c r="E14" s="4" t="n">
        <f aca="false">SUM(C14:D14)</f>
        <v>6</v>
      </c>
    </row>
    <row r="15" customFormat="false" ht="15" hidden="false" customHeight="false" outlineLevel="0" collapsed="false">
      <c r="B15" s="27" t="s">
        <v>394</v>
      </c>
      <c r="C15" s="27" t="n">
        <f aca="false">COUNTIFS(Survey_Inventory!$B$2:$B$56,$B15,Survey_Inventory!$V$2:$V$56,"Yes",Survey_Inventory!$F$2:$F$56,"Daylight")</f>
        <v>5</v>
      </c>
      <c r="D15" s="27" t="n">
        <f aca="false">COUNTIFS(Survey_Inventory!$B$2:$B$56,$B15,Survey_Inventory!$V$2:$V$56,"Yes",Survey_Inventory!$F$2:$F$56,"Evening")</f>
        <v>2</v>
      </c>
      <c r="E15" s="4" t="n">
        <f aca="false">SUM(C15:D15)</f>
        <v>7</v>
      </c>
    </row>
    <row r="16" customFormat="false" ht="15" hidden="false" customHeight="false" outlineLevel="0" collapsed="false">
      <c r="B16" s="27" t="s">
        <v>195</v>
      </c>
      <c r="C16" s="27" t="n">
        <f aca="false">COUNTIFS(Survey_Inventory!$B$2:$B$56,$B16,Survey_Inventory!$V$2:$V$56,"Yes",Survey_Inventory!$F$2:$F$56,"Daylight")</f>
        <v>7</v>
      </c>
      <c r="D16" s="27" t="n">
        <f aca="false">COUNTIFS(Survey_Inventory!$B$2:$B$56,$B16,Survey_Inventory!$V$2:$V$56,"Yes",Survey_Inventory!$F$2:$F$56,"Evening")</f>
        <v>5</v>
      </c>
      <c r="E16" s="4" t="n">
        <f aca="false">SUM(C16:D16)</f>
        <v>12</v>
      </c>
    </row>
    <row r="17" customFormat="false" ht="15" hidden="false" customHeight="false" outlineLevel="0" collapsed="false">
      <c r="B17" s="27" t="s">
        <v>313</v>
      </c>
      <c r="C17" s="27" t="n">
        <f aca="false">COUNTIFS(Survey_Inventory!$B$2:$B$56,$B17,Survey_Inventory!$V$2:$V$56,"Yes",Survey_Inventory!$F$2:$F$56,"Daylight")</f>
        <v>8</v>
      </c>
      <c r="D17" s="27" t="n">
        <f aca="false">COUNTIFS(Survey_Inventory!$B$2:$B$56,$B17,Survey_Inventory!$V$2:$V$56,"Yes",Survey_Inventory!$F$2:$F$56,"Evening")</f>
        <v>5</v>
      </c>
      <c r="E17" s="4" t="n">
        <f aca="false">SUM(C17:D17)</f>
        <v>13</v>
      </c>
    </row>
    <row r="18" customFormat="false" ht="15" hidden="false" customHeight="false" outlineLevel="0" collapsed="false">
      <c r="B18" s="27" t="s">
        <v>597</v>
      </c>
      <c r="C18" s="27" t="n">
        <f aca="false">COUNTIFS(Survey_Inventory!$B$2:$B$56,$B18,Survey_Inventory!$V$2:$V$56,"Yes",Survey_Inventory!$F$2:$F$56,"Daylight")</f>
        <v>0</v>
      </c>
      <c r="D18" s="27" t="n">
        <f aca="false">COUNTIFS(Survey_Inventory!$B$2:$B$56,$B18,Survey_Inventory!$V$2:$V$56,"Yes",Survey_Inventory!$F$2:$F$56,"Evening")</f>
        <v>0</v>
      </c>
      <c r="E18" s="4" t="n">
        <f aca="false">SUM(C18:D18)</f>
        <v>0</v>
      </c>
    </row>
    <row r="20" customFormat="false" ht="15" hidden="false" customHeight="false" outlineLevel="0" collapsed="false">
      <c r="B20" s="4" t="s">
        <v>599</v>
      </c>
    </row>
    <row r="21" customFormat="false" ht="15" hidden="false" customHeight="true" outlineLevel="0" collapsed="false">
      <c r="B21" s="2" t="s">
        <v>600</v>
      </c>
    </row>
    <row r="22" customFormat="false" ht="25.5" hidden="false" customHeight="true" outlineLevel="0" collapsed="false">
      <c r="B22" s="2" t="s">
        <v>601</v>
      </c>
    </row>
    <row r="23" customFormat="false" ht="25.5" hidden="false" customHeight="true" outlineLevel="0" collapsed="false">
      <c r="B23" s="2" t="s">
        <v>602</v>
      </c>
    </row>
    <row r="24" customFormat="false" ht="25.5" hidden="false" customHeight="true" outlineLevel="0" collapsed="false">
      <c r="B24" s="2" t="s">
        <v>603</v>
      </c>
    </row>
    <row r="25" customFormat="false" ht="25.5" hidden="false" customHeight="true" outlineLevel="0" collapsed="false">
      <c r="B25" s="2" t="s">
        <v>604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71484375" defaultRowHeight="15" zeroHeight="false" outlineLevelRow="0" outlineLevelCol="0"/>
  <cols>
    <col collapsed="false" customWidth="true" hidden="false" outlineLevel="0" max="1" min="1" style="0" width="13"/>
    <col collapsed="false" customWidth="true" hidden="false" outlineLevel="0" max="2" min="2" style="0" width="17"/>
    <col collapsed="false" customWidth="true" hidden="false" outlineLevel="0" max="3" min="3" style="0" width="22"/>
    <col collapsed="false" customWidth="true" hidden="false" outlineLevel="0" max="4" min="4" style="0" width="26"/>
    <col collapsed="false" customWidth="true" hidden="false" outlineLevel="0" max="5" min="5" style="0" width="9"/>
    <col collapsed="false" customWidth="true" hidden="false" outlineLevel="0" max="6" min="6" style="0" width="14"/>
    <col collapsed="false" customWidth="true" hidden="false" outlineLevel="0" max="7" min="7" style="0" width="12"/>
    <col collapsed="false" customWidth="true" hidden="false" outlineLevel="0" max="9" min="8" style="0" width="9"/>
    <col collapsed="false" customWidth="true" hidden="false" outlineLevel="0" max="11" min="10" style="0" width="10"/>
    <col collapsed="false" customWidth="true" hidden="false" outlineLevel="0" max="13" min="12" style="0" width="11"/>
    <col collapsed="false" customWidth="true" hidden="false" outlineLevel="0" max="14" min="14" style="0" width="12"/>
    <col collapsed="false" customWidth="true" hidden="false" outlineLevel="0" max="15" min="15" style="0" width="64"/>
  </cols>
  <sheetData>
    <row r="1" customFormat="false" ht="30" hidden="false" customHeight="true" outlineLevel="0" collapsed="false">
      <c r="A1" s="5" t="s">
        <v>167</v>
      </c>
      <c r="B1" s="5" t="s">
        <v>605</v>
      </c>
      <c r="C1" s="5" t="s">
        <v>606</v>
      </c>
      <c r="D1" s="5" t="s">
        <v>607</v>
      </c>
      <c r="E1" s="5" t="s">
        <v>513</v>
      </c>
      <c r="F1" s="5" t="s">
        <v>514</v>
      </c>
      <c r="G1" s="5" t="s">
        <v>515</v>
      </c>
      <c r="H1" s="5" t="s">
        <v>516</v>
      </c>
      <c r="I1" s="5" t="s">
        <v>517</v>
      </c>
      <c r="J1" s="5" t="s">
        <v>518</v>
      </c>
      <c r="K1" s="5" t="s">
        <v>519</v>
      </c>
      <c r="L1" s="5" t="s">
        <v>520</v>
      </c>
      <c r="M1" s="5" t="s">
        <v>181</v>
      </c>
      <c r="N1" s="5" t="s">
        <v>521</v>
      </c>
      <c r="O1" s="5" t="s">
        <v>190</v>
      </c>
    </row>
    <row r="2" customFormat="false" ht="15" hidden="false" customHeight="true" outlineLevel="0" collapsed="false">
      <c r="A2" s="18" t="s">
        <v>262</v>
      </c>
      <c r="B2" s="18" t="s">
        <v>608</v>
      </c>
      <c r="C2" s="18" t="s">
        <v>609</v>
      </c>
      <c r="D2" s="18" t="s">
        <v>610</v>
      </c>
      <c r="E2" s="18" t="n">
        <v>0</v>
      </c>
      <c r="F2" s="18" t="s">
        <v>204</v>
      </c>
      <c r="G2" s="18"/>
      <c r="H2" s="18" t="n">
        <v>61</v>
      </c>
      <c r="I2" s="18" t="n">
        <v>0</v>
      </c>
      <c r="J2" s="18" t="n">
        <f aca="false">SUMIFS($H$2:$H$260,$A$2:$A$260,$A2,$B$2:$B$260,$B2,$E$2:$E$260,"&lt;="&amp;$E2)</f>
        <v>61</v>
      </c>
      <c r="K2" s="18" t="n">
        <f aca="false">SUMIFS($I$2:$I$260,$A$2:$A$260,$A2,$B$2:$B$260,$B2,$E$2:$E$260,"&lt;="&amp;$E2)</f>
        <v>0</v>
      </c>
      <c r="L2" s="18" t="n">
        <f aca="false">J2-K2</f>
        <v>61</v>
      </c>
      <c r="M2" s="18" t="n">
        <f aca="false">SUMIFS($H$2:$H$260,$A$2:$A$260,$A2,$B$2:$B$260,$B2)</f>
        <v>1252</v>
      </c>
      <c r="N2" s="20" t="n">
        <f aca="false">IF(M2=0,"",L2/M2)</f>
        <v>0.0487220447284345</v>
      </c>
      <c r="O2" s="18" t="s">
        <v>611</v>
      </c>
    </row>
    <row r="3" customFormat="false" ht="15" hidden="false" customHeight="true" outlineLevel="0" collapsed="false">
      <c r="A3" s="18" t="s">
        <v>262</v>
      </c>
      <c r="B3" s="18" t="s">
        <v>608</v>
      </c>
      <c r="C3" s="18" t="s">
        <v>609</v>
      </c>
      <c r="D3" s="18" t="s">
        <v>610</v>
      </c>
      <c r="E3" s="18" t="n">
        <v>1</v>
      </c>
      <c r="F3" s="18" t="s">
        <v>531</v>
      </c>
      <c r="G3" s="18" t="n">
        <v>-210</v>
      </c>
      <c r="H3" s="18" t="n">
        <v>74</v>
      </c>
      <c r="I3" s="18" t="n">
        <v>2</v>
      </c>
      <c r="J3" s="18" t="n">
        <f aca="false">SUMIFS($H$2:$H$260,$A$2:$A$260,$A3,$B$2:$B$260,$B3,$E$2:$E$260,"&lt;="&amp;$E3)</f>
        <v>135</v>
      </c>
      <c r="K3" s="18" t="n">
        <f aca="false">SUMIFS($I$2:$I$260,$A$2:$A$260,$A3,$B$2:$B$260,$B3,$E$2:$E$260,"&lt;="&amp;$E3)</f>
        <v>2</v>
      </c>
      <c r="L3" s="18" t="n">
        <f aca="false">J3-K3</f>
        <v>133</v>
      </c>
      <c r="M3" s="18" t="n">
        <f aca="false">SUMIFS($H$2:$H$260,$A$2:$A$260,$A3,$B$2:$B$260,$B3)</f>
        <v>1252</v>
      </c>
      <c r="N3" s="20" t="n">
        <f aca="false">IF(M3=0,"",L3/M3)</f>
        <v>0.106230031948882</v>
      </c>
      <c r="O3" s="18" t="s">
        <v>611</v>
      </c>
    </row>
    <row r="4" customFormat="false" ht="15" hidden="false" customHeight="true" outlineLevel="0" collapsed="false">
      <c r="A4" s="18" t="s">
        <v>262</v>
      </c>
      <c r="B4" s="18" t="s">
        <v>608</v>
      </c>
      <c r="C4" s="18" t="s">
        <v>609</v>
      </c>
      <c r="D4" s="18" t="s">
        <v>610</v>
      </c>
      <c r="E4" s="18" t="n">
        <v>2</v>
      </c>
      <c r="F4" s="18" t="s">
        <v>340</v>
      </c>
      <c r="G4" s="18" t="n">
        <v>-195</v>
      </c>
      <c r="H4" s="18" t="n">
        <v>93</v>
      </c>
      <c r="I4" s="18" t="n">
        <v>4</v>
      </c>
      <c r="J4" s="18" t="n">
        <f aca="false">SUMIFS($H$2:$H$260,$A$2:$A$260,$A4,$B$2:$B$260,$B4,$E$2:$E$260,"&lt;="&amp;$E4)</f>
        <v>228</v>
      </c>
      <c r="K4" s="18" t="n">
        <f aca="false">SUMIFS($I$2:$I$260,$A$2:$A$260,$A4,$B$2:$B$260,$B4,$E$2:$E$260,"&lt;="&amp;$E4)</f>
        <v>6</v>
      </c>
      <c r="L4" s="18" t="n">
        <f aca="false">J4-K4</f>
        <v>222</v>
      </c>
      <c r="M4" s="18" t="n">
        <f aca="false">SUMIFS($H$2:$H$260,$A$2:$A$260,$A4,$B$2:$B$260,$B4)</f>
        <v>1252</v>
      </c>
      <c r="N4" s="20" t="n">
        <f aca="false">IF(M4=0,"",L4/M4)</f>
        <v>0.177316293929712</v>
      </c>
      <c r="O4" s="18" t="s">
        <v>611</v>
      </c>
    </row>
    <row r="5" customFormat="false" ht="15" hidden="false" customHeight="true" outlineLevel="0" collapsed="false">
      <c r="A5" s="18" t="s">
        <v>262</v>
      </c>
      <c r="B5" s="18" t="s">
        <v>608</v>
      </c>
      <c r="C5" s="18" t="s">
        <v>609</v>
      </c>
      <c r="D5" s="18" t="s">
        <v>610</v>
      </c>
      <c r="E5" s="18" t="n">
        <v>3</v>
      </c>
      <c r="F5" s="18" t="s">
        <v>525</v>
      </c>
      <c r="G5" s="18" t="n">
        <v>-180</v>
      </c>
      <c r="H5" s="18" t="n">
        <v>133</v>
      </c>
      <c r="I5" s="18" t="n">
        <v>4</v>
      </c>
      <c r="J5" s="18" t="n">
        <f aca="false">SUMIFS($H$2:$H$260,$A$2:$A$260,$A5,$B$2:$B$260,$B5,$E$2:$E$260,"&lt;="&amp;$E5)</f>
        <v>361</v>
      </c>
      <c r="K5" s="18" t="n">
        <f aca="false">SUMIFS($I$2:$I$260,$A$2:$A$260,$A5,$B$2:$B$260,$B5,$E$2:$E$260,"&lt;="&amp;$E5)</f>
        <v>10</v>
      </c>
      <c r="L5" s="18" t="n">
        <f aca="false">J5-K5</f>
        <v>351</v>
      </c>
      <c r="M5" s="18" t="n">
        <f aca="false">SUMIFS($H$2:$H$260,$A$2:$A$260,$A5,$B$2:$B$260,$B5)</f>
        <v>1252</v>
      </c>
      <c r="N5" s="20" t="n">
        <f aca="false">IF(M5=0,"",L5/M5)</f>
        <v>0.280351437699681</v>
      </c>
      <c r="O5" s="18" t="s">
        <v>611</v>
      </c>
    </row>
    <row r="6" customFormat="false" ht="15" hidden="false" customHeight="true" outlineLevel="0" collapsed="false">
      <c r="A6" s="18" t="s">
        <v>262</v>
      </c>
      <c r="B6" s="18" t="s">
        <v>608</v>
      </c>
      <c r="C6" s="18" t="s">
        <v>609</v>
      </c>
      <c r="D6" s="18" t="s">
        <v>610</v>
      </c>
      <c r="E6" s="18" t="n">
        <v>4</v>
      </c>
      <c r="F6" s="18" t="s">
        <v>526</v>
      </c>
      <c r="G6" s="18" t="n">
        <v>-165</v>
      </c>
      <c r="H6" s="18" t="n">
        <v>143</v>
      </c>
      <c r="I6" s="18" t="n">
        <v>7</v>
      </c>
      <c r="J6" s="18" t="n">
        <f aca="false">SUMIFS($H$2:$H$260,$A$2:$A$260,$A6,$B$2:$B$260,$B6,$E$2:$E$260,"&lt;="&amp;$E6)</f>
        <v>504</v>
      </c>
      <c r="K6" s="18" t="n">
        <f aca="false">SUMIFS($I$2:$I$260,$A$2:$A$260,$A6,$B$2:$B$260,$B6,$E$2:$E$260,"&lt;="&amp;$E6)</f>
        <v>17</v>
      </c>
      <c r="L6" s="18" t="n">
        <f aca="false">J6-K6</f>
        <v>487</v>
      </c>
      <c r="M6" s="18" t="n">
        <f aca="false">SUMIFS($H$2:$H$260,$A$2:$A$260,$A6,$B$2:$B$260,$B6)</f>
        <v>1252</v>
      </c>
      <c r="N6" s="20" t="n">
        <f aca="false">IF(M6=0,"",L6/M6)</f>
        <v>0.388977635782748</v>
      </c>
      <c r="O6" s="18" t="s">
        <v>611</v>
      </c>
    </row>
    <row r="7" customFormat="false" ht="15" hidden="false" customHeight="true" outlineLevel="0" collapsed="false">
      <c r="A7" s="18" t="s">
        <v>262</v>
      </c>
      <c r="B7" s="18" t="s">
        <v>608</v>
      </c>
      <c r="C7" s="18" t="s">
        <v>609</v>
      </c>
      <c r="D7" s="18" t="s">
        <v>610</v>
      </c>
      <c r="E7" s="18" t="n">
        <v>5</v>
      </c>
      <c r="F7" s="18" t="s">
        <v>527</v>
      </c>
      <c r="G7" s="18" t="n">
        <v>-150</v>
      </c>
      <c r="H7" s="18" t="n">
        <v>174</v>
      </c>
      <c r="I7" s="18" t="n">
        <v>28</v>
      </c>
      <c r="J7" s="18" t="n">
        <f aca="false">SUMIFS($H$2:$H$260,$A$2:$A$260,$A7,$B$2:$B$260,$B7,$E$2:$E$260,"&lt;="&amp;$E7)</f>
        <v>678</v>
      </c>
      <c r="K7" s="18" t="n">
        <f aca="false">SUMIFS($I$2:$I$260,$A$2:$A$260,$A7,$B$2:$B$260,$B7,$E$2:$E$260,"&lt;="&amp;$E7)</f>
        <v>45</v>
      </c>
      <c r="L7" s="18" t="n">
        <f aca="false">J7-K7</f>
        <v>633</v>
      </c>
      <c r="M7" s="18" t="n">
        <f aca="false">SUMIFS($H$2:$H$260,$A$2:$A$260,$A7,$B$2:$B$260,$B7)</f>
        <v>1252</v>
      </c>
      <c r="N7" s="20" t="n">
        <f aca="false">IF(M7=0,"",L7/M7)</f>
        <v>0.505591054313099</v>
      </c>
      <c r="O7" s="18" t="s">
        <v>611</v>
      </c>
    </row>
    <row r="8" customFormat="false" ht="15" hidden="false" customHeight="true" outlineLevel="0" collapsed="false">
      <c r="A8" s="18" t="s">
        <v>262</v>
      </c>
      <c r="B8" s="18" t="s">
        <v>608</v>
      </c>
      <c r="C8" s="18" t="s">
        <v>609</v>
      </c>
      <c r="D8" s="18" t="s">
        <v>610</v>
      </c>
      <c r="E8" s="18" t="n">
        <v>6</v>
      </c>
      <c r="F8" s="18" t="s">
        <v>528</v>
      </c>
      <c r="G8" s="18" t="n">
        <v>-135</v>
      </c>
      <c r="H8" s="18" t="n">
        <v>154</v>
      </c>
      <c r="I8" s="18" t="n">
        <v>24</v>
      </c>
      <c r="J8" s="18" t="n">
        <f aca="false">SUMIFS($H$2:$H$260,$A$2:$A$260,$A8,$B$2:$B$260,$B8,$E$2:$E$260,"&lt;="&amp;$E8)</f>
        <v>832</v>
      </c>
      <c r="K8" s="18" t="n">
        <f aca="false">SUMIFS($I$2:$I$260,$A$2:$A$260,$A8,$B$2:$B$260,$B8,$E$2:$E$260,"&lt;="&amp;$E8)</f>
        <v>69</v>
      </c>
      <c r="L8" s="18" t="n">
        <f aca="false">J8-K8</f>
        <v>763</v>
      </c>
      <c r="M8" s="18" t="n">
        <f aca="false">SUMIFS($H$2:$H$260,$A$2:$A$260,$A8,$B$2:$B$260,$B8)</f>
        <v>1252</v>
      </c>
      <c r="N8" s="20" t="n">
        <f aca="false">IF(M8=0,"",L8/M8)</f>
        <v>0.609424920127796</v>
      </c>
      <c r="O8" s="18" t="s">
        <v>611</v>
      </c>
    </row>
    <row r="9" customFormat="false" ht="15" hidden="false" customHeight="true" outlineLevel="0" collapsed="false">
      <c r="A9" s="18" t="s">
        <v>262</v>
      </c>
      <c r="B9" s="18" t="s">
        <v>608</v>
      </c>
      <c r="C9" s="18" t="s">
        <v>609</v>
      </c>
      <c r="D9" s="18" t="s">
        <v>610</v>
      </c>
      <c r="E9" s="18" t="n">
        <v>7</v>
      </c>
      <c r="F9" s="18" t="s">
        <v>227</v>
      </c>
      <c r="G9" s="18" t="n">
        <v>-120</v>
      </c>
      <c r="H9" s="18" t="n">
        <v>135</v>
      </c>
      <c r="I9" s="18" t="n">
        <v>38</v>
      </c>
      <c r="J9" s="18" t="n">
        <f aca="false">SUMIFS($H$2:$H$260,$A$2:$A$260,$A9,$B$2:$B$260,$B9,$E$2:$E$260,"&lt;="&amp;$E9)</f>
        <v>967</v>
      </c>
      <c r="K9" s="18" t="n">
        <f aca="false">SUMIFS($I$2:$I$260,$A$2:$A$260,$A9,$B$2:$B$260,$B9,$E$2:$E$260,"&lt;="&amp;$E9)</f>
        <v>107</v>
      </c>
      <c r="L9" s="18" t="n">
        <f aca="false">J9-K9</f>
        <v>860</v>
      </c>
      <c r="M9" s="18" t="n">
        <f aca="false">SUMIFS($H$2:$H$260,$A$2:$A$260,$A9,$B$2:$B$260,$B9)</f>
        <v>1252</v>
      </c>
      <c r="N9" s="20" t="n">
        <f aca="false">IF(M9=0,"",L9/M9)</f>
        <v>0.686900958466454</v>
      </c>
      <c r="O9" s="18" t="s">
        <v>611</v>
      </c>
    </row>
    <row r="10" customFormat="false" ht="15" hidden="false" customHeight="true" outlineLevel="0" collapsed="false">
      <c r="A10" s="18" t="s">
        <v>262</v>
      </c>
      <c r="B10" s="18" t="s">
        <v>608</v>
      </c>
      <c r="C10" s="18" t="s">
        <v>609</v>
      </c>
      <c r="D10" s="18" t="s">
        <v>610</v>
      </c>
      <c r="E10" s="18" t="n">
        <v>8</v>
      </c>
      <c r="F10" s="18" t="s">
        <v>241</v>
      </c>
      <c r="G10" s="18" t="n">
        <v>-105</v>
      </c>
      <c r="H10" s="18" t="n">
        <v>100</v>
      </c>
      <c r="I10" s="18" t="n">
        <v>64</v>
      </c>
      <c r="J10" s="18" t="n">
        <f aca="false">SUMIFS($H$2:$H$260,$A$2:$A$260,$A10,$B$2:$B$260,$B10,$E$2:$E$260,"&lt;="&amp;$E10)</f>
        <v>1067</v>
      </c>
      <c r="K10" s="18" t="n">
        <f aca="false">SUMIFS($I$2:$I$260,$A$2:$A$260,$A10,$B$2:$B$260,$B10,$E$2:$E$260,"&lt;="&amp;$E10)</f>
        <v>171</v>
      </c>
      <c r="L10" s="18" t="n">
        <f aca="false">J10-K10</f>
        <v>896</v>
      </c>
      <c r="M10" s="18" t="n">
        <f aca="false">SUMIFS($H$2:$H$260,$A$2:$A$260,$A10,$B$2:$B$260,$B10)</f>
        <v>1252</v>
      </c>
      <c r="N10" s="20" t="n">
        <f aca="false">IF(M10=0,"",L10/M10)</f>
        <v>0.715654952076677</v>
      </c>
      <c r="O10" s="18" t="s">
        <v>611</v>
      </c>
    </row>
    <row r="11" customFormat="false" ht="15" hidden="false" customHeight="true" outlineLevel="0" collapsed="false">
      <c r="A11" s="18" t="s">
        <v>262</v>
      </c>
      <c r="B11" s="18" t="s">
        <v>608</v>
      </c>
      <c r="C11" s="18" t="s">
        <v>609</v>
      </c>
      <c r="D11" s="18" t="s">
        <v>610</v>
      </c>
      <c r="E11" s="18" t="n">
        <v>9</v>
      </c>
      <c r="F11" s="18" t="s">
        <v>279</v>
      </c>
      <c r="G11" s="18" t="n">
        <v>-90</v>
      </c>
      <c r="H11" s="18" t="n">
        <v>61</v>
      </c>
      <c r="I11" s="18" t="n">
        <v>73</v>
      </c>
      <c r="J11" s="18" t="n">
        <f aca="false">SUMIFS($H$2:$H$260,$A$2:$A$260,$A11,$B$2:$B$260,$B11,$E$2:$E$260,"&lt;="&amp;$E11)</f>
        <v>1128</v>
      </c>
      <c r="K11" s="18" t="n">
        <f aca="false">SUMIFS($I$2:$I$260,$A$2:$A$260,$A11,$B$2:$B$260,$B11,$E$2:$E$260,"&lt;="&amp;$E11)</f>
        <v>244</v>
      </c>
      <c r="L11" s="18" t="n">
        <f aca="false">J11-K11</f>
        <v>884</v>
      </c>
      <c r="M11" s="18" t="n">
        <f aca="false">SUMIFS($H$2:$H$260,$A$2:$A$260,$A11,$B$2:$B$260,$B11)</f>
        <v>1252</v>
      </c>
      <c r="N11" s="20" t="n">
        <f aca="false">IF(M11=0,"",L11/M11)</f>
        <v>0.706070287539936</v>
      </c>
      <c r="O11" s="18" t="s">
        <v>611</v>
      </c>
    </row>
    <row r="12" customFormat="false" ht="15" hidden="false" customHeight="true" outlineLevel="0" collapsed="false">
      <c r="A12" s="18" t="s">
        <v>262</v>
      </c>
      <c r="B12" s="18" t="s">
        <v>608</v>
      </c>
      <c r="C12" s="18" t="s">
        <v>609</v>
      </c>
      <c r="D12" s="18" t="s">
        <v>610</v>
      </c>
      <c r="E12" s="18" t="n">
        <v>10</v>
      </c>
      <c r="F12" s="18" t="s">
        <v>206</v>
      </c>
      <c r="G12" s="18" t="n">
        <v>-75</v>
      </c>
      <c r="H12" s="18" t="n">
        <v>28</v>
      </c>
      <c r="I12" s="18" t="n">
        <v>94</v>
      </c>
      <c r="J12" s="18" t="n">
        <f aca="false">SUMIFS($H$2:$H$260,$A$2:$A$260,$A12,$B$2:$B$260,$B12,$E$2:$E$260,"&lt;="&amp;$E12)</f>
        <v>1156</v>
      </c>
      <c r="K12" s="18" t="n">
        <f aca="false">SUMIFS($I$2:$I$260,$A$2:$A$260,$A12,$B$2:$B$260,$B12,$E$2:$E$260,"&lt;="&amp;$E12)</f>
        <v>338</v>
      </c>
      <c r="L12" s="18" t="n">
        <f aca="false">J12-K12</f>
        <v>818</v>
      </c>
      <c r="M12" s="18" t="n">
        <f aca="false">SUMIFS($H$2:$H$260,$A$2:$A$260,$A12,$B$2:$B$260,$B12)</f>
        <v>1252</v>
      </c>
      <c r="N12" s="20" t="n">
        <f aca="false">IF(M12=0,"",L12/M12)</f>
        <v>0.653354632587859</v>
      </c>
      <c r="O12" s="18" t="s">
        <v>611</v>
      </c>
    </row>
    <row r="13" customFormat="false" ht="15" hidden="false" customHeight="true" outlineLevel="0" collapsed="false">
      <c r="A13" s="18" t="s">
        <v>262</v>
      </c>
      <c r="B13" s="18" t="s">
        <v>608</v>
      </c>
      <c r="C13" s="18" t="s">
        <v>609</v>
      </c>
      <c r="D13" s="18" t="s">
        <v>610</v>
      </c>
      <c r="E13" s="18" t="n">
        <v>11</v>
      </c>
      <c r="F13" s="18" t="s">
        <v>246</v>
      </c>
      <c r="G13" s="18" t="n">
        <v>-60</v>
      </c>
      <c r="H13" s="18" t="n">
        <v>36</v>
      </c>
      <c r="I13" s="18" t="n">
        <v>146</v>
      </c>
      <c r="J13" s="18" t="n">
        <f aca="false">SUMIFS($H$2:$H$260,$A$2:$A$260,$A13,$B$2:$B$260,$B13,$E$2:$E$260,"&lt;="&amp;$E13)</f>
        <v>1192</v>
      </c>
      <c r="K13" s="18" t="n">
        <f aca="false">SUMIFS($I$2:$I$260,$A$2:$A$260,$A13,$B$2:$B$260,$B13,$E$2:$E$260,"&lt;="&amp;$E13)</f>
        <v>484</v>
      </c>
      <c r="L13" s="18" t="n">
        <f aca="false">J13-K13</f>
        <v>708</v>
      </c>
      <c r="M13" s="18" t="n">
        <f aca="false">SUMIFS($H$2:$H$260,$A$2:$A$260,$A13,$B$2:$B$260,$B13)</f>
        <v>1252</v>
      </c>
      <c r="N13" s="20" t="n">
        <f aca="false">IF(M13=0,"",L13/M13)</f>
        <v>0.565495207667732</v>
      </c>
      <c r="O13" s="18" t="s">
        <v>611</v>
      </c>
    </row>
    <row r="14" customFormat="false" ht="15" hidden="false" customHeight="true" outlineLevel="0" collapsed="false">
      <c r="A14" s="18" t="s">
        <v>262</v>
      </c>
      <c r="B14" s="18" t="s">
        <v>608</v>
      </c>
      <c r="C14" s="18" t="s">
        <v>609</v>
      </c>
      <c r="D14" s="18" t="s">
        <v>610</v>
      </c>
      <c r="E14" s="18" t="n">
        <v>12</v>
      </c>
      <c r="F14" s="18" t="s">
        <v>254</v>
      </c>
      <c r="G14" s="18" t="n">
        <v>-45</v>
      </c>
      <c r="H14" s="18" t="n">
        <v>20</v>
      </c>
      <c r="I14" s="18" t="n">
        <v>162</v>
      </c>
      <c r="J14" s="18" t="n">
        <f aca="false">SUMIFS($H$2:$H$260,$A$2:$A$260,$A14,$B$2:$B$260,$B14,$E$2:$E$260,"&lt;="&amp;$E14)</f>
        <v>1212</v>
      </c>
      <c r="K14" s="18" t="n">
        <f aca="false">SUMIFS($I$2:$I$260,$A$2:$A$260,$A14,$B$2:$B$260,$B14,$E$2:$E$260,"&lt;="&amp;$E14)</f>
        <v>646</v>
      </c>
      <c r="L14" s="18" t="n">
        <f aca="false">J14-K14</f>
        <v>566</v>
      </c>
      <c r="M14" s="18" t="n">
        <f aca="false">SUMIFS($H$2:$H$260,$A$2:$A$260,$A14,$B$2:$B$260,$B14)</f>
        <v>1252</v>
      </c>
      <c r="N14" s="20" t="n">
        <f aca="false">IF(M14=0,"",L14/M14)</f>
        <v>0.452076677316294</v>
      </c>
      <c r="O14" s="18" t="s">
        <v>611</v>
      </c>
    </row>
    <row r="15" customFormat="false" ht="15" hidden="false" customHeight="true" outlineLevel="0" collapsed="false">
      <c r="A15" s="18" t="s">
        <v>262</v>
      </c>
      <c r="B15" s="18" t="s">
        <v>608</v>
      </c>
      <c r="C15" s="18" t="s">
        <v>609</v>
      </c>
      <c r="D15" s="18" t="s">
        <v>610</v>
      </c>
      <c r="E15" s="18" t="n">
        <v>13</v>
      </c>
      <c r="F15" s="18" t="s">
        <v>403</v>
      </c>
      <c r="G15" s="18" t="n">
        <v>-30</v>
      </c>
      <c r="H15" s="18" t="n">
        <v>11</v>
      </c>
      <c r="I15" s="18" t="n">
        <v>184</v>
      </c>
      <c r="J15" s="18" t="n">
        <f aca="false">SUMIFS($H$2:$H$260,$A$2:$A$260,$A15,$B$2:$B$260,$B15,$E$2:$E$260,"&lt;="&amp;$E15)</f>
        <v>1223</v>
      </c>
      <c r="K15" s="18" t="n">
        <f aca="false">SUMIFS($I$2:$I$260,$A$2:$A$260,$A15,$B$2:$B$260,$B15,$E$2:$E$260,"&lt;="&amp;$E15)</f>
        <v>830</v>
      </c>
      <c r="L15" s="18" t="n">
        <f aca="false">J15-K15</f>
        <v>393</v>
      </c>
      <c r="M15" s="18" t="n">
        <f aca="false">SUMIFS($H$2:$H$260,$A$2:$A$260,$A15,$B$2:$B$260,$B15)</f>
        <v>1252</v>
      </c>
      <c r="N15" s="20" t="n">
        <f aca="false">IF(M15=0,"",L15/M15)</f>
        <v>0.313897763578275</v>
      </c>
      <c r="O15" s="18" t="s">
        <v>611</v>
      </c>
    </row>
    <row r="16" customFormat="false" ht="15" hidden="false" customHeight="true" outlineLevel="0" collapsed="false">
      <c r="A16" s="18" t="s">
        <v>262</v>
      </c>
      <c r="B16" s="18" t="s">
        <v>608</v>
      </c>
      <c r="C16" s="18" t="s">
        <v>609</v>
      </c>
      <c r="D16" s="18" t="s">
        <v>610</v>
      </c>
      <c r="E16" s="18" t="n">
        <v>14</v>
      </c>
      <c r="F16" s="18" t="s">
        <v>529</v>
      </c>
      <c r="G16" s="18" t="n">
        <v>-15</v>
      </c>
      <c r="H16" s="18" t="n">
        <v>8</v>
      </c>
      <c r="I16" s="18" t="n">
        <v>111</v>
      </c>
      <c r="J16" s="18" t="n">
        <f aca="false">SUMIFS($H$2:$H$260,$A$2:$A$260,$A16,$B$2:$B$260,$B16,$E$2:$E$260,"&lt;="&amp;$E16)</f>
        <v>1231</v>
      </c>
      <c r="K16" s="18" t="n">
        <f aca="false">SUMIFS($I$2:$I$260,$A$2:$A$260,$A16,$B$2:$B$260,$B16,$E$2:$E$260,"&lt;="&amp;$E16)</f>
        <v>941</v>
      </c>
      <c r="L16" s="18" t="n">
        <f aca="false">J16-K16</f>
        <v>290</v>
      </c>
      <c r="M16" s="18" t="n">
        <f aca="false">SUMIFS($H$2:$H$260,$A$2:$A$260,$A16,$B$2:$B$260,$B16)</f>
        <v>1252</v>
      </c>
      <c r="N16" s="20" t="n">
        <f aca="false">IF(M16=0,"",L16/M16)</f>
        <v>0.231629392971246</v>
      </c>
      <c r="O16" s="18" t="s">
        <v>611</v>
      </c>
    </row>
    <row r="17" customFormat="false" ht="15" hidden="false" customHeight="true" outlineLevel="0" collapsed="false">
      <c r="A17" s="18" t="s">
        <v>262</v>
      </c>
      <c r="B17" s="18" t="s">
        <v>608</v>
      </c>
      <c r="C17" s="18" t="s">
        <v>609</v>
      </c>
      <c r="D17" s="18" t="s">
        <v>610</v>
      </c>
      <c r="E17" s="18" t="n">
        <v>15</v>
      </c>
      <c r="F17" s="18" t="s">
        <v>463</v>
      </c>
      <c r="G17" s="18" t="n">
        <v>0</v>
      </c>
      <c r="H17" s="18" t="n">
        <v>12</v>
      </c>
      <c r="I17" s="18" t="n">
        <v>87</v>
      </c>
      <c r="J17" s="18" t="n">
        <f aca="false">SUMIFS($H$2:$H$260,$A$2:$A$260,$A17,$B$2:$B$260,$B17,$E$2:$E$260,"&lt;="&amp;$E17)</f>
        <v>1243</v>
      </c>
      <c r="K17" s="18" t="n">
        <f aca="false">SUMIFS($I$2:$I$260,$A$2:$A$260,$A17,$B$2:$B$260,$B17,$E$2:$E$260,"&lt;="&amp;$E17)</f>
        <v>1028</v>
      </c>
      <c r="L17" s="18" t="n">
        <f aca="false">J17-K17</f>
        <v>215</v>
      </c>
      <c r="M17" s="18" t="n">
        <f aca="false">SUMIFS($H$2:$H$260,$A$2:$A$260,$A17,$B$2:$B$260,$B17)</f>
        <v>1252</v>
      </c>
      <c r="N17" s="20" t="n">
        <f aca="false">IF(M17=0,"",L17/M17)</f>
        <v>0.171725239616613</v>
      </c>
      <c r="O17" s="18" t="s">
        <v>611</v>
      </c>
    </row>
    <row r="18" customFormat="false" ht="15" hidden="false" customHeight="true" outlineLevel="0" collapsed="false">
      <c r="A18" s="18" t="s">
        <v>262</v>
      </c>
      <c r="B18" s="18" t="s">
        <v>608</v>
      </c>
      <c r="C18" s="18" t="s">
        <v>609</v>
      </c>
      <c r="D18" s="18" t="s">
        <v>610</v>
      </c>
      <c r="E18" s="18" t="n">
        <v>16</v>
      </c>
      <c r="F18" s="18" t="s">
        <v>366</v>
      </c>
      <c r="G18" s="18" t="n">
        <v>15</v>
      </c>
      <c r="H18" s="18" t="n">
        <v>3</v>
      </c>
      <c r="I18" s="18" t="n">
        <v>60</v>
      </c>
      <c r="J18" s="18" t="n">
        <f aca="false">SUMIFS($H$2:$H$260,$A$2:$A$260,$A18,$B$2:$B$260,$B18,$E$2:$E$260,"&lt;="&amp;$E18)</f>
        <v>1246</v>
      </c>
      <c r="K18" s="18" t="n">
        <f aca="false">SUMIFS($I$2:$I$260,$A$2:$A$260,$A18,$B$2:$B$260,$B18,$E$2:$E$260,"&lt;="&amp;$E18)</f>
        <v>1088</v>
      </c>
      <c r="L18" s="18" t="n">
        <f aca="false">J18-K18</f>
        <v>158</v>
      </c>
      <c r="M18" s="18" t="n">
        <f aca="false">SUMIFS($H$2:$H$260,$A$2:$A$260,$A18,$B$2:$B$260,$B18)</f>
        <v>1252</v>
      </c>
      <c r="N18" s="20" t="n">
        <f aca="false">IF(M18=0,"",L18/M18)</f>
        <v>0.126198083067093</v>
      </c>
      <c r="O18" s="18" t="s">
        <v>611</v>
      </c>
    </row>
    <row r="19" customFormat="false" ht="15" hidden="false" customHeight="true" outlineLevel="0" collapsed="false">
      <c r="A19" s="18" t="s">
        <v>262</v>
      </c>
      <c r="B19" s="18" t="s">
        <v>608</v>
      </c>
      <c r="C19" s="18" t="s">
        <v>609</v>
      </c>
      <c r="D19" s="18" t="s">
        <v>610</v>
      </c>
      <c r="E19" s="18" t="n">
        <v>17</v>
      </c>
      <c r="F19" s="18" t="s">
        <v>326</v>
      </c>
      <c r="G19" s="18" t="n">
        <v>30</v>
      </c>
      <c r="H19" s="18" t="n">
        <v>3</v>
      </c>
      <c r="I19" s="18" t="n">
        <v>64</v>
      </c>
      <c r="J19" s="18" t="n">
        <f aca="false">SUMIFS($H$2:$H$260,$A$2:$A$260,$A19,$B$2:$B$260,$B19,$E$2:$E$260,"&lt;="&amp;$E19)</f>
        <v>1249</v>
      </c>
      <c r="K19" s="18" t="n">
        <f aca="false">SUMIFS($I$2:$I$260,$A$2:$A$260,$A19,$B$2:$B$260,$B19,$E$2:$E$260,"&lt;="&amp;$E19)</f>
        <v>1152</v>
      </c>
      <c r="L19" s="18" t="n">
        <f aca="false">J19-K19</f>
        <v>97</v>
      </c>
      <c r="M19" s="18" t="n">
        <f aca="false">SUMIFS($H$2:$H$260,$A$2:$A$260,$A19,$B$2:$B$260,$B19)</f>
        <v>1252</v>
      </c>
      <c r="N19" s="20" t="n">
        <f aca="false">IF(M19=0,"",L19/M19)</f>
        <v>0.0774760383386581</v>
      </c>
      <c r="O19" s="18" t="s">
        <v>611</v>
      </c>
    </row>
    <row r="20" customFormat="false" ht="15" hidden="false" customHeight="true" outlineLevel="0" collapsed="false">
      <c r="A20" s="18" t="s">
        <v>262</v>
      </c>
      <c r="B20" s="18" t="s">
        <v>608</v>
      </c>
      <c r="C20" s="18" t="s">
        <v>609</v>
      </c>
      <c r="D20" s="18" t="s">
        <v>610</v>
      </c>
      <c r="E20" s="18" t="n">
        <v>18</v>
      </c>
      <c r="F20" s="18" t="s">
        <v>226</v>
      </c>
      <c r="G20" s="18" t="n">
        <v>45</v>
      </c>
      <c r="H20" s="18" t="n">
        <v>2</v>
      </c>
      <c r="I20" s="18" t="n">
        <v>47</v>
      </c>
      <c r="J20" s="18" t="n">
        <f aca="false">SUMIFS($H$2:$H$260,$A$2:$A$260,$A20,$B$2:$B$260,$B20,$E$2:$E$260,"&lt;="&amp;$E20)</f>
        <v>1251</v>
      </c>
      <c r="K20" s="18" t="n">
        <f aca="false">SUMIFS($I$2:$I$260,$A$2:$A$260,$A20,$B$2:$B$260,$B20,$E$2:$E$260,"&lt;="&amp;$E20)</f>
        <v>1199</v>
      </c>
      <c r="L20" s="18" t="n">
        <f aca="false">J20-K20</f>
        <v>52</v>
      </c>
      <c r="M20" s="18" t="n">
        <f aca="false">SUMIFS($H$2:$H$260,$A$2:$A$260,$A20,$B$2:$B$260,$B20)</f>
        <v>1252</v>
      </c>
      <c r="N20" s="20" t="n">
        <f aca="false">IF(M20=0,"",L20/M20)</f>
        <v>0.0415335463258786</v>
      </c>
      <c r="O20" s="18" t="s">
        <v>611</v>
      </c>
    </row>
    <row r="21" customFormat="false" ht="15" hidden="false" customHeight="true" outlineLevel="0" collapsed="false">
      <c r="A21" s="18" t="s">
        <v>262</v>
      </c>
      <c r="B21" s="18" t="s">
        <v>608</v>
      </c>
      <c r="C21" s="18" t="s">
        <v>609</v>
      </c>
      <c r="D21" s="18" t="s">
        <v>610</v>
      </c>
      <c r="E21" s="18" t="n">
        <v>19</v>
      </c>
      <c r="F21" s="18" t="s">
        <v>205</v>
      </c>
      <c r="G21" s="18" t="n">
        <v>60</v>
      </c>
      <c r="H21" s="18" t="n">
        <v>1</v>
      </c>
      <c r="I21" s="18" t="n">
        <v>18</v>
      </c>
      <c r="J21" s="18" t="n">
        <f aca="false">SUMIFS($H$2:$H$260,$A$2:$A$260,$A21,$B$2:$B$260,$B21,$E$2:$E$260,"&lt;="&amp;$E21)</f>
        <v>1252</v>
      </c>
      <c r="K21" s="18" t="n">
        <f aca="false">SUMIFS($I$2:$I$260,$A$2:$A$260,$A21,$B$2:$B$260,$B21,$E$2:$E$260,"&lt;="&amp;$E21)</f>
        <v>1217</v>
      </c>
      <c r="L21" s="18" t="n">
        <f aca="false">J21-K21</f>
        <v>35</v>
      </c>
      <c r="M21" s="18" t="n">
        <f aca="false">SUMIFS($H$2:$H$260,$A$2:$A$260,$A21,$B$2:$B$260,$B21)</f>
        <v>1252</v>
      </c>
      <c r="N21" s="20" t="n">
        <f aca="false">IF(M21=0,"",L21/M21)</f>
        <v>0.0279552715654952</v>
      </c>
      <c r="O21" s="18" t="s">
        <v>611</v>
      </c>
    </row>
    <row r="22" customFormat="false" ht="15" hidden="false" customHeight="true" outlineLevel="0" collapsed="false">
      <c r="A22" s="18" t="s">
        <v>262</v>
      </c>
      <c r="B22" s="18" t="s">
        <v>612</v>
      </c>
      <c r="C22" s="18" t="s">
        <v>609</v>
      </c>
      <c r="D22" s="18" t="s">
        <v>610</v>
      </c>
      <c r="E22" s="18" t="n">
        <v>0</v>
      </c>
      <c r="F22" s="18" t="s">
        <v>204</v>
      </c>
      <c r="G22" s="18"/>
      <c r="H22" s="18" t="n">
        <v>61</v>
      </c>
      <c r="I22" s="18" t="n">
        <v>0</v>
      </c>
      <c r="J22" s="18" t="n">
        <f aca="false">SUMIFS($H$2:$H$260,$A$2:$A$260,$A22,$B$2:$B$260,$B22,$E$2:$E$260,"&lt;="&amp;$E22)</f>
        <v>61</v>
      </c>
      <c r="K22" s="18" t="n">
        <f aca="false">SUMIFS($I$2:$I$260,$A$2:$A$260,$A22,$B$2:$B$260,$B22,$E$2:$E$260,"&lt;="&amp;$E22)</f>
        <v>0</v>
      </c>
      <c r="L22" s="18" t="n">
        <f aca="false">J22-K22</f>
        <v>61</v>
      </c>
      <c r="M22" s="18" t="n">
        <f aca="false">SUMIFS($H$2:$H$260,$A$2:$A$260,$A22,$B$2:$B$260,$B22)</f>
        <v>1837</v>
      </c>
      <c r="N22" s="20" t="n">
        <f aca="false">IF(M22=0,"",L22/M22)</f>
        <v>0.0332063146434404</v>
      </c>
      <c r="O22" s="18" t="s">
        <v>613</v>
      </c>
    </row>
    <row r="23" customFormat="false" ht="15" hidden="false" customHeight="true" outlineLevel="0" collapsed="false">
      <c r="A23" s="18" t="s">
        <v>262</v>
      </c>
      <c r="B23" s="18" t="s">
        <v>612</v>
      </c>
      <c r="C23" s="18" t="s">
        <v>609</v>
      </c>
      <c r="D23" s="18" t="s">
        <v>610</v>
      </c>
      <c r="E23" s="18" t="n">
        <v>1</v>
      </c>
      <c r="F23" s="18" t="s">
        <v>531</v>
      </c>
      <c r="G23" s="18" t="n">
        <v>-210</v>
      </c>
      <c r="H23" s="18" t="n">
        <v>268</v>
      </c>
      <c r="I23" s="18" t="n">
        <v>2</v>
      </c>
      <c r="J23" s="18" t="n">
        <f aca="false">SUMIFS($H$2:$H$260,$A$2:$A$260,$A23,$B$2:$B$260,$B23,$E$2:$E$260,"&lt;="&amp;$E23)</f>
        <v>329</v>
      </c>
      <c r="K23" s="18" t="n">
        <f aca="false">SUMIFS($I$2:$I$260,$A$2:$A$260,$A23,$B$2:$B$260,$B23,$E$2:$E$260,"&lt;="&amp;$E23)</f>
        <v>2</v>
      </c>
      <c r="L23" s="18" t="n">
        <f aca="false">J23-K23</f>
        <v>327</v>
      </c>
      <c r="M23" s="18" t="n">
        <f aca="false">SUMIFS($H$2:$H$260,$A$2:$A$260,$A23,$B$2:$B$260,$B23)</f>
        <v>1837</v>
      </c>
      <c r="N23" s="20" t="n">
        <f aca="false">IF(M23=0,"",L23/M23)</f>
        <v>0.178007621121394</v>
      </c>
      <c r="O23" s="18" t="s">
        <v>613</v>
      </c>
    </row>
    <row r="24" customFormat="false" ht="15" hidden="false" customHeight="true" outlineLevel="0" collapsed="false">
      <c r="A24" s="18" t="s">
        <v>262</v>
      </c>
      <c r="B24" s="18" t="s">
        <v>612</v>
      </c>
      <c r="C24" s="18" t="s">
        <v>609</v>
      </c>
      <c r="D24" s="18" t="s">
        <v>610</v>
      </c>
      <c r="E24" s="18" t="n">
        <v>2</v>
      </c>
      <c r="F24" s="18" t="s">
        <v>340</v>
      </c>
      <c r="G24" s="18" t="n">
        <v>-195</v>
      </c>
      <c r="H24" s="18" t="n">
        <v>169</v>
      </c>
      <c r="I24" s="18" t="n">
        <v>10</v>
      </c>
      <c r="J24" s="18" t="n">
        <f aca="false">SUMIFS($H$2:$H$260,$A$2:$A$260,$A24,$B$2:$B$260,$B24,$E$2:$E$260,"&lt;="&amp;$E24)</f>
        <v>498</v>
      </c>
      <c r="K24" s="18" t="n">
        <f aca="false">SUMIFS($I$2:$I$260,$A$2:$A$260,$A24,$B$2:$B$260,$B24,$E$2:$E$260,"&lt;="&amp;$E24)</f>
        <v>12</v>
      </c>
      <c r="L24" s="18" t="n">
        <f aca="false">J24-K24</f>
        <v>486</v>
      </c>
      <c r="M24" s="18" t="n">
        <f aca="false">SUMIFS($H$2:$H$260,$A$2:$A$260,$A24,$B$2:$B$260,$B24)</f>
        <v>1837</v>
      </c>
      <c r="N24" s="20" t="n">
        <f aca="false">IF(M24=0,"",L24/M24)</f>
        <v>0.264561785519869</v>
      </c>
      <c r="O24" s="18" t="s">
        <v>613</v>
      </c>
    </row>
    <row r="25" customFormat="false" ht="15" hidden="false" customHeight="true" outlineLevel="0" collapsed="false">
      <c r="A25" s="18" t="s">
        <v>262</v>
      </c>
      <c r="B25" s="18" t="s">
        <v>612</v>
      </c>
      <c r="C25" s="18" t="s">
        <v>609</v>
      </c>
      <c r="D25" s="18" t="s">
        <v>610</v>
      </c>
      <c r="E25" s="18" t="n">
        <v>3</v>
      </c>
      <c r="F25" s="18" t="s">
        <v>525</v>
      </c>
      <c r="G25" s="18" t="n">
        <v>-180</v>
      </c>
      <c r="H25" s="18" t="n">
        <v>215</v>
      </c>
      <c r="I25" s="18" t="n">
        <v>9</v>
      </c>
      <c r="J25" s="18" t="n">
        <f aca="false">SUMIFS($H$2:$H$260,$A$2:$A$260,$A25,$B$2:$B$260,$B25,$E$2:$E$260,"&lt;="&amp;$E25)</f>
        <v>713</v>
      </c>
      <c r="K25" s="18" t="n">
        <f aca="false">SUMIFS($I$2:$I$260,$A$2:$A$260,$A25,$B$2:$B$260,$B25,$E$2:$E$260,"&lt;="&amp;$E25)</f>
        <v>21</v>
      </c>
      <c r="L25" s="18" t="n">
        <f aca="false">J25-K25</f>
        <v>692</v>
      </c>
      <c r="M25" s="18" t="n">
        <f aca="false">SUMIFS($H$2:$H$260,$A$2:$A$260,$A25,$B$2:$B$260,$B25)</f>
        <v>1837</v>
      </c>
      <c r="N25" s="20" t="n">
        <f aca="false">IF(M25=0,"",L25/M25)</f>
        <v>0.376701143168209</v>
      </c>
      <c r="O25" s="18" t="s">
        <v>613</v>
      </c>
    </row>
    <row r="26" customFormat="false" ht="15" hidden="false" customHeight="true" outlineLevel="0" collapsed="false">
      <c r="A26" s="18" t="s">
        <v>262</v>
      </c>
      <c r="B26" s="18" t="s">
        <v>612</v>
      </c>
      <c r="C26" s="18" t="s">
        <v>609</v>
      </c>
      <c r="D26" s="18" t="s">
        <v>610</v>
      </c>
      <c r="E26" s="18" t="n">
        <v>4</v>
      </c>
      <c r="F26" s="18" t="s">
        <v>526</v>
      </c>
      <c r="G26" s="18" t="n">
        <v>-165</v>
      </c>
      <c r="H26" s="18" t="n">
        <v>242</v>
      </c>
      <c r="I26" s="18" t="n">
        <v>9</v>
      </c>
      <c r="J26" s="18" t="n">
        <f aca="false">SUMIFS($H$2:$H$260,$A$2:$A$260,$A26,$B$2:$B$260,$B26,$E$2:$E$260,"&lt;="&amp;$E26)</f>
        <v>955</v>
      </c>
      <c r="K26" s="18" t="n">
        <f aca="false">SUMIFS($I$2:$I$260,$A$2:$A$260,$A26,$B$2:$B$260,$B26,$E$2:$E$260,"&lt;="&amp;$E26)</f>
        <v>30</v>
      </c>
      <c r="L26" s="18" t="n">
        <f aca="false">J26-K26</f>
        <v>925</v>
      </c>
      <c r="M26" s="18" t="n">
        <f aca="false">SUMIFS($H$2:$H$260,$A$2:$A$260,$A26,$B$2:$B$260,$B26)</f>
        <v>1837</v>
      </c>
      <c r="N26" s="20" t="n">
        <f aca="false">IF(M26=0,"",L26/M26)</f>
        <v>0.503538377789875</v>
      </c>
      <c r="O26" s="18" t="s">
        <v>613</v>
      </c>
    </row>
    <row r="27" customFormat="false" ht="15" hidden="false" customHeight="true" outlineLevel="0" collapsed="false">
      <c r="A27" s="18" t="s">
        <v>262</v>
      </c>
      <c r="B27" s="18" t="s">
        <v>612</v>
      </c>
      <c r="C27" s="18" t="s">
        <v>609</v>
      </c>
      <c r="D27" s="18" t="s">
        <v>610</v>
      </c>
      <c r="E27" s="18" t="n">
        <v>5</v>
      </c>
      <c r="F27" s="18" t="s">
        <v>527</v>
      </c>
      <c r="G27" s="18" t="n">
        <v>-150</v>
      </c>
      <c r="H27" s="18" t="n">
        <v>229</v>
      </c>
      <c r="I27" s="18" t="n">
        <v>31</v>
      </c>
      <c r="J27" s="18" t="n">
        <f aca="false">SUMIFS($H$2:$H$260,$A$2:$A$260,$A27,$B$2:$B$260,$B27,$E$2:$E$260,"&lt;="&amp;$E27)</f>
        <v>1184</v>
      </c>
      <c r="K27" s="18" t="n">
        <f aca="false">SUMIFS($I$2:$I$260,$A$2:$A$260,$A27,$B$2:$B$260,$B27,$E$2:$E$260,"&lt;="&amp;$E27)</f>
        <v>61</v>
      </c>
      <c r="L27" s="18" t="n">
        <f aca="false">J27-K27</f>
        <v>1123</v>
      </c>
      <c r="M27" s="18" t="n">
        <f aca="false">SUMIFS($H$2:$H$260,$A$2:$A$260,$A27,$B$2:$B$260,$B27)</f>
        <v>1837</v>
      </c>
      <c r="N27" s="20" t="n">
        <f aca="false">IF(M27=0,"",L27/M27)</f>
        <v>0.611322808927599</v>
      </c>
      <c r="O27" s="18" t="s">
        <v>613</v>
      </c>
    </row>
    <row r="28" customFormat="false" ht="15" hidden="false" customHeight="true" outlineLevel="0" collapsed="false">
      <c r="A28" s="18" t="s">
        <v>262</v>
      </c>
      <c r="B28" s="18" t="s">
        <v>612</v>
      </c>
      <c r="C28" s="18" t="s">
        <v>609</v>
      </c>
      <c r="D28" s="18" t="s">
        <v>610</v>
      </c>
      <c r="E28" s="18" t="n">
        <v>6</v>
      </c>
      <c r="F28" s="18" t="s">
        <v>528</v>
      </c>
      <c r="G28" s="18" t="n">
        <v>-135</v>
      </c>
      <c r="H28" s="18" t="n">
        <v>187</v>
      </c>
      <c r="I28" s="18" t="n">
        <v>52</v>
      </c>
      <c r="J28" s="18" t="n">
        <f aca="false">SUMIFS($H$2:$H$260,$A$2:$A$260,$A28,$B$2:$B$260,$B28,$E$2:$E$260,"&lt;="&amp;$E28)</f>
        <v>1371</v>
      </c>
      <c r="K28" s="18" t="n">
        <f aca="false">SUMIFS($I$2:$I$260,$A$2:$A$260,$A28,$B$2:$B$260,$B28,$E$2:$E$260,"&lt;="&amp;$E28)</f>
        <v>113</v>
      </c>
      <c r="L28" s="18" t="n">
        <f aca="false">J28-K28</f>
        <v>1258</v>
      </c>
      <c r="M28" s="18" t="n">
        <f aca="false">SUMIFS($H$2:$H$260,$A$2:$A$260,$A28,$B$2:$B$260,$B28)</f>
        <v>1837</v>
      </c>
      <c r="N28" s="20" t="n">
        <f aca="false">IF(M28=0,"",L28/M28)</f>
        <v>0.68481219379423</v>
      </c>
      <c r="O28" s="18" t="s">
        <v>613</v>
      </c>
    </row>
    <row r="29" customFormat="false" ht="15" hidden="false" customHeight="true" outlineLevel="0" collapsed="false">
      <c r="A29" s="18" t="s">
        <v>262</v>
      </c>
      <c r="B29" s="18" t="s">
        <v>612</v>
      </c>
      <c r="C29" s="18" t="s">
        <v>609</v>
      </c>
      <c r="D29" s="18" t="s">
        <v>610</v>
      </c>
      <c r="E29" s="18" t="n">
        <v>7</v>
      </c>
      <c r="F29" s="18" t="s">
        <v>227</v>
      </c>
      <c r="G29" s="18" t="n">
        <v>-120</v>
      </c>
      <c r="H29" s="18" t="n">
        <v>160</v>
      </c>
      <c r="I29" s="18" t="n">
        <v>73</v>
      </c>
      <c r="J29" s="18" t="n">
        <f aca="false">SUMIFS($H$2:$H$260,$A$2:$A$260,$A29,$B$2:$B$260,$B29,$E$2:$E$260,"&lt;="&amp;$E29)</f>
        <v>1531</v>
      </c>
      <c r="K29" s="18" t="n">
        <f aca="false">SUMIFS($I$2:$I$260,$A$2:$A$260,$A29,$B$2:$B$260,$B29,$E$2:$E$260,"&lt;="&amp;$E29)</f>
        <v>186</v>
      </c>
      <c r="L29" s="18" t="n">
        <f aca="false">J29-K29</f>
        <v>1345</v>
      </c>
      <c r="M29" s="18" t="n">
        <f aca="false">SUMIFS($H$2:$H$260,$A$2:$A$260,$A29,$B$2:$B$260,$B29)</f>
        <v>1837</v>
      </c>
      <c r="N29" s="20" t="n">
        <f aca="false">IF(M29=0,"",L29/M29)</f>
        <v>0.732172019597169</v>
      </c>
      <c r="O29" s="18" t="s">
        <v>613</v>
      </c>
    </row>
    <row r="30" customFormat="false" ht="15" hidden="false" customHeight="true" outlineLevel="0" collapsed="false">
      <c r="A30" s="18" t="s">
        <v>262</v>
      </c>
      <c r="B30" s="18" t="s">
        <v>612</v>
      </c>
      <c r="C30" s="18" t="s">
        <v>609</v>
      </c>
      <c r="D30" s="18" t="s">
        <v>610</v>
      </c>
      <c r="E30" s="18" t="n">
        <v>8</v>
      </c>
      <c r="F30" s="18" t="s">
        <v>241</v>
      </c>
      <c r="G30" s="18" t="n">
        <v>-105</v>
      </c>
      <c r="H30" s="18" t="n">
        <v>112</v>
      </c>
      <c r="I30" s="18" t="n">
        <v>132</v>
      </c>
      <c r="J30" s="18" t="n">
        <f aca="false">SUMIFS($H$2:$H$260,$A$2:$A$260,$A30,$B$2:$B$260,$B30,$E$2:$E$260,"&lt;="&amp;$E30)</f>
        <v>1643</v>
      </c>
      <c r="K30" s="18" t="n">
        <f aca="false">SUMIFS($I$2:$I$260,$A$2:$A$260,$A30,$B$2:$B$260,$B30,$E$2:$E$260,"&lt;="&amp;$E30)</f>
        <v>318</v>
      </c>
      <c r="L30" s="18" t="n">
        <f aca="false">J30-K30</f>
        <v>1325</v>
      </c>
      <c r="M30" s="18" t="n">
        <f aca="false">SUMIFS($H$2:$H$260,$A$2:$A$260,$A30,$B$2:$B$260,$B30)</f>
        <v>1837</v>
      </c>
      <c r="N30" s="20" t="n">
        <f aca="false">IF(M30=0,"",L30/M30)</f>
        <v>0.721284703320631</v>
      </c>
      <c r="O30" s="18" t="s">
        <v>613</v>
      </c>
    </row>
    <row r="31" customFormat="false" ht="15" hidden="false" customHeight="true" outlineLevel="0" collapsed="false">
      <c r="A31" s="18" t="s">
        <v>262</v>
      </c>
      <c r="B31" s="18" t="s">
        <v>612</v>
      </c>
      <c r="C31" s="18" t="s">
        <v>609</v>
      </c>
      <c r="D31" s="18" t="s">
        <v>610</v>
      </c>
      <c r="E31" s="18" t="n">
        <v>9</v>
      </c>
      <c r="F31" s="18" t="s">
        <v>279</v>
      </c>
      <c r="G31" s="18" t="n">
        <v>-90</v>
      </c>
      <c r="H31" s="18" t="n">
        <v>68</v>
      </c>
      <c r="I31" s="18" t="n">
        <v>167</v>
      </c>
      <c r="J31" s="18" t="n">
        <f aca="false">SUMIFS($H$2:$H$260,$A$2:$A$260,$A31,$B$2:$B$260,$B31,$E$2:$E$260,"&lt;="&amp;$E31)</f>
        <v>1711</v>
      </c>
      <c r="K31" s="18" t="n">
        <f aca="false">SUMIFS($I$2:$I$260,$A$2:$A$260,$A31,$B$2:$B$260,$B31,$E$2:$E$260,"&lt;="&amp;$E31)</f>
        <v>485</v>
      </c>
      <c r="L31" s="18" t="n">
        <f aca="false">J31-K31</f>
        <v>1226</v>
      </c>
      <c r="M31" s="18" t="n">
        <f aca="false">SUMIFS($H$2:$H$260,$A$2:$A$260,$A31,$B$2:$B$260,$B31)</f>
        <v>1837</v>
      </c>
      <c r="N31" s="20" t="n">
        <f aca="false">IF(M31=0,"",L31/M31)</f>
        <v>0.667392487751769</v>
      </c>
      <c r="O31" s="18" t="s">
        <v>613</v>
      </c>
    </row>
    <row r="32" customFormat="false" ht="15" hidden="false" customHeight="true" outlineLevel="0" collapsed="false">
      <c r="A32" s="18" t="s">
        <v>262</v>
      </c>
      <c r="B32" s="18" t="s">
        <v>612</v>
      </c>
      <c r="C32" s="18" t="s">
        <v>609</v>
      </c>
      <c r="D32" s="18" t="s">
        <v>610</v>
      </c>
      <c r="E32" s="18" t="n">
        <v>10</v>
      </c>
      <c r="F32" s="18" t="s">
        <v>206</v>
      </c>
      <c r="G32" s="18" t="n">
        <v>-75</v>
      </c>
      <c r="H32" s="18" t="n">
        <v>29</v>
      </c>
      <c r="I32" s="18" t="n">
        <v>230</v>
      </c>
      <c r="J32" s="18" t="n">
        <f aca="false">SUMIFS($H$2:$H$260,$A$2:$A$260,$A32,$B$2:$B$260,$B32,$E$2:$E$260,"&lt;="&amp;$E32)</f>
        <v>1740</v>
      </c>
      <c r="K32" s="18" t="n">
        <f aca="false">SUMIFS($I$2:$I$260,$A$2:$A$260,$A32,$B$2:$B$260,$B32,$E$2:$E$260,"&lt;="&amp;$E32)</f>
        <v>715</v>
      </c>
      <c r="L32" s="18" t="n">
        <f aca="false">J32-K32</f>
        <v>1025</v>
      </c>
      <c r="M32" s="18" t="n">
        <f aca="false">SUMIFS($H$2:$H$260,$A$2:$A$260,$A32,$B$2:$B$260,$B32)</f>
        <v>1837</v>
      </c>
      <c r="N32" s="20" t="n">
        <f aca="false">IF(M32=0,"",L32/M32)</f>
        <v>0.557974959172564</v>
      </c>
      <c r="O32" s="18" t="s">
        <v>613</v>
      </c>
    </row>
    <row r="33" customFormat="false" ht="15" hidden="false" customHeight="true" outlineLevel="0" collapsed="false">
      <c r="A33" s="18" t="s">
        <v>262</v>
      </c>
      <c r="B33" s="18" t="s">
        <v>612</v>
      </c>
      <c r="C33" s="18" t="s">
        <v>609</v>
      </c>
      <c r="D33" s="18" t="s">
        <v>610</v>
      </c>
      <c r="E33" s="18" t="n">
        <v>11</v>
      </c>
      <c r="F33" s="18" t="s">
        <v>246</v>
      </c>
      <c r="G33" s="18" t="n">
        <v>-60</v>
      </c>
      <c r="H33" s="18" t="n">
        <v>36</v>
      </c>
      <c r="I33" s="18" t="n">
        <v>211</v>
      </c>
      <c r="J33" s="18" t="n">
        <f aca="false">SUMIFS($H$2:$H$260,$A$2:$A$260,$A33,$B$2:$B$260,$B33,$E$2:$E$260,"&lt;="&amp;$E33)</f>
        <v>1776</v>
      </c>
      <c r="K33" s="18" t="n">
        <f aca="false">SUMIFS($I$2:$I$260,$A$2:$A$260,$A33,$B$2:$B$260,$B33,$E$2:$E$260,"&lt;="&amp;$E33)</f>
        <v>926</v>
      </c>
      <c r="L33" s="18" t="n">
        <f aca="false">J33-K33</f>
        <v>850</v>
      </c>
      <c r="M33" s="18" t="n">
        <f aca="false">SUMIFS($H$2:$H$260,$A$2:$A$260,$A33,$B$2:$B$260,$B33)</f>
        <v>1837</v>
      </c>
      <c r="N33" s="20" t="n">
        <f aca="false">IF(M33=0,"",L33/M33)</f>
        <v>0.462710941752858</v>
      </c>
      <c r="O33" s="18" t="s">
        <v>613</v>
      </c>
    </row>
    <row r="34" customFormat="false" ht="15" hidden="false" customHeight="true" outlineLevel="0" collapsed="false">
      <c r="A34" s="18" t="s">
        <v>262</v>
      </c>
      <c r="B34" s="18" t="s">
        <v>612</v>
      </c>
      <c r="C34" s="18" t="s">
        <v>609</v>
      </c>
      <c r="D34" s="18" t="s">
        <v>610</v>
      </c>
      <c r="E34" s="18" t="n">
        <v>12</v>
      </c>
      <c r="F34" s="18" t="s">
        <v>254</v>
      </c>
      <c r="G34" s="18" t="n">
        <v>-45</v>
      </c>
      <c r="H34" s="18" t="n">
        <v>20</v>
      </c>
      <c r="I34" s="18" t="n">
        <v>233</v>
      </c>
      <c r="J34" s="18" t="n">
        <f aca="false">SUMIFS($H$2:$H$260,$A$2:$A$260,$A34,$B$2:$B$260,$B34,$E$2:$E$260,"&lt;="&amp;$E34)</f>
        <v>1796</v>
      </c>
      <c r="K34" s="18" t="n">
        <f aca="false">SUMIFS($I$2:$I$260,$A$2:$A$260,$A34,$B$2:$B$260,$B34,$E$2:$E$260,"&lt;="&amp;$E34)</f>
        <v>1159</v>
      </c>
      <c r="L34" s="18" t="n">
        <f aca="false">J34-K34</f>
        <v>637</v>
      </c>
      <c r="M34" s="18" t="n">
        <f aca="false">SUMIFS($H$2:$H$260,$A$2:$A$260,$A34,$B$2:$B$260,$B34)</f>
        <v>1837</v>
      </c>
      <c r="N34" s="20" t="n">
        <f aca="false">IF(M34=0,"",L34/M34)</f>
        <v>0.34676102340773</v>
      </c>
      <c r="O34" s="18" t="s">
        <v>613</v>
      </c>
    </row>
    <row r="35" customFormat="false" ht="15" hidden="false" customHeight="true" outlineLevel="0" collapsed="false">
      <c r="A35" s="18" t="s">
        <v>262</v>
      </c>
      <c r="B35" s="18" t="s">
        <v>612</v>
      </c>
      <c r="C35" s="18" t="s">
        <v>609</v>
      </c>
      <c r="D35" s="18" t="s">
        <v>610</v>
      </c>
      <c r="E35" s="18" t="n">
        <v>13</v>
      </c>
      <c r="F35" s="18" t="s">
        <v>403</v>
      </c>
      <c r="G35" s="18" t="n">
        <v>-30</v>
      </c>
      <c r="H35" s="18" t="n">
        <v>11</v>
      </c>
      <c r="I35" s="18" t="n">
        <v>215</v>
      </c>
      <c r="J35" s="18" t="n">
        <f aca="false">SUMIFS($H$2:$H$260,$A$2:$A$260,$A35,$B$2:$B$260,$B35,$E$2:$E$260,"&lt;="&amp;$E35)</f>
        <v>1807</v>
      </c>
      <c r="K35" s="18" t="n">
        <f aca="false">SUMIFS($I$2:$I$260,$A$2:$A$260,$A35,$B$2:$B$260,$B35,$E$2:$E$260,"&lt;="&amp;$E35)</f>
        <v>1374</v>
      </c>
      <c r="L35" s="18" t="n">
        <f aca="false">J35-K35</f>
        <v>433</v>
      </c>
      <c r="M35" s="18" t="n">
        <f aca="false">SUMIFS($H$2:$H$260,$A$2:$A$260,$A35,$B$2:$B$260,$B35)</f>
        <v>1837</v>
      </c>
      <c r="N35" s="20" t="n">
        <f aca="false">IF(M35=0,"",L35/M35)</f>
        <v>0.235710397387044</v>
      </c>
      <c r="O35" s="18" t="s">
        <v>613</v>
      </c>
    </row>
    <row r="36" customFormat="false" ht="15" hidden="false" customHeight="true" outlineLevel="0" collapsed="false">
      <c r="A36" s="18" t="s">
        <v>262</v>
      </c>
      <c r="B36" s="18" t="s">
        <v>612</v>
      </c>
      <c r="C36" s="18" t="s">
        <v>609</v>
      </c>
      <c r="D36" s="18" t="s">
        <v>610</v>
      </c>
      <c r="E36" s="18" t="n">
        <v>14</v>
      </c>
      <c r="F36" s="18" t="s">
        <v>529</v>
      </c>
      <c r="G36" s="18" t="n">
        <v>-15</v>
      </c>
      <c r="H36" s="18" t="n">
        <v>9</v>
      </c>
      <c r="I36" s="18" t="n">
        <v>122</v>
      </c>
      <c r="J36" s="18" t="n">
        <f aca="false">SUMIFS($H$2:$H$260,$A$2:$A$260,$A36,$B$2:$B$260,$B36,$E$2:$E$260,"&lt;="&amp;$E36)</f>
        <v>1816</v>
      </c>
      <c r="K36" s="18" t="n">
        <f aca="false">SUMIFS($I$2:$I$260,$A$2:$A$260,$A36,$B$2:$B$260,$B36,$E$2:$E$260,"&lt;="&amp;$E36)</f>
        <v>1496</v>
      </c>
      <c r="L36" s="18" t="n">
        <f aca="false">J36-K36</f>
        <v>320</v>
      </c>
      <c r="M36" s="18" t="n">
        <f aca="false">SUMIFS($H$2:$H$260,$A$2:$A$260,$A36,$B$2:$B$260,$B36)</f>
        <v>1837</v>
      </c>
      <c r="N36" s="20" t="n">
        <f aca="false">IF(M36=0,"",L36/M36)</f>
        <v>0.174197060424605</v>
      </c>
      <c r="O36" s="18" t="s">
        <v>613</v>
      </c>
    </row>
    <row r="37" customFormat="false" ht="15" hidden="false" customHeight="true" outlineLevel="0" collapsed="false">
      <c r="A37" s="18" t="s">
        <v>262</v>
      </c>
      <c r="B37" s="18" t="s">
        <v>612</v>
      </c>
      <c r="C37" s="18" t="s">
        <v>609</v>
      </c>
      <c r="D37" s="18" t="s">
        <v>610</v>
      </c>
      <c r="E37" s="18" t="n">
        <v>15</v>
      </c>
      <c r="F37" s="18" t="s">
        <v>463</v>
      </c>
      <c r="G37" s="18" t="n">
        <v>0</v>
      </c>
      <c r="H37" s="18" t="n">
        <v>12</v>
      </c>
      <c r="I37" s="18" t="n">
        <v>87</v>
      </c>
      <c r="J37" s="18" t="n">
        <f aca="false">SUMIFS($H$2:$H$260,$A$2:$A$260,$A37,$B$2:$B$260,$B37,$E$2:$E$260,"&lt;="&amp;$E37)</f>
        <v>1828</v>
      </c>
      <c r="K37" s="18" t="n">
        <f aca="false">SUMIFS($I$2:$I$260,$A$2:$A$260,$A37,$B$2:$B$260,$B37,$E$2:$E$260,"&lt;="&amp;$E37)</f>
        <v>1583</v>
      </c>
      <c r="L37" s="18" t="n">
        <f aca="false">J37-K37</f>
        <v>245</v>
      </c>
      <c r="M37" s="18" t="n">
        <f aca="false">SUMIFS($H$2:$H$260,$A$2:$A$260,$A37,$B$2:$B$260,$B37)</f>
        <v>1837</v>
      </c>
      <c r="N37" s="20" t="n">
        <f aca="false">IF(M37=0,"",L37/M37)</f>
        <v>0.133369624387588</v>
      </c>
      <c r="O37" s="18" t="s">
        <v>613</v>
      </c>
    </row>
    <row r="38" customFormat="false" ht="15" hidden="false" customHeight="true" outlineLevel="0" collapsed="false">
      <c r="A38" s="18" t="s">
        <v>262</v>
      </c>
      <c r="B38" s="18" t="s">
        <v>612</v>
      </c>
      <c r="C38" s="18" t="s">
        <v>609</v>
      </c>
      <c r="D38" s="18" t="s">
        <v>610</v>
      </c>
      <c r="E38" s="18" t="n">
        <v>16</v>
      </c>
      <c r="F38" s="18" t="s">
        <v>366</v>
      </c>
      <c r="G38" s="18" t="n">
        <v>15</v>
      </c>
      <c r="H38" s="18" t="n">
        <v>3</v>
      </c>
      <c r="I38" s="18" t="n">
        <v>60</v>
      </c>
      <c r="J38" s="18" t="n">
        <f aca="false">SUMIFS($H$2:$H$260,$A$2:$A$260,$A38,$B$2:$B$260,$B38,$E$2:$E$260,"&lt;="&amp;$E38)</f>
        <v>1831</v>
      </c>
      <c r="K38" s="18" t="n">
        <f aca="false">SUMIFS($I$2:$I$260,$A$2:$A$260,$A38,$B$2:$B$260,$B38,$E$2:$E$260,"&lt;="&amp;$E38)</f>
        <v>1643</v>
      </c>
      <c r="L38" s="18" t="n">
        <f aca="false">J38-K38</f>
        <v>188</v>
      </c>
      <c r="M38" s="18" t="n">
        <f aca="false">SUMIFS($H$2:$H$260,$A$2:$A$260,$A38,$B$2:$B$260,$B38)</f>
        <v>1837</v>
      </c>
      <c r="N38" s="20" t="n">
        <f aca="false">IF(M38=0,"",L38/M38)</f>
        <v>0.102340772999456</v>
      </c>
      <c r="O38" s="18" t="s">
        <v>613</v>
      </c>
    </row>
    <row r="39" customFormat="false" ht="15" hidden="false" customHeight="true" outlineLevel="0" collapsed="false">
      <c r="A39" s="18" t="s">
        <v>262</v>
      </c>
      <c r="B39" s="18" t="s">
        <v>612</v>
      </c>
      <c r="C39" s="18" t="s">
        <v>609</v>
      </c>
      <c r="D39" s="18" t="s">
        <v>610</v>
      </c>
      <c r="E39" s="18" t="n">
        <v>17</v>
      </c>
      <c r="F39" s="18" t="s">
        <v>326</v>
      </c>
      <c r="G39" s="18" t="n">
        <v>30</v>
      </c>
      <c r="H39" s="18" t="n">
        <v>3</v>
      </c>
      <c r="I39" s="18" t="n">
        <v>64</v>
      </c>
      <c r="J39" s="18" t="n">
        <f aca="false">SUMIFS($H$2:$H$260,$A$2:$A$260,$A39,$B$2:$B$260,$B39,$E$2:$E$260,"&lt;="&amp;$E39)</f>
        <v>1834</v>
      </c>
      <c r="K39" s="18" t="n">
        <f aca="false">SUMIFS($I$2:$I$260,$A$2:$A$260,$A39,$B$2:$B$260,$B39,$E$2:$E$260,"&lt;="&amp;$E39)</f>
        <v>1707</v>
      </c>
      <c r="L39" s="18" t="n">
        <f aca="false">J39-K39</f>
        <v>127</v>
      </c>
      <c r="M39" s="18" t="n">
        <f aca="false">SUMIFS($H$2:$H$260,$A$2:$A$260,$A39,$B$2:$B$260,$B39)</f>
        <v>1837</v>
      </c>
      <c r="N39" s="20" t="n">
        <f aca="false">IF(M39=0,"",L39/M39)</f>
        <v>0.0691344583560152</v>
      </c>
      <c r="O39" s="18" t="s">
        <v>613</v>
      </c>
    </row>
    <row r="40" customFormat="false" ht="15" hidden="false" customHeight="true" outlineLevel="0" collapsed="false">
      <c r="A40" s="18" t="s">
        <v>262</v>
      </c>
      <c r="B40" s="18" t="s">
        <v>612</v>
      </c>
      <c r="C40" s="18" t="s">
        <v>609</v>
      </c>
      <c r="D40" s="18" t="s">
        <v>610</v>
      </c>
      <c r="E40" s="18" t="n">
        <v>18</v>
      </c>
      <c r="F40" s="18" t="s">
        <v>226</v>
      </c>
      <c r="G40" s="18" t="n">
        <v>45</v>
      </c>
      <c r="H40" s="18" t="n">
        <v>2</v>
      </c>
      <c r="I40" s="18" t="n">
        <v>47</v>
      </c>
      <c r="J40" s="18" t="n">
        <f aca="false">SUMIFS($H$2:$H$260,$A$2:$A$260,$A40,$B$2:$B$260,$B40,$E$2:$E$260,"&lt;="&amp;$E40)</f>
        <v>1836</v>
      </c>
      <c r="K40" s="18" t="n">
        <f aca="false">SUMIFS($I$2:$I$260,$A$2:$A$260,$A40,$B$2:$B$260,$B40,$E$2:$E$260,"&lt;="&amp;$E40)</f>
        <v>1754</v>
      </c>
      <c r="L40" s="18" t="n">
        <f aca="false">J40-K40</f>
        <v>82</v>
      </c>
      <c r="M40" s="18" t="n">
        <f aca="false">SUMIFS($H$2:$H$260,$A$2:$A$260,$A40,$B$2:$B$260,$B40)</f>
        <v>1837</v>
      </c>
      <c r="N40" s="20" t="n">
        <f aca="false">IF(M40=0,"",L40/M40)</f>
        <v>0.0446379967338051</v>
      </c>
      <c r="O40" s="18" t="s">
        <v>613</v>
      </c>
    </row>
    <row r="41" customFormat="false" ht="15" hidden="false" customHeight="true" outlineLevel="0" collapsed="false">
      <c r="A41" s="18" t="s">
        <v>262</v>
      </c>
      <c r="B41" s="18" t="s">
        <v>612</v>
      </c>
      <c r="C41" s="18" t="s">
        <v>609</v>
      </c>
      <c r="D41" s="18" t="s">
        <v>610</v>
      </c>
      <c r="E41" s="18" t="n">
        <v>19</v>
      </c>
      <c r="F41" s="18" t="s">
        <v>205</v>
      </c>
      <c r="G41" s="18" t="n">
        <v>60</v>
      </c>
      <c r="H41" s="18" t="n">
        <v>1</v>
      </c>
      <c r="I41" s="18" t="n">
        <v>18</v>
      </c>
      <c r="J41" s="18" t="n">
        <f aca="false">SUMIFS($H$2:$H$260,$A$2:$A$260,$A41,$B$2:$B$260,$B41,$E$2:$E$260,"&lt;="&amp;$E41)</f>
        <v>1837</v>
      </c>
      <c r="K41" s="18" t="n">
        <f aca="false">SUMIFS($I$2:$I$260,$A$2:$A$260,$A41,$B$2:$B$260,$B41,$E$2:$E$260,"&lt;="&amp;$E41)</f>
        <v>1772</v>
      </c>
      <c r="L41" s="18" t="n">
        <f aca="false">J41-K41</f>
        <v>65</v>
      </c>
      <c r="M41" s="18" t="n">
        <f aca="false">SUMIFS($H$2:$H$260,$A$2:$A$260,$A41,$B$2:$B$260,$B41)</f>
        <v>1837</v>
      </c>
      <c r="N41" s="20" t="n">
        <f aca="false">IF(M41=0,"",L41/M41)</f>
        <v>0.035383777898748</v>
      </c>
      <c r="O41" s="18" t="s">
        <v>613</v>
      </c>
    </row>
    <row r="42" customFormat="false" ht="15" hidden="false" customHeight="true" outlineLevel="0" collapsed="false">
      <c r="A42" s="18" t="s">
        <v>394</v>
      </c>
      <c r="B42" s="18" t="s">
        <v>608</v>
      </c>
      <c r="C42" s="18" t="s">
        <v>614</v>
      </c>
      <c r="D42" s="18" t="s">
        <v>610</v>
      </c>
      <c r="E42" s="18" t="n">
        <v>0</v>
      </c>
      <c r="F42" s="18" t="s">
        <v>204</v>
      </c>
      <c r="G42" s="18"/>
      <c r="H42" s="18" t="n">
        <v>68</v>
      </c>
      <c r="I42" s="18" t="n">
        <v>18</v>
      </c>
      <c r="J42" s="18" t="n">
        <f aca="false">SUMIFS($H$2:$H$260,$A$2:$A$260,$A42,$B$2:$B$260,$B42,$E$2:$E$260,"&lt;="&amp;$E42)</f>
        <v>68</v>
      </c>
      <c r="K42" s="18" t="n">
        <f aca="false">SUMIFS($I$2:$I$260,$A$2:$A$260,$A42,$B$2:$B$260,$B42,$E$2:$E$260,"&lt;="&amp;$E42)</f>
        <v>18</v>
      </c>
      <c r="L42" s="18" t="n">
        <f aca="false">J42-K42</f>
        <v>50</v>
      </c>
      <c r="M42" s="18" t="n">
        <f aca="false">SUMIFS($H$2:$H$260,$A$2:$A$260,$A42,$B$2:$B$260,$B42)</f>
        <v>245</v>
      </c>
      <c r="N42" s="20" t="n">
        <f aca="false">IF(M42=0,"",L42/M42)</f>
        <v>0.204081632653061</v>
      </c>
      <c r="O42" s="18" t="s">
        <v>611</v>
      </c>
    </row>
    <row r="43" customFormat="false" ht="15" hidden="false" customHeight="true" outlineLevel="0" collapsed="false">
      <c r="A43" s="18" t="s">
        <v>394</v>
      </c>
      <c r="B43" s="18" t="s">
        <v>608</v>
      </c>
      <c r="C43" s="18" t="s">
        <v>614</v>
      </c>
      <c r="D43" s="18" t="s">
        <v>610</v>
      </c>
      <c r="E43" s="18" t="n">
        <v>1</v>
      </c>
      <c r="F43" s="18" t="s">
        <v>531</v>
      </c>
      <c r="G43" s="18" t="n">
        <v>-210</v>
      </c>
      <c r="H43" s="18" t="n">
        <v>0</v>
      </c>
      <c r="I43" s="18" t="n">
        <v>0</v>
      </c>
      <c r="J43" s="18" t="n">
        <f aca="false">SUMIFS($H$2:$H$260,$A$2:$A$260,$A43,$B$2:$B$260,$B43,$E$2:$E$260,"&lt;="&amp;$E43)</f>
        <v>68</v>
      </c>
      <c r="K43" s="18" t="n">
        <f aca="false">SUMIFS($I$2:$I$260,$A$2:$A$260,$A43,$B$2:$B$260,$B43,$E$2:$E$260,"&lt;="&amp;$E43)</f>
        <v>18</v>
      </c>
      <c r="L43" s="18" t="n">
        <f aca="false">J43-K43</f>
        <v>50</v>
      </c>
      <c r="M43" s="18" t="n">
        <f aca="false">SUMIFS($H$2:$H$260,$A$2:$A$260,$A43,$B$2:$B$260,$B43)</f>
        <v>245</v>
      </c>
      <c r="N43" s="20" t="n">
        <f aca="false">IF(M43=0,"",L43/M43)</f>
        <v>0.204081632653061</v>
      </c>
      <c r="O43" s="18" t="s">
        <v>611</v>
      </c>
    </row>
    <row r="44" customFormat="false" ht="15" hidden="false" customHeight="true" outlineLevel="0" collapsed="false">
      <c r="A44" s="18" t="s">
        <v>394</v>
      </c>
      <c r="B44" s="18" t="s">
        <v>608</v>
      </c>
      <c r="C44" s="18" t="s">
        <v>614</v>
      </c>
      <c r="D44" s="18" t="s">
        <v>610</v>
      </c>
      <c r="E44" s="18" t="n">
        <v>2</v>
      </c>
      <c r="F44" s="18" t="s">
        <v>340</v>
      </c>
      <c r="G44" s="18" t="n">
        <v>-195</v>
      </c>
      <c r="H44" s="18" t="n">
        <v>0</v>
      </c>
      <c r="I44" s="18" t="n">
        <v>0</v>
      </c>
      <c r="J44" s="18" t="n">
        <f aca="false">SUMIFS($H$2:$H$260,$A$2:$A$260,$A44,$B$2:$B$260,$B44,$E$2:$E$260,"&lt;="&amp;$E44)</f>
        <v>68</v>
      </c>
      <c r="K44" s="18" t="n">
        <f aca="false">SUMIFS($I$2:$I$260,$A$2:$A$260,$A44,$B$2:$B$260,$B44,$E$2:$E$260,"&lt;="&amp;$E44)</f>
        <v>18</v>
      </c>
      <c r="L44" s="18" t="n">
        <f aca="false">J44-K44</f>
        <v>50</v>
      </c>
      <c r="M44" s="18" t="n">
        <f aca="false">SUMIFS($H$2:$H$260,$A$2:$A$260,$A44,$B$2:$B$260,$B44)</f>
        <v>245</v>
      </c>
      <c r="N44" s="20" t="n">
        <f aca="false">IF(M44=0,"",L44/M44)</f>
        <v>0.204081632653061</v>
      </c>
      <c r="O44" s="18" t="s">
        <v>611</v>
      </c>
    </row>
    <row r="45" customFormat="false" ht="15" hidden="false" customHeight="true" outlineLevel="0" collapsed="false">
      <c r="A45" s="18" t="s">
        <v>394</v>
      </c>
      <c r="B45" s="18" t="s">
        <v>608</v>
      </c>
      <c r="C45" s="18" t="s">
        <v>614</v>
      </c>
      <c r="D45" s="18" t="s">
        <v>610</v>
      </c>
      <c r="E45" s="18" t="n">
        <v>3</v>
      </c>
      <c r="F45" s="18" t="s">
        <v>525</v>
      </c>
      <c r="G45" s="18" t="n">
        <v>-180</v>
      </c>
      <c r="H45" s="18" t="n">
        <v>9</v>
      </c>
      <c r="I45" s="18" t="n">
        <v>3</v>
      </c>
      <c r="J45" s="18" t="n">
        <f aca="false">SUMIFS($H$2:$H$260,$A$2:$A$260,$A45,$B$2:$B$260,$B45,$E$2:$E$260,"&lt;="&amp;$E45)</f>
        <v>77</v>
      </c>
      <c r="K45" s="18" t="n">
        <f aca="false">SUMIFS($I$2:$I$260,$A$2:$A$260,$A45,$B$2:$B$260,$B45,$E$2:$E$260,"&lt;="&amp;$E45)</f>
        <v>21</v>
      </c>
      <c r="L45" s="18" t="n">
        <f aca="false">J45-K45</f>
        <v>56</v>
      </c>
      <c r="M45" s="18" t="n">
        <f aca="false">SUMIFS($H$2:$H$260,$A$2:$A$260,$A45,$B$2:$B$260,$B45)</f>
        <v>245</v>
      </c>
      <c r="N45" s="20" t="n">
        <f aca="false">IF(M45=0,"",L45/M45)</f>
        <v>0.228571428571429</v>
      </c>
      <c r="O45" s="18" t="s">
        <v>611</v>
      </c>
    </row>
    <row r="46" customFormat="false" ht="15" hidden="false" customHeight="true" outlineLevel="0" collapsed="false">
      <c r="A46" s="18" t="s">
        <v>394</v>
      </c>
      <c r="B46" s="18" t="s">
        <v>608</v>
      </c>
      <c r="C46" s="18" t="s">
        <v>614</v>
      </c>
      <c r="D46" s="18" t="s">
        <v>610</v>
      </c>
      <c r="E46" s="18" t="n">
        <v>4</v>
      </c>
      <c r="F46" s="18" t="s">
        <v>526</v>
      </c>
      <c r="G46" s="18" t="n">
        <v>-165</v>
      </c>
      <c r="H46" s="18" t="n">
        <v>16</v>
      </c>
      <c r="I46" s="18" t="n">
        <v>8</v>
      </c>
      <c r="J46" s="18" t="n">
        <f aca="false">SUMIFS($H$2:$H$260,$A$2:$A$260,$A46,$B$2:$B$260,$B46,$E$2:$E$260,"&lt;="&amp;$E46)</f>
        <v>93</v>
      </c>
      <c r="K46" s="18" t="n">
        <f aca="false">SUMIFS($I$2:$I$260,$A$2:$A$260,$A46,$B$2:$B$260,$B46,$E$2:$E$260,"&lt;="&amp;$E46)</f>
        <v>29</v>
      </c>
      <c r="L46" s="18" t="n">
        <f aca="false">J46-K46</f>
        <v>64</v>
      </c>
      <c r="M46" s="18" t="n">
        <f aca="false">SUMIFS($H$2:$H$260,$A$2:$A$260,$A46,$B$2:$B$260,$B46)</f>
        <v>245</v>
      </c>
      <c r="N46" s="20" t="n">
        <f aca="false">IF(M46=0,"",L46/M46)</f>
        <v>0.261224489795918</v>
      </c>
      <c r="O46" s="18" t="s">
        <v>611</v>
      </c>
    </row>
    <row r="47" customFormat="false" ht="15" hidden="false" customHeight="true" outlineLevel="0" collapsed="false">
      <c r="A47" s="18" t="s">
        <v>394</v>
      </c>
      <c r="B47" s="18" t="s">
        <v>608</v>
      </c>
      <c r="C47" s="18" t="s">
        <v>614</v>
      </c>
      <c r="D47" s="18" t="s">
        <v>610</v>
      </c>
      <c r="E47" s="18" t="n">
        <v>5</v>
      </c>
      <c r="F47" s="18" t="s">
        <v>527</v>
      </c>
      <c r="G47" s="18" t="n">
        <v>-150</v>
      </c>
      <c r="H47" s="18" t="n">
        <v>25</v>
      </c>
      <c r="I47" s="18" t="n">
        <v>8</v>
      </c>
      <c r="J47" s="18" t="n">
        <f aca="false">SUMIFS($H$2:$H$260,$A$2:$A$260,$A47,$B$2:$B$260,$B47,$E$2:$E$260,"&lt;="&amp;$E47)</f>
        <v>118</v>
      </c>
      <c r="K47" s="18" t="n">
        <f aca="false">SUMIFS($I$2:$I$260,$A$2:$A$260,$A47,$B$2:$B$260,$B47,$E$2:$E$260,"&lt;="&amp;$E47)</f>
        <v>37</v>
      </c>
      <c r="L47" s="18" t="n">
        <f aca="false">J47-K47</f>
        <v>81</v>
      </c>
      <c r="M47" s="18" t="n">
        <f aca="false">SUMIFS($H$2:$H$260,$A$2:$A$260,$A47,$B$2:$B$260,$B47)</f>
        <v>245</v>
      </c>
      <c r="N47" s="20" t="n">
        <f aca="false">IF(M47=0,"",L47/M47)</f>
        <v>0.330612244897959</v>
      </c>
      <c r="O47" s="18" t="s">
        <v>611</v>
      </c>
    </row>
    <row r="48" customFormat="false" ht="15" hidden="false" customHeight="true" outlineLevel="0" collapsed="false">
      <c r="A48" s="18" t="s">
        <v>394</v>
      </c>
      <c r="B48" s="18" t="s">
        <v>608</v>
      </c>
      <c r="C48" s="18" t="s">
        <v>614</v>
      </c>
      <c r="D48" s="18" t="s">
        <v>610</v>
      </c>
      <c r="E48" s="18" t="n">
        <v>6</v>
      </c>
      <c r="F48" s="18" t="s">
        <v>528</v>
      </c>
      <c r="G48" s="18" t="n">
        <v>-135</v>
      </c>
      <c r="H48" s="18" t="n">
        <v>21</v>
      </c>
      <c r="I48" s="18" t="n">
        <v>5</v>
      </c>
      <c r="J48" s="18" t="n">
        <f aca="false">SUMIFS($H$2:$H$260,$A$2:$A$260,$A48,$B$2:$B$260,$B48,$E$2:$E$260,"&lt;="&amp;$E48)</f>
        <v>139</v>
      </c>
      <c r="K48" s="18" t="n">
        <f aca="false">SUMIFS($I$2:$I$260,$A$2:$A$260,$A48,$B$2:$B$260,$B48,$E$2:$E$260,"&lt;="&amp;$E48)</f>
        <v>42</v>
      </c>
      <c r="L48" s="18" t="n">
        <f aca="false">J48-K48</f>
        <v>97</v>
      </c>
      <c r="M48" s="18" t="n">
        <f aca="false">SUMIFS($H$2:$H$260,$A$2:$A$260,$A48,$B$2:$B$260,$B48)</f>
        <v>245</v>
      </c>
      <c r="N48" s="20" t="n">
        <f aca="false">IF(M48=0,"",L48/M48)</f>
        <v>0.395918367346939</v>
      </c>
      <c r="O48" s="18" t="s">
        <v>611</v>
      </c>
    </row>
    <row r="49" customFormat="false" ht="15" hidden="false" customHeight="true" outlineLevel="0" collapsed="false">
      <c r="A49" s="18" t="s">
        <v>394</v>
      </c>
      <c r="B49" s="18" t="s">
        <v>608</v>
      </c>
      <c r="C49" s="18" t="s">
        <v>614</v>
      </c>
      <c r="D49" s="18" t="s">
        <v>610</v>
      </c>
      <c r="E49" s="18" t="n">
        <v>7</v>
      </c>
      <c r="F49" s="18" t="s">
        <v>227</v>
      </c>
      <c r="G49" s="18" t="n">
        <v>-120</v>
      </c>
      <c r="H49" s="18" t="n">
        <v>22</v>
      </c>
      <c r="I49" s="18" t="n">
        <v>5</v>
      </c>
      <c r="J49" s="18" t="n">
        <f aca="false">SUMIFS($H$2:$H$260,$A$2:$A$260,$A49,$B$2:$B$260,$B49,$E$2:$E$260,"&lt;="&amp;$E49)</f>
        <v>161</v>
      </c>
      <c r="K49" s="18" t="n">
        <f aca="false">SUMIFS($I$2:$I$260,$A$2:$A$260,$A49,$B$2:$B$260,$B49,$E$2:$E$260,"&lt;="&amp;$E49)</f>
        <v>47</v>
      </c>
      <c r="L49" s="18" t="n">
        <f aca="false">J49-K49</f>
        <v>114</v>
      </c>
      <c r="M49" s="18" t="n">
        <f aca="false">SUMIFS($H$2:$H$260,$A$2:$A$260,$A49,$B$2:$B$260,$B49)</f>
        <v>245</v>
      </c>
      <c r="N49" s="20" t="n">
        <f aca="false">IF(M49=0,"",L49/M49)</f>
        <v>0.46530612244898</v>
      </c>
      <c r="O49" s="18" t="s">
        <v>611</v>
      </c>
    </row>
    <row r="50" customFormat="false" ht="15" hidden="false" customHeight="true" outlineLevel="0" collapsed="false">
      <c r="A50" s="18" t="s">
        <v>394</v>
      </c>
      <c r="B50" s="18" t="s">
        <v>608</v>
      </c>
      <c r="C50" s="18" t="s">
        <v>614</v>
      </c>
      <c r="D50" s="18" t="s">
        <v>610</v>
      </c>
      <c r="E50" s="18" t="n">
        <v>8</v>
      </c>
      <c r="F50" s="18" t="s">
        <v>241</v>
      </c>
      <c r="G50" s="18" t="n">
        <v>-105</v>
      </c>
      <c r="H50" s="18" t="n">
        <v>12</v>
      </c>
      <c r="I50" s="18" t="n">
        <v>15</v>
      </c>
      <c r="J50" s="18" t="n">
        <f aca="false">SUMIFS($H$2:$H$260,$A$2:$A$260,$A50,$B$2:$B$260,$B50,$E$2:$E$260,"&lt;="&amp;$E50)</f>
        <v>173</v>
      </c>
      <c r="K50" s="18" t="n">
        <f aca="false">SUMIFS($I$2:$I$260,$A$2:$A$260,$A50,$B$2:$B$260,$B50,$E$2:$E$260,"&lt;="&amp;$E50)</f>
        <v>62</v>
      </c>
      <c r="L50" s="18" t="n">
        <f aca="false">J50-K50</f>
        <v>111</v>
      </c>
      <c r="M50" s="18" t="n">
        <f aca="false">SUMIFS($H$2:$H$260,$A$2:$A$260,$A50,$B$2:$B$260,$B50)</f>
        <v>245</v>
      </c>
      <c r="N50" s="20" t="n">
        <f aca="false">IF(M50=0,"",L50/M50)</f>
        <v>0.453061224489796</v>
      </c>
      <c r="O50" s="18" t="s">
        <v>611</v>
      </c>
    </row>
    <row r="51" customFormat="false" ht="15" hidden="false" customHeight="true" outlineLevel="0" collapsed="false">
      <c r="A51" s="18" t="s">
        <v>394</v>
      </c>
      <c r="B51" s="18" t="s">
        <v>608</v>
      </c>
      <c r="C51" s="18" t="s">
        <v>614</v>
      </c>
      <c r="D51" s="18" t="s">
        <v>610</v>
      </c>
      <c r="E51" s="18" t="n">
        <v>9</v>
      </c>
      <c r="F51" s="18" t="s">
        <v>279</v>
      </c>
      <c r="G51" s="18" t="n">
        <v>-90</v>
      </c>
      <c r="H51" s="18" t="n">
        <v>13</v>
      </c>
      <c r="I51" s="18" t="n">
        <v>7</v>
      </c>
      <c r="J51" s="18" t="n">
        <f aca="false">SUMIFS($H$2:$H$260,$A$2:$A$260,$A51,$B$2:$B$260,$B51,$E$2:$E$260,"&lt;="&amp;$E51)</f>
        <v>186</v>
      </c>
      <c r="K51" s="18" t="n">
        <f aca="false">SUMIFS($I$2:$I$260,$A$2:$A$260,$A51,$B$2:$B$260,$B51,$E$2:$E$260,"&lt;="&amp;$E51)</f>
        <v>69</v>
      </c>
      <c r="L51" s="18" t="n">
        <f aca="false">J51-K51</f>
        <v>117</v>
      </c>
      <c r="M51" s="18" t="n">
        <f aca="false">SUMIFS($H$2:$H$260,$A$2:$A$260,$A51,$B$2:$B$260,$B51)</f>
        <v>245</v>
      </c>
      <c r="N51" s="20" t="n">
        <f aca="false">IF(M51=0,"",L51/M51)</f>
        <v>0.477551020408163</v>
      </c>
      <c r="O51" s="18" t="s">
        <v>611</v>
      </c>
    </row>
    <row r="52" customFormat="false" ht="15" hidden="false" customHeight="true" outlineLevel="0" collapsed="false">
      <c r="A52" s="18" t="s">
        <v>394</v>
      </c>
      <c r="B52" s="18" t="s">
        <v>608</v>
      </c>
      <c r="C52" s="18" t="s">
        <v>614</v>
      </c>
      <c r="D52" s="18" t="s">
        <v>610</v>
      </c>
      <c r="E52" s="18" t="n">
        <v>10</v>
      </c>
      <c r="F52" s="18" t="s">
        <v>206</v>
      </c>
      <c r="G52" s="18" t="n">
        <v>-75</v>
      </c>
      <c r="H52" s="18" t="n">
        <v>28</v>
      </c>
      <c r="I52" s="18" t="n">
        <v>16</v>
      </c>
      <c r="J52" s="18" t="n">
        <f aca="false">SUMIFS($H$2:$H$260,$A$2:$A$260,$A52,$B$2:$B$260,$B52,$E$2:$E$260,"&lt;="&amp;$E52)</f>
        <v>214</v>
      </c>
      <c r="K52" s="18" t="n">
        <f aca="false">SUMIFS($I$2:$I$260,$A$2:$A$260,$A52,$B$2:$B$260,$B52,$E$2:$E$260,"&lt;="&amp;$E52)</f>
        <v>85</v>
      </c>
      <c r="L52" s="18" t="n">
        <f aca="false">J52-K52</f>
        <v>129</v>
      </c>
      <c r="M52" s="18" t="n">
        <f aca="false">SUMIFS($H$2:$H$260,$A$2:$A$260,$A52,$B$2:$B$260,$B52)</f>
        <v>245</v>
      </c>
      <c r="N52" s="20" t="n">
        <f aca="false">IF(M52=0,"",L52/M52)</f>
        <v>0.526530612244898</v>
      </c>
      <c r="O52" s="18" t="s">
        <v>611</v>
      </c>
    </row>
    <row r="53" customFormat="false" ht="15" hidden="false" customHeight="true" outlineLevel="0" collapsed="false">
      <c r="A53" s="18" t="s">
        <v>394</v>
      </c>
      <c r="B53" s="18" t="s">
        <v>608</v>
      </c>
      <c r="C53" s="18" t="s">
        <v>614</v>
      </c>
      <c r="D53" s="18" t="s">
        <v>610</v>
      </c>
      <c r="E53" s="18" t="n">
        <v>11</v>
      </c>
      <c r="F53" s="18" t="s">
        <v>246</v>
      </c>
      <c r="G53" s="18" t="n">
        <v>-60</v>
      </c>
      <c r="H53" s="18" t="n">
        <v>9</v>
      </c>
      <c r="I53" s="18" t="n">
        <v>6</v>
      </c>
      <c r="J53" s="18" t="n">
        <f aca="false">SUMIFS($H$2:$H$260,$A$2:$A$260,$A53,$B$2:$B$260,$B53,$E$2:$E$260,"&lt;="&amp;$E53)</f>
        <v>223</v>
      </c>
      <c r="K53" s="18" t="n">
        <f aca="false">SUMIFS($I$2:$I$260,$A$2:$A$260,$A53,$B$2:$B$260,$B53,$E$2:$E$260,"&lt;="&amp;$E53)</f>
        <v>91</v>
      </c>
      <c r="L53" s="18" t="n">
        <f aca="false">J53-K53</f>
        <v>132</v>
      </c>
      <c r="M53" s="18" t="n">
        <f aca="false">SUMIFS($H$2:$H$260,$A$2:$A$260,$A53,$B$2:$B$260,$B53)</f>
        <v>245</v>
      </c>
      <c r="N53" s="20" t="n">
        <f aca="false">IF(M53=0,"",L53/M53)</f>
        <v>0.538775510204082</v>
      </c>
      <c r="O53" s="18" t="s">
        <v>611</v>
      </c>
    </row>
    <row r="54" customFormat="false" ht="15" hidden="false" customHeight="true" outlineLevel="0" collapsed="false">
      <c r="A54" s="18" t="s">
        <v>394</v>
      </c>
      <c r="B54" s="18" t="s">
        <v>608</v>
      </c>
      <c r="C54" s="18" t="s">
        <v>614</v>
      </c>
      <c r="D54" s="18" t="s">
        <v>610</v>
      </c>
      <c r="E54" s="18" t="n">
        <v>12</v>
      </c>
      <c r="F54" s="18" t="s">
        <v>254</v>
      </c>
      <c r="G54" s="18" t="n">
        <v>-45</v>
      </c>
      <c r="H54" s="18" t="n">
        <v>4</v>
      </c>
      <c r="I54" s="18" t="n">
        <v>18</v>
      </c>
      <c r="J54" s="18" t="n">
        <f aca="false">SUMIFS($H$2:$H$260,$A$2:$A$260,$A54,$B$2:$B$260,$B54,$E$2:$E$260,"&lt;="&amp;$E54)</f>
        <v>227</v>
      </c>
      <c r="K54" s="18" t="n">
        <f aca="false">SUMIFS($I$2:$I$260,$A$2:$A$260,$A54,$B$2:$B$260,$B54,$E$2:$E$260,"&lt;="&amp;$E54)</f>
        <v>109</v>
      </c>
      <c r="L54" s="18" t="n">
        <f aca="false">J54-K54</f>
        <v>118</v>
      </c>
      <c r="M54" s="18" t="n">
        <f aca="false">SUMIFS($H$2:$H$260,$A$2:$A$260,$A54,$B$2:$B$260,$B54)</f>
        <v>245</v>
      </c>
      <c r="N54" s="20" t="n">
        <f aca="false">IF(M54=0,"",L54/M54)</f>
        <v>0.481632653061225</v>
      </c>
      <c r="O54" s="18" t="s">
        <v>611</v>
      </c>
    </row>
    <row r="55" customFormat="false" ht="15" hidden="false" customHeight="true" outlineLevel="0" collapsed="false">
      <c r="A55" s="18" t="s">
        <v>394</v>
      </c>
      <c r="B55" s="18" t="s">
        <v>608</v>
      </c>
      <c r="C55" s="18" t="s">
        <v>614</v>
      </c>
      <c r="D55" s="18" t="s">
        <v>610</v>
      </c>
      <c r="E55" s="18" t="n">
        <v>13</v>
      </c>
      <c r="F55" s="18" t="s">
        <v>403</v>
      </c>
      <c r="G55" s="18" t="n">
        <v>-30</v>
      </c>
      <c r="H55" s="18" t="n">
        <v>5</v>
      </c>
      <c r="I55" s="18" t="n">
        <v>28</v>
      </c>
      <c r="J55" s="18" t="n">
        <f aca="false">SUMIFS($H$2:$H$260,$A$2:$A$260,$A55,$B$2:$B$260,$B55,$E$2:$E$260,"&lt;="&amp;$E55)</f>
        <v>232</v>
      </c>
      <c r="K55" s="18" t="n">
        <f aca="false">SUMIFS($I$2:$I$260,$A$2:$A$260,$A55,$B$2:$B$260,$B55,$E$2:$E$260,"&lt;="&amp;$E55)</f>
        <v>137</v>
      </c>
      <c r="L55" s="18" t="n">
        <f aca="false">J55-K55</f>
        <v>95</v>
      </c>
      <c r="M55" s="18" t="n">
        <f aca="false">SUMIFS($H$2:$H$260,$A$2:$A$260,$A55,$B$2:$B$260,$B55)</f>
        <v>245</v>
      </c>
      <c r="N55" s="20" t="n">
        <f aca="false">IF(M55=0,"",L55/M55)</f>
        <v>0.387755102040816</v>
      </c>
      <c r="O55" s="18" t="s">
        <v>611</v>
      </c>
    </row>
    <row r="56" customFormat="false" ht="15" hidden="false" customHeight="true" outlineLevel="0" collapsed="false">
      <c r="A56" s="18" t="s">
        <v>394</v>
      </c>
      <c r="B56" s="18" t="s">
        <v>608</v>
      </c>
      <c r="C56" s="18" t="s">
        <v>614</v>
      </c>
      <c r="D56" s="18" t="s">
        <v>610</v>
      </c>
      <c r="E56" s="18" t="n">
        <v>14</v>
      </c>
      <c r="F56" s="18" t="s">
        <v>529</v>
      </c>
      <c r="G56" s="18" t="n">
        <v>-15</v>
      </c>
      <c r="H56" s="18" t="n">
        <v>5</v>
      </c>
      <c r="I56" s="18" t="n">
        <v>29</v>
      </c>
      <c r="J56" s="18" t="n">
        <f aca="false">SUMIFS($H$2:$H$260,$A$2:$A$260,$A56,$B$2:$B$260,$B56,$E$2:$E$260,"&lt;="&amp;$E56)</f>
        <v>237</v>
      </c>
      <c r="K56" s="18" t="n">
        <f aca="false">SUMIFS($I$2:$I$260,$A$2:$A$260,$A56,$B$2:$B$260,$B56,$E$2:$E$260,"&lt;="&amp;$E56)</f>
        <v>166</v>
      </c>
      <c r="L56" s="18" t="n">
        <f aca="false">J56-K56</f>
        <v>71</v>
      </c>
      <c r="M56" s="18" t="n">
        <f aca="false">SUMIFS($H$2:$H$260,$A$2:$A$260,$A56,$B$2:$B$260,$B56)</f>
        <v>245</v>
      </c>
      <c r="N56" s="20" t="n">
        <f aca="false">IF(M56=0,"",L56/M56)</f>
        <v>0.289795918367347</v>
      </c>
      <c r="O56" s="18" t="s">
        <v>611</v>
      </c>
    </row>
    <row r="57" customFormat="false" ht="15" hidden="false" customHeight="true" outlineLevel="0" collapsed="false">
      <c r="A57" s="18" t="s">
        <v>394</v>
      </c>
      <c r="B57" s="18" t="s">
        <v>608</v>
      </c>
      <c r="C57" s="18" t="s">
        <v>614</v>
      </c>
      <c r="D57" s="18" t="s">
        <v>610</v>
      </c>
      <c r="E57" s="18" t="n">
        <v>15</v>
      </c>
      <c r="F57" s="18" t="s">
        <v>463</v>
      </c>
      <c r="G57" s="18" t="n">
        <v>0</v>
      </c>
      <c r="H57" s="18" t="n">
        <v>3</v>
      </c>
      <c r="I57" s="18" t="n">
        <v>21</v>
      </c>
      <c r="J57" s="18" t="n">
        <f aca="false">SUMIFS($H$2:$H$260,$A$2:$A$260,$A57,$B$2:$B$260,$B57,$E$2:$E$260,"&lt;="&amp;$E57)</f>
        <v>240</v>
      </c>
      <c r="K57" s="18" t="n">
        <f aca="false">SUMIFS($I$2:$I$260,$A$2:$A$260,$A57,$B$2:$B$260,$B57,$E$2:$E$260,"&lt;="&amp;$E57)</f>
        <v>187</v>
      </c>
      <c r="L57" s="18" t="n">
        <f aca="false">J57-K57</f>
        <v>53</v>
      </c>
      <c r="M57" s="18" t="n">
        <f aca="false">SUMIFS($H$2:$H$260,$A$2:$A$260,$A57,$B$2:$B$260,$B57)</f>
        <v>245</v>
      </c>
      <c r="N57" s="20" t="n">
        <f aca="false">IF(M57=0,"",L57/M57)</f>
        <v>0.216326530612245</v>
      </c>
      <c r="O57" s="18" t="s">
        <v>611</v>
      </c>
    </row>
    <row r="58" customFormat="false" ht="15" hidden="false" customHeight="true" outlineLevel="0" collapsed="false">
      <c r="A58" s="18" t="s">
        <v>394</v>
      </c>
      <c r="B58" s="18" t="s">
        <v>608</v>
      </c>
      <c r="C58" s="18" t="s">
        <v>614</v>
      </c>
      <c r="D58" s="18" t="s">
        <v>610</v>
      </c>
      <c r="E58" s="18" t="n">
        <v>16</v>
      </c>
      <c r="F58" s="18" t="s">
        <v>366</v>
      </c>
      <c r="G58" s="18" t="n">
        <v>15</v>
      </c>
      <c r="H58" s="18" t="n">
        <v>2</v>
      </c>
      <c r="I58" s="18" t="n">
        <v>10</v>
      </c>
      <c r="J58" s="18" t="n">
        <f aca="false">SUMIFS($H$2:$H$260,$A$2:$A$260,$A58,$B$2:$B$260,$B58,$E$2:$E$260,"&lt;="&amp;$E58)</f>
        <v>242</v>
      </c>
      <c r="K58" s="18" t="n">
        <f aca="false">SUMIFS($I$2:$I$260,$A$2:$A$260,$A58,$B$2:$B$260,$B58,$E$2:$E$260,"&lt;="&amp;$E58)</f>
        <v>197</v>
      </c>
      <c r="L58" s="18" t="n">
        <f aca="false">J58-K58</f>
        <v>45</v>
      </c>
      <c r="M58" s="18" t="n">
        <f aca="false">SUMIFS($H$2:$H$260,$A$2:$A$260,$A58,$B$2:$B$260,$B58)</f>
        <v>245</v>
      </c>
      <c r="N58" s="20" t="n">
        <f aca="false">IF(M58=0,"",L58/M58)</f>
        <v>0.183673469387755</v>
      </c>
      <c r="O58" s="18" t="s">
        <v>611</v>
      </c>
    </row>
    <row r="59" customFormat="false" ht="15" hidden="false" customHeight="true" outlineLevel="0" collapsed="false">
      <c r="A59" s="18" t="s">
        <v>394</v>
      </c>
      <c r="B59" s="18" t="s">
        <v>608</v>
      </c>
      <c r="C59" s="18" t="s">
        <v>614</v>
      </c>
      <c r="D59" s="18" t="s">
        <v>610</v>
      </c>
      <c r="E59" s="18" t="n">
        <v>17</v>
      </c>
      <c r="F59" s="18" t="s">
        <v>326</v>
      </c>
      <c r="G59" s="18" t="n">
        <v>30</v>
      </c>
      <c r="H59" s="18" t="n">
        <v>1</v>
      </c>
      <c r="I59" s="18" t="n">
        <v>15</v>
      </c>
      <c r="J59" s="18" t="n">
        <f aca="false">SUMIFS($H$2:$H$260,$A$2:$A$260,$A59,$B$2:$B$260,$B59,$E$2:$E$260,"&lt;="&amp;$E59)</f>
        <v>243</v>
      </c>
      <c r="K59" s="18" t="n">
        <f aca="false">SUMIFS($I$2:$I$260,$A$2:$A$260,$A59,$B$2:$B$260,$B59,$E$2:$E$260,"&lt;="&amp;$E59)</f>
        <v>212</v>
      </c>
      <c r="L59" s="18" t="n">
        <f aca="false">J59-K59</f>
        <v>31</v>
      </c>
      <c r="M59" s="18" t="n">
        <f aca="false">SUMIFS($H$2:$H$260,$A$2:$A$260,$A59,$B$2:$B$260,$B59)</f>
        <v>245</v>
      </c>
      <c r="N59" s="20" t="n">
        <f aca="false">IF(M59=0,"",L59/M59)</f>
        <v>0.126530612244898</v>
      </c>
      <c r="O59" s="18" t="s">
        <v>611</v>
      </c>
    </row>
    <row r="60" customFormat="false" ht="15" hidden="false" customHeight="true" outlineLevel="0" collapsed="false">
      <c r="A60" s="18" t="s">
        <v>394</v>
      </c>
      <c r="B60" s="18" t="s">
        <v>608</v>
      </c>
      <c r="C60" s="18" t="s">
        <v>614</v>
      </c>
      <c r="D60" s="18" t="s">
        <v>610</v>
      </c>
      <c r="E60" s="18" t="n">
        <v>18</v>
      </c>
      <c r="F60" s="18" t="s">
        <v>226</v>
      </c>
      <c r="G60" s="18" t="n">
        <v>45</v>
      </c>
      <c r="H60" s="18" t="n">
        <v>2</v>
      </c>
      <c r="I60" s="18" t="n">
        <v>7</v>
      </c>
      <c r="J60" s="18" t="n">
        <f aca="false">SUMIFS($H$2:$H$260,$A$2:$A$260,$A60,$B$2:$B$260,$B60,$E$2:$E$260,"&lt;="&amp;$E60)</f>
        <v>245</v>
      </c>
      <c r="K60" s="18" t="n">
        <f aca="false">SUMIFS($I$2:$I$260,$A$2:$A$260,$A60,$B$2:$B$260,$B60,$E$2:$E$260,"&lt;="&amp;$E60)</f>
        <v>219</v>
      </c>
      <c r="L60" s="18" t="n">
        <f aca="false">J60-K60</f>
        <v>26</v>
      </c>
      <c r="M60" s="18" t="n">
        <f aca="false">SUMIFS($H$2:$H$260,$A$2:$A$260,$A60,$B$2:$B$260,$B60)</f>
        <v>245</v>
      </c>
      <c r="N60" s="20" t="n">
        <f aca="false">IF(M60=0,"",L60/M60)</f>
        <v>0.106122448979592</v>
      </c>
      <c r="O60" s="18" t="s">
        <v>611</v>
      </c>
    </row>
    <row r="61" customFormat="false" ht="15" hidden="false" customHeight="true" outlineLevel="0" collapsed="false">
      <c r="A61" s="18" t="s">
        <v>394</v>
      </c>
      <c r="B61" s="18" t="s">
        <v>615</v>
      </c>
      <c r="C61" s="18" t="s">
        <v>609</v>
      </c>
      <c r="D61" s="18" t="s">
        <v>610</v>
      </c>
      <c r="E61" s="18" t="n">
        <v>0</v>
      </c>
      <c r="F61" s="18" t="s">
        <v>204</v>
      </c>
      <c r="G61" s="18"/>
      <c r="H61" s="18" t="n">
        <v>108</v>
      </c>
      <c r="I61" s="18" t="n">
        <v>20</v>
      </c>
      <c r="J61" s="18" t="n">
        <f aca="false">SUMIFS($H$2:$H$260,$A$2:$A$260,$A61,$B$2:$B$260,$B61,$E$2:$E$260,"&lt;="&amp;$E61)</f>
        <v>108</v>
      </c>
      <c r="K61" s="18" t="n">
        <f aca="false">SUMIFS($I$2:$I$260,$A$2:$A$260,$A61,$B$2:$B$260,$B61,$E$2:$E$260,"&lt;="&amp;$E61)</f>
        <v>20</v>
      </c>
      <c r="L61" s="18" t="n">
        <f aca="false">J61-K61</f>
        <v>88</v>
      </c>
      <c r="M61" s="18" t="n">
        <f aca="false">SUMIFS($H$2:$H$260,$A$2:$A$260,$A61,$B$2:$B$260,$B61)</f>
        <v>884</v>
      </c>
      <c r="N61" s="20" t="n">
        <f aca="false">IF(M61=0,"",L61/M61)</f>
        <v>0.0995475113122172</v>
      </c>
      <c r="O61" s="18" t="s">
        <v>108</v>
      </c>
    </row>
    <row r="62" customFormat="false" ht="15" hidden="false" customHeight="true" outlineLevel="0" collapsed="false">
      <c r="A62" s="18" t="s">
        <v>394</v>
      </c>
      <c r="B62" s="18" t="s">
        <v>615</v>
      </c>
      <c r="C62" s="18" t="s">
        <v>609</v>
      </c>
      <c r="D62" s="18" t="s">
        <v>610</v>
      </c>
      <c r="E62" s="18" t="n">
        <v>1</v>
      </c>
      <c r="F62" s="18" t="s">
        <v>531</v>
      </c>
      <c r="G62" s="18" t="n">
        <v>-210</v>
      </c>
      <c r="H62" s="18" t="n">
        <v>0</v>
      </c>
      <c r="I62" s="18" t="n">
        <v>0</v>
      </c>
      <c r="J62" s="18" t="n">
        <f aca="false">SUMIFS($H$2:$H$260,$A$2:$A$260,$A62,$B$2:$B$260,$B62,$E$2:$E$260,"&lt;="&amp;$E62)</f>
        <v>108</v>
      </c>
      <c r="K62" s="18" t="n">
        <f aca="false">SUMIFS($I$2:$I$260,$A$2:$A$260,$A62,$B$2:$B$260,$B62,$E$2:$E$260,"&lt;="&amp;$E62)</f>
        <v>20</v>
      </c>
      <c r="L62" s="18" t="n">
        <f aca="false">J62-K62</f>
        <v>88</v>
      </c>
      <c r="M62" s="18" t="n">
        <f aca="false">SUMIFS($H$2:$H$260,$A$2:$A$260,$A62,$B$2:$B$260,$B62)</f>
        <v>884</v>
      </c>
      <c r="N62" s="20" t="n">
        <f aca="false">IF(M62=0,"",L62/M62)</f>
        <v>0.0995475113122172</v>
      </c>
      <c r="O62" s="18" t="s">
        <v>108</v>
      </c>
    </row>
    <row r="63" customFormat="false" ht="15" hidden="false" customHeight="true" outlineLevel="0" collapsed="false">
      <c r="A63" s="18" t="s">
        <v>394</v>
      </c>
      <c r="B63" s="18" t="s">
        <v>615</v>
      </c>
      <c r="C63" s="18" t="s">
        <v>609</v>
      </c>
      <c r="D63" s="18" t="s">
        <v>610</v>
      </c>
      <c r="E63" s="18" t="n">
        <v>2</v>
      </c>
      <c r="F63" s="18" t="s">
        <v>340</v>
      </c>
      <c r="G63" s="18" t="n">
        <v>-195</v>
      </c>
      <c r="H63" s="18" t="n">
        <v>12</v>
      </c>
      <c r="I63" s="18" t="n">
        <v>0</v>
      </c>
      <c r="J63" s="18" t="n">
        <f aca="false">SUMIFS($H$2:$H$260,$A$2:$A$260,$A63,$B$2:$B$260,$B63,$E$2:$E$260,"&lt;="&amp;$E63)</f>
        <v>120</v>
      </c>
      <c r="K63" s="18" t="n">
        <f aca="false">SUMIFS($I$2:$I$260,$A$2:$A$260,$A63,$B$2:$B$260,$B63,$E$2:$E$260,"&lt;="&amp;$E63)</f>
        <v>20</v>
      </c>
      <c r="L63" s="18" t="n">
        <f aca="false">J63-K63</f>
        <v>100</v>
      </c>
      <c r="M63" s="18" t="n">
        <f aca="false">SUMIFS($H$2:$H$260,$A$2:$A$260,$A63,$B$2:$B$260,$B63)</f>
        <v>884</v>
      </c>
      <c r="N63" s="20" t="n">
        <f aca="false">IF(M63=0,"",L63/M63)</f>
        <v>0.113122171945701</v>
      </c>
      <c r="O63" s="18" t="s">
        <v>108</v>
      </c>
    </row>
    <row r="64" customFormat="false" ht="15" hidden="false" customHeight="true" outlineLevel="0" collapsed="false">
      <c r="A64" s="18" t="s">
        <v>394</v>
      </c>
      <c r="B64" s="18" t="s">
        <v>615</v>
      </c>
      <c r="C64" s="18" t="s">
        <v>609</v>
      </c>
      <c r="D64" s="18" t="s">
        <v>610</v>
      </c>
      <c r="E64" s="18" t="n">
        <v>3</v>
      </c>
      <c r="F64" s="18" t="s">
        <v>525</v>
      </c>
      <c r="G64" s="18" t="n">
        <v>-180</v>
      </c>
      <c r="H64" s="18" t="n">
        <v>56</v>
      </c>
      <c r="I64" s="18" t="n">
        <v>7</v>
      </c>
      <c r="J64" s="18" t="n">
        <f aca="false">SUMIFS($H$2:$H$260,$A$2:$A$260,$A64,$B$2:$B$260,$B64,$E$2:$E$260,"&lt;="&amp;$E64)</f>
        <v>176</v>
      </c>
      <c r="K64" s="18" t="n">
        <f aca="false">SUMIFS($I$2:$I$260,$A$2:$A$260,$A64,$B$2:$B$260,$B64,$E$2:$E$260,"&lt;="&amp;$E64)</f>
        <v>27</v>
      </c>
      <c r="L64" s="18" t="n">
        <f aca="false">J64-K64</f>
        <v>149</v>
      </c>
      <c r="M64" s="18" t="n">
        <f aca="false">SUMIFS($H$2:$H$260,$A$2:$A$260,$A64,$B$2:$B$260,$B64)</f>
        <v>884</v>
      </c>
      <c r="N64" s="20" t="n">
        <f aca="false">IF(M64=0,"",L64/M64)</f>
        <v>0.168552036199095</v>
      </c>
      <c r="O64" s="18" t="s">
        <v>108</v>
      </c>
    </row>
    <row r="65" customFormat="false" ht="15" hidden="false" customHeight="true" outlineLevel="0" collapsed="false">
      <c r="A65" s="18" t="s">
        <v>394</v>
      </c>
      <c r="B65" s="18" t="s">
        <v>615</v>
      </c>
      <c r="C65" s="18" t="s">
        <v>609</v>
      </c>
      <c r="D65" s="18" t="s">
        <v>610</v>
      </c>
      <c r="E65" s="18" t="n">
        <v>4</v>
      </c>
      <c r="F65" s="18" t="s">
        <v>526</v>
      </c>
      <c r="G65" s="18" t="n">
        <v>-165</v>
      </c>
      <c r="H65" s="18" t="n">
        <v>73</v>
      </c>
      <c r="I65" s="18" t="n">
        <v>14</v>
      </c>
      <c r="J65" s="18" t="n">
        <f aca="false">SUMIFS($H$2:$H$260,$A$2:$A$260,$A65,$B$2:$B$260,$B65,$E$2:$E$260,"&lt;="&amp;$E65)</f>
        <v>249</v>
      </c>
      <c r="K65" s="18" t="n">
        <f aca="false">SUMIFS($I$2:$I$260,$A$2:$A$260,$A65,$B$2:$B$260,$B65,$E$2:$E$260,"&lt;="&amp;$E65)</f>
        <v>41</v>
      </c>
      <c r="L65" s="18" t="n">
        <f aca="false">J65-K65</f>
        <v>208</v>
      </c>
      <c r="M65" s="18" t="n">
        <f aca="false">SUMIFS($H$2:$H$260,$A$2:$A$260,$A65,$B$2:$B$260,$B65)</f>
        <v>884</v>
      </c>
      <c r="N65" s="20" t="n">
        <f aca="false">IF(M65=0,"",L65/M65)</f>
        <v>0.235294117647059</v>
      </c>
      <c r="O65" s="18" t="s">
        <v>108</v>
      </c>
    </row>
    <row r="66" customFormat="false" ht="15" hidden="false" customHeight="true" outlineLevel="0" collapsed="false">
      <c r="A66" s="18" t="s">
        <v>394</v>
      </c>
      <c r="B66" s="18" t="s">
        <v>615</v>
      </c>
      <c r="C66" s="18" t="s">
        <v>609</v>
      </c>
      <c r="D66" s="18" t="s">
        <v>610</v>
      </c>
      <c r="E66" s="18" t="n">
        <v>5</v>
      </c>
      <c r="F66" s="18" t="s">
        <v>527</v>
      </c>
      <c r="G66" s="18" t="n">
        <v>-150</v>
      </c>
      <c r="H66" s="18" t="n">
        <v>101</v>
      </c>
      <c r="I66" s="18" t="n">
        <v>13</v>
      </c>
      <c r="J66" s="18" t="n">
        <f aca="false">SUMIFS($H$2:$H$260,$A$2:$A$260,$A66,$B$2:$B$260,$B66,$E$2:$E$260,"&lt;="&amp;$E66)</f>
        <v>350</v>
      </c>
      <c r="K66" s="18" t="n">
        <f aca="false">SUMIFS($I$2:$I$260,$A$2:$A$260,$A66,$B$2:$B$260,$B66,$E$2:$E$260,"&lt;="&amp;$E66)</f>
        <v>54</v>
      </c>
      <c r="L66" s="18" t="n">
        <f aca="false">J66-K66</f>
        <v>296</v>
      </c>
      <c r="M66" s="18" t="n">
        <f aca="false">SUMIFS($H$2:$H$260,$A$2:$A$260,$A66,$B$2:$B$260,$B66)</f>
        <v>884</v>
      </c>
      <c r="N66" s="20" t="n">
        <f aca="false">IF(M66=0,"",L66/M66)</f>
        <v>0.334841628959276</v>
      </c>
      <c r="O66" s="18" t="s">
        <v>108</v>
      </c>
    </row>
    <row r="67" customFormat="false" ht="15" hidden="false" customHeight="true" outlineLevel="0" collapsed="false">
      <c r="A67" s="18" t="s">
        <v>394</v>
      </c>
      <c r="B67" s="18" t="s">
        <v>615</v>
      </c>
      <c r="C67" s="18" t="s">
        <v>609</v>
      </c>
      <c r="D67" s="18" t="s">
        <v>610</v>
      </c>
      <c r="E67" s="18" t="n">
        <v>6</v>
      </c>
      <c r="F67" s="18" t="s">
        <v>528</v>
      </c>
      <c r="G67" s="18" t="n">
        <v>-135</v>
      </c>
      <c r="H67" s="18" t="n">
        <v>103</v>
      </c>
      <c r="I67" s="18" t="n">
        <v>16</v>
      </c>
      <c r="J67" s="18" t="n">
        <f aca="false">SUMIFS($H$2:$H$260,$A$2:$A$260,$A67,$B$2:$B$260,$B67,$E$2:$E$260,"&lt;="&amp;$E67)</f>
        <v>453</v>
      </c>
      <c r="K67" s="18" t="n">
        <f aca="false">SUMIFS($I$2:$I$260,$A$2:$A$260,$A67,$B$2:$B$260,$B67,$E$2:$E$260,"&lt;="&amp;$E67)</f>
        <v>70</v>
      </c>
      <c r="L67" s="18" t="n">
        <f aca="false">J67-K67</f>
        <v>383</v>
      </c>
      <c r="M67" s="18" t="n">
        <f aca="false">SUMIFS($H$2:$H$260,$A$2:$A$260,$A67,$B$2:$B$260,$B67)</f>
        <v>884</v>
      </c>
      <c r="N67" s="20" t="n">
        <f aca="false">IF(M67=0,"",L67/M67)</f>
        <v>0.433257918552036</v>
      </c>
      <c r="O67" s="18" t="s">
        <v>108</v>
      </c>
    </row>
    <row r="68" customFormat="false" ht="15" hidden="false" customHeight="true" outlineLevel="0" collapsed="false">
      <c r="A68" s="18" t="s">
        <v>394</v>
      </c>
      <c r="B68" s="18" t="s">
        <v>615</v>
      </c>
      <c r="C68" s="18" t="s">
        <v>609</v>
      </c>
      <c r="D68" s="18" t="s">
        <v>610</v>
      </c>
      <c r="E68" s="18" t="n">
        <v>7</v>
      </c>
      <c r="F68" s="18" t="s">
        <v>227</v>
      </c>
      <c r="G68" s="18" t="n">
        <v>-120</v>
      </c>
      <c r="H68" s="18" t="n">
        <v>105</v>
      </c>
      <c r="I68" s="18" t="n">
        <v>24</v>
      </c>
      <c r="J68" s="18" t="n">
        <f aca="false">SUMIFS($H$2:$H$260,$A$2:$A$260,$A68,$B$2:$B$260,$B68,$E$2:$E$260,"&lt;="&amp;$E68)</f>
        <v>558</v>
      </c>
      <c r="K68" s="18" t="n">
        <f aca="false">SUMIFS($I$2:$I$260,$A$2:$A$260,$A68,$B$2:$B$260,$B68,$E$2:$E$260,"&lt;="&amp;$E68)</f>
        <v>94</v>
      </c>
      <c r="L68" s="18" t="n">
        <f aca="false">J68-K68</f>
        <v>464</v>
      </c>
      <c r="M68" s="18" t="n">
        <f aca="false">SUMIFS($H$2:$H$260,$A$2:$A$260,$A68,$B$2:$B$260,$B68)</f>
        <v>884</v>
      </c>
      <c r="N68" s="20" t="n">
        <f aca="false">IF(M68=0,"",L68/M68)</f>
        <v>0.524886877828054</v>
      </c>
      <c r="O68" s="18" t="s">
        <v>108</v>
      </c>
    </row>
    <row r="69" customFormat="false" ht="15" hidden="false" customHeight="true" outlineLevel="0" collapsed="false">
      <c r="A69" s="18" t="s">
        <v>394</v>
      </c>
      <c r="B69" s="18" t="s">
        <v>615</v>
      </c>
      <c r="C69" s="18" t="s">
        <v>609</v>
      </c>
      <c r="D69" s="18" t="s">
        <v>610</v>
      </c>
      <c r="E69" s="18" t="n">
        <v>8</v>
      </c>
      <c r="F69" s="18" t="s">
        <v>241</v>
      </c>
      <c r="G69" s="18" t="n">
        <v>-105</v>
      </c>
      <c r="H69" s="18" t="n">
        <v>75</v>
      </c>
      <c r="I69" s="18" t="n">
        <v>64</v>
      </c>
      <c r="J69" s="18" t="n">
        <f aca="false">SUMIFS($H$2:$H$260,$A$2:$A$260,$A69,$B$2:$B$260,$B69,$E$2:$E$260,"&lt;="&amp;$E69)</f>
        <v>633</v>
      </c>
      <c r="K69" s="18" t="n">
        <f aca="false">SUMIFS($I$2:$I$260,$A$2:$A$260,$A69,$B$2:$B$260,$B69,$E$2:$E$260,"&lt;="&amp;$E69)</f>
        <v>158</v>
      </c>
      <c r="L69" s="18" t="n">
        <f aca="false">J69-K69</f>
        <v>475</v>
      </c>
      <c r="M69" s="18" t="n">
        <f aca="false">SUMIFS($H$2:$H$260,$A$2:$A$260,$A69,$B$2:$B$260,$B69)</f>
        <v>884</v>
      </c>
      <c r="N69" s="20" t="n">
        <f aca="false">IF(M69=0,"",L69/M69)</f>
        <v>0.537330316742081</v>
      </c>
      <c r="O69" s="18" t="s">
        <v>108</v>
      </c>
    </row>
    <row r="70" customFormat="false" ht="15" hidden="false" customHeight="true" outlineLevel="0" collapsed="false">
      <c r="A70" s="18" t="s">
        <v>394</v>
      </c>
      <c r="B70" s="18" t="s">
        <v>615</v>
      </c>
      <c r="C70" s="18" t="s">
        <v>609</v>
      </c>
      <c r="D70" s="18" t="s">
        <v>610</v>
      </c>
      <c r="E70" s="18" t="n">
        <v>9</v>
      </c>
      <c r="F70" s="18" t="s">
        <v>279</v>
      </c>
      <c r="G70" s="18" t="n">
        <v>-90</v>
      </c>
      <c r="H70" s="18" t="n">
        <v>63</v>
      </c>
      <c r="I70" s="18" t="n">
        <v>79</v>
      </c>
      <c r="J70" s="18" t="n">
        <f aca="false">SUMIFS($H$2:$H$260,$A$2:$A$260,$A70,$B$2:$B$260,$B70,$E$2:$E$260,"&lt;="&amp;$E70)</f>
        <v>696</v>
      </c>
      <c r="K70" s="18" t="n">
        <f aca="false">SUMIFS($I$2:$I$260,$A$2:$A$260,$A70,$B$2:$B$260,$B70,$E$2:$E$260,"&lt;="&amp;$E70)</f>
        <v>237</v>
      </c>
      <c r="L70" s="18" t="n">
        <f aca="false">J70-K70</f>
        <v>459</v>
      </c>
      <c r="M70" s="18" t="n">
        <f aca="false">SUMIFS($H$2:$H$260,$A$2:$A$260,$A70,$B$2:$B$260,$B70)</f>
        <v>884</v>
      </c>
      <c r="N70" s="20" t="n">
        <f aca="false">IF(M70=0,"",L70/M70)</f>
        <v>0.519230769230769</v>
      </c>
      <c r="O70" s="18" t="s">
        <v>108</v>
      </c>
    </row>
    <row r="71" customFormat="false" ht="15" hidden="false" customHeight="true" outlineLevel="0" collapsed="false">
      <c r="A71" s="18" t="s">
        <v>394</v>
      </c>
      <c r="B71" s="18" t="s">
        <v>615</v>
      </c>
      <c r="C71" s="18" t="s">
        <v>609</v>
      </c>
      <c r="D71" s="18" t="s">
        <v>610</v>
      </c>
      <c r="E71" s="18" t="n">
        <v>10</v>
      </c>
      <c r="F71" s="18" t="s">
        <v>206</v>
      </c>
      <c r="G71" s="18" t="n">
        <v>-75</v>
      </c>
      <c r="H71" s="18" t="n">
        <v>63</v>
      </c>
      <c r="I71" s="18" t="n">
        <v>97</v>
      </c>
      <c r="J71" s="18" t="n">
        <f aca="false">SUMIFS($H$2:$H$260,$A$2:$A$260,$A71,$B$2:$B$260,$B71,$E$2:$E$260,"&lt;="&amp;$E71)</f>
        <v>759</v>
      </c>
      <c r="K71" s="18" t="n">
        <f aca="false">SUMIFS($I$2:$I$260,$A$2:$A$260,$A71,$B$2:$B$260,$B71,$E$2:$E$260,"&lt;="&amp;$E71)</f>
        <v>334</v>
      </c>
      <c r="L71" s="18" t="n">
        <f aca="false">J71-K71</f>
        <v>425</v>
      </c>
      <c r="M71" s="18" t="n">
        <f aca="false">SUMIFS($H$2:$H$260,$A$2:$A$260,$A71,$B$2:$B$260,$B71)</f>
        <v>884</v>
      </c>
      <c r="N71" s="20" t="n">
        <f aca="false">IF(M71=0,"",L71/M71)</f>
        <v>0.480769230769231</v>
      </c>
      <c r="O71" s="18" t="s">
        <v>108</v>
      </c>
    </row>
    <row r="72" customFormat="false" ht="15" hidden="false" customHeight="true" outlineLevel="0" collapsed="false">
      <c r="A72" s="18" t="s">
        <v>394</v>
      </c>
      <c r="B72" s="18" t="s">
        <v>615</v>
      </c>
      <c r="C72" s="18" t="s">
        <v>609</v>
      </c>
      <c r="D72" s="18" t="s">
        <v>610</v>
      </c>
      <c r="E72" s="18" t="n">
        <v>11</v>
      </c>
      <c r="F72" s="18" t="s">
        <v>246</v>
      </c>
      <c r="G72" s="18" t="n">
        <v>-60</v>
      </c>
      <c r="H72" s="18" t="n">
        <v>40</v>
      </c>
      <c r="I72" s="18" t="n">
        <v>92</v>
      </c>
      <c r="J72" s="18" t="n">
        <f aca="false">SUMIFS($H$2:$H$260,$A$2:$A$260,$A72,$B$2:$B$260,$B72,$E$2:$E$260,"&lt;="&amp;$E72)</f>
        <v>799</v>
      </c>
      <c r="K72" s="18" t="n">
        <f aca="false">SUMIFS($I$2:$I$260,$A$2:$A$260,$A72,$B$2:$B$260,$B72,$E$2:$E$260,"&lt;="&amp;$E72)</f>
        <v>426</v>
      </c>
      <c r="L72" s="18" t="n">
        <f aca="false">J72-K72</f>
        <v>373</v>
      </c>
      <c r="M72" s="18" t="n">
        <f aca="false">SUMIFS($H$2:$H$260,$A$2:$A$260,$A72,$B$2:$B$260,$B72)</f>
        <v>884</v>
      </c>
      <c r="N72" s="20" t="n">
        <f aca="false">IF(M72=0,"",L72/M72)</f>
        <v>0.421945701357466</v>
      </c>
      <c r="O72" s="18" t="s">
        <v>108</v>
      </c>
    </row>
    <row r="73" customFormat="false" ht="15" hidden="false" customHeight="true" outlineLevel="0" collapsed="false">
      <c r="A73" s="18" t="s">
        <v>394</v>
      </c>
      <c r="B73" s="18" t="s">
        <v>615</v>
      </c>
      <c r="C73" s="18" t="s">
        <v>609</v>
      </c>
      <c r="D73" s="18" t="s">
        <v>610</v>
      </c>
      <c r="E73" s="18" t="n">
        <v>12</v>
      </c>
      <c r="F73" s="18" t="s">
        <v>254</v>
      </c>
      <c r="G73" s="18" t="n">
        <v>-45</v>
      </c>
      <c r="H73" s="18" t="n">
        <v>23</v>
      </c>
      <c r="I73" s="18" t="n">
        <v>99</v>
      </c>
      <c r="J73" s="18" t="n">
        <f aca="false">SUMIFS($H$2:$H$260,$A$2:$A$260,$A73,$B$2:$B$260,$B73,$E$2:$E$260,"&lt;="&amp;$E73)</f>
        <v>822</v>
      </c>
      <c r="K73" s="18" t="n">
        <f aca="false">SUMIFS($I$2:$I$260,$A$2:$A$260,$A73,$B$2:$B$260,$B73,$E$2:$E$260,"&lt;="&amp;$E73)</f>
        <v>525</v>
      </c>
      <c r="L73" s="18" t="n">
        <f aca="false">J73-K73</f>
        <v>297</v>
      </c>
      <c r="M73" s="18" t="n">
        <f aca="false">SUMIFS($H$2:$H$260,$A$2:$A$260,$A73,$B$2:$B$260,$B73)</f>
        <v>884</v>
      </c>
      <c r="N73" s="20" t="n">
        <f aca="false">IF(M73=0,"",L73/M73)</f>
        <v>0.335972850678733</v>
      </c>
      <c r="O73" s="18" t="s">
        <v>108</v>
      </c>
    </row>
    <row r="74" customFormat="false" ht="15" hidden="false" customHeight="true" outlineLevel="0" collapsed="false">
      <c r="A74" s="18" t="s">
        <v>394</v>
      </c>
      <c r="B74" s="18" t="s">
        <v>615</v>
      </c>
      <c r="C74" s="18" t="s">
        <v>609</v>
      </c>
      <c r="D74" s="18" t="s">
        <v>610</v>
      </c>
      <c r="E74" s="18" t="n">
        <v>13</v>
      </c>
      <c r="F74" s="18" t="s">
        <v>403</v>
      </c>
      <c r="G74" s="18" t="n">
        <v>-30</v>
      </c>
      <c r="H74" s="18" t="n">
        <v>30</v>
      </c>
      <c r="I74" s="18" t="n">
        <v>88</v>
      </c>
      <c r="J74" s="18" t="n">
        <f aca="false">SUMIFS($H$2:$H$260,$A$2:$A$260,$A74,$B$2:$B$260,$B74,$E$2:$E$260,"&lt;="&amp;$E74)</f>
        <v>852</v>
      </c>
      <c r="K74" s="18" t="n">
        <f aca="false">SUMIFS($I$2:$I$260,$A$2:$A$260,$A74,$B$2:$B$260,$B74,$E$2:$E$260,"&lt;="&amp;$E74)</f>
        <v>613</v>
      </c>
      <c r="L74" s="18" t="n">
        <f aca="false">J74-K74</f>
        <v>239</v>
      </c>
      <c r="M74" s="18" t="n">
        <f aca="false">SUMIFS($H$2:$H$260,$A$2:$A$260,$A74,$B$2:$B$260,$B74)</f>
        <v>884</v>
      </c>
      <c r="N74" s="20" t="n">
        <f aca="false">IF(M74=0,"",L74/M74)</f>
        <v>0.270361990950226</v>
      </c>
      <c r="O74" s="18" t="s">
        <v>108</v>
      </c>
    </row>
    <row r="75" customFormat="false" ht="15" hidden="false" customHeight="true" outlineLevel="0" collapsed="false">
      <c r="A75" s="18" t="s">
        <v>394</v>
      </c>
      <c r="B75" s="18" t="s">
        <v>615</v>
      </c>
      <c r="C75" s="18" t="s">
        <v>609</v>
      </c>
      <c r="D75" s="18" t="s">
        <v>610</v>
      </c>
      <c r="E75" s="18" t="n">
        <v>14</v>
      </c>
      <c r="F75" s="18" t="s">
        <v>529</v>
      </c>
      <c r="G75" s="18" t="n">
        <v>-15</v>
      </c>
      <c r="H75" s="18" t="n">
        <v>17</v>
      </c>
      <c r="I75" s="18" t="n">
        <v>87</v>
      </c>
      <c r="J75" s="18" t="n">
        <f aca="false">SUMIFS($H$2:$H$260,$A$2:$A$260,$A75,$B$2:$B$260,$B75,$E$2:$E$260,"&lt;="&amp;$E75)</f>
        <v>869</v>
      </c>
      <c r="K75" s="18" t="n">
        <f aca="false">SUMIFS($I$2:$I$260,$A$2:$A$260,$A75,$B$2:$B$260,$B75,$E$2:$E$260,"&lt;="&amp;$E75)</f>
        <v>700</v>
      </c>
      <c r="L75" s="18" t="n">
        <f aca="false">J75-K75</f>
        <v>169</v>
      </c>
      <c r="M75" s="18" t="n">
        <f aca="false">SUMIFS($H$2:$H$260,$A$2:$A$260,$A75,$B$2:$B$260,$B75)</f>
        <v>884</v>
      </c>
      <c r="N75" s="20" t="n">
        <f aca="false">IF(M75=0,"",L75/M75)</f>
        <v>0.191176470588235</v>
      </c>
      <c r="O75" s="18" t="s">
        <v>108</v>
      </c>
    </row>
    <row r="76" customFormat="false" ht="15" hidden="false" customHeight="true" outlineLevel="0" collapsed="false">
      <c r="A76" s="18" t="s">
        <v>394</v>
      </c>
      <c r="B76" s="18" t="s">
        <v>615</v>
      </c>
      <c r="C76" s="18" t="s">
        <v>609</v>
      </c>
      <c r="D76" s="18" t="s">
        <v>610</v>
      </c>
      <c r="E76" s="18" t="n">
        <v>15</v>
      </c>
      <c r="F76" s="18" t="s">
        <v>463</v>
      </c>
      <c r="G76" s="18" t="n">
        <v>0</v>
      </c>
      <c r="H76" s="18" t="n">
        <v>5</v>
      </c>
      <c r="I76" s="18" t="n">
        <v>55</v>
      </c>
      <c r="J76" s="18" t="n">
        <f aca="false">SUMIFS($H$2:$H$260,$A$2:$A$260,$A76,$B$2:$B$260,$B76,$E$2:$E$260,"&lt;="&amp;$E76)</f>
        <v>874</v>
      </c>
      <c r="K76" s="18" t="n">
        <f aca="false">SUMIFS($I$2:$I$260,$A$2:$A$260,$A76,$B$2:$B$260,$B76,$E$2:$E$260,"&lt;="&amp;$E76)</f>
        <v>755</v>
      </c>
      <c r="L76" s="18" t="n">
        <f aca="false">J76-K76</f>
        <v>119</v>
      </c>
      <c r="M76" s="18" t="n">
        <f aca="false">SUMIFS($H$2:$H$260,$A$2:$A$260,$A76,$B$2:$B$260,$B76)</f>
        <v>884</v>
      </c>
      <c r="N76" s="20" t="n">
        <f aca="false">IF(M76=0,"",L76/M76)</f>
        <v>0.134615384615385</v>
      </c>
      <c r="O76" s="18" t="s">
        <v>108</v>
      </c>
    </row>
    <row r="77" customFormat="false" ht="15" hidden="false" customHeight="true" outlineLevel="0" collapsed="false">
      <c r="A77" s="18" t="s">
        <v>394</v>
      </c>
      <c r="B77" s="18" t="s">
        <v>615</v>
      </c>
      <c r="C77" s="18" t="s">
        <v>609</v>
      </c>
      <c r="D77" s="18" t="s">
        <v>610</v>
      </c>
      <c r="E77" s="18" t="n">
        <v>16</v>
      </c>
      <c r="F77" s="18" t="s">
        <v>366</v>
      </c>
      <c r="G77" s="18" t="n">
        <v>15</v>
      </c>
      <c r="H77" s="18" t="n">
        <v>4</v>
      </c>
      <c r="I77" s="18" t="n">
        <v>38</v>
      </c>
      <c r="J77" s="18" t="n">
        <f aca="false">SUMIFS($H$2:$H$260,$A$2:$A$260,$A77,$B$2:$B$260,$B77,$E$2:$E$260,"&lt;="&amp;$E77)</f>
        <v>878</v>
      </c>
      <c r="K77" s="18" t="n">
        <f aca="false">SUMIFS($I$2:$I$260,$A$2:$A$260,$A77,$B$2:$B$260,$B77,$E$2:$E$260,"&lt;="&amp;$E77)</f>
        <v>793</v>
      </c>
      <c r="L77" s="18" t="n">
        <f aca="false">J77-K77</f>
        <v>85</v>
      </c>
      <c r="M77" s="18" t="n">
        <f aca="false">SUMIFS($H$2:$H$260,$A$2:$A$260,$A77,$B$2:$B$260,$B77)</f>
        <v>884</v>
      </c>
      <c r="N77" s="20" t="n">
        <f aca="false">IF(M77=0,"",L77/M77)</f>
        <v>0.0961538461538462</v>
      </c>
      <c r="O77" s="18" t="s">
        <v>108</v>
      </c>
    </row>
    <row r="78" customFormat="false" ht="15" hidden="false" customHeight="true" outlineLevel="0" collapsed="false">
      <c r="A78" s="18" t="s">
        <v>394</v>
      </c>
      <c r="B78" s="18" t="s">
        <v>615</v>
      </c>
      <c r="C78" s="18" t="s">
        <v>609</v>
      </c>
      <c r="D78" s="18" t="s">
        <v>610</v>
      </c>
      <c r="E78" s="18" t="n">
        <v>17</v>
      </c>
      <c r="F78" s="18" t="s">
        <v>326</v>
      </c>
      <c r="G78" s="18" t="n">
        <v>30</v>
      </c>
      <c r="H78" s="18" t="n">
        <v>2</v>
      </c>
      <c r="I78" s="18" t="n">
        <v>26</v>
      </c>
      <c r="J78" s="18" t="n">
        <f aca="false">SUMIFS($H$2:$H$260,$A$2:$A$260,$A78,$B$2:$B$260,$B78,$E$2:$E$260,"&lt;="&amp;$E78)</f>
        <v>880</v>
      </c>
      <c r="K78" s="18" t="n">
        <f aca="false">SUMIFS($I$2:$I$260,$A$2:$A$260,$A78,$B$2:$B$260,$B78,$E$2:$E$260,"&lt;="&amp;$E78)</f>
        <v>819</v>
      </c>
      <c r="L78" s="18" t="n">
        <f aca="false">J78-K78</f>
        <v>61</v>
      </c>
      <c r="M78" s="18" t="n">
        <f aca="false">SUMIFS($H$2:$H$260,$A$2:$A$260,$A78,$B$2:$B$260,$B78)</f>
        <v>884</v>
      </c>
      <c r="N78" s="20" t="n">
        <f aca="false">IF(M78=0,"",L78/M78)</f>
        <v>0.0690045248868778</v>
      </c>
      <c r="O78" s="18" t="s">
        <v>108</v>
      </c>
    </row>
    <row r="79" customFormat="false" ht="15" hidden="false" customHeight="true" outlineLevel="0" collapsed="false">
      <c r="A79" s="18" t="s">
        <v>394</v>
      </c>
      <c r="B79" s="18" t="s">
        <v>615</v>
      </c>
      <c r="C79" s="18" t="s">
        <v>609</v>
      </c>
      <c r="D79" s="18" t="s">
        <v>610</v>
      </c>
      <c r="E79" s="18" t="n">
        <v>18</v>
      </c>
      <c r="F79" s="18" t="s">
        <v>226</v>
      </c>
      <c r="G79" s="18" t="n">
        <v>45</v>
      </c>
      <c r="H79" s="18" t="n">
        <v>4</v>
      </c>
      <c r="I79" s="18" t="n">
        <v>15</v>
      </c>
      <c r="J79" s="18" t="n">
        <f aca="false">SUMIFS($H$2:$H$260,$A$2:$A$260,$A79,$B$2:$B$260,$B79,$E$2:$E$260,"&lt;="&amp;$E79)</f>
        <v>884</v>
      </c>
      <c r="K79" s="18" t="n">
        <f aca="false">SUMIFS($I$2:$I$260,$A$2:$A$260,$A79,$B$2:$B$260,$B79,$E$2:$E$260,"&lt;="&amp;$E79)</f>
        <v>834</v>
      </c>
      <c r="L79" s="18" t="n">
        <f aca="false">J79-K79</f>
        <v>50</v>
      </c>
      <c r="M79" s="18" t="n">
        <f aca="false">SUMIFS($H$2:$H$260,$A$2:$A$260,$A79,$B$2:$B$260,$B79)</f>
        <v>884</v>
      </c>
      <c r="N79" s="20" t="n">
        <f aca="false">IF(M79=0,"",L79/M79)</f>
        <v>0.0565610859728507</v>
      </c>
      <c r="O79" s="18" t="s">
        <v>108</v>
      </c>
    </row>
    <row r="80" customFormat="false" ht="15" hidden="false" customHeight="true" outlineLevel="0" collapsed="false">
      <c r="A80" s="18" t="s">
        <v>195</v>
      </c>
      <c r="B80" s="18" t="s">
        <v>616</v>
      </c>
      <c r="C80" s="18" t="s">
        <v>609</v>
      </c>
      <c r="D80" s="18" t="s">
        <v>610</v>
      </c>
      <c r="E80" s="18" t="n">
        <v>0</v>
      </c>
      <c r="F80" s="18" t="s">
        <v>204</v>
      </c>
      <c r="G80" s="18"/>
      <c r="H80" s="18" t="n">
        <v>25</v>
      </c>
      <c r="I80" s="18" t="n">
        <v>0</v>
      </c>
      <c r="J80" s="18" t="n">
        <f aca="false">SUMIFS($H$2:$H$260,$A$2:$A$260,$A80,$B$2:$B$260,$B80,$E$2:$E$260,"&lt;="&amp;$E80)</f>
        <v>25</v>
      </c>
      <c r="K80" s="18" t="n">
        <f aca="false">SUMIFS($I$2:$I$260,$A$2:$A$260,$A80,$B$2:$B$260,$B80,$E$2:$E$260,"&lt;="&amp;$E80)</f>
        <v>0</v>
      </c>
      <c r="L80" s="18" t="n">
        <f aca="false">J80-K80</f>
        <v>25</v>
      </c>
      <c r="M80" s="18" t="n">
        <f aca="false">SUMIFS($H$2:$H$260,$A$2:$A$260,$A80,$B$2:$B$260,$B80)</f>
        <v>717</v>
      </c>
      <c r="N80" s="20" t="n">
        <f aca="false">IF(M80=0,"",L80/M80)</f>
        <v>0.0348675034867504</v>
      </c>
      <c r="O80" s="18" t="s">
        <v>617</v>
      </c>
    </row>
    <row r="81" customFormat="false" ht="15" hidden="false" customHeight="true" outlineLevel="0" collapsed="false">
      <c r="A81" s="18" t="s">
        <v>195</v>
      </c>
      <c r="B81" s="18" t="s">
        <v>616</v>
      </c>
      <c r="C81" s="18" t="s">
        <v>609</v>
      </c>
      <c r="D81" s="18" t="s">
        <v>610</v>
      </c>
      <c r="E81" s="18" t="n">
        <v>1</v>
      </c>
      <c r="F81" s="18" t="s">
        <v>531</v>
      </c>
      <c r="G81" s="18" t="n">
        <v>-210</v>
      </c>
      <c r="H81" s="18" t="n">
        <v>12</v>
      </c>
      <c r="I81" s="18" t="n">
        <v>2</v>
      </c>
      <c r="J81" s="18" t="n">
        <f aca="false">SUMIFS($H$2:$H$260,$A$2:$A$260,$A81,$B$2:$B$260,$B81,$E$2:$E$260,"&lt;="&amp;$E81)</f>
        <v>37</v>
      </c>
      <c r="K81" s="18" t="n">
        <f aca="false">SUMIFS($I$2:$I$260,$A$2:$A$260,$A81,$B$2:$B$260,$B81,$E$2:$E$260,"&lt;="&amp;$E81)</f>
        <v>2</v>
      </c>
      <c r="L81" s="18" t="n">
        <f aca="false">J81-K81</f>
        <v>35</v>
      </c>
      <c r="M81" s="18" t="n">
        <f aca="false">SUMIFS($H$2:$H$260,$A$2:$A$260,$A81,$B$2:$B$260,$B81)</f>
        <v>717</v>
      </c>
      <c r="N81" s="20" t="n">
        <f aca="false">IF(M81=0,"",L81/M81)</f>
        <v>0.0488145048814505</v>
      </c>
      <c r="O81" s="18" t="s">
        <v>617</v>
      </c>
    </row>
    <row r="82" customFormat="false" ht="15" hidden="false" customHeight="true" outlineLevel="0" collapsed="false">
      <c r="A82" s="18" t="s">
        <v>195</v>
      </c>
      <c r="B82" s="18" t="s">
        <v>616</v>
      </c>
      <c r="C82" s="18" t="s">
        <v>609</v>
      </c>
      <c r="D82" s="18" t="s">
        <v>610</v>
      </c>
      <c r="E82" s="18" t="n">
        <v>2</v>
      </c>
      <c r="F82" s="18" t="s">
        <v>340</v>
      </c>
      <c r="G82" s="18" t="n">
        <v>-195</v>
      </c>
      <c r="H82" s="18" t="n">
        <v>42</v>
      </c>
      <c r="I82" s="18" t="n">
        <v>2</v>
      </c>
      <c r="J82" s="18" t="n">
        <f aca="false">SUMIFS($H$2:$H$260,$A$2:$A$260,$A82,$B$2:$B$260,$B82,$E$2:$E$260,"&lt;="&amp;$E82)</f>
        <v>79</v>
      </c>
      <c r="K82" s="18" t="n">
        <f aca="false">SUMIFS($I$2:$I$260,$A$2:$A$260,$A82,$B$2:$B$260,$B82,$E$2:$E$260,"&lt;="&amp;$E82)</f>
        <v>4</v>
      </c>
      <c r="L82" s="18" t="n">
        <f aca="false">J82-K82</f>
        <v>75</v>
      </c>
      <c r="M82" s="18" t="n">
        <f aca="false">SUMIFS($H$2:$H$260,$A$2:$A$260,$A82,$B$2:$B$260,$B82)</f>
        <v>717</v>
      </c>
      <c r="N82" s="20" t="n">
        <f aca="false">IF(M82=0,"",L82/M82)</f>
        <v>0.104602510460251</v>
      </c>
      <c r="O82" s="18" t="s">
        <v>617</v>
      </c>
    </row>
    <row r="83" customFormat="false" ht="15" hidden="false" customHeight="true" outlineLevel="0" collapsed="false">
      <c r="A83" s="18" t="s">
        <v>195</v>
      </c>
      <c r="B83" s="18" t="s">
        <v>616</v>
      </c>
      <c r="C83" s="18" t="s">
        <v>609</v>
      </c>
      <c r="D83" s="18" t="s">
        <v>610</v>
      </c>
      <c r="E83" s="18" t="n">
        <v>3</v>
      </c>
      <c r="F83" s="18" t="s">
        <v>525</v>
      </c>
      <c r="G83" s="18" t="n">
        <v>-180</v>
      </c>
      <c r="H83" s="18" t="n">
        <v>43</v>
      </c>
      <c r="I83" s="18" t="n">
        <v>5</v>
      </c>
      <c r="J83" s="18" t="n">
        <f aca="false">SUMIFS($H$2:$H$260,$A$2:$A$260,$A83,$B$2:$B$260,$B83,$E$2:$E$260,"&lt;="&amp;$E83)</f>
        <v>122</v>
      </c>
      <c r="K83" s="18" t="n">
        <f aca="false">SUMIFS($I$2:$I$260,$A$2:$A$260,$A83,$B$2:$B$260,$B83,$E$2:$E$260,"&lt;="&amp;$E83)</f>
        <v>9</v>
      </c>
      <c r="L83" s="18" t="n">
        <f aca="false">J83-K83</f>
        <v>113</v>
      </c>
      <c r="M83" s="18" t="n">
        <f aca="false">SUMIFS($H$2:$H$260,$A$2:$A$260,$A83,$B$2:$B$260,$B83)</f>
        <v>717</v>
      </c>
      <c r="N83" s="20" t="n">
        <f aca="false">IF(M83=0,"",L83/M83)</f>
        <v>0.157601115760112</v>
      </c>
      <c r="O83" s="18" t="s">
        <v>617</v>
      </c>
    </row>
    <row r="84" customFormat="false" ht="15" hidden="false" customHeight="true" outlineLevel="0" collapsed="false">
      <c r="A84" s="18" t="s">
        <v>195</v>
      </c>
      <c r="B84" s="18" t="s">
        <v>616</v>
      </c>
      <c r="C84" s="18" t="s">
        <v>609</v>
      </c>
      <c r="D84" s="18" t="s">
        <v>610</v>
      </c>
      <c r="E84" s="18" t="n">
        <v>4</v>
      </c>
      <c r="F84" s="18" t="s">
        <v>526</v>
      </c>
      <c r="G84" s="18" t="n">
        <v>-165</v>
      </c>
      <c r="H84" s="18" t="n">
        <v>67</v>
      </c>
      <c r="I84" s="18" t="n">
        <v>6</v>
      </c>
      <c r="J84" s="18" t="n">
        <f aca="false">SUMIFS($H$2:$H$260,$A$2:$A$260,$A84,$B$2:$B$260,$B84,$E$2:$E$260,"&lt;="&amp;$E84)</f>
        <v>189</v>
      </c>
      <c r="K84" s="18" t="n">
        <f aca="false">SUMIFS($I$2:$I$260,$A$2:$A$260,$A84,$B$2:$B$260,$B84,$E$2:$E$260,"&lt;="&amp;$E84)</f>
        <v>15</v>
      </c>
      <c r="L84" s="18" t="n">
        <f aca="false">J84-K84</f>
        <v>174</v>
      </c>
      <c r="M84" s="18" t="n">
        <f aca="false">SUMIFS($H$2:$H$260,$A$2:$A$260,$A84,$B$2:$B$260,$B84)</f>
        <v>717</v>
      </c>
      <c r="N84" s="20" t="n">
        <f aca="false">IF(M84=0,"",L84/M84)</f>
        <v>0.242677824267782</v>
      </c>
      <c r="O84" s="18" t="s">
        <v>617</v>
      </c>
    </row>
    <row r="85" customFormat="false" ht="15" hidden="false" customHeight="true" outlineLevel="0" collapsed="false">
      <c r="A85" s="18" t="s">
        <v>195</v>
      </c>
      <c r="B85" s="18" t="s">
        <v>616</v>
      </c>
      <c r="C85" s="18" t="s">
        <v>609</v>
      </c>
      <c r="D85" s="18" t="s">
        <v>610</v>
      </c>
      <c r="E85" s="18" t="n">
        <v>5</v>
      </c>
      <c r="F85" s="18" t="s">
        <v>527</v>
      </c>
      <c r="G85" s="18" t="n">
        <v>-150</v>
      </c>
      <c r="H85" s="18" t="n">
        <v>75</v>
      </c>
      <c r="I85" s="18" t="n">
        <v>3</v>
      </c>
      <c r="J85" s="18" t="n">
        <f aca="false">SUMIFS($H$2:$H$260,$A$2:$A$260,$A85,$B$2:$B$260,$B85,$E$2:$E$260,"&lt;="&amp;$E85)</f>
        <v>264</v>
      </c>
      <c r="K85" s="18" t="n">
        <f aca="false">SUMIFS($I$2:$I$260,$A$2:$A$260,$A85,$B$2:$B$260,$B85,$E$2:$E$260,"&lt;="&amp;$E85)</f>
        <v>18</v>
      </c>
      <c r="L85" s="18" t="n">
        <f aca="false">J85-K85</f>
        <v>246</v>
      </c>
      <c r="M85" s="18" t="n">
        <f aca="false">SUMIFS($H$2:$H$260,$A$2:$A$260,$A85,$B$2:$B$260,$B85)</f>
        <v>717</v>
      </c>
      <c r="N85" s="20" t="n">
        <f aca="false">IF(M85=0,"",L85/M85)</f>
        <v>0.343096234309623</v>
      </c>
      <c r="O85" s="18" t="s">
        <v>617</v>
      </c>
    </row>
    <row r="86" customFormat="false" ht="15" hidden="false" customHeight="true" outlineLevel="0" collapsed="false">
      <c r="A86" s="18" t="s">
        <v>195</v>
      </c>
      <c r="B86" s="18" t="s">
        <v>616</v>
      </c>
      <c r="C86" s="18" t="s">
        <v>609</v>
      </c>
      <c r="D86" s="18" t="s">
        <v>610</v>
      </c>
      <c r="E86" s="18" t="n">
        <v>6</v>
      </c>
      <c r="F86" s="18" t="s">
        <v>528</v>
      </c>
      <c r="G86" s="18" t="n">
        <v>-135</v>
      </c>
      <c r="H86" s="18" t="n">
        <v>83</v>
      </c>
      <c r="I86" s="18" t="n">
        <v>14</v>
      </c>
      <c r="J86" s="18" t="n">
        <f aca="false">SUMIFS($H$2:$H$260,$A$2:$A$260,$A86,$B$2:$B$260,$B86,$E$2:$E$260,"&lt;="&amp;$E86)</f>
        <v>347</v>
      </c>
      <c r="K86" s="18" t="n">
        <f aca="false">SUMIFS($I$2:$I$260,$A$2:$A$260,$A86,$B$2:$B$260,$B86,$E$2:$E$260,"&lt;="&amp;$E86)</f>
        <v>32</v>
      </c>
      <c r="L86" s="18" t="n">
        <f aca="false">J86-K86</f>
        <v>315</v>
      </c>
      <c r="M86" s="18" t="n">
        <f aca="false">SUMIFS($H$2:$H$260,$A$2:$A$260,$A86,$B$2:$B$260,$B86)</f>
        <v>717</v>
      </c>
      <c r="N86" s="20" t="n">
        <f aca="false">IF(M86=0,"",L86/M86)</f>
        <v>0.439330543933054</v>
      </c>
      <c r="O86" s="18" t="s">
        <v>617</v>
      </c>
    </row>
    <row r="87" customFormat="false" ht="15" hidden="false" customHeight="true" outlineLevel="0" collapsed="false">
      <c r="A87" s="18" t="s">
        <v>195</v>
      </c>
      <c r="B87" s="18" t="s">
        <v>616</v>
      </c>
      <c r="C87" s="18" t="s">
        <v>609</v>
      </c>
      <c r="D87" s="18" t="s">
        <v>610</v>
      </c>
      <c r="E87" s="18" t="n">
        <v>7</v>
      </c>
      <c r="F87" s="18" t="s">
        <v>227</v>
      </c>
      <c r="G87" s="18" t="n">
        <v>-120</v>
      </c>
      <c r="H87" s="18" t="n">
        <v>54</v>
      </c>
      <c r="I87" s="18" t="n">
        <v>20</v>
      </c>
      <c r="J87" s="18" t="n">
        <f aca="false">SUMIFS($H$2:$H$260,$A$2:$A$260,$A87,$B$2:$B$260,$B87,$E$2:$E$260,"&lt;="&amp;$E87)</f>
        <v>401</v>
      </c>
      <c r="K87" s="18" t="n">
        <f aca="false">SUMIFS($I$2:$I$260,$A$2:$A$260,$A87,$B$2:$B$260,$B87,$E$2:$E$260,"&lt;="&amp;$E87)</f>
        <v>52</v>
      </c>
      <c r="L87" s="18" t="n">
        <f aca="false">J87-K87</f>
        <v>349</v>
      </c>
      <c r="M87" s="18" t="n">
        <f aca="false">SUMIFS($H$2:$H$260,$A$2:$A$260,$A87,$B$2:$B$260,$B87)</f>
        <v>717</v>
      </c>
      <c r="N87" s="20" t="n">
        <f aca="false">IF(M87=0,"",L87/M87)</f>
        <v>0.486750348675035</v>
      </c>
      <c r="O87" s="18" t="s">
        <v>617</v>
      </c>
    </row>
    <row r="88" customFormat="false" ht="15" hidden="false" customHeight="true" outlineLevel="0" collapsed="false">
      <c r="A88" s="18" t="s">
        <v>195</v>
      </c>
      <c r="B88" s="18" t="s">
        <v>616</v>
      </c>
      <c r="C88" s="18" t="s">
        <v>609</v>
      </c>
      <c r="D88" s="18" t="s">
        <v>610</v>
      </c>
      <c r="E88" s="18" t="n">
        <v>8</v>
      </c>
      <c r="F88" s="18" t="s">
        <v>241</v>
      </c>
      <c r="G88" s="18" t="n">
        <v>-105</v>
      </c>
      <c r="H88" s="18" t="n">
        <v>55</v>
      </c>
      <c r="I88" s="18" t="n">
        <v>47</v>
      </c>
      <c r="J88" s="18" t="n">
        <f aca="false">SUMIFS($H$2:$H$260,$A$2:$A$260,$A88,$B$2:$B$260,$B88,$E$2:$E$260,"&lt;="&amp;$E88)</f>
        <v>456</v>
      </c>
      <c r="K88" s="18" t="n">
        <f aca="false">SUMIFS($I$2:$I$260,$A$2:$A$260,$A88,$B$2:$B$260,$B88,$E$2:$E$260,"&lt;="&amp;$E88)</f>
        <v>99</v>
      </c>
      <c r="L88" s="18" t="n">
        <f aca="false">J88-K88</f>
        <v>357</v>
      </c>
      <c r="M88" s="18" t="n">
        <f aca="false">SUMIFS($H$2:$H$260,$A$2:$A$260,$A88,$B$2:$B$260,$B88)</f>
        <v>717</v>
      </c>
      <c r="N88" s="20" t="n">
        <f aca="false">IF(M88=0,"",L88/M88)</f>
        <v>0.497907949790795</v>
      </c>
      <c r="O88" s="18" t="s">
        <v>617</v>
      </c>
    </row>
    <row r="89" customFormat="false" ht="15" hidden="false" customHeight="true" outlineLevel="0" collapsed="false">
      <c r="A89" s="18" t="s">
        <v>195</v>
      </c>
      <c r="B89" s="18" t="s">
        <v>616</v>
      </c>
      <c r="C89" s="18" t="s">
        <v>609</v>
      </c>
      <c r="D89" s="18" t="s">
        <v>610</v>
      </c>
      <c r="E89" s="18" t="n">
        <v>9</v>
      </c>
      <c r="F89" s="18" t="s">
        <v>279</v>
      </c>
      <c r="G89" s="18" t="n">
        <v>-90</v>
      </c>
      <c r="H89" s="18" t="n">
        <v>62</v>
      </c>
      <c r="I89" s="18" t="n">
        <v>64</v>
      </c>
      <c r="J89" s="18" t="n">
        <f aca="false">SUMIFS($H$2:$H$260,$A$2:$A$260,$A89,$B$2:$B$260,$B89,$E$2:$E$260,"&lt;="&amp;$E89)</f>
        <v>518</v>
      </c>
      <c r="K89" s="18" t="n">
        <f aca="false">SUMIFS($I$2:$I$260,$A$2:$A$260,$A89,$B$2:$B$260,$B89,$E$2:$E$260,"&lt;="&amp;$E89)</f>
        <v>163</v>
      </c>
      <c r="L89" s="18" t="n">
        <f aca="false">J89-K89</f>
        <v>355</v>
      </c>
      <c r="M89" s="18" t="n">
        <f aca="false">SUMIFS($H$2:$H$260,$A$2:$A$260,$A89,$B$2:$B$260,$B89)</f>
        <v>717</v>
      </c>
      <c r="N89" s="20" t="n">
        <f aca="false">IF(M89=0,"",L89/M89)</f>
        <v>0.495118549511855</v>
      </c>
      <c r="O89" s="18" t="s">
        <v>617</v>
      </c>
    </row>
    <row r="90" customFormat="false" ht="15" hidden="false" customHeight="true" outlineLevel="0" collapsed="false">
      <c r="A90" s="18" t="s">
        <v>195</v>
      </c>
      <c r="B90" s="18" t="s">
        <v>616</v>
      </c>
      <c r="C90" s="18" t="s">
        <v>609</v>
      </c>
      <c r="D90" s="18" t="s">
        <v>610</v>
      </c>
      <c r="E90" s="18" t="n">
        <v>10</v>
      </c>
      <c r="F90" s="18" t="s">
        <v>206</v>
      </c>
      <c r="G90" s="18" t="n">
        <v>-75</v>
      </c>
      <c r="H90" s="18" t="n">
        <v>61</v>
      </c>
      <c r="I90" s="18" t="n">
        <v>59</v>
      </c>
      <c r="J90" s="18" t="n">
        <f aca="false">SUMIFS($H$2:$H$260,$A$2:$A$260,$A90,$B$2:$B$260,$B90,$E$2:$E$260,"&lt;="&amp;$E90)</f>
        <v>579</v>
      </c>
      <c r="K90" s="18" t="n">
        <f aca="false">SUMIFS($I$2:$I$260,$A$2:$A$260,$A90,$B$2:$B$260,$B90,$E$2:$E$260,"&lt;="&amp;$E90)</f>
        <v>222</v>
      </c>
      <c r="L90" s="18" t="n">
        <f aca="false">J90-K90</f>
        <v>357</v>
      </c>
      <c r="M90" s="18" t="n">
        <f aca="false">SUMIFS($H$2:$H$260,$A$2:$A$260,$A90,$B$2:$B$260,$B90)</f>
        <v>717</v>
      </c>
      <c r="N90" s="20" t="n">
        <f aca="false">IF(M90=0,"",L90/M90)</f>
        <v>0.497907949790795</v>
      </c>
      <c r="O90" s="18" t="s">
        <v>617</v>
      </c>
    </row>
    <row r="91" customFormat="false" ht="15" hidden="false" customHeight="true" outlineLevel="0" collapsed="false">
      <c r="A91" s="18" t="s">
        <v>195</v>
      </c>
      <c r="B91" s="18" t="s">
        <v>616</v>
      </c>
      <c r="C91" s="18" t="s">
        <v>609</v>
      </c>
      <c r="D91" s="18" t="s">
        <v>610</v>
      </c>
      <c r="E91" s="18" t="n">
        <v>11</v>
      </c>
      <c r="F91" s="18" t="s">
        <v>246</v>
      </c>
      <c r="G91" s="18" t="n">
        <v>-60</v>
      </c>
      <c r="H91" s="18" t="n">
        <v>30</v>
      </c>
      <c r="I91" s="18" t="n">
        <v>90</v>
      </c>
      <c r="J91" s="18" t="n">
        <f aca="false">SUMIFS($H$2:$H$260,$A$2:$A$260,$A91,$B$2:$B$260,$B91,$E$2:$E$260,"&lt;="&amp;$E91)</f>
        <v>609</v>
      </c>
      <c r="K91" s="18" t="n">
        <f aca="false">SUMIFS($I$2:$I$260,$A$2:$A$260,$A91,$B$2:$B$260,$B91,$E$2:$E$260,"&lt;="&amp;$E91)</f>
        <v>312</v>
      </c>
      <c r="L91" s="18" t="n">
        <f aca="false">J91-K91</f>
        <v>297</v>
      </c>
      <c r="M91" s="18" t="n">
        <f aca="false">SUMIFS($H$2:$H$260,$A$2:$A$260,$A91,$B$2:$B$260,$B91)</f>
        <v>717</v>
      </c>
      <c r="N91" s="20" t="n">
        <f aca="false">IF(M91=0,"",L91/M91)</f>
        <v>0.414225941422594</v>
      </c>
      <c r="O91" s="18" t="s">
        <v>617</v>
      </c>
    </row>
    <row r="92" customFormat="false" ht="15" hidden="false" customHeight="true" outlineLevel="0" collapsed="false">
      <c r="A92" s="18" t="s">
        <v>195</v>
      </c>
      <c r="B92" s="18" t="s">
        <v>616</v>
      </c>
      <c r="C92" s="18" t="s">
        <v>609</v>
      </c>
      <c r="D92" s="18" t="s">
        <v>610</v>
      </c>
      <c r="E92" s="18" t="n">
        <v>12</v>
      </c>
      <c r="F92" s="18" t="s">
        <v>254</v>
      </c>
      <c r="G92" s="18" t="n">
        <v>-45</v>
      </c>
      <c r="H92" s="18" t="n">
        <v>32</v>
      </c>
      <c r="I92" s="18" t="n">
        <v>94</v>
      </c>
      <c r="J92" s="18" t="n">
        <f aca="false">SUMIFS($H$2:$H$260,$A$2:$A$260,$A92,$B$2:$B$260,$B92,$E$2:$E$260,"&lt;="&amp;$E92)</f>
        <v>641</v>
      </c>
      <c r="K92" s="18" t="n">
        <f aca="false">SUMIFS($I$2:$I$260,$A$2:$A$260,$A92,$B$2:$B$260,$B92,$E$2:$E$260,"&lt;="&amp;$E92)</f>
        <v>406</v>
      </c>
      <c r="L92" s="18" t="n">
        <f aca="false">J92-K92</f>
        <v>235</v>
      </c>
      <c r="M92" s="18" t="n">
        <f aca="false">SUMIFS($H$2:$H$260,$A$2:$A$260,$A92,$B$2:$B$260,$B92)</f>
        <v>717</v>
      </c>
      <c r="N92" s="20" t="n">
        <f aca="false">IF(M92=0,"",L92/M92)</f>
        <v>0.327754532775453</v>
      </c>
      <c r="O92" s="18" t="s">
        <v>617</v>
      </c>
    </row>
    <row r="93" customFormat="false" ht="15" hidden="false" customHeight="true" outlineLevel="0" collapsed="false">
      <c r="A93" s="18" t="s">
        <v>195</v>
      </c>
      <c r="B93" s="18" t="s">
        <v>616</v>
      </c>
      <c r="C93" s="18" t="s">
        <v>609</v>
      </c>
      <c r="D93" s="18" t="s">
        <v>610</v>
      </c>
      <c r="E93" s="18" t="n">
        <v>13</v>
      </c>
      <c r="F93" s="18" t="s">
        <v>403</v>
      </c>
      <c r="G93" s="18" t="n">
        <v>-30</v>
      </c>
      <c r="H93" s="18" t="n">
        <v>18</v>
      </c>
      <c r="I93" s="18" t="n">
        <v>82</v>
      </c>
      <c r="J93" s="18" t="n">
        <f aca="false">SUMIFS($H$2:$H$260,$A$2:$A$260,$A93,$B$2:$B$260,$B93,$E$2:$E$260,"&lt;="&amp;$E93)</f>
        <v>659</v>
      </c>
      <c r="K93" s="18" t="n">
        <f aca="false">SUMIFS($I$2:$I$260,$A$2:$A$260,$A93,$B$2:$B$260,$B93,$E$2:$E$260,"&lt;="&amp;$E93)</f>
        <v>488</v>
      </c>
      <c r="L93" s="18" t="n">
        <f aca="false">J93-K93</f>
        <v>171</v>
      </c>
      <c r="M93" s="18" t="n">
        <f aca="false">SUMIFS($H$2:$H$260,$A$2:$A$260,$A93,$B$2:$B$260,$B93)</f>
        <v>717</v>
      </c>
      <c r="N93" s="20" t="n">
        <f aca="false">IF(M93=0,"",L93/M93)</f>
        <v>0.238493723849372</v>
      </c>
      <c r="O93" s="18" t="s">
        <v>617</v>
      </c>
    </row>
    <row r="94" customFormat="false" ht="15" hidden="false" customHeight="true" outlineLevel="0" collapsed="false">
      <c r="A94" s="18" t="s">
        <v>195</v>
      </c>
      <c r="B94" s="18" t="s">
        <v>616</v>
      </c>
      <c r="C94" s="18" t="s">
        <v>609</v>
      </c>
      <c r="D94" s="18" t="s">
        <v>610</v>
      </c>
      <c r="E94" s="18" t="n">
        <v>14</v>
      </c>
      <c r="F94" s="18" t="s">
        <v>529</v>
      </c>
      <c r="G94" s="18" t="n">
        <v>-15</v>
      </c>
      <c r="H94" s="18" t="n">
        <v>24</v>
      </c>
      <c r="I94" s="18" t="n">
        <v>69</v>
      </c>
      <c r="J94" s="18" t="n">
        <f aca="false">SUMIFS($H$2:$H$260,$A$2:$A$260,$A94,$B$2:$B$260,$B94,$E$2:$E$260,"&lt;="&amp;$E94)</f>
        <v>683</v>
      </c>
      <c r="K94" s="18" t="n">
        <f aca="false">SUMIFS($I$2:$I$260,$A$2:$A$260,$A94,$B$2:$B$260,$B94,$E$2:$E$260,"&lt;="&amp;$E94)</f>
        <v>557</v>
      </c>
      <c r="L94" s="18" t="n">
        <f aca="false">J94-K94</f>
        <v>126</v>
      </c>
      <c r="M94" s="18" t="n">
        <f aca="false">SUMIFS($H$2:$H$260,$A$2:$A$260,$A94,$B$2:$B$260,$B94)</f>
        <v>717</v>
      </c>
      <c r="N94" s="20" t="n">
        <f aca="false">IF(M94=0,"",L94/M94)</f>
        <v>0.175732217573222</v>
      </c>
      <c r="O94" s="18" t="s">
        <v>617</v>
      </c>
    </row>
    <row r="95" customFormat="false" ht="15" hidden="false" customHeight="true" outlineLevel="0" collapsed="false">
      <c r="A95" s="18" t="s">
        <v>195</v>
      </c>
      <c r="B95" s="18" t="s">
        <v>616</v>
      </c>
      <c r="C95" s="18" t="s">
        <v>609</v>
      </c>
      <c r="D95" s="18" t="s">
        <v>610</v>
      </c>
      <c r="E95" s="18" t="n">
        <v>15</v>
      </c>
      <c r="F95" s="18" t="s">
        <v>463</v>
      </c>
      <c r="G95" s="18" t="n">
        <v>0</v>
      </c>
      <c r="H95" s="18" t="n">
        <v>10</v>
      </c>
      <c r="I95" s="18" t="n">
        <v>35</v>
      </c>
      <c r="J95" s="18" t="n">
        <f aca="false">SUMIFS($H$2:$H$260,$A$2:$A$260,$A95,$B$2:$B$260,$B95,$E$2:$E$260,"&lt;="&amp;$E95)</f>
        <v>693</v>
      </c>
      <c r="K95" s="18" t="n">
        <f aca="false">SUMIFS($I$2:$I$260,$A$2:$A$260,$A95,$B$2:$B$260,$B95,$E$2:$E$260,"&lt;="&amp;$E95)</f>
        <v>592</v>
      </c>
      <c r="L95" s="18" t="n">
        <f aca="false">J95-K95</f>
        <v>101</v>
      </c>
      <c r="M95" s="18" t="n">
        <f aca="false">SUMIFS($H$2:$H$260,$A$2:$A$260,$A95,$B$2:$B$260,$B95)</f>
        <v>717</v>
      </c>
      <c r="N95" s="20" t="n">
        <f aca="false">IF(M95=0,"",L95/M95)</f>
        <v>0.140864714086471</v>
      </c>
      <c r="O95" s="18" t="s">
        <v>617</v>
      </c>
    </row>
    <row r="96" customFormat="false" ht="15" hidden="false" customHeight="true" outlineLevel="0" collapsed="false">
      <c r="A96" s="18" t="s">
        <v>195</v>
      </c>
      <c r="B96" s="18" t="s">
        <v>616</v>
      </c>
      <c r="C96" s="18" t="s">
        <v>609</v>
      </c>
      <c r="D96" s="18" t="s">
        <v>610</v>
      </c>
      <c r="E96" s="18" t="n">
        <v>16</v>
      </c>
      <c r="F96" s="18" t="s">
        <v>366</v>
      </c>
      <c r="G96" s="18" t="n">
        <v>15</v>
      </c>
      <c r="H96" s="18" t="n">
        <v>16</v>
      </c>
      <c r="I96" s="18" t="n">
        <v>32</v>
      </c>
      <c r="J96" s="18" t="n">
        <f aca="false">SUMIFS($H$2:$H$260,$A$2:$A$260,$A96,$B$2:$B$260,$B96,$E$2:$E$260,"&lt;="&amp;$E96)</f>
        <v>709</v>
      </c>
      <c r="K96" s="18" t="n">
        <f aca="false">SUMIFS($I$2:$I$260,$A$2:$A$260,$A96,$B$2:$B$260,$B96,$E$2:$E$260,"&lt;="&amp;$E96)</f>
        <v>624</v>
      </c>
      <c r="L96" s="18" t="n">
        <f aca="false">J96-K96</f>
        <v>85</v>
      </c>
      <c r="M96" s="18" t="n">
        <f aca="false">SUMIFS($H$2:$H$260,$A$2:$A$260,$A96,$B$2:$B$260,$B96)</f>
        <v>717</v>
      </c>
      <c r="N96" s="20" t="n">
        <f aca="false">IF(M96=0,"",L96/M96)</f>
        <v>0.118549511854951</v>
      </c>
      <c r="O96" s="18" t="s">
        <v>617</v>
      </c>
    </row>
    <row r="97" customFormat="false" ht="15" hidden="false" customHeight="true" outlineLevel="0" collapsed="false">
      <c r="A97" s="18" t="s">
        <v>195</v>
      </c>
      <c r="B97" s="18" t="s">
        <v>616</v>
      </c>
      <c r="C97" s="18" t="s">
        <v>609</v>
      </c>
      <c r="D97" s="18" t="s">
        <v>610</v>
      </c>
      <c r="E97" s="18" t="n">
        <v>17</v>
      </c>
      <c r="F97" s="18" t="s">
        <v>326</v>
      </c>
      <c r="G97" s="18" t="n">
        <v>30</v>
      </c>
      <c r="H97" s="18" t="n">
        <v>3</v>
      </c>
      <c r="I97" s="18" t="n">
        <v>20</v>
      </c>
      <c r="J97" s="18" t="n">
        <f aca="false">SUMIFS($H$2:$H$260,$A$2:$A$260,$A97,$B$2:$B$260,$B97,$E$2:$E$260,"&lt;="&amp;$E97)</f>
        <v>712</v>
      </c>
      <c r="K97" s="18" t="n">
        <f aca="false">SUMIFS($I$2:$I$260,$A$2:$A$260,$A97,$B$2:$B$260,$B97,$E$2:$E$260,"&lt;="&amp;$E97)</f>
        <v>644</v>
      </c>
      <c r="L97" s="18" t="n">
        <f aca="false">J97-K97</f>
        <v>68</v>
      </c>
      <c r="M97" s="18" t="n">
        <f aca="false">SUMIFS($H$2:$H$260,$A$2:$A$260,$A97,$B$2:$B$260,$B97)</f>
        <v>717</v>
      </c>
      <c r="N97" s="20" t="n">
        <f aca="false">IF(M97=0,"",L97/M97)</f>
        <v>0.094839609483961</v>
      </c>
      <c r="O97" s="18" t="s">
        <v>617</v>
      </c>
    </row>
    <row r="98" customFormat="false" ht="15" hidden="false" customHeight="true" outlineLevel="0" collapsed="false">
      <c r="A98" s="18" t="s">
        <v>195</v>
      </c>
      <c r="B98" s="18" t="s">
        <v>616</v>
      </c>
      <c r="C98" s="18" t="s">
        <v>609</v>
      </c>
      <c r="D98" s="18" t="s">
        <v>610</v>
      </c>
      <c r="E98" s="18" t="n">
        <v>18</v>
      </c>
      <c r="F98" s="18" t="s">
        <v>226</v>
      </c>
      <c r="G98" s="18" t="n">
        <v>45</v>
      </c>
      <c r="H98" s="18" t="n">
        <v>5</v>
      </c>
      <c r="I98" s="18" t="n">
        <v>26</v>
      </c>
      <c r="J98" s="18" t="n">
        <f aca="false">SUMIFS($H$2:$H$260,$A$2:$A$260,$A98,$B$2:$B$260,$B98,$E$2:$E$260,"&lt;="&amp;$E98)</f>
        <v>717</v>
      </c>
      <c r="K98" s="18" t="n">
        <f aca="false">SUMIFS($I$2:$I$260,$A$2:$A$260,$A98,$B$2:$B$260,$B98,$E$2:$E$260,"&lt;="&amp;$E98)</f>
        <v>670</v>
      </c>
      <c r="L98" s="18" t="n">
        <f aca="false">J98-K98</f>
        <v>47</v>
      </c>
      <c r="M98" s="18" t="n">
        <f aca="false">SUMIFS($H$2:$H$260,$A$2:$A$260,$A98,$B$2:$B$260,$B98)</f>
        <v>717</v>
      </c>
      <c r="N98" s="20" t="n">
        <f aca="false">IF(M98=0,"",L98/M98)</f>
        <v>0.0655509065550907</v>
      </c>
      <c r="O98" s="18" t="s">
        <v>617</v>
      </c>
    </row>
    <row r="99" customFormat="false" ht="15" hidden="false" customHeight="true" outlineLevel="0" collapsed="false">
      <c r="A99" s="18" t="s">
        <v>195</v>
      </c>
      <c r="B99" s="18" t="s">
        <v>618</v>
      </c>
      <c r="C99" s="18" t="s">
        <v>609</v>
      </c>
      <c r="D99" s="18" t="s">
        <v>610</v>
      </c>
      <c r="E99" s="18" t="n">
        <v>0</v>
      </c>
      <c r="F99" s="18" t="s">
        <v>204</v>
      </c>
      <c r="G99" s="18"/>
      <c r="H99" s="18" t="n">
        <v>25</v>
      </c>
      <c r="I99" s="18" t="n">
        <v>0</v>
      </c>
      <c r="J99" s="18" t="n">
        <f aca="false">SUMIFS($H$2:$H$260,$A$2:$A$260,$A99,$B$2:$B$260,$B99,$E$2:$E$260,"&lt;="&amp;$E99)</f>
        <v>25</v>
      </c>
      <c r="K99" s="18" t="n">
        <f aca="false">SUMIFS($I$2:$I$260,$A$2:$A$260,$A99,$B$2:$B$260,$B99,$E$2:$E$260,"&lt;="&amp;$E99)</f>
        <v>0</v>
      </c>
      <c r="L99" s="18" t="n">
        <f aca="false">J99-K99</f>
        <v>25</v>
      </c>
      <c r="M99" s="18" t="n">
        <f aca="false">SUMIFS($H$2:$H$260,$A$2:$A$260,$A99,$B$2:$B$260,$B99)</f>
        <v>859</v>
      </c>
      <c r="N99" s="20" t="n">
        <f aca="false">IF(M99=0,"",L99/M99)</f>
        <v>0.0291036088474971</v>
      </c>
      <c r="O99" s="18" t="s">
        <v>116</v>
      </c>
    </row>
    <row r="100" customFormat="false" ht="15" hidden="false" customHeight="true" outlineLevel="0" collapsed="false">
      <c r="A100" s="18" t="s">
        <v>195</v>
      </c>
      <c r="B100" s="18" t="s">
        <v>618</v>
      </c>
      <c r="C100" s="18" t="s">
        <v>609</v>
      </c>
      <c r="D100" s="18" t="s">
        <v>610</v>
      </c>
      <c r="E100" s="18" t="n">
        <v>1</v>
      </c>
      <c r="F100" s="18" t="s">
        <v>531</v>
      </c>
      <c r="G100" s="18" t="n">
        <v>-210</v>
      </c>
      <c r="H100" s="18" t="n">
        <v>12</v>
      </c>
      <c r="I100" s="18" t="n">
        <v>2</v>
      </c>
      <c r="J100" s="18" t="n">
        <f aca="false">SUMIFS($H$2:$H$260,$A$2:$A$260,$A100,$B$2:$B$260,$B100,$E$2:$E$260,"&lt;="&amp;$E100)</f>
        <v>37</v>
      </c>
      <c r="K100" s="18" t="n">
        <f aca="false">SUMIFS($I$2:$I$260,$A$2:$A$260,$A100,$B$2:$B$260,$B100,$E$2:$E$260,"&lt;="&amp;$E100)</f>
        <v>2</v>
      </c>
      <c r="L100" s="18" t="n">
        <f aca="false">J100-K100</f>
        <v>35</v>
      </c>
      <c r="M100" s="18" t="n">
        <f aca="false">SUMIFS($H$2:$H$260,$A$2:$A$260,$A100,$B$2:$B$260,$B100)</f>
        <v>859</v>
      </c>
      <c r="N100" s="20" t="n">
        <f aca="false">IF(M100=0,"",L100/M100)</f>
        <v>0.0407450523864959</v>
      </c>
      <c r="O100" s="18" t="s">
        <v>116</v>
      </c>
    </row>
    <row r="101" customFormat="false" ht="15" hidden="false" customHeight="true" outlineLevel="0" collapsed="false">
      <c r="A101" s="18" t="s">
        <v>195</v>
      </c>
      <c r="B101" s="18" t="s">
        <v>618</v>
      </c>
      <c r="C101" s="18" t="s">
        <v>609</v>
      </c>
      <c r="D101" s="18" t="s">
        <v>610</v>
      </c>
      <c r="E101" s="18" t="n">
        <v>2</v>
      </c>
      <c r="F101" s="18" t="s">
        <v>340</v>
      </c>
      <c r="G101" s="18" t="n">
        <v>-195</v>
      </c>
      <c r="H101" s="18" t="n">
        <v>56</v>
      </c>
      <c r="I101" s="18" t="n">
        <v>5</v>
      </c>
      <c r="J101" s="18" t="n">
        <f aca="false">SUMIFS($H$2:$H$260,$A$2:$A$260,$A101,$B$2:$B$260,$B101,$E$2:$E$260,"&lt;="&amp;$E101)</f>
        <v>93</v>
      </c>
      <c r="K101" s="18" t="n">
        <f aca="false">SUMIFS($I$2:$I$260,$A$2:$A$260,$A101,$B$2:$B$260,$B101,$E$2:$E$260,"&lt;="&amp;$E101)</f>
        <v>7</v>
      </c>
      <c r="L101" s="18" t="n">
        <f aca="false">J101-K101</f>
        <v>86</v>
      </c>
      <c r="M101" s="18" t="n">
        <f aca="false">SUMIFS($H$2:$H$260,$A$2:$A$260,$A101,$B$2:$B$260,$B101)</f>
        <v>859</v>
      </c>
      <c r="N101" s="20" t="n">
        <f aca="false">IF(M101=0,"",L101/M101)</f>
        <v>0.10011641443539</v>
      </c>
      <c r="O101" s="18" t="s">
        <v>116</v>
      </c>
    </row>
    <row r="102" customFormat="false" ht="15" hidden="false" customHeight="true" outlineLevel="0" collapsed="false">
      <c r="A102" s="18" t="s">
        <v>195</v>
      </c>
      <c r="B102" s="18" t="s">
        <v>618</v>
      </c>
      <c r="C102" s="18" t="s">
        <v>609</v>
      </c>
      <c r="D102" s="18" t="s">
        <v>610</v>
      </c>
      <c r="E102" s="18" t="n">
        <v>3</v>
      </c>
      <c r="F102" s="18" t="s">
        <v>525</v>
      </c>
      <c r="G102" s="18" t="n">
        <v>-180</v>
      </c>
      <c r="H102" s="18" t="n">
        <v>47</v>
      </c>
      <c r="I102" s="18" t="n">
        <v>6</v>
      </c>
      <c r="J102" s="18" t="n">
        <f aca="false">SUMIFS($H$2:$H$260,$A$2:$A$260,$A102,$B$2:$B$260,$B102,$E$2:$E$260,"&lt;="&amp;$E102)</f>
        <v>140</v>
      </c>
      <c r="K102" s="18" t="n">
        <f aca="false">SUMIFS($I$2:$I$260,$A$2:$A$260,$A102,$B$2:$B$260,$B102,$E$2:$E$260,"&lt;="&amp;$E102)</f>
        <v>13</v>
      </c>
      <c r="L102" s="18" t="n">
        <f aca="false">J102-K102</f>
        <v>127</v>
      </c>
      <c r="M102" s="18" t="n">
        <f aca="false">SUMIFS($H$2:$H$260,$A$2:$A$260,$A102,$B$2:$B$260,$B102)</f>
        <v>859</v>
      </c>
      <c r="N102" s="20" t="n">
        <f aca="false">IF(M102=0,"",L102/M102)</f>
        <v>0.147846332945285</v>
      </c>
      <c r="O102" s="18" t="s">
        <v>116</v>
      </c>
    </row>
    <row r="103" customFormat="false" ht="15" hidden="false" customHeight="true" outlineLevel="0" collapsed="false">
      <c r="A103" s="18" t="s">
        <v>195</v>
      </c>
      <c r="B103" s="18" t="s">
        <v>618</v>
      </c>
      <c r="C103" s="18" t="s">
        <v>609</v>
      </c>
      <c r="D103" s="18" t="s">
        <v>610</v>
      </c>
      <c r="E103" s="18" t="n">
        <v>4</v>
      </c>
      <c r="F103" s="18" t="s">
        <v>526</v>
      </c>
      <c r="G103" s="18" t="n">
        <v>-165</v>
      </c>
      <c r="H103" s="18" t="n">
        <v>77</v>
      </c>
      <c r="I103" s="18" t="n">
        <v>6</v>
      </c>
      <c r="J103" s="18" t="n">
        <f aca="false">SUMIFS($H$2:$H$260,$A$2:$A$260,$A103,$B$2:$B$260,$B103,$E$2:$E$260,"&lt;="&amp;$E103)</f>
        <v>217</v>
      </c>
      <c r="K103" s="18" t="n">
        <f aca="false">SUMIFS($I$2:$I$260,$A$2:$A$260,$A103,$B$2:$B$260,$B103,$E$2:$E$260,"&lt;="&amp;$E103)</f>
        <v>19</v>
      </c>
      <c r="L103" s="18" t="n">
        <f aca="false">J103-K103</f>
        <v>198</v>
      </c>
      <c r="M103" s="18" t="n">
        <f aca="false">SUMIFS($H$2:$H$260,$A$2:$A$260,$A103,$B$2:$B$260,$B103)</f>
        <v>859</v>
      </c>
      <c r="N103" s="20" t="n">
        <f aca="false">IF(M103=0,"",L103/M103)</f>
        <v>0.230500582072177</v>
      </c>
      <c r="O103" s="18" t="s">
        <v>116</v>
      </c>
    </row>
    <row r="104" customFormat="false" ht="15" hidden="false" customHeight="true" outlineLevel="0" collapsed="false">
      <c r="A104" s="18" t="s">
        <v>195</v>
      </c>
      <c r="B104" s="18" t="s">
        <v>618</v>
      </c>
      <c r="C104" s="18" t="s">
        <v>609</v>
      </c>
      <c r="D104" s="18" t="s">
        <v>610</v>
      </c>
      <c r="E104" s="18" t="n">
        <v>5</v>
      </c>
      <c r="F104" s="18" t="s">
        <v>527</v>
      </c>
      <c r="G104" s="18" t="n">
        <v>-150</v>
      </c>
      <c r="H104" s="18" t="n">
        <v>84</v>
      </c>
      <c r="I104" s="18" t="n">
        <v>3</v>
      </c>
      <c r="J104" s="18" t="n">
        <f aca="false">SUMIFS($H$2:$H$260,$A$2:$A$260,$A104,$B$2:$B$260,$B104,$E$2:$E$260,"&lt;="&amp;$E104)</f>
        <v>301</v>
      </c>
      <c r="K104" s="18" t="n">
        <f aca="false">SUMIFS($I$2:$I$260,$A$2:$A$260,$A104,$B$2:$B$260,$B104,$E$2:$E$260,"&lt;="&amp;$E104)</f>
        <v>22</v>
      </c>
      <c r="L104" s="18" t="n">
        <f aca="false">J104-K104</f>
        <v>279</v>
      </c>
      <c r="M104" s="18" t="n">
        <f aca="false">SUMIFS($H$2:$H$260,$A$2:$A$260,$A104,$B$2:$B$260,$B104)</f>
        <v>859</v>
      </c>
      <c r="N104" s="20" t="n">
        <f aca="false">IF(M104=0,"",L104/M104)</f>
        <v>0.324796274738068</v>
      </c>
      <c r="O104" s="18" t="s">
        <v>116</v>
      </c>
    </row>
    <row r="105" customFormat="false" ht="15" hidden="false" customHeight="true" outlineLevel="0" collapsed="false">
      <c r="A105" s="18" t="s">
        <v>195</v>
      </c>
      <c r="B105" s="18" t="s">
        <v>618</v>
      </c>
      <c r="C105" s="18" t="s">
        <v>609</v>
      </c>
      <c r="D105" s="18" t="s">
        <v>610</v>
      </c>
      <c r="E105" s="18" t="n">
        <v>6</v>
      </c>
      <c r="F105" s="18" t="s">
        <v>528</v>
      </c>
      <c r="G105" s="18" t="n">
        <v>-135</v>
      </c>
      <c r="H105" s="18" t="n">
        <v>91</v>
      </c>
      <c r="I105" s="18" t="n">
        <v>16</v>
      </c>
      <c r="J105" s="18" t="n">
        <f aca="false">SUMIFS($H$2:$H$260,$A$2:$A$260,$A105,$B$2:$B$260,$B105,$E$2:$E$260,"&lt;="&amp;$E105)</f>
        <v>392</v>
      </c>
      <c r="K105" s="18" t="n">
        <f aca="false">SUMIFS($I$2:$I$260,$A$2:$A$260,$A105,$B$2:$B$260,$B105,$E$2:$E$260,"&lt;="&amp;$E105)</f>
        <v>38</v>
      </c>
      <c r="L105" s="18" t="n">
        <f aca="false">J105-K105</f>
        <v>354</v>
      </c>
      <c r="M105" s="18" t="n">
        <f aca="false">SUMIFS($H$2:$H$260,$A$2:$A$260,$A105,$B$2:$B$260,$B105)</f>
        <v>859</v>
      </c>
      <c r="N105" s="20" t="n">
        <f aca="false">IF(M105=0,"",L105/M105)</f>
        <v>0.412107101280559</v>
      </c>
      <c r="O105" s="18" t="s">
        <v>116</v>
      </c>
    </row>
    <row r="106" customFormat="false" ht="15" hidden="false" customHeight="true" outlineLevel="0" collapsed="false">
      <c r="A106" s="18" t="s">
        <v>195</v>
      </c>
      <c r="B106" s="18" t="s">
        <v>618</v>
      </c>
      <c r="C106" s="18" t="s">
        <v>609</v>
      </c>
      <c r="D106" s="18" t="s">
        <v>610</v>
      </c>
      <c r="E106" s="18" t="n">
        <v>7</v>
      </c>
      <c r="F106" s="18" t="s">
        <v>227</v>
      </c>
      <c r="G106" s="18" t="n">
        <v>-120</v>
      </c>
      <c r="H106" s="18" t="n">
        <v>72</v>
      </c>
      <c r="I106" s="18" t="n">
        <v>22</v>
      </c>
      <c r="J106" s="18" t="n">
        <f aca="false">SUMIFS($H$2:$H$260,$A$2:$A$260,$A106,$B$2:$B$260,$B106,$E$2:$E$260,"&lt;="&amp;$E106)</f>
        <v>464</v>
      </c>
      <c r="K106" s="18" t="n">
        <f aca="false">SUMIFS($I$2:$I$260,$A$2:$A$260,$A106,$B$2:$B$260,$B106,$E$2:$E$260,"&lt;="&amp;$E106)</f>
        <v>60</v>
      </c>
      <c r="L106" s="18" t="n">
        <f aca="false">J106-K106</f>
        <v>404</v>
      </c>
      <c r="M106" s="18" t="n">
        <f aca="false">SUMIFS($H$2:$H$260,$A$2:$A$260,$A106,$B$2:$B$260,$B106)</f>
        <v>859</v>
      </c>
      <c r="N106" s="20" t="n">
        <f aca="false">IF(M106=0,"",L106/M106)</f>
        <v>0.470314318975553</v>
      </c>
      <c r="O106" s="18" t="s">
        <v>116</v>
      </c>
    </row>
    <row r="107" customFormat="false" ht="15" hidden="false" customHeight="true" outlineLevel="0" collapsed="false">
      <c r="A107" s="18" t="s">
        <v>195</v>
      </c>
      <c r="B107" s="18" t="s">
        <v>618</v>
      </c>
      <c r="C107" s="18" t="s">
        <v>609</v>
      </c>
      <c r="D107" s="18" t="s">
        <v>610</v>
      </c>
      <c r="E107" s="18" t="n">
        <v>8</v>
      </c>
      <c r="F107" s="18" t="s">
        <v>241</v>
      </c>
      <c r="G107" s="18" t="n">
        <v>-105</v>
      </c>
      <c r="H107" s="18" t="n">
        <v>72</v>
      </c>
      <c r="I107" s="18" t="n">
        <v>51</v>
      </c>
      <c r="J107" s="18" t="n">
        <f aca="false">SUMIFS($H$2:$H$260,$A$2:$A$260,$A107,$B$2:$B$260,$B107,$E$2:$E$260,"&lt;="&amp;$E107)</f>
        <v>536</v>
      </c>
      <c r="K107" s="18" t="n">
        <f aca="false">SUMIFS($I$2:$I$260,$A$2:$A$260,$A107,$B$2:$B$260,$B107,$E$2:$E$260,"&lt;="&amp;$E107)</f>
        <v>111</v>
      </c>
      <c r="L107" s="18" t="n">
        <f aca="false">J107-K107</f>
        <v>425</v>
      </c>
      <c r="M107" s="18" t="n">
        <f aca="false">SUMIFS($H$2:$H$260,$A$2:$A$260,$A107,$B$2:$B$260,$B107)</f>
        <v>859</v>
      </c>
      <c r="N107" s="20" t="n">
        <f aca="false">IF(M107=0,"",L107/M107)</f>
        <v>0.494761350407451</v>
      </c>
      <c r="O107" s="18" t="s">
        <v>116</v>
      </c>
    </row>
    <row r="108" customFormat="false" ht="15" hidden="false" customHeight="true" outlineLevel="0" collapsed="false">
      <c r="A108" s="18" t="s">
        <v>195</v>
      </c>
      <c r="B108" s="18" t="s">
        <v>618</v>
      </c>
      <c r="C108" s="18" t="s">
        <v>609</v>
      </c>
      <c r="D108" s="18" t="s">
        <v>610</v>
      </c>
      <c r="E108" s="18" t="n">
        <v>9</v>
      </c>
      <c r="F108" s="18" t="s">
        <v>279</v>
      </c>
      <c r="G108" s="18" t="n">
        <v>-90</v>
      </c>
      <c r="H108" s="18" t="n">
        <v>78</v>
      </c>
      <c r="I108" s="18" t="n">
        <v>65</v>
      </c>
      <c r="J108" s="18" t="n">
        <f aca="false">SUMIFS($H$2:$H$260,$A$2:$A$260,$A108,$B$2:$B$260,$B108,$E$2:$E$260,"&lt;="&amp;$E108)</f>
        <v>614</v>
      </c>
      <c r="K108" s="18" t="n">
        <f aca="false">SUMIFS($I$2:$I$260,$A$2:$A$260,$A108,$B$2:$B$260,$B108,$E$2:$E$260,"&lt;="&amp;$E108)</f>
        <v>176</v>
      </c>
      <c r="L108" s="18" t="n">
        <f aca="false">J108-K108</f>
        <v>438</v>
      </c>
      <c r="M108" s="18" t="n">
        <f aca="false">SUMIFS($H$2:$H$260,$A$2:$A$260,$A108,$B$2:$B$260,$B108)</f>
        <v>859</v>
      </c>
      <c r="N108" s="20" t="n">
        <f aca="false">IF(M108=0,"",L108/M108)</f>
        <v>0.509895227008149</v>
      </c>
      <c r="O108" s="18" t="s">
        <v>116</v>
      </c>
    </row>
    <row r="109" customFormat="false" ht="15" hidden="false" customHeight="true" outlineLevel="0" collapsed="false">
      <c r="A109" s="18" t="s">
        <v>195</v>
      </c>
      <c r="B109" s="18" t="s">
        <v>618</v>
      </c>
      <c r="C109" s="18" t="s">
        <v>609</v>
      </c>
      <c r="D109" s="18" t="s">
        <v>610</v>
      </c>
      <c r="E109" s="18" t="n">
        <v>10</v>
      </c>
      <c r="F109" s="18" t="s">
        <v>206</v>
      </c>
      <c r="G109" s="18" t="n">
        <v>-75</v>
      </c>
      <c r="H109" s="18" t="n">
        <v>80</v>
      </c>
      <c r="I109" s="18" t="n">
        <v>71</v>
      </c>
      <c r="J109" s="18" t="n">
        <f aca="false">SUMIFS($H$2:$H$260,$A$2:$A$260,$A109,$B$2:$B$260,$B109,$E$2:$E$260,"&lt;="&amp;$E109)</f>
        <v>694</v>
      </c>
      <c r="K109" s="18" t="n">
        <f aca="false">SUMIFS($I$2:$I$260,$A$2:$A$260,$A109,$B$2:$B$260,$B109,$E$2:$E$260,"&lt;="&amp;$E109)</f>
        <v>247</v>
      </c>
      <c r="L109" s="18" t="n">
        <f aca="false">J109-K109</f>
        <v>447</v>
      </c>
      <c r="M109" s="18" t="n">
        <f aca="false">SUMIFS($H$2:$H$260,$A$2:$A$260,$A109,$B$2:$B$260,$B109)</f>
        <v>859</v>
      </c>
      <c r="N109" s="20" t="n">
        <f aca="false">IF(M109=0,"",L109/M109)</f>
        <v>0.520372526193248</v>
      </c>
      <c r="O109" s="18" t="s">
        <v>116</v>
      </c>
    </row>
    <row r="110" customFormat="false" ht="15" hidden="false" customHeight="true" outlineLevel="0" collapsed="false">
      <c r="A110" s="18" t="s">
        <v>195</v>
      </c>
      <c r="B110" s="18" t="s">
        <v>618</v>
      </c>
      <c r="C110" s="18" t="s">
        <v>609</v>
      </c>
      <c r="D110" s="18" t="s">
        <v>610</v>
      </c>
      <c r="E110" s="18" t="n">
        <v>11</v>
      </c>
      <c r="F110" s="18" t="s">
        <v>246</v>
      </c>
      <c r="G110" s="18" t="n">
        <v>-60</v>
      </c>
      <c r="H110" s="18" t="n">
        <v>41</v>
      </c>
      <c r="I110" s="18" t="n">
        <v>101</v>
      </c>
      <c r="J110" s="18" t="n">
        <f aca="false">SUMIFS($H$2:$H$260,$A$2:$A$260,$A110,$B$2:$B$260,$B110,$E$2:$E$260,"&lt;="&amp;$E110)</f>
        <v>735</v>
      </c>
      <c r="K110" s="18" t="n">
        <f aca="false">SUMIFS($I$2:$I$260,$A$2:$A$260,$A110,$B$2:$B$260,$B110,$E$2:$E$260,"&lt;="&amp;$E110)</f>
        <v>348</v>
      </c>
      <c r="L110" s="18" t="n">
        <f aca="false">J110-K110</f>
        <v>387</v>
      </c>
      <c r="M110" s="18" t="n">
        <f aca="false">SUMIFS($H$2:$H$260,$A$2:$A$260,$A110,$B$2:$B$260,$B110)</f>
        <v>859</v>
      </c>
      <c r="N110" s="20" t="n">
        <f aca="false">IF(M110=0,"",L110/M110)</f>
        <v>0.450523864959255</v>
      </c>
      <c r="O110" s="18" t="s">
        <v>116</v>
      </c>
    </row>
    <row r="111" customFormat="false" ht="15" hidden="false" customHeight="true" outlineLevel="0" collapsed="false">
      <c r="A111" s="18" t="s">
        <v>195</v>
      </c>
      <c r="B111" s="18" t="s">
        <v>618</v>
      </c>
      <c r="C111" s="18" t="s">
        <v>609</v>
      </c>
      <c r="D111" s="18" t="s">
        <v>610</v>
      </c>
      <c r="E111" s="18" t="n">
        <v>12</v>
      </c>
      <c r="F111" s="18" t="s">
        <v>254</v>
      </c>
      <c r="G111" s="18" t="n">
        <v>-45</v>
      </c>
      <c r="H111" s="18" t="n">
        <v>36</v>
      </c>
      <c r="I111" s="18" t="n">
        <v>110</v>
      </c>
      <c r="J111" s="18" t="n">
        <f aca="false">SUMIFS($H$2:$H$260,$A$2:$A$260,$A111,$B$2:$B$260,$B111,$E$2:$E$260,"&lt;="&amp;$E111)</f>
        <v>771</v>
      </c>
      <c r="K111" s="18" t="n">
        <f aca="false">SUMIFS($I$2:$I$260,$A$2:$A$260,$A111,$B$2:$B$260,$B111,$E$2:$E$260,"&lt;="&amp;$E111)</f>
        <v>458</v>
      </c>
      <c r="L111" s="18" t="n">
        <f aca="false">J111-K111</f>
        <v>313</v>
      </c>
      <c r="M111" s="18" t="n">
        <f aca="false">SUMIFS($H$2:$H$260,$A$2:$A$260,$A111,$B$2:$B$260,$B111)</f>
        <v>859</v>
      </c>
      <c r="N111" s="20" t="n">
        <f aca="false">IF(M111=0,"",L111/M111)</f>
        <v>0.364377182770664</v>
      </c>
      <c r="O111" s="18" t="s">
        <v>116</v>
      </c>
    </row>
    <row r="112" customFormat="false" ht="15" hidden="false" customHeight="true" outlineLevel="0" collapsed="false">
      <c r="A112" s="18" t="s">
        <v>195</v>
      </c>
      <c r="B112" s="18" t="s">
        <v>618</v>
      </c>
      <c r="C112" s="18" t="s">
        <v>609</v>
      </c>
      <c r="D112" s="18" t="s">
        <v>610</v>
      </c>
      <c r="E112" s="18" t="n">
        <v>13</v>
      </c>
      <c r="F112" s="18" t="s">
        <v>403</v>
      </c>
      <c r="G112" s="18" t="n">
        <v>-30</v>
      </c>
      <c r="H112" s="18" t="n">
        <v>22</v>
      </c>
      <c r="I112" s="18" t="n">
        <v>97</v>
      </c>
      <c r="J112" s="18" t="n">
        <f aca="false">SUMIFS($H$2:$H$260,$A$2:$A$260,$A112,$B$2:$B$260,$B112,$E$2:$E$260,"&lt;="&amp;$E112)</f>
        <v>793</v>
      </c>
      <c r="K112" s="18" t="n">
        <f aca="false">SUMIFS($I$2:$I$260,$A$2:$A$260,$A112,$B$2:$B$260,$B112,$E$2:$E$260,"&lt;="&amp;$E112)</f>
        <v>555</v>
      </c>
      <c r="L112" s="18" t="n">
        <f aca="false">J112-K112</f>
        <v>238</v>
      </c>
      <c r="M112" s="18" t="n">
        <f aca="false">SUMIFS($H$2:$H$260,$A$2:$A$260,$A112,$B$2:$B$260,$B112)</f>
        <v>859</v>
      </c>
      <c r="N112" s="20" t="n">
        <f aca="false">IF(M112=0,"",L112/M112)</f>
        <v>0.277066356228172</v>
      </c>
      <c r="O112" s="18" t="s">
        <v>116</v>
      </c>
    </row>
    <row r="113" customFormat="false" ht="15" hidden="false" customHeight="true" outlineLevel="0" collapsed="false">
      <c r="A113" s="18" t="s">
        <v>195</v>
      </c>
      <c r="B113" s="18" t="s">
        <v>618</v>
      </c>
      <c r="C113" s="18" t="s">
        <v>609</v>
      </c>
      <c r="D113" s="18" t="s">
        <v>610</v>
      </c>
      <c r="E113" s="18" t="n">
        <v>14</v>
      </c>
      <c r="F113" s="18" t="s">
        <v>529</v>
      </c>
      <c r="G113" s="18" t="n">
        <v>-15</v>
      </c>
      <c r="H113" s="18" t="n">
        <v>26</v>
      </c>
      <c r="I113" s="18" t="n">
        <v>87</v>
      </c>
      <c r="J113" s="18" t="n">
        <f aca="false">SUMIFS($H$2:$H$260,$A$2:$A$260,$A113,$B$2:$B$260,$B113,$E$2:$E$260,"&lt;="&amp;$E113)</f>
        <v>819</v>
      </c>
      <c r="K113" s="18" t="n">
        <f aca="false">SUMIFS($I$2:$I$260,$A$2:$A$260,$A113,$B$2:$B$260,$B113,$E$2:$E$260,"&lt;="&amp;$E113)</f>
        <v>642</v>
      </c>
      <c r="L113" s="18" t="n">
        <f aca="false">J113-K113</f>
        <v>177</v>
      </c>
      <c r="M113" s="18" t="n">
        <f aca="false">SUMIFS($H$2:$H$260,$A$2:$A$260,$A113,$B$2:$B$260,$B113)</f>
        <v>859</v>
      </c>
      <c r="N113" s="20" t="n">
        <f aca="false">IF(M113=0,"",L113/M113)</f>
        <v>0.206053550640279</v>
      </c>
      <c r="O113" s="18" t="s">
        <v>116</v>
      </c>
    </row>
    <row r="114" customFormat="false" ht="15" hidden="false" customHeight="true" outlineLevel="0" collapsed="false">
      <c r="A114" s="18" t="s">
        <v>195</v>
      </c>
      <c r="B114" s="18" t="s">
        <v>618</v>
      </c>
      <c r="C114" s="18" t="s">
        <v>609</v>
      </c>
      <c r="D114" s="18" t="s">
        <v>610</v>
      </c>
      <c r="E114" s="18" t="n">
        <v>15</v>
      </c>
      <c r="F114" s="18" t="s">
        <v>463</v>
      </c>
      <c r="G114" s="18" t="n">
        <v>0</v>
      </c>
      <c r="H114" s="18" t="n">
        <v>14</v>
      </c>
      <c r="I114" s="18" t="n">
        <v>52</v>
      </c>
      <c r="J114" s="18" t="n">
        <f aca="false">SUMIFS($H$2:$H$260,$A$2:$A$260,$A114,$B$2:$B$260,$B114,$E$2:$E$260,"&lt;="&amp;$E114)</f>
        <v>833</v>
      </c>
      <c r="K114" s="18" t="n">
        <f aca="false">SUMIFS($I$2:$I$260,$A$2:$A$260,$A114,$B$2:$B$260,$B114,$E$2:$E$260,"&lt;="&amp;$E114)</f>
        <v>694</v>
      </c>
      <c r="L114" s="18" t="n">
        <f aca="false">J114-K114</f>
        <v>139</v>
      </c>
      <c r="M114" s="18" t="n">
        <f aca="false">SUMIFS($H$2:$H$260,$A$2:$A$260,$A114,$B$2:$B$260,$B114)</f>
        <v>859</v>
      </c>
      <c r="N114" s="20" t="n">
        <f aca="false">IF(M114=0,"",L114/M114)</f>
        <v>0.161816065192084</v>
      </c>
      <c r="O114" s="18" t="s">
        <v>116</v>
      </c>
    </row>
    <row r="115" customFormat="false" ht="15" hidden="false" customHeight="true" outlineLevel="0" collapsed="false">
      <c r="A115" s="18" t="s">
        <v>195</v>
      </c>
      <c r="B115" s="18" t="s">
        <v>618</v>
      </c>
      <c r="C115" s="18" t="s">
        <v>609</v>
      </c>
      <c r="D115" s="18" t="s">
        <v>610</v>
      </c>
      <c r="E115" s="18" t="n">
        <v>16</v>
      </c>
      <c r="F115" s="18" t="s">
        <v>366</v>
      </c>
      <c r="G115" s="18" t="n">
        <v>15</v>
      </c>
      <c r="H115" s="18" t="n">
        <v>17</v>
      </c>
      <c r="I115" s="18" t="n">
        <v>49</v>
      </c>
      <c r="J115" s="18" t="n">
        <f aca="false">SUMIFS($H$2:$H$260,$A$2:$A$260,$A115,$B$2:$B$260,$B115,$E$2:$E$260,"&lt;="&amp;$E115)</f>
        <v>850</v>
      </c>
      <c r="K115" s="18" t="n">
        <f aca="false">SUMIFS($I$2:$I$260,$A$2:$A$260,$A115,$B$2:$B$260,$B115,$E$2:$E$260,"&lt;="&amp;$E115)</f>
        <v>743</v>
      </c>
      <c r="L115" s="18" t="n">
        <f aca="false">J115-K115</f>
        <v>107</v>
      </c>
      <c r="M115" s="18" t="n">
        <f aca="false">SUMIFS($H$2:$H$260,$A$2:$A$260,$A115,$B$2:$B$260,$B115)</f>
        <v>859</v>
      </c>
      <c r="N115" s="20" t="n">
        <f aca="false">IF(M115=0,"",L115/M115)</f>
        <v>0.124563445867288</v>
      </c>
      <c r="O115" s="18" t="s">
        <v>116</v>
      </c>
    </row>
    <row r="116" customFormat="false" ht="15" hidden="false" customHeight="true" outlineLevel="0" collapsed="false">
      <c r="A116" s="18" t="s">
        <v>195</v>
      </c>
      <c r="B116" s="18" t="s">
        <v>618</v>
      </c>
      <c r="C116" s="18" t="s">
        <v>609</v>
      </c>
      <c r="D116" s="18" t="s">
        <v>610</v>
      </c>
      <c r="E116" s="18" t="n">
        <v>17</v>
      </c>
      <c r="F116" s="18" t="s">
        <v>326</v>
      </c>
      <c r="G116" s="18" t="n">
        <v>30</v>
      </c>
      <c r="H116" s="18" t="n">
        <v>3</v>
      </c>
      <c r="I116" s="18" t="n">
        <v>28</v>
      </c>
      <c r="J116" s="18" t="n">
        <f aca="false">SUMIFS($H$2:$H$260,$A$2:$A$260,$A116,$B$2:$B$260,$B116,$E$2:$E$260,"&lt;="&amp;$E116)</f>
        <v>853</v>
      </c>
      <c r="K116" s="18" t="n">
        <f aca="false">SUMIFS($I$2:$I$260,$A$2:$A$260,$A116,$B$2:$B$260,$B116,$E$2:$E$260,"&lt;="&amp;$E116)</f>
        <v>771</v>
      </c>
      <c r="L116" s="18" t="n">
        <f aca="false">J116-K116</f>
        <v>82</v>
      </c>
      <c r="M116" s="18" t="n">
        <f aca="false">SUMIFS($H$2:$H$260,$A$2:$A$260,$A116,$B$2:$B$260,$B116)</f>
        <v>859</v>
      </c>
      <c r="N116" s="20" t="n">
        <f aca="false">IF(M116=0,"",L116/M116)</f>
        <v>0.0954598370197905</v>
      </c>
      <c r="O116" s="18" t="s">
        <v>116</v>
      </c>
    </row>
    <row r="117" customFormat="false" ht="15" hidden="false" customHeight="true" outlineLevel="0" collapsed="false">
      <c r="A117" s="18" t="s">
        <v>195</v>
      </c>
      <c r="B117" s="18" t="s">
        <v>618</v>
      </c>
      <c r="C117" s="18" t="s">
        <v>609</v>
      </c>
      <c r="D117" s="18" t="s">
        <v>610</v>
      </c>
      <c r="E117" s="18" t="n">
        <v>18</v>
      </c>
      <c r="F117" s="18" t="s">
        <v>226</v>
      </c>
      <c r="G117" s="18" t="n">
        <v>45</v>
      </c>
      <c r="H117" s="18" t="n">
        <v>6</v>
      </c>
      <c r="I117" s="18" t="n">
        <v>36</v>
      </c>
      <c r="J117" s="18" t="n">
        <f aca="false">SUMIFS($H$2:$H$260,$A$2:$A$260,$A117,$B$2:$B$260,$B117,$E$2:$E$260,"&lt;="&amp;$E117)</f>
        <v>859</v>
      </c>
      <c r="K117" s="18" t="n">
        <f aca="false">SUMIFS($I$2:$I$260,$A$2:$A$260,$A117,$B$2:$B$260,$B117,$E$2:$E$260,"&lt;="&amp;$E117)</f>
        <v>807</v>
      </c>
      <c r="L117" s="18" t="n">
        <f aca="false">J117-K117</f>
        <v>52</v>
      </c>
      <c r="M117" s="18" t="n">
        <f aca="false">SUMIFS($H$2:$H$260,$A$2:$A$260,$A117,$B$2:$B$260,$B117)</f>
        <v>859</v>
      </c>
      <c r="N117" s="20" t="n">
        <f aca="false">IF(M117=0,"",L117/M117)</f>
        <v>0.060535506402794</v>
      </c>
      <c r="O117" s="18" t="s">
        <v>116</v>
      </c>
    </row>
    <row r="118" customFormat="false" ht="15" hidden="false" customHeight="true" outlineLevel="0" collapsed="false">
      <c r="A118" s="18" t="s">
        <v>313</v>
      </c>
      <c r="B118" s="18" t="s">
        <v>616</v>
      </c>
      <c r="C118" s="18" t="s">
        <v>609</v>
      </c>
      <c r="D118" s="18" t="s">
        <v>610</v>
      </c>
      <c r="E118" s="18" t="n">
        <v>0</v>
      </c>
      <c r="F118" s="18" t="s">
        <v>204</v>
      </c>
      <c r="G118" s="18"/>
      <c r="H118" s="18" t="n">
        <v>25</v>
      </c>
      <c r="I118" s="18" t="n">
        <v>1</v>
      </c>
      <c r="J118" s="18" t="n">
        <f aca="false">SUMIFS($H$2:$H$260,$A$2:$A$260,$A118,$B$2:$B$260,$B118,$E$2:$E$260,"&lt;="&amp;$E118)</f>
        <v>25</v>
      </c>
      <c r="K118" s="18" t="n">
        <f aca="false">SUMIFS($I$2:$I$260,$A$2:$A$260,$A118,$B$2:$B$260,$B118,$E$2:$E$260,"&lt;="&amp;$E118)</f>
        <v>1</v>
      </c>
      <c r="L118" s="18" t="n">
        <f aca="false">J118-K118</f>
        <v>24</v>
      </c>
      <c r="M118" s="18" t="n">
        <f aca="false">SUMIFS($H$2:$H$260,$A$2:$A$260,$A118,$B$2:$B$260,$B118)</f>
        <v>643</v>
      </c>
      <c r="N118" s="20" t="n">
        <f aca="false">IF(M118=0,"",L118/M118)</f>
        <v>0.0373250388802488</v>
      </c>
      <c r="O118" s="18" t="s">
        <v>617</v>
      </c>
    </row>
    <row r="119" customFormat="false" ht="15" hidden="false" customHeight="true" outlineLevel="0" collapsed="false">
      <c r="A119" s="18" t="s">
        <v>313</v>
      </c>
      <c r="B119" s="18" t="s">
        <v>616</v>
      </c>
      <c r="C119" s="18" t="s">
        <v>609</v>
      </c>
      <c r="D119" s="18" t="s">
        <v>610</v>
      </c>
      <c r="E119" s="18" t="n">
        <v>1</v>
      </c>
      <c r="F119" s="18" t="s">
        <v>531</v>
      </c>
      <c r="G119" s="18" t="n">
        <v>-210</v>
      </c>
      <c r="H119" s="18" t="n">
        <v>15</v>
      </c>
      <c r="I119" s="18" t="n">
        <v>3</v>
      </c>
      <c r="J119" s="18" t="n">
        <f aca="false">SUMIFS($H$2:$H$260,$A$2:$A$260,$A119,$B$2:$B$260,$B119,$E$2:$E$260,"&lt;="&amp;$E119)</f>
        <v>40</v>
      </c>
      <c r="K119" s="18" t="n">
        <f aca="false">SUMIFS($I$2:$I$260,$A$2:$A$260,$A119,$B$2:$B$260,$B119,$E$2:$E$260,"&lt;="&amp;$E119)</f>
        <v>4</v>
      </c>
      <c r="L119" s="18" t="n">
        <f aca="false">J119-K119</f>
        <v>36</v>
      </c>
      <c r="M119" s="18" t="n">
        <f aca="false">SUMIFS($H$2:$H$260,$A$2:$A$260,$A119,$B$2:$B$260,$B119)</f>
        <v>643</v>
      </c>
      <c r="N119" s="20" t="n">
        <f aca="false">IF(M119=0,"",L119/M119)</f>
        <v>0.0559875583203733</v>
      </c>
      <c r="O119" s="18" t="s">
        <v>617</v>
      </c>
    </row>
    <row r="120" customFormat="false" ht="15" hidden="false" customHeight="true" outlineLevel="0" collapsed="false">
      <c r="A120" s="18" t="s">
        <v>313</v>
      </c>
      <c r="B120" s="18" t="s">
        <v>616</v>
      </c>
      <c r="C120" s="18" t="s">
        <v>609</v>
      </c>
      <c r="D120" s="18" t="s">
        <v>610</v>
      </c>
      <c r="E120" s="18" t="n">
        <v>2</v>
      </c>
      <c r="F120" s="18" t="s">
        <v>340</v>
      </c>
      <c r="G120" s="18" t="n">
        <v>-195</v>
      </c>
      <c r="H120" s="18" t="n">
        <v>53</v>
      </c>
      <c r="I120" s="18" t="n">
        <v>4</v>
      </c>
      <c r="J120" s="18" t="n">
        <f aca="false">SUMIFS($H$2:$H$260,$A$2:$A$260,$A120,$B$2:$B$260,$B120,$E$2:$E$260,"&lt;="&amp;$E120)</f>
        <v>93</v>
      </c>
      <c r="K120" s="18" t="n">
        <f aca="false">SUMIFS($I$2:$I$260,$A$2:$A$260,$A120,$B$2:$B$260,$B120,$E$2:$E$260,"&lt;="&amp;$E120)</f>
        <v>8</v>
      </c>
      <c r="L120" s="18" t="n">
        <f aca="false">J120-K120</f>
        <v>85</v>
      </c>
      <c r="M120" s="18" t="n">
        <f aca="false">SUMIFS($H$2:$H$260,$A$2:$A$260,$A120,$B$2:$B$260,$B120)</f>
        <v>643</v>
      </c>
      <c r="N120" s="20" t="n">
        <f aca="false">IF(M120=0,"",L120/M120)</f>
        <v>0.132192846034215</v>
      </c>
      <c r="O120" s="18" t="s">
        <v>617</v>
      </c>
    </row>
    <row r="121" customFormat="false" ht="15" hidden="false" customHeight="true" outlineLevel="0" collapsed="false">
      <c r="A121" s="18" t="s">
        <v>313</v>
      </c>
      <c r="B121" s="18" t="s">
        <v>616</v>
      </c>
      <c r="C121" s="18" t="s">
        <v>609</v>
      </c>
      <c r="D121" s="18" t="s">
        <v>610</v>
      </c>
      <c r="E121" s="18" t="n">
        <v>3</v>
      </c>
      <c r="F121" s="18" t="s">
        <v>525</v>
      </c>
      <c r="G121" s="18" t="n">
        <v>-180</v>
      </c>
      <c r="H121" s="18" t="n">
        <v>55</v>
      </c>
      <c r="I121" s="18" t="n">
        <v>10</v>
      </c>
      <c r="J121" s="18" t="n">
        <f aca="false">SUMIFS($H$2:$H$260,$A$2:$A$260,$A121,$B$2:$B$260,$B121,$E$2:$E$260,"&lt;="&amp;$E121)</f>
        <v>148</v>
      </c>
      <c r="K121" s="18" t="n">
        <f aca="false">SUMIFS($I$2:$I$260,$A$2:$A$260,$A121,$B$2:$B$260,$B121,$E$2:$E$260,"&lt;="&amp;$E121)</f>
        <v>18</v>
      </c>
      <c r="L121" s="18" t="n">
        <f aca="false">J121-K121</f>
        <v>130</v>
      </c>
      <c r="M121" s="18" t="n">
        <f aca="false">SUMIFS($H$2:$H$260,$A$2:$A$260,$A121,$B$2:$B$260,$B121)</f>
        <v>643</v>
      </c>
      <c r="N121" s="20" t="n">
        <f aca="false">IF(M121=0,"",L121/M121)</f>
        <v>0.202177293934681</v>
      </c>
      <c r="O121" s="18" t="s">
        <v>617</v>
      </c>
    </row>
    <row r="122" customFormat="false" ht="15" hidden="false" customHeight="true" outlineLevel="0" collapsed="false">
      <c r="A122" s="18" t="s">
        <v>313</v>
      </c>
      <c r="B122" s="18" t="s">
        <v>616</v>
      </c>
      <c r="C122" s="18" t="s">
        <v>609</v>
      </c>
      <c r="D122" s="18" t="s">
        <v>610</v>
      </c>
      <c r="E122" s="18" t="n">
        <v>4</v>
      </c>
      <c r="F122" s="18" t="s">
        <v>526</v>
      </c>
      <c r="G122" s="18" t="n">
        <v>-165</v>
      </c>
      <c r="H122" s="18" t="n">
        <v>69</v>
      </c>
      <c r="I122" s="18" t="n">
        <v>2</v>
      </c>
      <c r="J122" s="18" t="n">
        <f aca="false">SUMIFS($H$2:$H$260,$A$2:$A$260,$A122,$B$2:$B$260,$B122,$E$2:$E$260,"&lt;="&amp;$E122)</f>
        <v>217</v>
      </c>
      <c r="K122" s="18" t="n">
        <f aca="false">SUMIFS($I$2:$I$260,$A$2:$A$260,$A122,$B$2:$B$260,$B122,$E$2:$E$260,"&lt;="&amp;$E122)</f>
        <v>20</v>
      </c>
      <c r="L122" s="18" t="n">
        <f aca="false">J122-K122</f>
        <v>197</v>
      </c>
      <c r="M122" s="18" t="n">
        <f aca="false">SUMIFS($H$2:$H$260,$A$2:$A$260,$A122,$B$2:$B$260,$B122)</f>
        <v>643</v>
      </c>
      <c r="N122" s="20" t="n">
        <f aca="false">IF(M122=0,"",L122/M122)</f>
        <v>0.306376360808709</v>
      </c>
      <c r="O122" s="18" t="s">
        <v>617</v>
      </c>
    </row>
    <row r="123" customFormat="false" ht="15" hidden="false" customHeight="true" outlineLevel="0" collapsed="false">
      <c r="A123" s="18" t="s">
        <v>313</v>
      </c>
      <c r="B123" s="18" t="s">
        <v>616</v>
      </c>
      <c r="C123" s="18" t="s">
        <v>609</v>
      </c>
      <c r="D123" s="18" t="s">
        <v>610</v>
      </c>
      <c r="E123" s="18" t="n">
        <v>5</v>
      </c>
      <c r="F123" s="18" t="s">
        <v>527</v>
      </c>
      <c r="G123" s="18" t="n">
        <v>-150</v>
      </c>
      <c r="H123" s="18" t="n">
        <v>64</v>
      </c>
      <c r="I123" s="18" t="n">
        <v>2</v>
      </c>
      <c r="J123" s="18" t="n">
        <f aca="false">SUMIFS($H$2:$H$260,$A$2:$A$260,$A123,$B$2:$B$260,$B123,$E$2:$E$260,"&lt;="&amp;$E123)</f>
        <v>281</v>
      </c>
      <c r="K123" s="18" t="n">
        <f aca="false">SUMIFS($I$2:$I$260,$A$2:$A$260,$A123,$B$2:$B$260,$B123,$E$2:$E$260,"&lt;="&amp;$E123)</f>
        <v>22</v>
      </c>
      <c r="L123" s="18" t="n">
        <f aca="false">J123-K123</f>
        <v>259</v>
      </c>
      <c r="M123" s="18" t="n">
        <f aca="false">SUMIFS($H$2:$H$260,$A$2:$A$260,$A123,$B$2:$B$260,$B123)</f>
        <v>643</v>
      </c>
      <c r="N123" s="20" t="n">
        <f aca="false">IF(M123=0,"",L123/M123)</f>
        <v>0.402799377916019</v>
      </c>
      <c r="O123" s="18" t="s">
        <v>617</v>
      </c>
    </row>
    <row r="124" customFormat="false" ht="15" hidden="false" customHeight="true" outlineLevel="0" collapsed="false">
      <c r="A124" s="18" t="s">
        <v>313</v>
      </c>
      <c r="B124" s="18" t="s">
        <v>616</v>
      </c>
      <c r="C124" s="18" t="s">
        <v>609</v>
      </c>
      <c r="D124" s="18" t="s">
        <v>610</v>
      </c>
      <c r="E124" s="18" t="n">
        <v>6</v>
      </c>
      <c r="F124" s="18" t="s">
        <v>528</v>
      </c>
      <c r="G124" s="18" t="n">
        <v>-135</v>
      </c>
      <c r="H124" s="18" t="n">
        <v>64</v>
      </c>
      <c r="I124" s="18" t="n">
        <v>8</v>
      </c>
      <c r="J124" s="18" t="n">
        <f aca="false">SUMIFS($H$2:$H$260,$A$2:$A$260,$A124,$B$2:$B$260,$B124,$E$2:$E$260,"&lt;="&amp;$E124)</f>
        <v>345</v>
      </c>
      <c r="K124" s="18" t="n">
        <f aca="false">SUMIFS($I$2:$I$260,$A$2:$A$260,$A124,$B$2:$B$260,$B124,$E$2:$E$260,"&lt;="&amp;$E124)</f>
        <v>30</v>
      </c>
      <c r="L124" s="18" t="n">
        <f aca="false">J124-K124</f>
        <v>315</v>
      </c>
      <c r="M124" s="18" t="n">
        <f aca="false">SUMIFS($H$2:$H$260,$A$2:$A$260,$A124,$B$2:$B$260,$B124)</f>
        <v>643</v>
      </c>
      <c r="N124" s="20" t="n">
        <f aca="false">IF(M124=0,"",L124/M124)</f>
        <v>0.489891135303266</v>
      </c>
      <c r="O124" s="18" t="s">
        <v>617</v>
      </c>
    </row>
    <row r="125" customFormat="false" ht="15" hidden="false" customHeight="true" outlineLevel="0" collapsed="false">
      <c r="A125" s="18" t="s">
        <v>313</v>
      </c>
      <c r="B125" s="18" t="s">
        <v>616</v>
      </c>
      <c r="C125" s="18" t="s">
        <v>609</v>
      </c>
      <c r="D125" s="18" t="s">
        <v>610</v>
      </c>
      <c r="E125" s="18" t="n">
        <v>7</v>
      </c>
      <c r="F125" s="18" t="s">
        <v>227</v>
      </c>
      <c r="G125" s="18" t="n">
        <v>-120</v>
      </c>
      <c r="H125" s="18" t="n">
        <v>66</v>
      </c>
      <c r="I125" s="18" t="n">
        <v>14</v>
      </c>
      <c r="J125" s="18" t="n">
        <f aca="false">SUMIFS($H$2:$H$260,$A$2:$A$260,$A125,$B$2:$B$260,$B125,$E$2:$E$260,"&lt;="&amp;$E125)</f>
        <v>411</v>
      </c>
      <c r="K125" s="18" t="n">
        <f aca="false">SUMIFS($I$2:$I$260,$A$2:$A$260,$A125,$B$2:$B$260,$B125,$E$2:$E$260,"&lt;="&amp;$E125)</f>
        <v>44</v>
      </c>
      <c r="L125" s="18" t="n">
        <f aca="false">J125-K125</f>
        <v>367</v>
      </c>
      <c r="M125" s="18" t="n">
        <f aca="false">SUMIFS($H$2:$H$260,$A$2:$A$260,$A125,$B$2:$B$260,$B125)</f>
        <v>643</v>
      </c>
      <c r="N125" s="20" t="n">
        <f aca="false">IF(M125=0,"",L125/M125)</f>
        <v>0.570762052877138</v>
      </c>
      <c r="O125" s="18" t="s">
        <v>617</v>
      </c>
    </row>
    <row r="126" customFormat="false" ht="15" hidden="false" customHeight="true" outlineLevel="0" collapsed="false">
      <c r="A126" s="18" t="s">
        <v>313</v>
      </c>
      <c r="B126" s="18" t="s">
        <v>616</v>
      </c>
      <c r="C126" s="18" t="s">
        <v>609</v>
      </c>
      <c r="D126" s="18" t="s">
        <v>610</v>
      </c>
      <c r="E126" s="18" t="n">
        <v>8</v>
      </c>
      <c r="F126" s="18" t="s">
        <v>241</v>
      </c>
      <c r="G126" s="18" t="n">
        <v>-105</v>
      </c>
      <c r="H126" s="18" t="n">
        <v>59</v>
      </c>
      <c r="I126" s="18" t="n">
        <v>30</v>
      </c>
      <c r="J126" s="18" t="n">
        <f aca="false">SUMIFS($H$2:$H$260,$A$2:$A$260,$A126,$B$2:$B$260,$B126,$E$2:$E$260,"&lt;="&amp;$E126)</f>
        <v>470</v>
      </c>
      <c r="K126" s="18" t="n">
        <f aca="false">SUMIFS($I$2:$I$260,$A$2:$A$260,$A126,$B$2:$B$260,$B126,$E$2:$E$260,"&lt;="&amp;$E126)</f>
        <v>74</v>
      </c>
      <c r="L126" s="18" t="n">
        <f aca="false">J126-K126</f>
        <v>396</v>
      </c>
      <c r="M126" s="18" t="n">
        <f aca="false">SUMIFS($H$2:$H$260,$A$2:$A$260,$A126,$B$2:$B$260,$B126)</f>
        <v>643</v>
      </c>
      <c r="N126" s="20" t="n">
        <f aca="false">IF(M126=0,"",L126/M126)</f>
        <v>0.615863141524106</v>
      </c>
      <c r="O126" s="18" t="s">
        <v>617</v>
      </c>
    </row>
    <row r="127" customFormat="false" ht="15" hidden="false" customHeight="true" outlineLevel="0" collapsed="false">
      <c r="A127" s="18" t="s">
        <v>313</v>
      </c>
      <c r="B127" s="18" t="s">
        <v>616</v>
      </c>
      <c r="C127" s="18" t="s">
        <v>609</v>
      </c>
      <c r="D127" s="18" t="s">
        <v>610</v>
      </c>
      <c r="E127" s="18" t="n">
        <v>9</v>
      </c>
      <c r="F127" s="18" t="s">
        <v>279</v>
      </c>
      <c r="G127" s="18" t="n">
        <v>-90</v>
      </c>
      <c r="H127" s="18" t="n">
        <v>53</v>
      </c>
      <c r="I127" s="18" t="n">
        <v>48</v>
      </c>
      <c r="J127" s="18" t="n">
        <f aca="false">SUMIFS($H$2:$H$260,$A$2:$A$260,$A127,$B$2:$B$260,$B127,$E$2:$E$260,"&lt;="&amp;$E127)</f>
        <v>523</v>
      </c>
      <c r="K127" s="18" t="n">
        <f aca="false">SUMIFS($I$2:$I$260,$A$2:$A$260,$A127,$B$2:$B$260,$B127,$E$2:$E$260,"&lt;="&amp;$E127)</f>
        <v>122</v>
      </c>
      <c r="L127" s="18" t="n">
        <f aca="false">J127-K127</f>
        <v>401</v>
      </c>
      <c r="M127" s="18" t="n">
        <f aca="false">SUMIFS($H$2:$H$260,$A$2:$A$260,$A127,$B$2:$B$260,$B127)</f>
        <v>643</v>
      </c>
      <c r="N127" s="20" t="n">
        <f aca="false">IF(M127=0,"",L127/M127)</f>
        <v>0.623639191290824</v>
      </c>
      <c r="O127" s="18" t="s">
        <v>617</v>
      </c>
    </row>
    <row r="128" customFormat="false" ht="15" hidden="false" customHeight="true" outlineLevel="0" collapsed="false">
      <c r="A128" s="18" t="s">
        <v>313</v>
      </c>
      <c r="B128" s="18" t="s">
        <v>616</v>
      </c>
      <c r="C128" s="18" t="s">
        <v>609</v>
      </c>
      <c r="D128" s="18" t="s">
        <v>610</v>
      </c>
      <c r="E128" s="18" t="n">
        <v>10</v>
      </c>
      <c r="F128" s="18" t="s">
        <v>206</v>
      </c>
      <c r="G128" s="18" t="n">
        <v>-75</v>
      </c>
      <c r="H128" s="18" t="n">
        <v>29</v>
      </c>
      <c r="I128" s="18" t="n">
        <v>59</v>
      </c>
      <c r="J128" s="18" t="n">
        <f aca="false">SUMIFS($H$2:$H$260,$A$2:$A$260,$A128,$B$2:$B$260,$B128,$E$2:$E$260,"&lt;="&amp;$E128)</f>
        <v>552</v>
      </c>
      <c r="K128" s="18" t="n">
        <f aca="false">SUMIFS($I$2:$I$260,$A$2:$A$260,$A128,$B$2:$B$260,$B128,$E$2:$E$260,"&lt;="&amp;$E128)</f>
        <v>181</v>
      </c>
      <c r="L128" s="18" t="n">
        <f aca="false">J128-K128</f>
        <v>371</v>
      </c>
      <c r="M128" s="18" t="n">
        <f aca="false">SUMIFS($H$2:$H$260,$A$2:$A$260,$A128,$B$2:$B$260,$B128)</f>
        <v>643</v>
      </c>
      <c r="N128" s="20" t="n">
        <f aca="false">IF(M128=0,"",L128/M128)</f>
        <v>0.576982892690513</v>
      </c>
      <c r="O128" s="18" t="s">
        <v>617</v>
      </c>
    </row>
    <row r="129" customFormat="false" ht="15" hidden="false" customHeight="true" outlineLevel="0" collapsed="false">
      <c r="A129" s="18" t="s">
        <v>313</v>
      </c>
      <c r="B129" s="18" t="s">
        <v>616</v>
      </c>
      <c r="C129" s="18" t="s">
        <v>609</v>
      </c>
      <c r="D129" s="18" t="s">
        <v>610</v>
      </c>
      <c r="E129" s="18" t="n">
        <v>11</v>
      </c>
      <c r="F129" s="18" t="s">
        <v>246</v>
      </c>
      <c r="G129" s="18" t="n">
        <v>-60</v>
      </c>
      <c r="H129" s="18" t="n">
        <v>33</v>
      </c>
      <c r="I129" s="18" t="n">
        <v>76</v>
      </c>
      <c r="J129" s="18" t="n">
        <f aca="false">SUMIFS($H$2:$H$260,$A$2:$A$260,$A129,$B$2:$B$260,$B129,$E$2:$E$260,"&lt;="&amp;$E129)</f>
        <v>585</v>
      </c>
      <c r="K129" s="18" t="n">
        <f aca="false">SUMIFS($I$2:$I$260,$A$2:$A$260,$A129,$B$2:$B$260,$B129,$E$2:$E$260,"&lt;="&amp;$E129)</f>
        <v>257</v>
      </c>
      <c r="L129" s="18" t="n">
        <f aca="false">J129-K129</f>
        <v>328</v>
      </c>
      <c r="M129" s="18" t="n">
        <f aca="false">SUMIFS($H$2:$H$260,$A$2:$A$260,$A129,$B$2:$B$260,$B129)</f>
        <v>643</v>
      </c>
      <c r="N129" s="20" t="n">
        <f aca="false">IF(M129=0,"",L129/M129)</f>
        <v>0.510108864696734</v>
      </c>
      <c r="O129" s="18" t="s">
        <v>617</v>
      </c>
    </row>
    <row r="130" customFormat="false" ht="15" hidden="false" customHeight="true" outlineLevel="0" collapsed="false">
      <c r="A130" s="18" t="s">
        <v>313</v>
      </c>
      <c r="B130" s="18" t="s">
        <v>616</v>
      </c>
      <c r="C130" s="18" t="s">
        <v>609</v>
      </c>
      <c r="D130" s="18" t="s">
        <v>610</v>
      </c>
      <c r="E130" s="18" t="n">
        <v>12</v>
      </c>
      <c r="F130" s="18" t="s">
        <v>254</v>
      </c>
      <c r="G130" s="18" t="n">
        <v>-45</v>
      </c>
      <c r="H130" s="18" t="n">
        <v>16</v>
      </c>
      <c r="I130" s="18" t="n">
        <v>75</v>
      </c>
      <c r="J130" s="18" t="n">
        <f aca="false">SUMIFS($H$2:$H$260,$A$2:$A$260,$A130,$B$2:$B$260,$B130,$E$2:$E$260,"&lt;="&amp;$E130)</f>
        <v>601</v>
      </c>
      <c r="K130" s="18" t="n">
        <f aca="false">SUMIFS($I$2:$I$260,$A$2:$A$260,$A130,$B$2:$B$260,$B130,$E$2:$E$260,"&lt;="&amp;$E130)</f>
        <v>332</v>
      </c>
      <c r="L130" s="18" t="n">
        <f aca="false">J130-K130</f>
        <v>269</v>
      </c>
      <c r="M130" s="18" t="n">
        <f aca="false">SUMIFS($H$2:$H$260,$A$2:$A$260,$A130,$B$2:$B$260,$B130)</f>
        <v>643</v>
      </c>
      <c r="N130" s="20" t="n">
        <f aca="false">IF(M130=0,"",L130/M130)</f>
        <v>0.418351477449456</v>
      </c>
      <c r="O130" s="18" t="s">
        <v>617</v>
      </c>
    </row>
    <row r="131" customFormat="false" ht="15" hidden="false" customHeight="true" outlineLevel="0" collapsed="false">
      <c r="A131" s="18" t="s">
        <v>313</v>
      </c>
      <c r="B131" s="18" t="s">
        <v>616</v>
      </c>
      <c r="C131" s="18" t="s">
        <v>609</v>
      </c>
      <c r="D131" s="18" t="s">
        <v>610</v>
      </c>
      <c r="E131" s="18" t="n">
        <v>13</v>
      </c>
      <c r="F131" s="18" t="s">
        <v>403</v>
      </c>
      <c r="G131" s="18" t="n">
        <v>-30</v>
      </c>
      <c r="H131" s="18" t="n">
        <v>14</v>
      </c>
      <c r="I131" s="18" t="n">
        <v>76</v>
      </c>
      <c r="J131" s="18" t="n">
        <f aca="false">SUMIFS($H$2:$H$260,$A$2:$A$260,$A131,$B$2:$B$260,$B131,$E$2:$E$260,"&lt;="&amp;$E131)</f>
        <v>615</v>
      </c>
      <c r="K131" s="18" t="n">
        <f aca="false">SUMIFS($I$2:$I$260,$A$2:$A$260,$A131,$B$2:$B$260,$B131,$E$2:$E$260,"&lt;="&amp;$E131)</f>
        <v>408</v>
      </c>
      <c r="L131" s="18" t="n">
        <f aca="false">J131-K131</f>
        <v>207</v>
      </c>
      <c r="M131" s="18" t="n">
        <f aca="false">SUMIFS($H$2:$H$260,$A$2:$A$260,$A131,$B$2:$B$260,$B131)</f>
        <v>643</v>
      </c>
      <c r="N131" s="20" t="n">
        <f aca="false">IF(M131=0,"",L131/M131)</f>
        <v>0.321928460342146</v>
      </c>
      <c r="O131" s="18" t="s">
        <v>617</v>
      </c>
    </row>
    <row r="132" customFormat="false" ht="15" hidden="false" customHeight="true" outlineLevel="0" collapsed="false">
      <c r="A132" s="18" t="s">
        <v>313</v>
      </c>
      <c r="B132" s="18" t="s">
        <v>616</v>
      </c>
      <c r="C132" s="18" t="s">
        <v>609</v>
      </c>
      <c r="D132" s="18" t="s">
        <v>610</v>
      </c>
      <c r="E132" s="18" t="n">
        <v>14</v>
      </c>
      <c r="F132" s="18" t="s">
        <v>529</v>
      </c>
      <c r="G132" s="18" t="n">
        <v>-15</v>
      </c>
      <c r="H132" s="18" t="n">
        <v>16</v>
      </c>
      <c r="I132" s="18" t="n">
        <v>64</v>
      </c>
      <c r="J132" s="18" t="n">
        <f aca="false">SUMIFS($H$2:$H$260,$A$2:$A$260,$A132,$B$2:$B$260,$B132,$E$2:$E$260,"&lt;="&amp;$E132)</f>
        <v>631</v>
      </c>
      <c r="K132" s="18" t="n">
        <f aca="false">SUMIFS($I$2:$I$260,$A$2:$A$260,$A132,$B$2:$B$260,$B132,$E$2:$E$260,"&lt;="&amp;$E132)</f>
        <v>472</v>
      </c>
      <c r="L132" s="18" t="n">
        <f aca="false">J132-K132</f>
        <v>159</v>
      </c>
      <c r="M132" s="18" t="n">
        <f aca="false">SUMIFS($H$2:$H$260,$A$2:$A$260,$A132,$B$2:$B$260,$B132)</f>
        <v>643</v>
      </c>
      <c r="N132" s="20" t="n">
        <f aca="false">IF(M132=0,"",L132/M132)</f>
        <v>0.247278382581649</v>
      </c>
      <c r="O132" s="18" t="s">
        <v>617</v>
      </c>
    </row>
    <row r="133" customFormat="false" ht="15" hidden="false" customHeight="true" outlineLevel="0" collapsed="false">
      <c r="A133" s="18" t="s">
        <v>313</v>
      </c>
      <c r="B133" s="18" t="s">
        <v>616</v>
      </c>
      <c r="C133" s="18" t="s">
        <v>609</v>
      </c>
      <c r="D133" s="18" t="s">
        <v>610</v>
      </c>
      <c r="E133" s="18" t="n">
        <v>15</v>
      </c>
      <c r="F133" s="18" t="s">
        <v>463</v>
      </c>
      <c r="G133" s="18" t="n">
        <v>0</v>
      </c>
      <c r="H133" s="18" t="n">
        <v>7</v>
      </c>
      <c r="I133" s="18" t="n">
        <v>54</v>
      </c>
      <c r="J133" s="18" t="n">
        <f aca="false">SUMIFS($H$2:$H$260,$A$2:$A$260,$A133,$B$2:$B$260,$B133,$E$2:$E$260,"&lt;="&amp;$E133)</f>
        <v>638</v>
      </c>
      <c r="K133" s="18" t="n">
        <f aca="false">SUMIFS($I$2:$I$260,$A$2:$A$260,$A133,$B$2:$B$260,$B133,$E$2:$E$260,"&lt;="&amp;$E133)</f>
        <v>526</v>
      </c>
      <c r="L133" s="18" t="n">
        <f aca="false">J133-K133</f>
        <v>112</v>
      </c>
      <c r="M133" s="18" t="n">
        <f aca="false">SUMIFS($H$2:$H$260,$A$2:$A$260,$A133,$B$2:$B$260,$B133)</f>
        <v>643</v>
      </c>
      <c r="N133" s="20" t="n">
        <f aca="false">IF(M133=0,"",L133/M133)</f>
        <v>0.174183514774495</v>
      </c>
      <c r="O133" s="18" t="s">
        <v>617</v>
      </c>
    </row>
    <row r="134" customFormat="false" ht="15" hidden="false" customHeight="true" outlineLevel="0" collapsed="false">
      <c r="A134" s="18" t="s">
        <v>313</v>
      </c>
      <c r="B134" s="18" t="s">
        <v>616</v>
      </c>
      <c r="C134" s="18" t="s">
        <v>609</v>
      </c>
      <c r="D134" s="18" t="s">
        <v>610</v>
      </c>
      <c r="E134" s="18" t="n">
        <v>16</v>
      </c>
      <c r="F134" s="18" t="s">
        <v>366</v>
      </c>
      <c r="G134" s="18" t="n">
        <v>15</v>
      </c>
      <c r="H134" s="18" t="n">
        <v>3</v>
      </c>
      <c r="I134" s="18" t="n">
        <v>30</v>
      </c>
      <c r="J134" s="18" t="n">
        <f aca="false">SUMIFS($H$2:$H$260,$A$2:$A$260,$A134,$B$2:$B$260,$B134,$E$2:$E$260,"&lt;="&amp;$E134)</f>
        <v>641</v>
      </c>
      <c r="K134" s="18" t="n">
        <f aca="false">SUMIFS($I$2:$I$260,$A$2:$A$260,$A134,$B$2:$B$260,$B134,$E$2:$E$260,"&lt;="&amp;$E134)</f>
        <v>556</v>
      </c>
      <c r="L134" s="18" t="n">
        <f aca="false">J134-K134</f>
        <v>85</v>
      </c>
      <c r="M134" s="18" t="n">
        <f aca="false">SUMIFS($H$2:$H$260,$A$2:$A$260,$A134,$B$2:$B$260,$B134)</f>
        <v>643</v>
      </c>
      <c r="N134" s="20" t="n">
        <f aca="false">IF(M134=0,"",L134/M134)</f>
        <v>0.132192846034215</v>
      </c>
      <c r="O134" s="18" t="s">
        <v>617</v>
      </c>
    </row>
    <row r="135" customFormat="false" ht="15" hidden="false" customHeight="true" outlineLevel="0" collapsed="false">
      <c r="A135" s="18" t="s">
        <v>313</v>
      </c>
      <c r="B135" s="18" t="s">
        <v>616</v>
      </c>
      <c r="C135" s="18" t="s">
        <v>609</v>
      </c>
      <c r="D135" s="18" t="s">
        <v>610</v>
      </c>
      <c r="E135" s="18" t="n">
        <v>17</v>
      </c>
      <c r="F135" s="18" t="s">
        <v>326</v>
      </c>
      <c r="G135" s="18" t="n">
        <v>30</v>
      </c>
      <c r="H135" s="18" t="n">
        <v>2</v>
      </c>
      <c r="I135" s="18" t="n">
        <v>18</v>
      </c>
      <c r="J135" s="18" t="n">
        <f aca="false">SUMIFS($H$2:$H$260,$A$2:$A$260,$A135,$B$2:$B$260,$B135,$E$2:$E$260,"&lt;="&amp;$E135)</f>
        <v>643</v>
      </c>
      <c r="K135" s="18" t="n">
        <f aca="false">SUMIFS($I$2:$I$260,$A$2:$A$260,$A135,$B$2:$B$260,$B135,$E$2:$E$260,"&lt;="&amp;$E135)</f>
        <v>574</v>
      </c>
      <c r="L135" s="18" t="n">
        <f aca="false">J135-K135</f>
        <v>69</v>
      </c>
      <c r="M135" s="18" t="n">
        <f aca="false">SUMIFS($H$2:$H$260,$A$2:$A$260,$A135,$B$2:$B$260,$B135)</f>
        <v>643</v>
      </c>
      <c r="N135" s="20" t="n">
        <f aca="false">IF(M135=0,"",L135/M135)</f>
        <v>0.107309486780715</v>
      </c>
      <c r="O135" s="18" t="s">
        <v>617</v>
      </c>
    </row>
    <row r="136" customFormat="false" ht="15" hidden="false" customHeight="true" outlineLevel="0" collapsed="false">
      <c r="A136" s="18" t="s">
        <v>313</v>
      </c>
      <c r="B136" s="18" t="s">
        <v>616</v>
      </c>
      <c r="C136" s="18" t="s">
        <v>609</v>
      </c>
      <c r="D136" s="18" t="s">
        <v>610</v>
      </c>
      <c r="E136" s="18" t="n">
        <v>18</v>
      </c>
      <c r="F136" s="18" t="s">
        <v>226</v>
      </c>
      <c r="G136" s="18" t="n">
        <v>45</v>
      </c>
      <c r="H136" s="18" t="n">
        <v>0</v>
      </c>
      <c r="I136" s="18" t="n">
        <v>16</v>
      </c>
      <c r="J136" s="18" t="n">
        <f aca="false">SUMIFS($H$2:$H$260,$A$2:$A$260,$A136,$B$2:$B$260,$B136,$E$2:$E$260,"&lt;="&amp;$E136)</f>
        <v>643</v>
      </c>
      <c r="K136" s="18" t="n">
        <f aca="false">SUMIFS($I$2:$I$260,$A$2:$A$260,$A136,$B$2:$B$260,$B136,$E$2:$E$260,"&lt;="&amp;$E136)</f>
        <v>590</v>
      </c>
      <c r="L136" s="18" t="n">
        <f aca="false">J136-K136</f>
        <v>53</v>
      </c>
      <c r="M136" s="18" t="n">
        <f aca="false">SUMIFS($H$2:$H$260,$A$2:$A$260,$A136,$B$2:$B$260,$B136)</f>
        <v>643</v>
      </c>
      <c r="N136" s="20" t="n">
        <f aca="false">IF(M136=0,"",L136/M136)</f>
        <v>0.0824261275272162</v>
      </c>
      <c r="O136" s="18" t="s">
        <v>617</v>
      </c>
    </row>
    <row r="137" customFormat="false" ht="15" hidden="false" customHeight="true" outlineLevel="0" collapsed="false">
      <c r="A137" s="18" t="s">
        <v>313</v>
      </c>
      <c r="B137" s="18" t="s">
        <v>619</v>
      </c>
      <c r="C137" s="18" t="s">
        <v>609</v>
      </c>
      <c r="D137" s="18" t="s">
        <v>610</v>
      </c>
      <c r="E137" s="18" t="n">
        <v>0</v>
      </c>
      <c r="F137" s="18" t="s">
        <v>204</v>
      </c>
      <c r="G137" s="18"/>
      <c r="H137" s="18" t="n">
        <v>25</v>
      </c>
      <c r="I137" s="18" t="n">
        <v>1</v>
      </c>
      <c r="J137" s="18" t="n">
        <f aca="false">SUMIFS($H$2:$H$260,$A$2:$A$260,$A137,$B$2:$B$260,$B137,$E$2:$E$260,"&lt;="&amp;$E137)</f>
        <v>25</v>
      </c>
      <c r="K137" s="18" t="n">
        <f aca="false">SUMIFS($I$2:$I$260,$A$2:$A$260,$A137,$B$2:$B$260,$B137,$E$2:$E$260,"&lt;="&amp;$E137)</f>
        <v>1</v>
      </c>
      <c r="L137" s="18" t="n">
        <f aca="false">J137-K137</f>
        <v>24</v>
      </c>
      <c r="M137" s="18" t="n">
        <f aca="false">SUMIFS($H$2:$H$260,$A$2:$A$260,$A137,$B$2:$B$260,$B137)</f>
        <v>762</v>
      </c>
      <c r="N137" s="20" t="n">
        <f aca="false">IF(M137=0,"",L137/M137)</f>
        <v>0.031496062992126</v>
      </c>
      <c r="O137" s="18" t="s">
        <v>124</v>
      </c>
    </row>
    <row r="138" customFormat="false" ht="15" hidden="false" customHeight="true" outlineLevel="0" collapsed="false">
      <c r="A138" s="18" t="s">
        <v>313</v>
      </c>
      <c r="B138" s="18" t="s">
        <v>619</v>
      </c>
      <c r="C138" s="18" t="s">
        <v>609</v>
      </c>
      <c r="D138" s="18" t="s">
        <v>610</v>
      </c>
      <c r="E138" s="18" t="n">
        <v>1</v>
      </c>
      <c r="F138" s="18" t="s">
        <v>531</v>
      </c>
      <c r="G138" s="18" t="n">
        <v>-210</v>
      </c>
      <c r="H138" s="18" t="n">
        <v>15</v>
      </c>
      <c r="I138" s="18" t="n">
        <v>3</v>
      </c>
      <c r="J138" s="18" t="n">
        <f aca="false">SUMIFS($H$2:$H$260,$A$2:$A$260,$A138,$B$2:$B$260,$B138,$E$2:$E$260,"&lt;="&amp;$E138)</f>
        <v>40</v>
      </c>
      <c r="K138" s="18" t="n">
        <f aca="false">SUMIFS($I$2:$I$260,$A$2:$A$260,$A138,$B$2:$B$260,$B138,$E$2:$E$260,"&lt;="&amp;$E138)</f>
        <v>4</v>
      </c>
      <c r="L138" s="18" t="n">
        <f aca="false">J138-K138</f>
        <v>36</v>
      </c>
      <c r="M138" s="18" t="n">
        <f aca="false">SUMIFS($H$2:$H$260,$A$2:$A$260,$A138,$B$2:$B$260,$B138)</f>
        <v>762</v>
      </c>
      <c r="N138" s="20" t="n">
        <f aca="false">IF(M138=0,"",L138/M138)</f>
        <v>0.047244094488189</v>
      </c>
      <c r="O138" s="18" t="s">
        <v>124</v>
      </c>
    </row>
    <row r="139" customFormat="false" ht="15" hidden="false" customHeight="true" outlineLevel="0" collapsed="false">
      <c r="A139" s="18" t="s">
        <v>313</v>
      </c>
      <c r="B139" s="18" t="s">
        <v>619</v>
      </c>
      <c r="C139" s="18" t="s">
        <v>609</v>
      </c>
      <c r="D139" s="18" t="s">
        <v>610</v>
      </c>
      <c r="E139" s="18" t="n">
        <v>2</v>
      </c>
      <c r="F139" s="18" t="s">
        <v>340</v>
      </c>
      <c r="G139" s="18" t="n">
        <v>-195</v>
      </c>
      <c r="H139" s="18" t="n">
        <v>60</v>
      </c>
      <c r="I139" s="18" t="n">
        <v>4</v>
      </c>
      <c r="J139" s="18" t="n">
        <f aca="false">SUMIFS($H$2:$H$260,$A$2:$A$260,$A139,$B$2:$B$260,$B139,$E$2:$E$260,"&lt;="&amp;$E139)</f>
        <v>100</v>
      </c>
      <c r="K139" s="18" t="n">
        <f aca="false">SUMIFS($I$2:$I$260,$A$2:$A$260,$A139,$B$2:$B$260,$B139,$E$2:$E$260,"&lt;="&amp;$E139)</f>
        <v>8</v>
      </c>
      <c r="L139" s="18" t="n">
        <f aca="false">J139-K139</f>
        <v>92</v>
      </c>
      <c r="M139" s="18" t="n">
        <f aca="false">SUMIFS($H$2:$H$260,$A$2:$A$260,$A139,$B$2:$B$260,$B139)</f>
        <v>762</v>
      </c>
      <c r="N139" s="20" t="n">
        <f aca="false">IF(M139=0,"",L139/M139)</f>
        <v>0.120734908136483</v>
      </c>
      <c r="O139" s="18" t="s">
        <v>124</v>
      </c>
    </row>
    <row r="140" customFormat="false" ht="15" hidden="false" customHeight="true" outlineLevel="0" collapsed="false">
      <c r="A140" s="18" t="s">
        <v>313</v>
      </c>
      <c r="B140" s="18" t="s">
        <v>619</v>
      </c>
      <c r="C140" s="18" t="s">
        <v>609</v>
      </c>
      <c r="D140" s="18" t="s">
        <v>610</v>
      </c>
      <c r="E140" s="18" t="n">
        <v>3</v>
      </c>
      <c r="F140" s="18" t="s">
        <v>525</v>
      </c>
      <c r="G140" s="18" t="n">
        <v>-180</v>
      </c>
      <c r="H140" s="18" t="n">
        <v>65</v>
      </c>
      <c r="I140" s="18" t="n">
        <v>11</v>
      </c>
      <c r="J140" s="18" t="n">
        <f aca="false">SUMIFS($H$2:$H$260,$A$2:$A$260,$A140,$B$2:$B$260,$B140,$E$2:$E$260,"&lt;="&amp;$E140)</f>
        <v>165</v>
      </c>
      <c r="K140" s="18" t="n">
        <f aca="false">SUMIFS($I$2:$I$260,$A$2:$A$260,$A140,$B$2:$B$260,$B140,$E$2:$E$260,"&lt;="&amp;$E140)</f>
        <v>19</v>
      </c>
      <c r="L140" s="18" t="n">
        <f aca="false">J140-K140</f>
        <v>146</v>
      </c>
      <c r="M140" s="18" t="n">
        <f aca="false">SUMIFS($H$2:$H$260,$A$2:$A$260,$A140,$B$2:$B$260,$B140)</f>
        <v>762</v>
      </c>
      <c r="N140" s="20" t="n">
        <f aca="false">IF(M140=0,"",L140/M140)</f>
        <v>0.191601049868766</v>
      </c>
      <c r="O140" s="18" t="s">
        <v>124</v>
      </c>
    </row>
    <row r="141" customFormat="false" ht="15" hidden="false" customHeight="true" outlineLevel="0" collapsed="false">
      <c r="A141" s="18" t="s">
        <v>313</v>
      </c>
      <c r="B141" s="18" t="s">
        <v>619</v>
      </c>
      <c r="C141" s="18" t="s">
        <v>609</v>
      </c>
      <c r="D141" s="18" t="s">
        <v>610</v>
      </c>
      <c r="E141" s="18" t="n">
        <v>4</v>
      </c>
      <c r="F141" s="18" t="s">
        <v>526</v>
      </c>
      <c r="G141" s="18" t="n">
        <v>-165</v>
      </c>
      <c r="H141" s="18" t="n">
        <v>79</v>
      </c>
      <c r="I141" s="18" t="n">
        <v>5</v>
      </c>
      <c r="J141" s="18" t="n">
        <f aca="false">SUMIFS($H$2:$H$260,$A$2:$A$260,$A141,$B$2:$B$260,$B141,$E$2:$E$260,"&lt;="&amp;$E141)</f>
        <v>244</v>
      </c>
      <c r="K141" s="18" t="n">
        <f aca="false">SUMIFS($I$2:$I$260,$A$2:$A$260,$A141,$B$2:$B$260,$B141,$E$2:$E$260,"&lt;="&amp;$E141)</f>
        <v>24</v>
      </c>
      <c r="L141" s="18" t="n">
        <f aca="false">J141-K141</f>
        <v>220</v>
      </c>
      <c r="M141" s="18" t="n">
        <f aca="false">SUMIFS($H$2:$H$260,$A$2:$A$260,$A141,$B$2:$B$260,$B141)</f>
        <v>762</v>
      </c>
      <c r="N141" s="20" t="n">
        <f aca="false">IF(M141=0,"",L141/M141)</f>
        <v>0.288713910761155</v>
      </c>
      <c r="O141" s="18" t="s">
        <v>124</v>
      </c>
    </row>
    <row r="142" customFormat="false" ht="15" hidden="false" customHeight="true" outlineLevel="0" collapsed="false">
      <c r="A142" s="18" t="s">
        <v>313</v>
      </c>
      <c r="B142" s="18" t="s">
        <v>619</v>
      </c>
      <c r="C142" s="18" t="s">
        <v>609</v>
      </c>
      <c r="D142" s="18" t="s">
        <v>610</v>
      </c>
      <c r="E142" s="18" t="n">
        <v>5</v>
      </c>
      <c r="F142" s="18" t="s">
        <v>527</v>
      </c>
      <c r="G142" s="18" t="n">
        <v>-150</v>
      </c>
      <c r="H142" s="18" t="n">
        <v>89</v>
      </c>
      <c r="I142" s="18" t="n">
        <v>3</v>
      </c>
      <c r="J142" s="18" t="n">
        <f aca="false">SUMIFS($H$2:$H$260,$A$2:$A$260,$A142,$B$2:$B$260,$B142,$E$2:$E$260,"&lt;="&amp;$E142)</f>
        <v>333</v>
      </c>
      <c r="K142" s="18" t="n">
        <f aca="false">SUMIFS($I$2:$I$260,$A$2:$A$260,$A142,$B$2:$B$260,$B142,$E$2:$E$260,"&lt;="&amp;$E142)</f>
        <v>27</v>
      </c>
      <c r="L142" s="18" t="n">
        <f aca="false">J142-K142</f>
        <v>306</v>
      </c>
      <c r="M142" s="18" t="n">
        <f aca="false">SUMIFS($H$2:$H$260,$A$2:$A$260,$A142,$B$2:$B$260,$B142)</f>
        <v>762</v>
      </c>
      <c r="N142" s="20" t="n">
        <f aca="false">IF(M142=0,"",L142/M142)</f>
        <v>0.401574803149606</v>
      </c>
      <c r="O142" s="18" t="s">
        <v>124</v>
      </c>
    </row>
    <row r="143" customFormat="false" ht="15" hidden="false" customHeight="true" outlineLevel="0" collapsed="false">
      <c r="A143" s="18" t="s">
        <v>313</v>
      </c>
      <c r="B143" s="18" t="s">
        <v>619</v>
      </c>
      <c r="C143" s="18" t="s">
        <v>609</v>
      </c>
      <c r="D143" s="18" t="s">
        <v>610</v>
      </c>
      <c r="E143" s="18" t="n">
        <v>6</v>
      </c>
      <c r="F143" s="18" t="s">
        <v>528</v>
      </c>
      <c r="G143" s="18" t="n">
        <v>-135</v>
      </c>
      <c r="H143" s="18" t="n">
        <v>77</v>
      </c>
      <c r="I143" s="18" t="n">
        <v>10</v>
      </c>
      <c r="J143" s="18" t="n">
        <f aca="false">SUMIFS($H$2:$H$260,$A$2:$A$260,$A143,$B$2:$B$260,$B143,$E$2:$E$260,"&lt;="&amp;$E143)</f>
        <v>410</v>
      </c>
      <c r="K143" s="18" t="n">
        <f aca="false">SUMIFS($I$2:$I$260,$A$2:$A$260,$A143,$B$2:$B$260,$B143,$E$2:$E$260,"&lt;="&amp;$E143)</f>
        <v>37</v>
      </c>
      <c r="L143" s="18" t="n">
        <f aca="false">J143-K143</f>
        <v>373</v>
      </c>
      <c r="M143" s="18" t="n">
        <f aca="false">SUMIFS($H$2:$H$260,$A$2:$A$260,$A143,$B$2:$B$260,$B143)</f>
        <v>762</v>
      </c>
      <c r="N143" s="20" t="n">
        <f aca="false">IF(M143=0,"",L143/M143)</f>
        <v>0.489501312335958</v>
      </c>
      <c r="O143" s="18" t="s">
        <v>124</v>
      </c>
    </row>
    <row r="144" customFormat="false" ht="15" hidden="false" customHeight="true" outlineLevel="0" collapsed="false">
      <c r="A144" s="18" t="s">
        <v>313</v>
      </c>
      <c r="B144" s="18" t="s">
        <v>619</v>
      </c>
      <c r="C144" s="18" t="s">
        <v>609</v>
      </c>
      <c r="D144" s="18" t="s">
        <v>610</v>
      </c>
      <c r="E144" s="18" t="n">
        <v>7</v>
      </c>
      <c r="F144" s="18" t="s">
        <v>227</v>
      </c>
      <c r="G144" s="18" t="n">
        <v>-120</v>
      </c>
      <c r="H144" s="18" t="n">
        <v>76</v>
      </c>
      <c r="I144" s="18" t="n">
        <v>23</v>
      </c>
      <c r="J144" s="18" t="n">
        <f aca="false">SUMIFS($H$2:$H$260,$A$2:$A$260,$A144,$B$2:$B$260,$B144,$E$2:$E$260,"&lt;="&amp;$E144)</f>
        <v>486</v>
      </c>
      <c r="K144" s="18" t="n">
        <f aca="false">SUMIFS($I$2:$I$260,$A$2:$A$260,$A144,$B$2:$B$260,$B144,$E$2:$E$260,"&lt;="&amp;$E144)</f>
        <v>60</v>
      </c>
      <c r="L144" s="18" t="n">
        <f aca="false">J144-K144</f>
        <v>426</v>
      </c>
      <c r="M144" s="18" t="n">
        <f aca="false">SUMIFS($H$2:$H$260,$A$2:$A$260,$A144,$B$2:$B$260,$B144)</f>
        <v>762</v>
      </c>
      <c r="N144" s="20" t="n">
        <f aca="false">IF(M144=0,"",L144/M144)</f>
        <v>0.559055118110236</v>
      </c>
      <c r="O144" s="18" t="s">
        <v>124</v>
      </c>
    </row>
    <row r="145" customFormat="false" ht="15" hidden="false" customHeight="true" outlineLevel="0" collapsed="false">
      <c r="A145" s="18" t="s">
        <v>313</v>
      </c>
      <c r="B145" s="18" t="s">
        <v>619</v>
      </c>
      <c r="C145" s="18" t="s">
        <v>609</v>
      </c>
      <c r="D145" s="18" t="s">
        <v>610</v>
      </c>
      <c r="E145" s="18" t="n">
        <v>8</v>
      </c>
      <c r="F145" s="18" t="s">
        <v>241</v>
      </c>
      <c r="G145" s="18" t="n">
        <v>-105</v>
      </c>
      <c r="H145" s="18" t="n">
        <v>75</v>
      </c>
      <c r="I145" s="18" t="n">
        <v>39</v>
      </c>
      <c r="J145" s="18" t="n">
        <f aca="false">SUMIFS($H$2:$H$260,$A$2:$A$260,$A145,$B$2:$B$260,$B145,$E$2:$E$260,"&lt;="&amp;$E145)</f>
        <v>561</v>
      </c>
      <c r="K145" s="18" t="n">
        <f aca="false">SUMIFS($I$2:$I$260,$A$2:$A$260,$A145,$B$2:$B$260,$B145,$E$2:$E$260,"&lt;="&amp;$E145)</f>
        <v>99</v>
      </c>
      <c r="L145" s="18" t="n">
        <f aca="false">J145-K145</f>
        <v>462</v>
      </c>
      <c r="M145" s="18" t="n">
        <f aca="false">SUMIFS($H$2:$H$260,$A$2:$A$260,$A145,$B$2:$B$260,$B145)</f>
        <v>762</v>
      </c>
      <c r="N145" s="20" t="n">
        <f aca="false">IF(M145=0,"",L145/M145)</f>
        <v>0.606299212598425</v>
      </c>
      <c r="O145" s="18" t="s">
        <v>124</v>
      </c>
    </row>
    <row r="146" customFormat="false" ht="15" hidden="false" customHeight="true" outlineLevel="0" collapsed="false">
      <c r="A146" s="18" t="s">
        <v>313</v>
      </c>
      <c r="B146" s="18" t="s">
        <v>619</v>
      </c>
      <c r="C146" s="18" t="s">
        <v>609</v>
      </c>
      <c r="D146" s="18" t="s">
        <v>610</v>
      </c>
      <c r="E146" s="18" t="n">
        <v>9</v>
      </c>
      <c r="F146" s="18" t="s">
        <v>279</v>
      </c>
      <c r="G146" s="18" t="n">
        <v>-90</v>
      </c>
      <c r="H146" s="18" t="n">
        <v>62</v>
      </c>
      <c r="I146" s="18" t="n">
        <v>68</v>
      </c>
      <c r="J146" s="18" t="n">
        <f aca="false">SUMIFS($H$2:$H$260,$A$2:$A$260,$A146,$B$2:$B$260,$B146,$E$2:$E$260,"&lt;="&amp;$E146)</f>
        <v>623</v>
      </c>
      <c r="K146" s="18" t="n">
        <f aca="false">SUMIFS($I$2:$I$260,$A$2:$A$260,$A146,$B$2:$B$260,$B146,$E$2:$E$260,"&lt;="&amp;$E146)</f>
        <v>167</v>
      </c>
      <c r="L146" s="18" t="n">
        <f aca="false">J146-K146</f>
        <v>456</v>
      </c>
      <c r="M146" s="18" t="n">
        <f aca="false">SUMIFS($H$2:$H$260,$A$2:$A$260,$A146,$B$2:$B$260,$B146)</f>
        <v>762</v>
      </c>
      <c r="N146" s="20" t="n">
        <f aca="false">IF(M146=0,"",L146/M146)</f>
        <v>0.598425196850394</v>
      </c>
      <c r="O146" s="18" t="s">
        <v>124</v>
      </c>
    </row>
    <row r="147" customFormat="false" ht="15" hidden="false" customHeight="true" outlineLevel="0" collapsed="false">
      <c r="A147" s="18" t="s">
        <v>313</v>
      </c>
      <c r="B147" s="18" t="s">
        <v>619</v>
      </c>
      <c r="C147" s="18" t="s">
        <v>609</v>
      </c>
      <c r="D147" s="18" t="s">
        <v>610</v>
      </c>
      <c r="E147" s="18" t="n">
        <v>10</v>
      </c>
      <c r="F147" s="18" t="s">
        <v>206</v>
      </c>
      <c r="G147" s="18" t="n">
        <v>-75</v>
      </c>
      <c r="H147" s="18" t="n">
        <v>35</v>
      </c>
      <c r="I147" s="18" t="n">
        <v>71</v>
      </c>
      <c r="J147" s="18" t="n">
        <f aca="false">SUMIFS($H$2:$H$260,$A$2:$A$260,$A147,$B$2:$B$260,$B147,$E$2:$E$260,"&lt;="&amp;$E147)</f>
        <v>658</v>
      </c>
      <c r="K147" s="18" t="n">
        <f aca="false">SUMIFS($I$2:$I$260,$A$2:$A$260,$A147,$B$2:$B$260,$B147,$E$2:$E$260,"&lt;="&amp;$E147)</f>
        <v>238</v>
      </c>
      <c r="L147" s="18" t="n">
        <f aca="false">J147-K147</f>
        <v>420</v>
      </c>
      <c r="M147" s="18" t="n">
        <f aca="false">SUMIFS($H$2:$H$260,$A$2:$A$260,$A147,$B$2:$B$260,$B147)</f>
        <v>762</v>
      </c>
      <c r="N147" s="20" t="n">
        <f aca="false">IF(M147=0,"",L147/M147)</f>
        <v>0.551181102362205</v>
      </c>
      <c r="O147" s="18" t="s">
        <v>124</v>
      </c>
    </row>
    <row r="148" customFormat="false" ht="15" hidden="false" customHeight="true" outlineLevel="0" collapsed="false">
      <c r="A148" s="18" t="s">
        <v>313</v>
      </c>
      <c r="B148" s="18" t="s">
        <v>619</v>
      </c>
      <c r="C148" s="18" t="s">
        <v>609</v>
      </c>
      <c r="D148" s="18" t="s">
        <v>610</v>
      </c>
      <c r="E148" s="18" t="n">
        <v>11</v>
      </c>
      <c r="F148" s="18" t="s">
        <v>246</v>
      </c>
      <c r="G148" s="18" t="n">
        <v>-60</v>
      </c>
      <c r="H148" s="18" t="n">
        <v>38</v>
      </c>
      <c r="I148" s="18" t="n">
        <v>97</v>
      </c>
      <c r="J148" s="18" t="n">
        <f aca="false">SUMIFS($H$2:$H$260,$A$2:$A$260,$A148,$B$2:$B$260,$B148,$E$2:$E$260,"&lt;="&amp;$E148)</f>
        <v>696</v>
      </c>
      <c r="K148" s="18" t="n">
        <f aca="false">SUMIFS($I$2:$I$260,$A$2:$A$260,$A148,$B$2:$B$260,$B148,$E$2:$E$260,"&lt;="&amp;$E148)</f>
        <v>335</v>
      </c>
      <c r="L148" s="18" t="n">
        <f aca="false">J148-K148</f>
        <v>361</v>
      </c>
      <c r="M148" s="18" t="n">
        <f aca="false">SUMIFS($H$2:$H$260,$A$2:$A$260,$A148,$B$2:$B$260,$B148)</f>
        <v>762</v>
      </c>
      <c r="N148" s="20" t="n">
        <f aca="false">IF(M148=0,"",L148/M148)</f>
        <v>0.473753280839895</v>
      </c>
      <c r="O148" s="18" t="s">
        <v>124</v>
      </c>
    </row>
    <row r="149" customFormat="false" ht="15" hidden="false" customHeight="true" outlineLevel="0" collapsed="false">
      <c r="A149" s="18" t="s">
        <v>313</v>
      </c>
      <c r="B149" s="18" t="s">
        <v>619</v>
      </c>
      <c r="C149" s="18" t="s">
        <v>609</v>
      </c>
      <c r="D149" s="18" t="s">
        <v>610</v>
      </c>
      <c r="E149" s="18" t="n">
        <v>12</v>
      </c>
      <c r="F149" s="18" t="s">
        <v>254</v>
      </c>
      <c r="G149" s="18" t="n">
        <v>-45</v>
      </c>
      <c r="H149" s="18" t="n">
        <v>22</v>
      </c>
      <c r="I149" s="18" t="n">
        <v>85</v>
      </c>
      <c r="J149" s="18" t="n">
        <f aca="false">SUMIFS($H$2:$H$260,$A$2:$A$260,$A149,$B$2:$B$260,$B149,$E$2:$E$260,"&lt;="&amp;$E149)</f>
        <v>718</v>
      </c>
      <c r="K149" s="18" t="n">
        <f aca="false">SUMIFS($I$2:$I$260,$A$2:$A$260,$A149,$B$2:$B$260,$B149,$E$2:$E$260,"&lt;="&amp;$E149)</f>
        <v>420</v>
      </c>
      <c r="L149" s="18" t="n">
        <f aca="false">J149-K149</f>
        <v>298</v>
      </c>
      <c r="M149" s="18" t="n">
        <f aca="false">SUMIFS($H$2:$H$260,$A$2:$A$260,$A149,$B$2:$B$260,$B149)</f>
        <v>762</v>
      </c>
      <c r="N149" s="20" t="n">
        <f aca="false">IF(M149=0,"",L149/M149)</f>
        <v>0.391076115485564</v>
      </c>
      <c r="O149" s="18" t="s">
        <v>124</v>
      </c>
    </row>
    <row r="150" customFormat="false" ht="15" hidden="false" customHeight="true" outlineLevel="0" collapsed="false">
      <c r="A150" s="18" t="s">
        <v>313</v>
      </c>
      <c r="B150" s="18" t="s">
        <v>619</v>
      </c>
      <c r="C150" s="18" t="s">
        <v>609</v>
      </c>
      <c r="D150" s="18" t="s">
        <v>610</v>
      </c>
      <c r="E150" s="18" t="n">
        <v>13</v>
      </c>
      <c r="F150" s="18" t="s">
        <v>403</v>
      </c>
      <c r="G150" s="18" t="n">
        <v>-30</v>
      </c>
      <c r="H150" s="18" t="n">
        <v>15</v>
      </c>
      <c r="I150" s="18" t="n">
        <v>83</v>
      </c>
      <c r="J150" s="18" t="n">
        <f aca="false">SUMIFS($H$2:$H$260,$A$2:$A$260,$A150,$B$2:$B$260,$B150,$E$2:$E$260,"&lt;="&amp;$E150)</f>
        <v>733</v>
      </c>
      <c r="K150" s="18" t="n">
        <f aca="false">SUMIFS($I$2:$I$260,$A$2:$A$260,$A150,$B$2:$B$260,$B150,$E$2:$E$260,"&lt;="&amp;$E150)</f>
        <v>503</v>
      </c>
      <c r="L150" s="18" t="n">
        <f aca="false">J150-K150</f>
        <v>230</v>
      </c>
      <c r="M150" s="18" t="n">
        <f aca="false">SUMIFS($H$2:$H$260,$A$2:$A$260,$A150,$B$2:$B$260,$B150)</f>
        <v>762</v>
      </c>
      <c r="N150" s="20" t="n">
        <f aca="false">IF(M150=0,"",L150/M150)</f>
        <v>0.301837270341207</v>
      </c>
      <c r="O150" s="18" t="s">
        <v>124</v>
      </c>
    </row>
    <row r="151" customFormat="false" ht="15" hidden="false" customHeight="true" outlineLevel="0" collapsed="false">
      <c r="A151" s="18" t="s">
        <v>313</v>
      </c>
      <c r="B151" s="18" t="s">
        <v>619</v>
      </c>
      <c r="C151" s="18" t="s">
        <v>609</v>
      </c>
      <c r="D151" s="18" t="s">
        <v>610</v>
      </c>
      <c r="E151" s="18" t="n">
        <v>14</v>
      </c>
      <c r="F151" s="18" t="s">
        <v>529</v>
      </c>
      <c r="G151" s="18" t="n">
        <v>-15</v>
      </c>
      <c r="H151" s="18" t="n">
        <v>17</v>
      </c>
      <c r="I151" s="18" t="n">
        <v>67</v>
      </c>
      <c r="J151" s="18" t="n">
        <f aca="false">SUMIFS($H$2:$H$260,$A$2:$A$260,$A151,$B$2:$B$260,$B151,$E$2:$E$260,"&lt;="&amp;$E151)</f>
        <v>750</v>
      </c>
      <c r="K151" s="18" t="n">
        <f aca="false">SUMIFS($I$2:$I$260,$A$2:$A$260,$A151,$B$2:$B$260,$B151,$E$2:$E$260,"&lt;="&amp;$E151)</f>
        <v>570</v>
      </c>
      <c r="L151" s="18" t="n">
        <f aca="false">J151-K151</f>
        <v>180</v>
      </c>
      <c r="M151" s="18" t="n">
        <f aca="false">SUMIFS($H$2:$H$260,$A$2:$A$260,$A151,$B$2:$B$260,$B151)</f>
        <v>762</v>
      </c>
      <c r="N151" s="20" t="n">
        <f aca="false">IF(M151=0,"",L151/M151)</f>
        <v>0.236220472440945</v>
      </c>
      <c r="O151" s="18" t="s">
        <v>124</v>
      </c>
    </row>
    <row r="152" customFormat="false" ht="15" hidden="false" customHeight="true" outlineLevel="0" collapsed="false">
      <c r="A152" s="18" t="s">
        <v>313</v>
      </c>
      <c r="B152" s="18" t="s">
        <v>619</v>
      </c>
      <c r="C152" s="18" t="s">
        <v>609</v>
      </c>
      <c r="D152" s="18" t="s">
        <v>610</v>
      </c>
      <c r="E152" s="18" t="n">
        <v>15</v>
      </c>
      <c r="F152" s="18" t="s">
        <v>463</v>
      </c>
      <c r="G152" s="18" t="n">
        <v>0</v>
      </c>
      <c r="H152" s="18" t="n">
        <v>7</v>
      </c>
      <c r="I152" s="18" t="n">
        <v>62</v>
      </c>
      <c r="J152" s="18" t="n">
        <f aca="false">SUMIFS($H$2:$H$260,$A$2:$A$260,$A152,$B$2:$B$260,$B152,$E$2:$E$260,"&lt;="&amp;$E152)</f>
        <v>757</v>
      </c>
      <c r="K152" s="18" t="n">
        <f aca="false">SUMIFS($I$2:$I$260,$A$2:$A$260,$A152,$B$2:$B$260,$B152,$E$2:$E$260,"&lt;="&amp;$E152)</f>
        <v>632</v>
      </c>
      <c r="L152" s="18" t="n">
        <f aca="false">J152-K152</f>
        <v>125</v>
      </c>
      <c r="M152" s="18" t="n">
        <f aca="false">SUMIFS($H$2:$H$260,$A$2:$A$260,$A152,$B$2:$B$260,$B152)</f>
        <v>762</v>
      </c>
      <c r="N152" s="20" t="n">
        <f aca="false">IF(M152=0,"",L152/M152)</f>
        <v>0.164041994750656</v>
      </c>
      <c r="O152" s="18" t="s">
        <v>124</v>
      </c>
    </row>
    <row r="153" customFormat="false" ht="15" hidden="false" customHeight="true" outlineLevel="0" collapsed="false">
      <c r="A153" s="18" t="s">
        <v>313</v>
      </c>
      <c r="B153" s="18" t="s">
        <v>619</v>
      </c>
      <c r="C153" s="18" t="s">
        <v>609</v>
      </c>
      <c r="D153" s="18" t="s">
        <v>610</v>
      </c>
      <c r="E153" s="18" t="n">
        <v>16</v>
      </c>
      <c r="F153" s="18" t="s">
        <v>366</v>
      </c>
      <c r="G153" s="18" t="n">
        <v>15</v>
      </c>
      <c r="H153" s="18" t="n">
        <v>3</v>
      </c>
      <c r="I153" s="18" t="n">
        <v>30</v>
      </c>
      <c r="J153" s="18" t="n">
        <f aca="false">SUMIFS($H$2:$H$260,$A$2:$A$260,$A153,$B$2:$B$260,$B153,$E$2:$E$260,"&lt;="&amp;$E153)</f>
        <v>760</v>
      </c>
      <c r="K153" s="18" t="n">
        <f aca="false">SUMIFS($I$2:$I$260,$A$2:$A$260,$A153,$B$2:$B$260,$B153,$E$2:$E$260,"&lt;="&amp;$E153)</f>
        <v>662</v>
      </c>
      <c r="L153" s="18" t="n">
        <f aca="false">J153-K153</f>
        <v>98</v>
      </c>
      <c r="M153" s="18" t="n">
        <f aca="false">SUMIFS($H$2:$H$260,$A$2:$A$260,$A153,$B$2:$B$260,$B153)</f>
        <v>762</v>
      </c>
      <c r="N153" s="20" t="n">
        <f aca="false">IF(M153=0,"",L153/M153)</f>
        <v>0.128608923884514</v>
      </c>
      <c r="O153" s="18" t="s">
        <v>124</v>
      </c>
    </row>
    <row r="154" customFormat="false" ht="15" hidden="false" customHeight="true" outlineLevel="0" collapsed="false">
      <c r="A154" s="18" t="s">
        <v>313</v>
      </c>
      <c r="B154" s="18" t="s">
        <v>619</v>
      </c>
      <c r="C154" s="18" t="s">
        <v>609</v>
      </c>
      <c r="D154" s="18" t="s">
        <v>610</v>
      </c>
      <c r="E154" s="18" t="n">
        <v>17</v>
      </c>
      <c r="F154" s="18" t="s">
        <v>326</v>
      </c>
      <c r="G154" s="18" t="n">
        <v>30</v>
      </c>
      <c r="H154" s="18" t="n">
        <v>2</v>
      </c>
      <c r="I154" s="18" t="n">
        <v>18</v>
      </c>
      <c r="J154" s="18" t="n">
        <f aca="false">SUMIFS($H$2:$H$260,$A$2:$A$260,$A154,$B$2:$B$260,$B154,$E$2:$E$260,"&lt;="&amp;$E154)</f>
        <v>762</v>
      </c>
      <c r="K154" s="18" t="n">
        <f aca="false">SUMIFS($I$2:$I$260,$A$2:$A$260,$A154,$B$2:$B$260,$B154,$E$2:$E$260,"&lt;="&amp;$E154)</f>
        <v>680</v>
      </c>
      <c r="L154" s="18" t="n">
        <f aca="false">J154-K154</f>
        <v>82</v>
      </c>
      <c r="M154" s="18" t="n">
        <f aca="false">SUMIFS($H$2:$H$260,$A$2:$A$260,$A154,$B$2:$B$260,$B154)</f>
        <v>762</v>
      </c>
      <c r="N154" s="20" t="n">
        <f aca="false">IF(M154=0,"",L154/M154)</f>
        <v>0.10761154855643</v>
      </c>
      <c r="O154" s="18" t="s">
        <v>124</v>
      </c>
    </row>
    <row r="155" customFormat="false" ht="15" hidden="false" customHeight="true" outlineLevel="0" collapsed="false">
      <c r="A155" s="18" t="s">
        <v>313</v>
      </c>
      <c r="B155" s="18" t="s">
        <v>619</v>
      </c>
      <c r="C155" s="18" t="s">
        <v>609</v>
      </c>
      <c r="D155" s="18" t="s">
        <v>610</v>
      </c>
      <c r="E155" s="18" t="n">
        <v>18</v>
      </c>
      <c r="F155" s="18" t="s">
        <v>226</v>
      </c>
      <c r="G155" s="18" t="n">
        <v>45</v>
      </c>
      <c r="H155" s="18" t="n">
        <v>0</v>
      </c>
      <c r="I155" s="18" t="n">
        <v>16</v>
      </c>
      <c r="J155" s="18" t="n">
        <f aca="false">SUMIFS($H$2:$H$260,$A$2:$A$260,$A155,$B$2:$B$260,$B155,$E$2:$E$260,"&lt;="&amp;$E155)</f>
        <v>762</v>
      </c>
      <c r="K155" s="18" t="n">
        <f aca="false">SUMIFS($I$2:$I$260,$A$2:$A$260,$A155,$B$2:$B$260,$B155,$E$2:$E$260,"&lt;="&amp;$E155)</f>
        <v>696</v>
      </c>
      <c r="L155" s="18" t="n">
        <f aca="false">J155-K155</f>
        <v>66</v>
      </c>
      <c r="M155" s="18" t="n">
        <f aca="false">SUMIFS($H$2:$H$260,$A$2:$A$260,$A155,$B$2:$B$260,$B155)</f>
        <v>762</v>
      </c>
      <c r="N155" s="20" t="n">
        <f aca="false">IF(M155=0,"",L155/M155)</f>
        <v>0.0866141732283465</v>
      </c>
      <c r="O155" s="18" t="s">
        <v>124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8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71484375" defaultRowHeight="15" zeroHeight="false" outlineLevelRow="0" outlineLevelCol="0"/>
  <cols>
    <col collapsed="false" customWidth="true" hidden="false" outlineLevel="0" max="1" min="1" style="0" width="14"/>
    <col collapsed="false" customWidth="true" hidden="false" outlineLevel="0" max="2" min="2" style="0" width="20"/>
    <col collapsed="false" customWidth="true" hidden="false" outlineLevel="0" max="3" min="3" style="0" width="28"/>
    <col collapsed="false" customWidth="true" hidden="false" outlineLevel="0" max="4" min="4" style="0" width="26"/>
    <col collapsed="false" customWidth="true" hidden="false" outlineLevel="0" max="5" min="5" style="0" width="9"/>
    <col collapsed="false" customWidth="true" hidden="false" outlineLevel="0" max="6" min="6" style="0" width="14"/>
    <col collapsed="false" customWidth="true" hidden="false" outlineLevel="0" max="7" min="7" style="0" width="12"/>
    <col collapsed="false" customWidth="true" hidden="false" outlineLevel="0" max="8" min="8" style="0" width="20"/>
    <col collapsed="false" customWidth="true" hidden="false" outlineLevel="0" max="9" min="9" style="0" width="30"/>
    <col collapsed="false" customWidth="true" hidden="false" outlineLevel="0" max="10" min="10" style="0" width="14"/>
  </cols>
  <sheetData>
    <row r="1" customFormat="false" ht="30" hidden="false" customHeight="true" outlineLevel="0" collapsed="false">
      <c r="A1" s="5" t="s">
        <v>620</v>
      </c>
      <c r="B1" s="5" t="s">
        <v>190</v>
      </c>
      <c r="C1" s="5" t="s">
        <v>191</v>
      </c>
      <c r="D1" s="5" t="s">
        <v>607</v>
      </c>
      <c r="E1" s="5" t="s">
        <v>513</v>
      </c>
      <c r="F1" s="5" t="s">
        <v>514</v>
      </c>
      <c r="G1" s="5" t="s">
        <v>515</v>
      </c>
      <c r="H1" s="5" t="s">
        <v>621</v>
      </c>
      <c r="I1" s="5" t="s">
        <v>622</v>
      </c>
      <c r="J1" s="5" t="s">
        <v>623</v>
      </c>
    </row>
    <row r="2" customFormat="false" ht="15" hidden="false" customHeight="true" outlineLevel="0" collapsed="false">
      <c r="A2" s="18" t="s">
        <v>195</v>
      </c>
      <c r="B2" s="18" t="s">
        <v>129</v>
      </c>
      <c r="C2" s="18" t="s">
        <v>624</v>
      </c>
      <c r="D2" s="18" t="s">
        <v>625</v>
      </c>
      <c r="E2" s="18" t="n">
        <v>0</v>
      </c>
      <c r="F2" s="18" t="s">
        <v>204</v>
      </c>
      <c r="G2" s="18"/>
      <c r="H2" s="20" t="n">
        <v>0.0267379679144385</v>
      </c>
      <c r="I2" s="18" t="s">
        <v>211</v>
      </c>
      <c r="J2" s="18"/>
    </row>
    <row r="3" customFormat="false" ht="15" hidden="false" customHeight="true" outlineLevel="0" collapsed="false">
      <c r="A3" s="18" t="s">
        <v>195</v>
      </c>
      <c r="B3" s="18" t="s">
        <v>129</v>
      </c>
      <c r="C3" s="18" t="s">
        <v>624</v>
      </c>
      <c r="D3" s="18" t="s">
        <v>625</v>
      </c>
      <c r="E3" s="18" t="n">
        <v>3</v>
      </c>
      <c r="F3" s="18" t="s">
        <v>525</v>
      </c>
      <c r="G3" s="18" t="n">
        <v>-180</v>
      </c>
      <c r="H3" s="20" t="n">
        <v>0.0882352941176471</v>
      </c>
      <c r="I3" s="18" t="s">
        <v>211</v>
      </c>
      <c r="J3" s="18"/>
    </row>
    <row r="4" customFormat="false" ht="15" hidden="false" customHeight="true" outlineLevel="0" collapsed="false">
      <c r="A4" s="18" t="s">
        <v>195</v>
      </c>
      <c r="B4" s="18" t="s">
        <v>129</v>
      </c>
      <c r="C4" s="18" t="s">
        <v>624</v>
      </c>
      <c r="D4" s="18" t="s">
        <v>625</v>
      </c>
      <c r="E4" s="18" t="n">
        <v>4</v>
      </c>
      <c r="F4" s="18" t="s">
        <v>526</v>
      </c>
      <c r="G4" s="18" t="n">
        <v>-165</v>
      </c>
      <c r="H4" s="20" t="n">
        <v>0.155080213903743</v>
      </c>
      <c r="I4" s="18" t="s">
        <v>211</v>
      </c>
      <c r="J4" s="18"/>
    </row>
    <row r="5" customFormat="false" ht="15" hidden="false" customHeight="true" outlineLevel="0" collapsed="false">
      <c r="A5" s="18" t="s">
        <v>195</v>
      </c>
      <c r="B5" s="18" t="s">
        <v>129</v>
      </c>
      <c r="C5" s="18" t="s">
        <v>624</v>
      </c>
      <c r="D5" s="18" t="s">
        <v>625</v>
      </c>
      <c r="E5" s="18" t="n">
        <v>5</v>
      </c>
      <c r="F5" s="18" t="s">
        <v>527</v>
      </c>
      <c r="G5" s="18" t="n">
        <v>-150</v>
      </c>
      <c r="H5" s="20" t="n">
        <v>0.245989304812834</v>
      </c>
      <c r="I5" s="18" t="s">
        <v>211</v>
      </c>
      <c r="J5" s="18"/>
    </row>
    <row r="6" customFormat="false" ht="15" hidden="false" customHeight="true" outlineLevel="0" collapsed="false">
      <c r="A6" s="18" t="s">
        <v>195</v>
      </c>
      <c r="B6" s="18" t="s">
        <v>129</v>
      </c>
      <c r="C6" s="18" t="s">
        <v>624</v>
      </c>
      <c r="D6" s="18" t="s">
        <v>625</v>
      </c>
      <c r="E6" s="18" t="n">
        <v>6</v>
      </c>
      <c r="F6" s="18" t="s">
        <v>528</v>
      </c>
      <c r="G6" s="18" t="n">
        <v>-135</v>
      </c>
      <c r="H6" s="20" t="n">
        <v>0.336898395721925</v>
      </c>
      <c r="I6" s="18" t="s">
        <v>211</v>
      </c>
      <c r="J6" s="18"/>
    </row>
    <row r="7" customFormat="false" ht="15" hidden="false" customHeight="true" outlineLevel="0" collapsed="false">
      <c r="A7" s="18" t="s">
        <v>195</v>
      </c>
      <c r="B7" s="18" t="s">
        <v>129</v>
      </c>
      <c r="C7" s="18" t="s">
        <v>624</v>
      </c>
      <c r="D7" s="18" t="s">
        <v>625</v>
      </c>
      <c r="E7" s="18" t="n">
        <v>7</v>
      </c>
      <c r="F7" s="18" t="s">
        <v>227</v>
      </c>
      <c r="G7" s="18" t="n">
        <v>-120</v>
      </c>
      <c r="H7" s="20" t="n">
        <v>0.358288770053476</v>
      </c>
      <c r="I7" s="18" t="s">
        <v>211</v>
      </c>
      <c r="J7" s="18"/>
    </row>
    <row r="8" customFormat="false" ht="15" hidden="false" customHeight="true" outlineLevel="0" collapsed="false">
      <c r="A8" s="18" t="s">
        <v>195</v>
      </c>
      <c r="B8" s="18" t="s">
        <v>129</v>
      </c>
      <c r="C8" s="18" t="s">
        <v>624</v>
      </c>
      <c r="D8" s="18" t="s">
        <v>625</v>
      </c>
      <c r="E8" s="18" t="n">
        <v>8</v>
      </c>
      <c r="F8" s="18" t="s">
        <v>241</v>
      </c>
      <c r="G8" s="18" t="n">
        <v>-105</v>
      </c>
      <c r="H8" s="20" t="n">
        <v>0.446524064171123</v>
      </c>
      <c r="I8" s="18" t="s">
        <v>211</v>
      </c>
      <c r="J8" s="18"/>
    </row>
    <row r="9" customFormat="false" ht="15" hidden="false" customHeight="true" outlineLevel="0" collapsed="false">
      <c r="A9" s="18" t="s">
        <v>195</v>
      </c>
      <c r="B9" s="18" t="s">
        <v>129</v>
      </c>
      <c r="C9" s="18" t="s">
        <v>624</v>
      </c>
      <c r="D9" s="18" t="s">
        <v>625</v>
      </c>
      <c r="E9" s="18" t="n">
        <v>9</v>
      </c>
      <c r="F9" s="18" t="s">
        <v>279</v>
      </c>
      <c r="G9" s="18" t="n">
        <v>-90</v>
      </c>
      <c r="H9" s="20" t="n">
        <v>0.524064171122995</v>
      </c>
      <c r="I9" s="18" t="s">
        <v>211</v>
      </c>
      <c r="J9" s="18"/>
    </row>
    <row r="10" customFormat="false" ht="15" hidden="false" customHeight="true" outlineLevel="0" collapsed="false">
      <c r="A10" s="18" t="s">
        <v>195</v>
      </c>
      <c r="B10" s="18" t="s">
        <v>129</v>
      </c>
      <c r="C10" s="18" t="s">
        <v>624</v>
      </c>
      <c r="D10" s="18" t="s">
        <v>625</v>
      </c>
      <c r="E10" s="18" t="n">
        <v>10</v>
      </c>
      <c r="F10" s="18" t="s">
        <v>206</v>
      </c>
      <c r="G10" s="18" t="n">
        <v>-75</v>
      </c>
      <c r="H10" s="20" t="n">
        <v>0.545454545454545</v>
      </c>
      <c r="I10" s="18" t="s">
        <v>211</v>
      </c>
      <c r="J10" s="18"/>
    </row>
    <row r="11" customFormat="false" ht="15" hidden="false" customHeight="true" outlineLevel="0" collapsed="false">
      <c r="A11" s="18" t="s">
        <v>195</v>
      </c>
      <c r="B11" s="18" t="s">
        <v>129</v>
      </c>
      <c r="C11" s="18" t="s">
        <v>624</v>
      </c>
      <c r="D11" s="18" t="s">
        <v>625</v>
      </c>
      <c r="E11" s="18" t="n">
        <v>11</v>
      </c>
      <c r="F11" s="18" t="s">
        <v>246</v>
      </c>
      <c r="G11" s="18" t="n">
        <v>-60</v>
      </c>
      <c r="H11" s="20" t="n">
        <v>0.521390374331551</v>
      </c>
      <c r="I11" s="18" t="s">
        <v>211</v>
      </c>
      <c r="J11" s="18"/>
    </row>
    <row r="12" customFormat="false" ht="15" hidden="false" customHeight="true" outlineLevel="0" collapsed="false">
      <c r="A12" s="18" t="s">
        <v>195</v>
      </c>
      <c r="B12" s="18" t="s">
        <v>129</v>
      </c>
      <c r="C12" s="18" t="s">
        <v>624</v>
      </c>
      <c r="D12" s="18" t="s">
        <v>625</v>
      </c>
      <c r="E12" s="18" t="n">
        <v>12</v>
      </c>
      <c r="F12" s="18" t="s">
        <v>254</v>
      </c>
      <c r="G12" s="18" t="n">
        <v>-45</v>
      </c>
      <c r="H12" s="20" t="n">
        <v>0.467914438502674</v>
      </c>
      <c r="I12" s="18" t="s">
        <v>211</v>
      </c>
      <c r="J12" s="18"/>
    </row>
    <row r="13" customFormat="false" ht="15" hidden="false" customHeight="true" outlineLevel="0" collapsed="false">
      <c r="A13" s="18" t="s">
        <v>195</v>
      </c>
      <c r="B13" s="18" t="s">
        <v>129</v>
      </c>
      <c r="C13" s="18" t="s">
        <v>624</v>
      </c>
      <c r="D13" s="18" t="s">
        <v>625</v>
      </c>
      <c r="E13" s="18" t="n">
        <v>13</v>
      </c>
      <c r="F13" s="18" t="s">
        <v>403</v>
      </c>
      <c r="G13" s="18" t="n">
        <v>-30</v>
      </c>
      <c r="H13" s="20" t="n">
        <v>0.334224598930481</v>
      </c>
      <c r="I13" s="18" t="s">
        <v>211</v>
      </c>
      <c r="J13" s="18"/>
    </row>
    <row r="14" customFormat="false" ht="15" hidden="false" customHeight="true" outlineLevel="0" collapsed="false">
      <c r="A14" s="18" t="s">
        <v>195</v>
      </c>
      <c r="B14" s="18" t="s">
        <v>129</v>
      </c>
      <c r="C14" s="18" t="s">
        <v>624</v>
      </c>
      <c r="D14" s="18" t="s">
        <v>625</v>
      </c>
      <c r="E14" s="18" t="n">
        <v>14</v>
      </c>
      <c r="F14" s="18" t="s">
        <v>529</v>
      </c>
      <c r="G14" s="18" t="n">
        <v>-15</v>
      </c>
      <c r="H14" s="20" t="n">
        <v>0.264705882352941</v>
      </c>
      <c r="I14" s="18" t="s">
        <v>211</v>
      </c>
      <c r="J14" s="18"/>
    </row>
    <row r="15" customFormat="false" ht="15" hidden="false" customHeight="true" outlineLevel="0" collapsed="false">
      <c r="A15" s="18" t="s">
        <v>195</v>
      </c>
      <c r="B15" s="18" t="s">
        <v>129</v>
      </c>
      <c r="C15" s="18" t="s">
        <v>624</v>
      </c>
      <c r="D15" s="18" t="s">
        <v>625</v>
      </c>
      <c r="E15" s="18" t="n">
        <v>15</v>
      </c>
      <c r="F15" s="18" t="s">
        <v>463</v>
      </c>
      <c r="G15" s="18" t="n">
        <v>0</v>
      </c>
      <c r="H15" s="20" t="n">
        <v>0.20855614973262</v>
      </c>
      <c r="I15" s="18" t="s">
        <v>211</v>
      </c>
      <c r="J15" s="18"/>
    </row>
    <row r="16" customFormat="false" ht="15" hidden="false" customHeight="true" outlineLevel="0" collapsed="false">
      <c r="A16" s="18" t="s">
        <v>195</v>
      </c>
      <c r="B16" s="18" t="s">
        <v>129</v>
      </c>
      <c r="C16" s="18" t="s">
        <v>624</v>
      </c>
      <c r="D16" s="18" t="s">
        <v>625</v>
      </c>
      <c r="E16" s="18" t="n">
        <v>16</v>
      </c>
      <c r="F16" s="18" t="s">
        <v>366</v>
      </c>
      <c r="G16" s="18" t="n">
        <v>15</v>
      </c>
      <c r="H16" s="20" t="n">
        <v>0.165775401069519</v>
      </c>
      <c r="I16" s="18" t="s">
        <v>211</v>
      </c>
      <c r="J16" s="18"/>
    </row>
    <row r="17" customFormat="false" ht="15" hidden="false" customHeight="true" outlineLevel="0" collapsed="false">
      <c r="A17" s="18" t="s">
        <v>195</v>
      </c>
      <c r="B17" s="18" t="s">
        <v>129</v>
      </c>
      <c r="C17" s="18" t="s">
        <v>624</v>
      </c>
      <c r="D17" s="18" t="s">
        <v>625</v>
      </c>
      <c r="E17" s="18" t="n">
        <v>17</v>
      </c>
      <c r="F17" s="18" t="s">
        <v>326</v>
      </c>
      <c r="G17" s="18" t="n">
        <v>30</v>
      </c>
      <c r="H17" s="20" t="n">
        <v>0.109625668449198</v>
      </c>
      <c r="I17" s="18" t="s">
        <v>211</v>
      </c>
      <c r="J17" s="18"/>
    </row>
    <row r="18" customFormat="false" ht="15" hidden="false" customHeight="true" outlineLevel="0" collapsed="false">
      <c r="A18" s="18" t="s">
        <v>195</v>
      </c>
      <c r="B18" s="18" t="s">
        <v>129</v>
      </c>
      <c r="C18" s="18" t="s">
        <v>624</v>
      </c>
      <c r="D18" s="18" t="s">
        <v>625</v>
      </c>
      <c r="E18" s="18" t="n">
        <v>18</v>
      </c>
      <c r="F18" s="18" t="s">
        <v>226</v>
      </c>
      <c r="G18" s="18" t="n">
        <v>45</v>
      </c>
      <c r="H18" s="20" t="n">
        <v>0.053475935828877</v>
      </c>
      <c r="I18" s="18" t="s">
        <v>211</v>
      </c>
      <c r="J18" s="18"/>
    </row>
    <row r="19" customFormat="false" ht="15" hidden="false" customHeight="true" outlineLevel="0" collapsed="false">
      <c r="A19" s="18" t="s">
        <v>195</v>
      </c>
      <c r="B19" s="18" t="s">
        <v>129</v>
      </c>
      <c r="C19" s="18" t="s">
        <v>624</v>
      </c>
      <c r="D19" s="18" t="s">
        <v>625</v>
      </c>
      <c r="E19" s="18" t="n">
        <v>19</v>
      </c>
      <c r="F19" s="18" t="s">
        <v>205</v>
      </c>
      <c r="G19" s="18" t="n">
        <v>60</v>
      </c>
      <c r="H19" s="20" t="n">
        <v>0.0160427807486631</v>
      </c>
      <c r="I19" s="18" t="s">
        <v>211</v>
      </c>
      <c r="J19" s="18"/>
    </row>
    <row r="20" customFormat="false" ht="15" hidden="false" customHeight="true" outlineLevel="0" collapsed="false">
      <c r="A20" s="18" t="s">
        <v>195</v>
      </c>
      <c r="B20" s="18" t="s">
        <v>129</v>
      </c>
      <c r="C20" s="18" t="s">
        <v>624</v>
      </c>
      <c r="D20" s="18" t="s">
        <v>625</v>
      </c>
      <c r="E20" s="18" t="n">
        <v>20</v>
      </c>
      <c r="F20" s="18" t="s">
        <v>532</v>
      </c>
      <c r="G20" s="18" t="n">
        <v>75</v>
      </c>
      <c r="H20" s="20" t="n">
        <v>0.015</v>
      </c>
      <c r="I20" s="18" t="s">
        <v>211</v>
      </c>
      <c r="J20" s="31" t="s">
        <v>216</v>
      </c>
    </row>
    <row r="21" customFormat="false" ht="15" hidden="false" customHeight="true" outlineLevel="0" collapsed="false">
      <c r="A21" s="18" t="s">
        <v>195</v>
      </c>
      <c r="B21" s="18" t="s">
        <v>129</v>
      </c>
      <c r="C21" s="18" t="s">
        <v>626</v>
      </c>
      <c r="D21" s="18" t="s">
        <v>627</v>
      </c>
      <c r="E21" s="18" t="n">
        <v>0</v>
      </c>
      <c r="F21" s="18" t="s">
        <v>204</v>
      </c>
      <c r="G21" s="18"/>
      <c r="H21" s="20" t="n">
        <v>0.0692640692640693</v>
      </c>
      <c r="I21" s="18" t="s">
        <v>230</v>
      </c>
      <c r="J21" s="18"/>
    </row>
    <row r="22" customFormat="false" ht="15" hidden="false" customHeight="true" outlineLevel="0" collapsed="false">
      <c r="A22" s="18" t="s">
        <v>195</v>
      </c>
      <c r="B22" s="18" t="s">
        <v>129</v>
      </c>
      <c r="C22" s="18" t="s">
        <v>626</v>
      </c>
      <c r="D22" s="18" t="s">
        <v>627</v>
      </c>
      <c r="E22" s="18" t="n">
        <v>3</v>
      </c>
      <c r="F22" s="18" t="s">
        <v>525</v>
      </c>
      <c r="G22" s="18" t="n">
        <v>-180</v>
      </c>
      <c r="H22" s="20" t="n">
        <v>0.0865800865800866</v>
      </c>
      <c r="I22" s="18" t="s">
        <v>230</v>
      </c>
      <c r="J22" s="18"/>
    </row>
    <row r="23" customFormat="false" ht="15" hidden="false" customHeight="true" outlineLevel="0" collapsed="false">
      <c r="A23" s="18" t="s">
        <v>195</v>
      </c>
      <c r="B23" s="18" t="s">
        <v>129</v>
      </c>
      <c r="C23" s="18" t="s">
        <v>626</v>
      </c>
      <c r="D23" s="18" t="s">
        <v>627</v>
      </c>
      <c r="E23" s="18" t="n">
        <v>4</v>
      </c>
      <c r="F23" s="18" t="s">
        <v>526</v>
      </c>
      <c r="G23" s="18" t="n">
        <v>-165</v>
      </c>
      <c r="H23" s="20" t="n">
        <v>0.147186147186147</v>
      </c>
      <c r="I23" s="18" t="s">
        <v>230</v>
      </c>
      <c r="J23" s="18"/>
    </row>
    <row r="24" customFormat="false" ht="15" hidden="false" customHeight="true" outlineLevel="0" collapsed="false">
      <c r="A24" s="18" t="s">
        <v>195</v>
      </c>
      <c r="B24" s="18" t="s">
        <v>129</v>
      </c>
      <c r="C24" s="18" t="s">
        <v>626</v>
      </c>
      <c r="D24" s="18" t="s">
        <v>627</v>
      </c>
      <c r="E24" s="18" t="n">
        <v>5</v>
      </c>
      <c r="F24" s="18" t="s">
        <v>527</v>
      </c>
      <c r="G24" s="18" t="n">
        <v>-150</v>
      </c>
      <c r="H24" s="20" t="n">
        <v>0.255411255411255</v>
      </c>
      <c r="I24" s="18" t="s">
        <v>230</v>
      </c>
      <c r="J24" s="18"/>
    </row>
    <row r="25" customFormat="false" ht="15" hidden="false" customHeight="true" outlineLevel="0" collapsed="false">
      <c r="A25" s="18" t="s">
        <v>195</v>
      </c>
      <c r="B25" s="18" t="s">
        <v>129</v>
      </c>
      <c r="C25" s="18" t="s">
        <v>626</v>
      </c>
      <c r="D25" s="18" t="s">
        <v>627</v>
      </c>
      <c r="E25" s="18" t="n">
        <v>6</v>
      </c>
      <c r="F25" s="18" t="s">
        <v>528</v>
      </c>
      <c r="G25" s="18" t="n">
        <v>-135</v>
      </c>
      <c r="H25" s="20" t="n">
        <v>0.324675324675325</v>
      </c>
      <c r="I25" s="18" t="s">
        <v>230</v>
      </c>
      <c r="J25" s="18"/>
    </row>
    <row r="26" customFormat="false" ht="15" hidden="false" customHeight="true" outlineLevel="0" collapsed="false">
      <c r="A26" s="18" t="s">
        <v>195</v>
      </c>
      <c r="B26" s="18" t="s">
        <v>129</v>
      </c>
      <c r="C26" s="18" t="s">
        <v>626</v>
      </c>
      <c r="D26" s="18" t="s">
        <v>627</v>
      </c>
      <c r="E26" s="18" t="n">
        <v>7</v>
      </c>
      <c r="F26" s="18" t="s">
        <v>227</v>
      </c>
      <c r="G26" s="18" t="n">
        <v>-120</v>
      </c>
      <c r="H26" s="20" t="n">
        <v>0.350649350649351</v>
      </c>
      <c r="I26" s="18" t="s">
        <v>230</v>
      </c>
      <c r="J26" s="18"/>
    </row>
    <row r="27" customFormat="false" ht="15" hidden="false" customHeight="true" outlineLevel="0" collapsed="false">
      <c r="A27" s="18" t="s">
        <v>195</v>
      </c>
      <c r="B27" s="18" t="s">
        <v>129</v>
      </c>
      <c r="C27" s="18" t="s">
        <v>626</v>
      </c>
      <c r="D27" s="18" t="s">
        <v>627</v>
      </c>
      <c r="E27" s="18" t="n">
        <v>8</v>
      </c>
      <c r="F27" s="18" t="s">
        <v>241</v>
      </c>
      <c r="G27" s="18" t="n">
        <v>-105</v>
      </c>
      <c r="H27" s="20" t="n">
        <v>0.337662337662338</v>
      </c>
      <c r="I27" s="18" t="s">
        <v>230</v>
      </c>
      <c r="J27" s="18"/>
    </row>
    <row r="28" customFormat="false" ht="15" hidden="false" customHeight="true" outlineLevel="0" collapsed="false">
      <c r="A28" s="18" t="s">
        <v>195</v>
      </c>
      <c r="B28" s="18" t="s">
        <v>129</v>
      </c>
      <c r="C28" s="18" t="s">
        <v>626</v>
      </c>
      <c r="D28" s="18" t="s">
        <v>627</v>
      </c>
      <c r="E28" s="18" t="n">
        <v>9</v>
      </c>
      <c r="F28" s="18" t="s">
        <v>279</v>
      </c>
      <c r="G28" s="18" t="n">
        <v>-90</v>
      </c>
      <c r="H28" s="20" t="n">
        <v>0.350649350649351</v>
      </c>
      <c r="I28" s="18" t="s">
        <v>230</v>
      </c>
      <c r="J28" s="18"/>
    </row>
    <row r="29" customFormat="false" ht="15" hidden="false" customHeight="true" outlineLevel="0" collapsed="false">
      <c r="A29" s="18" t="s">
        <v>195</v>
      </c>
      <c r="B29" s="18" t="s">
        <v>129</v>
      </c>
      <c r="C29" s="18" t="s">
        <v>626</v>
      </c>
      <c r="D29" s="18" t="s">
        <v>627</v>
      </c>
      <c r="E29" s="18" t="n">
        <v>10</v>
      </c>
      <c r="F29" s="18" t="s">
        <v>206</v>
      </c>
      <c r="G29" s="18" t="n">
        <v>-75</v>
      </c>
      <c r="H29" s="20" t="n">
        <v>0.350649350649351</v>
      </c>
      <c r="I29" s="18" t="s">
        <v>230</v>
      </c>
      <c r="J29" s="18"/>
    </row>
    <row r="30" customFormat="false" ht="15" hidden="false" customHeight="true" outlineLevel="0" collapsed="false">
      <c r="A30" s="18" t="s">
        <v>195</v>
      </c>
      <c r="B30" s="18" t="s">
        <v>129</v>
      </c>
      <c r="C30" s="18" t="s">
        <v>626</v>
      </c>
      <c r="D30" s="18" t="s">
        <v>627</v>
      </c>
      <c r="E30" s="18" t="n">
        <v>11</v>
      </c>
      <c r="F30" s="18" t="s">
        <v>246</v>
      </c>
      <c r="G30" s="18" t="n">
        <v>-60</v>
      </c>
      <c r="H30" s="20" t="n">
        <v>0.294372294372294</v>
      </c>
      <c r="I30" s="18" t="s">
        <v>230</v>
      </c>
      <c r="J30" s="18"/>
    </row>
    <row r="31" customFormat="false" ht="15" hidden="false" customHeight="true" outlineLevel="0" collapsed="false">
      <c r="A31" s="18" t="s">
        <v>195</v>
      </c>
      <c r="B31" s="18" t="s">
        <v>129</v>
      </c>
      <c r="C31" s="18" t="s">
        <v>626</v>
      </c>
      <c r="D31" s="18" t="s">
        <v>627</v>
      </c>
      <c r="E31" s="18" t="n">
        <v>12</v>
      </c>
      <c r="F31" s="18" t="s">
        <v>254</v>
      </c>
      <c r="G31" s="18" t="n">
        <v>-45</v>
      </c>
      <c r="H31" s="20" t="n">
        <v>0.268398268398268</v>
      </c>
      <c r="I31" s="18" t="s">
        <v>230</v>
      </c>
      <c r="J31" s="18"/>
    </row>
    <row r="32" customFormat="false" ht="15" hidden="false" customHeight="true" outlineLevel="0" collapsed="false">
      <c r="A32" s="18" t="s">
        <v>195</v>
      </c>
      <c r="B32" s="18" t="s">
        <v>129</v>
      </c>
      <c r="C32" s="18" t="s">
        <v>626</v>
      </c>
      <c r="D32" s="18" t="s">
        <v>627</v>
      </c>
      <c r="E32" s="18" t="n">
        <v>13</v>
      </c>
      <c r="F32" s="18" t="s">
        <v>403</v>
      </c>
      <c r="G32" s="18" t="n">
        <v>-30</v>
      </c>
      <c r="H32" s="20" t="n">
        <v>0.229437229437229</v>
      </c>
      <c r="I32" s="18" t="s">
        <v>230</v>
      </c>
      <c r="J32" s="18"/>
    </row>
    <row r="33" customFormat="false" ht="15" hidden="false" customHeight="true" outlineLevel="0" collapsed="false">
      <c r="A33" s="18" t="s">
        <v>195</v>
      </c>
      <c r="B33" s="18" t="s">
        <v>129</v>
      </c>
      <c r="C33" s="18" t="s">
        <v>626</v>
      </c>
      <c r="D33" s="18" t="s">
        <v>627</v>
      </c>
      <c r="E33" s="18" t="n">
        <v>14</v>
      </c>
      <c r="F33" s="18" t="s">
        <v>529</v>
      </c>
      <c r="G33" s="18" t="n">
        <v>-15</v>
      </c>
      <c r="H33" s="20" t="n">
        <v>0.186147186147186</v>
      </c>
      <c r="I33" s="18" t="s">
        <v>230</v>
      </c>
      <c r="J33" s="18"/>
    </row>
    <row r="34" customFormat="false" ht="15" hidden="false" customHeight="true" outlineLevel="0" collapsed="false">
      <c r="A34" s="18" t="s">
        <v>195</v>
      </c>
      <c r="B34" s="18" t="s">
        <v>129</v>
      </c>
      <c r="C34" s="18" t="s">
        <v>626</v>
      </c>
      <c r="D34" s="18" t="s">
        <v>627</v>
      </c>
      <c r="E34" s="18" t="n">
        <v>15</v>
      </c>
      <c r="F34" s="18" t="s">
        <v>463</v>
      </c>
      <c r="G34" s="18" t="n">
        <v>0</v>
      </c>
      <c r="H34" s="20" t="n">
        <v>0.12987012987013</v>
      </c>
      <c r="I34" s="18" t="s">
        <v>230</v>
      </c>
      <c r="J34" s="18"/>
    </row>
    <row r="35" customFormat="false" ht="15" hidden="false" customHeight="true" outlineLevel="0" collapsed="false">
      <c r="A35" s="18" t="s">
        <v>195</v>
      </c>
      <c r="B35" s="18" t="s">
        <v>129</v>
      </c>
      <c r="C35" s="18" t="s">
        <v>626</v>
      </c>
      <c r="D35" s="18" t="s">
        <v>627</v>
      </c>
      <c r="E35" s="18" t="n">
        <v>16</v>
      </c>
      <c r="F35" s="18" t="s">
        <v>366</v>
      </c>
      <c r="G35" s="18" t="n">
        <v>15</v>
      </c>
      <c r="H35" s="20" t="n">
        <v>0.0735930735930736</v>
      </c>
      <c r="I35" s="18" t="s">
        <v>230</v>
      </c>
      <c r="J35" s="18"/>
    </row>
    <row r="36" customFormat="false" ht="15" hidden="false" customHeight="true" outlineLevel="0" collapsed="false">
      <c r="A36" s="18" t="s">
        <v>195</v>
      </c>
      <c r="B36" s="18" t="s">
        <v>129</v>
      </c>
      <c r="C36" s="18" t="s">
        <v>626</v>
      </c>
      <c r="D36" s="18" t="s">
        <v>627</v>
      </c>
      <c r="E36" s="18" t="n">
        <v>17</v>
      </c>
      <c r="F36" s="18" t="s">
        <v>326</v>
      </c>
      <c r="G36" s="18" t="n">
        <v>30</v>
      </c>
      <c r="H36" s="20" t="n">
        <v>0.0649350649350649</v>
      </c>
      <c r="I36" s="18" t="s">
        <v>230</v>
      </c>
      <c r="J36" s="18"/>
    </row>
    <row r="37" customFormat="false" ht="15" hidden="false" customHeight="true" outlineLevel="0" collapsed="false">
      <c r="A37" s="18" t="s">
        <v>195</v>
      </c>
      <c r="B37" s="18" t="s">
        <v>129</v>
      </c>
      <c r="C37" s="18" t="s">
        <v>626</v>
      </c>
      <c r="D37" s="18" t="s">
        <v>627</v>
      </c>
      <c r="E37" s="18" t="n">
        <v>18</v>
      </c>
      <c r="F37" s="18" t="s">
        <v>226</v>
      </c>
      <c r="G37" s="18" t="n">
        <v>45</v>
      </c>
      <c r="H37" s="20" t="n">
        <v>0.0346320346320346</v>
      </c>
      <c r="I37" s="18" t="s">
        <v>230</v>
      </c>
      <c r="J37" s="18"/>
    </row>
    <row r="38" customFormat="false" ht="15" hidden="false" customHeight="true" outlineLevel="0" collapsed="false">
      <c r="A38" s="18" t="s">
        <v>313</v>
      </c>
      <c r="B38" s="18" t="s">
        <v>129</v>
      </c>
      <c r="C38" s="18" t="s">
        <v>628</v>
      </c>
      <c r="D38" s="18" t="s">
        <v>625</v>
      </c>
      <c r="E38" s="18" t="n">
        <v>0</v>
      </c>
      <c r="F38" s="18" t="s">
        <v>204</v>
      </c>
      <c r="G38" s="18"/>
      <c r="H38" s="20" t="n">
        <v>0.0551626591230552</v>
      </c>
      <c r="I38" s="18" t="s">
        <v>345</v>
      </c>
      <c r="J38" s="18"/>
    </row>
    <row r="39" customFormat="false" ht="15" hidden="false" customHeight="true" outlineLevel="0" collapsed="false">
      <c r="A39" s="18" t="s">
        <v>313</v>
      </c>
      <c r="B39" s="18" t="s">
        <v>129</v>
      </c>
      <c r="C39" s="18" t="s">
        <v>628</v>
      </c>
      <c r="D39" s="18" t="s">
        <v>625</v>
      </c>
      <c r="E39" s="18" t="n">
        <v>3</v>
      </c>
      <c r="F39" s="18" t="s">
        <v>525</v>
      </c>
      <c r="G39" s="18" t="n">
        <v>-180</v>
      </c>
      <c r="H39" s="20" t="n">
        <v>0.0933521923620934</v>
      </c>
      <c r="I39" s="18" t="s">
        <v>345</v>
      </c>
      <c r="J39" s="18"/>
    </row>
    <row r="40" customFormat="false" ht="15" hidden="false" customHeight="true" outlineLevel="0" collapsed="false">
      <c r="A40" s="18" t="s">
        <v>313</v>
      </c>
      <c r="B40" s="18" t="s">
        <v>129</v>
      </c>
      <c r="C40" s="18" t="s">
        <v>628</v>
      </c>
      <c r="D40" s="18" t="s">
        <v>625</v>
      </c>
      <c r="E40" s="18" t="n">
        <v>4</v>
      </c>
      <c r="F40" s="18" t="s">
        <v>526</v>
      </c>
      <c r="G40" s="18" t="n">
        <v>-165</v>
      </c>
      <c r="H40" s="20" t="n">
        <v>0.158415841584158</v>
      </c>
      <c r="I40" s="18" t="s">
        <v>345</v>
      </c>
      <c r="J40" s="18"/>
    </row>
    <row r="41" customFormat="false" ht="15" hidden="false" customHeight="true" outlineLevel="0" collapsed="false">
      <c r="A41" s="18" t="s">
        <v>313</v>
      </c>
      <c r="B41" s="18" t="s">
        <v>129</v>
      </c>
      <c r="C41" s="18" t="s">
        <v>628</v>
      </c>
      <c r="D41" s="18" t="s">
        <v>625</v>
      </c>
      <c r="E41" s="18" t="n">
        <v>5</v>
      </c>
      <c r="F41" s="18" t="s">
        <v>527</v>
      </c>
      <c r="G41" s="18" t="n">
        <v>-150</v>
      </c>
      <c r="H41" s="20" t="n">
        <v>0.264497878359265</v>
      </c>
      <c r="I41" s="18" t="s">
        <v>345</v>
      </c>
      <c r="J41" s="18"/>
    </row>
    <row r="42" customFormat="false" ht="15" hidden="false" customHeight="true" outlineLevel="0" collapsed="false">
      <c r="A42" s="18" t="s">
        <v>313</v>
      </c>
      <c r="B42" s="18" t="s">
        <v>129</v>
      </c>
      <c r="C42" s="18" t="s">
        <v>628</v>
      </c>
      <c r="D42" s="18" t="s">
        <v>625</v>
      </c>
      <c r="E42" s="18" t="n">
        <v>6</v>
      </c>
      <c r="F42" s="18" t="s">
        <v>528</v>
      </c>
      <c r="G42" s="18" t="n">
        <v>-135</v>
      </c>
      <c r="H42" s="20" t="n">
        <v>0.393210749646393</v>
      </c>
      <c r="I42" s="18" t="s">
        <v>345</v>
      </c>
      <c r="J42" s="18"/>
    </row>
    <row r="43" customFormat="false" ht="15" hidden="false" customHeight="true" outlineLevel="0" collapsed="false">
      <c r="A43" s="18" t="s">
        <v>313</v>
      </c>
      <c r="B43" s="18" t="s">
        <v>129</v>
      </c>
      <c r="C43" s="18" t="s">
        <v>628</v>
      </c>
      <c r="D43" s="18" t="s">
        <v>625</v>
      </c>
      <c r="E43" s="18" t="n">
        <v>7</v>
      </c>
      <c r="F43" s="18" t="s">
        <v>227</v>
      </c>
      <c r="G43" s="18" t="n">
        <v>-120</v>
      </c>
      <c r="H43" s="20" t="n">
        <v>0.506364922206506</v>
      </c>
      <c r="I43" s="18" t="s">
        <v>345</v>
      </c>
      <c r="J43" s="18"/>
    </row>
    <row r="44" customFormat="false" ht="15" hidden="false" customHeight="true" outlineLevel="0" collapsed="false">
      <c r="A44" s="18" t="s">
        <v>313</v>
      </c>
      <c r="B44" s="18" t="s">
        <v>129</v>
      </c>
      <c r="C44" s="18" t="s">
        <v>628</v>
      </c>
      <c r="D44" s="18" t="s">
        <v>625</v>
      </c>
      <c r="E44" s="18" t="n">
        <v>8</v>
      </c>
      <c r="F44" s="18" t="s">
        <v>241</v>
      </c>
      <c r="G44" s="18" t="n">
        <v>-105</v>
      </c>
      <c r="H44" s="20" t="n">
        <v>0.585572842998586</v>
      </c>
      <c r="I44" s="18" t="s">
        <v>345</v>
      </c>
      <c r="J44" s="18"/>
    </row>
    <row r="45" customFormat="false" ht="15" hidden="false" customHeight="true" outlineLevel="0" collapsed="false">
      <c r="A45" s="18" t="s">
        <v>313</v>
      </c>
      <c r="B45" s="18" t="s">
        <v>129</v>
      </c>
      <c r="C45" s="18" t="s">
        <v>628</v>
      </c>
      <c r="D45" s="18" t="s">
        <v>625</v>
      </c>
      <c r="E45" s="18" t="n">
        <v>9</v>
      </c>
      <c r="F45" s="18" t="s">
        <v>279</v>
      </c>
      <c r="G45" s="18" t="n">
        <v>-90</v>
      </c>
      <c r="H45" s="20" t="n">
        <v>0.629420084865629</v>
      </c>
      <c r="I45" s="18" t="s">
        <v>345</v>
      </c>
      <c r="J45" s="18"/>
    </row>
    <row r="46" customFormat="false" ht="15" hidden="false" customHeight="true" outlineLevel="0" collapsed="false">
      <c r="A46" s="18" t="s">
        <v>313</v>
      </c>
      <c r="B46" s="18" t="s">
        <v>129</v>
      </c>
      <c r="C46" s="18" t="s">
        <v>628</v>
      </c>
      <c r="D46" s="18" t="s">
        <v>625</v>
      </c>
      <c r="E46" s="18" t="n">
        <v>10</v>
      </c>
      <c r="F46" s="18" t="s">
        <v>206</v>
      </c>
      <c r="G46" s="18" t="n">
        <v>-75</v>
      </c>
      <c r="H46" s="20" t="n">
        <v>0.60961810466761</v>
      </c>
      <c r="I46" s="18" t="s">
        <v>345</v>
      </c>
      <c r="J46" s="18"/>
    </row>
    <row r="47" customFormat="false" ht="15" hidden="false" customHeight="true" outlineLevel="0" collapsed="false">
      <c r="A47" s="18" t="s">
        <v>313</v>
      </c>
      <c r="B47" s="18" t="s">
        <v>129</v>
      </c>
      <c r="C47" s="18" t="s">
        <v>628</v>
      </c>
      <c r="D47" s="18" t="s">
        <v>625</v>
      </c>
      <c r="E47" s="18" t="n">
        <v>11</v>
      </c>
      <c r="F47" s="18" t="s">
        <v>246</v>
      </c>
      <c r="G47" s="18" t="n">
        <v>-60</v>
      </c>
      <c r="H47" s="20" t="n">
        <v>0.582743988684583</v>
      </c>
      <c r="I47" s="18" t="s">
        <v>345</v>
      </c>
      <c r="J47" s="18"/>
    </row>
    <row r="48" customFormat="false" ht="15" hidden="false" customHeight="true" outlineLevel="0" collapsed="false">
      <c r="A48" s="18" t="s">
        <v>313</v>
      </c>
      <c r="B48" s="18" t="s">
        <v>129</v>
      </c>
      <c r="C48" s="18" t="s">
        <v>628</v>
      </c>
      <c r="D48" s="18" t="s">
        <v>625</v>
      </c>
      <c r="E48" s="18" t="n">
        <v>12</v>
      </c>
      <c r="F48" s="18" t="s">
        <v>254</v>
      </c>
      <c r="G48" s="18" t="n">
        <v>-45</v>
      </c>
      <c r="H48" s="20" t="n">
        <v>0.553041018387553</v>
      </c>
      <c r="I48" s="18" t="s">
        <v>345</v>
      </c>
      <c r="J48" s="18"/>
    </row>
    <row r="49" customFormat="false" ht="15" hidden="false" customHeight="true" outlineLevel="0" collapsed="false">
      <c r="A49" s="18" t="s">
        <v>313</v>
      </c>
      <c r="B49" s="18" t="s">
        <v>129</v>
      </c>
      <c r="C49" s="18" t="s">
        <v>628</v>
      </c>
      <c r="D49" s="18" t="s">
        <v>625</v>
      </c>
      <c r="E49" s="18" t="n">
        <v>13</v>
      </c>
      <c r="F49" s="18" t="s">
        <v>403</v>
      </c>
      <c r="G49" s="18" t="n">
        <v>-30</v>
      </c>
      <c r="H49" s="20" t="n">
        <v>0.47949080622348</v>
      </c>
      <c r="I49" s="18" t="s">
        <v>345</v>
      </c>
      <c r="J49" s="18"/>
    </row>
    <row r="50" customFormat="false" ht="15" hidden="false" customHeight="true" outlineLevel="0" collapsed="false">
      <c r="A50" s="18" t="s">
        <v>313</v>
      </c>
      <c r="B50" s="18" t="s">
        <v>129</v>
      </c>
      <c r="C50" s="18" t="s">
        <v>628</v>
      </c>
      <c r="D50" s="18" t="s">
        <v>625</v>
      </c>
      <c r="E50" s="18" t="n">
        <v>14</v>
      </c>
      <c r="F50" s="18" t="s">
        <v>529</v>
      </c>
      <c r="G50" s="18" t="n">
        <v>-15</v>
      </c>
      <c r="H50" s="20" t="n">
        <v>0.404526166902405</v>
      </c>
      <c r="I50" s="18" t="s">
        <v>345</v>
      </c>
      <c r="J50" s="18"/>
    </row>
    <row r="51" customFormat="false" ht="15" hidden="false" customHeight="true" outlineLevel="0" collapsed="false">
      <c r="A51" s="18" t="s">
        <v>313</v>
      </c>
      <c r="B51" s="18" t="s">
        <v>129</v>
      </c>
      <c r="C51" s="18" t="s">
        <v>628</v>
      </c>
      <c r="D51" s="18" t="s">
        <v>625</v>
      </c>
      <c r="E51" s="18" t="n">
        <v>15</v>
      </c>
      <c r="F51" s="18" t="s">
        <v>463</v>
      </c>
      <c r="G51" s="18" t="n">
        <v>0</v>
      </c>
      <c r="H51" s="20" t="n">
        <v>0.336633663366337</v>
      </c>
      <c r="I51" s="18" t="s">
        <v>345</v>
      </c>
      <c r="J51" s="18"/>
    </row>
    <row r="52" customFormat="false" ht="15" hidden="false" customHeight="true" outlineLevel="0" collapsed="false">
      <c r="A52" s="18" t="s">
        <v>313</v>
      </c>
      <c r="B52" s="18" t="s">
        <v>129</v>
      </c>
      <c r="C52" s="18" t="s">
        <v>628</v>
      </c>
      <c r="D52" s="18" t="s">
        <v>625</v>
      </c>
      <c r="E52" s="18" t="n">
        <v>16</v>
      </c>
      <c r="F52" s="18" t="s">
        <v>366</v>
      </c>
      <c r="G52" s="18" t="n">
        <v>15</v>
      </c>
      <c r="H52" s="20" t="n">
        <v>0.28005657708628</v>
      </c>
      <c r="I52" s="18" t="s">
        <v>345</v>
      </c>
      <c r="J52" s="18"/>
    </row>
    <row r="53" customFormat="false" ht="15" hidden="false" customHeight="true" outlineLevel="0" collapsed="false">
      <c r="A53" s="18" t="s">
        <v>313</v>
      </c>
      <c r="B53" s="18" t="s">
        <v>129</v>
      </c>
      <c r="C53" s="18" t="s">
        <v>628</v>
      </c>
      <c r="D53" s="18" t="s">
        <v>625</v>
      </c>
      <c r="E53" s="18" t="n">
        <v>17</v>
      </c>
      <c r="F53" s="18" t="s">
        <v>326</v>
      </c>
      <c r="G53" s="18" t="n">
        <v>30</v>
      </c>
      <c r="H53" s="20" t="n">
        <v>0.227722772277228</v>
      </c>
      <c r="I53" s="18" t="s">
        <v>345</v>
      </c>
      <c r="J53" s="18"/>
    </row>
    <row r="54" customFormat="false" ht="15" hidden="false" customHeight="true" outlineLevel="0" collapsed="false">
      <c r="A54" s="18" t="s">
        <v>313</v>
      </c>
      <c r="B54" s="18" t="s">
        <v>129</v>
      </c>
      <c r="C54" s="18" t="s">
        <v>628</v>
      </c>
      <c r="D54" s="18" t="s">
        <v>625</v>
      </c>
      <c r="E54" s="18" t="n">
        <v>18</v>
      </c>
      <c r="F54" s="18" t="s">
        <v>226</v>
      </c>
      <c r="G54" s="18" t="n">
        <v>45</v>
      </c>
      <c r="H54" s="20" t="n">
        <v>0.205091937765205</v>
      </c>
      <c r="I54" s="18" t="s">
        <v>345</v>
      </c>
      <c r="J54" s="18"/>
    </row>
    <row r="55" customFormat="false" ht="15" hidden="false" customHeight="true" outlineLevel="0" collapsed="false">
      <c r="A55" s="18" t="s">
        <v>313</v>
      </c>
      <c r="B55" s="18" t="s">
        <v>129</v>
      </c>
      <c r="C55" s="18" t="s">
        <v>628</v>
      </c>
      <c r="D55" s="18" t="s">
        <v>625</v>
      </c>
      <c r="E55" s="18" t="n">
        <v>19</v>
      </c>
      <c r="F55" s="18" t="s">
        <v>205</v>
      </c>
      <c r="G55" s="18" t="n">
        <v>60</v>
      </c>
      <c r="H55" s="20" t="n">
        <v>0.1548</v>
      </c>
      <c r="I55" s="18" t="s">
        <v>345</v>
      </c>
      <c r="J55" s="31" t="s">
        <v>216</v>
      </c>
    </row>
    <row r="56" customFormat="false" ht="15" hidden="false" customHeight="true" outlineLevel="0" collapsed="false">
      <c r="A56" s="18" t="s">
        <v>313</v>
      </c>
      <c r="B56" s="18" t="s">
        <v>129</v>
      </c>
      <c r="C56" s="18" t="s">
        <v>628</v>
      </c>
      <c r="D56" s="18" t="s">
        <v>625</v>
      </c>
      <c r="E56" s="18" t="n">
        <v>20</v>
      </c>
      <c r="F56" s="18" t="s">
        <v>532</v>
      </c>
      <c r="G56" s="18" t="n">
        <v>75</v>
      </c>
      <c r="H56" s="20" t="n">
        <v>0.0953</v>
      </c>
      <c r="I56" s="18" t="s">
        <v>345</v>
      </c>
      <c r="J56" s="31" t="s">
        <v>216</v>
      </c>
    </row>
    <row r="57" customFormat="false" ht="15" hidden="false" customHeight="true" outlineLevel="0" collapsed="false">
      <c r="A57" s="18" t="s">
        <v>313</v>
      </c>
      <c r="B57" s="18" t="s">
        <v>129</v>
      </c>
      <c r="C57" s="18" t="s">
        <v>628</v>
      </c>
      <c r="D57" s="18" t="s">
        <v>625</v>
      </c>
      <c r="E57" s="18" t="n">
        <v>21</v>
      </c>
      <c r="F57" s="18" t="s">
        <v>265</v>
      </c>
      <c r="G57" s="18" t="n">
        <v>90</v>
      </c>
      <c r="H57" s="20" t="n">
        <v>0.052</v>
      </c>
      <c r="I57" s="18" t="s">
        <v>345</v>
      </c>
      <c r="J57" s="31" t="s">
        <v>216</v>
      </c>
    </row>
    <row r="58" customFormat="false" ht="15" hidden="false" customHeight="true" outlineLevel="0" collapsed="false">
      <c r="A58" s="18" t="s">
        <v>313</v>
      </c>
      <c r="B58" s="18" t="s">
        <v>129</v>
      </c>
      <c r="C58" s="18" t="s">
        <v>628</v>
      </c>
      <c r="D58" s="18" t="s">
        <v>625</v>
      </c>
      <c r="E58" s="18" t="n">
        <v>22</v>
      </c>
      <c r="F58" s="18" t="s">
        <v>419</v>
      </c>
      <c r="G58" s="18" t="n">
        <v>105</v>
      </c>
      <c r="H58" s="20" t="n">
        <v>0.012</v>
      </c>
      <c r="I58" s="18" t="s">
        <v>345</v>
      </c>
      <c r="J58" s="31" t="s">
        <v>216</v>
      </c>
    </row>
    <row r="59" customFormat="false" ht="15" hidden="false" customHeight="true" outlineLevel="0" collapsed="false">
      <c r="A59" s="18" t="s">
        <v>313</v>
      </c>
      <c r="B59" s="18" t="s">
        <v>129</v>
      </c>
      <c r="C59" s="18" t="s">
        <v>629</v>
      </c>
      <c r="D59" s="18" t="s">
        <v>630</v>
      </c>
      <c r="E59" s="18" t="n">
        <v>0</v>
      </c>
      <c r="F59" s="18" t="s">
        <v>204</v>
      </c>
      <c r="G59" s="18"/>
      <c r="H59" s="20" t="n">
        <v>0.0424710424710425</v>
      </c>
      <c r="I59" s="18" t="s">
        <v>359</v>
      </c>
      <c r="J59" s="18"/>
    </row>
    <row r="60" customFormat="false" ht="15" hidden="false" customHeight="true" outlineLevel="0" collapsed="false">
      <c r="A60" s="18" t="s">
        <v>313</v>
      </c>
      <c r="B60" s="18" t="s">
        <v>129</v>
      </c>
      <c r="C60" s="18" t="s">
        <v>629</v>
      </c>
      <c r="D60" s="18" t="s">
        <v>630</v>
      </c>
      <c r="E60" s="18" t="n">
        <v>3</v>
      </c>
      <c r="F60" s="18" t="s">
        <v>525</v>
      </c>
      <c r="G60" s="18" t="n">
        <v>-180</v>
      </c>
      <c r="H60" s="20" t="n">
        <v>0.0888030888030888</v>
      </c>
      <c r="I60" s="18" t="s">
        <v>359</v>
      </c>
      <c r="J60" s="18"/>
    </row>
    <row r="61" customFormat="false" ht="15" hidden="false" customHeight="true" outlineLevel="0" collapsed="false">
      <c r="A61" s="18" t="s">
        <v>313</v>
      </c>
      <c r="B61" s="18" t="s">
        <v>129</v>
      </c>
      <c r="C61" s="18" t="s">
        <v>629</v>
      </c>
      <c r="D61" s="18" t="s">
        <v>630</v>
      </c>
      <c r="E61" s="18" t="n">
        <v>4</v>
      </c>
      <c r="F61" s="18" t="s">
        <v>526</v>
      </c>
      <c r="G61" s="18" t="n">
        <v>-165</v>
      </c>
      <c r="H61" s="20" t="n">
        <v>0.162162162162162</v>
      </c>
      <c r="I61" s="18" t="s">
        <v>359</v>
      </c>
      <c r="J61" s="18"/>
    </row>
    <row r="62" customFormat="false" ht="15" hidden="false" customHeight="true" outlineLevel="0" collapsed="false">
      <c r="A62" s="18" t="s">
        <v>313</v>
      </c>
      <c r="B62" s="18" t="s">
        <v>129</v>
      </c>
      <c r="C62" s="18" t="s">
        <v>629</v>
      </c>
      <c r="D62" s="18" t="s">
        <v>630</v>
      </c>
      <c r="E62" s="18" t="n">
        <v>5</v>
      </c>
      <c r="F62" s="18" t="s">
        <v>527</v>
      </c>
      <c r="G62" s="18" t="n">
        <v>-150</v>
      </c>
      <c r="H62" s="20" t="n">
        <v>0.262548262548263</v>
      </c>
      <c r="I62" s="18" t="s">
        <v>359</v>
      </c>
      <c r="J62" s="18"/>
    </row>
    <row r="63" customFormat="false" ht="15" hidden="false" customHeight="true" outlineLevel="0" collapsed="false">
      <c r="A63" s="18" t="s">
        <v>313</v>
      </c>
      <c r="B63" s="18" t="s">
        <v>129</v>
      </c>
      <c r="C63" s="18" t="s">
        <v>629</v>
      </c>
      <c r="D63" s="18" t="s">
        <v>630</v>
      </c>
      <c r="E63" s="18" t="n">
        <v>6</v>
      </c>
      <c r="F63" s="18" t="s">
        <v>528</v>
      </c>
      <c r="G63" s="18" t="n">
        <v>-135</v>
      </c>
      <c r="H63" s="20" t="n">
        <v>0.359073359073359</v>
      </c>
      <c r="I63" s="18" t="s">
        <v>359</v>
      </c>
      <c r="J63" s="18"/>
    </row>
    <row r="64" customFormat="false" ht="15" hidden="false" customHeight="true" outlineLevel="0" collapsed="false">
      <c r="A64" s="18" t="s">
        <v>313</v>
      </c>
      <c r="B64" s="18" t="s">
        <v>129</v>
      </c>
      <c r="C64" s="18" t="s">
        <v>629</v>
      </c>
      <c r="D64" s="18" t="s">
        <v>630</v>
      </c>
      <c r="E64" s="18" t="n">
        <v>7</v>
      </c>
      <c r="F64" s="18" t="s">
        <v>227</v>
      </c>
      <c r="G64" s="18" t="n">
        <v>-120</v>
      </c>
      <c r="H64" s="20" t="n">
        <v>0.505791505791506</v>
      </c>
      <c r="I64" s="18" t="s">
        <v>359</v>
      </c>
      <c r="J64" s="18"/>
    </row>
    <row r="65" customFormat="false" ht="15" hidden="false" customHeight="true" outlineLevel="0" collapsed="false">
      <c r="A65" s="18" t="s">
        <v>313</v>
      </c>
      <c r="B65" s="18" t="s">
        <v>129</v>
      </c>
      <c r="C65" s="18" t="s">
        <v>629</v>
      </c>
      <c r="D65" s="18" t="s">
        <v>630</v>
      </c>
      <c r="E65" s="18" t="n">
        <v>8</v>
      </c>
      <c r="F65" s="18" t="s">
        <v>241</v>
      </c>
      <c r="G65" s="18" t="n">
        <v>-105</v>
      </c>
      <c r="H65" s="20" t="n">
        <v>0.625482625482626</v>
      </c>
      <c r="I65" s="18" t="s">
        <v>359</v>
      </c>
      <c r="J65" s="18"/>
    </row>
    <row r="66" customFormat="false" ht="15" hidden="false" customHeight="true" outlineLevel="0" collapsed="false">
      <c r="A66" s="18" t="s">
        <v>313</v>
      </c>
      <c r="B66" s="18" t="s">
        <v>129</v>
      </c>
      <c r="C66" s="18" t="s">
        <v>629</v>
      </c>
      <c r="D66" s="18" t="s">
        <v>630</v>
      </c>
      <c r="E66" s="18" t="n">
        <v>9</v>
      </c>
      <c r="F66" s="18" t="s">
        <v>279</v>
      </c>
      <c r="G66" s="18" t="n">
        <v>-90</v>
      </c>
      <c r="H66" s="20" t="n">
        <v>0.698841698841699</v>
      </c>
      <c r="I66" s="18" t="s">
        <v>359</v>
      </c>
      <c r="J66" s="18"/>
    </row>
    <row r="67" customFormat="false" ht="15" hidden="false" customHeight="true" outlineLevel="0" collapsed="false">
      <c r="A67" s="18" t="s">
        <v>313</v>
      </c>
      <c r="B67" s="18" t="s">
        <v>129</v>
      </c>
      <c r="C67" s="18" t="s">
        <v>629</v>
      </c>
      <c r="D67" s="18" t="s">
        <v>630</v>
      </c>
      <c r="E67" s="18" t="n">
        <v>10</v>
      </c>
      <c r="F67" s="18" t="s">
        <v>206</v>
      </c>
      <c r="G67" s="18" t="n">
        <v>-75</v>
      </c>
      <c r="H67" s="20" t="n">
        <v>0.714285714285714</v>
      </c>
      <c r="I67" s="18" t="s">
        <v>359</v>
      </c>
      <c r="J67" s="18"/>
    </row>
    <row r="68" customFormat="false" ht="15" hidden="false" customHeight="true" outlineLevel="0" collapsed="false">
      <c r="A68" s="18" t="s">
        <v>313</v>
      </c>
      <c r="B68" s="18" t="s">
        <v>129</v>
      </c>
      <c r="C68" s="18" t="s">
        <v>629</v>
      </c>
      <c r="D68" s="18" t="s">
        <v>630</v>
      </c>
      <c r="E68" s="18" t="n">
        <v>11</v>
      </c>
      <c r="F68" s="18" t="s">
        <v>246</v>
      </c>
      <c r="G68" s="18" t="n">
        <v>-60</v>
      </c>
      <c r="H68" s="20" t="n">
        <v>0.648648648648649</v>
      </c>
      <c r="I68" s="18" t="s">
        <v>359</v>
      </c>
      <c r="J68" s="18"/>
    </row>
    <row r="69" customFormat="false" ht="15" hidden="false" customHeight="true" outlineLevel="0" collapsed="false">
      <c r="A69" s="18" t="s">
        <v>313</v>
      </c>
      <c r="B69" s="18" t="s">
        <v>129</v>
      </c>
      <c r="C69" s="18" t="s">
        <v>629</v>
      </c>
      <c r="D69" s="18" t="s">
        <v>630</v>
      </c>
      <c r="E69" s="18" t="n">
        <v>12</v>
      </c>
      <c r="F69" s="18" t="s">
        <v>254</v>
      </c>
      <c r="G69" s="18" t="n">
        <v>-45</v>
      </c>
      <c r="H69" s="20" t="n">
        <v>0.528957528957529</v>
      </c>
      <c r="I69" s="18" t="s">
        <v>359</v>
      </c>
      <c r="J69" s="18"/>
    </row>
    <row r="70" customFormat="false" ht="15" hidden="false" customHeight="true" outlineLevel="0" collapsed="false">
      <c r="A70" s="18" t="s">
        <v>313</v>
      </c>
      <c r="B70" s="18" t="s">
        <v>129</v>
      </c>
      <c r="C70" s="18" t="s">
        <v>629</v>
      </c>
      <c r="D70" s="18" t="s">
        <v>630</v>
      </c>
      <c r="E70" s="18" t="n">
        <v>13</v>
      </c>
      <c r="F70" s="18" t="s">
        <v>403</v>
      </c>
      <c r="G70" s="18" t="n">
        <v>-30</v>
      </c>
      <c r="H70" s="20" t="n">
        <v>0.370656370656371</v>
      </c>
      <c r="I70" s="18" t="s">
        <v>359</v>
      </c>
      <c r="J70" s="18"/>
    </row>
    <row r="71" customFormat="false" ht="15" hidden="false" customHeight="true" outlineLevel="0" collapsed="false">
      <c r="A71" s="18" t="s">
        <v>313</v>
      </c>
      <c r="B71" s="18" t="s">
        <v>129</v>
      </c>
      <c r="C71" s="18" t="s">
        <v>629</v>
      </c>
      <c r="D71" s="18" t="s">
        <v>630</v>
      </c>
      <c r="E71" s="18" t="n">
        <v>14</v>
      </c>
      <c r="F71" s="18" t="s">
        <v>529</v>
      </c>
      <c r="G71" s="18" t="n">
        <v>-15</v>
      </c>
      <c r="H71" s="20" t="n">
        <v>0.281853281853282</v>
      </c>
      <c r="I71" s="18" t="s">
        <v>359</v>
      </c>
      <c r="J71" s="18"/>
    </row>
    <row r="72" customFormat="false" ht="15" hidden="false" customHeight="true" outlineLevel="0" collapsed="false">
      <c r="A72" s="18" t="s">
        <v>313</v>
      </c>
      <c r="B72" s="18" t="s">
        <v>129</v>
      </c>
      <c r="C72" s="18" t="s">
        <v>629</v>
      </c>
      <c r="D72" s="18" t="s">
        <v>630</v>
      </c>
      <c r="E72" s="18" t="n">
        <v>15</v>
      </c>
      <c r="F72" s="18" t="s">
        <v>463</v>
      </c>
      <c r="G72" s="18" t="n">
        <v>0</v>
      </c>
      <c r="H72" s="20" t="n">
        <v>0.193050193050193</v>
      </c>
      <c r="I72" s="18" t="s">
        <v>359</v>
      </c>
      <c r="J72" s="18"/>
    </row>
    <row r="73" customFormat="false" ht="15" hidden="false" customHeight="true" outlineLevel="0" collapsed="false">
      <c r="A73" s="18" t="s">
        <v>313</v>
      </c>
      <c r="B73" s="18" t="s">
        <v>129</v>
      </c>
      <c r="C73" s="18" t="s">
        <v>629</v>
      </c>
      <c r="D73" s="18" t="s">
        <v>630</v>
      </c>
      <c r="E73" s="18" t="n">
        <v>16</v>
      </c>
      <c r="F73" s="18" t="s">
        <v>366</v>
      </c>
      <c r="G73" s="18" t="n">
        <v>15</v>
      </c>
      <c r="H73" s="20" t="n">
        <v>0.138996138996139</v>
      </c>
      <c r="I73" s="18" t="s">
        <v>359</v>
      </c>
      <c r="J73" s="18"/>
    </row>
    <row r="74" customFormat="false" ht="15" hidden="false" customHeight="true" outlineLevel="0" collapsed="false">
      <c r="A74" s="18" t="s">
        <v>313</v>
      </c>
      <c r="B74" s="18" t="s">
        <v>129</v>
      </c>
      <c r="C74" s="18" t="s">
        <v>629</v>
      </c>
      <c r="D74" s="18" t="s">
        <v>630</v>
      </c>
      <c r="E74" s="18" t="n">
        <v>17</v>
      </c>
      <c r="F74" s="18" t="s">
        <v>326</v>
      </c>
      <c r="G74" s="18" t="n">
        <v>30</v>
      </c>
      <c r="H74" s="20" t="n">
        <v>0.0926640926640927</v>
      </c>
      <c r="I74" s="18" t="s">
        <v>359</v>
      </c>
      <c r="J74" s="18"/>
    </row>
    <row r="75" customFormat="false" ht="15" hidden="false" customHeight="true" outlineLevel="0" collapsed="false">
      <c r="A75" s="18" t="s">
        <v>313</v>
      </c>
      <c r="B75" s="18" t="s">
        <v>129</v>
      </c>
      <c r="C75" s="18" t="s">
        <v>629</v>
      </c>
      <c r="D75" s="18" t="s">
        <v>630</v>
      </c>
      <c r="E75" s="18" t="n">
        <v>18</v>
      </c>
      <c r="F75" s="18" t="s">
        <v>226</v>
      </c>
      <c r="G75" s="18" t="n">
        <v>45</v>
      </c>
      <c r="H75" s="20" t="n">
        <v>0.0308880308880309</v>
      </c>
      <c r="I75" s="18" t="s">
        <v>359</v>
      </c>
      <c r="J75" s="18"/>
    </row>
    <row r="76" customFormat="false" ht="15" hidden="false" customHeight="true" outlineLevel="0" collapsed="false">
      <c r="A76" s="18" t="s">
        <v>597</v>
      </c>
      <c r="B76" s="18" t="s">
        <v>129</v>
      </c>
      <c r="C76" s="18" t="s">
        <v>631</v>
      </c>
      <c r="D76" s="18" t="s">
        <v>198</v>
      </c>
      <c r="E76" s="18" t="n">
        <v>7</v>
      </c>
      <c r="F76" s="18" t="s">
        <v>227</v>
      </c>
      <c r="G76" s="18" t="n">
        <v>-120</v>
      </c>
      <c r="H76" s="20" t="n">
        <v>0.483</v>
      </c>
      <c r="I76" s="32" t="s">
        <v>632</v>
      </c>
      <c r="J76" s="18"/>
    </row>
    <row r="77" customFormat="false" ht="15" hidden="false" customHeight="true" outlineLevel="0" collapsed="false">
      <c r="A77" s="18" t="s">
        <v>597</v>
      </c>
      <c r="B77" s="18" t="s">
        <v>129</v>
      </c>
      <c r="C77" s="18" t="s">
        <v>631</v>
      </c>
      <c r="D77" s="18" t="s">
        <v>198</v>
      </c>
      <c r="E77" s="18" t="n">
        <v>8</v>
      </c>
      <c r="F77" s="18" t="s">
        <v>241</v>
      </c>
      <c r="G77" s="18" t="n">
        <v>-105</v>
      </c>
      <c r="H77" s="20" t="n">
        <v>0.587</v>
      </c>
      <c r="I77" s="32" t="s">
        <v>632</v>
      </c>
      <c r="J77" s="18"/>
    </row>
    <row r="78" customFormat="false" ht="15" hidden="false" customHeight="true" outlineLevel="0" collapsed="false">
      <c r="A78" s="18" t="s">
        <v>597</v>
      </c>
      <c r="B78" s="18" t="s">
        <v>129</v>
      </c>
      <c r="C78" s="18" t="s">
        <v>631</v>
      </c>
      <c r="D78" s="18" t="s">
        <v>198</v>
      </c>
      <c r="E78" s="18" t="n">
        <v>9</v>
      </c>
      <c r="F78" s="18" t="s">
        <v>279</v>
      </c>
      <c r="G78" s="18" t="n">
        <v>-90</v>
      </c>
      <c r="H78" s="20" t="n">
        <v>0.67</v>
      </c>
      <c r="I78" s="32" t="s">
        <v>632</v>
      </c>
      <c r="J78" s="18"/>
    </row>
    <row r="79" customFormat="false" ht="15" hidden="false" customHeight="true" outlineLevel="0" collapsed="false">
      <c r="A79" s="18" t="s">
        <v>597</v>
      </c>
      <c r="B79" s="18" t="s">
        <v>129</v>
      </c>
      <c r="C79" s="18" t="s">
        <v>631</v>
      </c>
      <c r="D79" s="18" t="s">
        <v>198</v>
      </c>
      <c r="E79" s="18" t="n">
        <v>10</v>
      </c>
      <c r="F79" s="18" t="s">
        <v>206</v>
      </c>
      <c r="G79" s="18" t="n">
        <v>-75</v>
      </c>
      <c r="H79" s="20" t="n">
        <v>0.707</v>
      </c>
      <c r="I79" s="32" t="s">
        <v>632</v>
      </c>
      <c r="J79" s="18"/>
    </row>
    <row r="80" customFormat="false" ht="15" hidden="false" customHeight="true" outlineLevel="0" collapsed="false">
      <c r="A80" s="18" t="s">
        <v>597</v>
      </c>
      <c r="B80" s="18" t="s">
        <v>129</v>
      </c>
      <c r="C80" s="18" t="s">
        <v>631</v>
      </c>
      <c r="D80" s="18" t="s">
        <v>198</v>
      </c>
      <c r="E80" s="18" t="n">
        <v>11</v>
      </c>
      <c r="F80" s="18" t="s">
        <v>246</v>
      </c>
      <c r="G80" s="18" t="n">
        <v>-60</v>
      </c>
      <c r="H80" s="20" t="n">
        <v>0.708</v>
      </c>
      <c r="I80" s="32" t="s">
        <v>632</v>
      </c>
      <c r="J80" s="18"/>
    </row>
    <row r="81" customFormat="false" ht="15" hidden="false" customHeight="true" outlineLevel="0" collapsed="false">
      <c r="A81" s="18" t="s">
        <v>597</v>
      </c>
      <c r="B81" s="18" t="s">
        <v>129</v>
      </c>
      <c r="C81" s="18" t="s">
        <v>631</v>
      </c>
      <c r="D81" s="18" t="s">
        <v>198</v>
      </c>
      <c r="E81" s="18" t="n">
        <v>12</v>
      </c>
      <c r="F81" s="18" t="s">
        <v>254</v>
      </c>
      <c r="G81" s="18" t="n">
        <v>-45</v>
      </c>
      <c r="H81" s="20" t="n">
        <v>0.65</v>
      </c>
      <c r="I81" s="32" t="s">
        <v>632</v>
      </c>
      <c r="J81" s="18"/>
    </row>
    <row r="82" customFormat="false" ht="15" hidden="false" customHeight="true" outlineLevel="0" collapsed="false">
      <c r="A82" s="18" t="s">
        <v>597</v>
      </c>
      <c r="B82" s="18" t="s">
        <v>129</v>
      </c>
      <c r="C82" s="18" t="s">
        <v>631</v>
      </c>
      <c r="D82" s="18" t="s">
        <v>198</v>
      </c>
      <c r="E82" s="18" t="n">
        <v>13</v>
      </c>
      <c r="F82" s="18" t="s">
        <v>403</v>
      </c>
      <c r="G82" s="18" t="n">
        <v>-30</v>
      </c>
      <c r="H82" s="20" t="n">
        <v>0.573</v>
      </c>
      <c r="I82" s="32" t="s">
        <v>632</v>
      </c>
      <c r="J82" s="18"/>
    </row>
    <row r="83" customFormat="false" ht="15" hidden="false" customHeight="true" outlineLevel="0" collapsed="false">
      <c r="A83" s="18" t="s">
        <v>597</v>
      </c>
      <c r="B83" s="18" t="s">
        <v>129</v>
      </c>
      <c r="C83" s="18" t="s">
        <v>631</v>
      </c>
      <c r="D83" s="18" t="s">
        <v>198</v>
      </c>
      <c r="E83" s="18" t="n">
        <v>14</v>
      </c>
      <c r="F83" s="18" t="s">
        <v>529</v>
      </c>
      <c r="G83" s="18" t="n">
        <v>-15</v>
      </c>
      <c r="H83" s="20" t="n">
        <v>0.458</v>
      </c>
      <c r="I83" s="32" t="s">
        <v>632</v>
      </c>
      <c r="J83" s="18"/>
    </row>
    <row r="84" customFormat="false" ht="15" hidden="false" customHeight="true" outlineLevel="0" collapsed="false">
      <c r="A84" s="18" t="s">
        <v>597</v>
      </c>
      <c r="B84" s="18" t="s">
        <v>129</v>
      </c>
      <c r="C84" s="18" t="s">
        <v>631</v>
      </c>
      <c r="D84" s="18" t="s">
        <v>198</v>
      </c>
      <c r="E84" s="18" t="n">
        <v>15</v>
      </c>
      <c r="F84" s="18" t="s">
        <v>463</v>
      </c>
      <c r="G84" s="18" t="n">
        <v>0</v>
      </c>
      <c r="H84" s="20" t="n">
        <v>0.367</v>
      </c>
      <c r="I84" s="32" t="s">
        <v>632</v>
      </c>
      <c r="J84" s="18"/>
    </row>
    <row r="85" customFormat="false" ht="15" hidden="false" customHeight="true" outlineLevel="0" collapsed="false">
      <c r="A85" s="18" t="s">
        <v>597</v>
      </c>
      <c r="B85" s="18" t="s">
        <v>129</v>
      </c>
      <c r="C85" s="18" t="s">
        <v>631</v>
      </c>
      <c r="D85" s="18" t="s">
        <v>198</v>
      </c>
      <c r="E85" s="18" t="n">
        <v>16</v>
      </c>
      <c r="F85" s="18" t="s">
        <v>366</v>
      </c>
      <c r="G85" s="18" t="n">
        <v>15</v>
      </c>
      <c r="H85" s="20" t="n">
        <v>0.282</v>
      </c>
      <c r="I85" s="32" t="s">
        <v>632</v>
      </c>
      <c r="J85" s="18"/>
    </row>
    <row r="86" customFormat="false" ht="15" hidden="false" customHeight="true" outlineLevel="0" collapsed="false">
      <c r="A86" s="18" t="s">
        <v>597</v>
      </c>
      <c r="B86" s="18" t="s">
        <v>129</v>
      </c>
      <c r="C86" s="18" t="s">
        <v>631</v>
      </c>
      <c r="D86" s="18" t="s">
        <v>198</v>
      </c>
      <c r="E86" s="18" t="n">
        <v>17</v>
      </c>
      <c r="F86" s="18" t="s">
        <v>326</v>
      </c>
      <c r="G86" s="18" t="n">
        <v>30</v>
      </c>
      <c r="H86" s="20" t="n">
        <v>0.197</v>
      </c>
      <c r="I86" s="32" t="s">
        <v>632</v>
      </c>
      <c r="J86" s="18"/>
    </row>
    <row r="87" customFormat="false" ht="15" hidden="false" customHeight="true" outlineLevel="0" collapsed="false">
      <c r="A87" s="18" t="s">
        <v>597</v>
      </c>
      <c r="B87" s="18" t="s">
        <v>129</v>
      </c>
      <c r="C87" s="18" t="s">
        <v>631</v>
      </c>
      <c r="D87" s="18" t="s">
        <v>198</v>
      </c>
      <c r="E87" s="18" t="n">
        <v>18</v>
      </c>
      <c r="F87" s="18" t="s">
        <v>226</v>
      </c>
      <c r="G87" s="18" t="n">
        <v>45</v>
      </c>
      <c r="H87" s="20" t="n">
        <v>0.182</v>
      </c>
      <c r="I87" s="32" t="s">
        <v>632</v>
      </c>
      <c r="J87" s="18"/>
    </row>
    <row r="88" customFormat="false" ht="15" hidden="false" customHeight="true" outlineLevel="0" collapsed="false">
      <c r="A88" s="18" t="s">
        <v>597</v>
      </c>
      <c r="B88" s="18" t="s">
        <v>129</v>
      </c>
      <c r="C88" s="18" t="s">
        <v>631</v>
      </c>
      <c r="D88" s="18" t="s">
        <v>198</v>
      </c>
      <c r="E88" s="18" t="n">
        <v>19</v>
      </c>
      <c r="F88" s="18" t="s">
        <v>205</v>
      </c>
      <c r="G88" s="18" t="n">
        <v>60</v>
      </c>
      <c r="H88" s="20" t="n">
        <v>0.182</v>
      </c>
      <c r="I88" s="32" t="s">
        <v>632</v>
      </c>
      <c r="J88" s="18"/>
    </row>
  </sheetData>
  <autoFilter ref="A1:J8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71484375" defaultRowHeight="15" zeroHeight="false" outlineLevelRow="0" outlineLevelCol="0"/>
  <cols>
    <col collapsed="false" customWidth="true" hidden="false" outlineLevel="0" max="1" min="1" style="0" width="14"/>
    <col collapsed="false" customWidth="true" hidden="false" outlineLevel="0" max="2" min="2" style="0" width="26"/>
    <col collapsed="false" customWidth="true" hidden="false" outlineLevel="0" max="3" min="3" style="0" width="58"/>
    <col collapsed="false" customWidth="true" hidden="false" outlineLevel="0" max="4" min="4" style="0" width="96"/>
    <col collapsed="false" customWidth="true" hidden="false" outlineLevel="0" max="5" min="5" style="0" width="16"/>
  </cols>
  <sheetData>
    <row r="1" customFormat="false" ht="30" hidden="false" customHeight="true" outlineLevel="0" collapsed="false">
      <c r="A1" s="5" t="s">
        <v>167</v>
      </c>
      <c r="B1" s="5" t="s">
        <v>633</v>
      </c>
      <c r="C1" s="5" t="s">
        <v>634</v>
      </c>
      <c r="D1" s="5" t="s">
        <v>635</v>
      </c>
      <c r="E1" s="5" t="s">
        <v>636</v>
      </c>
    </row>
    <row r="2" customFormat="false" ht="33.75" hidden="false" customHeight="true" outlineLevel="0" collapsed="false">
      <c r="A2" s="6" t="s">
        <v>262</v>
      </c>
      <c r="B2" s="6" t="s">
        <v>608</v>
      </c>
      <c r="C2" s="7" t="s">
        <v>637</v>
      </c>
      <c r="D2" s="7" t="s">
        <v>638</v>
      </c>
      <c r="E2" s="33" t="s">
        <v>639</v>
      </c>
    </row>
    <row r="3" customFormat="false" ht="33.75" hidden="false" customHeight="true" outlineLevel="0" collapsed="false">
      <c r="A3" s="6" t="s">
        <v>262</v>
      </c>
      <c r="B3" s="6" t="s">
        <v>612</v>
      </c>
      <c r="C3" s="7" t="s">
        <v>640</v>
      </c>
      <c r="D3" s="7" t="s">
        <v>641</v>
      </c>
      <c r="E3" s="10" t="s">
        <v>642</v>
      </c>
    </row>
    <row r="4" customFormat="false" ht="33.75" hidden="false" customHeight="true" outlineLevel="0" collapsed="false">
      <c r="A4" s="6" t="s">
        <v>394</v>
      </c>
      <c r="B4" s="6" t="s">
        <v>608</v>
      </c>
      <c r="C4" s="7" t="s">
        <v>643</v>
      </c>
      <c r="D4" s="7" t="s">
        <v>644</v>
      </c>
      <c r="E4" s="33" t="s">
        <v>639</v>
      </c>
    </row>
    <row r="5" customFormat="false" ht="33.75" hidden="false" customHeight="true" outlineLevel="0" collapsed="false">
      <c r="A5" s="6" t="s">
        <v>394</v>
      </c>
      <c r="B5" s="6" t="s">
        <v>615</v>
      </c>
      <c r="C5" s="7" t="s">
        <v>645</v>
      </c>
      <c r="D5" s="7" t="s">
        <v>646</v>
      </c>
      <c r="E5" s="10" t="s">
        <v>642</v>
      </c>
    </row>
    <row r="6" customFormat="false" ht="33.75" hidden="false" customHeight="true" outlineLevel="0" collapsed="false">
      <c r="A6" s="6" t="s">
        <v>195</v>
      </c>
      <c r="B6" s="6" t="s">
        <v>616</v>
      </c>
      <c r="C6" s="7" t="s">
        <v>647</v>
      </c>
      <c r="D6" s="7" t="s">
        <v>648</v>
      </c>
      <c r="E6" s="33" t="s">
        <v>639</v>
      </c>
    </row>
    <row r="7" customFormat="false" ht="33.75" hidden="false" customHeight="true" outlineLevel="0" collapsed="false">
      <c r="A7" s="6" t="s">
        <v>195</v>
      </c>
      <c r="B7" s="6" t="s">
        <v>618</v>
      </c>
      <c r="C7" s="7" t="s">
        <v>649</v>
      </c>
      <c r="D7" s="7" t="s">
        <v>650</v>
      </c>
      <c r="E7" s="10" t="s">
        <v>642</v>
      </c>
    </row>
    <row r="8" customFormat="false" ht="33.75" hidden="false" customHeight="true" outlineLevel="0" collapsed="false">
      <c r="A8" s="6" t="s">
        <v>313</v>
      </c>
      <c r="B8" s="6" t="s">
        <v>616</v>
      </c>
      <c r="C8" s="7" t="s">
        <v>651</v>
      </c>
      <c r="D8" s="7" t="s">
        <v>652</v>
      </c>
      <c r="E8" s="33" t="s">
        <v>639</v>
      </c>
    </row>
    <row r="9" customFormat="false" ht="33.75" hidden="false" customHeight="true" outlineLevel="0" collapsed="false">
      <c r="A9" s="6" t="s">
        <v>313</v>
      </c>
      <c r="B9" s="6" t="s">
        <v>619</v>
      </c>
      <c r="C9" s="7" t="s">
        <v>649</v>
      </c>
      <c r="D9" s="7" t="s">
        <v>653</v>
      </c>
      <c r="E9" s="10" t="s">
        <v>642</v>
      </c>
    </row>
    <row r="10" customFormat="false" ht="33.75" hidden="false" customHeight="true" outlineLevel="0" collapsed="false">
      <c r="A10" s="6" t="s">
        <v>195</v>
      </c>
      <c r="B10" s="6" t="s">
        <v>654</v>
      </c>
      <c r="C10" s="7" t="s">
        <v>655</v>
      </c>
      <c r="D10" s="7" t="s">
        <v>656</v>
      </c>
      <c r="E10" s="33" t="s">
        <v>639</v>
      </c>
    </row>
    <row r="11" customFormat="false" ht="33.75" hidden="false" customHeight="true" outlineLevel="0" collapsed="false">
      <c r="A11" s="6" t="s">
        <v>195</v>
      </c>
      <c r="B11" s="6" t="s">
        <v>657</v>
      </c>
      <c r="C11" s="7" t="s">
        <v>658</v>
      </c>
      <c r="D11" s="7" t="s">
        <v>659</v>
      </c>
      <c r="E11" s="33" t="s">
        <v>639</v>
      </c>
    </row>
    <row r="12" customFormat="false" ht="33.75" hidden="false" customHeight="true" outlineLevel="0" collapsed="false">
      <c r="A12" s="6" t="s">
        <v>313</v>
      </c>
      <c r="B12" s="6" t="s">
        <v>654</v>
      </c>
      <c r="C12" s="7" t="s">
        <v>660</v>
      </c>
      <c r="D12" s="7" t="s">
        <v>661</v>
      </c>
      <c r="E12" s="33" t="s">
        <v>639</v>
      </c>
    </row>
    <row r="13" customFormat="false" ht="33.75" hidden="false" customHeight="true" outlineLevel="0" collapsed="false">
      <c r="A13" s="6" t="s">
        <v>313</v>
      </c>
      <c r="B13" s="6" t="s">
        <v>662</v>
      </c>
      <c r="C13" s="7" t="s">
        <v>663</v>
      </c>
      <c r="D13" s="7" t="s">
        <v>664</v>
      </c>
      <c r="E13" s="33" t="s">
        <v>639</v>
      </c>
    </row>
    <row r="14" customFormat="false" ht="33.75" hidden="false" customHeight="true" outlineLevel="0" collapsed="false">
      <c r="A14" s="6" t="s">
        <v>597</v>
      </c>
      <c r="B14" s="6" t="s">
        <v>654</v>
      </c>
      <c r="C14" s="7" t="s">
        <v>665</v>
      </c>
      <c r="D14" s="7" t="s">
        <v>666</v>
      </c>
      <c r="E14" s="33" t="s">
        <v>639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9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71484375" defaultRowHeight="15" zeroHeight="false" outlineLevelRow="0" outlineLevelCol="0"/>
  <cols>
    <col collapsed="false" customWidth="true" hidden="false" outlineLevel="0" max="1" min="1" style="0" width="13"/>
    <col collapsed="false" customWidth="true" hidden="false" outlineLevel="0" max="2" min="2" style="0" width="54"/>
    <col collapsed="false" customWidth="true" hidden="false" outlineLevel="0" max="3" min="3" style="0" width="52"/>
    <col collapsed="false" customWidth="true" hidden="false" outlineLevel="0" max="4" min="4" style="0" width="9"/>
    <col collapsed="false" customWidth="true" hidden="false" outlineLevel="0" max="5" min="5" style="0" width="14"/>
    <col collapsed="false" customWidth="true" hidden="false" outlineLevel="0" max="6" min="6" style="0" width="12"/>
    <col collapsed="false" customWidth="true" hidden="false" outlineLevel="0" max="8" min="7" style="0" width="9"/>
    <col collapsed="false" customWidth="true" hidden="false" outlineLevel="0" max="10" min="9" style="0" width="10"/>
    <col collapsed="false" customWidth="true" hidden="false" outlineLevel="0" max="12" min="11" style="0" width="11"/>
    <col collapsed="false" customWidth="true" hidden="false" outlineLevel="0" max="13" min="13" style="0" width="12"/>
  </cols>
  <sheetData>
    <row r="1" customFormat="false" ht="30" hidden="false" customHeight="true" outlineLevel="0" collapsed="false">
      <c r="A1" s="5" t="s">
        <v>167</v>
      </c>
      <c r="B1" s="5" t="s">
        <v>667</v>
      </c>
      <c r="C1" s="5" t="s">
        <v>668</v>
      </c>
      <c r="D1" s="5" t="s">
        <v>513</v>
      </c>
      <c r="E1" s="5" t="s">
        <v>514</v>
      </c>
      <c r="F1" s="5" t="s">
        <v>515</v>
      </c>
      <c r="G1" s="5" t="s">
        <v>516</v>
      </c>
      <c r="H1" s="5" t="s">
        <v>517</v>
      </c>
      <c r="I1" s="5" t="s">
        <v>518</v>
      </c>
      <c r="J1" s="5" t="s">
        <v>519</v>
      </c>
      <c r="K1" s="5" t="s">
        <v>520</v>
      </c>
      <c r="L1" s="5" t="s">
        <v>181</v>
      </c>
      <c r="M1" s="5" t="s">
        <v>521</v>
      </c>
    </row>
    <row r="2" customFormat="false" ht="23.25" hidden="false" customHeight="true" outlineLevel="0" collapsed="false">
      <c r="A2" s="6" t="s">
        <v>262</v>
      </c>
      <c r="B2" s="7" t="s">
        <v>669</v>
      </c>
      <c r="C2" s="13" t="s">
        <v>670</v>
      </c>
      <c r="D2" s="6" t="n">
        <v>0</v>
      </c>
      <c r="E2" s="6" t="s">
        <v>204</v>
      </c>
      <c r="F2" s="6"/>
      <c r="G2" s="6" t="n">
        <v>0</v>
      </c>
      <c r="H2" s="6" t="n">
        <v>0</v>
      </c>
      <c r="I2" s="18" t="n">
        <f aca="false">SUMIFS($G$2:$G$120,$B$2:$B$120,$B2,$D$2:$D$120,"&lt;="&amp;$D2)</f>
        <v>0</v>
      </c>
      <c r="J2" s="18" t="n">
        <f aca="false">SUMIFS($H$2:$H$120,$B$2:$B$120,$B2,$D$2:$D$120,"&lt;="&amp;$D2)</f>
        <v>0</v>
      </c>
      <c r="K2" s="18" t="n">
        <f aca="false">I2-J2</f>
        <v>0</v>
      </c>
      <c r="L2" s="18" t="n">
        <f aca="false">SUMIF($B$2:$B$120,$B2,$G$2:$G$120)</f>
        <v>585</v>
      </c>
      <c r="M2" s="20" t="n">
        <f aca="false">IF(L2=0,"",K2/L2)</f>
        <v>0</v>
      </c>
    </row>
    <row r="3" customFormat="false" ht="23.25" hidden="false" customHeight="true" outlineLevel="0" collapsed="false">
      <c r="A3" s="6" t="s">
        <v>262</v>
      </c>
      <c r="B3" s="7" t="s">
        <v>669</v>
      </c>
      <c r="C3" s="13" t="s">
        <v>670</v>
      </c>
      <c r="D3" s="6" t="n">
        <v>1</v>
      </c>
      <c r="E3" s="6" t="s">
        <v>531</v>
      </c>
      <c r="F3" s="6" t="n">
        <v>-210</v>
      </c>
      <c r="G3" s="6" t="n">
        <v>194</v>
      </c>
      <c r="H3" s="6" t="n">
        <v>0</v>
      </c>
      <c r="I3" s="18" t="n">
        <f aca="false">SUMIFS($G$2:$G$120,$B$2:$B$120,$B3,$D$2:$D$120,"&lt;="&amp;$D3)</f>
        <v>194</v>
      </c>
      <c r="J3" s="18" t="n">
        <f aca="false">SUMIFS($H$2:$H$120,$B$2:$B$120,$B3,$D$2:$D$120,"&lt;="&amp;$D3)</f>
        <v>0</v>
      </c>
      <c r="K3" s="18" t="n">
        <f aca="false">I3-J3</f>
        <v>194</v>
      </c>
      <c r="L3" s="18" t="n">
        <f aca="false">SUMIF($B$2:$B$120,$B3,$G$2:$G$120)</f>
        <v>585</v>
      </c>
      <c r="M3" s="20" t="n">
        <f aca="false">IF(L3=0,"",K3/L3)</f>
        <v>0.331623931623932</v>
      </c>
    </row>
    <row r="4" customFormat="false" ht="23.25" hidden="false" customHeight="true" outlineLevel="0" collapsed="false">
      <c r="A4" s="6" t="s">
        <v>262</v>
      </c>
      <c r="B4" s="7" t="s">
        <v>669</v>
      </c>
      <c r="C4" s="13" t="s">
        <v>670</v>
      </c>
      <c r="D4" s="6" t="n">
        <v>2</v>
      </c>
      <c r="E4" s="6" t="s">
        <v>340</v>
      </c>
      <c r="F4" s="6" t="n">
        <v>-195</v>
      </c>
      <c r="G4" s="6" t="n">
        <v>76</v>
      </c>
      <c r="H4" s="6" t="n">
        <v>6</v>
      </c>
      <c r="I4" s="18" t="n">
        <f aca="false">SUMIFS($G$2:$G$120,$B$2:$B$120,$B4,$D$2:$D$120,"&lt;="&amp;$D4)</f>
        <v>270</v>
      </c>
      <c r="J4" s="18" t="n">
        <f aca="false">SUMIFS($H$2:$H$120,$B$2:$B$120,$B4,$D$2:$D$120,"&lt;="&amp;$D4)</f>
        <v>6</v>
      </c>
      <c r="K4" s="18" t="n">
        <f aca="false">I4-J4</f>
        <v>264</v>
      </c>
      <c r="L4" s="18" t="n">
        <f aca="false">SUMIF($B$2:$B$120,$B4,$G$2:$G$120)</f>
        <v>585</v>
      </c>
      <c r="M4" s="20" t="n">
        <f aca="false">IF(L4=0,"",K4/L4)</f>
        <v>0.451282051282051</v>
      </c>
    </row>
    <row r="5" customFormat="false" ht="23.25" hidden="false" customHeight="true" outlineLevel="0" collapsed="false">
      <c r="A5" s="6" t="s">
        <v>262</v>
      </c>
      <c r="B5" s="7" t="s">
        <v>669</v>
      </c>
      <c r="C5" s="13" t="s">
        <v>670</v>
      </c>
      <c r="D5" s="6" t="n">
        <v>3</v>
      </c>
      <c r="E5" s="6" t="s">
        <v>525</v>
      </c>
      <c r="F5" s="6" t="n">
        <v>-180</v>
      </c>
      <c r="G5" s="6" t="n">
        <v>82</v>
      </c>
      <c r="H5" s="6" t="n">
        <v>5</v>
      </c>
      <c r="I5" s="18" t="n">
        <f aca="false">SUMIFS($G$2:$G$120,$B$2:$B$120,$B5,$D$2:$D$120,"&lt;="&amp;$D5)</f>
        <v>352</v>
      </c>
      <c r="J5" s="18" t="n">
        <f aca="false">SUMIFS($H$2:$H$120,$B$2:$B$120,$B5,$D$2:$D$120,"&lt;="&amp;$D5)</f>
        <v>11</v>
      </c>
      <c r="K5" s="18" t="n">
        <f aca="false">I5-J5</f>
        <v>341</v>
      </c>
      <c r="L5" s="18" t="n">
        <f aca="false">SUMIF($B$2:$B$120,$B5,$G$2:$G$120)</f>
        <v>585</v>
      </c>
      <c r="M5" s="20" t="n">
        <f aca="false">IF(L5=0,"",K5/L5)</f>
        <v>0.582905982905983</v>
      </c>
    </row>
    <row r="6" customFormat="false" ht="23.25" hidden="false" customHeight="true" outlineLevel="0" collapsed="false">
      <c r="A6" s="6" t="s">
        <v>262</v>
      </c>
      <c r="B6" s="7" t="s">
        <v>669</v>
      </c>
      <c r="C6" s="13" t="s">
        <v>670</v>
      </c>
      <c r="D6" s="6" t="n">
        <v>4</v>
      </c>
      <c r="E6" s="6" t="s">
        <v>526</v>
      </c>
      <c r="F6" s="6" t="n">
        <v>-165</v>
      </c>
      <c r="G6" s="6" t="n">
        <v>99</v>
      </c>
      <c r="H6" s="6" t="n">
        <v>2</v>
      </c>
      <c r="I6" s="18" t="n">
        <f aca="false">SUMIFS($G$2:$G$120,$B$2:$B$120,$B6,$D$2:$D$120,"&lt;="&amp;$D6)</f>
        <v>451</v>
      </c>
      <c r="J6" s="18" t="n">
        <f aca="false">SUMIFS($H$2:$H$120,$B$2:$B$120,$B6,$D$2:$D$120,"&lt;="&amp;$D6)</f>
        <v>13</v>
      </c>
      <c r="K6" s="18" t="n">
        <f aca="false">I6-J6</f>
        <v>438</v>
      </c>
      <c r="L6" s="18" t="n">
        <f aca="false">SUMIF($B$2:$B$120,$B6,$G$2:$G$120)</f>
        <v>585</v>
      </c>
      <c r="M6" s="20" t="n">
        <f aca="false">IF(L6=0,"",K6/L6)</f>
        <v>0.748717948717949</v>
      </c>
    </row>
    <row r="7" customFormat="false" ht="23.25" hidden="false" customHeight="true" outlineLevel="0" collapsed="false">
      <c r="A7" s="6" t="s">
        <v>262</v>
      </c>
      <c r="B7" s="7" t="s">
        <v>669</v>
      </c>
      <c r="C7" s="13" t="s">
        <v>670</v>
      </c>
      <c r="D7" s="6" t="n">
        <v>5</v>
      </c>
      <c r="E7" s="6" t="s">
        <v>527</v>
      </c>
      <c r="F7" s="6" t="n">
        <v>-150</v>
      </c>
      <c r="G7" s="6" t="n">
        <v>55</v>
      </c>
      <c r="H7" s="6" t="n">
        <v>3</v>
      </c>
      <c r="I7" s="18" t="n">
        <f aca="false">SUMIFS($G$2:$G$120,$B$2:$B$120,$B7,$D$2:$D$120,"&lt;="&amp;$D7)</f>
        <v>506</v>
      </c>
      <c r="J7" s="18" t="n">
        <f aca="false">SUMIFS($H$2:$H$120,$B$2:$B$120,$B7,$D$2:$D$120,"&lt;="&amp;$D7)</f>
        <v>16</v>
      </c>
      <c r="K7" s="18" t="n">
        <f aca="false">I7-J7</f>
        <v>490</v>
      </c>
      <c r="L7" s="18" t="n">
        <f aca="false">SUMIF($B$2:$B$120,$B7,$G$2:$G$120)</f>
        <v>585</v>
      </c>
      <c r="M7" s="20" t="n">
        <f aca="false">IF(L7=0,"",K7/L7)</f>
        <v>0.837606837606838</v>
      </c>
    </row>
    <row r="8" customFormat="false" ht="23.25" hidden="false" customHeight="true" outlineLevel="0" collapsed="false">
      <c r="A8" s="6" t="s">
        <v>262</v>
      </c>
      <c r="B8" s="7" t="s">
        <v>669</v>
      </c>
      <c r="C8" s="13" t="s">
        <v>670</v>
      </c>
      <c r="D8" s="6" t="n">
        <v>6</v>
      </c>
      <c r="E8" s="6" t="s">
        <v>528</v>
      </c>
      <c r="F8" s="6" t="n">
        <v>-135</v>
      </c>
      <c r="G8" s="6" t="n">
        <v>33</v>
      </c>
      <c r="H8" s="6" t="n">
        <v>28</v>
      </c>
      <c r="I8" s="18" t="n">
        <f aca="false">SUMIFS($G$2:$G$120,$B$2:$B$120,$B8,$D$2:$D$120,"&lt;="&amp;$D8)</f>
        <v>539</v>
      </c>
      <c r="J8" s="18" t="n">
        <f aca="false">SUMIFS($H$2:$H$120,$B$2:$B$120,$B8,$D$2:$D$120,"&lt;="&amp;$D8)</f>
        <v>44</v>
      </c>
      <c r="K8" s="18" t="n">
        <f aca="false">I8-J8</f>
        <v>495</v>
      </c>
      <c r="L8" s="18" t="n">
        <f aca="false">SUMIF($B$2:$B$120,$B8,$G$2:$G$120)</f>
        <v>585</v>
      </c>
      <c r="M8" s="20" t="n">
        <f aca="false">IF(L8=0,"",K8/L8)</f>
        <v>0.846153846153846</v>
      </c>
    </row>
    <row r="9" customFormat="false" ht="23.25" hidden="false" customHeight="true" outlineLevel="0" collapsed="false">
      <c r="A9" s="6" t="s">
        <v>262</v>
      </c>
      <c r="B9" s="7" t="s">
        <v>669</v>
      </c>
      <c r="C9" s="13" t="s">
        <v>670</v>
      </c>
      <c r="D9" s="6" t="n">
        <v>7</v>
      </c>
      <c r="E9" s="6" t="s">
        <v>227</v>
      </c>
      <c r="F9" s="6" t="n">
        <v>-120</v>
      </c>
      <c r="G9" s="6" t="n">
        <v>25</v>
      </c>
      <c r="H9" s="6" t="n">
        <v>35</v>
      </c>
      <c r="I9" s="18" t="n">
        <f aca="false">SUMIFS($G$2:$G$120,$B$2:$B$120,$B9,$D$2:$D$120,"&lt;="&amp;$D9)</f>
        <v>564</v>
      </c>
      <c r="J9" s="18" t="n">
        <f aca="false">SUMIFS($H$2:$H$120,$B$2:$B$120,$B9,$D$2:$D$120,"&lt;="&amp;$D9)</f>
        <v>79</v>
      </c>
      <c r="K9" s="18" t="n">
        <f aca="false">I9-J9</f>
        <v>485</v>
      </c>
      <c r="L9" s="18" t="n">
        <f aca="false">SUMIF($B$2:$B$120,$B9,$G$2:$G$120)</f>
        <v>585</v>
      </c>
      <c r="M9" s="20" t="n">
        <f aca="false">IF(L9=0,"",K9/L9)</f>
        <v>0.829059829059829</v>
      </c>
    </row>
    <row r="10" customFormat="false" ht="23.25" hidden="false" customHeight="true" outlineLevel="0" collapsed="false">
      <c r="A10" s="6" t="s">
        <v>262</v>
      </c>
      <c r="B10" s="7" t="s">
        <v>669</v>
      </c>
      <c r="C10" s="13" t="s">
        <v>670</v>
      </c>
      <c r="D10" s="6" t="n">
        <v>8</v>
      </c>
      <c r="E10" s="6" t="s">
        <v>241</v>
      </c>
      <c r="F10" s="6" t="n">
        <v>-105</v>
      </c>
      <c r="G10" s="6" t="n">
        <v>12</v>
      </c>
      <c r="H10" s="6" t="n">
        <v>68</v>
      </c>
      <c r="I10" s="18" t="n">
        <f aca="false">SUMIFS($G$2:$G$120,$B$2:$B$120,$B10,$D$2:$D$120,"&lt;="&amp;$D10)</f>
        <v>576</v>
      </c>
      <c r="J10" s="18" t="n">
        <f aca="false">SUMIFS($H$2:$H$120,$B$2:$B$120,$B10,$D$2:$D$120,"&lt;="&amp;$D10)</f>
        <v>147</v>
      </c>
      <c r="K10" s="18" t="n">
        <f aca="false">I10-J10</f>
        <v>429</v>
      </c>
      <c r="L10" s="18" t="n">
        <f aca="false">SUMIF($B$2:$B$120,$B10,$G$2:$G$120)</f>
        <v>585</v>
      </c>
      <c r="M10" s="20" t="n">
        <f aca="false">IF(L10=0,"",K10/L10)</f>
        <v>0.733333333333333</v>
      </c>
    </row>
    <row r="11" customFormat="false" ht="23.25" hidden="false" customHeight="true" outlineLevel="0" collapsed="false">
      <c r="A11" s="6" t="s">
        <v>262</v>
      </c>
      <c r="B11" s="7" t="s">
        <v>669</v>
      </c>
      <c r="C11" s="13" t="s">
        <v>670</v>
      </c>
      <c r="D11" s="6" t="n">
        <v>9</v>
      </c>
      <c r="E11" s="6" t="s">
        <v>279</v>
      </c>
      <c r="F11" s="6" t="n">
        <v>-90</v>
      </c>
      <c r="G11" s="6" t="n">
        <v>7</v>
      </c>
      <c r="H11" s="6" t="n">
        <v>94</v>
      </c>
      <c r="I11" s="18" t="n">
        <f aca="false">SUMIFS($G$2:$G$120,$B$2:$B$120,$B11,$D$2:$D$120,"&lt;="&amp;$D11)</f>
        <v>583</v>
      </c>
      <c r="J11" s="18" t="n">
        <f aca="false">SUMIFS($H$2:$H$120,$B$2:$B$120,$B11,$D$2:$D$120,"&lt;="&amp;$D11)</f>
        <v>241</v>
      </c>
      <c r="K11" s="18" t="n">
        <f aca="false">I11-J11</f>
        <v>342</v>
      </c>
      <c r="L11" s="18" t="n">
        <f aca="false">SUMIF($B$2:$B$120,$B11,$G$2:$G$120)</f>
        <v>585</v>
      </c>
      <c r="M11" s="20" t="n">
        <f aca="false">IF(L11=0,"",K11/L11)</f>
        <v>0.584615384615385</v>
      </c>
    </row>
    <row r="12" customFormat="false" ht="23.25" hidden="false" customHeight="true" outlineLevel="0" collapsed="false">
      <c r="A12" s="6" t="s">
        <v>262</v>
      </c>
      <c r="B12" s="7" t="s">
        <v>669</v>
      </c>
      <c r="C12" s="13" t="s">
        <v>670</v>
      </c>
      <c r="D12" s="6" t="n">
        <v>10</v>
      </c>
      <c r="E12" s="6" t="s">
        <v>206</v>
      </c>
      <c r="F12" s="6" t="n">
        <v>-75</v>
      </c>
      <c r="G12" s="6" t="n">
        <v>1</v>
      </c>
      <c r="H12" s="6" t="n">
        <v>136</v>
      </c>
      <c r="I12" s="18" t="n">
        <f aca="false">SUMIFS($G$2:$G$120,$B$2:$B$120,$B12,$D$2:$D$120,"&lt;="&amp;$D12)</f>
        <v>584</v>
      </c>
      <c r="J12" s="18" t="n">
        <f aca="false">SUMIFS($H$2:$H$120,$B$2:$B$120,$B12,$D$2:$D$120,"&lt;="&amp;$D12)</f>
        <v>377</v>
      </c>
      <c r="K12" s="18" t="n">
        <f aca="false">I12-J12</f>
        <v>207</v>
      </c>
      <c r="L12" s="18" t="n">
        <f aca="false">SUMIF($B$2:$B$120,$B12,$G$2:$G$120)</f>
        <v>585</v>
      </c>
      <c r="M12" s="20" t="n">
        <f aca="false">IF(L12=0,"",K12/L12)</f>
        <v>0.353846153846154</v>
      </c>
    </row>
    <row r="13" customFormat="false" ht="23.25" hidden="false" customHeight="true" outlineLevel="0" collapsed="false">
      <c r="A13" s="6" t="s">
        <v>262</v>
      </c>
      <c r="B13" s="7" t="s">
        <v>669</v>
      </c>
      <c r="C13" s="13" t="s">
        <v>670</v>
      </c>
      <c r="D13" s="6" t="n">
        <v>11</v>
      </c>
      <c r="E13" s="6" t="s">
        <v>246</v>
      </c>
      <c r="F13" s="6" t="n">
        <v>-60</v>
      </c>
      <c r="G13" s="6" t="n">
        <v>0</v>
      </c>
      <c r="H13" s="6" t="n">
        <v>65</v>
      </c>
      <c r="I13" s="18" t="n">
        <f aca="false">SUMIFS($G$2:$G$120,$B$2:$B$120,$B13,$D$2:$D$120,"&lt;="&amp;$D13)</f>
        <v>584</v>
      </c>
      <c r="J13" s="18" t="n">
        <f aca="false">SUMIFS($H$2:$H$120,$B$2:$B$120,$B13,$D$2:$D$120,"&lt;="&amp;$D13)</f>
        <v>442</v>
      </c>
      <c r="K13" s="18" t="n">
        <f aca="false">I13-J13</f>
        <v>142</v>
      </c>
      <c r="L13" s="18" t="n">
        <f aca="false">SUMIF($B$2:$B$120,$B13,$G$2:$G$120)</f>
        <v>585</v>
      </c>
      <c r="M13" s="20" t="n">
        <f aca="false">IF(L13=0,"",K13/L13)</f>
        <v>0.242735042735043</v>
      </c>
    </row>
    <row r="14" customFormat="false" ht="23.25" hidden="false" customHeight="true" outlineLevel="0" collapsed="false">
      <c r="A14" s="6" t="s">
        <v>262</v>
      </c>
      <c r="B14" s="7" t="s">
        <v>669</v>
      </c>
      <c r="C14" s="13" t="s">
        <v>670</v>
      </c>
      <c r="D14" s="6" t="n">
        <v>12</v>
      </c>
      <c r="E14" s="6" t="s">
        <v>254</v>
      </c>
      <c r="F14" s="6" t="n">
        <v>-45</v>
      </c>
      <c r="G14" s="6" t="n">
        <v>0</v>
      </c>
      <c r="H14" s="6" t="n">
        <v>71</v>
      </c>
      <c r="I14" s="18" t="n">
        <f aca="false">SUMIFS($G$2:$G$120,$B$2:$B$120,$B14,$D$2:$D$120,"&lt;="&amp;$D14)</f>
        <v>584</v>
      </c>
      <c r="J14" s="18" t="n">
        <f aca="false">SUMIFS($H$2:$H$120,$B$2:$B$120,$B14,$D$2:$D$120,"&lt;="&amp;$D14)</f>
        <v>513</v>
      </c>
      <c r="K14" s="18" t="n">
        <f aca="false">I14-J14</f>
        <v>71</v>
      </c>
      <c r="L14" s="18" t="n">
        <f aca="false">SUMIF($B$2:$B$120,$B14,$G$2:$G$120)</f>
        <v>585</v>
      </c>
      <c r="M14" s="20" t="n">
        <f aca="false">IF(L14=0,"",K14/L14)</f>
        <v>0.121367521367521</v>
      </c>
    </row>
    <row r="15" customFormat="false" ht="23.25" hidden="false" customHeight="true" outlineLevel="0" collapsed="false">
      <c r="A15" s="6" t="s">
        <v>262</v>
      </c>
      <c r="B15" s="7" t="s">
        <v>669</v>
      </c>
      <c r="C15" s="13" t="s">
        <v>670</v>
      </c>
      <c r="D15" s="6" t="n">
        <v>13</v>
      </c>
      <c r="E15" s="6" t="s">
        <v>403</v>
      </c>
      <c r="F15" s="6" t="n">
        <v>-30</v>
      </c>
      <c r="G15" s="6" t="n">
        <v>0</v>
      </c>
      <c r="H15" s="6" t="n">
        <v>31</v>
      </c>
      <c r="I15" s="18" t="n">
        <f aca="false">SUMIFS($G$2:$G$120,$B$2:$B$120,$B15,$D$2:$D$120,"&lt;="&amp;$D15)</f>
        <v>584</v>
      </c>
      <c r="J15" s="18" t="n">
        <f aca="false">SUMIFS($H$2:$H$120,$B$2:$B$120,$B15,$D$2:$D$120,"&lt;="&amp;$D15)</f>
        <v>544</v>
      </c>
      <c r="K15" s="18" t="n">
        <f aca="false">I15-J15</f>
        <v>40</v>
      </c>
      <c r="L15" s="18" t="n">
        <f aca="false">SUMIF($B$2:$B$120,$B15,$G$2:$G$120)</f>
        <v>585</v>
      </c>
      <c r="M15" s="20" t="n">
        <f aca="false">IF(L15=0,"",K15/L15)</f>
        <v>0.0683760683760684</v>
      </c>
    </row>
    <row r="16" customFormat="false" ht="23.25" hidden="false" customHeight="true" outlineLevel="0" collapsed="false">
      <c r="A16" s="6" t="s">
        <v>262</v>
      </c>
      <c r="B16" s="7" t="s">
        <v>669</v>
      </c>
      <c r="C16" s="13" t="s">
        <v>670</v>
      </c>
      <c r="D16" s="6" t="n">
        <v>14</v>
      </c>
      <c r="E16" s="6" t="s">
        <v>529</v>
      </c>
      <c r="F16" s="6" t="n">
        <v>-15</v>
      </c>
      <c r="G16" s="6" t="n">
        <v>1</v>
      </c>
      <c r="H16" s="6" t="n">
        <v>11</v>
      </c>
      <c r="I16" s="18" t="n">
        <f aca="false">SUMIFS($G$2:$G$120,$B$2:$B$120,$B16,$D$2:$D$120,"&lt;="&amp;$D16)</f>
        <v>585</v>
      </c>
      <c r="J16" s="18" t="n">
        <f aca="false">SUMIFS($H$2:$H$120,$B$2:$B$120,$B16,$D$2:$D$120,"&lt;="&amp;$D16)</f>
        <v>555</v>
      </c>
      <c r="K16" s="18" t="n">
        <f aca="false">I16-J16</f>
        <v>30</v>
      </c>
      <c r="L16" s="18" t="n">
        <f aca="false">SUMIF($B$2:$B$120,$B16,$G$2:$G$120)</f>
        <v>585</v>
      </c>
      <c r="M16" s="20" t="n">
        <f aca="false">IF(L16=0,"",K16/L16)</f>
        <v>0.0512820512820513</v>
      </c>
    </row>
    <row r="17" customFormat="false" ht="23.25" hidden="false" customHeight="true" outlineLevel="0" collapsed="false">
      <c r="A17" s="6" t="s">
        <v>262</v>
      </c>
      <c r="B17" s="7" t="s">
        <v>669</v>
      </c>
      <c r="C17" s="13" t="s">
        <v>670</v>
      </c>
      <c r="D17" s="6" t="n">
        <v>15</v>
      </c>
      <c r="E17" s="6" t="s">
        <v>463</v>
      </c>
      <c r="F17" s="6" t="n">
        <v>0</v>
      </c>
      <c r="G17" s="6" t="n">
        <v>0</v>
      </c>
      <c r="H17" s="6" t="n">
        <v>0</v>
      </c>
      <c r="I17" s="18" t="n">
        <f aca="false">SUMIFS($G$2:$G$120,$B$2:$B$120,$B17,$D$2:$D$120,"&lt;="&amp;$D17)</f>
        <v>585</v>
      </c>
      <c r="J17" s="18" t="n">
        <f aca="false">SUMIFS($H$2:$H$120,$B$2:$B$120,$B17,$D$2:$D$120,"&lt;="&amp;$D17)</f>
        <v>555</v>
      </c>
      <c r="K17" s="18" t="n">
        <f aca="false">I17-J17</f>
        <v>30</v>
      </c>
      <c r="L17" s="18" t="n">
        <f aca="false">SUMIF($B$2:$B$120,$B17,$G$2:$G$120)</f>
        <v>585</v>
      </c>
      <c r="M17" s="20" t="n">
        <f aca="false">IF(L17=0,"",K17/L17)</f>
        <v>0.0512820512820513</v>
      </c>
    </row>
    <row r="18" customFormat="false" ht="23.25" hidden="false" customHeight="true" outlineLevel="0" collapsed="false">
      <c r="A18" s="6" t="s">
        <v>262</v>
      </c>
      <c r="B18" s="7" t="s">
        <v>669</v>
      </c>
      <c r="C18" s="13" t="s">
        <v>670</v>
      </c>
      <c r="D18" s="6" t="n">
        <v>16</v>
      </c>
      <c r="E18" s="6" t="s">
        <v>366</v>
      </c>
      <c r="F18" s="6" t="n">
        <v>15</v>
      </c>
      <c r="G18" s="6" t="n">
        <v>0</v>
      </c>
      <c r="H18" s="6" t="n">
        <v>0</v>
      </c>
      <c r="I18" s="18" t="n">
        <f aca="false">SUMIFS($G$2:$G$120,$B$2:$B$120,$B18,$D$2:$D$120,"&lt;="&amp;$D18)</f>
        <v>585</v>
      </c>
      <c r="J18" s="18" t="n">
        <f aca="false">SUMIFS($H$2:$H$120,$B$2:$B$120,$B18,$D$2:$D$120,"&lt;="&amp;$D18)</f>
        <v>555</v>
      </c>
      <c r="K18" s="18" t="n">
        <f aca="false">I18-J18</f>
        <v>30</v>
      </c>
      <c r="L18" s="18" t="n">
        <f aca="false">SUMIF($B$2:$B$120,$B18,$G$2:$G$120)</f>
        <v>585</v>
      </c>
      <c r="M18" s="20" t="n">
        <f aca="false">IF(L18=0,"",K18/L18)</f>
        <v>0.0512820512820513</v>
      </c>
    </row>
    <row r="19" customFormat="false" ht="23.25" hidden="false" customHeight="true" outlineLevel="0" collapsed="false">
      <c r="A19" s="6" t="s">
        <v>262</v>
      </c>
      <c r="B19" s="7" t="s">
        <v>669</v>
      </c>
      <c r="C19" s="13" t="s">
        <v>670</v>
      </c>
      <c r="D19" s="6" t="n">
        <v>17</v>
      </c>
      <c r="E19" s="6" t="s">
        <v>326</v>
      </c>
      <c r="F19" s="6" t="n">
        <v>30</v>
      </c>
      <c r="G19" s="6" t="n">
        <v>0</v>
      </c>
      <c r="H19" s="6" t="n">
        <v>0</v>
      </c>
      <c r="I19" s="18" t="n">
        <f aca="false">SUMIFS($G$2:$G$120,$B$2:$B$120,$B19,$D$2:$D$120,"&lt;="&amp;$D19)</f>
        <v>585</v>
      </c>
      <c r="J19" s="18" t="n">
        <f aca="false">SUMIFS($H$2:$H$120,$B$2:$B$120,$B19,$D$2:$D$120,"&lt;="&amp;$D19)</f>
        <v>555</v>
      </c>
      <c r="K19" s="18" t="n">
        <f aca="false">I19-J19</f>
        <v>30</v>
      </c>
      <c r="L19" s="18" t="n">
        <f aca="false">SUMIF($B$2:$B$120,$B19,$G$2:$G$120)</f>
        <v>585</v>
      </c>
      <c r="M19" s="20" t="n">
        <f aca="false">IF(L19=0,"",K19/L19)</f>
        <v>0.0512820512820513</v>
      </c>
    </row>
    <row r="20" customFormat="false" ht="23.25" hidden="false" customHeight="true" outlineLevel="0" collapsed="false">
      <c r="A20" s="6" t="s">
        <v>262</v>
      </c>
      <c r="B20" s="7" t="s">
        <v>669</v>
      </c>
      <c r="C20" s="13" t="s">
        <v>670</v>
      </c>
      <c r="D20" s="6" t="n">
        <v>18</v>
      </c>
      <c r="E20" s="6" t="s">
        <v>226</v>
      </c>
      <c r="F20" s="6" t="n">
        <v>45</v>
      </c>
      <c r="G20" s="6" t="n">
        <v>0</v>
      </c>
      <c r="H20" s="6" t="n">
        <v>0</v>
      </c>
      <c r="I20" s="18" t="n">
        <f aca="false">SUMIFS($G$2:$G$120,$B$2:$B$120,$B20,$D$2:$D$120,"&lt;="&amp;$D20)</f>
        <v>585</v>
      </c>
      <c r="J20" s="18" t="n">
        <f aca="false">SUMIFS($H$2:$H$120,$B$2:$B$120,$B20,$D$2:$D$120,"&lt;="&amp;$D20)</f>
        <v>555</v>
      </c>
      <c r="K20" s="18" t="n">
        <f aca="false">I20-J20</f>
        <v>30</v>
      </c>
      <c r="L20" s="18" t="n">
        <f aca="false">SUMIF($B$2:$B$120,$B20,$G$2:$G$120)</f>
        <v>585</v>
      </c>
      <c r="M20" s="20" t="n">
        <f aca="false">IF(L20=0,"",K20/L20)</f>
        <v>0.0512820512820513</v>
      </c>
    </row>
    <row r="21" customFormat="false" ht="23.25" hidden="false" customHeight="true" outlineLevel="0" collapsed="false">
      <c r="A21" s="6" t="s">
        <v>262</v>
      </c>
      <c r="B21" s="7" t="s">
        <v>669</v>
      </c>
      <c r="C21" s="13" t="s">
        <v>670</v>
      </c>
      <c r="D21" s="6" t="n">
        <v>19</v>
      </c>
      <c r="E21" s="6" t="s">
        <v>205</v>
      </c>
      <c r="F21" s="6" t="n">
        <v>60</v>
      </c>
      <c r="G21" s="6" t="n">
        <v>0</v>
      </c>
      <c r="H21" s="6" t="n">
        <v>0</v>
      </c>
      <c r="I21" s="18" t="n">
        <f aca="false">SUMIFS($G$2:$G$120,$B$2:$B$120,$B21,$D$2:$D$120,"&lt;="&amp;$D21)</f>
        <v>585</v>
      </c>
      <c r="J21" s="18" t="n">
        <f aca="false">SUMIFS($H$2:$H$120,$B$2:$B$120,$B21,$D$2:$D$120,"&lt;="&amp;$D21)</f>
        <v>555</v>
      </c>
      <c r="K21" s="18" t="n">
        <f aca="false">I21-J21</f>
        <v>30</v>
      </c>
      <c r="L21" s="18" t="n">
        <f aca="false">SUMIF($B$2:$B$120,$B21,$G$2:$G$120)</f>
        <v>585</v>
      </c>
      <c r="M21" s="20" t="n">
        <f aca="false">IF(L21=0,"",K21/L21)</f>
        <v>0.0512820512820513</v>
      </c>
    </row>
    <row r="22" customFormat="false" ht="23.25" hidden="false" customHeight="true" outlineLevel="0" collapsed="false">
      <c r="A22" s="6" t="s">
        <v>394</v>
      </c>
      <c r="B22" s="7" t="s">
        <v>671</v>
      </c>
      <c r="C22" s="7" t="s">
        <v>672</v>
      </c>
      <c r="D22" s="6" t="n">
        <v>0</v>
      </c>
      <c r="E22" s="6" t="s">
        <v>204</v>
      </c>
      <c r="F22" s="6"/>
      <c r="G22" s="6" t="n">
        <v>21</v>
      </c>
      <c r="H22" s="6" t="n">
        <v>1</v>
      </c>
      <c r="I22" s="18" t="n">
        <f aca="false">SUMIFS($G$2:$G$120,$B$2:$B$120,$B22,$D$2:$D$120,"&lt;="&amp;$D22)</f>
        <v>21</v>
      </c>
      <c r="J22" s="18" t="n">
        <f aca="false">SUMIFS($H$2:$H$120,$B$2:$B$120,$B22,$D$2:$D$120,"&lt;="&amp;$D22)</f>
        <v>1</v>
      </c>
      <c r="K22" s="18" t="n">
        <f aca="false">I22-J22</f>
        <v>20</v>
      </c>
      <c r="L22" s="18" t="n">
        <f aca="false">SUMIF($B$2:$B$120,$B22,$G$2:$G$120)</f>
        <v>346</v>
      </c>
      <c r="M22" s="20" t="n">
        <f aca="false">IF(L22=0,"",K22/L22)</f>
        <v>0.0578034682080925</v>
      </c>
    </row>
    <row r="23" customFormat="false" ht="23.25" hidden="false" customHeight="true" outlineLevel="0" collapsed="false">
      <c r="A23" s="6" t="s">
        <v>394</v>
      </c>
      <c r="B23" s="7" t="s">
        <v>671</v>
      </c>
      <c r="C23" s="7" t="s">
        <v>672</v>
      </c>
      <c r="D23" s="6" t="n">
        <v>1</v>
      </c>
      <c r="E23" s="6" t="s">
        <v>531</v>
      </c>
      <c r="F23" s="6" t="n">
        <v>-210</v>
      </c>
      <c r="G23" s="6" t="n">
        <v>0</v>
      </c>
      <c r="H23" s="6" t="n">
        <v>0</v>
      </c>
      <c r="I23" s="18" t="n">
        <f aca="false">SUMIFS($G$2:$G$120,$B$2:$B$120,$B23,$D$2:$D$120,"&lt;="&amp;$D23)</f>
        <v>21</v>
      </c>
      <c r="J23" s="18" t="n">
        <f aca="false">SUMIFS($H$2:$H$120,$B$2:$B$120,$B23,$D$2:$D$120,"&lt;="&amp;$D23)</f>
        <v>1</v>
      </c>
      <c r="K23" s="18" t="n">
        <f aca="false">I23-J23</f>
        <v>20</v>
      </c>
      <c r="L23" s="18" t="n">
        <f aca="false">SUMIF($B$2:$B$120,$B23,$G$2:$G$120)</f>
        <v>346</v>
      </c>
      <c r="M23" s="20" t="n">
        <f aca="false">IF(L23=0,"",K23/L23)</f>
        <v>0.0578034682080925</v>
      </c>
    </row>
    <row r="24" customFormat="false" ht="23.25" hidden="false" customHeight="true" outlineLevel="0" collapsed="false">
      <c r="A24" s="6" t="s">
        <v>394</v>
      </c>
      <c r="B24" s="7" t="s">
        <v>671</v>
      </c>
      <c r="C24" s="7" t="s">
        <v>672</v>
      </c>
      <c r="D24" s="6" t="n">
        <v>2</v>
      </c>
      <c r="E24" s="6" t="s">
        <v>340</v>
      </c>
      <c r="F24" s="6" t="n">
        <v>-195</v>
      </c>
      <c r="G24" s="6" t="n">
        <v>0</v>
      </c>
      <c r="H24" s="6" t="n">
        <v>0</v>
      </c>
      <c r="I24" s="18" t="n">
        <f aca="false">SUMIFS($G$2:$G$120,$B$2:$B$120,$B24,$D$2:$D$120,"&lt;="&amp;$D24)</f>
        <v>21</v>
      </c>
      <c r="J24" s="18" t="n">
        <f aca="false">SUMIFS($H$2:$H$120,$B$2:$B$120,$B24,$D$2:$D$120,"&lt;="&amp;$D24)</f>
        <v>1</v>
      </c>
      <c r="K24" s="18" t="n">
        <f aca="false">I24-J24</f>
        <v>20</v>
      </c>
      <c r="L24" s="18" t="n">
        <f aca="false">SUMIF($B$2:$B$120,$B24,$G$2:$G$120)</f>
        <v>346</v>
      </c>
      <c r="M24" s="20" t="n">
        <f aca="false">IF(L24=0,"",K24/L24)</f>
        <v>0.0578034682080925</v>
      </c>
    </row>
    <row r="25" customFormat="false" ht="23.25" hidden="false" customHeight="true" outlineLevel="0" collapsed="false">
      <c r="A25" s="6" t="s">
        <v>394</v>
      </c>
      <c r="B25" s="7" t="s">
        <v>671</v>
      </c>
      <c r="C25" s="7" t="s">
        <v>672</v>
      </c>
      <c r="D25" s="6" t="n">
        <v>3</v>
      </c>
      <c r="E25" s="6" t="s">
        <v>525</v>
      </c>
      <c r="F25" s="6" t="n">
        <v>-180</v>
      </c>
      <c r="G25" s="6" t="n">
        <v>20</v>
      </c>
      <c r="H25" s="6" t="n">
        <v>2</v>
      </c>
      <c r="I25" s="18" t="n">
        <f aca="false">SUMIFS($G$2:$G$120,$B$2:$B$120,$B25,$D$2:$D$120,"&lt;="&amp;$D25)</f>
        <v>41</v>
      </c>
      <c r="J25" s="18" t="n">
        <f aca="false">SUMIFS($H$2:$H$120,$B$2:$B$120,$B25,$D$2:$D$120,"&lt;="&amp;$D25)</f>
        <v>3</v>
      </c>
      <c r="K25" s="18" t="n">
        <f aca="false">I25-J25</f>
        <v>38</v>
      </c>
      <c r="L25" s="18" t="n">
        <f aca="false">SUMIF($B$2:$B$120,$B25,$G$2:$G$120)</f>
        <v>346</v>
      </c>
      <c r="M25" s="20" t="n">
        <f aca="false">IF(L25=0,"",K25/L25)</f>
        <v>0.109826589595376</v>
      </c>
    </row>
    <row r="26" customFormat="false" ht="23.25" hidden="false" customHeight="true" outlineLevel="0" collapsed="false">
      <c r="A26" s="6" t="s">
        <v>394</v>
      </c>
      <c r="B26" s="7" t="s">
        <v>671</v>
      </c>
      <c r="C26" s="7" t="s">
        <v>672</v>
      </c>
      <c r="D26" s="6" t="n">
        <v>4</v>
      </c>
      <c r="E26" s="6" t="s">
        <v>526</v>
      </c>
      <c r="F26" s="6" t="n">
        <v>-165</v>
      </c>
      <c r="G26" s="6" t="n">
        <v>30</v>
      </c>
      <c r="H26" s="6" t="n">
        <v>2</v>
      </c>
      <c r="I26" s="18" t="n">
        <f aca="false">SUMIFS($G$2:$G$120,$B$2:$B$120,$B26,$D$2:$D$120,"&lt;="&amp;$D26)</f>
        <v>71</v>
      </c>
      <c r="J26" s="18" t="n">
        <f aca="false">SUMIFS($H$2:$H$120,$B$2:$B$120,$B26,$D$2:$D$120,"&lt;="&amp;$D26)</f>
        <v>5</v>
      </c>
      <c r="K26" s="18" t="n">
        <f aca="false">I26-J26</f>
        <v>66</v>
      </c>
      <c r="L26" s="18" t="n">
        <f aca="false">SUMIF($B$2:$B$120,$B26,$G$2:$G$120)</f>
        <v>346</v>
      </c>
      <c r="M26" s="20" t="n">
        <f aca="false">IF(L26=0,"",K26/L26)</f>
        <v>0.190751445086705</v>
      </c>
    </row>
    <row r="27" customFormat="false" ht="23.25" hidden="false" customHeight="true" outlineLevel="0" collapsed="false">
      <c r="A27" s="6" t="s">
        <v>394</v>
      </c>
      <c r="B27" s="7" t="s">
        <v>671</v>
      </c>
      <c r="C27" s="7" t="s">
        <v>672</v>
      </c>
      <c r="D27" s="6" t="n">
        <v>5</v>
      </c>
      <c r="E27" s="6" t="s">
        <v>527</v>
      </c>
      <c r="F27" s="6" t="n">
        <v>-150</v>
      </c>
      <c r="G27" s="6" t="n">
        <v>45</v>
      </c>
      <c r="H27" s="6" t="n">
        <v>3</v>
      </c>
      <c r="I27" s="18" t="n">
        <f aca="false">SUMIFS($G$2:$G$120,$B$2:$B$120,$B27,$D$2:$D$120,"&lt;="&amp;$D27)</f>
        <v>116</v>
      </c>
      <c r="J27" s="18" t="n">
        <f aca="false">SUMIFS($H$2:$H$120,$B$2:$B$120,$B27,$D$2:$D$120,"&lt;="&amp;$D27)</f>
        <v>8</v>
      </c>
      <c r="K27" s="18" t="n">
        <f aca="false">I27-J27</f>
        <v>108</v>
      </c>
      <c r="L27" s="18" t="n">
        <f aca="false">SUMIF($B$2:$B$120,$B27,$G$2:$G$120)</f>
        <v>346</v>
      </c>
      <c r="M27" s="20" t="n">
        <f aca="false">IF(L27=0,"",K27/L27)</f>
        <v>0.312138728323699</v>
      </c>
    </row>
    <row r="28" customFormat="false" ht="23.25" hidden="false" customHeight="true" outlineLevel="0" collapsed="false">
      <c r="A28" s="6" t="s">
        <v>394</v>
      </c>
      <c r="B28" s="7" t="s">
        <v>671</v>
      </c>
      <c r="C28" s="7" t="s">
        <v>672</v>
      </c>
      <c r="D28" s="6" t="n">
        <v>6</v>
      </c>
      <c r="E28" s="6" t="s">
        <v>528</v>
      </c>
      <c r="F28" s="6" t="n">
        <v>-135</v>
      </c>
      <c r="G28" s="6" t="n">
        <v>56</v>
      </c>
      <c r="H28" s="6" t="n">
        <v>10</v>
      </c>
      <c r="I28" s="18" t="n">
        <f aca="false">SUMIFS($G$2:$G$120,$B$2:$B$120,$B28,$D$2:$D$120,"&lt;="&amp;$D28)</f>
        <v>172</v>
      </c>
      <c r="J28" s="18" t="n">
        <f aca="false">SUMIFS($H$2:$H$120,$B$2:$B$120,$B28,$D$2:$D$120,"&lt;="&amp;$D28)</f>
        <v>18</v>
      </c>
      <c r="K28" s="18" t="n">
        <f aca="false">I28-J28</f>
        <v>154</v>
      </c>
      <c r="L28" s="18" t="n">
        <f aca="false">SUMIF($B$2:$B$120,$B28,$G$2:$G$120)</f>
        <v>346</v>
      </c>
      <c r="M28" s="20" t="n">
        <f aca="false">IF(L28=0,"",K28/L28)</f>
        <v>0.445086705202312</v>
      </c>
    </row>
    <row r="29" customFormat="false" ht="23.25" hidden="false" customHeight="true" outlineLevel="0" collapsed="false">
      <c r="A29" s="6" t="s">
        <v>394</v>
      </c>
      <c r="B29" s="7" t="s">
        <v>671</v>
      </c>
      <c r="C29" s="7" t="s">
        <v>672</v>
      </c>
      <c r="D29" s="6" t="n">
        <v>7</v>
      </c>
      <c r="E29" s="6" t="s">
        <v>227</v>
      </c>
      <c r="F29" s="6" t="n">
        <v>-120</v>
      </c>
      <c r="G29" s="6" t="n">
        <v>59</v>
      </c>
      <c r="H29" s="6" t="n">
        <v>14</v>
      </c>
      <c r="I29" s="18" t="n">
        <f aca="false">SUMIFS($G$2:$G$120,$B$2:$B$120,$B29,$D$2:$D$120,"&lt;="&amp;$D29)</f>
        <v>231</v>
      </c>
      <c r="J29" s="18" t="n">
        <f aca="false">SUMIFS($H$2:$H$120,$B$2:$B$120,$B29,$D$2:$D$120,"&lt;="&amp;$D29)</f>
        <v>32</v>
      </c>
      <c r="K29" s="18" t="n">
        <f aca="false">I29-J29</f>
        <v>199</v>
      </c>
      <c r="L29" s="18" t="n">
        <f aca="false">SUMIF($B$2:$B$120,$B29,$G$2:$G$120)</f>
        <v>346</v>
      </c>
      <c r="M29" s="20" t="n">
        <f aca="false">IF(L29=0,"",K29/L29)</f>
        <v>0.57514450867052</v>
      </c>
    </row>
    <row r="30" customFormat="false" ht="23.25" hidden="false" customHeight="true" outlineLevel="0" collapsed="false">
      <c r="A30" s="6" t="s">
        <v>394</v>
      </c>
      <c r="B30" s="7" t="s">
        <v>671</v>
      </c>
      <c r="C30" s="7" t="s">
        <v>672</v>
      </c>
      <c r="D30" s="6" t="n">
        <v>8</v>
      </c>
      <c r="E30" s="6" t="s">
        <v>241</v>
      </c>
      <c r="F30" s="6" t="n">
        <v>-105</v>
      </c>
      <c r="G30" s="6" t="n">
        <v>39</v>
      </c>
      <c r="H30" s="6" t="n">
        <v>40</v>
      </c>
      <c r="I30" s="18" t="n">
        <f aca="false">SUMIFS($G$2:$G$120,$B$2:$B$120,$B30,$D$2:$D$120,"&lt;="&amp;$D30)</f>
        <v>270</v>
      </c>
      <c r="J30" s="18" t="n">
        <f aca="false">SUMIFS($H$2:$H$120,$B$2:$B$120,$B30,$D$2:$D$120,"&lt;="&amp;$D30)</f>
        <v>72</v>
      </c>
      <c r="K30" s="18" t="n">
        <f aca="false">I30-J30</f>
        <v>198</v>
      </c>
      <c r="L30" s="18" t="n">
        <f aca="false">SUMIF($B$2:$B$120,$B30,$G$2:$G$120)</f>
        <v>346</v>
      </c>
      <c r="M30" s="20" t="n">
        <f aca="false">IF(L30=0,"",K30/L30)</f>
        <v>0.572254335260116</v>
      </c>
    </row>
    <row r="31" customFormat="false" ht="23.25" hidden="false" customHeight="true" outlineLevel="0" collapsed="false">
      <c r="A31" s="6" t="s">
        <v>394</v>
      </c>
      <c r="B31" s="7" t="s">
        <v>671</v>
      </c>
      <c r="C31" s="7" t="s">
        <v>672</v>
      </c>
      <c r="D31" s="6" t="n">
        <v>9</v>
      </c>
      <c r="E31" s="6" t="s">
        <v>279</v>
      </c>
      <c r="F31" s="6" t="n">
        <v>-90</v>
      </c>
      <c r="G31" s="6" t="n">
        <v>29</v>
      </c>
      <c r="H31" s="6" t="n">
        <v>60</v>
      </c>
      <c r="I31" s="18" t="n">
        <f aca="false">SUMIFS($G$2:$G$120,$B$2:$B$120,$B31,$D$2:$D$120,"&lt;="&amp;$D31)</f>
        <v>299</v>
      </c>
      <c r="J31" s="18" t="n">
        <f aca="false">SUMIFS($H$2:$H$120,$B$2:$B$120,$B31,$D$2:$D$120,"&lt;="&amp;$D31)</f>
        <v>132</v>
      </c>
      <c r="K31" s="18" t="n">
        <f aca="false">I31-J31</f>
        <v>167</v>
      </c>
      <c r="L31" s="18" t="n">
        <f aca="false">SUMIF($B$2:$B$120,$B31,$G$2:$G$120)</f>
        <v>346</v>
      </c>
      <c r="M31" s="20" t="n">
        <f aca="false">IF(L31=0,"",K31/L31)</f>
        <v>0.482658959537572</v>
      </c>
    </row>
    <row r="32" customFormat="false" ht="23.25" hidden="false" customHeight="true" outlineLevel="0" collapsed="false">
      <c r="A32" s="6" t="s">
        <v>394</v>
      </c>
      <c r="B32" s="7" t="s">
        <v>671</v>
      </c>
      <c r="C32" s="7" t="s">
        <v>672</v>
      </c>
      <c r="D32" s="6" t="n">
        <v>10</v>
      </c>
      <c r="E32" s="6" t="s">
        <v>206</v>
      </c>
      <c r="F32" s="6" t="n">
        <v>-75</v>
      </c>
      <c r="G32" s="6" t="n">
        <v>20</v>
      </c>
      <c r="H32" s="6" t="n">
        <v>57</v>
      </c>
      <c r="I32" s="18" t="n">
        <f aca="false">SUMIFS($G$2:$G$120,$B$2:$B$120,$B32,$D$2:$D$120,"&lt;="&amp;$D32)</f>
        <v>319</v>
      </c>
      <c r="J32" s="18" t="n">
        <f aca="false">SUMIFS($H$2:$H$120,$B$2:$B$120,$B32,$D$2:$D$120,"&lt;="&amp;$D32)</f>
        <v>189</v>
      </c>
      <c r="K32" s="18" t="n">
        <f aca="false">I32-J32</f>
        <v>130</v>
      </c>
      <c r="L32" s="18" t="n">
        <f aca="false">SUMIF($B$2:$B$120,$B32,$G$2:$G$120)</f>
        <v>346</v>
      </c>
      <c r="M32" s="20" t="n">
        <f aca="false">IF(L32=0,"",K32/L32)</f>
        <v>0.375722543352601</v>
      </c>
    </row>
    <row r="33" customFormat="false" ht="23.25" hidden="false" customHeight="true" outlineLevel="0" collapsed="false">
      <c r="A33" s="6" t="s">
        <v>394</v>
      </c>
      <c r="B33" s="7" t="s">
        <v>671</v>
      </c>
      <c r="C33" s="7" t="s">
        <v>672</v>
      </c>
      <c r="D33" s="6" t="n">
        <v>11</v>
      </c>
      <c r="E33" s="6" t="s">
        <v>246</v>
      </c>
      <c r="F33" s="6" t="n">
        <v>-60</v>
      </c>
      <c r="G33" s="6" t="n">
        <v>8</v>
      </c>
      <c r="H33" s="6" t="n">
        <v>61</v>
      </c>
      <c r="I33" s="18" t="n">
        <f aca="false">SUMIFS($G$2:$G$120,$B$2:$B$120,$B33,$D$2:$D$120,"&lt;="&amp;$D33)</f>
        <v>327</v>
      </c>
      <c r="J33" s="18" t="n">
        <f aca="false">SUMIFS($H$2:$H$120,$B$2:$B$120,$B33,$D$2:$D$120,"&lt;="&amp;$D33)</f>
        <v>250</v>
      </c>
      <c r="K33" s="18" t="n">
        <f aca="false">I33-J33</f>
        <v>77</v>
      </c>
      <c r="L33" s="18" t="n">
        <f aca="false">SUMIF($B$2:$B$120,$B33,$G$2:$G$120)</f>
        <v>346</v>
      </c>
      <c r="M33" s="20" t="n">
        <f aca="false">IF(L33=0,"",K33/L33)</f>
        <v>0.222543352601156</v>
      </c>
    </row>
    <row r="34" customFormat="false" ht="23.25" hidden="false" customHeight="true" outlineLevel="0" collapsed="false">
      <c r="A34" s="6" t="s">
        <v>394</v>
      </c>
      <c r="B34" s="7" t="s">
        <v>671</v>
      </c>
      <c r="C34" s="7" t="s">
        <v>672</v>
      </c>
      <c r="D34" s="6" t="n">
        <v>12</v>
      </c>
      <c r="E34" s="6" t="s">
        <v>254</v>
      </c>
      <c r="F34" s="6" t="n">
        <v>-45</v>
      </c>
      <c r="G34" s="6" t="n">
        <v>9</v>
      </c>
      <c r="H34" s="6" t="n">
        <v>33</v>
      </c>
      <c r="I34" s="18" t="n">
        <f aca="false">SUMIFS($G$2:$G$120,$B$2:$B$120,$B34,$D$2:$D$120,"&lt;="&amp;$D34)</f>
        <v>336</v>
      </c>
      <c r="J34" s="18" t="n">
        <f aca="false">SUMIFS($H$2:$H$120,$B$2:$B$120,$B34,$D$2:$D$120,"&lt;="&amp;$D34)</f>
        <v>283</v>
      </c>
      <c r="K34" s="18" t="n">
        <f aca="false">I34-J34</f>
        <v>53</v>
      </c>
      <c r="L34" s="18" t="n">
        <f aca="false">SUMIF($B$2:$B$120,$B34,$G$2:$G$120)</f>
        <v>346</v>
      </c>
      <c r="M34" s="20" t="n">
        <f aca="false">IF(L34=0,"",K34/L34)</f>
        <v>0.153179190751445</v>
      </c>
    </row>
    <row r="35" customFormat="false" ht="23.25" hidden="false" customHeight="true" outlineLevel="0" collapsed="false">
      <c r="A35" s="6" t="s">
        <v>394</v>
      </c>
      <c r="B35" s="7" t="s">
        <v>671</v>
      </c>
      <c r="C35" s="7" t="s">
        <v>672</v>
      </c>
      <c r="D35" s="6" t="n">
        <v>13</v>
      </c>
      <c r="E35" s="6" t="s">
        <v>403</v>
      </c>
      <c r="F35" s="6" t="n">
        <v>-30</v>
      </c>
      <c r="G35" s="6" t="n">
        <v>7</v>
      </c>
      <c r="H35" s="6" t="n">
        <v>23</v>
      </c>
      <c r="I35" s="18" t="n">
        <f aca="false">SUMIFS($G$2:$G$120,$B$2:$B$120,$B35,$D$2:$D$120,"&lt;="&amp;$D35)</f>
        <v>343</v>
      </c>
      <c r="J35" s="18" t="n">
        <f aca="false">SUMIFS($H$2:$H$120,$B$2:$B$120,$B35,$D$2:$D$120,"&lt;="&amp;$D35)</f>
        <v>306</v>
      </c>
      <c r="K35" s="18" t="n">
        <f aca="false">I35-J35</f>
        <v>37</v>
      </c>
      <c r="L35" s="18" t="n">
        <f aca="false">SUMIF($B$2:$B$120,$B35,$G$2:$G$120)</f>
        <v>346</v>
      </c>
      <c r="M35" s="20" t="n">
        <f aca="false">IF(L35=0,"",K35/L35)</f>
        <v>0.106936416184971</v>
      </c>
    </row>
    <row r="36" customFormat="false" ht="23.25" hidden="false" customHeight="true" outlineLevel="0" collapsed="false">
      <c r="A36" s="6" t="s">
        <v>394</v>
      </c>
      <c r="B36" s="7" t="s">
        <v>671</v>
      </c>
      <c r="C36" s="7" t="s">
        <v>672</v>
      </c>
      <c r="D36" s="6" t="n">
        <v>14</v>
      </c>
      <c r="E36" s="6" t="s">
        <v>529</v>
      </c>
      <c r="F36" s="6" t="n">
        <v>-15</v>
      </c>
      <c r="G36" s="6" t="n">
        <v>3</v>
      </c>
      <c r="H36" s="6" t="n">
        <v>23</v>
      </c>
      <c r="I36" s="18" t="n">
        <f aca="false">SUMIFS($G$2:$G$120,$B$2:$B$120,$B36,$D$2:$D$120,"&lt;="&amp;$D36)</f>
        <v>346</v>
      </c>
      <c r="J36" s="18" t="n">
        <f aca="false">SUMIFS($H$2:$H$120,$B$2:$B$120,$B36,$D$2:$D$120,"&lt;="&amp;$D36)</f>
        <v>329</v>
      </c>
      <c r="K36" s="18" t="n">
        <f aca="false">I36-J36</f>
        <v>17</v>
      </c>
      <c r="L36" s="18" t="n">
        <f aca="false">SUMIF($B$2:$B$120,$B36,$G$2:$G$120)</f>
        <v>346</v>
      </c>
      <c r="M36" s="20" t="n">
        <f aca="false">IF(L36=0,"",K36/L36)</f>
        <v>0.0491329479768786</v>
      </c>
    </row>
    <row r="37" customFormat="false" ht="23.25" hidden="false" customHeight="true" outlineLevel="0" collapsed="false">
      <c r="A37" s="6" t="s">
        <v>394</v>
      </c>
      <c r="B37" s="7" t="s">
        <v>671</v>
      </c>
      <c r="C37" s="7" t="s">
        <v>672</v>
      </c>
      <c r="D37" s="6" t="n">
        <v>15</v>
      </c>
      <c r="E37" s="6" t="s">
        <v>463</v>
      </c>
      <c r="F37" s="6" t="n">
        <v>0</v>
      </c>
      <c r="G37" s="6" t="n">
        <v>0</v>
      </c>
      <c r="H37" s="6" t="n">
        <v>7</v>
      </c>
      <c r="I37" s="18" t="n">
        <f aca="false">SUMIFS($G$2:$G$120,$B$2:$B$120,$B37,$D$2:$D$120,"&lt;="&amp;$D37)</f>
        <v>346</v>
      </c>
      <c r="J37" s="18" t="n">
        <f aca="false">SUMIFS($H$2:$H$120,$B$2:$B$120,$B37,$D$2:$D$120,"&lt;="&amp;$D37)</f>
        <v>336</v>
      </c>
      <c r="K37" s="18" t="n">
        <f aca="false">I37-J37</f>
        <v>10</v>
      </c>
      <c r="L37" s="18" t="n">
        <f aca="false">SUMIF($B$2:$B$120,$B37,$G$2:$G$120)</f>
        <v>346</v>
      </c>
      <c r="M37" s="20" t="n">
        <f aca="false">IF(L37=0,"",K37/L37)</f>
        <v>0.0289017341040462</v>
      </c>
    </row>
    <row r="38" customFormat="false" ht="23.25" hidden="false" customHeight="true" outlineLevel="0" collapsed="false">
      <c r="A38" s="6" t="s">
        <v>394</v>
      </c>
      <c r="B38" s="7" t="s">
        <v>671</v>
      </c>
      <c r="C38" s="7" t="s">
        <v>672</v>
      </c>
      <c r="D38" s="6" t="n">
        <v>16</v>
      </c>
      <c r="E38" s="6" t="s">
        <v>366</v>
      </c>
      <c r="F38" s="6" t="n">
        <v>15</v>
      </c>
      <c r="G38" s="6" t="n">
        <v>0</v>
      </c>
      <c r="H38" s="6" t="n">
        <v>0</v>
      </c>
      <c r="I38" s="18" t="n">
        <f aca="false">SUMIFS($G$2:$G$120,$B$2:$B$120,$B38,$D$2:$D$120,"&lt;="&amp;$D38)</f>
        <v>346</v>
      </c>
      <c r="J38" s="18" t="n">
        <f aca="false">SUMIFS($H$2:$H$120,$B$2:$B$120,$B38,$D$2:$D$120,"&lt;="&amp;$D38)</f>
        <v>336</v>
      </c>
      <c r="K38" s="18" t="n">
        <f aca="false">I38-J38</f>
        <v>10</v>
      </c>
      <c r="L38" s="18" t="n">
        <f aca="false">SUMIF($B$2:$B$120,$B38,$G$2:$G$120)</f>
        <v>346</v>
      </c>
      <c r="M38" s="20" t="n">
        <f aca="false">IF(L38=0,"",K38/L38)</f>
        <v>0.0289017341040462</v>
      </c>
    </row>
    <row r="39" customFormat="false" ht="23.25" hidden="false" customHeight="true" outlineLevel="0" collapsed="false">
      <c r="A39" s="6" t="s">
        <v>394</v>
      </c>
      <c r="B39" s="7" t="s">
        <v>671</v>
      </c>
      <c r="C39" s="7" t="s">
        <v>672</v>
      </c>
      <c r="D39" s="6" t="n">
        <v>17</v>
      </c>
      <c r="E39" s="6" t="s">
        <v>326</v>
      </c>
      <c r="F39" s="6" t="n">
        <v>30</v>
      </c>
      <c r="G39" s="6" t="n">
        <v>0</v>
      </c>
      <c r="H39" s="6" t="n">
        <v>0</v>
      </c>
      <c r="I39" s="18" t="n">
        <f aca="false">SUMIFS($G$2:$G$120,$B$2:$B$120,$B39,$D$2:$D$120,"&lt;="&amp;$D39)</f>
        <v>346</v>
      </c>
      <c r="J39" s="18" t="n">
        <f aca="false">SUMIFS($H$2:$H$120,$B$2:$B$120,$B39,$D$2:$D$120,"&lt;="&amp;$D39)</f>
        <v>336</v>
      </c>
      <c r="K39" s="18" t="n">
        <f aca="false">I39-J39</f>
        <v>10</v>
      </c>
      <c r="L39" s="18" t="n">
        <f aca="false">SUMIF($B$2:$B$120,$B39,$G$2:$G$120)</f>
        <v>346</v>
      </c>
      <c r="M39" s="20" t="n">
        <f aca="false">IF(L39=0,"",K39/L39)</f>
        <v>0.0289017341040462</v>
      </c>
    </row>
    <row r="40" customFormat="false" ht="23.25" hidden="false" customHeight="true" outlineLevel="0" collapsed="false">
      <c r="A40" s="6" t="s">
        <v>394</v>
      </c>
      <c r="B40" s="7" t="s">
        <v>671</v>
      </c>
      <c r="C40" s="7" t="s">
        <v>672</v>
      </c>
      <c r="D40" s="6" t="n">
        <v>18</v>
      </c>
      <c r="E40" s="6" t="s">
        <v>226</v>
      </c>
      <c r="F40" s="6" t="n">
        <v>45</v>
      </c>
      <c r="G40" s="6" t="n">
        <v>0</v>
      </c>
      <c r="H40" s="6" t="n">
        <v>0</v>
      </c>
      <c r="I40" s="18" t="n">
        <f aca="false">SUMIFS($G$2:$G$120,$B$2:$B$120,$B40,$D$2:$D$120,"&lt;="&amp;$D40)</f>
        <v>346</v>
      </c>
      <c r="J40" s="18" t="n">
        <f aca="false">SUMIFS($H$2:$H$120,$B$2:$B$120,$B40,$D$2:$D$120,"&lt;="&amp;$D40)</f>
        <v>336</v>
      </c>
      <c r="K40" s="18" t="n">
        <f aca="false">I40-J40</f>
        <v>10</v>
      </c>
      <c r="L40" s="18" t="n">
        <f aca="false">SUMIF($B$2:$B$120,$B40,$G$2:$G$120)</f>
        <v>346</v>
      </c>
      <c r="M40" s="20" t="n">
        <f aca="false">IF(L40=0,"",K40/L40)</f>
        <v>0.0289017341040462</v>
      </c>
    </row>
    <row r="41" customFormat="false" ht="23.25" hidden="false" customHeight="true" outlineLevel="0" collapsed="false">
      <c r="A41" s="6" t="s">
        <v>195</v>
      </c>
      <c r="B41" s="7" t="s">
        <v>673</v>
      </c>
      <c r="C41" s="7" t="s">
        <v>674</v>
      </c>
      <c r="D41" s="6" t="n">
        <v>0</v>
      </c>
      <c r="E41" s="6" t="s">
        <v>204</v>
      </c>
      <c r="F41" s="6"/>
      <c r="G41" s="6" t="n">
        <v>0</v>
      </c>
      <c r="H41" s="6" t="n">
        <v>0</v>
      </c>
      <c r="I41" s="18" t="n">
        <f aca="false">SUMIFS($G$2:$G$120,$B$2:$B$120,$B41,$D$2:$D$120,"&lt;="&amp;$D41)</f>
        <v>0</v>
      </c>
      <c r="J41" s="18" t="n">
        <f aca="false">SUMIFS($H$2:$H$120,$B$2:$B$120,$B41,$D$2:$D$120,"&lt;="&amp;$D41)</f>
        <v>0</v>
      </c>
      <c r="K41" s="18" t="n">
        <f aca="false">I41-J41</f>
        <v>0</v>
      </c>
      <c r="L41" s="18" t="n">
        <f aca="false">SUMIF($B$2:$B$120,$B41,$G$2:$G$120)</f>
        <v>142</v>
      </c>
      <c r="M41" s="20" t="n">
        <f aca="false">IF(L41=0,"",K41/L41)</f>
        <v>0</v>
      </c>
    </row>
    <row r="42" customFormat="false" ht="23.25" hidden="false" customHeight="true" outlineLevel="0" collapsed="false">
      <c r="A42" s="6" t="s">
        <v>195</v>
      </c>
      <c r="B42" s="7" t="s">
        <v>673</v>
      </c>
      <c r="C42" s="7" t="s">
        <v>674</v>
      </c>
      <c r="D42" s="6" t="n">
        <v>1</v>
      </c>
      <c r="E42" s="6" t="s">
        <v>531</v>
      </c>
      <c r="F42" s="6" t="n">
        <v>-210</v>
      </c>
      <c r="G42" s="6" t="n">
        <v>0</v>
      </c>
      <c r="H42" s="6" t="n">
        <v>0</v>
      </c>
      <c r="I42" s="18" t="n">
        <f aca="false">SUMIFS($G$2:$G$120,$B$2:$B$120,$B42,$D$2:$D$120,"&lt;="&amp;$D42)</f>
        <v>0</v>
      </c>
      <c r="J42" s="18" t="n">
        <f aca="false">SUMIFS($H$2:$H$120,$B$2:$B$120,$B42,$D$2:$D$120,"&lt;="&amp;$D42)</f>
        <v>0</v>
      </c>
      <c r="K42" s="18" t="n">
        <f aca="false">I42-J42</f>
        <v>0</v>
      </c>
      <c r="L42" s="18" t="n">
        <f aca="false">SUMIF($B$2:$B$120,$B42,$G$2:$G$120)</f>
        <v>142</v>
      </c>
      <c r="M42" s="20" t="n">
        <f aca="false">IF(L42=0,"",K42/L42)</f>
        <v>0</v>
      </c>
    </row>
    <row r="43" customFormat="false" ht="23.25" hidden="false" customHeight="true" outlineLevel="0" collapsed="false">
      <c r="A43" s="6" t="s">
        <v>195</v>
      </c>
      <c r="B43" s="7" t="s">
        <v>673</v>
      </c>
      <c r="C43" s="7" t="s">
        <v>674</v>
      </c>
      <c r="D43" s="6" t="n">
        <v>2</v>
      </c>
      <c r="E43" s="6" t="s">
        <v>340</v>
      </c>
      <c r="F43" s="6" t="n">
        <v>-195</v>
      </c>
      <c r="G43" s="6" t="n">
        <v>14</v>
      </c>
      <c r="H43" s="6" t="n">
        <v>3</v>
      </c>
      <c r="I43" s="18" t="n">
        <f aca="false">SUMIFS($G$2:$G$120,$B$2:$B$120,$B43,$D$2:$D$120,"&lt;="&amp;$D43)</f>
        <v>14</v>
      </c>
      <c r="J43" s="18" t="n">
        <f aca="false">SUMIFS($H$2:$H$120,$B$2:$B$120,$B43,$D$2:$D$120,"&lt;="&amp;$D43)</f>
        <v>3</v>
      </c>
      <c r="K43" s="18" t="n">
        <f aca="false">I43-J43</f>
        <v>11</v>
      </c>
      <c r="L43" s="18" t="n">
        <f aca="false">SUMIF($B$2:$B$120,$B43,$G$2:$G$120)</f>
        <v>142</v>
      </c>
      <c r="M43" s="20" t="n">
        <f aca="false">IF(L43=0,"",K43/L43)</f>
        <v>0.0774647887323944</v>
      </c>
    </row>
    <row r="44" customFormat="false" ht="23.25" hidden="false" customHeight="true" outlineLevel="0" collapsed="false">
      <c r="A44" s="6" t="s">
        <v>195</v>
      </c>
      <c r="B44" s="7" t="s">
        <v>673</v>
      </c>
      <c r="C44" s="7" t="s">
        <v>674</v>
      </c>
      <c r="D44" s="6" t="n">
        <v>3</v>
      </c>
      <c r="E44" s="6" t="s">
        <v>525</v>
      </c>
      <c r="F44" s="6" t="n">
        <v>-180</v>
      </c>
      <c r="G44" s="6" t="n">
        <v>4</v>
      </c>
      <c r="H44" s="6" t="n">
        <v>1</v>
      </c>
      <c r="I44" s="18" t="n">
        <f aca="false">SUMIFS($G$2:$G$120,$B$2:$B$120,$B44,$D$2:$D$120,"&lt;="&amp;$D44)</f>
        <v>18</v>
      </c>
      <c r="J44" s="18" t="n">
        <f aca="false">SUMIFS($H$2:$H$120,$B$2:$B$120,$B44,$D$2:$D$120,"&lt;="&amp;$D44)</f>
        <v>4</v>
      </c>
      <c r="K44" s="18" t="n">
        <f aca="false">I44-J44</f>
        <v>14</v>
      </c>
      <c r="L44" s="18" t="n">
        <f aca="false">SUMIF($B$2:$B$120,$B44,$G$2:$G$120)</f>
        <v>142</v>
      </c>
      <c r="M44" s="20" t="n">
        <f aca="false">IF(L44=0,"",K44/L44)</f>
        <v>0.0985915492957746</v>
      </c>
    </row>
    <row r="45" customFormat="false" ht="23.25" hidden="false" customHeight="true" outlineLevel="0" collapsed="false">
      <c r="A45" s="6" t="s">
        <v>195</v>
      </c>
      <c r="B45" s="7" t="s">
        <v>673</v>
      </c>
      <c r="C45" s="7" t="s">
        <v>674</v>
      </c>
      <c r="D45" s="6" t="n">
        <v>4</v>
      </c>
      <c r="E45" s="6" t="s">
        <v>526</v>
      </c>
      <c r="F45" s="6" t="n">
        <v>-165</v>
      </c>
      <c r="G45" s="6" t="n">
        <v>10</v>
      </c>
      <c r="H45" s="6" t="n">
        <v>0</v>
      </c>
      <c r="I45" s="18" t="n">
        <f aca="false">SUMIFS($G$2:$G$120,$B$2:$B$120,$B45,$D$2:$D$120,"&lt;="&amp;$D45)</f>
        <v>28</v>
      </c>
      <c r="J45" s="18" t="n">
        <f aca="false">SUMIFS($H$2:$H$120,$B$2:$B$120,$B45,$D$2:$D$120,"&lt;="&amp;$D45)</f>
        <v>4</v>
      </c>
      <c r="K45" s="18" t="n">
        <f aca="false">I45-J45</f>
        <v>24</v>
      </c>
      <c r="L45" s="18" t="n">
        <f aca="false">SUMIF($B$2:$B$120,$B45,$G$2:$G$120)</f>
        <v>142</v>
      </c>
      <c r="M45" s="20" t="n">
        <f aca="false">IF(L45=0,"",K45/L45)</f>
        <v>0.169014084507042</v>
      </c>
    </row>
    <row r="46" customFormat="false" ht="23.25" hidden="false" customHeight="true" outlineLevel="0" collapsed="false">
      <c r="A46" s="6" t="s">
        <v>195</v>
      </c>
      <c r="B46" s="7" t="s">
        <v>673</v>
      </c>
      <c r="C46" s="7" t="s">
        <v>674</v>
      </c>
      <c r="D46" s="6" t="n">
        <v>5</v>
      </c>
      <c r="E46" s="6" t="s">
        <v>527</v>
      </c>
      <c r="F46" s="6" t="n">
        <v>-150</v>
      </c>
      <c r="G46" s="6" t="n">
        <v>9</v>
      </c>
      <c r="H46" s="6" t="n">
        <v>0</v>
      </c>
      <c r="I46" s="18" t="n">
        <f aca="false">SUMIFS($G$2:$G$120,$B$2:$B$120,$B46,$D$2:$D$120,"&lt;="&amp;$D46)</f>
        <v>37</v>
      </c>
      <c r="J46" s="18" t="n">
        <f aca="false">SUMIFS($H$2:$H$120,$B$2:$B$120,$B46,$D$2:$D$120,"&lt;="&amp;$D46)</f>
        <v>4</v>
      </c>
      <c r="K46" s="18" t="n">
        <f aca="false">I46-J46</f>
        <v>33</v>
      </c>
      <c r="L46" s="18" t="n">
        <f aca="false">SUMIF($B$2:$B$120,$B46,$G$2:$G$120)</f>
        <v>142</v>
      </c>
      <c r="M46" s="20" t="n">
        <f aca="false">IF(L46=0,"",K46/L46)</f>
        <v>0.232394366197183</v>
      </c>
    </row>
    <row r="47" customFormat="false" ht="23.25" hidden="false" customHeight="true" outlineLevel="0" collapsed="false">
      <c r="A47" s="6" t="s">
        <v>195</v>
      </c>
      <c r="B47" s="7" t="s">
        <v>673</v>
      </c>
      <c r="C47" s="7" t="s">
        <v>674</v>
      </c>
      <c r="D47" s="6" t="n">
        <v>6</v>
      </c>
      <c r="E47" s="6" t="s">
        <v>528</v>
      </c>
      <c r="F47" s="6" t="n">
        <v>-135</v>
      </c>
      <c r="G47" s="6" t="n">
        <v>8</v>
      </c>
      <c r="H47" s="6" t="n">
        <v>2</v>
      </c>
      <c r="I47" s="18" t="n">
        <f aca="false">SUMIFS($G$2:$G$120,$B$2:$B$120,$B47,$D$2:$D$120,"&lt;="&amp;$D47)</f>
        <v>45</v>
      </c>
      <c r="J47" s="18" t="n">
        <f aca="false">SUMIFS($H$2:$H$120,$B$2:$B$120,$B47,$D$2:$D$120,"&lt;="&amp;$D47)</f>
        <v>6</v>
      </c>
      <c r="K47" s="18" t="n">
        <f aca="false">I47-J47</f>
        <v>39</v>
      </c>
      <c r="L47" s="18" t="n">
        <f aca="false">SUMIF($B$2:$B$120,$B47,$G$2:$G$120)</f>
        <v>142</v>
      </c>
      <c r="M47" s="20" t="n">
        <f aca="false">IF(L47=0,"",K47/L47)</f>
        <v>0.274647887323944</v>
      </c>
    </row>
    <row r="48" customFormat="false" ht="23.25" hidden="false" customHeight="true" outlineLevel="0" collapsed="false">
      <c r="A48" s="6" t="s">
        <v>195</v>
      </c>
      <c r="B48" s="7" t="s">
        <v>673</v>
      </c>
      <c r="C48" s="7" t="s">
        <v>674</v>
      </c>
      <c r="D48" s="6" t="n">
        <v>7</v>
      </c>
      <c r="E48" s="6" t="s">
        <v>227</v>
      </c>
      <c r="F48" s="6" t="n">
        <v>-120</v>
      </c>
      <c r="G48" s="6" t="n">
        <v>18</v>
      </c>
      <c r="H48" s="6" t="n">
        <v>2</v>
      </c>
      <c r="I48" s="18" t="n">
        <f aca="false">SUMIFS($G$2:$G$120,$B$2:$B$120,$B48,$D$2:$D$120,"&lt;="&amp;$D48)</f>
        <v>63</v>
      </c>
      <c r="J48" s="18" t="n">
        <f aca="false">SUMIFS($H$2:$H$120,$B$2:$B$120,$B48,$D$2:$D$120,"&lt;="&amp;$D48)</f>
        <v>8</v>
      </c>
      <c r="K48" s="18" t="n">
        <f aca="false">I48-J48</f>
        <v>55</v>
      </c>
      <c r="L48" s="18" t="n">
        <f aca="false">SUMIF($B$2:$B$120,$B48,$G$2:$G$120)</f>
        <v>142</v>
      </c>
      <c r="M48" s="20" t="n">
        <f aca="false">IF(L48=0,"",K48/L48)</f>
        <v>0.387323943661972</v>
      </c>
    </row>
    <row r="49" customFormat="false" ht="23.25" hidden="false" customHeight="true" outlineLevel="0" collapsed="false">
      <c r="A49" s="6" t="s">
        <v>195</v>
      </c>
      <c r="B49" s="7" t="s">
        <v>673</v>
      </c>
      <c r="C49" s="7" t="s">
        <v>674</v>
      </c>
      <c r="D49" s="6" t="n">
        <v>8</v>
      </c>
      <c r="E49" s="6" t="s">
        <v>241</v>
      </c>
      <c r="F49" s="6" t="n">
        <v>-105</v>
      </c>
      <c r="G49" s="6" t="n">
        <v>17</v>
      </c>
      <c r="H49" s="6" t="n">
        <v>4</v>
      </c>
      <c r="I49" s="18" t="n">
        <f aca="false">SUMIFS($G$2:$G$120,$B$2:$B$120,$B49,$D$2:$D$120,"&lt;="&amp;$D49)</f>
        <v>80</v>
      </c>
      <c r="J49" s="18" t="n">
        <f aca="false">SUMIFS($H$2:$H$120,$B$2:$B$120,$B49,$D$2:$D$120,"&lt;="&amp;$D49)</f>
        <v>12</v>
      </c>
      <c r="K49" s="18" t="n">
        <f aca="false">I49-J49</f>
        <v>68</v>
      </c>
      <c r="L49" s="18" t="n">
        <f aca="false">SUMIF($B$2:$B$120,$B49,$G$2:$G$120)</f>
        <v>142</v>
      </c>
      <c r="M49" s="20" t="n">
        <f aca="false">IF(L49=0,"",K49/L49)</f>
        <v>0.47887323943662</v>
      </c>
    </row>
    <row r="50" customFormat="false" ht="23.25" hidden="false" customHeight="true" outlineLevel="0" collapsed="false">
      <c r="A50" s="6" t="s">
        <v>195</v>
      </c>
      <c r="B50" s="7" t="s">
        <v>673</v>
      </c>
      <c r="C50" s="7" t="s">
        <v>674</v>
      </c>
      <c r="D50" s="6" t="n">
        <v>9</v>
      </c>
      <c r="E50" s="6" t="s">
        <v>279</v>
      </c>
      <c r="F50" s="6" t="n">
        <v>-90</v>
      </c>
      <c r="G50" s="6" t="n">
        <v>16</v>
      </c>
      <c r="H50" s="6" t="n">
        <v>1</v>
      </c>
      <c r="I50" s="18" t="n">
        <f aca="false">SUMIFS($G$2:$G$120,$B$2:$B$120,$B50,$D$2:$D$120,"&lt;="&amp;$D50)</f>
        <v>96</v>
      </c>
      <c r="J50" s="18" t="n">
        <f aca="false">SUMIFS($H$2:$H$120,$B$2:$B$120,$B50,$D$2:$D$120,"&lt;="&amp;$D50)</f>
        <v>13</v>
      </c>
      <c r="K50" s="18" t="n">
        <f aca="false">I50-J50</f>
        <v>83</v>
      </c>
      <c r="L50" s="18" t="n">
        <f aca="false">SUMIF($B$2:$B$120,$B50,$G$2:$G$120)</f>
        <v>142</v>
      </c>
      <c r="M50" s="20" t="n">
        <f aca="false">IF(L50=0,"",K50/L50)</f>
        <v>0.584507042253521</v>
      </c>
    </row>
    <row r="51" customFormat="false" ht="23.25" hidden="false" customHeight="true" outlineLevel="0" collapsed="false">
      <c r="A51" s="6" t="s">
        <v>195</v>
      </c>
      <c r="B51" s="7" t="s">
        <v>673</v>
      </c>
      <c r="C51" s="7" t="s">
        <v>674</v>
      </c>
      <c r="D51" s="6" t="n">
        <v>10</v>
      </c>
      <c r="E51" s="6" t="s">
        <v>206</v>
      </c>
      <c r="F51" s="6" t="n">
        <v>-75</v>
      </c>
      <c r="G51" s="6" t="n">
        <v>19</v>
      </c>
      <c r="H51" s="6" t="n">
        <v>12</v>
      </c>
      <c r="I51" s="18" t="n">
        <f aca="false">SUMIFS($G$2:$G$120,$B$2:$B$120,$B51,$D$2:$D$120,"&lt;="&amp;$D51)</f>
        <v>115</v>
      </c>
      <c r="J51" s="18" t="n">
        <f aca="false">SUMIFS($H$2:$H$120,$B$2:$B$120,$B51,$D$2:$D$120,"&lt;="&amp;$D51)</f>
        <v>25</v>
      </c>
      <c r="K51" s="18" t="n">
        <f aca="false">I51-J51</f>
        <v>90</v>
      </c>
      <c r="L51" s="18" t="n">
        <f aca="false">SUMIF($B$2:$B$120,$B51,$G$2:$G$120)</f>
        <v>142</v>
      </c>
      <c r="M51" s="20" t="n">
        <f aca="false">IF(L51=0,"",K51/L51)</f>
        <v>0.633802816901409</v>
      </c>
    </row>
    <row r="52" customFormat="false" ht="23.25" hidden="false" customHeight="true" outlineLevel="0" collapsed="false">
      <c r="A52" s="6" t="s">
        <v>195</v>
      </c>
      <c r="B52" s="7" t="s">
        <v>673</v>
      </c>
      <c r="C52" s="7" t="s">
        <v>674</v>
      </c>
      <c r="D52" s="6" t="n">
        <v>11</v>
      </c>
      <c r="E52" s="6" t="s">
        <v>246</v>
      </c>
      <c r="F52" s="6" t="n">
        <v>-60</v>
      </c>
      <c r="G52" s="6" t="n">
        <v>11</v>
      </c>
      <c r="H52" s="6" t="n">
        <v>11</v>
      </c>
      <c r="I52" s="18" t="n">
        <f aca="false">SUMIFS($G$2:$G$120,$B$2:$B$120,$B52,$D$2:$D$120,"&lt;="&amp;$D52)</f>
        <v>126</v>
      </c>
      <c r="J52" s="18" t="n">
        <f aca="false">SUMIFS($H$2:$H$120,$B$2:$B$120,$B52,$D$2:$D$120,"&lt;="&amp;$D52)</f>
        <v>36</v>
      </c>
      <c r="K52" s="18" t="n">
        <f aca="false">I52-J52</f>
        <v>90</v>
      </c>
      <c r="L52" s="18" t="n">
        <f aca="false">SUMIF($B$2:$B$120,$B52,$G$2:$G$120)</f>
        <v>142</v>
      </c>
      <c r="M52" s="20" t="n">
        <f aca="false">IF(L52=0,"",K52/L52)</f>
        <v>0.633802816901409</v>
      </c>
    </row>
    <row r="53" customFormat="false" ht="23.25" hidden="false" customHeight="true" outlineLevel="0" collapsed="false">
      <c r="A53" s="6" t="s">
        <v>195</v>
      </c>
      <c r="B53" s="7" t="s">
        <v>673</v>
      </c>
      <c r="C53" s="7" t="s">
        <v>674</v>
      </c>
      <c r="D53" s="6" t="n">
        <v>12</v>
      </c>
      <c r="E53" s="6" t="s">
        <v>254</v>
      </c>
      <c r="F53" s="6" t="n">
        <v>-45</v>
      </c>
      <c r="G53" s="6" t="n">
        <v>4</v>
      </c>
      <c r="H53" s="6" t="n">
        <v>16</v>
      </c>
      <c r="I53" s="18" t="n">
        <f aca="false">SUMIFS($G$2:$G$120,$B$2:$B$120,$B53,$D$2:$D$120,"&lt;="&amp;$D53)</f>
        <v>130</v>
      </c>
      <c r="J53" s="18" t="n">
        <f aca="false">SUMIFS($H$2:$H$120,$B$2:$B$120,$B53,$D$2:$D$120,"&lt;="&amp;$D53)</f>
        <v>52</v>
      </c>
      <c r="K53" s="18" t="n">
        <f aca="false">I53-J53</f>
        <v>78</v>
      </c>
      <c r="L53" s="18" t="n">
        <f aca="false">SUMIF($B$2:$B$120,$B53,$G$2:$G$120)</f>
        <v>142</v>
      </c>
      <c r="M53" s="20" t="n">
        <f aca="false">IF(L53=0,"",K53/L53)</f>
        <v>0.549295774647887</v>
      </c>
    </row>
    <row r="54" customFormat="false" ht="23.25" hidden="false" customHeight="true" outlineLevel="0" collapsed="false">
      <c r="A54" s="6" t="s">
        <v>195</v>
      </c>
      <c r="B54" s="7" t="s">
        <v>673</v>
      </c>
      <c r="C54" s="7" t="s">
        <v>674</v>
      </c>
      <c r="D54" s="6" t="n">
        <v>13</v>
      </c>
      <c r="E54" s="6" t="s">
        <v>403</v>
      </c>
      <c r="F54" s="6" t="n">
        <v>-30</v>
      </c>
      <c r="G54" s="6" t="n">
        <v>4</v>
      </c>
      <c r="H54" s="6" t="n">
        <v>15</v>
      </c>
      <c r="I54" s="18" t="n">
        <f aca="false">SUMIFS($G$2:$G$120,$B$2:$B$120,$B54,$D$2:$D$120,"&lt;="&amp;$D54)</f>
        <v>134</v>
      </c>
      <c r="J54" s="18" t="n">
        <f aca="false">SUMIFS($H$2:$H$120,$B$2:$B$120,$B54,$D$2:$D$120,"&lt;="&amp;$D54)</f>
        <v>67</v>
      </c>
      <c r="K54" s="18" t="n">
        <f aca="false">I54-J54</f>
        <v>67</v>
      </c>
      <c r="L54" s="18" t="n">
        <f aca="false">SUMIF($B$2:$B$120,$B54,$G$2:$G$120)</f>
        <v>142</v>
      </c>
      <c r="M54" s="20" t="n">
        <f aca="false">IF(L54=0,"",K54/L54)</f>
        <v>0.471830985915493</v>
      </c>
    </row>
    <row r="55" customFormat="false" ht="23.25" hidden="false" customHeight="true" outlineLevel="0" collapsed="false">
      <c r="A55" s="6" t="s">
        <v>195</v>
      </c>
      <c r="B55" s="7" t="s">
        <v>673</v>
      </c>
      <c r="C55" s="7" t="s">
        <v>674</v>
      </c>
      <c r="D55" s="6" t="n">
        <v>14</v>
      </c>
      <c r="E55" s="6" t="s">
        <v>529</v>
      </c>
      <c r="F55" s="6" t="n">
        <v>-15</v>
      </c>
      <c r="G55" s="6" t="n">
        <v>2</v>
      </c>
      <c r="H55" s="6" t="n">
        <v>18</v>
      </c>
      <c r="I55" s="18" t="n">
        <f aca="false">SUMIFS($G$2:$G$120,$B$2:$B$120,$B55,$D$2:$D$120,"&lt;="&amp;$D55)</f>
        <v>136</v>
      </c>
      <c r="J55" s="18" t="n">
        <f aca="false">SUMIFS($H$2:$H$120,$B$2:$B$120,$B55,$D$2:$D$120,"&lt;="&amp;$D55)</f>
        <v>85</v>
      </c>
      <c r="K55" s="18" t="n">
        <f aca="false">I55-J55</f>
        <v>51</v>
      </c>
      <c r="L55" s="18" t="n">
        <f aca="false">SUMIF($B$2:$B$120,$B55,$G$2:$G$120)</f>
        <v>142</v>
      </c>
      <c r="M55" s="20" t="n">
        <f aca="false">IF(L55=0,"",K55/L55)</f>
        <v>0.359154929577465</v>
      </c>
    </row>
    <row r="56" customFormat="false" ht="23.25" hidden="false" customHeight="true" outlineLevel="0" collapsed="false">
      <c r="A56" s="6" t="s">
        <v>195</v>
      </c>
      <c r="B56" s="7" t="s">
        <v>673</v>
      </c>
      <c r="C56" s="7" t="s">
        <v>674</v>
      </c>
      <c r="D56" s="6" t="n">
        <v>15</v>
      </c>
      <c r="E56" s="6" t="s">
        <v>463</v>
      </c>
      <c r="F56" s="6" t="n">
        <v>0</v>
      </c>
      <c r="G56" s="6" t="n">
        <v>4</v>
      </c>
      <c r="H56" s="6" t="n">
        <v>17</v>
      </c>
      <c r="I56" s="18" t="n">
        <f aca="false">SUMIFS($G$2:$G$120,$B$2:$B$120,$B56,$D$2:$D$120,"&lt;="&amp;$D56)</f>
        <v>140</v>
      </c>
      <c r="J56" s="18" t="n">
        <f aca="false">SUMIFS($H$2:$H$120,$B$2:$B$120,$B56,$D$2:$D$120,"&lt;="&amp;$D56)</f>
        <v>102</v>
      </c>
      <c r="K56" s="18" t="n">
        <f aca="false">I56-J56</f>
        <v>38</v>
      </c>
      <c r="L56" s="18" t="n">
        <f aca="false">SUMIF($B$2:$B$120,$B56,$G$2:$G$120)</f>
        <v>142</v>
      </c>
      <c r="M56" s="20" t="n">
        <f aca="false">IF(L56=0,"",K56/L56)</f>
        <v>0.267605633802817</v>
      </c>
    </row>
    <row r="57" customFormat="false" ht="23.25" hidden="false" customHeight="true" outlineLevel="0" collapsed="false">
      <c r="A57" s="6" t="s">
        <v>195</v>
      </c>
      <c r="B57" s="7" t="s">
        <v>673</v>
      </c>
      <c r="C57" s="7" t="s">
        <v>674</v>
      </c>
      <c r="D57" s="6" t="n">
        <v>16</v>
      </c>
      <c r="E57" s="6" t="s">
        <v>366</v>
      </c>
      <c r="F57" s="6" t="n">
        <v>15</v>
      </c>
      <c r="G57" s="6" t="n">
        <v>1</v>
      </c>
      <c r="H57" s="6" t="n">
        <v>17</v>
      </c>
      <c r="I57" s="18" t="n">
        <f aca="false">SUMIFS($G$2:$G$120,$B$2:$B$120,$B57,$D$2:$D$120,"&lt;="&amp;$D57)</f>
        <v>141</v>
      </c>
      <c r="J57" s="18" t="n">
        <f aca="false">SUMIFS($H$2:$H$120,$B$2:$B$120,$B57,$D$2:$D$120,"&lt;="&amp;$D57)</f>
        <v>119</v>
      </c>
      <c r="K57" s="18" t="n">
        <f aca="false">I57-J57</f>
        <v>22</v>
      </c>
      <c r="L57" s="18" t="n">
        <f aca="false">SUMIF($B$2:$B$120,$B57,$G$2:$G$120)</f>
        <v>142</v>
      </c>
      <c r="M57" s="20" t="n">
        <f aca="false">IF(L57=0,"",K57/L57)</f>
        <v>0.154929577464789</v>
      </c>
    </row>
    <row r="58" customFormat="false" ht="23.25" hidden="false" customHeight="true" outlineLevel="0" collapsed="false">
      <c r="A58" s="6" t="s">
        <v>195</v>
      </c>
      <c r="B58" s="7" t="s">
        <v>673</v>
      </c>
      <c r="C58" s="7" t="s">
        <v>674</v>
      </c>
      <c r="D58" s="6" t="n">
        <v>17</v>
      </c>
      <c r="E58" s="6" t="s">
        <v>326</v>
      </c>
      <c r="F58" s="6" t="n">
        <v>30</v>
      </c>
      <c r="G58" s="6" t="n">
        <v>0</v>
      </c>
      <c r="H58" s="6" t="n">
        <v>8</v>
      </c>
      <c r="I58" s="18" t="n">
        <f aca="false">SUMIFS($G$2:$G$120,$B$2:$B$120,$B58,$D$2:$D$120,"&lt;="&amp;$D58)</f>
        <v>141</v>
      </c>
      <c r="J58" s="18" t="n">
        <f aca="false">SUMIFS($H$2:$H$120,$B$2:$B$120,$B58,$D$2:$D$120,"&lt;="&amp;$D58)</f>
        <v>127</v>
      </c>
      <c r="K58" s="18" t="n">
        <f aca="false">I58-J58</f>
        <v>14</v>
      </c>
      <c r="L58" s="18" t="n">
        <f aca="false">SUMIF($B$2:$B$120,$B58,$G$2:$G$120)</f>
        <v>142</v>
      </c>
      <c r="M58" s="20" t="n">
        <f aca="false">IF(L58=0,"",K58/L58)</f>
        <v>0.0985915492957746</v>
      </c>
    </row>
    <row r="59" customFormat="false" ht="23.25" hidden="false" customHeight="true" outlineLevel="0" collapsed="false">
      <c r="A59" s="6" t="s">
        <v>195</v>
      </c>
      <c r="B59" s="7" t="s">
        <v>673</v>
      </c>
      <c r="C59" s="7" t="s">
        <v>674</v>
      </c>
      <c r="D59" s="6" t="n">
        <v>18</v>
      </c>
      <c r="E59" s="6" t="s">
        <v>226</v>
      </c>
      <c r="F59" s="6" t="n">
        <v>45</v>
      </c>
      <c r="G59" s="6" t="n">
        <v>1</v>
      </c>
      <c r="H59" s="6" t="n">
        <v>10</v>
      </c>
      <c r="I59" s="18" t="n">
        <f aca="false">SUMIFS($G$2:$G$120,$B$2:$B$120,$B59,$D$2:$D$120,"&lt;="&amp;$D59)</f>
        <v>142</v>
      </c>
      <c r="J59" s="18" t="n">
        <f aca="false">SUMIFS($H$2:$H$120,$B$2:$B$120,$B59,$D$2:$D$120,"&lt;="&amp;$D59)</f>
        <v>137</v>
      </c>
      <c r="K59" s="18" t="n">
        <f aca="false">I59-J59</f>
        <v>5</v>
      </c>
      <c r="L59" s="18" t="n">
        <f aca="false">SUMIF($B$2:$B$120,$B59,$G$2:$G$120)</f>
        <v>142</v>
      </c>
      <c r="M59" s="20" t="n">
        <f aca="false">IF(L59=0,"",K59/L59)</f>
        <v>0.0352112676056338</v>
      </c>
    </row>
    <row r="60" customFormat="false" ht="23.25" hidden="false" customHeight="true" outlineLevel="0" collapsed="false">
      <c r="A60" s="6" t="s">
        <v>313</v>
      </c>
      <c r="B60" s="7" t="s">
        <v>675</v>
      </c>
      <c r="C60" s="7" t="s">
        <v>676</v>
      </c>
      <c r="D60" s="6" t="n">
        <v>0</v>
      </c>
      <c r="E60" s="6" t="s">
        <v>204</v>
      </c>
      <c r="F60" s="6"/>
      <c r="G60" s="6" t="n">
        <v>0</v>
      </c>
      <c r="H60" s="6" t="n">
        <v>0</v>
      </c>
      <c r="I60" s="18" t="n">
        <f aca="false">SUMIFS($G$2:$G$120,$B$2:$B$120,$B60,$D$2:$D$120,"&lt;="&amp;$D60)</f>
        <v>0</v>
      </c>
      <c r="J60" s="18" t="n">
        <f aca="false">SUMIFS($H$2:$H$120,$B$2:$B$120,$B60,$D$2:$D$120,"&lt;="&amp;$D60)</f>
        <v>0</v>
      </c>
      <c r="K60" s="18" t="n">
        <f aca="false">I60-J60</f>
        <v>0</v>
      </c>
      <c r="L60" s="18" t="n">
        <f aca="false">SUMIF($B$2:$B$120,$B60,$G$2:$G$120)</f>
        <v>119</v>
      </c>
      <c r="M60" s="20" t="n">
        <f aca="false">IF(L60=0,"",K60/L60)</f>
        <v>0</v>
      </c>
    </row>
    <row r="61" customFormat="false" ht="23.25" hidden="false" customHeight="true" outlineLevel="0" collapsed="false">
      <c r="A61" s="6" t="s">
        <v>313</v>
      </c>
      <c r="B61" s="7" t="s">
        <v>675</v>
      </c>
      <c r="C61" s="7" t="s">
        <v>676</v>
      </c>
      <c r="D61" s="6" t="n">
        <v>1</v>
      </c>
      <c r="E61" s="6" t="s">
        <v>531</v>
      </c>
      <c r="F61" s="6" t="n">
        <v>-210</v>
      </c>
      <c r="G61" s="6" t="n">
        <v>0</v>
      </c>
      <c r="H61" s="6" t="n">
        <v>0</v>
      </c>
      <c r="I61" s="18" t="n">
        <f aca="false">SUMIFS($G$2:$G$120,$B$2:$B$120,$B61,$D$2:$D$120,"&lt;="&amp;$D61)</f>
        <v>0</v>
      </c>
      <c r="J61" s="18" t="n">
        <f aca="false">SUMIFS($H$2:$H$120,$B$2:$B$120,$B61,$D$2:$D$120,"&lt;="&amp;$D61)</f>
        <v>0</v>
      </c>
      <c r="K61" s="18" t="n">
        <f aca="false">I61-J61</f>
        <v>0</v>
      </c>
      <c r="L61" s="18" t="n">
        <f aca="false">SUMIF($B$2:$B$120,$B61,$G$2:$G$120)</f>
        <v>119</v>
      </c>
      <c r="M61" s="20" t="n">
        <f aca="false">IF(L61=0,"",K61/L61)</f>
        <v>0</v>
      </c>
    </row>
    <row r="62" customFormat="false" ht="23.25" hidden="false" customHeight="true" outlineLevel="0" collapsed="false">
      <c r="A62" s="6" t="s">
        <v>313</v>
      </c>
      <c r="B62" s="7" t="s">
        <v>675</v>
      </c>
      <c r="C62" s="7" t="s">
        <v>676</v>
      </c>
      <c r="D62" s="6" t="n">
        <v>2</v>
      </c>
      <c r="E62" s="6" t="s">
        <v>340</v>
      </c>
      <c r="F62" s="6" t="n">
        <v>-195</v>
      </c>
      <c r="G62" s="6" t="n">
        <v>7</v>
      </c>
      <c r="H62" s="6" t="n">
        <v>0</v>
      </c>
      <c r="I62" s="18" t="n">
        <f aca="false">SUMIFS($G$2:$G$120,$B$2:$B$120,$B62,$D$2:$D$120,"&lt;="&amp;$D62)</f>
        <v>7</v>
      </c>
      <c r="J62" s="18" t="n">
        <f aca="false">SUMIFS($H$2:$H$120,$B$2:$B$120,$B62,$D$2:$D$120,"&lt;="&amp;$D62)</f>
        <v>0</v>
      </c>
      <c r="K62" s="18" t="n">
        <f aca="false">I62-J62</f>
        <v>7</v>
      </c>
      <c r="L62" s="18" t="n">
        <f aca="false">SUMIF($B$2:$B$120,$B62,$G$2:$G$120)</f>
        <v>119</v>
      </c>
      <c r="M62" s="20" t="n">
        <f aca="false">IF(L62=0,"",K62/L62)</f>
        <v>0.0588235294117647</v>
      </c>
    </row>
    <row r="63" customFormat="false" ht="23.25" hidden="false" customHeight="true" outlineLevel="0" collapsed="false">
      <c r="A63" s="6" t="s">
        <v>313</v>
      </c>
      <c r="B63" s="7" t="s">
        <v>675</v>
      </c>
      <c r="C63" s="7" t="s">
        <v>676</v>
      </c>
      <c r="D63" s="6" t="n">
        <v>3</v>
      </c>
      <c r="E63" s="6" t="s">
        <v>525</v>
      </c>
      <c r="F63" s="6" t="n">
        <v>-180</v>
      </c>
      <c r="G63" s="6" t="n">
        <v>10</v>
      </c>
      <c r="H63" s="6" t="n">
        <v>1</v>
      </c>
      <c r="I63" s="18" t="n">
        <f aca="false">SUMIFS($G$2:$G$120,$B$2:$B$120,$B63,$D$2:$D$120,"&lt;="&amp;$D63)</f>
        <v>17</v>
      </c>
      <c r="J63" s="18" t="n">
        <f aca="false">SUMIFS($H$2:$H$120,$B$2:$B$120,$B63,$D$2:$D$120,"&lt;="&amp;$D63)</f>
        <v>1</v>
      </c>
      <c r="K63" s="18" t="n">
        <f aca="false">I63-J63</f>
        <v>16</v>
      </c>
      <c r="L63" s="18" t="n">
        <f aca="false">SUMIF($B$2:$B$120,$B63,$G$2:$G$120)</f>
        <v>119</v>
      </c>
      <c r="M63" s="20" t="n">
        <f aca="false">IF(L63=0,"",K63/L63)</f>
        <v>0.134453781512605</v>
      </c>
    </row>
    <row r="64" customFormat="false" ht="23.25" hidden="false" customHeight="true" outlineLevel="0" collapsed="false">
      <c r="A64" s="6" t="s">
        <v>313</v>
      </c>
      <c r="B64" s="7" t="s">
        <v>675</v>
      </c>
      <c r="C64" s="7" t="s">
        <v>676</v>
      </c>
      <c r="D64" s="6" t="n">
        <v>4</v>
      </c>
      <c r="E64" s="6" t="s">
        <v>526</v>
      </c>
      <c r="F64" s="6" t="n">
        <v>-165</v>
      </c>
      <c r="G64" s="6" t="n">
        <v>10</v>
      </c>
      <c r="H64" s="6" t="n">
        <v>3</v>
      </c>
      <c r="I64" s="18" t="n">
        <f aca="false">SUMIFS($G$2:$G$120,$B$2:$B$120,$B64,$D$2:$D$120,"&lt;="&amp;$D64)</f>
        <v>27</v>
      </c>
      <c r="J64" s="18" t="n">
        <f aca="false">SUMIFS($H$2:$H$120,$B$2:$B$120,$B64,$D$2:$D$120,"&lt;="&amp;$D64)</f>
        <v>4</v>
      </c>
      <c r="K64" s="18" t="n">
        <f aca="false">I64-J64</f>
        <v>23</v>
      </c>
      <c r="L64" s="18" t="n">
        <f aca="false">SUMIF($B$2:$B$120,$B64,$G$2:$G$120)</f>
        <v>119</v>
      </c>
      <c r="M64" s="20" t="n">
        <f aca="false">IF(L64=0,"",K64/L64)</f>
        <v>0.19327731092437</v>
      </c>
    </row>
    <row r="65" customFormat="false" ht="23.25" hidden="false" customHeight="true" outlineLevel="0" collapsed="false">
      <c r="A65" s="6" t="s">
        <v>313</v>
      </c>
      <c r="B65" s="7" t="s">
        <v>675</v>
      </c>
      <c r="C65" s="7" t="s">
        <v>676</v>
      </c>
      <c r="D65" s="6" t="n">
        <v>5</v>
      </c>
      <c r="E65" s="6" t="s">
        <v>527</v>
      </c>
      <c r="F65" s="6" t="n">
        <v>-150</v>
      </c>
      <c r="G65" s="6" t="n">
        <v>25</v>
      </c>
      <c r="H65" s="6" t="n">
        <v>1</v>
      </c>
      <c r="I65" s="18" t="n">
        <f aca="false">SUMIFS($G$2:$G$120,$B$2:$B$120,$B65,$D$2:$D$120,"&lt;="&amp;$D65)</f>
        <v>52</v>
      </c>
      <c r="J65" s="18" t="n">
        <f aca="false">SUMIFS($H$2:$H$120,$B$2:$B$120,$B65,$D$2:$D$120,"&lt;="&amp;$D65)</f>
        <v>5</v>
      </c>
      <c r="K65" s="18" t="n">
        <f aca="false">I65-J65</f>
        <v>47</v>
      </c>
      <c r="L65" s="18" t="n">
        <f aca="false">SUMIF($B$2:$B$120,$B65,$G$2:$G$120)</f>
        <v>119</v>
      </c>
      <c r="M65" s="20" t="n">
        <f aca="false">IF(L65=0,"",K65/L65)</f>
        <v>0.394957983193277</v>
      </c>
    </row>
    <row r="66" customFormat="false" ht="23.25" hidden="false" customHeight="true" outlineLevel="0" collapsed="false">
      <c r="A66" s="6" t="s">
        <v>313</v>
      </c>
      <c r="B66" s="7" t="s">
        <v>675</v>
      </c>
      <c r="C66" s="7" t="s">
        <v>676</v>
      </c>
      <c r="D66" s="6" t="n">
        <v>6</v>
      </c>
      <c r="E66" s="6" t="s">
        <v>528</v>
      </c>
      <c r="F66" s="6" t="n">
        <v>-135</v>
      </c>
      <c r="G66" s="6" t="n">
        <v>13</v>
      </c>
      <c r="H66" s="6" t="n">
        <v>2</v>
      </c>
      <c r="I66" s="18" t="n">
        <f aca="false">SUMIFS($G$2:$G$120,$B$2:$B$120,$B66,$D$2:$D$120,"&lt;="&amp;$D66)</f>
        <v>65</v>
      </c>
      <c r="J66" s="18" t="n">
        <f aca="false">SUMIFS($H$2:$H$120,$B$2:$B$120,$B66,$D$2:$D$120,"&lt;="&amp;$D66)</f>
        <v>7</v>
      </c>
      <c r="K66" s="18" t="n">
        <f aca="false">I66-J66</f>
        <v>58</v>
      </c>
      <c r="L66" s="18" t="n">
        <f aca="false">SUMIF($B$2:$B$120,$B66,$G$2:$G$120)</f>
        <v>119</v>
      </c>
      <c r="M66" s="20" t="n">
        <f aca="false">IF(L66=0,"",K66/L66)</f>
        <v>0.487394957983193</v>
      </c>
    </row>
    <row r="67" customFormat="false" ht="23.25" hidden="false" customHeight="true" outlineLevel="0" collapsed="false">
      <c r="A67" s="6" t="s">
        <v>313</v>
      </c>
      <c r="B67" s="7" t="s">
        <v>675</v>
      </c>
      <c r="C67" s="7" t="s">
        <v>676</v>
      </c>
      <c r="D67" s="6" t="n">
        <v>7</v>
      </c>
      <c r="E67" s="6" t="s">
        <v>227</v>
      </c>
      <c r="F67" s="6" t="n">
        <v>-120</v>
      </c>
      <c r="G67" s="6" t="n">
        <v>10</v>
      </c>
      <c r="H67" s="6" t="n">
        <v>9</v>
      </c>
      <c r="I67" s="18" t="n">
        <f aca="false">SUMIFS($G$2:$G$120,$B$2:$B$120,$B67,$D$2:$D$120,"&lt;="&amp;$D67)</f>
        <v>75</v>
      </c>
      <c r="J67" s="18" t="n">
        <f aca="false">SUMIFS($H$2:$H$120,$B$2:$B$120,$B67,$D$2:$D$120,"&lt;="&amp;$D67)</f>
        <v>16</v>
      </c>
      <c r="K67" s="18" t="n">
        <f aca="false">I67-J67</f>
        <v>59</v>
      </c>
      <c r="L67" s="18" t="n">
        <f aca="false">SUMIF($B$2:$B$120,$B67,$G$2:$G$120)</f>
        <v>119</v>
      </c>
      <c r="M67" s="20" t="n">
        <f aca="false">IF(L67=0,"",K67/L67)</f>
        <v>0.495798319327731</v>
      </c>
    </row>
    <row r="68" customFormat="false" ht="23.25" hidden="false" customHeight="true" outlineLevel="0" collapsed="false">
      <c r="A68" s="6" t="s">
        <v>313</v>
      </c>
      <c r="B68" s="7" t="s">
        <v>675</v>
      </c>
      <c r="C68" s="7" t="s">
        <v>676</v>
      </c>
      <c r="D68" s="6" t="n">
        <v>8</v>
      </c>
      <c r="E68" s="6" t="s">
        <v>241</v>
      </c>
      <c r="F68" s="6" t="n">
        <v>-105</v>
      </c>
      <c r="G68" s="6" t="n">
        <v>16</v>
      </c>
      <c r="H68" s="6" t="n">
        <v>9</v>
      </c>
      <c r="I68" s="18" t="n">
        <f aca="false">SUMIFS($G$2:$G$120,$B$2:$B$120,$B68,$D$2:$D$120,"&lt;="&amp;$D68)</f>
        <v>91</v>
      </c>
      <c r="J68" s="18" t="n">
        <f aca="false">SUMIFS($H$2:$H$120,$B$2:$B$120,$B68,$D$2:$D$120,"&lt;="&amp;$D68)</f>
        <v>25</v>
      </c>
      <c r="K68" s="18" t="n">
        <f aca="false">I68-J68</f>
        <v>66</v>
      </c>
      <c r="L68" s="18" t="n">
        <f aca="false">SUMIF($B$2:$B$120,$B68,$G$2:$G$120)</f>
        <v>119</v>
      </c>
      <c r="M68" s="20" t="n">
        <f aca="false">IF(L68=0,"",K68/L68)</f>
        <v>0.554621848739496</v>
      </c>
    </row>
    <row r="69" customFormat="false" ht="23.25" hidden="false" customHeight="true" outlineLevel="0" collapsed="false">
      <c r="A69" s="6" t="s">
        <v>313</v>
      </c>
      <c r="B69" s="7" t="s">
        <v>675</v>
      </c>
      <c r="C69" s="7" t="s">
        <v>676</v>
      </c>
      <c r="D69" s="6" t="n">
        <v>9</v>
      </c>
      <c r="E69" s="6" t="s">
        <v>279</v>
      </c>
      <c r="F69" s="6" t="n">
        <v>-90</v>
      </c>
      <c r="G69" s="6" t="n">
        <v>9</v>
      </c>
      <c r="H69" s="6" t="n">
        <v>20</v>
      </c>
      <c r="I69" s="18" t="n">
        <f aca="false">SUMIFS($G$2:$G$120,$B$2:$B$120,$B69,$D$2:$D$120,"&lt;="&amp;$D69)</f>
        <v>100</v>
      </c>
      <c r="J69" s="18" t="n">
        <f aca="false">SUMIFS($H$2:$H$120,$B$2:$B$120,$B69,$D$2:$D$120,"&lt;="&amp;$D69)</f>
        <v>45</v>
      </c>
      <c r="K69" s="18" t="n">
        <f aca="false">I69-J69</f>
        <v>55</v>
      </c>
      <c r="L69" s="18" t="n">
        <f aca="false">SUMIF($B$2:$B$120,$B69,$G$2:$G$120)</f>
        <v>119</v>
      </c>
      <c r="M69" s="20" t="n">
        <f aca="false">IF(L69=0,"",K69/L69)</f>
        <v>0.46218487394958</v>
      </c>
    </row>
    <row r="70" customFormat="false" ht="23.25" hidden="false" customHeight="true" outlineLevel="0" collapsed="false">
      <c r="A70" s="6" t="s">
        <v>313</v>
      </c>
      <c r="B70" s="7" t="s">
        <v>675</v>
      </c>
      <c r="C70" s="7" t="s">
        <v>676</v>
      </c>
      <c r="D70" s="6" t="n">
        <v>10</v>
      </c>
      <c r="E70" s="6" t="s">
        <v>206</v>
      </c>
      <c r="F70" s="6" t="n">
        <v>-75</v>
      </c>
      <c r="G70" s="6" t="n">
        <v>6</v>
      </c>
      <c r="H70" s="6" t="n">
        <v>12</v>
      </c>
      <c r="I70" s="18" t="n">
        <f aca="false">SUMIFS($G$2:$G$120,$B$2:$B$120,$B70,$D$2:$D$120,"&lt;="&amp;$D70)</f>
        <v>106</v>
      </c>
      <c r="J70" s="18" t="n">
        <f aca="false">SUMIFS($H$2:$H$120,$B$2:$B$120,$B70,$D$2:$D$120,"&lt;="&amp;$D70)</f>
        <v>57</v>
      </c>
      <c r="K70" s="18" t="n">
        <f aca="false">I70-J70</f>
        <v>49</v>
      </c>
      <c r="L70" s="18" t="n">
        <f aca="false">SUMIF($B$2:$B$120,$B70,$G$2:$G$120)</f>
        <v>119</v>
      </c>
      <c r="M70" s="20" t="n">
        <f aca="false">IF(L70=0,"",K70/L70)</f>
        <v>0.411764705882353</v>
      </c>
    </row>
    <row r="71" customFormat="false" ht="23.25" hidden="false" customHeight="true" outlineLevel="0" collapsed="false">
      <c r="A71" s="6" t="s">
        <v>313</v>
      </c>
      <c r="B71" s="7" t="s">
        <v>675</v>
      </c>
      <c r="C71" s="7" t="s">
        <v>676</v>
      </c>
      <c r="D71" s="6" t="n">
        <v>11</v>
      </c>
      <c r="E71" s="6" t="s">
        <v>246</v>
      </c>
      <c r="F71" s="6" t="n">
        <v>-60</v>
      </c>
      <c r="G71" s="6" t="n">
        <v>5</v>
      </c>
      <c r="H71" s="6" t="n">
        <v>21</v>
      </c>
      <c r="I71" s="18" t="n">
        <f aca="false">SUMIFS($G$2:$G$120,$B$2:$B$120,$B71,$D$2:$D$120,"&lt;="&amp;$D71)</f>
        <v>111</v>
      </c>
      <c r="J71" s="18" t="n">
        <f aca="false">SUMIFS($H$2:$H$120,$B$2:$B$120,$B71,$D$2:$D$120,"&lt;="&amp;$D71)</f>
        <v>78</v>
      </c>
      <c r="K71" s="18" t="n">
        <f aca="false">I71-J71</f>
        <v>33</v>
      </c>
      <c r="L71" s="18" t="n">
        <f aca="false">SUMIF($B$2:$B$120,$B71,$G$2:$G$120)</f>
        <v>119</v>
      </c>
      <c r="M71" s="20" t="n">
        <f aca="false">IF(L71=0,"",K71/L71)</f>
        <v>0.277310924369748</v>
      </c>
    </row>
    <row r="72" customFormat="false" ht="23.25" hidden="false" customHeight="true" outlineLevel="0" collapsed="false">
      <c r="A72" s="6" t="s">
        <v>313</v>
      </c>
      <c r="B72" s="7" t="s">
        <v>675</v>
      </c>
      <c r="C72" s="7" t="s">
        <v>676</v>
      </c>
      <c r="D72" s="6" t="n">
        <v>12</v>
      </c>
      <c r="E72" s="6" t="s">
        <v>254</v>
      </c>
      <c r="F72" s="6" t="n">
        <v>-45</v>
      </c>
      <c r="G72" s="6" t="n">
        <v>6</v>
      </c>
      <c r="H72" s="6" t="n">
        <v>10</v>
      </c>
      <c r="I72" s="18" t="n">
        <f aca="false">SUMIFS($G$2:$G$120,$B$2:$B$120,$B72,$D$2:$D$120,"&lt;="&amp;$D72)</f>
        <v>117</v>
      </c>
      <c r="J72" s="18" t="n">
        <f aca="false">SUMIFS($H$2:$H$120,$B$2:$B$120,$B72,$D$2:$D$120,"&lt;="&amp;$D72)</f>
        <v>88</v>
      </c>
      <c r="K72" s="18" t="n">
        <f aca="false">I72-J72</f>
        <v>29</v>
      </c>
      <c r="L72" s="18" t="n">
        <f aca="false">SUMIF($B$2:$B$120,$B72,$G$2:$G$120)</f>
        <v>119</v>
      </c>
      <c r="M72" s="20" t="n">
        <f aca="false">IF(L72=0,"",K72/L72)</f>
        <v>0.243697478991597</v>
      </c>
    </row>
    <row r="73" customFormat="false" ht="23.25" hidden="false" customHeight="true" outlineLevel="0" collapsed="false">
      <c r="A73" s="6" t="s">
        <v>313</v>
      </c>
      <c r="B73" s="7" t="s">
        <v>675</v>
      </c>
      <c r="C73" s="7" t="s">
        <v>676</v>
      </c>
      <c r="D73" s="6" t="n">
        <v>13</v>
      </c>
      <c r="E73" s="6" t="s">
        <v>403</v>
      </c>
      <c r="F73" s="6" t="n">
        <v>-30</v>
      </c>
      <c r="G73" s="6" t="n">
        <v>1</v>
      </c>
      <c r="H73" s="6" t="n">
        <v>7</v>
      </c>
      <c r="I73" s="18" t="n">
        <f aca="false">SUMIFS($G$2:$G$120,$B$2:$B$120,$B73,$D$2:$D$120,"&lt;="&amp;$D73)</f>
        <v>118</v>
      </c>
      <c r="J73" s="18" t="n">
        <f aca="false">SUMIFS($H$2:$H$120,$B$2:$B$120,$B73,$D$2:$D$120,"&lt;="&amp;$D73)</f>
        <v>95</v>
      </c>
      <c r="K73" s="18" t="n">
        <f aca="false">I73-J73</f>
        <v>23</v>
      </c>
      <c r="L73" s="18" t="n">
        <f aca="false">SUMIF($B$2:$B$120,$B73,$G$2:$G$120)</f>
        <v>119</v>
      </c>
      <c r="M73" s="20" t="n">
        <f aca="false">IF(L73=0,"",K73/L73)</f>
        <v>0.19327731092437</v>
      </c>
    </row>
    <row r="74" customFormat="false" ht="23.25" hidden="false" customHeight="true" outlineLevel="0" collapsed="false">
      <c r="A74" s="6" t="s">
        <v>313</v>
      </c>
      <c r="B74" s="7" t="s">
        <v>675</v>
      </c>
      <c r="C74" s="7" t="s">
        <v>676</v>
      </c>
      <c r="D74" s="6" t="n">
        <v>14</v>
      </c>
      <c r="E74" s="6" t="s">
        <v>529</v>
      </c>
      <c r="F74" s="6" t="n">
        <v>-15</v>
      </c>
      <c r="G74" s="6" t="n">
        <v>1</v>
      </c>
      <c r="H74" s="6" t="n">
        <v>3</v>
      </c>
      <c r="I74" s="18" t="n">
        <f aca="false">SUMIFS($G$2:$G$120,$B$2:$B$120,$B74,$D$2:$D$120,"&lt;="&amp;$D74)</f>
        <v>119</v>
      </c>
      <c r="J74" s="18" t="n">
        <f aca="false">SUMIFS($H$2:$H$120,$B$2:$B$120,$B74,$D$2:$D$120,"&lt;="&amp;$D74)</f>
        <v>98</v>
      </c>
      <c r="K74" s="18" t="n">
        <f aca="false">I74-J74</f>
        <v>21</v>
      </c>
      <c r="L74" s="18" t="n">
        <f aca="false">SUMIF($B$2:$B$120,$B74,$G$2:$G$120)</f>
        <v>119</v>
      </c>
      <c r="M74" s="20" t="n">
        <f aca="false">IF(L74=0,"",K74/L74)</f>
        <v>0.176470588235294</v>
      </c>
    </row>
    <row r="75" customFormat="false" ht="23.25" hidden="false" customHeight="true" outlineLevel="0" collapsed="false">
      <c r="A75" s="6" t="s">
        <v>313</v>
      </c>
      <c r="B75" s="7" t="s">
        <v>675</v>
      </c>
      <c r="C75" s="7" t="s">
        <v>676</v>
      </c>
      <c r="D75" s="6" t="n">
        <v>15</v>
      </c>
      <c r="E75" s="6" t="s">
        <v>463</v>
      </c>
      <c r="F75" s="6" t="n">
        <v>0</v>
      </c>
      <c r="G75" s="6" t="n">
        <v>0</v>
      </c>
      <c r="H75" s="6" t="n">
        <v>8</v>
      </c>
      <c r="I75" s="18" t="n">
        <f aca="false">SUMIFS($G$2:$G$120,$B$2:$B$120,$B75,$D$2:$D$120,"&lt;="&amp;$D75)</f>
        <v>119</v>
      </c>
      <c r="J75" s="18" t="n">
        <f aca="false">SUMIFS($H$2:$H$120,$B$2:$B$120,$B75,$D$2:$D$120,"&lt;="&amp;$D75)</f>
        <v>106</v>
      </c>
      <c r="K75" s="18" t="n">
        <f aca="false">I75-J75</f>
        <v>13</v>
      </c>
      <c r="L75" s="18" t="n">
        <f aca="false">SUMIF($B$2:$B$120,$B75,$G$2:$G$120)</f>
        <v>119</v>
      </c>
      <c r="M75" s="20" t="n">
        <f aca="false">IF(L75=0,"",K75/L75)</f>
        <v>0.109243697478992</v>
      </c>
    </row>
    <row r="76" customFormat="false" ht="23.25" hidden="false" customHeight="true" outlineLevel="0" collapsed="false">
      <c r="A76" s="6" t="s">
        <v>313</v>
      </c>
      <c r="B76" s="7" t="s">
        <v>675</v>
      </c>
      <c r="C76" s="7" t="s">
        <v>676</v>
      </c>
      <c r="D76" s="6" t="n">
        <v>16</v>
      </c>
      <c r="E76" s="6" t="s">
        <v>366</v>
      </c>
      <c r="F76" s="6" t="n">
        <v>15</v>
      </c>
      <c r="G76" s="6" t="n">
        <v>0</v>
      </c>
      <c r="H76" s="6" t="n">
        <v>0</v>
      </c>
      <c r="I76" s="18" t="n">
        <f aca="false">SUMIFS($G$2:$G$120,$B$2:$B$120,$B76,$D$2:$D$120,"&lt;="&amp;$D76)</f>
        <v>119</v>
      </c>
      <c r="J76" s="18" t="n">
        <f aca="false">SUMIFS($H$2:$H$120,$B$2:$B$120,$B76,$D$2:$D$120,"&lt;="&amp;$D76)</f>
        <v>106</v>
      </c>
      <c r="K76" s="18" t="n">
        <f aca="false">I76-J76</f>
        <v>13</v>
      </c>
      <c r="L76" s="18" t="n">
        <f aca="false">SUMIF($B$2:$B$120,$B76,$G$2:$G$120)</f>
        <v>119</v>
      </c>
      <c r="M76" s="20" t="n">
        <f aca="false">IF(L76=0,"",K76/L76)</f>
        <v>0.109243697478992</v>
      </c>
    </row>
    <row r="77" customFormat="false" ht="23.25" hidden="false" customHeight="true" outlineLevel="0" collapsed="false">
      <c r="A77" s="6" t="s">
        <v>313</v>
      </c>
      <c r="B77" s="7" t="s">
        <v>675</v>
      </c>
      <c r="C77" s="7" t="s">
        <v>676</v>
      </c>
      <c r="D77" s="6" t="n">
        <v>17</v>
      </c>
      <c r="E77" s="6" t="s">
        <v>326</v>
      </c>
      <c r="F77" s="6" t="n">
        <v>30</v>
      </c>
      <c r="G77" s="6" t="n">
        <v>0</v>
      </c>
      <c r="H77" s="6" t="n">
        <v>0</v>
      </c>
      <c r="I77" s="18" t="n">
        <f aca="false">SUMIFS($G$2:$G$120,$B$2:$B$120,$B77,$D$2:$D$120,"&lt;="&amp;$D77)</f>
        <v>119</v>
      </c>
      <c r="J77" s="18" t="n">
        <f aca="false">SUMIFS($H$2:$H$120,$B$2:$B$120,$B77,$D$2:$D$120,"&lt;="&amp;$D77)</f>
        <v>106</v>
      </c>
      <c r="K77" s="18" t="n">
        <f aca="false">I77-J77</f>
        <v>13</v>
      </c>
      <c r="L77" s="18" t="n">
        <f aca="false">SUMIF($B$2:$B$120,$B77,$G$2:$G$120)</f>
        <v>119</v>
      </c>
      <c r="M77" s="20" t="n">
        <f aca="false">IF(L77=0,"",K77/L77)</f>
        <v>0.109243697478992</v>
      </c>
    </row>
    <row r="78" customFormat="false" ht="23.25" hidden="false" customHeight="true" outlineLevel="0" collapsed="false">
      <c r="A78" s="6" t="s">
        <v>313</v>
      </c>
      <c r="B78" s="7" t="s">
        <v>675</v>
      </c>
      <c r="C78" s="7" t="s">
        <v>676</v>
      </c>
      <c r="D78" s="6" t="n">
        <v>18</v>
      </c>
      <c r="E78" s="6" t="s">
        <v>226</v>
      </c>
      <c r="F78" s="6" t="n">
        <v>45</v>
      </c>
      <c r="G78" s="6" t="n">
        <v>0</v>
      </c>
      <c r="H78" s="6" t="n">
        <v>0</v>
      </c>
      <c r="I78" s="18" t="n">
        <f aca="false">SUMIFS($G$2:$G$120,$B$2:$B$120,$B78,$D$2:$D$120,"&lt;="&amp;$D78)</f>
        <v>119</v>
      </c>
      <c r="J78" s="18" t="n">
        <f aca="false">SUMIFS($H$2:$H$120,$B$2:$B$120,$B78,$D$2:$D$120,"&lt;="&amp;$D78)</f>
        <v>106</v>
      </c>
      <c r="K78" s="18" t="n">
        <f aca="false">I78-J78</f>
        <v>13</v>
      </c>
      <c r="L78" s="18" t="n">
        <f aca="false">SUMIF($B$2:$B$120,$B78,$G$2:$G$120)</f>
        <v>119</v>
      </c>
      <c r="M78" s="20" t="n">
        <f aca="false">IF(L78=0,"",K78/L78)</f>
        <v>0.109243697478992</v>
      </c>
    </row>
    <row r="79" customFormat="false" ht="34.5" hidden="false" customHeight="true" outlineLevel="0" collapsed="false">
      <c r="A79" s="6" t="s">
        <v>313</v>
      </c>
      <c r="B79" s="7" t="s">
        <v>677</v>
      </c>
      <c r="C79" s="7" t="s">
        <v>678</v>
      </c>
      <c r="D79" s="6" t="n">
        <v>0</v>
      </c>
      <c r="E79" s="6" t="s">
        <v>204</v>
      </c>
      <c r="F79" s="6"/>
      <c r="G79" s="6" t="n">
        <v>25</v>
      </c>
      <c r="H79" s="6" t="n">
        <v>1</v>
      </c>
      <c r="I79" s="18" t="n">
        <f aca="false">SUMIFS($G$2:$G$120,$B$2:$B$120,$B79,$D$2:$D$120,"&lt;="&amp;$D79)</f>
        <v>25</v>
      </c>
      <c r="J79" s="18" t="n">
        <f aca="false">SUMIFS($H$2:$H$120,$B$2:$B$120,$B79,$D$2:$D$120,"&lt;="&amp;$D79)</f>
        <v>1</v>
      </c>
      <c r="K79" s="18" t="n">
        <f aca="false">I79-J79</f>
        <v>24</v>
      </c>
      <c r="L79" s="18" t="n">
        <f aca="false">SUMIF($B$2:$B$120,$B79,$G$2:$G$120)</f>
        <v>190</v>
      </c>
      <c r="M79" s="20" t="n">
        <f aca="false">IF(L79=0,"",K79/L79)</f>
        <v>0.126315789473684</v>
      </c>
    </row>
    <row r="80" customFormat="false" ht="34.5" hidden="false" customHeight="true" outlineLevel="0" collapsed="false">
      <c r="A80" s="6" t="s">
        <v>313</v>
      </c>
      <c r="B80" s="7" t="s">
        <v>677</v>
      </c>
      <c r="C80" s="7" t="s">
        <v>678</v>
      </c>
      <c r="D80" s="6" t="n">
        <v>1</v>
      </c>
      <c r="E80" s="6" t="s">
        <v>531</v>
      </c>
      <c r="F80" s="6" t="n">
        <v>-210</v>
      </c>
      <c r="G80" s="6" t="n">
        <v>15</v>
      </c>
      <c r="H80" s="6" t="n">
        <v>3</v>
      </c>
      <c r="I80" s="18" t="n">
        <f aca="false">SUMIFS($G$2:$G$120,$B$2:$B$120,$B80,$D$2:$D$120,"&lt;="&amp;$D80)</f>
        <v>40</v>
      </c>
      <c r="J80" s="18" t="n">
        <f aca="false">SUMIFS($H$2:$H$120,$B$2:$B$120,$B80,$D$2:$D$120,"&lt;="&amp;$D80)</f>
        <v>4</v>
      </c>
      <c r="K80" s="18" t="n">
        <f aca="false">I80-J80</f>
        <v>36</v>
      </c>
      <c r="L80" s="18" t="n">
        <f aca="false">SUMIF($B$2:$B$120,$B80,$G$2:$G$120)</f>
        <v>190</v>
      </c>
      <c r="M80" s="20" t="n">
        <f aca="false">IF(L80=0,"",K80/L80)</f>
        <v>0.189473684210526</v>
      </c>
    </row>
    <row r="81" customFormat="false" ht="34.5" hidden="false" customHeight="true" outlineLevel="0" collapsed="false">
      <c r="A81" s="6" t="s">
        <v>313</v>
      </c>
      <c r="B81" s="7" t="s">
        <v>677</v>
      </c>
      <c r="C81" s="7" t="s">
        <v>678</v>
      </c>
      <c r="D81" s="6" t="n">
        <v>2</v>
      </c>
      <c r="E81" s="6" t="s">
        <v>340</v>
      </c>
      <c r="F81" s="6" t="n">
        <v>-195</v>
      </c>
      <c r="G81" s="6" t="n">
        <v>15</v>
      </c>
      <c r="H81" s="6" t="n">
        <v>4</v>
      </c>
      <c r="I81" s="18" t="n">
        <f aca="false">SUMIFS($G$2:$G$120,$B$2:$B$120,$B81,$D$2:$D$120,"&lt;="&amp;$D81)</f>
        <v>55</v>
      </c>
      <c r="J81" s="18" t="n">
        <f aca="false">SUMIFS($H$2:$H$120,$B$2:$B$120,$B81,$D$2:$D$120,"&lt;="&amp;$D81)</f>
        <v>8</v>
      </c>
      <c r="K81" s="18" t="n">
        <f aca="false">I81-J81</f>
        <v>47</v>
      </c>
      <c r="L81" s="18" t="n">
        <f aca="false">SUMIF($B$2:$B$120,$B81,$G$2:$G$120)</f>
        <v>190</v>
      </c>
      <c r="M81" s="20" t="n">
        <f aca="false">IF(L81=0,"",K81/L81)</f>
        <v>0.247368421052632</v>
      </c>
    </row>
    <row r="82" customFormat="false" ht="34.5" hidden="false" customHeight="true" outlineLevel="0" collapsed="false">
      <c r="A82" s="6" t="s">
        <v>313</v>
      </c>
      <c r="B82" s="7" t="s">
        <v>677</v>
      </c>
      <c r="C82" s="7" t="s">
        <v>678</v>
      </c>
      <c r="D82" s="6" t="n">
        <v>3</v>
      </c>
      <c r="E82" s="6" t="s">
        <v>525</v>
      </c>
      <c r="F82" s="6" t="n">
        <v>-180</v>
      </c>
      <c r="G82" s="6" t="n">
        <v>23</v>
      </c>
      <c r="H82" s="6" t="n">
        <v>6</v>
      </c>
      <c r="I82" s="18" t="n">
        <f aca="false">SUMIFS($G$2:$G$120,$B$2:$B$120,$B82,$D$2:$D$120,"&lt;="&amp;$D82)</f>
        <v>78</v>
      </c>
      <c r="J82" s="18" t="n">
        <f aca="false">SUMIFS($H$2:$H$120,$B$2:$B$120,$B82,$D$2:$D$120,"&lt;="&amp;$D82)</f>
        <v>14</v>
      </c>
      <c r="K82" s="18" t="n">
        <f aca="false">I82-J82</f>
        <v>64</v>
      </c>
      <c r="L82" s="18" t="n">
        <f aca="false">SUMIF($B$2:$B$120,$B82,$G$2:$G$120)</f>
        <v>190</v>
      </c>
      <c r="M82" s="20" t="n">
        <f aca="false">IF(L82=0,"",K82/L82)</f>
        <v>0.336842105263158</v>
      </c>
    </row>
    <row r="83" customFormat="false" ht="34.5" hidden="false" customHeight="true" outlineLevel="0" collapsed="false">
      <c r="A83" s="6" t="s">
        <v>313</v>
      </c>
      <c r="B83" s="7" t="s">
        <v>677</v>
      </c>
      <c r="C83" s="7" t="s">
        <v>678</v>
      </c>
      <c r="D83" s="6" t="n">
        <v>4</v>
      </c>
      <c r="E83" s="6" t="s">
        <v>526</v>
      </c>
      <c r="F83" s="6" t="n">
        <v>-165</v>
      </c>
      <c r="G83" s="6" t="n">
        <v>32</v>
      </c>
      <c r="H83" s="6" t="n">
        <v>0</v>
      </c>
      <c r="I83" s="18" t="n">
        <f aca="false">SUMIFS($G$2:$G$120,$B$2:$B$120,$B83,$D$2:$D$120,"&lt;="&amp;$D83)</f>
        <v>110</v>
      </c>
      <c r="J83" s="18" t="n">
        <f aca="false">SUMIFS($H$2:$H$120,$B$2:$B$120,$B83,$D$2:$D$120,"&lt;="&amp;$D83)</f>
        <v>14</v>
      </c>
      <c r="K83" s="18" t="n">
        <f aca="false">I83-J83</f>
        <v>96</v>
      </c>
      <c r="L83" s="18" t="n">
        <f aca="false">SUMIF($B$2:$B$120,$B83,$G$2:$G$120)</f>
        <v>190</v>
      </c>
      <c r="M83" s="20" t="n">
        <f aca="false">IF(L83=0,"",K83/L83)</f>
        <v>0.505263157894737</v>
      </c>
    </row>
    <row r="84" customFormat="false" ht="34.5" hidden="false" customHeight="true" outlineLevel="0" collapsed="false">
      <c r="A84" s="6" t="s">
        <v>313</v>
      </c>
      <c r="B84" s="7" t="s">
        <v>677</v>
      </c>
      <c r="C84" s="7" t="s">
        <v>678</v>
      </c>
      <c r="D84" s="6" t="n">
        <v>5</v>
      </c>
      <c r="E84" s="6" t="s">
        <v>527</v>
      </c>
      <c r="F84" s="6" t="n">
        <v>-150</v>
      </c>
      <c r="G84" s="6" t="n">
        <v>20</v>
      </c>
      <c r="H84" s="6" t="n">
        <v>2</v>
      </c>
      <c r="I84" s="18" t="n">
        <f aca="false">SUMIFS($G$2:$G$120,$B$2:$B$120,$B84,$D$2:$D$120,"&lt;="&amp;$D84)</f>
        <v>130</v>
      </c>
      <c r="J84" s="18" t="n">
        <f aca="false">SUMIFS($H$2:$H$120,$B$2:$B$120,$B84,$D$2:$D$120,"&lt;="&amp;$D84)</f>
        <v>16</v>
      </c>
      <c r="K84" s="18" t="n">
        <f aca="false">I84-J84</f>
        <v>114</v>
      </c>
      <c r="L84" s="18" t="n">
        <f aca="false">SUMIF($B$2:$B$120,$B84,$G$2:$G$120)</f>
        <v>190</v>
      </c>
      <c r="M84" s="20" t="n">
        <f aca="false">IF(L84=0,"",K84/L84)</f>
        <v>0.6</v>
      </c>
    </row>
    <row r="85" customFormat="false" ht="34.5" hidden="false" customHeight="true" outlineLevel="0" collapsed="false">
      <c r="A85" s="6" t="s">
        <v>313</v>
      </c>
      <c r="B85" s="7" t="s">
        <v>677</v>
      </c>
      <c r="C85" s="7" t="s">
        <v>678</v>
      </c>
      <c r="D85" s="6" t="n">
        <v>6</v>
      </c>
      <c r="E85" s="6" t="s">
        <v>528</v>
      </c>
      <c r="F85" s="6" t="n">
        <v>-135</v>
      </c>
      <c r="G85" s="6" t="n">
        <v>15</v>
      </c>
      <c r="H85" s="6" t="n">
        <v>4</v>
      </c>
      <c r="I85" s="18" t="n">
        <f aca="false">SUMIFS($G$2:$G$120,$B$2:$B$120,$B85,$D$2:$D$120,"&lt;="&amp;$D85)</f>
        <v>145</v>
      </c>
      <c r="J85" s="18" t="n">
        <f aca="false">SUMIFS($H$2:$H$120,$B$2:$B$120,$B85,$D$2:$D$120,"&lt;="&amp;$D85)</f>
        <v>20</v>
      </c>
      <c r="K85" s="18" t="n">
        <f aca="false">I85-J85</f>
        <v>125</v>
      </c>
      <c r="L85" s="18" t="n">
        <f aca="false">SUMIF($B$2:$B$120,$B85,$G$2:$G$120)</f>
        <v>190</v>
      </c>
      <c r="M85" s="20" t="n">
        <f aca="false">IF(L85=0,"",K85/L85)</f>
        <v>0.657894736842105</v>
      </c>
    </row>
    <row r="86" customFormat="false" ht="34.5" hidden="false" customHeight="true" outlineLevel="0" collapsed="false">
      <c r="A86" s="6" t="s">
        <v>313</v>
      </c>
      <c r="B86" s="7" t="s">
        <v>677</v>
      </c>
      <c r="C86" s="7" t="s">
        <v>678</v>
      </c>
      <c r="D86" s="6" t="n">
        <v>7</v>
      </c>
      <c r="E86" s="6" t="s">
        <v>227</v>
      </c>
      <c r="F86" s="6" t="n">
        <v>-120</v>
      </c>
      <c r="G86" s="6" t="n">
        <v>10</v>
      </c>
      <c r="H86" s="6" t="n">
        <v>8</v>
      </c>
      <c r="I86" s="18" t="n">
        <f aca="false">SUMIFS($G$2:$G$120,$B$2:$B$120,$B86,$D$2:$D$120,"&lt;="&amp;$D86)</f>
        <v>155</v>
      </c>
      <c r="J86" s="18" t="n">
        <f aca="false">SUMIFS($H$2:$H$120,$B$2:$B$120,$B86,$D$2:$D$120,"&lt;="&amp;$D86)</f>
        <v>28</v>
      </c>
      <c r="K86" s="18" t="n">
        <f aca="false">I86-J86</f>
        <v>127</v>
      </c>
      <c r="L86" s="18" t="n">
        <f aca="false">SUMIF($B$2:$B$120,$B86,$G$2:$G$120)</f>
        <v>190</v>
      </c>
      <c r="M86" s="20" t="n">
        <f aca="false">IF(L86=0,"",K86/L86)</f>
        <v>0.668421052631579</v>
      </c>
    </row>
    <row r="87" customFormat="false" ht="34.5" hidden="false" customHeight="true" outlineLevel="0" collapsed="false">
      <c r="A87" s="6" t="s">
        <v>313</v>
      </c>
      <c r="B87" s="7" t="s">
        <v>677</v>
      </c>
      <c r="C87" s="7" t="s">
        <v>678</v>
      </c>
      <c r="D87" s="6" t="n">
        <v>8</v>
      </c>
      <c r="E87" s="6" t="s">
        <v>241</v>
      </c>
      <c r="F87" s="6" t="n">
        <v>-105</v>
      </c>
      <c r="G87" s="6" t="n">
        <v>7</v>
      </c>
      <c r="H87" s="6" t="n">
        <v>13</v>
      </c>
      <c r="I87" s="18" t="n">
        <f aca="false">SUMIFS($G$2:$G$120,$B$2:$B$120,$B87,$D$2:$D$120,"&lt;="&amp;$D87)</f>
        <v>162</v>
      </c>
      <c r="J87" s="18" t="n">
        <f aca="false">SUMIFS($H$2:$H$120,$B$2:$B$120,$B87,$D$2:$D$120,"&lt;="&amp;$D87)</f>
        <v>41</v>
      </c>
      <c r="K87" s="18" t="n">
        <f aca="false">I87-J87</f>
        <v>121</v>
      </c>
      <c r="L87" s="18" t="n">
        <f aca="false">SUMIF($B$2:$B$120,$B87,$G$2:$G$120)</f>
        <v>190</v>
      </c>
      <c r="M87" s="20" t="n">
        <f aca="false">IF(L87=0,"",K87/L87)</f>
        <v>0.636842105263158</v>
      </c>
    </row>
    <row r="88" customFormat="false" ht="34.5" hidden="false" customHeight="true" outlineLevel="0" collapsed="false">
      <c r="A88" s="6" t="s">
        <v>313</v>
      </c>
      <c r="B88" s="7" t="s">
        <v>677</v>
      </c>
      <c r="C88" s="7" t="s">
        <v>678</v>
      </c>
      <c r="D88" s="6" t="n">
        <v>9</v>
      </c>
      <c r="E88" s="6" t="s">
        <v>279</v>
      </c>
      <c r="F88" s="6" t="n">
        <v>-90</v>
      </c>
      <c r="G88" s="6" t="n">
        <v>13</v>
      </c>
      <c r="H88" s="6" t="n">
        <v>18</v>
      </c>
      <c r="I88" s="18" t="n">
        <f aca="false">SUMIFS($G$2:$G$120,$B$2:$B$120,$B88,$D$2:$D$120,"&lt;="&amp;$D88)</f>
        <v>175</v>
      </c>
      <c r="J88" s="18" t="n">
        <f aca="false">SUMIFS($H$2:$H$120,$B$2:$B$120,$B88,$D$2:$D$120,"&lt;="&amp;$D88)</f>
        <v>59</v>
      </c>
      <c r="K88" s="18" t="n">
        <f aca="false">I88-J88</f>
        <v>116</v>
      </c>
      <c r="L88" s="18" t="n">
        <f aca="false">SUMIF($B$2:$B$120,$B88,$G$2:$G$120)</f>
        <v>190</v>
      </c>
      <c r="M88" s="20" t="n">
        <f aca="false">IF(L88=0,"",K88/L88)</f>
        <v>0.610526315789474</v>
      </c>
    </row>
    <row r="89" customFormat="false" ht="34.5" hidden="false" customHeight="true" outlineLevel="0" collapsed="false">
      <c r="A89" s="6" t="s">
        <v>313</v>
      </c>
      <c r="B89" s="7" t="s">
        <v>677</v>
      </c>
      <c r="C89" s="7" t="s">
        <v>678</v>
      </c>
      <c r="D89" s="6" t="n">
        <v>10</v>
      </c>
      <c r="E89" s="6" t="s">
        <v>206</v>
      </c>
      <c r="F89" s="6" t="n">
        <v>-75</v>
      </c>
      <c r="G89" s="6" t="n">
        <v>7</v>
      </c>
      <c r="H89" s="6" t="n">
        <v>25</v>
      </c>
      <c r="I89" s="18" t="n">
        <f aca="false">SUMIFS($G$2:$G$120,$B$2:$B$120,$B89,$D$2:$D$120,"&lt;="&amp;$D89)</f>
        <v>182</v>
      </c>
      <c r="J89" s="18" t="n">
        <f aca="false">SUMIFS($H$2:$H$120,$B$2:$B$120,$B89,$D$2:$D$120,"&lt;="&amp;$D89)</f>
        <v>84</v>
      </c>
      <c r="K89" s="18" t="n">
        <f aca="false">I89-J89</f>
        <v>98</v>
      </c>
      <c r="L89" s="18" t="n">
        <f aca="false">SUMIF($B$2:$B$120,$B89,$G$2:$G$120)</f>
        <v>190</v>
      </c>
      <c r="M89" s="20" t="n">
        <f aca="false">IF(L89=0,"",K89/L89)</f>
        <v>0.515789473684211</v>
      </c>
    </row>
    <row r="90" customFormat="false" ht="34.5" hidden="false" customHeight="true" outlineLevel="0" collapsed="false">
      <c r="A90" s="6" t="s">
        <v>313</v>
      </c>
      <c r="B90" s="7" t="s">
        <v>677</v>
      </c>
      <c r="C90" s="7" t="s">
        <v>678</v>
      </c>
      <c r="D90" s="6" t="n">
        <v>11</v>
      </c>
      <c r="E90" s="6" t="s">
        <v>246</v>
      </c>
      <c r="F90" s="6" t="n">
        <v>-60</v>
      </c>
      <c r="G90" s="6" t="n">
        <v>2</v>
      </c>
      <c r="H90" s="6" t="n">
        <v>17</v>
      </c>
      <c r="I90" s="18" t="n">
        <f aca="false">SUMIFS($G$2:$G$120,$B$2:$B$120,$B90,$D$2:$D$120,"&lt;="&amp;$D90)</f>
        <v>184</v>
      </c>
      <c r="J90" s="18" t="n">
        <f aca="false">SUMIFS($H$2:$H$120,$B$2:$B$120,$B90,$D$2:$D$120,"&lt;="&amp;$D90)</f>
        <v>101</v>
      </c>
      <c r="K90" s="18" t="n">
        <f aca="false">I90-J90</f>
        <v>83</v>
      </c>
      <c r="L90" s="18" t="n">
        <f aca="false">SUMIF($B$2:$B$120,$B90,$G$2:$G$120)</f>
        <v>190</v>
      </c>
      <c r="M90" s="20" t="n">
        <f aca="false">IF(L90=0,"",K90/L90)</f>
        <v>0.436842105263158</v>
      </c>
    </row>
    <row r="91" customFormat="false" ht="34.5" hidden="false" customHeight="true" outlineLevel="0" collapsed="false">
      <c r="A91" s="6" t="s">
        <v>313</v>
      </c>
      <c r="B91" s="7" t="s">
        <v>677</v>
      </c>
      <c r="C91" s="7" t="s">
        <v>678</v>
      </c>
      <c r="D91" s="6" t="n">
        <v>12</v>
      </c>
      <c r="E91" s="6" t="s">
        <v>254</v>
      </c>
      <c r="F91" s="6" t="n">
        <v>-45</v>
      </c>
      <c r="G91" s="6" t="n">
        <v>1</v>
      </c>
      <c r="H91" s="6" t="n">
        <v>15</v>
      </c>
      <c r="I91" s="18" t="n">
        <f aca="false">SUMIFS($G$2:$G$120,$B$2:$B$120,$B91,$D$2:$D$120,"&lt;="&amp;$D91)</f>
        <v>185</v>
      </c>
      <c r="J91" s="18" t="n">
        <f aca="false">SUMIFS($H$2:$H$120,$B$2:$B$120,$B91,$D$2:$D$120,"&lt;="&amp;$D91)</f>
        <v>116</v>
      </c>
      <c r="K91" s="18" t="n">
        <f aca="false">I91-J91</f>
        <v>69</v>
      </c>
      <c r="L91" s="18" t="n">
        <f aca="false">SUMIF($B$2:$B$120,$B91,$G$2:$G$120)</f>
        <v>190</v>
      </c>
      <c r="M91" s="20" t="n">
        <f aca="false">IF(L91=0,"",K91/L91)</f>
        <v>0.363157894736842</v>
      </c>
    </row>
    <row r="92" customFormat="false" ht="34.5" hidden="false" customHeight="true" outlineLevel="0" collapsed="false">
      <c r="A92" s="6" t="s">
        <v>313</v>
      </c>
      <c r="B92" s="7" t="s">
        <v>677</v>
      </c>
      <c r="C92" s="7" t="s">
        <v>678</v>
      </c>
      <c r="D92" s="6" t="n">
        <v>13</v>
      </c>
      <c r="E92" s="6" t="s">
        <v>403</v>
      </c>
      <c r="F92" s="6" t="n">
        <v>-30</v>
      </c>
      <c r="G92" s="6" t="n">
        <v>3</v>
      </c>
      <c r="H92" s="6" t="n">
        <v>18</v>
      </c>
      <c r="I92" s="18" t="n">
        <f aca="false">SUMIFS($G$2:$G$120,$B$2:$B$120,$B92,$D$2:$D$120,"&lt;="&amp;$D92)</f>
        <v>188</v>
      </c>
      <c r="J92" s="18" t="n">
        <f aca="false">SUMIFS($H$2:$H$120,$B$2:$B$120,$B92,$D$2:$D$120,"&lt;="&amp;$D92)</f>
        <v>134</v>
      </c>
      <c r="K92" s="18" t="n">
        <f aca="false">I92-J92</f>
        <v>54</v>
      </c>
      <c r="L92" s="18" t="n">
        <f aca="false">SUMIF($B$2:$B$120,$B92,$G$2:$G$120)</f>
        <v>190</v>
      </c>
      <c r="M92" s="20" t="n">
        <f aca="false">IF(L92=0,"",K92/L92)</f>
        <v>0.284210526315789</v>
      </c>
    </row>
    <row r="93" customFormat="false" ht="34.5" hidden="false" customHeight="true" outlineLevel="0" collapsed="false">
      <c r="A93" s="6" t="s">
        <v>313</v>
      </c>
      <c r="B93" s="7" t="s">
        <v>677</v>
      </c>
      <c r="C93" s="7" t="s">
        <v>678</v>
      </c>
      <c r="D93" s="6" t="n">
        <v>14</v>
      </c>
      <c r="E93" s="6" t="s">
        <v>529</v>
      </c>
      <c r="F93" s="6" t="n">
        <v>-15</v>
      </c>
      <c r="G93" s="6" t="n">
        <v>1</v>
      </c>
      <c r="H93" s="6" t="n">
        <v>21</v>
      </c>
      <c r="I93" s="18" t="n">
        <f aca="false">SUMIFS($G$2:$G$120,$B$2:$B$120,$B93,$D$2:$D$120,"&lt;="&amp;$D93)</f>
        <v>189</v>
      </c>
      <c r="J93" s="18" t="n">
        <f aca="false">SUMIFS($H$2:$H$120,$B$2:$B$120,$B93,$D$2:$D$120,"&lt;="&amp;$D93)</f>
        <v>155</v>
      </c>
      <c r="K93" s="18" t="n">
        <f aca="false">I93-J93</f>
        <v>34</v>
      </c>
      <c r="L93" s="18" t="n">
        <f aca="false">SUMIF($B$2:$B$120,$B93,$G$2:$G$120)</f>
        <v>190</v>
      </c>
      <c r="M93" s="20" t="n">
        <f aca="false">IF(L93=0,"",K93/L93)</f>
        <v>0.178947368421053</v>
      </c>
    </row>
    <row r="94" customFormat="false" ht="34.5" hidden="false" customHeight="true" outlineLevel="0" collapsed="false">
      <c r="A94" s="6" t="s">
        <v>313</v>
      </c>
      <c r="B94" s="7" t="s">
        <v>677</v>
      </c>
      <c r="C94" s="7" t="s">
        <v>678</v>
      </c>
      <c r="D94" s="6" t="n">
        <v>15</v>
      </c>
      <c r="E94" s="6" t="s">
        <v>463</v>
      </c>
      <c r="F94" s="6" t="n">
        <v>0</v>
      </c>
      <c r="G94" s="6" t="n">
        <v>1</v>
      </c>
      <c r="H94" s="6" t="n">
        <v>11</v>
      </c>
      <c r="I94" s="18" t="n">
        <f aca="false">SUMIFS($G$2:$G$120,$B$2:$B$120,$B94,$D$2:$D$120,"&lt;="&amp;$D94)</f>
        <v>190</v>
      </c>
      <c r="J94" s="18" t="n">
        <f aca="false">SUMIFS($H$2:$H$120,$B$2:$B$120,$B94,$D$2:$D$120,"&lt;="&amp;$D94)</f>
        <v>166</v>
      </c>
      <c r="K94" s="18" t="n">
        <f aca="false">I94-J94</f>
        <v>24</v>
      </c>
      <c r="L94" s="18" t="n">
        <f aca="false">SUMIF($B$2:$B$120,$B94,$G$2:$G$120)</f>
        <v>190</v>
      </c>
      <c r="M94" s="20" t="n">
        <f aca="false">IF(L94=0,"",K94/L94)</f>
        <v>0.126315789473684</v>
      </c>
    </row>
  </sheetData>
  <autoFilter ref="A1:M9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71484375" defaultRowHeight="15" zeroHeight="false" outlineLevelRow="0" outlineLevelCol="0"/>
  <cols>
    <col collapsed="false" customWidth="true" hidden="false" outlineLevel="0" max="1" min="1" style="0" width="5"/>
    <col collapsed="false" customWidth="true" hidden="false" outlineLevel="0" max="2" min="2" style="0" width="11"/>
    <col collapsed="false" customWidth="true" hidden="false" outlineLevel="0" max="3" min="3" style="0" width="44"/>
    <col collapsed="false" customWidth="true" hidden="false" outlineLevel="0" max="4" min="4" style="0" width="52"/>
    <col collapsed="false" customWidth="true" hidden="false" outlineLevel="0" max="5" min="5" style="0" width="96"/>
    <col collapsed="false" customWidth="true" hidden="false" outlineLevel="0" max="7" min="6" style="0" width="80"/>
  </cols>
  <sheetData>
    <row r="1" customFormat="false" ht="30" hidden="false" customHeight="true" outlineLevel="0" collapsed="false">
      <c r="A1" s="5" t="s">
        <v>679</v>
      </c>
      <c r="B1" s="5" t="s">
        <v>680</v>
      </c>
      <c r="C1" s="5" t="s">
        <v>681</v>
      </c>
      <c r="D1" s="5" t="s">
        <v>682</v>
      </c>
      <c r="E1" s="5" t="s">
        <v>683</v>
      </c>
      <c r="F1" s="5" t="s">
        <v>684</v>
      </c>
      <c r="G1" s="5" t="s">
        <v>685</v>
      </c>
    </row>
    <row r="2" customFormat="false" ht="91.5" hidden="false" customHeight="true" outlineLevel="0" collapsed="false">
      <c r="A2" s="6" t="n">
        <v>1</v>
      </c>
      <c r="B2" s="9" t="s">
        <v>225</v>
      </c>
      <c r="C2" s="7" t="s">
        <v>686</v>
      </c>
      <c r="D2" s="7" t="s">
        <v>687</v>
      </c>
      <c r="E2" s="7" t="s">
        <v>688</v>
      </c>
      <c r="F2" s="7" t="s">
        <v>689</v>
      </c>
      <c r="G2" s="7" t="s">
        <v>690</v>
      </c>
    </row>
    <row r="3" customFormat="false" ht="91.5" hidden="false" customHeight="true" outlineLevel="0" collapsed="false">
      <c r="A3" s="6" t="n">
        <v>2</v>
      </c>
      <c r="B3" s="9" t="s">
        <v>225</v>
      </c>
      <c r="C3" s="7" t="s">
        <v>691</v>
      </c>
      <c r="D3" s="7" t="s">
        <v>692</v>
      </c>
      <c r="E3" s="7" t="s">
        <v>693</v>
      </c>
      <c r="F3" s="7" t="s">
        <v>694</v>
      </c>
      <c r="G3" s="7" t="s">
        <v>695</v>
      </c>
    </row>
    <row r="4" customFormat="false" ht="91.5" hidden="false" customHeight="true" outlineLevel="0" collapsed="false">
      <c r="A4" s="6" t="n">
        <v>3</v>
      </c>
      <c r="B4" s="9" t="s">
        <v>225</v>
      </c>
      <c r="C4" s="7" t="s">
        <v>696</v>
      </c>
      <c r="D4" s="7" t="s">
        <v>697</v>
      </c>
      <c r="E4" s="7" t="s">
        <v>698</v>
      </c>
      <c r="F4" s="7" t="s">
        <v>699</v>
      </c>
      <c r="G4" s="7" t="s">
        <v>700</v>
      </c>
    </row>
    <row r="5" customFormat="false" ht="91.5" hidden="false" customHeight="true" outlineLevel="0" collapsed="false">
      <c r="A5" s="6" t="n">
        <v>4</v>
      </c>
      <c r="B5" s="10" t="s">
        <v>701</v>
      </c>
      <c r="C5" s="7" t="s">
        <v>702</v>
      </c>
      <c r="D5" s="7" t="s">
        <v>703</v>
      </c>
      <c r="E5" s="7" t="s">
        <v>704</v>
      </c>
      <c r="F5" s="7" t="s">
        <v>705</v>
      </c>
      <c r="G5" s="7" t="s">
        <v>706</v>
      </c>
    </row>
    <row r="6" customFormat="false" ht="91.5" hidden="false" customHeight="true" outlineLevel="0" collapsed="false">
      <c r="A6" s="6" t="n">
        <v>5</v>
      </c>
      <c r="B6" s="10" t="s">
        <v>701</v>
      </c>
      <c r="C6" s="7" t="s">
        <v>707</v>
      </c>
      <c r="D6" s="7" t="s">
        <v>708</v>
      </c>
      <c r="E6" s="7" t="s">
        <v>709</v>
      </c>
      <c r="F6" s="7" t="s">
        <v>710</v>
      </c>
      <c r="G6" s="7" t="s">
        <v>711</v>
      </c>
    </row>
    <row r="7" customFormat="false" ht="91.5" hidden="false" customHeight="true" outlineLevel="0" collapsed="false">
      <c r="A7" s="6" t="n">
        <v>6</v>
      </c>
      <c r="B7" s="9" t="s">
        <v>225</v>
      </c>
      <c r="C7" s="7" t="s">
        <v>712</v>
      </c>
      <c r="D7" s="7" t="s">
        <v>713</v>
      </c>
      <c r="E7" s="7" t="s">
        <v>714</v>
      </c>
      <c r="F7" s="7" t="s">
        <v>715</v>
      </c>
      <c r="G7" s="7" t="s">
        <v>716</v>
      </c>
    </row>
    <row r="8" customFormat="false" ht="91.5" hidden="false" customHeight="true" outlineLevel="0" collapsed="false">
      <c r="A8" s="6" t="n">
        <v>7</v>
      </c>
      <c r="B8" s="10" t="s">
        <v>701</v>
      </c>
      <c r="C8" s="7" t="s">
        <v>717</v>
      </c>
      <c r="D8" s="7" t="s">
        <v>718</v>
      </c>
      <c r="E8" s="7" t="s">
        <v>719</v>
      </c>
      <c r="F8" s="7" t="s">
        <v>720</v>
      </c>
      <c r="G8" s="7" t="s">
        <v>721</v>
      </c>
    </row>
    <row r="9" customFormat="false" ht="91.5" hidden="false" customHeight="true" outlineLevel="0" collapsed="false">
      <c r="A9" s="6" t="n">
        <v>8</v>
      </c>
      <c r="B9" s="10" t="s">
        <v>701</v>
      </c>
      <c r="C9" s="7" t="s">
        <v>722</v>
      </c>
      <c r="D9" s="7" t="s">
        <v>723</v>
      </c>
      <c r="E9" s="7" t="s">
        <v>724</v>
      </c>
      <c r="F9" s="7" t="s">
        <v>725</v>
      </c>
      <c r="G9" s="7" t="s">
        <v>726</v>
      </c>
    </row>
    <row r="10" customFormat="false" ht="91.5" hidden="false" customHeight="true" outlineLevel="0" collapsed="false">
      <c r="A10" s="6" t="n">
        <v>9</v>
      </c>
      <c r="B10" s="8" t="s">
        <v>310</v>
      </c>
      <c r="C10" s="7" t="s">
        <v>727</v>
      </c>
      <c r="D10" s="7" t="s">
        <v>728</v>
      </c>
      <c r="E10" s="7" t="s">
        <v>729</v>
      </c>
      <c r="F10" s="7" t="s">
        <v>730</v>
      </c>
      <c r="G10" s="7" t="s">
        <v>731</v>
      </c>
    </row>
    <row r="11" customFormat="false" ht="91.5" hidden="false" customHeight="true" outlineLevel="0" collapsed="false">
      <c r="A11" s="6" t="n">
        <v>10</v>
      </c>
      <c r="B11" s="8" t="s">
        <v>310</v>
      </c>
      <c r="C11" s="7" t="s">
        <v>732</v>
      </c>
      <c r="D11" s="7" t="s">
        <v>733</v>
      </c>
      <c r="E11" s="7" t="s">
        <v>734</v>
      </c>
      <c r="F11" s="7" t="s">
        <v>735</v>
      </c>
      <c r="G11" s="7" t="s">
        <v>736</v>
      </c>
    </row>
    <row r="12" customFormat="false" ht="91.5" hidden="false" customHeight="true" outlineLevel="0" collapsed="false">
      <c r="A12" s="6" t="n">
        <v>11</v>
      </c>
      <c r="B12" s="10" t="s">
        <v>701</v>
      </c>
      <c r="C12" s="7" t="s">
        <v>737</v>
      </c>
      <c r="D12" s="7" t="s">
        <v>738</v>
      </c>
      <c r="E12" s="7" t="s">
        <v>739</v>
      </c>
      <c r="F12" s="7" t="s">
        <v>740</v>
      </c>
      <c r="G12" s="7" t="s">
        <v>741</v>
      </c>
    </row>
    <row r="13" customFormat="false" ht="91.5" hidden="false" customHeight="true" outlineLevel="0" collapsed="false">
      <c r="A13" s="6" t="n">
        <v>12</v>
      </c>
      <c r="B13" s="8" t="s">
        <v>310</v>
      </c>
      <c r="C13" s="7" t="s">
        <v>742</v>
      </c>
      <c r="D13" s="7" t="s">
        <v>129</v>
      </c>
      <c r="E13" s="7" t="s">
        <v>743</v>
      </c>
      <c r="F13" s="7" t="s">
        <v>744</v>
      </c>
      <c r="G13" s="7" t="s">
        <v>745</v>
      </c>
    </row>
    <row r="14" customFormat="false" ht="91.5" hidden="false" customHeight="true" outlineLevel="0" collapsed="false">
      <c r="A14" s="6" t="n">
        <v>13</v>
      </c>
      <c r="B14" s="8" t="s">
        <v>310</v>
      </c>
      <c r="C14" s="7" t="s">
        <v>746</v>
      </c>
      <c r="D14" s="7" t="s">
        <v>747</v>
      </c>
      <c r="E14" s="7" t="s">
        <v>748</v>
      </c>
      <c r="F14" s="7" t="s">
        <v>749</v>
      </c>
      <c r="G14" s="7" t="s">
        <v>750</v>
      </c>
    </row>
    <row r="15" customFormat="false" ht="91.5" hidden="false" customHeight="true" outlineLevel="0" collapsed="false">
      <c r="A15" s="6" t="n">
        <v>14</v>
      </c>
      <c r="B15" s="8" t="s">
        <v>310</v>
      </c>
      <c r="C15" s="7" t="s">
        <v>751</v>
      </c>
      <c r="D15" s="7" t="s">
        <v>96</v>
      </c>
      <c r="E15" s="7" t="s">
        <v>752</v>
      </c>
      <c r="F15" s="7" t="s">
        <v>753</v>
      </c>
      <c r="G15" s="7" t="s">
        <v>754</v>
      </c>
    </row>
    <row r="16" customFormat="false" ht="91.5" hidden="false" customHeight="true" outlineLevel="0" collapsed="false">
      <c r="A16" s="6" t="n">
        <v>15</v>
      </c>
      <c r="B16" s="10" t="s">
        <v>701</v>
      </c>
      <c r="C16" s="7" t="s">
        <v>755</v>
      </c>
      <c r="D16" s="7" t="s">
        <v>756</v>
      </c>
      <c r="E16" s="7" t="s">
        <v>757</v>
      </c>
      <c r="F16" s="7" t="s">
        <v>758</v>
      </c>
      <c r="G16" s="7" t="s">
        <v>759</v>
      </c>
    </row>
    <row r="17" customFormat="false" ht="96" hidden="false" customHeight="true" outlineLevel="0" collapsed="false">
      <c r="A17" s="6" t="n">
        <v>16</v>
      </c>
      <c r="B17" s="10" t="s">
        <v>701</v>
      </c>
      <c r="C17" s="7" t="s">
        <v>760</v>
      </c>
      <c r="D17" s="7" t="s">
        <v>761</v>
      </c>
      <c r="E17" s="7" t="s">
        <v>762</v>
      </c>
      <c r="F17" s="7" t="s">
        <v>763</v>
      </c>
      <c r="G17" s="7" t="s">
        <v>764</v>
      </c>
    </row>
    <row r="18" customFormat="false" ht="96" hidden="false" customHeight="true" outlineLevel="0" collapsed="false">
      <c r="A18" s="6" t="n">
        <v>17</v>
      </c>
      <c r="B18" s="10" t="s">
        <v>701</v>
      </c>
      <c r="C18" s="7" t="s">
        <v>765</v>
      </c>
      <c r="D18" s="7" t="s">
        <v>766</v>
      </c>
      <c r="E18" s="7" t="s">
        <v>767</v>
      </c>
      <c r="F18" s="7" t="s">
        <v>768</v>
      </c>
      <c r="G18" s="7" t="s">
        <v>769</v>
      </c>
    </row>
    <row r="19" customFormat="false" ht="96" hidden="false" customHeight="true" outlineLevel="0" collapsed="false">
      <c r="A19" s="6" t="n">
        <v>18</v>
      </c>
      <c r="B19" s="10" t="s">
        <v>701</v>
      </c>
      <c r="C19" s="7" t="s">
        <v>770</v>
      </c>
      <c r="D19" s="7" t="s">
        <v>771</v>
      </c>
      <c r="E19" s="7" t="s">
        <v>772</v>
      </c>
      <c r="F19" s="7" t="s">
        <v>773</v>
      </c>
      <c r="G19" s="7" t="s">
        <v>774</v>
      </c>
    </row>
    <row r="20" customFormat="false" ht="96" hidden="false" customHeight="true" outlineLevel="0" collapsed="false">
      <c r="A20" s="6" t="n">
        <v>19</v>
      </c>
      <c r="B20" s="34" t="s">
        <v>310</v>
      </c>
      <c r="C20" s="7" t="s">
        <v>775</v>
      </c>
      <c r="D20" s="7" t="s">
        <v>776</v>
      </c>
      <c r="E20" s="7" t="s">
        <v>777</v>
      </c>
      <c r="F20" s="7" t="s">
        <v>778</v>
      </c>
      <c r="G20" s="7" t="s">
        <v>779</v>
      </c>
    </row>
    <row r="21" customFormat="false" ht="96" hidden="false" customHeight="true" outlineLevel="0" collapsed="false">
      <c r="A21" s="6" t="n">
        <v>20</v>
      </c>
      <c r="B21" s="34" t="s">
        <v>310</v>
      </c>
      <c r="C21" s="7" t="s">
        <v>780</v>
      </c>
      <c r="D21" s="7" t="s">
        <v>781</v>
      </c>
      <c r="E21" s="7" t="s">
        <v>782</v>
      </c>
      <c r="F21" s="7" t="s">
        <v>783</v>
      </c>
      <c r="G21" s="7" t="s">
        <v>784</v>
      </c>
    </row>
  </sheetData>
  <autoFilter ref="A1:G2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2026-07-09T02:05:26Z</dcterms:created>
  <dc:creator>openpyxl</dc:creator>
  <dc:description/>
  <dc:language>en-US</dc:language>
  <cp:lastModifiedBy>George, Matthew (DFW)</cp:lastModifiedBy>
  <dcterms:modified xsi:type="dcterms:W3CDTF">2026-07-10T05:22:52Z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